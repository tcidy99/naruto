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A8664FC6-8D20-4A40-9E82-E4BE5282F6F4}" xr6:coauthVersionLast="47" xr6:coauthVersionMax="47" xr10:uidLastSave="{00000000-0000-0000-0000-000000000000}"/>
  <bookViews>
    <workbookView xWindow="-28920" yWindow="-120" windowWidth="29040" windowHeight="15720" firstSheet="1" activeTab="18" xr2:uid="{00000000-000D-0000-FFFF-FFFF00000000}"/>
  </bookViews>
  <sheets>
    <sheet name="main" sheetId="12" r:id="rId1"/>
    <sheet name="瞭望塔" sheetId="18" r:id="rId2"/>
    <sheet name="6.15" sheetId="19" state="hidden" r:id="rId3"/>
    <sheet name="6.16" sheetId="20" r:id="rId4"/>
    <sheet name="6.17" sheetId="27" r:id="rId5"/>
    <sheet name="6.18" sheetId="28" r:id="rId6"/>
    <sheet name="6.19" sheetId="29" r:id="rId7"/>
    <sheet name="6.2" sheetId="30" r:id="rId8"/>
    <sheet name="6.21" sheetId="31" r:id="rId9"/>
    <sheet name="6.22" sheetId="32" r:id="rId10"/>
    <sheet name="6.23" sheetId="34" r:id="rId11"/>
    <sheet name="6.24" sheetId="33" r:id="rId12"/>
    <sheet name="6.25" sheetId="35" r:id="rId13"/>
    <sheet name="6.26" sheetId="36" r:id="rId14"/>
    <sheet name="6.27" sheetId="37" r:id="rId15"/>
    <sheet name="6.28" sheetId="38" r:id="rId16"/>
    <sheet name="6.29" sheetId="39" r:id="rId17"/>
    <sheet name="6.3" sheetId="40" r:id="rId18"/>
    <sheet name="6.31" sheetId="41" r:id="rId19"/>
    <sheet name="粮草" sheetId="14" r:id="rId20"/>
    <sheet name="经验" sheetId="15" state="hidden" r:id="rId21"/>
    <sheet name="亏损" sheetId="17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3" l="1"/>
  <c r="D12" i="20" l="1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E5" i="20"/>
  <c r="E29" i="20" s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4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D4" i="20"/>
  <c r="D6" i="20"/>
  <c r="D7" i="20"/>
  <c r="D8" i="20"/>
  <c r="D9" i="20"/>
  <c r="D10" i="20"/>
  <c r="D11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5" i="20"/>
  <c r="J10" i="41"/>
  <c r="J7" i="35"/>
  <c r="G8" i="30"/>
  <c r="G5" i="31"/>
  <c r="G6" i="37"/>
  <c r="G5" i="37"/>
  <c r="G9" i="35"/>
  <c r="G8" i="35"/>
  <c r="G17" i="32"/>
  <c r="G16" i="32"/>
  <c r="G10" i="36"/>
  <c r="G7" i="35"/>
  <c r="G11" i="32"/>
  <c r="G23" i="31"/>
  <c r="J11" i="31"/>
  <c r="J5" i="40"/>
  <c r="G10" i="41"/>
  <c r="K28" i="41" l="1"/>
  <c r="J28" i="41"/>
  <c r="H28" i="41"/>
  <c r="G28" i="41"/>
  <c r="E28" i="41"/>
  <c r="D28" i="41"/>
  <c r="K27" i="41"/>
  <c r="J27" i="41"/>
  <c r="H27" i="41"/>
  <c r="G27" i="41"/>
  <c r="E27" i="41"/>
  <c r="D27" i="41"/>
  <c r="K26" i="41"/>
  <c r="J26" i="41"/>
  <c r="H26" i="41"/>
  <c r="G26" i="41"/>
  <c r="E26" i="41"/>
  <c r="D26" i="41"/>
  <c r="K25" i="41"/>
  <c r="J25" i="41"/>
  <c r="H25" i="41"/>
  <c r="G25" i="41"/>
  <c r="E25" i="41"/>
  <c r="D25" i="41"/>
  <c r="K24" i="41"/>
  <c r="J24" i="41"/>
  <c r="H24" i="41"/>
  <c r="G24" i="41"/>
  <c r="E24" i="41"/>
  <c r="D24" i="41"/>
  <c r="K23" i="41"/>
  <c r="J23" i="41"/>
  <c r="H23" i="41"/>
  <c r="G23" i="41"/>
  <c r="E23" i="41"/>
  <c r="D23" i="41"/>
  <c r="K22" i="41"/>
  <c r="J22" i="41"/>
  <c r="H22" i="41"/>
  <c r="G22" i="41"/>
  <c r="E22" i="41"/>
  <c r="D22" i="41"/>
  <c r="K21" i="41"/>
  <c r="J21" i="41"/>
  <c r="H21" i="41"/>
  <c r="G21" i="41"/>
  <c r="E21" i="41"/>
  <c r="D21" i="41"/>
  <c r="K20" i="41"/>
  <c r="J20" i="41"/>
  <c r="H20" i="41"/>
  <c r="G20" i="41"/>
  <c r="E20" i="41"/>
  <c r="D20" i="41"/>
  <c r="K19" i="41"/>
  <c r="J19" i="41"/>
  <c r="H19" i="41"/>
  <c r="G19" i="41"/>
  <c r="E19" i="41"/>
  <c r="D19" i="41"/>
  <c r="K18" i="41"/>
  <c r="J18" i="41"/>
  <c r="H18" i="41"/>
  <c r="G18" i="41"/>
  <c r="E18" i="41"/>
  <c r="D18" i="41"/>
  <c r="K17" i="41"/>
  <c r="J17" i="41"/>
  <c r="H17" i="41"/>
  <c r="G17" i="41"/>
  <c r="E17" i="41"/>
  <c r="D17" i="41"/>
  <c r="K16" i="41"/>
  <c r="J16" i="41"/>
  <c r="H16" i="41"/>
  <c r="G16" i="41"/>
  <c r="E16" i="41"/>
  <c r="D16" i="41"/>
  <c r="K15" i="41"/>
  <c r="J15" i="41"/>
  <c r="H15" i="41"/>
  <c r="G15" i="41"/>
  <c r="E15" i="41"/>
  <c r="D15" i="41"/>
  <c r="K14" i="41"/>
  <c r="J14" i="41"/>
  <c r="H14" i="41"/>
  <c r="G14" i="41"/>
  <c r="E14" i="41"/>
  <c r="D14" i="41"/>
  <c r="K13" i="41"/>
  <c r="J13" i="41"/>
  <c r="H13" i="41"/>
  <c r="G13" i="41"/>
  <c r="E13" i="41"/>
  <c r="D13" i="41"/>
  <c r="K12" i="41"/>
  <c r="J12" i="41"/>
  <c r="H12" i="41"/>
  <c r="G12" i="41"/>
  <c r="E12" i="41"/>
  <c r="D12" i="41"/>
  <c r="K11" i="41"/>
  <c r="J11" i="41"/>
  <c r="H11" i="41"/>
  <c r="G11" i="41"/>
  <c r="E11" i="41"/>
  <c r="D11" i="41"/>
  <c r="K10" i="41"/>
  <c r="H10" i="41"/>
  <c r="E10" i="41"/>
  <c r="D10" i="41"/>
  <c r="K9" i="41"/>
  <c r="J9" i="41"/>
  <c r="H9" i="41"/>
  <c r="G9" i="41"/>
  <c r="E9" i="41"/>
  <c r="D9" i="41"/>
  <c r="K8" i="41"/>
  <c r="J8" i="41"/>
  <c r="H8" i="41"/>
  <c r="G8" i="41"/>
  <c r="E8" i="41"/>
  <c r="D8" i="41"/>
  <c r="K7" i="41"/>
  <c r="J7" i="41"/>
  <c r="H7" i="41"/>
  <c r="G7" i="41"/>
  <c r="E7" i="41"/>
  <c r="D7" i="41"/>
  <c r="K6" i="41"/>
  <c r="J6" i="41"/>
  <c r="H6" i="41"/>
  <c r="G6" i="41"/>
  <c r="E6" i="41"/>
  <c r="D6" i="41"/>
  <c r="K5" i="41"/>
  <c r="J5" i="41"/>
  <c r="H5" i="41"/>
  <c r="G5" i="41"/>
  <c r="E5" i="41"/>
  <c r="D5" i="41"/>
  <c r="K4" i="41"/>
  <c r="J4" i="41"/>
  <c r="H4" i="41"/>
  <c r="G4" i="41"/>
  <c r="E4" i="41"/>
  <c r="E29" i="41" s="1"/>
  <c r="D4" i="41"/>
  <c r="D29" i="41" s="1"/>
  <c r="A1" i="41" a="1"/>
  <c r="A1" i="41" s="1"/>
  <c r="K28" i="40"/>
  <c r="J28" i="40"/>
  <c r="H28" i="40"/>
  <c r="G28" i="40"/>
  <c r="E28" i="40"/>
  <c r="D28" i="40"/>
  <c r="K27" i="40"/>
  <c r="J27" i="40"/>
  <c r="H27" i="40"/>
  <c r="G27" i="40"/>
  <c r="E27" i="40"/>
  <c r="D27" i="40"/>
  <c r="K26" i="40"/>
  <c r="J26" i="40"/>
  <c r="H26" i="40"/>
  <c r="G26" i="40"/>
  <c r="E26" i="40"/>
  <c r="D26" i="40"/>
  <c r="K25" i="40"/>
  <c r="J25" i="40"/>
  <c r="H25" i="40"/>
  <c r="G25" i="40"/>
  <c r="E25" i="40"/>
  <c r="D25" i="40"/>
  <c r="K24" i="40"/>
  <c r="J24" i="40"/>
  <c r="H24" i="40"/>
  <c r="G24" i="40"/>
  <c r="E24" i="40"/>
  <c r="D24" i="40"/>
  <c r="K23" i="40"/>
  <c r="J23" i="40"/>
  <c r="H23" i="40"/>
  <c r="G23" i="40"/>
  <c r="E23" i="40"/>
  <c r="D23" i="40"/>
  <c r="K22" i="40"/>
  <c r="J22" i="40"/>
  <c r="H22" i="40"/>
  <c r="G22" i="40"/>
  <c r="E22" i="40"/>
  <c r="D22" i="40"/>
  <c r="K21" i="40"/>
  <c r="J21" i="40"/>
  <c r="H21" i="40"/>
  <c r="G21" i="40"/>
  <c r="E21" i="40"/>
  <c r="D21" i="40"/>
  <c r="K20" i="40"/>
  <c r="J20" i="40"/>
  <c r="H20" i="40"/>
  <c r="G20" i="40"/>
  <c r="E20" i="40"/>
  <c r="D20" i="40"/>
  <c r="K19" i="40"/>
  <c r="J19" i="40"/>
  <c r="H19" i="40"/>
  <c r="G19" i="40"/>
  <c r="E19" i="40"/>
  <c r="D19" i="40"/>
  <c r="K18" i="40"/>
  <c r="J18" i="40"/>
  <c r="H18" i="40"/>
  <c r="G18" i="40"/>
  <c r="E18" i="40"/>
  <c r="D18" i="40"/>
  <c r="K17" i="40"/>
  <c r="J17" i="40"/>
  <c r="H17" i="40"/>
  <c r="G17" i="40"/>
  <c r="E17" i="40"/>
  <c r="D17" i="40"/>
  <c r="K16" i="40"/>
  <c r="J16" i="40"/>
  <c r="H16" i="40"/>
  <c r="G16" i="40"/>
  <c r="E16" i="40"/>
  <c r="D16" i="40"/>
  <c r="K15" i="40"/>
  <c r="J15" i="40"/>
  <c r="H15" i="40"/>
  <c r="G15" i="40"/>
  <c r="E15" i="40"/>
  <c r="D15" i="40"/>
  <c r="K14" i="40"/>
  <c r="J14" i="40"/>
  <c r="H14" i="40"/>
  <c r="G14" i="40"/>
  <c r="E14" i="40"/>
  <c r="D14" i="40"/>
  <c r="K13" i="40"/>
  <c r="J13" i="40"/>
  <c r="H13" i="40"/>
  <c r="G13" i="40"/>
  <c r="E13" i="40"/>
  <c r="D13" i="40"/>
  <c r="K12" i="40"/>
  <c r="J12" i="40"/>
  <c r="H12" i="40"/>
  <c r="G12" i="40"/>
  <c r="E12" i="40"/>
  <c r="D12" i="40"/>
  <c r="K11" i="40"/>
  <c r="J11" i="40"/>
  <c r="H11" i="40"/>
  <c r="G11" i="40"/>
  <c r="E11" i="40"/>
  <c r="D11" i="40"/>
  <c r="K10" i="40"/>
  <c r="J10" i="40"/>
  <c r="H10" i="40"/>
  <c r="G10" i="40"/>
  <c r="E10" i="40"/>
  <c r="D10" i="40"/>
  <c r="K9" i="40"/>
  <c r="J9" i="40"/>
  <c r="H9" i="40"/>
  <c r="G9" i="40"/>
  <c r="E9" i="40"/>
  <c r="D9" i="40"/>
  <c r="K8" i="40"/>
  <c r="J8" i="40"/>
  <c r="H8" i="40"/>
  <c r="G8" i="40"/>
  <c r="E8" i="40"/>
  <c r="D8" i="40"/>
  <c r="K7" i="40"/>
  <c r="J7" i="40"/>
  <c r="H7" i="40"/>
  <c r="G7" i="40"/>
  <c r="E7" i="40"/>
  <c r="D7" i="40"/>
  <c r="K6" i="40"/>
  <c r="J6" i="40"/>
  <c r="H6" i="40"/>
  <c r="G6" i="40"/>
  <c r="E6" i="40"/>
  <c r="D6" i="40"/>
  <c r="K5" i="40"/>
  <c r="H5" i="40"/>
  <c r="G5" i="40"/>
  <c r="E5" i="40"/>
  <c r="D5" i="40"/>
  <c r="K4" i="40"/>
  <c r="J4" i="40"/>
  <c r="H4" i="40"/>
  <c r="G4" i="40"/>
  <c r="E4" i="40"/>
  <c r="E29" i="40" s="1"/>
  <c r="D4" i="40"/>
  <c r="D29" i="40" s="1"/>
  <c r="A1" i="40" a="1"/>
  <c r="A1" i="40" s="1"/>
  <c r="K28" i="39"/>
  <c r="J28" i="39"/>
  <c r="H28" i="39"/>
  <c r="G28" i="39"/>
  <c r="E28" i="39"/>
  <c r="D28" i="39"/>
  <c r="K27" i="39"/>
  <c r="J27" i="39"/>
  <c r="H27" i="39"/>
  <c r="G27" i="39"/>
  <c r="E27" i="39"/>
  <c r="D27" i="39"/>
  <c r="K26" i="39"/>
  <c r="J26" i="39"/>
  <c r="H26" i="39"/>
  <c r="G26" i="39"/>
  <c r="E26" i="39"/>
  <c r="D26" i="39"/>
  <c r="K25" i="39"/>
  <c r="J25" i="39"/>
  <c r="H25" i="39"/>
  <c r="G25" i="39"/>
  <c r="E25" i="39"/>
  <c r="D25" i="39"/>
  <c r="K24" i="39"/>
  <c r="J24" i="39"/>
  <c r="H24" i="39"/>
  <c r="G24" i="39"/>
  <c r="E24" i="39"/>
  <c r="D24" i="39"/>
  <c r="K23" i="39"/>
  <c r="J23" i="39"/>
  <c r="H23" i="39"/>
  <c r="G23" i="39"/>
  <c r="E23" i="39"/>
  <c r="D23" i="39"/>
  <c r="K22" i="39"/>
  <c r="J22" i="39"/>
  <c r="H22" i="39"/>
  <c r="G22" i="39"/>
  <c r="E22" i="39"/>
  <c r="D22" i="39"/>
  <c r="K21" i="39"/>
  <c r="J21" i="39"/>
  <c r="H21" i="39"/>
  <c r="G21" i="39"/>
  <c r="E21" i="39"/>
  <c r="D21" i="39"/>
  <c r="K20" i="39"/>
  <c r="J20" i="39"/>
  <c r="H20" i="39"/>
  <c r="G20" i="39"/>
  <c r="E20" i="39"/>
  <c r="D20" i="39"/>
  <c r="K19" i="39"/>
  <c r="J19" i="39"/>
  <c r="H19" i="39"/>
  <c r="G19" i="39"/>
  <c r="E19" i="39"/>
  <c r="D19" i="39"/>
  <c r="K18" i="39"/>
  <c r="J18" i="39"/>
  <c r="H18" i="39"/>
  <c r="G18" i="39"/>
  <c r="E18" i="39"/>
  <c r="D18" i="39"/>
  <c r="K17" i="39"/>
  <c r="J17" i="39"/>
  <c r="H17" i="39"/>
  <c r="G17" i="39"/>
  <c r="E17" i="39"/>
  <c r="D17" i="39"/>
  <c r="K16" i="39"/>
  <c r="J16" i="39"/>
  <c r="H16" i="39"/>
  <c r="G16" i="39"/>
  <c r="E16" i="39"/>
  <c r="D16" i="39"/>
  <c r="K15" i="39"/>
  <c r="J15" i="39"/>
  <c r="H15" i="39"/>
  <c r="G15" i="39"/>
  <c r="E15" i="39"/>
  <c r="D15" i="39"/>
  <c r="K14" i="39"/>
  <c r="J14" i="39"/>
  <c r="H14" i="39"/>
  <c r="G14" i="39"/>
  <c r="E14" i="39"/>
  <c r="D14" i="39"/>
  <c r="K13" i="39"/>
  <c r="J13" i="39"/>
  <c r="H13" i="39"/>
  <c r="G13" i="39"/>
  <c r="E13" i="39"/>
  <c r="D13" i="39"/>
  <c r="K12" i="39"/>
  <c r="J12" i="39"/>
  <c r="H12" i="39"/>
  <c r="G12" i="39"/>
  <c r="E12" i="39"/>
  <c r="D12" i="39"/>
  <c r="K11" i="39"/>
  <c r="J11" i="39"/>
  <c r="H11" i="39"/>
  <c r="G11" i="39"/>
  <c r="E11" i="39"/>
  <c r="D11" i="39"/>
  <c r="K10" i="39"/>
  <c r="J10" i="39"/>
  <c r="H10" i="39"/>
  <c r="G10" i="39"/>
  <c r="E10" i="39"/>
  <c r="D10" i="39"/>
  <c r="K9" i="39"/>
  <c r="J9" i="39"/>
  <c r="H9" i="39"/>
  <c r="G9" i="39"/>
  <c r="E9" i="39"/>
  <c r="D9" i="39"/>
  <c r="K8" i="39"/>
  <c r="J8" i="39"/>
  <c r="H8" i="39"/>
  <c r="G8" i="39"/>
  <c r="E8" i="39"/>
  <c r="D8" i="39"/>
  <c r="K7" i="39"/>
  <c r="J7" i="39"/>
  <c r="H7" i="39"/>
  <c r="G7" i="39"/>
  <c r="E7" i="39"/>
  <c r="D7" i="39"/>
  <c r="K6" i="39"/>
  <c r="J6" i="39"/>
  <c r="H6" i="39"/>
  <c r="G6" i="39"/>
  <c r="E6" i="39"/>
  <c r="D6" i="39"/>
  <c r="K5" i="39"/>
  <c r="J5" i="39"/>
  <c r="H5" i="39"/>
  <c r="G5" i="39"/>
  <c r="E5" i="39"/>
  <c r="D5" i="39"/>
  <c r="K4" i="39"/>
  <c r="J4" i="39"/>
  <c r="H4" i="39"/>
  <c r="G4" i="39"/>
  <c r="E4" i="39"/>
  <c r="E29" i="39" s="1"/>
  <c r="D4" i="39"/>
  <c r="D29" i="39" s="1"/>
  <c r="A1" i="39" a="1"/>
  <c r="A1" i="39" s="1"/>
  <c r="D29" i="38"/>
  <c r="K28" i="38"/>
  <c r="J28" i="38"/>
  <c r="H28" i="38"/>
  <c r="G28" i="38"/>
  <c r="E28" i="38"/>
  <c r="D28" i="38"/>
  <c r="K27" i="38"/>
  <c r="J27" i="38"/>
  <c r="H27" i="38"/>
  <c r="G27" i="38"/>
  <c r="E27" i="38"/>
  <c r="D27" i="38"/>
  <c r="K26" i="38"/>
  <c r="J26" i="38"/>
  <c r="H26" i="38"/>
  <c r="G26" i="38"/>
  <c r="E26" i="38"/>
  <c r="E29" i="38" s="1"/>
  <c r="D26" i="38"/>
  <c r="K25" i="38"/>
  <c r="J25" i="38"/>
  <c r="H25" i="38"/>
  <c r="G25" i="38"/>
  <c r="E25" i="38"/>
  <c r="D25" i="38"/>
  <c r="K24" i="38"/>
  <c r="J24" i="38"/>
  <c r="H24" i="38"/>
  <c r="G24" i="38"/>
  <c r="E24" i="38"/>
  <c r="D24" i="38"/>
  <c r="K23" i="38"/>
  <c r="J23" i="38"/>
  <c r="H23" i="38"/>
  <c r="G23" i="38"/>
  <c r="E23" i="38"/>
  <c r="D23" i="38"/>
  <c r="K22" i="38"/>
  <c r="J22" i="38"/>
  <c r="H22" i="38"/>
  <c r="G22" i="38"/>
  <c r="E22" i="38"/>
  <c r="D22" i="38"/>
  <c r="K21" i="38"/>
  <c r="J21" i="38"/>
  <c r="H21" i="38"/>
  <c r="G21" i="38"/>
  <c r="E21" i="38"/>
  <c r="D21" i="38"/>
  <c r="K20" i="38"/>
  <c r="J20" i="38"/>
  <c r="H20" i="38"/>
  <c r="G20" i="38"/>
  <c r="E20" i="38"/>
  <c r="D20" i="38"/>
  <c r="K19" i="38"/>
  <c r="J19" i="38"/>
  <c r="H19" i="38"/>
  <c r="G19" i="38"/>
  <c r="E19" i="38"/>
  <c r="D19" i="38"/>
  <c r="K18" i="38"/>
  <c r="J18" i="38"/>
  <c r="H18" i="38"/>
  <c r="G18" i="38"/>
  <c r="E18" i="38"/>
  <c r="D18" i="38"/>
  <c r="K17" i="38"/>
  <c r="J17" i="38"/>
  <c r="H17" i="38"/>
  <c r="G17" i="38"/>
  <c r="E17" i="38"/>
  <c r="D17" i="38"/>
  <c r="K16" i="38"/>
  <c r="J16" i="38"/>
  <c r="H16" i="38"/>
  <c r="G16" i="38"/>
  <c r="E16" i="38"/>
  <c r="D16" i="38"/>
  <c r="K15" i="38"/>
  <c r="J15" i="38"/>
  <c r="H15" i="38"/>
  <c r="G15" i="38"/>
  <c r="E15" i="38"/>
  <c r="D15" i="38"/>
  <c r="K14" i="38"/>
  <c r="J14" i="38"/>
  <c r="H14" i="38"/>
  <c r="G14" i="38"/>
  <c r="E14" i="38"/>
  <c r="D14" i="38"/>
  <c r="K13" i="38"/>
  <c r="J13" i="38"/>
  <c r="H13" i="38"/>
  <c r="G13" i="38"/>
  <c r="E13" i="38"/>
  <c r="D13" i="38"/>
  <c r="K12" i="38"/>
  <c r="J12" i="38"/>
  <c r="H12" i="38"/>
  <c r="G12" i="38"/>
  <c r="E12" i="38"/>
  <c r="D12" i="38"/>
  <c r="K11" i="38"/>
  <c r="J11" i="38"/>
  <c r="H11" i="38"/>
  <c r="G11" i="38"/>
  <c r="E11" i="38"/>
  <c r="D11" i="38"/>
  <c r="K10" i="38"/>
  <c r="J10" i="38"/>
  <c r="H10" i="38"/>
  <c r="G10" i="38"/>
  <c r="E10" i="38"/>
  <c r="D10" i="38"/>
  <c r="K9" i="38"/>
  <c r="J9" i="38"/>
  <c r="H9" i="38"/>
  <c r="G9" i="38"/>
  <c r="E9" i="38"/>
  <c r="D9" i="38"/>
  <c r="K8" i="38"/>
  <c r="J8" i="38"/>
  <c r="H8" i="38"/>
  <c r="G8" i="38"/>
  <c r="E8" i="38"/>
  <c r="D8" i="38"/>
  <c r="K7" i="38"/>
  <c r="J7" i="38"/>
  <c r="H7" i="38"/>
  <c r="H29" i="38" s="1"/>
  <c r="G7" i="38"/>
  <c r="E7" i="38"/>
  <c r="D7" i="38"/>
  <c r="K6" i="38"/>
  <c r="J6" i="38"/>
  <c r="H6" i="38"/>
  <c r="G6" i="38"/>
  <c r="E6" i="38"/>
  <c r="D6" i="38"/>
  <c r="K5" i="38"/>
  <c r="J5" i="38"/>
  <c r="H5" i="38"/>
  <c r="G5" i="38"/>
  <c r="E5" i="38"/>
  <c r="D5" i="38"/>
  <c r="K4" i="38"/>
  <c r="J4" i="38"/>
  <c r="H4" i="38"/>
  <c r="G4" i="38"/>
  <c r="E4" i="38"/>
  <c r="D4" i="38"/>
  <c r="A1" i="38" a="1"/>
  <c r="A1" i="38" s="1"/>
  <c r="K28" i="37"/>
  <c r="J28" i="37"/>
  <c r="H28" i="37"/>
  <c r="G28" i="37"/>
  <c r="E28" i="37"/>
  <c r="D28" i="37"/>
  <c r="K27" i="37"/>
  <c r="J27" i="37"/>
  <c r="H27" i="37"/>
  <c r="G27" i="37"/>
  <c r="E27" i="37"/>
  <c r="D27" i="37"/>
  <c r="K26" i="37"/>
  <c r="J26" i="37"/>
  <c r="H26" i="37"/>
  <c r="G26" i="37"/>
  <c r="E26" i="37"/>
  <c r="D26" i="37"/>
  <c r="K25" i="37"/>
  <c r="J25" i="37"/>
  <c r="H25" i="37"/>
  <c r="G25" i="37"/>
  <c r="E25" i="37"/>
  <c r="D25" i="37"/>
  <c r="K24" i="37"/>
  <c r="J24" i="37"/>
  <c r="H24" i="37"/>
  <c r="G24" i="37"/>
  <c r="E24" i="37"/>
  <c r="D24" i="37"/>
  <c r="K23" i="37"/>
  <c r="J23" i="37"/>
  <c r="H23" i="37"/>
  <c r="G23" i="37"/>
  <c r="E23" i="37"/>
  <c r="D23" i="37"/>
  <c r="K22" i="37"/>
  <c r="J22" i="37"/>
  <c r="H22" i="37"/>
  <c r="G22" i="37"/>
  <c r="E22" i="37"/>
  <c r="D22" i="37"/>
  <c r="K21" i="37"/>
  <c r="J21" i="37"/>
  <c r="H21" i="37"/>
  <c r="G21" i="37"/>
  <c r="E21" i="37"/>
  <c r="D21" i="37"/>
  <c r="K20" i="37"/>
  <c r="J20" i="37"/>
  <c r="H20" i="37"/>
  <c r="G20" i="37"/>
  <c r="E20" i="37"/>
  <c r="D20" i="37"/>
  <c r="K19" i="37"/>
  <c r="J19" i="37"/>
  <c r="H19" i="37"/>
  <c r="G19" i="37"/>
  <c r="E19" i="37"/>
  <c r="D19" i="37"/>
  <c r="K18" i="37"/>
  <c r="J18" i="37"/>
  <c r="H18" i="37"/>
  <c r="G18" i="37"/>
  <c r="E18" i="37"/>
  <c r="D18" i="37"/>
  <c r="K17" i="37"/>
  <c r="J17" i="37"/>
  <c r="H17" i="37"/>
  <c r="G17" i="37"/>
  <c r="E17" i="37"/>
  <c r="D17" i="37"/>
  <c r="K16" i="37"/>
  <c r="J16" i="37"/>
  <c r="H16" i="37"/>
  <c r="G16" i="37"/>
  <c r="E16" i="37"/>
  <c r="D16" i="37"/>
  <c r="K15" i="37"/>
  <c r="J15" i="37"/>
  <c r="H15" i="37"/>
  <c r="G15" i="37"/>
  <c r="E15" i="37"/>
  <c r="D15" i="37"/>
  <c r="K14" i="37"/>
  <c r="J14" i="37"/>
  <c r="H14" i="37"/>
  <c r="G14" i="37"/>
  <c r="E14" i="37"/>
  <c r="D14" i="37"/>
  <c r="K13" i="37"/>
  <c r="J13" i="37"/>
  <c r="H13" i="37"/>
  <c r="G13" i="37"/>
  <c r="E13" i="37"/>
  <c r="D13" i="37"/>
  <c r="K12" i="37"/>
  <c r="J12" i="37"/>
  <c r="H12" i="37"/>
  <c r="G12" i="37"/>
  <c r="E12" i="37"/>
  <c r="D12" i="37"/>
  <c r="K11" i="37"/>
  <c r="J11" i="37"/>
  <c r="H11" i="37"/>
  <c r="G11" i="37"/>
  <c r="E11" i="37"/>
  <c r="D11" i="37"/>
  <c r="K10" i="37"/>
  <c r="J10" i="37"/>
  <c r="H10" i="37"/>
  <c r="G10" i="37"/>
  <c r="E10" i="37"/>
  <c r="D10" i="37"/>
  <c r="K9" i="37"/>
  <c r="J9" i="37"/>
  <c r="H9" i="37"/>
  <c r="G9" i="37"/>
  <c r="E9" i="37"/>
  <c r="D9" i="37"/>
  <c r="K8" i="37"/>
  <c r="J8" i="37"/>
  <c r="H8" i="37"/>
  <c r="G8" i="37"/>
  <c r="E8" i="37"/>
  <c r="D8" i="37"/>
  <c r="K7" i="37"/>
  <c r="J7" i="37"/>
  <c r="H7" i="37"/>
  <c r="G7" i="37"/>
  <c r="E7" i="37"/>
  <c r="D7" i="37"/>
  <c r="K6" i="37"/>
  <c r="J6" i="37"/>
  <c r="H6" i="37"/>
  <c r="E6" i="37"/>
  <c r="D6" i="37"/>
  <c r="K5" i="37"/>
  <c r="J5" i="37"/>
  <c r="H5" i="37"/>
  <c r="E5" i="37"/>
  <c r="D5" i="37"/>
  <c r="K4" i="37"/>
  <c r="K29" i="37" s="1"/>
  <c r="J4" i="37"/>
  <c r="J29" i="37" s="1"/>
  <c r="H4" i="37"/>
  <c r="G4" i="37"/>
  <c r="E4" i="37"/>
  <c r="E29" i="37" s="1"/>
  <c r="D4" i="37"/>
  <c r="D29" i="37" s="1"/>
  <c r="A1" i="37" a="1"/>
  <c r="A1" i="37" s="1"/>
  <c r="K28" i="36"/>
  <c r="J28" i="36"/>
  <c r="H28" i="36"/>
  <c r="G28" i="36"/>
  <c r="E28" i="36"/>
  <c r="D28" i="36"/>
  <c r="K27" i="36"/>
  <c r="J27" i="36"/>
  <c r="H27" i="36"/>
  <c r="G27" i="36"/>
  <c r="E27" i="36"/>
  <c r="D27" i="36"/>
  <c r="K26" i="36"/>
  <c r="J26" i="36"/>
  <c r="H26" i="36"/>
  <c r="G26" i="36"/>
  <c r="E26" i="36"/>
  <c r="D26" i="36"/>
  <c r="K25" i="36"/>
  <c r="J25" i="36"/>
  <c r="H25" i="36"/>
  <c r="G25" i="36"/>
  <c r="E25" i="36"/>
  <c r="D25" i="36"/>
  <c r="K24" i="36"/>
  <c r="J24" i="36"/>
  <c r="H24" i="36"/>
  <c r="G24" i="36"/>
  <c r="E24" i="36"/>
  <c r="D24" i="36"/>
  <c r="K23" i="36"/>
  <c r="J23" i="36"/>
  <c r="H23" i="36"/>
  <c r="G23" i="36"/>
  <c r="E23" i="36"/>
  <c r="D23" i="36"/>
  <c r="K22" i="36"/>
  <c r="J22" i="36"/>
  <c r="H22" i="36"/>
  <c r="G22" i="36"/>
  <c r="E22" i="36"/>
  <c r="D22" i="36"/>
  <c r="K21" i="36"/>
  <c r="J21" i="36"/>
  <c r="H21" i="36"/>
  <c r="G21" i="36"/>
  <c r="E21" i="36"/>
  <c r="D21" i="36"/>
  <c r="K20" i="36"/>
  <c r="J20" i="36"/>
  <c r="H20" i="36"/>
  <c r="G20" i="36"/>
  <c r="E20" i="36"/>
  <c r="D20" i="36"/>
  <c r="K19" i="36"/>
  <c r="J19" i="36"/>
  <c r="H19" i="36"/>
  <c r="G19" i="36"/>
  <c r="E19" i="36"/>
  <c r="D19" i="36"/>
  <c r="K18" i="36"/>
  <c r="J18" i="36"/>
  <c r="H18" i="36"/>
  <c r="G18" i="36"/>
  <c r="E18" i="36"/>
  <c r="D18" i="36"/>
  <c r="K17" i="36"/>
  <c r="J17" i="36"/>
  <c r="H17" i="36"/>
  <c r="G17" i="36"/>
  <c r="E17" i="36"/>
  <c r="D17" i="36"/>
  <c r="K16" i="36"/>
  <c r="J16" i="36"/>
  <c r="H16" i="36"/>
  <c r="G16" i="36"/>
  <c r="E16" i="36"/>
  <c r="D16" i="36"/>
  <c r="K15" i="36"/>
  <c r="J15" i="36"/>
  <c r="H15" i="36"/>
  <c r="G15" i="36"/>
  <c r="E15" i="36"/>
  <c r="D15" i="36"/>
  <c r="K14" i="36"/>
  <c r="J14" i="36"/>
  <c r="H14" i="36"/>
  <c r="G14" i="36"/>
  <c r="E14" i="36"/>
  <c r="D14" i="36"/>
  <c r="K13" i="36"/>
  <c r="J13" i="36"/>
  <c r="H13" i="36"/>
  <c r="G13" i="36"/>
  <c r="E13" i="36"/>
  <c r="D13" i="36"/>
  <c r="K12" i="36"/>
  <c r="J12" i="36"/>
  <c r="H12" i="36"/>
  <c r="G12" i="36"/>
  <c r="E12" i="36"/>
  <c r="D12" i="36"/>
  <c r="K11" i="36"/>
  <c r="J11" i="36"/>
  <c r="H11" i="36"/>
  <c r="G11" i="36"/>
  <c r="E11" i="36"/>
  <c r="D11" i="36"/>
  <c r="K10" i="36"/>
  <c r="J10" i="36"/>
  <c r="H10" i="36"/>
  <c r="E10" i="36"/>
  <c r="D10" i="36"/>
  <c r="K9" i="36"/>
  <c r="J9" i="36"/>
  <c r="H9" i="36"/>
  <c r="G9" i="36"/>
  <c r="E9" i="36"/>
  <c r="D9" i="36"/>
  <c r="K8" i="36"/>
  <c r="J8" i="36"/>
  <c r="H8" i="36"/>
  <c r="G8" i="36"/>
  <c r="E8" i="36"/>
  <c r="D8" i="36"/>
  <c r="K7" i="36"/>
  <c r="J7" i="36"/>
  <c r="H7" i="36"/>
  <c r="G7" i="36"/>
  <c r="E7" i="36"/>
  <c r="D7" i="36"/>
  <c r="K6" i="36"/>
  <c r="J6" i="36"/>
  <c r="H6" i="36"/>
  <c r="G6" i="36"/>
  <c r="E6" i="36"/>
  <c r="D6" i="36"/>
  <c r="K5" i="36"/>
  <c r="J5" i="36"/>
  <c r="H5" i="36"/>
  <c r="G5" i="36"/>
  <c r="E5" i="36"/>
  <c r="D5" i="36"/>
  <c r="K4" i="36"/>
  <c r="J4" i="36"/>
  <c r="H4" i="36"/>
  <c r="G4" i="36"/>
  <c r="E4" i="36"/>
  <c r="E29" i="36" s="1"/>
  <c r="D4" i="36"/>
  <c r="D29" i="36" s="1"/>
  <c r="A1" i="36" a="1"/>
  <c r="A1" i="36" s="1"/>
  <c r="K28" i="35"/>
  <c r="J28" i="35"/>
  <c r="H28" i="35"/>
  <c r="G28" i="35"/>
  <c r="E28" i="35"/>
  <c r="D28" i="35"/>
  <c r="K27" i="35"/>
  <c r="J27" i="35"/>
  <c r="H27" i="35"/>
  <c r="G27" i="35"/>
  <c r="E27" i="35"/>
  <c r="D27" i="35"/>
  <c r="K26" i="35"/>
  <c r="J26" i="35"/>
  <c r="H26" i="35"/>
  <c r="G26" i="35"/>
  <c r="E26" i="35"/>
  <c r="D26" i="35"/>
  <c r="K25" i="35"/>
  <c r="J25" i="35"/>
  <c r="H25" i="35"/>
  <c r="G25" i="35"/>
  <c r="E25" i="35"/>
  <c r="D25" i="35"/>
  <c r="K24" i="35"/>
  <c r="J24" i="35"/>
  <c r="H24" i="35"/>
  <c r="G24" i="35"/>
  <c r="E24" i="35"/>
  <c r="D24" i="35"/>
  <c r="K23" i="35"/>
  <c r="J23" i="35"/>
  <c r="H23" i="35"/>
  <c r="G23" i="35"/>
  <c r="E23" i="35"/>
  <c r="D23" i="35"/>
  <c r="K22" i="35"/>
  <c r="J22" i="35"/>
  <c r="H22" i="35"/>
  <c r="G22" i="35"/>
  <c r="E22" i="35"/>
  <c r="D22" i="35"/>
  <c r="K21" i="35"/>
  <c r="J21" i="35"/>
  <c r="H21" i="35"/>
  <c r="G21" i="35"/>
  <c r="E21" i="35"/>
  <c r="D21" i="35"/>
  <c r="K20" i="35"/>
  <c r="J20" i="35"/>
  <c r="H20" i="35"/>
  <c r="G20" i="35"/>
  <c r="E20" i="35"/>
  <c r="D20" i="35"/>
  <c r="K19" i="35"/>
  <c r="J19" i="35"/>
  <c r="H19" i="35"/>
  <c r="G19" i="35"/>
  <c r="E19" i="35"/>
  <c r="D19" i="35"/>
  <c r="K18" i="35"/>
  <c r="J18" i="35"/>
  <c r="H18" i="35"/>
  <c r="G18" i="35"/>
  <c r="E18" i="35"/>
  <c r="D18" i="35"/>
  <c r="K17" i="35"/>
  <c r="J17" i="35"/>
  <c r="H17" i="35"/>
  <c r="G17" i="35"/>
  <c r="E17" i="35"/>
  <c r="D17" i="35"/>
  <c r="K16" i="35"/>
  <c r="J16" i="35"/>
  <c r="H16" i="35"/>
  <c r="G16" i="35"/>
  <c r="E16" i="35"/>
  <c r="D16" i="35"/>
  <c r="K15" i="35"/>
  <c r="J15" i="35"/>
  <c r="H15" i="35"/>
  <c r="G15" i="35"/>
  <c r="E15" i="35"/>
  <c r="D15" i="35"/>
  <c r="K14" i="35"/>
  <c r="J14" i="35"/>
  <c r="H14" i="35"/>
  <c r="G14" i="35"/>
  <c r="E14" i="35"/>
  <c r="D14" i="35"/>
  <c r="K13" i="35"/>
  <c r="J13" i="35"/>
  <c r="H13" i="35"/>
  <c r="G13" i="35"/>
  <c r="E13" i="35"/>
  <c r="D13" i="35"/>
  <c r="K12" i="35"/>
  <c r="J12" i="35"/>
  <c r="H12" i="35"/>
  <c r="G12" i="35"/>
  <c r="E12" i="35"/>
  <c r="D12" i="35"/>
  <c r="K11" i="35"/>
  <c r="J11" i="35"/>
  <c r="H11" i="35"/>
  <c r="G11" i="35"/>
  <c r="E11" i="35"/>
  <c r="D11" i="35"/>
  <c r="K10" i="35"/>
  <c r="J10" i="35"/>
  <c r="H10" i="35"/>
  <c r="G10" i="35"/>
  <c r="E10" i="35"/>
  <c r="D10" i="35"/>
  <c r="D29" i="35" s="1"/>
  <c r="K9" i="35"/>
  <c r="J9" i="35"/>
  <c r="H9" i="35"/>
  <c r="E9" i="35"/>
  <c r="D9" i="35"/>
  <c r="K8" i="35"/>
  <c r="J8" i="35"/>
  <c r="H8" i="35"/>
  <c r="E8" i="35"/>
  <c r="D8" i="35"/>
  <c r="K7" i="35"/>
  <c r="H7" i="35"/>
  <c r="E7" i="35"/>
  <c r="D7" i="35"/>
  <c r="K6" i="35"/>
  <c r="J6" i="35"/>
  <c r="H6" i="35"/>
  <c r="G6" i="35"/>
  <c r="E6" i="35"/>
  <c r="D6" i="35"/>
  <c r="K5" i="35"/>
  <c r="J5" i="35"/>
  <c r="H5" i="35"/>
  <c r="G5" i="35"/>
  <c r="E5" i="35"/>
  <c r="E29" i="35" s="1"/>
  <c r="D5" i="35"/>
  <c r="K4" i="35"/>
  <c r="J4" i="35"/>
  <c r="H4" i="35"/>
  <c r="G4" i="35"/>
  <c r="E4" i="35"/>
  <c r="D4" i="35"/>
  <c r="A1" i="35" a="1"/>
  <c r="A1" i="35" s="1"/>
  <c r="K28" i="34"/>
  <c r="J28" i="34"/>
  <c r="H28" i="34"/>
  <c r="G28" i="34"/>
  <c r="E28" i="34"/>
  <c r="D28" i="34"/>
  <c r="K27" i="34"/>
  <c r="J27" i="34"/>
  <c r="H27" i="34"/>
  <c r="G27" i="34"/>
  <c r="E27" i="34"/>
  <c r="D27" i="34"/>
  <c r="K26" i="34"/>
  <c r="J26" i="34"/>
  <c r="H26" i="34"/>
  <c r="G26" i="34"/>
  <c r="E26" i="34"/>
  <c r="D26" i="34"/>
  <c r="K25" i="34"/>
  <c r="J25" i="34"/>
  <c r="H25" i="34"/>
  <c r="G25" i="34"/>
  <c r="E25" i="34"/>
  <c r="D25" i="34"/>
  <c r="K24" i="34"/>
  <c r="J24" i="34"/>
  <c r="H24" i="34"/>
  <c r="G24" i="34"/>
  <c r="E24" i="34"/>
  <c r="D24" i="34"/>
  <c r="K23" i="34"/>
  <c r="J23" i="34"/>
  <c r="H23" i="34"/>
  <c r="G23" i="34"/>
  <c r="E23" i="34"/>
  <c r="D23" i="34"/>
  <c r="K22" i="34"/>
  <c r="J22" i="34"/>
  <c r="H22" i="34"/>
  <c r="G22" i="34"/>
  <c r="E22" i="34"/>
  <c r="D22" i="34"/>
  <c r="K21" i="34"/>
  <c r="J21" i="34"/>
  <c r="H21" i="34"/>
  <c r="G21" i="34"/>
  <c r="E21" i="34"/>
  <c r="D21" i="34"/>
  <c r="K20" i="34"/>
  <c r="J20" i="34"/>
  <c r="H20" i="34"/>
  <c r="G20" i="34"/>
  <c r="E20" i="34"/>
  <c r="D20" i="34"/>
  <c r="K19" i="34"/>
  <c r="J19" i="34"/>
  <c r="H19" i="34"/>
  <c r="G19" i="34"/>
  <c r="E19" i="34"/>
  <c r="D19" i="34"/>
  <c r="K18" i="34"/>
  <c r="J18" i="34"/>
  <c r="H18" i="34"/>
  <c r="G18" i="34"/>
  <c r="E18" i="34"/>
  <c r="D18" i="34"/>
  <c r="K17" i="34"/>
  <c r="J17" i="34"/>
  <c r="H17" i="34"/>
  <c r="G17" i="34"/>
  <c r="E17" i="34"/>
  <c r="D17" i="34"/>
  <c r="K16" i="34"/>
  <c r="J16" i="34"/>
  <c r="H16" i="34"/>
  <c r="G16" i="34"/>
  <c r="E16" i="34"/>
  <c r="D16" i="34"/>
  <c r="K15" i="34"/>
  <c r="J15" i="34"/>
  <c r="H15" i="34"/>
  <c r="G15" i="34"/>
  <c r="E15" i="34"/>
  <c r="D15" i="34"/>
  <c r="K14" i="34"/>
  <c r="J14" i="34"/>
  <c r="H14" i="34"/>
  <c r="G14" i="34"/>
  <c r="E14" i="34"/>
  <c r="D14" i="34"/>
  <c r="K13" i="34"/>
  <c r="J13" i="34"/>
  <c r="H13" i="34"/>
  <c r="G13" i="34"/>
  <c r="E13" i="34"/>
  <c r="D13" i="34"/>
  <c r="K12" i="34"/>
  <c r="J12" i="34"/>
  <c r="H12" i="34"/>
  <c r="G12" i="34"/>
  <c r="E12" i="34"/>
  <c r="D12" i="34"/>
  <c r="K11" i="34"/>
  <c r="J11" i="34"/>
  <c r="H11" i="34"/>
  <c r="G11" i="34"/>
  <c r="E11" i="34"/>
  <c r="D11" i="34"/>
  <c r="K10" i="34"/>
  <c r="J10" i="34"/>
  <c r="H10" i="34"/>
  <c r="G10" i="34"/>
  <c r="E10" i="34"/>
  <c r="D10" i="34"/>
  <c r="K9" i="34"/>
  <c r="J9" i="34"/>
  <c r="H9" i="34"/>
  <c r="G9" i="34"/>
  <c r="E9" i="34"/>
  <c r="D9" i="34"/>
  <c r="K8" i="34"/>
  <c r="J8" i="34"/>
  <c r="H8" i="34"/>
  <c r="G8" i="34"/>
  <c r="E8" i="34"/>
  <c r="D8" i="34"/>
  <c r="K7" i="34"/>
  <c r="J7" i="34"/>
  <c r="H7" i="34"/>
  <c r="G7" i="34"/>
  <c r="E7" i="34"/>
  <c r="D7" i="34"/>
  <c r="K6" i="34"/>
  <c r="J6" i="34"/>
  <c r="H6" i="34"/>
  <c r="G6" i="34"/>
  <c r="E6" i="34"/>
  <c r="D6" i="34"/>
  <c r="K5" i="34"/>
  <c r="J5" i="34"/>
  <c r="H5" i="34"/>
  <c r="G5" i="34"/>
  <c r="E5" i="34"/>
  <c r="D5" i="34"/>
  <c r="K4" i="34"/>
  <c r="J4" i="34"/>
  <c r="H4" i="34"/>
  <c r="G4" i="34"/>
  <c r="E4" i="34"/>
  <c r="E29" i="34" s="1"/>
  <c r="D4" i="34"/>
  <c r="D29" i="34" s="1"/>
  <c r="A1" i="34" a="1"/>
  <c r="A1" i="34" s="1"/>
  <c r="K28" i="33"/>
  <c r="J28" i="33"/>
  <c r="H28" i="33"/>
  <c r="G28" i="33"/>
  <c r="E28" i="33"/>
  <c r="D28" i="33"/>
  <c r="K27" i="33"/>
  <c r="J27" i="33"/>
  <c r="H27" i="33"/>
  <c r="G27" i="33"/>
  <c r="E27" i="33"/>
  <c r="D27" i="33"/>
  <c r="K26" i="33"/>
  <c r="J26" i="33"/>
  <c r="H26" i="33"/>
  <c r="G26" i="33"/>
  <c r="E26" i="33"/>
  <c r="D26" i="33"/>
  <c r="K25" i="33"/>
  <c r="J25" i="33"/>
  <c r="H25" i="33"/>
  <c r="G25" i="33"/>
  <c r="E25" i="33"/>
  <c r="D25" i="33"/>
  <c r="K24" i="33"/>
  <c r="J24" i="33"/>
  <c r="H24" i="33"/>
  <c r="G24" i="33"/>
  <c r="E24" i="33"/>
  <c r="D24" i="33"/>
  <c r="K23" i="33"/>
  <c r="J23" i="33"/>
  <c r="H23" i="33"/>
  <c r="G23" i="33"/>
  <c r="E23" i="33"/>
  <c r="D23" i="33"/>
  <c r="K22" i="33"/>
  <c r="J22" i="33"/>
  <c r="H22" i="33"/>
  <c r="G22" i="33"/>
  <c r="E22" i="33"/>
  <c r="D22" i="33"/>
  <c r="K21" i="33"/>
  <c r="J21" i="33"/>
  <c r="H21" i="33"/>
  <c r="G21" i="33"/>
  <c r="E21" i="33"/>
  <c r="D21" i="33"/>
  <c r="K20" i="33"/>
  <c r="J20" i="33"/>
  <c r="H20" i="33"/>
  <c r="G20" i="33"/>
  <c r="E20" i="33"/>
  <c r="D20" i="33"/>
  <c r="K19" i="33"/>
  <c r="J19" i="33"/>
  <c r="H19" i="33"/>
  <c r="G19" i="33"/>
  <c r="E19" i="33"/>
  <c r="D19" i="33"/>
  <c r="K18" i="33"/>
  <c r="J18" i="33"/>
  <c r="H18" i="33"/>
  <c r="G18" i="33"/>
  <c r="E18" i="33"/>
  <c r="D18" i="33"/>
  <c r="K17" i="33"/>
  <c r="J17" i="33"/>
  <c r="H17" i="33"/>
  <c r="G17" i="33"/>
  <c r="E17" i="33"/>
  <c r="D17" i="33"/>
  <c r="K16" i="33"/>
  <c r="J16" i="33"/>
  <c r="H16" i="33"/>
  <c r="G16" i="33"/>
  <c r="E16" i="33"/>
  <c r="D16" i="33"/>
  <c r="K15" i="33"/>
  <c r="J15" i="33"/>
  <c r="H15" i="33"/>
  <c r="G15" i="33"/>
  <c r="E15" i="33"/>
  <c r="D15" i="33"/>
  <c r="K14" i="33"/>
  <c r="J14" i="33"/>
  <c r="H14" i="33"/>
  <c r="G14" i="33"/>
  <c r="E14" i="33"/>
  <c r="D14" i="33"/>
  <c r="K13" i="33"/>
  <c r="J13" i="33"/>
  <c r="H13" i="33"/>
  <c r="G13" i="33"/>
  <c r="E13" i="33"/>
  <c r="D13" i="33"/>
  <c r="K12" i="33"/>
  <c r="J12" i="33"/>
  <c r="H12" i="33"/>
  <c r="G12" i="33"/>
  <c r="E12" i="33"/>
  <c r="D12" i="33"/>
  <c r="K11" i="33"/>
  <c r="J11" i="33"/>
  <c r="H11" i="33"/>
  <c r="G11" i="33"/>
  <c r="E11" i="33"/>
  <c r="D11" i="33"/>
  <c r="K10" i="33"/>
  <c r="J10" i="33"/>
  <c r="H10" i="33"/>
  <c r="G10" i="33"/>
  <c r="E10" i="33"/>
  <c r="D10" i="33"/>
  <c r="K9" i="33"/>
  <c r="J9" i="33"/>
  <c r="H9" i="33"/>
  <c r="G9" i="33"/>
  <c r="E9" i="33"/>
  <c r="D9" i="33"/>
  <c r="K8" i="33"/>
  <c r="J8" i="33"/>
  <c r="H8" i="33"/>
  <c r="G8" i="33"/>
  <c r="E8" i="33"/>
  <c r="D8" i="33"/>
  <c r="K7" i="33"/>
  <c r="J7" i="33"/>
  <c r="H7" i="33"/>
  <c r="G7" i="33"/>
  <c r="E7" i="33"/>
  <c r="D7" i="33"/>
  <c r="K6" i="33"/>
  <c r="J6" i="33"/>
  <c r="H6" i="33"/>
  <c r="E6" i="33"/>
  <c r="D6" i="33"/>
  <c r="K5" i="33"/>
  <c r="J5" i="33"/>
  <c r="H5" i="33"/>
  <c r="G5" i="33"/>
  <c r="E5" i="33"/>
  <c r="D5" i="33"/>
  <c r="K4" i="33"/>
  <c r="J4" i="33"/>
  <c r="H4" i="33"/>
  <c r="G4" i="33"/>
  <c r="E4" i="33"/>
  <c r="E29" i="33" s="1"/>
  <c r="D4" i="33"/>
  <c r="D29" i="33" s="1"/>
  <c r="A1" i="33" a="1"/>
  <c r="A1" i="33" s="1"/>
  <c r="J11" i="32"/>
  <c r="G5" i="32"/>
  <c r="D13" i="32"/>
  <c r="K28" i="32"/>
  <c r="J28" i="32"/>
  <c r="H28" i="32"/>
  <c r="G28" i="32"/>
  <c r="E28" i="32"/>
  <c r="D28" i="32"/>
  <c r="K27" i="32"/>
  <c r="J27" i="32"/>
  <c r="H27" i="32"/>
  <c r="G27" i="32"/>
  <c r="E27" i="32"/>
  <c r="D27" i="32"/>
  <c r="K26" i="32"/>
  <c r="J26" i="32"/>
  <c r="H26" i="32"/>
  <c r="G26" i="32"/>
  <c r="E26" i="32"/>
  <c r="D26" i="32"/>
  <c r="K25" i="32"/>
  <c r="J25" i="32"/>
  <c r="H25" i="32"/>
  <c r="G25" i="32"/>
  <c r="E25" i="32"/>
  <c r="D25" i="32"/>
  <c r="K24" i="32"/>
  <c r="J24" i="32"/>
  <c r="H24" i="32"/>
  <c r="G24" i="32"/>
  <c r="E24" i="32"/>
  <c r="D24" i="32"/>
  <c r="K23" i="32"/>
  <c r="J23" i="32"/>
  <c r="H23" i="32"/>
  <c r="G23" i="32"/>
  <c r="E23" i="32"/>
  <c r="D23" i="32"/>
  <c r="K22" i="32"/>
  <c r="J22" i="32"/>
  <c r="H22" i="32"/>
  <c r="G22" i="32"/>
  <c r="E22" i="32"/>
  <c r="D22" i="32"/>
  <c r="K21" i="32"/>
  <c r="J21" i="32"/>
  <c r="H21" i="32"/>
  <c r="G21" i="32"/>
  <c r="E21" i="32"/>
  <c r="D21" i="32"/>
  <c r="K20" i="32"/>
  <c r="J20" i="32"/>
  <c r="H20" i="32"/>
  <c r="G20" i="32"/>
  <c r="E20" i="32"/>
  <c r="D20" i="32"/>
  <c r="K19" i="32"/>
  <c r="J19" i="32"/>
  <c r="H19" i="32"/>
  <c r="G19" i="32"/>
  <c r="E19" i="32"/>
  <c r="D19" i="32"/>
  <c r="K18" i="32"/>
  <c r="J18" i="32"/>
  <c r="H18" i="32"/>
  <c r="G18" i="32"/>
  <c r="E18" i="32"/>
  <c r="D18" i="32"/>
  <c r="K17" i="32"/>
  <c r="J17" i="32"/>
  <c r="H17" i="32"/>
  <c r="E17" i="32"/>
  <c r="D17" i="32"/>
  <c r="K16" i="32"/>
  <c r="J16" i="32"/>
  <c r="H16" i="32"/>
  <c r="E16" i="32"/>
  <c r="D16" i="32"/>
  <c r="K15" i="32"/>
  <c r="J15" i="32"/>
  <c r="H15" i="32"/>
  <c r="G15" i="32"/>
  <c r="E15" i="32"/>
  <c r="D15" i="32"/>
  <c r="K14" i="32"/>
  <c r="J14" i="32"/>
  <c r="H14" i="32"/>
  <c r="G14" i="32"/>
  <c r="E14" i="32"/>
  <c r="D14" i="32"/>
  <c r="K13" i="32"/>
  <c r="J13" i="32"/>
  <c r="H13" i="32"/>
  <c r="G13" i="32"/>
  <c r="E13" i="32"/>
  <c r="K12" i="32"/>
  <c r="J12" i="32"/>
  <c r="H12" i="32"/>
  <c r="G12" i="32"/>
  <c r="E12" i="32"/>
  <c r="D12" i="32"/>
  <c r="K11" i="32"/>
  <c r="H11" i="32"/>
  <c r="E11" i="32"/>
  <c r="D11" i="32"/>
  <c r="K10" i="32"/>
  <c r="J10" i="32"/>
  <c r="H10" i="32"/>
  <c r="G10" i="32"/>
  <c r="E10" i="32"/>
  <c r="D10" i="32"/>
  <c r="K9" i="32"/>
  <c r="J9" i="32"/>
  <c r="H9" i="32"/>
  <c r="G9" i="32"/>
  <c r="E9" i="32"/>
  <c r="D9" i="32"/>
  <c r="K8" i="32"/>
  <c r="J8" i="32"/>
  <c r="H8" i="32"/>
  <c r="G8" i="32"/>
  <c r="E8" i="32"/>
  <c r="D8" i="32"/>
  <c r="K7" i="32"/>
  <c r="J7" i="32"/>
  <c r="H7" i="32"/>
  <c r="G7" i="32"/>
  <c r="E7" i="32"/>
  <c r="D7" i="32"/>
  <c r="K6" i="32"/>
  <c r="J6" i="32"/>
  <c r="H6" i="32"/>
  <c r="G6" i="32"/>
  <c r="E6" i="32"/>
  <c r="D6" i="32"/>
  <c r="K5" i="32"/>
  <c r="J5" i="32"/>
  <c r="H5" i="32"/>
  <c r="E5" i="32"/>
  <c r="D5" i="32"/>
  <c r="K4" i="32"/>
  <c r="J4" i="32"/>
  <c r="H4" i="32"/>
  <c r="G4" i="32"/>
  <c r="E4" i="32"/>
  <c r="D4" i="32"/>
  <c r="A1" i="32" a="1"/>
  <c r="A1" i="32" s="1"/>
  <c r="D13" i="31"/>
  <c r="G6" i="31"/>
  <c r="G4" i="31"/>
  <c r="D12" i="31"/>
  <c r="J10" i="31"/>
  <c r="K9" i="31"/>
  <c r="J7" i="31"/>
  <c r="H5" i="31"/>
  <c r="H4" i="31"/>
  <c r="J4" i="31" s="1"/>
  <c r="E10" i="31"/>
  <c r="D9" i="31"/>
  <c r="E7" i="31"/>
  <c r="E6" i="31"/>
  <c r="H6" i="31" s="1"/>
  <c r="K28" i="31"/>
  <c r="J28" i="31"/>
  <c r="H28" i="31"/>
  <c r="G28" i="31"/>
  <c r="E28" i="31"/>
  <c r="D28" i="31"/>
  <c r="K27" i="31"/>
  <c r="J27" i="31"/>
  <c r="H27" i="31"/>
  <c r="G27" i="31"/>
  <c r="E27" i="31"/>
  <c r="D27" i="31"/>
  <c r="K26" i="31"/>
  <c r="J26" i="31"/>
  <c r="H26" i="31"/>
  <c r="G26" i="31"/>
  <c r="E26" i="31"/>
  <c r="D26" i="31"/>
  <c r="K25" i="31"/>
  <c r="J25" i="31"/>
  <c r="H25" i="31"/>
  <c r="G25" i="31"/>
  <c r="E25" i="31"/>
  <c r="D25" i="31"/>
  <c r="K24" i="31"/>
  <c r="J24" i="31"/>
  <c r="H24" i="31"/>
  <c r="G24" i="31"/>
  <c r="E24" i="31"/>
  <c r="D24" i="31"/>
  <c r="K23" i="31"/>
  <c r="J23" i="31"/>
  <c r="H23" i="31"/>
  <c r="E23" i="31"/>
  <c r="D23" i="31"/>
  <c r="K22" i="31"/>
  <c r="J22" i="31"/>
  <c r="H22" i="31"/>
  <c r="G22" i="31"/>
  <c r="E22" i="31"/>
  <c r="D22" i="31"/>
  <c r="K21" i="31"/>
  <c r="J21" i="31"/>
  <c r="H21" i="31"/>
  <c r="G21" i="31"/>
  <c r="E21" i="31"/>
  <c r="D21" i="31"/>
  <c r="K20" i="31"/>
  <c r="J20" i="31"/>
  <c r="H20" i="31"/>
  <c r="G20" i="31"/>
  <c r="E20" i="31"/>
  <c r="D20" i="31"/>
  <c r="K19" i="31"/>
  <c r="J19" i="31"/>
  <c r="H19" i="31"/>
  <c r="G19" i="31"/>
  <c r="E19" i="31"/>
  <c r="D19" i="31"/>
  <c r="K18" i="31"/>
  <c r="J18" i="31"/>
  <c r="H18" i="31"/>
  <c r="G18" i="31"/>
  <c r="E18" i="31"/>
  <c r="D18" i="31"/>
  <c r="K17" i="31"/>
  <c r="J17" i="31"/>
  <c r="H17" i="31"/>
  <c r="G17" i="31"/>
  <c r="E17" i="31"/>
  <c r="D17" i="31"/>
  <c r="K16" i="31"/>
  <c r="J16" i="31"/>
  <c r="H16" i="31"/>
  <c r="G16" i="31"/>
  <c r="E16" i="31"/>
  <c r="D16" i="31"/>
  <c r="K15" i="31"/>
  <c r="J15" i="31"/>
  <c r="H15" i="31"/>
  <c r="G15" i="31"/>
  <c r="E15" i="31"/>
  <c r="D15" i="31"/>
  <c r="K14" i="31"/>
  <c r="J14" i="31"/>
  <c r="H14" i="31"/>
  <c r="G14" i="31"/>
  <c r="E14" i="31"/>
  <c r="D14" i="31"/>
  <c r="K13" i="31"/>
  <c r="J13" i="31"/>
  <c r="H13" i="31"/>
  <c r="G13" i="31"/>
  <c r="E13" i="31"/>
  <c r="K12" i="31"/>
  <c r="J12" i="31"/>
  <c r="H12" i="31"/>
  <c r="G12" i="31"/>
  <c r="E12" i="31"/>
  <c r="K11" i="31"/>
  <c r="H11" i="31"/>
  <c r="G11" i="31"/>
  <c r="E11" i="31"/>
  <c r="D11" i="31"/>
  <c r="H10" i="31"/>
  <c r="G10" i="31"/>
  <c r="D10" i="31"/>
  <c r="H9" i="31"/>
  <c r="G9" i="31"/>
  <c r="E9" i="31"/>
  <c r="K8" i="31"/>
  <c r="J8" i="31"/>
  <c r="H8" i="31"/>
  <c r="G8" i="31"/>
  <c r="E8" i="31"/>
  <c r="D8" i="31"/>
  <c r="K7" i="31"/>
  <c r="H7" i="31"/>
  <c r="G7" i="31"/>
  <c r="D7" i="31"/>
  <c r="E5" i="31"/>
  <c r="D5" i="31"/>
  <c r="E4" i="31"/>
  <c r="D4" i="31"/>
  <c r="A1" i="31" a="1"/>
  <c r="A1" i="31" s="1"/>
  <c r="D12" i="30"/>
  <c r="J5" i="30"/>
  <c r="K28" i="30"/>
  <c r="J28" i="30"/>
  <c r="H28" i="30"/>
  <c r="G28" i="30"/>
  <c r="E28" i="30"/>
  <c r="D28" i="30"/>
  <c r="K27" i="30"/>
  <c r="J27" i="30"/>
  <c r="H27" i="30"/>
  <c r="G27" i="30"/>
  <c r="E27" i="30"/>
  <c r="D27" i="30"/>
  <c r="K26" i="30"/>
  <c r="J26" i="30"/>
  <c r="H26" i="30"/>
  <c r="G26" i="30"/>
  <c r="E26" i="30"/>
  <c r="D26" i="30"/>
  <c r="K25" i="30"/>
  <c r="J25" i="30"/>
  <c r="H25" i="30"/>
  <c r="G25" i="30"/>
  <c r="E25" i="30"/>
  <c r="D25" i="30"/>
  <c r="K24" i="30"/>
  <c r="J24" i="30"/>
  <c r="H24" i="30"/>
  <c r="G24" i="30"/>
  <c r="E24" i="30"/>
  <c r="D24" i="30"/>
  <c r="K23" i="30"/>
  <c r="J23" i="30"/>
  <c r="H23" i="30"/>
  <c r="G23" i="30"/>
  <c r="E23" i="30"/>
  <c r="D23" i="30"/>
  <c r="K22" i="30"/>
  <c r="J22" i="30"/>
  <c r="H22" i="30"/>
  <c r="G22" i="30"/>
  <c r="E22" i="30"/>
  <c r="D22" i="30"/>
  <c r="K21" i="30"/>
  <c r="J21" i="30"/>
  <c r="H21" i="30"/>
  <c r="G21" i="30"/>
  <c r="E21" i="30"/>
  <c r="D21" i="30"/>
  <c r="K20" i="30"/>
  <c r="J20" i="30"/>
  <c r="H20" i="30"/>
  <c r="G20" i="30"/>
  <c r="E20" i="30"/>
  <c r="D20" i="30"/>
  <c r="K19" i="30"/>
  <c r="J19" i="30"/>
  <c r="H19" i="30"/>
  <c r="G19" i="30"/>
  <c r="E19" i="30"/>
  <c r="D19" i="30"/>
  <c r="K18" i="30"/>
  <c r="J18" i="30"/>
  <c r="H18" i="30"/>
  <c r="G18" i="30"/>
  <c r="E18" i="30"/>
  <c r="D18" i="30"/>
  <c r="K17" i="30"/>
  <c r="J17" i="30"/>
  <c r="H17" i="30"/>
  <c r="G17" i="30"/>
  <c r="E17" i="30"/>
  <c r="D17" i="30"/>
  <c r="K16" i="30"/>
  <c r="J16" i="30"/>
  <c r="H16" i="30"/>
  <c r="G16" i="30"/>
  <c r="E16" i="30"/>
  <c r="D16" i="30"/>
  <c r="K15" i="30"/>
  <c r="J15" i="30"/>
  <c r="H15" i="30"/>
  <c r="G15" i="30"/>
  <c r="E15" i="30"/>
  <c r="D15" i="30"/>
  <c r="K14" i="30"/>
  <c r="J14" i="30"/>
  <c r="H14" i="30"/>
  <c r="G14" i="30"/>
  <c r="E14" i="30"/>
  <c r="D14" i="30"/>
  <c r="K13" i="30"/>
  <c r="J13" i="30"/>
  <c r="H13" i="30"/>
  <c r="G13" i="30"/>
  <c r="E13" i="30"/>
  <c r="D13" i="30"/>
  <c r="K12" i="30"/>
  <c r="J12" i="30"/>
  <c r="H12" i="30"/>
  <c r="G12" i="30"/>
  <c r="E12" i="30"/>
  <c r="K11" i="30"/>
  <c r="J11" i="30"/>
  <c r="H11" i="30"/>
  <c r="G11" i="30"/>
  <c r="E11" i="30"/>
  <c r="D11" i="30"/>
  <c r="K10" i="30"/>
  <c r="J10" i="30"/>
  <c r="H10" i="30"/>
  <c r="G10" i="30"/>
  <c r="E10" i="30"/>
  <c r="D10" i="30"/>
  <c r="K9" i="30"/>
  <c r="J9" i="30"/>
  <c r="H9" i="30"/>
  <c r="G9" i="30"/>
  <c r="E9" i="30"/>
  <c r="D9" i="30"/>
  <c r="K8" i="30"/>
  <c r="J8" i="30"/>
  <c r="H8" i="30"/>
  <c r="E8" i="30"/>
  <c r="D8" i="30"/>
  <c r="K7" i="30"/>
  <c r="J7" i="30"/>
  <c r="H7" i="30"/>
  <c r="G7" i="30"/>
  <c r="E7" i="30"/>
  <c r="D7" i="30"/>
  <c r="K6" i="30"/>
  <c r="J6" i="30"/>
  <c r="H6" i="30"/>
  <c r="G6" i="30"/>
  <c r="E6" i="30"/>
  <c r="D6" i="30"/>
  <c r="K5" i="30"/>
  <c r="H5" i="30"/>
  <c r="G5" i="30"/>
  <c r="E5" i="30"/>
  <c r="D5" i="30"/>
  <c r="K4" i="30"/>
  <c r="J4" i="30"/>
  <c r="H4" i="30"/>
  <c r="G4" i="30"/>
  <c r="E4" i="30"/>
  <c r="D4" i="30"/>
  <c r="A1" i="30" a="1"/>
  <c r="A1" i="30" s="1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4" i="29"/>
  <c r="A1" i="29" a="1"/>
  <c r="A1" i="29" s="1"/>
  <c r="A1" i="20" a="1"/>
  <c r="A1" i="20" s="1"/>
  <c r="A1" i="27" a="1"/>
  <c r="A1" i="27" s="1"/>
  <c r="A1" i="28" a="1"/>
  <c r="A1" i="28" s="1"/>
  <c r="K28" i="29"/>
  <c r="H28" i="29"/>
  <c r="E28" i="29"/>
  <c r="K27" i="29"/>
  <c r="H27" i="29"/>
  <c r="E27" i="29"/>
  <c r="K26" i="29"/>
  <c r="H26" i="29"/>
  <c r="E26" i="29"/>
  <c r="K25" i="29"/>
  <c r="H25" i="29"/>
  <c r="E25" i="29"/>
  <c r="K24" i="29"/>
  <c r="H24" i="29"/>
  <c r="E24" i="29"/>
  <c r="K23" i="29"/>
  <c r="H23" i="29"/>
  <c r="E23" i="29"/>
  <c r="K22" i="29"/>
  <c r="H22" i="29"/>
  <c r="E22" i="29"/>
  <c r="K21" i="29"/>
  <c r="H21" i="29"/>
  <c r="E21" i="29"/>
  <c r="K20" i="29"/>
  <c r="H20" i="29"/>
  <c r="E20" i="29"/>
  <c r="K19" i="29"/>
  <c r="H19" i="29"/>
  <c r="E19" i="29"/>
  <c r="K18" i="29"/>
  <c r="H18" i="29"/>
  <c r="E18" i="29"/>
  <c r="K17" i="29"/>
  <c r="H17" i="29"/>
  <c r="E17" i="29"/>
  <c r="K16" i="29"/>
  <c r="H16" i="29"/>
  <c r="E16" i="29"/>
  <c r="K15" i="29"/>
  <c r="H15" i="29"/>
  <c r="E15" i="29"/>
  <c r="K14" i="29"/>
  <c r="H14" i="29"/>
  <c r="E14" i="29"/>
  <c r="K13" i="29"/>
  <c r="H13" i="29"/>
  <c r="E13" i="29"/>
  <c r="K12" i="29"/>
  <c r="H12" i="29"/>
  <c r="E12" i="29"/>
  <c r="K11" i="29"/>
  <c r="H11" i="29"/>
  <c r="E11" i="29"/>
  <c r="K10" i="29"/>
  <c r="H10" i="29"/>
  <c r="E10" i="29"/>
  <c r="K9" i="29"/>
  <c r="H9" i="29"/>
  <c r="E9" i="29"/>
  <c r="K8" i="29"/>
  <c r="H8" i="29"/>
  <c r="E8" i="29"/>
  <c r="K7" i="29"/>
  <c r="H7" i="29"/>
  <c r="E7" i="29"/>
  <c r="K6" i="29"/>
  <c r="H6" i="29"/>
  <c r="E6" i="29"/>
  <c r="K5" i="29"/>
  <c r="H5" i="29"/>
  <c r="E5" i="29"/>
  <c r="K4" i="29"/>
  <c r="H4" i="29"/>
  <c r="E4" i="29"/>
  <c r="K28" i="28"/>
  <c r="J28" i="28"/>
  <c r="H28" i="28"/>
  <c r="G28" i="28"/>
  <c r="E28" i="28"/>
  <c r="D28" i="28"/>
  <c r="K27" i="28"/>
  <c r="J27" i="28"/>
  <c r="H27" i="28"/>
  <c r="G27" i="28"/>
  <c r="E27" i="28"/>
  <c r="D27" i="28"/>
  <c r="K26" i="28"/>
  <c r="J26" i="28"/>
  <c r="H26" i="28"/>
  <c r="G26" i="28"/>
  <c r="E26" i="28"/>
  <c r="D26" i="28"/>
  <c r="K25" i="28"/>
  <c r="J25" i="28"/>
  <c r="H25" i="28"/>
  <c r="G25" i="28"/>
  <c r="E25" i="28"/>
  <c r="D25" i="28"/>
  <c r="K24" i="28"/>
  <c r="J24" i="28"/>
  <c r="H24" i="28"/>
  <c r="G24" i="28"/>
  <c r="E24" i="28"/>
  <c r="D24" i="28"/>
  <c r="K23" i="28"/>
  <c r="J23" i="28"/>
  <c r="H23" i="28"/>
  <c r="G23" i="28"/>
  <c r="E23" i="28"/>
  <c r="D23" i="28"/>
  <c r="K22" i="28"/>
  <c r="J22" i="28"/>
  <c r="H22" i="28"/>
  <c r="G22" i="28"/>
  <c r="E22" i="28"/>
  <c r="D22" i="28"/>
  <c r="K21" i="28"/>
  <c r="J21" i="28"/>
  <c r="H21" i="28"/>
  <c r="G21" i="28"/>
  <c r="E21" i="28"/>
  <c r="D21" i="28"/>
  <c r="K20" i="28"/>
  <c r="J20" i="28"/>
  <c r="H20" i="28"/>
  <c r="G20" i="28"/>
  <c r="E20" i="28"/>
  <c r="D20" i="28"/>
  <c r="K19" i="28"/>
  <c r="J19" i="28"/>
  <c r="H19" i="28"/>
  <c r="G19" i="28"/>
  <c r="E19" i="28"/>
  <c r="D19" i="28"/>
  <c r="K18" i="28"/>
  <c r="J18" i="28"/>
  <c r="H18" i="28"/>
  <c r="G18" i="28"/>
  <c r="E18" i="28"/>
  <c r="D18" i="28"/>
  <c r="K17" i="28"/>
  <c r="J17" i="28"/>
  <c r="H17" i="28"/>
  <c r="G17" i="28"/>
  <c r="E17" i="28"/>
  <c r="D17" i="28"/>
  <c r="K16" i="28"/>
  <c r="J16" i="28"/>
  <c r="H16" i="28"/>
  <c r="G16" i="28"/>
  <c r="E16" i="28"/>
  <c r="D16" i="28"/>
  <c r="K15" i="28"/>
  <c r="J15" i="28"/>
  <c r="H15" i="28"/>
  <c r="G15" i="28"/>
  <c r="E15" i="28"/>
  <c r="D15" i="28"/>
  <c r="K14" i="28"/>
  <c r="J14" i="28"/>
  <c r="H14" i="28"/>
  <c r="G14" i="28"/>
  <c r="E14" i="28"/>
  <c r="D14" i="28"/>
  <c r="K13" i="28"/>
  <c r="J13" i="28"/>
  <c r="H13" i="28"/>
  <c r="G13" i="28"/>
  <c r="E13" i="28"/>
  <c r="D13" i="28"/>
  <c r="K12" i="28"/>
  <c r="J12" i="28"/>
  <c r="H12" i="28"/>
  <c r="G12" i="28"/>
  <c r="E12" i="28"/>
  <c r="D12" i="28"/>
  <c r="K11" i="28"/>
  <c r="J11" i="28"/>
  <c r="H11" i="28"/>
  <c r="G11" i="28"/>
  <c r="E11" i="28"/>
  <c r="D11" i="28"/>
  <c r="K10" i="28"/>
  <c r="J10" i="28"/>
  <c r="H10" i="28"/>
  <c r="G10" i="28"/>
  <c r="E10" i="28"/>
  <c r="D10" i="28"/>
  <c r="K9" i="28"/>
  <c r="J9" i="28"/>
  <c r="H9" i="28"/>
  <c r="G9" i="28"/>
  <c r="E9" i="28"/>
  <c r="D9" i="28"/>
  <c r="K8" i="28"/>
  <c r="J8" i="28"/>
  <c r="H8" i="28"/>
  <c r="G8" i="28"/>
  <c r="E8" i="28"/>
  <c r="D8" i="28"/>
  <c r="K7" i="28"/>
  <c r="J7" i="28"/>
  <c r="H7" i="28"/>
  <c r="G7" i="28"/>
  <c r="E7" i="28"/>
  <c r="D7" i="28"/>
  <c r="K6" i="28"/>
  <c r="J6" i="28"/>
  <c r="H6" i="28"/>
  <c r="G6" i="28"/>
  <c r="E6" i="28"/>
  <c r="D6" i="28"/>
  <c r="K5" i="28"/>
  <c r="J5" i="28"/>
  <c r="H5" i="28"/>
  <c r="G5" i="28"/>
  <c r="E5" i="28"/>
  <c r="D5" i="28"/>
  <c r="K4" i="28"/>
  <c r="J4" i="28"/>
  <c r="H4" i="28"/>
  <c r="H29" i="28" s="1"/>
  <c r="G4" i="28"/>
  <c r="G29" i="28" s="1"/>
  <c r="E4" i="28"/>
  <c r="D4" i="28"/>
  <c r="K28" i="27"/>
  <c r="J28" i="27"/>
  <c r="H28" i="27"/>
  <c r="G28" i="27"/>
  <c r="E28" i="27"/>
  <c r="D28" i="27"/>
  <c r="K27" i="27"/>
  <c r="J27" i="27"/>
  <c r="H27" i="27"/>
  <c r="G27" i="27"/>
  <c r="E27" i="27"/>
  <c r="D27" i="27"/>
  <c r="K26" i="27"/>
  <c r="J26" i="27"/>
  <c r="H26" i="27"/>
  <c r="G26" i="27"/>
  <c r="E26" i="27"/>
  <c r="D26" i="27"/>
  <c r="K25" i="27"/>
  <c r="J25" i="27"/>
  <c r="H25" i="27"/>
  <c r="G25" i="27"/>
  <c r="E25" i="27"/>
  <c r="D25" i="27"/>
  <c r="K24" i="27"/>
  <c r="J24" i="27"/>
  <c r="H24" i="27"/>
  <c r="G24" i="27"/>
  <c r="E24" i="27"/>
  <c r="D24" i="27"/>
  <c r="K23" i="27"/>
  <c r="J23" i="27"/>
  <c r="H23" i="27"/>
  <c r="G23" i="27"/>
  <c r="E23" i="27"/>
  <c r="D23" i="27"/>
  <c r="K22" i="27"/>
  <c r="J22" i="27"/>
  <c r="H22" i="27"/>
  <c r="G22" i="27"/>
  <c r="E22" i="27"/>
  <c r="D22" i="27"/>
  <c r="K21" i="27"/>
  <c r="J21" i="27"/>
  <c r="H21" i="27"/>
  <c r="G21" i="27"/>
  <c r="E21" i="27"/>
  <c r="D21" i="27"/>
  <c r="K20" i="27"/>
  <c r="J20" i="27"/>
  <c r="H20" i="27"/>
  <c r="G20" i="27"/>
  <c r="E20" i="27"/>
  <c r="D20" i="27"/>
  <c r="K19" i="27"/>
  <c r="J19" i="27"/>
  <c r="H19" i="27"/>
  <c r="G19" i="27"/>
  <c r="E19" i="27"/>
  <c r="D19" i="27"/>
  <c r="K18" i="27"/>
  <c r="J18" i="27"/>
  <c r="H18" i="27"/>
  <c r="G18" i="27"/>
  <c r="E18" i="27"/>
  <c r="D18" i="27"/>
  <c r="K17" i="27"/>
  <c r="J17" i="27"/>
  <c r="H17" i="27"/>
  <c r="G17" i="27"/>
  <c r="E17" i="27"/>
  <c r="D17" i="27"/>
  <c r="K16" i="27"/>
  <c r="J16" i="27"/>
  <c r="H16" i="27"/>
  <c r="G16" i="27"/>
  <c r="E16" i="27"/>
  <c r="D16" i="27"/>
  <c r="K15" i="27"/>
  <c r="J15" i="27"/>
  <c r="H15" i="27"/>
  <c r="G15" i="27"/>
  <c r="E15" i="27"/>
  <c r="D15" i="27"/>
  <c r="K14" i="27"/>
  <c r="J14" i="27"/>
  <c r="H14" i="27"/>
  <c r="G14" i="27"/>
  <c r="E14" i="27"/>
  <c r="D14" i="27"/>
  <c r="K13" i="27"/>
  <c r="J13" i="27"/>
  <c r="H13" i="27"/>
  <c r="G13" i="27"/>
  <c r="E13" i="27"/>
  <c r="D13" i="27"/>
  <c r="K12" i="27"/>
  <c r="J12" i="27"/>
  <c r="H12" i="27"/>
  <c r="G12" i="27"/>
  <c r="E12" i="27"/>
  <c r="D12" i="27"/>
  <c r="K11" i="27"/>
  <c r="J11" i="27"/>
  <c r="H11" i="27"/>
  <c r="G11" i="27"/>
  <c r="E11" i="27"/>
  <c r="D11" i="27"/>
  <c r="K10" i="27"/>
  <c r="J10" i="27"/>
  <c r="H10" i="27"/>
  <c r="G10" i="27"/>
  <c r="E10" i="27"/>
  <c r="D10" i="27"/>
  <c r="K9" i="27"/>
  <c r="J9" i="27"/>
  <c r="H9" i="27"/>
  <c r="G9" i="27"/>
  <c r="E9" i="27"/>
  <c r="D9" i="27"/>
  <c r="K8" i="27"/>
  <c r="J8" i="27"/>
  <c r="H8" i="27"/>
  <c r="G8" i="27"/>
  <c r="E8" i="27"/>
  <c r="D8" i="27"/>
  <c r="K7" i="27"/>
  <c r="J7" i="27"/>
  <c r="H7" i="27"/>
  <c r="G7" i="27"/>
  <c r="E7" i="27"/>
  <c r="D7" i="27"/>
  <c r="K6" i="27"/>
  <c r="J6" i="27"/>
  <c r="H6" i="27"/>
  <c r="G6" i="27"/>
  <c r="E6" i="27"/>
  <c r="D6" i="27"/>
  <c r="K5" i="27"/>
  <c r="J5" i="27"/>
  <c r="H5" i="27"/>
  <c r="G5" i="27"/>
  <c r="E5" i="27"/>
  <c r="D5" i="27"/>
  <c r="K4" i="27"/>
  <c r="J4" i="27"/>
  <c r="H4" i="27"/>
  <c r="G4" i="27"/>
  <c r="E4" i="27"/>
  <c r="D4" i="27"/>
  <c r="A3" i="20"/>
  <c r="D29" i="19"/>
  <c r="J29" i="36" l="1"/>
  <c r="K29" i="36"/>
  <c r="K29" i="35"/>
  <c r="J29" i="35"/>
  <c r="K29" i="34"/>
  <c r="H29" i="37"/>
  <c r="J29" i="41"/>
  <c r="K29" i="41"/>
  <c r="J29" i="40"/>
  <c r="K29" i="40"/>
  <c r="J29" i="39"/>
  <c r="K29" i="39"/>
  <c r="J29" i="38"/>
  <c r="A5" i="38" s="1"/>
  <c r="K29" i="38"/>
  <c r="J29" i="34"/>
  <c r="G29" i="41"/>
  <c r="A5" i="41" s="1"/>
  <c r="H29" i="41"/>
  <c r="G29" i="40"/>
  <c r="H29" i="40"/>
  <c r="G29" i="39"/>
  <c r="A5" i="39" s="1"/>
  <c r="H29" i="39"/>
  <c r="G29" i="38"/>
  <c r="G29" i="37"/>
  <c r="A5" i="37" s="1"/>
  <c r="G29" i="36"/>
  <c r="H29" i="36"/>
  <c r="G29" i="35"/>
  <c r="H29" i="35"/>
  <c r="G29" i="34"/>
  <c r="H29" i="34"/>
  <c r="J29" i="33"/>
  <c r="K29" i="33"/>
  <c r="G29" i="33"/>
  <c r="H29" i="33"/>
  <c r="J29" i="32"/>
  <c r="K29" i="32"/>
  <c r="G29" i="32"/>
  <c r="H29" i="32"/>
  <c r="D29" i="32"/>
  <c r="E29" i="32"/>
  <c r="K6" i="31"/>
  <c r="J6" i="31"/>
  <c r="J5" i="31"/>
  <c r="K5" i="31"/>
  <c r="K10" i="31"/>
  <c r="K4" i="31"/>
  <c r="J9" i="31"/>
  <c r="H29" i="31"/>
  <c r="E29" i="31"/>
  <c r="D6" i="31"/>
  <c r="D29" i="31" s="1"/>
  <c r="J29" i="30"/>
  <c r="K29" i="30"/>
  <c r="G29" i="30"/>
  <c r="H29" i="30"/>
  <c r="D29" i="30"/>
  <c r="E29" i="30"/>
  <c r="G29" i="29"/>
  <c r="H29" i="29"/>
  <c r="J29" i="29"/>
  <c r="K29" i="29"/>
  <c r="D29" i="29"/>
  <c r="E29" i="29"/>
  <c r="J29" i="28"/>
  <c r="K29" i="28"/>
  <c r="D29" i="28"/>
  <c r="A5" i="28" s="1"/>
  <c r="E29" i="28"/>
  <c r="J29" i="27"/>
  <c r="K29" i="27"/>
  <c r="G29" i="27"/>
  <c r="H29" i="27"/>
  <c r="D29" i="27"/>
  <c r="A5" i="27" s="1"/>
  <c r="E29" i="27"/>
  <c r="H29" i="20"/>
  <c r="G30" i="20" s="1"/>
  <c r="G1" i="27" s="1"/>
  <c r="D30" i="20"/>
  <c r="D1" i="27" s="1"/>
  <c r="K29" i="20"/>
  <c r="J30" i="20" s="1"/>
  <c r="J1" i="27" s="1"/>
  <c r="J29" i="20"/>
  <c r="A5" i="34" l="1"/>
  <c r="A5" i="36"/>
  <c r="A5" i="35"/>
  <c r="G30" i="27"/>
  <c r="G1" i="28" s="1"/>
  <c r="G30" i="28" s="1"/>
  <c r="G1" i="29" s="1"/>
  <c r="G30" i="29" s="1"/>
  <c r="A5" i="40"/>
  <c r="A5" i="33"/>
  <c r="A5" i="32"/>
  <c r="D30" i="27"/>
  <c r="D1" i="28" s="1"/>
  <c r="D30" i="28" s="1"/>
  <c r="D1" i="29" s="1"/>
  <c r="D30" i="29" s="1"/>
  <c r="J30" i="27"/>
  <c r="J1" i="28" s="1"/>
  <c r="J30" i="28" s="1"/>
  <c r="J1" i="29" s="1"/>
  <c r="J30" i="29" s="1"/>
  <c r="J29" i="31"/>
  <c r="G29" i="31"/>
  <c r="K29" i="31"/>
  <c r="A5" i="30"/>
  <c r="A5" i="29"/>
  <c r="G1" i="30" a="1"/>
  <c r="D1" i="30" a="1"/>
  <c r="J1" i="30" a="1"/>
  <c r="G1" i="30" l="1"/>
  <c r="G30" i="30" s="1"/>
  <c r="D1" i="30"/>
  <c r="D30" i="30" s="1"/>
  <c r="J1" i="30"/>
  <c r="J30" i="30" s="1"/>
  <c r="A5" i="31"/>
  <c r="J1" i="31" a="1"/>
  <c r="D1" i="31" a="1"/>
  <c r="G1" i="31" a="1"/>
  <c r="G1" i="31" l="1"/>
  <c r="G30" i="31" s="1"/>
  <c r="D1" i="31"/>
  <c r="D30" i="31" s="1"/>
  <c r="J1" i="31"/>
  <c r="J30" i="31" s="1"/>
  <c r="G1" i="32" a="1"/>
  <c r="J1" i="32" a="1"/>
  <c r="D1" i="32" a="1"/>
  <c r="G1" i="32" l="1"/>
  <c r="G30" i="32" s="1"/>
  <c r="J1" i="32"/>
  <c r="J30" i="32" s="1"/>
  <c r="D1" i="32"/>
  <c r="D30" i="32" s="1"/>
  <c r="D1" i="34" a="1"/>
  <c r="G1" i="34" a="1"/>
  <c r="J1" i="34" a="1"/>
  <c r="G1" i="34" l="1"/>
  <c r="G30" i="34" s="1"/>
  <c r="J1" i="34"/>
  <c r="J30" i="34" s="1"/>
  <c r="D1" i="34"/>
  <c r="D30" i="34" s="1"/>
  <c r="J1" i="33" a="1"/>
  <c r="G1" i="33" a="1"/>
  <c r="D1" i="33" a="1"/>
  <c r="D1" i="33" l="1"/>
  <c r="D30" i="33" s="1"/>
  <c r="J1" i="33"/>
  <c r="J30" i="33" s="1"/>
  <c r="G1" i="33"/>
  <c r="G30" i="33" s="1"/>
  <c r="D1" i="35" a="1"/>
  <c r="G1" i="35" a="1"/>
  <c r="J1" i="35" a="1"/>
  <c r="G1" i="35" l="1"/>
  <c r="G30" i="35" s="1"/>
  <c r="J1" i="35"/>
  <c r="J30" i="35" s="1"/>
  <c r="D1" i="35"/>
  <c r="D30" i="35" s="1"/>
  <c r="G1" i="36" a="1"/>
  <c r="D1" i="36" a="1"/>
  <c r="J1" i="36" a="1"/>
  <c r="D1" i="36" l="1"/>
  <c r="D30" i="36" s="1"/>
  <c r="J1" i="36"/>
  <c r="J30" i="36" s="1"/>
  <c r="G1" i="36"/>
  <c r="G30" i="36" s="1"/>
  <c r="D1" i="37" a="1"/>
  <c r="G1" i="37" a="1"/>
  <c r="J1" i="37" a="1"/>
  <c r="G1" i="37" l="1"/>
  <c r="G30" i="37" s="1"/>
  <c r="J1" i="37"/>
  <c r="J30" i="37" s="1"/>
  <c r="D1" i="37"/>
  <c r="D30" i="37" s="1"/>
  <c r="J1" i="38" a="1"/>
  <c r="D1" i="38" a="1"/>
  <c r="G1" i="38" a="1"/>
  <c r="D1" i="38" l="1"/>
  <c r="D30" i="38" s="1"/>
  <c r="J1" i="38"/>
  <c r="J30" i="38" s="1"/>
  <c r="G1" i="38"/>
  <c r="G30" i="38" s="1"/>
  <c r="D1" i="39" a="1"/>
  <c r="G1" i="39" a="1"/>
  <c r="J1" i="39" a="1"/>
  <c r="G1" i="39" l="1"/>
  <c r="G30" i="39" s="1"/>
  <c r="J1" i="39"/>
  <c r="J30" i="39" s="1"/>
  <c r="D1" i="39"/>
  <c r="D30" i="39" s="1"/>
  <c r="G1" i="40" a="1"/>
  <c r="J1" i="40" a="1"/>
  <c r="D1" i="40" a="1"/>
  <c r="D1" i="40" l="1"/>
  <c r="D30" i="40" s="1"/>
  <c r="J1" i="40"/>
  <c r="J30" i="40" s="1"/>
  <c r="G1" i="40"/>
  <c r="G30" i="40" s="1"/>
  <c r="G29" i="20"/>
  <c r="D29" i="20"/>
  <c r="G29" i="19"/>
  <c r="J29" i="19"/>
  <c r="J1" i="41" a="1"/>
  <c r="G1" i="41" a="1"/>
  <c r="D1" i="41" a="1"/>
  <c r="G1" i="41" l="1"/>
  <c r="G30" i="41" s="1"/>
  <c r="J1" i="41"/>
  <c r="J30" i="41" s="1"/>
  <c r="D1" i="41"/>
  <c r="D30" i="41" s="1"/>
  <c r="A5" i="19"/>
  <c r="A7" i="19" s="1"/>
  <c r="A5" i="20"/>
  <c r="AL8" i="12"/>
  <c r="AM8" i="12"/>
  <c r="AN8" i="12"/>
  <c r="A7" i="20" l="1"/>
  <c r="A3" i="27" s="1"/>
  <c r="A7" i="27" s="1"/>
  <c r="A3" i="28" s="1"/>
  <c r="A7" i="28" s="1"/>
  <c r="A3" i="29" s="1"/>
  <c r="A7" i="29" s="1"/>
  <c r="AI86" i="12"/>
  <c r="A3" i="30" a="1"/>
  <c r="A3" i="30" l="1"/>
  <c r="A7" i="30" s="1"/>
  <c r="AG4" i="12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3" i="31" a="1"/>
  <c r="A3" i="31" l="1"/>
  <c r="A7" i="31" s="1"/>
  <c r="AS53" i="12"/>
  <c r="AS52" i="12"/>
  <c r="AS51" i="12"/>
  <c r="AS50" i="12"/>
  <c r="AS54" i="12"/>
  <c r="A3" i="32" a="1"/>
  <c r="A3" i="32" l="1"/>
  <c r="A7" i="32" s="1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T54" i="12"/>
  <c r="AR54" i="12"/>
  <c r="AQ54" i="12"/>
  <c r="AG54" i="12"/>
  <c r="AT53" i="12"/>
  <c r="AR53" i="12"/>
  <c r="AQ53" i="12"/>
  <c r="AG53" i="12"/>
  <c r="AT52" i="12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U25" i="12"/>
  <c r="AZ25" i="12" s="1"/>
  <c r="AT25" i="12"/>
  <c r="AY25" i="12" s="1"/>
  <c r="AS25" i="12"/>
  <c r="AX25" i="12" s="1"/>
  <c r="AU24" i="12"/>
  <c r="AZ24" i="12" s="1"/>
  <c r="AT24" i="12"/>
  <c r="AY24" i="12" s="1"/>
  <c r="AS24" i="12"/>
  <c r="AX24" i="12" s="1"/>
  <c r="AU23" i="12"/>
  <c r="AZ23" i="12" s="1"/>
  <c r="AT23" i="12"/>
  <c r="AY23" i="12" s="1"/>
  <c r="AS23" i="12"/>
  <c r="AX23" i="12" s="1"/>
  <c r="AU22" i="12"/>
  <c r="AZ22" i="12" s="1"/>
  <c r="AT22" i="12"/>
  <c r="AY22" i="12" s="1"/>
  <c r="AS22" i="12"/>
  <c r="AX22" i="12" s="1"/>
  <c r="AU21" i="12"/>
  <c r="AZ21" i="12" s="1"/>
  <c r="AT21" i="12"/>
  <c r="AY21" i="12" s="1"/>
  <c r="AS21" i="12"/>
  <c r="AX21" i="12" s="1"/>
  <c r="AU20" i="12"/>
  <c r="AZ20" i="12" s="1"/>
  <c r="AT20" i="12"/>
  <c r="AY20" i="12" s="1"/>
  <c r="AS20" i="12"/>
  <c r="AX20" i="12" s="1"/>
  <c r="AU19" i="12"/>
  <c r="AZ19" i="12" s="1"/>
  <c r="AT19" i="12"/>
  <c r="AY19" i="12" s="1"/>
  <c r="AS19" i="12"/>
  <c r="AX19" i="12" s="1"/>
  <c r="AU18" i="12"/>
  <c r="AZ18" i="12" s="1"/>
  <c r="AT18" i="12"/>
  <c r="AY18" i="12" s="1"/>
  <c r="AS18" i="12"/>
  <c r="AX18" i="12" s="1"/>
  <c r="AU17" i="12"/>
  <c r="AZ17" i="12" s="1"/>
  <c r="AT17" i="12"/>
  <c r="AY17" i="12" s="1"/>
  <c r="AS17" i="12"/>
  <c r="AX17" i="12" s="1"/>
  <c r="AU16" i="12"/>
  <c r="AZ16" i="12" s="1"/>
  <c r="AT16" i="12"/>
  <c r="AY16" i="12" s="1"/>
  <c r="AS16" i="12"/>
  <c r="AX16" i="12" s="1"/>
  <c r="AU15" i="12"/>
  <c r="AZ15" i="12" s="1"/>
  <c r="AT15" i="12"/>
  <c r="AY15" i="12" s="1"/>
  <c r="AS15" i="12"/>
  <c r="AX15" i="12" s="1"/>
  <c r="AU14" i="12"/>
  <c r="AZ14" i="12" s="1"/>
  <c r="AT14" i="12"/>
  <c r="AY14" i="12" s="1"/>
  <c r="AS14" i="12"/>
  <c r="AX14" i="12" s="1"/>
  <c r="AU13" i="12"/>
  <c r="AZ13" i="12" s="1"/>
  <c r="AT13" i="12"/>
  <c r="AY13" i="12" s="1"/>
  <c r="AS13" i="12"/>
  <c r="AX13" i="12" s="1"/>
  <c r="AU12" i="12"/>
  <c r="AZ12" i="12" s="1"/>
  <c r="AT12" i="12"/>
  <c r="AY12" i="12" s="1"/>
  <c r="AS12" i="12"/>
  <c r="AU11" i="12"/>
  <c r="AZ11" i="12" s="1"/>
  <c r="AT11" i="12"/>
  <c r="AY11" i="12" s="1"/>
  <c r="AS11" i="12"/>
  <c r="AX11" i="12" s="1"/>
  <c r="AU10" i="12"/>
  <c r="AT10" i="12"/>
  <c r="AY10" i="12" s="1"/>
  <c r="AS10" i="12"/>
  <c r="AX10" i="12" s="1"/>
  <c r="AU9" i="12"/>
  <c r="AZ9" i="12" s="1"/>
  <c r="AT9" i="12"/>
  <c r="AY9" i="12" s="1"/>
  <c r="AS9" i="12"/>
  <c r="AX9" i="12" s="1"/>
  <c r="AU8" i="12"/>
  <c r="AT8" i="12"/>
  <c r="AY8" i="12" s="1"/>
  <c r="AS8" i="12"/>
  <c r="AX8" i="12" s="1"/>
  <c r="AU7" i="12"/>
  <c r="AZ7" i="12" s="1"/>
  <c r="AT7" i="12"/>
  <c r="AY7" i="12" s="1"/>
  <c r="AS7" i="12"/>
  <c r="AX7" i="12" s="1"/>
  <c r="AU6" i="12"/>
  <c r="AZ6" i="12" s="1"/>
  <c r="AT6" i="12"/>
  <c r="AY6" i="12" s="1"/>
  <c r="AS6" i="12"/>
  <c r="AX6" i="12" s="1"/>
  <c r="AU5" i="12"/>
  <c r="AZ5" i="12" s="1"/>
  <c r="AT5" i="12"/>
  <c r="AY5" i="12" s="1"/>
  <c r="AS5" i="12"/>
  <c r="AX5" i="12" s="1"/>
  <c r="AU4" i="12"/>
  <c r="AZ4" i="12" s="1"/>
  <c r="AT4" i="12"/>
  <c r="AY4" i="12" s="1"/>
  <c r="AS4" i="12"/>
  <c r="AX4" i="12" s="1"/>
  <c r="AN9" i="12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9" i="12"/>
  <c r="AM10" i="12" s="1"/>
  <c r="AM11" i="12" s="1"/>
  <c r="AM12" i="12" s="1"/>
  <c r="AM13" i="12" s="1"/>
  <c r="AM14" i="12" s="1"/>
  <c r="AL9" i="12"/>
  <c r="AL10" i="12" s="1"/>
  <c r="AL11" i="12" s="1"/>
  <c r="AL12" i="12" s="1"/>
  <c r="AJ2" i="12"/>
  <c r="AI2" i="12"/>
  <c r="AH2" i="12"/>
  <c r="AB2" i="12"/>
  <c r="T2" i="12"/>
  <c r="L2" i="12"/>
  <c r="A1" i="12"/>
  <c r="AM15" i="12" l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3" i="12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" i="12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A3" i="34" a="1"/>
  <c r="A3" i="34" l="1"/>
  <c r="A7" i="34" s="1"/>
  <c r="G7" i="12"/>
  <c r="G4" i="12"/>
  <c r="BD11" i="12"/>
  <c r="AZ2" i="12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3" i="33" a="1"/>
  <c r="A3" i="33" l="1"/>
  <c r="A7" i="33" s="1"/>
  <c r="AR35" i="12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3" i="35" a="1"/>
  <c r="A3" i="35" l="1"/>
  <c r="A7" i="35" s="1"/>
  <c r="AR46" i="12"/>
  <c r="AR47" i="12" s="1"/>
  <c r="AX2" i="12" s="1"/>
  <c r="AS46" i="12"/>
  <c r="AS47" i="12" s="1"/>
  <c r="A3" i="36" a="1"/>
  <c r="A3" i="36" l="1"/>
  <c r="A7" i="36" s="1"/>
  <c r="A3" i="37" a="1"/>
  <c r="A3" i="37" l="1"/>
  <c r="A7" i="37" s="1"/>
  <c r="A3" i="38" a="1"/>
  <c r="A3" i="38" l="1"/>
  <c r="A7" i="38" s="1"/>
  <c r="A3" i="39" a="1"/>
  <c r="A3" i="39" l="1"/>
  <c r="A7" i="39" s="1"/>
  <c r="A3" i="40" a="1"/>
  <c r="A3" i="40" l="1"/>
  <c r="A7" i="40" s="1"/>
  <c r="A3" i="41" a="1"/>
  <c r="A3" i="41" l="1"/>
  <c r="A7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<sst xmlns="http://schemas.openxmlformats.org/spreadsheetml/2006/main" count="3822" uniqueCount="128">
  <si>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</si>
  <si>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</si>
  <si>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</si>
  <si>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</si>
  <si>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</si>
  <si>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</si>
  <si>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</si>
  <si>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</si>
  <si>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</si>
  <si>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</si>
  <si>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</si>
  <si>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</si>
  <si>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</si>
  <si>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</si>
  <si>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</si>
  <si>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</si>
  <si>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</si>
  <si>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</si>
  <si>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</si>
  <si>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</si>
  <si>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</si>
  <si>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</si>
  <si>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</si>
  <si>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</si>
  <si>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</si>
  <si>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</si>
  <si>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</si>
  <si>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</si>
  <si>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</si>
  <si>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</si>
  <si>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</si>
  <si>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</si>
  <si>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</si>
  <si>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</si>
  <si>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</si>
  <si>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</si>
  <si>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</si>
  <si>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</si>
  <si>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</si>
  <si>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</si>
  <si>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</si>
  <si>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</si>
  <si>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</si>
  <si>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</si>
  <si>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</si>
  <si>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</si>
  <si>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</si>
  <si>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</si>
  <si>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</si>
  <si>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</si>
  <si>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</si>
  <si>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</si>
  <si>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</si>
  <si>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</si>
  <si>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</si>
  <si>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</si>
  <si>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</si>
  <si>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</si>
  <si>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</si>
  <si>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</si>
  <si>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</si>
  <si>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</si>
  <si>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</si>
  <si>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</si>
  <si>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</si>
  <si>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</si>
  <si>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</si>
  <si>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</si>
  <si>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</si>
  <si>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</si>
  <si>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</si>
  <si>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</si>
  <si>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</si>
  <si>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</si>
  <si>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</si>
  <si>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</si>
  <si>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</si>
  <si>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</si>
  <si>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</si>
  <si>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</si>
  <si>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</si>
  <si>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</si>
  <si>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</si>
  <si>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</si>
  <si>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</si>
  <si>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</si>
  <si>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</si>
  <si>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</si>
  <si>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</si>
  <si>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</si>
  <si>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</si>
  <si>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战勋</t>
  </si>
  <si>
    <t>队伍一 风</t>
  </si>
  <si>
    <t>10次行动1.4倍积分</t>
  </si>
  <si>
    <t>5次行动消耗60%粮草</t>
  </si>
  <si>
    <t>8次行动1.4倍积分</t>
  </si>
  <si>
    <t>8次行动不消耗次数</t>
  </si>
  <si>
    <t>10次行动消耗60%粮草</t>
  </si>
  <si>
    <t>营地</t>
    <phoneticPr fontId="16" type="noConversion"/>
  </si>
  <si>
    <t>商人</t>
    <phoneticPr fontId="16" type="noConversion"/>
  </si>
  <si>
    <t>5级</t>
    <phoneticPr fontId="16" type="noConversion"/>
  </si>
  <si>
    <t>1队</t>
    <phoneticPr fontId="16" type="noConversion"/>
  </si>
  <si>
    <t>2队</t>
    <phoneticPr fontId="16" type="noConversion"/>
  </si>
  <si>
    <t>3队</t>
    <phoneticPr fontId="16" type="noConversion"/>
  </si>
  <si>
    <t>操作流</t>
    <phoneticPr fontId="16" type="noConversion"/>
  </si>
  <si>
    <t>粮草</t>
    <phoneticPr fontId="16" type="noConversion"/>
  </si>
  <si>
    <t>特殊</t>
    <phoneticPr fontId="16" type="noConversion"/>
  </si>
  <si>
    <t>跳1</t>
    <phoneticPr fontId="16" type="noConversion"/>
  </si>
  <si>
    <t>商人</t>
    <phoneticPr fontId="16" type="noConversion"/>
  </si>
  <si>
    <t>飞雷神</t>
    <phoneticPr fontId="16" type="noConversion"/>
  </si>
  <si>
    <t>跳6</t>
    <phoneticPr fontId="16" type="noConversion"/>
  </si>
  <si>
    <r>
      <t>跳1</t>
    </r>
    <r>
      <rPr>
        <sz val="11"/>
        <color theme="1"/>
        <rFont val="Calibri"/>
        <family val="3"/>
        <charset val="134"/>
        <scheme val="minor"/>
      </rPr>
      <t>5</t>
    </r>
    <phoneticPr fontId="16" type="noConversion"/>
  </si>
  <si>
    <t>传送1</t>
    <phoneticPr fontId="16" type="noConversion"/>
  </si>
  <si>
    <t>跳4</t>
    <phoneticPr fontId="16" type="noConversion"/>
  </si>
  <si>
    <t>跳2</t>
    <phoneticPr fontId="16" type="noConversion"/>
  </si>
  <si>
    <t>起始行动</t>
    <phoneticPr fontId="16" type="noConversion"/>
  </si>
  <si>
    <t>结束行动</t>
    <phoneticPr fontId="16" type="noConversion"/>
  </si>
  <si>
    <t>起始粮草</t>
  </si>
  <si>
    <t>跳1</t>
  </si>
  <si>
    <t>小计</t>
  </si>
  <si>
    <t>跳2</t>
  </si>
  <si>
    <t>跳6</t>
  </si>
  <si>
    <t>跳19</t>
  </si>
  <si>
    <t>跳17</t>
  </si>
  <si>
    <t>八卦齐</t>
  </si>
  <si>
    <t>跳5</t>
  </si>
  <si>
    <t>跳8</t>
  </si>
  <si>
    <t>跳18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</si>
</sst>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178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4" fillId="0" borderId="0" xfId="0" applyFont="1"/>
    <xf numFmtId="0" fontId="4" fillId="5" borderId="0" xfId="0" applyFont="1" applyFill="1"/>
    <xf numFmtId="0" fontId="5" fillId="6" borderId="0" xfId="0" applyFont="1" applyFill="1"/>
    <xf numFmtId="14" fontId="5" fillId="7" borderId="0" xfId="0" applyNumberFormat="1" applyFont="1" applyFill="1"/>
    <xf numFmtId="0" fontId="5" fillId="8" borderId="0" xfId="1" applyFont="1" applyFill="1"/>
    <xf numFmtId="0" fontId="5" fillId="6" borderId="0" xfId="1" applyFont="1" applyFill="1"/>
    <xf numFmtId="0" fontId="0" fillId="0" borderId="8" xfId="0" applyBorder="1"/>
    <xf numFmtId="0" fontId="6" fillId="10" borderId="8" xfId="0" applyFont="1" applyFill="1" applyBorder="1" applyAlignment="1">
      <alignment vertical="top"/>
    </xf>
    <xf numFmtId="0" fontId="6" fillId="9" borderId="8" xfId="0" applyFont="1" applyFill="1" applyBorder="1" applyAlignment="1">
      <alignment vertical="top"/>
    </xf>
    <xf numFmtId="0" fontId="6" fillId="11" borderId="8" xfId="0" applyFont="1" applyFill="1" applyBorder="1" applyAlignment="1">
      <alignment vertical="top"/>
    </xf>
    <xf numFmtId="0" fontId="7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3" fillId="11" borderId="15" xfId="0" applyFont="1" applyFill="1" applyBorder="1" applyAlignment="1">
      <alignment horizontal="center" wrapText="1"/>
    </xf>
    <xf numFmtId="0" fontId="3" fillId="15" borderId="15" xfId="0" applyFont="1" applyFill="1" applyBorder="1" applyAlignment="1">
      <alignment horizontal="center" wrapText="1"/>
    </xf>
    <xf numFmtId="0" fontId="0" fillId="16" borderId="1" xfId="0" applyFill="1" applyBorder="1"/>
    <xf numFmtId="0" fontId="0" fillId="16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3" fillId="11" borderId="15" xfId="0" applyFont="1" applyFill="1" applyBorder="1" applyAlignment="1">
      <alignment wrapText="1"/>
    </xf>
    <xf numFmtId="0" fontId="3" fillId="9" borderId="18" xfId="0" applyFont="1" applyFill="1" applyBorder="1" applyAlignment="1">
      <alignment wrapText="1"/>
    </xf>
    <xf numFmtId="0" fontId="3" fillId="11" borderId="18" xfId="0" applyFont="1" applyFill="1" applyBorder="1" applyAlignment="1">
      <alignment wrapText="1"/>
    </xf>
    <xf numFmtId="0" fontId="3" fillId="18" borderId="18" xfId="0" applyFont="1" applyFill="1" applyBorder="1" applyAlignment="1">
      <alignment wrapText="1"/>
    </xf>
    <xf numFmtId="0" fontId="3" fillId="9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3" fillId="18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6" borderId="0" xfId="0" applyFill="1"/>
    <xf numFmtId="0" fontId="0" fillId="16" borderId="5" xfId="0" applyFill="1" applyBorder="1"/>
    <xf numFmtId="0" fontId="5" fillId="5" borderId="0" xfId="0" applyFont="1" applyFill="1"/>
    <xf numFmtId="0" fontId="5" fillId="17" borderId="0" xfId="0" applyFont="1" applyFill="1"/>
    <xf numFmtId="0" fontId="10" fillId="5" borderId="0" xfId="0" applyFont="1" applyFill="1"/>
    <xf numFmtId="0" fontId="0" fillId="10" borderId="8" xfId="0" applyFill="1" applyBorder="1" applyAlignment="1">
      <alignment vertical="top"/>
    </xf>
    <xf numFmtId="0" fontId="3" fillId="19" borderId="8" xfId="0" applyFont="1" applyFill="1" applyBorder="1"/>
    <xf numFmtId="0" fontId="0" fillId="20" borderId="5" xfId="0" applyFill="1" applyBorder="1"/>
    <xf numFmtId="0" fontId="11" fillId="21" borderId="18" xfId="0" applyFont="1" applyFill="1" applyBorder="1" applyAlignment="1">
      <alignment horizontal="center"/>
    </xf>
    <xf numFmtId="0" fontId="5" fillId="16" borderId="18" xfId="0" applyFont="1" applyFill="1" applyBorder="1"/>
    <xf numFmtId="0" fontId="12" fillId="0" borderId="0" xfId="0" applyFont="1" applyAlignment="1">
      <alignment horizontal="center"/>
    </xf>
    <xf numFmtId="0" fontId="5" fillId="0" borderId="8" xfId="0" applyFont="1" applyBorder="1"/>
    <xf numFmtId="0" fontId="5" fillId="18" borderId="8" xfId="0" applyFont="1" applyFill="1" applyBorder="1"/>
    <xf numFmtId="0" fontId="5" fillId="0" borderId="0" xfId="0" applyFont="1"/>
    <xf numFmtId="0" fontId="7" fillId="16" borderId="13" xfId="0" applyFont="1" applyFill="1" applyBorder="1"/>
    <xf numFmtId="0" fontId="7" fillId="16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3" fillId="16" borderId="8" xfId="0" applyFont="1" applyFill="1" applyBorder="1"/>
    <xf numFmtId="0" fontId="0" fillId="22" borderId="8" xfId="0" applyFill="1" applyBorder="1" applyAlignment="1">
      <alignment vertical="top"/>
    </xf>
    <xf numFmtId="0" fontId="0" fillId="18" borderId="8" xfId="0" applyFill="1" applyBorder="1"/>
    <xf numFmtId="0" fontId="3" fillId="23" borderId="8" xfId="0" applyFont="1" applyFill="1" applyBorder="1"/>
    <xf numFmtId="0" fontId="0" fillId="24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1" fillId="21" borderId="18" xfId="1" applyFont="1" applyFill="1" applyBorder="1" applyAlignment="1">
      <alignment horizontal="center"/>
    </xf>
    <xf numFmtId="0" fontId="5" fillId="0" borderId="18" xfId="1" applyFont="1" applyBorder="1"/>
    <xf numFmtId="0" fontId="6" fillId="22" borderId="8" xfId="0" applyFont="1" applyFill="1" applyBorder="1" applyAlignment="1">
      <alignment vertical="top"/>
    </xf>
    <xf numFmtId="0" fontId="13" fillId="24" borderId="8" xfId="0" applyFont="1" applyFill="1" applyBorder="1" applyAlignment="1">
      <alignment vertical="top"/>
    </xf>
    <xf numFmtId="0" fontId="12" fillId="13" borderId="8" xfId="0" applyFont="1" applyFill="1" applyBorder="1" applyAlignment="1">
      <alignment vertical="top"/>
    </xf>
    <xf numFmtId="0" fontId="3" fillId="25" borderId="8" xfId="0" applyFont="1" applyFill="1" applyBorder="1"/>
    <xf numFmtId="0" fontId="3" fillId="0" borderId="8" xfId="0" applyFont="1" applyBorder="1"/>
    <xf numFmtId="0" fontId="3" fillId="26" borderId="8" xfId="0" applyFont="1" applyFill="1" applyBorder="1"/>
    <xf numFmtId="0" fontId="3" fillId="27" borderId="8" xfId="0" applyFont="1" applyFill="1" applyBorder="1"/>
    <xf numFmtId="0" fontId="3" fillId="28" borderId="8" xfId="0" applyFont="1" applyFill="1" applyBorder="1"/>
    <xf numFmtId="0" fontId="0" fillId="0" borderId="19" xfId="0" applyBorder="1"/>
    <xf numFmtId="0" fontId="0" fillId="18" borderId="0" xfId="0" applyFill="1"/>
    <xf numFmtId="0" fontId="0" fillId="5" borderId="0" xfId="0" applyFill="1"/>
    <xf numFmtId="0" fontId="3" fillId="21" borderId="18" xfId="0" applyFont="1" applyFill="1" applyBorder="1" applyAlignment="1">
      <alignment horizontal="center"/>
    </xf>
    <xf numFmtId="0" fontId="3" fillId="21" borderId="18" xfId="1" applyFont="1" applyFill="1" applyBorder="1" applyAlignment="1">
      <alignment horizontal="center"/>
    </xf>
    <xf numFmtId="0" fontId="15" fillId="0" borderId="18" xfId="1" applyBorder="1"/>
    <xf numFmtId="0" fontId="14" fillId="0" borderId="0" xfId="0" applyFont="1"/>
    <xf numFmtId="14" fontId="5" fillId="29" borderId="0" xfId="0" applyNumberFormat="1" applyFont="1" applyFill="1"/>
    <xf numFmtId="0" fontId="3" fillId="30" borderId="2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3" fillId="31" borderId="2" xfId="0" applyFont="1" applyFill="1" applyBorder="1"/>
    <xf numFmtId="0" fontId="3" fillId="31" borderId="2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0" fillId="24" borderId="20" xfId="0" applyFill="1" applyBorder="1" applyAlignment="1">
      <alignment vertical="top"/>
    </xf>
    <xf numFmtId="0" fontId="0" fillId="9" borderId="20" xfId="0" applyFill="1" applyBorder="1" applyAlignment="1">
      <alignment vertical="top"/>
    </xf>
    <xf numFmtId="0" fontId="3" fillId="19" borderId="20" xfId="0" applyFont="1" applyFill="1" applyBorder="1"/>
    <xf numFmtId="0" fontId="17" fillId="24" borderId="8" xfId="0" applyFont="1" applyFill="1" applyBorder="1" applyAlignment="1">
      <alignment vertical="top"/>
    </xf>
    <xf numFmtId="0" fontId="18" fillId="24" borderId="20" xfId="0" applyFont="1" applyFill="1" applyBorder="1" applyAlignment="1">
      <alignment vertical="top"/>
    </xf>
    <xf numFmtId="0" fontId="18" fillId="13" borderId="8" xfId="0" applyFont="1" applyFill="1" applyBorder="1" applyAlignment="1">
      <alignment vertical="top"/>
    </xf>
    <xf numFmtId="0" fontId="18" fillId="9" borderId="20" xfId="0" applyFont="1" applyFill="1" applyBorder="1" applyAlignment="1">
      <alignment vertical="top"/>
    </xf>
    <xf numFmtId="0" fontId="19" fillId="9" borderId="8" xfId="0" applyFont="1" applyFill="1" applyBorder="1" applyAlignment="1">
      <alignment vertical="top"/>
    </xf>
    <xf numFmtId="0" fontId="0" fillId="0" borderId="24" xfId="0" applyBorder="1"/>
    <xf numFmtId="0" fontId="0" fillId="0" borderId="25" xfId="0" applyBorder="1"/>
    <xf numFmtId="0" fontId="0" fillId="0" borderId="30" xfId="0" applyBorder="1"/>
    <xf numFmtId="0" fontId="0" fillId="0" borderId="31" xfId="0" applyBorder="1"/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4" xfId="0" applyFont="1" applyBorder="1"/>
    <xf numFmtId="0" fontId="17" fillId="0" borderId="29" xfId="0" applyFont="1" applyBorder="1"/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9" borderId="32" xfId="0" applyFill="1" applyBorder="1" applyAlignment="1">
      <alignment vertical="top"/>
    </xf>
    <xf numFmtId="0" fontId="0" fillId="9" borderId="33" xfId="0" applyFill="1" applyBorder="1" applyAlignment="1">
      <alignment vertical="top"/>
    </xf>
    <xf numFmtId="0" fontId="3" fillId="23" borderId="33" xfId="0" applyFont="1" applyFill="1" applyBorder="1"/>
    <xf numFmtId="0" fontId="6" fillId="9" borderId="33" xfId="0" applyFont="1" applyFill="1" applyBorder="1" applyAlignment="1">
      <alignment vertical="top"/>
    </xf>
    <xf numFmtId="0" fontId="3" fillId="23" borderId="34" xfId="0" applyFont="1" applyFill="1" applyBorder="1"/>
    <xf numFmtId="0" fontId="13" fillId="24" borderId="20" xfId="0" applyFont="1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24" borderId="32" xfId="0" applyFill="1" applyBorder="1" applyAlignment="1">
      <alignment vertical="top"/>
    </xf>
    <xf numFmtId="0" fontId="0" fillId="11" borderId="20" xfId="0" applyFill="1" applyBorder="1" applyAlignment="1">
      <alignment vertical="top"/>
    </xf>
    <xf numFmtId="0" fontId="3" fillId="23" borderId="20" xfId="0" applyFont="1" applyFill="1" applyBorder="1"/>
    <xf numFmtId="0" fontId="0" fillId="11" borderId="32" xfId="0" applyFill="1" applyBorder="1" applyAlignment="1">
      <alignment vertical="top"/>
    </xf>
    <xf numFmtId="0" fontId="0" fillId="11" borderId="33" xfId="0" applyFill="1" applyBorder="1" applyAlignment="1">
      <alignment vertical="top"/>
    </xf>
    <xf numFmtId="0" fontId="0" fillId="24" borderId="33" xfId="0" applyFill="1" applyBorder="1" applyAlignment="1">
      <alignment vertical="top"/>
    </xf>
    <xf numFmtId="0" fontId="2" fillId="0" borderId="0" xfId="0" applyFont="1"/>
    <xf numFmtId="0" fontId="2" fillId="0" borderId="24" xfId="0" applyFont="1" applyBorder="1"/>
    <xf numFmtId="0" fontId="10" fillId="0" borderId="0" xfId="0" applyFont="1"/>
    <xf numFmtId="0" fontId="1" fillId="0" borderId="24" xfId="0" applyFont="1" applyBorder="1"/>
    <xf numFmtId="0" fontId="0" fillId="0" borderId="0" xfId="0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16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8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/>
    </xf>
    <xf numFmtId="0" fontId="3" fillId="30" borderId="2" xfId="0" applyFont="1" applyFill="1" applyBorder="1" applyAlignment="1">
      <alignment horizontal="center"/>
    </xf>
    <xf numFmtId="0" fontId="3" fillId="30" borderId="3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3" fillId="29" borderId="3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31" borderId="2" xfId="0" applyFont="1" applyFill="1" applyBorder="1" applyAlignment="1">
      <alignment horizontal="center"/>
    </xf>
    <xf numFmtId="0" fontId="3" fillId="31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zoomScale="130" zoomScaleNormal="13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14" sqref="T14"/>
    </sheetView>
  </sheetViews>
  <sheetFormatPr defaultColWidth="9" defaultRowHeight="15"/>
  <cols>
    <col min="1" max="1" width="11.7109375" customWidth="1"/>
    <col min="2" max="2" width="8.5703125" customWidth="1"/>
    <col min="3" max="3" width="7.28515625" customWidth="1"/>
    <col min="4" max="4" width="5.5703125" customWidth="1"/>
    <col min="5" max="5" width="6.28515625" customWidth="1"/>
    <col min="6" max="6" width="6" customWidth="1"/>
    <col min="7" max="7" width="6.28515625" customWidth="1"/>
    <col min="8" max="8" width="5.28515625" customWidth="1"/>
    <col min="9" max="32" width="4.5703125" customWidth="1"/>
    <col min="33" max="37" width="5.140625" customWidth="1"/>
    <col min="38" max="38" width="5.28515625" customWidth="1"/>
    <col min="39" max="40" width="5.5703125" customWidth="1"/>
    <col min="58" max="58" width="12" customWidth="1"/>
  </cols>
  <sheetData>
    <row r="1" spans="1:57" ht="28.35" customHeight="1">
      <c r="A1" s="143">
        <f ca="1">(_xlfn.DAYS(TODAY(),A4)+2)/((_xlfn.DAYS(A93,A4))+1)</f>
        <v>6.6666666666666666E-2</v>
      </c>
      <c r="B1" s="144"/>
      <c r="C1" s="144"/>
      <c r="D1" s="144"/>
      <c r="E1" s="144"/>
      <c r="F1" s="144"/>
      <c r="G1" s="144"/>
      <c r="H1" s="145"/>
      <c r="I1" s="146" t="s">
        <v>0</v>
      </c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8"/>
      <c r="AH1" s="23"/>
      <c r="AI1" s="23"/>
      <c r="AJ1" s="23"/>
      <c r="AO1" s="141"/>
      <c r="AP1" s="141"/>
      <c r="AQ1" s="141"/>
      <c r="AR1" s="24"/>
    </row>
    <row r="2" spans="1:57" ht="16.350000000000001" customHeight="1">
      <c r="B2" s="25"/>
      <c r="C2" s="26"/>
      <c r="D2" s="149" t="s">
        <v>1</v>
      </c>
      <c r="E2" s="150"/>
      <c r="F2" s="151">
        <f>SUM(F4:F93)+SUM(H4:H93)</f>
        <v>63460</v>
      </c>
      <c r="G2" s="151"/>
      <c r="H2" s="152"/>
      <c r="I2" s="153" t="s">
        <v>2</v>
      </c>
      <c r="J2" s="154"/>
      <c r="K2" s="88" t="s">
        <v>3</v>
      </c>
      <c r="L2" s="88">
        <f>COUNTIF(I4:P93,"&lt;&gt;空")</f>
        <v>98</v>
      </c>
      <c r="M2" s="154" t="s">
        <v>4</v>
      </c>
      <c r="N2" s="154"/>
      <c r="O2" s="154"/>
      <c r="P2" s="155"/>
      <c r="Q2" s="156" t="s">
        <v>5</v>
      </c>
      <c r="R2" s="157"/>
      <c r="S2" s="91" t="s">
        <v>3</v>
      </c>
      <c r="T2" s="91">
        <f>COUNTIF(Q4:X93,"&lt;&gt;空")</f>
        <v>508</v>
      </c>
      <c r="U2" s="157" t="s">
        <v>4</v>
      </c>
      <c r="V2" s="157"/>
      <c r="W2" s="157"/>
      <c r="X2" s="158"/>
      <c r="Y2" s="159" t="s">
        <v>6</v>
      </c>
      <c r="Z2" s="160"/>
      <c r="AA2" s="94" t="s">
        <v>7</v>
      </c>
      <c r="AB2" s="95">
        <f>COUNTIF(Y4:AF93,"&lt;&gt;空")</f>
        <v>439</v>
      </c>
      <c r="AC2" s="160" t="s">
        <v>4</v>
      </c>
      <c r="AD2" s="160"/>
      <c r="AE2" s="160"/>
      <c r="AF2" s="161"/>
      <c r="AG2" s="27">
        <f>SUM(AG4:AG93)</f>
        <v>81</v>
      </c>
      <c r="AH2" s="27">
        <f>SUM(AH4:AH93)</f>
        <v>10</v>
      </c>
      <c r="AI2" s="27">
        <f>SUM(AI4:AI93)</f>
        <v>58</v>
      </c>
      <c r="AJ2" s="28">
        <f>SUM(AJ4:AJ93)</f>
        <v>13</v>
      </c>
      <c r="AK2" s="138" t="s">
        <v>8</v>
      </c>
      <c r="AO2" s="142"/>
      <c r="AP2" s="142"/>
      <c r="AQ2" s="142"/>
      <c r="AR2" s="24"/>
      <c r="AU2" t="s">
        <v>9</v>
      </c>
      <c r="AV2">
        <f>SUM(AV4:AV29)</f>
        <v>1045</v>
      </c>
      <c r="AW2" t="s">
        <v>10</v>
      </c>
      <c r="AX2">
        <f>AR47</f>
        <v>124</v>
      </c>
      <c r="AY2" t="s">
        <v>11</v>
      </c>
      <c r="AZ2">
        <f>SUM(AX4:AZ29)+7000</f>
        <v>63460</v>
      </c>
      <c r="BA2" s="29"/>
      <c r="BB2" s="30" t="s">
        <v>12</v>
      </c>
    </row>
    <row r="3" spans="1:57" ht="31.5" customHeight="1" thickBot="1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89">
        <v>1</v>
      </c>
      <c r="J3" s="90">
        <v>2</v>
      </c>
      <c r="K3" s="90">
        <v>3</v>
      </c>
      <c r="L3" s="90">
        <v>4</v>
      </c>
      <c r="M3" s="90">
        <v>5</v>
      </c>
      <c r="N3" s="90">
        <v>6</v>
      </c>
      <c r="O3" s="90">
        <v>7</v>
      </c>
      <c r="P3" s="90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96">
        <v>1</v>
      </c>
      <c r="Z3" s="97">
        <v>2</v>
      </c>
      <c r="AA3" s="97">
        <v>3</v>
      </c>
      <c r="AB3" s="97">
        <v>4</v>
      </c>
      <c r="AC3" s="97">
        <v>5</v>
      </c>
      <c r="AD3" s="97">
        <v>6</v>
      </c>
      <c r="AE3" s="97">
        <v>7</v>
      </c>
      <c r="AF3" s="98">
        <v>8</v>
      </c>
      <c r="AG3" s="35" t="s">
        <v>20</v>
      </c>
      <c r="AH3" s="36" t="s">
        <v>21</v>
      </c>
      <c r="AI3" s="37" t="s">
        <v>22</v>
      </c>
      <c r="AJ3" s="38" t="s">
        <v>23</v>
      </c>
      <c r="AK3" s="139"/>
      <c r="AL3" s="39" t="s">
        <v>24</v>
      </c>
      <c r="AM3" s="40" t="s">
        <v>25</v>
      </c>
      <c r="AN3" s="41" t="s">
        <v>26</v>
      </c>
      <c r="AO3" s="18" t="s">
        <v>27</v>
      </c>
      <c r="AP3" s="18" t="s">
        <v>28</v>
      </c>
      <c r="AQ3" s="18" t="s">
        <v>29</v>
      </c>
      <c r="AR3" s="18" t="s">
        <v>30</v>
      </c>
      <c r="AS3" s="42" t="s">
        <v>31</v>
      </c>
      <c r="AT3" s="43" t="s">
        <v>32</v>
      </c>
      <c r="AU3" s="44" t="s">
        <v>33</v>
      </c>
      <c r="AV3" s="45" t="s">
        <v>9</v>
      </c>
      <c r="AW3" s="45"/>
      <c r="AX3" s="42" t="s">
        <v>34</v>
      </c>
      <c r="AY3" s="43" t="s">
        <v>35</v>
      </c>
      <c r="AZ3" s="44" t="s">
        <v>36</v>
      </c>
      <c r="BA3" s="46" t="s">
        <v>37</v>
      </c>
      <c r="BB3" s="47">
        <v>1</v>
      </c>
      <c r="BD3" t="s">
        <v>38</v>
      </c>
    </row>
    <row r="4" spans="1:57" s="22" customFormat="1" ht="15.75" thickBot="1">
      <c r="A4" s="15">
        <v>46185</v>
      </c>
      <c r="B4" s="48">
        <v>800</v>
      </c>
      <c r="C4" s="49">
        <v>6000</v>
      </c>
      <c r="D4" s="48">
        <f>(SUM(粮草!A4:X4)+AG4*10*IF(AK4="是",$BB$4,$BB$3))</f>
        <v>2860</v>
      </c>
      <c r="E4" s="50">
        <f>SUM($B$4:B4)+SUM($C$4:C4)-SUM($D$4:D4)</f>
        <v>3940</v>
      </c>
      <c r="F4" s="48">
        <f>SUM(经验!A4:X4)</f>
        <v>820</v>
      </c>
      <c r="G4" s="48">
        <f>SUM($F$4:F4)+SUM($H$4:H4)</f>
        <v>1320</v>
      </c>
      <c r="H4" s="48">
        <v>500</v>
      </c>
      <c r="I4" s="51" t="s">
        <v>39</v>
      </c>
      <c r="J4" s="51" t="s">
        <v>39</v>
      </c>
      <c r="K4" s="51" t="s">
        <v>39</v>
      </c>
      <c r="L4" s="51" t="s">
        <v>39</v>
      </c>
      <c r="M4" s="51" t="s">
        <v>39</v>
      </c>
      <c r="N4" s="51" t="s">
        <v>39</v>
      </c>
      <c r="O4" s="51" t="s">
        <v>39</v>
      </c>
      <c r="P4" s="51" t="s">
        <v>39</v>
      </c>
      <c r="Q4" s="52" t="s">
        <v>99</v>
      </c>
      <c r="R4" s="52" t="s">
        <v>99</v>
      </c>
      <c r="S4" s="52" t="s">
        <v>99</v>
      </c>
      <c r="T4" s="52" t="s">
        <v>99</v>
      </c>
      <c r="U4" s="52" t="s">
        <v>99</v>
      </c>
      <c r="V4" s="52" t="s">
        <v>99</v>
      </c>
      <c r="W4" s="53" t="s">
        <v>41</v>
      </c>
      <c r="X4" s="53" t="s">
        <v>41</v>
      </c>
      <c r="Y4" s="63" t="s">
        <v>46</v>
      </c>
      <c r="Z4" s="63" t="s">
        <v>46</v>
      </c>
      <c r="AA4" s="63" t="s">
        <v>46</v>
      </c>
      <c r="AB4" s="63" t="s">
        <v>46</v>
      </c>
      <c r="AC4" s="63" t="s">
        <v>46</v>
      </c>
      <c r="AD4" s="63" t="s">
        <v>46</v>
      </c>
      <c r="AE4" s="63" t="s">
        <v>46</v>
      </c>
      <c r="AF4" s="63" t="s">
        <v>46</v>
      </c>
      <c r="AG4" s="54">
        <f t="shared" ref="AG4:AG26" si="0">AH4+AI4+AJ4</f>
        <v>0</v>
      </c>
      <c r="AH4" s="70"/>
      <c r="AI4" s="70"/>
      <c r="AJ4" s="70"/>
      <c r="AK4" s="55" t="s">
        <v>42</v>
      </c>
      <c r="AL4" s="56">
        <v>0</v>
      </c>
      <c r="AM4" s="56">
        <v>0</v>
      </c>
      <c r="AN4" s="56">
        <v>0</v>
      </c>
      <c r="AO4" s="51" t="s">
        <v>39</v>
      </c>
      <c r="AP4" s="18">
        <v>150</v>
      </c>
      <c r="AQ4" s="18">
        <v>35</v>
      </c>
      <c r="AR4" s="57">
        <v>44.222109392472198</v>
      </c>
      <c r="AS4" s="57">
        <f t="shared" ref="AS4:AS26" si="1">COUNTIF($I$4:$P$93,AO4)</f>
        <v>20</v>
      </c>
      <c r="AT4" s="57">
        <f t="shared" ref="AT4:AT26" si="2">COUNTIF($Q$4:$X$93,AO4)</f>
        <v>0</v>
      </c>
      <c r="AU4" s="57">
        <f t="shared" ref="AU4:AU26" si="3">COUNTIF($Y$4:$AF$93,AO4)</f>
        <v>0</v>
      </c>
      <c r="AV4" s="58">
        <f>AS4+AT4+AU4</f>
        <v>20</v>
      </c>
      <c r="AW4" s="59"/>
      <c r="AX4" s="59">
        <f t="shared" ref="AX4:AX29" si="4">AS4*$AQ4</f>
        <v>700</v>
      </c>
      <c r="AY4" s="59">
        <f t="shared" ref="AY4:AZ19" si="5">AT4*$AQ4</f>
        <v>0</v>
      </c>
      <c r="AZ4" s="59">
        <f t="shared" si="5"/>
        <v>0</v>
      </c>
      <c r="BA4" s="60" t="s">
        <v>43</v>
      </c>
      <c r="BB4" s="61">
        <v>0.8</v>
      </c>
      <c r="BD4" s="59">
        <f>AR4*AV4</f>
        <v>884.44218784944394</v>
      </c>
    </row>
    <row r="5" spans="1:57" s="22" customFormat="1">
      <c r="A5" s="15">
        <v>46186</v>
      </c>
      <c r="B5" s="48">
        <v>1600</v>
      </c>
      <c r="C5" s="49"/>
      <c r="D5" s="48">
        <f>(SUM(粮草!A5:X5)+AG5*10*IF(AK5="是",$BB$4,$BB$3))</f>
        <v>3070</v>
      </c>
      <c r="E5" s="50">
        <f>SUM($B$4:B5)+SUM($C$4:C5)-SUM($D$4:D5)</f>
        <v>2470</v>
      </c>
      <c r="F5" s="48">
        <f>SUM(经验!A5:X5)</f>
        <v>835</v>
      </c>
      <c r="G5" s="48">
        <f>SUM($F$4:F5)+SUM($H$4:H5)</f>
        <v>2155</v>
      </c>
      <c r="H5" s="48">
        <v>0</v>
      </c>
      <c r="I5" s="51" t="s">
        <v>39</v>
      </c>
      <c r="J5" s="51" t="s">
        <v>39</v>
      </c>
      <c r="K5" s="51" t="s">
        <v>39</v>
      </c>
      <c r="L5" s="51" t="s">
        <v>39</v>
      </c>
      <c r="M5" s="51" t="s">
        <v>39</v>
      </c>
      <c r="N5" s="51" t="s">
        <v>39</v>
      </c>
      <c r="O5" s="51" t="s">
        <v>39</v>
      </c>
      <c r="P5" s="51" t="s">
        <v>39</v>
      </c>
      <c r="Q5" s="20" t="s">
        <v>47</v>
      </c>
      <c r="R5" s="20" t="s">
        <v>44</v>
      </c>
      <c r="S5" s="20" t="s">
        <v>44</v>
      </c>
      <c r="T5" s="20" t="s">
        <v>44</v>
      </c>
      <c r="U5" s="67" t="s">
        <v>98</v>
      </c>
      <c r="V5" s="19" t="s">
        <v>67</v>
      </c>
      <c r="W5" s="53" t="s">
        <v>41</v>
      </c>
      <c r="X5" s="53" t="s">
        <v>41</v>
      </c>
      <c r="Y5" s="63" t="s">
        <v>46</v>
      </c>
      <c r="Z5" s="63" t="s">
        <v>46</v>
      </c>
      <c r="AA5" s="63" t="s">
        <v>46</v>
      </c>
      <c r="AB5" s="63" t="s">
        <v>46</v>
      </c>
      <c r="AC5" s="63" t="s">
        <v>46</v>
      </c>
      <c r="AD5" s="63" t="s">
        <v>46</v>
      </c>
      <c r="AE5" s="63" t="s">
        <v>46</v>
      </c>
      <c r="AF5" s="63" t="s">
        <v>46</v>
      </c>
      <c r="AG5" s="54">
        <f t="shared" si="0"/>
        <v>0</v>
      </c>
      <c r="AH5" s="70"/>
      <c r="AI5" s="70"/>
      <c r="AJ5" s="70"/>
      <c r="AK5" s="55" t="s">
        <v>42</v>
      </c>
      <c r="AL5" s="56">
        <v>0</v>
      </c>
      <c r="AM5" s="56">
        <v>0</v>
      </c>
      <c r="AN5" s="56">
        <v>0</v>
      </c>
      <c r="AO5" s="62" t="s">
        <v>45</v>
      </c>
      <c r="AP5" s="18">
        <v>160</v>
      </c>
      <c r="AQ5" s="18">
        <v>40</v>
      </c>
      <c r="AR5" s="57">
        <v>39.110982162825401</v>
      </c>
      <c r="AS5" s="57">
        <f t="shared" si="1"/>
        <v>53</v>
      </c>
      <c r="AT5" s="57">
        <f t="shared" si="2"/>
        <v>0</v>
      </c>
      <c r="AU5" s="57">
        <f t="shared" si="3"/>
        <v>0</v>
      </c>
      <c r="AV5" s="58">
        <f t="shared" ref="AV5:AV26" si="6">AS5+AT5+AU5</f>
        <v>53</v>
      </c>
      <c r="AW5" s="59"/>
      <c r="AX5" s="59">
        <f t="shared" si="4"/>
        <v>2120</v>
      </c>
      <c r="AY5" s="59">
        <f t="shared" si="5"/>
        <v>0</v>
      </c>
      <c r="AZ5" s="59">
        <f t="shared" si="5"/>
        <v>0</v>
      </c>
      <c r="BA5" s="140" t="s">
        <v>48</v>
      </c>
      <c r="BB5" s="140"/>
      <c r="BD5" s="59">
        <f t="shared" ref="BD5:BD29" si="7">AR5*AV5</f>
        <v>2072.8820546297461</v>
      </c>
    </row>
    <row r="6" spans="1:57" s="22" customFormat="1">
      <c r="A6" s="15">
        <v>46187</v>
      </c>
      <c r="B6" s="48">
        <v>1600</v>
      </c>
      <c r="C6" s="49"/>
      <c r="D6" s="48">
        <f>(SUM(粮草!A6:X6)+AG6*10*IF(AK6="是",$BB$4,$BB$3))</f>
        <v>3090</v>
      </c>
      <c r="E6" s="50">
        <f>SUM($B$4:B6)+SUM($C$4:C6)-SUM($D$4:D6)</f>
        <v>980</v>
      </c>
      <c r="F6" s="48">
        <f>SUM(经验!A6:X6)</f>
        <v>800</v>
      </c>
      <c r="G6" s="48">
        <f>SUM($F$4:F6)+SUM($H$4:H6)</f>
        <v>2955</v>
      </c>
      <c r="H6" s="48">
        <v>0</v>
      </c>
      <c r="I6" s="62" t="s">
        <v>45</v>
      </c>
      <c r="J6" s="62" t="s">
        <v>45</v>
      </c>
      <c r="K6" s="62" t="s">
        <v>45</v>
      </c>
      <c r="L6" s="62" t="s">
        <v>45</v>
      </c>
      <c r="M6" s="62" t="s">
        <v>45</v>
      </c>
      <c r="N6" s="62" t="s">
        <v>45</v>
      </c>
      <c r="O6" s="62" t="s">
        <v>45</v>
      </c>
      <c r="P6" s="62" t="s">
        <v>45</v>
      </c>
      <c r="Q6" t="s">
        <v>41</v>
      </c>
      <c r="R6" s="20" t="s">
        <v>44</v>
      </c>
      <c r="S6" s="20" t="s">
        <v>44</v>
      </c>
      <c r="T6" s="20" t="s">
        <v>44</v>
      </c>
      <c r="U6" t="s">
        <v>41</v>
      </c>
      <c r="V6" t="s">
        <v>41</v>
      </c>
      <c r="W6" s="53" t="s">
        <v>41</v>
      </c>
      <c r="X6" s="53" t="s">
        <v>41</v>
      </c>
      <c r="Y6" s="63" t="s">
        <v>46</v>
      </c>
      <c r="Z6" s="63" t="s">
        <v>46</v>
      </c>
      <c r="AA6" s="63" t="s">
        <v>46</v>
      </c>
      <c r="AB6" s="63" t="s">
        <v>46</v>
      </c>
      <c r="AC6" s="63" t="s">
        <v>46</v>
      </c>
      <c r="AD6" s="63" t="s">
        <v>46</v>
      </c>
      <c r="AE6" s="63" t="s">
        <v>46</v>
      </c>
      <c r="AF6" s="63" t="s">
        <v>46</v>
      </c>
      <c r="AG6" s="54">
        <f t="shared" si="0"/>
        <v>0</v>
      </c>
      <c r="AH6" s="70"/>
      <c r="AI6" s="70"/>
      <c r="AJ6" s="70"/>
      <c r="AK6" s="55" t="s">
        <v>42</v>
      </c>
      <c r="AL6" s="56">
        <v>0</v>
      </c>
      <c r="AM6" s="56">
        <v>0</v>
      </c>
      <c r="AN6" s="56">
        <v>0</v>
      </c>
      <c r="AO6" s="63" t="s">
        <v>46</v>
      </c>
      <c r="AP6" s="18">
        <v>170</v>
      </c>
      <c r="AQ6" s="18">
        <v>45</v>
      </c>
      <c r="AR6" s="57">
        <v>34</v>
      </c>
      <c r="AS6" s="57">
        <f t="shared" si="1"/>
        <v>0</v>
      </c>
      <c r="AT6" s="57">
        <f t="shared" si="2"/>
        <v>36</v>
      </c>
      <c r="AU6" s="57">
        <f t="shared" si="3"/>
        <v>140</v>
      </c>
      <c r="AV6" s="58">
        <f t="shared" si="6"/>
        <v>176</v>
      </c>
      <c r="AW6" s="59"/>
      <c r="AX6" s="59">
        <f t="shared" si="4"/>
        <v>0</v>
      </c>
      <c r="AY6" s="59">
        <f t="shared" si="5"/>
        <v>1620</v>
      </c>
      <c r="AZ6" s="59">
        <f t="shared" si="5"/>
        <v>6300</v>
      </c>
      <c r="BA6" s="141"/>
      <c r="BB6" s="141"/>
      <c r="BD6" s="59">
        <f t="shared" si="7"/>
        <v>5984</v>
      </c>
    </row>
    <row r="7" spans="1:57">
      <c r="A7" s="15">
        <v>46188</v>
      </c>
      <c r="B7" s="59">
        <v>1600</v>
      </c>
      <c r="D7" s="48">
        <f>(SUM(粮草!A7:X7)+AG7*10*IF(AK7="是",$BB$4,$BB$3))</f>
        <v>2890</v>
      </c>
      <c r="E7" s="50">
        <f>SUM($B$4:B7)+SUM($C$4:C10)-SUM($D$4:D7)</f>
        <v>-1180</v>
      </c>
      <c r="F7" s="48">
        <f>SUM(经验!A7:X7)</f>
        <v>830</v>
      </c>
      <c r="G7" s="48">
        <f>SUM($F$4:F7)+SUM($H$4:H7)</f>
        <v>3985</v>
      </c>
      <c r="H7" s="59">
        <v>200</v>
      </c>
      <c r="I7" s="62" t="s">
        <v>45</v>
      </c>
      <c r="J7" s="62" t="s">
        <v>45</v>
      </c>
      <c r="K7" s="62" t="s">
        <v>45</v>
      </c>
      <c r="L7" s="62" t="s">
        <v>45</v>
      </c>
      <c r="M7" s="62" t="s">
        <v>45</v>
      </c>
      <c r="N7" s="62" t="s">
        <v>45</v>
      </c>
      <c r="O7" s="62" t="s">
        <v>45</v>
      </c>
      <c r="P7" s="62" t="s">
        <v>45</v>
      </c>
      <c r="Q7" s="52" t="s">
        <v>99</v>
      </c>
      <c r="R7" s="52" t="s">
        <v>99</v>
      </c>
      <c r="S7" s="52" t="s">
        <v>99</v>
      </c>
      <c r="T7" s="52" t="s">
        <v>99</v>
      </c>
      <c r="U7" s="52" t="s">
        <v>99</v>
      </c>
      <c r="V7" t="s">
        <v>41</v>
      </c>
      <c r="W7" s="53" t="s">
        <v>41</v>
      </c>
      <c r="X7" s="53" t="s">
        <v>41</v>
      </c>
      <c r="Y7" s="63" t="s">
        <v>46</v>
      </c>
      <c r="Z7" s="63" t="s">
        <v>46</v>
      </c>
      <c r="AA7" s="63" t="s">
        <v>46</v>
      </c>
      <c r="AB7" s="63" t="s">
        <v>46</v>
      </c>
      <c r="AC7" s="63" t="s">
        <v>46</v>
      </c>
      <c r="AD7" s="63" t="s">
        <v>46</v>
      </c>
      <c r="AE7" s="63" t="s">
        <v>46</v>
      </c>
      <c r="AF7" s="63" t="s">
        <v>46</v>
      </c>
      <c r="AG7" s="54">
        <f t="shared" si="0"/>
        <v>0</v>
      </c>
      <c r="AH7" s="70"/>
      <c r="AI7" s="70"/>
      <c r="AJ7" s="70"/>
      <c r="AK7" s="55" t="s">
        <v>42</v>
      </c>
      <c r="AL7" s="56">
        <v>18</v>
      </c>
      <c r="AM7" s="56">
        <v>18</v>
      </c>
      <c r="AN7" s="56">
        <v>0</v>
      </c>
      <c r="AO7" s="65" t="s">
        <v>51</v>
      </c>
      <c r="AP7" s="18">
        <v>180</v>
      </c>
      <c r="AQ7" s="18">
        <v>50</v>
      </c>
      <c r="AR7" s="18">
        <v>36</v>
      </c>
      <c r="AS7" s="18">
        <f t="shared" si="1"/>
        <v>0</v>
      </c>
      <c r="AT7" s="18">
        <f t="shared" si="2"/>
        <v>244</v>
      </c>
      <c r="AU7" s="18">
        <f t="shared" si="3"/>
        <v>16</v>
      </c>
      <c r="AV7" s="66">
        <f t="shared" si="6"/>
        <v>260</v>
      </c>
      <c r="AX7">
        <f t="shared" si="4"/>
        <v>0</v>
      </c>
      <c r="AY7">
        <f t="shared" si="5"/>
        <v>12200</v>
      </c>
      <c r="AZ7">
        <f t="shared" si="5"/>
        <v>800</v>
      </c>
      <c r="BA7" s="141"/>
      <c r="BB7" s="141"/>
      <c r="BD7" s="59">
        <f t="shared" si="7"/>
        <v>9360</v>
      </c>
      <c r="BE7" s="22"/>
    </row>
    <row r="8" spans="1:57">
      <c r="A8" s="15">
        <v>46189</v>
      </c>
      <c r="B8" s="59">
        <v>1600</v>
      </c>
      <c r="C8" s="59"/>
      <c r="D8" s="48">
        <f>(SUM(粮草!A8:X8)+AG8*10*IF(AK8="是",$BB$4,$BB$3))</f>
        <v>1020</v>
      </c>
      <c r="E8" s="50">
        <f>SUM($B$4:B8)+SUM($C$4:C8)-SUM($D$4:D8)</f>
        <v>270</v>
      </c>
      <c r="F8" s="48">
        <f>SUM(经验!A8:X8)</f>
        <v>400</v>
      </c>
      <c r="G8" s="48">
        <f>SUM($F$4:F8)+SUM($H$4:H8)</f>
        <v>4685</v>
      </c>
      <c r="H8" s="59">
        <v>300</v>
      </c>
      <c r="I8" s="62" t="s">
        <v>45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53" t="s">
        <v>41</v>
      </c>
      <c r="P8" s="53" t="s">
        <v>41</v>
      </c>
      <c r="Q8" s="67" t="s">
        <v>98</v>
      </c>
      <c r="R8" s="67" t="s">
        <v>98</v>
      </c>
      <c r="S8" t="s">
        <v>41</v>
      </c>
      <c r="T8" t="s">
        <v>41</v>
      </c>
      <c r="U8" t="s">
        <v>41</v>
      </c>
      <c r="V8" t="s">
        <v>41</v>
      </c>
      <c r="W8" s="53" t="s">
        <v>41</v>
      </c>
      <c r="X8" s="53" t="s">
        <v>41</v>
      </c>
      <c r="Y8" s="63" t="s">
        <v>46</v>
      </c>
      <c r="Z8" s="63" t="s">
        <v>46</v>
      </c>
      <c r="AA8" s="63" t="s">
        <v>46</v>
      </c>
      <c r="AB8" s="63" t="s">
        <v>46</v>
      </c>
      <c r="AC8" s="63" t="s">
        <v>46</v>
      </c>
      <c r="AD8" s="63" t="s">
        <v>46</v>
      </c>
      <c r="AE8" s="63" t="s">
        <v>46</v>
      </c>
      <c r="AF8" s="63" t="s">
        <v>46</v>
      </c>
      <c r="AG8" s="54">
        <f t="shared" si="0"/>
        <v>0</v>
      </c>
      <c r="AH8" s="70"/>
      <c r="AI8" s="70"/>
      <c r="AJ8" s="70"/>
      <c r="AK8" s="55" t="s">
        <v>42</v>
      </c>
      <c r="AL8" s="56">
        <f>MIN(AL7+6,18)-COUNTIF(I8:P8,"&lt;&gt;空")+COUNTIF(I8:P8,"历练")+COUNTIF(I8:P8,"营地")*2+COUNTIF(I8:P8,"塔1")*5</f>
        <v>17</v>
      </c>
      <c r="AM8" s="56">
        <f>MIN(AM7+6,18)-COUNTIF(Q8:X8,"&lt;&gt;空")+COUNTIF(Q8:X8,"历练")+COUNTIF(Q8:X8,"营地")*2+COUNTIF(Q8:X8,"塔1")*5</f>
        <v>20</v>
      </c>
      <c r="AN8" s="56">
        <f>MIN(AN7+6,18)-COUNTIF(Y8:AF8,"&lt;&gt;空")+COUNTIF(Y8:AF8,"历练")+COUNTIF(Y8:AF8,"营地")*2+COUNTIF(Y8:AF8,"塔1")*5</f>
        <v>-2</v>
      </c>
      <c r="AO8" s="68" t="s">
        <v>54</v>
      </c>
      <c r="AP8" s="18">
        <v>190</v>
      </c>
      <c r="AQ8" s="18">
        <v>55</v>
      </c>
      <c r="AR8" s="18">
        <v>38</v>
      </c>
      <c r="AS8" s="18">
        <f t="shared" si="1"/>
        <v>2</v>
      </c>
      <c r="AT8" s="18">
        <f t="shared" si="2"/>
        <v>101</v>
      </c>
      <c r="AU8" s="18">
        <f t="shared" si="3"/>
        <v>120</v>
      </c>
      <c r="AV8" s="66">
        <f t="shared" si="6"/>
        <v>223</v>
      </c>
      <c r="AX8">
        <f t="shared" si="4"/>
        <v>110</v>
      </c>
      <c r="AY8">
        <f t="shared" si="5"/>
        <v>5555</v>
      </c>
      <c r="AZ8">
        <f t="shared" si="5"/>
        <v>6600</v>
      </c>
      <c r="BA8" s="141"/>
      <c r="BB8" s="141"/>
      <c r="BD8" s="59">
        <f t="shared" si="7"/>
        <v>8474</v>
      </c>
      <c r="BE8" s="22"/>
    </row>
    <row r="9" spans="1:57">
      <c r="A9" s="15">
        <v>46190</v>
      </c>
      <c r="B9" s="59">
        <v>1600</v>
      </c>
      <c r="C9" s="59"/>
      <c r="D9" s="48">
        <f>(SUM(粮草!A9:X9)+AG9*10*IF(AK9="是",$BB$4,$BB$3))</f>
        <v>1990</v>
      </c>
      <c r="E9" s="50">
        <f>SUM($B$4:B9)+SUM($C$4:C9)-SUM($D$4:D9)</f>
        <v>-120</v>
      </c>
      <c r="F9" s="48">
        <f>SUM(经验!A9:X9)</f>
        <v>555</v>
      </c>
      <c r="G9" s="48">
        <f>SUM($F$4:F9)+SUM($H$4:H9)</f>
        <v>5240</v>
      </c>
      <c r="H9" s="59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53" t="s">
        <v>41</v>
      </c>
      <c r="P9" s="53" t="s">
        <v>41</v>
      </c>
      <c r="Q9" s="64" t="s">
        <v>50</v>
      </c>
      <c r="R9" s="64" t="s">
        <v>50</v>
      </c>
      <c r="S9" s="64" t="s">
        <v>50</v>
      </c>
      <c r="T9" s="64" t="s">
        <v>50</v>
      </c>
      <c r="U9" s="64" t="s">
        <v>50</v>
      </c>
      <c r="V9" t="s">
        <v>41</v>
      </c>
      <c r="W9" s="53" t="s">
        <v>41</v>
      </c>
      <c r="X9" s="53" t="s">
        <v>41</v>
      </c>
      <c r="Y9" s="68" t="s">
        <v>54</v>
      </c>
      <c r="Z9" s="68" t="s">
        <v>54</v>
      </c>
      <c r="AA9" s="68" t="s">
        <v>54</v>
      </c>
      <c r="AB9" s="68" t="s">
        <v>54</v>
      </c>
      <c r="AC9" s="68" t="s">
        <v>54</v>
      </c>
      <c r="AD9" s="68" t="s">
        <v>54</v>
      </c>
      <c r="AE9" s="53" t="s">
        <v>41</v>
      </c>
      <c r="AF9" s="53" t="s">
        <v>41</v>
      </c>
      <c r="AG9" s="54">
        <f t="shared" si="0"/>
        <v>0</v>
      </c>
      <c r="AH9" s="70"/>
      <c r="AI9" s="70"/>
      <c r="AJ9" s="70"/>
      <c r="AK9" s="55" t="s">
        <v>42</v>
      </c>
      <c r="AL9" s="56">
        <f t="shared" ref="AL9:AL69" si="8">MIN(AL8+6,18)-COUNTIF(I9:P9,"&lt;&gt;空")+COUNTIF(I9:P9,"历练")+COUNTIF(I9:P9,"营地")*2+COUNTIF(I9:P9,"塔1")*5</f>
        <v>18</v>
      </c>
      <c r="AM9" s="56">
        <f t="shared" ref="AM9:AM69" si="9">MIN(AM8+6,18)-COUNTIF(Q9:X9,"&lt;&gt;空")+COUNTIF(Q9:X9,"历练")+COUNTIF(Q9:X9,"营地")*2+COUNTIF(Q9:X9,"塔1")*5</f>
        <v>13</v>
      </c>
      <c r="AN9" s="56">
        <f t="shared" ref="AN9:AN69" si="10">MIN(AN8+6,18)-COUNTIF(Y9:AF9,"&lt;&gt;空")+COUNTIF(Y9:AF9,"历练")+COUNTIF(Y9:AF9,"营地")*2+COUNTIF(Y9:AF9,"塔1")*5</f>
        <v>-2</v>
      </c>
      <c r="AO9" s="69" t="s">
        <v>55</v>
      </c>
      <c r="AP9" s="18">
        <v>200</v>
      </c>
      <c r="AQ9" s="18">
        <v>60</v>
      </c>
      <c r="AR9" s="18">
        <v>40</v>
      </c>
      <c r="AS9" s="18">
        <f t="shared" si="1"/>
        <v>0</v>
      </c>
      <c r="AT9" s="18">
        <f t="shared" si="2"/>
        <v>55</v>
      </c>
      <c r="AU9" s="18">
        <f t="shared" si="3"/>
        <v>131</v>
      </c>
      <c r="AV9" s="66">
        <f t="shared" si="6"/>
        <v>186</v>
      </c>
      <c r="AX9">
        <f t="shared" si="4"/>
        <v>0</v>
      </c>
      <c r="AY9">
        <f t="shared" si="5"/>
        <v>3300</v>
      </c>
      <c r="AZ9">
        <f t="shared" si="5"/>
        <v>7860</v>
      </c>
      <c r="BD9" s="59">
        <f t="shared" si="7"/>
        <v>7440</v>
      </c>
      <c r="BE9" s="22"/>
    </row>
    <row r="10" spans="1:57">
      <c r="A10" s="15">
        <v>46191</v>
      </c>
      <c r="B10" s="59">
        <v>1600</v>
      </c>
      <c r="C10" s="59">
        <v>-870</v>
      </c>
      <c r="D10" s="48">
        <f>(SUM(粮草!A10:X10)+AG10*10*IF(AK10="是",$BB$4,$BB$3))</f>
        <v>800</v>
      </c>
      <c r="E10" s="50">
        <f>SUM($B$4:B10)+SUM($C$4:C10)-SUM($D$4:D10)</f>
        <v>-190</v>
      </c>
      <c r="F10" s="48">
        <f>SUM(经验!A10:X10)</f>
        <v>1420</v>
      </c>
      <c r="G10" s="48">
        <f>SUM($F$4:F10)+SUM($H$4:H10)</f>
        <v>6660</v>
      </c>
      <c r="H10" s="59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53" t="s">
        <v>41</v>
      </c>
      <c r="P10" s="53" t="s">
        <v>41</v>
      </c>
      <c r="Q10" s="64" t="s">
        <v>49</v>
      </c>
      <c r="R10" s="64" t="s">
        <v>49</v>
      </c>
      <c r="S10" s="64" t="s">
        <v>49</v>
      </c>
      <c r="T10" s="79" t="s">
        <v>68</v>
      </c>
      <c r="U10" t="s">
        <v>41</v>
      </c>
      <c r="V10" t="s">
        <v>41</v>
      </c>
      <c r="W10" s="53" t="s">
        <v>41</v>
      </c>
      <c r="X10" s="53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s="53" t="s">
        <v>41</v>
      </c>
      <c r="AF10" s="53" t="s">
        <v>41</v>
      </c>
      <c r="AG10" s="54">
        <f t="shared" si="0"/>
        <v>0</v>
      </c>
      <c r="AH10" s="70"/>
      <c r="AI10" s="70"/>
      <c r="AJ10" s="70"/>
      <c r="AK10" s="55" t="s">
        <v>42</v>
      </c>
      <c r="AL10" s="56">
        <f t="shared" si="8"/>
        <v>18</v>
      </c>
      <c r="AM10" s="56">
        <f t="shared" si="9"/>
        <v>15</v>
      </c>
      <c r="AN10" s="56">
        <f t="shared" si="10"/>
        <v>4</v>
      </c>
      <c r="AO10" s="19" t="s">
        <v>56</v>
      </c>
      <c r="AP10" s="18">
        <v>150</v>
      </c>
      <c r="AQ10" s="18">
        <v>35</v>
      </c>
      <c r="AR10" s="18">
        <v>44.222109392472198</v>
      </c>
      <c r="AS10" s="18">
        <f t="shared" si="1"/>
        <v>0</v>
      </c>
      <c r="AT10" s="18">
        <f t="shared" si="2"/>
        <v>0</v>
      </c>
      <c r="AU10" s="18">
        <f t="shared" si="3"/>
        <v>0</v>
      </c>
      <c r="AV10" s="66">
        <f t="shared" si="6"/>
        <v>0</v>
      </c>
      <c r="AX10">
        <f t="shared" si="4"/>
        <v>0</v>
      </c>
      <c r="AY10">
        <f t="shared" si="5"/>
        <v>0</v>
      </c>
      <c r="AZ10">
        <f t="shared" si="5"/>
        <v>0</v>
      </c>
      <c r="BD10" s="59">
        <f t="shared" si="7"/>
        <v>0</v>
      </c>
      <c r="BE10" s="22"/>
    </row>
    <row r="11" spans="1:57" ht="15.75" thickBot="1">
      <c r="A11" s="15">
        <v>46192</v>
      </c>
      <c r="B11" s="59">
        <v>1600</v>
      </c>
      <c r="C11" s="59"/>
      <c r="D11" s="48">
        <f>(SUM(粮草!A11:X11)+AG11*10*IF(AK11="是",$BB$4,$BB$3))</f>
        <v>2652</v>
      </c>
      <c r="E11" s="50">
        <f>SUM($B$4:B11)+SUM($C$4:C11)-SUM($D$4:D11)</f>
        <v>-1242</v>
      </c>
      <c r="F11" s="48">
        <f>SUM(经验!A11:X11)</f>
        <v>1020</v>
      </c>
      <c r="G11" s="48">
        <f>SUM($F$4:F11)+SUM($H$4:H11)</f>
        <v>7680</v>
      </c>
      <c r="H11" s="59">
        <v>0</v>
      </c>
      <c r="I11" s="68" t="s">
        <v>54</v>
      </c>
      <c r="J11" s="68" t="s">
        <v>54</v>
      </c>
      <c r="K11" s="100" t="s">
        <v>45</v>
      </c>
      <c r="L11" s="100" t="s">
        <v>45</v>
      </c>
      <c r="M11" s="100" t="s">
        <v>45</v>
      </c>
      <c r="N11" s="101" t="s">
        <v>40</v>
      </c>
      <c r="O11" s="100" t="s">
        <v>45</v>
      </c>
      <c r="P11" s="53" t="s">
        <v>41</v>
      </c>
      <c r="Q11" s="99" t="s">
        <v>54</v>
      </c>
      <c r="R11" s="99" t="s">
        <v>54</v>
      </c>
      <c r="S11" s="125" t="s">
        <v>60</v>
      </c>
      <c r="T11" s="99" t="s">
        <v>54</v>
      </c>
      <c r="U11" s="99" t="s">
        <v>54</v>
      </c>
      <c r="V11" s="101" t="s">
        <v>40</v>
      </c>
      <c r="W11" s="126" t="s">
        <v>51</v>
      </c>
      <c r="X11" s="126" t="s">
        <v>51</v>
      </c>
      <c r="Y11" s="128" t="s">
        <v>46</v>
      </c>
      <c r="Z11" s="128" t="s">
        <v>46</v>
      </c>
      <c r="AA11" s="128" t="s">
        <v>46</v>
      </c>
      <c r="AB11" s="129" t="s">
        <v>52</v>
      </c>
      <c r="AC11" s="128" t="s">
        <v>46</v>
      </c>
      <c r="AD11" s="128" t="s">
        <v>46</v>
      </c>
      <c r="AE11" s="128" t="s">
        <v>46</v>
      </c>
      <c r="AF11" s="128" t="s">
        <v>46</v>
      </c>
      <c r="AG11" s="54">
        <f t="shared" si="0"/>
        <v>6</v>
      </c>
      <c r="AH11" s="70">
        <v>6</v>
      </c>
      <c r="AI11" s="70"/>
      <c r="AJ11" s="70"/>
      <c r="AK11" s="71" t="s">
        <v>58</v>
      </c>
      <c r="AL11" s="56">
        <f t="shared" si="8"/>
        <v>11</v>
      </c>
      <c r="AM11" s="56">
        <f t="shared" si="9"/>
        <v>10</v>
      </c>
      <c r="AN11" s="56">
        <f t="shared" si="10"/>
        <v>4</v>
      </c>
      <c r="AO11" s="20" t="s">
        <v>44</v>
      </c>
      <c r="AP11" s="18">
        <v>150</v>
      </c>
      <c r="AQ11" s="18">
        <v>40</v>
      </c>
      <c r="AR11" s="18">
        <v>29.110982162825401</v>
      </c>
      <c r="AS11" s="18">
        <f t="shared" si="1"/>
        <v>10</v>
      </c>
      <c r="AT11" s="18">
        <f t="shared" si="2"/>
        <v>19</v>
      </c>
      <c r="AU11" s="18">
        <f t="shared" si="3"/>
        <v>14</v>
      </c>
      <c r="AV11" s="66">
        <f t="shared" si="6"/>
        <v>43</v>
      </c>
      <c r="AX11">
        <f t="shared" si="4"/>
        <v>400</v>
      </c>
      <c r="AY11">
        <f t="shared" si="5"/>
        <v>760</v>
      </c>
      <c r="AZ11">
        <f t="shared" si="5"/>
        <v>560</v>
      </c>
      <c r="BD11" s="59">
        <f t="shared" si="7"/>
        <v>1251.7722330014922</v>
      </c>
      <c r="BE11" s="22"/>
    </row>
    <row r="12" spans="1:57" ht="15.75" thickBot="1">
      <c r="A12" s="15">
        <v>46193</v>
      </c>
      <c r="B12" s="59">
        <v>1600</v>
      </c>
      <c r="C12" s="59"/>
      <c r="D12" s="48">
        <f>(SUM(粮草!A12:X12)+AG12*10*IF(AK12="是",$BB$4,$BB$3))</f>
        <v>1560</v>
      </c>
      <c r="E12" s="50">
        <f>SUM($B$4:B12)+SUM($C$4:C12)-SUM($D$4:D12)</f>
        <v>-1202</v>
      </c>
      <c r="F12" s="48">
        <f>SUM(经验!A12:X12)</f>
        <v>700</v>
      </c>
      <c r="G12" s="48">
        <f>SUM($F$4:F12)+SUM($H$4:H12)</f>
        <v>8380</v>
      </c>
      <c r="H12" s="59">
        <v>0</v>
      </c>
      <c r="I12" s="120" t="s">
        <v>45</v>
      </c>
      <c r="J12" s="121" t="s">
        <v>45</v>
      </c>
      <c r="K12" s="122" t="s">
        <v>52</v>
      </c>
      <c r="L12" s="123" t="s">
        <v>44</v>
      </c>
      <c r="M12" s="121" t="s">
        <v>45</v>
      </c>
      <c r="N12" s="123" t="s">
        <v>44</v>
      </c>
      <c r="O12" s="121" t="s">
        <v>45</v>
      </c>
      <c r="P12" s="121" t="s">
        <v>45</v>
      </c>
      <c r="Q12" s="127" t="s">
        <v>54</v>
      </c>
      <c r="R12" s="124" t="s">
        <v>52</v>
      </c>
      <c r="S12" t="s">
        <v>41</v>
      </c>
      <c r="T12" t="s">
        <v>41</v>
      </c>
      <c r="U12" t="s">
        <v>41</v>
      </c>
      <c r="V12" t="s">
        <v>41</v>
      </c>
      <c r="W12" s="53" t="s">
        <v>41</v>
      </c>
      <c r="X12" s="53" t="s">
        <v>41</v>
      </c>
      <c r="Y12" s="130" t="s">
        <v>46</v>
      </c>
      <c r="Z12" s="131" t="s">
        <v>46</v>
      </c>
      <c r="AA12" s="131" t="s">
        <v>46</v>
      </c>
      <c r="AB12" s="52" t="s">
        <v>40</v>
      </c>
      <c r="AC12" s="131" t="s">
        <v>46</v>
      </c>
      <c r="AD12" s="131" t="s">
        <v>46</v>
      </c>
      <c r="AE12" s="132" t="s">
        <v>54</v>
      </c>
      <c r="AF12" s="132" t="s">
        <v>54</v>
      </c>
      <c r="AG12" s="54">
        <f t="shared" si="0"/>
        <v>3</v>
      </c>
      <c r="AH12" s="70">
        <v>3</v>
      </c>
      <c r="AI12" s="70"/>
      <c r="AJ12" s="70"/>
      <c r="AK12" s="71" t="s">
        <v>58</v>
      </c>
      <c r="AL12" s="56">
        <f t="shared" si="8"/>
        <v>11</v>
      </c>
      <c r="AM12" s="56">
        <f t="shared" si="9"/>
        <v>16</v>
      </c>
      <c r="AN12" s="56">
        <f t="shared" si="10"/>
        <v>2</v>
      </c>
      <c r="AO12" s="21" t="s">
        <v>53</v>
      </c>
      <c r="AP12" s="18">
        <v>150</v>
      </c>
      <c r="AQ12" s="18">
        <v>45</v>
      </c>
      <c r="AR12" s="18">
        <v>13.9998549331786</v>
      </c>
      <c r="AS12" s="18">
        <f t="shared" si="1"/>
        <v>0</v>
      </c>
      <c r="AT12" s="18">
        <f t="shared" si="2"/>
        <v>1</v>
      </c>
      <c r="AU12" s="18">
        <f t="shared" si="3"/>
        <v>3</v>
      </c>
      <c r="AV12" s="66">
        <f t="shared" si="6"/>
        <v>4</v>
      </c>
      <c r="AX12">
        <f t="shared" si="4"/>
        <v>0</v>
      </c>
      <c r="AY12">
        <f t="shared" si="5"/>
        <v>45</v>
      </c>
      <c r="AZ12">
        <f t="shared" si="5"/>
        <v>135</v>
      </c>
      <c r="BD12" s="59">
        <f t="shared" si="7"/>
        <v>55.999419732714401</v>
      </c>
      <c r="BE12" s="22"/>
    </row>
    <row r="13" spans="1:57" ht="15.75" thickBot="1">
      <c r="A13" s="15">
        <v>46194</v>
      </c>
      <c r="B13" s="59">
        <v>1600</v>
      </c>
      <c r="C13" s="59"/>
      <c r="D13" s="48">
        <f>(SUM(粮草!A13:X13)+AG13*10*IF(AK13="是",$BB$4,$BB$3))</f>
        <v>8</v>
      </c>
      <c r="E13" s="50">
        <f>SUM($B$4:B13)+SUM($C$4:C13)-SUM($D$4:D13)</f>
        <v>390</v>
      </c>
      <c r="F13" s="48">
        <f>SUM(经验!A13:X13)</f>
        <v>175</v>
      </c>
      <c r="G13" s="48">
        <f>SUM($F$4:F13)+SUM($H$4:H13)</f>
        <v>8555</v>
      </c>
      <c r="H13" s="59">
        <v>0</v>
      </c>
      <c r="I13" s="123" t="s">
        <v>44</v>
      </c>
      <c r="J13" s="121" t="s">
        <v>45</v>
      </c>
      <c r="K13" s="121" t="s">
        <v>45</v>
      </c>
      <c r="L13" s="124" t="s">
        <v>52</v>
      </c>
      <c r="M13" t="s">
        <v>41</v>
      </c>
      <c r="N13" t="s">
        <v>41</v>
      </c>
      <c r="O13" s="53" t="s">
        <v>41</v>
      </c>
      <c r="P13" s="5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s="53" t="s">
        <v>41</v>
      </c>
      <c r="X13" s="53" t="s">
        <v>41</v>
      </c>
      <c r="Y13" s="132" t="s">
        <v>54</v>
      </c>
      <c r="Z13" s="124" t="s">
        <v>52</v>
      </c>
      <c r="AA13" t="s">
        <v>41</v>
      </c>
      <c r="AB13" t="s">
        <v>41</v>
      </c>
      <c r="AC13" t="s">
        <v>41</v>
      </c>
      <c r="AD13" t="s">
        <v>41</v>
      </c>
      <c r="AE13" s="53" t="s">
        <v>41</v>
      </c>
      <c r="AF13" s="53" t="s">
        <v>41</v>
      </c>
      <c r="AG13" s="54">
        <f t="shared" si="0"/>
        <v>0</v>
      </c>
      <c r="AH13" s="70"/>
      <c r="AI13" s="70"/>
      <c r="AJ13" s="70"/>
      <c r="AK13" s="71" t="s">
        <v>58</v>
      </c>
      <c r="AL13" s="56">
        <f t="shared" si="8"/>
        <v>15</v>
      </c>
      <c r="AM13" s="56">
        <f t="shared" si="9"/>
        <v>18</v>
      </c>
      <c r="AN13" s="56">
        <f t="shared" si="10"/>
        <v>8</v>
      </c>
      <c r="AO13" s="72" t="s">
        <v>59</v>
      </c>
      <c r="AP13" s="18">
        <v>150</v>
      </c>
      <c r="AQ13" s="18">
        <v>50</v>
      </c>
      <c r="AR13" s="18"/>
      <c r="AS13" s="18">
        <f t="shared" si="1"/>
        <v>0</v>
      </c>
      <c r="AT13" s="18">
        <f t="shared" si="2"/>
        <v>2</v>
      </c>
      <c r="AU13" s="18">
        <f t="shared" si="3"/>
        <v>1</v>
      </c>
      <c r="AV13" s="66">
        <f t="shared" si="6"/>
        <v>3</v>
      </c>
      <c r="AX13">
        <f t="shared" si="4"/>
        <v>0</v>
      </c>
      <c r="AY13">
        <f t="shared" si="5"/>
        <v>100</v>
      </c>
      <c r="AZ13">
        <f t="shared" si="5"/>
        <v>50</v>
      </c>
      <c r="BD13" s="59">
        <f t="shared" si="7"/>
        <v>0</v>
      </c>
      <c r="BE13" s="22"/>
    </row>
    <row r="14" spans="1:57">
      <c r="A14" s="87">
        <v>46195</v>
      </c>
      <c r="B14" s="48">
        <v>1600</v>
      </c>
      <c r="C14" s="49"/>
      <c r="D14" s="48">
        <f>(SUM(粮草!A14:X14)+AG14*10*IF(AK14="是",$BB$4,$BB$3))</f>
        <v>952</v>
      </c>
      <c r="E14" s="50">
        <f>SUM($B$4:B14)+SUM($C$4:C14)-SUM($D$4:D14)</f>
        <v>1038</v>
      </c>
      <c r="F14" s="48">
        <f>SUM(经验!A14:X14)</f>
        <v>355</v>
      </c>
      <c r="G14" s="48">
        <f>SUM($F$4:F14)+SUM($H$4:H14)</f>
        <v>8910</v>
      </c>
      <c r="H14" s="48">
        <v>0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s="53" t="s">
        <v>41</v>
      </c>
      <c r="P14" s="53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s="53" t="s">
        <v>41</v>
      </c>
      <c r="X14" s="53" t="s">
        <v>41</v>
      </c>
      <c r="Y14" s="69" t="s">
        <v>55</v>
      </c>
      <c r="Z14" s="69" t="s">
        <v>55</v>
      </c>
      <c r="AA14" s="69" t="s">
        <v>55</v>
      </c>
      <c r="AB14" s="69" t="s">
        <v>55</v>
      </c>
      <c r="AC14" s="69" t="s">
        <v>55</v>
      </c>
      <c r="AD14" s="68" t="s">
        <v>54</v>
      </c>
      <c r="AE14" s="53" t="s">
        <v>41</v>
      </c>
      <c r="AF14" s="53" t="s">
        <v>41</v>
      </c>
      <c r="AG14" s="54">
        <f t="shared" si="0"/>
        <v>0</v>
      </c>
      <c r="AH14" s="70"/>
      <c r="AI14" s="70"/>
      <c r="AJ14" s="70"/>
      <c r="AK14" s="71" t="s">
        <v>58</v>
      </c>
      <c r="AL14" s="56">
        <f t="shared" si="8"/>
        <v>18</v>
      </c>
      <c r="AM14" s="56">
        <f t="shared" si="9"/>
        <v>18</v>
      </c>
      <c r="AN14" s="56">
        <f t="shared" si="10"/>
        <v>8</v>
      </c>
      <c r="AO14" s="73" t="s">
        <v>60</v>
      </c>
      <c r="AP14" s="18">
        <v>150</v>
      </c>
      <c r="AQ14" s="18">
        <v>55</v>
      </c>
      <c r="AR14" s="18"/>
      <c r="AS14" s="18">
        <f t="shared" si="1"/>
        <v>0</v>
      </c>
      <c r="AT14" s="18">
        <f t="shared" si="2"/>
        <v>3</v>
      </c>
      <c r="AU14" s="18">
        <f t="shared" si="3"/>
        <v>0</v>
      </c>
      <c r="AV14" s="66">
        <f t="shared" si="6"/>
        <v>3</v>
      </c>
      <c r="AX14">
        <f t="shared" si="4"/>
        <v>0</v>
      </c>
      <c r="AY14">
        <f t="shared" si="5"/>
        <v>165</v>
      </c>
      <c r="AZ14">
        <f t="shared" si="5"/>
        <v>0</v>
      </c>
      <c r="BD14" s="59">
        <f t="shared" si="7"/>
        <v>0</v>
      </c>
      <c r="BE14" s="22"/>
    </row>
    <row r="15" spans="1:57">
      <c r="A15" s="87">
        <v>46196</v>
      </c>
      <c r="B15" s="48">
        <v>1600</v>
      </c>
      <c r="C15" s="49"/>
      <c r="D15" s="48">
        <f>(SUM(粮草!A15:X15)+AG15*10*IF(AK15="是",$BB$4,$BB$3))</f>
        <v>952</v>
      </c>
      <c r="E15" s="50">
        <f>SUM($B$4:B15)+SUM($C$4:C15)-SUM($D$4:D15)</f>
        <v>1686</v>
      </c>
      <c r="F15" s="48">
        <f>SUM(经验!A15:X15)</f>
        <v>355</v>
      </c>
      <c r="G15" s="48">
        <f>SUM($F$4:F15)+SUM($H$4:H15)</f>
        <v>9565</v>
      </c>
      <c r="H15" s="48">
        <v>300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s="53" t="s">
        <v>41</v>
      </c>
      <c r="P15" s="53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s="53" t="s">
        <v>41</v>
      </c>
      <c r="X15" s="53" t="s">
        <v>41</v>
      </c>
      <c r="Y15" s="68" t="s">
        <v>54</v>
      </c>
      <c r="Z15" s="69" t="s">
        <v>55</v>
      </c>
      <c r="AA15" s="69" t="s">
        <v>55</v>
      </c>
      <c r="AB15" s="69" t="s">
        <v>55</v>
      </c>
      <c r="AC15" s="69" t="s">
        <v>55</v>
      </c>
      <c r="AD15" s="69" t="s">
        <v>55</v>
      </c>
      <c r="AE15" s="53" t="s">
        <v>41</v>
      </c>
      <c r="AF15" s="53" t="s">
        <v>41</v>
      </c>
      <c r="AG15" s="54">
        <f t="shared" si="0"/>
        <v>0</v>
      </c>
      <c r="AH15" s="70"/>
      <c r="AI15" s="70"/>
      <c r="AJ15" s="70"/>
      <c r="AK15" s="71" t="s">
        <v>58</v>
      </c>
      <c r="AL15" s="56">
        <f t="shared" si="8"/>
        <v>18</v>
      </c>
      <c r="AM15" s="56">
        <f t="shared" si="9"/>
        <v>18</v>
      </c>
      <c r="AN15" s="56">
        <f t="shared" si="10"/>
        <v>8</v>
      </c>
      <c r="AO15" s="74" t="s">
        <v>61</v>
      </c>
      <c r="AP15" s="18">
        <v>150</v>
      </c>
      <c r="AQ15" s="18">
        <v>60</v>
      </c>
      <c r="AR15" s="18"/>
      <c r="AS15" s="18">
        <f t="shared" si="1"/>
        <v>0</v>
      </c>
      <c r="AT15" s="18">
        <f t="shared" si="2"/>
        <v>0</v>
      </c>
      <c r="AU15" s="18">
        <f t="shared" si="3"/>
        <v>1</v>
      </c>
      <c r="AV15" s="66">
        <f t="shared" si="6"/>
        <v>1</v>
      </c>
      <c r="AX15">
        <f t="shared" si="4"/>
        <v>0</v>
      </c>
      <c r="AY15">
        <f t="shared" si="5"/>
        <v>0</v>
      </c>
      <c r="AZ15">
        <f t="shared" si="5"/>
        <v>60</v>
      </c>
      <c r="BD15" s="59">
        <f t="shared" si="7"/>
        <v>0</v>
      </c>
      <c r="BE15" s="22"/>
    </row>
    <row r="16" spans="1:57">
      <c r="A16" s="87">
        <v>46197</v>
      </c>
      <c r="B16" s="48">
        <v>1600</v>
      </c>
      <c r="C16" s="49"/>
      <c r="D16" s="48">
        <f>(SUM(粮草!A16:X16)+AG16*10*IF(AK16="是",$BB$4,$BB$3))</f>
        <v>640</v>
      </c>
      <c r="E16" s="50">
        <f>SUM($B$4:B16)+SUM($C$4:C16)-SUM($D$4:D16)</f>
        <v>2646</v>
      </c>
      <c r="F16" s="48">
        <f>SUM(经验!A16:X16)</f>
        <v>240</v>
      </c>
      <c r="G16" s="48">
        <f>SUM($F$4:F16)+SUM($H$4:H16)</f>
        <v>10005</v>
      </c>
      <c r="H16" s="48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53" t="s">
        <v>41</v>
      </c>
      <c r="P16" s="53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s="53" t="s">
        <v>41</v>
      </c>
      <c r="X16" s="53" t="s">
        <v>41</v>
      </c>
      <c r="Y16" s="69" t="s">
        <v>55</v>
      </c>
      <c r="Z16" s="69" t="s">
        <v>55</v>
      </c>
      <c r="AA16" s="69" t="s">
        <v>55</v>
      </c>
      <c r="AB16" s="69" t="s">
        <v>55</v>
      </c>
      <c r="AC16" t="s">
        <v>41</v>
      </c>
      <c r="AD16" t="s">
        <v>41</v>
      </c>
      <c r="AE16" s="53" t="s">
        <v>41</v>
      </c>
      <c r="AF16" s="53" t="s">
        <v>41</v>
      </c>
      <c r="AG16" s="54">
        <f t="shared" si="0"/>
        <v>0</v>
      </c>
      <c r="AH16" s="70"/>
      <c r="AI16" s="70"/>
      <c r="AJ16" s="70"/>
      <c r="AK16" s="71" t="s">
        <v>58</v>
      </c>
      <c r="AL16" s="56">
        <f t="shared" si="8"/>
        <v>18</v>
      </c>
      <c r="AM16" s="56">
        <f t="shared" si="9"/>
        <v>18</v>
      </c>
      <c r="AN16" s="56">
        <f t="shared" si="10"/>
        <v>10</v>
      </c>
      <c r="AO16" s="75" t="s">
        <v>62</v>
      </c>
      <c r="AP16" s="18">
        <v>150</v>
      </c>
      <c r="AQ16" s="18">
        <v>40</v>
      </c>
      <c r="AR16" s="18">
        <v>29.110982162825401</v>
      </c>
      <c r="AS16" s="18">
        <f t="shared" si="1"/>
        <v>0</v>
      </c>
      <c r="AT16" s="18">
        <f t="shared" si="2"/>
        <v>0</v>
      </c>
      <c r="AU16" s="18">
        <f t="shared" si="3"/>
        <v>0</v>
      </c>
      <c r="AV16" s="66">
        <f t="shared" si="6"/>
        <v>0</v>
      </c>
      <c r="AX16">
        <f t="shared" si="4"/>
        <v>0</v>
      </c>
      <c r="AY16">
        <f t="shared" si="5"/>
        <v>0</v>
      </c>
      <c r="AZ16">
        <f t="shared" si="5"/>
        <v>0</v>
      </c>
      <c r="BD16" s="59">
        <f t="shared" si="7"/>
        <v>0</v>
      </c>
      <c r="BE16" s="22"/>
    </row>
    <row r="17" spans="1:57">
      <c r="A17" s="87">
        <v>46198</v>
      </c>
      <c r="B17" s="48">
        <v>1600</v>
      </c>
      <c r="C17" s="49"/>
      <c r="D17" s="48">
        <f>(SUM(粮草!A17:X17)+AG17*10*IF(AK17="是",$BB$4,$BB$3))</f>
        <v>1652</v>
      </c>
      <c r="E17" s="50">
        <f>SUM($B$4:B17)+SUM($C$4:C17)-SUM($D$4:D17)</f>
        <v>2594</v>
      </c>
      <c r="F17" s="48">
        <f>SUM(经验!A17:X17)</f>
        <v>735</v>
      </c>
      <c r="G17" s="48">
        <f>SUM($F$4:F17)+SUM($H$4:H17)</f>
        <v>10740</v>
      </c>
      <c r="H17" s="48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53" t="s">
        <v>41</v>
      </c>
      <c r="P17" s="53" t="s">
        <v>41</v>
      </c>
      <c r="Q17" s="63" t="s">
        <v>46</v>
      </c>
      <c r="R17" s="63" t="s">
        <v>46</v>
      </c>
      <c r="S17" s="63" t="s">
        <v>46</v>
      </c>
      <c r="T17" s="67" t="s">
        <v>98</v>
      </c>
      <c r="U17" s="63" t="s">
        <v>46</v>
      </c>
      <c r="V17" s="63" t="s">
        <v>46</v>
      </c>
      <c r="W17" s="63" t="s">
        <v>46</v>
      </c>
      <c r="X17" s="63" t="s">
        <v>46</v>
      </c>
      <c r="Y17" s="69" t="s">
        <v>55</v>
      </c>
      <c r="Z17" s="69" t="s">
        <v>55</v>
      </c>
      <c r="AA17" s="69" t="s">
        <v>55</v>
      </c>
      <c r="AB17" s="67" t="s">
        <v>52</v>
      </c>
      <c r="AC17" s="69" t="s">
        <v>55</v>
      </c>
      <c r="AD17" s="69" t="s">
        <v>55</v>
      </c>
      <c r="AE17" s="69" t="s">
        <v>55</v>
      </c>
      <c r="AF17" s="69" t="s">
        <v>55</v>
      </c>
      <c r="AG17" s="54">
        <f t="shared" si="0"/>
        <v>0</v>
      </c>
      <c r="AH17" s="70"/>
      <c r="AI17" s="70"/>
      <c r="AJ17" s="70"/>
      <c r="AK17" s="71" t="s">
        <v>58</v>
      </c>
      <c r="AL17" s="56">
        <f t="shared" si="8"/>
        <v>18</v>
      </c>
      <c r="AM17" s="56">
        <f t="shared" si="9"/>
        <v>12</v>
      </c>
      <c r="AN17" s="56">
        <f t="shared" si="10"/>
        <v>10</v>
      </c>
      <c r="AO17" s="52" t="s">
        <v>40</v>
      </c>
      <c r="AP17" s="18">
        <v>50</v>
      </c>
      <c r="AQ17" s="18">
        <v>30</v>
      </c>
      <c r="AR17" s="18">
        <v>10</v>
      </c>
      <c r="AS17" s="18">
        <f t="shared" si="1"/>
        <v>11</v>
      </c>
      <c r="AT17" s="18">
        <f t="shared" si="2"/>
        <v>21</v>
      </c>
      <c r="AU17" s="18">
        <f t="shared" si="3"/>
        <v>7</v>
      </c>
      <c r="AV17" s="66">
        <f t="shared" si="6"/>
        <v>39</v>
      </c>
      <c r="AX17">
        <f t="shared" si="4"/>
        <v>330</v>
      </c>
      <c r="AY17">
        <f t="shared" si="5"/>
        <v>630</v>
      </c>
      <c r="AZ17">
        <f t="shared" si="5"/>
        <v>210</v>
      </c>
      <c r="BD17" s="59">
        <f t="shared" si="7"/>
        <v>390</v>
      </c>
      <c r="BE17" s="22"/>
    </row>
    <row r="18" spans="1:57">
      <c r="A18" s="87">
        <v>46199</v>
      </c>
      <c r="B18" s="48">
        <v>1600</v>
      </c>
      <c r="C18" s="49"/>
      <c r="D18" s="48">
        <f>(SUM(粮草!A18:X18)+AG18*10*IF(AK18="是",$BB$4,$BB$3))</f>
        <v>1918</v>
      </c>
      <c r="E18" s="50">
        <f>SUM($B$4:B18)+SUM($C$4:C18)-SUM($D$4:D18)</f>
        <v>2276</v>
      </c>
      <c r="F18" s="48">
        <f>SUM(经验!A18:X18)</f>
        <v>775</v>
      </c>
      <c r="G18" s="48">
        <f>SUM($F$4:F18)+SUM($H$4:H18)</f>
        <v>11515</v>
      </c>
      <c r="H18" s="48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3" t="s">
        <v>41</v>
      </c>
      <c r="P18" s="53" t="s">
        <v>41</v>
      </c>
      <c r="Q18" s="63" t="s">
        <v>46</v>
      </c>
      <c r="R18" s="63" t="s">
        <v>46</v>
      </c>
      <c r="S18" s="63" t="s">
        <v>46</v>
      </c>
      <c r="T18" s="52" t="s">
        <v>99</v>
      </c>
      <c r="U18" s="63" t="s">
        <v>46</v>
      </c>
      <c r="V18" s="63" t="s">
        <v>46</v>
      </c>
      <c r="W18" s="68" t="s">
        <v>54</v>
      </c>
      <c r="X18" s="68" t="s">
        <v>54</v>
      </c>
      <c r="Y18" s="69" t="s">
        <v>55</v>
      </c>
      <c r="Z18" s="69" t="s">
        <v>55</v>
      </c>
      <c r="AA18" s="69" t="s">
        <v>55</v>
      </c>
      <c r="AB18" s="69" t="s">
        <v>55</v>
      </c>
      <c r="AC18" s="69" t="s">
        <v>55</v>
      </c>
      <c r="AD18" s="68" t="s">
        <v>54</v>
      </c>
      <c r="AE18" s="67" t="s">
        <v>52</v>
      </c>
      <c r="AF18" s="68" t="s">
        <v>54</v>
      </c>
      <c r="AG18" s="54">
        <f t="shared" si="0"/>
        <v>0</v>
      </c>
      <c r="AH18" s="70"/>
      <c r="AI18" s="70"/>
      <c r="AJ18" s="70"/>
      <c r="AK18" s="71" t="s">
        <v>58</v>
      </c>
      <c r="AL18" s="56">
        <f t="shared" si="8"/>
        <v>18</v>
      </c>
      <c r="AM18" s="56">
        <f t="shared" si="9"/>
        <v>10</v>
      </c>
      <c r="AN18" s="56">
        <f t="shared" si="10"/>
        <v>10</v>
      </c>
      <c r="AO18" s="67" t="s">
        <v>52</v>
      </c>
      <c r="AP18" s="18">
        <v>-150</v>
      </c>
      <c r="AQ18" s="18">
        <v>0</v>
      </c>
      <c r="AR18" s="18">
        <v>10</v>
      </c>
      <c r="AS18" s="18">
        <f t="shared" si="1"/>
        <v>2</v>
      </c>
      <c r="AT18" s="18">
        <f t="shared" si="2"/>
        <v>8</v>
      </c>
      <c r="AU18" s="18">
        <f t="shared" si="3"/>
        <v>5</v>
      </c>
      <c r="AV18" s="66">
        <f t="shared" si="6"/>
        <v>15</v>
      </c>
      <c r="AX18">
        <f t="shared" si="4"/>
        <v>0</v>
      </c>
      <c r="AY18">
        <f t="shared" si="5"/>
        <v>0</v>
      </c>
      <c r="AZ18">
        <f t="shared" si="5"/>
        <v>0</v>
      </c>
      <c r="BD18" s="59">
        <f t="shared" si="7"/>
        <v>150</v>
      </c>
      <c r="BE18" s="22"/>
    </row>
    <row r="19" spans="1:57">
      <c r="A19" s="87">
        <v>46200</v>
      </c>
      <c r="B19" s="48">
        <v>1600</v>
      </c>
      <c r="C19" s="49"/>
      <c r="D19" s="48">
        <f>(SUM(粮草!A19:X19)+AG19*10*IF(AK19="是",$BB$4,$BB$3))</f>
        <v>1638</v>
      </c>
      <c r="E19" s="50">
        <f>SUM($B$4:B19)+SUM($C$4:C19)-SUM($D$4:D19)</f>
        <v>2238</v>
      </c>
      <c r="F19" s="48">
        <f>SUM(经验!A19:X19)</f>
        <v>690</v>
      </c>
      <c r="G19" s="48">
        <f>SUM($F$4:F19)+SUM($H$4:H19)</f>
        <v>12205</v>
      </c>
      <c r="H19" s="48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53" t="s">
        <v>41</v>
      </c>
      <c r="P19" s="53" t="s">
        <v>41</v>
      </c>
      <c r="Q19" s="68" t="s">
        <v>54</v>
      </c>
      <c r="R19" s="67" t="s">
        <v>98</v>
      </c>
      <c r="S19" s="68" t="s">
        <v>54</v>
      </c>
      <c r="T19" s="73" t="s">
        <v>60</v>
      </c>
      <c r="U19" s="68" t="s">
        <v>54</v>
      </c>
      <c r="V19" s="52" t="s">
        <v>99</v>
      </c>
      <c r="W19" s="68" t="s">
        <v>54</v>
      </c>
      <c r="X19" s="68" t="s">
        <v>54</v>
      </c>
      <c r="Y19" s="68" t="s">
        <v>54</v>
      </c>
      <c r="Z19" s="68" t="s">
        <v>54</v>
      </c>
      <c r="AA19" s="68" t="s">
        <v>54</v>
      </c>
      <c r="AB19" s="68" t="s">
        <v>54</v>
      </c>
      <c r="AC19" s="68" t="s">
        <v>54</v>
      </c>
      <c r="AD19" s="68" t="s">
        <v>54</v>
      </c>
      <c r="AE19" s="53" t="s">
        <v>41</v>
      </c>
      <c r="AF19" s="53" t="s">
        <v>41</v>
      </c>
      <c r="AG19" s="54">
        <f t="shared" si="0"/>
        <v>2</v>
      </c>
      <c r="AH19" s="70"/>
      <c r="AI19" s="70">
        <v>2</v>
      </c>
      <c r="AJ19" s="70"/>
      <c r="AK19" s="71" t="s">
        <v>58</v>
      </c>
      <c r="AL19" s="56">
        <f t="shared" si="8"/>
        <v>18</v>
      </c>
      <c r="AM19" s="56">
        <f t="shared" si="9"/>
        <v>10</v>
      </c>
      <c r="AN19" s="56">
        <f t="shared" si="10"/>
        <v>10</v>
      </c>
      <c r="AO19" s="64" t="s">
        <v>49</v>
      </c>
      <c r="AP19" s="18">
        <v>250</v>
      </c>
      <c r="AQ19" s="18">
        <v>300</v>
      </c>
      <c r="AR19" s="18"/>
      <c r="AS19" s="18">
        <f t="shared" si="1"/>
        <v>0</v>
      </c>
      <c r="AT19" s="18">
        <f t="shared" si="2"/>
        <v>3</v>
      </c>
      <c r="AU19" s="18">
        <f t="shared" si="3"/>
        <v>0</v>
      </c>
      <c r="AV19" s="66">
        <f t="shared" si="6"/>
        <v>3</v>
      </c>
      <c r="AX19">
        <f t="shared" si="4"/>
        <v>0</v>
      </c>
      <c r="AY19">
        <f t="shared" si="5"/>
        <v>900</v>
      </c>
      <c r="AZ19">
        <f t="shared" si="5"/>
        <v>0</v>
      </c>
      <c r="BD19" s="59">
        <f t="shared" si="7"/>
        <v>0</v>
      </c>
      <c r="BE19" s="22"/>
    </row>
    <row r="20" spans="1:57">
      <c r="A20" s="87">
        <v>46201</v>
      </c>
      <c r="B20" s="48">
        <v>1600</v>
      </c>
      <c r="C20" s="49"/>
      <c r="D20" s="48">
        <f>(SUM(粮草!A20:X20)+AG20*10*IF(AK20="是",$BB$4,$BB$3))</f>
        <v>1832</v>
      </c>
      <c r="E20" s="50">
        <f>SUM($B$4:B20)+SUM($C$4:C20)-SUM($D$4:D20)</f>
        <v>2006</v>
      </c>
      <c r="F20" s="48">
        <f>SUM(经验!A20:X20)</f>
        <v>640</v>
      </c>
      <c r="G20" s="48">
        <f>SUM($F$4:F20)+SUM($H$4:H20)</f>
        <v>12845</v>
      </c>
      <c r="H20" s="48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3" t="s">
        <v>41</v>
      </c>
      <c r="P20" s="53" t="s">
        <v>41</v>
      </c>
      <c r="Q20" s="65" t="s">
        <v>51</v>
      </c>
      <c r="R20" s="68" t="s">
        <v>54</v>
      </c>
      <c r="S20" s="68" t="s">
        <v>54</v>
      </c>
      <c r="T20" s="65" t="s">
        <v>51</v>
      </c>
      <c r="U20" s="65" t="s">
        <v>51</v>
      </c>
      <c r="V20" s="65" t="s">
        <v>51</v>
      </c>
      <c r="W20" s="53" t="s">
        <v>41</v>
      </c>
      <c r="X20" s="53" t="s">
        <v>41</v>
      </c>
      <c r="Y20" s="68" t="s">
        <v>54</v>
      </c>
      <c r="Z20" s="68" t="s">
        <v>54</v>
      </c>
      <c r="AA20" s="68" t="s">
        <v>54</v>
      </c>
      <c r="AB20" s="68" t="s">
        <v>54</v>
      </c>
      <c r="AC20" s="68" t="s">
        <v>54</v>
      </c>
      <c r="AD20" s="68" t="s">
        <v>54</v>
      </c>
      <c r="AE20" s="53" t="s">
        <v>41</v>
      </c>
      <c r="AF20" s="53" t="s">
        <v>41</v>
      </c>
      <c r="AG20" s="54">
        <f t="shared" si="0"/>
        <v>5</v>
      </c>
      <c r="AH20" s="70"/>
      <c r="AI20" s="70">
        <v>5</v>
      </c>
      <c r="AJ20" s="70"/>
      <c r="AK20" s="71" t="s">
        <v>58</v>
      </c>
      <c r="AL20" s="56">
        <f t="shared" si="8"/>
        <v>18</v>
      </c>
      <c r="AM20" s="56">
        <f t="shared" si="9"/>
        <v>10</v>
      </c>
      <c r="AN20" s="56">
        <f t="shared" si="10"/>
        <v>10</v>
      </c>
      <c r="AO20" s="64" t="s">
        <v>50</v>
      </c>
      <c r="AP20" s="18">
        <v>170</v>
      </c>
      <c r="AQ20" s="18">
        <v>45</v>
      </c>
      <c r="AR20" s="18"/>
      <c r="AS20" s="18">
        <f t="shared" si="1"/>
        <v>0</v>
      </c>
      <c r="AT20" s="18">
        <f t="shared" si="2"/>
        <v>5</v>
      </c>
      <c r="AU20" s="18">
        <f t="shared" si="3"/>
        <v>0</v>
      </c>
      <c r="AV20" s="66">
        <f t="shared" si="6"/>
        <v>5</v>
      </c>
      <c r="AX20">
        <f t="shared" si="4"/>
        <v>0</v>
      </c>
      <c r="AY20">
        <f t="shared" ref="AY20:AY29" si="11">AT20*$AQ20</f>
        <v>225</v>
      </c>
      <c r="AZ20">
        <f t="shared" ref="AZ20:AZ29" si="12">AU20*$AQ20</f>
        <v>0</v>
      </c>
      <c r="BD20" s="59">
        <f t="shared" si="7"/>
        <v>0</v>
      </c>
      <c r="BE20" s="22"/>
    </row>
    <row r="21" spans="1:57">
      <c r="A21" s="87">
        <v>46202</v>
      </c>
      <c r="B21" s="59">
        <v>1600</v>
      </c>
      <c r="C21" s="59"/>
      <c r="D21" s="48">
        <f>(SUM(粮草!A21:X21)+AG21*10*IF(AK21="是",$BB$4,$BB$3))</f>
        <v>1840</v>
      </c>
      <c r="E21" s="50">
        <f>SUM($B$4:B21)+SUM($C$4:C21)-SUM($D$4:D21)</f>
        <v>1766</v>
      </c>
      <c r="F21" s="48">
        <f>SUM(经验!A21:X21)</f>
        <v>665</v>
      </c>
      <c r="G21" s="48">
        <f>SUM($F$4:F21)+SUM($H$4:H21)</f>
        <v>13710</v>
      </c>
      <c r="H21" s="59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3" t="s">
        <v>41</v>
      </c>
      <c r="P21" s="53" t="s">
        <v>41</v>
      </c>
      <c r="Q21" s="68" t="s">
        <v>54</v>
      </c>
      <c r="R21" s="68" t="s">
        <v>54</v>
      </c>
      <c r="S21" s="65" t="s">
        <v>51</v>
      </c>
      <c r="T21" s="65" t="s">
        <v>51</v>
      </c>
      <c r="U21" s="68" t="s">
        <v>54</v>
      </c>
      <c r="V21" s="68" t="s">
        <v>54</v>
      </c>
      <c r="W21" s="53" t="s">
        <v>41</v>
      </c>
      <c r="X21" s="53" t="s">
        <v>41</v>
      </c>
      <c r="Y21" s="68" t="s">
        <v>54</v>
      </c>
      <c r="Z21" s="68" t="s">
        <v>54</v>
      </c>
      <c r="AA21" s="68" t="s">
        <v>54</v>
      </c>
      <c r="AB21" s="69" t="s">
        <v>55</v>
      </c>
      <c r="AC21" s="69" t="s">
        <v>55</v>
      </c>
      <c r="AD21" s="69" t="s">
        <v>55</v>
      </c>
      <c r="AE21" s="53" t="s">
        <v>41</v>
      </c>
      <c r="AF21" s="53" t="s">
        <v>41</v>
      </c>
      <c r="AG21" s="54">
        <f t="shared" si="0"/>
        <v>1</v>
      </c>
      <c r="AH21" s="70"/>
      <c r="AI21" s="70"/>
      <c r="AJ21" s="70">
        <v>1</v>
      </c>
      <c r="AK21" s="71" t="s">
        <v>58</v>
      </c>
      <c r="AL21" s="56">
        <f t="shared" si="8"/>
        <v>18</v>
      </c>
      <c r="AM21" s="56">
        <f t="shared" si="9"/>
        <v>10</v>
      </c>
      <c r="AN21" s="56">
        <f t="shared" si="10"/>
        <v>10</v>
      </c>
      <c r="AO21" s="76" t="s">
        <v>63</v>
      </c>
      <c r="AP21" s="18">
        <v>250</v>
      </c>
      <c r="AQ21" s="18">
        <v>400</v>
      </c>
      <c r="AR21" s="18"/>
      <c r="AS21" s="18">
        <f t="shared" si="1"/>
        <v>0</v>
      </c>
      <c r="AT21" s="18">
        <f t="shared" si="2"/>
        <v>0</v>
      </c>
      <c r="AU21" s="18">
        <f t="shared" si="3"/>
        <v>0</v>
      </c>
      <c r="AV21" s="66">
        <f t="shared" si="6"/>
        <v>0</v>
      </c>
      <c r="AX21">
        <f t="shared" si="4"/>
        <v>0</v>
      </c>
      <c r="AY21">
        <f t="shared" si="11"/>
        <v>0</v>
      </c>
      <c r="AZ21">
        <f t="shared" si="12"/>
        <v>0</v>
      </c>
      <c r="BD21" s="59">
        <f t="shared" si="7"/>
        <v>0</v>
      </c>
      <c r="BE21" s="22"/>
    </row>
    <row r="22" spans="1:57">
      <c r="A22" s="87">
        <v>46203</v>
      </c>
      <c r="B22" s="59">
        <v>1600</v>
      </c>
      <c r="C22" s="59"/>
      <c r="D22" s="48">
        <f>(SUM(粮草!A22:X22)+AG22*10*IF(AK22="是",$BB$4,$BB$3))</f>
        <v>1862</v>
      </c>
      <c r="E22" s="50">
        <f>SUM($B$4:B22)+SUM($C$4:C22)-SUM($D$4:D22)</f>
        <v>1504</v>
      </c>
      <c r="F22" s="48">
        <f>SUM(经验!A22:X22)</f>
        <v>725</v>
      </c>
      <c r="G22" s="48">
        <f>SUM($F$4:F22)+SUM($H$4:H22)</f>
        <v>14535</v>
      </c>
      <c r="H22" s="59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3" t="s">
        <v>41</v>
      </c>
      <c r="P22" s="53" t="s">
        <v>41</v>
      </c>
      <c r="Q22" s="65" t="s">
        <v>51</v>
      </c>
      <c r="R22" s="67" t="s">
        <v>98</v>
      </c>
      <c r="S22" s="68" t="s">
        <v>54</v>
      </c>
      <c r="T22" s="68" t="s">
        <v>54</v>
      </c>
      <c r="U22" s="65" t="s">
        <v>51</v>
      </c>
      <c r="V22" s="65" t="s">
        <v>51</v>
      </c>
      <c r="W22" s="65" t="s">
        <v>51</v>
      </c>
      <c r="X22" s="68" t="s">
        <v>54</v>
      </c>
      <c r="Y22" s="69" t="s">
        <v>55</v>
      </c>
      <c r="Z22" s="69" t="s">
        <v>55</v>
      </c>
      <c r="AA22" s="69" t="s">
        <v>55</v>
      </c>
      <c r="AB22" s="69" t="s">
        <v>55</v>
      </c>
      <c r="AC22" s="69" t="s">
        <v>55</v>
      </c>
      <c r="AD22" s="69" t="s">
        <v>55</v>
      </c>
      <c r="AE22" s="53" t="s">
        <v>41</v>
      </c>
      <c r="AF22" s="53" t="s">
        <v>41</v>
      </c>
      <c r="AG22" s="54">
        <f t="shared" si="0"/>
        <v>10</v>
      </c>
      <c r="AH22" s="70"/>
      <c r="AI22" s="70">
        <v>5</v>
      </c>
      <c r="AJ22" s="70">
        <v>5</v>
      </c>
      <c r="AK22" s="71" t="s">
        <v>58</v>
      </c>
      <c r="AL22" s="56">
        <f t="shared" si="8"/>
        <v>18</v>
      </c>
      <c r="AM22" s="56">
        <f t="shared" si="9"/>
        <v>10</v>
      </c>
      <c r="AN22" s="56">
        <f t="shared" si="10"/>
        <v>10</v>
      </c>
      <c r="AO22" s="77" t="s">
        <v>64</v>
      </c>
      <c r="AP22" s="18">
        <v>250</v>
      </c>
      <c r="AQ22" s="18">
        <v>1000</v>
      </c>
      <c r="AR22" s="18">
        <v>60</v>
      </c>
      <c r="AS22" s="18">
        <f t="shared" si="1"/>
        <v>0</v>
      </c>
      <c r="AT22" s="18">
        <f t="shared" si="2"/>
        <v>2</v>
      </c>
      <c r="AU22" s="18">
        <f t="shared" si="3"/>
        <v>0</v>
      </c>
      <c r="AV22" s="66">
        <f t="shared" si="6"/>
        <v>2</v>
      </c>
      <c r="AX22">
        <f t="shared" si="4"/>
        <v>0</v>
      </c>
      <c r="AY22">
        <f t="shared" si="11"/>
        <v>2000</v>
      </c>
      <c r="AZ22">
        <f t="shared" si="12"/>
        <v>0</v>
      </c>
      <c r="BD22" s="59">
        <f t="shared" si="7"/>
        <v>120</v>
      </c>
      <c r="BE22" s="22"/>
    </row>
    <row r="23" spans="1:57">
      <c r="A23" s="87">
        <v>46204</v>
      </c>
      <c r="B23" s="59">
        <v>1600</v>
      </c>
      <c r="C23" s="59"/>
      <c r="D23" s="48">
        <f>(SUM(粮草!A23:X23)+AG23*10*IF(AK23="是",$BB$4,$BB$3))</f>
        <v>1412</v>
      </c>
      <c r="E23" s="50">
        <f>SUM($B$4:B23)+SUM($C$4:C23)-SUM($D$4:D23)</f>
        <v>1692</v>
      </c>
      <c r="F23" s="48">
        <f>SUM(经验!A23:X23)</f>
        <v>665</v>
      </c>
      <c r="G23" s="48">
        <f>SUM($F$4:F23)+SUM($H$4:H23)</f>
        <v>15400</v>
      </c>
      <c r="H23" s="59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53" t="s">
        <v>41</v>
      </c>
      <c r="P23" s="53" t="s">
        <v>41</v>
      </c>
      <c r="Q23" s="65" t="s">
        <v>51</v>
      </c>
      <c r="R23" s="65" t="s">
        <v>51</v>
      </c>
      <c r="S23" s="65" t="s">
        <v>51</v>
      </c>
      <c r="T23" s="65" t="s">
        <v>51</v>
      </c>
      <c r="U23" s="68" t="s">
        <v>54</v>
      </c>
      <c r="V23" s="65" t="s">
        <v>51</v>
      </c>
      <c r="W23" s="67" t="s">
        <v>52</v>
      </c>
      <c r="X23" s="53" t="s">
        <v>41</v>
      </c>
      <c r="Y23" s="69" t="s">
        <v>55</v>
      </c>
      <c r="Z23" s="69" t="s">
        <v>55</v>
      </c>
      <c r="AA23" s="69" t="s">
        <v>55</v>
      </c>
      <c r="AB23" s="69" t="s">
        <v>55</v>
      </c>
      <c r="AC23" s="69" t="s">
        <v>55</v>
      </c>
      <c r="AD23" s="69" t="s">
        <v>55</v>
      </c>
      <c r="AE23" s="67" t="s">
        <v>52</v>
      </c>
      <c r="AF23" s="53" t="s">
        <v>41</v>
      </c>
      <c r="AG23" s="54">
        <f t="shared" si="0"/>
        <v>0</v>
      </c>
      <c r="AH23" s="70"/>
      <c r="AI23" s="70"/>
      <c r="AJ23" s="70"/>
      <c r="AK23" s="71" t="s">
        <v>58</v>
      </c>
      <c r="AL23" s="56">
        <f t="shared" si="8"/>
        <v>18</v>
      </c>
      <c r="AM23" s="56">
        <f t="shared" si="9"/>
        <v>11</v>
      </c>
      <c r="AN23" s="56">
        <f t="shared" si="10"/>
        <v>11</v>
      </c>
      <c r="AO23" s="78" t="s">
        <v>65</v>
      </c>
      <c r="AP23" s="18">
        <v>250</v>
      </c>
      <c r="AQ23" s="18">
        <v>500</v>
      </c>
      <c r="AR23" s="18"/>
      <c r="AS23" s="18">
        <f t="shared" si="1"/>
        <v>0</v>
      </c>
      <c r="AT23" s="18">
        <f t="shared" si="2"/>
        <v>2</v>
      </c>
      <c r="AU23" s="18">
        <f t="shared" si="3"/>
        <v>0</v>
      </c>
      <c r="AV23" s="66">
        <f t="shared" si="6"/>
        <v>2</v>
      </c>
      <c r="AX23">
        <f t="shared" si="4"/>
        <v>0</v>
      </c>
      <c r="AY23">
        <f t="shared" si="11"/>
        <v>1000</v>
      </c>
      <c r="AZ23">
        <f t="shared" si="12"/>
        <v>0</v>
      </c>
      <c r="BD23" s="59">
        <f t="shared" si="7"/>
        <v>0</v>
      </c>
      <c r="BE23" s="22"/>
    </row>
    <row r="24" spans="1:57">
      <c r="A24" s="15">
        <v>46205</v>
      </c>
      <c r="B24" s="59">
        <v>1600</v>
      </c>
      <c r="C24" s="59"/>
      <c r="D24" s="48">
        <f>(SUM(粮草!A24:X24)+AG24*10*IF(AK24="是",$BB$4,$BB$3))</f>
        <v>1816</v>
      </c>
      <c r="E24" s="50">
        <f>SUM($B$4:B24)+SUM($C$4:C24)-SUM($D$4:D24)</f>
        <v>1476</v>
      </c>
      <c r="F24" s="48">
        <f>SUM(经验!A24:X24)</f>
        <v>660</v>
      </c>
      <c r="G24" s="48">
        <f>SUM($F$4:F24)+SUM($H$4:H24)</f>
        <v>16060</v>
      </c>
      <c r="H24" s="59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3" t="s">
        <v>41</v>
      </c>
      <c r="P24" s="53" t="s">
        <v>41</v>
      </c>
      <c r="Q24" s="65" t="s">
        <v>51</v>
      </c>
      <c r="R24" s="65" t="s">
        <v>51</v>
      </c>
      <c r="S24" s="65" t="s">
        <v>51</v>
      </c>
      <c r="T24" s="20" t="s">
        <v>44</v>
      </c>
      <c r="U24" s="68" t="s">
        <v>54</v>
      </c>
      <c r="V24" s="68" t="s">
        <v>54</v>
      </c>
      <c r="W24" s="53" t="s">
        <v>41</v>
      </c>
      <c r="X24" s="53" t="s">
        <v>41</v>
      </c>
      <c r="Y24" s="69" t="s">
        <v>55</v>
      </c>
      <c r="Z24" s="69" t="s">
        <v>55</v>
      </c>
      <c r="AA24" s="69" t="s">
        <v>55</v>
      </c>
      <c r="AB24" s="69" t="s">
        <v>55</v>
      </c>
      <c r="AC24" s="69" t="s">
        <v>55</v>
      </c>
      <c r="AD24" s="69" t="s">
        <v>55</v>
      </c>
      <c r="AE24" s="53" t="s">
        <v>41</v>
      </c>
      <c r="AF24" s="53" t="s">
        <v>41</v>
      </c>
      <c r="AG24" s="54">
        <f t="shared" si="0"/>
        <v>0</v>
      </c>
      <c r="AH24" s="70"/>
      <c r="AI24" s="70"/>
      <c r="AJ24" s="70"/>
      <c r="AK24" s="71" t="s">
        <v>58</v>
      </c>
      <c r="AL24" s="56">
        <f t="shared" si="8"/>
        <v>18</v>
      </c>
      <c r="AM24" s="56">
        <f t="shared" si="9"/>
        <v>11</v>
      </c>
      <c r="AN24" s="56">
        <f t="shared" si="10"/>
        <v>11</v>
      </c>
      <c r="AO24" s="76" t="s">
        <v>66</v>
      </c>
      <c r="AP24" s="18">
        <v>180</v>
      </c>
      <c r="AQ24" s="18">
        <v>50</v>
      </c>
      <c r="AR24" s="18">
        <v>39.110982162825401</v>
      </c>
      <c r="AS24" s="18">
        <f t="shared" si="1"/>
        <v>0</v>
      </c>
      <c r="AT24" s="18">
        <f t="shared" si="2"/>
        <v>0</v>
      </c>
      <c r="AU24" s="18">
        <f t="shared" si="3"/>
        <v>0</v>
      </c>
      <c r="AV24" s="66">
        <f t="shared" si="6"/>
        <v>0</v>
      </c>
      <c r="AX24">
        <f t="shared" si="4"/>
        <v>0</v>
      </c>
      <c r="AY24">
        <f t="shared" si="11"/>
        <v>0</v>
      </c>
      <c r="AZ24">
        <f t="shared" si="12"/>
        <v>0</v>
      </c>
      <c r="BD24" s="59">
        <f t="shared" si="7"/>
        <v>0</v>
      </c>
      <c r="BE24" s="22"/>
    </row>
    <row r="25" spans="1:57">
      <c r="A25" s="15">
        <v>46206</v>
      </c>
      <c r="B25" s="59">
        <v>1600</v>
      </c>
      <c r="C25" s="59"/>
      <c r="D25" s="48">
        <f>(SUM(粮草!A25:X25)+AG25*10*IF(AK25="是",$BB$4,$BB$3))</f>
        <v>1832</v>
      </c>
      <c r="E25" s="50">
        <f>SUM($B$4:B25)+SUM($C$4:C25)-SUM($D$4:D25)</f>
        <v>1244</v>
      </c>
      <c r="F25" s="48">
        <f>SUM(经验!A25:X25)</f>
        <v>665</v>
      </c>
      <c r="G25" s="48">
        <f>SUM($F$4:F25)+SUM($H$4:H25)</f>
        <v>16725</v>
      </c>
      <c r="H25" s="59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53" t="s">
        <v>41</v>
      </c>
      <c r="P25" s="53" t="s">
        <v>41</v>
      </c>
      <c r="Q25" s="65" t="s">
        <v>51</v>
      </c>
      <c r="R25" s="68" t="s">
        <v>54</v>
      </c>
      <c r="S25" s="65" t="s">
        <v>51</v>
      </c>
      <c r="T25" s="65" t="s">
        <v>51</v>
      </c>
      <c r="U25" s="65" t="s">
        <v>51</v>
      </c>
      <c r="V25" s="65" t="s">
        <v>51</v>
      </c>
      <c r="W25" s="53" t="s">
        <v>41</v>
      </c>
      <c r="X25" s="53" t="s">
        <v>41</v>
      </c>
      <c r="Y25" s="69" t="s">
        <v>55</v>
      </c>
      <c r="Z25" s="69" t="s">
        <v>55</v>
      </c>
      <c r="AA25" s="69" t="s">
        <v>55</v>
      </c>
      <c r="AB25" s="69" t="s">
        <v>55</v>
      </c>
      <c r="AC25" s="69" t="s">
        <v>55</v>
      </c>
      <c r="AD25" s="69" t="s">
        <v>55</v>
      </c>
      <c r="AE25" s="53" t="s">
        <v>41</v>
      </c>
      <c r="AF25" s="53" t="s">
        <v>41</v>
      </c>
      <c r="AG25" s="54">
        <f t="shared" si="0"/>
        <v>0</v>
      </c>
      <c r="AH25" s="70"/>
      <c r="AI25" s="70"/>
      <c r="AJ25" s="70"/>
      <c r="AK25" s="71" t="s">
        <v>58</v>
      </c>
      <c r="AL25" s="56">
        <f t="shared" si="8"/>
        <v>18</v>
      </c>
      <c r="AM25" s="56">
        <f t="shared" si="9"/>
        <v>11</v>
      </c>
      <c r="AN25" s="56">
        <f t="shared" si="10"/>
        <v>11</v>
      </c>
      <c r="AO25" s="19" t="s">
        <v>67</v>
      </c>
      <c r="AP25" s="18">
        <v>160</v>
      </c>
      <c r="AQ25" s="18">
        <v>35</v>
      </c>
      <c r="AR25" s="18">
        <v>44.222109392472198</v>
      </c>
      <c r="AS25" s="18">
        <f t="shared" si="1"/>
        <v>0</v>
      </c>
      <c r="AT25" s="18">
        <f t="shared" si="2"/>
        <v>1</v>
      </c>
      <c r="AU25" s="18">
        <f t="shared" si="3"/>
        <v>0</v>
      </c>
      <c r="AV25" s="66">
        <f t="shared" si="6"/>
        <v>1</v>
      </c>
      <c r="AX25">
        <f t="shared" si="4"/>
        <v>0</v>
      </c>
      <c r="AY25">
        <f t="shared" si="11"/>
        <v>35</v>
      </c>
      <c r="AZ25">
        <f t="shared" si="12"/>
        <v>0</v>
      </c>
      <c r="BD25" s="59">
        <f t="shared" si="7"/>
        <v>44.222109392472198</v>
      </c>
      <c r="BE25" s="22"/>
    </row>
    <row r="26" spans="1:57">
      <c r="A26" s="15">
        <v>46207</v>
      </c>
      <c r="B26" s="59">
        <v>1600</v>
      </c>
      <c r="C26" s="59"/>
      <c r="D26" s="48">
        <f>(SUM(粮草!A26:X26)+AG26*10*IF(AK26="是",$BB$4,$BB$3))</f>
        <v>896</v>
      </c>
      <c r="E26" s="50">
        <f>SUM($B$4:B26)+SUM($C$4:C26)-SUM($D$4:D26)</f>
        <v>1948</v>
      </c>
      <c r="F26" s="48">
        <f>SUM(经验!A26:X26)</f>
        <v>320</v>
      </c>
      <c r="G26" s="48">
        <f>SUM($F$4:F26)+SUM($H$4:H26)</f>
        <v>17045</v>
      </c>
      <c r="H26" s="59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53" t="s">
        <v>41</v>
      </c>
      <c r="P26" s="53" t="s">
        <v>41</v>
      </c>
      <c r="Q26" s="68" t="s">
        <v>54</v>
      </c>
      <c r="R26" s="68" t="s">
        <v>54</v>
      </c>
      <c r="S26" s="68" t="s">
        <v>54</v>
      </c>
      <c r="T26" s="68" t="s">
        <v>54</v>
      </c>
      <c r="U26" s="65" t="s">
        <v>51</v>
      </c>
      <c r="V26" s="65" t="s">
        <v>51</v>
      </c>
      <c r="W26" s="53" t="s">
        <v>41</v>
      </c>
      <c r="X26" s="53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3" t="s">
        <v>41</v>
      </c>
      <c r="AF26" s="53" t="s">
        <v>41</v>
      </c>
      <c r="AG26" s="54">
        <f t="shared" si="0"/>
        <v>0</v>
      </c>
      <c r="AH26" s="70"/>
      <c r="AI26" s="70"/>
      <c r="AJ26" s="70"/>
      <c r="AK26" s="71" t="s">
        <v>58</v>
      </c>
      <c r="AL26" s="56">
        <f t="shared" si="8"/>
        <v>18</v>
      </c>
      <c r="AM26" s="56">
        <f t="shared" si="9"/>
        <v>11</v>
      </c>
      <c r="AN26" s="56">
        <f t="shared" si="10"/>
        <v>17</v>
      </c>
      <c r="AO26" s="20" t="s">
        <v>47</v>
      </c>
      <c r="AP26" s="18">
        <v>150</v>
      </c>
      <c r="AQ26" s="18">
        <v>40</v>
      </c>
      <c r="AR26" s="18">
        <v>29.110982162825401</v>
      </c>
      <c r="AS26" s="18">
        <f t="shared" si="1"/>
        <v>0</v>
      </c>
      <c r="AT26" s="18">
        <f t="shared" si="2"/>
        <v>1</v>
      </c>
      <c r="AU26" s="18">
        <f t="shared" si="3"/>
        <v>0</v>
      </c>
      <c r="AV26" s="66">
        <f t="shared" si="6"/>
        <v>1</v>
      </c>
      <c r="AX26">
        <f t="shared" si="4"/>
        <v>0</v>
      </c>
      <c r="AY26">
        <f t="shared" si="11"/>
        <v>40</v>
      </c>
      <c r="AZ26">
        <f t="shared" si="12"/>
        <v>0</v>
      </c>
      <c r="BD26" s="59">
        <f t="shared" si="7"/>
        <v>29.110982162825401</v>
      </c>
      <c r="BE26" s="22"/>
    </row>
    <row r="27" spans="1:57">
      <c r="A27" s="15">
        <v>46208</v>
      </c>
      <c r="B27" s="59">
        <v>1600</v>
      </c>
      <c r="C27" s="59"/>
      <c r="D27" s="48">
        <f>(SUM(粮草!A27:X27)+AG27*10*IF(AK27="是",$BB$4,$BB$3))</f>
        <v>1816</v>
      </c>
      <c r="E27" s="50">
        <f>SUM($B$4:B27)+SUM($C$4:C27)-SUM($D$4:D27)</f>
        <v>1732</v>
      </c>
      <c r="F27" s="48">
        <f>SUM(经验!A27:X27)</f>
        <v>675</v>
      </c>
      <c r="G27" s="48">
        <f>SUM($F$4:F27)+SUM($H$4:H27)</f>
        <v>17720</v>
      </c>
      <c r="H27" s="59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53" t="s">
        <v>41</v>
      </c>
      <c r="P27" s="53" t="s">
        <v>41</v>
      </c>
      <c r="Q27" s="65" t="s">
        <v>51</v>
      </c>
      <c r="R27" s="65" t="s">
        <v>51</v>
      </c>
      <c r="S27" s="65" t="s">
        <v>51</v>
      </c>
      <c r="T27" s="102" t="s">
        <v>100</v>
      </c>
      <c r="U27" s="68" t="s">
        <v>54</v>
      </c>
      <c r="V27" s="73" t="s">
        <v>60</v>
      </c>
      <c r="W27" s="53" t="s">
        <v>41</v>
      </c>
      <c r="X27" s="53" t="s">
        <v>41</v>
      </c>
      <c r="Y27" s="69" t="s">
        <v>55</v>
      </c>
      <c r="Z27" s="69" t="s">
        <v>55</v>
      </c>
      <c r="AA27" s="69" t="s">
        <v>55</v>
      </c>
      <c r="AB27" s="69" t="s">
        <v>55</v>
      </c>
      <c r="AC27" s="69" t="s">
        <v>55</v>
      </c>
      <c r="AD27" s="69" t="s">
        <v>55</v>
      </c>
      <c r="AE27" s="53" t="s">
        <v>41</v>
      </c>
      <c r="AF27" s="53" t="s">
        <v>41</v>
      </c>
      <c r="AG27" s="54">
        <f t="shared" ref="AG27:AG38" si="13">AH27+AI27+AJ27</f>
        <v>0</v>
      </c>
      <c r="AH27" s="70"/>
      <c r="AI27" s="70"/>
      <c r="AJ27" s="70"/>
      <c r="AK27" s="71" t="s">
        <v>58</v>
      </c>
      <c r="AL27" s="56">
        <f t="shared" si="8"/>
        <v>18</v>
      </c>
      <c r="AM27" s="56">
        <f t="shared" si="9"/>
        <v>11</v>
      </c>
      <c r="AN27" s="56">
        <f t="shared" si="10"/>
        <v>12</v>
      </c>
      <c r="AO27" s="21" t="s">
        <v>57</v>
      </c>
      <c r="AP27" s="18">
        <v>150</v>
      </c>
      <c r="AQ27" s="18">
        <v>45</v>
      </c>
      <c r="AR27" s="18">
        <v>13.9998549331786</v>
      </c>
      <c r="AS27" s="18">
        <f>COUNTIF($I$4:$P$93,AO27)</f>
        <v>0</v>
      </c>
      <c r="AT27" s="18">
        <f>COUNTIF($Q$4:$X$93,AO27)</f>
        <v>1</v>
      </c>
      <c r="AU27" s="18">
        <f>COUNTIF($Y$4:$AF$93,AO27)</f>
        <v>1</v>
      </c>
      <c r="AV27" s="66">
        <f>AS27+AT27+AU27</f>
        <v>2</v>
      </c>
      <c r="AX27">
        <f t="shared" si="4"/>
        <v>0</v>
      </c>
      <c r="AY27">
        <f t="shared" si="11"/>
        <v>45</v>
      </c>
      <c r="AZ27">
        <f t="shared" si="12"/>
        <v>45</v>
      </c>
      <c r="BD27" s="59">
        <f t="shared" si="7"/>
        <v>27.9997098663572</v>
      </c>
      <c r="BE27" s="22"/>
    </row>
    <row r="28" spans="1:57">
      <c r="A28" s="15">
        <v>46209</v>
      </c>
      <c r="B28" s="48">
        <v>1600</v>
      </c>
      <c r="C28" s="49"/>
      <c r="D28" s="48">
        <f>(SUM(粮草!A28:X28)+AG28*10*IF(AK28="是",$BB$4,$BB$3))</f>
        <v>1824</v>
      </c>
      <c r="E28" s="50">
        <f>SUM($B$4:B28)+SUM($C$4:C28)-SUM($D$4:D28)</f>
        <v>1508</v>
      </c>
      <c r="F28" s="48">
        <f>SUM(经验!A28:X28)</f>
        <v>680</v>
      </c>
      <c r="G28" s="48">
        <f>SUM($F$4:F28)+SUM($H$4:H28)</f>
        <v>18600</v>
      </c>
      <c r="H28" s="48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53" t="s">
        <v>41</v>
      </c>
      <c r="P28" s="53" t="s">
        <v>41</v>
      </c>
      <c r="Q28" s="65" t="s">
        <v>51</v>
      </c>
      <c r="R28" s="102" t="s">
        <v>100</v>
      </c>
      <c r="S28" s="65" t="s">
        <v>51</v>
      </c>
      <c r="T28" s="102" t="s">
        <v>100</v>
      </c>
      <c r="U28" s="102" t="s">
        <v>100</v>
      </c>
      <c r="V28" s="102" t="s">
        <v>100</v>
      </c>
      <c r="W28" s="53" t="s">
        <v>41</v>
      </c>
      <c r="X28" s="53" t="s">
        <v>41</v>
      </c>
      <c r="Y28" s="69" t="s">
        <v>55</v>
      </c>
      <c r="Z28" s="74" t="s">
        <v>61</v>
      </c>
      <c r="AA28" s="69" t="s">
        <v>55</v>
      </c>
      <c r="AB28" s="69" t="s">
        <v>55</v>
      </c>
      <c r="AC28" s="69" t="s">
        <v>55</v>
      </c>
      <c r="AD28" s="69" t="s">
        <v>55</v>
      </c>
      <c r="AE28" s="53" t="s">
        <v>41</v>
      </c>
      <c r="AF28" s="53" t="s">
        <v>41</v>
      </c>
      <c r="AG28" s="54">
        <f t="shared" si="13"/>
        <v>1</v>
      </c>
      <c r="AH28" s="70"/>
      <c r="AI28" s="70">
        <v>1</v>
      </c>
      <c r="AJ28" s="70"/>
      <c r="AK28" s="71" t="s">
        <v>58</v>
      </c>
      <c r="AL28" s="56">
        <f t="shared" si="8"/>
        <v>18</v>
      </c>
      <c r="AM28" s="56">
        <f t="shared" si="9"/>
        <v>11</v>
      </c>
      <c r="AN28" s="56">
        <f t="shared" si="10"/>
        <v>12</v>
      </c>
      <c r="AO28" s="76" t="s">
        <v>41</v>
      </c>
      <c r="AP28" s="18">
        <v>0</v>
      </c>
      <c r="AQ28" s="18">
        <v>0</v>
      </c>
      <c r="AR28" s="18"/>
      <c r="AS28" s="18">
        <f>COUNTIF($I$4:$P$93,#REF!)</f>
        <v>0</v>
      </c>
      <c r="AT28" s="18">
        <f>COUNTIF($Q$4:$X$93,#REF!)</f>
        <v>0</v>
      </c>
      <c r="AU28" s="18">
        <f>COUNTIF($Y$4:$AF$93,#REF!)</f>
        <v>0</v>
      </c>
      <c r="AV28" s="66">
        <f>AS28+AT28+AU28</f>
        <v>0</v>
      </c>
      <c r="AX28">
        <f t="shared" si="4"/>
        <v>0</v>
      </c>
      <c r="AY28">
        <f t="shared" si="11"/>
        <v>0</v>
      </c>
      <c r="AZ28">
        <f t="shared" si="12"/>
        <v>0</v>
      </c>
      <c r="BD28" s="59">
        <f t="shared" si="7"/>
        <v>0</v>
      </c>
      <c r="BE28" s="22"/>
    </row>
    <row r="29" spans="1:57">
      <c r="A29" s="15">
        <v>46210</v>
      </c>
      <c r="B29" s="48">
        <v>1600</v>
      </c>
      <c r="C29" s="49"/>
      <c r="D29" s="48">
        <f>(SUM(粮草!A29:X29)+AG29*10*IF(AK29="是",$BB$4,$BB$3))</f>
        <v>888</v>
      </c>
      <c r="E29" s="50">
        <f>SUM($B$4:B29)+SUM($C$4:C29)-SUM($D$4:D29)</f>
        <v>2220</v>
      </c>
      <c r="F29" s="48">
        <f>SUM(经验!A29:X29)</f>
        <v>315</v>
      </c>
      <c r="G29" s="48">
        <f>SUM($F$4:F29)+SUM($H$4:H29)</f>
        <v>19015</v>
      </c>
      <c r="H29" s="48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53" t="s">
        <v>41</v>
      </c>
      <c r="P29" s="53" t="s">
        <v>41</v>
      </c>
      <c r="Q29" s="102" t="s">
        <v>100</v>
      </c>
      <c r="R29" s="65" t="s">
        <v>51</v>
      </c>
      <c r="S29" s="102" t="s">
        <v>100</v>
      </c>
      <c r="T29" s="65" t="s">
        <v>51</v>
      </c>
      <c r="U29" s="102" t="s">
        <v>100</v>
      </c>
      <c r="V29" s="65" t="s">
        <v>51</v>
      </c>
      <c r="W29" s="53" t="s">
        <v>41</v>
      </c>
      <c r="X29" s="53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3" t="s">
        <v>41</v>
      </c>
      <c r="AF29" s="53" t="s">
        <v>41</v>
      </c>
      <c r="AG29" s="54">
        <f t="shared" si="13"/>
        <v>0</v>
      </c>
      <c r="AH29" s="70"/>
      <c r="AI29" s="70"/>
      <c r="AJ29" s="70"/>
      <c r="AK29" s="71" t="s">
        <v>58</v>
      </c>
      <c r="AL29" s="56">
        <f t="shared" si="8"/>
        <v>18</v>
      </c>
      <c r="AM29" s="56">
        <f t="shared" si="9"/>
        <v>11</v>
      </c>
      <c r="AN29" s="56">
        <f t="shared" si="10"/>
        <v>18</v>
      </c>
      <c r="AO29" s="79" t="s">
        <v>68</v>
      </c>
      <c r="AP29" s="18">
        <v>50</v>
      </c>
      <c r="AQ29" s="18">
        <v>520</v>
      </c>
      <c r="AR29" s="18"/>
      <c r="AS29" s="18">
        <f>COUNTIF($I$4:$P$93,AO29)</f>
        <v>0</v>
      </c>
      <c r="AT29" s="18">
        <f>COUNTIF($Q$4:$X$93,AO29)</f>
        <v>3</v>
      </c>
      <c r="AU29" s="18">
        <f>COUNTIF($Y$4:$AF$93,AO29)</f>
        <v>0</v>
      </c>
      <c r="AV29" s="66">
        <f>AS29+AT29+AU29</f>
        <v>3</v>
      </c>
      <c r="AX29">
        <f t="shared" si="4"/>
        <v>0</v>
      </c>
      <c r="AY29">
        <f t="shared" si="11"/>
        <v>1560</v>
      </c>
      <c r="AZ29">
        <f t="shared" si="12"/>
        <v>0</v>
      </c>
      <c r="BD29" s="59">
        <f t="shared" si="7"/>
        <v>0</v>
      </c>
      <c r="BE29" s="22"/>
    </row>
    <row r="30" spans="1:57">
      <c r="A30" s="15">
        <v>46211</v>
      </c>
      <c r="B30" s="48">
        <v>1600</v>
      </c>
      <c r="C30" s="49"/>
      <c r="D30" s="48">
        <f>(SUM(粮草!A30:X30)+AG30*10*IF(AK30="是",$BB$4,$BB$3))</f>
        <v>1848</v>
      </c>
      <c r="E30" s="50">
        <f>SUM($B$4:B30)+SUM($C$4:C30)-SUM($D$4:D30)</f>
        <v>1972</v>
      </c>
      <c r="F30" s="48">
        <f>SUM(经验!A30:X30)</f>
        <v>675</v>
      </c>
      <c r="G30" s="48">
        <f>SUM($F$4:F30)+SUM($H$4:H30)</f>
        <v>19890</v>
      </c>
      <c r="H30" s="48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53" t="s">
        <v>41</v>
      </c>
      <c r="P30" s="53" t="s">
        <v>41</v>
      </c>
      <c r="Q30" s="65" t="s">
        <v>51</v>
      </c>
      <c r="R30" s="102" t="s">
        <v>100</v>
      </c>
      <c r="S30" s="102" t="s">
        <v>100</v>
      </c>
      <c r="T30" s="65" t="s">
        <v>51</v>
      </c>
      <c r="U30" s="65" t="s">
        <v>51</v>
      </c>
      <c r="V30" s="102" t="s">
        <v>100</v>
      </c>
      <c r="W30" s="53" t="s">
        <v>41</v>
      </c>
      <c r="X30" s="53" t="s">
        <v>41</v>
      </c>
      <c r="Y30" s="69" t="s">
        <v>55</v>
      </c>
      <c r="Z30" s="69" t="s">
        <v>55</v>
      </c>
      <c r="AA30" s="69" t="s">
        <v>55</v>
      </c>
      <c r="AB30" s="69" t="s">
        <v>55</v>
      </c>
      <c r="AC30" s="69" t="s">
        <v>55</v>
      </c>
      <c r="AD30" s="69" t="s">
        <v>55</v>
      </c>
      <c r="AE30" s="53" t="s">
        <v>41</v>
      </c>
      <c r="AF30" s="53" t="s">
        <v>41</v>
      </c>
      <c r="AG30" s="54">
        <f t="shared" si="13"/>
        <v>0</v>
      </c>
      <c r="AH30" s="70"/>
      <c r="AI30" s="70"/>
      <c r="AJ30" s="70"/>
      <c r="AK30" s="71" t="s">
        <v>58</v>
      </c>
      <c r="AL30" s="56">
        <f t="shared" si="8"/>
        <v>18</v>
      </c>
      <c r="AM30" s="56">
        <f t="shared" si="9"/>
        <v>11</v>
      </c>
      <c r="AN30" s="56">
        <f t="shared" si="10"/>
        <v>12</v>
      </c>
      <c r="AO30" s="18"/>
      <c r="AP30" s="18"/>
      <c r="AQ30" s="18"/>
      <c r="BD30" s="59">
        <f>SUM(BD4:BD29)+AG2*10</f>
        <v>37094.428696635063</v>
      </c>
      <c r="BE30" s="22"/>
    </row>
    <row r="31" spans="1:57">
      <c r="A31" s="15">
        <v>46212</v>
      </c>
      <c r="B31" s="48">
        <v>1600</v>
      </c>
      <c r="C31" s="49"/>
      <c r="D31" s="48">
        <f>(SUM(粮草!A31:X31)+AG31*10*IF(AK31="是",$BB$4,$BB$3))</f>
        <v>1840</v>
      </c>
      <c r="E31" s="50">
        <f>SUM($B$4:B31)+SUM($C$4:C31)-SUM($D$4:D31)</f>
        <v>1732</v>
      </c>
      <c r="F31" s="48">
        <f>SUM(经验!A31:X31)</f>
        <v>670</v>
      </c>
      <c r="G31" s="48">
        <f>SUM($F$4:F31)+SUM($H$4:H31)</f>
        <v>20560</v>
      </c>
      <c r="H31" s="48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3" t="s">
        <v>41</v>
      </c>
      <c r="P31" s="53" t="s">
        <v>41</v>
      </c>
      <c r="Q31" s="65" t="s">
        <v>51</v>
      </c>
      <c r="R31" s="65" t="s">
        <v>51</v>
      </c>
      <c r="S31" s="65" t="s">
        <v>51</v>
      </c>
      <c r="T31" s="65" t="s">
        <v>51</v>
      </c>
      <c r="U31" s="102" t="s">
        <v>100</v>
      </c>
      <c r="V31" s="102" t="s">
        <v>100</v>
      </c>
      <c r="W31" s="53" t="s">
        <v>41</v>
      </c>
      <c r="X31" s="53" t="s">
        <v>41</v>
      </c>
      <c r="Y31" s="69" t="s">
        <v>55</v>
      </c>
      <c r="Z31" s="69" t="s">
        <v>55</v>
      </c>
      <c r="AA31" s="69" t="s">
        <v>55</v>
      </c>
      <c r="AB31" s="69" t="s">
        <v>55</v>
      </c>
      <c r="AC31" s="69" t="s">
        <v>55</v>
      </c>
      <c r="AD31" s="69" t="s">
        <v>55</v>
      </c>
      <c r="AE31" s="53" t="s">
        <v>41</v>
      </c>
      <c r="AF31" s="53" t="s">
        <v>41</v>
      </c>
      <c r="AG31" s="54">
        <f t="shared" si="13"/>
        <v>0</v>
      </c>
      <c r="AH31" s="70"/>
      <c r="AI31" s="70"/>
      <c r="AJ31" s="70"/>
      <c r="AK31" s="71" t="s">
        <v>58</v>
      </c>
      <c r="AL31" s="56">
        <f t="shared" si="8"/>
        <v>18</v>
      </c>
      <c r="AM31" s="56">
        <f t="shared" si="9"/>
        <v>11</v>
      </c>
      <c r="AN31" s="56">
        <f>MIN(AN30+6,18)-COUNTIF(Y31:AF31,"&lt;&gt;空")+COUNTIF(Y31:AF31,"历练")+COUNTIF(Y31:AF31,"营地")*2+COUNTIF(Y31:AF31,"塔1")*5</f>
        <v>12</v>
      </c>
      <c r="AO31" s="18"/>
      <c r="AP31" s="18"/>
      <c r="AQ31" s="18"/>
      <c r="BE31" s="22"/>
    </row>
    <row r="32" spans="1:57">
      <c r="A32" s="15">
        <v>46213</v>
      </c>
      <c r="B32" s="48">
        <v>1600</v>
      </c>
      <c r="C32" s="49"/>
      <c r="D32" s="48">
        <f>(SUM(粮草!A32:X32)+AG32*10*IF(AK32="是",$BB$4,$BB$3))</f>
        <v>816</v>
      </c>
      <c r="E32" s="50">
        <f>SUM($B$4:B32)+SUM($C$4:C32)-SUM($D$4:D32)</f>
        <v>2516</v>
      </c>
      <c r="F32" s="48">
        <f>SUM(经验!A32:X32)</f>
        <v>290</v>
      </c>
      <c r="G32" s="48">
        <f>SUM($F$4:F32)+SUM($H$4:H32)</f>
        <v>20850</v>
      </c>
      <c r="H32" s="48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3" t="s">
        <v>41</v>
      </c>
      <c r="P32" s="53" t="s">
        <v>41</v>
      </c>
      <c r="Q32" s="20" t="s">
        <v>44</v>
      </c>
      <c r="R32" s="65" t="s">
        <v>51</v>
      </c>
      <c r="S32" s="65" t="s">
        <v>51</v>
      </c>
      <c r="T32" s="65" t="s">
        <v>51</v>
      </c>
      <c r="U32" s="65" t="s">
        <v>51</v>
      </c>
      <c r="V32" s="72" t="s">
        <v>59</v>
      </c>
      <c r="W32" s="53" t="s">
        <v>41</v>
      </c>
      <c r="X32" s="53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53" t="s">
        <v>41</v>
      </c>
      <c r="AF32" s="53" t="s">
        <v>41</v>
      </c>
      <c r="AG32" s="54">
        <f t="shared" si="13"/>
        <v>0</v>
      </c>
      <c r="AH32" s="70"/>
      <c r="AI32" s="70"/>
      <c r="AJ32" s="70"/>
      <c r="AK32" s="71" t="s">
        <v>58</v>
      </c>
      <c r="AL32" s="56">
        <f t="shared" si="8"/>
        <v>18</v>
      </c>
      <c r="AM32" s="56">
        <f t="shared" si="9"/>
        <v>11</v>
      </c>
      <c r="AN32" s="56">
        <f t="shared" si="10"/>
        <v>18</v>
      </c>
      <c r="AO32" s="18" t="s">
        <v>69</v>
      </c>
      <c r="AP32" s="18" t="s">
        <v>70</v>
      </c>
      <c r="AQ32" s="18" t="s">
        <v>71</v>
      </c>
      <c r="AR32" t="s">
        <v>28</v>
      </c>
      <c r="AS32" t="s">
        <v>72</v>
      </c>
      <c r="BE32" s="22"/>
    </row>
    <row r="33" spans="1:57">
      <c r="A33" s="15">
        <v>46214</v>
      </c>
      <c r="B33" s="48">
        <v>1600</v>
      </c>
      <c r="C33" s="49"/>
      <c r="D33" s="48">
        <f>(SUM(粮草!A33:X33)+AG33*10*IF(AK33="是",$BB$4,$BB$3))</f>
        <v>1824</v>
      </c>
      <c r="E33" s="50">
        <f>SUM($B$4:B33)+SUM($C$4:C33)-SUM($D$4:D33)</f>
        <v>2292</v>
      </c>
      <c r="F33" s="48">
        <f>SUM(经验!A33:X33)</f>
        <v>665</v>
      </c>
      <c r="G33" s="48">
        <f>SUM($F$4:F33)+SUM($H$4:H33)</f>
        <v>21515</v>
      </c>
      <c r="H33" s="48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3" t="s">
        <v>41</v>
      </c>
      <c r="P33" s="53" t="s">
        <v>41</v>
      </c>
      <c r="Q33" s="102" t="s">
        <v>100</v>
      </c>
      <c r="R33" s="65" t="s">
        <v>51</v>
      </c>
      <c r="S33" s="102" t="s">
        <v>100</v>
      </c>
      <c r="T33" s="65" t="s">
        <v>51</v>
      </c>
      <c r="U33" s="102" t="s">
        <v>100</v>
      </c>
      <c r="V33" s="20" t="s">
        <v>44</v>
      </c>
      <c r="W33" s="53" t="s">
        <v>41</v>
      </c>
      <c r="X33" s="53" t="s">
        <v>41</v>
      </c>
      <c r="Y33" s="69" t="s">
        <v>55</v>
      </c>
      <c r="Z33" s="69" t="s">
        <v>55</v>
      </c>
      <c r="AA33" s="69" t="s">
        <v>55</v>
      </c>
      <c r="AB33" s="69" t="s">
        <v>55</v>
      </c>
      <c r="AC33" s="69" t="s">
        <v>55</v>
      </c>
      <c r="AD33" s="69" t="s">
        <v>55</v>
      </c>
      <c r="AE33" s="53" t="s">
        <v>41</v>
      </c>
      <c r="AF33" s="53" t="s">
        <v>41</v>
      </c>
      <c r="AG33" s="54">
        <f t="shared" si="13"/>
        <v>0</v>
      </c>
      <c r="AH33" s="70"/>
      <c r="AI33" s="70"/>
      <c r="AJ33" s="70"/>
      <c r="AK33" s="71" t="s">
        <v>58</v>
      </c>
      <c r="AL33" s="56">
        <f t="shared" si="8"/>
        <v>18</v>
      </c>
      <c r="AM33" s="56">
        <f t="shared" si="9"/>
        <v>11</v>
      </c>
      <c r="AN33" s="56">
        <f t="shared" si="10"/>
        <v>12</v>
      </c>
      <c r="AO33" s="63" t="s">
        <v>46</v>
      </c>
      <c r="AP33" s="18">
        <v>190</v>
      </c>
      <c r="AQ33" s="18">
        <f>AP33-AV6</f>
        <v>14</v>
      </c>
      <c r="AR33">
        <f>AQ33*AP6*0.8</f>
        <v>1904</v>
      </c>
      <c r="AS33">
        <f>AQ33*AQ6</f>
        <v>630</v>
      </c>
      <c r="BE33" s="22"/>
    </row>
    <row r="34" spans="1:57">
      <c r="A34" s="15">
        <v>46215</v>
      </c>
      <c r="B34" s="48">
        <v>1600</v>
      </c>
      <c r="C34" s="49"/>
      <c r="D34" s="48">
        <f>(SUM(粮草!A34:X34)+AG34*10*IF(AK34="是",$BB$4,$BB$3))</f>
        <v>1720</v>
      </c>
      <c r="E34" s="50">
        <f>SUM($B$4:B34)+SUM($C$4:C34)-SUM($D$4:D34)</f>
        <v>2172</v>
      </c>
      <c r="F34" s="48">
        <f>SUM(经验!A34:X34)</f>
        <v>625</v>
      </c>
      <c r="G34" s="48">
        <f>SUM($F$4:F34)+SUM($H$4:H34)</f>
        <v>22140</v>
      </c>
      <c r="H34" s="48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3" t="s">
        <v>41</v>
      </c>
      <c r="P34" s="53" t="s">
        <v>41</v>
      </c>
      <c r="Q34" s="65" t="s">
        <v>51</v>
      </c>
      <c r="R34" s="65" t="s">
        <v>51</v>
      </c>
      <c r="S34" s="102" t="s">
        <v>100</v>
      </c>
      <c r="T34" s="102" t="s">
        <v>100</v>
      </c>
      <c r="U34" s="102" t="s">
        <v>100</v>
      </c>
      <c r="V34" t="s">
        <v>41</v>
      </c>
      <c r="W34" s="53" t="s">
        <v>41</v>
      </c>
      <c r="X34" s="53" t="s">
        <v>41</v>
      </c>
      <c r="Y34" s="69" t="s">
        <v>55</v>
      </c>
      <c r="Z34" s="69" t="s">
        <v>55</v>
      </c>
      <c r="AA34" s="69" t="s">
        <v>55</v>
      </c>
      <c r="AB34" s="69" t="s">
        <v>55</v>
      </c>
      <c r="AC34" s="69" t="s">
        <v>55</v>
      </c>
      <c r="AD34" s="69" t="s">
        <v>55</v>
      </c>
      <c r="AE34" s="53" t="s">
        <v>41</v>
      </c>
      <c r="AF34" s="53" t="s">
        <v>41</v>
      </c>
      <c r="AG34" s="54">
        <f t="shared" si="13"/>
        <v>2</v>
      </c>
      <c r="AH34" s="70"/>
      <c r="AI34" s="70">
        <v>2</v>
      </c>
      <c r="AJ34" s="70"/>
      <c r="AK34" s="71" t="s">
        <v>58</v>
      </c>
      <c r="AL34" s="56">
        <f t="shared" si="8"/>
        <v>18</v>
      </c>
      <c r="AM34" s="56">
        <f t="shared" si="9"/>
        <v>12</v>
      </c>
      <c r="AN34" s="56">
        <f t="shared" si="10"/>
        <v>12</v>
      </c>
      <c r="AO34" s="65" t="s">
        <v>51</v>
      </c>
      <c r="AP34" s="18">
        <v>266</v>
      </c>
      <c r="AQ34" s="18">
        <f>AP34-AV7</f>
        <v>6</v>
      </c>
      <c r="AR34">
        <f>AQ34*AP7*0.8</f>
        <v>864</v>
      </c>
      <c r="AS34">
        <f>AQ34*AQ7</f>
        <v>300</v>
      </c>
      <c r="BE34" s="22"/>
    </row>
    <row r="35" spans="1:57">
      <c r="A35" s="15">
        <v>46216</v>
      </c>
      <c r="B35" s="59">
        <v>1600</v>
      </c>
      <c r="C35" s="59"/>
      <c r="D35" s="48">
        <f>(SUM(粮草!A35:X35)+AG35*10*IF(AK35="是",$BB$4,$BB$3))</f>
        <v>856</v>
      </c>
      <c r="E35" s="50">
        <f>SUM($B$4:B35)+SUM($C$4:C35)-SUM($D$4:D35)</f>
        <v>2916</v>
      </c>
      <c r="F35" s="48">
        <f>SUM(经验!A35:X35)</f>
        <v>295</v>
      </c>
      <c r="G35" s="48">
        <f>SUM($F$4:F35)+SUM($H$4:H35)</f>
        <v>22635</v>
      </c>
      <c r="H35" s="59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3" t="s">
        <v>41</v>
      </c>
      <c r="P35" s="53" t="s">
        <v>41</v>
      </c>
      <c r="Q35" s="63" t="s">
        <v>46</v>
      </c>
      <c r="R35" s="65" t="s">
        <v>51</v>
      </c>
      <c r="S35" s="65" t="s">
        <v>51</v>
      </c>
      <c r="T35" s="65" t="s">
        <v>51</v>
      </c>
      <c r="U35" s="65" t="s">
        <v>51</v>
      </c>
      <c r="V35" s="65" t="s">
        <v>51</v>
      </c>
      <c r="W35" s="53" t="s">
        <v>41</v>
      </c>
      <c r="X35" s="53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53" t="s">
        <v>41</v>
      </c>
      <c r="AF35" s="53" t="s">
        <v>41</v>
      </c>
      <c r="AG35" s="54">
        <f t="shared" si="13"/>
        <v>0</v>
      </c>
      <c r="AH35" s="70"/>
      <c r="AI35" s="70"/>
      <c r="AJ35" s="70"/>
      <c r="AK35" s="71" t="s">
        <v>58</v>
      </c>
      <c r="AL35" s="56">
        <f t="shared" si="8"/>
        <v>18</v>
      </c>
      <c r="AM35" s="56">
        <f t="shared" si="9"/>
        <v>12</v>
      </c>
      <c r="AN35" s="56">
        <f t="shared" si="10"/>
        <v>18</v>
      </c>
      <c r="AO35" s="68" t="s">
        <v>54</v>
      </c>
      <c r="AP35" s="18">
        <v>219</v>
      </c>
      <c r="AQ35" s="18">
        <f>AP35-AV8</f>
        <v>-4</v>
      </c>
      <c r="AR35">
        <f>AQ35*AP8*0.8</f>
        <v>-608</v>
      </c>
      <c r="AS35">
        <f t="shared" ref="AS35:AS42" si="14">AQ35*AQ8</f>
        <v>-220</v>
      </c>
      <c r="BE35" s="22"/>
    </row>
    <row r="36" spans="1:57">
      <c r="A36" s="15">
        <v>46217</v>
      </c>
      <c r="B36" s="59">
        <v>1600</v>
      </c>
      <c r="C36" s="59"/>
      <c r="D36" s="48">
        <f>(SUM(粮草!A36:X36)+AG36*10*IF(AK36="是",$BB$4,$BB$3))</f>
        <v>1696</v>
      </c>
      <c r="E36" s="50">
        <f>SUM($B$4:B36)+SUM($C$4:C36)-SUM($D$4:D36)</f>
        <v>2820</v>
      </c>
      <c r="F36" s="48">
        <f>SUM(经验!A36:X36)</f>
        <v>610</v>
      </c>
      <c r="G36" s="48">
        <f>SUM($F$4:F36)+SUM($H$4:H36)</f>
        <v>23345</v>
      </c>
      <c r="H36" s="59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3" t="s">
        <v>41</v>
      </c>
      <c r="P36" s="53" t="s">
        <v>41</v>
      </c>
      <c r="Q36" s="65" t="s">
        <v>51</v>
      </c>
      <c r="R36" s="65" t="s">
        <v>51</v>
      </c>
      <c r="S36" s="65" t="s">
        <v>51</v>
      </c>
      <c r="T36" s="65" t="s">
        <v>51</v>
      </c>
      <c r="U36" s="65" t="s">
        <v>51</v>
      </c>
      <c r="V36" s="69" t="s">
        <v>55</v>
      </c>
      <c r="W36" s="53" t="s">
        <v>41</v>
      </c>
      <c r="X36" s="53" t="s">
        <v>41</v>
      </c>
      <c r="Y36" s="69" t="s">
        <v>55</v>
      </c>
      <c r="Z36" s="69" t="s">
        <v>55</v>
      </c>
      <c r="AA36" s="69" t="s">
        <v>55</v>
      </c>
      <c r="AB36" s="69" t="s">
        <v>55</v>
      </c>
      <c r="AC36" s="69" t="s">
        <v>55</v>
      </c>
      <c r="AD36" t="s">
        <v>41</v>
      </c>
      <c r="AE36" s="53" t="s">
        <v>41</v>
      </c>
      <c r="AF36" s="53" t="s">
        <v>41</v>
      </c>
      <c r="AG36" s="54">
        <f t="shared" si="13"/>
        <v>2</v>
      </c>
      <c r="AH36" s="70"/>
      <c r="AI36" s="70"/>
      <c r="AJ36" s="70">
        <v>2</v>
      </c>
      <c r="AK36" s="71" t="s">
        <v>58</v>
      </c>
      <c r="AL36" s="56">
        <f t="shared" si="8"/>
        <v>18</v>
      </c>
      <c r="AM36" s="56">
        <f t="shared" si="9"/>
        <v>12</v>
      </c>
      <c r="AN36" s="56">
        <f t="shared" si="10"/>
        <v>13</v>
      </c>
      <c r="AO36" s="69" t="s">
        <v>55</v>
      </c>
      <c r="AP36" s="18">
        <v>197</v>
      </c>
      <c r="AQ36" s="18">
        <f>AP36-AV9</f>
        <v>11</v>
      </c>
      <c r="AR36">
        <f>AQ36*AP9*0.8</f>
        <v>1760</v>
      </c>
      <c r="AS36">
        <f t="shared" si="14"/>
        <v>660</v>
      </c>
      <c r="BE36" s="22"/>
    </row>
    <row r="37" spans="1:57">
      <c r="A37" s="15">
        <v>46218</v>
      </c>
      <c r="B37" s="59">
        <v>1600</v>
      </c>
      <c r="C37" s="59"/>
      <c r="D37" s="48">
        <f>(SUM(粮草!A37:X37)+AG37*10*IF(AK37="是",$BB$4,$BB$3))</f>
        <v>1928</v>
      </c>
      <c r="E37" s="50">
        <f>SUM($B$4:B37)+SUM($C$4:C37)-SUM($D$4:D37)</f>
        <v>2492</v>
      </c>
      <c r="F37" s="48">
        <f>SUM(经验!A37:X37)</f>
        <v>720</v>
      </c>
      <c r="G37" s="48">
        <f>SUM($F$4:F37)+SUM($H$4:H37)</f>
        <v>24265</v>
      </c>
      <c r="H37" s="59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3" t="s">
        <v>41</v>
      </c>
      <c r="P37" s="53" t="s">
        <v>41</v>
      </c>
      <c r="Q37" s="69" t="s">
        <v>55</v>
      </c>
      <c r="R37" s="69" t="s">
        <v>55</v>
      </c>
      <c r="S37" s="69" t="s">
        <v>55</v>
      </c>
      <c r="T37" s="69" t="s">
        <v>55</v>
      </c>
      <c r="U37" s="69" t="s">
        <v>55</v>
      </c>
      <c r="V37" s="69" t="s">
        <v>55</v>
      </c>
      <c r="W37" s="53" t="s">
        <v>41</v>
      </c>
      <c r="X37" s="53" t="s">
        <v>41</v>
      </c>
      <c r="Y37" s="69" t="s">
        <v>55</v>
      </c>
      <c r="Z37" s="69" t="s">
        <v>55</v>
      </c>
      <c r="AA37" s="69" t="s">
        <v>55</v>
      </c>
      <c r="AB37" s="69" t="s">
        <v>55</v>
      </c>
      <c r="AC37" s="69" t="s">
        <v>55</v>
      </c>
      <c r="AD37" s="69" t="s">
        <v>55</v>
      </c>
      <c r="AE37" s="53" t="s">
        <v>41</v>
      </c>
      <c r="AF37" s="53" t="s">
        <v>41</v>
      </c>
      <c r="AG37" s="54">
        <f t="shared" si="13"/>
        <v>1</v>
      </c>
      <c r="AH37" s="70"/>
      <c r="AI37" s="70"/>
      <c r="AJ37" s="70">
        <v>1</v>
      </c>
      <c r="AK37" s="71" t="s">
        <v>58</v>
      </c>
      <c r="AL37" s="56">
        <f t="shared" si="8"/>
        <v>18</v>
      </c>
      <c r="AM37" s="56">
        <f t="shared" si="9"/>
        <v>12</v>
      </c>
      <c r="AN37" s="56">
        <f t="shared" si="10"/>
        <v>12</v>
      </c>
      <c r="AO37" s="52" t="s">
        <v>40</v>
      </c>
      <c r="AP37" s="18">
        <v>38</v>
      </c>
      <c r="AQ37" s="18">
        <f>AP37-AV17</f>
        <v>-1</v>
      </c>
      <c r="AR37">
        <f>AQ37*AP17*0.8</f>
        <v>-40</v>
      </c>
      <c r="AS37">
        <f>AQ37*AQ17</f>
        <v>-30</v>
      </c>
      <c r="BE37" s="22"/>
    </row>
    <row r="38" spans="1:57">
      <c r="A38" s="15">
        <v>46219</v>
      </c>
      <c r="B38" s="59">
        <v>1600</v>
      </c>
      <c r="C38" s="59"/>
      <c r="D38" s="48">
        <f>(SUM(粮草!A38:X38)+AG38*10*IF(AK38="是",$BB$4,$BB$3))</f>
        <v>960</v>
      </c>
      <c r="E38" s="50">
        <f>SUM($B$4:B38)+SUM($C$4:C38)-SUM($D$4:D38)</f>
        <v>3132</v>
      </c>
      <c r="F38" s="48">
        <f>SUM(经验!A38:X38)</f>
        <v>360</v>
      </c>
      <c r="G38" s="48">
        <f>SUM($F$4:F38)+SUM($H$4:H38)</f>
        <v>24625</v>
      </c>
      <c r="H38" s="59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3" t="s">
        <v>41</v>
      </c>
      <c r="P38" s="53" t="s">
        <v>41</v>
      </c>
      <c r="Q38" s="69" t="s">
        <v>55</v>
      </c>
      <c r="R38" s="69" t="s">
        <v>55</v>
      </c>
      <c r="S38" s="69" t="s">
        <v>55</v>
      </c>
      <c r="T38" s="69" t="s">
        <v>55</v>
      </c>
      <c r="U38" s="69" t="s">
        <v>55</v>
      </c>
      <c r="V38" s="69" t="s">
        <v>55</v>
      </c>
      <c r="W38" s="53" t="s">
        <v>41</v>
      </c>
      <c r="X38" s="53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53" t="s">
        <v>41</v>
      </c>
      <c r="AF38" s="53" t="s">
        <v>41</v>
      </c>
      <c r="AG38" s="54">
        <f t="shared" si="13"/>
        <v>0</v>
      </c>
      <c r="AH38" s="70"/>
      <c r="AI38" s="70"/>
      <c r="AJ38" s="70"/>
      <c r="AK38" s="71" t="s">
        <v>58</v>
      </c>
      <c r="AL38" s="56">
        <f t="shared" si="8"/>
        <v>18</v>
      </c>
      <c r="AM38" s="56">
        <f t="shared" si="9"/>
        <v>12</v>
      </c>
      <c r="AN38" s="56">
        <f t="shared" si="10"/>
        <v>18</v>
      </c>
      <c r="AO38" s="20" t="s">
        <v>44</v>
      </c>
      <c r="AP38" s="18">
        <v>35</v>
      </c>
      <c r="AQ38" s="18">
        <f>AP38-AV11</f>
        <v>-8</v>
      </c>
      <c r="AR38">
        <f>AQ38*AP11*0.8</f>
        <v>-960</v>
      </c>
      <c r="AS38">
        <f>AQ38*AQ11</f>
        <v>-320</v>
      </c>
      <c r="BE38" s="22"/>
    </row>
    <row r="39" spans="1:57">
      <c r="A39" s="15">
        <v>46220</v>
      </c>
      <c r="B39" s="59">
        <v>1600</v>
      </c>
      <c r="C39" s="59"/>
      <c r="D39" s="48">
        <f>(SUM(粮草!A39:X39)+AG39*10*IF(AK39="是",$BB$4,$BB$3))</f>
        <v>1808</v>
      </c>
      <c r="E39" s="50">
        <f>SUM($B$4:B39)+SUM($C$4:C39)-SUM($D$4:D39)</f>
        <v>2924</v>
      </c>
      <c r="F39" s="48">
        <f>SUM(经验!A39:X39)</f>
        <v>690</v>
      </c>
      <c r="G39" s="48">
        <f>SUM($F$4:F39)+SUM($H$4:H39)</f>
        <v>25315</v>
      </c>
      <c r="H39" s="5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3" t="s">
        <v>41</v>
      </c>
      <c r="P39" s="53" t="s">
        <v>41</v>
      </c>
      <c r="Q39" s="52" t="s">
        <v>99</v>
      </c>
      <c r="R39" s="69" t="s">
        <v>55</v>
      </c>
      <c r="S39" s="69" t="s">
        <v>55</v>
      </c>
      <c r="T39" s="69" t="s">
        <v>55</v>
      </c>
      <c r="U39" s="69" t="s">
        <v>55</v>
      </c>
      <c r="V39" s="69" t="s">
        <v>55</v>
      </c>
      <c r="W39" s="53" t="s">
        <v>41</v>
      </c>
      <c r="X39" s="53" t="s">
        <v>41</v>
      </c>
      <c r="Y39" s="69" t="s">
        <v>55</v>
      </c>
      <c r="Z39" s="69" t="s">
        <v>55</v>
      </c>
      <c r="AA39" s="69" t="s">
        <v>55</v>
      </c>
      <c r="AB39" s="69" t="s">
        <v>55</v>
      </c>
      <c r="AC39" s="69" t="s">
        <v>55</v>
      </c>
      <c r="AD39" s="69" t="s">
        <v>55</v>
      </c>
      <c r="AE39" s="53" t="s">
        <v>41</v>
      </c>
      <c r="AF39" s="53" t="s">
        <v>41</v>
      </c>
      <c r="AG39" s="54">
        <f t="shared" ref="AG39:AG49" si="15">AH39+AI39+AJ39</f>
        <v>1</v>
      </c>
      <c r="AH39" s="70"/>
      <c r="AI39" s="70"/>
      <c r="AJ39" s="70">
        <v>1</v>
      </c>
      <c r="AK39" s="71" t="s">
        <v>58</v>
      </c>
      <c r="AL39" s="56">
        <f t="shared" si="8"/>
        <v>18</v>
      </c>
      <c r="AM39" s="56">
        <f t="shared" si="9"/>
        <v>12</v>
      </c>
      <c r="AN39" s="56">
        <f t="shared" si="10"/>
        <v>12</v>
      </c>
      <c r="AO39" s="21" t="s">
        <v>53</v>
      </c>
      <c r="AP39" s="80">
        <v>4</v>
      </c>
      <c r="AQ39" s="18">
        <f>AP39-AV12</f>
        <v>0</v>
      </c>
      <c r="AR39">
        <f>AQ39*AP12*0.8</f>
        <v>0</v>
      </c>
      <c r="AS39">
        <f t="shared" si="14"/>
        <v>0</v>
      </c>
      <c r="BE39" s="22"/>
    </row>
    <row r="40" spans="1:57">
      <c r="A40" s="15">
        <v>46221</v>
      </c>
      <c r="B40" s="59">
        <v>1600</v>
      </c>
      <c r="C40" s="59"/>
      <c r="D40" s="48">
        <f>(SUM(粮草!A40:X40)+AG40*10*IF(AK40="是",$BB$4,$BB$3))</f>
        <v>960</v>
      </c>
      <c r="E40" s="50">
        <f>SUM($B$4:B40)+SUM($C$4:C40)-SUM($D$4:D40)</f>
        <v>3564</v>
      </c>
      <c r="F40" s="48">
        <f>SUM(经验!A40:X40)</f>
        <v>360</v>
      </c>
      <c r="G40" s="48">
        <f>SUM($F$4:F40)+SUM($H$4:H40)</f>
        <v>25675</v>
      </c>
      <c r="H40" s="59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3" t="s">
        <v>41</v>
      </c>
      <c r="P40" s="53" t="s">
        <v>41</v>
      </c>
      <c r="Q40" s="69" t="s">
        <v>55</v>
      </c>
      <c r="R40" s="69" t="s">
        <v>55</v>
      </c>
      <c r="S40" s="69" t="s">
        <v>55</v>
      </c>
      <c r="T40" s="69" t="s">
        <v>55</v>
      </c>
      <c r="U40" s="69" t="s">
        <v>55</v>
      </c>
      <c r="V40" s="69" t="s">
        <v>55</v>
      </c>
      <c r="W40" s="53" t="s">
        <v>41</v>
      </c>
      <c r="X40" s="53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3" t="s">
        <v>41</v>
      </c>
      <c r="AF40" s="53" t="s">
        <v>41</v>
      </c>
      <c r="AG40" s="54">
        <f t="shared" si="15"/>
        <v>0</v>
      </c>
      <c r="AH40" s="70"/>
      <c r="AI40" s="70"/>
      <c r="AJ40" s="70"/>
      <c r="AK40" s="71" t="s">
        <v>58</v>
      </c>
      <c r="AL40" s="56">
        <f t="shared" si="8"/>
        <v>18</v>
      </c>
      <c r="AM40" s="56">
        <f t="shared" si="9"/>
        <v>12</v>
      </c>
      <c r="AN40" s="56">
        <f t="shared" si="10"/>
        <v>18</v>
      </c>
      <c r="AO40" s="72" t="s">
        <v>59</v>
      </c>
      <c r="AP40" s="80">
        <v>3</v>
      </c>
      <c r="AQ40" s="18">
        <f>AP40-AV13</f>
        <v>0</v>
      </c>
      <c r="AR40">
        <f>AQ40*AP13*0.8</f>
        <v>0</v>
      </c>
      <c r="AS40">
        <f t="shared" si="14"/>
        <v>0</v>
      </c>
      <c r="BE40" s="22"/>
    </row>
    <row r="41" spans="1:57">
      <c r="A41" s="15">
        <v>46222</v>
      </c>
      <c r="B41" s="59">
        <v>1600</v>
      </c>
      <c r="C41" s="59"/>
      <c r="D41" s="48">
        <f>(SUM(粮草!A41:X41)+AG41*10*IF(AK41="是",$BB$4,$BB$3))</f>
        <v>1784</v>
      </c>
      <c r="E41" s="50">
        <f>SUM($B$4:B41)+SUM($C$4:C41)-SUM($D$4:D41)</f>
        <v>3380</v>
      </c>
      <c r="F41" s="48">
        <f>SUM(经验!A41:X41)</f>
        <v>680</v>
      </c>
      <c r="G41" s="48">
        <f>SUM($F$4:F41)+SUM($H$4:H41)</f>
        <v>26355</v>
      </c>
      <c r="H41" s="59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53" t="s">
        <v>41</v>
      </c>
      <c r="P41" s="53" t="s">
        <v>41</v>
      </c>
      <c r="Q41" s="69" t="s">
        <v>55</v>
      </c>
      <c r="R41" s="69" t="s">
        <v>55</v>
      </c>
      <c r="S41" s="69" t="s">
        <v>55</v>
      </c>
      <c r="T41" s="69" t="s">
        <v>55</v>
      </c>
      <c r="U41" s="69" t="s">
        <v>55</v>
      </c>
      <c r="V41" s="69" t="s">
        <v>55</v>
      </c>
      <c r="W41" s="53" t="s">
        <v>41</v>
      </c>
      <c r="X41" s="53" t="s">
        <v>41</v>
      </c>
      <c r="Y41" s="69" t="s">
        <v>55</v>
      </c>
      <c r="Z41" s="69" t="s">
        <v>55</v>
      </c>
      <c r="AA41" s="69" t="s">
        <v>55</v>
      </c>
      <c r="AB41" s="52" t="s">
        <v>40</v>
      </c>
      <c r="AC41" s="68" t="s">
        <v>54</v>
      </c>
      <c r="AD41" s="68" t="s">
        <v>54</v>
      </c>
      <c r="AE41" s="53" t="s">
        <v>41</v>
      </c>
      <c r="AF41" s="53" t="s">
        <v>41</v>
      </c>
      <c r="AG41" s="54">
        <f t="shared" si="15"/>
        <v>0</v>
      </c>
      <c r="AH41" s="70"/>
      <c r="AI41" s="70"/>
      <c r="AJ41" s="70"/>
      <c r="AK41" s="71" t="s">
        <v>58</v>
      </c>
      <c r="AL41" s="56">
        <f t="shared" si="8"/>
        <v>18</v>
      </c>
      <c r="AM41" s="56">
        <f t="shared" si="9"/>
        <v>12</v>
      </c>
      <c r="AN41" s="56">
        <f t="shared" si="10"/>
        <v>12</v>
      </c>
      <c r="AO41" s="73" t="s">
        <v>60</v>
      </c>
      <c r="AP41" s="80">
        <v>3</v>
      </c>
      <c r="AQ41" s="18">
        <f>AP41-AV14</f>
        <v>0</v>
      </c>
      <c r="AR41">
        <f>AQ41*AP14*0.8</f>
        <v>0</v>
      </c>
      <c r="AS41">
        <f t="shared" si="14"/>
        <v>0</v>
      </c>
      <c r="BE41" s="22"/>
    </row>
    <row r="42" spans="1:57">
      <c r="A42" s="15">
        <v>46223</v>
      </c>
      <c r="B42" s="48">
        <v>1600</v>
      </c>
      <c r="C42" s="49"/>
      <c r="D42" s="48">
        <f>(SUM(粮草!A42:X42)+AG42*10*IF(AK42="是",$BB$4,$BB$3))</f>
        <v>928</v>
      </c>
      <c r="E42" s="50">
        <f>SUM($B$4:B42)+SUM($C$4:C42)-SUM($D$4:D42)</f>
        <v>4052</v>
      </c>
      <c r="F42" s="48">
        <f>SUM(经验!A42:X42)</f>
        <v>340</v>
      </c>
      <c r="G42" s="48">
        <f>SUM($F$4:F42)+SUM($H$4:H42)</f>
        <v>26995</v>
      </c>
      <c r="H42" s="48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53" t="s">
        <v>41</v>
      </c>
      <c r="P42" s="53" t="s">
        <v>41</v>
      </c>
      <c r="Q42" s="69" t="s">
        <v>55</v>
      </c>
      <c r="R42" s="69" t="s">
        <v>55</v>
      </c>
      <c r="S42" s="69" t="s">
        <v>55</v>
      </c>
      <c r="T42" s="65" t="s">
        <v>51</v>
      </c>
      <c r="U42" s="65" t="s">
        <v>51</v>
      </c>
      <c r="V42" s="69" t="s">
        <v>55</v>
      </c>
      <c r="W42" s="53" t="s">
        <v>41</v>
      </c>
      <c r="X42" s="53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53" t="s">
        <v>41</v>
      </c>
      <c r="AF42" s="53" t="s">
        <v>41</v>
      </c>
      <c r="AG42" s="54">
        <f t="shared" si="15"/>
        <v>0</v>
      </c>
      <c r="AH42" s="70"/>
      <c r="AI42" s="70"/>
      <c r="AJ42" s="70"/>
      <c r="AK42" s="71" t="s">
        <v>58</v>
      </c>
      <c r="AL42" s="56">
        <f t="shared" si="8"/>
        <v>18</v>
      </c>
      <c r="AM42" s="56">
        <f t="shared" si="9"/>
        <v>12</v>
      </c>
      <c r="AN42" s="56">
        <f t="shared" si="10"/>
        <v>18</v>
      </c>
      <c r="AO42" s="74" t="s">
        <v>61</v>
      </c>
      <c r="AP42" s="80">
        <v>1</v>
      </c>
      <c r="AQ42" s="18">
        <f>AP42-AV15</f>
        <v>0</v>
      </c>
      <c r="AR42">
        <f>AQ42*AP15*0.8</f>
        <v>0</v>
      </c>
      <c r="AS42">
        <f t="shared" si="14"/>
        <v>0</v>
      </c>
      <c r="BE42" s="22"/>
    </row>
    <row r="43" spans="1:57">
      <c r="A43" s="15">
        <v>46224</v>
      </c>
      <c r="B43" s="48">
        <v>1600</v>
      </c>
      <c r="C43" s="49"/>
      <c r="D43" s="48">
        <f>(SUM(粮草!A43:X43)+AG43*10*IF(AK43="是",$BB$4,$BB$3))</f>
        <v>960</v>
      </c>
      <c r="E43" s="50">
        <f>SUM($B$4:B43)+SUM($C$4:C43)-SUM($D$4:D43)</f>
        <v>4692</v>
      </c>
      <c r="F43" s="48">
        <f>SUM(经验!A43:X43)</f>
        <v>360</v>
      </c>
      <c r="G43" s="48">
        <f>SUM($F$4:F43)+SUM($H$4:H43)</f>
        <v>27355</v>
      </c>
      <c r="H43" s="48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53" t="s">
        <v>41</v>
      </c>
      <c r="P43" s="53" t="s">
        <v>41</v>
      </c>
      <c r="Q43" s="69" t="s">
        <v>55</v>
      </c>
      <c r="R43" s="69" t="s">
        <v>55</v>
      </c>
      <c r="S43" s="69" t="s">
        <v>55</v>
      </c>
      <c r="T43" s="69" t="s">
        <v>55</v>
      </c>
      <c r="U43" s="69" t="s">
        <v>55</v>
      </c>
      <c r="V43" s="69" t="s">
        <v>55</v>
      </c>
      <c r="W43" s="53" t="s">
        <v>41</v>
      </c>
      <c r="X43" s="5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53" t="s">
        <v>41</v>
      </c>
      <c r="AF43" s="53" t="s">
        <v>41</v>
      </c>
      <c r="AG43" s="54">
        <f t="shared" si="15"/>
        <v>0</v>
      </c>
      <c r="AH43" s="70"/>
      <c r="AI43" s="70"/>
      <c r="AJ43" s="70"/>
      <c r="AK43" s="71" t="s">
        <v>58</v>
      </c>
      <c r="AL43" s="56">
        <f t="shared" si="8"/>
        <v>18</v>
      </c>
      <c r="AM43" s="56">
        <f t="shared" si="9"/>
        <v>12</v>
      </c>
      <c r="AN43" s="56">
        <f t="shared" si="10"/>
        <v>18</v>
      </c>
      <c r="AO43" s="78" t="s">
        <v>65</v>
      </c>
      <c r="AP43" s="80">
        <v>2</v>
      </c>
      <c r="AQ43" s="80">
        <f>AP43-AV23</f>
        <v>0</v>
      </c>
      <c r="AR43">
        <f>AQ43*AP23*0.8</f>
        <v>0</v>
      </c>
      <c r="AS43">
        <f>AQ43*AQ23</f>
        <v>0</v>
      </c>
      <c r="BE43" s="22"/>
    </row>
    <row r="44" spans="1:57">
      <c r="A44" s="87">
        <v>46225</v>
      </c>
      <c r="B44" s="48">
        <v>1600</v>
      </c>
      <c r="C44" s="49"/>
      <c r="D44" s="48">
        <f>(SUM(粮草!A44:X44)+AG44*10*IF(AK44="是",$BB$4,$BB$3))</f>
        <v>960</v>
      </c>
      <c r="E44" s="50">
        <f>SUM($B$4:B44)+SUM($C$4:C44)-SUM($D$4:D44)</f>
        <v>5332</v>
      </c>
      <c r="F44" s="48">
        <f>SUM(经验!A44:X44)</f>
        <v>360</v>
      </c>
      <c r="G44" s="48">
        <f>SUM($F$4:F44)+SUM($H$4:H44)</f>
        <v>27915</v>
      </c>
      <c r="H44" s="48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53" t="s">
        <v>41</v>
      </c>
      <c r="P44" s="53" t="s">
        <v>41</v>
      </c>
      <c r="Q44" s="69" t="s">
        <v>55</v>
      </c>
      <c r="R44" s="69" t="s">
        <v>55</v>
      </c>
      <c r="S44" s="69" t="s">
        <v>55</v>
      </c>
      <c r="T44" s="69" t="s">
        <v>55</v>
      </c>
      <c r="U44" s="69" t="s">
        <v>55</v>
      </c>
      <c r="V44" s="69" t="s">
        <v>55</v>
      </c>
      <c r="W44" s="53" t="s">
        <v>41</v>
      </c>
      <c r="X44" s="53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53" t="s">
        <v>41</v>
      </c>
      <c r="AF44" s="53" t="s">
        <v>41</v>
      </c>
      <c r="AG44" s="54">
        <f t="shared" si="15"/>
        <v>0</v>
      </c>
      <c r="AH44" s="70"/>
      <c r="AI44" s="70"/>
      <c r="AJ44" s="70"/>
      <c r="AK44" s="71" t="s">
        <v>58</v>
      </c>
      <c r="AL44" s="56">
        <f t="shared" si="8"/>
        <v>18</v>
      </c>
      <c r="AM44" s="56">
        <f t="shared" si="9"/>
        <v>12</v>
      </c>
      <c r="AN44" s="56">
        <f t="shared" si="10"/>
        <v>18</v>
      </c>
      <c r="AO44" s="79" t="s">
        <v>68</v>
      </c>
      <c r="AP44" s="80">
        <v>3</v>
      </c>
      <c r="AQ44">
        <f>AP44-AV29</f>
        <v>0</v>
      </c>
      <c r="AR44">
        <f>AQ44*AP29*0.8</f>
        <v>0</v>
      </c>
      <c r="AS44">
        <f>AQ44*AQ29</f>
        <v>0</v>
      </c>
      <c r="BE44" s="22"/>
    </row>
    <row r="45" spans="1:57">
      <c r="A45" s="87">
        <v>46226</v>
      </c>
      <c r="B45" s="48">
        <v>1600</v>
      </c>
      <c r="C45" s="49"/>
      <c r="D45" s="48">
        <f>(SUM(粮草!A45:X45)+AG45*10*IF(AK45="是",$BB$4,$BB$3))</f>
        <v>944</v>
      </c>
      <c r="E45" s="50">
        <f>SUM($B$4:B45)+SUM($C$4:C45)-SUM($D$4:D45)</f>
        <v>5988</v>
      </c>
      <c r="F45" s="48">
        <f>SUM(经验!A45:X45)</f>
        <v>350</v>
      </c>
      <c r="G45" s="48">
        <f>SUM($F$4:F45)+SUM($H$4:H45)</f>
        <v>28265</v>
      </c>
      <c r="H45" s="48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53" t="s">
        <v>41</v>
      </c>
      <c r="P45" s="53" t="s">
        <v>41</v>
      </c>
      <c r="Q45" s="69" t="s">
        <v>55</v>
      </c>
      <c r="R45" s="69" t="s">
        <v>55</v>
      </c>
      <c r="S45" s="65" t="s">
        <v>51</v>
      </c>
      <c r="T45" s="69" t="s">
        <v>55</v>
      </c>
      <c r="U45" s="69" t="s">
        <v>55</v>
      </c>
      <c r="V45" s="69" t="s">
        <v>55</v>
      </c>
      <c r="W45" s="53" t="s">
        <v>41</v>
      </c>
      <c r="X45" s="53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53" t="s">
        <v>41</v>
      </c>
      <c r="AF45" s="53" t="s">
        <v>41</v>
      </c>
      <c r="AG45" s="54">
        <f t="shared" si="15"/>
        <v>0</v>
      </c>
      <c r="AH45" s="70"/>
      <c r="AI45" s="70"/>
      <c r="AJ45" s="70"/>
      <c r="AK45" s="71" t="s">
        <v>58</v>
      </c>
      <c r="AL45" s="56">
        <f t="shared" si="8"/>
        <v>18</v>
      </c>
      <c r="AM45" s="56">
        <f t="shared" si="9"/>
        <v>12</v>
      </c>
      <c r="AN45" s="56">
        <f t="shared" si="10"/>
        <v>18</v>
      </c>
      <c r="AO45" s="77" t="s">
        <v>64</v>
      </c>
      <c r="AP45" s="80">
        <v>2</v>
      </c>
      <c r="AQ45">
        <f>AP45-AV22</f>
        <v>0</v>
      </c>
      <c r="AR45">
        <f>AQ45*AP22*0.8</f>
        <v>0</v>
      </c>
      <c r="AS45">
        <f>AQ45*AQ22</f>
        <v>0</v>
      </c>
      <c r="BE45" s="22"/>
    </row>
    <row r="46" spans="1:57">
      <c r="A46" s="87">
        <v>46227</v>
      </c>
      <c r="B46" s="48">
        <v>1600</v>
      </c>
      <c r="C46" s="49"/>
      <c r="D46" s="48">
        <f>(SUM(粮草!A46:X46)+AG46*10*IF(AK46="是",$BB$4,$BB$3))</f>
        <v>1808</v>
      </c>
      <c r="E46" s="50">
        <f>SUM($B$4:B46)+SUM($C$4:C46)-SUM($D$4:D46)</f>
        <v>5780</v>
      </c>
      <c r="F46" s="48">
        <f>SUM(经验!A46:X46)</f>
        <v>650</v>
      </c>
      <c r="G46" s="48">
        <f>SUM($F$4:F46)+SUM($H$4:H46)</f>
        <v>28915</v>
      </c>
      <c r="H46" s="48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53" t="s">
        <v>41</v>
      </c>
      <c r="P46" s="53" t="s">
        <v>41</v>
      </c>
      <c r="Q46" s="69" t="s">
        <v>55</v>
      </c>
      <c r="R46" s="69" t="s">
        <v>55</v>
      </c>
      <c r="S46" s="65" t="s">
        <v>51</v>
      </c>
      <c r="T46" s="65" t="s">
        <v>51</v>
      </c>
      <c r="U46" s="65" t="s">
        <v>51</v>
      </c>
      <c r="V46" s="65" t="s">
        <v>51</v>
      </c>
      <c r="W46" s="53" t="s">
        <v>41</v>
      </c>
      <c r="X46" s="53" t="s">
        <v>41</v>
      </c>
      <c r="Y46" s="99" t="s">
        <v>54</v>
      </c>
      <c r="Z46" s="99" t="s">
        <v>54</v>
      </c>
      <c r="AA46" s="99" t="s">
        <v>54</v>
      </c>
      <c r="AB46" s="99" t="s">
        <v>54</v>
      </c>
      <c r="AC46" s="99" t="s">
        <v>54</v>
      </c>
      <c r="AD46" s="99" t="s">
        <v>54</v>
      </c>
      <c r="AE46" s="53" t="s">
        <v>41</v>
      </c>
      <c r="AF46" s="53" t="s">
        <v>41</v>
      </c>
      <c r="AG46" s="54">
        <f t="shared" si="15"/>
        <v>0</v>
      </c>
      <c r="AH46" s="70"/>
      <c r="AI46" s="70"/>
      <c r="AJ46" s="70"/>
      <c r="AK46" s="71" t="s">
        <v>58</v>
      </c>
      <c r="AL46" s="56">
        <f t="shared" si="8"/>
        <v>18</v>
      </c>
      <c r="AM46" s="56">
        <f t="shared" si="9"/>
        <v>12</v>
      </c>
      <c r="AN46" s="56">
        <f t="shared" si="10"/>
        <v>12</v>
      </c>
      <c r="AO46" t="s">
        <v>73</v>
      </c>
      <c r="AQ46">
        <f>SUM(AQ33:AQ43)</f>
        <v>18</v>
      </c>
      <c r="AR46">
        <f>SUM(AR33:AR45)</f>
        <v>2920</v>
      </c>
      <c r="AS46">
        <f>SUM(AS33:AS45)</f>
        <v>1020</v>
      </c>
      <c r="BE46" s="22"/>
    </row>
    <row r="47" spans="1:57">
      <c r="A47" s="87">
        <v>46228</v>
      </c>
      <c r="B47" s="48">
        <v>1600</v>
      </c>
      <c r="C47" s="49"/>
      <c r="D47" s="48">
        <f>(SUM(粮草!A47:X47)+AG47*10*IF(AK47="是",$BB$4,$BB$3))</f>
        <v>1776</v>
      </c>
      <c r="E47" s="50">
        <f>SUM($B$4:B47)+SUM($C$4:C47)-SUM($D$4:D47)</f>
        <v>5604</v>
      </c>
      <c r="F47" s="48">
        <f>SUM(经验!A47:X47)</f>
        <v>630</v>
      </c>
      <c r="G47" s="48">
        <f>SUM($F$4:F47)+SUM($H$4:H47)</f>
        <v>29545</v>
      </c>
      <c r="H47" s="48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53" t="s">
        <v>41</v>
      </c>
      <c r="P47" s="53" t="s">
        <v>41</v>
      </c>
      <c r="Q47" s="65" t="s">
        <v>51</v>
      </c>
      <c r="R47" s="65" t="s">
        <v>51</v>
      </c>
      <c r="S47" s="65" t="s">
        <v>51</v>
      </c>
      <c r="T47" s="65" t="s">
        <v>51</v>
      </c>
      <c r="U47" s="65" t="s">
        <v>51</v>
      </c>
      <c r="V47" s="65" t="s">
        <v>51</v>
      </c>
      <c r="W47" s="53" t="s">
        <v>41</v>
      </c>
      <c r="X47" s="53" t="s">
        <v>41</v>
      </c>
      <c r="Y47" s="99" t="s">
        <v>54</v>
      </c>
      <c r="Z47" s="99" t="s">
        <v>54</v>
      </c>
      <c r="AA47" s="99" t="s">
        <v>54</v>
      </c>
      <c r="AB47" s="99" t="s">
        <v>54</v>
      </c>
      <c r="AC47" s="99" t="s">
        <v>54</v>
      </c>
      <c r="AD47" s="99" t="s">
        <v>54</v>
      </c>
      <c r="AE47" s="53" t="s">
        <v>41</v>
      </c>
      <c r="AF47" s="53" t="s">
        <v>41</v>
      </c>
      <c r="AG47" s="54">
        <f t="shared" si="15"/>
        <v>0</v>
      </c>
      <c r="AH47" s="70"/>
      <c r="AI47" s="70"/>
      <c r="AJ47" s="70"/>
      <c r="AK47" s="71" t="s">
        <v>58</v>
      </c>
      <c r="AL47" s="56">
        <f t="shared" si="8"/>
        <v>18</v>
      </c>
      <c r="AM47" s="56">
        <f t="shared" si="9"/>
        <v>12</v>
      </c>
      <c r="AN47" s="56">
        <f t="shared" si="10"/>
        <v>12</v>
      </c>
      <c r="AQ47" s="81" t="s">
        <v>74</v>
      </c>
      <c r="AR47" s="81">
        <f>E93-AR46</f>
        <v>124</v>
      </c>
      <c r="AS47" s="81">
        <f>AS46+G93</f>
        <v>64480</v>
      </c>
      <c r="BE47" s="22"/>
    </row>
    <row r="48" spans="1:57">
      <c r="A48" s="87">
        <v>46229</v>
      </c>
      <c r="B48" s="48">
        <v>1600</v>
      </c>
      <c r="C48" s="49"/>
      <c r="D48" s="48">
        <f>(SUM(粮草!A48:X48)+AG48*10*IF(AK48="是",$BB$4,$BB$3))</f>
        <v>1672</v>
      </c>
      <c r="E48" s="50">
        <f>SUM($B$4:B48)+SUM($C$4:C48)-SUM($D$4:D48)</f>
        <v>5532</v>
      </c>
      <c r="F48" s="48">
        <f>SUM(经验!A48:X48)</f>
        <v>610</v>
      </c>
      <c r="G48" s="48">
        <f>SUM($F$4:F48)+SUM($H$4:H48)</f>
        <v>30155</v>
      </c>
      <c r="H48" s="48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3" t="s">
        <v>41</v>
      </c>
      <c r="P48" s="53" t="s">
        <v>41</v>
      </c>
      <c r="Q48" s="65" t="s">
        <v>51</v>
      </c>
      <c r="R48" s="65" t="s">
        <v>51</v>
      </c>
      <c r="S48" s="65" t="s">
        <v>51</v>
      </c>
      <c r="T48" s="52" t="s">
        <v>40</v>
      </c>
      <c r="U48" s="65" t="s">
        <v>51</v>
      </c>
      <c r="V48" s="65" t="s">
        <v>51</v>
      </c>
      <c r="W48" s="53" t="s">
        <v>41</v>
      </c>
      <c r="X48" s="53" t="s">
        <v>41</v>
      </c>
      <c r="Y48" s="99" t="s">
        <v>54</v>
      </c>
      <c r="Z48" s="99" t="s">
        <v>54</v>
      </c>
      <c r="AA48" s="99" t="s">
        <v>54</v>
      </c>
      <c r="AB48" s="99" t="s">
        <v>54</v>
      </c>
      <c r="AC48" s="99" t="s">
        <v>54</v>
      </c>
      <c r="AD48" s="99" t="s">
        <v>54</v>
      </c>
      <c r="AE48" s="53" t="s">
        <v>41</v>
      </c>
      <c r="AF48" s="53" t="s">
        <v>41</v>
      </c>
      <c r="AG48" s="54">
        <f t="shared" si="15"/>
        <v>0</v>
      </c>
      <c r="AH48" s="70"/>
      <c r="AI48" s="70"/>
      <c r="AJ48" s="70"/>
      <c r="AK48" s="71" t="s">
        <v>58</v>
      </c>
      <c r="AL48" s="56">
        <f t="shared" si="8"/>
        <v>18</v>
      </c>
      <c r="AM48" s="56">
        <f t="shared" si="9"/>
        <v>12</v>
      </c>
      <c r="AN48" s="56">
        <f t="shared" si="10"/>
        <v>12</v>
      </c>
      <c r="AQ48" s="137" t="s">
        <v>75</v>
      </c>
      <c r="AR48" s="137"/>
      <c r="BE48" s="22"/>
    </row>
    <row r="49" spans="1:57">
      <c r="A49" s="87">
        <v>46230</v>
      </c>
      <c r="B49" s="59">
        <v>1600</v>
      </c>
      <c r="C49" s="59"/>
      <c r="D49" s="48">
        <f>(SUM(粮草!A49:X49)+AG49*10*IF(AK49="是",$BB$4,$BB$3))</f>
        <v>1720</v>
      </c>
      <c r="E49" s="50">
        <f>SUM($B$4:B49)+SUM($C$4:C49)-SUM($D$4:D49)</f>
        <v>5412</v>
      </c>
      <c r="F49" s="48">
        <f>SUM(经验!A49:X49)</f>
        <v>610</v>
      </c>
      <c r="G49" s="48">
        <f>SUM($F$4:F49)+SUM($H$4:H49)</f>
        <v>30965</v>
      </c>
      <c r="H49" s="5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3" t="s">
        <v>41</v>
      </c>
      <c r="P49" s="53" t="s">
        <v>41</v>
      </c>
      <c r="Q49" s="20" t="s">
        <v>44</v>
      </c>
      <c r="R49" s="65" t="s">
        <v>51</v>
      </c>
      <c r="S49" s="65" t="s">
        <v>51</v>
      </c>
      <c r="T49" s="65" t="s">
        <v>51</v>
      </c>
      <c r="U49" s="65" t="s">
        <v>51</v>
      </c>
      <c r="V49" s="65" t="s">
        <v>51</v>
      </c>
      <c r="W49" s="53" t="s">
        <v>41</v>
      </c>
      <c r="X49" s="53" t="s">
        <v>41</v>
      </c>
      <c r="Y49" s="21" t="s">
        <v>57</v>
      </c>
      <c r="Z49" s="103" t="s">
        <v>54</v>
      </c>
      <c r="AA49" s="103" t="s">
        <v>54</v>
      </c>
      <c r="AB49" s="103" t="s">
        <v>54</v>
      </c>
      <c r="AC49" s="103" t="s">
        <v>54</v>
      </c>
      <c r="AD49" s="103" t="s">
        <v>54</v>
      </c>
      <c r="AE49" s="53" t="s">
        <v>41</v>
      </c>
      <c r="AF49" s="53" t="s">
        <v>41</v>
      </c>
      <c r="AG49" s="54">
        <f t="shared" si="15"/>
        <v>0</v>
      </c>
      <c r="AH49" s="70"/>
      <c r="AI49" s="70"/>
      <c r="AJ49" s="70"/>
      <c r="AK49" s="71" t="s">
        <v>58</v>
      </c>
      <c r="AL49" s="56">
        <f t="shared" si="8"/>
        <v>18</v>
      </c>
      <c r="AM49" s="56">
        <f t="shared" si="9"/>
        <v>12</v>
      </c>
      <c r="AN49" s="56">
        <f t="shared" si="10"/>
        <v>12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2"/>
    </row>
    <row r="50" spans="1:57">
      <c r="A50" s="87">
        <v>46231</v>
      </c>
      <c r="B50" s="59">
        <v>1600</v>
      </c>
      <c r="C50" s="59"/>
      <c r="D50" s="48">
        <f>(SUM(粮草!A50:X50)+AG50*10*IF(AK50="是",$BB$4,$BB$3))</f>
        <v>1824</v>
      </c>
      <c r="E50" s="50">
        <f>SUM($B$4:B50)+SUM($C$4:C50)-SUM($D$4:D50)</f>
        <v>5188</v>
      </c>
      <c r="F50" s="48">
        <f>SUM(经验!A50:X50)</f>
        <v>660</v>
      </c>
      <c r="G50" s="48">
        <f>SUM($F$4:F50)+SUM($H$4:H50)</f>
        <v>31725</v>
      </c>
      <c r="H50" s="59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3" t="s">
        <v>41</v>
      </c>
      <c r="P50" s="53" t="s">
        <v>41</v>
      </c>
      <c r="Q50" s="65" t="s">
        <v>51</v>
      </c>
      <c r="R50" s="65" t="s">
        <v>51</v>
      </c>
      <c r="S50" s="65" t="s">
        <v>51</v>
      </c>
      <c r="T50" s="65" t="s">
        <v>51</v>
      </c>
      <c r="U50" s="65" t="s">
        <v>51</v>
      </c>
      <c r="V50" s="65" t="s">
        <v>51</v>
      </c>
      <c r="W50" s="53" t="s">
        <v>41</v>
      </c>
      <c r="X50" s="53" t="s">
        <v>41</v>
      </c>
      <c r="Y50" s="104" t="s">
        <v>55</v>
      </c>
      <c r="Z50" s="104" t="s">
        <v>55</v>
      </c>
      <c r="AA50" s="104" t="s">
        <v>55</v>
      </c>
      <c r="AB50" s="104" t="s">
        <v>55</v>
      </c>
      <c r="AC50" s="104" t="s">
        <v>55</v>
      </c>
      <c r="AD50" s="69" t="s">
        <v>55</v>
      </c>
      <c r="AE50" s="53" t="s">
        <v>41</v>
      </c>
      <c r="AF50" s="53" t="s">
        <v>41</v>
      </c>
      <c r="AG50" s="54">
        <f t="shared" ref="AG50:AG69" si="16">AH50+AI50+AJ50</f>
        <v>0</v>
      </c>
      <c r="AH50" s="70"/>
      <c r="AI50" s="70"/>
      <c r="AJ50" s="70"/>
      <c r="AK50" s="71" t="s">
        <v>58</v>
      </c>
      <c r="AL50" s="56">
        <f t="shared" si="8"/>
        <v>18</v>
      </c>
      <c r="AM50" s="56">
        <f t="shared" si="9"/>
        <v>12</v>
      </c>
      <c r="AN50" s="56">
        <f t="shared" si="10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46">
        <f>COUNTIF(I4:AF13,$AO$18)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2"/>
    </row>
    <row r="51" spans="1:57">
      <c r="A51" s="87">
        <v>46232</v>
      </c>
      <c r="B51" s="59">
        <v>1600</v>
      </c>
      <c r="C51" s="59"/>
      <c r="D51" s="48">
        <f>(SUM(粮草!A51:X51)+AG51*10*IF(AK51="是",$BB$4,$BB$3))</f>
        <v>1824</v>
      </c>
      <c r="E51" s="50">
        <f>SUM($B$4:B51)+SUM($C$4:C51)-SUM($D$4:D51)</f>
        <v>4964</v>
      </c>
      <c r="F51" s="48">
        <f>SUM(经验!A51:X51)</f>
        <v>660</v>
      </c>
      <c r="G51" s="48">
        <f>SUM($F$4:F51)+SUM($H$4:H51)</f>
        <v>32585</v>
      </c>
      <c r="H51" s="59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3" t="s">
        <v>41</v>
      </c>
      <c r="P51" s="53" t="s">
        <v>41</v>
      </c>
      <c r="Q51" s="65" t="s">
        <v>51</v>
      </c>
      <c r="R51" s="65" t="s">
        <v>51</v>
      </c>
      <c r="S51" s="65" t="s">
        <v>51</v>
      </c>
      <c r="T51" s="65" t="s">
        <v>51</v>
      </c>
      <c r="U51" s="65" t="s">
        <v>51</v>
      </c>
      <c r="V51" s="65" t="s">
        <v>51</v>
      </c>
      <c r="W51" s="53" t="s">
        <v>41</v>
      </c>
      <c r="X51" s="53" t="s">
        <v>41</v>
      </c>
      <c r="Y51" s="69" t="s">
        <v>55</v>
      </c>
      <c r="Z51" s="69" t="s">
        <v>55</v>
      </c>
      <c r="AA51" s="69" t="s">
        <v>55</v>
      </c>
      <c r="AB51" s="69" t="s">
        <v>55</v>
      </c>
      <c r="AC51" s="69" t="s">
        <v>55</v>
      </c>
      <c r="AD51" s="69" t="s">
        <v>55</v>
      </c>
      <c r="AE51" s="53" t="s">
        <v>41</v>
      </c>
      <c r="AF51" s="53" t="s">
        <v>41</v>
      </c>
      <c r="AG51" s="54">
        <f t="shared" si="16"/>
        <v>0</v>
      </c>
      <c r="AH51" s="70"/>
      <c r="AI51" s="70"/>
      <c r="AJ51" s="70"/>
      <c r="AK51" s="71" t="s">
        <v>58</v>
      </c>
      <c r="AL51" s="56">
        <f t="shared" si="8"/>
        <v>18</v>
      </c>
      <c r="AM51" s="56">
        <f t="shared" si="9"/>
        <v>12</v>
      </c>
      <c r="AN51" s="56">
        <f t="shared" si="10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46">
        <f>COUNTIF(I14:AF23,$AO$18)</f>
        <v>7</v>
      </c>
      <c r="AT51">
        <f>AP51*AS51</f>
        <v>1750</v>
      </c>
      <c r="AV51">
        <v>1</v>
      </c>
      <c r="AW51">
        <v>160</v>
      </c>
      <c r="BE51" s="22"/>
    </row>
    <row r="52" spans="1:57">
      <c r="A52" s="87">
        <v>46233</v>
      </c>
      <c r="B52" s="59">
        <v>1600</v>
      </c>
      <c r="C52" s="59"/>
      <c r="D52" s="48">
        <f>(SUM(粮草!A52:X52)+AG52*10*IF(AK52="是",$BB$4,$BB$3))</f>
        <v>1744</v>
      </c>
      <c r="E52" s="50">
        <f>SUM($B$4:B52)+SUM($C$4:C52)-SUM($D$4:D52)</f>
        <v>4820</v>
      </c>
      <c r="F52" s="48">
        <f>SUM(经验!A52:X52)</f>
        <v>630</v>
      </c>
      <c r="G52" s="48">
        <f>SUM($F$4:F52)+SUM($H$4:H52)</f>
        <v>33215</v>
      </c>
      <c r="H52" s="59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3" t="s">
        <v>41</v>
      </c>
      <c r="P52" s="53" t="s">
        <v>41</v>
      </c>
      <c r="Q52" s="65" t="s">
        <v>51</v>
      </c>
      <c r="R52" s="65" t="s">
        <v>51</v>
      </c>
      <c r="S52" s="65" t="s">
        <v>51</v>
      </c>
      <c r="T52" s="65" t="s">
        <v>51</v>
      </c>
      <c r="U52" s="20" t="s">
        <v>44</v>
      </c>
      <c r="V52" s="65" t="s">
        <v>51</v>
      </c>
      <c r="W52" s="53" t="s">
        <v>41</v>
      </c>
      <c r="X52" s="53" t="s">
        <v>41</v>
      </c>
      <c r="Y52" s="65" t="s">
        <v>51</v>
      </c>
      <c r="Z52" s="69" t="s">
        <v>55</v>
      </c>
      <c r="AA52" s="69" t="s">
        <v>55</v>
      </c>
      <c r="AB52" s="69" t="s">
        <v>55</v>
      </c>
      <c r="AC52" s="72" t="s">
        <v>59</v>
      </c>
      <c r="AD52" s="69" t="s">
        <v>55</v>
      </c>
      <c r="AE52" s="53" t="s">
        <v>41</v>
      </c>
      <c r="AF52" s="53" t="s">
        <v>41</v>
      </c>
      <c r="AG52" s="54">
        <f t="shared" si="16"/>
        <v>0</v>
      </c>
      <c r="AH52" s="70"/>
      <c r="AI52" s="70"/>
      <c r="AJ52" s="70"/>
      <c r="AK52" s="71" t="s">
        <v>58</v>
      </c>
      <c r="AL52" s="56">
        <f t="shared" si="8"/>
        <v>18</v>
      </c>
      <c r="AM52" s="56">
        <f t="shared" si="9"/>
        <v>12</v>
      </c>
      <c r="AN52" s="56">
        <f t="shared" si="10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46">
        <f>COUNTIF(I24:AF43,$AO$18)</f>
        <v>0</v>
      </c>
      <c r="AT52">
        <f>AP52*AS52</f>
        <v>0</v>
      </c>
      <c r="BE52" s="22"/>
    </row>
    <row r="53" spans="1:57">
      <c r="A53" s="87">
        <v>46234</v>
      </c>
      <c r="B53" s="59">
        <v>1600</v>
      </c>
      <c r="C53" s="59"/>
      <c r="D53" s="48">
        <f>(SUM(粮草!A53:X53)+AG53*10*IF(AK53="是",$BB$4,$BB$3))</f>
        <v>1824</v>
      </c>
      <c r="E53" s="50">
        <f>SUM($B$4:B53)+SUM($C$4:C53)-SUM($D$4:D53)</f>
        <v>4596</v>
      </c>
      <c r="F53" s="48">
        <f>SUM(经验!A53:X53)</f>
        <v>660</v>
      </c>
      <c r="G53" s="48">
        <f>SUM($F$4:F53)+SUM($H$4:H53)</f>
        <v>33875</v>
      </c>
      <c r="H53" s="59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3" t="s">
        <v>41</v>
      </c>
      <c r="P53" s="53" t="s">
        <v>41</v>
      </c>
      <c r="Q53" s="65" t="s">
        <v>51</v>
      </c>
      <c r="R53" s="65" t="s">
        <v>51</v>
      </c>
      <c r="S53" s="65" t="s">
        <v>51</v>
      </c>
      <c r="T53" s="65" t="s">
        <v>51</v>
      </c>
      <c r="U53" s="65" t="s">
        <v>51</v>
      </c>
      <c r="V53" s="65" t="s">
        <v>51</v>
      </c>
      <c r="W53" s="53" t="s">
        <v>41</v>
      </c>
      <c r="X53" s="53" t="s">
        <v>41</v>
      </c>
      <c r="Y53" s="69" t="s">
        <v>55</v>
      </c>
      <c r="Z53" s="69" t="s">
        <v>55</v>
      </c>
      <c r="AA53" s="69" t="s">
        <v>55</v>
      </c>
      <c r="AB53" s="69" t="s">
        <v>55</v>
      </c>
      <c r="AC53" s="69" t="s">
        <v>55</v>
      </c>
      <c r="AD53" s="69" t="s">
        <v>55</v>
      </c>
      <c r="AE53" s="53" t="s">
        <v>41</v>
      </c>
      <c r="AF53" s="53" t="s">
        <v>41</v>
      </c>
      <c r="AG53" s="54">
        <f t="shared" si="16"/>
        <v>0</v>
      </c>
      <c r="AH53" s="70"/>
      <c r="AI53" s="70"/>
      <c r="AJ53" s="70"/>
      <c r="AK53" s="71" t="s">
        <v>58</v>
      </c>
      <c r="AL53" s="56">
        <f t="shared" si="8"/>
        <v>18</v>
      </c>
      <c r="AM53" s="56">
        <f t="shared" si="9"/>
        <v>12</v>
      </c>
      <c r="AN53" s="56">
        <f t="shared" si="10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46">
        <f>COUNTIF(I44:AF64,$AO$18)</f>
        <v>0</v>
      </c>
      <c r="AT53">
        <f>AP53*AS53</f>
        <v>0</v>
      </c>
      <c r="BE53" s="22"/>
    </row>
    <row r="54" spans="1:57">
      <c r="A54" s="87">
        <v>46235</v>
      </c>
      <c r="B54" s="59">
        <v>1600</v>
      </c>
      <c r="C54" s="59"/>
      <c r="D54" s="48">
        <f>(SUM(粮草!A54:X54)+AG54*10*IF(AK54="是",$BB$4,$BB$3))</f>
        <v>1760</v>
      </c>
      <c r="E54" s="50">
        <f>SUM($B$4:B54)+SUM($C$4:C54)-SUM($D$4:D54)</f>
        <v>4436</v>
      </c>
      <c r="F54" s="48">
        <f>SUM(经验!A54:X54)</f>
        <v>620</v>
      </c>
      <c r="G54" s="48">
        <f>SUM($F$4:F54)+SUM($H$4:H54)</f>
        <v>34495</v>
      </c>
      <c r="H54" s="59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3" t="s">
        <v>41</v>
      </c>
      <c r="P54" s="53" t="s">
        <v>41</v>
      </c>
      <c r="Q54" s="65" t="s">
        <v>51</v>
      </c>
      <c r="R54" s="102" t="s">
        <v>100</v>
      </c>
      <c r="S54" s="102" t="s">
        <v>100</v>
      </c>
      <c r="T54" s="65" t="s">
        <v>51</v>
      </c>
      <c r="U54" s="65" t="s">
        <v>51</v>
      </c>
      <c r="V54" s="65" t="s">
        <v>51</v>
      </c>
      <c r="W54" s="53" t="s">
        <v>41</v>
      </c>
      <c r="X54" s="53" t="s">
        <v>41</v>
      </c>
      <c r="Y54" s="69" t="s">
        <v>55</v>
      </c>
      <c r="Z54" s="65" t="s">
        <v>51</v>
      </c>
      <c r="AA54" s="65" t="s">
        <v>51</v>
      </c>
      <c r="AB54" s="65" t="s">
        <v>51</v>
      </c>
      <c r="AC54" s="65" t="s">
        <v>51</v>
      </c>
      <c r="AD54" s="65" t="s">
        <v>51</v>
      </c>
      <c r="AE54" s="53" t="s">
        <v>41</v>
      </c>
      <c r="AF54" s="53" t="s">
        <v>41</v>
      </c>
      <c r="AG54" s="54">
        <f t="shared" si="16"/>
        <v>0</v>
      </c>
      <c r="AH54" s="70"/>
      <c r="AI54" s="70"/>
      <c r="AJ54" s="70"/>
      <c r="AK54" s="71" t="s">
        <v>58</v>
      </c>
      <c r="AL54" s="56">
        <f t="shared" si="8"/>
        <v>18</v>
      </c>
      <c r="AM54" s="56">
        <f t="shared" si="9"/>
        <v>12</v>
      </c>
      <c r="AN54" s="56">
        <f t="shared" si="10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46">
        <f>COUNTIF(I65:AF93,$AO$18)</f>
        <v>0</v>
      </c>
      <c r="AT54">
        <f>AP54*AS54</f>
        <v>0</v>
      </c>
      <c r="BE54" s="22"/>
    </row>
    <row r="55" spans="1:57">
      <c r="A55" s="87">
        <v>46236</v>
      </c>
      <c r="B55" s="59">
        <v>1600</v>
      </c>
      <c r="C55" s="59"/>
      <c r="D55" s="48">
        <f>(SUM(粮草!A55:X55)+AG55*10*IF(AK55="是",$BB$4,$BB$3))</f>
        <v>1648</v>
      </c>
      <c r="E55" s="50">
        <f>SUM($B$4:B55)+SUM($C$4:C55)-SUM($D$4:D55)</f>
        <v>4388</v>
      </c>
      <c r="F55" s="48">
        <f>SUM(经验!A55:X55)</f>
        <v>595</v>
      </c>
      <c r="G55" s="48">
        <f>SUM($F$4:F55)+SUM($H$4:H55)</f>
        <v>35090</v>
      </c>
      <c r="H55" s="59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3" t="s">
        <v>41</v>
      </c>
      <c r="P55" s="53" t="s">
        <v>41</v>
      </c>
      <c r="Q55" s="102" t="s">
        <v>100</v>
      </c>
      <c r="R55" s="65" t="s">
        <v>51</v>
      </c>
      <c r="S55" s="65" t="s">
        <v>51</v>
      </c>
      <c r="T55" s="52" t="s">
        <v>40</v>
      </c>
      <c r="U55" s="65" t="s">
        <v>51</v>
      </c>
      <c r="V55" s="65" t="s">
        <v>51</v>
      </c>
      <c r="W55" s="53" t="s">
        <v>41</v>
      </c>
      <c r="X55" s="53" t="s">
        <v>41</v>
      </c>
      <c r="Y55" s="65" t="s">
        <v>51</v>
      </c>
      <c r="Z55" s="65" t="s">
        <v>51</v>
      </c>
      <c r="AA55" s="65" t="s">
        <v>51</v>
      </c>
      <c r="AB55" s="65" t="s">
        <v>51</v>
      </c>
      <c r="AC55" s="99" t="s">
        <v>54</v>
      </c>
      <c r="AD55" s="99" t="s">
        <v>54</v>
      </c>
      <c r="AE55" s="53" t="s">
        <v>41</v>
      </c>
      <c r="AF55" s="53" t="s">
        <v>41</v>
      </c>
      <c r="AG55" s="54">
        <f t="shared" si="16"/>
        <v>0</v>
      </c>
      <c r="AH55" s="70"/>
      <c r="AI55" s="70"/>
      <c r="AJ55" s="70"/>
      <c r="AK55" s="71" t="s">
        <v>58</v>
      </c>
      <c r="AL55" s="56">
        <f t="shared" si="8"/>
        <v>18</v>
      </c>
      <c r="AM55" s="56">
        <f t="shared" si="9"/>
        <v>12</v>
      </c>
      <c r="AN55" s="56">
        <f t="shared" si="10"/>
        <v>12</v>
      </c>
      <c r="AT55">
        <f>SUM(AT50:AT54)</f>
        <v>4150</v>
      </c>
      <c r="BE55" s="22"/>
    </row>
    <row r="56" spans="1:57">
      <c r="A56" s="87">
        <v>46237</v>
      </c>
      <c r="B56" s="48">
        <v>1600</v>
      </c>
      <c r="C56" s="49"/>
      <c r="D56" s="48">
        <f>(SUM(粮草!A56:X56)+AG56*10*IF(AK56="是",$BB$4,$BB$3))</f>
        <v>1744</v>
      </c>
      <c r="E56" s="50">
        <f>SUM($B$4:B56)+SUM($C$4:C56)-SUM($D$4:D56)</f>
        <v>4244</v>
      </c>
      <c r="F56" s="48">
        <f>SUM(经验!A56:X56)</f>
        <v>610</v>
      </c>
      <c r="G56" s="48">
        <f>SUM($F$4:F56)+SUM($H$4:H56)</f>
        <v>36000</v>
      </c>
      <c r="H56" s="48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3" t="s">
        <v>41</v>
      </c>
      <c r="P56" s="53" t="s">
        <v>41</v>
      </c>
      <c r="Q56" s="65" t="s">
        <v>51</v>
      </c>
      <c r="R56" s="102" t="s">
        <v>100</v>
      </c>
      <c r="S56" s="65" t="s">
        <v>51</v>
      </c>
      <c r="T56" s="65" t="s">
        <v>51</v>
      </c>
      <c r="U56" s="65" t="s">
        <v>51</v>
      </c>
      <c r="V56" s="65" t="s">
        <v>51</v>
      </c>
      <c r="W56" s="53" t="s">
        <v>41</v>
      </c>
      <c r="X56" s="53" t="s">
        <v>41</v>
      </c>
      <c r="Y56" s="65" t="s">
        <v>51</v>
      </c>
      <c r="Z56" s="65" t="s">
        <v>51</v>
      </c>
      <c r="AA56" s="65" t="s">
        <v>51</v>
      </c>
      <c r="AB56" s="65" t="s">
        <v>51</v>
      </c>
      <c r="AC56" s="65" t="s">
        <v>51</v>
      </c>
      <c r="AD56" s="99" t="s">
        <v>54</v>
      </c>
      <c r="AE56" s="53" t="s">
        <v>41</v>
      </c>
      <c r="AF56" s="53" t="s">
        <v>41</v>
      </c>
      <c r="AG56" s="54">
        <f t="shared" si="16"/>
        <v>0</v>
      </c>
      <c r="AH56" s="70"/>
      <c r="AI56" s="70"/>
      <c r="AJ56" s="70"/>
      <c r="AK56" s="71" t="s">
        <v>58</v>
      </c>
      <c r="AL56" s="56">
        <f t="shared" si="8"/>
        <v>18</v>
      </c>
      <c r="AM56" s="56">
        <f t="shared" si="9"/>
        <v>12</v>
      </c>
      <c r="AN56" s="56">
        <f t="shared" si="10"/>
        <v>12</v>
      </c>
      <c r="BE56" s="22"/>
    </row>
    <row r="57" spans="1:57">
      <c r="A57" s="87">
        <v>46238</v>
      </c>
      <c r="B57" s="48">
        <v>1600</v>
      </c>
      <c r="C57" s="49"/>
      <c r="D57" s="48">
        <f>(SUM(粮草!A57:X57)+AG57*10*IF(AK57="是",$BB$4,$BB$3))</f>
        <v>1712</v>
      </c>
      <c r="E57" s="50">
        <f>SUM($B$4:B57)+SUM($C$4:C57)-SUM($D$4:D57)</f>
        <v>4132</v>
      </c>
      <c r="F57" s="48">
        <f>SUM(经验!A57:X57)</f>
        <v>600</v>
      </c>
      <c r="G57" s="48">
        <f>SUM($F$4:F57)+SUM($H$4:H57)</f>
        <v>36600</v>
      </c>
      <c r="H57" s="48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3" t="s">
        <v>41</v>
      </c>
      <c r="P57" s="53" t="s">
        <v>41</v>
      </c>
      <c r="Q57" s="65" t="s">
        <v>51</v>
      </c>
      <c r="R57" s="65" t="s">
        <v>51</v>
      </c>
      <c r="S57" s="65" t="s">
        <v>51</v>
      </c>
      <c r="T57" s="65" t="s">
        <v>51</v>
      </c>
      <c r="U57" s="65" t="s">
        <v>51</v>
      </c>
      <c r="V57" s="20" t="s">
        <v>44</v>
      </c>
      <c r="W57" s="53" t="s">
        <v>41</v>
      </c>
      <c r="X57" s="53" t="s">
        <v>41</v>
      </c>
      <c r="Y57" s="99" t="s">
        <v>54</v>
      </c>
      <c r="Z57" s="65" t="s">
        <v>51</v>
      </c>
      <c r="AA57" s="20" t="s">
        <v>44</v>
      </c>
      <c r="AB57" s="99" t="s">
        <v>54</v>
      </c>
      <c r="AC57" s="99" t="s">
        <v>54</v>
      </c>
      <c r="AD57" s="99" t="s">
        <v>54</v>
      </c>
      <c r="AE57" s="53" t="s">
        <v>41</v>
      </c>
      <c r="AF57" s="53" t="s">
        <v>41</v>
      </c>
      <c r="AG57" s="54">
        <f t="shared" si="16"/>
        <v>0</v>
      </c>
      <c r="AH57" s="70"/>
      <c r="AI57" s="70"/>
      <c r="AJ57" s="70"/>
      <c r="AK57" s="71" t="s">
        <v>58</v>
      </c>
      <c r="AL57" s="56">
        <f t="shared" si="8"/>
        <v>18</v>
      </c>
      <c r="AM57" s="56">
        <f t="shared" si="9"/>
        <v>12</v>
      </c>
      <c r="AN57" s="56">
        <f t="shared" si="10"/>
        <v>12</v>
      </c>
      <c r="BE57" s="22"/>
    </row>
    <row r="58" spans="1:57">
      <c r="A58" s="87">
        <v>46239</v>
      </c>
      <c r="B58" s="48">
        <v>1600</v>
      </c>
      <c r="C58" s="49"/>
      <c r="D58" s="48">
        <f>(SUM(粮草!A58:X58)+AG58*10*IF(AK58="是",$BB$4,$BB$3))</f>
        <v>1776</v>
      </c>
      <c r="E58" s="50">
        <f>SUM($B$4:B58)+SUM($C$4:C58)-SUM($D$4:D58)</f>
        <v>3956</v>
      </c>
      <c r="F58" s="48">
        <f>SUM(经验!A58:X58)</f>
        <v>630</v>
      </c>
      <c r="G58" s="48">
        <f>SUM($F$4:F58)+SUM($H$4:H58)</f>
        <v>37430</v>
      </c>
      <c r="H58" s="48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3" t="s">
        <v>41</v>
      </c>
      <c r="P58" s="53" t="s">
        <v>41</v>
      </c>
      <c r="Q58" s="65" t="s">
        <v>51</v>
      </c>
      <c r="R58" s="65" t="s">
        <v>51</v>
      </c>
      <c r="S58" s="65" t="s">
        <v>51</v>
      </c>
      <c r="T58" s="65" t="s">
        <v>51</v>
      </c>
      <c r="U58" s="65" t="s">
        <v>51</v>
      </c>
      <c r="V58" s="65" t="s">
        <v>51</v>
      </c>
      <c r="W58" s="53" t="s">
        <v>41</v>
      </c>
      <c r="X58" s="53" t="s">
        <v>41</v>
      </c>
      <c r="Y58" s="99" t="s">
        <v>54</v>
      </c>
      <c r="Z58" s="99" t="s">
        <v>54</v>
      </c>
      <c r="AA58" s="99" t="s">
        <v>54</v>
      </c>
      <c r="AB58" s="99" t="s">
        <v>54</v>
      </c>
      <c r="AC58" s="99" t="s">
        <v>54</v>
      </c>
      <c r="AD58" s="99" t="s">
        <v>54</v>
      </c>
      <c r="AE58" s="53" t="s">
        <v>41</v>
      </c>
      <c r="AF58" s="53" t="s">
        <v>41</v>
      </c>
      <c r="AG58" s="54">
        <f t="shared" si="16"/>
        <v>0</v>
      </c>
      <c r="AH58" s="70"/>
      <c r="AI58" s="70"/>
      <c r="AJ58" s="70"/>
      <c r="AK58" s="71" t="s">
        <v>58</v>
      </c>
      <c r="AL58" s="56">
        <f t="shared" si="8"/>
        <v>18</v>
      </c>
      <c r="AM58" s="56">
        <f t="shared" si="9"/>
        <v>12</v>
      </c>
      <c r="AN58" s="56">
        <f t="shared" si="10"/>
        <v>12</v>
      </c>
      <c r="BE58" s="22"/>
    </row>
    <row r="59" spans="1:57">
      <c r="A59" s="87">
        <v>46240</v>
      </c>
      <c r="B59" s="48">
        <v>1600</v>
      </c>
      <c r="C59" s="49"/>
      <c r="D59" s="48">
        <f>(SUM(粮草!A59:X59)+AG59*10*IF(AK59="是",$BB$4,$BB$3))</f>
        <v>1776</v>
      </c>
      <c r="E59" s="50">
        <f>SUM($B$4:B59)+SUM($C$4:C59)-SUM($D$4:D59)</f>
        <v>3780</v>
      </c>
      <c r="F59" s="48">
        <f>SUM(经验!A59:X59)</f>
        <v>630</v>
      </c>
      <c r="G59" s="48">
        <f>SUM($F$4:F59)+SUM($H$4:H59)</f>
        <v>38060</v>
      </c>
      <c r="H59" s="48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3" t="s">
        <v>41</v>
      </c>
      <c r="P59" s="53" t="s">
        <v>41</v>
      </c>
      <c r="Q59" s="65" t="s">
        <v>51</v>
      </c>
      <c r="R59" s="65" t="s">
        <v>51</v>
      </c>
      <c r="S59" s="65" t="s">
        <v>51</v>
      </c>
      <c r="T59" s="65" t="s">
        <v>51</v>
      </c>
      <c r="U59" s="65" t="s">
        <v>51</v>
      </c>
      <c r="V59" s="65" t="s">
        <v>51</v>
      </c>
      <c r="W59" s="53" t="s">
        <v>41</v>
      </c>
      <c r="X59" s="53" t="s">
        <v>41</v>
      </c>
      <c r="Y59" s="99" t="s">
        <v>54</v>
      </c>
      <c r="Z59" s="99" t="s">
        <v>54</v>
      </c>
      <c r="AA59" s="99" t="s">
        <v>54</v>
      </c>
      <c r="AB59" s="99" t="s">
        <v>54</v>
      </c>
      <c r="AC59" s="99" t="s">
        <v>54</v>
      </c>
      <c r="AD59" s="99" t="s">
        <v>54</v>
      </c>
      <c r="AE59" s="53" t="s">
        <v>41</v>
      </c>
      <c r="AF59" s="53" t="s">
        <v>41</v>
      </c>
      <c r="AG59" s="54">
        <f t="shared" si="16"/>
        <v>0</v>
      </c>
      <c r="AH59" s="70"/>
      <c r="AI59" s="70"/>
      <c r="AJ59" s="70"/>
      <c r="AK59" s="71" t="s">
        <v>58</v>
      </c>
      <c r="AL59" s="56">
        <f t="shared" si="8"/>
        <v>18</v>
      </c>
      <c r="AM59" s="56">
        <f t="shared" si="9"/>
        <v>12</v>
      </c>
      <c r="AN59" s="56">
        <f t="shared" si="10"/>
        <v>12</v>
      </c>
      <c r="BE59" s="22"/>
    </row>
    <row r="60" spans="1:57">
      <c r="A60" s="87">
        <v>46241</v>
      </c>
      <c r="B60" s="48">
        <v>1600</v>
      </c>
      <c r="C60" s="49"/>
      <c r="D60" s="48">
        <f>(SUM(粮草!A60:X60)+AG60*10*IF(AK60="是",$BB$4,$BB$3))</f>
        <v>1752</v>
      </c>
      <c r="E60" s="50">
        <f>SUM($B$4:B60)+SUM($C$4:C60)-SUM($D$4:D60)</f>
        <v>3628</v>
      </c>
      <c r="F60" s="48">
        <f>SUM(经验!A60:X60)</f>
        <v>620</v>
      </c>
      <c r="G60" s="48">
        <f>SUM($F$4:F60)+SUM($H$4:H60)</f>
        <v>38680</v>
      </c>
      <c r="H60" s="48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3" t="s">
        <v>41</v>
      </c>
      <c r="P60" s="53" t="s">
        <v>41</v>
      </c>
      <c r="Q60" s="65" t="s">
        <v>51</v>
      </c>
      <c r="R60" s="65" t="s">
        <v>51</v>
      </c>
      <c r="S60" s="20" t="s">
        <v>44</v>
      </c>
      <c r="T60" s="65" t="s">
        <v>51</v>
      </c>
      <c r="U60" s="65" t="s">
        <v>51</v>
      </c>
      <c r="V60" s="65" t="s">
        <v>51</v>
      </c>
      <c r="W60" s="53" t="s">
        <v>41</v>
      </c>
      <c r="X60" s="53" t="s">
        <v>41</v>
      </c>
      <c r="Y60" s="99" t="s">
        <v>54</v>
      </c>
      <c r="Z60" s="99" t="s">
        <v>54</v>
      </c>
      <c r="AA60" s="99" t="s">
        <v>54</v>
      </c>
      <c r="AB60" s="99" t="s">
        <v>54</v>
      </c>
      <c r="AC60" s="99" t="s">
        <v>54</v>
      </c>
      <c r="AD60" s="99" t="s">
        <v>54</v>
      </c>
      <c r="AE60" s="53" t="s">
        <v>41</v>
      </c>
      <c r="AF60" s="53" t="s">
        <v>41</v>
      </c>
      <c r="AG60" s="54">
        <f t="shared" si="16"/>
        <v>0</v>
      </c>
      <c r="AH60" s="70"/>
      <c r="AI60" s="70"/>
      <c r="AJ60" s="70"/>
      <c r="AK60" s="71" t="s">
        <v>58</v>
      </c>
      <c r="AL60" s="56">
        <f t="shared" si="8"/>
        <v>18</v>
      </c>
      <c r="AM60" s="56">
        <f t="shared" si="9"/>
        <v>12</v>
      </c>
      <c r="AN60" s="56">
        <f t="shared" si="10"/>
        <v>12</v>
      </c>
      <c r="BE60" s="22"/>
    </row>
    <row r="61" spans="1:57">
      <c r="A61" s="87">
        <v>46242</v>
      </c>
      <c r="B61" s="48">
        <v>1600</v>
      </c>
      <c r="C61" s="49"/>
      <c r="D61" s="48">
        <f>(SUM(粮草!A61:X61)+AG61*10*IF(AK61="是",$BB$4,$BB$3))</f>
        <v>864</v>
      </c>
      <c r="E61" s="50">
        <f>SUM($B$4:B61)+SUM($C$4:C61)-SUM($D$4:D61)</f>
        <v>4364</v>
      </c>
      <c r="F61" s="48">
        <f>SUM(经验!A61:X61)</f>
        <v>300</v>
      </c>
      <c r="G61" s="48">
        <f>SUM($F$4:F61)+SUM($H$4:H61)</f>
        <v>38980</v>
      </c>
      <c r="H61" s="48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3" t="s">
        <v>41</v>
      </c>
      <c r="P61" s="53" t="s">
        <v>41</v>
      </c>
      <c r="Q61" s="65" t="s">
        <v>51</v>
      </c>
      <c r="R61" s="65" t="s">
        <v>51</v>
      </c>
      <c r="S61" s="65" t="s">
        <v>51</v>
      </c>
      <c r="T61" s="65" t="s">
        <v>51</v>
      </c>
      <c r="U61" s="65" t="s">
        <v>51</v>
      </c>
      <c r="V61" s="65" t="s">
        <v>51</v>
      </c>
      <c r="W61" s="53" t="s">
        <v>41</v>
      </c>
      <c r="X61" s="53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3" t="s">
        <v>41</v>
      </c>
      <c r="AF61" s="53" t="s">
        <v>41</v>
      </c>
      <c r="AG61" s="54">
        <f t="shared" si="16"/>
        <v>0</v>
      </c>
      <c r="AH61" s="70"/>
      <c r="AI61" s="70"/>
      <c r="AJ61" s="70"/>
      <c r="AK61" s="71" t="s">
        <v>58</v>
      </c>
      <c r="AL61" s="56">
        <f t="shared" si="8"/>
        <v>18</v>
      </c>
      <c r="AM61" s="56">
        <f t="shared" si="9"/>
        <v>12</v>
      </c>
      <c r="AN61" s="56">
        <f t="shared" si="10"/>
        <v>18</v>
      </c>
      <c r="BE61" s="22"/>
    </row>
    <row r="62" spans="1:57">
      <c r="A62" s="87">
        <v>46243</v>
      </c>
      <c r="B62" s="48">
        <v>1600</v>
      </c>
      <c r="C62" s="49"/>
      <c r="D62" s="48">
        <f>(SUM(粮草!A62:X62)+AG62*10*IF(AK62="是",$BB$4,$BB$3))</f>
        <v>864</v>
      </c>
      <c r="E62" s="50">
        <f>SUM($B$4:B62)+SUM($C$4:C62)-SUM($D$4:D62)</f>
        <v>5100</v>
      </c>
      <c r="F62" s="48">
        <f>SUM(经验!A62:X62)</f>
        <v>300</v>
      </c>
      <c r="G62" s="48">
        <f>SUM($F$4:F62)+SUM($H$4:H62)</f>
        <v>39280</v>
      </c>
      <c r="H62" s="48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3" t="s">
        <v>41</v>
      </c>
      <c r="P62" s="53" t="s">
        <v>41</v>
      </c>
      <c r="Q62" s="65" t="s">
        <v>51</v>
      </c>
      <c r="R62" s="65" t="s">
        <v>51</v>
      </c>
      <c r="S62" s="65" t="s">
        <v>51</v>
      </c>
      <c r="T62" s="65" t="s">
        <v>51</v>
      </c>
      <c r="U62" s="65" t="s">
        <v>51</v>
      </c>
      <c r="V62" s="65" t="s">
        <v>51</v>
      </c>
      <c r="W62" s="53" t="s">
        <v>41</v>
      </c>
      <c r="X62" s="53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3" t="s">
        <v>41</v>
      </c>
      <c r="AF62" s="53" t="s">
        <v>41</v>
      </c>
      <c r="AG62" s="54">
        <f t="shared" si="16"/>
        <v>0</v>
      </c>
      <c r="AH62" s="70"/>
      <c r="AI62" s="70"/>
      <c r="AJ62" s="70"/>
      <c r="AK62" s="71" t="s">
        <v>58</v>
      </c>
      <c r="AL62" s="56">
        <f t="shared" si="8"/>
        <v>18</v>
      </c>
      <c r="AM62" s="56">
        <f t="shared" si="9"/>
        <v>12</v>
      </c>
      <c r="AN62" s="56">
        <f t="shared" si="10"/>
        <v>18</v>
      </c>
      <c r="BE62" s="22"/>
    </row>
    <row r="63" spans="1:57">
      <c r="A63" s="87">
        <v>46244</v>
      </c>
      <c r="B63" s="59">
        <v>1600</v>
      </c>
      <c r="C63" s="59"/>
      <c r="D63" s="48">
        <f>(SUM(粮草!A63:X63)+AG63*10*IF(AK63="是",$BB$4,$BB$3))</f>
        <v>1936</v>
      </c>
      <c r="E63" s="50">
        <f>SUM($B$4:B63)+SUM($C$4:C63)-SUM($D$4:D63)</f>
        <v>4764</v>
      </c>
      <c r="F63" s="48">
        <f>SUM(经验!A63:X63)</f>
        <v>685</v>
      </c>
      <c r="G63" s="48">
        <f>SUM($F$4:F63)+SUM($H$4:H63)</f>
        <v>40265</v>
      </c>
      <c r="H63" s="59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3" t="s">
        <v>41</v>
      </c>
      <c r="P63" s="53" t="s">
        <v>41</v>
      </c>
      <c r="Q63" s="65" t="s">
        <v>51</v>
      </c>
      <c r="R63" s="65" t="s">
        <v>51</v>
      </c>
      <c r="S63" s="65" t="s">
        <v>51</v>
      </c>
      <c r="T63" s="65" t="s">
        <v>51</v>
      </c>
      <c r="U63" s="65" t="s">
        <v>51</v>
      </c>
      <c r="V63" s="65" t="s">
        <v>51</v>
      </c>
      <c r="W63" s="53" t="s">
        <v>41</v>
      </c>
      <c r="X63" s="53" t="s">
        <v>41</v>
      </c>
      <c r="Y63" s="99" t="s">
        <v>54</v>
      </c>
      <c r="Z63" s="99" t="s">
        <v>54</v>
      </c>
      <c r="AA63" s="99" t="s">
        <v>54</v>
      </c>
      <c r="AB63" s="99" t="s">
        <v>54</v>
      </c>
      <c r="AC63" s="99" t="s">
        <v>54</v>
      </c>
      <c r="AD63" s="99" t="s">
        <v>54</v>
      </c>
      <c r="AE63" s="99" t="s">
        <v>54</v>
      </c>
      <c r="AF63" s="53" t="s">
        <v>41</v>
      </c>
      <c r="AG63" s="54">
        <f t="shared" si="16"/>
        <v>1</v>
      </c>
      <c r="AH63" s="70"/>
      <c r="AI63" s="70"/>
      <c r="AJ63" s="70">
        <v>1</v>
      </c>
      <c r="AK63" s="71" t="s">
        <v>58</v>
      </c>
      <c r="AL63" s="56">
        <f t="shared" si="8"/>
        <v>18</v>
      </c>
      <c r="AM63" s="56">
        <f t="shared" si="9"/>
        <v>12</v>
      </c>
      <c r="AN63" s="56">
        <f t="shared" si="10"/>
        <v>11</v>
      </c>
      <c r="BE63" s="22"/>
    </row>
    <row r="64" spans="1:57">
      <c r="A64" s="87">
        <v>46245</v>
      </c>
      <c r="B64" s="59">
        <v>1600</v>
      </c>
      <c r="C64" s="59"/>
      <c r="D64" s="48">
        <f>(SUM(粮草!A64:X64)+AG64*10*IF(AK64="是",$BB$4,$BB$3))</f>
        <v>872</v>
      </c>
      <c r="E64" s="50">
        <f>SUM($B$4:B64)+SUM($C$4:C64)-SUM($D$4:D64)</f>
        <v>5492</v>
      </c>
      <c r="F64" s="48">
        <f>SUM(经验!A64:X64)</f>
        <v>305</v>
      </c>
      <c r="G64" s="48">
        <f>SUM($F$4:F64)+SUM($H$4:H64)</f>
        <v>40570</v>
      </c>
      <c r="H64" s="59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3" t="s">
        <v>41</v>
      </c>
      <c r="P64" s="53" t="s">
        <v>41</v>
      </c>
      <c r="Q64" s="65" t="s">
        <v>51</v>
      </c>
      <c r="R64" s="65" t="s">
        <v>51</v>
      </c>
      <c r="S64" s="102" t="s">
        <v>100</v>
      </c>
      <c r="T64" s="65" t="s">
        <v>51</v>
      </c>
      <c r="U64" s="65" t="s">
        <v>51</v>
      </c>
      <c r="V64" s="65" t="s">
        <v>51</v>
      </c>
      <c r="W64" s="53" t="s">
        <v>41</v>
      </c>
      <c r="X64" s="53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53" t="s">
        <v>41</v>
      </c>
      <c r="AF64" s="53" t="s">
        <v>41</v>
      </c>
      <c r="AG64" s="54">
        <f t="shared" si="16"/>
        <v>0</v>
      </c>
      <c r="AH64" s="70"/>
      <c r="AI64" s="70"/>
      <c r="AJ64" s="70"/>
      <c r="AK64" s="71" t="s">
        <v>58</v>
      </c>
      <c r="AL64" s="56">
        <f t="shared" si="8"/>
        <v>18</v>
      </c>
      <c r="AM64" s="56">
        <f t="shared" si="9"/>
        <v>12</v>
      </c>
      <c r="AN64" s="56">
        <f t="shared" si="10"/>
        <v>17</v>
      </c>
      <c r="BE64" s="22"/>
    </row>
    <row r="65" spans="1:57">
      <c r="A65" s="15">
        <v>46246</v>
      </c>
      <c r="B65" s="59">
        <v>1600</v>
      </c>
      <c r="C65" s="59"/>
      <c r="D65" s="48">
        <f>(SUM(粮草!A65:X65)+AG65*10*IF(AK65="是",$BB$4,$BB$3))</f>
        <v>1656</v>
      </c>
      <c r="E65" s="50">
        <f>SUM($B$4:B65)+SUM($C$4:C65)-SUM($D$4:D65)</f>
        <v>5436</v>
      </c>
      <c r="F65" s="48">
        <f>SUM(经验!A65:X65)</f>
        <v>600</v>
      </c>
      <c r="G65" s="48">
        <f>SUM($F$4:F65)+SUM($H$4:H65)</f>
        <v>41370</v>
      </c>
      <c r="H65" s="59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3" t="s">
        <v>41</v>
      </c>
      <c r="P65" s="53" t="s">
        <v>41</v>
      </c>
      <c r="Q65" s="102" t="s">
        <v>100</v>
      </c>
      <c r="R65" s="65" t="s">
        <v>51</v>
      </c>
      <c r="S65" s="65" t="s">
        <v>51</v>
      </c>
      <c r="T65" s="65" t="s">
        <v>51</v>
      </c>
      <c r="U65" s="102" t="s">
        <v>100</v>
      </c>
      <c r="V65" s="102" t="s">
        <v>100</v>
      </c>
      <c r="W65" s="53" t="s">
        <v>41</v>
      </c>
      <c r="X65" s="53" t="s">
        <v>41</v>
      </c>
      <c r="Y65" s="99" t="s">
        <v>54</v>
      </c>
      <c r="Z65" s="99" t="s">
        <v>54</v>
      </c>
      <c r="AA65" s="63" t="s">
        <v>46</v>
      </c>
      <c r="AB65" s="63" t="s">
        <v>46</v>
      </c>
      <c r="AC65" s="52" t="s">
        <v>40</v>
      </c>
      <c r="AD65" s="99" t="s">
        <v>54</v>
      </c>
      <c r="AE65" s="53" t="s">
        <v>41</v>
      </c>
      <c r="AF65" s="53" t="s">
        <v>41</v>
      </c>
      <c r="AG65" s="54">
        <f t="shared" si="16"/>
        <v>0</v>
      </c>
      <c r="AH65" s="70"/>
      <c r="AI65" s="70"/>
      <c r="AJ65" s="70"/>
      <c r="AK65" s="71" t="s">
        <v>58</v>
      </c>
      <c r="AL65" s="56">
        <f t="shared" si="8"/>
        <v>18</v>
      </c>
      <c r="AM65" s="56">
        <f t="shared" si="9"/>
        <v>12</v>
      </c>
      <c r="AN65" s="56">
        <f t="shared" si="10"/>
        <v>12</v>
      </c>
      <c r="BE65" s="22"/>
    </row>
    <row r="66" spans="1:57">
      <c r="A66" s="15">
        <v>46247</v>
      </c>
      <c r="B66" s="59">
        <v>1600</v>
      </c>
      <c r="C66" s="59"/>
      <c r="D66" s="48">
        <f>(SUM(粮草!A66:X66)+AG66*10*IF(AK66="是",$BB$4,$BB$3))</f>
        <v>1672</v>
      </c>
      <c r="E66" s="50">
        <f>SUM($B$4:B66)+SUM($C$4:C66)-SUM($D$4:D66)</f>
        <v>5364</v>
      </c>
      <c r="F66" s="48">
        <f>SUM(经验!A66:X66)</f>
        <v>570</v>
      </c>
      <c r="G66" s="48">
        <f>SUM($F$4:F66)+SUM($H$4:H66)</f>
        <v>41940</v>
      </c>
      <c r="H66" s="59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3" t="s">
        <v>41</v>
      </c>
      <c r="P66" s="53" t="s">
        <v>41</v>
      </c>
      <c r="Q66" s="65" t="s">
        <v>51</v>
      </c>
      <c r="R66" s="65" t="s">
        <v>51</v>
      </c>
      <c r="S66" s="65" t="s">
        <v>51</v>
      </c>
      <c r="T66" s="65" t="s">
        <v>51</v>
      </c>
      <c r="U66" s="102" t="s">
        <v>100</v>
      </c>
      <c r="V66" s="65" t="s">
        <v>51</v>
      </c>
      <c r="W66" s="53" t="s">
        <v>41</v>
      </c>
      <c r="X66" s="53" t="s">
        <v>41</v>
      </c>
      <c r="Y66" s="63" t="s">
        <v>46</v>
      </c>
      <c r="Z66" s="20" t="s">
        <v>44</v>
      </c>
      <c r="AA66" s="63" t="s">
        <v>46</v>
      </c>
      <c r="AB66" s="63" t="s">
        <v>46</v>
      </c>
      <c r="AC66" s="63" t="s">
        <v>46</v>
      </c>
      <c r="AD66" s="63" t="s">
        <v>46</v>
      </c>
      <c r="AE66" s="53" t="s">
        <v>41</v>
      </c>
      <c r="AF66" s="53" t="s">
        <v>41</v>
      </c>
      <c r="AG66" s="54">
        <f t="shared" si="16"/>
        <v>0</v>
      </c>
      <c r="AH66" s="70"/>
      <c r="AI66" s="70"/>
      <c r="AJ66" s="70"/>
      <c r="AK66" s="71" t="s">
        <v>58</v>
      </c>
      <c r="AL66" s="56">
        <f t="shared" si="8"/>
        <v>18</v>
      </c>
      <c r="AM66" s="56">
        <f t="shared" si="9"/>
        <v>12</v>
      </c>
      <c r="AN66" s="56">
        <f t="shared" si="10"/>
        <v>12</v>
      </c>
      <c r="BE66" s="22"/>
    </row>
    <row r="67" spans="1:57">
      <c r="A67" s="15">
        <v>46248</v>
      </c>
      <c r="B67" s="59">
        <v>1600</v>
      </c>
      <c r="C67" s="59"/>
      <c r="D67" s="48">
        <f>(SUM(粮草!A67:X67)+AG67*10*IF(AK67="是",$BB$4,$BB$3))</f>
        <v>1648</v>
      </c>
      <c r="E67" s="50">
        <f>SUM($B$4:B67)+SUM($C$4:C67)-SUM($D$4:D67)</f>
        <v>5316</v>
      </c>
      <c r="F67" s="48">
        <f>SUM(经验!A67:X67)</f>
        <v>560</v>
      </c>
      <c r="G67" s="48">
        <f>SUM($F$4:F67)+SUM($H$4:H67)</f>
        <v>42500</v>
      </c>
      <c r="H67" s="59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3" t="s">
        <v>41</v>
      </c>
      <c r="P67" s="53" t="s">
        <v>41</v>
      </c>
      <c r="Q67" s="65" t="s">
        <v>51</v>
      </c>
      <c r="R67" s="65" t="s">
        <v>51</v>
      </c>
      <c r="S67" s="65" t="s">
        <v>51</v>
      </c>
      <c r="T67" s="65" t="s">
        <v>51</v>
      </c>
      <c r="U67" s="65" t="s">
        <v>51</v>
      </c>
      <c r="V67" s="65" t="s">
        <v>51</v>
      </c>
      <c r="W67" s="53" t="s">
        <v>41</v>
      </c>
      <c r="X67" s="53" t="s">
        <v>41</v>
      </c>
      <c r="Y67" s="63" t="s">
        <v>46</v>
      </c>
      <c r="Z67" s="63" t="s">
        <v>46</v>
      </c>
      <c r="AA67" s="20" t="s">
        <v>44</v>
      </c>
      <c r="AB67" s="63" t="s">
        <v>46</v>
      </c>
      <c r="AC67" s="63" t="s">
        <v>46</v>
      </c>
      <c r="AD67" s="20" t="s">
        <v>44</v>
      </c>
      <c r="AE67" s="53" t="s">
        <v>41</v>
      </c>
      <c r="AF67" s="53" t="s">
        <v>41</v>
      </c>
      <c r="AG67" s="54">
        <f t="shared" si="16"/>
        <v>0</v>
      </c>
      <c r="AH67" s="70"/>
      <c r="AI67" s="70"/>
      <c r="AJ67" s="70"/>
      <c r="AK67" s="71" t="s">
        <v>58</v>
      </c>
      <c r="AL67" s="56">
        <f t="shared" si="8"/>
        <v>18</v>
      </c>
      <c r="AM67" s="56">
        <f t="shared" si="9"/>
        <v>12</v>
      </c>
      <c r="AN67" s="56">
        <f t="shared" si="10"/>
        <v>12</v>
      </c>
      <c r="BE67" s="22"/>
    </row>
    <row r="68" spans="1:57">
      <c r="A68" s="15">
        <v>46249</v>
      </c>
      <c r="B68" s="59">
        <v>1600</v>
      </c>
      <c r="C68" s="59"/>
      <c r="D68" s="48">
        <f>(SUM(粮草!A68:X68)+AG68*10*IF(AK68="是",$BB$4,$BB$3))</f>
        <v>1672</v>
      </c>
      <c r="E68" s="50">
        <f>SUM($B$4:B68)+SUM($C$4:C68)-SUM($D$4:D68)</f>
        <v>5244</v>
      </c>
      <c r="F68" s="48">
        <f>SUM(经验!A68:X68)</f>
        <v>570</v>
      </c>
      <c r="G68" s="48">
        <f>SUM($F$4:F68)+SUM($H$4:H68)</f>
        <v>43070</v>
      </c>
      <c r="H68" s="59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3" t="s">
        <v>41</v>
      </c>
      <c r="P68" s="53" t="s">
        <v>41</v>
      </c>
      <c r="Q68" s="65" t="s">
        <v>51</v>
      </c>
      <c r="R68" s="102" t="s">
        <v>100</v>
      </c>
      <c r="S68" s="65" t="s">
        <v>51</v>
      </c>
      <c r="T68" s="65" t="s">
        <v>51</v>
      </c>
      <c r="U68" s="65" t="s">
        <v>51</v>
      </c>
      <c r="V68" s="65" t="s">
        <v>51</v>
      </c>
      <c r="W68" s="53" t="s">
        <v>41</v>
      </c>
      <c r="X68" s="53" t="s">
        <v>41</v>
      </c>
      <c r="Y68" s="63" t="s">
        <v>46</v>
      </c>
      <c r="Z68" s="63" t="s">
        <v>46</v>
      </c>
      <c r="AA68" s="63" t="s">
        <v>46</v>
      </c>
      <c r="AB68" s="20" t="s">
        <v>44</v>
      </c>
      <c r="AC68" s="63" t="s">
        <v>46</v>
      </c>
      <c r="AD68" s="63" t="s">
        <v>46</v>
      </c>
      <c r="AE68" s="53" t="s">
        <v>41</v>
      </c>
      <c r="AF68" s="53" t="s">
        <v>41</v>
      </c>
      <c r="AG68" s="54">
        <f t="shared" si="16"/>
        <v>0</v>
      </c>
      <c r="AH68" s="70"/>
      <c r="AI68" s="70"/>
      <c r="AJ68" s="70"/>
      <c r="AK68" s="71" t="s">
        <v>58</v>
      </c>
      <c r="AL68" s="56">
        <f t="shared" si="8"/>
        <v>18</v>
      </c>
      <c r="AM68" s="56">
        <f t="shared" si="9"/>
        <v>12</v>
      </c>
      <c r="AN68" s="56">
        <f t="shared" si="10"/>
        <v>12</v>
      </c>
      <c r="BE68" s="22"/>
    </row>
    <row r="69" spans="1:57">
      <c r="A69" s="15">
        <v>46250</v>
      </c>
      <c r="B69" s="59">
        <v>1600</v>
      </c>
      <c r="C69" s="59"/>
      <c r="D69" s="48">
        <f>(SUM(粮草!A69:X69)+AG69*10*IF(AK69="是",$BB$4,$BB$3))</f>
        <v>1576</v>
      </c>
      <c r="E69" s="50">
        <f>SUM($B$4:B69)+SUM($C$4:C69)-SUM($D$4:D69)</f>
        <v>5268</v>
      </c>
      <c r="F69" s="48">
        <f>SUM(经验!A69:X69)</f>
        <v>560</v>
      </c>
      <c r="G69" s="48">
        <f>SUM($F$4:F69)+SUM($H$4:H69)</f>
        <v>43630</v>
      </c>
      <c r="H69" s="5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3" t="s">
        <v>41</v>
      </c>
      <c r="P69" s="53" t="s">
        <v>41</v>
      </c>
      <c r="Q69" s="102" t="s">
        <v>100</v>
      </c>
      <c r="R69" s="65" t="s">
        <v>51</v>
      </c>
      <c r="S69" s="65" t="s">
        <v>51</v>
      </c>
      <c r="T69" s="65" t="s">
        <v>51</v>
      </c>
      <c r="U69" s="65" t="s">
        <v>51</v>
      </c>
      <c r="V69" s="65" t="s">
        <v>51</v>
      </c>
      <c r="W69" s="53" t="s">
        <v>41</v>
      </c>
      <c r="X69" s="53" t="s">
        <v>41</v>
      </c>
      <c r="Y69" s="21" t="s">
        <v>53</v>
      </c>
      <c r="Z69" s="63" t="s">
        <v>46</v>
      </c>
      <c r="AA69" s="63" t="s">
        <v>46</v>
      </c>
      <c r="AB69" s="63" t="s">
        <v>46</v>
      </c>
      <c r="AC69" s="52" t="s">
        <v>40</v>
      </c>
      <c r="AD69" s="63" t="s">
        <v>46</v>
      </c>
      <c r="AE69" s="53" t="s">
        <v>41</v>
      </c>
      <c r="AF69" s="53" t="s">
        <v>41</v>
      </c>
      <c r="AG69" s="54">
        <f t="shared" si="16"/>
        <v>0</v>
      </c>
      <c r="AH69" s="70"/>
      <c r="AI69" s="70"/>
      <c r="AJ69" s="70"/>
      <c r="AK69" s="71" t="s">
        <v>58</v>
      </c>
      <c r="AL69" s="56">
        <f t="shared" si="8"/>
        <v>18</v>
      </c>
      <c r="AM69" s="56">
        <f t="shared" si="9"/>
        <v>12</v>
      </c>
      <c r="AN69" s="56">
        <f t="shared" si="10"/>
        <v>12</v>
      </c>
      <c r="BE69" s="22"/>
    </row>
    <row r="70" spans="1:57">
      <c r="A70" s="15">
        <v>46251</v>
      </c>
      <c r="B70" s="48">
        <v>1600</v>
      </c>
      <c r="C70" s="49"/>
      <c r="D70" s="48">
        <f>(SUM(粮草!A70:X70)+AG70*10*IF(AK70="是",$BB$4,$BB$3))</f>
        <v>1648</v>
      </c>
      <c r="E70" s="50">
        <f>SUM($B$4:B70)+SUM($C$4:C70)-SUM($D$4:D70)</f>
        <v>5220</v>
      </c>
      <c r="F70" s="48">
        <f>SUM(经验!A70:X70)</f>
        <v>560</v>
      </c>
      <c r="G70" s="48">
        <f>SUM($F$4:F70)+SUM($H$4:H70)</f>
        <v>44490</v>
      </c>
      <c r="H70" s="48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3" t="s">
        <v>41</v>
      </c>
      <c r="P70" s="53" t="s">
        <v>41</v>
      </c>
      <c r="Q70" s="65" t="s">
        <v>51</v>
      </c>
      <c r="R70" s="65" t="s">
        <v>51</v>
      </c>
      <c r="S70" s="65" t="s">
        <v>51</v>
      </c>
      <c r="T70" s="65" t="s">
        <v>51</v>
      </c>
      <c r="U70" s="65" t="s">
        <v>51</v>
      </c>
      <c r="V70" s="65" t="s">
        <v>51</v>
      </c>
      <c r="W70" s="53" t="s">
        <v>41</v>
      </c>
      <c r="X70" s="53" t="s">
        <v>41</v>
      </c>
      <c r="Y70" s="63" t="s">
        <v>46</v>
      </c>
      <c r="Z70" s="20" t="s">
        <v>44</v>
      </c>
      <c r="AA70" s="63" t="s">
        <v>46</v>
      </c>
      <c r="AB70" s="63" t="s">
        <v>46</v>
      </c>
      <c r="AC70" s="20" t="s">
        <v>44</v>
      </c>
      <c r="AD70" s="63" t="s">
        <v>46</v>
      </c>
      <c r="AE70" s="53" t="s">
        <v>41</v>
      </c>
      <c r="AF70" s="53" t="s">
        <v>41</v>
      </c>
      <c r="AG70" s="54">
        <f t="shared" ref="AG70:AG93" si="17">AH70+AI70+AJ70</f>
        <v>0</v>
      </c>
      <c r="AH70" s="70"/>
      <c r="AI70" s="70"/>
      <c r="AJ70" s="70"/>
      <c r="AK70" s="71" t="s">
        <v>58</v>
      </c>
      <c r="AL70" s="56">
        <f t="shared" ref="AL70:AL93" si="18">MIN(AL69+6,18)-COUNTIF(I70:P70,"&lt;&gt;空")+COUNTIF(I70:P70,"历练")+COUNTIF(I70:P70,"营地")*2+COUNTIF(I70:P70,"塔1")*5</f>
        <v>18</v>
      </c>
      <c r="AM70" s="56">
        <f t="shared" ref="AM70:AM93" si="19">MIN(AM69+6,18)-COUNTIF(Q70:X70,"&lt;&gt;空")+COUNTIF(Q70:X70,"历练")+COUNTIF(Q70:X70,"营地")*2+COUNTIF(Q70:X70,"塔1")*5</f>
        <v>12</v>
      </c>
      <c r="AN70" s="56">
        <f t="shared" ref="AN70:AN93" si="20">MIN(AN69+6,18)-COUNTIF(Y70:AF70,"&lt;&gt;空")+COUNTIF(Y70:AF70,"历练")+COUNTIF(Y70:AF70,"营地")*2+COUNTIF(Y70:AF70,"塔1")*5</f>
        <v>12</v>
      </c>
      <c r="BE70" s="22"/>
    </row>
    <row r="71" spans="1:57">
      <c r="A71" s="15">
        <v>46252</v>
      </c>
      <c r="B71" s="48">
        <v>1600</v>
      </c>
      <c r="C71" s="49"/>
      <c r="D71" s="48">
        <f>(SUM(粮草!A71:X71)+AG71*10*IF(AK71="是",$BB$4,$BB$3))</f>
        <v>1672</v>
      </c>
      <c r="E71" s="50">
        <f>SUM($B$4:B71)+SUM($C$4:C71)-SUM($D$4:D71)</f>
        <v>5148</v>
      </c>
      <c r="F71" s="48">
        <f>SUM(经验!A71:X71)</f>
        <v>570</v>
      </c>
      <c r="G71" s="48">
        <f>SUM($F$4:F71)+SUM($H$4:H71)</f>
        <v>45060</v>
      </c>
      <c r="H71" s="48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3" t="s">
        <v>41</v>
      </c>
      <c r="P71" s="53" t="s">
        <v>41</v>
      </c>
      <c r="Q71" s="65" t="s">
        <v>51</v>
      </c>
      <c r="R71" s="65" t="s">
        <v>51</v>
      </c>
      <c r="S71" s="65" t="s">
        <v>51</v>
      </c>
      <c r="T71" s="65" t="s">
        <v>51</v>
      </c>
      <c r="U71" s="65" t="s">
        <v>51</v>
      </c>
      <c r="V71" s="102" t="s">
        <v>100</v>
      </c>
      <c r="W71" s="53" t="s">
        <v>41</v>
      </c>
      <c r="X71" s="53" t="s">
        <v>41</v>
      </c>
      <c r="Y71" s="63" t="s">
        <v>46</v>
      </c>
      <c r="Z71" s="63" t="s">
        <v>46</v>
      </c>
      <c r="AA71" s="63" t="s">
        <v>46</v>
      </c>
      <c r="AB71" s="63" t="s">
        <v>46</v>
      </c>
      <c r="AC71" s="63" t="s">
        <v>46</v>
      </c>
      <c r="AD71" s="20" t="s">
        <v>44</v>
      </c>
      <c r="AE71" s="53" t="s">
        <v>41</v>
      </c>
      <c r="AF71" s="53" t="s">
        <v>41</v>
      </c>
      <c r="AG71" s="54">
        <f>AH71+AI71+AJ71</f>
        <v>0</v>
      </c>
      <c r="AH71" s="70"/>
      <c r="AI71" s="70"/>
      <c r="AJ71" s="70"/>
      <c r="AK71" s="71" t="s">
        <v>58</v>
      </c>
      <c r="AL71" s="56">
        <f t="shared" si="18"/>
        <v>18</v>
      </c>
      <c r="AM71" s="56">
        <f t="shared" si="19"/>
        <v>12</v>
      </c>
      <c r="AN71" s="56">
        <f t="shared" si="20"/>
        <v>12</v>
      </c>
      <c r="BE71" s="22"/>
    </row>
    <row r="72" spans="1:57">
      <c r="A72" s="15">
        <v>46253</v>
      </c>
      <c r="B72" s="48">
        <v>1600</v>
      </c>
      <c r="C72" s="49"/>
      <c r="D72" s="48">
        <f>(SUM(粮草!A72:X72)+AG72*10*IF(AK72="是",$BB$4,$BB$3))</f>
        <v>1680</v>
      </c>
      <c r="E72" s="50">
        <f>SUM($B$4:B72)+SUM($C$4:C72)-SUM($D$4:D72)</f>
        <v>5068</v>
      </c>
      <c r="F72" s="48">
        <f>SUM(经验!A72:X72)</f>
        <v>570</v>
      </c>
      <c r="G72" s="48">
        <f>SUM($F$4:F72)+SUM($H$4:H72)</f>
        <v>45830</v>
      </c>
      <c r="H72" s="48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3" t="s">
        <v>41</v>
      </c>
      <c r="P72" s="53" t="s">
        <v>41</v>
      </c>
      <c r="Q72" s="65" t="s">
        <v>51</v>
      </c>
      <c r="R72" s="65" t="s">
        <v>51</v>
      </c>
      <c r="S72" s="65" t="s">
        <v>51</v>
      </c>
      <c r="T72" s="65" t="s">
        <v>51</v>
      </c>
      <c r="U72" s="65" t="s">
        <v>51</v>
      </c>
      <c r="V72" s="65" t="s">
        <v>51</v>
      </c>
      <c r="W72" s="53" t="s">
        <v>41</v>
      </c>
      <c r="X72" s="53" t="s">
        <v>41</v>
      </c>
      <c r="Y72" s="63" t="s">
        <v>46</v>
      </c>
      <c r="Z72" s="63" t="s">
        <v>46</v>
      </c>
      <c r="AA72" s="63" t="s">
        <v>46</v>
      </c>
      <c r="AB72" s="63" t="s">
        <v>46</v>
      </c>
      <c r="AC72" s="63" t="s">
        <v>46</v>
      </c>
      <c r="AD72" s="63" t="s">
        <v>46</v>
      </c>
      <c r="AE72" s="53" t="s">
        <v>41</v>
      </c>
      <c r="AF72" s="53" t="s">
        <v>41</v>
      </c>
      <c r="AG72" s="54">
        <f t="shared" si="17"/>
        <v>0</v>
      </c>
      <c r="AH72" s="70"/>
      <c r="AI72" s="70"/>
      <c r="AJ72" s="70"/>
      <c r="AK72" s="71" t="s">
        <v>58</v>
      </c>
      <c r="AL72" s="56">
        <f t="shared" si="18"/>
        <v>18</v>
      </c>
      <c r="AM72" s="56">
        <f t="shared" si="19"/>
        <v>12</v>
      </c>
      <c r="AN72" s="56">
        <f t="shared" si="20"/>
        <v>12</v>
      </c>
      <c r="BE72" s="22"/>
    </row>
    <row r="73" spans="1:57">
      <c r="A73" s="15">
        <v>46254</v>
      </c>
      <c r="B73" s="48">
        <v>1600</v>
      </c>
      <c r="C73" s="49"/>
      <c r="D73" s="48">
        <f>(SUM(粮草!A73:X73)+AG73*10*IF(AK73="是",$BB$4,$BB$3))</f>
        <v>1616</v>
      </c>
      <c r="E73" s="50">
        <f>SUM($B$4:B73)+SUM($C$4:C73)-SUM($D$4:D73)</f>
        <v>5052</v>
      </c>
      <c r="F73" s="48">
        <f>SUM(经验!A73:X73)</f>
        <v>560</v>
      </c>
      <c r="G73" s="48">
        <f>SUM($F$4:F73)+SUM($H$4:H73)</f>
        <v>46390</v>
      </c>
      <c r="H73" s="48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3" t="s">
        <v>41</v>
      </c>
      <c r="P73" s="53" t="s">
        <v>41</v>
      </c>
      <c r="Q73" s="65" t="s">
        <v>51</v>
      </c>
      <c r="R73" s="65" t="s">
        <v>51</v>
      </c>
      <c r="S73" s="72" t="s">
        <v>59</v>
      </c>
      <c r="T73" s="65" t="s">
        <v>51</v>
      </c>
      <c r="U73" s="65" t="s">
        <v>51</v>
      </c>
      <c r="V73" s="65" t="s">
        <v>51</v>
      </c>
      <c r="W73" s="53" t="s">
        <v>41</v>
      </c>
      <c r="X73" s="53" t="s">
        <v>41</v>
      </c>
      <c r="Y73" s="20" t="s">
        <v>44</v>
      </c>
      <c r="Z73" s="63" t="s">
        <v>46</v>
      </c>
      <c r="AA73" s="21" t="s">
        <v>53</v>
      </c>
      <c r="AB73" s="63" t="s">
        <v>46</v>
      </c>
      <c r="AC73" s="63" t="s">
        <v>46</v>
      </c>
      <c r="AD73" s="20" t="s">
        <v>44</v>
      </c>
      <c r="AE73" s="53" t="s">
        <v>41</v>
      </c>
      <c r="AF73" s="53" t="s">
        <v>41</v>
      </c>
      <c r="AG73" s="54">
        <f>AH73+AI73+AJ73</f>
        <v>1</v>
      </c>
      <c r="AH73" s="70"/>
      <c r="AI73" s="70"/>
      <c r="AJ73" s="70">
        <v>1</v>
      </c>
      <c r="AK73" s="71" t="s">
        <v>58</v>
      </c>
      <c r="AL73" s="56">
        <f t="shared" si="18"/>
        <v>18</v>
      </c>
      <c r="AM73" s="56">
        <f t="shared" si="19"/>
        <v>12</v>
      </c>
      <c r="AN73" s="56">
        <f t="shared" si="20"/>
        <v>12</v>
      </c>
      <c r="BE73" s="22"/>
    </row>
    <row r="74" spans="1:57">
      <c r="A74" s="15">
        <v>46255</v>
      </c>
      <c r="B74" s="48">
        <v>1600</v>
      </c>
      <c r="C74" s="49"/>
      <c r="D74" s="48">
        <f>(SUM(粮草!A74:X74)+AG74*10*IF(AK74="是",$BB$4,$BB$3))</f>
        <v>1576</v>
      </c>
      <c r="E74" s="50">
        <f>SUM($B$4:B74)+SUM($C$4:C74)-SUM($D$4:D74)</f>
        <v>5076</v>
      </c>
      <c r="F74" s="48">
        <f>SUM(经验!A74:X74)</f>
        <v>550</v>
      </c>
      <c r="G74" s="48">
        <f>SUM($F$4:F74)+SUM($H$4:H74)</f>
        <v>46940</v>
      </c>
      <c r="H74" s="48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3" t="s">
        <v>41</v>
      </c>
      <c r="P74" s="53" t="s">
        <v>41</v>
      </c>
      <c r="Q74" s="65" t="s">
        <v>51</v>
      </c>
      <c r="R74" s="65" t="s">
        <v>51</v>
      </c>
      <c r="S74" s="52" t="s">
        <v>40</v>
      </c>
      <c r="T74" s="65" t="s">
        <v>51</v>
      </c>
      <c r="U74" s="65" t="s">
        <v>51</v>
      </c>
      <c r="V74" s="65" t="s">
        <v>51</v>
      </c>
      <c r="W74" s="53" t="s">
        <v>41</v>
      </c>
      <c r="X74" s="53" t="s">
        <v>41</v>
      </c>
      <c r="Y74" s="63" t="s">
        <v>46</v>
      </c>
      <c r="Z74" s="63" t="s">
        <v>46</v>
      </c>
      <c r="AA74" s="63" t="s">
        <v>46</v>
      </c>
      <c r="AB74" s="63" t="s">
        <v>46</v>
      </c>
      <c r="AC74" s="63" t="s">
        <v>46</v>
      </c>
      <c r="AD74" s="63" t="s">
        <v>46</v>
      </c>
      <c r="AE74" s="53" t="s">
        <v>41</v>
      </c>
      <c r="AF74" s="53" t="s">
        <v>41</v>
      </c>
      <c r="AG74" s="54">
        <f>AH74+AI74+AJ74</f>
        <v>0</v>
      </c>
      <c r="AH74" s="70"/>
      <c r="AI74" s="70"/>
      <c r="AJ74" s="70"/>
      <c r="AK74" s="71" t="s">
        <v>58</v>
      </c>
      <c r="AL74" s="56">
        <f t="shared" si="18"/>
        <v>18</v>
      </c>
      <c r="AM74" s="56">
        <f t="shared" si="19"/>
        <v>12</v>
      </c>
      <c r="AN74" s="56">
        <f t="shared" si="20"/>
        <v>12</v>
      </c>
      <c r="BE74" s="22"/>
    </row>
    <row r="75" spans="1:57">
      <c r="A75" s="15">
        <v>46256</v>
      </c>
      <c r="B75" s="48">
        <v>1600</v>
      </c>
      <c r="C75" s="49"/>
      <c r="D75" s="48">
        <f>(SUM(粮草!A75:X75)+AG75*10*IF(AK75="是",$BB$4,$BB$3))</f>
        <v>1680</v>
      </c>
      <c r="E75" s="50">
        <f>SUM($B$4:B75)+SUM($C$4:C75)-SUM($D$4:D75)</f>
        <v>4996</v>
      </c>
      <c r="F75" s="48">
        <f>SUM(经验!A75:X75)</f>
        <v>570</v>
      </c>
      <c r="G75" s="48">
        <f>SUM($F$4:F75)+SUM($H$4:H75)</f>
        <v>47510</v>
      </c>
      <c r="H75" s="48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3" t="s">
        <v>41</v>
      </c>
      <c r="P75" s="53" t="s">
        <v>41</v>
      </c>
      <c r="Q75" s="63" t="s">
        <v>46</v>
      </c>
      <c r="R75" s="63" t="s">
        <v>46</v>
      </c>
      <c r="S75" s="65" t="s">
        <v>51</v>
      </c>
      <c r="T75" s="65" t="s">
        <v>51</v>
      </c>
      <c r="U75" s="65" t="s">
        <v>51</v>
      </c>
      <c r="V75" s="65" t="s">
        <v>51</v>
      </c>
      <c r="W75" s="53" t="s">
        <v>41</v>
      </c>
      <c r="X75" s="53" t="s">
        <v>41</v>
      </c>
      <c r="Y75" s="63" t="s">
        <v>46</v>
      </c>
      <c r="Z75" s="63" t="s">
        <v>46</v>
      </c>
      <c r="AA75" s="63" t="s">
        <v>46</v>
      </c>
      <c r="AB75" s="63" t="s">
        <v>46</v>
      </c>
      <c r="AC75" s="63" t="s">
        <v>46</v>
      </c>
      <c r="AD75" s="99" t="s">
        <v>54</v>
      </c>
      <c r="AE75" s="53" t="s">
        <v>41</v>
      </c>
      <c r="AF75" s="53" t="s">
        <v>41</v>
      </c>
      <c r="AG75" s="54">
        <f t="shared" si="17"/>
        <v>0</v>
      </c>
      <c r="AH75" s="70"/>
      <c r="AI75" s="70"/>
      <c r="AJ75" s="70"/>
      <c r="AK75" s="71" t="s">
        <v>58</v>
      </c>
      <c r="AL75" s="56">
        <f t="shared" si="18"/>
        <v>18</v>
      </c>
      <c r="AM75" s="56">
        <f t="shared" si="19"/>
        <v>12</v>
      </c>
      <c r="AN75" s="56">
        <f t="shared" si="20"/>
        <v>12</v>
      </c>
      <c r="BE75" s="22"/>
    </row>
    <row r="76" spans="1:57">
      <c r="A76" s="15">
        <v>46257</v>
      </c>
      <c r="B76" s="48">
        <v>1600</v>
      </c>
      <c r="C76" s="49"/>
      <c r="D76" s="48">
        <f>(SUM(粮草!A76:X76)+AG76*10*IF(AK76="是",$BB$4,$BB$3))</f>
        <v>1776</v>
      </c>
      <c r="E76" s="50">
        <f>SUM($B$4:B76)+SUM($C$4:C76)-SUM($D$4:D76)</f>
        <v>4820</v>
      </c>
      <c r="F76" s="48">
        <f>SUM(经验!A76:X76)</f>
        <v>630</v>
      </c>
      <c r="G76" s="48">
        <f>SUM($F$4:F76)+SUM($H$4:H76)</f>
        <v>48140</v>
      </c>
      <c r="H76" s="48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3" t="s">
        <v>41</v>
      </c>
      <c r="P76" s="53" t="s">
        <v>41</v>
      </c>
      <c r="Q76" s="65" t="s">
        <v>51</v>
      </c>
      <c r="R76" s="65" t="s">
        <v>51</v>
      </c>
      <c r="S76" s="65" t="s">
        <v>51</v>
      </c>
      <c r="T76" s="65" t="s">
        <v>51</v>
      </c>
      <c r="U76" s="65" t="s">
        <v>51</v>
      </c>
      <c r="V76" s="65" t="s">
        <v>51</v>
      </c>
      <c r="W76" s="53" t="s">
        <v>41</v>
      </c>
      <c r="X76" s="53" t="s">
        <v>41</v>
      </c>
      <c r="Y76" s="99" t="s">
        <v>54</v>
      </c>
      <c r="Z76" s="99" t="s">
        <v>54</v>
      </c>
      <c r="AA76" s="99" t="s">
        <v>54</v>
      </c>
      <c r="AB76" s="99" t="s">
        <v>54</v>
      </c>
      <c r="AC76" s="99" t="s">
        <v>54</v>
      </c>
      <c r="AD76" s="99" t="s">
        <v>54</v>
      </c>
      <c r="AE76" s="53" t="s">
        <v>41</v>
      </c>
      <c r="AF76" s="53" t="s">
        <v>41</v>
      </c>
      <c r="AG76" s="54">
        <f>AH76+AI76+AJ76</f>
        <v>0</v>
      </c>
      <c r="AH76" s="70"/>
      <c r="AI76" s="70"/>
      <c r="AJ76" s="70"/>
      <c r="AK76" s="71" t="s">
        <v>58</v>
      </c>
      <c r="AL76" s="56">
        <f t="shared" si="18"/>
        <v>18</v>
      </c>
      <c r="AM76" s="56">
        <f t="shared" si="19"/>
        <v>12</v>
      </c>
      <c r="AN76" s="56">
        <f t="shared" si="20"/>
        <v>12</v>
      </c>
      <c r="BE76" s="22"/>
    </row>
    <row r="77" spans="1:57">
      <c r="A77" s="15">
        <v>46258</v>
      </c>
      <c r="B77" s="59">
        <v>1600</v>
      </c>
      <c r="C77" s="59"/>
      <c r="D77" s="48">
        <f>(SUM(粮草!A77:X77)+AG77*10*IF(AK77="是",$BB$4,$BB$3))</f>
        <v>1752</v>
      </c>
      <c r="E77" s="50">
        <f>SUM($B$4:B77)+SUM($C$4:C77)-SUM($D$4:D77)</f>
        <v>4668</v>
      </c>
      <c r="F77" s="48">
        <f>SUM(经验!A77:X77)</f>
        <v>620</v>
      </c>
      <c r="G77" s="48">
        <f>SUM($F$4:F77)+SUM($H$4:H77)</f>
        <v>49060</v>
      </c>
      <c r="H77" s="59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3" t="s">
        <v>41</v>
      </c>
      <c r="P77" s="53" t="s">
        <v>41</v>
      </c>
      <c r="Q77" s="20" t="s">
        <v>44</v>
      </c>
      <c r="R77" s="65" t="s">
        <v>51</v>
      </c>
      <c r="S77" s="65" t="s">
        <v>51</v>
      </c>
      <c r="T77" s="65" t="s">
        <v>51</v>
      </c>
      <c r="U77" s="65" t="s">
        <v>51</v>
      </c>
      <c r="V77" s="65" t="s">
        <v>51</v>
      </c>
      <c r="W77" s="53" t="s">
        <v>41</v>
      </c>
      <c r="X77" s="53" t="s">
        <v>41</v>
      </c>
      <c r="Y77" s="99" t="s">
        <v>54</v>
      </c>
      <c r="Z77" s="99" t="s">
        <v>54</v>
      </c>
      <c r="AA77" s="99" t="s">
        <v>54</v>
      </c>
      <c r="AB77" s="99" t="s">
        <v>54</v>
      </c>
      <c r="AC77" s="99" t="s">
        <v>54</v>
      </c>
      <c r="AD77" s="99" t="s">
        <v>54</v>
      </c>
      <c r="AE77" s="53" t="s">
        <v>41</v>
      </c>
      <c r="AF77" s="53" t="s">
        <v>41</v>
      </c>
      <c r="AG77" s="54">
        <f>AH77+AI77+AJ77</f>
        <v>0</v>
      </c>
      <c r="AH77" s="70"/>
      <c r="AI77" s="70"/>
      <c r="AJ77" s="70"/>
      <c r="AK77" s="71" t="s">
        <v>58</v>
      </c>
      <c r="AL77" s="56">
        <f t="shared" si="18"/>
        <v>18</v>
      </c>
      <c r="AM77" s="56">
        <f t="shared" si="19"/>
        <v>12</v>
      </c>
      <c r="AN77" s="56">
        <f t="shared" si="20"/>
        <v>12</v>
      </c>
      <c r="BE77" s="22"/>
    </row>
    <row r="78" spans="1:57">
      <c r="A78" s="15">
        <v>46259</v>
      </c>
      <c r="B78" s="59">
        <v>1600</v>
      </c>
      <c r="C78" s="59"/>
      <c r="D78" s="48">
        <f>(SUM(粮草!A78:X78)+AG78*10*IF(AK78="是",$BB$4,$BB$3))</f>
        <v>1792</v>
      </c>
      <c r="E78" s="50">
        <f>SUM($B$4:B78)+SUM($C$4:C78)-SUM($D$4:D78)</f>
        <v>4476</v>
      </c>
      <c r="F78" s="48">
        <f>SUM(经验!A78:X78)</f>
        <v>640</v>
      </c>
      <c r="G78" s="48">
        <f>SUM($F$4:F78)+SUM($H$4:H78)</f>
        <v>49700</v>
      </c>
      <c r="H78" s="59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3" t="s">
        <v>41</v>
      </c>
      <c r="P78" s="53" t="s">
        <v>41</v>
      </c>
      <c r="Q78" s="65" t="s">
        <v>51</v>
      </c>
      <c r="R78" s="102" t="s">
        <v>100</v>
      </c>
      <c r="S78" s="102" t="s">
        <v>100</v>
      </c>
      <c r="T78" s="65" t="s">
        <v>51</v>
      </c>
      <c r="U78" s="65" t="s">
        <v>51</v>
      </c>
      <c r="V78" s="65" t="s">
        <v>51</v>
      </c>
      <c r="W78" s="53" t="s">
        <v>41</v>
      </c>
      <c r="X78" s="53" t="s">
        <v>41</v>
      </c>
      <c r="Y78" s="99" t="s">
        <v>54</v>
      </c>
      <c r="Z78" s="99" t="s">
        <v>54</v>
      </c>
      <c r="AA78" s="99" t="s">
        <v>54</v>
      </c>
      <c r="AB78" s="99" t="s">
        <v>54</v>
      </c>
      <c r="AC78" s="99" t="s">
        <v>54</v>
      </c>
      <c r="AD78" s="99" t="s">
        <v>54</v>
      </c>
      <c r="AE78" s="53" t="s">
        <v>41</v>
      </c>
      <c r="AF78" s="53" t="s">
        <v>41</v>
      </c>
      <c r="AG78" s="54">
        <f>AH78+AI78+AJ78</f>
        <v>0</v>
      </c>
      <c r="AH78" s="70"/>
      <c r="AI78" s="70"/>
      <c r="AJ78" s="70"/>
      <c r="AK78" s="71" t="s">
        <v>58</v>
      </c>
      <c r="AL78" s="56">
        <f t="shared" si="18"/>
        <v>18</v>
      </c>
      <c r="AM78" s="56">
        <f t="shared" si="19"/>
        <v>12</v>
      </c>
      <c r="AN78" s="56">
        <f t="shared" si="20"/>
        <v>12</v>
      </c>
      <c r="BE78" s="22"/>
    </row>
    <row r="79" spans="1:57">
      <c r="A79" s="15">
        <v>46260</v>
      </c>
      <c r="B79" s="59">
        <v>1600</v>
      </c>
      <c r="C79" s="59"/>
      <c r="D79" s="48">
        <f>(SUM(粮草!A79:X79)+AG79*10*IF(AK79="是",$BB$4,$BB$3))</f>
        <v>1752</v>
      </c>
      <c r="E79" s="50">
        <f>SUM($B$4:B79)+SUM($C$4:C79)-SUM($D$4:D79)</f>
        <v>4324</v>
      </c>
      <c r="F79" s="48">
        <f>SUM(经验!A79:X79)</f>
        <v>620</v>
      </c>
      <c r="G79" s="48">
        <f>SUM($F$4:F79)+SUM($H$4:H79)</f>
        <v>50520</v>
      </c>
      <c r="H79" s="5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3" t="s">
        <v>41</v>
      </c>
      <c r="P79" s="53" t="s">
        <v>41</v>
      </c>
      <c r="Q79" s="65" t="s">
        <v>51</v>
      </c>
      <c r="R79" s="65" t="s">
        <v>51</v>
      </c>
      <c r="S79" s="65" t="s">
        <v>51</v>
      </c>
      <c r="T79" s="65" t="s">
        <v>51</v>
      </c>
      <c r="U79" s="65" t="s">
        <v>51</v>
      </c>
      <c r="V79" s="20" t="s">
        <v>44</v>
      </c>
      <c r="W79" s="53" t="s">
        <v>41</v>
      </c>
      <c r="X79" s="53" t="s">
        <v>41</v>
      </c>
      <c r="Y79" s="99" t="s">
        <v>54</v>
      </c>
      <c r="Z79" s="99" t="s">
        <v>54</v>
      </c>
      <c r="AA79" s="99" t="s">
        <v>54</v>
      </c>
      <c r="AB79" s="99" t="s">
        <v>54</v>
      </c>
      <c r="AC79" s="99" t="s">
        <v>54</v>
      </c>
      <c r="AD79" s="99" t="s">
        <v>54</v>
      </c>
      <c r="AE79" s="53" t="s">
        <v>41</v>
      </c>
      <c r="AF79" s="53" t="s">
        <v>41</v>
      </c>
      <c r="AG79" s="54">
        <f>AH79+AI79+AJ79</f>
        <v>0</v>
      </c>
      <c r="AH79" s="70"/>
      <c r="AI79" s="70"/>
      <c r="AJ79" s="70"/>
      <c r="AK79" s="71" t="s">
        <v>58</v>
      </c>
      <c r="AL79" s="56">
        <f t="shared" si="18"/>
        <v>18</v>
      </c>
      <c r="AM79" s="56">
        <f t="shared" si="19"/>
        <v>12</v>
      </c>
      <c r="AN79" s="56">
        <f t="shared" si="20"/>
        <v>12</v>
      </c>
      <c r="BE79" s="22"/>
    </row>
    <row r="80" spans="1:57">
      <c r="A80" s="15">
        <v>46261</v>
      </c>
      <c r="B80" s="59">
        <v>1600</v>
      </c>
      <c r="C80" s="59"/>
      <c r="D80" s="48">
        <f>(SUM(粮草!A80:X80)+AG80*10*IF(AK80="是",$BB$4,$BB$3))</f>
        <v>1720</v>
      </c>
      <c r="E80" s="50">
        <f>SUM($B$4:B80)+SUM($C$4:C80)-SUM($D$4:D80)</f>
        <v>4204</v>
      </c>
      <c r="F80" s="48">
        <f>SUM(经验!A80:X80)</f>
        <v>605</v>
      </c>
      <c r="G80" s="48">
        <f>SUM($F$4:F80)+SUM($H$4:H80)</f>
        <v>51125</v>
      </c>
      <c r="H80" s="59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3" t="s">
        <v>41</v>
      </c>
      <c r="P80" s="53" t="s">
        <v>41</v>
      </c>
      <c r="Q80" s="65" t="s">
        <v>51</v>
      </c>
      <c r="R80" s="65" t="s">
        <v>51</v>
      </c>
      <c r="S80" s="65" t="s">
        <v>51</v>
      </c>
      <c r="T80" s="65" t="s">
        <v>51</v>
      </c>
      <c r="U80" s="65" t="s">
        <v>51</v>
      </c>
      <c r="V80" s="63" t="s">
        <v>46</v>
      </c>
      <c r="W80" s="53" t="s">
        <v>41</v>
      </c>
      <c r="X80" s="53" t="s">
        <v>41</v>
      </c>
      <c r="Y80" s="99" t="s">
        <v>54</v>
      </c>
      <c r="Z80" s="99" t="s">
        <v>54</v>
      </c>
      <c r="AA80" s="99" t="s">
        <v>54</v>
      </c>
      <c r="AB80" s="63" t="s">
        <v>46</v>
      </c>
      <c r="AC80" s="21" t="s">
        <v>53</v>
      </c>
      <c r="AD80" s="99" t="s">
        <v>54</v>
      </c>
      <c r="AE80" s="53" t="s">
        <v>41</v>
      </c>
      <c r="AF80" s="53" t="s">
        <v>41</v>
      </c>
      <c r="AG80" s="54">
        <f t="shared" si="17"/>
        <v>0</v>
      </c>
      <c r="AH80" s="70"/>
      <c r="AI80" s="70"/>
      <c r="AJ80" s="70"/>
      <c r="AK80" s="71" t="s">
        <v>58</v>
      </c>
      <c r="AL80" s="56">
        <f t="shared" si="18"/>
        <v>18</v>
      </c>
      <c r="AM80" s="56">
        <f t="shared" si="19"/>
        <v>12</v>
      </c>
      <c r="AN80" s="56">
        <f t="shared" si="20"/>
        <v>12</v>
      </c>
      <c r="BE80" s="22"/>
    </row>
    <row r="81" spans="1:57">
      <c r="A81" s="15">
        <v>46262</v>
      </c>
      <c r="B81" s="59">
        <v>1600</v>
      </c>
      <c r="C81" s="59"/>
      <c r="D81" s="48">
        <f>(SUM(粮草!A81:X81)+AG81*10*IF(AK81="是",$BB$4,$BB$3))</f>
        <v>1552</v>
      </c>
      <c r="E81" s="50">
        <f>SUM($B$4:B81)+SUM($C$4:C81)-SUM($D$4:D81)</f>
        <v>4252</v>
      </c>
      <c r="F81" s="48">
        <f>SUM(经验!A81:X81)</f>
        <v>545</v>
      </c>
      <c r="G81" s="48">
        <f>SUM($F$4:F81)+SUM($H$4:H81)</f>
        <v>51670</v>
      </c>
      <c r="H81" s="59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53" t="s">
        <v>41</v>
      </c>
      <c r="P81" s="53" t="s">
        <v>41</v>
      </c>
      <c r="Q81" s="63" t="s">
        <v>46</v>
      </c>
      <c r="R81" s="63" t="s">
        <v>46</v>
      </c>
      <c r="S81" s="52" t="s">
        <v>40</v>
      </c>
      <c r="T81" s="63" t="s">
        <v>46</v>
      </c>
      <c r="U81" s="63" t="s">
        <v>46</v>
      </c>
      <c r="V81" s="20" t="s">
        <v>44</v>
      </c>
      <c r="W81" s="53" t="s">
        <v>41</v>
      </c>
      <c r="X81" s="53" t="s">
        <v>41</v>
      </c>
      <c r="Y81" s="99" t="s">
        <v>54</v>
      </c>
      <c r="Z81" s="99" t="s">
        <v>54</v>
      </c>
      <c r="AA81" s="99" t="s">
        <v>54</v>
      </c>
      <c r="AB81" s="20" t="s">
        <v>44</v>
      </c>
      <c r="AC81" s="63" t="s">
        <v>46</v>
      </c>
      <c r="AD81" s="63" t="s">
        <v>46</v>
      </c>
      <c r="AE81" s="53" t="s">
        <v>41</v>
      </c>
      <c r="AF81" s="53" t="s">
        <v>41</v>
      </c>
      <c r="AG81" s="54">
        <f t="shared" si="17"/>
        <v>0</v>
      </c>
      <c r="AH81" s="70"/>
      <c r="AI81" s="70"/>
      <c r="AJ81" s="70"/>
      <c r="AK81" s="71" t="s">
        <v>58</v>
      </c>
      <c r="AL81" s="56">
        <f t="shared" si="18"/>
        <v>18</v>
      </c>
      <c r="AM81" s="56">
        <f t="shared" si="19"/>
        <v>12</v>
      </c>
      <c r="AN81" s="56">
        <f t="shared" si="20"/>
        <v>12</v>
      </c>
      <c r="BE81" s="22"/>
    </row>
    <row r="82" spans="1:57">
      <c r="A82" s="15">
        <v>46263</v>
      </c>
      <c r="B82" s="59">
        <v>1600</v>
      </c>
      <c r="C82" s="59"/>
      <c r="D82" s="48">
        <f>(SUM(粮草!A82:X82)+AG82*10*IF(AK82="是",$BB$4,$BB$3))</f>
        <v>1520</v>
      </c>
      <c r="E82" s="50">
        <f>SUM($B$4:B82)+SUM($C$4:C82)-SUM($D$4:D82)</f>
        <v>4332</v>
      </c>
      <c r="F82" s="48">
        <f>SUM(经验!A82:X82)</f>
        <v>520</v>
      </c>
      <c r="G82" s="48">
        <f>SUM($F$4:F82)+SUM($H$4:H82)</f>
        <v>52190</v>
      </c>
      <c r="H82" s="59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53" t="s">
        <v>41</v>
      </c>
      <c r="P82" s="53" t="s">
        <v>41</v>
      </c>
      <c r="Q82" s="63" t="s">
        <v>46</v>
      </c>
      <c r="R82" s="63" t="s">
        <v>46</v>
      </c>
      <c r="S82" s="63" t="s">
        <v>46</v>
      </c>
      <c r="T82" s="63" t="s">
        <v>46</v>
      </c>
      <c r="U82" s="63" t="s">
        <v>46</v>
      </c>
      <c r="V82" s="20" t="s">
        <v>44</v>
      </c>
      <c r="W82" s="53" t="s">
        <v>41</v>
      </c>
      <c r="X82" s="53" t="s">
        <v>41</v>
      </c>
      <c r="Y82" s="63" t="s">
        <v>46</v>
      </c>
      <c r="Z82" s="63" t="s">
        <v>46</v>
      </c>
      <c r="AA82" s="63" t="s">
        <v>46</v>
      </c>
      <c r="AB82" s="63" t="s">
        <v>46</v>
      </c>
      <c r="AC82" s="52" t="s">
        <v>40</v>
      </c>
      <c r="AD82" s="63" t="s">
        <v>46</v>
      </c>
      <c r="AE82" s="53" t="s">
        <v>41</v>
      </c>
      <c r="AF82" s="53" t="s">
        <v>41</v>
      </c>
      <c r="AG82" s="54">
        <f t="shared" si="17"/>
        <v>0</v>
      </c>
      <c r="AH82" s="70"/>
      <c r="AI82" s="70"/>
      <c r="AJ82" s="70"/>
      <c r="AK82" s="71" t="s">
        <v>58</v>
      </c>
      <c r="AL82" s="56">
        <f t="shared" si="18"/>
        <v>18</v>
      </c>
      <c r="AM82" s="56">
        <f t="shared" si="19"/>
        <v>12</v>
      </c>
      <c r="AN82" s="56">
        <f t="shared" si="20"/>
        <v>12</v>
      </c>
      <c r="BE82" s="22"/>
    </row>
    <row r="83" spans="1:57">
      <c r="A83" s="15">
        <v>46264</v>
      </c>
      <c r="B83" s="59">
        <v>1600</v>
      </c>
      <c r="C83" s="59"/>
      <c r="D83" s="48">
        <f>(SUM(粮草!A83:X83)+AG83*10*IF(AK83="是",$BB$4,$BB$3))</f>
        <v>704</v>
      </c>
      <c r="E83" s="50">
        <f>SUM($B$4:B83)+SUM($C$4:C83)-SUM($D$4:D83)</f>
        <v>5228</v>
      </c>
      <c r="F83" s="48">
        <f>SUM(经验!A83:X83)</f>
        <v>250</v>
      </c>
      <c r="G83" s="48">
        <f>SUM($F$4:F83)+SUM($H$4:H83)</f>
        <v>52440</v>
      </c>
      <c r="H83" s="59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53" t="s">
        <v>41</v>
      </c>
      <c r="P83" s="53" t="s">
        <v>41</v>
      </c>
      <c r="Q83" s="63" t="s">
        <v>46</v>
      </c>
      <c r="R83" s="63" t="s">
        <v>46</v>
      </c>
      <c r="S83" s="63" t="s">
        <v>46</v>
      </c>
      <c r="T83" s="20" t="s">
        <v>44</v>
      </c>
      <c r="U83" s="63" t="s">
        <v>46</v>
      </c>
      <c r="V83" s="52" t="s">
        <v>40</v>
      </c>
      <c r="W83" s="53" t="s">
        <v>41</v>
      </c>
      <c r="X83" s="5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53" t="s">
        <v>41</v>
      </c>
      <c r="AF83" s="53" t="s">
        <v>41</v>
      </c>
      <c r="AG83" s="54">
        <f t="shared" si="17"/>
        <v>0</v>
      </c>
      <c r="AH83" s="70"/>
      <c r="AI83" s="70"/>
      <c r="AJ83" s="70"/>
      <c r="AK83" s="71" t="s">
        <v>58</v>
      </c>
      <c r="AL83" s="56">
        <f t="shared" si="18"/>
        <v>18</v>
      </c>
      <c r="AM83" s="56">
        <f t="shared" si="19"/>
        <v>12</v>
      </c>
      <c r="AN83" s="56">
        <f t="shared" si="20"/>
        <v>18</v>
      </c>
      <c r="BE83" s="22"/>
    </row>
    <row r="84" spans="1:57">
      <c r="A84" s="15">
        <v>46265</v>
      </c>
      <c r="B84" s="48">
        <v>1600</v>
      </c>
      <c r="C84" s="49"/>
      <c r="D84" s="48">
        <f>(SUM(粮草!A84:X84)+AG84*10*IF(AK84="是",$BB$4,$BB$3))</f>
        <v>1600</v>
      </c>
      <c r="E84" s="50">
        <f>SUM($B$4:B84)+SUM($C$4:C84)-SUM($D$4:D84)</f>
        <v>5228</v>
      </c>
      <c r="F84" s="48">
        <f>SUM(经验!A84:X84)</f>
        <v>535</v>
      </c>
      <c r="G84" s="48">
        <f>SUM($F$4:F84)+SUM($H$4:H84)</f>
        <v>53175</v>
      </c>
      <c r="H84" s="48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53" t="s">
        <v>41</v>
      </c>
      <c r="P84" s="53" t="s">
        <v>41</v>
      </c>
      <c r="Q84" s="63" t="s">
        <v>46</v>
      </c>
      <c r="R84" s="63" t="s">
        <v>46</v>
      </c>
      <c r="S84" s="21" t="s">
        <v>53</v>
      </c>
      <c r="T84" s="63" t="s">
        <v>46</v>
      </c>
      <c r="U84" s="20" t="s">
        <v>44</v>
      </c>
      <c r="V84" s="63" t="s">
        <v>46</v>
      </c>
      <c r="W84" s="53" t="s">
        <v>41</v>
      </c>
      <c r="X84" s="53" t="s">
        <v>41</v>
      </c>
      <c r="Y84" s="63" t="s">
        <v>46</v>
      </c>
      <c r="Z84" s="63" t="s">
        <v>46</v>
      </c>
      <c r="AA84" s="63" t="s">
        <v>46</v>
      </c>
      <c r="AB84" s="63" t="s">
        <v>46</v>
      </c>
      <c r="AC84" s="63" t="s">
        <v>46</v>
      </c>
      <c r="AD84" s="63" t="s">
        <v>46</v>
      </c>
      <c r="AE84" s="53" t="s">
        <v>41</v>
      </c>
      <c r="AF84" s="53" t="s">
        <v>41</v>
      </c>
      <c r="AG84" s="54">
        <f t="shared" si="17"/>
        <v>0</v>
      </c>
      <c r="AH84" s="70"/>
      <c r="AI84" s="70"/>
      <c r="AJ84" s="70"/>
      <c r="AK84" s="71" t="s">
        <v>58</v>
      </c>
      <c r="AL84" s="56">
        <f t="shared" si="18"/>
        <v>18</v>
      </c>
      <c r="AM84" s="56">
        <f t="shared" si="19"/>
        <v>12</v>
      </c>
      <c r="AN84" s="56">
        <f t="shared" si="20"/>
        <v>12</v>
      </c>
      <c r="BE84" s="22"/>
    </row>
    <row r="85" spans="1:57">
      <c r="A85" s="15">
        <v>46266</v>
      </c>
      <c r="B85" s="48">
        <v>1600</v>
      </c>
      <c r="C85" s="49"/>
      <c r="D85" s="48">
        <f>(SUM(粮草!A85:X85)+AG85*10*IF(AK85="是",$BB$4,$BB$3))</f>
        <v>1232</v>
      </c>
      <c r="E85" s="50">
        <f>SUM($B$4:B85)+SUM($C$4:C85)-SUM($D$4:D85)</f>
        <v>5596</v>
      </c>
      <c r="F85" s="48">
        <f>SUM(经验!A85:X85)</f>
        <v>405</v>
      </c>
      <c r="G85" s="48">
        <f>SUM($F$4:F85)+SUM($H$4:H85)</f>
        <v>53580</v>
      </c>
      <c r="H85" s="48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53" t="s">
        <v>41</v>
      </c>
      <c r="P85" s="53" t="s">
        <v>41</v>
      </c>
      <c r="Q85" s="63" t="s">
        <v>46</v>
      </c>
      <c r="R85" s="63" t="s">
        <v>46</v>
      </c>
      <c r="S85" s="63" t="s">
        <v>46</v>
      </c>
      <c r="T85" t="s">
        <v>41</v>
      </c>
      <c r="U85" t="s">
        <v>41</v>
      </c>
      <c r="V85" t="s">
        <v>41</v>
      </c>
      <c r="W85" s="53" t="s">
        <v>41</v>
      </c>
      <c r="X85" s="53" t="s">
        <v>41</v>
      </c>
      <c r="Y85" s="63" t="s">
        <v>46</v>
      </c>
      <c r="Z85" s="63" t="s">
        <v>46</v>
      </c>
      <c r="AA85" s="63" t="s">
        <v>46</v>
      </c>
      <c r="AB85" s="63" t="s">
        <v>46</v>
      </c>
      <c r="AC85" s="63" t="s">
        <v>46</v>
      </c>
      <c r="AD85" s="63" t="s">
        <v>46</v>
      </c>
      <c r="AE85" s="53" t="s">
        <v>41</v>
      </c>
      <c r="AF85" s="53" t="s">
        <v>41</v>
      </c>
      <c r="AG85" s="54">
        <f t="shared" si="17"/>
        <v>1</v>
      </c>
      <c r="AH85" s="70"/>
      <c r="AI85" s="70"/>
      <c r="AJ85" s="70">
        <v>1</v>
      </c>
      <c r="AK85" s="71" t="s">
        <v>58</v>
      </c>
      <c r="AL85" s="56">
        <f t="shared" si="18"/>
        <v>18</v>
      </c>
      <c r="AM85" s="56">
        <f t="shared" si="19"/>
        <v>15</v>
      </c>
      <c r="AN85" s="56">
        <f t="shared" si="20"/>
        <v>12</v>
      </c>
      <c r="BE85" s="22"/>
    </row>
    <row r="86" spans="1:57">
      <c r="A86" s="15">
        <v>46267</v>
      </c>
      <c r="B86" s="48">
        <v>1600</v>
      </c>
      <c r="C86" s="49"/>
      <c r="D86" s="48">
        <f>(SUM(粮草!A86:X86)+AG86*10*IF(AK86="是",$BB$4,$BB$3))</f>
        <v>2024</v>
      </c>
      <c r="E86" s="50">
        <f>SUM($B$4:B86)+SUM($C$4:C86)-SUM($D$4:D86)</f>
        <v>5172</v>
      </c>
      <c r="F86" s="48">
        <f>SUM(经验!A86:X86)</f>
        <v>2895</v>
      </c>
      <c r="G86" s="48">
        <f>SUM($F$4:F86)+SUM($H$4:H86)</f>
        <v>56775</v>
      </c>
      <c r="H86" s="48">
        <v>300</v>
      </c>
      <c r="I86" s="100" t="s">
        <v>45</v>
      </c>
      <c r="J86" s="100" t="s">
        <v>45</v>
      </c>
      <c r="K86" s="101" t="s">
        <v>40</v>
      </c>
      <c r="L86" s="100" t="s">
        <v>45</v>
      </c>
      <c r="M86" s="100" t="s">
        <v>45</v>
      </c>
      <c r="N86" s="100" t="s">
        <v>45</v>
      </c>
      <c r="O86" s="53" t="s">
        <v>41</v>
      </c>
      <c r="P86" s="53" t="s">
        <v>41</v>
      </c>
      <c r="Q86" s="21" t="s">
        <v>57</v>
      </c>
      <c r="R86" s="78" t="s">
        <v>65</v>
      </c>
      <c r="S86" s="77" t="s">
        <v>64</v>
      </c>
      <c r="T86" s="69" t="s">
        <v>55</v>
      </c>
      <c r="U86" s="69" t="s">
        <v>55</v>
      </c>
      <c r="V86" s="77" t="s">
        <v>64</v>
      </c>
      <c r="W86" s="53" t="s">
        <v>41</v>
      </c>
      <c r="X86" s="53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53" t="s">
        <v>41</v>
      </c>
      <c r="AF86" s="53" t="s">
        <v>41</v>
      </c>
      <c r="AG86" s="54">
        <f t="shared" si="17"/>
        <v>38</v>
      </c>
      <c r="AH86" s="70"/>
      <c r="AI86" s="70">
        <f>9+16+3+1+3+5+1</f>
        <v>38</v>
      </c>
      <c r="AJ86" s="70"/>
      <c r="AK86" s="71" t="s">
        <v>58</v>
      </c>
      <c r="AL86" s="56">
        <f t="shared" si="18"/>
        <v>12</v>
      </c>
      <c r="AM86" s="56">
        <f t="shared" si="19"/>
        <v>12</v>
      </c>
      <c r="AN86" s="56">
        <f t="shared" si="20"/>
        <v>18</v>
      </c>
      <c r="BE86" s="22"/>
    </row>
    <row r="87" spans="1:57">
      <c r="A87" s="15">
        <v>46268</v>
      </c>
      <c r="B87" s="48">
        <v>1600</v>
      </c>
      <c r="C87" s="49">
        <v>80</v>
      </c>
      <c r="D87" s="48">
        <f>(SUM(粮草!A87:X87)+AG87*10*IF(AK87="是",$BB$4,$BB$3))</f>
        <v>1456</v>
      </c>
      <c r="E87" s="50">
        <f>SUM($B$4:B87)+SUM($C$4:C87)-SUM($D$4:D87)</f>
        <v>5396</v>
      </c>
      <c r="F87" s="48">
        <f>SUM(经验!A87:X87)</f>
        <v>1940</v>
      </c>
      <c r="G87" s="48">
        <f>SUM($F$4:F87)+SUM($H$4:H87)</f>
        <v>58715</v>
      </c>
      <c r="H87" s="48">
        <v>0</v>
      </c>
      <c r="I87" s="100" t="s">
        <v>45</v>
      </c>
      <c r="J87" s="101" t="s">
        <v>40</v>
      </c>
      <c r="K87" s="51" t="s">
        <v>39</v>
      </c>
      <c r="L87" s="20" t="s">
        <v>44</v>
      </c>
      <c r="M87" s="51" t="s">
        <v>39</v>
      </c>
      <c r="N87" t="s">
        <v>41</v>
      </c>
      <c r="O87" s="53" t="s">
        <v>41</v>
      </c>
      <c r="P87" s="53" t="s">
        <v>41</v>
      </c>
      <c r="Q87" s="79" t="s">
        <v>68</v>
      </c>
      <c r="R87" s="79" t="s">
        <v>68</v>
      </c>
      <c r="S87" s="78" t="s">
        <v>65</v>
      </c>
      <c r="T87" s="102" t="s">
        <v>100</v>
      </c>
      <c r="U87" s="102" t="s">
        <v>100</v>
      </c>
      <c r="V87" s="102" t="s">
        <v>100</v>
      </c>
      <c r="W87" s="102" t="s">
        <v>100</v>
      </c>
      <c r="X87" s="53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3" t="s">
        <v>41</v>
      </c>
      <c r="AF87" s="53" t="s">
        <v>41</v>
      </c>
      <c r="AG87" s="54">
        <f t="shared" si="17"/>
        <v>5</v>
      </c>
      <c r="AH87" s="70"/>
      <c r="AI87" s="70">
        <v>5</v>
      </c>
      <c r="AJ87" s="70"/>
      <c r="AK87" s="71" t="s">
        <v>58</v>
      </c>
      <c r="AL87" s="56">
        <f t="shared" si="18"/>
        <v>13</v>
      </c>
      <c r="AM87" s="56">
        <f t="shared" si="19"/>
        <v>13</v>
      </c>
      <c r="AN87" s="56">
        <f t="shared" si="20"/>
        <v>18</v>
      </c>
      <c r="BE87" s="22"/>
    </row>
    <row r="88" spans="1:57">
      <c r="A88" s="15">
        <v>46269</v>
      </c>
      <c r="B88" s="48">
        <v>1600</v>
      </c>
      <c r="C88" s="49"/>
      <c r="D88" s="48">
        <f>(SUM(粮草!A88:X88)+AG88*10*IF(AK88="是",$BB$4,$BB$3))</f>
        <v>2280</v>
      </c>
      <c r="E88" s="50">
        <f>SUM($B$4:B88)+SUM($C$4:C88)-SUM($D$4:D88)</f>
        <v>4716</v>
      </c>
      <c r="F88" s="48">
        <f>SUM(经验!A88:X88)</f>
        <v>800</v>
      </c>
      <c r="G88" s="48">
        <f>SUM($F$4:F88)+SUM($H$4:H88)</f>
        <v>59515</v>
      </c>
      <c r="H88" s="48">
        <v>0</v>
      </c>
      <c r="I88" s="101" t="s">
        <v>40</v>
      </c>
      <c r="J88" s="51" t="s">
        <v>39</v>
      </c>
      <c r="K88" s="51" t="s">
        <v>39</v>
      </c>
      <c r="L88" s="105" t="s">
        <v>45</v>
      </c>
      <c r="M88" s="105" t="s">
        <v>45</v>
      </c>
      <c r="N88" s="105" t="s">
        <v>45</v>
      </c>
      <c r="O88" s="53" t="s">
        <v>41</v>
      </c>
      <c r="P88" s="53" t="s">
        <v>41</v>
      </c>
      <c r="Q88" s="102" t="s">
        <v>100</v>
      </c>
      <c r="R88" s="102" t="s">
        <v>100</v>
      </c>
      <c r="S88" s="102" t="s">
        <v>100</v>
      </c>
      <c r="T88" s="102" t="s">
        <v>100</v>
      </c>
      <c r="U88" s="102" t="s">
        <v>100</v>
      </c>
      <c r="V88" s="102" t="s">
        <v>100</v>
      </c>
      <c r="W88" s="53" t="s">
        <v>41</v>
      </c>
      <c r="X88" s="53" t="s">
        <v>41</v>
      </c>
      <c r="Y88" s="63" t="s">
        <v>46</v>
      </c>
      <c r="Z88" s="52" t="s">
        <v>40</v>
      </c>
      <c r="AA88" s="63" t="s">
        <v>46</v>
      </c>
      <c r="AB88" s="20" t="s">
        <v>44</v>
      </c>
      <c r="AC88" s="63" t="s">
        <v>46</v>
      </c>
      <c r="AD88" s="63" t="s">
        <v>46</v>
      </c>
      <c r="AE88" s="53" t="s">
        <v>41</v>
      </c>
      <c r="AF88" s="53" t="s">
        <v>41</v>
      </c>
      <c r="AG88" s="54">
        <f t="shared" si="17"/>
        <v>0</v>
      </c>
      <c r="AH88" s="70"/>
      <c r="AI88" s="70"/>
      <c r="AJ88" s="70"/>
      <c r="AK88" s="71" t="s">
        <v>58</v>
      </c>
      <c r="AL88" s="56">
        <f t="shared" si="18"/>
        <v>12</v>
      </c>
      <c r="AM88" s="56">
        <f t="shared" si="19"/>
        <v>12</v>
      </c>
      <c r="AN88" s="56">
        <f t="shared" si="20"/>
        <v>12</v>
      </c>
      <c r="BE88" s="22"/>
    </row>
    <row r="89" spans="1:57">
      <c r="A89" s="15">
        <v>46270</v>
      </c>
      <c r="B89" s="48">
        <v>1600</v>
      </c>
      <c r="C89" s="49"/>
      <c r="D89" s="48">
        <f>(SUM(粮草!A89:X89)+AG89*10*IF(AK89="是",$BB$4,$BB$3))</f>
        <v>1576</v>
      </c>
      <c r="E89" s="50">
        <f>SUM($B$4:B89)+SUM($C$4:C89)-SUM($D$4:D89)</f>
        <v>4740</v>
      </c>
      <c r="F89" s="48">
        <f>SUM(经验!A89:X89)</f>
        <v>560</v>
      </c>
      <c r="G89" s="48">
        <f>SUM($F$4:F89)+SUM($H$4:H89)</f>
        <v>60075</v>
      </c>
      <c r="H89" s="48">
        <v>0</v>
      </c>
      <c r="I89" s="106" t="s">
        <v>44</v>
      </c>
      <c r="J89" s="105" t="s">
        <v>45</v>
      </c>
      <c r="K89" s="101" t="s">
        <v>40</v>
      </c>
      <c r="L89" s="100" t="s">
        <v>45</v>
      </c>
      <c r="M89" s="20" t="s">
        <v>44</v>
      </c>
      <c r="N89" s="100" t="s">
        <v>45</v>
      </c>
      <c r="O89" s="53" t="s">
        <v>41</v>
      </c>
      <c r="P89" s="53" t="s">
        <v>41</v>
      </c>
      <c r="Q89" s="102" t="s">
        <v>100</v>
      </c>
      <c r="R89" s="102" t="s">
        <v>100</v>
      </c>
      <c r="S89" s="102" t="s">
        <v>100</v>
      </c>
      <c r="T89" s="102" t="s">
        <v>100</v>
      </c>
      <c r="U89" s="102" t="s">
        <v>100</v>
      </c>
      <c r="V89" s="102" t="s">
        <v>100</v>
      </c>
      <c r="W89" s="53" t="s">
        <v>41</v>
      </c>
      <c r="X89" s="53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3" t="s">
        <v>41</v>
      </c>
      <c r="AF89" s="53" t="s">
        <v>41</v>
      </c>
      <c r="AG89" s="54">
        <f t="shared" si="17"/>
        <v>0</v>
      </c>
      <c r="AH89" s="70"/>
      <c r="AI89" s="70"/>
      <c r="AJ89" s="70"/>
      <c r="AK89" s="71" t="s">
        <v>58</v>
      </c>
      <c r="AL89" s="56">
        <f t="shared" si="18"/>
        <v>12</v>
      </c>
      <c r="AM89" s="56">
        <f t="shared" si="19"/>
        <v>12</v>
      </c>
      <c r="AN89" s="56">
        <f t="shared" si="20"/>
        <v>18</v>
      </c>
      <c r="BE89" s="22"/>
    </row>
    <row r="90" spans="1:57">
      <c r="A90" s="15">
        <v>46271</v>
      </c>
      <c r="B90" s="48">
        <v>1600</v>
      </c>
      <c r="C90" s="49"/>
      <c r="D90" s="48">
        <f>(SUM(粮草!A90:X90)+AG90*10*IF(AK90="是",$BB$4,$BB$3))</f>
        <v>2552</v>
      </c>
      <c r="E90" s="50">
        <f>SUM($B$4:B90)+SUM($C$4:C90)-SUM($D$4:D90)</f>
        <v>3788</v>
      </c>
      <c r="F90" s="48">
        <f>SUM(经验!A90:X90)</f>
        <v>895</v>
      </c>
      <c r="G90" s="48">
        <f>SUM($F$4:F90)+SUM($H$4:H90)</f>
        <v>60970</v>
      </c>
      <c r="H90" s="48">
        <v>0</v>
      </c>
      <c r="I90" s="20" t="s">
        <v>44</v>
      </c>
      <c r="J90" s="100" t="s">
        <v>45</v>
      </c>
      <c r="K90" s="101" t="s">
        <v>40</v>
      </c>
      <c r="L90" s="100" t="s">
        <v>45</v>
      </c>
      <c r="M90" s="100" t="s">
        <v>45</v>
      </c>
      <c r="N90" s="100" t="s">
        <v>45</v>
      </c>
      <c r="O90" s="101" t="s">
        <v>40</v>
      </c>
      <c r="P90" s="100" t="s">
        <v>45</v>
      </c>
      <c r="Q90" s="102" t="s">
        <v>100</v>
      </c>
      <c r="R90" s="102" t="s">
        <v>100</v>
      </c>
      <c r="S90" s="102" t="s">
        <v>100</v>
      </c>
      <c r="T90" s="102" t="s">
        <v>100</v>
      </c>
      <c r="U90" s="102" t="s">
        <v>100</v>
      </c>
      <c r="V90" s="102" t="s">
        <v>100</v>
      </c>
      <c r="W90" s="53" t="s">
        <v>41</v>
      </c>
      <c r="X90" s="53" t="s">
        <v>41</v>
      </c>
      <c r="Y90" s="63" t="s">
        <v>46</v>
      </c>
      <c r="Z90" s="63" t="s">
        <v>46</v>
      </c>
      <c r="AA90" s="63" t="s">
        <v>46</v>
      </c>
      <c r="AB90" s="20" t="s">
        <v>44</v>
      </c>
      <c r="AC90" s="63" t="s">
        <v>46</v>
      </c>
      <c r="AD90" s="63" t="s">
        <v>46</v>
      </c>
      <c r="AE90" s="53" t="s">
        <v>41</v>
      </c>
      <c r="AF90" s="53" t="s">
        <v>41</v>
      </c>
      <c r="AG90" s="54">
        <f t="shared" si="17"/>
        <v>0</v>
      </c>
      <c r="AH90" s="70"/>
      <c r="AI90" s="70"/>
      <c r="AJ90" s="70"/>
      <c r="AK90" s="71" t="s">
        <v>58</v>
      </c>
      <c r="AL90" s="56">
        <f t="shared" si="18"/>
        <v>10</v>
      </c>
      <c r="AM90" s="56">
        <f t="shared" si="19"/>
        <v>12</v>
      </c>
      <c r="AN90" s="56">
        <f t="shared" si="20"/>
        <v>12</v>
      </c>
      <c r="BE90" s="22"/>
    </row>
    <row r="91" spans="1:57">
      <c r="A91" s="15">
        <v>46272</v>
      </c>
      <c r="B91" s="59">
        <v>1600</v>
      </c>
      <c r="C91" s="59"/>
      <c r="D91" s="48">
        <f>(SUM(粮草!A91:X91)+AG91*10*IF(AK91="是",$BB$4,$BB$3))</f>
        <v>2432</v>
      </c>
      <c r="E91" s="50">
        <f>SUM($B$4:B91)+SUM($C$4:C91)-SUM($D$4:D91)</f>
        <v>2956</v>
      </c>
      <c r="F91" s="48">
        <f>SUM(经验!A91:X91)</f>
        <v>870</v>
      </c>
      <c r="G91" s="48">
        <f>SUM($F$4:F91)+SUM($H$4:H91)</f>
        <v>62340</v>
      </c>
      <c r="H91" s="59">
        <v>500</v>
      </c>
      <c r="I91" s="100" t="s">
        <v>45</v>
      </c>
      <c r="J91" s="20" t="s">
        <v>44</v>
      </c>
      <c r="K91" s="100" t="s">
        <v>45</v>
      </c>
      <c r="L91" s="101" t="s">
        <v>40</v>
      </c>
      <c r="M91" s="100" t="s">
        <v>45</v>
      </c>
      <c r="N91" s="20" t="s">
        <v>44</v>
      </c>
      <c r="O91" s="100" t="s">
        <v>45</v>
      </c>
      <c r="P91" s="101" t="s">
        <v>40</v>
      </c>
      <c r="Q91" s="102" t="s">
        <v>100</v>
      </c>
      <c r="R91" s="102" t="s">
        <v>100</v>
      </c>
      <c r="S91" s="102" t="s">
        <v>100</v>
      </c>
      <c r="T91" s="52" t="s">
        <v>40</v>
      </c>
      <c r="U91" s="102" t="s">
        <v>100</v>
      </c>
      <c r="V91" s="102" t="s">
        <v>100</v>
      </c>
      <c r="W91" s="53" t="s">
        <v>41</v>
      </c>
      <c r="X91" s="53" t="s">
        <v>41</v>
      </c>
      <c r="Y91" s="63" t="s">
        <v>46</v>
      </c>
      <c r="Z91" s="63" t="s">
        <v>46</v>
      </c>
      <c r="AA91" s="20" t="s">
        <v>44</v>
      </c>
      <c r="AB91" s="63" t="s">
        <v>46</v>
      </c>
      <c r="AC91" s="63" t="s">
        <v>46</v>
      </c>
      <c r="AD91" s="63" t="s">
        <v>46</v>
      </c>
      <c r="AE91" s="53" t="s">
        <v>41</v>
      </c>
      <c r="AF91" s="53" t="s">
        <v>41</v>
      </c>
      <c r="AG91" s="54">
        <f t="shared" si="17"/>
        <v>0</v>
      </c>
      <c r="AH91" s="70"/>
      <c r="AI91" s="70"/>
      <c r="AJ91" s="70"/>
      <c r="AK91" s="71" t="s">
        <v>58</v>
      </c>
      <c r="AL91" s="56">
        <f t="shared" si="18"/>
        <v>8</v>
      </c>
      <c r="AM91" s="56">
        <f t="shared" si="19"/>
        <v>12</v>
      </c>
      <c r="AN91" s="56">
        <f t="shared" si="20"/>
        <v>12</v>
      </c>
      <c r="BE91" s="22"/>
    </row>
    <row r="92" spans="1:57">
      <c r="A92" s="15">
        <v>46273</v>
      </c>
      <c r="B92" s="59">
        <v>1600</v>
      </c>
      <c r="C92" s="59"/>
      <c r="D92" s="48">
        <f>(SUM(粮草!A92:X92)+AG92*10*IF(AK92="是",$BB$4,$BB$3))</f>
        <v>1896</v>
      </c>
      <c r="E92" s="50">
        <f>SUM($B$4:B92)+SUM($C$4:C92)-SUM($D$4:D92)</f>
        <v>2660</v>
      </c>
      <c r="F92" s="48">
        <f>SUM(经验!A92:X92)</f>
        <v>680</v>
      </c>
      <c r="G92" s="48">
        <f>SUM($F$4:F92)+SUM($H$4:H92)</f>
        <v>63020</v>
      </c>
      <c r="H92" s="59">
        <v>0</v>
      </c>
      <c r="I92" s="100" t="s">
        <v>45</v>
      </c>
      <c r="J92" s="20" t="s">
        <v>44</v>
      </c>
      <c r="K92" s="100" t="s">
        <v>45</v>
      </c>
      <c r="L92" s="101" t="s">
        <v>40</v>
      </c>
      <c r="M92" s="100" t="s">
        <v>45</v>
      </c>
      <c r="N92" s="100" t="s">
        <v>45</v>
      </c>
      <c r="O92" s="101" t="s">
        <v>40</v>
      </c>
      <c r="P92" s="53" t="s">
        <v>41</v>
      </c>
      <c r="Q92" s="102" t="s">
        <v>100</v>
      </c>
      <c r="R92" s="102" t="s">
        <v>100</v>
      </c>
      <c r="S92" s="102" t="s">
        <v>100</v>
      </c>
      <c r="T92" t="s">
        <v>41</v>
      </c>
      <c r="U92" t="s">
        <v>41</v>
      </c>
      <c r="V92" t="s">
        <v>41</v>
      </c>
      <c r="W92" s="53" t="s">
        <v>41</v>
      </c>
      <c r="X92" s="53" t="s">
        <v>41</v>
      </c>
      <c r="Y92" s="63" t="s">
        <v>46</v>
      </c>
      <c r="Z92" s="63" t="s">
        <v>46</v>
      </c>
      <c r="AA92" s="52" t="s">
        <v>40</v>
      </c>
      <c r="AB92" s="63" t="s">
        <v>46</v>
      </c>
      <c r="AC92" s="63" t="s">
        <v>46</v>
      </c>
      <c r="AD92" s="63" t="s">
        <v>46</v>
      </c>
      <c r="AE92" s="53" t="s">
        <v>41</v>
      </c>
      <c r="AF92" s="53" t="s">
        <v>41</v>
      </c>
      <c r="AG92" s="54">
        <f t="shared" si="17"/>
        <v>1</v>
      </c>
      <c r="AH92" s="70">
        <v>1</v>
      </c>
      <c r="AI92" s="70"/>
      <c r="AJ92" s="70"/>
      <c r="AK92" s="71" t="s">
        <v>58</v>
      </c>
      <c r="AL92" s="56">
        <f t="shared" si="18"/>
        <v>7</v>
      </c>
      <c r="AM92" s="56">
        <f t="shared" si="19"/>
        <v>15</v>
      </c>
      <c r="AN92" s="56">
        <f t="shared" si="20"/>
        <v>12</v>
      </c>
      <c r="BE92" s="22"/>
    </row>
    <row r="93" spans="1:57">
      <c r="A93" s="15">
        <v>46274</v>
      </c>
      <c r="B93">
        <v>1600</v>
      </c>
      <c r="D93" s="48">
        <f>(SUM(粮草!A93:X93)+AG93*10*IF(AK93="是",$BB$4,$BB$3))</f>
        <v>1216</v>
      </c>
      <c r="E93" s="50">
        <f>SUM($B$4:B93)+SUM($C$4:C93)-SUM($D$4:D93)</f>
        <v>3044</v>
      </c>
      <c r="F93" s="48">
        <f>SUM(经验!A93:X93)</f>
        <v>440</v>
      </c>
      <c r="G93" s="82">
        <f>SUM($F$4:F93)+SUM($H$4:H93)</f>
        <v>63460</v>
      </c>
      <c r="H93">
        <v>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53" t="s">
        <v>41</v>
      </c>
      <c r="P93" s="53" t="s">
        <v>41</v>
      </c>
      <c r="Q93" s="102" t="s">
        <v>100</v>
      </c>
      <c r="R93" s="102" t="s">
        <v>100</v>
      </c>
      <c r="S93" s="102" t="s">
        <v>100</v>
      </c>
      <c r="T93" s="102" t="s">
        <v>100</v>
      </c>
      <c r="U93" s="102" t="s">
        <v>100</v>
      </c>
      <c r="V93" s="102" t="s">
        <v>100</v>
      </c>
      <c r="W93" s="102" t="s">
        <v>100</v>
      </c>
      <c r="X93" s="102" t="s">
        <v>100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53" t="s">
        <v>41</v>
      </c>
      <c r="AF93" s="53" t="s">
        <v>41</v>
      </c>
      <c r="AG93" s="83">
        <f t="shared" si="17"/>
        <v>0</v>
      </c>
      <c r="AH93" s="84"/>
      <c r="AI93" s="84"/>
      <c r="AJ93" s="84"/>
      <c r="AK93" s="85" t="s">
        <v>58</v>
      </c>
      <c r="AL93" s="56">
        <f t="shared" si="18"/>
        <v>13</v>
      </c>
      <c r="AM93" s="56">
        <f t="shared" si="19"/>
        <v>10</v>
      </c>
      <c r="AN93" s="56">
        <f t="shared" si="20"/>
        <v>18</v>
      </c>
      <c r="BE93" s="22"/>
    </row>
    <row r="95" spans="1:57">
      <c r="D95" t="s">
        <v>79</v>
      </c>
      <c r="E95" s="86">
        <f>COUNTIF(E4:E93,"&lt;0")</f>
        <v>5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G30" sqref="G30"/>
    </sheetView>
  </sheetViews>
  <sheetFormatPr defaultColWidth="9" defaultRowHeight="15"/>
  <cols>
    <col min="9" max="9" width="21.7109375" customWidth="1"/>
  </cols>
  <sheetData>
    <row r="1" spans="1:9">
      <c r="B1" s="162" t="s">
        <v>80</v>
      </c>
      <c r="C1" s="163"/>
      <c r="D1" s="18"/>
      <c r="E1" s="18"/>
      <c r="F1" s="18"/>
      <c r="G1" s="18"/>
      <c r="H1" s="18"/>
      <c r="I1" s="18"/>
    </row>
    <row r="2" spans="1:9"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  <c r="G2" s="18" t="s">
        <v>28</v>
      </c>
      <c r="H2" s="18" t="s">
        <v>86</v>
      </c>
      <c r="I2" s="18" t="s">
        <v>87</v>
      </c>
    </row>
    <row r="3" spans="1:9">
      <c r="A3" s="19" t="s">
        <v>67</v>
      </c>
      <c r="B3" s="18">
        <v>35</v>
      </c>
      <c r="C3" s="18">
        <v>11</v>
      </c>
      <c r="D3" s="18">
        <v>1</v>
      </c>
      <c r="E3" s="18" t="s">
        <v>88</v>
      </c>
      <c r="F3" s="18">
        <v>5</v>
      </c>
      <c r="G3" s="18"/>
      <c r="H3" s="18"/>
      <c r="I3" s="18" t="s">
        <v>89</v>
      </c>
    </row>
    <row r="4" spans="1:9">
      <c r="A4" s="19" t="s">
        <v>67</v>
      </c>
      <c r="B4" s="18">
        <v>29</v>
      </c>
      <c r="C4" s="18">
        <v>15</v>
      </c>
      <c r="D4" s="18">
        <v>1</v>
      </c>
      <c r="E4" s="18" t="s">
        <v>90</v>
      </c>
      <c r="F4" s="18">
        <v>5</v>
      </c>
      <c r="G4" s="18">
        <v>0.6</v>
      </c>
      <c r="H4" s="18"/>
      <c r="I4" s="18" t="s">
        <v>94</v>
      </c>
    </row>
    <row r="5" spans="1:9">
      <c r="A5" s="20" t="s">
        <v>47</v>
      </c>
      <c r="B5" s="18">
        <v>27</v>
      </c>
      <c r="C5" s="18">
        <v>8</v>
      </c>
      <c r="D5" s="18">
        <v>2</v>
      </c>
      <c r="E5" s="18" t="s">
        <v>91</v>
      </c>
      <c r="F5" s="18">
        <v>8</v>
      </c>
      <c r="G5" s="18"/>
      <c r="H5" s="18">
        <v>1.4</v>
      </c>
      <c r="I5" s="18" t="s">
        <v>95</v>
      </c>
    </row>
    <row r="6" spans="1:9">
      <c r="A6" s="20" t="s">
        <v>47</v>
      </c>
      <c r="B6" s="18">
        <v>22</v>
      </c>
      <c r="C6" s="18">
        <v>15</v>
      </c>
      <c r="D6" s="18">
        <v>2</v>
      </c>
      <c r="E6" s="18" t="s">
        <v>88</v>
      </c>
      <c r="F6" s="18">
        <v>8</v>
      </c>
      <c r="G6" s="18"/>
      <c r="H6" s="18"/>
      <c r="I6" s="18" t="s">
        <v>96</v>
      </c>
    </row>
    <row r="7" spans="1:9">
      <c r="A7" s="21" t="s">
        <v>57</v>
      </c>
      <c r="B7" s="18">
        <v>24</v>
      </c>
      <c r="C7" s="18">
        <v>27</v>
      </c>
      <c r="D7" s="18">
        <v>3</v>
      </c>
      <c r="E7" s="18" t="s">
        <v>90</v>
      </c>
      <c r="F7" s="18">
        <v>10</v>
      </c>
      <c r="G7" s="18">
        <v>0.6</v>
      </c>
      <c r="H7" s="18"/>
      <c r="I7" s="18" t="s">
        <v>97</v>
      </c>
    </row>
    <row r="8" spans="1:9">
      <c r="A8" s="21" t="s">
        <v>57</v>
      </c>
      <c r="B8" s="18">
        <v>38</v>
      </c>
      <c r="C8" s="18">
        <v>31</v>
      </c>
      <c r="D8" s="18">
        <v>3</v>
      </c>
      <c r="E8" s="18" t="s">
        <v>91</v>
      </c>
      <c r="F8" s="18">
        <v>10</v>
      </c>
      <c r="G8" s="18"/>
      <c r="H8" s="18">
        <v>1.4</v>
      </c>
      <c r="I8" s="18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selection activeCell="E11" sqref="E11"/>
    </sheetView>
  </sheetViews>
  <sheetFormatPr defaultRowHeight="15"/>
  <sheetData>
    <row r="1" spans="1:16" ht="15.75" thickBot="1">
      <c r="A1">
        <v>6.15</v>
      </c>
      <c r="D1" s="114">
        <v>18</v>
      </c>
      <c r="E1" s="114"/>
      <c r="F1" s="114"/>
      <c r="G1" s="114">
        <v>18</v>
      </c>
      <c r="H1" s="114"/>
      <c r="I1" s="114"/>
      <c r="J1" s="114">
        <v>9</v>
      </c>
    </row>
    <row r="2" spans="1:16"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N2" s="51" t="s">
        <v>39</v>
      </c>
      <c r="O2" s="18">
        <v>150</v>
      </c>
      <c r="P2" s="18">
        <v>35</v>
      </c>
    </row>
    <row r="3" spans="1:16" ht="15.75" thickBot="1">
      <c r="A3">
        <v>5720</v>
      </c>
      <c r="C3" s="111" t="s">
        <v>104</v>
      </c>
      <c r="D3" s="112" t="s">
        <v>105</v>
      </c>
      <c r="E3" s="113" t="s">
        <v>106</v>
      </c>
      <c r="F3" s="111" t="s">
        <v>104</v>
      </c>
      <c r="G3" s="112" t="s">
        <v>105</v>
      </c>
      <c r="H3" s="113" t="s">
        <v>106</v>
      </c>
      <c r="I3" s="111" t="s">
        <v>104</v>
      </c>
      <c r="J3" s="112" t="s">
        <v>105</v>
      </c>
      <c r="K3" s="113" t="s">
        <v>106</v>
      </c>
      <c r="N3" s="62" t="s">
        <v>45</v>
      </c>
      <c r="O3" s="18">
        <v>160</v>
      </c>
      <c r="P3" s="18">
        <v>40</v>
      </c>
    </row>
    <row r="4" spans="1:16">
      <c r="B4" s="114">
        <v>1</v>
      </c>
      <c r="C4" s="116" t="s">
        <v>109</v>
      </c>
      <c r="D4" s="109">
        <v>0</v>
      </c>
      <c r="E4" s="117"/>
      <c r="F4" s="116" t="s">
        <v>110</v>
      </c>
      <c r="G4" s="109">
        <v>60</v>
      </c>
      <c r="H4" s="110"/>
      <c r="I4" s="52" t="s">
        <v>108</v>
      </c>
      <c r="J4" s="18">
        <v>50</v>
      </c>
      <c r="K4" s="110"/>
      <c r="N4" s="63" t="s">
        <v>46</v>
      </c>
      <c r="O4" s="18">
        <v>170</v>
      </c>
      <c r="P4" s="18">
        <v>45</v>
      </c>
    </row>
    <row r="5" spans="1:16">
      <c r="A5">
        <f>D29+G29+J29</f>
        <v>4450</v>
      </c>
      <c r="B5" s="114">
        <v>2</v>
      </c>
      <c r="C5" s="115" t="s">
        <v>113</v>
      </c>
      <c r="D5" s="18">
        <v>40</v>
      </c>
      <c r="E5" s="118"/>
      <c r="F5" s="79" t="s">
        <v>68</v>
      </c>
      <c r="G5" s="18">
        <v>50</v>
      </c>
      <c r="H5" s="108"/>
      <c r="I5" s="62" t="s">
        <v>45</v>
      </c>
      <c r="J5" s="18">
        <v>160</v>
      </c>
      <c r="K5" s="108"/>
      <c r="N5" s="65" t="s">
        <v>51</v>
      </c>
      <c r="O5" s="18">
        <v>180</v>
      </c>
      <c r="P5" s="18">
        <v>50</v>
      </c>
    </row>
    <row r="6" spans="1:16">
      <c r="B6" s="114">
        <v>3</v>
      </c>
      <c r="C6" s="63" t="s">
        <v>46</v>
      </c>
      <c r="D6" s="18">
        <v>170</v>
      </c>
      <c r="E6" s="118">
        <v>18</v>
      </c>
      <c r="F6" s="115" t="s">
        <v>111</v>
      </c>
      <c r="G6" s="18">
        <v>150</v>
      </c>
      <c r="H6" s="108"/>
      <c r="I6" s="115" t="s">
        <v>112</v>
      </c>
      <c r="J6" s="18">
        <v>10</v>
      </c>
      <c r="K6" s="108"/>
      <c r="N6" s="68" t="s">
        <v>54</v>
      </c>
      <c r="O6" s="18">
        <v>190</v>
      </c>
      <c r="P6" s="18">
        <v>55</v>
      </c>
    </row>
    <row r="7" spans="1:16">
      <c r="A7">
        <f>A3-A5</f>
        <v>1270</v>
      </c>
      <c r="B7" s="114">
        <v>4</v>
      </c>
      <c r="C7" s="63" t="s">
        <v>46</v>
      </c>
      <c r="D7" s="18">
        <v>170</v>
      </c>
      <c r="E7" s="118">
        <v>17</v>
      </c>
      <c r="F7" s="115" t="s">
        <v>112</v>
      </c>
      <c r="G7" s="18">
        <v>10</v>
      </c>
      <c r="H7" s="108"/>
      <c r="I7" s="63" t="s">
        <v>46</v>
      </c>
      <c r="J7" s="18">
        <v>170</v>
      </c>
      <c r="K7" s="108"/>
      <c r="N7" s="69" t="s">
        <v>55</v>
      </c>
      <c r="O7" s="18">
        <v>200</v>
      </c>
      <c r="P7" s="18">
        <v>60</v>
      </c>
    </row>
    <row r="8" spans="1:16">
      <c r="B8" s="114">
        <v>5</v>
      </c>
      <c r="C8" s="63" t="s">
        <v>46</v>
      </c>
      <c r="D8" s="18">
        <v>170</v>
      </c>
      <c r="E8" s="118">
        <v>16</v>
      </c>
      <c r="F8" s="107"/>
      <c r="G8" s="18"/>
      <c r="H8" s="108"/>
      <c r="I8" s="63" t="s">
        <v>46</v>
      </c>
      <c r="J8" s="18">
        <v>170</v>
      </c>
      <c r="K8" s="108"/>
      <c r="N8" s="19" t="s">
        <v>56</v>
      </c>
      <c r="O8" s="18">
        <v>150</v>
      </c>
      <c r="P8" s="18">
        <v>35</v>
      </c>
    </row>
    <row r="9" spans="1:16">
      <c r="B9" s="114">
        <v>6</v>
      </c>
      <c r="C9" s="67" t="s">
        <v>52</v>
      </c>
      <c r="D9" s="18">
        <v>-250</v>
      </c>
      <c r="E9" s="118">
        <v>17</v>
      </c>
      <c r="F9" s="107"/>
      <c r="G9" s="18"/>
      <c r="H9" s="108"/>
      <c r="I9" s="63" t="s">
        <v>46</v>
      </c>
      <c r="J9" s="18">
        <v>170</v>
      </c>
      <c r="K9" s="108"/>
      <c r="N9" s="20" t="s">
        <v>44</v>
      </c>
      <c r="O9" s="18">
        <v>150</v>
      </c>
      <c r="P9" s="18">
        <v>40</v>
      </c>
    </row>
    <row r="10" spans="1:16">
      <c r="B10" s="114">
        <v>7</v>
      </c>
      <c r="C10" s="63" t="s">
        <v>46</v>
      </c>
      <c r="D10" s="18">
        <v>170</v>
      </c>
      <c r="E10" s="118">
        <v>16</v>
      </c>
      <c r="F10" s="107"/>
      <c r="G10" s="18"/>
      <c r="H10" s="108"/>
      <c r="I10" s="115" t="s">
        <v>107</v>
      </c>
      <c r="J10" s="18">
        <v>10</v>
      </c>
      <c r="K10" s="108"/>
      <c r="N10" s="21" t="s">
        <v>53</v>
      </c>
      <c r="O10" s="18">
        <v>150</v>
      </c>
      <c r="P10" s="18">
        <v>45</v>
      </c>
    </row>
    <row r="11" spans="1:16">
      <c r="B11" s="114">
        <v>8</v>
      </c>
      <c r="C11" s="63" t="s">
        <v>46</v>
      </c>
      <c r="D11" s="18">
        <v>170</v>
      </c>
      <c r="E11" s="118">
        <v>15</v>
      </c>
      <c r="F11" s="107"/>
      <c r="G11" s="18"/>
      <c r="H11" s="108"/>
      <c r="I11" s="63" t="s">
        <v>46</v>
      </c>
      <c r="J11" s="18">
        <v>170</v>
      </c>
      <c r="K11" s="108"/>
      <c r="N11" s="72" t="s">
        <v>59</v>
      </c>
      <c r="O11" s="18">
        <v>150</v>
      </c>
      <c r="P11" s="18">
        <v>50</v>
      </c>
    </row>
    <row r="12" spans="1:16">
      <c r="B12" s="114">
        <v>9</v>
      </c>
      <c r="C12" s="63" t="s">
        <v>46</v>
      </c>
      <c r="D12" s="18">
        <v>170</v>
      </c>
      <c r="E12" s="118">
        <v>14</v>
      </c>
      <c r="F12" s="107"/>
      <c r="G12" s="18"/>
      <c r="H12" s="108"/>
      <c r="I12" s="52" t="s">
        <v>108</v>
      </c>
      <c r="J12" s="18">
        <v>50</v>
      </c>
      <c r="K12" s="108"/>
      <c r="N12" s="73" t="s">
        <v>60</v>
      </c>
      <c r="O12" s="18">
        <v>150</v>
      </c>
      <c r="P12" s="18">
        <v>55</v>
      </c>
    </row>
    <row r="13" spans="1:16">
      <c r="B13" s="114">
        <v>10</v>
      </c>
      <c r="C13" s="63" t="s">
        <v>46</v>
      </c>
      <c r="D13" s="18">
        <v>170</v>
      </c>
      <c r="E13" s="118">
        <v>13</v>
      </c>
      <c r="F13" s="107"/>
      <c r="G13" s="18"/>
      <c r="H13" s="108"/>
      <c r="I13" s="63" t="s">
        <v>46</v>
      </c>
      <c r="J13" s="18">
        <v>170</v>
      </c>
      <c r="K13" s="108"/>
      <c r="N13" s="74" t="s">
        <v>61</v>
      </c>
      <c r="O13" s="18">
        <v>150</v>
      </c>
      <c r="P13" s="18">
        <v>60</v>
      </c>
    </row>
    <row r="14" spans="1:16">
      <c r="B14" s="114">
        <v>11</v>
      </c>
      <c r="C14" s="52" t="s">
        <v>108</v>
      </c>
      <c r="D14" s="18">
        <v>50</v>
      </c>
      <c r="E14" s="118">
        <v>12</v>
      </c>
      <c r="F14" s="107"/>
      <c r="G14" s="18"/>
      <c r="H14" s="108"/>
      <c r="I14" s="63" t="s">
        <v>46</v>
      </c>
      <c r="J14" s="18">
        <v>170</v>
      </c>
      <c r="K14" s="108"/>
      <c r="N14" s="75" t="s">
        <v>62</v>
      </c>
      <c r="O14" s="18">
        <v>150</v>
      </c>
      <c r="P14" s="18">
        <v>40</v>
      </c>
    </row>
    <row r="15" spans="1:16">
      <c r="B15" s="114">
        <v>12</v>
      </c>
      <c r="C15" s="63" t="s">
        <v>46</v>
      </c>
      <c r="D15" s="18">
        <v>170</v>
      </c>
      <c r="E15" s="118">
        <v>11</v>
      </c>
      <c r="F15" s="107"/>
      <c r="G15" s="18"/>
      <c r="H15" s="108"/>
      <c r="I15" s="107"/>
      <c r="J15" s="18"/>
      <c r="K15" s="108"/>
      <c r="N15" s="52" t="s">
        <v>40</v>
      </c>
      <c r="O15" s="18">
        <v>50</v>
      </c>
      <c r="P15" s="18">
        <v>30</v>
      </c>
    </row>
    <row r="16" spans="1:16">
      <c r="B16" s="114">
        <v>13</v>
      </c>
      <c r="C16" s="63" t="s">
        <v>46</v>
      </c>
      <c r="D16" s="18">
        <v>170</v>
      </c>
      <c r="E16" s="118">
        <v>10</v>
      </c>
      <c r="F16" s="107"/>
      <c r="G16" s="18"/>
      <c r="H16" s="108"/>
      <c r="I16" s="107"/>
      <c r="J16" s="18"/>
      <c r="K16" s="108"/>
      <c r="N16" s="67" t="s">
        <v>52</v>
      </c>
      <c r="O16" s="18">
        <v>-250</v>
      </c>
      <c r="P16" s="18">
        <v>0</v>
      </c>
    </row>
    <row r="17" spans="2:16">
      <c r="B17" s="114">
        <v>14</v>
      </c>
      <c r="C17" s="63" t="s">
        <v>46</v>
      </c>
      <c r="D17" s="18">
        <v>170</v>
      </c>
      <c r="E17" s="118">
        <v>9</v>
      </c>
      <c r="F17" s="107"/>
      <c r="G17" s="18"/>
      <c r="H17" s="108"/>
      <c r="I17" s="107"/>
      <c r="J17" s="18"/>
      <c r="K17" s="108"/>
      <c r="N17" s="64" t="s">
        <v>49</v>
      </c>
      <c r="O17" s="18">
        <v>250</v>
      </c>
      <c r="P17" s="18">
        <v>300</v>
      </c>
    </row>
    <row r="18" spans="2:16">
      <c r="B18" s="114">
        <v>15</v>
      </c>
      <c r="C18" s="64" t="s">
        <v>50</v>
      </c>
      <c r="D18" s="18">
        <v>170</v>
      </c>
      <c r="E18" s="118">
        <v>8</v>
      </c>
      <c r="F18" s="107"/>
      <c r="G18" s="18"/>
      <c r="H18" s="108"/>
      <c r="I18" s="107"/>
      <c r="J18" s="18"/>
      <c r="K18" s="108"/>
      <c r="N18" s="64" t="s">
        <v>50</v>
      </c>
      <c r="O18" s="18">
        <v>170</v>
      </c>
      <c r="P18" s="18">
        <v>45</v>
      </c>
    </row>
    <row r="19" spans="2:16">
      <c r="B19" s="114">
        <v>16</v>
      </c>
      <c r="C19" s="115" t="s">
        <v>114</v>
      </c>
      <c r="D19" s="18">
        <v>20</v>
      </c>
      <c r="E19" s="118"/>
      <c r="F19" s="107"/>
      <c r="G19" s="18"/>
      <c r="H19" s="108"/>
      <c r="I19" s="107"/>
      <c r="J19" s="18"/>
      <c r="K19" s="108"/>
      <c r="N19" s="76" t="s">
        <v>63</v>
      </c>
      <c r="O19" s="18">
        <v>250</v>
      </c>
      <c r="P19" s="18">
        <v>400</v>
      </c>
    </row>
    <row r="20" spans="2:16">
      <c r="B20" s="114">
        <v>17</v>
      </c>
      <c r="C20" s="63" t="s">
        <v>46</v>
      </c>
      <c r="D20" s="18">
        <v>170</v>
      </c>
      <c r="E20" s="118">
        <v>7</v>
      </c>
      <c r="F20" s="107"/>
      <c r="G20" s="18"/>
      <c r="H20" s="108"/>
      <c r="I20" s="107"/>
      <c r="J20" s="18"/>
      <c r="K20" s="108"/>
      <c r="N20" s="77" t="s">
        <v>64</v>
      </c>
      <c r="O20" s="18">
        <v>250</v>
      </c>
      <c r="P20" s="18">
        <v>1000</v>
      </c>
    </row>
    <row r="21" spans="2:16">
      <c r="B21" s="114">
        <v>18</v>
      </c>
      <c r="C21" s="20" t="s">
        <v>44</v>
      </c>
      <c r="D21" s="18">
        <v>150</v>
      </c>
      <c r="E21" s="118">
        <v>6</v>
      </c>
      <c r="F21" s="107"/>
      <c r="G21" s="18"/>
      <c r="H21" s="108"/>
      <c r="I21" s="107"/>
      <c r="J21" s="18"/>
      <c r="K21" s="108"/>
      <c r="N21" s="78" t="s">
        <v>65</v>
      </c>
      <c r="O21" s="18">
        <v>250</v>
      </c>
      <c r="P21" s="18">
        <v>500</v>
      </c>
    </row>
    <row r="22" spans="2:16">
      <c r="B22" s="114">
        <v>19</v>
      </c>
      <c r="C22" s="63" t="s">
        <v>46</v>
      </c>
      <c r="D22" s="18">
        <v>170</v>
      </c>
      <c r="E22" s="118">
        <v>5</v>
      </c>
      <c r="F22" s="107"/>
      <c r="G22" s="18"/>
      <c r="H22" s="108"/>
      <c r="I22" s="107"/>
      <c r="J22" s="18"/>
      <c r="K22" s="108"/>
      <c r="N22" s="76" t="s">
        <v>66</v>
      </c>
      <c r="O22" s="18">
        <v>180</v>
      </c>
      <c r="P22" s="18">
        <v>50</v>
      </c>
    </row>
    <row r="23" spans="2:16">
      <c r="B23" s="114">
        <v>20</v>
      </c>
      <c r="C23" s="63" t="s">
        <v>46</v>
      </c>
      <c r="D23" s="18">
        <v>170</v>
      </c>
      <c r="E23" s="118">
        <v>4</v>
      </c>
      <c r="F23" s="107"/>
      <c r="G23" s="18"/>
      <c r="H23" s="108"/>
      <c r="I23" s="107"/>
      <c r="J23" s="18"/>
      <c r="K23" s="108"/>
      <c r="N23" s="19" t="s">
        <v>67</v>
      </c>
      <c r="O23" s="18">
        <v>160</v>
      </c>
      <c r="P23" s="18">
        <v>35</v>
      </c>
    </row>
    <row r="24" spans="2:16">
      <c r="B24" s="114">
        <v>21</v>
      </c>
      <c r="C24" s="63" t="s">
        <v>46</v>
      </c>
      <c r="D24" s="18">
        <v>170</v>
      </c>
      <c r="E24" s="118">
        <v>3</v>
      </c>
      <c r="F24" s="107"/>
      <c r="G24" s="18"/>
      <c r="H24" s="108"/>
      <c r="I24" s="107"/>
      <c r="J24" s="18"/>
      <c r="K24" s="108"/>
      <c r="N24" s="20" t="s">
        <v>47</v>
      </c>
      <c r="O24" s="18">
        <v>150</v>
      </c>
      <c r="P24" s="18">
        <v>40</v>
      </c>
    </row>
    <row r="25" spans="2:16">
      <c r="B25" s="114">
        <v>22</v>
      </c>
      <c r="C25" s="63" t="s">
        <v>46</v>
      </c>
      <c r="D25" s="18">
        <v>170</v>
      </c>
      <c r="E25" s="118">
        <v>2</v>
      </c>
      <c r="F25" s="107"/>
      <c r="G25" s="18"/>
      <c r="H25" s="108"/>
      <c r="I25" s="107"/>
      <c r="J25" s="18"/>
      <c r="K25" s="108"/>
      <c r="N25" s="21" t="s">
        <v>57</v>
      </c>
      <c r="O25" s="18">
        <v>150</v>
      </c>
      <c r="P25" s="18">
        <v>45</v>
      </c>
    </row>
    <row r="26" spans="2:16">
      <c r="B26" s="114">
        <v>23</v>
      </c>
      <c r="C26" s="20" t="s">
        <v>44</v>
      </c>
      <c r="D26" s="18">
        <v>150</v>
      </c>
      <c r="E26" s="118">
        <v>1</v>
      </c>
      <c r="F26" s="107"/>
      <c r="G26" s="18"/>
      <c r="H26" s="108"/>
      <c r="I26" s="107"/>
      <c r="J26" s="18"/>
      <c r="K26" s="108"/>
      <c r="N26" s="76" t="s">
        <v>41</v>
      </c>
      <c r="O26" s="18">
        <v>0</v>
      </c>
      <c r="P26" s="18">
        <v>0</v>
      </c>
    </row>
    <row r="27" spans="2:16">
      <c r="B27" s="114">
        <v>24</v>
      </c>
      <c r="C27" s="107"/>
      <c r="D27" s="18"/>
      <c r="E27" s="118"/>
      <c r="F27" s="107"/>
      <c r="G27" s="18"/>
      <c r="H27" s="108"/>
      <c r="I27" s="107"/>
      <c r="J27" s="18"/>
      <c r="K27" s="108"/>
      <c r="N27" s="79" t="s">
        <v>68</v>
      </c>
      <c r="O27" s="18">
        <v>50</v>
      </c>
      <c r="P27" s="18">
        <v>520</v>
      </c>
    </row>
    <row r="28" spans="2:16">
      <c r="B28" s="114">
        <v>25</v>
      </c>
      <c r="C28" s="107"/>
      <c r="D28" s="18"/>
      <c r="E28" s="118"/>
      <c r="F28" s="107"/>
      <c r="G28" s="18"/>
      <c r="H28" s="108"/>
      <c r="I28" s="107"/>
      <c r="J28" s="18"/>
      <c r="K28" s="108"/>
    </row>
    <row r="29" spans="2:16">
      <c r="D29">
        <f>SUM(D4:D28)</f>
        <v>2880</v>
      </c>
      <c r="G29">
        <f>SUM(G4:G28)</f>
        <v>270</v>
      </c>
      <c r="J29">
        <f>SUM(J4:J28)</f>
        <v>1300</v>
      </c>
    </row>
    <row r="30" spans="2:16">
      <c r="D30" s="114">
        <v>0</v>
      </c>
      <c r="E30" s="114"/>
      <c r="F30" s="114"/>
      <c r="G30" s="114">
        <v>18</v>
      </c>
      <c r="H30" s="114"/>
      <c r="I30" s="114"/>
      <c r="J30" s="114">
        <v>0</v>
      </c>
    </row>
  </sheetData>
  <mergeCells count="3">
    <mergeCell ref="F2:H2"/>
    <mergeCell ref="I2:K2"/>
    <mergeCell ref="C2:E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zoomScale="115" zoomScaleNormal="115" workbookViewId="0">
      <selection activeCell="A3" sqref="A3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6.16</v>
      </c>
      <c r="B1" s="119" t="s">
        <v>115</v>
      </c>
      <c r="D1" s="114">
        <v>18</v>
      </c>
      <c r="G1" s="114">
        <v>15</v>
      </c>
      <c r="J1" s="114">
        <v>13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5720+1600</f>
        <v>7320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34" t="s">
        <v>126</v>
      </c>
      <c r="D4" s="18">
        <f>IF(LEFT(C4,1)="跳",RIGHT(C4,LEN(C4)-1)*10,IFERROR(INDEX($O$2:$O$27, MATCH(C4, $N$2:$N$27, 0)), 0))</f>
        <v>80</v>
      </c>
      <c r="E4" s="18">
        <f>IFERROR(INDEX($Q$2:$Q$27,MATCH(C4,$N$2:$N$27,0)),0)</f>
        <v>0</v>
      </c>
      <c r="F4" s="107"/>
      <c r="G4" s="18">
        <f>IF(LEFT(F4,1)="跳",RIGHT(F4,LEN(F4)-1)*10,IFERROR(INDEX($O$2:$O$27, MATCH(F4, $N$2:$N$27, 0)), 0))</f>
        <v>0</v>
      </c>
      <c r="H4" s="18">
        <f>IFERROR(INDEX($Q$2:$Q$27,MATCH(F4,$N$2:$N$27,0)),0)</f>
        <v>0</v>
      </c>
      <c r="I4" s="52" t="s">
        <v>40</v>
      </c>
      <c r="J4" s="18">
        <f>IF(LEFT(I4,1)="跳",RIGHT(I4,LEN(I4)-1)*10,IFERROR(INDEX($O$2:$O$27, MATCH(I4, $N$2:$N$27, 0)), 0))</f>
        <v>50</v>
      </c>
      <c r="K4" s="18">
        <f>IFERROR(INDEX($Q$2:$Q$27,MATCH(I4,$N$2:$N$27,0)),0)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4560</v>
      </c>
      <c r="B5" s="114">
        <v>2</v>
      </c>
      <c r="C5" s="63" t="s">
        <v>46</v>
      </c>
      <c r="D5" s="18">
        <f>IF(LEFT(C5,1)="跳",RIGHT(C5,LEN(C5)-1)*10,IFERROR(INDEX($O$2:$O$27, MATCH(C5, $N$2:$N$27, 0)), 0))</f>
        <v>170</v>
      </c>
      <c r="E5" s="18">
        <f t="shared" ref="E5:E28" si="0">IFERROR(INDEX($Q$2:$Q$27,MATCH(C5,$N$2:$N$27,0)),0)</f>
        <v>1</v>
      </c>
      <c r="F5" s="107"/>
      <c r="G5" s="18">
        <f>IF(LEFT(F5,1)="跳",RIGHT(F5,LEN(F5)-1)*10,IFERROR(INDEX($O$2:$O$27, MATCH(F5, $N$2:$N$27, 0)), 0))</f>
        <v>0</v>
      </c>
      <c r="H5" s="18">
        <f t="shared" ref="H5:H28" si="1">IFERROR(INDEX($Q$2:$Q$27,MATCH(F5,$N$2:$N$27,0)),0)</f>
        <v>0</v>
      </c>
      <c r="I5" s="62" t="s">
        <v>45</v>
      </c>
      <c r="J5" s="18">
        <f>IF(LEFT(I5,1)="跳",RIGHT(I5,LEN(I5)-1)*10,IFERROR(INDEX($O$2:$O$27, MATCH(I5, $N$2:$N$27, 0)), 0))</f>
        <v>160</v>
      </c>
      <c r="K5" s="18">
        <f t="shared" ref="K5:K28" si="2">IFERROR(INDEX($Q$2:$Q$27,MATCH(I5,$N$2:$N$27,0)),0)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3" t="s">
        <v>46</v>
      </c>
      <c r="D6" s="18">
        <f t="shared" ref="D6:D28" si="3">IF(LEFT(C6,1)="跳",RIGHT(C6,LEN(C6)-1)*10,IFERROR(INDEX($O$2:$O$27, MATCH(C6, $N$2:$N$27, 0)), 0))</f>
        <v>170</v>
      </c>
      <c r="E6" s="18">
        <f t="shared" si="0"/>
        <v>1</v>
      </c>
      <c r="F6" s="107"/>
      <c r="G6" s="18">
        <f t="shared" ref="G6:G28" si="4">IF(LEFT(F6,1)="跳",RIGHT(F6,LEN(F6)-1)*10,IFERROR(INDEX($O$2:$O$27, MATCH(F6, $N$2:$N$27, 0)), 0))</f>
        <v>0</v>
      </c>
      <c r="H6" s="18">
        <f t="shared" si="1"/>
        <v>0</v>
      </c>
      <c r="I6" s="134" t="s">
        <v>118</v>
      </c>
      <c r="J6" s="18">
        <f t="shared" ref="J6:J28" si="5">IF(LEFT(I6,1)="跳",RIGHT(I6,LEN(I6)-1)*10,IFERROR(INDEX($O$2:$O$27, MATCH(I6, $N$2:$N$27, 0)), 0))</f>
        <v>10</v>
      </c>
      <c r="K6" s="18">
        <f t="shared" si="2"/>
        <v>0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2760</v>
      </c>
      <c r="B7" s="114">
        <v>4</v>
      </c>
      <c r="C7" s="63" t="s">
        <v>46</v>
      </c>
      <c r="D7" s="18">
        <f t="shared" si="3"/>
        <v>170</v>
      </c>
      <c r="E7" s="18">
        <f t="shared" si="0"/>
        <v>1</v>
      </c>
      <c r="F7" s="107"/>
      <c r="G7" s="18">
        <f t="shared" si="4"/>
        <v>0</v>
      </c>
      <c r="H7" s="18">
        <f t="shared" si="1"/>
        <v>0</v>
      </c>
      <c r="I7" s="63" t="s">
        <v>46</v>
      </c>
      <c r="J7" s="18">
        <f t="shared" si="5"/>
        <v>170</v>
      </c>
      <c r="K7" s="18">
        <f t="shared" si="2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3" t="s">
        <v>46</v>
      </c>
      <c r="D8" s="18">
        <f t="shared" si="3"/>
        <v>170</v>
      </c>
      <c r="E8" s="18">
        <f t="shared" si="0"/>
        <v>1</v>
      </c>
      <c r="F8" s="107"/>
      <c r="G8" s="18">
        <f t="shared" si="4"/>
        <v>0</v>
      </c>
      <c r="H8" s="18">
        <f t="shared" si="1"/>
        <v>0</v>
      </c>
      <c r="I8" s="63" t="s">
        <v>46</v>
      </c>
      <c r="J8" s="18">
        <f t="shared" si="5"/>
        <v>170</v>
      </c>
      <c r="K8" s="18">
        <f t="shared" si="2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52" t="s">
        <v>40</v>
      </c>
      <c r="D9" s="18">
        <f t="shared" si="3"/>
        <v>50</v>
      </c>
      <c r="E9" s="18">
        <f t="shared" si="0"/>
        <v>1</v>
      </c>
      <c r="F9" s="107"/>
      <c r="G9" s="18">
        <f t="shared" si="4"/>
        <v>0</v>
      </c>
      <c r="H9" s="18">
        <f t="shared" si="1"/>
        <v>0</v>
      </c>
      <c r="I9" s="107"/>
      <c r="J9" s="18">
        <f t="shared" si="5"/>
        <v>0</v>
      </c>
      <c r="K9" s="18">
        <f t="shared" si="2"/>
        <v>0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3" t="s">
        <v>46</v>
      </c>
      <c r="D10" s="18">
        <f t="shared" si="3"/>
        <v>170</v>
      </c>
      <c r="E10" s="18">
        <f t="shared" si="0"/>
        <v>1</v>
      </c>
      <c r="F10" s="107"/>
      <c r="G10" s="18">
        <f t="shared" si="4"/>
        <v>0</v>
      </c>
      <c r="H10" s="18">
        <f t="shared" si="1"/>
        <v>0</v>
      </c>
      <c r="I10" s="107"/>
      <c r="J10" s="18">
        <f t="shared" si="5"/>
        <v>0</v>
      </c>
      <c r="K10" s="18">
        <f t="shared" si="2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3" t="s">
        <v>46</v>
      </c>
      <c r="D11" s="18">
        <f t="shared" si="3"/>
        <v>170</v>
      </c>
      <c r="E11" s="18">
        <f t="shared" si="0"/>
        <v>1</v>
      </c>
      <c r="F11" s="107"/>
      <c r="G11" s="18">
        <f t="shared" si="4"/>
        <v>0</v>
      </c>
      <c r="H11" s="18">
        <f t="shared" si="1"/>
        <v>0</v>
      </c>
      <c r="I11" s="63" t="s">
        <v>46</v>
      </c>
      <c r="J11" s="18">
        <f t="shared" si="5"/>
        <v>170</v>
      </c>
      <c r="K11" s="18">
        <f t="shared" si="2"/>
        <v>1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3" t="s">
        <v>46</v>
      </c>
      <c r="D12" s="18">
        <f>IF(LEFT(C12,1)="跳",RIGHT(C12,LEN(C12)-1)*10,IFERROR(INDEX($O$2:$O$27, MATCH(C12, $N$2:$N$27, 0)), 0))</f>
        <v>170</v>
      </c>
      <c r="E12" s="18">
        <f t="shared" si="0"/>
        <v>1</v>
      </c>
      <c r="F12" s="107"/>
      <c r="G12" s="18">
        <f t="shared" si="4"/>
        <v>0</v>
      </c>
      <c r="H12" s="18">
        <f t="shared" si="1"/>
        <v>0</v>
      </c>
      <c r="I12" s="52" t="s">
        <v>40</v>
      </c>
      <c r="J12" s="18">
        <f t="shared" si="5"/>
        <v>50</v>
      </c>
      <c r="K12" s="18">
        <f t="shared" si="2"/>
        <v>1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4" t="s">
        <v>50</v>
      </c>
      <c r="D13" s="18">
        <f t="shared" si="3"/>
        <v>170</v>
      </c>
      <c r="E13" s="18">
        <f t="shared" si="0"/>
        <v>1</v>
      </c>
      <c r="F13" s="107"/>
      <c r="G13" s="18">
        <f t="shared" si="4"/>
        <v>0</v>
      </c>
      <c r="H13" s="18">
        <f t="shared" si="1"/>
        <v>0</v>
      </c>
      <c r="I13" s="63" t="s">
        <v>46</v>
      </c>
      <c r="J13" s="18">
        <f t="shared" si="5"/>
        <v>170</v>
      </c>
      <c r="K13" s="18">
        <f t="shared" si="2"/>
        <v>1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34" t="s">
        <v>120</v>
      </c>
      <c r="D14" s="18">
        <f t="shared" si="3"/>
        <v>20</v>
      </c>
      <c r="E14" s="18">
        <f t="shared" si="0"/>
        <v>0</v>
      </c>
      <c r="F14" s="107"/>
      <c r="G14" s="18">
        <f t="shared" si="4"/>
        <v>0</v>
      </c>
      <c r="H14" s="18">
        <f t="shared" si="1"/>
        <v>0</v>
      </c>
      <c r="I14" s="63" t="s">
        <v>46</v>
      </c>
      <c r="J14" s="18">
        <f t="shared" si="5"/>
        <v>170</v>
      </c>
      <c r="K14" s="18">
        <f t="shared" si="2"/>
        <v>1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63" t="s">
        <v>46</v>
      </c>
      <c r="D15" s="18">
        <f t="shared" si="3"/>
        <v>170</v>
      </c>
      <c r="E15" s="18">
        <f t="shared" si="0"/>
        <v>1</v>
      </c>
      <c r="F15" s="107"/>
      <c r="G15" s="18">
        <f t="shared" si="4"/>
        <v>0</v>
      </c>
      <c r="H15" s="18">
        <f t="shared" si="1"/>
        <v>0</v>
      </c>
      <c r="I15" s="64" t="s">
        <v>50</v>
      </c>
      <c r="J15" s="18">
        <f t="shared" si="5"/>
        <v>170</v>
      </c>
      <c r="K15" s="18">
        <f t="shared" si="2"/>
        <v>1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20" t="s">
        <v>44</v>
      </c>
      <c r="D16" s="18">
        <f t="shared" si="3"/>
        <v>150</v>
      </c>
      <c r="E16" s="18">
        <f t="shared" si="0"/>
        <v>1</v>
      </c>
      <c r="F16" s="107"/>
      <c r="G16" s="18">
        <f t="shared" si="4"/>
        <v>0</v>
      </c>
      <c r="H16" s="18">
        <f t="shared" si="1"/>
        <v>0</v>
      </c>
      <c r="I16" s="134" t="s">
        <v>118</v>
      </c>
      <c r="J16" s="18">
        <f t="shared" si="5"/>
        <v>10</v>
      </c>
      <c r="K16" s="18">
        <f t="shared" si="2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63" t="s">
        <v>46</v>
      </c>
      <c r="D17" s="18">
        <f t="shared" si="3"/>
        <v>170</v>
      </c>
      <c r="E17" s="18">
        <f t="shared" si="0"/>
        <v>1</v>
      </c>
      <c r="F17" s="107"/>
      <c r="G17" s="18">
        <f t="shared" si="4"/>
        <v>0</v>
      </c>
      <c r="H17" s="18">
        <f t="shared" si="1"/>
        <v>0</v>
      </c>
      <c r="I17" s="63" t="s">
        <v>46</v>
      </c>
      <c r="J17" s="18">
        <f t="shared" si="5"/>
        <v>170</v>
      </c>
      <c r="K17" s="18">
        <f t="shared" si="2"/>
        <v>1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63" t="s">
        <v>46</v>
      </c>
      <c r="D18" s="18">
        <f t="shared" si="3"/>
        <v>170</v>
      </c>
      <c r="E18" s="18">
        <f t="shared" si="0"/>
        <v>1</v>
      </c>
      <c r="F18" s="107"/>
      <c r="G18" s="18">
        <f t="shared" si="4"/>
        <v>0</v>
      </c>
      <c r="H18" s="18">
        <f t="shared" si="1"/>
        <v>0</v>
      </c>
      <c r="I18" s="63" t="s">
        <v>46</v>
      </c>
      <c r="J18" s="18">
        <f t="shared" si="5"/>
        <v>170</v>
      </c>
      <c r="K18" s="18">
        <f t="shared" si="2"/>
        <v>1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63" t="s">
        <v>46</v>
      </c>
      <c r="D19" s="18">
        <f t="shared" si="3"/>
        <v>170</v>
      </c>
      <c r="E19" s="18">
        <f t="shared" si="0"/>
        <v>1</v>
      </c>
      <c r="F19" s="107"/>
      <c r="G19" s="18">
        <f t="shared" si="4"/>
        <v>0</v>
      </c>
      <c r="H19" s="18">
        <f t="shared" si="1"/>
        <v>0</v>
      </c>
      <c r="I19" s="63" t="s">
        <v>46</v>
      </c>
      <c r="J19" s="18">
        <f t="shared" si="5"/>
        <v>170</v>
      </c>
      <c r="K19" s="18">
        <f t="shared" si="2"/>
        <v>1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63" t="s">
        <v>46</v>
      </c>
      <c r="D20" s="18">
        <f t="shared" si="3"/>
        <v>170</v>
      </c>
      <c r="E20" s="18">
        <f t="shared" si="0"/>
        <v>1</v>
      </c>
      <c r="F20" s="107"/>
      <c r="G20" s="18">
        <f t="shared" si="4"/>
        <v>0</v>
      </c>
      <c r="H20" s="18">
        <f t="shared" si="1"/>
        <v>0</v>
      </c>
      <c r="I20" s="67" t="s">
        <v>52</v>
      </c>
      <c r="J20" s="18">
        <f t="shared" si="5"/>
        <v>-250</v>
      </c>
      <c r="K20" s="18">
        <f t="shared" si="2"/>
        <v>-1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20" t="s">
        <v>44</v>
      </c>
      <c r="D21" s="18">
        <f t="shared" si="3"/>
        <v>150</v>
      </c>
      <c r="E21" s="18">
        <f t="shared" si="0"/>
        <v>1</v>
      </c>
      <c r="F21" s="107"/>
      <c r="G21" s="18">
        <f t="shared" si="4"/>
        <v>0</v>
      </c>
      <c r="H21" s="18">
        <f t="shared" si="1"/>
        <v>0</v>
      </c>
      <c r="I21" s="107"/>
      <c r="J21" s="18">
        <f t="shared" si="5"/>
        <v>0</v>
      </c>
      <c r="K21" s="18">
        <f t="shared" si="2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63" t="s">
        <v>46</v>
      </c>
      <c r="D22" s="18">
        <f t="shared" si="3"/>
        <v>170</v>
      </c>
      <c r="E22" s="18">
        <f t="shared" si="0"/>
        <v>1</v>
      </c>
      <c r="F22" s="107"/>
      <c r="G22" s="18">
        <f t="shared" si="4"/>
        <v>0</v>
      </c>
      <c r="H22" s="18">
        <f t="shared" si="1"/>
        <v>0</v>
      </c>
      <c r="I22" s="107"/>
      <c r="J22" s="18">
        <f t="shared" si="5"/>
        <v>0</v>
      </c>
      <c r="K22" s="18">
        <f t="shared" si="2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63" t="s">
        <v>46</v>
      </c>
      <c r="D23" s="18">
        <f t="shared" si="3"/>
        <v>170</v>
      </c>
      <c r="E23" s="18">
        <f t="shared" si="0"/>
        <v>1</v>
      </c>
      <c r="F23" s="107"/>
      <c r="G23" s="18">
        <f t="shared" si="4"/>
        <v>0</v>
      </c>
      <c r="H23" s="18">
        <f t="shared" si="1"/>
        <v>0</v>
      </c>
      <c r="I23" s="107"/>
      <c r="J23" s="18">
        <f t="shared" si="5"/>
        <v>0</v>
      </c>
      <c r="K23" s="18">
        <f t="shared" si="2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16"/>
      <c r="D24" s="18">
        <f t="shared" si="3"/>
        <v>0</v>
      </c>
      <c r="E24" s="18">
        <f t="shared" si="0"/>
        <v>0</v>
      </c>
      <c r="F24" s="107"/>
      <c r="G24" s="18">
        <f t="shared" si="4"/>
        <v>0</v>
      </c>
      <c r="H24" s="18">
        <f t="shared" si="1"/>
        <v>0</v>
      </c>
      <c r="I24" s="107"/>
      <c r="J24" s="18">
        <f t="shared" si="5"/>
        <v>0</v>
      </c>
      <c r="K24" s="18">
        <f t="shared" si="2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3"/>
        <v>0</v>
      </c>
      <c r="E25" s="18">
        <f t="shared" si="0"/>
        <v>0</v>
      </c>
      <c r="F25" s="107"/>
      <c r="G25" s="18">
        <f t="shared" si="4"/>
        <v>0</v>
      </c>
      <c r="H25" s="18">
        <f t="shared" si="1"/>
        <v>0</v>
      </c>
      <c r="I25" s="107"/>
      <c r="J25" s="18">
        <f t="shared" si="5"/>
        <v>0</v>
      </c>
      <c r="K25" s="18">
        <f t="shared" si="2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3"/>
        <v>0</v>
      </c>
      <c r="E26" s="18">
        <f t="shared" si="0"/>
        <v>0</v>
      </c>
      <c r="F26" s="107"/>
      <c r="G26" s="18">
        <f t="shared" si="4"/>
        <v>0</v>
      </c>
      <c r="H26" s="18">
        <f t="shared" si="1"/>
        <v>0</v>
      </c>
      <c r="I26" s="107"/>
      <c r="J26" s="18">
        <f t="shared" si="5"/>
        <v>0</v>
      </c>
      <c r="K26" s="18">
        <f t="shared" si="2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3"/>
        <v>0</v>
      </c>
      <c r="E27" s="18">
        <f t="shared" si="0"/>
        <v>0</v>
      </c>
      <c r="F27" s="107"/>
      <c r="G27" s="18">
        <f t="shared" si="4"/>
        <v>0</v>
      </c>
      <c r="H27" s="18">
        <f t="shared" si="1"/>
        <v>0</v>
      </c>
      <c r="I27" s="107"/>
      <c r="J27" s="18">
        <f t="shared" si="5"/>
        <v>0</v>
      </c>
      <c r="K27" s="18">
        <f t="shared" si="2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3"/>
        <v>0</v>
      </c>
      <c r="E28" s="18">
        <f t="shared" si="0"/>
        <v>0</v>
      </c>
      <c r="F28" s="107"/>
      <c r="G28" s="18">
        <f t="shared" si="4"/>
        <v>0</v>
      </c>
      <c r="H28" s="18">
        <f t="shared" si="1"/>
        <v>0</v>
      </c>
      <c r="I28" s="107"/>
      <c r="J28" s="18">
        <f t="shared" si="5"/>
        <v>0</v>
      </c>
      <c r="K28" s="18">
        <f t="shared" si="2"/>
        <v>0</v>
      </c>
    </row>
    <row r="29" spans="2:17">
      <c r="B29" s="133" t="s">
        <v>119</v>
      </c>
      <c r="D29">
        <f>SUM(D4:D28)</f>
        <v>3000</v>
      </c>
      <c r="E29">
        <f>SUM(E4:E28)</f>
        <v>18</v>
      </c>
      <c r="G29">
        <f>SUM(G4:G28)</f>
        <v>0</v>
      </c>
      <c r="H29">
        <f>SUM(H4:H28)</f>
        <v>0</v>
      </c>
      <c r="J29">
        <f>SUM(J4:J28)</f>
        <v>1560</v>
      </c>
      <c r="K29">
        <f>SUM(K4:K28)</f>
        <v>11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15</v>
      </c>
      <c r="H30" s="114"/>
      <c r="I30" s="114"/>
      <c r="J30" s="114">
        <f>J1-K29</f>
        <v>2</v>
      </c>
    </row>
  </sheetData>
  <mergeCells count="3">
    <mergeCell ref="C2:E2"/>
    <mergeCell ref="F2:H2"/>
    <mergeCell ref="I2:K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342E-1E07-4F49-87F2-C1DDE5FC8AA1}">
  <dimension ref="A1:Q30"/>
  <sheetViews>
    <sheetView zoomScale="115" zoomScaleNormal="115" workbookViewId="0">
      <selection activeCell="I4" sqref="I4:I9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6.17</v>
      </c>
      <c r="B1" s="119" t="s">
        <v>115</v>
      </c>
      <c r="D1" s="114">
        <f>MIN(18,'6.16'!D30+6)</f>
        <v>6</v>
      </c>
      <c r="G1" s="114">
        <f>MIN(18,'6.16'!G30+6)</f>
        <v>18</v>
      </c>
      <c r="J1" s="114">
        <f>MIN(18,'6.16'!J30+6)</f>
        <v>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'6.16'!A7+1600</f>
        <v>4360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3" t="s">
        <v>46</v>
      </c>
      <c r="D4" s="18">
        <f>IF(LEFT(C4,1)="跳",RIGHT(C4,LEN(C4)-1)*10,_xlfn.XLOOKUP(C4,$N$2:$N$27,$O$2:$O$27,0,0,1))</f>
        <v>170</v>
      </c>
      <c r="E4" s="18">
        <f>_xlfn.XLOOKUP(C4,$N$2:$N$27,$Q$2:$Q$27,0,0,1)</f>
        <v>1</v>
      </c>
      <c r="F4" s="134" t="s">
        <v>121</v>
      </c>
      <c r="G4" s="18">
        <f>IF(LEFT(F4,1)="跳",RIGHT(F4,LEN(F4)-1)*10,_xlfn.XLOOKUP(F4,$N$2:$N$27,$O$2:$O$27,0,0,1))</f>
        <v>60</v>
      </c>
      <c r="H4" s="18">
        <f>_xlfn.XLOOKUP(F4,$N$2:$N$27,$Q$2:$Q$27,0,0,1)</f>
        <v>0</v>
      </c>
      <c r="I4" s="63" t="s">
        <v>46</v>
      </c>
      <c r="J4" s="18">
        <f>IF(LEFT(I4,1)="跳",RIGHT(I4,LEN(I4)-1)*10,_xlfn.XLOOKUP(I4,$N$2:$N$27,$O$2:$O$27,0,0,1))</f>
        <v>170</v>
      </c>
      <c r="K4" s="18">
        <f>_xlfn.XLOOKUP(I4,$N$2:$N$27,$Q$2:$Q$27,0,0,1)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2940</v>
      </c>
      <c r="B5" s="114">
        <v>2</v>
      </c>
      <c r="C5" s="52" t="s">
        <v>40</v>
      </c>
      <c r="D5" s="18">
        <f t="shared" ref="D5:D28" si="0">IF(LEFT(C5,1)="跳",RIGHT(C5,LEN(C5)-1)*10,_xlfn.XLOOKUP(C5,$N$2:$N$27,$O$2:$O$27,0,0,1))</f>
        <v>50</v>
      </c>
      <c r="E5" s="18">
        <f t="shared" ref="E5:E28" si="1">_xlfn.XLOOKUP(C5,$N$2:$N$27,$Q$2:$Q$27,0,0,1)</f>
        <v>1</v>
      </c>
      <c r="F5" s="79" t="s">
        <v>68</v>
      </c>
      <c r="G5" s="18">
        <f t="shared" ref="G5:G28" si="2">IF(LEFT(F5,1)="跳",RIGHT(F5,LEN(F5)-1)*10,_xlfn.XLOOKUP(F5,$N$2:$N$27,$O$2:$O$27,0,0,1))</f>
        <v>50</v>
      </c>
      <c r="H5" s="18">
        <f t="shared" ref="H5:H28" si="3">_xlfn.XLOOKUP(F5,$N$2:$N$27,$Q$2:$Q$27,0,0,1)</f>
        <v>0</v>
      </c>
      <c r="I5" s="63" t="s">
        <v>46</v>
      </c>
      <c r="J5" s="18">
        <f t="shared" ref="J5:J28" si="4">IF(LEFT(I5,1)="跳",RIGHT(I5,LEN(I5)-1)*10,_xlfn.XLOOKUP(I5,$N$2:$N$27,$O$2:$O$27,0,0,1))</f>
        <v>170</v>
      </c>
      <c r="K5" s="18">
        <f t="shared" ref="K5:K28" si="5">_xlfn.XLOOKUP(I5,$N$2:$N$27,$Q$2:$Q$27,0,0,1)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3" t="s">
        <v>46</v>
      </c>
      <c r="D6" s="18">
        <f t="shared" si="0"/>
        <v>170</v>
      </c>
      <c r="E6" s="18">
        <f t="shared" si="1"/>
        <v>1</v>
      </c>
      <c r="F6" s="136" t="s">
        <v>127</v>
      </c>
      <c r="G6" s="18">
        <f t="shared" si="2"/>
        <v>180</v>
      </c>
      <c r="H6" s="18">
        <f t="shared" si="3"/>
        <v>0</v>
      </c>
      <c r="I6" s="20" t="s">
        <v>44</v>
      </c>
      <c r="J6" s="18">
        <f t="shared" si="4"/>
        <v>150</v>
      </c>
      <c r="K6" s="18">
        <f t="shared" si="5"/>
        <v>1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1420</v>
      </c>
      <c r="B7" s="114">
        <v>4</v>
      </c>
      <c r="C7" s="63" t="s">
        <v>46</v>
      </c>
      <c r="D7" s="18">
        <f t="shared" si="0"/>
        <v>170</v>
      </c>
      <c r="E7" s="18">
        <f t="shared" si="1"/>
        <v>1</v>
      </c>
      <c r="F7" s="63" t="s">
        <v>46</v>
      </c>
      <c r="G7" s="18">
        <f t="shared" si="2"/>
        <v>170</v>
      </c>
      <c r="H7" s="18">
        <f t="shared" si="3"/>
        <v>1</v>
      </c>
      <c r="I7" s="63" t="s">
        <v>46</v>
      </c>
      <c r="J7" s="18">
        <f t="shared" si="4"/>
        <v>170</v>
      </c>
      <c r="K7" s="18">
        <f t="shared" si="5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4" t="s">
        <v>50</v>
      </c>
      <c r="D8" s="18">
        <f t="shared" si="0"/>
        <v>170</v>
      </c>
      <c r="E8" s="18">
        <f t="shared" si="1"/>
        <v>1</v>
      </c>
      <c r="F8" s="64" t="s">
        <v>49</v>
      </c>
      <c r="G8" s="18">
        <f t="shared" si="2"/>
        <v>250</v>
      </c>
      <c r="H8" s="18">
        <f t="shared" si="3"/>
        <v>1</v>
      </c>
      <c r="I8" s="63" t="s">
        <v>46</v>
      </c>
      <c r="J8" s="18">
        <f t="shared" si="4"/>
        <v>170</v>
      </c>
      <c r="K8" s="18">
        <f t="shared" si="5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34" t="s">
        <v>118</v>
      </c>
      <c r="D9" s="18">
        <f t="shared" si="0"/>
        <v>10</v>
      </c>
      <c r="E9" s="18">
        <f t="shared" si="1"/>
        <v>0</v>
      </c>
      <c r="F9" s="134" t="s">
        <v>122</v>
      </c>
      <c r="G9" s="18">
        <f t="shared" si="2"/>
        <v>190</v>
      </c>
      <c r="H9" s="18">
        <f t="shared" si="3"/>
        <v>0</v>
      </c>
      <c r="I9" s="52" t="s">
        <v>40</v>
      </c>
      <c r="J9" s="18">
        <f t="shared" si="4"/>
        <v>50</v>
      </c>
      <c r="K9" s="18">
        <f t="shared" si="5"/>
        <v>1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3" t="s">
        <v>46</v>
      </c>
      <c r="D10" s="18">
        <f t="shared" si="0"/>
        <v>170</v>
      </c>
      <c r="E10" s="18">
        <f t="shared" si="1"/>
        <v>1</v>
      </c>
      <c r="F10" s="64" t="s">
        <v>49</v>
      </c>
      <c r="G10" s="18">
        <f t="shared" si="2"/>
        <v>250</v>
      </c>
      <c r="H10" s="18">
        <f t="shared" si="3"/>
        <v>1</v>
      </c>
      <c r="I10" s="107"/>
      <c r="J10" s="18">
        <f t="shared" si="4"/>
        <v>0</v>
      </c>
      <c r="K10" s="18">
        <f t="shared" si="5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 t="shared" si="0"/>
        <v>0</v>
      </c>
      <c r="E11" s="18">
        <f t="shared" si="1"/>
        <v>0</v>
      </c>
      <c r="F11" s="107"/>
      <c r="G11" s="18">
        <f t="shared" si="2"/>
        <v>0</v>
      </c>
      <c r="H11" s="18">
        <f t="shared" si="3"/>
        <v>0</v>
      </c>
      <c r="I11" s="107"/>
      <c r="J11" s="18">
        <f t="shared" si="4"/>
        <v>0</v>
      </c>
      <c r="K11" s="18">
        <f t="shared" si="5"/>
        <v>0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 t="shared" si="0"/>
        <v>0</v>
      </c>
      <c r="E12" s="18">
        <f t="shared" si="1"/>
        <v>0</v>
      </c>
      <c r="F12" s="107"/>
      <c r="G12" s="18">
        <f t="shared" si="2"/>
        <v>0</v>
      </c>
      <c r="H12" s="18">
        <f t="shared" si="3"/>
        <v>0</v>
      </c>
      <c r="I12" s="107"/>
      <c r="J12" s="18">
        <f t="shared" si="4"/>
        <v>0</v>
      </c>
      <c r="K12" s="18">
        <f t="shared" si="5"/>
        <v>0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 t="shared" si="0"/>
        <v>0</v>
      </c>
      <c r="E13" s="18">
        <f t="shared" si="1"/>
        <v>0</v>
      </c>
      <c r="F13" s="107"/>
      <c r="G13" s="18">
        <f t="shared" si="2"/>
        <v>0</v>
      </c>
      <c r="H13" s="18">
        <f t="shared" si="3"/>
        <v>0</v>
      </c>
      <c r="I13" s="107"/>
      <c r="J13" s="18">
        <f t="shared" si="4"/>
        <v>0</v>
      </c>
      <c r="K13" s="18">
        <f t="shared" si="5"/>
        <v>0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0"/>
        <v>0</v>
      </c>
      <c r="E14" s="18">
        <f t="shared" si="1"/>
        <v>0</v>
      </c>
      <c r="F14" s="107"/>
      <c r="G14" s="18">
        <f t="shared" si="2"/>
        <v>0</v>
      </c>
      <c r="H14" s="18">
        <f t="shared" si="3"/>
        <v>0</v>
      </c>
      <c r="I14" s="107"/>
      <c r="J14" s="18">
        <f t="shared" si="4"/>
        <v>0</v>
      </c>
      <c r="K14" s="18">
        <f t="shared" si="5"/>
        <v>0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0"/>
        <v>0</v>
      </c>
      <c r="E15" s="18">
        <f t="shared" si="1"/>
        <v>0</v>
      </c>
      <c r="F15" s="107"/>
      <c r="G15" s="18">
        <f t="shared" si="2"/>
        <v>0</v>
      </c>
      <c r="H15" s="18">
        <f t="shared" si="3"/>
        <v>0</v>
      </c>
      <c r="I15" s="107"/>
      <c r="J15" s="18">
        <f t="shared" si="4"/>
        <v>0</v>
      </c>
      <c r="K15" s="18">
        <f t="shared" si="5"/>
        <v>0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0"/>
        <v>0</v>
      </c>
      <c r="E16" s="18">
        <f t="shared" si="1"/>
        <v>0</v>
      </c>
      <c r="F16" s="107"/>
      <c r="G16" s="18">
        <f t="shared" si="2"/>
        <v>0</v>
      </c>
      <c r="H16" s="18">
        <f t="shared" si="3"/>
        <v>0</v>
      </c>
      <c r="I16" s="107"/>
      <c r="J16" s="18">
        <f t="shared" si="4"/>
        <v>0</v>
      </c>
      <c r="K16" s="18">
        <f t="shared" si="5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0"/>
        <v>0</v>
      </c>
      <c r="E17" s="18">
        <f t="shared" si="1"/>
        <v>0</v>
      </c>
      <c r="F17" s="107"/>
      <c r="G17" s="18">
        <f t="shared" si="2"/>
        <v>0</v>
      </c>
      <c r="H17" s="18">
        <f t="shared" si="3"/>
        <v>0</v>
      </c>
      <c r="I17" s="107"/>
      <c r="J17" s="18">
        <f t="shared" si="4"/>
        <v>0</v>
      </c>
      <c r="K17" s="18">
        <f t="shared" si="5"/>
        <v>0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0"/>
        <v>0</v>
      </c>
      <c r="E18" s="18">
        <f t="shared" si="1"/>
        <v>0</v>
      </c>
      <c r="F18" s="107"/>
      <c r="G18" s="18">
        <f t="shared" si="2"/>
        <v>0</v>
      </c>
      <c r="H18" s="18">
        <f t="shared" si="3"/>
        <v>0</v>
      </c>
      <c r="I18" s="107"/>
      <c r="J18" s="18">
        <f t="shared" si="4"/>
        <v>0</v>
      </c>
      <c r="K18" s="18">
        <f t="shared" si="5"/>
        <v>0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0"/>
        <v>0</v>
      </c>
      <c r="E19" s="18">
        <f t="shared" si="1"/>
        <v>0</v>
      </c>
      <c r="F19" s="107"/>
      <c r="G19" s="18">
        <f t="shared" si="2"/>
        <v>0</v>
      </c>
      <c r="H19" s="18">
        <f t="shared" si="3"/>
        <v>0</v>
      </c>
      <c r="I19" s="107"/>
      <c r="J19" s="18">
        <f t="shared" si="4"/>
        <v>0</v>
      </c>
      <c r="K19" s="18">
        <f t="shared" si="5"/>
        <v>0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0"/>
        <v>0</v>
      </c>
      <c r="E20" s="18">
        <f t="shared" si="1"/>
        <v>0</v>
      </c>
      <c r="F20" s="107"/>
      <c r="G20" s="18">
        <f t="shared" si="2"/>
        <v>0</v>
      </c>
      <c r="H20" s="18">
        <f t="shared" si="3"/>
        <v>0</v>
      </c>
      <c r="I20" s="107"/>
      <c r="J20" s="18">
        <f t="shared" si="4"/>
        <v>0</v>
      </c>
      <c r="K20" s="18">
        <f t="shared" si="5"/>
        <v>0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0"/>
        <v>0</v>
      </c>
      <c r="E21" s="18">
        <f t="shared" si="1"/>
        <v>0</v>
      </c>
      <c r="F21" s="107"/>
      <c r="G21" s="18">
        <f t="shared" si="2"/>
        <v>0</v>
      </c>
      <c r="H21" s="18">
        <f t="shared" si="3"/>
        <v>0</v>
      </c>
      <c r="I21" s="107"/>
      <c r="J21" s="18">
        <f t="shared" si="4"/>
        <v>0</v>
      </c>
      <c r="K21" s="18">
        <f t="shared" si="5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0"/>
        <v>0</v>
      </c>
      <c r="E22" s="18">
        <f t="shared" si="1"/>
        <v>0</v>
      </c>
      <c r="F22" s="107"/>
      <c r="G22" s="18">
        <f t="shared" si="2"/>
        <v>0</v>
      </c>
      <c r="H22" s="18">
        <f t="shared" si="3"/>
        <v>0</v>
      </c>
      <c r="I22" s="107"/>
      <c r="J22" s="18">
        <f t="shared" si="4"/>
        <v>0</v>
      </c>
      <c r="K22" s="18">
        <f t="shared" si="5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0"/>
        <v>0</v>
      </c>
      <c r="E23" s="18">
        <f t="shared" si="1"/>
        <v>0</v>
      </c>
      <c r="F23" s="107"/>
      <c r="G23" s="18">
        <f t="shared" si="2"/>
        <v>0</v>
      </c>
      <c r="H23" s="18">
        <f t="shared" si="3"/>
        <v>0</v>
      </c>
      <c r="I23" s="107"/>
      <c r="J23" s="18">
        <f t="shared" si="4"/>
        <v>0</v>
      </c>
      <c r="K23" s="18">
        <f t="shared" si="5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0"/>
        <v>0</v>
      </c>
      <c r="E24" s="18">
        <f t="shared" si="1"/>
        <v>0</v>
      </c>
      <c r="F24" s="107"/>
      <c r="G24" s="18">
        <f t="shared" si="2"/>
        <v>0</v>
      </c>
      <c r="H24" s="18">
        <f t="shared" si="3"/>
        <v>0</v>
      </c>
      <c r="I24" s="107"/>
      <c r="J24" s="18">
        <f t="shared" si="4"/>
        <v>0</v>
      </c>
      <c r="K24" s="18">
        <f t="shared" si="5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0"/>
        <v>0</v>
      </c>
      <c r="E25" s="18">
        <f t="shared" si="1"/>
        <v>0</v>
      </c>
      <c r="F25" s="107"/>
      <c r="G25" s="18">
        <f t="shared" si="2"/>
        <v>0</v>
      </c>
      <c r="H25" s="18">
        <f t="shared" si="3"/>
        <v>0</v>
      </c>
      <c r="I25" s="107"/>
      <c r="J25" s="18">
        <f t="shared" si="4"/>
        <v>0</v>
      </c>
      <c r="K25" s="18">
        <f t="shared" si="5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0"/>
        <v>0</v>
      </c>
      <c r="E26" s="18">
        <f t="shared" si="1"/>
        <v>0</v>
      </c>
      <c r="F26" s="107"/>
      <c r="G26" s="18">
        <f t="shared" si="2"/>
        <v>0</v>
      </c>
      <c r="H26" s="18">
        <f t="shared" si="3"/>
        <v>0</v>
      </c>
      <c r="I26" s="107"/>
      <c r="J26" s="18">
        <f t="shared" si="4"/>
        <v>0</v>
      </c>
      <c r="K26" s="18">
        <f t="shared" si="5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0"/>
        <v>0</v>
      </c>
      <c r="E27" s="18">
        <f t="shared" si="1"/>
        <v>0</v>
      </c>
      <c r="F27" s="107"/>
      <c r="G27" s="18">
        <f t="shared" si="2"/>
        <v>0</v>
      </c>
      <c r="H27" s="18">
        <f t="shared" si="3"/>
        <v>0</v>
      </c>
      <c r="I27" s="107"/>
      <c r="J27" s="18">
        <f t="shared" si="4"/>
        <v>0</v>
      </c>
      <c r="K27" s="18">
        <f t="shared" si="5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0"/>
        <v>0</v>
      </c>
      <c r="E28" s="18">
        <f t="shared" si="1"/>
        <v>0</v>
      </c>
      <c r="F28" s="107"/>
      <c r="G28" s="18">
        <f t="shared" si="2"/>
        <v>0</v>
      </c>
      <c r="H28" s="18">
        <f t="shared" si="3"/>
        <v>0</v>
      </c>
      <c r="I28" s="107"/>
      <c r="J28" s="18">
        <f t="shared" si="4"/>
        <v>0</v>
      </c>
      <c r="K28" s="18">
        <f t="shared" si="5"/>
        <v>0</v>
      </c>
    </row>
    <row r="29" spans="2:17">
      <c r="B29" s="133" t="s">
        <v>119</v>
      </c>
      <c r="D29">
        <f>SUM(D4:D28)</f>
        <v>910</v>
      </c>
      <c r="E29">
        <f>SUM(E4:E28)</f>
        <v>6</v>
      </c>
      <c r="G29">
        <f>SUM(G4:G28)</f>
        <v>1150</v>
      </c>
      <c r="H29">
        <f>SUM(H4:H28)</f>
        <v>3</v>
      </c>
      <c r="J29">
        <f>SUM(J4:J28)</f>
        <v>880</v>
      </c>
      <c r="K29">
        <f>SUM(K4:K28)</f>
        <v>6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15</v>
      </c>
      <c r="H30" s="114"/>
      <c r="I30" s="114"/>
      <c r="J30" s="114">
        <f>J1-K29</f>
        <v>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945C-203B-4557-9B21-27FC1D46CCA1}">
  <dimension ref="A1:Q30"/>
  <sheetViews>
    <sheetView zoomScale="115" zoomScaleNormal="115" workbookViewId="0">
      <selection activeCell="I4" sqref="I4:I9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6.18</v>
      </c>
      <c r="B1" s="119" t="s">
        <v>115</v>
      </c>
      <c r="D1" s="114">
        <f>MIN(18,'6.17'!D30+6)</f>
        <v>6</v>
      </c>
      <c r="G1" s="114">
        <f>MIN(18,'6.17'!G30+6)</f>
        <v>18</v>
      </c>
      <c r="J1" s="114">
        <f>MIN(18,'6.17'!J30+6)</f>
        <v>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'6.17'!A7+1600</f>
        <v>3020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8" t="s">
        <v>54</v>
      </c>
      <c r="D4" s="18">
        <f>IF(LEFT(C4,1)="跳",RIGHT(C4,LEN(C4)-1)*10,_xlfn.XLOOKUP(C4,$N$2:$N$27,$O$2:$O$27,0,0,1))</f>
        <v>190</v>
      </c>
      <c r="E4" s="18">
        <f>_xlfn.XLOOKUP(C4,$N$2:$N$27,$Q$2:$Q$27,0,0,1)</f>
        <v>1</v>
      </c>
      <c r="F4" s="134" t="s">
        <v>123</v>
      </c>
      <c r="G4" s="18">
        <f>IF(LEFT(F4,1)="跳",RIGHT(F4,LEN(F4)-1)*10,_xlfn.XLOOKUP(F4,$N$2:$N$27,$O$2:$O$27,0,0,1))</f>
        <v>170</v>
      </c>
      <c r="H4" s="18">
        <f>_xlfn.XLOOKUP(F4,$N$2:$N$27,$Q$2:$Q$27,0,0,1)</f>
        <v>0</v>
      </c>
      <c r="I4" s="63" t="s">
        <v>46</v>
      </c>
      <c r="J4" s="18">
        <f>IF(LEFT(I4,1)="跳",RIGHT(I4,LEN(I4)-1)*10,_xlfn.XLOOKUP(I4,$N$2:$N$27,$O$2:$O$27,0,0,1))</f>
        <v>170</v>
      </c>
      <c r="K4" s="18">
        <f>_xlfn.XLOOKUP(I4,$N$2:$N$27,$Q$2:$Q$27,0,0,1)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2500</v>
      </c>
      <c r="B5" s="114">
        <v>2</v>
      </c>
      <c r="C5" s="68" t="s">
        <v>54</v>
      </c>
      <c r="D5" s="18">
        <f t="shared" ref="D5:D28" si="0">IF(LEFT(C5,1)="跳",RIGHT(C5,LEN(C5)-1)*10,_xlfn.XLOOKUP(C5,$N$2:$N$27,$O$2:$O$27,0,0,1))</f>
        <v>190</v>
      </c>
      <c r="E5" s="18">
        <f t="shared" ref="E5:E28" si="1">_xlfn.XLOOKUP(C5,$N$2:$N$27,$Q$2:$Q$27,0,0,1)</f>
        <v>1</v>
      </c>
      <c r="F5" s="64" t="s">
        <v>49</v>
      </c>
      <c r="G5" s="18">
        <f t="shared" ref="G5:G28" si="2">IF(LEFT(F5,1)="跳",RIGHT(F5,LEN(F5)-1)*10,_xlfn.XLOOKUP(F5,$N$2:$N$27,$O$2:$O$27,0,0,1))</f>
        <v>250</v>
      </c>
      <c r="H5" s="18">
        <f t="shared" ref="H5:H28" si="3">_xlfn.XLOOKUP(F5,$N$2:$N$27,$Q$2:$Q$27,0,0,1)</f>
        <v>1</v>
      </c>
      <c r="I5" s="63" t="s">
        <v>46</v>
      </c>
      <c r="J5" s="18">
        <f t="shared" ref="J5:J28" si="4">IF(LEFT(I5,1)="跳",RIGHT(I5,LEN(I5)-1)*10,_xlfn.XLOOKUP(I5,$N$2:$N$27,$O$2:$O$27,0,0,1))</f>
        <v>170</v>
      </c>
      <c r="K5" s="18">
        <f t="shared" ref="K5:K28" si="5">_xlfn.XLOOKUP(I5,$N$2:$N$27,$Q$2:$Q$27,0,0,1)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8" t="s">
        <v>54</v>
      </c>
      <c r="D6" s="18">
        <f t="shared" si="0"/>
        <v>190</v>
      </c>
      <c r="E6" s="18">
        <f t="shared" si="1"/>
        <v>1</v>
      </c>
      <c r="F6" s="107"/>
      <c r="G6" s="18">
        <f t="shared" si="2"/>
        <v>0</v>
      </c>
      <c r="H6" s="18">
        <f t="shared" si="3"/>
        <v>0</v>
      </c>
      <c r="I6" s="64" t="s">
        <v>50</v>
      </c>
      <c r="J6" s="18">
        <f t="shared" si="4"/>
        <v>170</v>
      </c>
      <c r="K6" s="18">
        <f t="shared" si="5"/>
        <v>1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520</v>
      </c>
      <c r="B7" s="114">
        <v>4</v>
      </c>
      <c r="C7" s="68" t="s">
        <v>54</v>
      </c>
      <c r="D7" s="18">
        <f t="shared" si="0"/>
        <v>190</v>
      </c>
      <c r="E7" s="18">
        <f t="shared" si="1"/>
        <v>1</v>
      </c>
      <c r="F7" s="107"/>
      <c r="G7" s="18">
        <f t="shared" si="2"/>
        <v>0</v>
      </c>
      <c r="H7" s="18">
        <f t="shared" si="3"/>
        <v>0</v>
      </c>
      <c r="I7" s="63" t="s">
        <v>46</v>
      </c>
      <c r="J7" s="18">
        <f t="shared" si="4"/>
        <v>170</v>
      </c>
      <c r="K7" s="18">
        <f t="shared" si="5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8" t="s">
        <v>54</v>
      </c>
      <c r="D8" s="18">
        <f t="shared" si="0"/>
        <v>190</v>
      </c>
      <c r="E8" s="18">
        <f t="shared" si="1"/>
        <v>1</v>
      </c>
      <c r="F8" s="107"/>
      <c r="G8" s="18">
        <f t="shared" si="2"/>
        <v>0</v>
      </c>
      <c r="H8" s="18">
        <f t="shared" si="3"/>
        <v>0</v>
      </c>
      <c r="I8" s="63" t="s">
        <v>46</v>
      </c>
      <c r="J8" s="18">
        <f t="shared" si="4"/>
        <v>170</v>
      </c>
      <c r="K8" s="18">
        <f t="shared" si="5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8" t="s">
        <v>54</v>
      </c>
      <c r="D9" s="18">
        <f t="shared" si="0"/>
        <v>190</v>
      </c>
      <c r="E9" s="18">
        <f t="shared" si="1"/>
        <v>1</v>
      </c>
      <c r="F9" s="107"/>
      <c r="G9" s="18">
        <f t="shared" si="2"/>
        <v>0</v>
      </c>
      <c r="H9" s="18">
        <f t="shared" si="3"/>
        <v>0</v>
      </c>
      <c r="I9" s="63" t="s">
        <v>46</v>
      </c>
      <c r="J9" s="18">
        <f t="shared" si="4"/>
        <v>170</v>
      </c>
      <c r="K9" s="18">
        <f t="shared" si="5"/>
        <v>1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7" t="s">
        <v>52</v>
      </c>
      <c r="D10" s="18">
        <f t="shared" si="0"/>
        <v>-250</v>
      </c>
      <c r="E10" s="18">
        <f t="shared" si="1"/>
        <v>-1</v>
      </c>
      <c r="F10" s="107"/>
      <c r="G10" s="18">
        <f t="shared" si="2"/>
        <v>0</v>
      </c>
      <c r="H10" s="18">
        <f t="shared" si="3"/>
        <v>0</v>
      </c>
      <c r="I10" s="107"/>
      <c r="J10" s="18">
        <f t="shared" si="4"/>
        <v>0</v>
      </c>
      <c r="K10" s="18">
        <f t="shared" si="5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3" t="s">
        <v>46</v>
      </c>
      <c r="D11" s="18">
        <f t="shared" si="0"/>
        <v>170</v>
      </c>
      <c r="E11" s="18">
        <f t="shared" si="1"/>
        <v>1</v>
      </c>
      <c r="F11" s="107"/>
      <c r="G11" s="18">
        <f t="shared" si="2"/>
        <v>0</v>
      </c>
      <c r="H11" s="18">
        <f t="shared" si="3"/>
        <v>0</v>
      </c>
      <c r="I11" s="107"/>
      <c r="J11" s="18">
        <f t="shared" si="4"/>
        <v>0</v>
      </c>
      <c r="K11" s="18">
        <f t="shared" si="5"/>
        <v>0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 t="shared" si="0"/>
        <v>0</v>
      </c>
      <c r="E12" s="18">
        <f t="shared" si="1"/>
        <v>0</v>
      </c>
      <c r="F12" s="107"/>
      <c r="G12" s="18">
        <f t="shared" si="2"/>
        <v>0</v>
      </c>
      <c r="H12" s="18">
        <f t="shared" si="3"/>
        <v>0</v>
      </c>
      <c r="I12" s="107"/>
      <c r="J12" s="18">
        <f t="shared" si="4"/>
        <v>0</v>
      </c>
      <c r="K12" s="18">
        <f t="shared" si="5"/>
        <v>0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 t="shared" si="0"/>
        <v>0</v>
      </c>
      <c r="E13" s="18">
        <f t="shared" si="1"/>
        <v>0</v>
      </c>
      <c r="F13" s="107"/>
      <c r="G13" s="18">
        <f t="shared" si="2"/>
        <v>0</v>
      </c>
      <c r="H13" s="18">
        <f t="shared" si="3"/>
        <v>0</v>
      </c>
      <c r="I13" s="107"/>
      <c r="J13" s="18">
        <f t="shared" si="4"/>
        <v>0</v>
      </c>
      <c r="K13" s="18">
        <f t="shared" si="5"/>
        <v>0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0"/>
        <v>0</v>
      </c>
      <c r="E14" s="18">
        <f t="shared" si="1"/>
        <v>0</v>
      </c>
      <c r="F14" s="107"/>
      <c r="G14" s="18">
        <f t="shared" si="2"/>
        <v>0</v>
      </c>
      <c r="H14" s="18">
        <f t="shared" si="3"/>
        <v>0</v>
      </c>
      <c r="I14" s="107"/>
      <c r="J14" s="18">
        <f t="shared" si="4"/>
        <v>0</v>
      </c>
      <c r="K14" s="18">
        <f t="shared" si="5"/>
        <v>0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0"/>
        <v>0</v>
      </c>
      <c r="E15" s="18">
        <f t="shared" si="1"/>
        <v>0</v>
      </c>
      <c r="F15" s="107"/>
      <c r="G15" s="18">
        <f t="shared" si="2"/>
        <v>0</v>
      </c>
      <c r="H15" s="18">
        <f t="shared" si="3"/>
        <v>0</v>
      </c>
      <c r="I15" s="107"/>
      <c r="J15" s="18">
        <f t="shared" si="4"/>
        <v>0</v>
      </c>
      <c r="K15" s="18">
        <f t="shared" si="5"/>
        <v>0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0"/>
        <v>0</v>
      </c>
      <c r="E16" s="18">
        <f t="shared" si="1"/>
        <v>0</v>
      </c>
      <c r="F16" s="107"/>
      <c r="G16" s="18">
        <f t="shared" si="2"/>
        <v>0</v>
      </c>
      <c r="H16" s="18">
        <f t="shared" si="3"/>
        <v>0</v>
      </c>
      <c r="I16" s="107"/>
      <c r="J16" s="18">
        <f t="shared" si="4"/>
        <v>0</v>
      </c>
      <c r="K16" s="18">
        <f t="shared" si="5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0"/>
        <v>0</v>
      </c>
      <c r="E17" s="18">
        <f t="shared" si="1"/>
        <v>0</v>
      </c>
      <c r="F17" s="107"/>
      <c r="G17" s="18">
        <f t="shared" si="2"/>
        <v>0</v>
      </c>
      <c r="H17" s="18">
        <f t="shared" si="3"/>
        <v>0</v>
      </c>
      <c r="I17" s="107"/>
      <c r="J17" s="18">
        <f t="shared" si="4"/>
        <v>0</v>
      </c>
      <c r="K17" s="18">
        <f t="shared" si="5"/>
        <v>0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0"/>
        <v>0</v>
      </c>
      <c r="E18" s="18">
        <f t="shared" si="1"/>
        <v>0</v>
      </c>
      <c r="F18" s="107"/>
      <c r="G18" s="18">
        <f t="shared" si="2"/>
        <v>0</v>
      </c>
      <c r="H18" s="18">
        <f t="shared" si="3"/>
        <v>0</v>
      </c>
      <c r="I18" s="107"/>
      <c r="J18" s="18">
        <f t="shared" si="4"/>
        <v>0</v>
      </c>
      <c r="K18" s="18">
        <f t="shared" si="5"/>
        <v>0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0"/>
        <v>0</v>
      </c>
      <c r="E19" s="18">
        <f t="shared" si="1"/>
        <v>0</v>
      </c>
      <c r="F19" s="107"/>
      <c r="G19" s="18">
        <f t="shared" si="2"/>
        <v>0</v>
      </c>
      <c r="H19" s="18">
        <f t="shared" si="3"/>
        <v>0</v>
      </c>
      <c r="I19" s="107"/>
      <c r="J19" s="18">
        <f t="shared" si="4"/>
        <v>0</v>
      </c>
      <c r="K19" s="18">
        <f t="shared" si="5"/>
        <v>0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0"/>
        <v>0</v>
      </c>
      <c r="E20" s="18">
        <f t="shared" si="1"/>
        <v>0</v>
      </c>
      <c r="F20" s="107"/>
      <c r="G20" s="18">
        <f t="shared" si="2"/>
        <v>0</v>
      </c>
      <c r="H20" s="18">
        <f t="shared" si="3"/>
        <v>0</v>
      </c>
      <c r="I20" s="107"/>
      <c r="J20" s="18">
        <f t="shared" si="4"/>
        <v>0</v>
      </c>
      <c r="K20" s="18">
        <f t="shared" si="5"/>
        <v>0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0"/>
        <v>0</v>
      </c>
      <c r="E21" s="18">
        <f t="shared" si="1"/>
        <v>0</v>
      </c>
      <c r="F21" s="107"/>
      <c r="G21" s="18">
        <f t="shared" si="2"/>
        <v>0</v>
      </c>
      <c r="H21" s="18">
        <f t="shared" si="3"/>
        <v>0</v>
      </c>
      <c r="I21" s="107"/>
      <c r="J21" s="18">
        <f t="shared" si="4"/>
        <v>0</v>
      </c>
      <c r="K21" s="18">
        <f t="shared" si="5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0"/>
        <v>0</v>
      </c>
      <c r="E22" s="18">
        <f t="shared" si="1"/>
        <v>0</v>
      </c>
      <c r="F22" s="107"/>
      <c r="G22" s="18">
        <f t="shared" si="2"/>
        <v>0</v>
      </c>
      <c r="H22" s="18">
        <f t="shared" si="3"/>
        <v>0</v>
      </c>
      <c r="I22" s="107"/>
      <c r="J22" s="18">
        <f t="shared" si="4"/>
        <v>0</v>
      </c>
      <c r="K22" s="18">
        <f t="shared" si="5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0"/>
        <v>0</v>
      </c>
      <c r="E23" s="18">
        <f t="shared" si="1"/>
        <v>0</v>
      </c>
      <c r="F23" s="107"/>
      <c r="G23" s="18">
        <f t="shared" si="2"/>
        <v>0</v>
      </c>
      <c r="H23" s="18">
        <f t="shared" si="3"/>
        <v>0</v>
      </c>
      <c r="I23" s="107"/>
      <c r="J23" s="18">
        <f t="shared" si="4"/>
        <v>0</v>
      </c>
      <c r="K23" s="18">
        <f t="shared" si="5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0"/>
        <v>0</v>
      </c>
      <c r="E24" s="18">
        <f t="shared" si="1"/>
        <v>0</v>
      </c>
      <c r="F24" s="107"/>
      <c r="G24" s="18">
        <f t="shared" si="2"/>
        <v>0</v>
      </c>
      <c r="H24" s="18">
        <f t="shared" si="3"/>
        <v>0</v>
      </c>
      <c r="I24" s="107"/>
      <c r="J24" s="18">
        <f t="shared" si="4"/>
        <v>0</v>
      </c>
      <c r="K24" s="18">
        <f t="shared" si="5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0"/>
        <v>0</v>
      </c>
      <c r="E25" s="18">
        <f t="shared" si="1"/>
        <v>0</v>
      </c>
      <c r="F25" s="107"/>
      <c r="G25" s="18">
        <f t="shared" si="2"/>
        <v>0</v>
      </c>
      <c r="H25" s="18">
        <f t="shared" si="3"/>
        <v>0</v>
      </c>
      <c r="I25" s="107"/>
      <c r="J25" s="18">
        <f t="shared" si="4"/>
        <v>0</v>
      </c>
      <c r="K25" s="18">
        <f t="shared" si="5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0"/>
        <v>0</v>
      </c>
      <c r="E26" s="18">
        <f t="shared" si="1"/>
        <v>0</v>
      </c>
      <c r="F26" s="107"/>
      <c r="G26" s="18">
        <f t="shared" si="2"/>
        <v>0</v>
      </c>
      <c r="H26" s="18">
        <f t="shared" si="3"/>
        <v>0</v>
      </c>
      <c r="I26" s="107"/>
      <c r="J26" s="18">
        <f t="shared" si="4"/>
        <v>0</v>
      </c>
      <c r="K26" s="18">
        <f t="shared" si="5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0"/>
        <v>0</v>
      </c>
      <c r="E27" s="18">
        <f t="shared" si="1"/>
        <v>0</v>
      </c>
      <c r="F27" s="107"/>
      <c r="G27" s="18">
        <f t="shared" si="2"/>
        <v>0</v>
      </c>
      <c r="H27" s="18">
        <f t="shared" si="3"/>
        <v>0</v>
      </c>
      <c r="I27" s="107"/>
      <c r="J27" s="18">
        <f t="shared" si="4"/>
        <v>0</v>
      </c>
      <c r="K27" s="18">
        <f t="shared" si="5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0"/>
        <v>0</v>
      </c>
      <c r="E28" s="18">
        <f t="shared" si="1"/>
        <v>0</v>
      </c>
      <c r="F28" s="107"/>
      <c r="G28" s="18">
        <f t="shared" si="2"/>
        <v>0</v>
      </c>
      <c r="H28" s="18">
        <f t="shared" si="3"/>
        <v>0</v>
      </c>
      <c r="I28" s="107"/>
      <c r="J28" s="18">
        <f t="shared" si="4"/>
        <v>0</v>
      </c>
      <c r="K28" s="18">
        <f t="shared" si="5"/>
        <v>0</v>
      </c>
    </row>
    <row r="29" spans="2:17">
      <c r="B29" s="133" t="s">
        <v>119</v>
      </c>
      <c r="D29">
        <f>SUM(D4:D28)</f>
        <v>1060</v>
      </c>
      <c r="E29">
        <f>SUM(E4:E28)</f>
        <v>6</v>
      </c>
      <c r="G29">
        <f>SUM(G4:G28)</f>
        <v>420</v>
      </c>
      <c r="H29">
        <f>SUM(H4:H28)</f>
        <v>1</v>
      </c>
      <c r="J29">
        <f>SUM(J4:J28)</f>
        <v>1020</v>
      </c>
      <c r="K29">
        <f>SUM(K4:K28)</f>
        <v>6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17</v>
      </c>
      <c r="H30" s="114"/>
      <c r="I30" s="114"/>
      <c r="J30" s="114">
        <f>J1-K29</f>
        <v>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9461-F835-4395-AD92-CFB1AC5809A8}">
  <dimension ref="A1:Q30"/>
  <sheetViews>
    <sheetView zoomScale="115" zoomScaleNormal="115" workbookViewId="0">
      <selection activeCell="C11" sqref="C11:C14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6.19</v>
      </c>
      <c r="B1" s="119" t="s">
        <v>115</v>
      </c>
      <c r="D1" s="114">
        <f>MIN(18,'6.18'!D30+6)</f>
        <v>6</v>
      </c>
      <c r="G1" s="114">
        <f>MIN(18,'6.18'!G30+6)</f>
        <v>18</v>
      </c>
      <c r="J1" s="114">
        <f>MIN(18,'6.18'!J30+6)</f>
        <v>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'6.18'!A7+1600</f>
        <v>2120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107"/>
      <c r="G4" s="18">
        <f>IF(LEFT(F4,1)="跳",RIGHT(F4,LEN(F4)-1)*10,_xlfn.XLOOKUP(F4,$N$2:$N$27,$O$2:$O$27,0,0,1))*IF($L4="是",0.8,1)</f>
        <v>0</v>
      </c>
      <c r="H4" s="18">
        <f>_xlfn.XLOOKUP(F4,$N$2:$N$27,$Q$2:$Q$27,0,0,1)</f>
        <v>0</v>
      </c>
      <c r="I4" s="20" t="s">
        <v>44</v>
      </c>
      <c r="J4" s="18">
        <f>IF(LEFT(I4,1)="跳",RIGHT(I4,LEN(I4)-1)*10,_xlfn.XLOOKUP(I4,$N$2:$N$27,$O$2:$O$27,0,0,1))*IF($L4="是",0.8,1)</f>
        <v>150</v>
      </c>
      <c r="K4" s="18">
        <f>_xlfn.XLOOKUP(I4,$N$2:$N$27,$Q$2:$Q$27,0,0,1)</f>
        <v>1</v>
      </c>
      <c r="L4" s="133" t="s">
        <v>42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2012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107"/>
      <c r="G5" s="18">
        <f t="shared" ref="G5:G28" si="0">IF(LEFT(F5,1)="跳",RIGHT(F5,LEN(F5)-1)*10,_xlfn.XLOOKUP(F5,$N$2:$N$27,$O$2:$O$27,0,0,1))*IF($L5="是",0.8,1)</f>
        <v>0</v>
      </c>
      <c r="H5" s="18">
        <f t="shared" ref="H5:H28" si="1">_xlfn.XLOOKUP(F5,$N$2:$N$27,$Q$2:$Q$27,0,0,1)</f>
        <v>0</v>
      </c>
      <c r="I5" s="63" t="s">
        <v>46</v>
      </c>
      <c r="J5" s="18">
        <f t="shared" ref="J5:J28" si="2">IF(LEFT(I5,1)="跳",RIGHT(I5,LEN(I5)-1)*10,_xlfn.XLOOKUP(I5,$N$2:$N$27,$O$2:$O$27,0,0,1))*IF($L5="是",0.8,1)</f>
        <v>170</v>
      </c>
      <c r="K5" s="18">
        <f t="shared" ref="K5:K28" si="3">_xlfn.XLOOKUP(I5,$N$2:$N$27,$Q$2:$Q$27,0,0,1)</f>
        <v>1</v>
      </c>
      <c r="L5" s="133" t="s">
        <v>42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107"/>
      <c r="G6" s="18">
        <f t="shared" si="0"/>
        <v>0</v>
      </c>
      <c r="H6" s="18">
        <f t="shared" si="1"/>
        <v>0</v>
      </c>
      <c r="I6" s="63" t="s">
        <v>46</v>
      </c>
      <c r="J6" s="18">
        <f t="shared" si="2"/>
        <v>170</v>
      </c>
      <c r="K6" s="18">
        <f t="shared" si="3"/>
        <v>1</v>
      </c>
      <c r="L6" s="133" t="s">
        <v>42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108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107"/>
      <c r="G7" s="18">
        <f t="shared" si="0"/>
        <v>0</v>
      </c>
      <c r="H7" s="18">
        <f t="shared" si="1"/>
        <v>0</v>
      </c>
      <c r="I7" s="64" t="s">
        <v>50</v>
      </c>
      <c r="J7" s="18">
        <f t="shared" si="2"/>
        <v>170</v>
      </c>
      <c r="K7" s="18">
        <f t="shared" si="3"/>
        <v>1</v>
      </c>
      <c r="L7" s="133" t="s">
        <v>42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107"/>
      <c r="G8" s="18">
        <f t="shared" si="0"/>
        <v>0</v>
      </c>
      <c r="H8" s="18">
        <f t="shared" si="1"/>
        <v>0</v>
      </c>
      <c r="I8" s="63" t="s">
        <v>46</v>
      </c>
      <c r="J8" s="18">
        <f t="shared" si="2"/>
        <v>136</v>
      </c>
      <c r="K8" s="18">
        <f t="shared" si="3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107"/>
      <c r="G9" s="18">
        <f t="shared" si="0"/>
        <v>0</v>
      </c>
      <c r="H9" s="18">
        <f t="shared" si="1"/>
        <v>0</v>
      </c>
      <c r="I9" s="63" t="s">
        <v>46</v>
      </c>
      <c r="J9" s="18">
        <f t="shared" si="2"/>
        <v>136</v>
      </c>
      <c r="K9" s="18">
        <f t="shared" si="3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8" t="s">
        <v>54</v>
      </c>
      <c r="G10" s="18">
        <f t="shared" si="0"/>
        <v>152</v>
      </c>
      <c r="H10" s="18">
        <f t="shared" si="1"/>
        <v>1</v>
      </c>
      <c r="I10" s="107"/>
      <c r="J10" s="18">
        <f t="shared" si="2"/>
        <v>0</v>
      </c>
      <c r="K10" s="18">
        <f t="shared" si="3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34" t="s">
        <v>118</v>
      </c>
      <c r="D11" s="18">
        <f>IF(LEFT(C11,1)="跳",RIGHT(C11,LEN(C11)-1)*10,_xlfn.XLOOKUP(C11,$N$2:$N$27,$O$2:$O$27,0,0,1))*IF($L11="是",0.8,1)</f>
        <v>8</v>
      </c>
      <c r="E11" s="18">
        <f>_xlfn.XLOOKUP(C11,$N$2:$N$27,$Q$2:$Q$27,0,0,1)</f>
        <v>0</v>
      </c>
      <c r="F11" s="68" t="s">
        <v>54</v>
      </c>
      <c r="G11" s="18">
        <f t="shared" si="0"/>
        <v>152</v>
      </c>
      <c r="H11" s="18">
        <f t="shared" si="1"/>
        <v>1</v>
      </c>
      <c r="I11" s="107"/>
      <c r="J11" s="18">
        <f t="shared" si="2"/>
        <v>0</v>
      </c>
      <c r="K11" s="18">
        <f t="shared" si="3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8" t="s">
        <v>54</v>
      </c>
      <c r="D12" s="18">
        <f>IF(LEFT(C12,1)="跳",RIGHT(C12,LEN(C12)-1)*10,_xlfn.XLOOKUP(C12,$N$2:$N$27,$O$2:$O$27,0,0,1))*IF($L12="是",0.8,1)</f>
        <v>152</v>
      </c>
      <c r="E12" s="18">
        <f>_xlfn.XLOOKUP(C12,$N$2:$N$27,$Q$2:$Q$27,0,0,1)</f>
        <v>1</v>
      </c>
      <c r="F12" s="73" t="s">
        <v>60</v>
      </c>
      <c r="G12" s="18">
        <f t="shared" si="0"/>
        <v>120</v>
      </c>
      <c r="H12" s="18">
        <f t="shared" si="1"/>
        <v>1</v>
      </c>
      <c r="I12" s="107"/>
      <c r="J12" s="18">
        <f t="shared" si="2"/>
        <v>0</v>
      </c>
      <c r="K12" s="18">
        <f t="shared" si="3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8" t="s">
        <v>54</v>
      </c>
      <c r="D13" s="18">
        <f>IF(LEFT(C13,1)="跳",RIGHT(C13,LEN(C13)-1)*10,_xlfn.XLOOKUP(C13,$N$2:$N$27,$O$2:$O$27,0,0,1))*IF($L13="是",0.8,1)</f>
        <v>152</v>
      </c>
      <c r="E13" s="18">
        <f>_xlfn.XLOOKUP(C13,$N$2:$N$27,$Q$2:$Q$27,0,0,1)</f>
        <v>1</v>
      </c>
      <c r="F13" s="68" t="s">
        <v>54</v>
      </c>
      <c r="G13" s="18">
        <f t="shared" si="0"/>
        <v>152</v>
      </c>
      <c r="H13" s="18">
        <f t="shared" si="1"/>
        <v>1</v>
      </c>
      <c r="I13" s="107"/>
      <c r="J13" s="18">
        <f t="shared" si="2"/>
        <v>0</v>
      </c>
      <c r="K13" s="18">
        <f t="shared" si="3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34" t="s">
        <v>125</v>
      </c>
      <c r="D14" s="18">
        <f t="shared" si="4"/>
        <v>40</v>
      </c>
      <c r="E14" s="18">
        <f t="shared" si="5"/>
        <v>0</v>
      </c>
      <c r="F14" s="68" t="s">
        <v>54</v>
      </c>
      <c r="G14" s="18">
        <f t="shared" si="0"/>
        <v>152</v>
      </c>
      <c r="H14" s="18">
        <f t="shared" si="1"/>
        <v>1</v>
      </c>
      <c r="I14" s="107"/>
      <c r="J14" s="18">
        <f t="shared" si="2"/>
        <v>0</v>
      </c>
      <c r="K14" s="18">
        <f t="shared" si="3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2"/>
        <v>0</v>
      </c>
      <c r="K15" s="18">
        <f t="shared" si="3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2"/>
        <v>0</v>
      </c>
      <c r="K16" s="18">
        <f t="shared" si="3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2"/>
        <v>0</v>
      </c>
      <c r="K17" s="18">
        <f t="shared" si="3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2"/>
        <v>0</v>
      </c>
      <c r="K18" s="18">
        <f t="shared" si="3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2"/>
        <v>0</v>
      </c>
      <c r="K19" s="18">
        <f t="shared" si="3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2"/>
        <v>0</v>
      </c>
      <c r="K20" s="18">
        <f t="shared" si="3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2"/>
        <v>0</v>
      </c>
      <c r="K21" s="18">
        <f t="shared" si="3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2"/>
        <v>0</v>
      </c>
      <c r="K22" s="18">
        <f t="shared" si="3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2"/>
        <v>0</v>
      </c>
      <c r="K23" s="18">
        <f t="shared" si="3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2"/>
        <v>0</v>
      </c>
      <c r="K24" s="18">
        <f t="shared" si="3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2"/>
        <v>0</v>
      </c>
      <c r="K25" s="18">
        <f t="shared" si="3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2"/>
        <v>0</v>
      </c>
      <c r="K26" s="18">
        <f t="shared" si="3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2"/>
        <v>0</v>
      </c>
      <c r="K27" s="18">
        <f t="shared" si="3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2"/>
        <v>0</v>
      </c>
      <c r="K28" s="18">
        <f t="shared" si="3"/>
        <v>0</v>
      </c>
      <c r="L28" s="133" t="s">
        <v>58</v>
      </c>
    </row>
    <row r="29" spans="2:17">
      <c r="B29" s="133" t="s">
        <v>119</v>
      </c>
      <c r="D29">
        <f>SUM(D4:D28)</f>
        <v>352</v>
      </c>
      <c r="E29">
        <f>SUM(E4:E28)</f>
        <v>2</v>
      </c>
      <c r="G29">
        <f>SUM(G4:G28)</f>
        <v>728</v>
      </c>
      <c r="H29">
        <f>SUM(H4:H28)</f>
        <v>5</v>
      </c>
      <c r="J29">
        <f>SUM(J4:J28)</f>
        <v>932</v>
      </c>
      <c r="K29">
        <f>SUM(K4:K28)</f>
        <v>6</v>
      </c>
    </row>
    <row r="30" spans="2:17">
      <c r="B30" s="119" t="s">
        <v>116</v>
      </c>
      <c r="D30" s="114">
        <f>D1-E29</f>
        <v>4</v>
      </c>
      <c r="E30" s="114"/>
      <c r="F30" s="114"/>
      <c r="G30" s="114">
        <f>G1-H29</f>
        <v>13</v>
      </c>
      <c r="H30" s="114"/>
      <c r="I30" s="114"/>
      <c r="J30" s="114">
        <f>J1-K29</f>
        <v>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B54D-4228-4AC0-9AB3-ABF1D3FC2630}">
  <dimension ref="A1:Q30"/>
  <sheetViews>
    <sheetView zoomScale="115" zoomScaleNormal="115" workbookViewId="0">
      <selection activeCell="I4" sqref="I4:I5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</v>
      </c>
      <c r="B1" s="119" t="s">
        <v>115</v>
      </c>
      <c r="D1" s="114" cm="1">
        <f t="array" aca="1" ref="D1" ca="1">MIN(18,INDIRECT("'"&amp;A1-0.01&amp;"'!D30")+6)</f>
        <v>10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1708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2" t="s">
        <v>45</v>
      </c>
      <c r="D4" s="18">
        <f>IF(LEFT(C4,1)="跳",RIGHT(C4,LEN(C4)-1)*10,_xlfn.XLOOKUP(C4,$N$2:$N$27,$O$2:$O$27,0,0,1))*IF($L4="是",0.8,1)</f>
        <v>128</v>
      </c>
      <c r="E4" s="18">
        <f>_xlfn.XLOOKUP(C4,$N$2:$N$27,$Q$2:$Q$27,0,0,1)</f>
        <v>1</v>
      </c>
      <c r="F4" s="52" t="s">
        <v>40</v>
      </c>
      <c r="G4" s="18">
        <f>IF(LEFT(F4,1)="跳",RIGHT(F4,LEN(F4)-1)*10,_xlfn.XLOOKUP(F4,$N$2:$N$27,$O$2:$O$27,0,0,1))*IF($L4="是",0.8,1)</f>
        <v>40</v>
      </c>
      <c r="H4" s="18">
        <f>_xlfn.XLOOKUP(F4,$N$2:$N$27,$Q$2:$Q$27,0,0,1)</f>
        <v>1</v>
      </c>
      <c r="I4" s="63" t="s">
        <v>46</v>
      </c>
      <c r="J4" s="18">
        <f>IF(LEFT(I4,1)="跳",RIGHT(I4,LEN(I4)-1)*10,_xlfn.XLOOKUP(I4,$N$2:$N$27,$O$2:$O$27,0,0,1))*IF($L4="是",0.8,1)</f>
        <v>136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1060</v>
      </c>
      <c r="B5" s="114">
        <v>2</v>
      </c>
      <c r="C5" s="62" t="s">
        <v>45</v>
      </c>
      <c r="D5" s="18">
        <f>IF(LEFT(C5,1)="跳",RIGHT(C5,LEN(C5)-1)*10,_xlfn.XLOOKUP(C5,$N$2:$N$27,$O$2:$O$27,0,0,1))*IF($L5="是",0.8,1)</f>
        <v>128</v>
      </c>
      <c r="E5" s="18">
        <f>_xlfn.XLOOKUP(C5,$N$2:$N$27,$Q$2:$Q$27,0,0,1)</f>
        <v>1</v>
      </c>
      <c r="F5" s="65" t="s">
        <v>51</v>
      </c>
      <c r="G5" s="18">
        <f t="shared" ref="G5:G28" si="0">IF(LEFT(F5,1)="跳",RIGHT(F5,LEN(F5)-1)*10,_xlfn.XLOOKUP(F5,$N$2:$N$27,$O$2:$O$27,0,0,1))*IF($L5="是",0.8,1)</f>
        <v>144</v>
      </c>
      <c r="H5" s="18">
        <f t="shared" ref="H5:H28" si="1">_xlfn.XLOOKUP(F5,$N$2:$N$27,$Q$2:$Q$27,0,0,1)</f>
        <v>1</v>
      </c>
      <c r="I5" s="67" t="s">
        <v>52</v>
      </c>
      <c r="J5" s="18">
        <f>IF(LEFT(I5,1)="跳",RIGHT(I5,LEN(I5)-1)*10,_xlfn.XLOOKUP(I5,$N$2:$N$27,$O$2:$O$27,0,0,1))*IF($L5="是",0.8,1)-60</f>
        <v>-260</v>
      </c>
      <c r="K5" s="18">
        <f t="shared" ref="K5:K28" si="2">_xlfn.XLOOKUP(I5,$N$2:$N$27,$Q$2:$Q$27,0,0,1)</f>
        <v>-1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2" t="s">
        <v>45</v>
      </c>
      <c r="D6" s="18">
        <f>IF(LEFT(C6,1)="跳",RIGHT(C6,LEN(C6)-1)*10,_xlfn.XLOOKUP(C6,$N$2:$N$27,$O$2:$O$27,0,0,1))*IF($L6="是",0.8,1)</f>
        <v>128</v>
      </c>
      <c r="E6" s="18">
        <f>_xlfn.XLOOKUP(C6,$N$2:$N$27,$Q$2:$Q$27,0,0,1)</f>
        <v>1</v>
      </c>
      <c r="F6" s="65" t="s">
        <v>51</v>
      </c>
      <c r="G6" s="18">
        <f t="shared" si="0"/>
        <v>144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648</v>
      </c>
      <c r="B7" s="114">
        <v>4</v>
      </c>
      <c r="C7" s="52" t="s">
        <v>40</v>
      </c>
      <c r="D7" s="18">
        <f>IF(LEFT(C7,1)="跳",RIGHT(C7,LEN(C7)-1)*10,_xlfn.XLOOKUP(C7,$N$2:$N$27,$O$2:$O$27,0,0,1))*IF($L7="是",0.8,1)</f>
        <v>40</v>
      </c>
      <c r="E7" s="18">
        <f>_xlfn.XLOOKUP(C7,$N$2:$N$27,$Q$2:$Q$27,0,0,1)</f>
        <v>1</v>
      </c>
      <c r="F7" s="68" t="s">
        <v>54</v>
      </c>
      <c r="G7" s="18">
        <f t="shared" si="0"/>
        <v>152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34" t="s">
        <v>118</v>
      </c>
      <c r="D8" s="18">
        <f t="shared" ref="D8:D28" si="4">IF(LEFT(C8,1)="跳",RIGHT(C8,LEN(C8)-1)*10,_xlfn.XLOOKUP(C8,$N$2:$N$27,$O$2:$O$27,0,0,1))*IF($L8="是",0.8,1)</f>
        <v>8</v>
      </c>
      <c r="E8" s="18">
        <f t="shared" ref="E8:E28" si="5">_xlfn.XLOOKUP(C8,$N$2:$N$27,$Q$2:$Q$27,0,0,1)</f>
        <v>0</v>
      </c>
      <c r="F8" s="67" t="s">
        <v>52</v>
      </c>
      <c r="G8" s="18">
        <f>IF(LEFT(F8,1)="跳",RIGHT(F8,LEN(F8)-1)*10,_xlfn.XLOOKUP(F8,$N$2:$N$27,$O$2:$O$27,0,0,1))*IF($L8="是",0.8,1)-60</f>
        <v>-260</v>
      </c>
      <c r="H8" s="18">
        <f t="shared" si="1"/>
        <v>-1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2" t="s">
        <v>45</v>
      </c>
      <c r="D9" s="18">
        <f t="shared" si="4"/>
        <v>128</v>
      </c>
      <c r="E9" s="18">
        <f t="shared" si="5"/>
        <v>1</v>
      </c>
      <c r="F9" s="65" t="s">
        <v>51</v>
      </c>
      <c r="G9" s="18">
        <f t="shared" si="0"/>
        <v>144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2" t="s">
        <v>45</v>
      </c>
      <c r="D10" s="18">
        <f>IF(LEFT(C10,1)="跳",RIGHT(C10,LEN(C10)-1)*10,_xlfn.XLOOKUP(C10,$N$2:$N$27,$O$2:$O$27,0,0,1))*IF($L10="是",0.8,1)</f>
        <v>128</v>
      </c>
      <c r="E10" s="18">
        <f>_xlfn.XLOOKUP(C10,$N$2:$N$27,$Q$2:$Q$27,0,0,1)</f>
        <v>1</v>
      </c>
      <c r="F10" s="65" t="s">
        <v>51</v>
      </c>
      <c r="G10" s="18">
        <f t="shared" si="0"/>
        <v>144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2" t="s">
        <v>45</v>
      </c>
      <c r="D11" s="18">
        <f>IF(LEFT(C11,1)="跳",RIGHT(C11,LEN(C11)-1)*10,_xlfn.XLOOKUP(C11,$N$2:$N$27,$O$2:$O$27,0,0,1))*IF($L11="是",0.8,1)</f>
        <v>128</v>
      </c>
      <c r="E11" s="18">
        <f>_xlfn.XLOOKUP(C11,$N$2:$N$27,$Q$2:$Q$27,0,0,1)</f>
        <v>1</v>
      </c>
      <c r="F11" s="20" t="s">
        <v>44</v>
      </c>
      <c r="G11" s="18">
        <f t="shared" si="0"/>
        <v>120</v>
      </c>
      <c r="H11" s="18">
        <f t="shared" si="1"/>
        <v>1</v>
      </c>
      <c r="I11" s="107"/>
      <c r="J11" s="18">
        <f t="shared" si="3"/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7" t="s">
        <v>52</v>
      </c>
      <c r="D12" s="18">
        <f>IF(LEFT(C12,1)="跳",RIGHT(C12,LEN(C12)-1)*10,_xlfn.XLOOKUP(C12,$N$2:$N$27,$O$2:$O$27,0,0,1))*IF($L12="是",0.8,1)-60</f>
        <v>-260</v>
      </c>
      <c r="E12" s="18">
        <f>_xlfn.XLOOKUP(C12,$N$2:$N$27,$Q$2:$Q$27,0,0,1)</f>
        <v>-1</v>
      </c>
      <c r="F12" s="116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16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16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16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556</v>
      </c>
      <c r="E29">
        <f>SUM(E4:E28)</f>
        <v>6</v>
      </c>
      <c r="G29">
        <f>SUM(G4:G28)</f>
        <v>628</v>
      </c>
      <c r="H29">
        <f>SUM(H4:H28)</f>
        <v>6</v>
      </c>
      <c r="J29">
        <f>SUM(J4:J28)</f>
        <v>-124</v>
      </c>
      <c r="K29">
        <f>SUM(K4:K28)</f>
        <v>0</v>
      </c>
    </row>
    <row r="30" spans="2:17">
      <c r="B30" s="119" t="s">
        <v>116</v>
      </c>
      <c r="D30" s="114">
        <f ca="1">D1-E29</f>
        <v>4</v>
      </c>
      <c r="E30" s="114"/>
      <c r="F30" s="114"/>
      <c r="G30" s="114">
        <f ca="1">G1-H29</f>
        <v>12</v>
      </c>
      <c r="H30" s="114"/>
      <c r="I30" s="114"/>
      <c r="J30" s="114">
        <f ca="1">J1-K29</f>
        <v>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72DF-CF3E-4D41-9DBE-62DC6E15E3EB}">
  <dimension ref="A1:Q30"/>
  <sheetViews>
    <sheetView zoomScale="115" zoomScaleNormal="115" workbookViewId="0">
      <selection activeCell="F17" sqref="F17:F24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6.21</v>
      </c>
      <c r="B1" s="119" t="s">
        <v>115</v>
      </c>
      <c r="D1" s="114" cm="1">
        <f t="array" aca="1" ref="D1" ca="1">MIN(18,INDIRECT("'"&amp;A1-0.01&amp;"'!D30")+6)</f>
        <v>10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14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2248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34" t="s">
        <v>120</v>
      </c>
      <c r="D4" s="18">
        <f>IF(LEFT(C4,1)="跳",RIGHT(C4,LEN(C4)-1)*10,_xlfn.XLOOKUP(C4,$N$2:$N$27,$O$2:$O$27,0,0,1))*IF($L4="是",0.8,1)</f>
        <v>16</v>
      </c>
      <c r="E4" s="18">
        <f>_xlfn.XLOOKUP(C4,$N$2:$N$27,$Q$2:$Q$27,0,0,1)</f>
        <v>0</v>
      </c>
      <c r="F4" s="107"/>
      <c r="G4" s="18">
        <f t="shared" ref="G4:G28" si="0">IF(LEFT(F4,1)="跳",RIGHT(F4,LEN(F4)-1)*10,_xlfn.XLOOKUP(F4,$N$2:$N$27,$O$2:$O$27,0,0,1))*IF($L4="是",0.8,1)</f>
        <v>0</v>
      </c>
      <c r="H4" s="18">
        <f>_xlfn.XLOOKUP(F4,$N$2:$N$27,$Q$2:$Q$27,0,0,1)</f>
        <v>0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1568</v>
      </c>
      <c r="B5" s="114">
        <v>2</v>
      </c>
      <c r="C5" s="20" t="s">
        <v>44</v>
      </c>
      <c r="D5" s="18">
        <f>IF(LEFT(C5,1)="跳",RIGHT(C5,LEN(C5)-1)*10,_xlfn.XLOOKUP(C5,$N$2:$N$27,$O$2:$O$27,0,0,1))*IF($L5="是",0.8,1)</f>
        <v>120</v>
      </c>
      <c r="E5" s="18">
        <f>_xlfn.XLOOKUP(C5,$N$2:$N$27,$Q$2:$Q$27,0,0,1)</f>
        <v>1</v>
      </c>
      <c r="F5" s="107"/>
      <c r="G5" s="18">
        <f>IF(LEFT(F5,1)="跳",RIGHT(F5,LEN(F5)-1)*10,_xlfn.XLOOKUP(F5,$N$2:$N$27,$O$2:$O$27,0,0,1))*IF($L5="是",0.8,1)</f>
        <v>0</v>
      </c>
      <c r="H5" s="18">
        <f t="shared" ref="H5:H28" si="1">_xlfn.XLOOKUP(F5,$N$2:$N$27,$Q$2:$Q$27,0,0,1)</f>
        <v>0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2" t="s">
        <v>45</v>
      </c>
      <c r="D6" s="18">
        <f>IF(LEFT(C6,1)="跳",RIGHT(C6,LEN(C6)-1)*10,_xlfn.XLOOKUP(C6,$N$2:$N$27,$O$2:$O$27,0,0,1))*IF($L6="是",0.8,1)</f>
        <v>128</v>
      </c>
      <c r="E6" s="18">
        <f>_xlfn.XLOOKUP(C6,$N$2:$N$27,$Q$2:$Q$27,0,0,1)</f>
        <v>1</v>
      </c>
      <c r="F6" s="107"/>
      <c r="G6" s="18">
        <f t="shared" si="0"/>
        <v>0</v>
      </c>
      <c r="H6" s="18">
        <f t="shared" si="1"/>
        <v>0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680</v>
      </c>
      <c r="B7" s="114">
        <v>4</v>
      </c>
      <c r="C7" s="20" t="s">
        <v>44</v>
      </c>
      <c r="D7" s="18">
        <f>IF(LEFT(C7,1)="跳",RIGHT(C7,LEN(C7)-1)*10,_xlfn.XLOOKUP(C7,$N$2:$N$27,$O$2:$O$27,0,0,1))*IF($L7="是",0.8,1)</f>
        <v>120</v>
      </c>
      <c r="E7" s="18">
        <f>_xlfn.XLOOKUP(C7,$N$2:$N$27,$Q$2:$Q$27,0,0,1)</f>
        <v>1</v>
      </c>
      <c r="F7" s="107"/>
      <c r="G7" s="18">
        <f t="shared" si="0"/>
        <v>0</v>
      </c>
      <c r="H7" s="18">
        <f t="shared" si="1"/>
        <v>0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2" t="s">
        <v>45</v>
      </c>
      <c r="D8" s="18">
        <f t="shared" ref="D8:D28" si="4">IF(LEFT(C8,1)="跳",RIGHT(C8,LEN(C8)-1)*10,_xlfn.XLOOKUP(C8,$N$2:$N$27,$O$2:$O$27,0,0,1))*IF($L8="是",0.8,1)</f>
        <v>128</v>
      </c>
      <c r="E8" s="18">
        <f t="shared" ref="E8:E28" si="5">_xlfn.XLOOKUP(C8,$N$2:$N$27,$Q$2:$Q$27,0,0,1)</f>
        <v>1</v>
      </c>
      <c r="F8" s="107"/>
      <c r="G8" s="18">
        <f t="shared" si="0"/>
        <v>0</v>
      </c>
      <c r="H8" s="18">
        <f t="shared" si="1"/>
        <v>0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2" t="s">
        <v>45</v>
      </c>
      <c r="D9" s="18">
        <f t="shared" si="4"/>
        <v>128</v>
      </c>
      <c r="E9" s="18">
        <f t="shared" si="5"/>
        <v>1</v>
      </c>
      <c r="F9" s="107"/>
      <c r="G9" s="18">
        <f t="shared" si="0"/>
        <v>0</v>
      </c>
      <c r="H9" s="18">
        <f t="shared" si="1"/>
        <v>0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20" t="s">
        <v>44</v>
      </c>
      <c r="D10" s="18">
        <f>IF(LEFT(C10,1)="跳",RIGHT(C10,LEN(C10)-1)*10,_xlfn.XLOOKUP(C10,$N$2:$N$27,$O$2:$O$27,0,0,1))*IF($L10="是",0.8,1)</f>
        <v>120</v>
      </c>
      <c r="E10" s="18">
        <f>_xlfn.XLOOKUP(C10,$N$2:$N$27,$Q$2:$Q$27,0,0,1)</f>
        <v>1</v>
      </c>
      <c r="F10" s="116"/>
      <c r="G10" s="18">
        <f t="shared" si="0"/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2" t="s">
        <v>45</v>
      </c>
      <c r="D11" s="18">
        <f>IF(LEFT(C11,1)="跳",RIGHT(C11,LEN(C11)-1)*10,_xlfn.XLOOKUP(C11,$N$2:$N$27,$O$2:$O$27,0,0,1))*IF($L11="是",0.8,1)</f>
        <v>128</v>
      </c>
      <c r="E11" s="18">
        <f>_xlfn.XLOOKUP(C11,$N$2:$N$27,$Q$2:$Q$27,0,0,1)</f>
        <v>1</v>
      </c>
      <c r="F11" s="116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2" t="s">
        <v>45</v>
      </c>
      <c r="D12" s="18">
        <f>IF(LEFT(C12,1)="跳",RIGHT(C12,LEN(C12)-1)*10,_xlfn.XLOOKUP(C12,$N$2:$N$27,$O$2:$O$27,0,0,1))*IF($L12="是",0.8,1)</f>
        <v>128</v>
      </c>
      <c r="E12" s="18">
        <f>_xlfn.XLOOKUP(C12,$N$2:$N$27,$Q$2:$Q$27,0,0,1)</f>
        <v>1</v>
      </c>
      <c r="F12" s="116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7" t="s">
        <v>52</v>
      </c>
      <c r="D13" s="18">
        <f>IF(LEFT(C13,1)="跳",RIGHT(C13,LEN(C13)-1)*10,_xlfn.XLOOKUP(C13,$N$2:$N$27,$O$2:$O$27,0,0,1))*IF($L13="是",0.8,1)-60</f>
        <v>-260</v>
      </c>
      <c r="E13" s="18">
        <f>_xlfn.XLOOKUP(C13,$N$2:$N$27,$Q$2:$Q$27,0,0,1)</f>
        <v>-1</v>
      </c>
      <c r="F13" s="116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16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16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16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65" t="s">
        <v>51</v>
      </c>
      <c r="G17" s="18">
        <f t="shared" si="0"/>
        <v>144</v>
      </c>
      <c r="H17" s="18">
        <f t="shared" si="1"/>
        <v>1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65" t="s">
        <v>51</v>
      </c>
      <c r="G18" s="18">
        <f t="shared" si="0"/>
        <v>144</v>
      </c>
      <c r="H18" s="18">
        <f t="shared" si="1"/>
        <v>1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65" t="s">
        <v>51</v>
      </c>
      <c r="G19" s="18">
        <f t="shared" si="0"/>
        <v>144</v>
      </c>
      <c r="H19" s="18">
        <f t="shared" si="1"/>
        <v>1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69" t="s">
        <v>55</v>
      </c>
      <c r="G20" s="18">
        <f t="shared" si="0"/>
        <v>160</v>
      </c>
      <c r="H20" s="18">
        <f t="shared" si="1"/>
        <v>1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69" t="s">
        <v>55</v>
      </c>
      <c r="G21" s="18">
        <f t="shared" si="0"/>
        <v>160</v>
      </c>
      <c r="H21" s="18">
        <f t="shared" si="1"/>
        <v>1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69" t="s">
        <v>55</v>
      </c>
      <c r="G22" s="18">
        <f t="shared" si="0"/>
        <v>160</v>
      </c>
      <c r="H22" s="18">
        <f t="shared" si="1"/>
        <v>1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67" t="s">
        <v>52</v>
      </c>
      <c r="G23" s="18">
        <f>IF(LEFT(F23,1)="跳",RIGHT(F23,LEN(F23)-1)*10,_xlfn.XLOOKUP(F23,$N$2:$N$27,$O$2:$O$27,0,0,1))*IF($L23="是",0.8,1)-60</f>
        <v>-260</v>
      </c>
      <c r="H23" s="18">
        <f t="shared" si="1"/>
        <v>-1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69" t="s">
        <v>55</v>
      </c>
      <c r="G24" s="18">
        <f t="shared" si="0"/>
        <v>160</v>
      </c>
      <c r="H24" s="18">
        <f t="shared" si="1"/>
        <v>1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756</v>
      </c>
      <c r="E29">
        <f>SUM(E4:E28)</f>
        <v>7</v>
      </c>
      <c r="G29">
        <f>SUM(G4:G28)</f>
        <v>812</v>
      </c>
      <c r="H29">
        <f>SUM(H4:H28)</f>
        <v>6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3</v>
      </c>
      <c r="E30" s="114"/>
      <c r="F30" s="114"/>
      <c r="G30" s="114">
        <f ca="1">G1-H29</f>
        <v>12</v>
      </c>
      <c r="H30" s="114"/>
      <c r="I30" s="114"/>
      <c r="J30" s="114">
        <f ca="1">J1-K29</f>
        <v>14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5DD7-1C14-48A1-AEF3-10EEDCF78208}">
  <dimension ref="A1:Q30"/>
  <sheetViews>
    <sheetView zoomScale="115" zoomScaleNormal="115" workbookViewId="0">
      <selection activeCell="F5" sqref="F5:F2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6.22</v>
      </c>
      <c r="B1" s="119" t="s">
        <v>115</v>
      </c>
      <c r="D1" s="114" cm="1">
        <f t="array" aca="1" ref="D1" ca="1">MIN(18,INDIRECT("'"&amp;A1-0.01&amp;"'!D30")+6)</f>
        <v>9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2280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107"/>
      <c r="G4" s="18">
        <f t="shared" ref="G4:G28" si="0">IF(LEFT(F4,1)="跳",RIGHT(F4,LEN(F4)-1)*10,_xlfn.XLOOKUP(F4,$N$2:$N$27,$O$2:$O$27,0,0,1))*IF($L4="是",0.8,1)</f>
        <v>0</v>
      </c>
      <c r="H4" s="18">
        <f>_xlfn.XLOOKUP(F4,$N$2:$N$27,$Q$2:$Q$27,0,0,1)</f>
        <v>0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2230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50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52" t="s">
        <v>40</v>
      </c>
      <c r="G10" s="18">
        <f t="shared" si="0"/>
        <v>40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>IF(LEFT(F11,1)="跳",RIGHT(F11,LEN(F11)-1)*10,_xlfn.XLOOKUP(F11,$N$2:$N$27,$O$2:$O$27,0,0,1))*IF($L11="是",0.8,1)</f>
        <v>160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69" t="s">
        <v>55</v>
      </c>
      <c r="G12" s="18">
        <f t="shared" si="0"/>
        <v>160</v>
      </c>
      <c r="H12" s="18">
        <f t="shared" si="1"/>
        <v>1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69" t="s">
        <v>55</v>
      </c>
      <c r="G13" s="18">
        <f t="shared" si="0"/>
        <v>160</v>
      </c>
      <c r="H13" s="18">
        <f t="shared" si="1"/>
        <v>1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69" t="s">
        <v>55</v>
      </c>
      <c r="G14" s="18">
        <f t="shared" si="0"/>
        <v>160</v>
      </c>
      <c r="H14" s="18">
        <f t="shared" si="1"/>
        <v>1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69" t="s">
        <v>55</v>
      </c>
      <c r="G15" s="18">
        <f t="shared" si="0"/>
        <v>160</v>
      </c>
      <c r="H15" s="18">
        <f t="shared" si="1"/>
        <v>1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69" t="s">
        <v>55</v>
      </c>
      <c r="G16" s="18">
        <f>IF(LEFT(F16,1)="跳",RIGHT(F16,LEN(F16)-1)*10,_xlfn.XLOOKUP(F16,$N$2:$N$27,$O$2:$O$27,0,0,1))*IF($L16="是",0.8,1)</f>
        <v>160</v>
      </c>
      <c r="H16" s="18">
        <f t="shared" si="1"/>
        <v>1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67" t="s">
        <v>52</v>
      </c>
      <c r="G17" s="18">
        <f>IF(LEFT(F17,1)="跳",RIGHT(F17,LEN(F17)-1)*10,_xlfn.XLOOKUP(F17,$N$2:$N$27,$O$2:$O$27,0,0,1))*IF($L17="是",0.8,1)-10</f>
        <v>-210</v>
      </c>
      <c r="H17" s="18">
        <f t="shared" si="1"/>
        <v>-1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69" t="s">
        <v>55</v>
      </c>
      <c r="G18" s="18">
        <f t="shared" si="0"/>
        <v>160</v>
      </c>
      <c r="H18" s="18">
        <f t="shared" si="1"/>
        <v>1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69" t="s">
        <v>55</v>
      </c>
      <c r="G19" s="18">
        <f t="shared" si="0"/>
        <v>160</v>
      </c>
      <c r="H19" s="18">
        <f t="shared" si="1"/>
        <v>1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69" t="s">
        <v>55</v>
      </c>
      <c r="G20" s="18">
        <f t="shared" si="0"/>
        <v>160</v>
      </c>
      <c r="H20" s="18">
        <f t="shared" si="1"/>
        <v>1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69" t="s">
        <v>55</v>
      </c>
      <c r="G21" s="18">
        <f t="shared" si="0"/>
        <v>160</v>
      </c>
      <c r="H21" s="18">
        <f t="shared" si="1"/>
        <v>1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2230</v>
      </c>
      <c r="H29">
        <f>SUM(H4:H28)</f>
        <v>15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9</v>
      </c>
      <c r="E30" s="114"/>
      <c r="F30" s="114"/>
      <c r="G30" s="114">
        <f ca="1">G1-H29</f>
        <v>3</v>
      </c>
      <c r="H30" s="114"/>
      <c r="I30" s="114"/>
      <c r="J30" s="114">
        <f ca="1">J1-K29</f>
        <v>18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A39D-196C-4DB0-AA3D-E3B829EAF231}">
  <dimension ref="A1:Q30"/>
  <sheetViews>
    <sheetView zoomScale="115" zoomScaleNormal="115" workbookViewId="0">
      <selection activeCell="I4" sqref="I4:I8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6.23</v>
      </c>
      <c r="B1" s="119" t="s">
        <v>115</v>
      </c>
      <c r="D1" s="114" cm="1">
        <f t="array" aca="1" ref="D1" ca="1">MIN(18,INDIRECT("'"&amp;A1-0.01&amp;"'!D30")+6)</f>
        <v>15</v>
      </c>
      <c r="G1" s="114" cm="1">
        <f t="array" aca="1" ref="G1" ca="1">MIN(18,INDIRECT("'"&amp;A1-0.01&amp;"'!G30")+6)</f>
        <v>9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1650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63" t="s">
        <v>46</v>
      </c>
      <c r="J4" s="18">
        <f>IF(LEFT(I4,1)="跳",RIGHT(I4,LEN(I4)-1)*10,_xlfn.XLOOKUP(I4,$N$2:$N$27,$O$2:$O$27,0,0,1))*IF($L4="是",0.8,1)</f>
        <v>136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1528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63" t="s">
        <v>46</v>
      </c>
      <c r="J5" s="18">
        <f>IF(LEFT(I5,1)="跳",RIGHT(I5,LEN(I5)-1)*10,_xlfn.XLOOKUP(I5,$N$2:$N$27,$O$2:$O$27,0,0,1))*IF($L5="是",0.8,1)</f>
        <v>136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63" t="s">
        <v>46</v>
      </c>
      <c r="J6" s="18">
        <f t="shared" ref="J6:J28" si="3">IF(LEFT(I6,1)="跳",RIGHT(I6,LEN(I6)-1)*10,_xlfn.XLOOKUP(I6,$N$2:$N$27,$O$2:$O$27,0,0,1))*IF($L6="是",0.8,1)</f>
        <v>136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122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52" t="s">
        <v>40</v>
      </c>
      <c r="J7" s="18">
        <f t="shared" si="3"/>
        <v>40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63" t="s">
        <v>46</v>
      </c>
      <c r="J8" s="18">
        <f t="shared" si="3"/>
        <v>136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944</v>
      </c>
      <c r="H29">
        <f>SUM(H4:H28)</f>
        <v>6</v>
      </c>
      <c r="J29">
        <f>SUM(J4:J28)</f>
        <v>584</v>
      </c>
      <c r="K29">
        <f>SUM(K4:K28)</f>
        <v>5</v>
      </c>
    </row>
    <row r="30" spans="2:17">
      <c r="B30" s="119" t="s">
        <v>116</v>
      </c>
      <c r="D30" s="114">
        <f ca="1">D1-E29</f>
        <v>15</v>
      </c>
      <c r="E30" s="114"/>
      <c r="F30" s="114"/>
      <c r="G30" s="114">
        <f ca="1">G1-H29</f>
        <v>3</v>
      </c>
      <c r="H30" s="114"/>
      <c r="I30" s="114"/>
      <c r="J30" s="114">
        <f ca="1">J1-K29</f>
        <v>13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D7BD-DE4B-491D-9CC5-76A49DE4B59F}">
  <dimension ref="A1:Q30"/>
  <sheetViews>
    <sheetView zoomScale="115" zoomScaleNormal="115" workbookViewId="0">
      <selection activeCell="L17" sqref="L17:L18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6.24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9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1722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63" t="s">
        <v>46</v>
      </c>
      <c r="J4" s="18">
        <f>IF(LEFT(I4,1)="跳",RIGHT(I4,LEN(I4)-1)*10,_xlfn.XLOOKUP(I4,$N$2:$N$27,$O$2:$O$27,0,0,1))*IF($L4="是",0.8,1)</f>
        <v>136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1640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3" t="s">
        <v>46</v>
      </c>
      <c r="J5" s="18">
        <f>IF(LEFT(I5,1)="跳",RIGHT(I5,LEN(I5)-1)*10,_xlfn.XLOOKUP(I5,$N$2:$N$27,$O$2:$O$27,0,0,1))*IF($L5="是",0.8,1)</f>
        <v>136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>IF(LEFT(F6,1)="跳",RIGHT(F6,LEN(F6)-1)*10,_xlfn.XLOOKUP(F6,$N$2:$N$27,$O$2:$O$27,0,0,1))*IF($L6="是",0.8,1)</f>
        <v>160</v>
      </c>
      <c r="H6" s="18">
        <f t="shared" si="1"/>
        <v>1</v>
      </c>
      <c r="I6" s="63" t="s">
        <v>46</v>
      </c>
      <c r="J6" s="18">
        <f t="shared" ref="J6:J28" si="3">IF(LEFT(I6,1)="跳",RIGHT(I6,LEN(I6)-1)*10,_xlfn.XLOOKUP(I6,$N$2:$N$27,$O$2:$O$27,0,0,1))*IF($L6="是",0.8,1)</f>
        <v>136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82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3" t="s">
        <v>46</v>
      </c>
      <c r="J7" s="18">
        <f t="shared" si="3"/>
        <v>136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63" t="s">
        <v>46</v>
      </c>
      <c r="J8" s="18">
        <f t="shared" si="3"/>
        <v>136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960</v>
      </c>
      <c r="H29">
        <f>SUM(H4:H28)</f>
        <v>6</v>
      </c>
      <c r="J29">
        <f>SUM(J4:J28)</f>
        <v>680</v>
      </c>
      <c r="K29">
        <f>SUM(K4:K28)</f>
        <v>5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3</v>
      </c>
      <c r="H30" s="114"/>
      <c r="I30" s="114"/>
      <c r="J30" s="114">
        <f ca="1">J1-K29</f>
        <v>13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4911-87EE-4A46-881B-F5CE8796658D}">
  <dimension ref="A1:Q30"/>
  <sheetViews>
    <sheetView zoomScale="115" zoomScaleNormal="115" workbookViewId="0">
      <selection activeCell="I4" sqref="I4:I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6.25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9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1682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107"/>
      <c r="G4" s="18">
        <f t="shared" ref="G4:G28" si="0">IF(LEFT(F4,1)="跳",RIGHT(F4,LEN(F4)-1)*10,_xlfn.XLOOKUP(F4,$N$2:$N$27,$O$2:$O$27,0,0,1))*IF($L4="是",0.8,1)</f>
        <v>0</v>
      </c>
      <c r="H4" s="18">
        <f>_xlfn.XLOOKUP(F4,$N$2:$N$27,$Q$2:$Q$27,0,0,1)</f>
        <v>0</v>
      </c>
      <c r="I4" s="68" t="s">
        <v>54</v>
      </c>
      <c r="J4" s="18">
        <f>IF(LEFT(I4,1)="跳",RIGHT(I4,LEN(I4)-1)*10,_xlfn.XLOOKUP(I4,$N$2:$N$27,$O$2:$O$27,0,0,1))*IF($L4="是",0.8,1)</f>
        <v>152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1188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107"/>
      <c r="G5" s="18">
        <f>IF(LEFT(F5,1)="跳",RIGHT(F5,LEN(F5)-1)*10,_xlfn.XLOOKUP(F5,$N$2:$N$27,$O$2:$O$27,0,0,1))*IF($L5="是",0.8,1)</f>
        <v>0</v>
      </c>
      <c r="H5" s="18">
        <f t="shared" ref="H5:H28" si="1">_xlfn.XLOOKUP(F5,$N$2:$N$27,$Q$2:$Q$27,0,0,1)</f>
        <v>0</v>
      </c>
      <c r="I5" s="68" t="s">
        <v>54</v>
      </c>
      <c r="J5" s="18">
        <f>IF(LEFT(I5,1)="跳",RIGHT(I5,LEN(I5)-1)*10,_xlfn.XLOOKUP(I5,$N$2:$N$27,$O$2:$O$27,0,0,1))*IF($L5="是",0.8,1)</f>
        <v>152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8" t="s">
        <v>54</v>
      </c>
      <c r="J6" s="18">
        <f t="shared" ref="J6:J28" si="3">IF(LEFT(I6,1)="跳",RIGHT(I6,LEN(I6)-1)*10,_xlfn.XLOOKUP(I6,$N$2:$N$27,$O$2:$O$27,0,0,1))*IF($L6="是",0.8,1)</f>
        <v>152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494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>IF(LEFT(F7,1)="跳",RIGHT(F7,LEN(F7)-1)*10,_xlfn.XLOOKUP(F7,$N$2:$N$27,$O$2:$O$27,0,0,1))*IF($L7="是",0.8,1)</f>
        <v>160</v>
      </c>
      <c r="H7" s="18">
        <f t="shared" si="1"/>
        <v>1</v>
      </c>
      <c r="I7" s="67" t="s">
        <v>52</v>
      </c>
      <c r="J7" s="18">
        <f>IF(LEFT(I7,1)="跳",RIGHT(I7,LEN(I7)-1)*10,_xlfn.XLOOKUP(I7,$N$2:$N$27,$O$2:$O$27,0,0,1))*IF($L7="是",0.8,1)-10</f>
        <v>-210</v>
      </c>
      <c r="K7" s="18">
        <f t="shared" si="2"/>
        <v>-1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>IF(LEFT(F8,1)="跳",RIGHT(F8,LEN(F8)-1)*10,_xlfn.XLOOKUP(F8,$N$2:$N$27,$O$2:$O$27,0,0,1))*IF($L8="是",0.8,1)</f>
        <v>160</v>
      </c>
      <c r="H8" s="18">
        <f t="shared" si="1"/>
        <v>1</v>
      </c>
      <c r="I8" s="107" t="s">
        <v>118</v>
      </c>
      <c r="J8" s="18">
        <f t="shared" si="3"/>
        <v>8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7" t="s">
        <v>52</v>
      </c>
      <c r="G9" s="18">
        <f>IF(LEFT(F9,1)="跳",RIGHT(F9,LEN(F9)-1)*10,_xlfn.XLOOKUP(F9,$N$2:$N$27,$O$2:$O$27,0,0,1))*IF($L9="是",0.8,1)-10</f>
        <v>-210</v>
      </c>
      <c r="H9" s="18">
        <f t="shared" si="1"/>
        <v>-1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68" t="s">
        <v>54</v>
      </c>
      <c r="J10" s="18">
        <f t="shared" si="3"/>
        <v>152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 t="shared" si="0"/>
        <v>160</v>
      </c>
      <c r="H11" s="18">
        <f t="shared" si="1"/>
        <v>1</v>
      </c>
      <c r="I11" s="52" t="s">
        <v>40</v>
      </c>
      <c r="J11" s="18">
        <f>IF(LEFT(I11,1)="跳",RIGHT(I11,LEN(I11)-1)*10,_xlfn.XLOOKUP(I11,$N$2:$N$27,$O$2:$O$27,0,0,1))*IF($L11="是",0.8,1)</f>
        <v>40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590</v>
      </c>
      <c r="H29">
        <f>SUM(H4:H28)</f>
        <v>4</v>
      </c>
      <c r="J29">
        <f>SUM(J4:J28)</f>
        <v>598</v>
      </c>
      <c r="K29">
        <f>SUM(K4:K28)</f>
        <v>5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5</v>
      </c>
      <c r="H30" s="114"/>
      <c r="I30" s="114"/>
      <c r="J30" s="114">
        <f ca="1">J1-K29</f>
        <v>13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AAF2-9DBA-4D53-8679-CBA5A85C3F06}">
  <dimension ref="A1:Q30"/>
  <sheetViews>
    <sheetView zoomScale="115" zoomScaleNormal="115" workbookViewId="0">
      <selection activeCell="I4" sqref="I4:I7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6.26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11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2094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107" t="s">
        <v>118</v>
      </c>
      <c r="J4" s="18">
        <f>IF(LEFT(I4,1)="跳",RIGHT(I4,LEN(I4)-1)*10,_xlfn.XLOOKUP(I4,$N$2:$N$27,$O$2:$O$27,0,0,1))*IF($L4="是",0.8,1)</f>
        <v>8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1392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73" t="s">
        <v>60</v>
      </c>
      <c r="J5" s="18">
        <f>IF(LEFT(I5,1)="跳",RIGHT(I5,LEN(I5)-1)*10,_xlfn.XLOOKUP(I5,$N$2:$N$27,$O$2:$O$27,0,0,1))*IF($L5="是",0.8,1)</f>
        <v>120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8" t="s">
        <v>54</v>
      </c>
      <c r="J6" s="18">
        <f t="shared" ref="J6:J28" si="3">IF(LEFT(I6,1)="跳",RIGHT(I6,LEN(I6)-1)*10,_xlfn.XLOOKUP(I6,$N$2:$N$27,$O$2:$O$27,0,0,1))*IF($L6="是",0.8,1)</f>
        <v>152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702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8" t="s">
        <v>54</v>
      </c>
      <c r="J7" s="18">
        <f t="shared" si="3"/>
        <v>152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>IF(LEFT(F10,1)="跳",RIGHT(F10,LEN(F10)-1)*10,_xlfn.XLOOKUP(F10,$N$2:$N$27,$O$2:$O$27,0,0,1))*IF($L10="是",0.8,1)</f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960</v>
      </c>
      <c r="H29">
        <f>SUM(H4:H28)</f>
        <v>6</v>
      </c>
      <c r="J29">
        <f>SUM(J4:J28)</f>
        <v>432</v>
      </c>
      <c r="K29">
        <f>SUM(K4:K28)</f>
        <v>3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5</v>
      </c>
      <c r="H30" s="114"/>
      <c r="I30" s="114"/>
      <c r="J30" s="114">
        <f ca="1">J1-K29</f>
        <v>15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E810-3C9A-432B-AA28-D863CF0813A4}">
  <dimension ref="A1:Q30"/>
  <sheetViews>
    <sheetView zoomScale="115" zoomScaleNormal="115" workbookViewId="0">
      <selection activeCell="F4" sqref="F4:F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6.27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11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2302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862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7" t="s">
        <v>52</v>
      </c>
      <c r="G6" s="18">
        <f>IF(LEFT(F6,1)="跳",RIGHT(F6,LEN(F6)-1)*10,_xlfn.XLOOKUP(F6,$N$2:$N$27,$O$2:$O$27,0,0,1))*IF($L6="是",0.8,1)-10</f>
        <v>-210</v>
      </c>
      <c r="H6" s="18">
        <f t="shared" si="1"/>
        <v>-1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1440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8" t="s">
        <v>54</v>
      </c>
      <c r="G7" s="18">
        <f t="shared" si="0"/>
        <v>152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8" t="s">
        <v>54</v>
      </c>
      <c r="G8" s="18">
        <f t="shared" si="0"/>
        <v>152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8" t="s">
        <v>54</v>
      </c>
      <c r="G9" s="18">
        <f t="shared" si="0"/>
        <v>152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8" t="s">
        <v>54</v>
      </c>
      <c r="G10" s="18">
        <f t="shared" si="0"/>
        <v>152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8" t="s">
        <v>54</v>
      </c>
      <c r="G11" s="18">
        <f t="shared" si="0"/>
        <v>152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862</v>
      </c>
      <c r="H29">
        <f>SUM(H4:H28)</f>
        <v>6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5</v>
      </c>
      <c r="H30" s="114"/>
      <c r="I30" s="114"/>
      <c r="J30" s="114">
        <f ca="1">J1-K29</f>
        <v>18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FEDD-850B-4FF6-9EAB-0CA331EC97C5}">
  <dimension ref="A1:Q30"/>
  <sheetViews>
    <sheetView zoomScale="115" zoomScaleNormal="115" workbookViewId="0">
      <selection activeCell="I7" sqref="I7:I13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6.28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11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3040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1832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1208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8" t="s">
        <v>54</v>
      </c>
      <c r="G7" s="18">
        <f t="shared" si="0"/>
        <v>152</v>
      </c>
      <c r="H7" s="18">
        <f t="shared" si="1"/>
        <v>1</v>
      </c>
      <c r="I7" s="107" t="s">
        <v>125</v>
      </c>
      <c r="J7" s="18">
        <f t="shared" si="3"/>
        <v>40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8" t="s">
        <v>54</v>
      </c>
      <c r="G8" s="18">
        <f t="shared" si="0"/>
        <v>152</v>
      </c>
      <c r="H8" s="18">
        <f t="shared" si="1"/>
        <v>1</v>
      </c>
      <c r="I8" s="65" t="s">
        <v>51</v>
      </c>
      <c r="J8" s="18">
        <f t="shared" si="3"/>
        <v>144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8" t="s">
        <v>54</v>
      </c>
      <c r="G9" s="18">
        <f t="shared" si="0"/>
        <v>152</v>
      </c>
      <c r="H9" s="18">
        <f t="shared" si="1"/>
        <v>1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68" t="s">
        <v>54</v>
      </c>
      <c r="J10" s="18">
        <f t="shared" si="3"/>
        <v>152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65" t="s">
        <v>51</v>
      </c>
      <c r="J11" s="18">
        <f>IF(LEFT(I11,1)="跳",RIGHT(I11,LEN(I11)-1)*10,_xlfn.XLOOKUP(I11,$N$2:$N$27,$O$2:$O$27,0,0,1))*IF($L11="是",0.8,1)</f>
        <v>144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65" t="s">
        <v>51</v>
      </c>
      <c r="J12" s="18">
        <f t="shared" si="3"/>
        <v>144</v>
      </c>
      <c r="K12" s="18">
        <f t="shared" si="2"/>
        <v>1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65" t="s">
        <v>51</v>
      </c>
      <c r="J13" s="18">
        <f t="shared" si="3"/>
        <v>144</v>
      </c>
      <c r="K13" s="18">
        <f t="shared" si="2"/>
        <v>1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912</v>
      </c>
      <c r="H29">
        <f>SUM(H4:H28)</f>
        <v>6</v>
      </c>
      <c r="J29">
        <f>SUM(J4:J28)</f>
        <v>920</v>
      </c>
      <c r="K29">
        <f>SUM(K4:K28)</f>
        <v>6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5</v>
      </c>
      <c r="H30" s="114"/>
      <c r="I30" s="114"/>
      <c r="J30" s="114">
        <f ca="1">J1-K29</f>
        <v>12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B906-3033-4E3B-B27C-06EF67BA759D}">
  <dimension ref="A1:Q30"/>
  <sheetViews>
    <sheetView zoomScale="115" zoomScaleNormal="115" workbookViewId="0">
      <selection activeCell="I4" sqref="I4:I10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6.29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11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2808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68" t="s">
        <v>54</v>
      </c>
      <c r="J4" s="18">
        <f>IF(LEFT(I4,1)="跳",RIGHT(I4,LEN(I4)-1)*10,_xlfn.XLOOKUP(I4,$N$2:$N$27,$O$2:$O$27,0,0,1))*IF($L4="是",0.8,1)</f>
        <v>152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1816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68" t="s">
        <v>54</v>
      </c>
      <c r="J5" s="18">
        <f>IF(LEFT(I5,1)="跳",RIGHT(I5,LEN(I5)-1)*10,_xlfn.XLOOKUP(I5,$N$2:$N$27,$O$2:$O$27,0,0,1))*IF($L5="是",0.8,1)</f>
        <v>152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65" t="s">
        <v>51</v>
      </c>
      <c r="J6" s="18">
        <f t="shared" ref="J6:J28" si="3">IF(LEFT(I6,1)="跳",RIGHT(I6,LEN(I6)-1)*10,_xlfn.XLOOKUP(I6,$N$2:$N$27,$O$2:$O$27,0,0,1))*IF($L6="是",0.8,1)</f>
        <v>144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992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8" t="s">
        <v>54</v>
      </c>
      <c r="G7" s="18">
        <f t="shared" si="0"/>
        <v>152</v>
      </c>
      <c r="H7" s="18">
        <f t="shared" si="1"/>
        <v>1</v>
      </c>
      <c r="I7" s="65" t="s">
        <v>51</v>
      </c>
      <c r="J7" s="18">
        <f t="shared" si="3"/>
        <v>144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8" t="s">
        <v>54</v>
      </c>
      <c r="G8" s="18">
        <f t="shared" si="0"/>
        <v>152</v>
      </c>
      <c r="H8" s="18">
        <f t="shared" si="1"/>
        <v>1</v>
      </c>
      <c r="I8" s="68" t="s">
        <v>54</v>
      </c>
      <c r="J8" s="18">
        <f t="shared" si="3"/>
        <v>152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920</v>
      </c>
      <c r="H29">
        <f>SUM(H4:H28)</f>
        <v>6</v>
      </c>
      <c r="J29">
        <f>SUM(J4:J28)</f>
        <v>896</v>
      </c>
      <c r="K29">
        <f>SUM(K4:K28)</f>
        <v>6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5</v>
      </c>
      <c r="H30" s="114"/>
      <c r="I30" s="114"/>
      <c r="J30" s="114">
        <f ca="1">J1-K29</f>
        <v>12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DCE1-4ABE-4489-85D7-4E7C492A0689}">
  <dimension ref="A1:Q30"/>
  <sheetViews>
    <sheetView zoomScale="115" zoomScaleNormal="115" workbookViewId="0">
      <selection activeCell="I4" sqref="I4:I12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6.3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11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2592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136" t="s">
        <v>118</v>
      </c>
      <c r="G4" s="18">
        <f t="shared" ref="G4:G28" si="0">IF(LEFT(F4,1)="跳",RIGHT(F4,LEN(F4)-1)*10,_xlfn.XLOOKUP(F4,$N$2:$N$27,$O$2:$O$27,0,0,1))*IF($L4="是",0.8,1)</f>
        <v>8</v>
      </c>
      <c r="H4" s="18">
        <f>_xlfn.XLOOKUP(F4,$N$2:$N$27,$Q$2:$Q$27,0,0,1)</f>
        <v>0</v>
      </c>
      <c r="I4" s="65" t="s">
        <v>51</v>
      </c>
      <c r="J4" s="18">
        <f>IF(LEFT(I4,1)="跳",RIGHT(I4,LEN(I4)-1)*10,_xlfn.XLOOKUP(I4,$N$2:$N$27,$O$2:$O$27,0,0,1))*IF($L4="是",0.8,1)</f>
        <v>144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2190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7" t="s">
        <v>52</v>
      </c>
      <c r="J5" s="18">
        <f>IF(LEFT(I5,1)="跳",RIGHT(I5,LEN(I5)-1)*10,_xlfn.XLOOKUP(I5,$N$2:$N$27,$O$2:$O$27,0,0,1))*IF($L5="是",0.8,1)-10</f>
        <v>-210</v>
      </c>
      <c r="K5" s="18">
        <f t="shared" ref="K5:K28" si="2">_xlfn.XLOOKUP(I5,$N$2:$N$27,$Q$2:$Q$27,0,0,1)</f>
        <v>-1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8" t="s">
        <v>54</v>
      </c>
      <c r="J6" s="18">
        <f t="shared" ref="J6:J28" si="3">IF(LEFT(I6,1)="跳",RIGHT(I6,LEN(I6)-1)*10,_xlfn.XLOOKUP(I6,$N$2:$N$27,$O$2:$O$27,0,0,1))*IF($L6="是",0.8,1)</f>
        <v>152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402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8" t="s">
        <v>54</v>
      </c>
      <c r="J7" s="18">
        <f t="shared" si="3"/>
        <v>152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34" t="s">
        <v>125</v>
      </c>
      <c r="J8" s="18">
        <f t="shared" si="3"/>
        <v>40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5" t="s">
        <v>51</v>
      </c>
      <c r="J9" s="18">
        <f t="shared" si="3"/>
        <v>144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34" t="s">
        <v>125</v>
      </c>
      <c r="G10" s="18">
        <f t="shared" si="0"/>
        <v>40</v>
      </c>
      <c r="H10" s="18">
        <f t="shared" si="1"/>
        <v>0</v>
      </c>
      <c r="I10" s="65" t="s">
        <v>51</v>
      </c>
      <c r="J10" s="18">
        <f t="shared" si="3"/>
        <v>144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 t="shared" si="0"/>
        <v>160</v>
      </c>
      <c r="H11" s="18">
        <f t="shared" si="1"/>
        <v>1</v>
      </c>
      <c r="I11" s="65" t="s">
        <v>51</v>
      </c>
      <c r="J11" s="18">
        <f>IF(LEFT(I11,1)="跳",RIGHT(I11,LEN(I11)-1)*10,_xlfn.XLOOKUP(I11,$N$2:$N$27,$O$2:$O$27,0,0,1))*IF($L11="是",0.8,1)</f>
        <v>144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69" t="s">
        <v>55</v>
      </c>
      <c r="G12" s="18">
        <f t="shared" si="0"/>
        <v>160</v>
      </c>
      <c r="H12" s="18">
        <f t="shared" si="1"/>
        <v>1</v>
      </c>
      <c r="I12" s="68" t="s">
        <v>54</v>
      </c>
      <c r="J12" s="18">
        <f t="shared" si="3"/>
        <v>152</v>
      </c>
      <c r="K12" s="18">
        <f t="shared" si="2"/>
        <v>1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69" t="s">
        <v>55</v>
      </c>
      <c r="G13" s="18">
        <f t="shared" si="0"/>
        <v>160</v>
      </c>
      <c r="H13" s="18">
        <f t="shared" si="1"/>
        <v>1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1328</v>
      </c>
      <c r="H29">
        <f>SUM(H4:H28)</f>
        <v>8</v>
      </c>
      <c r="J29">
        <f>SUM(J4:J28)</f>
        <v>862</v>
      </c>
      <c r="K29">
        <f>SUM(K4:K28)</f>
        <v>6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3</v>
      </c>
      <c r="H30" s="114"/>
      <c r="I30" s="114"/>
      <c r="J30" s="114">
        <f ca="1">J1-K29</f>
        <v>12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33DB-32F9-4AC1-9B7C-E306605E4211}">
  <dimension ref="A1:Q30"/>
  <sheetViews>
    <sheetView tabSelected="1" zoomScale="115" zoomScaleNormal="115" workbookViewId="0">
      <selection activeCell="I4" sqref="I4:I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6.31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9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4" t="s">
        <v>101</v>
      </c>
      <c r="D2" s="165"/>
      <c r="E2" s="166"/>
      <c r="F2" s="164" t="s">
        <v>102</v>
      </c>
      <c r="G2" s="165"/>
      <c r="H2" s="166"/>
      <c r="I2" s="164" t="s">
        <v>103</v>
      </c>
      <c r="J2" s="167"/>
      <c r="K2" s="168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2002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65" t="s">
        <v>51</v>
      </c>
      <c r="J4" s="18">
        <f>IF(LEFT(I4,1)="跳",RIGHT(I4,LEN(I4)-1)*10,_xlfn.XLOOKUP(I4,$N$2:$N$27,$O$2:$O$27,0,0,1))*IF($L4="是",0.8,1)</f>
        <v>144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1412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5" t="s">
        <v>51</v>
      </c>
      <c r="J5" s="18">
        <f>IF(LEFT(I5,1)="跳",RIGHT(I5,LEN(I5)-1)*10,_xlfn.XLOOKUP(I5,$N$2:$N$27,$O$2:$O$27,0,0,1))*IF($L5="是",0.8,1)</f>
        <v>144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5" t="s">
        <v>51</v>
      </c>
      <c r="J6" s="18">
        <f t="shared" ref="J6:J28" si="3">IF(LEFT(I6,1)="跳",RIGHT(I6,LEN(I6)-1)*10,_xlfn.XLOOKUP(I6,$N$2:$N$27,$O$2:$O$27,0,0,1))*IF($L6="是",0.8,1)</f>
        <v>144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590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5" t="s">
        <v>51</v>
      </c>
      <c r="J7" s="18">
        <f t="shared" si="3"/>
        <v>144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68" t="s">
        <v>54</v>
      </c>
      <c r="J8" s="18">
        <f t="shared" si="3"/>
        <v>152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5" t="s">
        <v>51</v>
      </c>
      <c r="J9" s="18">
        <f t="shared" si="3"/>
        <v>144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7" t="s">
        <v>52</v>
      </c>
      <c r="G10" s="18">
        <f>IF(LEFT(F10,1)="跳",RIGHT(F10,LEN(F10)-1)*10,_xlfn.XLOOKUP(F10,$N$2:$N$27,$O$2:$O$27,0,0,1))*IF($L10="是",0.8,1)-10</f>
        <v>-210</v>
      </c>
      <c r="H10" s="18">
        <f t="shared" si="1"/>
        <v>-1</v>
      </c>
      <c r="I10" s="67" t="s">
        <v>52</v>
      </c>
      <c r="J10" s="18">
        <f>IF(LEFT(I10,1)="跳",RIGHT(I10,LEN(I10)-1)*10,_xlfn.XLOOKUP(I10,$N$2:$N$27,$O$2:$O$27,0,0,1))*IF($L10="是",0.8,1)-10</f>
        <v>-210</v>
      </c>
      <c r="K10" s="18">
        <f t="shared" si="2"/>
        <v>-1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750</v>
      </c>
      <c r="H29">
        <f>SUM(H4:H28)</f>
        <v>5</v>
      </c>
      <c r="J29">
        <f>SUM(J4:J28)</f>
        <v>662</v>
      </c>
      <c r="K29">
        <f>SUM(K4:K28)</f>
        <v>5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4</v>
      </c>
      <c r="H30" s="114"/>
      <c r="I30" s="114"/>
      <c r="J30" s="114">
        <f ca="1">J1-K29</f>
        <v>13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2:Z94"/>
  <sheetViews>
    <sheetView workbookViewId="0">
      <selection activeCell="R13" sqref="R13"/>
    </sheetView>
  </sheetViews>
  <sheetFormatPr defaultColWidth="9" defaultRowHeight="15"/>
  <cols>
    <col min="26" max="26" width="10.5703125" customWidth="1"/>
  </cols>
  <sheetData>
    <row r="2" spans="1:26">
      <c r="A2" s="171" t="s">
        <v>92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2" t="s">
        <v>3</v>
      </c>
      <c r="L2" s="2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4" t="s">
        <v>7</v>
      </c>
      <c r="T2" s="3">
        <f>COUNTIF(Q4:X94,"&lt;&gt;空")</f>
        <v>728</v>
      </c>
      <c r="U2" s="169" t="s">
        <v>4</v>
      </c>
      <c r="V2" s="169"/>
      <c r="W2" s="169"/>
      <c r="X2" s="170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150</v>
      </c>
      <c r="H4" s="12">
        <f>IF(ISNUMBER(SEARCH("营",main!P4)),(-$Y4+50*IF(main!$AK4="是",main!$BB$4,main!$BB$3)),(VLOOKUP(main!P4,main!$AO$4:$AQ$55,2,FALSE))*IF(main!$AK4="是",main!$BB$4,main!$BB$3))</f>
        <v>150</v>
      </c>
      <c r="I4" s="12">
        <f>IF(ISNUMBER(SEARCH("营",main!Q4)),(-$Y4+50*IF(main!$AK4="是",main!$BB$4,main!$BB$3)),(VLOOKUP(main!Q4,main!$AO$4:$AQ$55,2,FALSE))*IF(main!$AK4="是",main!$BB$4,main!$BB$3))</f>
        <v>50</v>
      </c>
      <c r="J4" s="12">
        <f>IF(ISNUMBER(SEARCH("营",main!R4)),(-$Y4+50*IF(main!$AK4="是",main!$BB$4,main!$BB$3)),(VLOOKUP(main!R4,main!$AO$4:$AQ$55,2,FALSE))*IF(main!$AK4="是",main!$BB$4,main!$BB$3))</f>
        <v>50</v>
      </c>
      <c r="K4" s="12">
        <f>IF(ISNUMBER(SEARCH("营",main!S4)),(-$Y4+50*IF(main!$AK4="是",main!$BB$4,main!$BB$3)),(VLOOKUP(main!S4,main!$AO$4:$AQ$55,2,FALSE))*IF(main!$AK4="是",main!$BB$4,main!$BB$3))</f>
        <v>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50</v>
      </c>
      <c r="N4" s="12">
        <f>IF(ISNUMBER(SEARCH("营",main!V4)),(-$Y4+50*IF(main!$AK4="是",main!$BB$4,main!$BB$3)),(VLOOKUP(main!V4,main!$AO$4:$AQ$55,2,FALSE))*IF(main!$AK4="是",main!$BB$4,main!$BB$3))</f>
        <v>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170</v>
      </c>
      <c r="R4" s="12">
        <f>IF(ISNUMBER(SEARCH("营",main!Z4)),(-$Y4+50*IF(main!$AK4="是",main!$BB$4,main!$BB$3)),(VLOOKUP(main!Z4,main!$AO$4:$AQ$55,2,FALSE))*IF(main!$AK4="是",main!$BB$4,main!$BB$3))</f>
        <v>170</v>
      </c>
      <c r="S4" s="12">
        <f>IF(ISNUMBER(SEARCH("营",main!AA4)),(-$Y4+50*IF(main!$AK4="是",main!$BB$4,main!$BB$3)),(VLOOKUP(main!AA4,main!$AO$4:$AQ$55,2,FALSE))*IF(main!$AK4="是",main!$BB$4,main!$BB$3))</f>
        <v>170</v>
      </c>
      <c r="T4" s="12">
        <f>IF(ISNUMBER(SEARCH("营",main!AB4)),(-$Y4+50*IF(main!$AK4="是",main!$BB$4,main!$BB$3)),(VLOOKUP(main!AB4,main!$AO$4:$AQ$55,2,FALSE))*IF(main!$AK4="是",main!$BB$4,main!$BB$3))</f>
        <v>170</v>
      </c>
      <c r="U4" s="12">
        <f>IF(ISNUMBER(SEARCH("营",main!AC4)),(-$Y4+50*IF(main!$AK4="是",main!$BB$4,main!$BB$3)),(VLOOKUP(main!AC4,main!$AO$4:$AQ$55,2,FALSE))*IF(main!$AK4="是",main!$BB$4,main!$BB$3))</f>
        <v>170</v>
      </c>
      <c r="V4" s="12">
        <f>IF(ISNUMBER(SEARCH("营",main!AD4)),(-$Y4+50*IF(main!$AK4="是",main!$BB$4,main!$BB$3)),(VLOOKUP(main!AD4,main!$AO$4:$AQ$55,2,FALSE))*IF(main!$AK4="是",main!$BB$4,main!$BB$3))</f>
        <v>170</v>
      </c>
      <c r="W4" s="12">
        <f>IF(ISNUMBER(SEARCH("营",main!AE4)),(-$Y4+50*IF(main!$AK4="是",main!$BB$4,main!$BB$3)),(VLOOKUP(main!AE4,main!$AO$4:$AQ$55,2,FALSE))*IF(main!$AK4="是",main!$BB$4,main!$BB$3))</f>
        <v>170</v>
      </c>
      <c r="X4" s="12">
        <f>IF(ISNUMBER(SEARCH("营",main!AF4)),(-$Y4+50*IF(main!$AK4="是",main!$BB$4,main!$BB$3)),(VLOOKUP(main!AF4,main!$AO$4:$AQ$55,2,FALSE))*IF(main!$AK4="是",main!$BB$4,main!$BB$3))</f>
        <v>170</v>
      </c>
      <c r="Y4" s="14">
        <v>300</v>
      </c>
      <c r="Z4" s="15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150</v>
      </c>
      <c r="B5" s="12">
        <f>IF(ISNUMBER(SEARCH("营",main!J5)),(-$Y5+50*IF(main!$AK5="是",main!$BB$4,main!$BB$3)),(VLOOKUP(main!J5,main!$AO$4:$AQ$55,2,FALSE))*IF(main!$AK5="是",main!$BB$4,main!$BB$3))</f>
        <v>150</v>
      </c>
      <c r="C5" s="12">
        <f>IF(ISNUMBER(SEARCH("营",main!K5)),(-$Y5+50*IF(main!$AK5="是",main!$BB$4,main!$BB$3)),(VLOOKUP(main!K5,main!$AO$4:$AQ$55,2,FALSE))*IF(main!$AK5="是",main!$BB$4,main!$BB$3))</f>
        <v>150</v>
      </c>
      <c r="D5" s="12">
        <f>IF(ISNUMBER(SEARCH("营",main!L5)),(-$Y5+50*IF(main!$AK5="是",main!$BB$4,main!$BB$3)),(VLOOKUP(main!L5,main!$AO$4:$AQ$55,2,FALSE))*IF(main!$AK5="是",main!$BB$4,main!$BB$3))</f>
        <v>150</v>
      </c>
      <c r="E5" s="12">
        <f>IF(ISNUMBER(SEARCH("营",main!M5)),(-$Y5+50*IF(main!$AK5="是",main!$BB$4,main!$BB$3)),(VLOOKUP(main!M5,main!$AO$4:$AQ$55,2,FALSE))*IF(main!$AK5="是",main!$BB$4,main!$BB$3))</f>
        <v>150</v>
      </c>
      <c r="F5" s="12">
        <f>IF(ISNUMBER(SEARCH("营",main!N5)),(-$Y5+50*IF(main!$AK5="是",main!$BB$4,main!$BB$3)),(VLOOKUP(main!N5,main!$AO$4:$AQ$55,2,FALSE))*IF(main!$AK5="是",main!$BB$4,main!$BB$3))</f>
        <v>150</v>
      </c>
      <c r="G5" s="12">
        <f>IF(ISNUMBER(SEARCH("营",main!O5)),(-$Y5+50*IF(main!$AK5="是",main!$BB$4,main!$BB$3)),(VLOOKUP(main!O5,main!$AO$4:$AQ$55,2,FALSE))*IF(main!$AK5="是",main!$BB$4,main!$BB$3))</f>
        <v>150</v>
      </c>
      <c r="H5" s="12">
        <f>IF(ISNUMBER(SEARCH("营",main!P5)),(-$Y5+50*IF(main!$AK5="是",main!$BB$4,main!$BB$3)),(VLOOKUP(main!P5,main!$AO$4:$AQ$55,2,FALSE))*IF(main!$AK5="是",main!$BB$4,main!$BB$3))</f>
        <v>150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-250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170</v>
      </c>
      <c r="R5" s="12">
        <f>IF(ISNUMBER(SEARCH("营",main!Z5)),(-$Y5+50*IF(main!$AK5="是",main!$BB$4,main!$BB$3)),(VLOOKUP(main!Z5,main!$AO$4:$AQ$55,2,FALSE))*IF(main!$AK5="是",main!$BB$4,main!$BB$3))</f>
        <v>170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170</v>
      </c>
      <c r="W5" s="12">
        <f>IF(ISNUMBER(SEARCH("营",main!AE5)),(-$Y5+50*IF(main!$AK5="是",main!$BB$4,main!$BB$3)),(VLOOKUP(main!AE5,main!$AO$4:$AQ$55,2,FALSE))*IF(main!$AK5="是",main!$BB$4,main!$BB$3))</f>
        <v>170</v>
      </c>
      <c r="X5" s="12">
        <f>IF(ISNUMBER(SEARCH("营",main!AF5)),(-$Y5+50*IF(main!$AK5="是",main!$BB$4,main!$BB$3)),(VLOOKUP(main!AF5,main!$AO$4:$AQ$55,2,FALSE))*IF(main!$AK5="是",main!$BB$4,main!$BB$3))</f>
        <v>170</v>
      </c>
      <c r="Y5" s="14">
        <v>300</v>
      </c>
      <c r="Z5" s="15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160</v>
      </c>
      <c r="B6" s="12">
        <f>IF(ISNUMBER(SEARCH("营",main!J6)),(-$Y6+50*IF(main!$AK6="是",main!$BB$4,main!$BB$3)),(VLOOKUP(main!J6,main!$AO$4:$AQ$55,2,FALSE))*IF(main!$AK6="是",main!$BB$4,main!$BB$3))</f>
        <v>160</v>
      </c>
      <c r="C6" s="12">
        <f>IF(ISNUMBER(SEARCH("营",main!K6)),(-$Y6+50*IF(main!$AK6="是",main!$BB$4,main!$BB$3)),(VLOOKUP(main!K6,main!$AO$4:$AQ$55,2,FALSE))*IF(main!$AK6="是",main!$BB$4,main!$BB$3))</f>
        <v>160</v>
      </c>
      <c r="D6" s="12">
        <f>IF(ISNUMBER(SEARCH("营",main!L6)),(-$Y6+50*IF(main!$AK6="是",main!$BB$4,main!$BB$3)),(VLOOKUP(main!L6,main!$AO$4:$AQ$55,2,FALSE))*IF(main!$AK6="是",main!$BB$4,main!$BB$3))</f>
        <v>160</v>
      </c>
      <c r="E6" s="12">
        <f>IF(ISNUMBER(SEARCH("营",main!M6)),(-$Y6+50*IF(main!$AK6="是",main!$BB$4,main!$BB$3)),(VLOOKUP(main!M6,main!$AO$4:$AQ$55,2,FALSE))*IF(main!$AK6="是",main!$BB$4,main!$BB$3))</f>
        <v>160</v>
      </c>
      <c r="F6" s="12">
        <f>IF(ISNUMBER(SEARCH("营",main!N6)),(-$Y6+50*IF(main!$AK6="是",main!$BB$4,main!$BB$3)),(VLOOKUP(main!N6,main!$AO$4:$AQ$55,2,FALSE))*IF(main!$AK6="是",main!$BB$4,main!$BB$3))</f>
        <v>160</v>
      </c>
      <c r="G6" s="12">
        <f>IF(ISNUMBER(SEARCH("营",main!O6)),(-$Y6+50*IF(main!$AK6="是",main!$BB$4,main!$BB$3)),(VLOOKUP(main!O6,main!$AO$4:$AQ$55,2,FALSE))*IF(main!$AK6="是",main!$BB$4,main!$BB$3))</f>
        <v>160</v>
      </c>
      <c r="H6" s="12">
        <f>IF(ISNUMBER(SEARCH("营",main!P6)),(-$Y6+50*IF(main!$AK6="是",main!$BB$4,main!$BB$3)),(VLOOKUP(main!P6,main!$AO$4:$AQ$55,2,FALSE))*IF(main!$AK6="是",main!$BB$4,main!$BB$3))</f>
        <v>160</v>
      </c>
      <c r="I6" s="12">
        <f>IF(ISNUMBER(SEARCH("营",main!Q6)),(-$Y6+50*IF(main!$AK6="是",main!$BB$4,main!$BB$3)),(VLOOKUP(main!Q6,main!$AO$4:$AQ$55,2,FALSE))*IF(main!$AK6="是",main!$BB$4,main!$BB$3))</f>
        <v>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150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170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170</v>
      </c>
      <c r="W6" s="12">
        <f>IF(ISNUMBER(SEARCH("营",main!AE6)),(-$Y6+50*IF(main!$AK6="是",main!$BB$4,main!$BB$3)),(VLOOKUP(main!AE6,main!$AO$4:$AQ$55,2,FALSE))*IF(main!$AK6="是",main!$BB$4,main!$BB$3))</f>
        <v>170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160</v>
      </c>
      <c r="B7" s="12">
        <f>IF(ISNUMBER(SEARCH("营",main!J7)),(-$Y7+50*IF(main!$AK7="是",main!$BB$4,main!$BB$3)),(VLOOKUP(main!J7,main!$AO$4:$AQ$55,2,FALSE))*IF(main!$AK7="是",main!$BB$4,main!$BB$3))</f>
        <v>160</v>
      </c>
      <c r="C7" s="12">
        <f>IF(ISNUMBER(SEARCH("营",main!K7)),(-$Y7+50*IF(main!$AK7="是",main!$BB$4,main!$BB$3)),(VLOOKUP(main!K7,main!$AO$4:$AQ$55,2,FALSE))*IF(main!$AK7="是",main!$BB$4,main!$BB$3))</f>
        <v>160</v>
      </c>
      <c r="D7" s="12">
        <f>IF(ISNUMBER(SEARCH("营",main!L7)),(-$Y7+50*IF(main!$AK7="是",main!$BB$4,main!$BB$3)),(VLOOKUP(main!L7,main!$AO$4:$AQ$55,2,FALSE))*IF(main!$AK7="是",main!$BB$4,main!$BB$3))</f>
        <v>160</v>
      </c>
      <c r="E7" s="12">
        <f>IF(ISNUMBER(SEARCH("营",main!M7)),(-$Y7+50*IF(main!$AK7="是",main!$BB$4,main!$BB$3)),(VLOOKUP(main!M7,main!$AO$4:$AQ$55,2,FALSE))*IF(main!$AK7="是",main!$BB$4,main!$BB$3))</f>
        <v>160</v>
      </c>
      <c r="F7" s="12">
        <f>IF(ISNUMBER(SEARCH("营",main!N7)),(-$Y7+50*IF(main!$AK7="是",main!$BB$4,main!$BB$3)),(VLOOKUP(main!N7,main!$AO$4:$AQ$55,2,FALSE))*IF(main!$AK7="是",main!$BB$4,main!$BB$3))</f>
        <v>160</v>
      </c>
      <c r="G7" s="12">
        <f>IF(ISNUMBER(SEARCH("营",main!O7)),(-$Y7+50*IF(main!$AK7="是",main!$BB$4,main!$BB$3)),(VLOOKUP(main!O7,main!$AO$4:$AQ$55,2,FALSE))*IF(main!$AK7="是",main!$BB$4,main!$BB$3))</f>
        <v>160</v>
      </c>
      <c r="H7" s="12">
        <f>IF(ISNUMBER(SEARCH("营",main!P7)),(-$Y7+50*IF(main!$AK7="是",main!$BB$4,main!$BB$3)),(VLOOKUP(main!P7,main!$AO$4:$AQ$55,2,FALSE))*IF(main!$AK7="是",main!$BB$4,main!$BB$3))</f>
        <v>160</v>
      </c>
      <c r="I7" s="12">
        <f>IF(ISNUMBER(SEARCH("营",main!Q7)),(-$Y7+50*IF(main!$AK7="是",main!$BB$4,main!$BB$3)),(VLOOKUP(main!Q7,main!$AO$4:$AQ$55,2,FALSE))*IF(main!$AK7="是",main!$BB$4,main!$BB$3))</f>
        <v>50</v>
      </c>
      <c r="J7" s="12">
        <f>IF(ISNUMBER(SEARCH("营",main!R7)),(-$Y7+50*IF(main!$AK7="是",main!$BB$4,main!$BB$3)),(VLOOKUP(main!R7,main!$AO$4:$AQ$55,2,FALSE))*IF(main!$AK7="是",main!$BB$4,main!$BB$3))</f>
        <v>50</v>
      </c>
      <c r="K7" s="12">
        <f>IF(ISNUMBER(SEARCH("营",main!S7)),(-$Y7+50*IF(main!$AK7="是",main!$BB$4,main!$BB$3)),(VLOOKUP(main!S7,main!$AO$4:$AQ$55,2,FALSE))*IF(main!$AK7="是",main!$BB$4,main!$BB$3))</f>
        <v>50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50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160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-250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170</v>
      </c>
      <c r="Y8" s="14">
        <v>300</v>
      </c>
      <c r="Z8" s="15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190</v>
      </c>
      <c r="R9" s="12">
        <f>IF(ISNUMBER(SEARCH("营",main!Z9)),(-$Y9+50*IF(main!$AK9="是",main!$BB$4,main!$BB$3)),(VLOOKUP(main!Z9,main!$AO$4:$AQ$55,2,FALSE))*IF(main!$AK9="是",main!$BB$4,main!$BB$3))</f>
        <v>190</v>
      </c>
      <c r="S9" s="12">
        <f>IF(ISNUMBER(SEARCH("营",main!AA9)),(-$Y9+50*IF(main!$AK9="是",main!$BB$4,main!$BB$3)),(VLOOKUP(main!AA9,main!$AO$4:$AQ$55,2,FALSE))*IF(main!$AK9="是",main!$BB$4,main!$BB$3))</f>
        <v>190</v>
      </c>
      <c r="T9" s="12">
        <f>IF(ISNUMBER(SEARCH("营",main!AB9)),(-$Y9+50*IF(main!$AK9="是",main!$BB$4,main!$BB$3)),(VLOOKUP(main!AB9,main!$AO$4:$AQ$55,2,FALSE))*IF(main!$AK9="是",main!$BB$4,main!$BB$3))</f>
        <v>190</v>
      </c>
      <c r="U9" s="12">
        <f>IF(ISNUMBER(SEARCH("营",main!AC9)),(-$Y9+50*IF(main!$AK9="是",main!$BB$4,main!$BB$3)),(VLOOKUP(main!AC9,main!$AO$4:$AQ$55,2,FALSE))*IF(main!$AK9="是",main!$BB$4,main!$BB$3))</f>
        <v>190</v>
      </c>
      <c r="V9" s="12">
        <f>IF(ISNUMBER(SEARCH("营",main!AD9)),(-$Y9+50*IF(main!$AK9="是",main!$BB$4,main!$BB$3)),(VLOOKUP(main!AD9,main!$AO$4:$AQ$55,2,FALSE))*IF(main!$AK9="是",main!$BB$4,main!$BB$3))</f>
        <v>190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250</v>
      </c>
      <c r="J10" s="12">
        <f>IF(ISNUMBER(SEARCH("营",main!R10)),(-$Y10+50*IF(main!$AK10="是",main!$BB$4,main!$BB$3)),(VLOOKUP(main!R10,main!$AO$4:$AQ$55,2,FALSE))*IF(main!$AK10="是",main!$BB$4,main!$BB$3))</f>
        <v>250</v>
      </c>
      <c r="K10" s="12">
        <f>IF(ISNUMBER(SEARCH("营",main!S10)),(-$Y10+50*IF(main!$AK10="是",main!$BB$4,main!$BB$3)),(VLOOKUP(main!S10,main!$AO$4:$AQ$55,2,FALSE))*IF(main!$AK10="是",main!$BB$4,main!$BB$3))</f>
        <v>250</v>
      </c>
      <c r="L10" s="12">
        <f>IF(ISNUMBER(SEARCH("营",main!T10)),(-$Y10+50*IF(main!$AK10="是",main!$BB$4,main!$BB$3)),(VLOOKUP(main!T10,main!$AO$4:$AQ$55,2,FALSE))*IF(main!$AK10="是",main!$BB$4,main!$BB$3))</f>
        <v>50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0</v>
      </c>
      <c r="R10" s="12">
        <f>IF(ISNUMBER(SEARCH("营",main!Z10)),(-$Y10+50*IF(main!$AK10="是",main!$BB$4,main!$BB$3)),(VLOOKUP(main!Z10,main!$AO$4:$AQ$55,2,FALSE))*IF(main!$AK10="是",main!$BB$4,main!$BB$3))</f>
        <v>0</v>
      </c>
      <c r="S10" s="12">
        <f>IF(ISNUMBER(SEARCH("营",main!AA10)),(-$Y10+50*IF(main!$AK10="是",main!$BB$4,main!$BB$3)),(VLOOKUP(main!AA10,main!$AO$4:$AQ$55,2,FALSE))*IF(main!$AK10="是",main!$BB$4,main!$BB$3))</f>
        <v>0</v>
      </c>
      <c r="T10" s="12">
        <f>IF(ISNUMBER(SEARCH("营",main!AB10)),(-$Y10+50*IF(main!$AK10="是",main!$BB$4,main!$BB$3)),(VLOOKUP(main!AB10,main!$AO$4:$AQ$55,2,FALSE))*IF(main!$AK10="是",main!$BB$4,main!$BB$3))</f>
        <v>0</v>
      </c>
      <c r="U10" s="12">
        <f>IF(ISNUMBER(SEARCH("营",main!AC10)),(-$Y10+50*IF(main!$AK10="是",main!$BB$4,main!$BB$3)),(VLOOKUP(main!AC10,main!$AO$4:$AQ$55,2,FALSE))*IF(main!$AK10="是",main!$BB$4,main!$BB$3))</f>
        <v>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152</v>
      </c>
      <c r="B11" s="12">
        <f>IF(ISNUMBER(SEARCH("营",main!J11)),(-$Y11+50*IF(main!$AK11="是",main!$BB$4,main!$BB$3)),(VLOOKUP(main!J11,main!$AO$4:$AQ$55,2,FALSE))*IF(main!$AK11="是",main!$BB$4,main!$BB$3))</f>
        <v>152</v>
      </c>
      <c r="C11" s="12">
        <f>IF(ISNUMBER(SEARCH("营",main!K11)),(-$Y11+50*IF(main!$AK11="是",main!$BB$4,main!$BB$3)),(VLOOKUP(main!K11,main!$AO$4:$AQ$55,2,FALSE))*IF(main!$AK11="是",main!$BB$4,main!$BB$3))</f>
        <v>128</v>
      </c>
      <c r="D11" s="12">
        <f>IF(ISNUMBER(SEARCH("营",main!L11)),(-$Y11+50*IF(main!$AK11="是",main!$BB$4,main!$BB$3)),(VLOOKUP(main!L11,main!$AO$4:$AQ$55,2,FALSE))*IF(main!$AK11="是",main!$BB$4,main!$BB$3))</f>
        <v>128</v>
      </c>
      <c r="E11" s="12">
        <f>IF(ISNUMBER(SEARCH("营",main!M11)),(-$Y11+50*IF(main!$AK11="是",main!$BB$4,main!$BB$3)),(VLOOKUP(main!M11,main!$AO$4:$AQ$55,2,FALSE))*IF(main!$AK11="是",main!$BB$4,main!$BB$3))</f>
        <v>128</v>
      </c>
      <c r="F11" s="12">
        <f>IF(ISNUMBER(SEARCH("营",main!N11)),(-$Y11+50*IF(main!$AK11="是",main!$BB$4,main!$BB$3)),(VLOOKUP(main!N11,main!$AO$4:$AQ$55,2,FALSE))*IF(main!$AK11="是",main!$BB$4,main!$BB$3))</f>
        <v>40</v>
      </c>
      <c r="G11" s="12">
        <f>IF(ISNUMBER(SEARCH("营",main!O11)),(-$Y11+50*IF(main!$AK11="是",main!$BB$4,main!$BB$3)),(VLOOKUP(main!O11,main!$AO$4:$AQ$55,2,FALSE))*IF(main!$AK11="是",main!$BB$4,main!$BB$3))</f>
        <v>128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152</v>
      </c>
      <c r="J11" s="12">
        <f>IF(ISNUMBER(SEARCH("营",main!R11)),(-$Y11+50*IF(main!$AK11="是",main!$BB$4,main!$BB$3)),(VLOOKUP(main!R11,main!$AO$4:$AQ$55,2,FALSE))*IF(main!$AK11="是",main!$BB$4,main!$BB$3))</f>
        <v>152</v>
      </c>
      <c r="K11" s="12">
        <f>IF(ISNUMBER(SEARCH("营",main!S11)),(-$Y11+50*IF(main!$AK11="是",main!$BB$4,main!$BB$3)),(VLOOKUP(main!S11,main!$AO$4:$AQ$55,2,FALSE))*IF(main!$AK11="是",main!$BB$4,main!$BB$3))</f>
        <v>120</v>
      </c>
      <c r="L11" s="12">
        <f>IF(ISNUMBER(SEARCH("营",main!T11)),(-$Y11+50*IF(main!$AK11="是",main!$BB$4,main!$BB$3)),(VLOOKUP(main!T11,main!$AO$4:$AQ$55,2,FALSE))*IF(main!$AK11="是",main!$BB$4,main!$BB$3))</f>
        <v>152</v>
      </c>
      <c r="M11" s="12">
        <f>IF(ISNUMBER(SEARCH("营",main!U11)),(-$Y11+50*IF(main!$AK11="是",main!$BB$4,main!$BB$3)),(VLOOKUP(main!U11,main!$AO$4:$AQ$55,2,FALSE))*IF(main!$AK11="是",main!$BB$4,main!$BB$3))</f>
        <v>152</v>
      </c>
      <c r="N11" s="12">
        <f>IF(ISNUMBER(SEARCH("营",main!V11)),(-$Y11+50*IF(main!$AK11="是",main!$BB$4,main!$BB$3)),(VLOOKUP(main!V11,main!$AO$4:$AQ$55,2,FALSE))*IF(main!$AK11="是",main!$BB$4,main!$BB$3))</f>
        <v>40</v>
      </c>
      <c r="O11" s="12">
        <f>IF(ISNUMBER(SEARCH("营",main!W11)),(-$Y11+50*IF(main!$AK11="是",main!$BB$4,main!$BB$3)),(VLOOKUP(main!W11,main!$AO$4:$AQ$55,2,FALSE))*IF(main!$AK11="是",main!$BB$4,main!$BB$3))</f>
        <v>144</v>
      </c>
      <c r="P11" s="12">
        <f>IF(ISNUMBER(SEARCH("营",main!X11)),(-$Y11+50*IF(main!$AK11="是",main!$BB$4,main!$BB$3)),(VLOOKUP(main!X11,main!$AO$4:$AQ$55,2,FALSE))*IF(main!$AK11="是",main!$BB$4,main!$BB$3))</f>
        <v>144</v>
      </c>
      <c r="Q11" s="12">
        <f>IF(ISNUMBER(SEARCH("营",main!Y11)),(-$Y11+50*IF(main!$AK11="是",main!$BB$4,main!$BB$3)),(VLOOKUP(main!Y11,main!$AO$4:$AQ$55,2,FALSE))*IF(main!$AK11="是",main!$BB$4,main!$BB$3))</f>
        <v>136</v>
      </c>
      <c r="R11" s="12">
        <f>IF(ISNUMBER(SEARCH("营",main!Z11)),(-$Y11+50*IF(main!$AK11="是",main!$BB$4,main!$BB$3)),(VLOOKUP(main!Z11,main!$AO$4:$AQ$55,2,FALSE))*IF(main!$AK11="是",main!$BB$4,main!$BB$3))</f>
        <v>136</v>
      </c>
      <c r="S11" s="12">
        <f>IF(ISNUMBER(SEARCH("营",main!AA11)),(-$Y11+50*IF(main!$AK11="是",main!$BB$4,main!$BB$3)),(VLOOKUP(main!AA11,main!$AO$4:$AQ$55,2,FALSE))*IF(main!$AK11="是",main!$BB$4,main!$BB$3))</f>
        <v>136</v>
      </c>
      <c r="T11" s="12">
        <f>IF(ISNUMBER(SEARCH("营",main!AB11)),(-$Y11+50*IF(main!$AK11="是",main!$BB$4,main!$BB$3)),(VLOOKUP(main!AB11,main!$AO$4:$AQ$55,2,FALSE))*IF(main!$AK11="是",main!$BB$4,main!$BB$3))</f>
        <v>-260</v>
      </c>
      <c r="U11" s="12">
        <f>IF(ISNUMBER(SEARCH("营",main!AC11)),(-$Y11+50*IF(main!$AK11="是",main!$BB$4,main!$BB$3)),(VLOOKUP(main!AC11,main!$AO$4:$AQ$55,2,FALSE))*IF(main!$AK11="是",main!$BB$4,main!$BB$3))</f>
        <v>136</v>
      </c>
      <c r="V11" s="12">
        <f>IF(ISNUMBER(SEARCH("营",main!AD11)),(-$Y11+50*IF(main!$AK11="是",main!$BB$4,main!$BB$3)),(VLOOKUP(main!AD11,main!$AO$4:$AQ$55,2,FALSE))*IF(main!$AK11="是",main!$BB$4,main!$BB$3))</f>
        <v>136</v>
      </c>
      <c r="W11" s="12">
        <f>IF(ISNUMBER(SEARCH("营",main!AE11)),(-$Y11+50*IF(main!$AK11="是",main!$BB$4,main!$BB$3)),(VLOOKUP(main!AE11,main!$AO$4:$AQ$55,2,FALSE))*IF(main!$AK11="是",main!$BB$4,main!$BB$3))</f>
        <v>136</v>
      </c>
      <c r="X11" s="12">
        <f>IF(ISNUMBER(SEARCH("营",main!AF11)),(-$Y11+50*IF(main!$AK11="是",main!$BB$4,main!$BB$3)),(VLOOKUP(main!AF11,main!$AO$4:$AQ$55,2,FALSE))*IF(main!$AK11="是",main!$BB$4,main!$BB$3))</f>
        <v>136</v>
      </c>
      <c r="Y11" s="14">
        <v>300</v>
      </c>
      <c r="Z11" s="15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128</v>
      </c>
      <c r="B12" s="12">
        <f>IF(ISNUMBER(SEARCH("营",main!J12)),(-$Y12+50*IF(main!$AK12="是",main!$BB$4,main!$BB$3)),(VLOOKUP(main!J12,main!$AO$4:$AQ$55,2,FALSE))*IF(main!$AK12="是",main!$BB$4,main!$BB$3))</f>
        <v>128</v>
      </c>
      <c r="C12" s="12">
        <f>IF(ISNUMBER(SEARCH("营",main!K12)),(-$Y12+50*IF(main!$AK12="是",main!$BB$4,main!$BB$3)),(VLOOKUP(main!K12,main!$AO$4:$AQ$55,2,FALSE))*IF(main!$AK12="是",main!$BB$4,main!$BB$3))</f>
        <v>-260</v>
      </c>
      <c r="D12" s="12">
        <f>IF(ISNUMBER(SEARCH("营",main!L12)),(-$Y12+50*IF(main!$AK12="是",main!$BB$4,main!$BB$3)),(VLOOKUP(main!L12,main!$AO$4:$AQ$55,2,FALSE))*IF(main!$AK12="是",main!$BB$4,main!$BB$3))</f>
        <v>120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120</v>
      </c>
      <c r="G12" s="12">
        <f>IF(ISNUMBER(SEARCH("营",main!O12)),(-$Y12+50*IF(main!$AK12="是",main!$BB$4,main!$BB$3)),(VLOOKUP(main!O12,main!$AO$4:$AQ$55,2,FALSE))*IF(main!$AK12="是",main!$BB$4,main!$BB$3))</f>
        <v>128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152</v>
      </c>
      <c r="J12" s="12">
        <f>IF(ISNUMBER(SEARCH("营",main!R12)),(-$Y12+50*IF(main!$AK12="是",main!$BB$4,main!$BB$3)),(VLOOKUP(main!R12,main!$AO$4:$AQ$55,2,FALSE))*IF(main!$AK12="是",main!$BB$4,main!$BB$3))</f>
        <v>-260</v>
      </c>
      <c r="K12" s="12">
        <f>IF(ISNUMBER(SEARCH("营",main!S12)),(-$Y12+50*IF(main!$AK12="是",main!$BB$4,main!$BB$3)),(VLOOKUP(main!S12,main!$AO$4:$AQ$55,2,FALSE))*IF(main!$AK12="是",main!$BB$4,main!$BB$3))</f>
        <v>0</v>
      </c>
      <c r="L12" s="12">
        <f>IF(ISNUMBER(SEARCH("营",main!T12)),(-$Y12+50*IF(main!$AK12="是",main!$BB$4,main!$BB$3)),(VLOOKUP(main!T12,main!$AO$4:$AQ$55,2,FALSE))*IF(main!$AK12="是",main!$BB$4,main!$BB$3))</f>
        <v>0</v>
      </c>
      <c r="M12" s="12">
        <f>IF(ISNUMBER(SEARCH("营",main!U12)),(-$Y12+50*IF(main!$AK12="是",main!$BB$4,main!$BB$3)),(VLOOKUP(main!U12,main!$AO$4:$AQ$55,2,FALSE))*IF(main!$AK12="是",main!$BB$4,main!$BB$3))</f>
        <v>0</v>
      </c>
      <c r="N12" s="12">
        <f>IF(ISNUMBER(SEARCH("营",main!V12)),(-$Y12+50*IF(main!$AK12="是",main!$BB$4,main!$BB$3)),(VLOOKUP(main!V12,main!$AO$4:$AQ$55,2,FALSE))*IF(main!$AK12="是",main!$BB$4,main!$BB$3))</f>
        <v>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40</v>
      </c>
      <c r="U12" s="12">
        <f>IF(ISNUMBER(SEARCH("营",main!AC12)),(-$Y12+50*IF(main!$AK12="是",main!$BB$4,main!$BB$3)),(VLOOKUP(main!AC12,main!$AO$4:$AQ$55,2,FALSE))*IF(main!$AK12="是",main!$BB$4,main!$BB$3))</f>
        <v>136</v>
      </c>
      <c r="V12" s="12">
        <f>IF(ISNUMBER(SEARCH("营",main!AD12)),(-$Y12+50*IF(main!$AK12="是",main!$BB$4,main!$BB$3)),(VLOOKUP(main!AD12,main!$AO$4:$AQ$55,2,FALSE))*IF(main!$AK12="是",main!$BB$4,main!$BB$3))</f>
        <v>136</v>
      </c>
      <c r="W12" s="12">
        <f>IF(ISNUMBER(SEARCH("营",main!AE12)),(-$Y12+50*IF(main!$AK12="是",main!$BB$4,main!$BB$3)),(VLOOKUP(main!AE12,main!$AO$4:$AQ$55,2,FALSE))*IF(main!$AK12="是",main!$BB$4,main!$BB$3))</f>
        <v>152</v>
      </c>
      <c r="X12" s="12">
        <f>IF(ISNUMBER(SEARCH("营",main!AF12)),(-$Y12+50*IF(main!$AK12="是",main!$BB$4,main!$BB$3)),(VLOOKUP(main!AF12,main!$AO$4:$AQ$55,2,FALSE))*IF(main!$AK12="是",main!$BB$4,main!$BB$3))</f>
        <v>152</v>
      </c>
      <c r="Y12" s="14">
        <v>300</v>
      </c>
      <c r="Z12" s="15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120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128</v>
      </c>
      <c r="D13" s="12">
        <f>IF(ISNUMBER(SEARCH("营",main!L13)),(-$Y13+50*IF(main!$AK13="是",main!$BB$4,main!$BB$3)),(VLOOKUP(main!L13,main!$AO$4:$AQ$55,2,FALSE))*IF(main!$AK13="是",main!$BB$4,main!$BB$3))</f>
        <v>-260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0</v>
      </c>
      <c r="J13" s="12">
        <f>IF(ISNUMBER(SEARCH("营",main!R13)),(-$Y13+50*IF(main!$AK13="是",main!$BB$4,main!$BB$3)),(VLOOKUP(main!R13,main!$AO$4:$AQ$55,2,FALSE))*IF(main!$AK13="是",main!$BB$4,main!$BB$3))</f>
        <v>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152</v>
      </c>
      <c r="R13" s="12">
        <f>IF(ISNUMBER(SEARCH("营",main!Z13)),(-$Y13+50*IF(main!$AK13="是",main!$BB$4,main!$BB$3)),(VLOOKUP(main!Z13,main!$AO$4:$AQ$55,2,FALSE))*IF(main!$AK13="是",main!$BB$4,main!$BB$3))</f>
        <v>-260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4">
        <v>300</v>
      </c>
      <c r="Z13" s="15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160</v>
      </c>
      <c r="R14" s="12">
        <f>IF(ISNUMBER(SEARCH("营",main!Z14)),(-$Y14+50*IF(main!$AK14="是",main!$BB$4,main!$BB$3)),(VLOOKUP(main!Z14,main!$AO$4:$AQ$55,2,FALSE))*IF(main!$AK14="是",main!$BB$4,main!$BB$3))</f>
        <v>160</v>
      </c>
      <c r="S14" s="12">
        <f>IF(ISNUMBER(SEARCH("营",main!AA14)),(-$Y14+50*IF(main!$AK14="是",main!$BB$4,main!$BB$3)),(VLOOKUP(main!AA14,main!$AO$4:$AQ$55,2,FALSE))*IF(main!$AK14="是",main!$BB$4,main!$BB$3))</f>
        <v>160</v>
      </c>
      <c r="T14" s="12">
        <f>IF(ISNUMBER(SEARCH("营",main!AB14)),(-$Y14+50*IF(main!$AK14="是",main!$BB$4,main!$BB$3)),(VLOOKUP(main!AB14,main!$AO$4:$AQ$55,2,FALSE))*IF(main!$AK14="是",main!$BB$4,main!$BB$3))</f>
        <v>160</v>
      </c>
      <c r="U14" s="12">
        <f>IF(ISNUMBER(SEARCH("营",main!AC14)),(-$Y14+50*IF(main!$AK14="是",main!$BB$4,main!$BB$3)),(VLOOKUP(main!AC14,main!$AO$4:$AQ$55,2,FALSE))*IF(main!$AK14="是",main!$BB$4,main!$BB$3))</f>
        <v>160</v>
      </c>
      <c r="V14" s="12">
        <f>IF(ISNUMBER(SEARCH("营",main!AD14)),(-$Y14+50*IF(main!$AK14="是",main!$BB$4,main!$BB$3)),(VLOOKUP(main!AD14,main!$AO$4:$AQ$55,2,FALSE))*IF(main!$AK14="是",main!$BB$4,main!$BB$3))</f>
        <v>152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6">
        <v>250</v>
      </c>
      <c r="Z14" s="87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0</v>
      </c>
      <c r="J15" s="12">
        <f>IF(ISNUMBER(SEARCH("营",main!R15)),(-$Y15+50*IF(main!$AK15="是",main!$BB$4,main!$BB$3)),(VLOOKUP(main!R15,main!$AO$4:$AQ$55,2,FALSE))*IF(main!$AK15="是",main!$BB$4,main!$BB$3))</f>
        <v>0</v>
      </c>
      <c r="K15" s="12">
        <f>IF(ISNUMBER(SEARCH("营",main!S15)),(-$Y15+50*IF(main!$AK15="是",main!$BB$4,main!$BB$3)),(VLOOKUP(main!S15,main!$AO$4:$AQ$55,2,FALSE))*IF(main!$AK15="是",main!$BB$4,main!$BB$3))</f>
        <v>0</v>
      </c>
      <c r="L15" s="12">
        <f>IF(ISNUMBER(SEARCH("营",main!T15)),(-$Y15+50*IF(main!$AK15="是",main!$BB$4,main!$BB$3)),(VLOOKUP(main!T15,main!$AO$4:$AQ$55,2,FALSE))*IF(main!$AK15="是",main!$BB$4,main!$BB$3))</f>
        <v>0</v>
      </c>
      <c r="M15" s="12">
        <f>IF(ISNUMBER(SEARCH("营",main!U15)),(-$Y15+50*IF(main!$AK15="是",main!$BB$4,main!$BB$3)),(VLOOKUP(main!U15,main!$AO$4:$AQ$55,2,FALSE))*IF(main!$AK15="是",main!$BB$4,main!$BB$3))</f>
        <v>0</v>
      </c>
      <c r="N15" s="12">
        <f>IF(ISNUMBER(SEARCH("营",main!V15)),(-$Y15+50*IF(main!$AK15="是",main!$BB$4,main!$BB$3)),(VLOOKUP(main!V15,main!$AO$4:$AQ$55,2,FALSE))*IF(main!$AK15="是",main!$BB$4,main!$BB$3))</f>
        <v>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160</v>
      </c>
      <c r="S15" s="12">
        <f>IF(ISNUMBER(SEARCH("营",main!AA15)),(-$Y15+50*IF(main!$AK15="是",main!$BB$4,main!$BB$3)),(VLOOKUP(main!AA15,main!$AO$4:$AQ$55,2,FALSE))*IF(main!$AK15="是",main!$BB$4,main!$BB$3))</f>
        <v>160</v>
      </c>
      <c r="T15" s="12">
        <f>IF(ISNUMBER(SEARCH("营",main!AB15)),(-$Y15+50*IF(main!$AK15="是",main!$BB$4,main!$BB$3)),(VLOOKUP(main!AB15,main!$AO$4:$AQ$55,2,FALSE))*IF(main!$AK15="是",main!$BB$4,main!$BB$3))</f>
        <v>160</v>
      </c>
      <c r="U15" s="12">
        <f>IF(ISNUMBER(SEARCH("营",main!AC15)),(-$Y15+50*IF(main!$AK15="是",main!$BB$4,main!$BB$3)),(VLOOKUP(main!AC15,main!$AO$4:$AQ$55,2,FALSE))*IF(main!$AK15="是",main!$BB$4,main!$BB$3))</f>
        <v>160</v>
      </c>
      <c r="V15" s="12">
        <f>IF(ISNUMBER(SEARCH("营",main!AD15)),(-$Y15+50*IF(main!$AK15="是",main!$BB$4,main!$BB$3)),(VLOOKUP(main!AD15,main!$AO$4:$AQ$55,2,FALSE))*IF(main!$AK15="是",main!$BB$4,main!$BB$3))</f>
        <v>160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6">
        <v>250</v>
      </c>
      <c r="Z15" s="87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0</v>
      </c>
      <c r="J16" s="12">
        <f>IF(ISNUMBER(SEARCH("营",main!R16)),(-$Y16+50*IF(main!$AK16="是",main!$BB$4,main!$BB$3)),(VLOOKUP(main!R16,main!$AO$4:$AQ$55,2,FALSE))*IF(main!$AK16="是",main!$BB$4,main!$BB$3))</f>
        <v>0</v>
      </c>
      <c r="K16" s="12">
        <f>IF(ISNUMBER(SEARCH("营",main!S16)),(-$Y16+50*IF(main!$AK16="是",main!$BB$4,main!$BB$3)),(VLOOKUP(main!S16,main!$AO$4:$AQ$55,2,FALSE))*IF(main!$AK16="是",main!$BB$4,main!$BB$3))</f>
        <v>0</v>
      </c>
      <c r="L16" s="12">
        <f>IF(ISNUMBER(SEARCH("营",main!T16)),(-$Y16+50*IF(main!$AK16="是",main!$BB$4,main!$BB$3)),(VLOOKUP(main!T16,main!$AO$4:$AQ$55,2,FALSE))*IF(main!$AK16="是",main!$BB$4,main!$BB$3))</f>
        <v>0</v>
      </c>
      <c r="M16" s="12">
        <f>IF(ISNUMBER(SEARCH("营",main!U16)),(-$Y16+50*IF(main!$AK16="是",main!$BB$4,main!$BB$3)),(VLOOKUP(main!U16,main!$AO$4:$AQ$55,2,FALSE))*IF(main!$AK16="是",main!$BB$4,main!$BB$3))</f>
        <v>0</v>
      </c>
      <c r="N16" s="12">
        <f>IF(ISNUMBER(SEARCH("营",main!V16)),(-$Y16+50*IF(main!$AK16="是",main!$BB$4,main!$BB$3)),(VLOOKUP(main!V16,main!$AO$4:$AQ$55,2,FALSE))*IF(main!$AK16="是",main!$BB$4,main!$BB$3))</f>
        <v>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160</v>
      </c>
      <c r="R16" s="12">
        <f>IF(ISNUMBER(SEARCH("营",main!Z16)),(-$Y16+50*IF(main!$AK16="是",main!$BB$4,main!$BB$3)),(VLOOKUP(main!Z16,main!$AO$4:$AQ$55,2,FALSE))*IF(main!$AK16="是",main!$BB$4,main!$BB$3))</f>
        <v>160</v>
      </c>
      <c r="S16" s="12">
        <f>IF(ISNUMBER(SEARCH("营",main!AA16)),(-$Y16+50*IF(main!$AK16="是",main!$BB$4,main!$BB$3)),(VLOOKUP(main!AA16,main!$AO$4:$AQ$55,2,FALSE))*IF(main!$AK16="是",main!$BB$4,main!$BB$3))</f>
        <v>160</v>
      </c>
      <c r="T16" s="12">
        <f>IF(ISNUMBER(SEARCH("营",main!AB16)),(-$Y16+50*IF(main!$AK16="是",main!$BB$4,main!$BB$3)),(VLOOKUP(main!AB16,main!$AO$4:$AQ$55,2,FALSE))*IF(main!$AK16="是",main!$BB$4,main!$BB$3))</f>
        <v>160</v>
      </c>
      <c r="U16" s="12">
        <f>IF(ISNUMBER(SEARCH("营",main!AC16)),(-$Y16+50*IF(main!$AK16="是",main!$BB$4,main!$BB$3)),(VLOOKUP(main!AC16,main!$AO$4:$AQ$55,2,FALSE))*IF(main!$AK16="是",main!$BB$4,main!$BB$3))</f>
        <v>0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6">
        <v>250</v>
      </c>
      <c r="Z16" s="87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136</v>
      </c>
      <c r="J17" s="12">
        <f>IF(ISNUMBER(SEARCH("营",main!R17)),(-$Y17+50*IF(main!$AK17="是",main!$BB$4,main!$BB$3)),(VLOOKUP(main!R17,main!$AO$4:$AQ$55,2,FALSE))*IF(main!$AK17="是",main!$BB$4,main!$BB$3))</f>
        <v>136</v>
      </c>
      <c r="K17" s="12">
        <f>IF(ISNUMBER(SEARCH("营",main!S17)),(-$Y17+50*IF(main!$AK17="是",main!$BB$4,main!$BB$3)),(VLOOKUP(main!S17,main!$AO$4:$AQ$55,2,FALSE))*IF(main!$AK17="是",main!$BB$4,main!$BB$3))</f>
        <v>136</v>
      </c>
      <c r="L17" s="12">
        <f>IF(ISNUMBER(SEARCH("营",main!T17)),(-$Y17+50*IF(main!$AK17="是",main!$BB$4,main!$BB$3)),(VLOOKUP(main!T17,main!$AO$4:$AQ$55,2,FALSE))*IF(main!$AK17="是",main!$BB$4,main!$BB$3))</f>
        <v>-210</v>
      </c>
      <c r="M17" s="12">
        <f>IF(ISNUMBER(SEARCH("营",main!U17)),(-$Y17+50*IF(main!$AK17="是",main!$BB$4,main!$BB$3)),(VLOOKUP(main!U17,main!$AO$4:$AQ$55,2,FALSE))*IF(main!$AK17="是",main!$BB$4,main!$BB$3))</f>
        <v>136</v>
      </c>
      <c r="N17" s="12">
        <f>IF(ISNUMBER(SEARCH("营",main!V17)),(-$Y17+50*IF(main!$AK17="是",main!$BB$4,main!$BB$3)),(VLOOKUP(main!V17,main!$AO$4:$AQ$55,2,FALSE))*IF(main!$AK17="是",main!$BB$4,main!$BB$3))</f>
        <v>136</v>
      </c>
      <c r="O17" s="12">
        <f>IF(ISNUMBER(SEARCH("营",main!W17)),(-$Y17+50*IF(main!$AK17="是",main!$BB$4,main!$BB$3)),(VLOOKUP(main!W17,main!$AO$4:$AQ$55,2,FALSE))*IF(main!$AK17="是",main!$BB$4,main!$BB$3))</f>
        <v>136</v>
      </c>
      <c r="P17" s="12">
        <f>IF(ISNUMBER(SEARCH("营",main!X17)),(-$Y17+50*IF(main!$AK17="是",main!$BB$4,main!$BB$3)),(VLOOKUP(main!X17,main!$AO$4:$AQ$55,2,FALSE))*IF(main!$AK17="是",main!$BB$4,main!$BB$3))</f>
        <v>136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-210</v>
      </c>
      <c r="U17" s="12">
        <f>IF(ISNUMBER(SEARCH("营",main!AC17)),(-$Y17+50*IF(main!$AK17="是",main!$BB$4,main!$BB$3)),(VLOOKUP(main!AC17,main!$AO$4:$AQ$55,2,FALSE))*IF(main!$AK17="是",main!$BB$4,main!$BB$3))</f>
        <v>160</v>
      </c>
      <c r="V17" s="12">
        <f>IF(ISNUMBER(SEARCH("营",main!AD17)),(-$Y17+50*IF(main!$AK17="是",main!$BB$4,main!$BB$3)),(VLOOKUP(main!AD17,main!$AO$4:$AQ$55,2,FALSE))*IF(main!$AK17="是",main!$BB$4,main!$BB$3))</f>
        <v>160</v>
      </c>
      <c r="W17" s="12">
        <f>IF(ISNUMBER(SEARCH("营",main!AE17)),(-$Y17+50*IF(main!$AK17="是",main!$BB$4,main!$BB$3)),(VLOOKUP(main!AE17,main!$AO$4:$AQ$55,2,FALSE))*IF(main!$AK17="是",main!$BB$4,main!$BB$3))</f>
        <v>160</v>
      </c>
      <c r="X17" s="12">
        <f>IF(ISNUMBER(SEARCH("营",main!AF17)),(-$Y17+50*IF(main!$AK17="是",main!$BB$4,main!$BB$3)),(VLOOKUP(main!AF17,main!$AO$4:$AQ$55,2,FALSE))*IF(main!$AK17="是",main!$BB$4,main!$BB$3))</f>
        <v>160</v>
      </c>
      <c r="Y17" s="16">
        <v>250</v>
      </c>
      <c r="Z17" s="87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136</v>
      </c>
      <c r="J18" s="12">
        <f>IF(ISNUMBER(SEARCH("营",main!R18)),(-$Y18+50*IF(main!$AK18="是",main!$BB$4,main!$BB$3)),(VLOOKUP(main!R18,main!$AO$4:$AQ$55,2,FALSE))*IF(main!$AK18="是",main!$BB$4,main!$BB$3))</f>
        <v>136</v>
      </c>
      <c r="K18" s="12">
        <f>IF(ISNUMBER(SEARCH("营",main!S18)),(-$Y18+50*IF(main!$AK18="是",main!$BB$4,main!$BB$3)),(VLOOKUP(main!S18,main!$AO$4:$AQ$55,2,FALSE))*IF(main!$AK18="是",main!$BB$4,main!$BB$3))</f>
        <v>136</v>
      </c>
      <c r="L18" s="12">
        <f>IF(ISNUMBER(SEARCH("营",main!T18)),(-$Y18+50*IF(main!$AK18="是",main!$BB$4,main!$BB$3)),(VLOOKUP(main!T18,main!$AO$4:$AQ$55,2,FALSE))*IF(main!$AK18="是",main!$BB$4,main!$BB$3))</f>
        <v>40</v>
      </c>
      <c r="M18" s="12">
        <f>IF(ISNUMBER(SEARCH("营",main!U18)),(-$Y18+50*IF(main!$AK18="是",main!$BB$4,main!$BB$3)),(VLOOKUP(main!U18,main!$AO$4:$AQ$55,2,FALSE))*IF(main!$AK18="是",main!$BB$4,main!$BB$3))</f>
        <v>136</v>
      </c>
      <c r="N18" s="12">
        <f>IF(ISNUMBER(SEARCH("营",main!V18)),(-$Y18+50*IF(main!$AK18="是",main!$BB$4,main!$BB$3)),(VLOOKUP(main!V18,main!$AO$4:$AQ$55,2,FALSE))*IF(main!$AK18="是",main!$BB$4,main!$BB$3))</f>
        <v>136</v>
      </c>
      <c r="O18" s="12">
        <f>IF(ISNUMBER(SEARCH("营",main!W18)),(-$Y18+50*IF(main!$AK18="是",main!$BB$4,main!$BB$3)),(VLOOKUP(main!W18,main!$AO$4:$AQ$55,2,FALSE))*IF(main!$AK18="是",main!$BB$4,main!$BB$3))</f>
        <v>152</v>
      </c>
      <c r="P18" s="12">
        <f>IF(ISNUMBER(SEARCH("营",main!X18)),(-$Y18+50*IF(main!$AK18="是",main!$BB$4,main!$BB$3)),(VLOOKUP(main!X18,main!$AO$4:$AQ$55,2,FALSE))*IF(main!$AK18="是",main!$BB$4,main!$BB$3))</f>
        <v>152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160</v>
      </c>
      <c r="V18" s="12">
        <f>IF(ISNUMBER(SEARCH("营",main!AD18)),(-$Y18+50*IF(main!$AK18="是",main!$BB$4,main!$BB$3)),(VLOOKUP(main!AD18,main!$AO$4:$AQ$55,2,FALSE))*IF(main!$AK18="是",main!$BB$4,main!$BB$3))</f>
        <v>152</v>
      </c>
      <c r="W18" s="12">
        <f>IF(ISNUMBER(SEARCH("营",main!AE18)),(-$Y18+50*IF(main!$AK18="是",main!$BB$4,main!$BB$3)),(VLOOKUP(main!AE18,main!$AO$4:$AQ$55,2,FALSE))*IF(main!$AK18="是",main!$BB$4,main!$BB$3))</f>
        <v>-210</v>
      </c>
      <c r="X18" s="12">
        <f>IF(ISNUMBER(SEARCH("营",main!AF18)),(-$Y18+50*IF(main!$AK18="是",main!$BB$4,main!$BB$3)),(VLOOKUP(main!AF18,main!$AO$4:$AQ$55,2,FALSE))*IF(main!$AK18="是",main!$BB$4,main!$BB$3))</f>
        <v>152</v>
      </c>
      <c r="Y18" s="16">
        <v>250</v>
      </c>
      <c r="Z18" s="87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152</v>
      </c>
      <c r="J19" s="12">
        <f>IF(ISNUMBER(SEARCH("营",main!R19)),(-$Y19+50*IF(main!$AK19="是",main!$BB$4,main!$BB$3)),(VLOOKUP(main!R19,main!$AO$4:$AQ$55,2,FALSE))*IF(main!$AK19="是",main!$BB$4,main!$BB$3))</f>
        <v>-210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120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40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152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152</v>
      </c>
      <c r="U19" s="12">
        <f>IF(ISNUMBER(SEARCH("营",main!AC19)),(-$Y19+50*IF(main!$AK19="是",main!$BB$4,main!$BB$3)),(VLOOKUP(main!AC19,main!$AO$4:$AQ$55,2,FALSE))*IF(main!$AK19="是",main!$BB$4,main!$BB$3))</f>
        <v>152</v>
      </c>
      <c r="V19" s="12">
        <f>IF(ISNUMBER(SEARCH("营",main!AD19)),(-$Y19+50*IF(main!$AK19="是",main!$BB$4,main!$BB$3)),(VLOOKUP(main!AD19,main!$AO$4:$AQ$55,2,FALSE))*IF(main!$AK19="是",main!$BB$4,main!$BB$3))</f>
        <v>152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87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144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144</v>
      </c>
      <c r="M20" s="12">
        <f>IF(ISNUMBER(SEARCH("营",main!U20)),(-$Y20+50*IF(main!$AK20="是",main!$BB$4,main!$BB$3)),(VLOOKUP(main!U20,main!$AO$4:$AQ$55,2,FALSE))*IF(main!$AK20="是",main!$BB$4,main!$BB$3))</f>
        <v>144</v>
      </c>
      <c r="N20" s="12">
        <f>IF(ISNUMBER(SEARCH("营",main!V20)),(-$Y20+50*IF(main!$AK20="是",main!$BB$4,main!$BB$3)),(VLOOKUP(main!V20,main!$AO$4:$AQ$55,2,FALSE))*IF(main!$AK20="是",main!$BB$4,main!$BB$3))</f>
        <v>144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152</v>
      </c>
      <c r="T20" s="12">
        <f>IF(ISNUMBER(SEARCH("营",main!AB20)),(-$Y20+50*IF(main!$AK20="是",main!$BB$4,main!$BB$3)),(VLOOKUP(main!AB20,main!$AO$4:$AQ$55,2,FALSE))*IF(main!$AK20="是",main!$BB$4,main!$BB$3))</f>
        <v>152</v>
      </c>
      <c r="U20" s="12">
        <f>IF(ISNUMBER(SEARCH("营",main!AC20)),(-$Y20+50*IF(main!$AK20="是",main!$BB$4,main!$BB$3)),(VLOOKUP(main!AC20,main!$AO$4:$AQ$55,2,FALSE))*IF(main!$AK20="是",main!$BB$4,main!$BB$3))</f>
        <v>152</v>
      </c>
      <c r="V20" s="12">
        <f>IF(ISNUMBER(SEARCH("营",main!AD20)),(-$Y20+50*IF(main!$AK20="是",main!$BB$4,main!$BB$3)),(VLOOKUP(main!AD20,main!$AO$4:$AQ$55,2,FALSE))*IF(main!$AK20="是",main!$BB$4,main!$BB$3))</f>
        <v>152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6">
        <v>250</v>
      </c>
      <c r="Z20" s="87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144</v>
      </c>
      <c r="L21" s="12">
        <f>IF(ISNUMBER(SEARCH("营",main!T21)),(-$Y21+50*IF(main!$AK21="是",main!$BB$4,main!$BB$3)),(VLOOKUP(main!T21,main!$AO$4:$AQ$55,2,FALSE))*IF(main!$AK21="是",main!$BB$4,main!$BB$3))</f>
        <v>144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152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152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152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160</v>
      </c>
      <c r="V21" s="12">
        <f>IF(ISNUMBER(SEARCH("营",main!AD21)),(-$Y21+50*IF(main!$AK21="是",main!$BB$4,main!$BB$3)),(VLOOKUP(main!AD21,main!$AO$4:$AQ$55,2,FALSE))*IF(main!$AK21="是",main!$BB$4,main!$BB$3))</f>
        <v>160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87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144</v>
      </c>
      <c r="J22" s="12">
        <f>IF(ISNUMBER(SEARCH("营",main!R22)),(-$Y22+50*IF(main!$AK22="是",main!$BB$4,main!$BB$3)),(VLOOKUP(main!R22,main!$AO$4:$AQ$55,2,FALSE))*IF(main!$AK22="是",main!$BB$4,main!$BB$3))</f>
        <v>-210</v>
      </c>
      <c r="K22" s="12">
        <f>IF(ISNUMBER(SEARCH("营",main!S22)),(-$Y22+50*IF(main!$AK22="是",main!$BB$4,main!$BB$3)),(VLOOKUP(main!S22,main!$AO$4:$AQ$55,2,FALSE))*IF(main!$AK22="是",main!$BB$4,main!$BB$3))</f>
        <v>152</v>
      </c>
      <c r="L22" s="12">
        <f>IF(ISNUMBER(SEARCH("营",main!T22)),(-$Y22+50*IF(main!$AK22="是",main!$BB$4,main!$BB$3)),(VLOOKUP(main!T22,main!$AO$4:$AQ$55,2,FALSE))*IF(main!$AK22="是",main!$BB$4,main!$BB$3))</f>
        <v>152</v>
      </c>
      <c r="M22" s="12">
        <f>IF(ISNUMBER(SEARCH("营",main!U22)),(-$Y22+50*IF(main!$AK22="是",main!$BB$4,main!$BB$3)),(VLOOKUP(main!U22,main!$AO$4:$AQ$55,2,FALSE))*IF(main!$AK22="是",main!$BB$4,main!$BB$3))</f>
        <v>144</v>
      </c>
      <c r="N22" s="12">
        <f>IF(ISNUMBER(SEARCH("营",main!V22)),(-$Y22+50*IF(main!$AK22="是",main!$BB$4,main!$BB$3)),(VLOOKUP(main!V22,main!$AO$4:$AQ$55,2,FALSE))*IF(main!$AK22="是",main!$BB$4,main!$BB$3))</f>
        <v>144</v>
      </c>
      <c r="O22" s="12">
        <f>IF(ISNUMBER(SEARCH("营",main!W22)),(-$Y22+50*IF(main!$AK22="是",main!$BB$4,main!$BB$3)),(VLOOKUP(main!W22,main!$AO$4:$AQ$55,2,FALSE))*IF(main!$AK22="是",main!$BB$4,main!$BB$3))</f>
        <v>144</v>
      </c>
      <c r="P22" s="12">
        <f>IF(ISNUMBER(SEARCH("营",main!X22)),(-$Y22+50*IF(main!$AK22="是",main!$BB$4,main!$BB$3)),(VLOOKUP(main!X22,main!$AO$4:$AQ$55,2,FALSE))*IF(main!$AK22="是",main!$BB$4,main!$BB$3))</f>
        <v>152</v>
      </c>
      <c r="Q22" s="12">
        <f>IF(ISNUMBER(SEARCH("营",main!Y22)),(-$Y22+50*IF(main!$AK22="是",main!$BB$4,main!$BB$3)),(VLOOKUP(main!Y22,main!$AO$4:$AQ$55,2,FALSE))*IF(main!$AK22="是",main!$BB$4,main!$BB$3))</f>
        <v>160</v>
      </c>
      <c r="R22" s="12">
        <f>IF(ISNUMBER(SEARCH("营",main!Z22)),(-$Y22+50*IF(main!$AK22="是",main!$BB$4,main!$BB$3)),(VLOOKUP(main!Z22,main!$AO$4:$AQ$55,2,FALSE))*IF(main!$AK22="是",main!$BB$4,main!$BB$3))</f>
        <v>160</v>
      </c>
      <c r="S22" s="12">
        <f>IF(ISNUMBER(SEARCH("营",main!AA22)),(-$Y22+50*IF(main!$AK22="是",main!$BB$4,main!$BB$3)),(VLOOKUP(main!AA22,main!$AO$4:$AQ$55,2,FALSE))*IF(main!$AK22="是",main!$BB$4,main!$BB$3))</f>
        <v>160</v>
      </c>
      <c r="T22" s="12">
        <f>IF(ISNUMBER(SEARCH("营",main!AB22)),(-$Y22+50*IF(main!$AK22="是",main!$BB$4,main!$BB$3)),(VLOOKUP(main!AB22,main!$AO$4:$AQ$55,2,FALSE))*IF(main!$AK22="是",main!$BB$4,main!$BB$3))</f>
        <v>160</v>
      </c>
      <c r="U22" s="12">
        <f>IF(ISNUMBER(SEARCH("营",main!AC22)),(-$Y22+50*IF(main!$AK22="是",main!$BB$4,main!$BB$3)),(VLOOKUP(main!AC22,main!$AO$4:$AQ$55,2,FALSE))*IF(main!$AK22="是",main!$BB$4,main!$BB$3))</f>
        <v>160</v>
      </c>
      <c r="V22" s="12">
        <f>IF(ISNUMBER(SEARCH("营",main!AD22)),(-$Y22+50*IF(main!$AK22="是",main!$BB$4,main!$BB$3)),(VLOOKUP(main!AD22,main!$AO$4:$AQ$55,2,FALSE))*IF(main!$AK22="是",main!$BB$4,main!$BB$3))</f>
        <v>160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87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144</v>
      </c>
      <c r="J23" s="12">
        <f>IF(ISNUMBER(SEARCH("营",main!R23)),(-$Y23+50*IF(main!$AK23="是",main!$BB$4,main!$BB$3)),(VLOOKUP(main!R23,main!$AO$4:$AQ$55,2,FALSE))*IF(main!$AK23="是",main!$BB$4,main!$BB$3))</f>
        <v>144</v>
      </c>
      <c r="K23" s="12">
        <f>IF(ISNUMBER(SEARCH("营",main!S23)),(-$Y23+50*IF(main!$AK23="是",main!$BB$4,main!$BB$3)),(VLOOKUP(main!S23,main!$AO$4:$AQ$55,2,FALSE))*IF(main!$AK23="是",main!$BB$4,main!$BB$3))</f>
        <v>144</v>
      </c>
      <c r="L23" s="12">
        <f>IF(ISNUMBER(SEARCH("营",main!T23)),(-$Y23+50*IF(main!$AK23="是",main!$BB$4,main!$BB$3)),(VLOOKUP(main!T23,main!$AO$4:$AQ$55,2,FALSE))*IF(main!$AK23="是",main!$BB$4,main!$BB$3))</f>
        <v>144</v>
      </c>
      <c r="M23" s="12">
        <f>IF(ISNUMBER(SEARCH("营",main!U23)),(-$Y23+50*IF(main!$AK23="是",main!$BB$4,main!$BB$3)),(VLOOKUP(main!U23,main!$AO$4:$AQ$55,2,FALSE))*IF(main!$AK23="是",main!$BB$4,main!$BB$3))</f>
        <v>152</v>
      </c>
      <c r="N23" s="12">
        <f>IF(ISNUMBER(SEARCH("营",main!V23)),(-$Y23+50*IF(main!$AK23="是",main!$BB$4,main!$BB$3)),(VLOOKUP(main!V23,main!$AO$4:$AQ$55,2,FALSE))*IF(main!$AK23="是",main!$BB$4,main!$BB$3))</f>
        <v>144</v>
      </c>
      <c r="O23" s="12">
        <f>IF(ISNUMBER(SEARCH("营",main!W23)),(-$Y23+50*IF(main!$AK23="是",main!$BB$4,main!$BB$3)),(VLOOKUP(main!W23,main!$AO$4:$AQ$55,2,FALSE))*IF(main!$AK23="是",main!$BB$4,main!$BB$3))</f>
        <v>-210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160</v>
      </c>
      <c r="R23" s="12">
        <f>IF(ISNUMBER(SEARCH("营",main!Z23)),(-$Y23+50*IF(main!$AK23="是",main!$BB$4,main!$BB$3)),(VLOOKUP(main!Z23,main!$AO$4:$AQ$55,2,FALSE))*IF(main!$AK23="是",main!$BB$4,main!$BB$3))</f>
        <v>160</v>
      </c>
      <c r="S23" s="12">
        <f>IF(ISNUMBER(SEARCH("营",main!AA23)),(-$Y23+50*IF(main!$AK23="是",main!$BB$4,main!$BB$3)),(VLOOKUP(main!AA23,main!$AO$4:$AQ$55,2,FALSE))*IF(main!$AK23="是",main!$BB$4,main!$BB$3))</f>
        <v>160</v>
      </c>
      <c r="T23" s="12">
        <f>IF(ISNUMBER(SEARCH("营",main!AB23)),(-$Y23+50*IF(main!$AK23="是",main!$BB$4,main!$BB$3)),(VLOOKUP(main!AB23,main!$AO$4:$AQ$55,2,FALSE))*IF(main!$AK23="是",main!$BB$4,main!$BB$3))</f>
        <v>160</v>
      </c>
      <c r="U23" s="12">
        <f>IF(ISNUMBER(SEARCH("营",main!AC23)),(-$Y23+50*IF(main!$AK23="是",main!$BB$4,main!$BB$3)),(VLOOKUP(main!AC23,main!$AO$4:$AQ$55,2,FALSE))*IF(main!$AK23="是",main!$BB$4,main!$BB$3))</f>
        <v>160</v>
      </c>
      <c r="V23" s="12">
        <f>IF(ISNUMBER(SEARCH("营",main!AD23)),(-$Y23+50*IF(main!$AK23="是",main!$BB$4,main!$BB$3)),(VLOOKUP(main!AD23,main!$AO$4:$AQ$55,2,FALSE))*IF(main!$AK23="是",main!$BB$4,main!$BB$3))</f>
        <v>160</v>
      </c>
      <c r="W23" s="12">
        <f>IF(ISNUMBER(SEARCH("营",main!AE23)),(-$Y23+50*IF(main!$AK23="是",main!$BB$4,main!$BB$3)),(VLOOKUP(main!AE23,main!$AO$4:$AQ$55,2,FALSE))*IF(main!$AK23="是",main!$BB$4,main!$BB$3))</f>
        <v>-210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16">
        <v>250</v>
      </c>
      <c r="Z23" s="87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144</v>
      </c>
      <c r="J24" s="12">
        <f>IF(ISNUMBER(SEARCH("营",main!R24)),(-$Y24+50*IF(main!$AK24="是",main!$BB$4,main!$BB$3)),(VLOOKUP(main!R24,main!$AO$4:$AQ$55,2,FALSE))*IF(main!$AK24="是",main!$BB$4,main!$BB$3))</f>
        <v>144</v>
      </c>
      <c r="K24" s="12">
        <f>IF(ISNUMBER(SEARCH("营",main!S24)),(-$Y24+50*IF(main!$AK24="是",main!$BB$4,main!$BB$3)),(VLOOKUP(main!S24,main!$AO$4:$AQ$55,2,FALSE))*IF(main!$AK24="是",main!$BB$4,main!$BB$3))</f>
        <v>144</v>
      </c>
      <c r="L24" s="12">
        <f>IF(ISNUMBER(SEARCH("营",main!T24)),(-$Y24+50*IF(main!$AK24="是",main!$BB$4,main!$BB$3)),(VLOOKUP(main!T24,main!$AO$4:$AQ$55,2,FALSE))*IF(main!$AK24="是",main!$BB$4,main!$BB$3))</f>
        <v>120</v>
      </c>
      <c r="M24" s="12">
        <f>IF(ISNUMBER(SEARCH("营",main!U24)),(-$Y24+50*IF(main!$AK24="是",main!$BB$4,main!$BB$3)),(VLOOKUP(main!U24,main!$AO$4:$AQ$55,2,FALSE))*IF(main!$AK24="是",main!$BB$4,main!$BB$3))</f>
        <v>152</v>
      </c>
      <c r="N24" s="12">
        <f>IF(ISNUMBER(SEARCH("营",main!V24)),(-$Y24+50*IF(main!$AK24="是",main!$BB$4,main!$BB$3)),(VLOOKUP(main!V24,main!$AO$4:$AQ$55,2,FALSE))*IF(main!$AK24="是",main!$BB$4,main!$BB$3))</f>
        <v>152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160</v>
      </c>
      <c r="R24" s="12">
        <f>IF(ISNUMBER(SEARCH("营",main!Z24)),(-$Y24+50*IF(main!$AK24="是",main!$BB$4,main!$BB$3)),(VLOOKUP(main!Z24,main!$AO$4:$AQ$55,2,FALSE))*IF(main!$AK24="是",main!$BB$4,main!$BB$3))</f>
        <v>160</v>
      </c>
      <c r="S24" s="12">
        <f>IF(ISNUMBER(SEARCH("营",main!AA24)),(-$Y24+50*IF(main!$AK24="是",main!$BB$4,main!$BB$3)),(VLOOKUP(main!AA24,main!$AO$4:$AQ$55,2,FALSE))*IF(main!$AK24="是",main!$BB$4,main!$BB$3))</f>
        <v>160</v>
      </c>
      <c r="T24" s="12">
        <f>IF(ISNUMBER(SEARCH("营",main!AB24)),(-$Y24+50*IF(main!$AK24="是",main!$BB$4,main!$BB$3)),(VLOOKUP(main!AB24,main!$AO$4:$AQ$55,2,FALSE))*IF(main!$AK24="是",main!$BB$4,main!$BB$3))</f>
        <v>160</v>
      </c>
      <c r="U24" s="12">
        <f>IF(ISNUMBER(SEARCH("营",main!AC24)),(-$Y24+50*IF(main!$AK24="是",main!$BB$4,main!$BB$3)),(VLOOKUP(main!AC24,main!$AO$4:$AQ$55,2,FALSE))*IF(main!$AK24="是",main!$BB$4,main!$BB$3))</f>
        <v>160</v>
      </c>
      <c r="V24" s="12">
        <f>IF(ISNUMBER(SEARCH("营",main!AD24)),(-$Y24+50*IF(main!$AK24="是",main!$BB$4,main!$BB$3)),(VLOOKUP(main!AD24,main!$AO$4:$AQ$55,2,FALSE))*IF(main!$AK24="是",main!$BB$4,main!$BB$3))</f>
        <v>160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7">
        <v>200</v>
      </c>
      <c r="Z24" s="15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144</v>
      </c>
      <c r="J25" s="12">
        <f>IF(ISNUMBER(SEARCH("营",main!R25)),(-$Y25+50*IF(main!$AK25="是",main!$BB$4,main!$BB$3)),(VLOOKUP(main!R25,main!$AO$4:$AQ$55,2,FALSE))*IF(main!$AK25="是",main!$BB$4,main!$BB$3))</f>
        <v>152</v>
      </c>
      <c r="K25" s="12">
        <f>IF(ISNUMBER(SEARCH("营",main!S25)),(-$Y25+50*IF(main!$AK25="是",main!$BB$4,main!$BB$3)),(VLOOKUP(main!S25,main!$AO$4:$AQ$55,2,FALSE))*IF(main!$AK25="是",main!$BB$4,main!$BB$3))</f>
        <v>144</v>
      </c>
      <c r="L25" s="12">
        <f>IF(ISNUMBER(SEARCH("营",main!T25)),(-$Y25+50*IF(main!$AK25="是",main!$BB$4,main!$BB$3)),(VLOOKUP(main!T25,main!$AO$4:$AQ$55,2,FALSE))*IF(main!$AK25="是",main!$BB$4,main!$BB$3))</f>
        <v>144</v>
      </c>
      <c r="M25" s="12">
        <f>IF(ISNUMBER(SEARCH("营",main!U25)),(-$Y25+50*IF(main!$AK25="是",main!$BB$4,main!$BB$3)),(VLOOKUP(main!U25,main!$AO$4:$AQ$55,2,FALSE))*IF(main!$AK25="是",main!$BB$4,main!$BB$3))</f>
        <v>144</v>
      </c>
      <c r="N25" s="12">
        <f>IF(ISNUMBER(SEARCH("营",main!V25)),(-$Y25+50*IF(main!$AK25="是",main!$BB$4,main!$BB$3)),(VLOOKUP(main!V25,main!$AO$4:$AQ$55,2,FALSE))*IF(main!$AK25="是",main!$BB$4,main!$BB$3))</f>
        <v>144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160</v>
      </c>
      <c r="R25" s="12">
        <f>IF(ISNUMBER(SEARCH("营",main!Z25)),(-$Y25+50*IF(main!$AK25="是",main!$BB$4,main!$BB$3)),(VLOOKUP(main!Z25,main!$AO$4:$AQ$55,2,FALSE))*IF(main!$AK25="是",main!$BB$4,main!$BB$3))</f>
        <v>160</v>
      </c>
      <c r="S25" s="12">
        <f>IF(ISNUMBER(SEARCH("营",main!AA25)),(-$Y25+50*IF(main!$AK25="是",main!$BB$4,main!$BB$3)),(VLOOKUP(main!AA25,main!$AO$4:$AQ$55,2,FALSE))*IF(main!$AK25="是",main!$BB$4,main!$BB$3))</f>
        <v>160</v>
      </c>
      <c r="T25" s="12">
        <f>IF(ISNUMBER(SEARCH("营",main!AB25)),(-$Y25+50*IF(main!$AK25="是",main!$BB$4,main!$BB$3)),(VLOOKUP(main!AB25,main!$AO$4:$AQ$55,2,FALSE))*IF(main!$AK25="是",main!$BB$4,main!$BB$3))</f>
        <v>160</v>
      </c>
      <c r="U25" s="12">
        <f>IF(ISNUMBER(SEARCH("营",main!AC25)),(-$Y25+50*IF(main!$AK25="是",main!$BB$4,main!$BB$3)),(VLOOKUP(main!AC25,main!$AO$4:$AQ$55,2,FALSE))*IF(main!$AK25="是",main!$BB$4,main!$BB$3))</f>
        <v>160</v>
      </c>
      <c r="V25" s="12">
        <f>IF(ISNUMBER(SEARCH("营",main!AD25)),(-$Y25+50*IF(main!$AK25="是",main!$BB$4,main!$BB$3)),(VLOOKUP(main!AD25,main!$AO$4:$AQ$55,2,FALSE))*IF(main!$AK25="是",main!$BB$4,main!$BB$3))</f>
        <v>160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7">
        <v>200</v>
      </c>
      <c r="Z25" s="15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152</v>
      </c>
      <c r="J26" s="12">
        <f>IF(ISNUMBER(SEARCH("营",main!R26)),(-$Y26+50*IF(main!$AK26="是",main!$BB$4,main!$BB$3)),(VLOOKUP(main!R26,main!$AO$4:$AQ$55,2,FALSE))*IF(main!$AK26="是",main!$BB$4,main!$BB$3))</f>
        <v>152</v>
      </c>
      <c r="K26" s="12">
        <f>IF(ISNUMBER(SEARCH("营",main!S26)),(-$Y26+50*IF(main!$AK26="是",main!$BB$4,main!$BB$3)),(VLOOKUP(main!S26,main!$AO$4:$AQ$55,2,FALSE))*IF(main!$AK26="是",main!$BB$4,main!$BB$3))</f>
        <v>152</v>
      </c>
      <c r="L26" s="12">
        <f>IF(ISNUMBER(SEARCH("营",main!T26)),(-$Y26+50*IF(main!$AK26="是",main!$BB$4,main!$BB$3)),(VLOOKUP(main!T26,main!$AO$4:$AQ$55,2,FALSE))*IF(main!$AK26="是",main!$BB$4,main!$BB$3))</f>
        <v>152</v>
      </c>
      <c r="M26" s="12">
        <f>IF(ISNUMBER(SEARCH("营",main!U26)),(-$Y26+50*IF(main!$AK26="是",main!$BB$4,main!$BB$3)),(VLOOKUP(main!U26,main!$AO$4:$AQ$55,2,FALSE))*IF(main!$AK26="是",main!$BB$4,main!$BB$3))</f>
        <v>144</v>
      </c>
      <c r="N26" s="12">
        <f>IF(ISNUMBER(SEARCH("营",main!V26)),(-$Y26+50*IF(main!$AK26="是",main!$BB$4,main!$BB$3)),(VLOOKUP(main!V26,main!$AO$4:$AQ$55,2,FALSE))*IF(main!$AK26="是",main!$BB$4,main!$BB$3))</f>
        <v>144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7">
        <v>200</v>
      </c>
      <c r="Z26" s="15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152</v>
      </c>
      <c r="M27" s="12">
        <f>IF(ISNUMBER(SEARCH("营",main!U27)),(-$Y27+50*IF(main!$AK27="是",main!$BB$4,main!$BB$3)),(VLOOKUP(main!U27,main!$AO$4:$AQ$55,2,FALSE))*IF(main!$AK27="是",main!$BB$4,main!$BB$3))</f>
        <v>152</v>
      </c>
      <c r="N27" s="12">
        <f>IF(ISNUMBER(SEARCH("营",main!V27)),(-$Y27+50*IF(main!$AK27="是",main!$BB$4,main!$BB$3)),(VLOOKUP(main!V27,main!$AO$4:$AQ$55,2,FALSE))*IF(main!$AK27="是",main!$BB$4,main!$BB$3))</f>
        <v>120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160</v>
      </c>
      <c r="R27" s="12">
        <f>IF(ISNUMBER(SEARCH("营",main!Z27)),(-$Y27+50*IF(main!$AK27="是",main!$BB$4,main!$BB$3)),(VLOOKUP(main!Z27,main!$AO$4:$AQ$55,2,FALSE))*IF(main!$AK27="是",main!$BB$4,main!$BB$3))</f>
        <v>160</v>
      </c>
      <c r="S27" s="12">
        <f>IF(ISNUMBER(SEARCH("营",main!AA27)),(-$Y27+50*IF(main!$AK27="是",main!$BB$4,main!$BB$3)),(VLOOKUP(main!AA27,main!$AO$4:$AQ$55,2,FALSE))*IF(main!$AK27="是",main!$BB$4,main!$BB$3))</f>
        <v>160</v>
      </c>
      <c r="T27" s="12">
        <f>IF(ISNUMBER(SEARCH("营",main!AB27)),(-$Y27+50*IF(main!$AK27="是",main!$BB$4,main!$BB$3)),(VLOOKUP(main!AB27,main!$AO$4:$AQ$55,2,FALSE))*IF(main!$AK27="是",main!$BB$4,main!$BB$3))</f>
        <v>160</v>
      </c>
      <c r="U27" s="12">
        <f>IF(ISNUMBER(SEARCH("营",main!AC27)),(-$Y27+50*IF(main!$AK27="是",main!$BB$4,main!$BB$3)),(VLOOKUP(main!AC27,main!$AO$4:$AQ$55,2,FALSE))*IF(main!$AK27="是",main!$BB$4,main!$BB$3))</f>
        <v>160</v>
      </c>
      <c r="V27" s="12">
        <f>IF(ISNUMBER(SEARCH("营",main!AD27)),(-$Y27+50*IF(main!$AK27="是",main!$BB$4,main!$BB$3)),(VLOOKUP(main!AD27,main!$AO$4:$AQ$55,2,FALSE))*IF(main!$AK27="是",main!$BB$4,main!$BB$3))</f>
        <v>160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7">
        <v>200</v>
      </c>
      <c r="Z27" s="15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152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152</v>
      </c>
      <c r="M28" s="12">
        <f>IF(ISNUMBER(SEARCH("营",main!U28)),(-$Y28+50*IF(main!$AK28="是",main!$BB$4,main!$BB$3)),(VLOOKUP(main!U28,main!$AO$4:$AQ$55,2,FALSE))*IF(main!$AK28="是",main!$BB$4,main!$BB$3))</f>
        <v>152</v>
      </c>
      <c r="N28" s="12">
        <f>IF(ISNUMBER(SEARCH("营",main!V28)),(-$Y28+50*IF(main!$AK28="是",main!$BB$4,main!$BB$3)),(VLOOKUP(main!V28,main!$AO$4:$AQ$55,2,FALSE))*IF(main!$AK28="是",main!$BB$4,main!$BB$3))</f>
        <v>152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160</v>
      </c>
      <c r="R28" s="12">
        <f>IF(ISNUMBER(SEARCH("营",main!Z28)),(-$Y28+50*IF(main!$AK28="是",main!$BB$4,main!$BB$3)),(VLOOKUP(main!Z28,main!$AO$4:$AQ$55,2,FALSE))*IF(main!$AK28="是",main!$BB$4,main!$BB$3))</f>
        <v>120</v>
      </c>
      <c r="S28" s="12">
        <f>IF(ISNUMBER(SEARCH("营",main!AA28)),(-$Y28+50*IF(main!$AK28="是",main!$BB$4,main!$BB$3)),(VLOOKUP(main!AA28,main!$AO$4:$AQ$55,2,FALSE))*IF(main!$AK28="是",main!$BB$4,main!$BB$3))</f>
        <v>160</v>
      </c>
      <c r="T28" s="12">
        <f>IF(ISNUMBER(SEARCH("营",main!AB28)),(-$Y28+50*IF(main!$AK28="是",main!$BB$4,main!$BB$3)),(VLOOKUP(main!AB28,main!$AO$4:$AQ$55,2,FALSE))*IF(main!$AK28="是",main!$BB$4,main!$BB$3))</f>
        <v>160</v>
      </c>
      <c r="U28" s="12">
        <f>IF(ISNUMBER(SEARCH("营",main!AC28)),(-$Y28+50*IF(main!$AK28="是",main!$BB$4,main!$BB$3)),(VLOOKUP(main!AC28,main!$AO$4:$AQ$55,2,FALSE))*IF(main!$AK28="是",main!$BB$4,main!$BB$3))</f>
        <v>160</v>
      </c>
      <c r="V28" s="12">
        <f>IF(ISNUMBER(SEARCH("营",main!AD28)),(-$Y28+50*IF(main!$AK28="是",main!$BB$4,main!$BB$3)),(VLOOKUP(main!AD28,main!$AO$4:$AQ$55,2,FALSE))*IF(main!$AK28="是",main!$BB$4,main!$BB$3))</f>
        <v>160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7">
        <v>200</v>
      </c>
      <c r="Z28" s="15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152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152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152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7">
        <v>200</v>
      </c>
      <c r="Z29" s="15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152</v>
      </c>
      <c r="K30" s="12">
        <f>IF(ISNUMBER(SEARCH("营",main!S30)),(-$Y30+50*IF(main!$AK30="是",main!$BB$4,main!$BB$3)),(VLOOKUP(main!S30,main!$AO$4:$AQ$55,2,FALSE))*IF(main!$AK30="是",main!$BB$4,main!$BB$3))</f>
        <v>152</v>
      </c>
      <c r="L30" s="12">
        <f>IF(ISNUMBER(SEARCH("营",main!T30)),(-$Y30+50*IF(main!$AK30="是",main!$BB$4,main!$BB$3)),(VLOOKUP(main!T30,main!$AO$4:$AQ$55,2,FALSE))*IF(main!$AK30="是",main!$BB$4,main!$BB$3))</f>
        <v>144</v>
      </c>
      <c r="M30" s="12">
        <f>IF(ISNUMBER(SEARCH("营",main!U30)),(-$Y30+50*IF(main!$AK30="是",main!$BB$4,main!$BB$3)),(VLOOKUP(main!U30,main!$AO$4:$AQ$55,2,FALSE))*IF(main!$AK30="是",main!$BB$4,main!$BB$3))</f>
        <v>144</v>
      </c>
      <c r="N30" s="12">
        <f>IF(ISNUMBER(SEARCH("营",main!V30)),(-$Y30+50*IF(main!$AK30="是",main!$BB$4,main!$BB$3)),(VLOOKUP(main!V30,main!$AO$4:$AQ$55,2,FALSE))*IF(main!$AK30="是",main!$BB$4,main!$BB$3))</f>
        <v>152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160</v>
      </c>
      <c r="R30" s="12">
        <f>IF(ISNUMBER(SEARCH("营",main!Z30)),(-$Y30+50*IF(main!$AK30="是",main!$BB$4,main!$BB$3)),(VLOOKUP(main!Z30,main!$AO$4:$AQ$55,2,FALSE))*IF(main!$AK30="是",main!$BB$4,main!$BB$3))</f>
        <v>160</v>
      </c>
      <c r="S30" s="12">
        <f>IF(ISNUMBER(SEARCH("营",main!AA30)),(-$Y30+50*IF(main!$AK30="是",main!$BB$4,main!$BB$3)),(VLOOKUP(main!AA30,main!$AO$4:$AQ$55,2,FALSE))*IF(main!$AK30="是",main!$BB$4,main!$BB$3))</f>
        <v>160</v>
      </c>
      <c r="T30" s="12">
        <f>IF(ISNUMBER(SEARCH("营",main!AB30)),(-$Y30+50*IF(main!$AK30="是",main!$BB$4,main!$BB$3)),(VLOOKUP(main!AB30,main!$AO$4:$AQ$55,2,FALSE))*IF(main!$AK30="是",main!$BB$4,main!$BB$3))</f>
        <v>160</v>
      </c>
      <c r="U30" s="12">
        <f>IF(ISNUMBER(SEARCH("营",main!AC30)),(-$Y30+50*IF(main!$AK30="是",main!$BB$4,main!$BB$3)),(VLOOKUP(main!AC30,main!$AO$4:$AQ$55,2,FALSE))*IF(main!$AK30="是",main!$BB$4,main!$BB$3))</f>
        <v>160</v>
      </c>
      <c r="V30" s="12">
        <f>IF(ISNUMBER(SEARCH("营",main!AD30)),(-$Y30+50*IF(main!$AK30="是",main!$BB$4,main!$BB$3)),(VLOOKUP(main!AD30,main!$AO$4:$AQ$55,2,FALSE))*IF(main!$AK30="是",main!$BB$4,main!$BB$3))</f>
        <v>160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7">
        <v>200</v>
      </c>
      <c r="Z30" s="15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144</v>
      </c>
      <c r="J31" s="12">
        <f>IF(ISNUMBER(SEARCH("营",main!R31)),(-$Y31+50*IF(main!$AK31="是",main!$BB$4,main!$BB$3)),(VLOOKUP(main!R31,main!$AO$4:$AQ$55,2,FALSE))*IF(main!$AK31="是",main!$BB$4,main!$BB$3))</f>
        <v>144</v>
      </c>
      <c r="K31" s="12">
        <f>IF(ISNUMBER(SEARCH("营",main!S31)),(-$Y31+50*IF(main!$AK31="是",main!$BB$4,main!$BB$3)),(VLOOKUP(main!S31,main!$AO$4:$AQ$55,2,FALSE))*IF(main!$AK31="是",main!$BB$4,main!$BB$3))</f>
        <v>144</v>
      </c>
      <c r="L31" s="12">
        <f>IF(ISNUMBER(SEARCH("营",main!T31)),(-$Y31+50*IF(main!$AK31="是",main!$BB$4,main!$BB$3)),(VLOOKUP(main!T31,main!$AO$4:$AQ$55,2,FALSE))*IF(main!$AK31="是",main!$BB$4,main!$BB$3))</f>
        <v>144</v>
      </c>
      <c r="M31" s="12">
        <f>IF(ISNUMBER(SEARCH("营",main!U31)),(-$Y31+50*IF(main!$AK31="是",main!$BB$4,main!$BB$3)),(VLOOKUP(main!U31,main!$AO$4:$AQ$55,2,FALSE))*IF(main!$AK31="是",main!$BB$4,main!$BB$3))</f>
        <v>152</v>
      </c>
      <c r="N31" s="12">
        <f>IF(ISNUMBER(SEARCH("营",main!V31)),(-$Y31+50*IF(main!$AK31="是",main!$BB$4,main!$BB$3)),(VLOOKUP(main!V31,main!$AO$4:$AQ$55,2,FALSE))*IF(main!$AK31="是",main!$BB$4,main!$BB$3))</f>
        <v>152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160</v>
      </c>
      <c r="R31" s="12">
        <f>IF(ISNUMBER(SEARCH("营",main!Z31)),(-$Y31+50*IF(main!$AK31="是",main!$BB$4,main!$BB$3)),(VLOOKUP(main!Z31,main!$AO$4:$AQ$55,2,FALSE))*IF(main!$AK31="是",main!$BB$4,main!$BB$3))</f>
        <v>160</v>
      </c>
      <c r="S31" s="12">
        <f>IF(ISNUMBER(SEARCH("营",main!AA31)),(-$Y31+50*IF(main!$AK31="是",main!$BB$4,main!$BB$3)),(VLOOKUP(main!AA31,main!$AO$4:$AQ$55,2,FALSE))*IF(main!$AK31="是",main!$BB$4,main!$BB$3))</f>
        <v>160</v>
      </c>
      <c r="T31" s="12">
        <f>IF(ISNUMBER(SEARCH("营",main!AB31)),(-$Y31+50*IF(main!$AK31="是",main!$BB$4,main!$BB$3)),(VLOOKUP(main!AB31,main!$AO$4:$AQ$55,2,FALSE))*IF(main!$AK31="是",main!$BB$4,main!$BB$3))</f>
        <v>160</v>
      </c>
      <c r="U31" s="12">
        <f>IF(ISNUMBER(SEARCH("营",main!AC31)),(-$Y31+50*IF(main!$AK31="是",main!$BB$4,main!$BB$3)),(VLOOKUP(main!AC31,main!$AO$4:$AQ$55,2,FALSE))*IF(main!$AK31="是",main!$BB$4,main!$BB$3))</f>
        <v>160</v>
      </c>
      <c r="V31" s="12">
        <f>IF(ISNUMBER(SEARCH("营",main!AD31)),(-$Y31+50*IF(main!$AK31="是",main!$BB$4,main!$BB$3)),(VLOOKUP(main!AD31,main!$AO$4:$AQ$55,2,FALSE))*IF(main!$AK31="是",main!$BB$4,main!$BB$3))</f>
        <v>160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7">
        <v>200</v>
      </c>
      <c r="Z31" s="15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120</v>
      </c>
      <c r="J32" s="12">
        <f>IF(ISNUMBER(SEARCH("营",main!R32)),(-$Y32+50*IF(main!$AK32="是",main!$BB$4,main!$BB$3)),(VLOOKUP(main!R32,main!$AO$4:$AQ$55,2,FALSE))*IF(main!$AK32="是",main!$BB$4,main!$BB$3))</f>
        <v>144</v>
      </c>
      <c r="K32" s="12">
        <f>IF(ISNUMBER(SEARCH("营",main!S32)),(-$Y32+50*IF(main!$AK32="是",main!$BB$4,main!$BB$3)),(VLOOKUP(main!S32,main!$AO$4:$AQ$55,2,FALSE))*IF(main!$AK32="是",main!$BB$4,main!$BB$3))</f>
        <v>144</v>
      </c>
      <c r="L32" s="12">
        <f>IF(ISNUMBER(SEARCH("营",main!T32)),(-$Y32+50*IF(main!$AK32="是",main!$BB$4,main!$BB$3)),(VLOOKUP(main!T32,main!$AO$4:$AQ$55,2,FALSE))*IF(main!$AK32="是",main!$BB$4,main!$BB$3))</f>
        <v>144</v>
      </c>
      <c r="M32" s="12">
        <f>IF(ISNUMBER(SEARCH("营",main!U32)),(-$Y32+50*IF(main!$AK32="是",main!$BB$4,main!$BB$3)),(VLOOKUP(main!U32,main!$AO$4:$AQ$55,2,FALSE))*IF(main!$AK32="是",main!$BB$4,main!$BB$3))</f>
        <v>144</v>
      </c>
      <c r="N32" s="12">
        <f>IF(ISNUMBER(SEARCH("营",main!V32)),(-$Y32+50*IF(main!$AK32="是",main!$BB$4,main!$BB$3)),(VLOOKUP(main!V32,main!$AO$4:$AQ$55,2,FALSE))*IF(main!$AK32="是",main!$BB$4,main!$BB$3))</f>
        <v>120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7">
        <v>200</v>
      </c>
      <c r="Z32" s="15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152</v>
      </c>
      <c r="J33" s="12">
        <f>IF(ISNUMBER(SEARCH("营",main!R33)),(-$Y33+50*IF(main!$AK33="是",main!$BB$4,main!$BB$3)),(VLOOKUP(main!R33,main!$AO$4:$AQ$55,2,FALSE))*IF(main!$AK33="是",main!$BB$4,main!$BB$3))</f>
        <v>144</v>
      </c>
      <c r="K33" s="12">
        <f>IF(ISNUMBER(SEARCH("营",main!S33)),(-$Y33+50*IF(main!$AK33="是",main!$BB$4,main!$BB$3)),(VLOOKUP(main!S33,main!$AO$4:$AQ$55,2,FALSE))*IF(main!$AK33="是",main!$BB$4,main!$BB$3))</f>
        <v>152</v>
      </c>
      <c r="L33" s="12">
        <f>IF(ISNUMBER(SEARCH("营",main!T33)),(-$Y33+50*IF(main!$AK33="是",main!$BB$4,main!$BB$3)),(VLOOKUP(main!T33,main!$AO$4:$AQ$55,2,FALSE))*IF(main!$AK33="是",main!$BB$4,main!$BB$3))</f>
        <v>144</v>
      </c>
      <c r="M33" s="12">
        <f>IF(ISNUMBER(SEARCH("营",main!U33)),(-$Y33+50*IF(main!$AK33="是",main!$BB$4,main!$BB$3)),(VLOOKUP(main!U33,main!$AO$4:$AQ$55,2,FALSE))*IF(main!$AK33="是",main!$BB$4,main!$BB$3))</f>
        <v>152</v>
      </c>
      <c r="N33" s="12">
        <f>IF(ISNUMBER(SEARCH("营",main!V33)),(-$Y33+50*IF(main!$AK33="是",main!$BB$4,main!$BB$3)),(VLOOKUP(main!V33,main!$AO$4:$AQ$55,2,FALSE))*IF(main!$AK33="是",main!$BB$4,main!$BB$3))</f>
        <v>120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160</v>
      </c>
      <c r="R33" s="12">
        <f>IF(ISNUMBER(SEARCH("营",main!Z33)),(-$Y33+50*IF(main!$AK33="是",main!$BB$4,main!$BB$3)),(VLOOKUP(main!Z33,main!$AO$4:$AQ$55,2,FALSE))*IF(main!$AK33="是",main!$BB$4,main!$BB$3))</f>
        <v>160</v>
      </c>
      <c r="S33" s="12">
        <f>IF(ISNUMBER(SEARCH("营",main!AA33)),(-$Y33+50*IF(main!$AK33="是",main!$BB$4,main!$BB$3)),(VLOOKUP(main!AA33,main!$AO$4:$AQ$55,2,FALSE))*IF(main!$AK33="是",main!$BB$4,main!$BB$3))</f>
        <v>160</v>
      </c>
      <c r="T33" s="12">
        <f>IF(ISNUMBER(SEARCH("营",main!AB33)),(-$Y33+50*IF(main!$AK33="是",main!$BB$4,main!$BB$3)),(VLOOKUP(main!AB33,main!$AO$4:$AQ$55,2,FALSE))*IF(main!$AK33="是",main!$BB$4,main!$BB$3))</f>
        <v>160</v>
      </c>
      <c r="U33" s="12">
        <f>IF(ISNUMBER(SEARCH("营",main!AC33)),(-$Y33+50*IF(main!$AK33="是",main!$BB$4,main!$BB$3)),(VLOOKUP(main!AC33,main!$AO$4:$AQ$55,2,FALSE))*IF(main!$AK33="是",main!$BB$4,main!$BB$3))</f>
        <v>160</v>
      </c>
      <c r="V33" s="12">
        <f>IF(ISNUMBER(SEARCH("营",main!AD33)),(-$Y33+50*IF(main!$AK33="是",main!$BB$4,main!$BB$3)),(VLOOKUP(main!AD33,main!$AO$4:$AQ$55,2,FALSE))*IF(main!$AK33="是",main!$BB$4,main!$BB$3))</f>
        <v>160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7">
        <v>200</v>
      </c>
      <c r="Z33" s="15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144</v>
      </c>
      <c r="J34" s="12">
        <f>IF(ISNUMBER(SEARCH("营",main!R34)),(-$Y34+50*IF(main!$AK34="是",main!$BB$4,main!$BB$3)),(VLOOKUP(main!R34,main!$AO$4:$AQ$55,2,FALSE))*IF(main!$AK34="是",main!$BB$4,main!$BB$3))</f>
        <v>144</v>
      </c>
      <c r="K34" s="12">
        <f>IF(ISNUMBER(SEARCH("营",main!S34)),(-$Y34+50*IF(main!$AK34="是",main!$BB$4,main!$BB$3)),(VLOOKUP(main!S34,main!$AO$4:$AQ$55,2,FALSE))*IF(main!$AK34="是",main!$BB$4,main!$BB$3))</f>
        <v>152</v>
      </c>
      <c r="L34" s="12">
        <f>IF(ISNUMBER(SEARCH("营",main!T34)),(-$Y34+50*IF(main!$AK34="是",main!$BB$4,main!$BB$3)),(VLOOKUP(main!T34,main!$AO$4:$AQ$55,2,FALSE))*IF(main!$AK34="是",main!$BB$4,main!$BB$3))</f>
        <v>152</v>
      </c>
      <c r="M34" s="12">
        <f>IF(ISNUMBER(SEARCH("营",main!U34)),(-$Y34+50*IF(main!$AK34="是",main!$BB$4,main!$BB$3)),(VLOOKUP(main!U34,main!$AO$4:$AQ$55,2,FALSE))*IF(main!$AK34="是",main!$BB$4,main!$BB$3))</f>
        <v>152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160</v>
      </c>
      <c r="R34" s="12">
        <f>IF(ISNUMBER(SEARCH("营",main!Z34)),(-$Y34+50*IF(main!$AK34="是",main!$BB$4,main!$BB$3)),(VLOOKUP(main!Z34,main!$AO$4:$AQ$55,2,FALSE))*IF(main!$AK34="是",main!$BB$4,main!$BB$3))</f>
        <v>160</v>
      </c>
      <c r="S34" s="12">
        <f>IF(ISNUMBER(SEARCH("营",main!AA34)),(-$Y34+50*IF(main!$AK34="是",main!$BB$4,main!$BB$3)),(VLOOKUP(main!AA34,main!$AO$4:$AQ$55,2,FALSE))*IF(main!$AK34="是",main!$BB$4,main!$BB$3))</f>
        <v>160</v>
      </c>
      <c r="T34" s="12">
        <f>IF(ISNUMBER(SEARCH("营",main!AB34)),(-$Y34+50*IF(main!$AK34="是",main!$BB$4,main!$BB$3)),(VLOOKUP(main!AB34,main!$AO$4:$AQ$55,2,FALSE))*IF(main!$AK34="是",main!$BB$4,main!$BB$3))</f>
        <v>160</v>
      </c>
      <c r="U34" s="12">
        <f>IF(ISNUMBER(SEARCH("营",main!AC34)),(-$Y34+50*IF(main!$AK34="是",main!$BB$4,main!$BB$3)),(VLOOKUP(main!AC34,main!$AO$4:$AQ$55,2,FALSE))*IF(main!$AK34="是",main!$BB$4,main!$BB$3))</f>
        <v>160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7">
        <v>200</v>
      </c>
      <c r="Z34" s="15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136</v>
      </c>
      <c r="J35" s="12">
        <f>IF(ISNUMBER(SEARCH("营",main!R35)),(-$Y35+50*IF(main!$AK35="是",main!$BB$4,main!$BB$3)),(VLOOKUP(main!R35,main!$AO$4:$AQ$55,2,FALSE))*IF(main!$AK35="是",main!$BB$4,main!$BB$3))</f>
        <v>144</v>
      </c>
      <c r="K35" s="12">
        <f>IF(ISNUMBER(SEARCH("营",main!S35)),(-$Y35+50*IF(main!$AK35="是",main!$BB$4,main!$BB$3)),(VLOOKUP(main!S35,main!$AO$4:$AQ$55,2,FALSE))*IF(main!$AK35="是",main!$BB$4,main!$BB$3))</f>
        <v>144</v>
      </c>
      <c r="L35" s="12">
        <f>IF(ISNUMBER(SEARCH("营",main!T35)),(-$Y35+50*IF(main!$AK35="是",main!$BB$4,main!$BB$3)),(VLOOKUP(main!T35,main!$AO$4:$AQ$55,2,FALSE))*IF(main!$AK35="是",main!$BB$4,main!$BB$3))</f>
        <v>144</v>
      </c>
      <c r="M35" s="12">
        <f>IF(ISNUMBER(SEARCH("营",main!U35)),(-$Y35+50*IF(main!$AK35="是",main!$BB$4,main!$BB$3)),(VLOOKUP(main!U35,main!$AO$4:$AQ$55,2,FALSE))*IF(main!$AK35="是",main!$BB$4,main!$BB$3))</f>
        <v>144</v>
      </c>
      <c r="N35" s="12">
        <f>IF(ISNUMBER(SEARCH("营",main!V35)),(-$Y35+50*IF(main!$AK35="是",main!$BB$4,main!$BB$3)),(VLOOKUP(main!V35,main!$AO$4:$AQ$55,2,FALSE))*IF(main!$AK35="是",main!$BB$4,main!$BB$3))</f>
        <v>144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7">
        <v>200</v>
      </c>
      <c r="Z35" s="15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144</v>
      </c>
      <c r="J36" s="12">
        <f>IF(ISNUMBER(SEARCH("营",main!R36)),(-$Y36+50*IF(main!$AK36="是",main!$BB$4,main!$BB$3)),(VLOOKUP(main!R36,main!$AO$4:$AQ$55,2,FALSE))*IF(main!$AK36="是",main!$BB$4,main!$BB$3))</f>
        <v>144</v>
      </c>
      <c r="K36" s="12">
        <f>IF(ISNUMBER(SEARCH("营",main!S36)),(-$Y36+50*IF(main!$AK36="是",main!$BB$4,main!$BB$3)),(VLOOKUP(main!S36,main!$AO$4:$AQ$55,2,FALSE))*IF(main!$AK36="是",main!$BB$4,main!$BB$3))</f>
        <v>144</v>
      </c>
      <c r="L36" s="12">
        <f>IF(ISNUMBER(SEARCH("营",main!T36)),(-$Y36+50*IF(main!$AK36="是",main!$BB$4,main!$BB$3)),(VLOOKUP(main!T36,main!$AO$4:$AQ$55,2,FALSE))*IF(main!$AK36="是",main!$BB$4,main!$BB$3))</f>
        <v>144</v>
      </c>
      <c r="M36" s="12">
        <f>IF(ISNUMBER(SEARCH("营",main!U36)),(-$Y36+50*IF(main!$AK36="是",main!$BB$4,main!$BB$3)),(VLOOKUP(main!U36,main!$AO$4:$AQ$55,2,FALSE))*IF(main!$AK36="是",main!$BB$4,main!$BB$3))</f>
        <v>144</v>
      </c>
      <c r="N36" s="12">
        <f>IF(ISNUMBER(SEARCH("营",main!V36)),(-$Y36+50*IF(main!$AK36="是",main!$BB$4,main!$BB$3)),(VLOOKUP(main!V36,main!$AO$4:$AQ$55,2,FALSE))*IF(main!$AK36="是",main!$BB$4,main!$BB$3))</f>
        <v>160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160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160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7">
        <v>200</v>
      </c>
      <c r="Z36" s="15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160</v>
      </c>
      <c r="R37" s="12">
        <f>IF(ISNUMBER(SEARCH("营",main!Z37)),(-$Y37+50*IF(main!$AK37="是",main!$BB$4,main!$BB$3)),(VLOOKUP(main!Z37,main!$AO$4:$AQ$55,2,FALSE))*IF(main!$AK37="是",main!$BB$4,main!$BB$3))</f>
        <v>160</v>
      </c>
      <c r="S37" s="12">
        <f>IF(ISNUMBER(SEARCH("营",main!AA37)),(-$Y37+50*IF(main!$AK37="是",main!$BB$4,main!$BB$3)),(VLOOKUP(main!AA37,main!$AO$4:$AQ$55,2,FALSE))*IF(main!$AK37="是",main!$BB$4,main!$BB$3))</f>
        <v>160</v>
      </c>
      <c r="T37" s="12">
        <f>IF(ISNUMBER(SEARCH("营",main!AB37)),(-$Y37+50*IF(main!$AK37="是",main!$BB$4,main!$BB$3)),(VLOOKUP(main!AB37,main!$AO$4:$AQ$55,2,FALSE))*IF(main!$AK37="是",main!$BB$4,main!$BB$3))</f>
        <v>160</v>
      </c>
      <c r="U37" s="12">
        <f>IF(ISNUMBER(SEARCH("营",main!AC37)),(-$Y37+50*IF(main!$AK37="是",main!$BB$4,main!$BB$3)),(VLOOKUP(main!AC37,main!$AO$4:$AQ$55,2,FALSE))*IF(main!$AK37="是",main!$BB$4,main!$BB$3))</f>
        <v>160</v>
      </c>
      <c r="V37" s="12">
        <f>IF(ISNUMBER(SEARCH("营",main!AD37)),(-$Y37+50*IF(main!$AK37="是",main!$BB$4,main!$BB$3)),(VLOOKUP(main!AD37,main!$AO$4:$AQ$55,2,FALSE))*IF(main!$AK37="是",main!$BB$4,main!$BB$3))</f>
        <v>160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7">
        <v>200</v>
      </c>
      <c r="Z37" s="15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160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7">
        <v>200</v>
      </c>
      <c r="Z38" s="15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40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160</v>
      </c>
      <c r="R39" s="12">
        <f>IF(ISNUMBER(SEARCH("营",main!Z39)),(-$Y39+50*IF(main!$AK39="是",main!$BB$4,main!$BB$3)),(VLOOKUP(main!Z39,main!$AO$4:$AQ$55,2,FALSE))*IF(main!$AK39="是",main!$BB$4,main!$BB$3))</f>
        <v>160</v>
      </c>
      <c r="S39" s="12">
        <f>IF(ISNUMBER(SEARCH("营",main!AA39)),(-$Y39+50*IF(main!$AK39="是",main!$BB$4,main!$BB$3)),(VLOOKUP(main!AA39,main!$AO$4:$AQ$55,2,FALSE))*IF(main!$AK39="是",main!$BB$4,main!$BB$3))</f>
        <v>160</v>
      </c>
      <c r="T39" s="12">
        <f>IF(ISNUMBER(SEARCH("营",main!AB39)),(-$Y39+50*IF(main!$AK39="是",main!$BB$4,main!$BB$3)),(VLOOKUP(main!AB39,main!$AO$4:$AQ$55,2,FALSE))*IF(main!$AK39="是",main!$BB$4,main!$BB$3))</f>
        <v>160</v>
      </c>
      <c r="U39" s="12">
        <f>IF(ISNUMBER(SEARCH("营",main!AC39)),(-$Y39+50*IF(main!$AK39="是",main!$BB$4,main!$BB$3)),(VLOOKUP(main!AC39,main!$AO$4:$AQ$55,2,FALSE))*IF(main!$AK39="是",main!$BB$4,main!$BB$3))</f>
        <v>160</v>
      </c>
      <c r="V39" s="12">
        <f>IF(ISNUMBER(SEARCH("营",main!AD39)),(-$Y39+50*IF(main!$AK39="是",main!$BB$4,main!$BB$3)),(VLOOKUP(main!AD39,main!$AO$4:$AQ$55,2,FALSE))*IF(main!$AK39="是",main!$BB$4,main!$BB$3))</f>
        <v>160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7">
        <v>200</v>
      </c>
      <c r="Z39" s="15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160</v>
      </c>
      <c r="J40" s="12">
        <f>IF(ISNUMBER(SEARCH("营",main!R40)),(-$Y40+50*IF(main!$AK40="是",main!$BB$4,main!$BB$3)),(VLOOKUP(main!R40,main!$AO$4:$AQ$55,2,FALSE))*IF(main!$AK40="是",main!$BB$4,main!$BB$3))</f>
        <v>160</v>
      </c>
      <c r="K40" s="12">
        <f>IF(ISNUMBER(SEARCH("营",main!S40)),(-$Y40+50*IF(main!$AK40="是",main!$BB$4,main!$BB$3)),(VLOOKUP(main!S40,main!$AO$4:$AQ$55,2,FALSE))*IF(main!$AK40="是",main!$BB$4,main!$BB$3))</f>
        <v>160</v>
      </c>
      <c r="L40" s="12">
        <f>IF(ISNUMBER(SEARCH("营",main!T40)),(-$Y40+50*IF(main!$AK40="是",main!$BB$4,main!$BB$3)),(VLOOKUP(main!T40,main!$AO$4:$AQ$55,2,FALSE))*IF(main!$AK40="是",main!$BB$4,main!$BB$3))</f>
        <v>160</v>
      </c>
      <c r="M40" s="12">
        <f>IF(ISNUMBER(SEARCH("营",main!U40)),(-$Y40+50*IF(main!$AK40="是",main!$BB$4,main!$BB$3)),(VLOOKUP(main!U40,main!$AO$4:$AQ$55,2,FALSE))*IF(main!$AK40="是",main!$BB$4,main!$BB$3))</f>
        <v>160</v>
      </c>
      <c r="N40" s="12">
        <f>IF(ISNUMBER(SEARCH("营",main!V40)),(-$Y40+50*IF(main!$AK40="是",main!$BB$4,main!$BB$3)),(VLOOKUP(main!V40,main!$AO$4:$AQ$55,2,FALSE))*IF(main!$AK40="是",main!$BB$4,main!$BB$3))</f>
        <v>160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7">
        <v>200</v>
      </c>
      <c r="Z40" s="15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160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160</v>
      </c>
      <c r="R41" s="12">
        <f>IF(ISNUMBER(SEARCH("营",main!Z41)),(-$Y41+50*IF(main!$AK41="是",main!$BB$4,main!$BB$3)),(VLOOKUP(main!Z41,main!$AO$4:$AQ$55,2,FALSE))*IF(main!$AK41="是",main!$BB$4,main!$BB$3))</f>
        <v>160</v>
      </c>
      <c r="S41" s="12">
        <f>IF(ISNUMBER(SEARCH("营",main!AA41)),(-$Y41+50*IF(main!$AK41="是",main!$BB$4,main!$BB$3)),(VLOOKUP(main!AA41,main!$AO$4:$AQ$55,2,FALSE))*IF(main!$AK41="是",main!$BB$4,main!$BB$3))</f>
        <v>160</v>
      </c>
      <c r="T41" s="12">
        <f>IF(ISNUMBER(SEARCH("营",main!AB41)),(-$Y41+50*IF(main!$AK41="是",main!$BB$4,main!$BB$3)),(VLOOKUP(main!AB41,main!$AO$4:$AQ$55,2,FALSE))*IF(main!$AK41="是",main!$BB$4,main!$BB$3))</f>
        <v>40</v>
      </c>
      <c r="U41" s="12">
        <f>IF(ISNUMBER(SEARCH("营",main!AC41)),(-$Y41+50*IF(main!$AK41="是",main!$BB$4,main!$BB$3)),(VLOOKUP(main!AC41,main!$AO$4:$AQ$55,2,FALSE))*IF(main!$AK41="是",main!$BB$4,main!$BB$3))</f>
        <v>152</v>
      </c>
      <c r="V41" s="12">
        <f>IF(ISNUMBER(SEARCH("营",main!AD41)),(-$Y41+50*IF(main!$AK41="是",main!$BB$4,main!$BB$3)),(VLOOKUP(main!AD41,main!$AO$4:$AQ$55,2,FALSE))*IF(main!$AK41="是",main!$BB$4,main!$BB$3))</f>
        <v>152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7">
        <v>200</v>
      </c>
      <c r="Z41" s="15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160</v>
      </c>
      <c r="J42" s="12">
        <f>IF(ISNUMBER(SEARCH("营",main!R42)),(-$Y42+50*IF(main!$AK42="是",main!$BB$4,main!$BB$3)),(VLOOKUP(main!R42,main!$AO$4:$AQ$55,2,FALSE))*IF(main!$AK42="是",main!$BB$4,main!$BB$3))</f>
        <v>160</v>
      </c>
      <c r="K42" s="12">
        <f>IF(ISNUMBER(SEARCH("营",main!S42)),(-$Y42+50*IF(main!$AK42="是",main!$BB$4,main!$BB$3)),(VLOOKUP(main!S42,main!$AO$4:$AQ$55,2,FALSE))*IF(main!$AK42="是",main!$BB$4,main!$BB$3))</f>
        <v>160</v>
      </c>
      <c r="L42" s="12">
        <f>IF(ISNUMBER(SEARCH("营",main!T42)),(-$Y42+50*IF(main!$AK42="是",main!$BB$4,main!$BB$3)),(VLOOKUP(main!T42,main!$AO$4:$AQ$55,2,FALSE))*IF(main!$AK42="是",main!$BB$4,main!$BB$3))</f>
        <v>144</v>
      </c>
      <c r="M42" s="12">
        <f>IF(ISNUMBER(SEARCH("营",main!U42)),(-$Y42+50*IF(main!$AK42="是",main!$BB$4,main!$BB$3)),(VLOOKUP(main!U42,main!$AO$4:$AQ$55,2,FALSE))*IF(main!$AK42="是",main!$BB$4,main!$BB$3))</f>
        <v>144</v>
      </c>
      <c r="N42" s="12">
        <f>IF(ISNUMBER(SEARCH("营",main!V42)),(-$Y42+50*IF(main!$AK42="是",main!$BB$4,main!$BB$3)),(VLOOKUP(main!V42,main!$AO$4:$AQ$55,2,FALSE))*IF(main!$AK42="是",main!$BB$4,main!$BB$3))</f>
        <v>160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7">
        <v>200</v>
      </c>
      <c r="Z42" s="15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160</v>
      </c>
      <c r="J43" s="12">
        <f>IF(ISNUMBER(SEARCH("营",main!R43)),(-$Y43+50*IF(main!$AK43="是",main!$BB$4,main!$BB$3)),(VLOOKUP(main!R43,main!$AO$4:$AQ$55,2,FALSE))*IF(main!$AK43="是",main!$BB$4,main!$BB$3))</f>
        <v>160</v>
      </c>
      <c r="K43" s="12">
        <f>IF(ISNUMBER(SEARCH("营",main!S43)),(-$Y43+50*IF(main!$AK43="是",main!$BB$4,main!$BB$3)),(VLOOKUP(main!S43,main!$AO$4:$AQ$55,2,FALSE))*IF(main!$AK43="是",main!$BB$4,main!$BB$3))</f>
        <v>160</v>
      </c>
      <c r="L43" s="12">
        <f>IF(ISNUMBER(SEARCH("营",main!T43)),(-$Y43+50*IF(main!$AK43="是",main!$BB$4,main!$BB$3)),(VLOOKUP(main!T43,main!$AO$4:$AQ$55,2,FALSE))*IF(main!$AK43="是",main!$BB$4,main!$BB$3))</f>
        <v>160</v>
      </c>
      <c r="M43" s="12">
        <f>IF(ISNUMBER(SEARCH("营",main!U43)),(-$Y43+50*IF(main!$AK43="是",main!$BB$4,main!$BB$3)),(VLOOKUP(main!U43,main!$AO$4:$AQ$55,2,FALSE))*IF(main!$AK43="是",main!$BB$4,main!$BB$3))</f>
        <v>160</v>
      </c>
      <c r="N43" s="12">
        <f>IF(ISNUMBER(SEARCH("营",main!V43)),(-$Y43+50*IF(main!$AK43="是",main!$BB$4,main!$BB$3)),(VLOOKUP(main!V43,main!$AO$4:$AQ$55,2,FALSE))*IF(main!$AK43="是",main!$BB$4,main!$BB$3))</f>
        <v>160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7">
        <v>200</v>
      </c>
      <c r="Z43" s="15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160</v>
      </c>
      <c r="J44" s="12">
        <f>IF(ISNUMBER(SEARCH("营",main!R44)),(-$Y44+50*IF(main!$AK44="是",main!$BB$4,main!$BB$3)),(VLOOKUP(main!R44,main!$AO$4:$AQ$55,2,FALSE))*IF(main!$AK44="是",main!$BB$4,main!$BB$3))</f>
        <v>160</v>
      </c>
      <c r="K44" s="12">
        <f>IF(ISNUMBER(SEARCH("营",main!S44)),(-$Y44+50*IF(main!$AK44="是",main!$BB$4,main!$BB$3)),(VLOOKUP(main!S44,main!$AO$4:$AQ$55,2,FALSE))*IF(main!$AK44="是",main!$BB$4,main!$BB$3))</f>
        <v>160</v>
      </c>
      <c r="L44" s="12">
        <f>IF(ISNUMBER(SEARCH("营",main!T44)),(-$Y44+50*IF(main!$AK44="是",main!$BB$4,main!$BB$3)),(VLOOKUP(main!T44,main!$AO$4:$AQ$55,2,FALSE))*IF(main!$AK44="是",main!$BB$4,main!$BB$3))</f>
        <v>160</v>
      </c>
      <c r="M44" s="12">
        <f>IF(ISNUMBER(SEARCH("营",main!U44)),(-$Y44+50*IF(main!$AK44="是",main!$BB$4,main!$BB$3)),(VLOOKUP(main!U44,main!$AO$4:$AQ$55,2,FALSE))*IF(main!$AK44="是",main!$BB$4,main!$BB$3))</f>
        <v>160</v>
      </c>
      <c r="N44" s="12">
        <f>IF(ISNUMBER(SEARCH("营",main!V44)),(-$Y44+50*IF(main!$AK44="是",main!$BB$4,main!$BB$3)),(VLOOKUP(main!V44,main!$AO$4:$AQ$55,2,FALSE))*IF(main!$AK44="是",main!$BB$4,main!$BB$3))</f>
        <v>160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6">
        <v>150</v>
      </c>
      <c r="Z44" s="87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160</v>
      </c>
      <c r="J45" s="12">
        <f>IF(ISNUMBER(SEARCH("营",main!R45)),(-$Y45+50*IF(main!$AK45="是",main!$BB$4,main!$BB$3)),(VLOOKUP(main!R45,main!$AO$4:$AQ$55,2,FALSE))*IF(main!$AK45="是",main!$BB$4,main!$BB$3))</f>
        <v>160</v>
      </c>
      <c r="K45" s="12">
        <f>IF(ISNUMBER(SEARCH("营",main!S45)),(-$Y45+50*IF(main!$AK45="是",main!$BB$4,main!$BB$3)),(VLOOKUP(main!S45,main!$AO$4:$AQ$55,2,FALSE))*IF(main!$AK45="是",main!$BB$4,main!$BB$3))</f>
        <v>144</v>
      </c>
      <c r="L45" s="12">
        <f>IF(ISNUMBER(SEARCH("营",main!T45)),(-$Y45+50*IF(main!$AK45="是",main!$BB$4,main!$BB$3)),(VLOOKUP(main!T45,main!$AO$4:$AQ$55,2,FALSE))*IF(main!$AK45="是",main!$BB$4,main!$BB$3))</f>
        <v>160</v>
      </c>
      <c r="M45" s="12">
        <f>IF(ISNUMBER(SEARCH("营",main!U45)),(-$Y45+50*IF(main!$AK45="是",main!$BB$4,main!$BB$3)),(VLOOKUP(main!U45,main!$AO$4:$AQ$55,2,FALSE))*IF(main!$AK45="是",main!$BB$4,main!$BB$3))</f>
        <v>160</v>
      </c>
      <c r="N45" s="12">
        <f>IF(ISNUMBER(SEARCH("营",main!V45)),(-$Y45+50*IF(main!$AK45="是",main!$BB$4,main!$BB$3)),(VLOOKUP(main!V45,main!$AO$4:$AQ$55,2,FALSE))*IF(main!$AK45="是",main!$BB$4,main!$BB$3))</f>
        <v>160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6">
        <v>150</v>
      </c>
      <c r="Z45" s="87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160</v>
      </c>
      <c r="J46" s="12">
        <f>IF(ISNUMBER(SEARCH("营",main!R46)),(-$Y46+50*IF(main!$AK46="是",main!$BB$4,main!$BB$3)),(VLOOKUP(main!R46,main!$AO$4:$AQ$55,2,FALSE))*IF(main!$AK46="是",main!$BB$4,main!$BB$3))</f>
        <v>160</v>
      </c>
      <c r="K46" s="12">
        <f>IF(ISNUMBER(SEARCH("营",main!S46)),(-$Y46+50*IF(main!$AK46="是",main!$BB$4,main!$BB$3)),(VLOOKUP(main!S46,main!$AO$4:$AQ$55,2,FALSE))*IF(main!$AK46="是",main!$BB$4,main!$BB$3))</f>
        <v>144</v>
      </c>
      <c r="L46" s="12">
        <f>IF(ISNUMBER(SEARCH("营",main!T46)),(-$Y46+50*IF(main!$AK46="是",main!$BB$4,main!$BB$3)),(VLOOKUP(main!T46,main!$AO$4:$AQ$55,2,FALSE))*IF(main!$AK46="是",main!$BB$4,main!$BB$3))</f>
        <v>144</v>
      </c>
      <c r="M46" s="12">
        <f>IF(ISNUMBER(SEARCH("营",main!U46)),(-$Y46+50*IF(main!$AK46="是",main!$BB$4,main!$BB$3)),(VLOOKUP(main!U46,main!$AO$4:$AQ$55,2,FALSE))*IF(main!$AK46="是",main!$BB$4,main!$BB$3))</f>
        <v>144</v>
      </c>
      <c r="N46" s="12">
        <f>IF(ISNUMBER(SEARCH("营",main!V46)),(-$Y46+50*IF(main!$AK46="是",main!$BB$4,main!$BB$3)),(VLOOKUP(main!V46,main!$AO$4:$AQ$55,2,FALSE))*IF(main!$AK46="是",main!$BB$4,main!$BB$3))</f>
        <v>144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152</v>
      </c>
      <c r="R46" s="12">
        <f>IF(ISNUMBER(SEARCH("营",main!Z46)),(-$Y46+50*IF(main!$AK46="是",main!$BB$4,main!$BB$3)),(VLOOKUP(main!Z46,main!$AO$4:$AQ$55,2,FALSE))*IF(main!$AK46="是",main!$BB$4,main!$BB$3))</f>
        <v>152</v>
      </c>
      <c r="S46" s="12">
        <f>IF(ISNUMBER(SEARCH("营",main!AA46)),(-$Y46+50*IF(main!$AK46="是",main!$BB$4,main!$BB$3)),(VLOOKUP(main!AA46,main!$AO$4:$AQ$55,2,FALSE))*IF(main!$AK46="是",main!$BB$4,main!$BB$3))</f>
        <v>152</v>
      </c>
      <c r="T46" s="12">
        <f>IF(ISNUMBER(SEARCH("营",main!AB46)),(-$Y46+50*IF(main!$AK46="是",main!$BB$4,main!$BB$3)),(VLOOKUP(main!AB46,main!$AO$4:$AQ$55,2,FALSE))*IF(main!$AK46="是",main!$BB$4,main!$BB$3))</f>
        <v>152</v>
      </c>
      <c r="U46" s="12">
        <f>IF(ISNUMBER(SEARCH("营",main!AC46)),(-$Y46+50*IF(main!$AK46="是",main!$BB$4,main!$BB$3)),(VLOOKUP(main!AC46,main!$AO$4:$AQ$55,2,FALSE))*IF(main!$AK46="是",main!$BB$4,main!$BB$3))</f>
        <v>152</v>
      </c>
      <c r="V46" s="12">
        <f>IF(ISNUMBER(SEARCH("营",main!AD46)),(-$Y46+50*IF(main!$AK46="是",main!$BB$4,main!$BB$3)),(VLOOKUP(main!AD46,main!$AO$4:$AQ$55,2,FALSE))*IF(main!$AK46="是",main!$BB$4,main!$BB$3))</f>
        <v>152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87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144</v>
      </c>
      <c r="J47" s="12">
        <f>IF(ISNUMBER(SEARCH("营",main!R47)),(-$Y47+50*IF(main!$AK47="是",main!$BB$4,main!$BB$3)),(VLOOKUP(main!R47,main!$AO$4:$AQ$55,2,FALSE))*IF(main!$AK47="是",main!$BB$4,main!$BB$3))</f>
        <v>144</v>
      </c>
      <c r="K47" s="12">
        <f>IF(ISNUMBER(SEARCH("营",main!S47)),(-$Y47+50*IF(main!$AK47="是",main!$BB$4,main!$BB$3)),(VLOOKUP(main!S47,main!$AO$4:$AQ$55,2,FALSE))*IF(main!$AK47="是",main!$BB$4,main!$BB$3))</f>
        <v>144</v>
      </c>
      <c r="L47" s="12">
        <f>IF(ISNUMBER(SEARCH("营",main!T47)),(-$Y47+50*IF(main!$AK47="是",main!$BB$4,main!$BB$3)),(VLOOKUP(main!T47,main!$AO$4:$AQ$55,2,FALSE))*IF(main!$AK47="是",main!$BB$4,main!$BB$3))</f>
        <v>144</v>
      </c>
      <c r="M47" s="12">
        <f>IF(ISNUMBER(SEARCH("营",main!U47)),(-$Y47+50*IF(main!$AK47="是",main!$BB$4,main!$BB$3)),(VLOOKUP(main!U47,main!$AO$4:$AQ$55,2,FALSE))*IF(main!$AK47="是",main!$BB$4,main!$BB$3))</f>
        <v>144</v>
      </c>
      <c r="N47" s="12">
        <f>IF(ISNUMBER(SEARCH("营",main!V47)),(-$Y47+50*IF(main!$AK47="是",main!$BB$4,main!$BB$3)),(VLOOKUP(main!V47,main!$AO$4:$AQ$55,2,FALSE))*IF(main!$AK47="是",main!$BB$4,main!$BB$3))</f>
        <v>144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152</v>
      </c>
      <c r="R47" s="12">
        <f>IF(ISNUMBER(SEARCH("营",main!Z47)),(-$Y47+50*IF(main!$AK47="是",main!$BB$4,main!$BB$3)),(VLOOKUP(main!Z47,main!$AO$4:$AQ$55,2,FALSE))*IF(main!$AK47="是",main!$BB$4,main!$BB$3))</f>
        <v>152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152</v>
      </c>
      <c r="U47" s="12">
        <f>IF(ISNUMBER(SEARCH("营",main!AC47)),(-$Y47+50*IF(main!$AK47="是",main!$BB$4,main!$BB$3)),(VLOOKUP(main!AC47,main!$AO$4:$AQ$55,2,FALSE))*IF(main!$AK47="是",main!$BB$4,main!$BB$3))</f>
        <v>152</v>
      </c>
      <c r="V47" s="12">
        <f>IF(ISNUMBER(SEARCH("营",main!AD47)),(-$Y47+50*IF(main!$AK47="是",main!$BB$4,main!$BB$3)),(VLOOKUP(main!AD47,main!$AO$4:$AQ$55,2,FALSE))*IF(main!$AK47="是",main!$BB$4,main!$BB$3))</f>
        <v>152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87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144</v>
      </c>
      <c r="J48" s="12">
        <f>IF(ISNUMBER(SEARCH("营",main!R48)),(-$Y48+50*IF(main!$AK48="是",main!$BB$4,main!$BB$3)),(VLOOKUP(main!R48,main!$AO$4:$AQ$55,2,FALSE))*IF(main!$AK48="是",main!$BB$4,main!$BB$3))</f>
        <v>144</v>
      </c>
      <c r="K48" s="12">
        <f>IF(ISNUMBER(SEARCH("营",main!S48)),(-$Y48+50*IF(main!$AK48="是",main!$BB$4,main!$BB$3)),(VLOOKUP(main!S48,main!$AO$4:$AQ$55,2,FALSE))*IF(main!$AK48="是",main!$BB$4,main!$BB$3))</f>
        <v>144</v>
      </c>
      <c r="L48" s="12">
        <f>IF(ISNUMBER(SEARCH("营",main!T48)),(-$Y48+50*IF(main!$AK48="是",main!$BB$4,main!$BB$3)),(VLOOKUP(main!T48,main!$AO$4:$AQ$55,2,FALSE))*IF(main!$AK48="是",main!$BB$4,main!$BB$3))</f>
        <v>40</v>
      </c>
      <c r="M48" s="12">
        <f>IF(ISNUMBER(SEARCH("营",main!U48)),(-$Y48+50*IF(main!$AK48="是",main!$BB$4,main!$BB$3)),(VLOOKUP(main!U48,main!$AO$4:$AQ$55,2,FALSE))*IF(main!$AK48="是",main!$BB$4,main!$BB$3))</f>
        <v>144</v>
      </c>
      <c r="N48" s="12">
        <f>IF(ISNUMBER(SEARCH("营",main!V48)),(-$Y48+50*IF(main!$AK48="是",main!$BB$4,main!$BB$3)),(VLOOKUP(main!V48,main!$AO$4:$AQ$55,2,FALSE))*IF(main!$AK48="是",main!$BB$4,main!$BB$3))</f>
        <v>144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152</v>
      </c>
      <c r="S48" s="12">
        <f>IF(ISNUMBER(SEARCH("营",main!AA48)),(-$Y48+50*IF(main!$AK48="是",main!$BB$4,main!$BB$3)),(VLOOKUP(main!AA48,main!$AO$4:$AQ$55,2,FALSE))*IF(main!$AK48="是",main!$BB$4,main!$BB$3))</f>
        <v>152</v>
      </c>
      <c r="T48" s="12">
        <f>IF(ISNUMBER(SEARCH("营",main!AB48)),(-$Y48+50*IF(main!$AK48="是",main!$BB$4,main!$BB$3)),(VLOOKUP(main!AB48,main!$AO$4:$AQ$55,2,FALSE))*IF(main!$AK48="是",main!$BB$4,main!$BB$3))</f>
        <v>152</v>
      </c>
      <c r="U48" s="12">
        <f>IF(ISNUMBER(SEARCH("营",main!AC48)),(-$Y48+50*IF(main!$AK48="是",main!$BB$4,main!$BB$3)),(VLOOKUP(main!AC48,main!$AO$4:$AQ$55,2,FALSE))*IF(main!$AK48="是",main!$BB$4,main!$BB$3))</f>
        <v>152</v>
      </c>
      <c r="V48" s="12">
        <f>IF(ISNUMBER(SEARCH("营",main!AD48)),(-$Y48+50*IF(main!$AK48="是",main!$BB$4,main!$BB$3)),(VLOOKUP(main!AD48,main!$AO$4:$AQ$55,2,FALSE))*IF(main!$AK48="是",main!$BB$4,main!$BB$3))</f>
        <v>152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87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120</v>
      </c>
      <c r="J49" s="12">
        <f>IF(ISNUMBER(SEARCH("营",main!R49)),(-$Y49+50*IF(main!$AK49="是",main!$BB$4,main!$BB$3)),(VLOOKUP(main!R49,main!$AO$4:$AQ$55,2,FALSE))*IF(main!$AK49="是",main!$BB$4,main!$BB$3))</f>
        <v>144</v>
      </c>
      <c r="K49" s="12">
        <f>IF(ISNUMBER(SEARCH("营",main!S49)),(-$Y49+50*IF(main!$AK49="是",main!$BB$4,main!$BB$3)),(VLOOKUP(main!S49,main!$AO$4:$AQ$55,2,FALSE))*IF(main!$AK49="是",main!$BB$4,main!$BB$3))</f>
        <v>144</v>
      </c>
      <c r="L49" s="12">
        <f>IF(ISNUMBER(SEARCH("营",main!T49)),(-$Y49+50*IF(main!$AK49="是",main!$BB$4,main!$BB$3)),(VLOOKUP(main!T49,main!$AO$4:$AQ$55,2,FALSE))*IF(main!$AK49="是",main!$BB$4,main!$BB$3))</f>
        <v>144</v>
      </c>
      <c r="M49" s="12">
        <f>IF(ISNUMBER(SEARCH("营",main!U49)),(-$Y49+50*IF(main!$AK49="是",main!$BB$4,main!$BB$3)),(VLOOKUP(main!U49,main!$AO$4:$AQ$55,2,FALSE))*IF(main!$AK49="是",main!$BB$4,main!$BB$3))</f>
        <v>144</v>
      </c>
      <c r="N49" s="12">
        <f>IF(ISNUMBER(SEARCH("营",main!V49)),(-$Y49+50*IF(main!$AK49="是",main!$BB$4,main!$BB$3)),(VLOOKUP(main!V49,main!$AO$4:$AQ$55,2,FALSE))*IF(main!$AK49="是",main!$BB$4,main!$BB$3))</f>
        <v>144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120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152</v>
      </c>
      <c r="T49" s="12">
        <f>IF(ISNUMBER(SEARCH("营",main!AB49)),(-$Y49+50*IF(main!$AK49="是",main!$BB$4,main!$BB$3)),(VLOOKUP(main!AB49,main!$AO$4:$AQ$55,2,FALSE))*IF(main!$AK49="是",main!$BB$4,main!$BB$3))</f>
        <v>152</v>
      </c>
      <c r="U49" s="12">
        <f>IF(ISNUMBER(SEARCH("营",main!AC49)),(-$Y49+50*IF(main!$AK49="是",main!$BB$4,main!$BB$3)),(VLOOKUP(main!AC49,main!$AO$4:$AQ$55,2,FALSE))*IF(main!$AK49="是",main!$BB$4,main!$BB$3))</f>
        <v>152</v>
      </c>
      <c r="V49" s="12">
        <f>IF(ISNUMBER(SEARCH("营",main!AD49)),(-$Y49+50*IF(main!$AK49="是",main!$BB$4,main!$BB$3)),(VLOOKUP(main!AD49,main!$AO$4:$AQ$55,2,FALSE))*IF(main!$AK49="是",main!$BB$4,main!$BB$3))</f>
        <v>152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87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144</v>
      </c>
      <c r="M50" s="12">
        <f>IF(ISNUMBER(SEARCH("营",main!U50)),(-$Y50+50*IF(main!$AK50="是",main!$BB$4,main!$BB$3)),(VLOOKUP(main!U50,main!$AO$4:$AQ$55,2,FALSE))*IF(main!$AK50="是",main!$BB$4,main!$BB$3))</f>
        <v>144</v>
      </c>
      <c r="N50" s="12">
        <f>IF(ISNUMBER(SEARCH("营",main!V50)),(-$Y50+50*IF(main!$AK50="是",main!$BB$4,main!$BB$3)),(VLOOKUP(main!V50,main!$AO$4:$AQ$55,2,FALSE))*IF(main!$AK50="是",main!$BB$4,main!$BB$3))</f>
        <v>144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160</v>
      </c>
      <c r="R50" s="12">
        <f>IF(ISNUMBER(SEARCH("营",main!Z50)),(-$Y50+50*IF(main!$AK50="是",main!$BB$4,main!$BB$3)),(VLOOKUP(main!Z50,main!$AO$4:$AQ$55,2,FALSE))*IF(main!$AK50="是",main!$BB$4,main!$BB$3))</f>
        <v>160</v>
      </c>
      <c r="S50" s="12">
        <f>IF(ISNUMBER(SEARCH("营",main!AA50)),(-$Y50+50*IF(main!$AK50="是",main!$BB$4,main!$BB$3)),(VLOOKUP(main!AA50,main!$AO$4:$AQ$55,2,FALSE))*IF(main!$AK50="是",main!$BB$4,main!$BB$3))</f>
        <v>160</v>
      </c>
      <c r="T50" s="12">
        <f>IF(ISNUMBER(SEARCH("营",main!AB50)),(-$Y50+50*IF(main!$AK50="是",main!$BB$4,main!$BB$3)),(VLOOKUP(main!AB50,main!$AO$4:$AQ$55,2,FALSE))*IF(main!$AK50="是",main!$BB$4,main!$BB$3))</f>
        <v>160</v>
      </c>
      <c r="U50" s="12">
        <f>IF(ISNUMBER(SEARCH("营",main!AC50)),(-$Y50+50*IF(main!$AK50="是",main!$BB$4,main!$BB$3)),(VLOOKUP(main!AC50,main!$AO$4:$AQ$55,2,FALSE))*IF(main!$AK50="是",main!$BB$4,main!$BB$3))</f>
        <v>160</v>
      </c>
      <c r="V50" s="12">
        <f>IF(ISNUMBER(SEARCH("营",main!AD50)),(-$Y50+50*IF(main!$AK50="是",main!$BB$4,main!$BB$3)),(VLOOKUP(main!AD50,main!$AO$4:$AQ$55,2,FALSE))*IF(main!$AK50="是",main!$BB$4,main!$BB$3))</f>
        <v>160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87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144</v>
      </c>
      <c r="J51" s="12">
        <f>IF(ISNUMBER(SEARCH("营",main!R51)),(-$Y51+50*IF(main!$AK51="是",main!$BB$4,main!$BB$3)),(VLOOKUP(main!R51,main!$AO$4:$AQ$55,2,FALSE))*IF(main!$AK51="是",main!$BB$4,main!$BB$3))</f>
        <v>144</v>
      </c>
      <c r="K51" s="12">
        <f>IF(ISNUMBER(SEARCH("营",main!S51)),(-$Y51+50*IF(main!$AK51="是",main!$BB$4,main!$BB$3)),(VLOOKUP(main!S51,main!$AO$4:$AQ$55,2,FALSE))*IF(main!$AK51="是",main!$BB$4,main!$BB$3))</f>
        <v>144</v>
      </c>
      <c r="L51" s="12">
        <f>IF(ISNUMBER(SEARCH("营",main!T51)),(-$Y51+50*IF(main!$AK51="是",main!$BB$4,main!$BB$3)),(VLOOKUP(main!T51,main!$AO$4:$AQ$55,2,FALSE))*IF(main!$AK51="是",main!$BB$4,main!$BB$3))</f>
        <v>144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144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160</v>
      </c>
      <c r="R51" s="12">
        <f>IF(ISNUMBER(SEARCH("营",main!Z51)),(-$Y51+50*IF(main!$AK51="是",main!$BB$4,main!$BB$3)),(VLOOKUP(main!Z51,main!$AO$4:$AQ$55,2,FALSE))*IF(main!$AK51="是",main!$BB$4,main!$BB$3))</f>
        <v>160</v>
      </c>
      <c r="S51" s="12">
        <f>IF(ISNUMBER(SEARCH("营",main!AA51)),(-$Y51+50*IF(main!$AK51="是",main!$BB$4,main!$BB$3)),(VLOOKUP(main!AA51,main!$AO$4:$AQ$55,2,FALSE))*IF(main!$AK51="是",main!$BB$4,main!$BB$3))</f>
        <v>160</v>
      </c>
      <c r="T51" s="12">
        <f>IF(ISNUMBER(SEARCH("营",main!AB51)),(-$Y51+50*IF(main!$AK51="是",main!$BB$4,main!$BB$3)),(VLOOKUP(main!AB51,main!$AO$4:$AQ$55,2,FALSE))*IF(main!$AK51="是",main!$BB$4,main!$BB$3))</f>
        <v>160</v>
      </c>
      <c r="U51" s="12">
        <f>IF(ISNUMBER(SEARCH("营",main!AC51)),(-$Y51+50*IF(main!$AK51="是",main!$BB$4,main!$BB$3)),(VLOOKUP(main!AC51,main!$AO$4:$AQ$55,2,FALSE))*IF(main!$AK51="是",main!$BB$4,main!$BB$3))</f>
        <v>160</v>
      </c>
      <c r="V51" s="12">
        <f>IF(ISNUMBER(SEARCH("营",main!AD51)),(-$Y51+50*IF(main!$AK51="是",main!$BB$4,main!$BB$3)),(VLOOKUP(main!AD51,main!$AO$4:$AQ$55,2,FALSE))*IF(main!$AK51="是",main!$BB$4,main!$BB$3))</f>
        <v>160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87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144</v>
      </c>
      <c r="J52" s="12">
        <f>IF(ISNUMBER(SEARCH("营",main!R52)),(-$Y52+50*IF(main!$AK52="是",main!$BB$4,main!$BB$3)),(VLOOKUP(main!R52,main!$AO$4:$AQ$55,2,FALSE))*IF(main!$AK52="是",main!$BB$4,main!$BB$3))</f>
        <v>144</v>
      </c>
      <c r="K52" s="12">
        <f>IF(ISNUMBER(SEARCH("营",main!S52)),(-$Y52+50*IF(main!$AK52="是",main!$BB$4,main!$BB$3)),(VLOOKUP(main!S52,main!$AO$4:$AQ$55,2,FALSE))*IF(main!$AK52="是",main!$BB$4,main!$BB$3))</f>
        <v>144</v>
      </c>
      <c r="L52" s="12">
        <f>IF(ISNUMBER(SEARCH("营",main!T52)),(-$Y52+50*IF(main!$AK52="是",main!$BB$4,main!$BB$3)),(VLOOKUP(main!T52,main!$AO$4:$AQ$55,2,FALSE))*IF(main!$AK52="是",main!$BB$4,main!$BB$3))</f>
        <v>144</v>
      </c>
      <c r="M52" s="12">
        <f>IF(ISNUMBER(SEARCH("营",main!U52)),(-$Y52+50*IF(main!$AK52="是",main!$BB$4,main!$BB$3)),(VLOOKUP(main!U52,main!$AO$4:$AQ$55,2,FALSE))*IF(main!$AK52="是",main!$BB$4,main!$BB$3))</f>
        <v>120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160</v>
      </c>
      <c r="S52" s="12">
        <f>IF(ISNUMBER(SEARCH("营",main!AA52)),(-$Y52+50*IF(main!$AK52="是",main!$BB$4,main!$BB$3)),(VLOOKUP(main!AA52,main!$AO$4:$AQ$55,2,FALSE))*IF(main!$AK52="是",main!$BB$4,main!$BB$3))</f>
        <v>160</v>
      </c>
      <c r="T52" s="12">
        <f>IF(ISNUMBER(SEARCH("营",main!AB52)),(-$Y52+50*IF(main!$AK52="是",main!$BB$4,main!$BB$3)),(VLOOKUP(main!AB52,main!$AO$4:$AQ$55,2,FALSE))*IF(main!$AK52="是",main!$BB$4,main!$BB$3))</f>
        <v>160</v>
      </c>
      <c r="U52" s="12">
        <f>IF(ISNUMBER(SEARCH("营",main!AC52)),(-$Y52+50*IF(main!$AK52="是",main!$BB$4,main!$BB$3)),(VLOOKUP(main!AC52,main!$AO$4:$AQ$55,2,FALSE))*IF(main!$AK52="是",main!$BB$4,main!$BB$3))</f>
        <v>120</v>
      </c>
      <c r="V52" s="12">
        <f>IF(ISNUMBER(SEARCH("营",main!AD52)),(-$Y52+50*IF(main!$AK52="是",main!$BB$4,main!$BB$3)),(VLOOKUP(main!AD52,main!$AO$4:$AQ$55,2,FALSE))*IF(main!$AK52="是",main!$BB$4,main!$BB$3))</f>
        <v>160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87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144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160</v>
      </c>
      <c r="R53" s="12">
        <f>IF(ISNUMBER(SEARCH("营",main!Z53)),(-$Y53+50*IF(main!$AK53="是",main!$BB$4,main!$BB$3)),(VLOOKUP(main!Z53,main!$AO$4:$AQ$55,2,FALSE))*IF(main!$AK53="是",main!$BB$4,main!$BB$3))</f>
        <v>160</v>
      </c>
      <c r="S53" s="12">
        <f>IF(ISNUMBER(SEARCH("营",main!AA53)),(-$Y53+50*IF(main!$AK53="是",main!$BB$4,main!$BB$3)),(VLOOKUP(main!AA53,main!$AO$4:$AQ$55,2,FALSE))*IF(main!$AK53="是",main!$BB$4,main!$BB$3))</f>
        <v>160</v>
      </c>
      <c r="T53" s="12">
        <f>IF(ISNUMBER(SEARCH("营",main!AB53)),(-$Y53+50*IF(main!$AK53="是",main!$BB$4,main!$BB$3)),(VLOOKUP(main!AB53,main!$AO$4:$AQ$55,2,FALSE))*IF(main!$AK53="是",main!$BB$4,main!$BB$3))</f>
        <v>160</v>
      </c>
      <c r="U53" s="12">
        <f>IF(ISNUMBER(SEARCH("营",main!AC53)),(-$Y53+50*IF(main!$AK53="是",main!$BB$4,main!$BB$3)),(VLOOKUP(main!AC53,main!$AO$4:$AQ$55,2,FALSE))*IF(main!$AK53="是",main!$BB$4,main!$BB$3))</f>
        <v>160</v>
      </c>
      <c r="V53" s="12">
        <f>IF(ISNUMBER(SEARCH("营",main!AD53)),(-$Y53+50*IF(main!$AK53="是",main!$BB$4,main!$BB$3)),(VLOOKUP(main!AD53,main!$AO$4:$AQ$55,2,FALSE))*IF(main!$AK53="是",main!$BB$4,main!$BB$3))</f>
        <v>160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87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144</v>
      </c>
      <c r="J54" s="12">
        <f>IF(ISNUMBER(SEARCH("营",main!R54)),(-$Y54+50*IF(main!$AK54="是",main!$BB$4,main!$BB$3)),(VLOOKUP(main!R54,main!$AO$4:$AQ$55,2,FALSE))*IF(main!$AK54="是",main!$BB$4,main!$BB$3))</f>
        <v>152</v>
      </c>
      <c r="K54" s="12">
        <f>IF(ISNUMBER(SEARCH("营",main!S54)),(-$Y54+50*IF(main!$AK54="是",main!$BB$4,main!$BB$3)),(VLOOKUP(main!S54,main!$AO$4:$AQ$55,2,FALSE))*IF(main!$AK54="是",main!$BB$4,main!$BB$3))</f>
        <v>152</v>
      </c>
      <c r="L54" s="12">
        <f>IF(ISNUMBER(SEARCH("营",main!T54)),(-$Y54+50*IF(main!$AK54="是",main!$BB$4,main!$BB$3)),(VLOOKUP(main!T54,main!$AO$4:$AQ$55,2,FALSE))*IF(main!$AK54="是",main!$BB$4,main!$BB$3))</f>
        <v>144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160</v>
      </c>
      <c r="R54" s="12">
        <f>IF(ISNUMBER(SEARCH("营",main!Z54)),(-$Y54+50*IF(main!$AK54="是",main!$BB$4,main!$BB$3)),(VLOOKUP(main!Z54,main!$AO$4:$AQ$55,2,FALSE))*IF(main!$AK54="是",main!$BB$4,main!$BB$3))</f>
        <v>144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87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152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40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152</v>
      </c>
      <c r="V55" s="12">
        <f>IF(ISNUMBER(SEARCH("营",main!AD55)),(-$Y55+50*IF(main!$AK55="是",main!$BB$4,main!$BB$3)),(VLOOKUP(main!AD55,main!$AO$4:$AQ$55,2,FALSE))*IF(main!$AK55="是",main!$BB$4,main!$BB$3))</f>
        <v>152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87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144</v>
      </c>
      <c r="J56" s="12">
        <f>IF(ISNUMBER(SEARCH("营",main!R56)),(-$Y56+50*IF(main!$AK56="是",main!$BB$4,main!$BB$3)),(VLOOKUP(main!R56,main!$AO$4:$AQ$55,2,FALSE))*IF(main!$AK56="是",main!$BB$4,main!$BB$3))</f>
        <v>152</v>
      </c>
      <c r="K56" s="12">
        <f>IF(ISNUMBER(SEARCH("营",main!S56)),(-$Y56+50*IF(main!$AK56="是",main!$BB$4,main!$BB$3)),(VLOOKUP(main!S56,main!$AO$4:$AQ$55,2,FALSE))*IF(main!$AK56="是",main!$BB$4,main!$BB$3))</f>
        <v>144</v>
      </c>
      <c r="L56" s="12">
        <f>IF(ISNUMBER(SEARCH("营",main!T56)),(-$Y56+50*IF(main!$AK56="是",main!$BB$4,main!$BB$3)),(VLOOKUP(main!T56,main!$AO$4:$AQ$55,2,FALSE))*IF(main!$AK56="是",main!$BB$4,main!$BB$3))</f>
        <v>144</v>
      </c>
      <c r="M56" s="12">
        <f>IF(ISNUMBER(SEARCH("营",main!U56)),(-$Y56+50*IF(main!$AK56="是",main!$BB$4,main!$BB$3)),(VLOOKUP(main!U56,main!$AO$4:$AQ$55,2,FALSE))*IF(main!$AK56="是",main!$BB$4,main!$BB$3))</f>
        <v>144</v>
      </c>
      <c r="N56" s="12">
        <f>IF(ISNUMBER(SEARCH("营",main!V56)),(-$Y56+50*IF(main!$AK56="是",main!$BB$4,main!$BB$3)),(VLOOKUP(main!V56,main!$AO$4:$AQ$55,2,FALSE))*IF(main!$AK56="是",main!$BB$4,main!$BB$3))</f>
        <v>144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152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87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144</v>
      </c>
      <c r="K57" s="12">
        <f>IF(ISNUMBER(SEARCH("营",main!S57)),(-$Y57+50*IF(main!$AK57="是",main!$BB$4,main!$BB$3)),(VLOOKUP(main!S57,main!$AO$4:$AQ$55,2,FALSE))*IF(main!$AK57="是",main!$BB$4,main!$BB$3))</f>
        <v>144</v>
      </c>
      <c r="L57" s="12">
        <f>IF(ISNUMBER(SEARCH("营",main!T57)),(-$Y57+50*IF(main!$AK57="是",main!$BB$4,main!$BB$3)),(VLOOKUP(main!T57,main!$AO$4:$AQ$55,2,FALSE))*IF(main!$AK57="是",main!$BB$4,main!$BB$3))</f>
        <v>144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120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152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120</v>
      </c>
      <c r="T57" s="12">
        <f>IF(ISNUMBER(SEARCH("营",main!AB57)),(-$Y57+50*IF(main!$AK57="是",main!$BB$4,main!$BB$3)),(VLOOKUP(main!AB57,main!$AO$4:$AQ$55,2,FALSE))*IF(main!$AK57="是",main!$BB$4,main!$BB$3))</f>
        <v>152</v>
      </c>
      <c r="U57" s="12">
        <f>IF(ISNUMBER(SEARCH("营",main!AC57)),(-$Y57+50*IF(main!$AK57="是",main!$BB$4,main!$BB$3)),(VLOOKUP(main!AC57,main!$AO$4:$AQ$55,2,FALSE))*IF(main!$AK57="是",main!$BB$4,main!$BB$3))</f>
        <v>152</v>
      </c>
      <c r="V57" s="12">
        <f>IF(ISNUMBER(SEARCH("营",main!AD57)),(-$Y57+50*IF(main!$AK57="是",main!$BB$4,main!$BB$3)),(VLOOKUP(main!AD57,main!$AO$4:$AQ$55,2,FALSE))*IF(main!$AK57="是",main!$BB$4,main!$BB$3))</f>
        <v>152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87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144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152</v>
      </c>
      <c r="R58" s="12">
        <f>IF(ISNUMBER(SEARCH("营",main!Z58)),(-$Y58+50*IF(main!$AK58="是",main!$BB$4,main!$BB$3)),(VLOOKUP(main!Z58,main!$AO$4:$AQ$55,2,FALSE))*IF(main!$AK58="是",main!$BB$4,main!$BB$3))</f>
        <v>152</v>
      </c>
      <c r="S58" s="12">
        <f>IF(ISNUMBER(SEARCH("营",main!AA58)),(-$Y58+50*IF(main!$AK58="是",main!$BB$4,main!$BB$3)),(VLOOKUP(main!AA58,main!$AO$4:$AQ$55,2,FALSE))*IF(main!$AK58="是",main!$BB$4,main!$BB$3))</f>
        <v>152</v>
      </c>
      <c r="T58" s="12">
        <f>IF(ISNUMBER(SEARCH("营",main!AB58)),(-$Y58+50*IF(main!$AK58="是",main!$BB$4,main!$BB$3)),(VLOOKUP(main!AB58,main!$AO$4:$AQ$55,2,FALSE))*IF(main!$AK58="是",main!$BB$4,main!$BB$3))</f>
        <v>152</v>
      </c>
      <c r="U58" s="12">
        <f>IF(ISNUMBER(SEARCH("营",main!AC58)),(-$Y58+50*IF(main!$AK58="是",main!$BB$4,main!$BB$3)),(VLOOKUP(main!AC58,main!$AO$4:$AQ$55,2,FALSE))*IF(main!$AK58="是",main!$BB$4,main!$BB$3))</f>
        <v>152</v>
      </c>
      <c r="V58" s="12">
        <f>IF(ISNUMBER(SEARCH("营",main!AD58)),(-$Y58+50*IF(main!$AK58="是",main!$BB$4,main!$BB$3)),(VLOOKUP(main!AD58,main!$AO$4:$AQ$55,2,FALSE))*IF(main!$AK58="是",main!$BB$4,main!$BB$3))</f>
        <v>152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87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144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152</v>
      </c>
      <c r="R59" s="12">
        <f>IF(ISNUMBER(SEARCH("营",main!Z59)),(-$Y59+50*IF(main!$AK59="是",main!$BB$4,main!$BB$3)),(VLOOKUP(main!Z59,main!$AO$4:$AQ$55,2,FALSE))*IF(main!$AK59="是",main!$BB$4,main!$BB$3))</f>
        <v>152</v>
      </c>
      <c r="S59" s="12">
        <f>IF(ISNUMBER(SEARCH("营",main!AA59)),(-$Y59+50*IF(main!$AK59="是",main!$BB$4,main!$BB$3)),(VLOOKUP(main!AA59,main!$AO$4:$AQ$55,2,FALSE))*IF(main!$AK59="是",main!$BB$4,main!$BB$3))</f>
        <v>152</v>
      </c>
      <c r="T59" s="12">
        <f>IF(ISNUMBER(SEARCH("营",main!AB59)),(-$Y59+50*IF(main!$AK59="是",main!$BB$4,main!$BB$3)),(VLOOKUP(main!AB59,main!$AO$4:$AQ$55,2,FALSE))*IF(main!$AK59="是",main!$BB$4,main!$BB$3))</f>
        <v>152</v>
      </c>
      <c r="U59" s="12">
        <f>IF(ISNUMBER(SEARCH("营",main!AC59)),(-$Y59+50*IF(main!$AK59="是",main!$BB$4,main!$BB$3)),(VLOOKUP(main!AC59,main!$AO$4:$AQ$55,2,FALSE))*IF(main!$AK59="是",main!$BB$4,main!$BB$3))</f>
        <v>152</v>
      </c>
      <c r="V59" s="12">
        <f>IF(ISNUMBER(SEARCH("营",main!AD59)),(-$Y59+50*IF(main!$AK59="是",main!$BB$4,main!$BB$3)),(VLOOKUP(main!AD59,main!$AO$4:$AQ$55,2,FALSE))*IF(main!$AK59="是",main!$BB$4,main!$BB$3))</f>
        <v>152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87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144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120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152</v>
      </c>
      <c r="R60" s="12">
        <f>IF(ISNUMBER(SEARCH("营",main!Z60)),(-$Y60+50*IF(main!$AK60="是",main!$BB$4,main!$BB$3)),(VLOOKUP(main!Z60,main!$AO$4:$AQ$55,2,FALSE))*IF(main!$AK60="是",main!$BB$4,main!$BB$3))</f>
        <v>152</v>
      </c>
      <c r="S60" s="12">
        <f>IF(ISNUMBER(SEARCH("营",main!AA60)),(-$Y60+50*IF(main!$AK60="是",main!$BB$4,main!$BB$3)),(VLOOKUP(main!AA60,main!$AO$4:$AQ$55,2,FALSE))*IF(main!$AK60="是",main!$BB$4,main!$BB$3))</f>
        <v>152</v>
      </c>
      <c r="T60" s="12">
        <f>IF(ISNUMBER(SEARCH("营",main!AB60)),(-$Y60+50*IF(main!$AK60="是",main!$BB$4,main!$BB$3)),(VLOOKUP(main!AB60,main!$AO$4:$AQ$55,2,FALSE))*IF(main!$AK60="是",main!$BB$4,main!$BB$3))</f>
        <v>152</v>
      </c>
      <c r="U60" s="12">
        <f>IF(ISNUMBER(SEARCH("营",main!AC60)),(-$Y60+50*IF(main!$AK60="是",main!$BB$4,main!$BB$3)),(VLOOKUP(main!AC60,main!$AO$4:$AQ$55,2,FALSE))*IF(main!$AK60="是",main!$BB$4,main!$BB$3))</f>
        <v>152</v>
      </c>
      <c r="V60" s="12">
        <f>IF(ISNUMBER(SEARCH("营",main!AD60)),(-$Y60+50*IF(main!$AK60="是",main!$BB$4,main!$BB$3)),(VLOOKUP(main!AD60,main!$AO$4:$AQ$55,2,FALSE))*IF(main!$AK60="是",main!$BB$4,main!$BB$3))</f>
        <v>152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87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87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144</v>
      </c>
      <c r="J62" s="12">
        <f>IF(ISNUMBER(SEARCH("营",main!R62)),(-$Y62+50*IF(main!$AK62="是",main!$BB$4,main!$BB$3)),(VLOOKUP(main!R62,main!$AO$4:$AQ$55,2,FALSE))*IF(main!$AK62="是",main!$BB$4,main!$BB$3))</f>
        <v>144</v>
      </c>
      <c r="K62" s="12">
        <f>IF(ISNUMBER(SEARCH("营",main!S62)),(-$Y62+50*IF(main!$AK62="是",main!$BB$4,main!$BB$3)),(VLOOKUP(main!S62,main!$AO$4:$AQ$55,2,FALSE))*IF(main!$AK62="是",main!$BB$4,main!$BB$3))</f>
        <v>144</v>
      </c>
      <c r="L62" s="12">
        <f>IF(ISNUMBER(SEARCH("营",main!T62)),(-$Y62+50*IF(main!$AK62="是",main!$BB$4,main!$BB$3)),(VLOOKUP(main!T62,main!$AO$4:$AQ$55,2,FALSE))*IF(main!$AK62="是",main!$BB$4,main!$BB$3))</f>
        <v>144</v>
      </c>
      <c r="M62" s="12">
        <f>IF(ISNUMBER(SEARCH("营",main!U62)),(-$Y62+50*IF(main!$AK62="是",main!$BB$4,main!$BB$3)),(VLOOKUP(main!U62,main!$AO$4:$AQ$55,2,FALSE))*IF(main!$AK62="是",main!$BB$4,main!$BB$3))</f>
        <v>144</v>
      </c>
      <c r="N62" s="12">
        <f>IF(ISNUMBER(SEARCH("营",main!V62)),(-$Y62+50*IF(main!$AK62="是",main!$BB$4,main!$BB$3)),(VLOOKUP(main!V62,main!$AO$4:$AQ$55,2,FALSE))*IF(main!$AK62="是",main!$BB$4,main!$BB$3))</f>
        <v>144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87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144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144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152</v>
      </c>
      <c r="S63" s="12">
        <f>IF(ISNUMBER(SEARCH("营",main!AA63)),(-$Y63+50*IF(main!$AK63="是",main!$BB$4,main!$BB$3)),(VLOOKUP(main!AA63,main!$AO$4:$AQ$55,2,FALSE))*IF(main!$AK63="是",main!$BB$4,main!$BB$3))</f>
        <v>152</v>
      </c>
      <c r="T63" s="12">
        <f>IF(ISNUMBER(SEARCH("营",main!AB63)),(-$Y63+50*IF(main!$AK63="是",main!$BB$4,main!$BB$3)),(VLOOKUP(main!AB63,main!$AO$4:$AQ$55,2,FALSE))*IF(main!$AK63="是",main!$BB$4,main!$BB$3))</f>
        <v>152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152</v>
      </c>
      <c r="W63" s="12">
        <f>IF(ISNUMBER(SEARCH("营",main!AE63)),(-$Y63+50*IF(main!$AK63="是",main!$BB$4,main!$BB$3)),(VLOOKUP(main!AE63,main!$AO$4:$AQ$55,2,FALSE))*IF(main!$AK63="是",main!$BB$4,main!$BB$3))</f>
        <v>152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87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144</v>
      </c>
      <c r="J64" s="12">
        <f>IF(ISNUMBER(SEARCH("营",main!R64)),(-$Y64+50*IF(main!$AK64="是",main!$BB$4,main!$BB$3)),(VLOOKUP(main!R64,main!$AO$4:$AQ$55,2,FALSE))*IF(main!$AK64="是",main!$BB$4,main!$BB$3))</f>
        <v>144</v>
      </c>
      <c r="K64" s="12">
        <f>IF(ISNUMBER(SEARCH("营",main!S64)),(-$Y64+50*IF(main!$AK64="是",main!$BB$4,main!$BB$3)),(VLOOKUP(main!S64,main!$AO$4:$AQ$55,2,FALSE))*IF(main!$AK64="是",main!$BB$4,main!$BB$3))</f>
        <v>152</v>
      </c>
      <c r="L64" s="12">
        <f>IF(ISNUMBER(SEARCH("营",main!T64)),(-$Y64+50*IF(main!$AK64="是",main!$BB$4,main!$BB$3)),(VLOOKUP(main!T64,main!$AO$4:$AQ$55,2,FALSE))*IF(main!$AK64="是",main!$BB$4,main!$BB$3))</f>
        <v>144</v>
      </c>
      <c r="M64" s="12">
        <f>IF(ISNUMBER(SEARCH("营",main!U64)),(-$Y64+50*IF(main!$AK64="是",main!$BB$4,main!$BB$3)),(VLOOKUP(main!U64,main!$AO$4:$AQ$55,2,FALSE))*IF(main!$AK64="是",main!$BB$4,main!$BB$3))</f>
        <v>144</v>
      </c>
      <c r="N64" s="12">
        <f>IF(ISNUMBER(SEARCH("营",main!V64)),(-$Y64+50*IF(main!$AK64="是",main!$BB$4,main!$BB$3)),(VLOOKUP(main!V64,main!$AO$4:$AQ$55,2,FALSE))*IF(main!$AK64="是",main!$BB$4,main!$BB$3))</f>
        <v>144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87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152</v>
      </c>
      <c r="J65" s="12">
        <f>IF(ISNUMBER(SEARCH("营",main!R65)),(-$Y65+50*IF(main!$AK65="是",main!$BB$4,main!$BB$3)),(VLOOKUP(main!R65,main!$AO$4:$AQ$55,2,FALSE))*IF(main!$AK65="是",main!$BB$4,main!$BB$3))</f>
        <v>144</v>
      </c>
      <c r="K65" s="12">
        <f>IF(ISNUMBER(SEARCH("营",main!S65)),(-$Y65+50*IF(main!$AK65="是",main!$BB$4,main!$BB$3)),(VLOOKUP(main!S65,main!$AO$4:$AQ$55,2,FALSE))*IF(main!$AK65="是",main!$BB$4,main!$BB$3))</f>
        <v>144</v>
      </c>
      <c r="L65" s="12">
        <f>IF(ISNUMBER(SEARCH("营",main!T65)),(-$Y65+50*IF(main!$AK65="是",main!$BB$4,main!$BB$3)),(VLOOKUP(main!T65,main!$AO$4:$AQ$55,2,FALSE))*IF(main!$AK65="是",main!$BB$4,main!$BB$3))</f>
        <v>144</v>
      </c>
      <c r="M65" s="12">
        <f>IF(ISNUMBER(SEARCH("营",main!U65)),(-$Y65+50*IF(main!$AK65="是",main!$BB$4,main!$BB$3)),(VLOOKUP(main!U65,main!$AO$4:$AQ$55,2,FALSE))*IF(main!$AK65="是",main!$BB$4,main!$BB$3))</f>
        <v>152</v>
      </c>
      <c r="N65" s="12">
        <f>IF(ISNUMBER(SEARCH("营",main!V65)),(-$Y65+50*IF(main!$AK65="是",main!$BB$4,main!$BB$3)),(VLOOKUP(main!V65,main!$AO$4:$AQ$55,2,FALSE))*IF(main!$AK65="是",main!$BB$4,main!$BB$3))</f>
        <v>152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152</v>
      </c>
      <c r="R65" s="12">
        <f>IF(ISNUMBER(SEARCH("营",main!Z65)),(-$Y65+50*IF(main!$AK65="是",main!$BB$4,main!$BB$3)),(VLOOKUP(main!Z65,main!$AO$4:$AQ$55,2,FALSE))*IF(main!$AK65="是",main!$BB$4,main!$BB$3))</f>
        <v>152</v>
      </c>
      <c r="S65" s="12">
        <f>IF(ISNUMBER(SEARCH("营",main!AA65)),(-$Y65+50*IF(main!$AK65="是",main!$BB$4,main!$BB$3)),(VLOOKUP(main!AA65,main!$AO$4:$AQ$55,2,FALSE))*IF(main!$AK65="是",main!$BB$4,main!$BB$3))</f>
        <v>136</v>
      </c>
      <c r="T65" s="12">
        <f>IF(ISNUMBER(SEARCH("营",main!AB65)),(-$Y65+50*IF(main!$AK65="是",main!$BB$4,main!$BB$3)),(VLOOKUP(main!AB65,main!$AO$4:$AQ$55,2,FALSE))*IF(main!$AK65="是",main!$BB$4,main!$BB$3))</f>
        <v>136</v>
      </c>
      <c r="U65" s="12">
        <f>IF(ISNUMBER(SEARCH("营",main!AC65)),(-$Y65+50*IF(main!$AK65="是",main!$BB$4,main!$BB$3)),(VLOOKUP(main!AC65,main!$AO$4:$AQ$55,2,FALSE))*IF(main!$AK65="是",main!$BB$4,main!$BB$3))</f>
        <v>40</v>
      </c>
      <c r="V65" s="12">
        <f>IF(ISNUMBER(SEARCH("营",main!AD65)),(-$Y65+50*IF(main!$AK65="是",main!$BB$4,main!$BB$3)),(VLOOKUP(main!AD65,main!$AO$4:$AQ$55,2,FALSE))*IF(main!$AK65="是",main!$BB$4,main!$BB$3))</f>
        <v>152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7">
        <v>100</v>
      </c>
      <c r="Z65" s="15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144</v>
      </c>
      <c r="J66" s="12">
        <f>IF(ISNUMBER(SEARCH("营",main!R66)),(-$Y66+50*IF(main!$AK66="是",main!$BB$4,main!$BB$3)),(VLOOKUP(main!R66,main!$AO$4:$AQ$55,2,FALSE))*IF(main!$AK66="是",main!$BB$4,main!$BB$3))</f>
        <v>144</v>
      </c>
      <c r="K66" s="12">
        <f>IF(ISNUMBER(SEARCH("营",main!S66)),(-$Y66+50*IF(main!$AK66="是",main!$BB$4,main!$BB$3)),(VLOOKUP(main!S66,main!$AO$4:$AQ$55,2,FALSE))*IF(main!$AK66="是",main!$BB$4,main!$BB$3))</f>
        <v>144</v>
      </c>
      <c r="L66" s="12">
        <f>IF(ISNUMBER(SEARCH("营",main!T66)),(-$Y66+50*IF(main!$AK66="是",main!$BB$4,main!$BB$3)),(VLOOKUP(main!T66,main!$AO$4:$AQ$55,2,FALSE))*IF(main!$AK66="是",main!$BB$4,main!$BB$3))</f>
        <v>144</v>
      </c>
      <c r="M66" s="12">
        <f>IF(ISNUMBER(SEARCH("营",main!U66)),(-$Y66+50*IF(main!$AK66="是",main!$BB$4,main!$BB$3)),(VLOOKUP(main!U66,main!$AO$4:$AQ$55,2,FALSE))*IF(main!$AK66="是",main!$BB$4,main!$BB$3))</f>
        <v>152</v>
      </c>
      <c r="N66" s="12">
        <f>IF(ISNUMBER(SEARCH("营",main!V66)),(-$Y66+50*IF(main!$AK66="是",main!$BB$4,main!$BB$3)),(VLOOKUP(main!V66,main!$AO$4:$AQ$55,2,FALSE))*IF(main!$AK66="是",main!$BB$4,main!$BB$3))</f>
        <v>144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136</v>
      </c>
      <c r="R66" s="12">
        <f>IF(ISNUMBER(SEARCH("营",main!Z66)),(-$Y66+50*IF(main!$AK66="是",main!$BB$4,main!$BB$3)),(VLOOKUP(main!Z66,main!$AO$4:$AQ$55,2,FALSE))*IF(main!$AK66="是",main!$BB$4,main!$BB$3))</f>
        <v>120</v>
      </c>
      <c r="S66" s="12">
        <f>IF(ISNUMBER(SEARCH("营",main!AA66)),(-$Y66+50*IF(main!$AK66="是",main!$BB$4,main!$BB$3)),(VLOOKUP(main!AA66,main!$AO$4:$AQ$55,2,FALSE))*IF(main!$AK66="是",main!$BB$4,main!$BB$3))</f>
        <v>136</v>
      </c>
      <c r="T66" s="12">
        <f>IF(ISNUMBER(SEARCH("营",main!AB66)),(-$Y66+50*IF(main!$AK66="是",main!$BB$4,main!$BB$3)),(VLOOKUP(main!AB66,main!$AO$4:$AQ$55,2,FALSE))*IF(main!$AK66="是",main!$BB$4,main!$BB$3))</f>
        <v>136</v>
      </c>
      <c r="U66" s="12">
        <f>IF(ISNUMBER(SEARCH("营",main!AC66)),(-$Y66+50*IF(main!$AK66="是",main!$BB$4,main!$BB$3)),(VLOOKUP(main!AC66,main!$AO$4:$AQ$55,2,FALSE))*IF(main!$AK66="是",main!$BB$4,main!$BB$3))</f>
        <v>136</v>
      </c>
      <c r="V66" s="12">
        <f>IF(ISNUMBER(SEARCH("营",main!AD66)),(-$Y66+50*IF(main!$AK66="是",main!$BB$4,main!$BB$3)),(VLOOKUP(main!AD66,main!$AO$4:$AQ$55,2,FALSE))*IF(main!$AK66="是",main!$BB$4,main!$BB$3))</f>
        <v>136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7">
        <v>100</v>
      </c>
      <c r="Z66" s="15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144</v>
      </c>
      <c r="J67" s="12">
        <f>IF(ISNUMBER(SEARCH("营",main!R67)),(-$Y67+50*IF(main!$AK67="是",main!$BB$4,main!$BB$3)),(VLOOKUP(main!R67,main!$AO$4:$AQ$55,2,FALSE))*IF(main!$AK67="是",main!$BB$4,main!$BB$3))</f>
        <v>144</v>
      </c>
      <c r="K67" s="12">
        <f>IF(ISNUMBER(SEARCH("营",main!S67)),(-$Y67+50*IF(main!$AK67="是",main!$BB$4,main!$BB$3)),(VLOOKUP(main!S67,main!$AO$4:$AQ$55,2,FALSE))*IF(main!$AK67="是",main!$BB$4,main!$BB$3))</f>
        <v>144</v>
      </c>
      <c r="L67" s="12">
        <f>IF(ISNUMBER(SEARCH("营",main!T67)),(-$Y67+50*IF(main!$AK67="是",main!$BB$4,main!$BB$3)),(VLOOKUP(main!T67,main!$AO$4:$AQ$55,2,FALSE))*IF(main!$AK67="是",main!$BB$4,main!$BB$3))</f>
        <v>144</v>
      </c>
      <c r="M67" s="12">
        <f>IF(ISNUMBER(SEARCH("营",main!U67)),(-$Y67+50*IF(main!$AK67="是",main!$BB$4,main!$BB$3)),(VLOOKUP(main!U67,main!$AO$4:$AQ$55,2,FALSE))*IF(main!$AK67="是",main!$BB$4,main!$BB$3))</f>
        <v>144</v>
      </c>
      <c r="N67" s="12">
        <f>IF(ISNUMBER(SEARCH("营",main!V67)),(-$Y67+50*IF(main!$AK67="是",main!$BB$4,main!$BB$3)),(VLOOKUP(main!V67,main!$AO$4:$AQ$55,2,FALSE))*IF(main!$AK67="是",main!$BB$4,main!$BB$3))</f>
        <v>144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136</v>
      </c>
      <c r="R67" s="12">
        <f>IF(ISNUMBER(SEARCH("营",main!Z67)),(-$Y67+50*IF(main!$AK67="是",main!$BB$4,main!$BB$3)),(VLOOKUP(main!Z67,main!$AO$4:$AQ$55,2,FALSE))*IF(main!$AK67="是",main!$BB$4,main!$BB$3))</f>
        <v>136</v>
      </c>
      <c r="S67" s="12">
        <f>IF(ISNUMBER(SEARCH("营",main!AA67)),(-$Y67+50*IF(main!$AK67="是",main!$BB$4,main!$BB$3)),(VLOOKUP(main!AA67,main!$AO$4:$AQ$55,2,FALSE))*IF(main!$AK67="是",main!$BB$4,main!$BB$3))</f>
        <v>120</v>
      </c>
      <c r="T67" s="12">
        <f>IF(ISNUMBER(SEARCH("营",main!AB67)),(-$Y67+50*IF(main!$AK67="是",main!$BB$4,main!$BB$3)),(VLOOKUP(main!AB67,main!$AO$4:$AQ$55,2,FALSE))*IF(main!$AK67="是",main!$BB$4,main!$BB$3))</f>
        <v>136</v>
      </c>
      <c r="U67" s="12">
        <f>IF(ISNUMBER(SEARCH("营",main!AC67)),(-$Y67+50*IF(main!$AK67="是",main!$BB$4,main!$BB$3)),(VLOOKUP(main!AC67,main!$AO$4:$AQ$55,2,FALSE))*IF(main!$AK67="是",main!$BB$4,main!$BB$3))</f>
        <v>136</v>
      </c>
      <c r="V67" s="12">
        <f>IF(ISNUMBER(SEARCH("营",main!AD67)),(-$Y67+50*IF(main!$AK67="是",main!$BB$4,main!$BB$3)),(VLOOKUP(main!AD67,main!$AO$4:$AQ$55,2,FALSE))*IF(main!$AK67="是",main!$BB$4,main!$BB$3))</f>
        <v>120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7">
        <v>100</v>
      </c>
      <c r="Z67" s="15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144</v>
      </c>
      <c r="J68" s="12">
        <f>IF(ISNUMBER(SEARCH("营",main!R68)),(-$Y68+50*IF(main!$AK68="是",main!$BB$4,main!$BB$3)),(VLOOKUP(main!R68,main!$AO$4:$AQ$55,2,FALSE))*IF(main!$AK68="是",main!$BB$4,main!$BB$3))</f>
        <v>152</v>
      </c>
      <c r="K68" s="12">
        <f>IF(ISNUMBER(SEARCH("营",main!S68)),(-$Y68+50*IF(main!$AK68="是",main!$BB$4,main!$BB$3)),(VLOOKUP(main!S68,main!$AO$4:$AQ$55,2,FALSE))*IF(main!$AK68="是",main!$BB$4,main!$BB$3))</f>
        <v>144</v>
      </c>
      <c r="L68" s="12">
        <f>IF(ISNUMBER(SEARCH("营",main!T68)),(-$Y68+50*IF(main!$AK68="是",main!$BB$4,main!$BB$3)),(VLOOKUP(main!T68,main!$AO$4:$AQ$55,2,FALSE))*IF(main!$AK68="是",main!$BB$4,main!$BB$3))</f>
        <v>144</v>
      </c>
      <c r="M68" s="12">
        <f>IF(ISNUMBER(SEARCH("营",main!U68)),(-$Y68+50*IF(main!$AK68="是",main!$BB$4,main!$BB$3)),(VLOOKUP(main!U68,main!$AO$4:$AQ$55,2,FALSE))*IF(main!$AK68="是",main!$BB$4,main!$BB$3))</f>
        <v>144</v>
      </c>
      <c r="N68" s="12">
        <f>IF(ISNUMBER(SEARCH("营",main!V68)),(-$Y68+50*IF(main!$AK68="是",main!$BB$4,main!$BB$3)),(VLOOKUP(main!V68,main!$AO$4:$AQ$55,2,FALSE))*IF(main!$AK68="是",main!$BB$4,main!$BB$3))</f>
        <v>144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136</v>
      </c>
      <c r="R68" s="12">
        <f>IF(ISNUMBER(SEARCH("营",main!Z68)),(-$Y68+50*IF(main!$AK68="是",main!$BB$4,main!$BB$3)),(VLOOKUP(main!Z68,main!$AO$4:$AQ$55,2,FALSE))*IF(main!$AK68="是",main!$BB$4,main!$BB$3))</f>
        <v>136</v>
      </c>
      <c r="S68" s="12">
        <f>IF(ISNUMBER(SEARCH("营",main!AA68)),(-$Y68+50*IF(main!$AK68="是",main!$BB$4,main!$BB$3)),(VLOOKUP(main!AA68,main!$AO$4:$AQ$55,2,FALSE))*IF(main!$AK68="是",main!$BB$4,main!$BB$3))</f>
        <v>136</v>
      </c>
      <c r="T68" s="12">
        <f>IF(ISNUMBER(SEARCH("营",main!AB68)),(-$Y68+50*IF(main!$AK68="是",main!$BB$4,main!$BB$3)),(VLOOKUP(main!AB68,main!$AO$4:$AQ$55,2,FALSE))*IF(main!$AK68="是",main!$BB$4,main!$BB$3))</f>
        <v>120</v>
      </c>
      <c r="U68" s="12">
        <f>IF(ISNUMBER(SEARCH("营",main!AC68)),(-$Y68+50*IF(main!$AK68="是",main!$BB$4,main!$BB$3)),(VLOOKUP(main!AC68,main!$AO$4:$AQ$55,2,FALSE))*IF(main!$AK68="是",main!$BB$4,main!$BB$3))</f>
        <v>136</v>
      </c>
      <c r="V68" s="12">
        <f>IF(ISNUMBER(SEARCH("营",main!AD68)),(-$Y68+50*IF(main!$AK68="是",main!$BB$4,main!$BB$3)),(VLOOKUP(main!AD68,main!$AO$4:$AQ$55,2,FALSE))*IF(main!$AK68="是",main!$BB$4,main!$BB$3))</f>
        <v>136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7">
        <v>100</v>
      </c>
      <c r="Z68" s="15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152</v>
      </c>
      <c r="J69" s="12">
        <f>IF(ISNUMBER(SEARCH("营",main!R69)),(-$Y69+50*IF(main!$AK69="是",main!$BB$4,main!$BB$3)),(VLOOKUP(main!R69,main!$AO$4:$AQ$55,2,FALSE))*IF(main!$AK69="是",main!$BB$4,main!$BB$3))</f>
        <v>144</v>
      </c>
      <c r="K69" s="12">
        <f>IF(ISNUMBER(SEARCH("营",main!S69)),(-$Y69+50*IF(main!$AK69="是",main!$BB$4,main!$BB$3)),(VLOOKUP(main!S69,main!$AO$4:$AQ$55,2,FALSE))*IF(main!$AK69="是",main!$BB$4,main!$BB$3))</f>
        <v>144</v>
      </c>
      <c r="L69" s="12">
        <f>IF(ISNUMBER(SEARCH("营",main!T69)),(-$Y69+50*IF(main!$AK69="是",main!$BB$4,main!$BB$3)),(VLOOKUP(main!T69,main!$AO$4:$AQ$55,2,FALSE))*IF(main!$AK69="是",main!$BB$4,main!$BB$3))</f>
        <v>144</v>
      </c>
      <c r="M69" s="12">
        <f>IF(ISNUMBER(SEARCH("营",main!U69)),(-$Y69+50*IF(main!$AK69="是",main!$BB$4,main!$BB$3)),(VLOOKUP(main!U69,main!$AO$4:$AQ$55,2,FALSE))*IF(main!$AK69="是",main!$BB$4,main!$BB$3))</f>
        <v>144</v>
      </c>
      <c r="N69" s="12">
        <f>IF(ISNUMBER(SEARCH("营",main!V69)),(-$Y69+50*IF(main!$AK69="是",main!$BB$4,main!$BB$3)),(VLOOKUP(main!V69,main!$AO$4:$AQ$55,2,FALSE))*IF(main!$AK69="是",main!$BB$4,main!$BB$3))</f>
        <v>144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120</v>
      </c>
      <c r="R69" s="12">
        <f>IF(ISNUMBER(SEARCH("营",main!Z69)),(-$Y69+50*IF(main!$AK69="是",main!$BB$4,main!$BB$3)),(VLOOKUP(main!Z69,main!$AO$4:$AQ$55,2,FALSE))*IF(main!$AK69="是",main!$BB$4,main!$BB$3))</f>
        <v>136</v>
      </c>
      <c r="S69" s="12">
        <f>IF(ISNUMBER(SEARCH("营",main!AA69)),(-$Y69+50*IF(main!$AK69="是",main!$BB$4,main!$BB$3)),(VLOOKUP(main!AA69,main!$AO$4:$AQ$55,2,FALSE))*IF(main!$AK69="是",main!$BB$4,main!$BB$3))</f>
        <v>136</v>
      </c>
      <c r="T69" s="12">
        <f>IF(ISNUMBER(SEARCH("营",main!AB69)),(-$Y69+50*IF(main!$AK69="是",main!$BB$4,main!$BB$3)),(VLOOKUP(main!AB69,main!$AO$4:$AQ$55,2,FALSE))*IF(main!$AK69="是",main!$BB$4,main!$BB$3))</f>
        <v>136</v>
      </c>
      <c r="U69" s="12">
        <f>IF(ISNUMBER(SEARCH("营",main!AC69)),(-$Y69+50*IF(main!$AK69="是",main!$BB$4,main!$BB$3)),(VLOOKUP(main!AC69,main!$AO$4:$AQ$55,2,FALSE))*IF(main!$AK69="是",main!$BB$4,main!$BB$3))</f>
        <v>40</v>
      </c>
      <c r="V69" s="12">
        <f>IF(ISNUMBER(SEARCH("营",main!AD69)),(-$Y69+50*IF(main!$AK69="是",main!$BB$4,main!$BB$3)),(VLOOKUP(main!AD69,main!$AO$4:$AQ$55,2,FALSE))*IF(main!$AK69="是",main!$BB$4,main!$BB$3))</f>
        <v>136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7">
        <v>100</v>
      </c>
      <c r="Z69" s="15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144</v>
      </c>
      <c r="J70" s="12">
        <f>IF(ISNUMBER(SEARCH("营",main!R70)),(-$Y70+50*IF(main!$AK70="是",main!$BB$4,main!$BB$3)),(VLOOKUP(main!R70,main!$AO$4:$AQ$55,2,FALSE))*IF(main!$AK70="是",main!$BB$4,main!$BB$3))</f>
        <v>144</v>
      </c>
      <c r="K70" s="12">
        <f>IF(ISNUMBER(SEARCH("营",main!S70)),(-$Y70+50*IF(main!$AK70="是",main!$BB$4,main!$BB$3)),(VLOOKUP(main!S70,main!$AO$4:$AQ$55,2,FALSE))*IF(main!$AK70="是",main!$BB$4,main!$BB$3))</f>
        <v>144</v>
      </c>
      <c r="L70" s="12">
        <f>IF(ISNUMBER(SEARCH("营",main!T70)),(-$Y70+50*IF(main!$AK70="是",main!$BB$4,main!$BB$3)),(VLOOKUP(main!T70,main!$AO$4:$AQ$55,2,FALSE))*IF(main!$AK70="是",main!$BB$4,main!$BB$3))</f>
        <v>144</v>
      </c>
      <c r="M70" s="12">
        <f>IF(ISNUMBER(SEARCH("营",main!U70)),(-$Y70+50*IF(main!$AK70="是",main!$BB$4,main!$BB$3)),(VLOOKUP(main!U70,main!$AO$4:$AQ$55,2,FALSE))*IF(main!$AK70="是",main!$BB$4,main!$BB$3))</f>
        <v>144</v>
      </c>
      <c r="N70" s="12">
        <f>IF(ISNUMBER(SEARCH("营",main!V70)),(-$Y70+50*IF(main!$AK70="是",main!$BB$4,main!$BB$3)),(VLOOKUP(main!V70,main!$AO$4:$AQ$55,2,FALSE))*IF(main!$AK70="是",main!$BB$4,main!$BB$3))</f>
        <v>144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136</v>
      </c>
      <c r="R70" s="12">
        <f>IF(ISNUMBER(SEARCH("营",main!Z70)),(-$Y70+50*IF(main!$AK70="是",main!$BB$4,main!$BB$3)),(VLOOKUP(main!Z70,main!$AO$4:$AQ$55,2,FALSE))*IF(main!$AK70="是",main!$BB$4,main!$BB$3))</f>
        <v>120</v>
      </c>
      <c r="S70" s="12">
        <f>IF(ISNUMBER(SEARCH("营",main!AA70)),(-$Y70+50*IF(main!$AK70="是",main!$BB$4,main!$BB$3)),(VLOOKUP(main!AA70,main!$AO$4:$AQ$55,2,FALSE))*IF(main!$AK70="是",main!$BB$4,main!$BB$3))</f>
        <v>136</v>
      </c>
      <c r="T70" s="12">
        <f>IF(ISNUMBER(SEARCH("营",main!AB70)),(-$Y70+50*IF(main!$AK70="是",main!$BB$4,main!$BB$3)),(VLOOKUP(main!AB70,main!$AO$4:$AQ$55,2,FALSE))*IF(main!$AK70="是",main!$BB$4,main!$BB$3))</f>
        <v>136</v>
      </c>
      <c r="U70" s="12">
        <f>IF(ISNUMBER(SEARCH("营",main!AC70)),(-$Y70+50*IF(main!$AK70="是",main!$BB$4,main!$BB$3)),(VLOOKUP(main!AC70,main!$AO$4:$AQ$55,2,FALSE))*IF(main!$AK70="是",main!$BB$4,main!$BB$3))</f>
        <v>120</v>
      </c>
      <c r="V70" s="12">
        <f>IF(ISNUMBER(SEARCH("营",main!AD70)),(-$Y70+50*IF(main!$AK70="是",main!$BB$4,main!$BB$3)),(VLOOKUP(main!AD70,main!$AO$4:$AQ$55,2,FALSE))*IF(main!$AK70="是",main!$BB$4,main!$BB$3))</f>
        <v>136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7">
        <v>100</v>
      </c>
      <c r="Z70" s="15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144</v>
      </c>
      <c r="J71" s="12">
        <f>IF(ISNUMBER(SEARCH("营",main!R71)),(-$Y71+50*IF(main!$AK71="是",main!$BB$4,main!$BB$3)),(VLOOKUP(main!R71,main!$AO$4:$AQ$55,2,FALSE))*IF(main!$AK71="是",main!$BB$4,main!$BB$3))</f>
        <v>144</v>
      </c>
      <c r="K71" s="12">
        <f>IF(ISNUMBER(SEARCH("营",main!S71)),(-$Y71+50*IF(main!$AK71="是",main!$BB$4,main!$BB$3)),(VLOOKUP(main!S71,main!$AO$4:$AQ$55,2,FALSE))*IF(main!$AK71="是",main!$BB$4,main!$BB$3))</f>
        <v>144</v>
      </c>
      <c r="L71" s="12">
        <f>IF(ISNUMBER(SEARCH("营",main!T71)),(-$Y71+50*IF(main!$AK71="是",main!$BB$4,main!$BB$3)),(VLOOKUP(main!T71,main!$AO$4:$AQ$55,2,FALSE))*IF(main!$AK71="是",main!$BB$4,main!$BB$3))</f>
        <v>144</v>
      </c>
      <c r="M71" s="12">
        <f>IF(ISNUMBER(SEARCH("营",main!U71)),(-$Y71+50*IF(main!$AK71="是",main!$BB$4,main!$BB$3)),(VLOOKUP(main!U71,main!$AO$4:$AQ$55,2,FALSE))*IF(main!$AK71="是",main!$BB$4,main!$BB$3))</f>
        <v>144</v>
      </c>
      <c r="N71" s="12">
        <f>IF(ISNUMBER(SEARCH("营",main!V71)),(-$Y71+50*IF(main!$AK71="是",main!$BB$4,main!$BB$3)),(VLOOKUP(main!V71,main!$AO$4:$AQ$55,2,FALSE))*IF(main!$AK71="是",main!$BB$4,main!$BB$3))</f>
        <v>152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136</v>
      </c>
      <c r="R71" s="12">
        <f>IF(ISNUMBER(SEARCH("营",main!Z71)),(-$Y71+50*IF(main!$AK71="是",main!$BB$4,main!$BB$3)),(VLOOKUP(main!Z71,main!$AO$4:$AQ$55,2,FALSE))*IF(main!$AK71="是",main!$BB$4,main!$BB$3))</f>
        <v>136</v>
      </c>
      <c r="S71" s="12">
        <f>IF(ISNUMBER(SEARCH("营",main!AA71)),(-$Y71+50*IF(main!$AK71="是",main!$BB$4,main!$BB$3)),(VLOOKUP(main!AA71,main!$AO$4:$AQ$55,2,FALSE))*IF(main!$AK71="是",main!$BB$4,main!$BB$3))</f>
        <v>136</v>
      </c>
      <c r="T71" s="12">
        <f>IF(ISNUMBER(SEARCH("营",main!AB71)),(-$Y71+50*IF(main!$AK71="是",main!$BB$4,main!$BB$3)),(VLOOKUP(main!AB71,main!$AO$4:$AQ$55,2,FALSE))*IF(main!$AK71="是",main!$BB$4,main!$BB$3))</f>
        <v>136</v>
      </c>
      <c r="U71" s="12">
        <f>IF(ISNUMBER(SEARCH("营",main!AC71)),(-$Y71+50*IF(main!$AK71="是",main!$BB$4,main!$BB$3)),(VLOOKUP(main!AC71,main!$AO$4:$AQ$55,2,FALSE))*IF(main!$AK71="是",main!$BB$4,main!$BB$3))</f>
        <v>136</v>
      </c>
      <c r="V71" s="12">
        <f>IF(ISNUMBER(SEARCH("营",main!AD71)),(-$Y71+50*IF(main!$AK71="是",main!$BB$4,main!$BB$3)),(VLOOKUP(main!AD71,main!$AO$4:$AQ$55,2,FALSE))*IF(main!$AK71="是",main!$BB$4,main!$BB$3))</f>
        <v>120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7">
        <v>100</v>
      </c>
      <c r="Z71" s="15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144</v>
      </c>
      <c r="J72" s="12">
        <f>IF(ISNUMBER(SEARCH("营",main!R72)),(-$Y72+50*IF(main!$AK72="是",main!$BB$4,main!$BB$3)),(VLOOKUP(main!R72,main!$AO$4:$AQ$55,2,FALSE))*IF(main!$AK72="是",main!$BB$4,main!$BB$3))</f>
        <v>144</v>
      </c>
      <c r="K72" s="12">
        <f>IF(ISNUMBER(SEARCH("营",main!S72)),(-$Y72+50*IF(main!$AK72="是",main!$BB$4,main!$BB$3)),(VLOOKUP(main!S72,main!$AO$4:$AQ$55,2,FALSE))*IF(main!$AK72="是",main!$BB$4,main!$BB$3))</f>
        <v>144</v>
      </c>
      <c r="L72" s="12">
        <f>IF(ISNUMBER(SEARCH("营",main!T72)),(-$Y72+50*IF(main!$AK72="是",main!$BB$4,main!$BB$3)),(VLOOKUP(main!T72,main!$AO$4:$AQ$55,2,FALSE))*IF(main!$AK72="是",main!$BB$4,main!$BB$3))</f>
        <v>144</v>
      </c>
      <c r="M72" s="12">
        <f>IF(ISNUMBER(SEARCH("营",main!U72)),(-$Y72+50*IF(main!$AK72="是",main!$BB$4,main!$BB$3)),(VLOOKUP(main!U72,main!$AO$4:$AQ$55,2,FALSE))*IF(main!$AK72="是",main!$BB$4,main!$BB$3))</f>
        <v>144</v>
      </c>
      <c r="N72" s="12">
        <f>IF(ISNUMBER(SEARCH("营",main!V72)),(-$Y72+50*IF(main!$AK72="是",main!$BB$4,main!$BB$3)),(VLOOKUP(main!V72,main!$AO$4:$AQ$55,2,FALSE))*IF(main!$AK72="是",main!$BB$4,main!$BB$3))</f>
        <v>144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136</v>
      </c>
      <c r="R72" s="12">
        <f>IF(ISNUMBER(SEARCH("营",main!Z72)),(-$Y72+50*IF(main!$AK72="是",main!$BB$4,main!$BB$3)),(VLOOKUP(main!Z72,main!$AO$4:$AQ$55,2,FALSE))*IF(main!$AK72="是",main!$BB$4,main!$BB$3))</f>
        <v>136</v>
      </c>
      <c r="S72" s="12">
        <f>IF(ISNUMBER(SEARCH("营",main!AA72)),(-$Y72+50*IF(main!$AK72="是",main!$BB$4,main!$BB$3)),(VLOOKUP(main!AA72,main!$AO$4:$AQ$55,2,FALSE))*IF(main!$AK72="是",main!$BB$4,main!$BB$3))</f>
        <v>136</v>
      </c>
      <c r="T72" s="12">
        <f>IF(ISNUMBER(SEARCH("营",main!AB72)),(-$Y72+50*IF(main!$AK72="是",main!$BB$4,main!$BB$3)),(VLOOKUP(main!AB72,main!$AO$4:$AQ$55,2,FALSE))*IF(main!$AK72="是",main!$BB$4,main!$BB$3))</f>
        <v>136</v>
      </c>
      <c r="U72" s="12">
        <f>IF(ISNUMBER(SEARCH("营",main!AC72)),(-$Y72+50*IF(main!$AK72="是",main!$BB$4,main!$BB$3)),(VLOOKUP(main!AC72,main!$AO$4:$AQ$55,2,FALSE))*IF(main!$AK72="是",main!$BB$4,main!$BB$3))</f>
        <v>136</v>
      </c>
      <c r="V72" s="12">
        <f>IF(ISNUMBER(SEARCH("营",main!AD72)),(-$Y72+50*IF(main!$AK72="是",main!$BB$4,main!$BB$3)),(VLOOKUP(main!AD72,main!$AO$4:$AQ$55,2,FALSE))*IF(main!$AK72="是",main!$BB$4,main!$BB$3))</f>
        <v>136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7">
        <v>100</v>
      </c>
      <c r="Z72" s="15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144</v>
      </c>
      <c r="J73" s="12">
        <f>IF(ISNUMBER(SEARCH("营",main!R73)),(-$Y73+50*IF(main!$AK73="是",main!$BB$4,main!$BB$3)),(VLOOKUP(main!R73,main!$AO$4:$AQ$55,2,FALSE))*IF(main!$AK73="是",main!$BB$4,main!$BB$3))</f>
        <v>144</v>
      </c>
      <c r="K73" s="12">
        <f>IF(ISNUMBER(SEARCH("营",main!S73)),(-$Y73+50*IF(main!$AK73="是",main!$BB$4,main!$BB$3)),(VLOOKUP(main!S73,main!$AO$4:$AQ$55,2,FALSE))*IF(main!$AK73="是",main!$BB$4,main!$BB$3))</f>
        <v>120</v>
      </c>
      <c r="L73" s="12">
        <f>IF(ISNUMBER(SEARCH("营",main!T73)),(-$Y73+50*IF(main!$AK73="是",main!$BB$4,main!$BB$3)),(VLOOKUP(main!T73,main!$AO$4:$AQ$55,2,FALSE))*IF(main!$AK73="是",main!$BB$4,main!$BB$3))</f>
        <v>144</v>
      </c>
      <c r="M73" s="12">
        <f>IF(ISNUMBER(SEARCH("营",main!U73)),(-$Y73+50*IF(main!$AK73="是",main!$BB$4,main!$BB$3)),(VLOOKUP(main!U73,main!$AO$4:$AQ$55,2,FALSE))*IF(main!$AK73="是",main!$BB$4,main!$BB$3))</f>
        <v>144</v>
      </c>
      <c r="N73" s="12">
        <f>IF(ISNUMBER(SEARCH("营",main!V73)),(-$Y73+50*IF(main!$AK73="是",main!$BB$4,main!$BB$3)),(VLOOKUP(main!V73,main!$AO$4:$AQ$55,2,FALSE))*IF(main!$AK73="是",main!$BB$4,main!$BB$3))</f>
        <v>144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120</v>
      </c>
      <c r="R73" s="12">
        <f>IF(ISNUMBER(SEARCH("营",main!Z73)),(-$Y73+50*IF(main!$AK73="是",main!$BB$4,main!$BB$3)),(VLOOKUP(main!Z73,main!$AO$4:$AQ$55,2,FALSE))*IF(main!$AK73="是",main!$BB$4,main!$BB$3))</f>
        <v>136</v>
      </c>
      <c r="S73" s="12">
        <f>IF(ISNUMBER(SEARCH("营",main!AA73)),(-$Y73+50*IF(main!$AK73="是",main!$BB$4,main!$BB$3)),(VLOOKUP(main!AA73,main!$AO$4:$AQ$55,2,FALSE))*IF(main!$AK73="是",main!$BB$4,main!$BB$3))</f>
        <v>120</v>
      </c>
      <c r="T73" s="12">
        <f>IF(ISNUMBER(SEARCH("营",main!AB73)),(-$Y73+50*IF(main!$AK73="是",main!$BB$4,main!$BB$3)),(VLOOKUP(main!AB73,main!$AO$4:$AQ$55,2,FALSE))*IF(main!$AK73="是",main!$BB$4,main!$BB$3))</f>
        <v>136</v>
      </c>
      <c r="U73" s="12">
        <f>IF(ISNUMBER(SEARCH("营",main!AC73)),(-$Y73+50*IF(main!$AK73="是",main!$BB$4,main!$BB$3)),(VLOOKUP(main!AC73,main!$AO$4:$AQ$55,2,FALSE))*IF(main!$AK73="是",main!$BB$4,main!$BB$3))</f>
        <v>136</v>
      </c>
      <c r="V73" s="12">
        <f>IF(ISNUMBER(SEARCH("营",main!AD73)),(-$Y73+50*IF(main!$AK73="是",main!$BB$4,main!$BB$3)),(VLOOKUP(main!AD73,main!$AO$4:$AQ$55,2,FALSE))*IF(main!$AK73="是",main!$BB$4,main!$BB$3))</f>
        <v>120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7">
        <v>100</v>
      </c>
      <c r="Z73" s="15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144</v>
      </c>
      <c r="J74" s="12">
        <f>IF(ISNUMBER(SEARCH("营",main!R74)),(-$Y74+50*IF(main!$AK74="是",main!$BB$4,main!$BB$3)),(VLOOKUP(main!R74,main!$AO$4:$AQ$55,2,FALSE))*IF(main!$AK74="是",main!$BB$4,main!$BB$3))</f>
        <v>144</v>
      </c>
      <c r="K74" s="12">
        <f>IF(ISNUMBER(SEARCH("营",main!S74)),(-$Y74+50*IF(main!$AK74="是",main!$BB$4,main!$BB$3)),(VLOOKUP(main!S74,main!$AO$4:$AQ$55,2,FALSE))*IF(main!$AK74="是",main!$BB$4,main!$BB$3))</f>
        <v>40</v>
      </c>
      <c r="L74" s="12">
        <f>IF(ISNUMBER(SEARCH("营",main!T74)),(-$Y74+50*IF(main!$AK74="是",main!$BB$4,main!$BB$3)),(VLOOKUP(main!T74,main!$AO$4:$AQ$55,2,FALSE))*IF(main!$AK74="是",main!$BB$4,main!$BB$3))</f>
        <v>144</v>
      </c>
      <c r="M74" s="12">
        <f>IF(ISNUMBER(SEARCH("营",main!U74)),(-$Y74+50*IF(main!$AK74="是",main!$BB$4,main!$BB$3)),(VLOOKUP(main!U74,main!$AO$4:$AQ$55,2,FALSE))*IF(main!$AK74="是",main!$BB$4,main!$BB$3))</f>
        <v>144</v>
      </c>
      <c r="N74" s="12">
        <f>IF(ISNUMBER(SEARCH("营",main!V74)),(-$Y74+50*IF(main!$AK74="是",main!$BB$4,main!$BB$3)),(VLOOKUP(main!V74,main!$AO$4:$AQ$55,2,FALSE))*IF(main!$AK74="是",main!$BB$4,main!$BB$3))</f>
        <v>144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136</v>
      </c>
      <c r="R74" s="12">
        <f>IF(ISNUMBER(SEARCH("营",main!Z74)),(-$Y74+50*IF(main!$AK74="是",main!$BB$4,main!$BB$3)),(VLOOKUP(main!Z74,main!$AO$4:$AQ$55,2,FALSE))*IF(main!$AK74="是",main!$BB$4,main!$BB$3))</f>
        <v>136</v>
      </c>
      <c r="S74" s="12">
        <f>IF(ISNUMBER(SEARCH("营",main!AA74)),(-$Y74+50*IF(main!$AK74="是",main!$BB$4,main!$BB$3)),(VLOOKUP(main!AA74,main!$AO$4:$AQ$55,2,FALSE))*IF(main!$AK74="是",main!$BB$4,main!$BB$3))</f>
        <v>136</v>
      </c>
      <c r="T74" s="12">
        <f>IF(ISNUMBER(SEARCH("营",main!AB74)),(-$Y74+50*IF(main!$AK74="是",main!$BB$4,main!$BB$3)),(VLOOKUP(main!AB74,main!$AO$4:$AQ$55,2,FALSE))*IF(main!$AK74="是",main!$BB$4,main!$BB$3))</f>
        <v>136</v>
      </c>
      <c r="U74" s="12">
        <f>IF(ISNUMBER(SEARCH("营",main!AC74)),(-$Y74+50*IF(main!$AK74="是",main!$BB$4,main!$BB$3)),(VLOOKUP(main!AC74,main!$AO$4:$AQ$55,2,FALSE))*IF(main!$AK74="是",main!$BB$4,main!$BB$3))</f>
        <v>136</v>
      </c>
      <c r="V74" s="12">
        <f>IF(ISNUMBER(SEARCH("营",main!AD74)),(-$Y74+50*IF(main!$AK74="是",main!$BB$4,main!$BB$3)),(VLOOKUP(main!AD74,main!$AO$4:$AQ$55,2,FALSE))*IF(main!$AK74="是",main!$BB$4,main!$BB$3))</f>
        <v>136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7">
        <v>100</v>
      </c>
      <c r="Z74" s="15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144</v>
      </c>
      <c r="L75" s="12">
        <f>IF(ISNUMBER(SEARCH("营",main!T75)),(-$Y75+50*IF(main!$AK75="是",main!$BB$4,main!$BB$3)),(VLOOKUP(main!T75,main!$AO$4:$AQ$55,2,FALSE))*IF(main!$AK75="是",main!$BB$4,main!$BB$3))</f>
        <v>144</v>
      </c>
      <c r="M75" s="12">
        <f>IF(ISNUMBER(SEARCH("营",main!U75)),(-$Y75+50*IF(main!$AK75="是",main!$BB$4,main!$BB$3)),(VLOOKUP(main!U75,main!$AO$4:$AQ$55,2,FALSE))*IF(main!$AK75="是",main!$BB$4,main!$BB$3))</f>
        <v>144</v>
      </c>
      <c r="N75" s="12">
        <f>IF(ISNUMBER(SEARCH("营",main!V75)),(-$Y75+50*IF(main!$AK75="是",main!$BB$4,main!$BB$3)),(VLOOKUP(main!V75,main!$AO$4:$AQ$55,2,FALSE))*IF(main!$AK75="是",main!$BB$4,main!$BB$3))</f>
        <v>144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136</v>
      </c>
      <c r="R75" s="12">
        <f>IF(ISNUMBER(SEARCH("营",main!Z75)),(-$Y75+50*IF(main!$AK75="是",main!$BB$4,main!$BB$3)),(VLOOKUP(main!Z75,main!$AO$4:$AQ$55,2,FALSE))*IF(main!$AK75="是",main!$BB$4,main!$BB$3))</f>
        <v>136</v>
      </c>
      <c r="S75" s="12">
        <f>IF(ISNUMBER(SEARCH("营",main!AA75)),(-$Y75+50*IF(main!$AK75="是",main!$BB$4,main!$BB$3)),(VLOOKUP(main!AA75,main!$AO$4:$AQ$55,2,FALSE))*IF(main!$AK75="是",main!$BB$4,main!$BB$3))</f>
        <v>136</v>
      </c>
      <c r="T75" s="12">
        <f>IF(ISNUMBER(SEARCH("营",main!AB75)),(-$Y75+50*IF(main!$AK75="是",main!$BB$4,main!$BB$3)),(VLOOKUP(main!AB75,main!$AO$4:$AQ$55,2,FALSE))*IF(main!$AK75="是",main!$BB$4,main!$BB$3))</f>
        <v>136</v>
      </c>
      <c r="U75" s="12">
        <f>IF(ISNUMBER(SEARCH("营",main!AC75)),(-$Y75+50*IF(main!$AK75="是",main!$BB$4,main!$BB$3)),(VLOOKUP(main!AC75,main!$AO$4:$AQ$55,2,FALSE))*IF(main!$AK75="是",main!$BB$4,main!$BB$3))</f>
        <v>136</v>
      </c>
      <c r="V75" s="12">
        <f>IF(ISNUMBER(SEARCH("营",main!AD75)),(-$Y75+50*IF(main!$AK75="是",main!$BB$4,main!$BB$3)),(VLOOKUP(main!AD75,main!$AO$4:$AQ$55,2,FALSE))*IF(main!$AK75="是",main!$BB$4,main!$BB$3))</f>
        <v>152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7">
        <v>100</v>
      </c>
      <c r="Z75" s="15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144</v>
      </c>
      <c r="J76" s="12">
        <f>IF(ISNUMBER(SEARCH("营",main!R76)),(-$Y76+50*IF(main!$AK76="是",main!$BB$4,main!$BB$3)),(VLOOKUP(main!R76,main!$AO$4:$AQ$55,2,FALSE))*IF(main!$AK76="是",main!$BB$4,main!$BB$3))</f>
        <v>144</v>
      </c>
      <c r="K76" s="12">
        <f>IF(ISNUMBER(SEARCH("营",main!S76)),(-$Y76+50*IF(main!$AK76="是",main!$BB$4,main!$BB$3)),(VLOOKUP(main!S76,main!$AO$4:$AQ$55,2,FALSE))*IF(main!$AK76="是",main!$BB$4,main!$BB$3))</f>
        <v>144</v>
      </c>
      <c r="L76" s="12">
        <f>IF(ISNUMBER(SEARCH("营",main!T76)),(-$Y76+50*IF(main!$AK76="是",main!$BB$4,main!$BB$3)),(VLOOKUP(main!T76,main!$AO$4:$AQ$55,2,FALSE))*IF(main!$AK76="是",main!$BB$4,main!$BB$3))</f>
        <v>144</v>
      </c>
      <c r="M76" s="12">
        <f>IF(ISNUMBER(SEARCH("营",main!U76)),(-$Y76+50*IF(main!$AK76="是",main!$BB$4,main!$BB$3)),(VLOOKUP(main!U76,main!$AO$4:$AQ$55,2,FALSE))*IF(main!$AK76="是",main!$BB$4,main!$BB$3))</f>
        <v>144</v>
      </c>
      <c r="N76" s="12">
        <f>IF(ISNUMBER(SEARCH("营",main!V76)),(-$Y76+50*IF(main!$AK76="是",main!$BB$4,main!$BB$3)),(VLOOKUP(main!V76,main!$AO$4:$AQ$55,2,FALSE))*IF(main!$AK76="是",main!$BB$4,main!$BB$3))</f>
        <v>144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152</v>
      </c>
      <c r="R76" s="12">
        <f>IF(ISNUMBER(SEARCH("营",main!Z76)),(-$Y76+50*IF(main!$AK76="是",main!$BB$4,main!$BB$3)),(VLOOKUP(main!Z76,main!$AO$4:$AQ$55,2,FALSE))*IF(main!$AK76="是",main!$BB$4,main!$BB$3))</f>
        <v>152</v>
      </c>
      <c r="S76" s="12">
        <f>IF(ISNUMBER(SEARCH("营",main!AA76)),(-$Y76+50*IF(main!$AK76="是",main!$BB$4,main!$BB$3)),(VLOOKUP(main!AA76,main!$AO$4:$AQ$55,2,FALSE))*IF(main!$AK76="是",main!$BB$4,main!$BB$3))</f>
        <v>152</v>
      </c>
      <c r="T76" s="12">
        <f>IF(ISNUMBER(SEARCH("营",main!AB76)),(-$Y76+50*IF(main!$AK76="是",main!$BB$4,main!$BB$3)),(VLOOKUP(main!AB76,main!$AO$4:$AQ$55,2,FALSE))*IF(main!$AK76="是",main!$BB$4,main!$BB$3))</f>
        <v>152</v>
      </c>
      <c r="U76" s="12">
        <f>IF(ISNUMBER(SEARCH("营",main!AC76)),(-$Y76+50*IF(main!$AK76="是",main!$BB$4,main!$BB$3)),(VLOOKUP(main!AC76,main!$AO$4:$AQ$55,2,FALSE))*IF(main!$AK76="是",main!$BB$4,main!$BB$3))</f>
        <v>152</v>
      </c>
      <c r="V76" s="12">
        <f>IF(ISNUMBER(SEARCH("营",main!AD76)),(-$Y76+50*IF(main!$AK76="是",main!$BB$4,main!$BB$3)),(VLOOKUP(main!AD76,main!$AO$4:$AQ$55,2,FALSE))*IF(main!$AK76="是",main!$BB$4,main!$BB$3))</f>
        <v>152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7">
        <v>100</v>
      </c>
      <c r="Z76" s="15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120</v>
      </c>
      <c r="J77" s="12">
        <f>IF(ISNUMBER(SEARCH("营",main!R77)),(-$Y77+50*IF(main!$AK77="是",main!$BB$4,main!$BB$3)),(VLOOKUP(main!R77,main!$AO$4:$AQ$55,2,FALSE))*IF(main!$AK77="是",main!$BB$4,main!$BB$3))</f>
        <v>144</v>
      </c>
      <c r="K77" s="12">
        <f>IF(ISNUMBER(SEARCH("营",main!S77)),(-$Y77+50*IF(main!$AK77="是",main!$BB$4,main!$BB$3)),(VLOOKUP(main!S77,main!$AO$4:$AQ$55,2,FALSE))*IF(main!$AK77="是",main!$BB$4,main!$BB$3))</f>
        <v>144</v>
      </c>
      <c r="L77" s="12">
        <f>IF(ISNUMBER(SEARCH("营",main!T77)),(-$Y77+50*IF(main!$AK77="是",main!$BB$4,main!$BB$3)),(VLOOKUP(main!T77,main!$AO$4:$AQ$55,2,FALSE))*IF(main!$AK77="是",main!$BB$4,main!$BB$3))</f>
        <v>144</v>
      </c>
      <c r="M77" s="12">
        <f>IF(ISNUMBER(SEARCH("营",main!U77)),(-$Y77+50*IF(main!$AK77="是",main!$BB$4,main!$BB$3)),(VLOOKUP(main!U77,main!$AO$4:$AQ$55,2,FALSE))*IF(main!$AK77="是",main!$BB$4,main!$BB$3))</f>
        <v>144</v>
      </c>
      <c r="N77" s="12">
        <f>IF(ISNUMBER(SEARCH("营",main!V77)),(-$Y77+50*IF(main!$AK77="是",main!$BB$4,main!$BB$3)),(VLOOKUP(main!V77,main!$AO$4:$AQ$55,2,FALSE))*IF(main!$AK77="是",main!$BB$4,main!$BB$3))</f>
        <v>144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152</v>
      </c>
      <c r="R77" s="12">
        <f>IF(ISNUMBER(SEARCH("营",main!Z77)),(-$Y77+50*IF(main!$AK77="是",main!$BB$4,main!$BB$3)),(VLOOKUP(main!Z77,main!$AO$4:$AQ$55,2,FALSE))*IF(main!$AK77="是",main!$BB$4,main!$BB$3))</f>
        <v>152</v>
      </c>
      <c r="S77" s="12">
        <f>IF(ISNUMBER(SEARCH("营",main!AA77)),(-$Y77+50*IF(main!$AK77="是",main!$BB$4,main!$BB$3)),(VLOOKUP(main!AA77,main!$AO$4:$AQ$55,2,FALSE))*IF(main!$AK77="是",main!$BB$4,main!$BB$3))</f>
        <v>152</v>
      </c>
      <c r="T77" s="12">
        <f>IF(ISNUMBER(SEARCH("营",main!AB77)),(-$Y77+50*IF(main!$AK77="是",main!$BB$4,main!$BB$3)),(VLOOKUP(main!AB77,main!$AO$4:$AQ$55,2,FALSE))*IF(main!$AK77="是",main!$BB$4,main!$BB$3))</f>
        <v>152</v>
      </c>
      <c r="U77" s="12">
        <f>IF(ISNUMBER(SEARCH("营",main!AC77)),(-$Y77+50*IF(main!$AK77="是",main!$BB$4,main!$BB$3)),(VLOOKUP(main!AC77,main!$AO$4:$AQ$55,2,FALSE))*IF(main!$AK77="是",main!$BB$4,main!$BB$3))</f>
        <v>152</v>
      </c>
      <c r="V77" s="12">
        <f>IF(ISNUMBER(SEARCH("营",main!AD77)),(-$Y77+50*IF(main!$AK77="是",main!$BB$4,main!$BB$3)),(VLOOKUP(main!AD77,main!$AO$4:$AQ$55,2,FALSE))*IF(main!$AK77="是",main!$BB$4,main!$BB$3))</f>
        <v>152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7">
        <v>100</v>
      </c>
      <c r="Z77" s="15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144</v>
      </c>
      <c r="J78" s="12">
        <f>IF(ISNUMBER(SEARCH("营",main!R78)),(-$Y78+50*IF(main!$AK78="是",main!$BB$4,main!$BB$3)),(VLOOKUP(main!R78,main!$AO$4:$AQ$55,2,FALSE))*IF(main!$AK78="是",main!$BB$4,main!$BB$3))</f>
        <v>152</v>
      </c>
      <c r="K78" s="12">
        <f>IF(ISNUMBER(SEARCH("营",main!S78)),(-$Y78+50*IF(main!$AK78="是",main!$BB$4,main!$BB$3)),(VLOOKUP(main!S78,main!$AO$4:$AQ$55,2,FALSE))*IF(main!$AK78="是",main!$BB$4,main!$BB$3))</f>
        <v>152</v>
      </c>
      <c r="L78" s="12">
        <f>IF(ISNUMBER(SEARCH("营",main!T78)),(-$Y78+50*IF(main!$AK78="是",main!$BB$4,main!$BB$3)),(VLOOKUP(main!T78,main!$AO$4:$AQ$55,2,FALSE))*IF(main!$AK78="是",main!$BB$4,main!$BB$3))</f>
        <v>144</v>
      </c>
      <c r="M78" s="12">
        <f>IF(ISNUMBER(SEARCH("营",main!U78)),(-$Y78+50*IF(main!$AK78="是",main!$BB$4,main!$BB$3)),(VLOOKUP(main!U78,main!$AO$4:$AQ$55,2,FALSE))*IF(main!$AK78="是",main!$BB$4,main!$BB$3))</f>
        <v>144</v>
      </c>
      <c r="N78" s="12">
        <f>IF(ISNUMBER(SEARCH("营",main!V78)),(-$Y78+50*IF(main!$AK78="是",main!$BB$4,main!$BB$3)),(VLOOKUP(main!V78,main!$AO$4:$AQ$55,2,FALSE))*IF(main!$AK78="是",main!$BB$4,main!$BB$3))</f>
        <v>144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152</v>
      </c>
      <c r="R78" s="12">
        <f>IF(ISNUMBER(SEARCH("营",main!Z78)),(-$Y78+50*IF(main!$AK78="是",main!$BB$4,main!$BB$3)),(VLOOKUP(main!Z78,main!$AO$4:$AQ$55,2,FALSE))*IF(main!$AK78="是",main!$BB$4,main!$BB$3))</f>
        <v>152</v>
      </c>
      <c r="S78" s="12">
        <f>IF(ISNUMBER(SEARCH("营",main!AA78)),(-$Y78+50*IF(main!$AK78="是",main!$BB$4,main!$BB$3)),(VLOOKUP(main!AA78,main!$AO$4:$AQ$55,2,FALSE))*IF(main!$AK78="是",main!$BB$4,main!$BB$3))</f>
        <v>152</v>
      </c>
      <c r="T78" s="12">
        <f>IF(ISNUMBER(SEARCH("营",main!AB78)),(-$Y78+50*IF(main!$AK78="是",main!$BB$4,main!$BB$3)),(VLOOKUP(main!AB78,main!$AO$4:$AQ$55,2,FALSE))*IF(main!$AK78="是",main!$BB$4,main!$BB$3))</f>
        <v>152</v>
      </c>
      <c r="U78" s="12">
        <f>IF(ISNUMBER(SEARCH("营",main!AC78)),(-$Y78+50*IF(main!$AK78="是",main!$BB$4,main!$BB$3)),(VLOOKUP(main!AC78,main!$AO$4:$AQ$55,2,FALSE))*IF(main!$AK78="是",main!$BB$4,main!$BB$3))</f>
        <v>152</v>
      </c>
      <c r="V78" s="12">
        <f>IF(ISNUMBER(SEARCH("营",main!AD78)),(-$Y78+50*IF(main!$AK78="是",main!$BB$4,main!$BB$3)),(VLOOKUP(main!AD78,main!$AO$4:$AQ$55,2,FALSE))*IF(main!$AK78="是",main!$BB$4,main!$BB$3))</f>
        <v>152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7">
        <v>100</v>
      </c>
      <c r="Z78" s="15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144</v>
      </c>
      <c r="J79" s="12">
        <f>IF(ISNUMBER(SEARCH("营",main!R79)),(-$Y79+50*IF(main!$AK79="是",main!$BB$4,main!$BB$3)),(VLOOKUP(main!R79,main!$AO$4:$AQ$55,2,FALSE))*IF(main!$AK79="是",main!$BB$4,main!$BB$3))</f>
        <v>144</v>
      </c>
      <c r="K79" s="12">
        <f>IF(ISNUMBER(SEARCH("营",main!S79)),(-$Y79+50*IF(main!$AK79="是",main!$BB$4,main!$BB$3)),(VLOOKUP(main!S79,main!$AO$4:$AQ$55,2,FALSE))*IF(main!$AK79="是",main!$BB$4,main!$BB$3))</f>
        <v>144</v>
      </c>
      <c r="L79" s="12">
        <f>IF(ISNUMBER(SEARCH("营",main!T79)),(-$Y79+50*IF(main!$AK79="是",main!$BB$4,main!$BB$3)),(VLOOKUP(main!T79,main!$AO$4:$AQ$55,2,FALSE))*IF(main!$AK79="是",main!$BB$4,main!$BB$3))</f>
        <v>144</v>
      </c>
      <c r="M79" s="12">
        <f>IF(ISNUMBER(SEARCH("营",main!U79)),(-$Y79+50*IF(main!$AK79="是",main!$BB$4,main!$BB$3)),(VLOOKUP(main!U79,main!$AO$4:$AQ$55,2,FALSE))*IF(main!$AK79="是",main!$BB$4,main!$BB$3))</f>
        <v>144</v>
      </c>
      <c r="N79" s="12">
        <f>IF(ISNUMBER(SEARCH("营",main!V79)),(-$Y79+50*IF(main!$AK79="是",main!$BB$4,main!$BB$3)),(VLOOKUP(main!V79,main!$AO$4:$AQ$55,2,FALSE))*IF(main!$AK79="是",main!$BB$4,main!$BB$3))</f>
        <v>120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152</v>
      </c>
      <c r="R79" s="12">
        <f>IF(ISNUMBER(SEARCH("营",main!Z79)),(-$Y79+50*IF(main!$AK79="是",main!$BB$4,main!$BB$3)),(VLOOKUP(main!Z79,main!$AO$4:$AQ$55,2,FALSE))*IF(main!$AK79="是",main!$BB$4,main!$BB$3))</f>
        <v>152</v>
      </c>
      <c r="S79" s="12">
        <f>IF(ISNUMBER(SEARCH("营",main!AA79)),(-$Y79+50*IF(main!$AK79="是",main!$BB$4,main!$BB$3)),(VLOOKUP(main!AA79,main!$AO$4:$AQ$55,2,FALSE))*IF(main!$AK79="是",main!$BB$4,main!$BB$3))</f>
        <v>152</v>
      </c>
      <c r="T79" s="12">
        <f>IF(ISNUMBER(SEARCH("营",main!AB79)),(-$Y79+50*IF(main!$AK79="是",main!$BB$4,main!$BB$3)),(VLOOKUP(main!AB79,main!$AO$4:$AQ$55,2,FALSE))*IF(main!$AK79="是",main!$BB$4,main!$BB$3))</f>
        <v>152</v>
      </c>
      <c r="U79" s="12">
        <f>IF(ISNUMBER(SEARCH("营",main!AC79)),(-$Y79+50*IF(main!$AK79="是",main!$BB$4,main!$BB$3)),(VLOOKUP(main!AC79,main!$AO$4:$AQ$55,2,FALSE))*IF(main!$AK79="是",main!$BB$4,main!$BB$3))</f>
        <v>152</v>
      </c>
      <c r="V79" s="12">
        <f>IF(ISNUMBER(SEARCH("营",main!AD79)),(-$Y79+50*IF(main!$AK79="是",main!$BB$4,main!$BB$3)),(VLOOKUP(main!AD79,main!$AO$4:$AQ$55,2,FALSE))*IF(main!$AK79="是",main!$BB$4,main!$BB$3))</f>
        <v>152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7">
        <v>100</v>
      </c>
      <c r="Z79" s="15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144</v>
      </c>
      <c r="J80" s="12">
        <f>IF(ISNUMBER(SEARCH("营",main!R80)),(-$Y80+50*IF(main!$AK80="是",main!$BB$4,main!$BB$3)),(VLOOKUP(main!R80,main!$AO$4:$AQ$55,2,FALSE))*IF(main!$AK80="是",main!$BB$4,main!$BB$3))</f>
        <v>144</v>
      </c>
      <c r="K80" s="12">
        <f>IF(ISNUMBER(SEARCH("营",main!S80)),(-$Y80+50*IF(main!$AK80="是",main!$BB$4,main!$BB$3)),(VLOOKUP(main!S80,main!$AO$4:$AQ$55,2,FALSE))*IF(main!$AK80="是",main!$BB$4,main!$BB$3))</f>
        <v>144</v>
      </c>
      <c r="L80" s="12">
        <f>IF(ISNUMBER(SEARCH("营",main!T80)),(-$Y80+50*IF(main!$AK80="是",main!$BB$4,main!$BB$3)),(VLOOKUP(main!T80,main!$AO$4:$AQ$55,2,FALSE))*IF(main!$AK80="是",main!$BB$4,main!$BB$3))</f>
        <v>144</v>
      </c>
      <c r="M80" s="12">
        <f>IF(ISNUMBER(SEARCH("营",main!U80)),(-$Y80+50*IF(main!$AK80="是",main!$BB$4,main!$BB$3)),(VLOOKUP(main!U80,main!$AO$4:$AQ$55,2,FALSE))*IF(main!$AK80="是",main!$BB$4,main!$BB$3))</f>
        <v>144</v>
      </c>
      <c r="N80" s="12">
        <f>IF(ISNUMBER(SEARCH("营",main!V80)),(-$Y80+50*IF(main!$AK80="是",main!$BB$4,main!$BB$3)),(VLOOKUP(main!V80,main!$AO$4:$AQ$55,2,FALSE))*IF(main!$AK80="是",main!$BB$4,main!$BB$3))</f>
        <v>136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152</v>
      </c>
      <c r="R80" s="12">
        <f>IF(ISNUMBER(SEARCH("营",main!Z80)),(-$Y80+50*IF(main!$AK80="是",main!$BB$4,main!$BB$3)),(VLOOKUP(main!Z80,main!$AO$4:$AQ$55,2,FALSE))*IF(main!$AK80="是",main!$BB$4,main!$BB$3))</f>
        <v>152</v>
      </c>
      <c r="S80" s="12">
        <f>IF(ISNUMBER(SEARCH("营",main!AA80)),(-$Y80+50*IF(main!$AK80="是",main!$BB$4,main!$BB$3)),(VLOOKUP(main!AA80,main!$AO$4:$AQ$55,2,FALSE))*IF(main!$AK80="是",main!$BB$4,main!$BB$3))</f>
        <v>152</v>
      </c>
      <c r="T80" s="12">
        <f>IF(ISNUMBER(SEARCH("营",main!AB80)),(-$Y80+50*IF(main!$AK80="是",main!$BB$4,main!$BB$3)),(VLOOKUP(main!AB80,main!$AO$4:$AQ$55,2,FALSE))*IF(main!$AK80="是",main!$BB$4,main!$BB$3))</f>
        <v>136</v>
      </c>
      <c r="U80" s="12">
        <f>IF(ISNUMBER(SEARCH("营",main!AC80)),(-$Y80+50*IF(main!$AK80="是",main!$BB$4,main!$BB$3)),(VLOOKUP(main!AC80,main!$AO$4:$AQ$55,2,FALSE))*IF(main!$AK80="是",main!$BB$4,main!$BB$3))</f>
        <v>120</v>
      </c>
      <c r="V80" s="12">
        <f>IF(ISNUMBER(SEARCH("营",main!AD80)),(-$Y80+50*IF(main!$AK80="是",main!$BB$4,main!$BB$3)),(VLOOKUP(main!AD80,main!$AO$4:$AQ$55,2,FALSE))*IF(main!$AK80="是",main!$BB$4,main!$BB$3))</f>
        <v>152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7">
        <v>100</v>
      </c>
      <c r="Z80" s="15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136</v>
      </c>
      <c r="J81" s="12">
        <f>IF(ISNUMBER(SEARCH("营",main!R81)),(-$Y81+50*IF(main!$AK81="是",main!$BB$4,main!$BB$3)),(VLOOKUP(main!R81,main!$AO$4:$AQ$55,2,FALSE))*IF(main!$AK81="是",main!$BB$4,main!$BB$3))</f>
        <v>136</v>
      </c>
      <c r="K81" s="12">
        <f>IF(ISNUMBER(SEARCH("营",main!S81)),(-$Y81+50*IF(main!$AK81="是",main!$BB$4,main!$BB$3)),(VLOOKUP(main!S81,main!$AO$4:$AQ$55,2,FALSE))*IF(main!$AK81="是",main!$BB$4,main!$BB$3))</f>
        <v>40</v>
      </c>
      <c r="L81" s="12">
        <f>IF(ISNUMBER(SEARCH("营",main!T81)),(-$Y81+50*IF(main!$AK81="是",main!$BB$4,main!$BB$3)),(VLOOKUP(main!T81,main!$AO$4:$AQ$55,2,FALSE))*IF(main!$AK81="是",main!$BB$4,main!$BB$3))</f>
        <v>136</v>
      </c>
      <c r="M81" s="12">
        <f>IF(ISNUMBER(SEARCH("营",main!U81)),(-$Y81+50*IF(main!$AK81="是",main!$BB$4,main!$BB$3)),(VLOOKUP(main!U81,main!$AO$4:$AQ$55,2,FALSE))*IF(main!$AK81="是",main!$BB$4,main!$BB$3))</f>
        <v>136</v>
      </c>
      <c r="N81" s="12">
        <f>IF(ISNUMBER(SEARCH("营",main!V81)),(-$Y81+50*IF(main!$AK81="是",main!$BB$4,main!$BB$3)),(VLOOKUP(main!V81,main!$AO$4:$AQ$55,2,FALSE))*IF(main!$AK81="是",main!$BB$4,main!$BB$3))</f>
        <v>120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152</v>
      </c>
      <c r="R81" s="12">
        <f>IF(ISNUMBER(SEARCH("营",main!Z81)),(-$Y81+50*IF(main!$AK81="是",main!$BB$4,main!$BB$3)),(VLOOKUP(main!Z81,main!$AO$4:$AQ$55,2,FALSE))*IF(main!$AK81="是",main!$BB$4,main!$BB$3))</f>
        <v>152</v>
      </c>
      <c r="S81" s="12">
        <f>IF(ISNUMBER(SEARCH("营",main!AA81)),(-$Y81+50*IF(main!$AK81="是",main!$BB$4,main!$BB$3)),(VLOOKUP(main!AA81,main!$AO$4:$AQ$55,2,FALSE))*IF(main!$AK81="是",main!$BB$4,main!$BB$3))</f>
        <v>152</v>
      </c>
      <c r="T81" s="12">
        <f>IF(ISNUMBER(SEARCH("营",main!AB81)),(-$Y81+50*IF(main!$AK81="是",main!$BB$4,main!$BB$3)),(VLOOKUP(main!AB81,main!$AO$4:$AQ$55,2,FALSE))*IF(main!$AK81="是",main!$BB$4,main!$BB$3))</f>
        <v>120</v>
      </c>
      <c r="U81" s="12">
        <f>IF(ISNUMBER(SEARCH("营",main!AC81)),(-$Y81+50*IF(main!$AK81="是",main!$BB$4,main!$BB$3)),(VLOOKUP(main!AC81,main!$AO$4:$AQ$55,2,FALSE))*IF(main!$AK81="是",main!$BB$4,main!$BB$3))</f>
        <v>136</v>
      </c>
      <c r="V81" s="12">
        <f>IF(ISNUMBER(SEARCH("营",main!AD81)),(-$Y81+50*IF(main!$AK81="是",main!$BB$4,main!$BB$3)),(VLOOKUP(main!AD81,main!$AO$4:$AQ$55,2,FALSE))*IF(main!$AK81="是",main!$BB$4,main!$BB$3))</f>
        <v>136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7">
        <v>100</v>
      </c>
      <c r="Z81" s="15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136</v>
      </c>
      <c r="N82" s="12">
        <f>IF(ISNUMBER(SEARCH("营",main!V82)),(-$Y82+50*IF(main!$AK82="是",main!$BB$4,main!$BB$3)),(VLOOKUP(main!V82,main!$AO$4:$AQ$55,2,FALSE))*IF(main!$AK82="是",main!$BB$4,main!$BB$3))</f>
        <v>120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136</v>
      </c>
      <c r="R82" s="12">
        <f>IF(ISNUMBER(SEARCH("营",main!Z82)),(-$Y82+50*IF(main!$AK82="是",main!$BB$4,main!$BB$3)),(VLOOKUP(main!Z82,main!$AO$4:$AQ$55,2,FALSE))*IF(main!$AK82="是",main!$BB$4,main!$BB$3))</f>
        <v>136</v>
      </c>
      <c r="S82" s="12">
        <f>IF(ISNUMBER(SEARCH("营",main!AA82)),(-$Y82+50*IF(main!$AK82="是",main!$BB$4,main!$BB$3)),(VLOOKUP(main!AA82,main!$AO$4:$AQ$55,2,FALSE))*IF(main!$AK82="是",main!$BB$4,main!$BB$3))</f>
        <v>136</v>
      </c>
      <c r="T82" s="12">
        <f>IF(ISNUMBER(SEARCH("营",main!AB82)),(-$Y82+50*IF(main!$AK82="是",main!$BB$4,main!$BB$3)),(VLOOKUP(main!AB82,main!$AO$4:$AQ$55,2,FALSE))*IF(main!$AK82="是",main!$BB$4,main!$BB$3))</f>
        <v>136</v>
      </c>
      <c r="U82" s="12">
        <f>IF(ISNUMBER(SEARCH("营",main!AC82)),(-$Y82+50*IF(main!$AK82="是",main!$BB$4,main!$BB$3)),(VLOOKUP(main!AC82,main!$AO$4:$AQ$55,2,FALSE))*IF(main!$AK82="是",main!$BB$4,main!$BB$3))</f>
        <v>40</v>
      </c>
      <c r="V82" s="12">
        <f>IF(ISNUMBER(SEARCH("营",main!AD82)),(-$Y82+50*IF(main!$AK82="是",main!$BB$4,main!$BB$3)),(VLOOKUP(main!AD82,main!$AO$4:$AQ$55,2,FALSE))*IF(main!$AK82="是",main!$BB$4,main!$BB$3))</f>
        <v>136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7">
        <v>100</v>
      </c>
      <c r="Z82" s="15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120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40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7">
        <v>100</v>
      </c>
      <c r="Z83" s="15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120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120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136</v>
      </c>
      <c r="R84" s="12">
        <f>IF(ISNUMBER(SEARCH("营",main!Z84)),(-$Y84+50*IF(main!$AK84="是",main!$BB$4,main!$BB$3)),(VLOOKUP(main!Z84,main!$AO$4:$AQ$55,2,FALSE))*IF(main!$AK84="是",main!$BB$4,main!$BB$3))</f>
        <v>136</v>
      </c>
      <c r="S84" s="12">
        <f>IF(ISNUMBER(SEARCH("营",main!AA84)),(-$Y84+50*IF(main!$AK84="是",main!$BB$4,main!$BB$3)),(VLOOKUP(main!AA84,main!$AO$4:$AQ$55,2,FALSE))*IF(main!$AK84="是",main!$BB$4,main!$BB$3))</f>
        <v>136</v>
      </c>
      <c r="T84" s="12">
        <f>IF(ISNUMBER(SEARCH("营",main!AB84)),(-$Y84+50*IF(main!$AK84="是",main!$BB$4,main!$BB$3)),(VLOOKUP(main!AB84,main!$AO$4:$AQ$55,2,FALSE))*IF(main!$AK84="是",main!$BB$4,main!$BB$3))</f>
        <v>136</v>
      </c>
      <c r="U84" s="12">
        <f>IF(ISNUMBER(SEARCH("营",main!AC84)),(-$Y84+50*IF(main!$AK84="是",main!$BB$4,main!$BB$3)),(VLOOKUP(main!AC84,main!$AO$4:$AQ$55,2,FALSE))*IF(main!$AK84="是",main!$BB$4,main!$BB$3))</f>
        <v>136</v>
      </c>
      <c r="V84" s="12">
        <f>IF(ISNUMBER(SEARCH("营",main!AD84)),(-$Y84+50*IF(main!$AK84="是",main!$BB$4,main!$BB$3)),(VLOOKUP(main!AD84,main!$AO$4:$AQ$55,2,FALSE))*IF(main!$AK84="是",main!$BB$4,main!$BB$3))</f>
        <v>136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7">
        <v>100</v>
      </c>
      <c r="Z84" s="15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136</v>
      </c>
      <c r="R85" s="12">
        <f>IF(ISNUMBER(SEARCH("营",main!Z85)),(-$Y85+50*IF(main!$AK85="是",main!$BB$4,main!$BB$3)),(VLOOKUP(main!Z85,main!$AO$4:$AQ$55,2,FALSE))*IF(main!$AK85="是",main!$BB$4,main!$BB$3))</f>
        <v>136</v>
      </c>
      <c r="S85" s="12">
        <f>IF(ISNUMBER(SEARCH("营",main!AA85)),(-$Y85+50*IF(main!$AK85="是",main!$BB$4,main!$BB$3)),(VLOOKUP(main!AA85,main!$AO$4:$AQ$55,2,FALSE))*IF(main!$AK85="是",main!$BB$4,main!$BB$3))</f>
        <v>136</v>
      </c>
      <c r="T85" s="12">
        <f>IF(ISNUMBER(SEARCH("营",main!AB85)),(-$Y85+50*IF(main!$AK85="是",main!$BB$4,main!$BB$3)),(VLOOKUP(main!AB85,main!$AO$4:$AQ$55,2,FALSE))*IF(main!$AK85="是",main!$BB$4,main!$BB$3))</f>
        <v>136</v>
      </c>
      <c r="U85" s="12">
        <f>IF(ISNUMBER(SEARCH("营",main!AC85)),(-$Y85+50*IF(main!$AK85="是",main!$BB$4,main!$BB$3)),(VLOOKUP(main!AC85,main!$AO$4:$AQ$55,2,FALSE))*IF(main!$AK85="是",main!$BB$4,main!$BB$3))</f>
        <v>136</v>
      </c>
      <c r="V85" s="12">
        <f>IF(ISNUMBER(SEARCH("营",main!AD85)),(-$Y85+50*IF(main!$AK85="是",main!$BB$4,main!$BB$3)),(VLOOKUP(main!AD85,main!$AO$4:$AQ$55,2,FALSE))*IF(main!$AK85="是",main!$BB$4,main!$BB$3))</f>
        <v>136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7">
        <v>100</v>
      </c>
      <c r="Z85" s="15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128</v>
      </c>
      <c r="B86" s="12">
        <f>IF(ISNUMBER(SEARCH("营",main!J86)),(-$Y86+50*IF(main!$AK86="是",main!$BB$4,main!$BB$3)),(VLOOKUP(main!J86,main!$AO$4:$AQ$55,2,FALSE))*IF(main!$AK86="是",main!$BB$4,main!$BB$3))</f>
        <v>128</v>
      </c>
      <c r="C86" s="12">
        <f>IF(ISNUMBER(SEARCH("营",main!K86)),(-$Y86+50*IF(main!$AK86="是",main!$BB$4,main!$BB$3)),(VLOOKUP(main!K86,main!$AO$4:$AQ$55,2,FALSE))*IF(main!$AK86="是",main!$BB$4,main!$BB$3))</f>
        <v>40</v>
      </c>
      <c r="D86" s="12">
        <f>IF(ISNUMBER(SEARCH("营",main!L86)),(-$Y86+50*IF(main!$AK86="是",main!$BB$4,main!$BB$3)),(VLOOKUP(main!L86,main!$AO$4:$AQ$55,2,FALSE))*IF(main!$AK86="是",main!$BB$4,main!$BB$3))</f>
        <v>128</v>
      </c>
      <c r="E86" s="12">
        <f>IF(ISNUMBER(SEARCH("营",main!M86)),(-$Y86+50*IF(main!$AK86="是",main!$BB$4,main!$BB$3)),(VLOOKUP(main!M86,main!$AO$4:$AQ$55,2,FALSE))*IF(main!$AK86="是",main!$BB$4,main!$BB$3))</f>
        <v>128</v>
      </c>
      <c r="F86" s="12">
        <f>IF(ISNUMBER(SEARCH("营",main!N86)),(-$Y86+50*IF(main!$AK86="是",main!$BB$4,main!$BB$3)),(VLOOKUP(main!N86,main!$AO$4:$AQ$55,2,FALSE))*IF(main!$AK86="是",main!$BB$4,main!$BB$3))</f>
        <v>128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120</v>
      </c>
      <c r="J86" s="12">
        <f>IF(ISNUMBER(SEARCH("营",main!R86)),(-$Y86+50*IF(main!$AK86="是",main!$BB$4,main!$BB$3)),(VLOOKUP(main!R86,main!$AO$4:$AQ$55,2,FALSE))*IF(main!$AK86="是",main!$BB$4,main!$BB$3))</f>
        <v>200</v>
      </c>
      <c r="K86" s="12">
        <f>IF(ISNUMBER(SEARCH("营",main!S86)),(-$Y86+50*IF(main!$AK86="是",main!$BB$4,main!$BB$3)),(VLOOKUP(main!S86,main!$AO$4:$AQ$55,2,FALSE))*IF(main!$AK86="是",main!$BB$4,main!$BB$3))</f>
        <v>200</v>
      </c>
      <c r="L86" s="12">
        <f>IF(ISNUMBER(SEARCH("营",main!T86)),(-$Y86+50*IF(main!$AK86="是",main!$BB$4,main!$BB$3)),(VLOOKUP(main!T86,main!$AO$4:$AQ$55,2,FALSE))*IF(main!$AK86="是",main!$BB$4,main!$BB$3))</f>
        <v>160</v>
      </c>
      <c r="M86" s="12">
        <f>IF(ISNUMBER(SEARCH("营",main!U86)),(-$Y86+50*IF(main!$AK86="是",main!$BB$4,main!$BB$3)),(VLOOKUP(main!U86,main!$AO$4:$AQ$55,2,FALSE))*IF(main!$AK86="是",main!$BB$4,main!$BB$3))</f>
        <v>160</v>
      </c>
      <c r="N86" s="12">
        <f>IF(ISNUMBER(SEARCH("营",main!V86)),(-$Y86+50*IF(main!$AK86="是",main!$BB$4,main!$BB$3)),(VLOOKUP(main!V86,main!$AO$4:$AQ$55,2,FALSE))*IF(main!$AK86="是",main!$BB$4,main!$BB$3))</f>
        <v>200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7">
        <v>100</v>
      </c>
      <c r="Z86" s="15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128</v>
      </c>
      <c r="B87" s="12">
        <f>IF(ISNUMBER(SEARCH("营",main!J87)),(-$Y87+50*IF(main!$AK87="是",main!$BB$4,main!$BB$3)),(VLOOKUP(main!J87,main!$AO$4:$AQ$55,2,FALSE))*IF(main!$AK87="是",main!$BB$4,main!$BB$3))</f>
        <v>40</v>
      </c>
      <c r="C87" s="12">
        <f>IF(ISNUMBER(SEARCH("营",main!K87)),(-$Y87+50*IF(main!$AK87="是",main!$BB$4,main!$BB$3)),(VLOOKUP(main!K87,main!$AO$4:$AQ$55,2,FALSE))*IF(main!$AK87="是",main!$BB$4,main!$BB$3))</f>
        <v>120</v>
      </c>
      <c r="D87" s="12">
        <f>IF(ISNUMBER(SEARCH("营",main!L87)),(-$Y87+50*IF(main!$AK87="是",main!$BB$4,main!$BB$3)),(VLOOKUP(main!L87,main!$AO$4:$AQ$55,2,FALSE))*IF(main!$AK87="是",main!$BB$4,main!$BB$3))</f>
        <v>120</v>
      </c>
      <c r="E87" s="12">
        <f>IF(ISNUMBER(SEARCH("营",main!M87)),(-$Y87+50*IF(main!$AK87="是",main!$BB$4,main!$BB$3)),(VLOOKUP(main!M87,main!$AO$4:$AQ$55,2,FALSE))*IF(main!$AK87="是",main!$BB$4,main!$BB$3))</f>
        <v>120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40</v>
      </c>
      <c r="J87" s="12">
        <f>IF(ISNUMBER(SEARCH("营",main!R87)),(-$Y87+50*IF(main!$AK87="是",main!$BB$4,main!$BB$3)),(VLOOKUP(main!R87,main!$AO$4:$AQ$55,2,FALSE))*IF(main!$AK87="是",main!$BB$4,main!$BB$3))</f>
        <v>40</v>
      </c>
      <c r="K87" s="12">
        <f>IF(ISNUMBER(SEARCH("营",main!S87)),(-$Y87+50*IF(main!$AK87="是",main!$BB$4,main!$BB$3)),(VLOOKUP(main!S87,main!$AO$4:$AQ$55,2,FALSE))*IF(main!$AK87="是",main!$BB$4,main!$BB$3))</f>
        <v>200</v>
      </c>
      <c r="L87" s="12">
        <f>IF(ISNUMBER(SEARCH("营",main!T87)),(-$Y87+50*IF(main!$AK87="是",main!$BB$4,main!$BB$3)),(VLOOKUP(main!T87,main!$AO$4:$AQ$55,2,FALSE))*IF(main!$AK87="是",main!$BB$4,main!$BB$3))</f>
        <v>152</v>
      </c>
      <c r="M87" s="12">
        <f>IF(ISNUMBER(SEARCH("营",main!U87)),(-$Y87+50*IF(main!$AK87="是",main!$BB$4,main!$BB$3)),(VLOOKUP(main!U87,main!$AO$4:$AQ$55,2,FALSE))*IF(main!$AK87="是",main!$BB$4,main!$BB$3))</f>
        <v>152</v>
      </c>
      <c r="N87" s="12">
        <f>IF(ISNUMBER(SEARCH("营",main!V87)),(-$Y87+50*IF(main!$AK87="是",main!$BB$4,main!$BB$3)),(VLOOKUP(main!V87,main!$AO$4:$AQ$55,2,FALSE))*IF(main!$AK87="是",main!$BB$4,main!$BB$3))</f>
        <v>152</v>
      </c>
      <c r="O87" s="12">
        <f>IF(ISNUMBER(SEARCH("营",main!W87)),(-$Y87+50*IF(main!$AK87="是",main!$BB$4,main!$BB$3)),(VLOOKUP(main!W87,main!$AO$4:$AQ$55,2,FALSE))*IF(main!$AK87="是",main!$BB$4,main!$BB$3))</f>
        <v>152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7">
        <v>100</v>
      </c>
      <c r="Z87" s="15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40</v>
      </c>
      <c r="B88" s="12">
        <f>IF(ISNUMBER(SEARCH("营",main!J88)),(-$Y88+50*IF(main!$AK88="是",main!$BB$4,main!$BB$3)),(VLOOKUP(main!J88,main!$AO$4:$AQ$55,2,FALSE))*IF(main!$AK88="是",main!$BB$4,main!$BB$3))</f>
        <v>120</v>
      </c>
      <c r="C88" s="12">
        <f>IF(ISNUMBER(SEARCH("营",main!K88)),(-$Y88+50*IF(main!$AK88="是",main!$BB$4,main!$BB$3)),(VLOOKUP(main!K88,main!$AO$4:$AQ$55,2,FALSE))*IF(main!$AK88="是",main!$BB$4,main!$BB$3))</f>
        <v>120</v>
      </c>
      <c r="D88" s="12">
        <f>IF(ISNUMBER(SEARCH("营",main!L88)),(-$Y88+50*IF(main!$AK88="是",main!$BB$4,main!$BB$3)),(VLOOKUP(main!L88,main!$AO$4:$AQ$55,2,FALSE))*IF(main!$AK88="是",main!$BB$4,main!$BB$3))</f>
        <v>128</v>
      </c>
      <c r="E88" s="12">
        <f>IF(ISNUMBER(SEARCH("营",main!M88)),(-$Y88+50*IF(main!$AK88="是",main!$BB$4,main!$BB$3)),(VLOOKUP(main!M88,main!$AO$4:$AQ$55,2,FALSE))*IF(main!$AK88="是",main!$BB$4,main!$BB$3))</f>
        <v>128</v>
      </c>
      <c r="F88" s="12">
        <f>IF(ISNUMBER(SEARCH("营",main!N88)),(-$Y88+50*IF(main!$AK88="是",main!$BB$4,main!$BB$3)),(VLOOKUP(main!N88,main!$AO$4:$AQ$55,2,FALSE))*IF(main!$AK88="是",main!$BB$4,main!$BB$3))</f>
        <v>128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152</v>
      </c>
      <c r="J88" s="12">
        <f>IF(ISNUMBER(SEARCH("营",main!R88)),(-$Y88+50*IF(main!$AK88="是",main!$BB$4,main!$BB$3)),(VLOOKUP(main!R88,main!$AO$4:$AQ$55,2,FALSE))*IF(main!$AK88="是",main!$BB$4,main!$BB$3))</f>
        <v>152</v>
      </c>
      <c r="K88" s="12">
        <f>IF(ISNUMBER(SEARCH("营",main!S88)),(-$Y88+50*IF(main!$AK88="是",main!$BB$4,main!$BB$3)),(VLOOKUP(main!S88,main!$AO$4:$AQ$55,2,FALSE))*IF(main!$AK88="是",main!$BB$4,main!$BB$3))</f>
        <v>152</v>
      </c>
      <c r="L88" s="12">
        <f>IF(ISNUMBER(SEARCH("营",main!T88)),(-$Y88+50*IF(main!$AK88="是",main!$BB$4,main!$BB$3)),(VLOOKUP(main!T88,main!$AO$4:$AQ$55,2,FALSE))*IF(main!$AK88="是",main!$BB$4,main!$BB$3))</f>
        <v>152</v>
      </c>
      <c r="M88" s="12">
        <f>IF(ISNUMBER(SEARCH("营",main!U88)),(-$Y88+50*IF(main!$AK88="是",main!$BB$4,main!$BB$3)),(VLOOKUP(main!U88,main!$AO$4:$AQ$55,2,FALSE))*IF(main!$AK88="是",main!$BB$4,main!$BB$3))</f>
        <v>152</v>
      </c>
      <c r="N88" s="12">
        <f>IF(ISNUMBER(SEARCH("营",main!V88)),(-$Y88+50*IF(main!$AK88="是",main!$BB$4,main!$BB$3)),(VLOOKUP(main!V88,main!$AO$4:$AQ$55,2,FALSE))*IF(main!$AK88="是",main!$BB$4,main!$BB$3))</f>
        <v>152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136</v>
      </c>
      <c r="R88" s="12">
        <f>IF(ISNUMBER(SEARCH("营",main!Z88)),(-$Y88+50*IF(main!$AK88="是",main!$BB$4,main!$BB$3)),(VLOOKUP(main!Z88,main!$AO$4:$AQ$55,2,FALSE))*IF(main!$AK88="是",main!$BB$4,main!$BB$3))</f>
        <v>40</v>
      </c>
      <c r="S88" s="12">
        <f>IF(ISNUMBER(SEARCH("营",main!AA88)),(-$Y88+50*IF(main!$AK88="是",main!$BB$4,main!$BB$3)),(VLOOKUP(main!AA88,main!$AO$4:$AQ$55,2,FALSE))*IF(main!$AK88="是",main!$BB$4,main!$BB$3))</f>
        <v>136</v>
      </c>
      <c r="T88" s="12">
        <f>IF(ISNUMBER(SEARCH("营",main!AB88)),(-$Y88+50*IF(main!$AK88="是",main!$BB$4,main!$BB$3)),(VLOOKUP(main!AB88,main!$AO$4:$AQ$55,2,FALSE))*IF(main!$AK88="是",main!$BB$4,main!$BB$3))</f>
        <v>120</v>
      </c>
      <c r="U88" s="12">
        <f>IF(ISNUMBER(SEARCH("营",main!AC88)),(-$Y88+50*IF(main!$AK88="是",main!$BB$4,main!$BB$3)),(VLOOKUP(main!AC88,main!$AO$4:$AQ$55,2,FALSE))*IF(main!$AK88="是",main!$BB$4,main!$BB$3))</f>
        <v>136</v>
      </c>
      <c r="V88" s="12">
        <f>IF(ISNUMBER(SEARCH("营",main!AD88)),(-$Y88+50*IF(main!$AK88="是",main!$BB$4,main!$BB$3)),(VLOOKUP(main!AD88,main!$AO$4:$AQ$55,2,FALSE))*IF(main!$AK88="是",main!$BB$4,main!$BB$3))</f>
        <v>136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7">
        <v>100</v>
      </c>
      <c r="Z88" s="15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120</v>
      </c>
      <c r="B89" s="12">
        <f>IF(ISNUMBER(SEARCH("营",main!J89)),(-$Y89+50*IF(main!$AK89="是",main!$BB$4,main!$BB$3)),(VLOOKUP(main!J89,main!$AO$4:$AQ$55,2,FALSE))*IF(main!$AK89="是",main!$BB$4,main!$BB$3))</f>
        <v>128</v>
      </c>
      <c r="C89" s="12">
        <f>IF(ISNUMBER(SEARCH("营",main!K89)),(-$Y89+50*IF(main!$AK89="是",main!$BB$4,main!$BB$3)),(VLOOKUP(main!K89,main!$AO$4:$AQ$55,2,FALSE))*IF(main!$AK89="是",main!$BB$4,main!$BB$3))</f>
        <v>40</v>
      </c>
      <c r="D89" s="12">
        <f>IF(ISNUMBER(SEARCH("营",main!L89)),(-$Y89+50*IF(main!$AK89="是",main!$BB$4,main!$BB$3)),(VLOOKUP(main!L89,main!$AO$4:$AQ$55,2,FALSE))*IF(main!$AK89="是",main!$BB$4,main!$BB$3))</f>
        <v>128</v>
      </c>
      <c r="E89" s="12">
        <f>IF(ISNUMBER(SEARCH("营",main!M89)),(-$Y89+50*IF(main!$AK89="是",main!$BB$4,main!$BB$3)),(VLOOKUP(main!M89,main!$AO$4:$AQ$55,2,FALSE))*IF(main!$AK89="是",main!$BB$4,main!$BB$3))</f>
        <v>120</v>
      </c>
      <c r="F89" s="12">
        <f>IF(ISNUMBER(SEARCH("营",main!N89)),(-$Y89+50*IF(main!$AK89="是",main!$BB$4,main!$BB$3)),(VLOOKUP(main!N89,main!$AO$4:$AQ$55,2,FALSE))*IF(main!$AK89="是",main!$BB$4,main!$BB$3))</f>
        <v>128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152</v>
      </c>
      <c r="J89" s="12">
        <f>IF(ISNUMBER(SEARCH("营",main!R89)),(-$Y89+50*IF(main!$AK89="是",main!$BB$4,main!$BB$3)),(VLOOKUP(main!R89,main!$AO$4:$AQ$55,2,FALSE))*IF(main!$AK89="是",main!$BB$4,main!$BB$3))</f>
        <v>152</v>
      </c>
      <c r="K89" s="12">
        <f>IF(ISNUMBER(SEARCH("营",main!S89)),(-$Y89+50*IF(main!$AK89="是",main!$BB$4,main!$BB$3)),(VLOOKUP(main!S89,main!$AO$4:$AQ$55,2,FALSE))*IF(main!$AK89="是",main!$BB$4,main!$BB$3))</f>
        <v>152</v>
      </c>
      <c r="L89" s="12">
        <f>IF(ISNUMBER(SEARCH("营",main!T89)),(-$Y89+50*IF(main!$AK89="是",main!$BB$4,main!$BB$3)),(VLOOKUP(main!T89,main!$AO$4:$AQ$55,2,FALSE))*IF(main!$AK89="是",main!$BB$4,main!$BB$3))</f>
        <v>152</v>
      </c>
      <c r="M89" s="12">
        <f>IF(ISNUMBER(SEARCH("营",main!U89)),(-$Y89+50*IF(main!$AK89="是",main!$BB$4,main!$BB$3)),(VLOOKUP(main!U89,main!$AO$4:$AQ$55,2,FALSE))*IF(main!$AK89="是",main!$BB$4,main!$BB$3))</f>
        <v>152</v>
      </c>
      <c r="N89" s="12">
        <f>IF(ISNUMBER(SEARCH("营",main!V89)),(-$Y89+50*IF(main!$AK89="是",main!$BB$4,main!$BB$3)),(VLOOKUP(main!V89,main!$AO$4:$AQ$55,2,FALSE))*IF(main!$AK89="是",main!$BB$4,main!$BB$3))</f>
        <v>152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7">
        <v>100</v>
      </c>
      <c r="Z89" s="15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120</v>
      </c>
      <c r="B90" s="12">
        <f>IF(ISNUMBER(SEARCH("营",main!J90)),(-$Y90+50*IF(main!$AK90="是",main!$BB$4,main!$BB$3)),(VLOOKUP(main!J90,main!$AO$4:$AQ$55,2,FALSE))*IF(main!$AK90="是",main!$BB$4,main!$BB$3))</f>
        <v>128</v>
      </c>
      <c r="C90" s="12">
        <f>IF(ISNUMBER(SEARCH("营",main!K90)),(-$Y90+50*IF(main!$AK90="是",main!$BB$4,main!$BB$3)),(VLOOKUP(main!K90,main!$AO$4:$AQ$55,2,FALSE))*IF(main!$AK90="是",main!$BB$4,main!$BB$3))</f>
        <v>40</v>
      </c>
      <c r="D90" s="12">
        <f>IF(ISNUMBER(SEARCH("营",main!L90)),(-$Y90+50*IF(main!$AK90="是",main!$BB$4,main!$BB$3)),(VLOOKUP(main!L90,main!$AO$4:$AQ$55,2,FALSE))*IF(main!$AK90="是",main!$BB$4,main!$BB$3))</f>
        <v>128</v>
      </c>
      <c r="E90" s="12">
        <f>IF(ISNUMBER(SEARCH("营",main!M90)),(-$Y90+50*IF(main!$AK90="是",main!$BB$4,main!$BB$3)),(VLOOKUP(main!M90,main!$AO$4:$AQ$55,2,FALSE))*IF(main!$AK90="是",main!$BB$4,main!$BB$3))</f>
        <v>128</v>
      </c>
      <c r="F90" s="12">
        <f>IF(ISNUMBER(SEARCH("营",main!N90)),(-$Y90+50*IF(main!$AK90="是",main!$BB$4,main!$BB$3)),(VLOOKUP(main!N90,main!$AO$4:$AQ$55,2,FALSE))*IF(main!$AK90="是",main!$BB$4,main!$BB$3))</f>
        <v>128</v>
      </c>
      <c r="G90" s="12">
        <f>IF(ISNUMBER(SEARCH("营",main!O90)),(-$Y90+50*IF(main!$AK90="是",main!$BB$4,main!$BB$3)),(VLOOKUP(main!O90,main!$AO$4:$AQ$55,2,FALSE))*IF(main!$AK90="是",main!$BB$4,main!$BB$3))</f>
        <v>40</v>
      </c>
      <c r="H90" s="12">
        <f>IF(ISNUMBER(SEARCH("营",main!P90)),(-$Y90+50*IF(main!$AK90="是",main!$BB$4,main!$BB$3)),(VLOOKUP(main!P90,main!$AO$4:$AQ$55,2,FALSE))*IF(main!$AK90="是",main!$BB$4,main!$BB$3))</f>
        <v>128</v>
      </c>
      <c r="I90" s="12">
        <f>IF(ISNUMBER(SEARCH("营",main!Q90)),(-$Y90+50*IF(main!$AK90="是",main!$BB$4,main!$BB$3)),(VLOOKUP(main!Q90,main!$AO$4:$AQ$55,2,FALSE))*IF(main!$AK90="是",main!$BB$4,main!$BB$3))</f>
        <v>152</v>
      </c>
      <c r="J90" s="12">
        <f>IF(ISNUMBER(SEARCH("营",main!R90)),(-$Y90+50*IF(main!$AK90="是",main!$BB$4,main!$BB$3)),(VLOOKUP(main!R90,main!$AO$4:$AQ$55,2,FALSE))*IF(main!$AK90="是",main!$BB$4,main!$BB$3))</f>
        <v>152</v>
      </c>
      <c r="K90" s="12">
        <f>IF(ISNUMBER(SEARCH("营",main!S90)),(-$Y90+50*IF(main!$AK90="是",main!$BB$4,main!$BB$3)),(VLOOKUP(main!S90,main!$AO$4:$AQ$55,2,FALSE))*IF(main!$AK90="是",main!$BB$4,main!$BB$3))</f>
        <v>152</v>
      </c>
      <c r="L90" s="12">
        <f>IF(ISNUMBER(SEARCH("营",main!T90)),(-$Y90+50*IF(main!$AK90="是",main!$BB$4,main!$BB$3)),(VLOOKUP(main!T90,main!$AO$4:$AQ$55,2,FALSE))*IF(main!$AK90="是",main!$BB$4,main!$BB$3))</f>
        <v>152</v>
      </c>
      <c r="M90" s="12">
        <f>IF(ISNUMBER(SEARCH("营",main!U90)),(-$Y90+50*IF(main!$AK90="是",main!$BB$4,main!$BB$3)),(VLOOKUP(main!U90,main!$AO$4:$AQ$55,2,FALSE))*IF(main!$AK90="是",main!$BB$4,main!$BB$3))</f>
        <v>152</v>
      </c>
      <c r="N90" s="12">
        <f>IF(ISNUMBER(SEARCH("营",main!V90)),(-$Y90+50*IF(main!$AK90="是",main!$BB$4,main!$BB$3)),(VLOOKUP(main!V90,main!$AO$4:$AQ$55,2,FALSE))*IF(main!$AK90="是",main!$BB$4,main!$BB$3))</f>
        <v>152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136</v>
      </c>
      <c r="R90" s="12">
        <f>IF(ISNUMBER(SEARCH("营",main!Z90)),(-$Y90+50*IF(main!$AK90="是",main!$BB$4,main!$BB$3)),(VLOOKUP(main!Z90,main!$AO$4:$AQ$55,2,FALSE))*IF(main!$AK90="是",main!$BB$4,main!$BB$3))</f>
        <v>136</v>
      </c>
      <c r="S90" s="12">
        <f>IF(ISNUMBER(SEARCH("营",main!AA90)),(-$Y90+50*IF(main!$AK90="是",main!$BB$4,main!$BB$3)),(VLOOKUP(main!AA90,main!$AO$4:$AQ$55,2,FALSE))*IF(main!$AK90="是",main!$BB$4,main!$BB$3))</f>
        <v>136</v>
      </c>
      <c r="T90" s="12">
        <f>IF(ISNUMBER(SEARCH("营",main!AB90)),(-$Y90+50*IF(main!$AK90="是",main!$BB$4,main!$BB$3)),(VLOOKUP(main!AB90,main!$AO$4:$AQ$55,2,FALSE))*IF(main!$AK90="是",main!$BB$4,main!$BB$3))</f>
        <v>120</v>
      </c>
      <c r="U90" s="12">
        <f>IF(ISNUMBER(SEARCH("营",main!AC90)),(-$Y90+50*IF(main!$AK90="是",main!$BB$4,main!$BB$3)),(VLOOKUP(main!AC90,main!$AO$4:$AQ$55,2,FALSE))*IF(main!$AK90="是",main!$BB$4,main!$BB$3))</f>
        <v>136</v>
      </c>
      <c r="V90" s="12">
        <f>IF(ISNUMBER(SEARCH("营",main!AD90)),(-$Y90+50*IF(main!$AK90="是",main!$BB$4,main!$BB$3)),(VLOOKUP(main!AD90,main!$AO$4:$AQ$55,2,FALSE))*IF(main!$AK90="是",main!$BB$4,main!$BB$3))</f>
        <v>136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7">
        <v>100</v>
      </c>
      <c r="Z90" s="15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128</v>
      </c>
      <c r="B91" s="12">
        <f>IF(ISNUMBER(SEARCH("营",main!J91)),(-$Y91+50*IF(main!$AK91="是",main!$BB$4,main!$BB$3)),(VLOOKUP(main!J91,main!$AO$4:$AQ$55,2,FALSE))*IF(main!$AK91="是",main!$BB$4,main!$BB$3))</f>
        <v>120</v>
      </c>
      <c r="C91" s="12">
        <f>IF(ISNUMBER(SEARCH("营",main!K91)),(-$Y91+50*IF(main!$AK91="是",main!$BB$4,main!$BB$3)),(VLOOKUP(main!K91,main!$AO$4:$AQ$55,2,FALSE))*IF(main!$AK91="是",main!$BB$4,main!$BB$3))</f>
        <v>128</v>
      </c>
      <c r="D91" s="12">
        <f>IF(ISNUMBER(SEARCH("营",main!L91)),(-$Y91+50*IF(main!$AK91="是",main!$BB$4,main!$BB$3)),(VLOOKUP(main!L91,main!$AO$4:$AQ$55,2,FALSE))*IF(main!$AK91="是",main!$BB$4,main!$BB$3))</f>
        <v>40</v>
      </c>
      <c r="E91" s="12">
        <f>IF(ISNUMBER(SEARCH("营",main!M91)),(-$Y91+50*IF(main!$AK91="是",main!$BB$4,main!$BB$3)),(VLOOKUP(main!M91,main!$AO$4:$AQ$55,2,FALSE))*IF(main!$AK91="是",main!$BB$4,main!$BB$3))</f>
        <v>128</v>
      </c>
      <c r="F91" s="12">
        <f>IF(ISNUMBER(SEARCH("营",main!N91)),(-$Y91+50*IF(main!$AK91="是",main!$BB$4,main!$BB$3)),(VLOOKUP(main!N91,main!$AO$4:$AQ$55,2,FALSE))*IF(main!$AK91="是",main!$BB$4,main!$BB$3))</f>
        <v>120</v>
      </c>
      <c r="G91" s="12">
        <f>IF(ISNUMBER(SEARCH("营",main!O91)),(-$Y91+50*IF(main!$AK91="是",main!$BB$4,main!$BB$3)),(VLOOKUP(main!O91,main!$AO$4:$AQ$55,2,FALSE))*IF(main!$AK91="是",main!$BB$4,main!$BB$3))</f>
        <v>128</v>
      </c>
      <c r="H91" s="12">
        <f>IF(ISNUMBER(SEARCH("营",main!P91)),(-$Y91+50*IF(main!$AK91="是",main!$BB$4,main!$BB$3)),(VLOOKUP(main!P91,main!$AO$4:$AQ$55,2,FALSE))*IF(main!$AK91="是",main!$BB$4,main!$BB$3))</f>
        <v>40</v>
      </c>
      <c r="I91" s="12">
        <f>IF(ISNUMBER(SEARCH("营",main!Q91)),(-$Y91+50*IF(main!$AK91="是",main!$BB$4,main!$BB$3)),(VLOOKUP(main!Q91,main!$AO$4:$AQ$55,2,FALSE))*IF(main!$AK91="是",main!$BB$4,main!$BB$3))</f>
        <v>152</v>
      </c>
      <c r="J91" s="12">
        <f>IF(ISNUMBER(SEARCH("营",main!R91)),(-$Y91+50*IF(main!$AK91="是",main!$BB$4,main!$BB$3)),(VLOOKUP(main!R91,main!$AO$4:$AQ$55,2,FALSE))*IF(main!$AK91="是",main!$BB$4,main!$BB$3))</f>
        <v>152</v>
      </c>
      <c r="K91" s="12">
        <f>IF(ISNUMBER(SEARCH("营",main!S91)),(-$Y91+50*IF(main!$AK91="是",main!$BB$4,main!$BB$3)),(VLOOKUP(main!S91,main!$AO$4:$AQ$55,2,FALSE))*IF(main!$AK91="是",main!$BB$4,main!$BB$3))</f>
        <v>152</v>
      </c>
      <c r="L91" s="12">
        <f>IF(ISNUMBER(SEARCH("营",main!T91)),(-$Y91+50*IF(main!$AK91="是",main!$BB$4,main!$BB$3)),(VLOOKUP(main!T91,main!$AO$4:$AQ$55,2,FALSE))*IF(main!$AK91="是",main!$BB$4,main!$BB$3))</f>
        <v>40</v>
      </c>
      <c r="M91" s="12">
        <f>IF(ISNUMBER(SEARCH("营",main!U91)),(-$Y91+50*IF(main!$AK91="是",main!$BB$4,main!$BB$3)),(VLOOKUP(main!U91,main!$AO$4:$AQ$55,2,FALSE))*IF(main!$AK91="是",main!$BB$4,main!$BB$3))</f>
        <v>152</v>
      </c>
      <c r="N91" s="12">
        <f>IF(ISNUMBER(SEARCH("营",main!V91)),(-$Y91+50*IF(main!$AK91="是",main!$BB$4,main!$BB$3)),(VLOOKUP(main!V91,main!$AO$4:$AQ$55,2,FALSE))*IF(main!$AK91="是",main!$BB$4,main!$BB$3))</f>
        <v>152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136</v>
      </c>
      <c r="R91" s="12">
        <f>IF(ISNUMBER(SEARCH("营",main!Z91)),(-$Y91+50*IF(main!$AK91="是",main!$BB$4,main!$BB$3)),(VLOOKUP(main!Z91,main!$AO$4:$AQ$55,2,FALSE))*IF(main!$AK91="是",main!$BB$4,main!$BB$3))</f>
        <v>136</v>
      </c>
      <c r="S91" s="12">
        <f>IF(ISNUMBER(SEARCH("营",main!AA91)),(-$Y91+50*IF(main!$AK91="是",main!$BB$4,main!$BB$3)),(VLOOKUP(main!AA91,main!$AO$4:$AQ$55,2,FALSE))*IF(main!$AK91="是",main!$BB$4,main!$BB$3))</f>
        <v>120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7">
        <v>100</v>
      </c>
      <c r="Z91" s="15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128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128</v>
      </c>
      <c r="D92" s="12">
        <f>IF(ISNUMBER(SEARCH("营",main!L92)),(-$Y92+50*IF(main!$AK92="是",main!$BB$4,main!$BB$3)),(VLOOKUP(main!L92,main!$AO$4:$AQ$55,2,FALSE))*IF(main!$AK92="是",main!$BB$4,main!$BB$3))</f>
        <v>40</v>
      </c>
      <c r="E92" s="12">
        <f>IF(ISNUMBER(SEARCH("营",main!M92)),(-$Y92+50*IF(main!$AK92="是",main!$BB$4,main!$BB$3)),(VLOOKUP(main!M92,main!$AO$4:$AQ$55,2,FALSE))*IF(main!$AK92="是",main!$BB$4,main!$BB$3))</f>
        <v>128</v>
      </c>
      <c r="F92" s="12">
        <f>IF(ISNUMBER(SEARCH("营",main!N92)),(-$Y92+50*IF(main!$AK92="是",main!$BB$4,main!$BB$3)),(VLOOKUP(main!N92,main!$AO$4:$AQ$55,2,FALSE))*IF(main!$AK92="是",main!$BB$4,main!$BB$3))</f>
        <v>128</v>
      </c>
      <c r="G92" s="12">
        <f>IF(ISNUMBER(SEARCH("营",main!O92)),(-$Y92+50*IF(main!$AK92="是",main!$BB$4,main!$BB$3)),(VLOOKUP(main!O92,main!$AO$4:$AQ$55,2,FALSE))*IF(main!$AK92="是",main!$BB$4,main!$BB$3))</f>
        <v>40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152</v>
      </c>
      <c r="J92" s="12">
        <f>IF(ISNUMBER(SEARCH("营",main!R92)),(-$Y92+50*IF(main!$AK92="是",main!$BB$4,main!$BB$3)),(VLOOKUP(main!R92,main!$AO$4:$AQ$55,2,FALSE))*IF(main!$AK92="是",main!$BB$4,main!$BB$3))</f>
        <v>152</v>
      </c>
      <c r="K92" s="12">
        <f>IF(ISNUMBER(SEARCH("营",main!S92)),(-$Y92+50*IF(main!$AK92="是",main!$BB$4,main!$BB$3)),(VLOOKUP(main!S92,main!$AO$4:$AQ$55,2,FALSE))*IF(main!$AK92="是",main!$BB$4,main!$BB$3))</f>
        <v>152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136</v>
      </c>
      <c r="S92" s="12">
        <f>IF(ISNUMBER(SEARCH("营",main!AA92)),(-$Y92+50*IF(main!$AK92="是",main!$BB$4,main!$BB$3)),(VLOOKUP(main!AA92,main!$AO$4:$AQ$55,2,FALSE))*IF(main!$AK92="是",main!$BB$4,main!$BB$3))</f>
        <v>40</v>
      </c>
      <c r="T92" s="12">
        <f>IF(ISNUMBER(SEARCH("营",main!AB92)),(-$Y92+50*IF(main!$AK92="是",main!$BB$4,main!$BB$3)),(VLOOKUP(main!AB92,main!$AO$4:$AQ$55,2,FALSE))*IF(main!$AK92="是",main!$BB$4,main!$BB$3))</f>
        <v>136</v>
      </c>
      <c r="U92" s="12">
        <f>IF(ISNUMBER(SEARCH("营",main!AC92)),(-$Y92+50*IF(main!$AK92="是",main!$BB$4,main!$BB$3)),(VLOOKUP(main!AC92,main!$AO$4:$AQ$55,2,FALSE))*IF(main!$AK92="是",main!$BB$4,main!$BB$3))</f>
        <v>136</v>
      </c>
      <c r="V92" s="12">
        <f>IF(ISNUMBER(SEARCH("营",main!AD92)),(-$Y92+50*IF(main!$AK92="是",main!$BB$4,main!$BB$3)),(VLOOKUP(main!AD92,main!$AO$4:$AQ$55,2,FALSE))*IF(main!$AK92="是",main!$BB$4,main!$BB$3))</f>
        <v>136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7">
        <v>100</v>
      </c>
      <c r="Z92" s="15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152</v>
      </c>
      <c r="J93" s="12">
        <f>IF(ISNUMBER(SEARCH("营",main!R93)),(-$Y93+50*IF(main!$AK93="是",main!$BB$4,main!$BB$3)),(VLOOKUP(main!R93,main!$AO$4:$AQ$55,2,FALSE))*IF(main!$AK93="是",main!$BB$4,main!$BB$3))</f>
        <v>152</v>
      </c>
      <c r="K93" s="12">
        <f>IF(ISNUMBER(SEARCH("营",main!S93)),(-$Y93+50*IF(main!$AK93="是",main!$BB$4,main!$BB$3)),(VLOOKUP(main!S93,main!$AO$4:$AQ$55,2,FALSE))*IF(main!$AK93="是",main!$BB$4,main!$BB$3))</f>
        <v>152</v>
      </c>
      <c r="L93" s="12">
        <f>IF(ISNUMBER(SEARCH("营",main!T93)),(-$Y93+50*IF(main!$AK93="是",main!$BB$4,main!$BB$3)),(VLOOKUP(main!T93,main!$AO$4:$AQ$55,2,FALSE))*IF(main!$AK93="是",main!$BB$4,main!$BB$3))</f>
        <v>152</v>
      </c>
      <c r="M93" s="12">
        <f>IF(ISNUMBER(SEARCH("营",main!U93)),(-$Y93+50*IF(main!$AK93="是",main!$BB$4,main!$BB$3)),(VLOOKUP(main!U93,main!$AO$4:$AQ$55,2,FALSE))*IF(main!$AK93="是",main!$BB$4,main!$BB$3))</f>
        <v>152</v>
      </c>
      <c r="N93" s="12">
        <f>IF(ISNUMBER(SEARCH("营",main!V93)),(-$Y93+50*IF(main!$AK93="是",main!$BB$4,main!$BB$3)),(VLOOKUP(main!V93,main!$AO$4:$AQ$55,2,FALSE))*IF(main!$AK93="是",main!$BB$4,main!$BB$3))</f>
        <v>152</v>
      </c>
      <c r="O93" s="12">
        <f>IF(ISNUMBER(SEARCH("营",main!W93)),(-$Y93+50*IF(main!$AK93="是",main!$BB$4,main!$BB$3)),(VLOOKUP(main!W93,main!$AO$4:$AQ$55,2,FALSE))*IF(main!$AK93="是",main!$BB$4,main!$BB$3))</f>
        <v>152</v>
      </c>
      <c r="P93" s="12">
        <f>IF(ISNUMBER(SEARCH("营",main!X93)),(-$Y93+50*IF(main!$AK93="是",main!$BB$4,main!$BB$3)),(VLOOKUP(main!X93,main!$AO$4:$AQ$55,2,FALSE))*IF(main!$AK93="是",main!$BB$4,main!$BB$3))</f>
        <v>152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7">
        <v>100</v>
      </c>
      <c r="Z93" s="15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71" t="s">
        <v>92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2" t="s">
        <v>3</v>
      </c>
      <c r="L2" s="2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4" t="s">
        <v>7</v>
      </c>
      <c r="T2" s="3">
        <f>COUNTIF(Q4:X94,"&lt;&gt;空")</f>
        <v>728</v>
      </c>
      <c r="U2" s="169" t="s">
        <v>4</v>
      </c>
      <c r="V2" s="169"/>
      <c r="W2" s="169"/>
      <c r="X2" s="170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35</v>
      </c>
      <c r="G4" s="13">
        <f>(VLOOKUP(main!O4,main!$AO$4:$AQ$55,3,FALSE))</f>
        <v>35</v>
      </c>
      <c r="H4" s="13">
        <f>(VLOOKUP(main!P4,main!$AO$4:$AQ$55,3,FALSE))</f>
        <v>35</v>
      </c>
      <c r="I4" s="12">
        <f>(VLOOKUP(main!Q4,main!$AO$4:$AQ$55,3,FALSE))</f>
        <v>30</v>
      </c>
      <c r="J4" s="12">
        <f>(VLOOKUP(main!R4,main!$AO$4:$AQ$55,3,FALSE))</f>
        <v>30</v>
      </c>
      <c r="K4" s="12">
        <f>(VLOOKUP(main!S4,main!$AO$4:$AQ$55,3,FALSE))</f>
        <v>30</v>
      </c>
      <c r="L4" s="12">
        <f>(VLOOKUP(main!T4,main!$AO$4:$AQ$55,3,FALSE))</f>
        <v>30</v>
      </c>
      <c r="M4" s="12">
        <f>(VLOOKUP(main!U4,main!$AO$4:$AQ$55,3,FALSE))</f>
        <v>30</v>
      </c>
      <c r="N4" s="12">
        <f>(VLOOKUP(main!V4,main!$AO$4:$AQ$55,3,FALSE))</f>
        <v>30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45</v>
      </c>
      <c r="R4" s="12">
        <f>(VLOOKUP(main!Z4,main!$AO$4:$AQ$55,3,FALSE))</f>
        <v>45</v>
      </c>
      <c r="S4" s="12">
        <f>(VLOOKUP(main!AA4,main!$AO$4:$AQ$55,3,FALSE))</f>
        <v>45</v>
      </c>
      <c r="T4" s="12">
        <f>(VLOOKUP(main!AB4,main!$AO$4:$AQ$55,3,FALSE))</f>
        <v>45</v>
      </c>
      <c r="U4" s="12">
        <f>(VLOOKUP(main!AC4,main!$AO$4:$AQ$55,3,FALSE))</f>
        <v>45</v>
      </c>
      <c r="V4" s="12">
        <f>(VLOOKUP(main!AD4,main!$AO$4:$AQ$55,3,FALSE))</f>
        <v>45</v>
      </c>
      <c r="W4" s="13">
        <f>(VLOOKUP(main!AE4,main!$AO$4:$AQ$55,3,FALSE))</f>
        <v>45</v>
      </c>
      <c r="X4" s="13">
        <f>(VLOOKUP(main!AF4,main!$AO$4:$AQ$55,3,FALSE))</f>
        <v>45</v>
      </c>
    </row>
    <row r="5" spans="1:24">
      <c r="A5" s="12">
        <f>(VLOOKUP(main!I5,main!$AO$4:$AQ$55,3,FALSE))</f>
        <v>35</v>
      </c>
      <c r="B5" s="12">
        <f>(VLOOKUP(main!J5,main!$AO$4:$AQ$55,3,FALSE))</f>
        <v>35</v>
      </c>
      <c r="C5" s="12">
        <f>(VLOOKUP(main!K5,main!$AO$4:$AQ$55,3,FALSE))</f>
        <v>35</v>
      </c>
      <c r="D5" s="12">
        <f>(VLOOKUP(main!L5,main!$AO$4:$AQ$55,3,FALSE))</f>
        <v>35</v>
      </c>
      <c r="E5" s="12">
        <f>(VLOOKUP(main!M5,main!$AO$4:$AQ$55,3,FALSE))</f>
        <v>35</v>
      </c>
      <c r="F5" s="12">
        <f>(VLOOKUP(main!N5,main!$AO$4:$AQ$55,3,FALSE))</f>
        <v>35</v>
      </c>
      <c r="G5" s="13">
        <f>(VLOOKUP(main!O5,main!$AO$4:$AQ$55,3,FALSE))</f>
        <v>35</v>
      </c>
      <c r="H5" s="13">
        <f>(VLOOKUP(main!P5,main!$AO$4:$AQ$55,3,FALSE))</f>
        <v>35</v>
      </c>
      <c r="I5" s="12">
        <f>(VLOOKUP(main!Q5,main!$AO$4:$AQ$55,3,FALSE))</f>
        <v>40</v>
      </c>
      <c r="J5" s="12">
        <f>(VLOOKUP(main!R5,main!$AO$4:$AQ$55,3,FALSE))</f>
        <v>40</v>
      </c>
      <c r="K5" s="12">
        <f>(VLOOKUP(main!S5,main!$AO$4:$AQ$55,3,FALSE))</f>
        <v>40</v>
      </c>
      <c r="L5" s="12">
        <f>(VLOOKUP(main!T5,main!$AO$4:$AQ$55,3,FALSE))</f>
        <v>40</v>
      </c>
      <c r="M5" s="12">
        <f>(VLOOKUP(main!U5,main!$AO$4:$AQ$55,3,FALSE))</f>
        <v>0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45</v>
      </c>
      <c r="R5" s="12">
        <f>(VLOOKUP(main!Z5,main!$AO$4:$AQ$55,3,FALSE))</f>
        <v>45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45</v>
      </c>
      <c r="W5" s="13">
        <f>(VLOOKUP(main!AE5,main!$AO$4:$AQ$55,3,FALSE))</f>
        <v>45</v>
      </c>
      <c r="X5" s="13">
        <f>(VLOOKUP(main!AF5,main!$AO$4:$AQ$55,3,FALSE))</f>
        <v>45</v>
      </c>
    </row>
    <row r="6" spans="1:24">
      <c r="A6" s="12">
        <f>(VLOOKUP(main!I6,main!$AO$4:$AQ$55,3,FALSE))</f>
        <v>40</v>
      </c>
      <c r="B6" s="12">
        <f>(VLOOKUP(main!J6,main!$AO$4:$AQ$55,3,FALSE))</f>
        <v>40</v>
      </c>
      <c r="C6" s="12">
        <f>(VLOOKUP(main!K6,main!$AO$4:$AQ$55,3,FALSE))</f>
        <v>40</v>
      </c>
      <c r="D6" s="12">
        <f>(VLOOKUP(main!L6,main!$AO$4:$AQ$55,3,FALSE))</f>
        <v>40</v>
      </c>
      <c r="E6" s="12">
        <f>(VLOOKUP(main!M6,main!$AO$4:$AQ$55,3,FALSE))</f>
        <v>40</v>
      </c>
      <c r="F6" s="12">
        <f>(VLOOKUP(main!N6,main!$AO$4:$AQ$55,3,FALSE))</f>
        <v>40</v>
      </c>
      <c r="G6" s="13">
        <f>(VLOOKUP(main!O6,main!$AO$4:$AQ$55,3,FALSE))</f>
        <v>40</v>
      </c>
      <c r="H6" s="13">
        <f>(VLOOKUP(main!P6,main!$AO$4:$AQ$55,3,FALSE))</f>
        <v>40</v>
      </c>
      <c r="I6" s="12">
        <f>(VLOOKUP(main!Q6,main!$AO$4:$AQ$55,3,FALSE))</f>
        <v>0</v>
      </c>
      <c r="J6" s="12">
        <f>(VLOOKUP(main!R6,main!$AO$4:$AQ$55,3,FALSE))</f>
        <v>40</v>
      </c>
      <c r="K6" s="12">
        <f>(VLOOKUP(main!S6,main!$AO$4:$AQ$55,3,FALSE))</f>
        <v>40</v>
      </c>
      <c r="L6" s="12">
        <f>(VLOOKUP(main!T6,main!$AO$4:$AQ$55,3,FALSE))</f>
        <v>40</v>
      </c>
      <c r="M6" s="12">
        <f>(VLOOKUP(main!U6,main!$AO$4:$AQ$55,3,FALSE))</f>
        <v>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45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45</v>
      </c>
      <c r="W6" s="13">
        <f>(VLOOKUP(main!AE6,main!$AO$4:$AQ$55,3,FALSE))</f>
        <v>45</v>
      </c>
      <c r="X6" s="13">
        <f>(VLOOKUP(main!AF6,main!$AO$4:$AQ$55,3,FALSE))</f>
        <v>45</v>
      </c>
    </row>
    <row r="7" spans="1:24">
      <c r="A7" s="12">
        <f>(VLOOKUP(main!I7,main!$AO$4:$AQ$55,3,FALSE))</f>
        <v>40</v>
      </c>
      <c r="B7" s="12">
        <f>(VLOOKUP(main!J7,main!$AO$4:$AQ$55,3,FALSE))</f>
        <v>40</v>
      </c>
      <c r="C7" s="12">
        <f>(VLOOKUP(main!K7,main!$AO$4:$AQ$55,3,FALSE))</f>
        <v>40</v>
      </c>
      <c r="D7" s="12">
        <f>(VLOOKUP(main!L7,main!$AO$4:$AQ$55,3,FALSE))</f>
        <v>40</v>
      </c>
      <c r="E7" s="12">
        <f>(VLOOKUP(main!M7,main!$AO$4:$AQ$55,3,FALSE))</f>
        <v>40</v>
      </c>
      <c r="F7" s="12">
        <f>(VLOOKUP(main!N7,main!$AO$4:$AQ$55,3,FALSE))</f>
        <v>40</v>
      </c>
      <c r="G7" s="13">
        <f>(VLOOKUP(main!O7,main!$AO$4:$AQ$55,3,FALSE))</f>
        <v>40</v>
      </c>
      <c r="H7" s="13">
        <f>(VLOOKUP(main!P7,main!$AO$4:$AQ$55,3,FALSE))</f>
        <v>40</v>
      </c>
      <c r="I7" s="12">
        <f>(VLOOKUP(main!Q7,main!$AO$4:$AQ$55,3,FALSE))</f>
        <v>30</v>
      </c>
      <c r="J7" s="12">
        <f>(VLOOKUP(main!R7,main!$AO$4:$AQ$55,3,FALSE))</f>
        <v>30</v>
      </c>
      <c r="K7" s="12">
        <f>(VLOOKUP(main!S7,main!$AO$4:$AQ$55,3,FALSE))</f>
        <v>30</v>
      </c>
      <c r="L7" s="12">
        <f>(VLOOKUP(main!T7,main!$AO$4:$AQ$55,3,FALSE))</f>
        <v>30</v>
      </c>
      <c r="M7" s="12">
        <f>(VLOOKUP(main!U7,main!$AO$4:$AQ$55,3,FALSE))</f>
        <v>30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40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0</v>
      </c>
      <c r="J8" s="12">
        <f>(VLOOKUP(main!R8,main!$AO$4:$AQ$55,3,FALSE))</f>
        <v>0</v>
      </c>
      <c r="K8" s="12">
        <f>(VLOOKUP(main!S8,main!$AO$4:$AQ$55,3,FALSE))</f>
        <v>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45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55</v>
      </c>
      <c r="R9" s="12">
        <f>(VLOOKUP(main!Z9,main!$AO$4:$AQ$55,3,FALSE))</f>
        <v>55</v>
      </c>
      <c r="S9" s="12">
        <f>(VLOOKUP(main!AA9,main!$AO$4:$AQ$55,3,FALSE))</f>
        <v>55</v>
      </c>
      <c r="T9" s="12">
        <f>(VLOOKUP(main!AB9,main!$AO$4:$AQ$55,3,FALSE))</f>
        <v>55</v>
      </c>
      <c r="U9" s="12">
        <f>(VLOOKUP(main!AC9,main!$AO$4:$AQ$55,3,FALSE))</f>
        <v>55</v>
      </c>
      <c r="V9" s="12">
        <f>(VLOOKUP(main!AD9,main!$AO$4:$AQ$55,3,FALSE))</f>
        <v>55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300</v>
      </c>
      <c r="J10" s="12">
        <f>(VLOOKUP(main!R10,main!$AO$4:$AQ$55,3,FALSE))</f>
        <v>300</v>
      </c>
      <c r="K10" s="12">
        <f>(VLOOKUP(main!S10,main!$AO$4:$AQ$55,3,FALSE))</f>
        <v>300</v>
      </c>
      <c r="L10" s="12">
        <f>(VLOOKUP(main!T10,main!$AO$4:$AQ$55,3,FALSE))</f>
        <v>520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0</v>
      </c>
      <c r="S10" s="12">
        <f>(VLOOKUP(main!AA10,main!$AO$4:$AQ$55,3,FALSE))</f>
        <v>0</v>
      </c>
      <c r="T10" s="12">
        <f>(VLOOKUP(main!AB10,main!$AO$4:$AQ$55,3,FALSE))</f>
        <v>0</v>
      </c>
      <c r="U10" s="12">
        <f>(VLOOKUP(main!AC10,main!$AO$4:$AQ$55,3,FALSE))</f>
        <v>0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40</v>
      </c>
      <c r="D11" s="12">
        <f>(VLOOKUP(main!L11,main!$AO$4:$AQ$55,3,FALSE))</f>
        <v>40</v>
      </c>
      <c r="E11" s="12">
        <f>(VLOOKUP(main!M11,main!$AO$4:$AQ$55,3,FALSE))</f>
        <v>40</v>
      </c>
      <c r="F11" s="12">
        <f>(VLOOKUP(main!N11,main!$AO$4:$AQ$55,3,FALSE))</f>
        <v>30</v>
      </c>
      <c r="G11" s="13">
        <f>(VLOOKUP(main!O11,main!$AO$4:$AQ$55,3,FALSE))</f>
        <v>40</v>
      </c>
      <c r="H11" s="13">
        <f>(VLOOKUP(main!P11,main!$AO$4:$AQ$55,3,FALSE))</f>
        <v>0</v>
      </c>
      <c r="I11" s="12">
        <f>(VLOOKUP(main!Q11,main!$AO$4:$AQ$55,3,FALSE))</f>
        <v>55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30</v>
      </c>
      <c r="O11" s="13">
        <f>(VLOOKUP(main!W11,main!$AO$4:$AQ$55,3,FALSE))</f>
        <v>50</v>
      </c>
      <c r="P11" s="13">
        <f>(VLOOKUP(main!X11,main!$AO$4:$AQ$55,3,FALSE))</f>
        <v>50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0</v>
      </c>
      <c r="U11" s="12">
        <f>(VLOOKUP(main!AC11,main!$AO$4:$AQ$55,3,FALSE))</f>
        <v>45</v>
      </c>
      <c r="V11" s="12">
        <f>(VLOOKUP(main!AD11,main!$AO$4:$AQ$55,3,FALSE))</f>
        <v>45</v>
      </c>
      <c r="W11" s="13">
        <f>(VLOOKUP(main!AE11,main!$AO$4:$AQ$55,3,FALSE))</f>
        <v>45</v>
      </c>
      <c r="X11" s="13">
        <f>(VLOOKUP(main!AF11,main!$AO$4:$AQ$55,3,FALSE))</f>
        <v>45</v>
      </c>
    </row>
    <row r="12" spans="1:24">
      <c r="A12" s="12">
        <f>(VLOOKUP(main!I12,main!$AO$4:$AQ$55,3,FALSE))</f>
        <v>40</v>
      </c>
      <c r="B12" s="12">
        <f>(VLOOKUP(main!J12,main!$AO$4:$AQ$55,3,FALSE))</f>
        <v>40</v>
      </c>
      <c r="C12" s="12">
        <f>(VLOOKUP(main!K12,main!$AO$4:$AQ$55,3,FALSE))</f>
        <v>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40</v>
      </c>
      <c r="H12" s="13">
        <f>(VLOOKUP(main!P12,main!$AO$4:$AQ$55,3,FALSE))</f>
        <v>40</v>
      </c>
      <c r="I12" s="12">
        <f>(VLOOKUP(main!Q12,main!$AO$4:$AQ$55,3,FALSE))</f>
        <v>55</v>
      </c>
      <c r="J12" s="12">
        <f>(VLOOKUP(main!R12,main!$AO$4:$AQ$55,3,FALSE))</f>
        <v>0</v>
      </c>
      <c r="K12" s="12">
        <f>(VLOOKUP(main!S12,main!$AO$4:$AQ$55,3,FALSE))</f>
        <v>0</v>
      </c>
      <c r="L12" s="12">
        <f>(VLOOKUP(main!T12,main!$AO$4:$AQ$55,3,FALSE))</f>
        <v>0</v>
      </c>
      <c r="M12" s="12">
        <f>(VLOOKUP(main!U12,main!$AO$4:$AQ$55,3,FALSE))</f>
        <v>0</v>
      </c>
      <c r="N12" s="12">
        <f>(VLOOKUP(main!V12,main!$AO$4:$AQ$55,3,FALSE))</f>
        <v>0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30</v>
      </c>
      <c r="U12" s="12">
        <f>(VLOOKUP(main!AC12,main!$AO$4:$AQ$55,3,FALSE))</f>
        <v>45</v>
      </c>
      <c r="V12" s="12">
        <f>(VLOOKUP(main!AD12,main!$AO$4:$AQ$55,3,FALSE))</f>
        <v>45</v>
      </c>
      <c r="W12" s="13">
        <f>(VLOOKUP(main!AE12,main!$AO$4:$AQ$55,3,FALSE))</f>
        <v>55</v>
      </c>
      <c r="X12" s="13">
        <f>(VLOOKUP(main!AF12,main!$AO$4:$AQ$55,3,FALSE))</f>
        <v>55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40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0</v>
      </c>
      <c r="J13" s="12">
        <f>(VLOOKUP(main!R13,main!$AO$4:$AQ$55,3,FALSE))</f>
        <v>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55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60</v>
      </c>
      <c r="R14" s="12">
        <f>(VLOOKUP(main!Z14,main!$AO$4:$AQ$55,3,FALSE))</f>
        <v>60</v>
      </c>
      <c r="S14" s="12">
        <f>(VLOOKUP(main!AA14,main!$AO$4:$AQ$55,3,FALSE))</f>
        <v>60</v>
      </c>
      <c r="T14" s="12">
        <f>(VLOOKUP(main!AB14,main!$AO$4:$AQ$55,3,FALSE))</f>
        <v>60</v>
      </c>
      <c r="U14" s="12">
        <f>(VLOOKUP(main!AC14,main!$AO$4:$AQ$55,3,FALSE))</f>
        <v>60</v>
      </c>
      <c r="V14" s="12">
        <f>(VLOOKUP(main!AD14,main!$AO$4:$AQ$55,3,FALSE))</f>
        <v>55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0</v>
      </c>
      <c r="J15" s="12">
        <f>(VLOOKUP(main!R15,main!$AO$4:$AQ$55,3,FALSE))</f>
        <v>0</v>
      </c>
      <c r="K15" s="12">
        <f>(VLOOKUP(main!S15,main!$AO$4:$AQ$55,3,FALSE))</f>
        <v>0</v>
      </c>
      <c r="L15" s="12">
        <f>(VLOOKUP(main!T15,main!$AO$4:$AQ$55,3,FALSE))</f>
        <v>0</v>
      </c>
      <c r="M15" s="12">
        <f>(VLOOKUP(main!U15,main!$AO$4:$AQ$55,3,FALSE))</f>
        <v>0</v>
      </c>
      <c r="N15" s="12">
        <f>(VLOOKUP(main!V15,main!$AO$4:$AQ$55,3,FALSE))</f>
        <v>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55</v>
      </c>
      <c r="R15" s="12">
        <f>(VLOOKUP(main!Z15,main!$AO$4:$AQ$55,3,FALSE))</f>
        <v>60</v>
      </c>
      <c r="S15" s="12">
        <f>(VLOOKUP(main!AA15,main!$AO$4:$AQ$55,3,FALSE))</f>
        <v>60</v>
      </c>
      <c r="T15" s="12">
        <f>(VLOOKUP(main!AB15,main!$AO$4:$AQ$55,3,FALSE))</f>
        <v>60</v>
      </c>
      <c r="U15" s="12">
        <f>(VLOOKUP(main!AC15,main!$AO$4:$AQ$55,3,FALSE))</f>
        <v>60</v>
      </c>
      <c r="V15" s="12">
        <f>(VLOOKUP(main!AD15,main!$AO$4:$AQ$55,3,FALSE))</f>
        <v>60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0</v>
      </c>
      <c r="J16" s="12">
        <f>(VLOOKUP(main!R16,main!$AO$4:$AQ$55,3,FALSE))</f>
        <v>0</v>
      </c>
      <c r="K16" s="12">
        <f>(VLOOKUP(main!S16,main!$AO$4:$AQ$55,3,FALSE))</f>
        <v>0</v>
      </c>
      <c r="L16" s="12">
        <f>(VLOOKUP(main!T16,main!$AO$4:$AQ$55,3,FALSE))</f>
        <v>0</v>
      </c>
      <c r="M16" s="12">
        <f>(VLOOKUP(main!U16,main!$AO$4:$AQ$55,3,FALSE))</f>
        <v>0</v>
      </c>
      <c r="N16" s="12">
        <f>(VLOOKUP(main!V16,main!$AO$4:$AQ$55,3,FALSE))</f>
        <v>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60</v>
      </c>
      <c r="R16" s="12">
        <f>(VLOOKUP(main!Z16,main!$AO$4:$AQ$55,3,FALSE))</f>
        <v>60</v>
      </c>
      <c r="S16" s="12">
        <f>(VLOOKUP(main!AA16,main!$AO$4:$AQ$55,3,FALSE))</f>
        <v>60</v>
      </c>
      <c r="T16" s="12">
        <f>(VLOOKUP(main!AB16,main!$AO$4:$AQ$55,3,FALSE))</f>
        <v>60</v>
      </c>
      <c r="U16" s="12">
        <f>(VLOOKUP(main!AC16,main!$AO$4:$AQ$55,3,FALSE))</f>
        <v>0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45</v>
      </c>
      <c r="J17" s="12">
        <f>(VLOOKUP(main!R17,main!$AO$4:$AQ$55,3,FALSE))</f>
        <v>45</v>
      </c>
      <c r="K17" s="12">
        <f>(VLOOKUP(main!S17,main!$AO$4:$AQ$55,3,FALSE))</f>
        <v>45</v>
      </c>
      <c r="L17" s="12">
        <f>(VLOOKUP(main!T17,main!$AO$4:$AQ$55,3,FALSE))</f>
        <v>0</v>
      </c>
      <c r="M17" s="12">
        <f>(VLOOKUP(main!U17,main!$AO$4:$AQ$55,3,FALSE))</f>
        <v>45</v>
      </c>
      <c r="N17" s="12">
        <f>(VLOOKUP(main!V17,main!$AO$4:$AQ$55,3,FALSE))</f>
        <v>45</v>
      </c>
      <c r="O17" s="13">
        <f>(VLOOKUP(main!W17,main!$AO$4:$AQ$55,3,FALSE))</f>
        <v>45</v>
      </c>
      <c r="P17" s="13">
        <f>(VLOOKUP(main!X17,main!$AO$4:$AQ$55,3,FALSE))</f>
        <v>45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0</v>
      </c>
      <c r="U17" s="12">
        <f>(VLOOKUP(main!AC17,main!$AO$4:$AQ$55,3,FALSE))</f>
        <v>60</v>
      </c>
      <c r="V17" s="12">
        <f>(VLOOKUP(main!AD17,main!$AO$4:$AQ$55,3,FALSE))</f>
        <v>60</v>
      </c>
      <c r="W17" s="13">
        <f>(VLOOKUP(main!AE17,main!$AO$4:$AQ$55,3,FALSE))</f>
        <v>60</v>
      </c>
      <c r="X17" s="13">
        <f>(VLOOKUP(main!AF17,main!$AO$4:$AQ$55,3,FALSE))</f>
        <v>60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45</v>
      </c>
      <c r="J18" s="12">
        <f>(VLOOKUP(main!R18,main!$AO$4:$AQ$55,3,FALSE))</f>
        <v>45</v>
      </c>
      <c r="K18" s="12">
        <f>(VLOOKUP(main!S18,main!$AO$4:$AQ$55,3,FALSE))</f>
        <v>45</v>
      </c>
      <c r="L18" s="12">
        <f>(VLOOKUP(main!T18,main!$AO$4:$AQ$55,3,FALSE))</f>
        <v>30</v>
      </c>
      <c r="M18" s="12">
        <f>(VLOOKUP(main!U18,main!$AO$4:$AQ$55,3,FALSE))</f>
        <v>45</v>
      </c>
      <c r="N18" s="12">
        <f>(VLOOKUP(main!V18,main!$AO$4:$AQ$55,3,FALSE))</f>
        <v>45</v>
      </c>
      <c r="O18" s="13">
        <f>(VLOOKUP(main!W18,main!$AO$4:$AQ$55,3,FALSE))</f>
        <v>55</v>
      </c>
      <c r="P18" s="13">
        <f>(VLOOKUP(main!X18,main!$AO$4:$AQ$55,3,FALSE))</f>
        <v>55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60</v>
      </c>
      <c r="V18" s="12">
        <f>(VLOOKUP(main!AD18,main!$AO$4:$AQ$55,3,FALSE))</f>
        <v>55</v>
      </c>
      <c r="W18" s="13">
        <f>(VLOOKUP(main!AE18,main!$AO$4:$AQ$55,3,FALSE))</f>
        <v>0</v>
      </c>
      <c r="X18" s="13">
        <f>(VLOOKUP(main!AF18,main!$AO$4:$AQ$55,3,FALSE))</f>
        <v>55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55</v>
      </c>
      <c r="J19" s="12">
        <f>(VLOOKUP(main!R19,main!$AO$4:$AQ$55,3,FALSE))</f>
        <v>0</v>
      </c>
      <c r="K19" s="12">
        <f>(VLOOKUP(main!S19,main!$AO$4:$AQ$55,3,FALSE))</f>
        <v>55</v>
      </c>
      <c r="L19" s="12">
        <f>(VLOOKUP(main!T19,main!$AO$4:$AQ$55,3,FALSE))</f>
        <v>55</v>
      </c>
      <c r="M19" s="12">
        <f>(VLOOKUP(main!U19,main!$AO$4:$AQ$55,3,FALSE))</f>
        <v>55</v>
      </c>
      <c r="N19" s="12">
        <f>(VLOOKUP(main!V19,main!$AO$4:$AQ$55,3,FALSE))</f>
        <v>30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55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55</v>
      </c>
      <c r="U19" s="12">
        <f>(VLOOKUP(main!AC19,main!$AO$4:$AQ$55,3,FALSE))</f>
        <v>55</v>
      </c>
      <c r="V19" s="12">
        <f>(VLOOKUP(main!AD19,main!$AO$4:$AQ$55,3,FALSE))</f>
        <v>55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50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50</v>
      </c>
      <c r="M20" s="12">
        <f>(VLOOKUP(main!U20,main!$AO$4:$AQ$55,3,FALSE))</f>
        <v>50</v>
      </c>
      <c r="N20" s="12">
        <f>(VLOOKUP(main!V20,main!$AO$4:$AQ$55,3,FALSE))</f>
        <v>50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55</v>
      </c>
      <c r="T20" s="12">
        <f>(VLOOKUP(main!AB20,main!$AO$4:$AQ$55,3,FALSE))</f>
        <v>55</v>
      </c>
      <c r="U20" s="12">
        <f>(VLOOKUP(main!AC20,main!$AO$4:$AQ$55,3,FALSE))</f>
        <v>55</v>
      </c>
      <c r="V20" s="12">
        <f>(VLOOKUP(main!AD20,main!$AO$4:$AQ$55,3,FALSE))</f>
        <v>55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50</v>
      </c>
      <c r="L21" s="12">
        <f>(VLOOKUP(main!T21,main!$AO$4:$AQ$55,3,FALSE))</f>
        <v>50</v>
      </c>
      <c r="M21" s="12">
        <f>(VLOOKUP(main!U21,main!$AO$4:$AQ$55,3,FALSE))</f>
        <v>55</v>
      </c>
      <c r="N21" s="12">
        <f>(VLOOKUP(main!V21,main!$AO$4:$AQ$55,3,FALSE))</f>
        <v>55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55</v>
      </c>
      <c r="R21" s="12">
        <f>(VLOOKUP(main!Z21,main!$AO$4:$AQ$55,3,FALSE))</f>
        <v>55</v>
      </c>
      <c r="S21" s="12">
        <f>(VLOOKUP(main!AA21,main!$AO$4:$AQ$55,3,FALSE))</f>
        <v>55</v>
      </c>
      <c r="T21" s="12">
        <f>(VLOOKUP(main!AB21,main!$AO$4:$AQ$55,3,FALSE))</f>
        <v>60</v>
      </c>
      <c r="U21" s="12">
        <f>(VLOOKUP(main!AC21,main!$AO$4:$AQ$55,3,FALSE))</f>
        <v>60</v>
      </c>
      <c r="V21" s="12">
        <f>(VLOOKUP(main!AD21,main!$AO$4:$AQ$55,3,FALSE))</f>
        <v>60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50</v>
      </c>
      <c r="J22" s="12">
        <f>(VLOOKUP(main!R22,main!$AO$4:$AQ$55,3,FALSE))</f>
        <v>0</v>
      </c>
      <c r="K22" s="12">
        <f>(VLOOKUP(main!S22,main!$AO$4:$AQ$55,3,FALSE))</f>
        <v>55</v>
      </c>
      <c r="L22" s="12">
        <f>(VLOOKUP(main!T22,main!$AO$4:$AQ$55,3,FALSE))</f>
        <v>55</v>
      </c>
      <c r="M22" s="12">
        <f>(VLOOKUP(main!U22,main!$AO$4:$AQ$55,3,FALSE))</f>
        <v>50</v>
      </c>
      <c r="N22" s="12">
        <f>(VLOOKUP(main!V22,main!$AO$4:$AQ$55,3,FALSE))</f>
        <v>50</v>
      </c>
      <c r="O22" s="13">
        <f>(VLOOKUP(main!W22,main!$AO$4:$AQ$55,3,FALSE))</f>
        <v>50</v>
      </c>
      <c r="P22" s="13">
        <f>(VLOOKUP(main!X22,main!$AO$4:$AQ$55,3,FALSE))</f>
        <v>55</v>
      </c>
      <c r="Q22" s="12">
        <f>(VLOOKUP(main!Y22,main!$AO$4:$AQ$55,3,FALSE))</f>
        <v>60</v>
      </c>
      <c r="R22" s="12">
        <f>(VLOOKUP(main!Z22,main!$AO$4:$AQ$55,3,FALSE))</f>
        <v>60</v>
      </c>
      <c r="S22" s="12">
        <f>(VLOOKUP(main!AA22,main!$AO$4:$AQ$55,3,FALSE))</f>
        <v>60</v>
      </c>
      <c r="T22" s="12">
        <f>(VLOOKUP(main!AB22,main!$AO$4:$AQ$55,3,FALSE))</f>
        <v>60</v>
      </c>
      <c r="U22" s="12">
        <f>(VLOOKUP(main!AC22,main!$AO$4:$AQ$55,3,FALSE))</f>
        <v>60</v>
      </c>
      <c r="V22" s="12">
        <f>(VLOOKUP(main!AD22,main!$AO$4:$AQ$55,3,FALSE))</f>
        <v>60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50</v>
      </c>
      <c r="J23" s="12">
        <f>(VLOOKUP(main!R23,main!$AO$4:$AQ$55,3,FALSE))</f>
        <v>50</v>
      </c>
      <c r="K23" s="12">
        <f>(VLOOKUP(main!S23,main!$AO$4:$AQ$55,3,FALSE))</f>
        <v>50</v>
      </c>
      <c r="L23" s="12">
        <f>(VLOOKUP(main!T23,main!$AO$4:$AQ$55,3,FALSE))</f>
        <v>50</v>
      </c>
      <c r="M23" s="12">
        <f>(VLOOKUP(main!U23,main!$AO$4:$AQ$55,3,FALSE))</f>
        <v>55</v>
      </c>
      <c r="N23" s="12">
        <f>(VLOOKUP(main!V23,main!$AO$4:$AQ$55,3,FALSE))</f>
        <v>50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60</v>
      </c>
      <c r="R23" s="12">
        <f>(VLOOKUP(main!Z23,main!$AO$4:$AQ$55,3,FALSE))</f>
        <v>60</v>
      </c>
      <c r="S23" s="12">
        <f>(VLOOKUP(main!AA23,main!$AO$4:$AQ$55,3,FALSE))</f>
        <v>60</v>
      </c>
      <c r="T23" s="12">
        <f>(VLOOKUP(main!AB23,main!$AO$4:$AQ$55,3,FALSE))</f>
        <v>60</v>
      </c>
      <c r="U23" s="12">
        <f>(VLOOKUP(main!AC23,main!$AO$4:$AQ$55,3,FALSE))</f>
        <v>60</v>
      </c>
      <c r="V23" s="12">
        <f>(VLOOKUP(main!AD23,main!$AO$4:$AQ$55,3,FALSE))</f>
        <v>60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50</v>
      </c>
      <c r="J24" s="12">
        <f>(VLOOKUP(main!R24,main!$AO$4:$AQ$55,3,FALSE))</f>
        <v>50</v>
      </c>
      <c r="K24" s="12">
        <f>(VLOOKUP(main!S24,main!$AO$4:$AQ$55,3,FALSE))</f>
        <v>50</v>
      </c>
      <c r="L24" s="12">
        <f>(VLOOKUP(main!T24,main!$AO$4:$AQ$55,3,FALSE))</f>
        <v>40</v>
      </c>
      <c r="M24" s="12">
        <f>(VLOOKUP(main!U24,main!$AO$4:$AQ$55,3,FALSE))</f>
        <v>55</v>
      </c>
      <c r="N24" s="12">
        <f>(VLOOKUP(main!V24,main!$AO$4:$AQ$55,3,FALSE))</f>
        <v>55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60</v>
      </c>
      <c r="R24" s="12">
        <f>(VLOOKUP(main!Z24,main!$AO$4:$AQ$55,3,FALSE))</f>
        <v>60</v>
      </c>
      <c r="S24" s="12">
        <f>(VLOOKUP(main!AA24,main!$AO$4:$AQ$55,3,FALSE))</f>
        <v>60</v>
      </c>
      <c r="T24" s="12">
        <f>(VLOOKUP(main!AB24,main!$AO$4:$AQ$55,3,FALSE))</f>
        <v>60</v>
      </c>
      <c r="U24" s="12">
        <f>(VLOOKUP(main!AC24,main!$AO$4:$AQ$55,3,FALSE))</f>
        <v>60</v>
      </c>
      <c r="V24" s="12">
        <f>(VLOOKUP(main!AD24,main!$AO$4:$AQ$55,3,FALSE))</f>
        <v>60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50</v>
      </c>
      <c r="J25" s="12">
        <f>(VLOOKUP(main!R25,main!$AO$4:$AQ$55,3,FALSE))</f>
        <v>55</v>
      </c>
      <c r="K25" s="12">
        <f>(VLOOKUP(main!S25,main!$AO$4:$AQ$55,3,FALSE))</f>
        <v>50</v>
      </c>
      <c r="L25" s="12">
        <f>(VLOOKUP(main!T25,main!$AO$4:$AQ$55,3,FALSE))</f>
        <v>50</v>
      </c>
      <c r="M25" s="12">
        <f>(VLOOKUP(main!U25,main!$AO$4:$AQ$55,3,FALSE))</f>
        <v>50</v>
      </c>
      <c r="N25" s="12">
        <f>(VLOOKUP(main!V25,main!$AO$4:$AQ$55,3,FALSE))</f>
        <v>50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60</v>
      </c>
      <c r="R25" s="12">
        <f>(VLOOKUP(main!Z25,main!$AO$4:$AQ$55,3,FALSE))</f>
        <v>60</v>
      </c>
      <c r="S25" s="12">
        <f>(VLOOKUP(main!AA25,main!$AO$4:$AQ$55,3,FALSE))</f>
        <v>60</v>
      </c>
      <c r="T25" s="12">
        <f>(VLOOKUP(main!AB25,main!$AO$4:$AQ$55,3,FALSE))</f>
        <v>60</v>
      </c>
      <c r="U25" s="12">
        <f>(VLOOKUP(main!AC25,main!$AO$4:$AQ$55,3,FALSE))</f>
        <v>60</v>
      </c>
      <c r="V25" s="12">
        <f>(VLOOKUP(main!AD25,main!$AO$4:$AQ$55,3,FALSE))</f>
        <v>60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55</v>
      </c>
      <c r="J26" s="12">
        <f>(VLOOKUP(main!R26,main!$AO$4:$AQ$55,3,FALSE))</f>
        <v>55</v>
      </c>
      <c r="K26" s="12">
        <f>(VLOOKUP(main!S26,main!$AO$4:$AQ$55,3,FALSE))</f>
        <v>55</v>
      </c>
      <c r="L26" s="12">
        <f>(VLOOKUP(main!T26,main!$AO$4:$AQ$55,3,FALSE))</f>
        <v>55</v>
      </c>
      <c r="M26" s="12">
        <f>(VLOOKUP(main!U26,main!$AO$4:$AQ$55,3,FALSE))</f>
        <v>50</v>
      </c>
      <c r="N26" s="12">
        <f>(VLOOKUP(main!V26,main!$AO$4:$AQ$55,3,FALSE))</f>
        <v>50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55</v>
      </c>
      <c r="M27" s="12">
        <f>(VLOOKUP(main!U27,main!$AO$4:$AQ$55,3,FALSE))</f>
        <v>55</v>
      </c>
      <c r="N27" s="12">
        <f>(VLOOKUP(main!V27,main!$AO$4:$AQ$55,3,FALSE))</f>
        <v>55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60</v>
      </c>
      <c r="R27" s="12">
        <f>(VLOOKUP(main!Z27,main!$AO$4:$AQ$55,3,FALSE))</f>
        <v>60</v>
      </c>
      <c r="S27" s="12">
        <f>(VLOOKUP(main!AA27,main!$AO$4:$AQ$55,3,FALSE))</f>
        <v>60</v>
      </c>
      <c r="T27" s="12">
        <f>(VLOOKUP(main!AB27,main!$AO$4:$AQ$55,3,FALSE))</f>
        <v>60</v>
      </c>
      <c r="U27" s="12">
        <f>(VLOOKUP(main!AC27,main!$AO$4:$AQ$55,3,FALSE))</f>
        <v>60</v>
      </c>
      <c r="V27" s="12">
        <f>(VLOOKUP(main!AD27,main!$AO$4:$AQ$55,3,FALSE))</f>
        <v>60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55</v>
      </c>
      <c r="K28" s="12">
        <f>(VLOOKUP(main!S28,main!$AO$4:$AQ$55,3,FALSE))</f>
        <v>50</v>
      </c>
      <c r="L28" s="12">
        <f>(VLOOKUP(main!T28,main!$AO$4:$AQ$55,3,FALSE))</f>
        <v>55</v>
      </c>
      <c r="M28" s="12">
        <f>(VLOOKUP(main!U28,main!$AO$4:$AQ$55,3,FALSE))</f>
        <v>55</v>
      </c>
      <c r="N28" s="12">
        <f>(VLOOKUP(main!V28,main!$AO$4:$AQ$55,3,FALSE))</f>
        <v>55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60</v>
      </c>
      <c r="R28" s="12">
        <f>(VLOOKUP(main!Z28,main!$AO$4:$AQ$55,3,FALSE))</f>
        <v>60</v>
      </c>
      <c r="S28" s="12">
        <f>(VLOOKUP(main!AA28,main!$AO$4:$AQ$55,3,FALSE))</f>
        <v>60</v>
      </c>
      <c r="T28" s="12">
        <f>(VLOOKUP(main!AB28,main!$AO$4:$AQ$55,3,FALSE))</f>
        <v>60</v>
      </c>
      <c r="U28" s="12">
        <f>(VLOOKUP(main!AC28,main!$AO$4:$AQ$55,3,FALSE))</f>
        <v>60</v>
      </c>
      <c r="V28" s="12">
        <f>(VLOOKUP(main!AD28,main!$AO$4:$AQ$55,3,FALSE))</f>
        <v>60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55</v>
      </c>
      <c r="J29" s="12">
        <f>(VLOOKUP(main!R29,main!$AO$4:$AQ$55,3,FALSE))</f>
        <v>50</v>
      </c>
      <c r="K29" s="12">
        <f>(VLOOKUP(main!S29,main!$AO$4:$AQ$55,3,FALSE))</f>
        <v>55</v>
      </c>
      <c r="L29" s="12">
        <f>(VLOOKUP(main!T29,main!$AO$4:$AQ$55,3,FALSE))</f>
        <v>50</v>
      </c>
      <c r="M29" s="12">
        <f>(VLOOKUP(main!U29,main!$AO$4:$AQ$55,3,FALSE))</f>
        <v>55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55</v>
      </c>
      <c r="K30" s="12">
        <f>(VLOOKUP(main!S30,main!$AO$4:$AQ$55,3,FALSE))</f>
        <v>55</v>
      </c>
      <c r="L30" s="12">
        <f>(VLOOKUP(main!T30,main!$AO$4:$AQ$55,3,FALSE))</f>
        <v>50</v>
      </c>
      <c r="M30" s="12">
        <f>(VLOOKUP(main!U30,main!$AO$4:$AQ$55,3,FALSE))</f>
        <v>50</v>
      </c>
      <c r="N30" s="12">
        <f>(VLOOKUP(main!V30,main!$AO$4:$AQ$55,3,FALSE))</f>
        <v>55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60</v>
      </c>
      <c r="R30" s="12">
        <f>(VLOOKUP(main!Z30,main!$AO$4:$AQ$55,3,FALSE))</f>
        <v>60</v>
      </c>
      <c r="S30" s="12">
        <f>(VLOOKUP(main!AA30,main!$AO$4:$AQ$55,3,FALSE))</f>
        <v>60</v>
      </c>
      <c r="T30" s="12">
        <f>(VLOOKUP(main!AB30,main!$AO$4:$AQ$55,3,FALSE))</f>
        <v>60</v>
      </c>
      <c r="U30" s="12">
        <f>(VLOOKUP(main!AC30,main!$AO$4:$AQ$55,3,FALSE))</f>
        <v>60</v>
      </c>
      <c r="V30" s="12">
        <f>(VLOOKUP(main!AD30,main!$AO$4:$AQ$55,3,FALSE))</f>
        <v>60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50</v>
      </c>
      <c r="J31" s="12">
        <f>(VLOOKUP(main!R31,main!$AO$4:$AQ$55,3,FALSE))</f>
        <v>50</v>
      </c>
      <c r="K31" s="12">
        <f>(VLOOKUP(main!S31,main!$AO$4:$AQ$55,3,FALSE))</f>
        <v>50</v>
      </c>
      <c r="L31" s="12">
        <f>(VLOOKUP(main!T31,main!$AO$4:$AQ$55,3,FALSE))</f>
        <v>50</v>
      </c>
      <c r="M31" s="12">
        <f>(VLOOKUP(main!U31,main!$AO$4:$AQ$55,3,FALSE))</f>
        <v>55</v>
      </c>
      <c r="N31" s="12">
        <f>(VLOOKUP(main!V31,main!$AO$4:$AQ$55,3,FALSE))</f>
        <v>55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60</v>
      </c>
      <c r="R31" s="12">
        <f>(VLOOKUP(main!Z31,main!$AO$4:$AQ$55,3,FALSE))</f>
        <v>60</v>
      </c>
      <c r="S31" s="12">
        <f>(VLOOKUP(main!AA31,main!$AO$4:$AQ$55,3,FALSE))</f>
        <v>60</v>
      </c>
      <c r="T31" s="12">
        <f>(VLOOKUP(main!AB31,main!$AO$4:$AQ$55,3,FALSE))</f>
        <v>60</v>
      </c>
      <c r="U31" s="12">
        <f>(VLOOKUP(main!AC31,main!$AO$4:$AQ$55,3,FALSE))</f>
        <v>60</v>
      </c>
      <c r="V31" s="12">
        <f>(VLOOKUP(main!AD31,main!$AO$4:$AQ$55,3,FALSE))</f>
        <v>60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40</v>
      </c>
      <c r="J32" s="12">
        <f>(VLOOKUP(main!R32,main!$AO$4:$AQ$55,3,FALSE))</f>
        <v>50</v>
      </c>
      <c r="K32" s="12">
        <f>(VLOOKUP(main!S32,main!$AO$4:$AQ$55,3,FALSE))</f>
        <v>50</v>
      </c>
      <c r="L32" s="12">
        <f>(VLOOKUP(main!T32,main!$AO$4:$AQ$55,3,FALSE))</f>
        <v>50</v>
      </c>
      <c r="M32" s="12">
        <f>(VLOOKUP(main!U32,main!$AO$4:$AQ$55,3,FALSE))</f>
        <v>50</v>
      </c>
      <c r="N32" s="12">
        <f>(VLOOKUP(main!V32,main!$AO$4:$AQ$55,3,FALSE))</f>
        <v>50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55</v>
      </c>
      <c r="J33" s="12">
        <f>(VLOOKUP(main!R33,main!$AO$4:$AQ$55,3,FALSE))</f>
        <v>50</v>
      </c>
      <c r="K33" s="12">
        <f>(VLOOKUP(main!S33,main!$AO$4:$AQ$55,3,FALSE))</f>
        <v>55</v>
      </c>
      <c r="L33" s="12">
        <f>(VLOOKUP(main!T33,main!$AO$4:$AQ$55,3,FALSE))</f>
        <v>50</v>
      </c>
      <c r="M33" s="12">
        <f>(VLOOKUP(main!U33,main!$AO$4:$AQ$55,3,FALSE))</f>
        <v>55</v>
      </c>
      <c r="N33" s="12">
        <f>(VLOOKUP(main!V33,main!$AO$4:$AQ$55,3,FALSE))</f>
        <v>40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60</v>
      </c>
      <c r="R33" s="12">
        <f>(VLOOKUP(main!Z33,main!$AO$4:$AQ$55,3,FALSE))</f>
        <v>60</v>
      </c>
      <c r="S33" s="12">
        <f>(VLOOKUP(main!AA33,main!$AO$4:$AQ$55,3,FALSE))</f>
        <v>60</v>
      </c>
      <c r="T33" s="12">
        <f>(VLOOKUP(main!AB33,main!$AO$4:$AQ$55,3,FALSE))</f>
        <v>60</v>
      </c>
      <c r="U33" s="12">
        <f>(VLOOKUP(main!AC33,main!$AO$4:$AQ$55,3,FALSE))</f>
        <v>60</v>
      </c>
      <c r="V33" s="12">
        <f>(VLOOKUP(main!AD33,main!$AO$4:$AQ$55,3,FALSE))</f>
        <v>60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50</v>
      </c>
      <c r="J34" s="12">
        <f>(VLOOKUP(main!R34,main!$AO$4:$AQ$55,3,FALSE))</f>
        <v>50</v>
      </c>
      <c r="K34" s="12">
        <f>(VLOOKUP(main!S34,main!$AO$4:$AQ$55,3,FALSE))</f>
        <v>55</v>
      </c>
      <c r="L34" s="12">
        <f>(VLOOKUP(main!T34,main!$AO$4:$AQ$55,3,FALSE))</f>
        <v>55</v>
      </c>
      <c r="M34" s="12">
        <f>(VLOOKUP(main!U34,main!$AO$4:$AQ$55,3,FALSE))</f>
        <v>55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60</v>
      </c>
      <c r="R34" s="12">
        <f>(VLOOKUP(main!Z34,main!$AO$4:$AQ$55,3,FALSE))</f>
        <v>60</v>
      </c>
      <c r="S34" s="12">
        <f>(VLOOKUP(main!AA34,main!$AO$4:$AQ$55,3,FALSE))</f>
        <v>60</v>
      </c>
      <c r="T34" s="12">
        <f>(VLOOKUP(main!AB34,main!$AO$4:$AQ$55,3,FALSE))</f>
        <v>60</v>
      </c>
      <c r="U34" s="12">
        <f>(VLOOKUP(main!AC34,main!$AO$4:$AQ$55,3,FALSE))</f>
        <v>60</v>
      </c>
      <c r="V34" s="12">
        <f>(VLOOKUP(main!AD34,main!$AO$4:$AQ$55,3,FALSE))</f>
        <v>60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45</v>
      </c>
      <c r="J35" s="12">
        <f>(VLOOKUP(main!R35,main!$AO$4:$AQ$55,3,FALSE))</f>
        <v>50</v>
      </c>
      <c r="K35" s="12">
        <f>(VLOOKUP(main!S35,main!$AO$4:$AQ$55,3,FALSE))</f>
        <v>50</v>
      </c>
      <c r="L35" s="12">
        <f>(VLOOKUP(main!T35,main!$AO$4:$AQ$55,3,FALSE))</f>
        <v>50</v>
      </c>
      <c r="M35" s="12">
        <f>(VLOOKUP(main!U35,main!$AO$4:$AQ$55,3,FALSE))</f>
        <v>50</v>
      </c>
      <c r="N35" s="12">
        <f>(VLOOKUP(main!V35,main!$AO$4:$AQ$55,3,FALSE))</f>
        <v>50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50</v>
      </c>
      <c r="J36" s="12">
        <f>(VLOOKUP(main!R36,main!$AO$4:$AQ$55,3,FALSE))</f>
        <v>50</v>
      </c>
      <c r="K36" s="12">
        <f>(VLOOKUP(main!S36,main!$AO$4:$AQ$55,3,FALSE))</f>
        <v>50</v>
      </c>
      <c r="L36" s="12">
        <f>(VLOOKUP(main!T36,main!$AO$4:$AQ$55,3,FALSE))</f>
        <v>50</v>
      </c>
      <c r="M36" s="12">
        <f>(VLOOKUP(main!U36,main!$AO$4:$AQ$55,3,FALSE))</f>
        <v>50</v>
      </c>
      <c r="N36" s="12">
        <f>(VLOOKUP(main!V36,main!$AO$4:$AQ$55,3,FALSE))</f>
        <v>60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60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60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60</v>
      </c>
      <c r="R37" s="12">
        <f>(VLOOKUP(main!Z37,main!$AO$4:$AQ$55,3,FALSE))</f>
        <v>60</v>
      </c>
      <c r="S37" s="12">
        <f>(VLOOKUP(main!AA37,main!$AO$4:$AQ$55,3,FALSE))</f>
        <v>60</v>
      </c>
      <c r="T37" s="12">
        <f>(VLOOKUP(main!AB37,main!$AO$4:$AQ$55,3,FALSE))</f>
        <v>60</v>
      </c>
      <c r="U37" s="12">
        <f>(VLOOKUP(main!AC37,main!$AO$4:$AQ$55,3,FALSE))</f>
        <v>60</v>
      </c>
      <c r="V37" s="12">
        <f>(VLOOKUP(main!AD37,main!$AO$4:$AQ$55,3,FALSE))</f>
        <v>60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60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30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60</v>
      </c>
      <c r="R39" s="12">
        <f>(VLOOKUP(main!Z39,main!$AO$4:$AQ$55,3,FALSE))</f>
        <v>60</v>
      </c>
      <c r="S39" s="12">
        <f>(VLOOKUP(main!AA39,main!$AO$4:$AQ$55,3,FALSE))</f>
        <v>60</v>
      </c>
      <c r="T39" s="12">
        <f>(VLOOKUP(main!AB39,main!$AO$4:$AQ$55,3,FALSE))</f>
        <v>60</v>
      </c>
      <c r="U39" s="12">
        <f>(VLOOKUP(main!AC39,main!$AO$4:$AQ$55,3,FALSE))</f>
        <v>60</v>
      </c>
      <c r="V39" s="12">
        <f>(VLOOKUP(main!AD39,main!$AO$4:$AQ$55,3,FALSE))</f>
        <v>60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60</v>
      </c>
      <c r="J40" s="12">
        <f>(VLOOKUP(main!R40,main!$AO$4:$AQ$55,3,FALSE))</f>
        <v>60</v>
      </c>
      <c r="K40" s="12">
        <f>(VLOOKUP(main!S40,main!$AO$4:$AQ$55,3,FALSE))</f>
        <v>60</v>
      </c>
      <c r="L40" s="12">
        <f>(VLOOKUP(main!T40,main!$AO$4:$AQ$55,3,FALSE))</f>
        <v>60</v>
      </c>
      <c r="M40" s="12">
        <f>(VLOOKUP(main!U40,main!$AO$4:$AQ$55,3,FALSE))</f>
        <v>60</v>
      </c>
      <c r="N40" s="12">
        <f>(VLOOKUP(main!V40,main!$AO$4:$AQ$55,3,FALSE))</f>
        <v>60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60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60</v>
      </c>
      <c r="R41" s="12">
        <f>(VLOOKUP(main!Z41,main!$AO$4:$AQ$55,3,FALSE))</f>
        <v>60</v>
      </c>
      <c r="S41" s="12">
        <f>(VLOOKUP(main!AA41,main!$AO$4:$AQ$55,3,FALSE))</f>
        <v>60</v>
      </c>
      <c r="T41" s="12">
        <f>(VLOOKUP(main!AB41,main!$AO$4:$AQ$55,3,FALSE))</f>
        <v>30</v>
      </c>
      <c r="U41" s="12">
        <f>(VLOOKUP(main!AC41,main!$AO$4:$AQ$55,3,FALSE))</f>
        <v>55</v>
      </c>
      <c r="V41" s="12">
        <f>(VLOOKUP(main!AD41,main!$AO$4:$AQ$55,3,FALSE))</f>
        <v>55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60</v>
      </c>
      <c r="J42" s="12">
        <f>(VLOOKUP(main!R42,main!$AO$4:$AQ$55,3,FALSE))</f>
        <v>60</v>
      </c>
      <c r="K42" s="12">
        <f>(VLOOKUP(main!S42,main!$AO$4:$AQ$55,3,FALSE))</f>
        <v>60</v>
      </c>
      <c r="L42" s="12">
        <f>(VLOOKUP(main!T42,main!$AO$4:$AQ$55,3,FALSE))</f>
        <v>50</v>
      </c>
      <c r="M42" s="12">
        <f>(VLOOKUP(main!U42,main!$AO$4:$AQ$55,3,FALSE))</f>
        <v>50</v>
      </c>
      <c r="N42" s="12">
        <f>(VLOOKUP(main!V42,main!$AO$4:$AQ$55,3,FALSE))</f>
        <v>60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60</v>
      </c>
      <c r="J43" s="12">
        <f>(VLOOKUP(main!R43,main!$AO$4:$AQ$55,3,FALSE))</f>
        <v>60</v>
      </c>
      <c r="K43" s="12">
        <f>(VLOOKUP(main!S43,main!$AO$4:$AQ$55,3,FALSE))</f>
        <v>60</v>
      </c>
      <c r="L43" s="12">
        <f>(VLOOKUP(main!T43,main!$AO$4:$AQ$55,3,FALSE))</f>
        <v>60</v>
      </c>
      <c r="M43" s="12">
        <f>(VLOOKUP(main!U43,main!$AO$4:$AQ$55,3,FALSE))</f>
        <v>60</v>
      </c>
      <c r="N43" s="12">
        <f>(VLOOKUP(main!V43,main!$AO$4:$AQ$55,3,FALSE))</f>
        <v>60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60</v>
      </c>
      <c r="J44" s="12">
        <f>(VLOOKUP(main!R44,main!$AO$4:$AQ$55,3,FALSE))</f>
        <v>60</v>
      </c>
      <c r="K44" s="12">
        <f>(VLOOKUP(main!S44,main!$AO$4:$AQ$55,3,FALSE))</f>
        <v>60</v>
      </c>
      <c r="L44" s="12">
        <f>(VLOOKUP(main!T44,main!$AO$4:$AQ$55,3,FALSE))</f>
        <v>60</v>
      </c>
      <c r="M44" s="12">
        <f>(VLOOKUP(main!U44,main!$AO$4:$AQ$55,3,FALSE))</f>
        <v>60</v>
      </c>
      <c r="N44" s="12">
        <f>(VLOOKUP(main!V44,main!$AO$4:$AQ$55,3,FALSE))</f>
        <v>60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60</v>
      </c>
      <c r="J45" s="12">
        <f>(VLOOKUP(main!R45,main!$AO$4:$AQ$55,3,FALSE))</f>
        <v>60</v>
      </c>
      <c r="K45" s="12">
        <f>(VLOOKUP(main!S45,main!$AO$4:$AQ$55,3,FALSE))</f>
        <v>50</v>
      </c>
      <c r="L45" s="12">
        <f>(VLOOKUP(main!T45,main!$AO$4:$AQ$55,3,FALSE))</f>
        <v>60</v>
      </c>
      <c r="M45" s="12">
        <f>(VLOOKUP(main!U45,main!$AO$4:$AQ$55,3,FALSE))</f>
        <v>60</v>
      </c>
      <c r="N45" s="12">
        <f>(VLOOKUP(main!V45,main!$AO$4:$AQ$55,3,FALSE))</f>
        <v>60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60</v>
      </c>
      <c r="J46" s="12">
        <f>(VLOOKUP(main!R46,main!$AO$4:$AQ$55,3,FALSE))</f>
        <v>60</v>
      </c>
      <c r="K46" s="12">
        <f>(VLOOKUP(main!S46,main!$AO$4:$AQ$55,3,FALSE))</f>
        <v>50</v>
      </c>
      <c r="L46" s="12">
        <f>(VLOOKUP(main!T46,main!$AO$4:$AQ$55,3,FALSE))</f>
        <v>50</v>
      </c>
      <c r="M46" s="12">
        <f>(VLOOKUP(main!U46,main!$AO$4:$AQ$55,3,FALSE))</f>
        <v>50</v>
      </c>
      <c r="N46" s="12">
        <f>(VLOOKUP(main!V46,main!$AO$4:$AQ$55,3,FALSE))</f>
        <v>50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55</v>
      </c>
      <c r="R46" s="12">
        <f>(VLOOKUP(main!Z46,main!$AO$4:$AQ$55,3,FALSE))</f>
        <v>55</v>
      </c>
      <c r="S46" s="12">
        <f>(VLOOKUP(main!AA46,main!$AO$4:$AQ$55,3,FALSE))</f>
        <v>55</v>
      </c>
      <c r="T46" s="12">
        <f>(VLOOKUP(main!AB46,main!$AO$4:$AQ$55,3,FALSE))</f>
        <v>55</v>
      </c>
      <c r="U46" s="12">
        <f>(VLOOKUP(main!AC46,main!$AO$4:$AQ$55,3,FALSE))</f>
        <v>55</v>
      </c>
      <c r="V46" s="12">
        <f>(VLOOKUP(main!AD46,main!$AO$4:$AQ$55,3,FALSE))</f>
        <v>55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50</v>
      </c>
      <c r="J47" s="12">
        <f>(VLOOKUP(main!R47,main!$AO$4:$AQ$55,3,FALSE))</f>
        <v>50</v>
      </c>
      <c r="K47" s="12">
        <f>(VLOOKUP(main!S47,main!$AO$4:$AQ$55,3,FALSE))</f>
        <v>50</v>
      </c>
      <c r="L47" s="12">
        <f>(VLOOKUP(main!T47,main!$AO$4:$AQ$55,3,FALSE))</f>
        <v>50</v>
      </c>
      <c r="M47" s="12">
        <f>(VLOOKUP(main!U47,main!$AO$4:$AQ$55,3,FALSE))</f>
        <v>50</v>
      </c>
      <c r="N47" s="12">
        <f>(VLOOKUP(main!V47,main!$AO$4:$AQ$55,3,FALSE))</f>
        <v>50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55</v>
      </c>
      <c r="R47" s="12">
        <f>(VLOOKUP(main!Z47,main!$AO$4:$AQ$55,3,FALSE))</f>
        <v>55</v>
      </c>
      <c r="S47" s="12">
        <f>(VLOOKUP(main!AA47,main!$AO$4:$AQ$55,3,FALSE))</f>
        <v>55</v>
      </c>
      <c r="T47" s="12">
        <f>(VLOOKUP(main!AB47,main!$AO$4:$AQ$55,3,FALSE))</f>
        <v>55</v>
      </c>
      <c r="U47" s="12">
        <f>(VLOOKUP(main!AC47,main!$AO$4:$AQ$55,3,FALSE))</f>
        <v>55</v>
      </c>
      <c r="V47" s="12">
        <f>(VLOOKUP(main!AD47,main!$AO$4:$AQ$55,3,FALSE))</f>
        <v>55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50</v>
      </c>
      <c r="J48" s="12">
        <f>(VLOOKUP(main!R48,main!$AO$4:$AQ$55,3,FALSE))</f>
        <v>50</v>
      </c>
      <c r="K48" s="12">
        <f>(VLOOKUP(main!S48,main!$AO$4:$AQ$55,3,FALSE))</f>
        <v>50</v>
      </c>
      <c r="L48" s="12">
        <f>(VLOOKUP(main!T48,main!$AO$4:$AQ$55,3,FALSE))</f>
        <v>30</v>
      </c>
      <c r="M48" s="12">
        <f>(VLOOKUP(main!U48,main!$AO$4:$AQ$55,3,FALSE))</f>
        <v>50</v>
      </c>
      <c r="N48" s="12">
        <f>(VLOOKUP(main!V48,main!$AO$4:$AQ$55,3,FALSE))</f>
        <v>50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55</v>
      </c>
      <c r="S48" s="12">
        <f>(VLOOKUP(main!AA48,main!$AO$4:$AQ$55,3,FALSE))</f>
        <v>55</v>
      </c>
      <c r="T48" s="12">
        <f>(VLOOKUP(main!AB48,main!$AO$4:$AQ$55,3,FALSE))</f>
        <v>55</v>
      </c>
      <c r="U48" s="12">
        <f>(VLOOKUP(main!AC48,main!$AO$4:$AQ$55,3,FALSE))</f>
        <v>55</v>
      </c>
      <c r="V48" s="12">
        <f>(VLOOKUP(main!AD48,main!$AO$4:$AQ$55,3,FALSE))</f>
        <v>55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40</v>
      </c>
      <c r="J49" s="12">
        <f>(VLOOKUP(main!R49,main!$AO$4:$AQ$55,3,FALSE))</f>
        <v>50</v>
      </c>
      <c r="K49" s="12">
        <f>(VLOOKUP(main!S49,main!$AO$4:$AQ$55,3,FALSE))</f>
        <v>50</v>
      </c>
      <c r="L49" s="12">
        <f>(VLOOKUP(main!T49,main!$AO$4:$AQ$55,3,FALSE))</f>
        <v>50</v>
      </c>
      <c r="M49" s="12">
        <f>(VLOOKUP(main!U49,main!$AO$4:$AQ$55,3,FALSE))</f>
        <v>50</v>
      </c>
      <c r="N49" s="12">
        <f>(VLOOKUP(main!V49,main!$AO$4:$AQ$55,3,FALSE))</f>
        <v>50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45</v>
      </c>
      <c r="R49" s="12">
        <f>(VLOOKUP(main!Z49,main!$AO$4:$AQ$55,3,FALSE))</f>
        <v>55</v>
      </c>
      <c r="S49" s="12">
        <f>(VLOOKUP(main!AA49,main!$AO$4:$AQ$55,3,FALSE))</f>
        <v>55</v>
      </c>
      <c r="T49" s="12">
        <f>(VLOOKUP(main!AB49,main!$AO$4:$AQ$55,3,FALSE))</f>
        <v>55</v>
      </c>
      <c r="U49" s="12">
        <f>(VLOOKUP(main!AC49,main!$AO$4:$AQ$55,3,FALSE))</f>
        <v>55</v>
      </c>
      <c r="V49" s="12">
        <f>(VLOOKUP(main!AD49,main!$AO$4:$AQ$55,3,FALSE))</f>
        <v>55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50</v>
      </c>
      <c r="M50" s="12">
        <f>(VLOOKUP(main!U50,main!$AO$4:$AQ$55,3,FALSE))</f>
        <v>50</v>
      </c>
      <c r="N50" s="12">
        <f>(VLOOKUP(main!V50,main!$AO$4:$AQ$55,3,FALSE))</f>
        <v>50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60</v>
      </c>
      <c r="R50" s="12">
        <f>(VLOOKUP(main!Z50,main!$AO$4:$AQ$55,3,FALSE))</f>
        <v>60</v>
      </c>
      <c r="S50" s="12">
        <f>(VLOOKUP(main!AA50,main!$AO$4:$AQ$55,3,FALSE))</f>
        <v>60</v>
      </c>
      <c r="T50" s="12">
        <f>(VLOOKUP(main!AB50,main!$AO$4:$AQ$55,3,FALSE))</f>
        <v>60</v>
      </c>
      <c r="U50" s="12">
        <f>(VLOOKUP(main!AC50,main!$AO$4:$AQ$55,3,FALSE))</f>
        <v>60</v>
      </c>
      <c r="V50" s="12">
        <f>(VLOOKUP(main!AD50,main!$AO$4:$AQ$55,3,FALSE))</f>
        <v>60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50</v>
      </c>
      <c r="J51" s="12">
        <f>(VLOOKUP(main!R51,main!$AO$4:$AQ$55,3,FALSE))</f>
        <v>50</v>
      </c>
      <c r="K51" s="12">
        <f>(VLOOKUP(main!S51,main!$AO$4:$AQ$55,3,FALSE))</f>
        <v>50</v>
      </c>
      <c r="L51" s="12">
        <f>(VLOOKUP(main!T51,main!$AO$4:$AQ$55,3,FALSE))</f>
        <v>50</v>
      </c>
      <c r="M51" s="12">
        <f>(VLOOKUP(main!U51,main!$AO$4:$AQ$55,3,FALSE))</f>
        <v>50</v>
      </c>
      <c r="N51" s="12">
        <f>(VLOOKUP(main!V51,main!$AO$4:$AQ$55,3,FALSE))</f>
        <v>50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60</v>
      </c>
      <c r="R51" s="12">
        <f>(VLOOKUP(main!Z51,main!$AO$4:$AQ$55,3,FALSE))</f>
        <v>60</v>
      </c>
      <c r="S51" s="12">
        <f>(VLOOKUP(main!AA51,main!$AO$4:$AQ$55,3,FALSE))</f>
        <v>60</v>
      </c>
      <c r="T51" s="12">
        <f>(VLOOKUP(main!AB51,main!$AO$4:$AQ$55,3,FALSE))</f>
        <v>60</v>
      </c>
      <c r="U51" s="12">
        <f>(VLOOKUP(main!AC51,main!$AO$4:$AQ$55,3,FALSE))</f>
        <v>60</v>
      </c>
      <c r="V51" s="12">
        <f>(VLOOKUP(main!AD51,main!$AO$4:$AQ$55,3,FALSE))</f>
        <v>60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50</v>
      </c>
      <c r="J52" s="12">
        <f>(VLOOKUP(main!R52,main!$AO$4:$AQ$55,3,FALSE))</f>
        <v>50</v>
      </c>
      <c r="K52" s="12">
        <f>(VLOOKUP(main!S52,main!$AO$4:$AQ$55,3,FALSE))</f>
        <v>50</v>
      </c>
      <c r="L52" s="12">
        <f>(VLOOKUP(main!T52,main!$AO$4:$AQ$55,3,FALSE))</f>
        <v>50</v>
      </c>
      <c r="M52" s="12">
        <f>(VLOOKUP(main!U52,main!$AO$4:$AQ$55,3,FALSE))</f>
        <v>40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60</v>
      </c>
      <c r="S52" s="12">
        <f>(VLOOKUP(main!AA52,main!$AO$4:$AQ$55,3,FALSE))</f>
        <v>60</v>
      </c>
      <c r="T52" s="12">
        <f>(VLOOKUP(main!AB52,main!$AO$4:$AQ$55,3,FALSE))</f>
        <v>60</v>
      </c>
      <c r="U52" s="12">
        <f>(VLOOKUP(main!AC52,main!$AO$4:$AQ$55,3,FALSE))</f>
        <v>50</v>
      </c>
      <c r="V52" s="12">
        <f>(VLOOKUP(main!AD52,main!$AO$4:$AQ$55,3,FALSE))</f>
        <v>60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50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60</v>
      </c>
      <c r="R53" s="12">
        <f>(VLOOKUP(main!Z53,main!$AO$4:$AQ$55,3,FALSE))</f>
        <v>60</v>
      </c>
      <c r="S53" s="12">
        <f>(VLOOKUP(main!AA53,main!$AO$4:$AQ$55,3,FALSE))</f>
        <v>60</v>
      </c>
      <c r="T53" s="12">
        <f>(VLOOKUP(main!AB53,main!$AO$4:$AQ$55,3,FALSE))</f>
        <v>60</v>
      </c>
      <c r="U53" s="12">
        <f>(VLOOKUP(main!AC53,main!$AO$4:$AQ$55,3,FALSE))</f>
        <v>60</v>
      </c>
      <c r="V53" s="12">
        <f>(VLOOKUP(main!AD53,main!$AO$4:$AQ$55,3,FALSE))</f>
        <v>60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50</v>
      </c>
      <c r="J54" s="12">
        <f>(VLOOKUP(main!R54,main!$AO$4:$AQ$55,3,FALSE))</f>
        <v>55</v>
      </c>
      <c r="K54" s="12">
        <f>(VLOOKUP(main!S54,main!$AO$4:$AQ$55,3,FALSE))</f>
        <v>55</v>
      </c>
      <c r="L54" s="12">
        <f>(VLOOKUP(main!T54,main!$AO$4:$AQ$55,3,FALSE))</f>
        <v>50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60</v>
      </c>
      <c r="R54" s="12">
        <f>(VLOOKUP(main!Z54,main!$AO$4:$AQ$55,3,FALSE))</f>
        <v>50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55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30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55</v>
      </c>
      <c r="V55" s="12">
        <f>(VLOOKUP(main!AD55,main!$AO$4:$AQ$55,3,FALSE))</f>
        <v>55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50</v>
      </c>
      <c r="J56" s="12">
        <f>(VLOOKUP(main!R56,main!$AO$4:$AQ$55,3,FALSE))</f>
        <v>55</v>
      </c>
      <c r="K56" s="12">
        <f>(VLOOKUP(main!S56,main!$AO$4:$AQ$55,3,FALSE))</f>
        <v>50</v>
      </c>
      <c r="L56" s="12">
        <f>(VLOOKUP(main!T56,main!$AO$4:$AQ$55,3,FALSE))</f>
        <v>50</v>
      </c>
      <c r="M56" s="12">
        <f>(VLOOKUP(main!U56,main!$AO$4:$AQ$55,3,FALSE))</f>
        <v>50</v>
      </c>
      <c r="N56" s="12">
        <f>(VLOOKUP(main!V56,main!$AO$4:$AQ$55,3,FALSE))</f>
        <v>50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55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50</v>
      </c>
      <c r="K57" s="12">
        <f>(VLOOKUP(main!S57,main!$AO$4:$AQ$55,3,FALSE))</f>
        <v>50</v>
      </c>
      <c r="L57" s="12">
        <f>(VLOOKUP(main!T57,main!$AO$4:$AQ$55,3,FALSE))</f>
        <v>50</v>
      </c>
      <c r="M57" s="12">
        <f>(VLOOKUP(main!U57,main!$AO$4:$AQ$55,3,FALSE))</f>
        <v>50</v>
      </c>
      <c r="N57" s="12">
        <f>(VLOOKUP(main!V57,main!$AO$4:$AQ$55,3,FALSE))</f>
        <v>40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55</v>
      </c>
      <c r="R57" s="12">
        <f>(VLOOKUP(main!Z57,main!$AO$4:$AQ$55,3,FALSE))</f>
        <v>50</v>
      </c>
      <c r="S57" s="12">
        <f>(VLOOKUP(main!AA57,main!$AO$4:$AQ$55,3,FALSE))</f>
        <v>40</v>
      </c>
      <c r="T57" s="12">
        <f>(VLOOKUP(main!AB57,main!$AO$4:$AQ$55,3,FALSE))</f>
        <v>55</v>
      </c>
      <c r="U57" s="12">
        <f>(VLOOKUP(main!AC57,main!$AO$4:$AQ$55,3,FALSE))</f>
        <v>55</v>
      </c>
      <c r="V57" s="12">
        <f>(VLOOKUP(main!AD57,main!$AO$4:$AQ$55,3,FALSE))</f>
        <v>55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50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55</v>
      </c>
      <c r="R58" s="12">
        <f>(VLOOKUP(main!Z58,main!$AO$4:$AQ$55,3,FALSE))</f>
        <v>55</v>
      </c>
      <c r="S58" s="12">
        <f>(VLOOKUP(main!AA58,main!$AO$4:$AQ$55,3,FALSE))</f>
        <v>55</v>
      </c>
      <c r="T58" s="12">
        <f>(VLOOKUP(main!AB58,main!$AO$4:$AQ$55,3,FALSE))</f>
        <v>55</v>
      </c>
      <c r="U58" s="12">
        <f>(VLOOKUP(main!AC58,main!$AO$4:$AQ$55,3,FALSE))</f>
        <v>55</v>
      </c>
      <c r="V58" s="12">
        <f>(VLOOKUP(main!AD58,main!$AO$4:$AQ$55,3,FALSE))</f>
        <v>55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55</v>
      </c>
      <c r="R59" s="12">
        <f>(VLOOKUP(main!Z59,main!$AO$4:$AQ$55,3,FALSE))</f>
        <v>55</v>
      </c>
      <c r="S59" s="12">
        <f>(VLOOKUP(main!AA59,main!$AO$4:$AQ$55,3,FALSE))</f>
        <v>55</v>
      </c>
      <c r="T59" s="12">
        <f>(VLOOKUP(main!AB59,main!$AO$4:$AQ$55,3,FALSE))</f>
        <v>55</v>
      </c>
      <c r="U59" s="12">
        <f>(VLOOKUP(main!AC59,main!$AO$4:$AQ$55,3,FALSE))</f>
        <v>55</v>
      </c>
      <c r="V59" s="12">
        <f>(VLOOKUP(main!AD59,main!$AO$4:$AQ$55,3,FALSE))</f>
        <v>55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50</v>
      </c>
      <c r="J60" s="12">
        <f>(VLOOKUP(main!R60,main!$AO$4:$AQ$55,3,FALSE))</f>
        <v>50</v>
      </c>
      <c r="K60" s="12">
        <f>(VLOOKUP(main!S60,main!$AO$4:$AQ$55,3,FALSE))</f>
        <v>40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55</v>
      </c>
      <c r="R60" s="12">
        <f>(VLOOKUP(main!Z60,main!$AO$4:$AQ$55,3,FALSE))</f>
        <v>55</v>
      </c>
      <c r="S60" s="12">
        <f>(VLOOKUP(main!AA60,main!$AO$4:$AQ$55,3,FALSE))</f>
        <v>55</v>
      </c>
      <c r="T60" s="12">
        <f>(VLOOKUP(main!AB60,main!$AO$4:$AQ$55,3,FALSE))</f>
        <v>55</v>
      </c>
      <c r="U60" s="12">
        <f>(VLOOKUP(main!AC60,main!$AO$4:$AQ$55,3,FALSE))</f>
        <v>55</v>
      </c>
      <c r="V60" s="12">
        <f>(VLOOKUP(main!AD60,main!$AO$4:$AQ$55,3,FALSE))</f>
        <v>55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50</v>
      </c>
      <c r="J62" s="12">
        <f>(VLOOKUP(main!R62,main!$AO$4:$AQ$55,3,FALSE))</f>
        <v>50</v>
      </c>
      <c r="K62" s="12">
        <f>(VLOOKUP(main!S62,main!$AO$4:$AQ$55,3,FALSE))</f>
        <v>50</v>
      </c>
      <c r="L62" s="12">
        <f>(VLOOKUP(main!T62,main!$AO$4:$AQ$55,3,FALSE))</f>
        <v>50</v>
      </c>
      <c r="M62" s="12">
        <f>(VLOOKUP(main!U62,main!$AO$4:$AQ$55,3,FALSE))</f>
        <v>50</v>
      </c>
      <c r="N62" s="12">
        <f>(VLOOKUP(main!V62,main!$AO$4:$AQ$55,3,FALSE))</f>
        <v>50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50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55</v>
      </c>
      <c r="S63" s="12">
        <f>(VLOOKUP(main!AA63,main!$AO$4:$AQ$55,3,FALSE))</f>
        <v>55</v>
      </c>
      <c r="T63" s="12">
        <f>(VLOOKUP(main!AB63,main!$AO$4:$AQ$55,3,FALSE))</f>
        <v>55</v>
      </c>
      <c r="U63" s="12">
        <f>(VLOOKUP(main!AC63,main!$AO$4:$AQ$55,3,FALSE))</f>
        <v>55</v>
      </c>
      <c r="V63" s="12">
        <f>(VLOOKUP(main!AD63,main!$AO$4:$AQ$55,3,FALSE))</f>
        <v>55</v>
      </c>
      <c r="W63" s="13">
        <f>(VLOOKUP(main!AE63,main!$AO$4:$AQ$55,3,FALSE))</f>
        <v>55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50</v>
      </c>
      <c r="J64" s="12">
        <f>(VLOOKUP(main!R64,main!$AO$4:$AQ$55,3,FALSE))</f>
        <v>50</v>
      </c>
      <c r="K64" s="12">
        <f>(VLOOKUP(main!S64,main!$AO$4:$AQ$55,3,FALSE))</f>
        <v>55</v>
      </c>
      <c r="L64" s="12">
        <f>(VLOOKUP(main!T64,main!$AO$4:$AQ$55,3,FALSE))</f>
        <v>50</v>
      </c>
      <c r="M64" s="12">
        <f>(VLOOKUP(main!U64,main!$AO$4:$AQ$55,3,FALSE))</f>
        <v>50</v>
      </c>
      <c r="N64" s="12">
        <f>(VLOOKUP(main!V64,main!$AO$4:$AQ$55,3,FALSE))</f>
        <v>50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55</v>
      </c>
      <c r="J65" s="12">
        <f>(VLOOKUP(main!R65,main!$AO$4:$AQ$55,3,FALSE))</f>
        <v>50</v>
      </c>
      <c r="K65" s="12">
        <f>(VLOOKUP(main!S65,main!$AO$4:$AQ$55,3,FALSE))</f>
        <v>50</v>
      </c>
      <c r="L65" s="12">
        <f>(VLOOKUP(main!T65,main!$AO$4:$AQ$55,3,FALSE))</f>
        <v>50</v>
      </c>
      <c r="M65" s="12">
        <f>(VLOOKUP(main!U65,main!$AO$4:$AQ$55,3,FALSE))</f>
        <v>55</v>
      </c>
      <c r="N65" s="12">
        <f>(VLOOKUP(main!V65,main!$AO$4:$AQ$55,3,FALSE))</f>
        <v>55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55</v>
      </c>
      <c r="R65" s="12">
        <f>(VLOOKUP(main!Z65,main!$AO$4:$AQ$55,3,FALSE))</f>
        <v>55</v>
      </c>
      <c r="S65" s="12">
        <f>(VLOOKUP(main!AA65,main!$AO$4:$AQ$55,3,FALSE))</f>
        <v>45</v>
      </c>
      <c r="T65" s="12">
        <f>(VLOOKUP(main!AB65,main!$AO$4:$AQ$55,3,FALSE))</f>
        <v>45</v>
      </c>
      <c r="U65" s="12">
        <f>(VLOOKUP(main!AC65,main!$AO$4:$AQ$55,3,FALSE))</f>
        <v>30</v>
      </c>
      <c r="V65" s="12">
        <f>(VLOOKUP(main!AD65,main!$AO$4:$AQ$55,3,FALSE))</f>
        <v>55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50</v>
      </c>
      <c r="J66" s="12">
        <f>(VLOOKUP(main!R66,main!$AO$4:$AQ$55,3,FALSE))</f>
        <v>50</v>
      </c>
      <c r="K66" s="12">
        <f>(VLOOKUP(main!S66,main!$AO$4:$AQ$55,3,FALSE))</f>
        <v>50</v>
      </c>
      <c r="L66" s="12">
        <f>(VLOOKUP(main!T66,main!$AO$4:$AQ$55,3,FALSE))</f>
        <v>50</v>
      </c>
      <c r="M66" s="12">
        <f>(VLOOKUP(main!U66,main!$AO$4:$AQ$55,3,FALSE))</f>
        <v>55</v>
      </c>
      <c r="N66" s="12">
        <f>(VLOOKUP(main!V66,main!$AO$4:$AQ$55,3,FALSE))</f>
        <v>50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45</v>
      </c>
      <c r="R66" s="12">
        <f>(VLOOKUP(main!Z66,main!$AO$4:$AQ$55,3,FALSE))</f>
        <v>40</v>
      </c>
      <c r="S66" s="12">
        <f>(VLOOKUP(main!AA66,main!$AO$4:$AQ$55,3,FALSE))</f>
        <v>45</v>
      </c>
      <c r="T66" s="12">
        <f>(VLOOKUP(main!AB66,main!$AO$4:$AQ$55,3,FALSE))</f>
        <v>45</v>
      </c>
      <c r="U66" s="12">
        <f>(VLOOKUP(main!AC66,main!$AO$4:$AQ$55,3,FALSE))</f>
        <v>45</v>
      </c>
      <c r="V66" s="12">
        <f>(VLOOKUP(main!AD66,main!$AO$4:$AQ$55,3,FALSE))</f>
        <v>45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50</v>
      </c>
      <c r="J67" s="12">
        <f>(VLOOKUP(main!R67,main!$AO$4:$AQ$55,3,FALSE))</f>
        <v>50</v>
      </c>
      <c r="K67" s="12">
        <f>(VLOOKUP(main!S67,main!$AO$4:$AQ$55,3,FALSE))</f>
        <v>50</v>
      </c>
      <c r="L67" s="12">
        <f>(VLOOKUP(main!T67,main!$AO$4:$AQ$55,3,FALSE))</f>
        <v>50</v>
      </c>
      <c r="M67" s="12">
        <f>(VLOOKUP(main!U67,main!$AO$4:$AQ$55,3,FALSE))</f>
        <v>50</v>
      </c>
      <c r="N67" s="12">
        <f>(VLOOKUP(main!V67,main!$AO$4:$AQ$55,3,FALSE))</f>
        <v>50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45</v>
      </c>
      <c r="R67" s="12">
        <f>(VLOOKUP(main!Z67,main!$AO$4:$AQ$55,3,FALSE))</f>
        <v>45</v>
      </c>
      <c r="S67" s="12">
        <f>(VLOOKUP(main!AA67,main!$AO$4:$AQ$55,3,FALSE))</f>
        <v>40</v>
      </c>
      <c r="T67" s="12">
        <f>(VLOOKUP(main!AB67,main!$AO$4:$AQ$55,3,FALSE))</f>
        <v>45</v>
      </c>
      <c r="U67" s="12">
        <f>(VLOOKUP(main!AC67,main!$AO$4:$AQ$55,3,FALSE))</f>
        <v>45</v>
      </c>
      <c r="V67" s="12">
        <f>(VLOOKUP(main!AD67,main!$AO$4:$AQ$55,3,FALSE))</f>
        <v>40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50</v>
      </c>
      <c r="J68" s="12">
        <f>(VLOOKUP(main!R68,main!$AO$4:$AQ$55,3,FALSE))</f>
        <v>55</v>
      </c>
      <c r="K68" s="12">
        <f>(VLOOKUP(main!S68,main!$AO$4:$AQ$55,3,FALSE))</f>
        <v>50</v>
      </c>
      <c r="L68" s="12">
        <f>(VLOOKUP(main!T68,main!$AO$4:$AQ$55,3,FALSE))</f>
        <v>50</v>
      </c>
      <c r="M68" s="12">
        <f>(VLOOKUP(main!U68,main!$AO$4:$AQ$55,3,FALSE))</f>
        <v>50</v>
      </c>
      <c r="N68" s="12">
        <f>(VLOOKUP(main!V68,main!$AO$4:$AQ$55,3,FALSE))</f>
        <v>50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45</v>
      </c>
      <c r="R68" s="12">
        <f>(VLOOKUP(main!Z68,main!$AO$4:$AQ$55,3,FALSE))</f>
        <v>45</v>
      </c>
      <c r="S68" s="12">
        <f>(VLOOKUP(main!AA68,main!$AO$4:$AQ$55,3,FALSE))</f>
        <v>45</v>
      </c>
      <c r="T68" s="12">
        <f>(VLOOKUP(main!AB68,main!$AO$4:$AQ$55,3,FALSE))</f>
        <v>40</v>
      </c>
      <c r="U68" s="12">
        <f>(VLOOKUP(main!AC68,main!$AO$4:$AQ$55,3,FALSE))</f>
        <v>45</v>
      </c>
      <c r="V68" s="12">
        <f>(VLOOKUP(main!AD68,main!$AO$4:$AQ$55,3,FALSE))</f>
        <v>45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55</v>
      </c>
      <c r="J69" s="12">
        <f>(VLOOKUP(main!R69,main!$AO$4:$AQ$55,3,FALSE))</f>
        <v>50</v>
      </c>
      <c r="K69" s="12">
        <f>(VLOOKUP(main!S69,main!$AO$4:$AQ$55,3,FALSE))</f>
        <v>50</v>
      </c>
      <c r="L69" s="12">
        <f>(VLOOKUP(main!T69,main!$AO$4:$AQ$55,3,FALSE))</f>
        <v>50</v>
      </c>
      <c r="M69" s="12">
        <f>(VLOOKUP(main!U69,main!$AO$4:$AQ$55,3,FALSE))</f>
        <v>50</v>
      </c>
      <c r="N69" s="12">
        <f>(VLOOKUP(main!V69,main!$AO$4:$AQ$55,3,FALSE))</f>
        <v>50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45</v>
      </c>
      <c r="R69" s="12">
        <f>(VLOOKUP(main!Z69,main!$AO$4:$AQ$55,3,FALSE))</f>
        <v>45</v>
      </c>
      <c r="S69" s="12">
        <f>(VLOOKUP(main!AA69,main!$AO$4:$AQ$55,3,FALSE))</f>
        <v>45</v>
      </c>
      <c r="T69" s="12">
        <f>(VLOOKUP(main!AB69,main!$AO$4:$AQ$55,3,FALSE))</f>
        <v>45</v>
      </c>
      <c r="U69" s="12">
        <f>(VLOOKUP(main!AC69,main!$AO$4:$AQ$55,3,FALSE))</f>
        <v>30</v>
      </c>
      <c r="V69" s="12">
        <f>(VLOOKUP(main!AD69,main!$AO$4:$AQ$55,3,FALSE))</f>
        <v>45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50</v>
      </c>
      <c r="J70" s="12">
        <f>(VLOOKUP(main!R70,main!$AO$4:$AQ$55,3,FALSE))</f>
        <v>50</v>
      </c>
      <c r="K70" s="12">
        <f>(VLOOKUP(main!S70,main!$AO$4:$AQ$55,3,FALSE))</f>
        <v>50</v>
      </c>
      <c r="L70" s="12">
        <f>(VLOOKUP(main!T70,main!$AO$4:$AQ$55,3,FALSE))</f>
        <v>50</v>
      </c>
      <c r="M70" s="12">
        <f>(VLOOKUP(main!U70,main!$AO$4:$AQ$55,3,FALSE))</f>
        <v>50</v>
      </c>
      <c r="N70" s="12">
        <f>(VLOOKUP(main!V70,main!$AO$4:$AQ$55,3,FALSE))</f>
        <v>50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45</v>
      </c>
      <c r="R70" s="12">
        <f>(VLOOKUP(main!Z70,main!$AO$4:$AQ$55,3,FALSE))</f>
        <v>40</v>
      </c>
      <c r="S70" s="12">
        <f>(VLOOKUP(main!AA70,main!$AO$4:$AQ$55,3,FALSE))</f>
        <v>45</v>
      </c>
      <c r="T70" s="12">
        <f>(VLOOKUP(main!AB70,main!$AO$4:$AQ$55,3,FALSE))</f>
        <v>45</v>
      </c>
      <c r="U70" s="12">
        <f>(VLOOKUP(main!AC70,main!$AO$4:$AQ$55,3,FALSE))</f>
        <v>40</v>
      </c>
      <c r="V70" s="12">
        <f>(VLOOKUP(main!AD70,main!$AO$4:$AQ$55,3,FALSE))</f>
        <v>45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50</v>
      </c>
      <c r="J71" s="12">
        <f>(VLOOKUP(main!R71,main!$AO$4:$AQ$55,3,FALSE))</f>
        <v>50</v>
      </c>
      <c r="K71" s="12">
        <f>(VLOOKUP(main!S71,main!$AO$4:$AQ$55,3,FALSE))</f>
        <v>50</v>
      </c>
      <c r="L71" s="12">
        <f>(VLOOKUP(main!T71,main!$AO$4:$AQ$55,3,FALSE))</f>
        <v>50</v>
      </c>
      <c r="M71" s="12">
        <f>(VLOOKUP(main!U71,main!$AO$4:$AQ$55,3,FALSE))</f>
        <v>50</v>
      </c>
      <c r="N71" s="12">
        <f>(VLOOKUP(main!V71,main!$AO$4:$AQ$55,3,FALSE))</f>
        <v>55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45</v>
      </c>
      <c r="R71" s="12">
        <f>(VLOOKUP(main!Z71,main!$AO$4:$AQ$55,3,FALSE))</f>
        <v>45</v>
      </c>
      <c r="S71" s="12">
        <f>(VLOOKUP(main!AA71,main!$AO$4:$AQ$55,3,FALSE))</f>
        <v>45</v>
      </c>
      <c r="T71" s="12">
        <f>(VLOOKUP(main!AB71,main!$AO$4:$AQ$55,3,FALSE))</f>
        <v>45</v>
      </c>
      <c r="U71" s="12">
        <f>(VLOOKUP(main!AC71,main!$AO$4:$AQ$55,3,FALSE))</f>
        <v>45</v>
      </c>
      <c r="V71" s="12">
        <f>(VLOOKUP(main!AD71,main!$AO$4:$AQ$55,3,FALSE))</f>
        <v>40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50</v>
      </c>
      <c r="J72" s="12">
        <f>(VLOOKUP(main!R72,main!$AO$4:$AQ$55,3,FALSE))</f>
        <v>50</v>
      </c>
      <c r="K72" s="12">
        <f>(VLOOKUP(main!S72,main!$AO$4:$AQ$55,3,FALSE))</f>
        <v>50</v>
      </c>
      <c r="L72" s="12">
        <f>(VLOOKUP(main!T72,main!$AO$4:$AQ$55,3,FALSE))</f>
        <v>50</v>
      </c>
      <c r="M72" s="12">
        <f>(VLOOKUP(main!U72,main!$AO$4:$AQ$55,3,FALSE))</f>
        <v>50</v>
      </c>
      <c r="N72" s="12">
        <f>(VLOOKUP(main!V72,main!$AO$4:$AQ$55,3,FALSE))</f>
        <v>50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45</v>
      </c>
      <c r="R72" s="12">
        <f>(VLOOKUP(main!Z72,main!$AO$4:$AQ$55,3,FALSE))</f>
        <v>45</v>
      </c>
      <c r="S72" s="12">
        <f>(VLOOKUP(main!AA72,main!$AO$4:$AQ$55,3,FALSE))</f>
        <v>45</v>
      </c>
      <c r="T72" s="12">
        <f>(VLOOKUP(main!AB72,main!$AO$4:$AQ$55,3,FALSE))</f>
        <v>45</v>
      </c>
      <c r="U72" s="12">
        <f>(VLOOKUP(main!AC72,main!$AO$4:$AQ$55,3,FALSE))</f>
        <v>45</v>
      </c>
      <c r="V72" s="12">
        <f>(VLOOKUP(main!AD72,main!$AO$4:$AQ$55,3,FALSE))</f>
        <v>45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50</v>
      </c>
      <c r="J73" s="12">
        <f>(VLOOKUP(main!R73,main!$AO$4:$AQ$55,3,FALSE))</f>
        <v>50</v>
      </c>
      <c r="K73" s="12">
        <f>(VLOOKUP(main!S73,main!$AO$4:$AQ$55,3,FALSE))</f>
        <v>50</v>
      </c>
      <c r="L73" s="12">
        <f>(VLOOKUP(main!T73,main!$AO$4:$AQ$55,3,FALSE))</f>
        <v>50</v>
      </c>
      <c r="M73" s="12">
        <f>(VLOOKUP(main!U73,main!$AO$4:$AQ$55,3,FALSE))</f>
        <v>50</v>
      </c>
      <c r="N73" s="12">
        <f>(VLOOKUP(main!V73,main!$AO$4:$AQ$55,3,FALSE))</f>
        <v>50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40</v>
      </c>
      <c r="R73" s="12">
        <f>(VLOOKUP(main!Z73,main!$AO$4:$AQ$55,3,FALSE))</f>
        <v>45</v>
      </c>
      <c r="S73" s="12">
        <f>(VLOOKUP(main!AA73,main!$AO$4:$AQ$55,3,FALSE))</f>
        <v>45</v>
      </c>
      <c r="T73" s="12">
        <f>(VLOOKUP(main!AB73,main!$AO$4:$AQ$55,3,FALSE))</f>
        <v>45</v>
      </c>
      <c r="U73" s="12">
        <f>(VLOOKUP(main!AC73,main!$AO$4:$AQ$55,3,FALSE))</f>
        <v>45</v>
      </c>
      <c r="V73" s="12">
        <f>(VLOOKUP(main!AD73,main!$AO$4:$AQ$55,3,FALSE))</f>
        <v>40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50</v>
      </c>
      <c r="J74" s="12">
        <f>(VLOOKUP(main!R74,main!$AO$4:$AQ$55,3,FALSE))</f>
        <v>50</v>
      </c>
      <c r="K74" s="12">
        <f>(VLOOKUP(main!S74,main!$AO$4:$AQ$55,3,FALSE))</f>
        <v>30</v>
      </c>
      <c r="L74" s="12">
        <f>(VLOOKUP(main!T74,main!$AO$4:$AQ$55,3,FALSE))</f>
        <v>50</v>
      </c>
      <c r="M74" s="12">
        <f>(VLOOKUP(main!U74,main!$AO$4:$AQ$55,3,FALSE))</f>
        <v>50</v>
      </c>
      <c r="N74" s="12">
        <f>(VLOOKUP(main!V74,main!$AO$4:$AQ$55,3,FALSE))</f>
        <v>50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45</v>
      </c>
      <c r="R74" s="12">
        <f>(VLOOKUP(main!Z74,main!$AO$4:$AQ$55,3,FALSE))</f>
        <v>45</v>
      </c>
      <c r="S74" s="12">
        <f>(VLOOKUP(main!AA74,main!$AO$4:$AQ$55,3,FALSE))</f>
        <v>45</v>
      </c>
      <c r="T74" s="12">
        <f>(VLOOKUP(main!AB74,main!$AO$4:$AQ$55,3,FALSE))</f>
        <v>45</v>
      </c>
      <c r="U74" s="12">
        <f>(VLOOKUP(main!AC74,main!$AO$4:$AQ$55,3,FALSE))</f>
        <v>45</v>
      </c>
      <c r="V74" s="12">
        <f>(VLOOKUP(main!AD74,main!$AO$4:$AQ$55,3,FALSE))</f>
        <v>45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50</v>
      </c>
      <c r="L75" s="12">
        <f>(VLOOKUP(main!T75,main!$AO$4:$AQ$55,3,FALSE))</f>
        <v>50</v>
      </c>
      <c r="M75" s="12">
        <f>(VLOOKUP(main!U75,main!$AO$4:$AQ$55,3,FALSE))</f>
        <v>50</v>
      </c>
      <c r="N75" s="12">
        <f>(VLOOKUP(main!V75,main!$AO$4:$AQ$55,3,FALSE))</f>
        <v>50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45</v>
      </c>
      <c r="R75" s="12">
        <f>(VLOOKUP(main!Z75,main!$AO$4:$AQ$55,3,FALSE))</f>
        <v>45</v>
      </c>
      <c r="S75" s="12">
        <f>(VLOOKUP(main!AA75,main!$AO$4:$AQ$55,3,FALSE))</f>
        <v>45</v>
      </c>
      <c r="T75" s="12">
        <f>(VLOOKUP(main!AB75,main!$AO$4:$AQ$55,3,FALSE))</f>
        <v>45</v>
      </c>
      <c r="U75" s="12">
        <f>(VLOOKUP(main!AC75,main!$AO$4:$AQ$55,3,FALSE))</f>
        <v>45</v>
      </c>
      <c r="V75" s="12">
        <f>(VLOOKUP(main!AD75,main!$AO$4:$AQ$55,3,FALSE))</f>
        <v>55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50</v>
      </c>
      <c r="J76" s="12">
        <f>(VLOOKUP(main!R76,main!$AO$4:$AQ$55,3,FALSE))</f>
        <v>50</v>
      </c>
      <c r="K76" s="12">
        <f>(VLOOKUP(main!S76,main!$AO$4:$AQ$55,3,FALSE))</f>
        <v>50</v>
      </c>
      <c r="L76" s="12">
        <f>(VLOOKUP(main!T76,main!$AO$4:$AQ$55,3,FALSE))</f>
        <v>50</v>
      </c>
      <c r="M76" s="12">
        <f>(VLOOKUP(main!U76,main!$AO$4:$AQ$55,3,FALSE))</f>
        <v>50</v>
      </c>
      <c r="N76" s="12">
        <f>(VLOOKUP(main!V76,main!$AO$4:$AQ$55,3,FALSE))</f>
        <v>50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55</v>
      </c>
      <c r="R76" s="12">
        <f>(VLOOKUP(main!Z76,main!$AO$4:$AQ$55,3,FALSE))</f>
        <v>55</v>
      </c>
      <c r="S76" s="12">
        <f>(VLOOKUP(main!AA76,main!$AO$4:$AQ$55,3,FALSE))</f>
        <v>55</v>
      </c>
      <c r="T76" s="12">
        <f>(VLOOKUP(main!AB76,main!$AO$4:$AQ$55,3,FALSE))</f>
        <v>55</v>
      </c>
      <c r="U76" s="12">
        <f>(VLOOKUP(main!AC76,main!$AO$4:$AQ$55,3,FALSE))</f>
        <v>55</v>
      </c>
      <c r="V76" s="12">
        <f>(VLOOKUP(main!AD76,main!$AO$4:$AQ$55,3,FALSE))</f>
        <v>55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40</v>
      </c>
      <c r="J77" s="12">
        <f>(VLOOKUP(main!R77,main!$AO$4:$AQ$55,3,FALSE))</f>
        <v>50</v>
      </c>
      <c r="K77" s="12">
        <f>(VLOOKUP(main!S77,main!$AO$4:$AQ$55,3,FALSE))</f>
        <v>50</v>
      </c>
      <c r="L77" s="12">
        <f>(VLOOKUP(main!T77,main!$AO$4:$AQ$55,3,FALSE))</f>
        <v>50</v>
      </c>
      <c r="M77" s="12">
        <f>(VLOOKUP(main!U77,main!$AO$4:$AQ$55,3,FALSE))</f>
        <v>50</v>
      </c>
      <c r="N77" s="12">
        <f>(VLOOKUP(main!V77,main!$AO$4:$AQ$55,3,FALSE))</f>
        <v>50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55</v>
      </c>
      <c r="R77" s="12">
        <f>(VLOOKUP(main!Z77,main!$AO$4:$AQ$55,3,FALSE))</f>
        <v>55</v>
      </c>
      <c r="S77" s="12">
        <f>(VLOOKUP(main!AA77,main!$AO$4:$AQ$55,3,FALSE))</f>
        <v>55</v>
      </c>
      <c r="T77" s="12">
        <f>(VLOOKUP(main!AB77,main!$AO$4:$AQ$55,3,FALSE))</f>
        <v>55</v>
      </c>
      <c r="U77" s="12">
        <f>(VLOOKUP(main!AC77,main!$AO$4:$AQ$55,3,FALSE))</f>
        <v>55</v>
      </c>
      <c r="V77" s="12">
        <f>(VLOOKUP(main!AD77,main!$AO$4:$AQ$55,3,FALSE))</f>
        <v>55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50</v>
      </c>
      <c r="J78" s="12">
        <f>(VLOOKUP(main!R78,main!$AO$4:$AQ$55,3,FALSE))</f>
        <v>55</v>
      </c>
      <c r="K78" s="12">
        <f>(VLOOKUP(main!S78,main!$AO$4:$AQ$55,3,FALSE))</f>
        <v>55</v>
      </c>
      <c r="L78" s="12">
        <f>(VLOOKUP(main!T78,main!$AO$4:$AQ$55,3,FALSE))</f>
        <v>50</v>
      </c>
      <c r="M78" s="12">
        <f>(VLOOKUP(main!U78,main!$AO$4:$AQ$55,3,FALSE))</f>
        <v>50</v>
      </c>
      <c r="N78" s="12">
        <f>(VLOOKUP(main!V78,main!$AO$4:$AQ$55,3,FALSE))</f>
        <v>50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55</v>
      </c>
      <c r="R78" s="12">
        <f>(VLOOKUP(main!Z78,main!$AO$4:$AQ$55,3,FALSE))</f>
        <v>55</v>
      </c>
      <c r="S78" s="12">
        <f>(VLOOKUP(main!AA78,main!$AO$4:$AQ$55,3,FALSE))</f>
        <v>55</v>
      </c>
      <c r="T78" s="12">
        <f>(VLOOKUP(main!AB78,main!$AO$4:$AQ$55,3,FALSE))</f>
        <v>55</v>
      </c>
      <c r="U78" s="12">
        <f>(VLOOKUP(main!AC78,main!$AO$4:$AQ$55,3,FALSE))</f>
        <v>55</v>
      </c>
      <c r="V78" s="12">
        <f>(VLOOKUP(main!AD78,main!$AO$4:$AQ$55,3,FALSE))</f>
        <v>55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50</v>
      </c>
      <c r="J79" s="12">
        <f>(VLOOKUP(main!R79,main!$AO$4:$AQ$55,3,FALSE))</f>
        <v>50</v>
      </c>
      <c r="K79" s="12">
        <f>(VLOOKUP(main!S79,main!$AO$4:$AQ$55,3,FALSE))</f>
        <v>50</v>
      </c>
      <c r="L79" s="12">
        <f>(VLOOKUP(main!T79,main!$AO$4:$AQ$55,3,FALSE))</f>
        <v>50</v>
      </c>
      <c r="M79" s="12">
        <f>(VLOOKUP(main!U79,main!$AO$4:$AQ$55,3,FALSE))</f>
        <v>50</v>
      </c>
      <c r="N79" s="12">
        <f>(VLOOKUP(main!V79,main!$AO$4:$AQ$55,3,FALSE))</f>
        <v>40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55</v>
      </c>
      <c r="R79" s="12">
        <f>(VLOOKUP(main!Z79,main!$AO$4:$AQ$55,3,FALSE))</f>
        <v>55</v>
      </c>
      <c r="S79" s="12">
        <f>(VLOOKUP(main!AA79,main!$AO$4:$AQ$55,3,FALSE))</f>
        <v>55</v>
      </c>
      <c r="T79" s="12">
        <f>(VLOOKUP(main!AB79,main!$AO$4:$AQ$55,3,FALSE))</f>
        <v>55</v>
      </c>
      <c r="U79" s="12">
        <f>(VLOOKUP(main!AC79,main!$AO$4:$AQ$55,3,FALSE))</f>
        <v>55</v>
      </c>
      <c r="V79" s="12">
        <f>(VLOOKUP(main!AD79,main!$AO$4:$AQ$55,3,FALSE))</f>
        <v>55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50</v>
      </c>
      <c r="J80" s="12">
        <f>(VLOOKUP(main!R80,main!$AO$4:$AQ$55,3,FALSE))</f>
        <v>50</v>
      </c>
      <c r="K80" s="12">
        <f>(VLOOKUP(main!S80,main!$AO$4:$AQ$55,3,FALSE))</f>
        <v>50</v>
      </c>
      <c r="L80" s="12">
        <f>(VLOOKUP(main!T80,main!$AO$4:$AQ$55,3,FALSE))</f>
        <v>50</v>
      </c>
      <c r="M80" s="12">
        <f>(VLOOKUP(main!U80,main!$AO$4:$AQ$55,3,FALSE))</f>
        <v>50</v>
      </c>
      <c r="N80" s="12">
        <f>(VLOOKUP(main!V80,main!$AO$4:$AQ$55,3,FALSE))</f>
        <v>45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55</v>
      </c>
      <c r="R80" s="12">
        <f>(VLOOKUP(main!Z80,main!$AO$4:$AQ$55,3,FALSE))</f>
        <v>55</v>
      </c>
      <c r="S80" s="12">
        <f>(VLOOKUP(main!AA80,main!$AO$4:$AQ$55,3,FALSE))</f>
        <v>55</v>
      </c>
      <c r="T80" s="12">
        <f>(VLOOKUP(main!AB80,main!$AO$4:$AQ$55,3,FALSE))</f>
        <v>45</v>
      </c>
      <c r="U80" s="12">
        <f>(VLOOKUP(main!AC80,main!$AO$4:$AQ$55,3,FALSE))</f>
        <v>45</v>
      </c>
      <c r="V80" s="12">
        <f>(VLOOKUP(main!AD80,main!$AO$4:$AQ$55,3,FALSE))</f>
        <v>55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45</v>
      </c>
      <c r="J81" s="12">
        <f>(VLOOKUP(main!R81,main!$AO$4:$AQ$55,3,FALSE))</f>
        <v>45</v>
      </c>
      <c r="K81" s="12">
        <f>(VLOOKUP(main!S81,main!$AO$4:$AQ$55,3,FALSE))</f>
        <v>30</v>
      </c>
      <c r="L81" s="12">
        <f>(VLOOKUP(main!T81,main!$AO$4:$AQ$55,3,FALSE))</f>
        <v>45</v>
      </c>
      <c r="M81" s="12">
        <f>(VLOOKUP(main!U81,main!$AO$4:$AQ$55,3,FALSE))</f>
        <v>45</v>
      </c>
      <c r="N81" s="12">
        <f>(VLOOKUP(main!V81,main!$AO$4:$AQ$55,3,FALSE))</f>
        <v>40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55</v>
      </c>
      <c r="R81" s="12">
        <f>(VLOOKUP(main!Z81,main!$AO$4:$AQ$55,3,FALSE))</f>
        <v>55</v>
      </c>
      <c r="S81" s="12">
        <f>(VLOOKUP(main!AA81,main!$AO$4:$AQ$55,3,FALSE))</f>
        <v>55</v>
      </c>
      <c r="T81" s="12">
        <f>(VLOOKUP(main!AB81,main!$AO$4:$AQ$55,3,FALSE))</f>
        <v>40</v>
      </c>
      <c r="U81" s="12">
        <f>(VLOOKUP(main!AC81,main!$AO$4:$AQ$55,3,FALSE))</f>
        <v>45</v>
      </c>
      <c r="V81" s="12">
        <f>(VLOOKUP(main!AD81,main!$AO$4:$AQ$55,3,FALSE))</f>
        <v>45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45</v>
      </c>
      <c r="N82" s="12">
        <f>(VLOOKUP(main!V82,main!$AO$4:$AQ$55,3,FALSE))</f>
        <v>40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45</v>
      </c>
      <c r="R82" s="12">
        <f>(VLOOKUP(main!Z82,main!$AO$4:$AQ$55,3,FALSE))</f>
        <v>45</v>
      </c>
      <c r="S82" s="12">
        <f>(VLOOKUP(main!AA82,main!$AO$4:$AQ$55,3,FALSE))</f>
        <v>45</v>
      </c>
      <c r="T82" s="12">
        <f>(VLOOKUP(main!AB82,main!$AO$4:$AQ$55,3,FALSE))</f>
        <v>45</v>
      </c>
      <c r="U82" s="12">
        <f>(VLOOKUP(main!AC82,main!$AO$4:$AQ$55,3,FALSE))</f>
        <v>30</v>
      </c>
      <c r="V82" s="12">
        <f>(VLOOKUP(main!AD82,main!$AO$4:$AQ$55,3,FALSE))</f>
        <v>45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40</v>
      </c>
      <c r="M83" s="12">
        <f>(VLOOKUP(main!U83,main!$AO$4:$AQ$55,3,FALSE))</f>
        <v>45</v>
      </c>
      <c r="N83" s="12">
        <f>(VLOOKUP(main!V83,main!$AO$4:$AQ$55,3,FALSE))</f>
        <v>30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40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45</v>
      </c>
      <c r="R84" s="12">
        <f>(VLOOKUP(main!Z84,main!$AO$4:$AQ$55,3,FALSE))</f>
        <v>45</v>
      </c>
      <c r="S84" s="12">
        <f>(VLOOKUP(main!AA84,main!$AO$4:$AQ$55,3,FALSE))</f>
        <v>45</v>
      </c>
      <c r="T84" s="12">
        <f>(VLOOKUP(main!AB84,main!$AO$4:$AQ$55,3,FALSE))</f>
        <v>45</v>
      </c>
      <c r="U84" s="12">
        <f>(VLOOKUP(main!AC84,main!$AO$4:$AQ$55,3,FALSE))</f>
        <v>45</v>
      </c>
      <c r="V84" s="12">
        <f>(VLOOKUP(main!AD84,main!$AO$4:$AQ$55,3,FALSE))</f>
        <v>45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45</v>
      </c>
      <c r="R85" s="12">
        <f>(VLOOKUP(main!Z85,main!$AO$4:$AQ$55,3,FALSE))</f>
        <v>45</v>
      </c>
      <c r="S85" s="12">
        <f>(VLOOKUP(main!AA85,main!$AO$4:$AQ$55,3,FALSE))</f>
        <v>45</v>
      </c>
      <c r="T85" s="12">
        <f>(VLOOKUP(main!AB85,main!$AO$4:$AQ$55,3,FALSE))</f>
        <v>45</v>
      </c>
      <c r="U85" s="12">
        <f>(VLOOKUP(main!AC85,main!$AO$4:$AQ$55,3,FALSE))</f>
        <v>45</v>
      </c>
      <c r="V85" s="12">
        <f>(VLOOKUP(main!AD85,main!$AO$4:$AQ$55,3,FALSE))</f>
        <v>45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40</v>
      </c>
      <c r="B86" s="12">
        <f>(VLOOKUP(main!J86,main!$AO$4:$AQ$55,3,FALSE))</f>
        <v>40</v>
      </c>
      <c r="C86" s="12">
        <f>(VLOOKUP(main!K86,main!$AO$4:$AQ$55,3,FALSE))</f>
        <v>30</v>
      </c>
      <c r="D86" s="12">
        <f>(VLOOKUP(main!L86,main!$AO$4:$AQ$55,3,FALSE))</f>
        <v>40</v>
      </c>
      <c r="E86" s="12">
        <f>(VLOOKUP(main!M86,main!$AO$4:$AQ$55,3,FALSE))</f>
        <v>40</v>
      </c>
      <c r="F86" s="12">
        <f>(VLOOKUP(main!N86,main!$AO$4:$AQ$55,3,FALSE))</f>
        <v>40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500</v>
      </c>
      <c r="K86" s="12">
        <f>(VLOOKUP(main!S86,main!$AO$4:$AQ$55,3,FALSE))</f>
        <v>1000</v>
      </c>
      <c r="L86" s="12">
        <f>(VLOOKUP(main!T86,main!$AO$4:$AQ$55,3,FALSE))</f>
        <v>60</v>
      </c>
      <c r="M86" s="12">
        <f>(VLOOKUP(main!U86,main!$AO$4:$AQ$55,3,FALSE))</f>
        <v>60</v>
      </c>
      <c r="N86" s="12">
        <f>(VLOOKUP(main!V86,main!$AO$4:$AQ$55,3,FALSE))</f>
        <v>1000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40</v>
      </c>
      <c r="B87" s="12">
        <f>(VLOOKUP(main!J87,main!$AO$4:$AQ$55,3,FALSE))</f>
        <v>30</v>
      </c>
      <c r="C87" s="12">
        <f>(VLOOKUP(main!K87,main!$AO$4:$AQ$55,3,FALSE))</f>
        <v>35</v>
      </c>
      <c r="D87" s="12">
        <f>(VLOOKUP(main!L87,main!$AO$4:$AQ$55,3,FALSE))</f>
        <v>40</v>
      </c>
      <c r="E87" s="12">
        <f>(VLOOKUP(main!M87,main!$AO$4:$AQ$55,3,FALSE))</f>
        <v>35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520</v>
      </c>
      <c r="J87" s="12">
        <f>(VLOOKUP(main!R87,main!$AO$4:$AQ$55,3,FALSE))</f>
        <v>520</v>
      </c>
      <c r="K87" s="12">
        <f>(VLOOKUP(main!S87,main!$AO$4:$AQ$55,3,FALSE))</f>
        <v>500</v>
      </c>
      <c r="L87" s="12">
        <f>(VLOOKUP(main!T87,main!$AO$4:$AQ$55,3,FALSE))</f>
        <v>55</v>
      </c>
      <c r="M87" s="12">
        <f>(VLOOKUP(main!U87,main!$AO$4:$AQ$55,3,FALSE))</f>
        <v>55</v>
      </c>
      <c r="N87" s="12">
        <f>(VLOOKUP(main!V87,main!$AO$4:$AQ$55,3,FALSE))</f>
        <v>55</v>
      </c>
      <c r="O87" s="13">
        <f>(VLOOKUP(main!W87,main!$AO$4:$AQ$55,3,FALSE))</f>
        <v>55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30</v>
      </c>
      <c r="B88" s="12">
        <f>(VLOOKUP(main!J88,main!$AO$4:$AQ$55,3,FALSE))</f>
        <v>35</v>
      </c>
      <c r="C88" s="12">
        <f>(VLOOKUP(main!K88,main!$AO$4:$AQ$55,3,FALSE))</f>
        <v>35</v>
      </c>
      <c r="D88" s="12">
        <f>(VLOOKUP(main!L88,main!$AO$4:$AQ$55,3,FALSE))</f>
        <v>40</v>
      </c>
      <c r="E88" s="12">
        <f>(VLOOKUP(main!M88,main!$AO$4:$AQ$55,3,FALSE))</f>
        <v>40</v>
      </c>
      <c r="F88" s="12">
        <f>(VLOOKUP(main!N88,main!$AO$4:$AQ$55,3,FALSE))</f>
        <v>40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55</v>
      </c>
      <c r="J88" s="12">
        <f>(VLOOKUP(main!R88,main!$AO$4:$AQ$55,3,FALSE))</f>
        <v>55</v>
      </c>
      <c r="K88" s="12">
        <f>(VLOOKUP(main!S88,main!$AO$4:$AQ$55,3,FALSE))</f>
        <v>55</v>
      </c>
      <c r="L88" s="12">
        <f>(VLOOKUP(main!T88,main!$AO$4:$AQ$55,3,FALSE))</f>
        <v>55</v>
      </c>
      <c r="M88" s="12">
        <f>(VLOOKUP(main!U88,main!$AO$4:$AQ$55,3,FALSE))</f>
        <v>55</v>
      </c>
      <c r="N88" s="12">
        <f>(VLOOKUP(main!V88,main!$AO$4:$AQ$55,3,FALSE))</f>
        <v>55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45</v>
      </c>
      <c r="R88" s="12">
        <f>(VLOOKUP(main!Z88,main!$AO$4:$AQ$55,3,FALSE))</f>
        <v>30</v>
      </c>
      <c r="S88" s="12">
        <f>(VLOOKUP(main!AA88,main!$AO$4:$AQ$55,3,FALSE))</f>
        <v>45</v>
      </c>
      <c r="T88" s="12">
        <f>(VLOOKUP(main!AB88,main!$AO$4:$AQ$55,3,FALSE))</f>
        <v>40</v>
      </c>
      <c r="U88" s="12">
        <f>(VLOOKUP(main!AC88,main!$AO$4:$AQ$55,3,FALSE))</f>
        <v>45</v>
      </c>
      <c r="V88" s="12">
        <f>(VLOOKUP(main!AD88,main!$AO$4:$AQ$55,3,FALSE))</f>
        <v>45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40</v>
      </c>
      <c r="B89" s="12">
        <f>(VLOOKUP(main!J89,main!$AO$4:$AQ$55,3,FALSE))</f>
        <v>40</v>
      </c>
      <c r="C89" s="12">
        <f>(VLOOKUP(main!K89,main!$AO$4:$AQ$55,3,FALSE))</f>
        <v>30</v>
      </c>
      <c r="D89" s="12">
        <f>(VLOOKUP(main!L89,main!$AO$4:$AQ$55,3,FALSE))</f>
        <v>40</v>
      </c>
      <c r="E89" s="12">
        <f>(VLOOKUP(main!M89,main!$AO$4:$AQ$55,3,FALSE))</f>
        <v>40</v>
      </c>
      <c r="F89" s="12">
        <f>(VLOOKUP(main!N89,main!$AO$4:$AQ$55,3,FALSE))</f>
        <v>40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55</v>
      </c>
      <c r="J89" s="12">
        <f>(VLOOKUP(main!R89,main!$AO$4:$AQ$55,3,FALSE))</f>
        <v>55</v>
      </c>
      <c r="K89" s="12">
        <f>(VLOOKUP(main!S89,main!$AO$4:$AQ$55,3,FALSE))</f>
        <v>55</v>
      </c>
      <c r="L89" s="12">
        <f>(VLOOKUP(main!T89,main!$AO$4:$AQ$55,3,FALSE))</f>
        <v>55</v>
      </c>
      <c r="M89" s="12">
        <f>(VLOOKUP(main!U89,main!$AO$4:$AQ$55,3,FALSE))</f>
        <v>55</v>
      </c>
      <c r="N89" s="12">
        <f>(VLOOKUP(main!V89,main!$AO$4:$AQ$55,3,FALSE))</f>
        <v>55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40</v>
      </c>
      <c r="B90" s="12">
        <f>(VLOOKUP(main!J90,main!$AO$4:$AQ$55,3,FALSE))</f>
        <v>40</v>
      </c>
      <c r="C90" s="12">
        <f>(VLOOKUP(main!K90,main!$AO$4:$AQ$55,3,FALSE))</f>
        <v>30</v>
      </c>
      <c r="D90" s="12">
        <f>(VLOOKUP(main!L90,main!$AO$4:$AQ$55,3,FALSE))</f>
        <v>40</v>
      </c>
      <c r="E90" s="12">
        <f>(VLOOKUP(main!M90,main!$AO$4:$AQ$55,3,FALSE))</f>
        <v>40</v>
      </c>
      <c r="F90" s="12">
        <f>(VLOOKUP(main!N90,main!$AO$4:$AQ$55,3,FALSE))</f>
        <v>40</v>
      </c>
      <c r="G90" s="13">
        <f>(VLOOKUP(main!O90,main!$AO$4:$AQ$55,3,FALSE))</f>
        <v>30</v>
      </c>
      <c r="H90" s="13">
        <f>(VLOOKUP(main!P90,main!$AO$4:$AQ$55,3,FALSE))</f>
        <v>40</v>
      </c>
      <c r="I90" s="12">
        <f>(VLOOKUP(main!Q90,main!$AO$4:$AQ$55,3,FALSE))</f>
        <v>55</v>
      </c>
      <c r="J90" s="12">
        <f>(VLOOKUP(main!R90,main!$AO$4:$AQ$55,3,FALSE))</f>
        <v>55</v>
      </c>
      <c r="K90" s="12">
        <f>(VLOOKUP(main!S90,main!$AO$4:$AQ$55,3,FALSE))</f>
        <v>55</v>
      </c>
      <c r="L90" s="12">
        <f>(VLOOKUP(main!T90,main!$AO$4:$AQ$55,3,FALSE))</f>
        <v>55</v>
      </c>
      <c r="M90" s="12">
        <f>(VLOOKUP(main!U90,main!$AO$4:$AQ$55,3,FALSE))</f>
        <v>55</v>
      </c>
      <c r="N90" s="12">
        <f>(VLOOKUP(main!V90,main!$AO$4:$AQ$55,3,FALSE))</f>
        <v>55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45</v>
      </c>
      <c r="R90" s="12">
        <f>(VLOOKUP(main!Z90,main!$AO$4:$AQ$55,3,FALSE))</f>
        <v>45</v>
      </c>
      <c r="S90" s="12">
        <f>(VLOOKUP(main!AA90,main!$AO$4:$AQ$55,3,FALSE))</f>
        <v>45</v>
      </c>
      <c r="T90" s="12">
        <f>(VLOOKUP(main!AB90,main!$AO$4:$AQ$55,3,FALSE))</f>
        <v>40</v>
      </c>
      <c r="U90" s="12">
        <f>(VLOOKUP(main!AC90,main!$AO$4:$AQ$55,3,FALSE))</f>
        <v>45</v>
      </c>
      <c r="V90" s="12">
        <f>(VLOOKUP(main!AD90,main!$AO$4:$AQ$55,3,FALSE))</f>
        <v>45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40</v>
      </c>
      <c r="B91" s="12">
        <f>(VLOOKUP(main!J91,main!$AO$4:$AQ$55,3,FALSE))</f>
        <v>40</v>
      </c>
      <c r="C91" s="12">
        <f>(VLOOKUP(main!K91,main!$AO$4:$AQ$55,3,FALSE))</f>
        <v>40</v>
      </c>
      <c r="D91" s="12">
        <f>(VLOOKUP(main!L91,main!$AO$4:$AQ$55,3,FALSE))</f>
        <v>30</v>
      </c>
      <c r="E91" s="12">
        <f>(VLOOKUP(main!M91,main!$AO$4:$AQ$55,3,FALSE))</f>
        <v>40</v>
      </c>
      <c r="F91" s="12">
        <f>(VLOOKUP(main!N91,main!$AO$4:$AQ$55,3,FALSE))</f>
        <v>40</v>
      </c>
      <c r="G91" s="13">
        <f>(VLOOKUP(main!O91,main!$AO$4:$AQ$55,3,FALSE))</f>
        <v>40</v>
      </c>
      <c r="H91" s="13">
        <f>(VLOOKUP(main!P91,main!$AO$4:$AQ$55,3,FALSE))</f>
        <v>30</v>
      </c>
      <c r="I91" s="12">
        <f>(VLOOKUP(main!Q91,main!$AO$4:$AQ$55,3,FALSE))</f>
        <v>55</v>
      </c>
      <c r="J91" s="12">
        <f>(VLOOKUP(main!R91,main!$AO$4:$AQ$55,3,FALSE))</f>
        <v>55</v>
      </c>
      <c r="K91" s="12">
        <f>(VLOOKUP(main!S91,main!$AO$4:$AQ$55,3,FALSE))</f>
        <v>55</v>
      </c>
      <c r="L91" s="12">
        <f>(VLOOKUP(main!T91,main!$AO$4:$AQ$55,3,FALSE))</f>
        <v>30</v>
      </c>
      <c r="M91" s="12">
        <f>(VLOOKUP(main!U91,main!$AO$4:$AQ$55,3,FALSE))</f>
        <v>55</v>
      </c>
      <c r="N91" s="12">
        <f>(VLOOKUP(main!V91,main!$AO$4:$AQ$55,3,FALSE))</f>
        <v>55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45</v>
      </c>
      <c r="R91" s="12">
        <f>(VLOOKUP(main!Z91,main!$AO$4:$AQ$55,3,FALSE))</f>
        <v>45</v>
      </c>
      <c r="S91" s="12">
        <f>(VLOOKUP(main!AA91,main!$AO$4:$AQ$55,3,FALSE))</f>
        <v>40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40</v>
      </c>
      <c r="B92" s="12">
        <f>(VLOOKUP(main!J92,main!$AO$4:$AQ$55,3,FALSE))</f>
        <v>40</v>
      </c>
      <c r="C92" s="12">
        <f>(VLOOKUP(main!K92,main!$AO$4:$AQ$55,3,FALSE))</f>
        <v>40</v>
      </c>
      <c r="D92" s="12">
        <f>(VLOOKUP(main!L92,main!$AO$4:$AQ$55,3,FALSE))</f>
        <v>30</v>
      </c>
      <c r="E92" s="12">
        <f>(VLOOKUP(main!M92,main!$AO$4:$AQ$55,3,FALSE))</f>
        <v>40</v>
      </c>
      <c r="F92" s="12">
        <f>(VLOOKUP(main!N92,main!$AO$4:$AQ$55,3,FALSE))</f>
        <v>40</v>
      </c>
      <c r="G92" s="13">
        <f>(VLOOKUP(main!O92,main!$AO$4:$AQ$55,3,FALSE))</f>
        <v>30</v>
      </c>
      <c r="H92" s="13">
        <f>(VLOOKUP(main!P92,main!$AO$4:$AQ$55,3,FALSE))</f>
        <v>0</v>
      </c>
      <c r="I92" s="12">
        <f>(VLOOKUP(main!Q92,main!$AO$4:$AQ$55,3,FALSE))</f>
        <v>55</v>
      </c>
      <c r="J92" s="12">
        <f>(VLOOKUP(main!R92,main!$AO$4:$AQ$55,3,FALSE))</f>
        <v>55</v>
      </c>
      <c r="K92" s="12">
        <f>(VLOOKUP(main!S92,main!$AO$4:$AQ$55,3,FALSE))</f>
        <v>55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45</v>
      </c>
      <c r="S92" s="12">
        <f>(VLOOKUP(main!AA92,main!$AO$4:$AQ$55,3,FALSE))</f>
        <v>30</v>
      </c>
      <c r="T92" s="12">
        <f>(VLOOKUP(main!AB92,main!$AO$4:$AQ$55,3,FALSE))</f>
        <v>45</v>
      </c>
      <c r="U92" s="12">
        <f>(VLOOKUP(main!AC92,main!$AO$4:$AQ$55,3,FALSE))</f>
        <v>45</v>
      </c>
      <c r="V92" s="12">
        <f>(VLOOKUP(main!AD92,main!$AO$4:$AQ$55,3,FALSE))</f>
        <v>45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55</v>
      </c>
      <c r="J93" s="12">
        <f>(VLOOKUP(main!R93,main!$AO$4:$AQ$55,3,FALSE))</f>
        <v>55</v>
      </c>
      <c r="K93" s="12">
        <f>(VLOOKUP(main!S93,main!$AO$4:$AQ$55,3,FALSE))</f>
        <v>55</v>
      </c>
      <c r="L93" s="12">
        <f>(VLOOKUP(main!T93,main!$AO$4:$AQ$55,3,FALSE))</f>
        <v>55</v>
      </c>
      <c r="M93" s="12">
        <f>(VLOOKUP(main!U93,main!$AO$4:$AQ$55,3,FALSE))</f>
        <v>55</v>
      </c>
      <c r="N93" s="12">
        <f>(VLOOKUP(main!V93,main!$AO$4:$AQ$55,3,FALSE))</f>
        <v>55</v>
      </c>
      <c r="O93" s="13">
        <f>(VLOOKUP(main!W93,main!$AO$4:$AQ$55,3,FALSE))</f>
        <v>55</v>
      </c>
      <c r="P93" s="13">
        <f>(VLOOKUP(main!X93,main!$AO$4:$AQ$55,3,FALSE))</f>
        <v>55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71" t="s">
        <v>92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2" t="s">
        <v>3</v>
      </c>
      <c r="L2" s="2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4" t="s">
        <v>7</v>
      </c>
      <c r="T2" s="3">
        <f>COUNTIF(Q4:X94,"&lt;&gt;空")</f>
        <v>728</v>
      </c>
      <c r="U2" s="169" t="s">
        <v>4</v>
      </c>
      <c r="V2" s="169"/>
      <c r="W2" s="169"/>
      <c r="X2" s="170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44.222109392472198</v>
      </c>
      <c r="G4" s="12">
        <f>(VLOOKUP(main!O4,main!$AO$4:$AR$55,4,FALSE))</f>
        <v>44.222109392472198</v>
      </c>
      <c r="H4" s="12">
        <f>(VLOOKUP(main!P4,main!$AO$4:$AR$55,4,FALSE))</f>
        <v>44.222109392472198</v>
      </c>
      <c r="I4" s="12">
        <f>(VLOOKUP(main!Q4,main!$AO$4:$AR$55,4,FALSE))</f>
        <v>10</v>
      </c>
      <c r="J4" s="12">
        <f>(VLOOKUP(main!R4,main!$AO$4:$AR$55,4,FALSE))</f>
        <v>10</v>
      </c>
      <c r="K4" s="12">
        <f>(VLOOKUP(main!S4,main!$AO$4:$AR$55,4,FALSE))</f>
        <v>10</v>
      </c>
      <c r="L4" s="12">
        <f>(VLOOKUP(main!T4,main!$AO$4:$AR$55,4,FALSE))</f>
        <v>10</v>
      </c>
      <c r="M4" s="12">
        <f>(VLOOKUP(main!U4,main!$AO$4:$AR$55,4,FALSE))</f>
        <v>10</v>
      </c>
      <c r="N4" s="12">
        <f>(VLOOKUP(main!V4,main!$AO$4:$AR$55,4,FALSE))</f>
        <v>10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34</v>
      </c>
      <c r="R4" s="12">
        <f>(VLOOKUP(main!Z4,main!$AO$4:$AR$55,4,FALSE))</f>
        <v>34</v>
      </c>
      <c r="S4" s="12">
        <f>(VLOOKUP(main!AA4,main!$AO$4:$AR$55,4,FALSE))</f>
        <v>34</v>
      </c>
      <c r="T4" s="12">
        <f>(VLOOKUP(main!AB4,main!$AO$4:$AR$55,4,FALSE))</f>
        <v>34</v>
      </c>
      <c r="U4" s="12">
        <f>(VLOOKUP(main!AC4,main!$AO$4:$AR$55,4,FALSE))</f>
        <v>34</v>
      </c>
      <c r="V4" s="12">
        <f>(VLOOKUP(main!AD4,main!$AO$4:$AR$55,4,FALSE))</f>
        <v>34</v>
      </c>
      <c r="W4" s="12">
        <f>(VLOOKUP(main!AE4,main!$AO$4:$AR$55,4,FALSE))</f>
        <v>34</v>
      </c>
      <c r="X4" s="12">
        <f>(VLOOKUP(main!AF4,main!$AO$4:$AR$55,4,FALSE))</f>
        <v>34</v>
      </c>
    </row>
    <row r="5" spans="1:24">
      <c r="A5" s="12">
        <f>(VLOOKUP(main!I5,main!$AO$4:$AR$55,4,FALSE))</f>
        <v>44.222109392472198</v>
      </c>
      <c r="B5" s="12">
        <f>(VLOOKUP(main!J5,main!$AO$4:$AR$55,4,FALSE))</f>
        <v>44.222109392472198</v>
      </c>
      <c r="C5" s="12">
        <f>(VLOOKUP(main!K5,main!$AO$4:$AR$55,4,FALSE))</f>
        <v>44.222109392472198</v>
      </c>
      <c r="D5" s="12">
        <f>(VLOOKUP(main!L5,main!$AO$4:$AR$55,4,FALSE))</f>
        <v>44.222109392472198</v>
      </c>
      <c r="E5" s="12">
        <f>(VLOOKUP(main!M5,main!$AO$4:$AR$55,4,FALSE))</f>
        <v>44.222109392472198</v>
      </c>
      <c r="F5" s="12">
        <f>(VLOOKUP(main!N5,main!$AO$4:$AR$55,4,FALSE))</f>
        <v>44.222109392472198</v>
      </c>
      <c r="G5" s="12">
        <f>(VLOOKUP(main!O5,main!$AO$4:$AR$55,4,FALSE))</f>
        <v>44.222109392472198</v>
      </c>
      <c r="H5" s="12">
        <f>(VLOOKUP(main!P5,main!$AO$4:$AR$55,4,FALSE))</f>
        <v>44.222109392472198</v>
      </c>
      <c r="I5" s="12">
        <f>(VLOOKUP(main!Q5,main!$AO$4:$AR$55,4,FALSE))</f>
        <v>29.110982162825401</v>
      </c>
      <c r="J5" s="12">
        <f>(VLOOKUP(main!R5,main!$AO$4:$AR$55,4,FALSE))</f>
        <v>29.110982162825401</v>
      </c>
      <c r="K5" s="12">
        <f>(VLOOKUP(main!S5,main!$AO$4:$AR$55,4,FALSE))</f>
        <v>29.110982162825401</v>
      </c>
      <c r="L5" s="12">
        <f>(VLOOKUP(main!T5,main!$AO$4:$AR$55,4,FALSE))</f>
        <v>29.110982162825401</v>
      </c>
      <c r="M5" s="12">
        <f>(VLOOKUP(main!U5,main!$AO$4:$AR$55,4,FALSE))</f>
        <v>10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34</v>
      </c>
      <c r="R5" s="12">
        <f>(VLOOKUP(main!Z5,main!$AO$4:$AR$55,4,FALSE))</f>
        <v>34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34</v>
      </c>
      <c r="W5" s="12">
        <f>(VLOOKUP(main!AE5,main!$AO$4:$AR$55,4,FALSE))</f>
        <v>34</v>
      </c>
      <c r="X5" s="12">
        <f>(VLOOKUP(main!AF5,main!$AO$4:$AR$55,4,FALSE))</f>
        <v>34</v>
      </c>
    </row>
    <row r="6" spans="1:24">
      <c r="A6" s="12">
        <f>(VLOOKUP(main!I6,main!$AO$4:$AR$55,4,FALSE))</f>
        <v>39.110982162825401</v>
      </c>
      <c r="B6" s="12">
        <f>(VLOOKUP(main!J6,main!$AO$4:$AR$55,4,FALSE))</f>
        <v>39.110982162825401</v>
      </c>
      <c r="C6" s="12">
        <f>(VLOOKUP(main!K6,main!$AO$4:$AR$55,4,FALSE))</f>
        <v>39.110982162825401</v>
      </c>
      <c r="D6" s="12">
        <f>(VLOOKUP(main!L6,main!$AO$4:$AR$55,4,FALSE))</f>
        <v>39.110982162825401</v>
      </c>
      <c r="E6" s="12">
        <f>(VLOOKUP(main!M6,main!$AO$4:$AR$55,4,FALSE))</f>
        <v>39.110982162825401</v>
      </c>
      <c r="F6" s="12">
        <f>(VLOOKUP(main!N6,main!$AO$4:$AR$55,4,FALSE))</f>
        <v>39.110982162825401</v>
      </c>
      <c r="G6" s="12">
        <f>(VLOOKUP(main!O6,main!$AO$4:$AR$55,4,FALSE))</f>
        <v>39.110982162825401</v>
      </c>
      <c r="H6" s="12">
        <f>(VLOOKUP(main!P6,main!$AO$4:$AR$55,4,FALSE))</f>
        <v>39.110982162825401</v>
      </c>
      <c r="I6" s="12">
        <f>(VLOOKUP(main!Q6,main!$AO$4:$AR$55,4,FALSE))</f>
        <v>0</v>
      </c>
      <c r="J6" s="12">
        <f>(VLOOKUP(main!R6,main!$AO$4:$AR$55,4,FALSE))</f>
        <v>29.110982162825401</v>
      </c>
      <c r="K6" s="12">
        <f>(VLOOKUP(main!S6,main!$AO$4:$AR$55,4,FALSE))</f>
        <v>29.110982162825401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34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34</v>
      </c>
      <c r="W6" s="12">
        <f>(VLOOKUP(main!AE6,main!$AO$4:$AR$55,4,FALSE))</f>
        <v>34</v>
      </c>
      <c r="X6" s="12">
        <f>(VLOOKUP(main!AF6,main!$AO$4:$AR$55,4,FALSE))</f>
        <v>34</v>
      </c>
    </row>
    <row r="7" spans="1:24">
      <c r="A7" s="12">
        <f>(VLOOKUP(main!I7,main!$AO$4:$AR$55,4,FALSE))</f>
        <v>39.110982162825401</v>
      </c>
      <c r="B7" s="12">
        <f>(VLOOKUP(main!J7,main!$AO$4:$AR$55,4,FALSE))</f>
        <v>39.110982162825401</v>
      </c>
      <c r="C7" s="12">
        <f>(VLOOKUP(main!K7,main!$AO$4:$AR$55,4,FALSE))</f>
        <v>39.110982162825401</v>
      </c>
      <c r="D7" s="12">
        <f>(VLOOKUP(main!L7,main!$AO$4:$AR$55,4,FALSE))</f>
        <v>39.110982162825401</v>
      </c>
      <c r="E7" s="12">
        <f>(VLOOKUP(main!M7,main!$AO$4:$AR$55,4,FALSE))</f>
        <v>39.110982162825401</v>
      </c>
      <c r="F7" s="12">
        <f>(VLOOKUP(main!N7,main!$AO$4:$AR$55,4,FALSE))</f>
        <v>39.110982162825401</v>
      </c>
      <c r="G7" s="12">
        <f>(VLOOKUP(main!O7,main!$AO$4:$AR$55,4,FALSE))</f>
        <v>39.110982162825401</v>
      </c>
      <c r="H7" s="12">
        <f>(VLOOKUP(main!P7,main!$AO$4:$AR$55,4,FALSE))</f>
        <v>39.110982162825401</v>
      </c>
      <c r="I7" s="12">
        <f>(VLOOKUP(main!Q7,main!$AO$4:$AR$55,4,FALSE))</f>
        <v>10</v>
      </c>
      <c r="J7" s="12">
        <f>(VLOOKUP(main!R7,main!$AO$4:$AR$55,4,FALSE))</f>
        <v>10</v>
      </c>
      <c r="K7" s="12">
        <f>(VLOOKUP(main!S7,main!$AO$4:$AR$55,4,FALSE))</f>
        <v>10</v>
      </c>
      <c r="L7" s="12">
        <f>(VLOOKUP(main!T7,main!$AO$4:$AR$55,4,FALSE))</f>
        <v>10</v>
      </c>
      <c r="M7" s="12">
        <f>(VLOOKUP(main!U7,main!$AO$4:$AR$55,4,FALSE))</f>
        <v>10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34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39.110982162825401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10</v>
      </c>
      <c r="J8" s="12">
        <f>(VLOOKUP(main!R8,main!$AO$4:$AR$55,4,FALSE))</f>
        <v>10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34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34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38</v>
      </c>
      <c r="R9" s="12">
        <f>(VLOOKUP(main!Z9,main!$AO$4:$AR$55,4,FALSE))</f>
        <v>38</v>
      </c>
      <c r="S9" s="12">
        <f>(VLOOKUP(main!AA9,main!$AO$4:$AR$55,4,FALSE))</f>
        <v>38</v>
      </c>
      <c r="T9" s="12">
        <f>(VLOOKUP(main!AB9,main!$AO$4:$AR$55,4,FALSE))</f>
        <v>38</v>
      </c>
      <c r="U9" s="12">
        <f>(VLOOKUP(main!AC9,main!$AO$4:$AR$55,4,FALSE))</f>
        <v>38</v>
      </c>
      <c r="V9" s="12">
        <f>(VLOOKUP(main!AD9,main!$AO$4:$AR$55,4,FALSE))</f>
        <v>38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0</v>
      </c>
      <c r="R10" s="12">
        <f>(VLOOKUP(main!Z10,main!$AO$4:$AR$55,4,FALSE))</f>
        <v>0</v>
      </c>
      <c r="S10" s="12">
        <f>(VLOOKUP(main!AA10,main!$AO$4:$AR$55,4,FALSE))</f>
        <v>0</v>
      </c>
      <c r="T10" s="12">
        <f>(VLOOKUP(main!AB10,main!$AO$4:$AR$55,4,FALSE))</f>
        <v>0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39.110982162825401</v>
      </c>
      <c r="D11" s="12">
        <f>(VLOOKUP(main!L11,main!$AO$4:$AR$55,4,FALSE))</f>
        <v>39.110982162825401</v>
      </c>
      <c r="E11" s="12">
        <f>(VLOOKUP(main!M11,main!$AO$4:$AR$55,4,FALSE))</f>
        <v>39.110982162825401</v>
      </c>
      <c r="F11" s="12">
        <f>(VLOOKUP(main!N11,main!$AO$4:$AR$55,4,FALSE))</f>
        <v>10</v>
      </c>
      <c r="G11" s="12">
        <f>(VLOOKUP(main!O11,main!$AO$4:$AR$55,4,FALSE))</f>
        <v>39.110982162825401</v>
      </c>
      <c r="H11" s="12">
        <f>(VLOOKUP(main!P11,main!$AO$4:$AR$55,4,FALSE))</f>
        <v>0</v>
      </c>
      <c r="I11" s="12">
        <f>(VLOOKUP(main!Q11,main!$AO$4:$AR$55,4,FALSE))</f>
        <v>38</v>
      </c>
      <c r="J11" s="12">
        <f>(VLOOKUP(main!R11,main!$AO$4:$AR$55,4,FALSE))</f>
        <v>38</v>
      </c>
      <c r="K11" s="12">
        <f>(VLOOKUP(main!S11,main!$AO$4:$AR$55,4,FALSE))</f>
        <v>0</v>
      </c>
      <c r="L11" s="12">
        <f>(VLOOKUP(main!T11,main!$AO$4:$AR$55,4,FALSE))</f>
        <v>38</v>
      </c>
      <c r="M11" s="12">
        <f>(VLOOKUP(main!U11,main!$AO$4:$AR$55,4,FALSE))</f>
        <v>38</v>
      </c>
      <c r="N11" s="12">
        <f>(VLOOKUP(main!V11,main!$AO$4:$AR$55,4,FALSE))</f>
        <v>10</v>
      </c>
      <c r="O11" s="12">
        <f>(VLOOKUP(main!W11,main!$AO$4:$AR$55,4,FALSE))</f>
        <v>36</v>
      </c>
      <c r="P11" s="12">
        <f>(VLOOKUP(main!X11,main!$AO$4:$AR$55,4,FALSE))</f>
        <v>36</v>
      </c>
      <c r="Q11" s="12">
        <f>(VLOOKUP(main!Y11,main!$AO$4:$AR$55,4,FALSE))</f>
        <v>34</v>
      </c>
      <c r="R11" s="12">
        <f>(VLOOKUP(main!Z11,main!$AO$4:$AR$55,4,FALSE))</f>
        <v>34</v>
      </c>
      <c r="S11" s="12">
        <f>(VLOOKUP(main!AA11,main!$AO$4:$AR$55,4,FALSE))</f>
        <v>34</v>
      </c>
      <c r="T11" s="12">
        <f>(VLOOKUP(main!AB11,main!$AO$4:$AR$55,4,FALSE))</f>
        <v>10</v>
      </c>
      <c r="U11" s="12">
        <f>(VLOOKUP(main!AC11,main!$AO$4:$AR$55,4,FALSE))</f>
        <v>34</v>
      </c>
      <c r="V11" s="12">
        <f>(VLOOKUP(main!AD11,main!$AO$4:$AR$55,4,FALSE))</f>
        <v>34</v>
      </c>
      <c r="W11" s="12">
        <f>(VLOOKUP(main!AE11,main!$AO$4:$AR$55,4,FALSE))</f>
        <v>34</v>
      </c>
      <c r="X11" s="12">
        <f>(VLOOKUP(main!AF11,main!$AO$4:$AR$55,4,FALSE))</f>
        <v>34</v>
      </c>
    </row>
    <row r="12" spans="1:24">
      <c r="A12" s="12">
        <f>(VLOOKUP(main!I12,main!$AO$4:$AR$55,4,FALSE))</f>
        <v>39.110982162825401</v>
      </c>
      <c r="B12" s="12">
        <f>(VLOOKUP(main!J12,main!$AO$4:$AR$55,4,FALSE))</f>
        <v>39.110982162825401</v>
      </c>
      <c r="C12" s="12">
        <f>(VLOOKUP(main!K12,main!$AO$4:$AR$55,4,FALSE))</f>
        <v>10</v>
      </c>
      <c r="D12" s="12">
        <f>(VLOOKUP(main!L12,main!$AO$4:$AR$55,4,FALSE))</f>
        <v>29.110982162825401</v>
      </c>
      <c r="E12" s="12">
        <f>(VLOOKUP(main!M12,main!$AO$4:$AR$55,4,FALSE))</f>
        <v>39.110982162825401</v>
      </c>
      <c r="F12" s="12">
        <f>(VLOOKUP(main!N12,main!$AO$4:$AR$55,4,FALSE))</f>
        <v>29.110982162825401</v>
      </c>
      <c r="G12" s="12">
        <f>(VLOOKUP(main!O12,main!$AO$4:$AR$55,4,FALSE))</f>
        <v>39.110982162825401</v>
      </c>
      <c r="H12" s="12">
        <f>(VLOOKUP(main!P12,main!$AO$4:$AR$55,4,FALSE))</f>
        <v>39.110982162825401</v>
      </c>
      <c r="I12" s="12">
        <f>(VLOOKUP(main!Q12,main!$AO$4:$AR$55,4,FALSE))</f>
        <v>38</v>
      </c>
      <c r="J12" s="12">
        <f>(VLOOKUP(main!R12,main!$AO$4:$AR$55,4,FALSE))</f>
        <v>10</v>
      </c>
      <c r="K12" s="12">
        <f>(VLOOKUP(main!S12,main!$AO$4:$AR$55,4,FALSE))</f>
        <v>0</v>
      </c>
      <c r="L12" s="12">
        <f>(VLOOKUP(main!T12,main!$AO$4:$AR$55,4,FALSE))</f>
        <v>0</v>
      </c>
      <c r="M12" s="12">
        <f>(VLOOKUP(main!U12,main!$AO$4:$AR$55,4,FALSE))</f>
        <v>0</v>
      </c>
      <c r="N12" s="12">
        <f>(VLOOKUP(main!V12,main!$AO$4:$AR$55,4,FALSE))</f>
        <v>0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34</v>
      </c>
      <c r="V12" s="12">
        <f>(VLOOKUP(main!AD12,main!$AO$4:$AR$55,4,FALSE))</f>
        <v>34</v>
      </c>
      <c r="W12" s="12">
        <f>(VLOOKUP(main!AE12,main!$AO$4:$AR$55,4,FALSE))</f>
        <v>38</v>
      </c>
      <c r="X12" s="12">
        <f>(VLOOKUP(main!AF12,main!$AO$4:$AR$55,4,FALSE))</f>
        <v>38</v>
      </c>
    </row>
    <row r="13" spans="1:24">
      <c r="A13" s="12">
        <f>(VLOOKUP(main!I13,main!$AO$4:$AR$55,4,FALSE))</f>
        <v>29.110982162825401</v>
      </c>
      <c r="B13" s="12">
        <f>(VLOOKUP(main!J13,main!$AO$4:$AR$55,4,FALSE))</f>
        <v>39.110982162825401</v>
      </c>
      <c r="C13" s="12">
        <f>(VLOOKUP(main!K13,main!$AO$4:$AR$55,4,FALSE))</f>
        <v>39.110982162825401</v>
      </c>
      <c r="D13" s="12">
        <f>(VLOOKUP(main!L13,main!$AO$4:$AR$55,4,FALSE))</f>
        <v>10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38</v>
      </c>
      <c r="R13" s="12">
        <f>(VLOOKUP(main!Z13,main!$AO$4:$AR$55,4,FALSE))</f>
        <v>10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40</v>
      </c>
      <c r="R14" s="12">
        <f>(VLOOKUP(main!Z14,main!$AO$4:$AR$55,4,FALSE))</f>
        <v>40</v>
      </c>
      <c r="S14" s="12">
        <f>(VLOOKUP(main!AA14,main!$AO$4:$AR$55,4,FALSE))</f>
        <v>40</v>
      </c>
      <c r="T14" s="12">
        <f>(VLOOKUP(main!AB14,main!$AO$4:$AR$55,4,FALSE))</f>
        <v>40</v>
      </c>
      <c r="U14" s="12">
        <f>(VLOOKUP(main!AC14,main!$AO$4:$AR$55,4,FALSE))</f>
        <v>40</v>
      </c>
      <c r="V14" s="12">
        <f>(VLOOKUP(main!AD14,main!$AO$4:$AR$55,4,FALSE))</f>
        <v>38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0</v>
      </c>
      <c r="J15" s="12">
        <f>(VLOOKUP(main!R15,main!$AO$4:$AR$55,4,FALSE))</f>
        <v>0</v>
      </c>
      <c r="K15" s="12">
        <f>(VLOOKUP(main!S15,main!$AO$4:$AR$55,4,FALSE))</f>
        <v>0</v>
      </c>
      <c r="L15" s="12">
        <f>(VLOOKUP(main!T15,main!$AO$4:$AR$55,4,FALSE))</f>
        <v>0</v>
      </c>
      <c r="M15" s="12">
        <f>(VLOOKUP(main!U15,main!$AO$4:$AR$55,4,FALSE))</f>
        <v>0</v>
      </c>
      <c r="N15" s="12">
        <f>(VLOOKUP(main!V15,main!$AO$4:$AR$55,4,FALSE))</f>
        <v>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38</v>
      </c>
      <c r="R15" s="12">
        <f>(VLOOKUP(main!Z15,main!$AO$4:$AR$55,4,FALSE))</f>
        <v>40</v>
      </c>
      <c r="S15" s="12">
        <f>(VLOOKUP(main!AA15,main!$AO$4:$AR$55,4,FALSE))</f>
        <v>40</v>
      </c>
      <c r="T15" s="12">
        <f>(VLOOKUP(main!AB15,main!$AO$4:$AR$55,4,FALSE))</f>
        <v>40</v>
      </c>
      <c r="U15" s="12">
        <f>(VLOOKUP(main!AC15,main!$AO$4:$AR$55,4,FALSE))</f>
        <v>40</v>
      </c>
      <c r="V15" s="12">
        <f>(VLOOKUP(main!AD15,main!$AO$4:$AR$55,4,FALSE))</f>
        <v>40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0</v>
      </c>
      <c r="J16" s="12">
        <f>(VLOOKUP(main!R16,main!$AO$4:$AR$55,4,FALSE))</f>
        <v>0</v>
      </c>
      <c r="K16" s="12">
        <f>(VLOOKUP(main!S16,main!$AO$4:$AR$55,4,FALSE))</f>
        <v>0</v>
      </c>
      <c r="L16" s="12">
        <f>(VLOOKUP(main!T16,main!$AO$4:$AR$55,4,FALSE))</f>
        <v>0</v>
      </c>
      <c r="M16" s="12">
        <f>(VLOOKUP(main!U16,main!$AO$4:$AR$55,4,FALSE))</f>
        <v>0</v>
      </c>
      <c r="N16" s="12">
        <f>(VLOOKUP(main!V16,main!$AO$4:$AR$55,4,FALSE))</f>
        <v>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40</v>
      </c>
      <c r="R16" s="12">
        <f>(VLOOKUP(main!Z16,main!$AO$4:$AR$55,4,FALSE))</f>
        <v>40</v>
      </c>
      <c r="S16" s="12">
        <f>(VLOOKUP(main!AA16,main!$AO$4:$AR$55,4,FALSE))</f>
        <v>40</v>
      </c>
      <c r="T16" s="12">
        <f>(VLOOKUP(main!AB16,main!$AO$4:$AR$55,4,FALSE))</f>
        <v>40</v>
      </c>
      <c r="U16" s="12">
        <f>(VLOOKUP(main!AC16,main!$AO$4:$AR$55,4,FALSE))</f>
        <v>0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34</v>
      </c>
      <c r="J17" s="12">
        <f>(VLOOKUP(main!R17,main!$AO$4:$AR$55,4,FALSE))</f>
        <v>34</v>
      </c>
      <c r="K17" s="12">
        <f>(VLOOKUP(main!S17,main!$AO$4:$AR$55,4,FALSE))</f>
        <v>34</v>
      </c>
      <c r="L17" s="12">
        <f>(VLOOKUP(main!T17,main!$AO$4:$AR$55,4,FALSE))</f>
        <v>10</v>
      </c>
      <c r="M17" s="12">
        <f>(VLOOKUP(main!U17,main!$AO$4:$AR$55,4,FALSE))</f>
        <v>34</v>
      </c>
      <c r="N17" s="12">
        <f>(VLOOKUP(main!V17,main!$AO$4:$AR$55,4,FALSE))</f>
        <v>34</v>
      </c>
      <c r="O17" s="12">
        <f>(VLOOKUP(main!W17,main!$AO$4:$AR$55,4,FALSE))</f>
        <v>34</v>
      </c>
      <c r="P17" s="12">
        <f>(VLOOKUP(main!X17,main!$AO$4:$AR$55,4,FALSE))</f>
        <v>34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10</v>
      </c>
      <c r="U17" s="12">
        <f>(VLOOKUP(main!AC17,main!$AO$4:$AR$55,4,FALSE))</f>
        <v>40</v>
      </c>
      <c r="V17" s="12">
        <f>(VLOOKUP(main!AD17,main!$AO$4:$AR$55,4,FALSE))</f>
        <v>40</v>
      </c>
      <c r="W17" s="12">
        <f>(VLOOKUP(main!AE17,main!$AO$4:$AR$55,4,FALSE))</f>
        <v>40</v>
      </c>
      <c r="X17" s="12">
        <f>(VLOOKUP(main!AF17,main!$AO$4:$AR$55,4,FALSE))</f>
        <v>40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34</v>
      </c>
      <c r="J18" s="12">
        <f>(VLOOKUP(main!R18,main!$AO$4:$AR$55,4,FALSE))</f>
        <v>34</v>
      </c>
      <c r="K18" s="12">
        <f>(VLOOKUP(main!S18,main!$AO$4:$AR$55,4,FALSE))</f>
        <v>34</v>
      </c>
      <c r="L18" s="12">
        <f>(VLOOKUP(main!T18,main!$AO$4:$AR$55,4,FALSE))</f>
        <v>10</v>
      </c>
      <c r="M18" s="12">
        <f>(VLOOKUP(main!U18,main!$AO$4:$AR$55,4,FALSE))</f>
        <v>34</v>
      </c>
      <c r="N18" s="12">
        <f>(VLOOKUP(main!V18,main!$AO$4:$AR$55,4,FALSE))</f>
        <v>34</v>
      </c>
      <c r="O18" s="12">
        <f>(VLOOKUP(main!W18,main!$AO$4:$AR$55,4,FALSE))</f>
        <v>38</v>
      </c>
      <c r="P18" s="12">
        <f>(VLOOKUP(main!X18,main!$AO$4:$AR$55,4,FALSE))</f>
        <v>38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40</v>
      </c>
      <c r="V18" s="12">
        <f>(VLOOKUP(main!AD18,main!$AO$4:$AR$55,4,FALSE))</f>
        <v>38</v>
      </c>
      <c r="W18" s="12">
        <f>(VLOOKUP(main!AE18,main!$AO$4:$AR$55,4,FALSE))</f>
        <v>10</v>
      </c>
      <c r="X18" s="12">
        <f>(VLOOKUP(main!AF18,main!$AO$4:$AR$55,4,FALSE))</f>
        <v>38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38</v>
      </c>
      <c r="J19" s="12">
        <f>(VLOOKUP(main!R19,main!$AO$4:$AR$55,4,FALSE))</f>
        <v>10</v>
      </c>
      <c r="K19" s="12">
        <f>(VLOOKUP(main!S19,main!$AO$4:$AR$55,4,FALSE))</f>
        <v>38</v>
      </c>
      <c r="L19" s="12">
        <f>(VLOOKUP(main!T19,main!$AO$4:$AR$55,4,FALSE))</f>
        <v>0</v>
      </c>
      <c r="M19" s="12">
        <f>(VLOOKUP(main!U19,main!$AO$4:$AR$55,4,FALSE))</f>
        <v>38</v>
      </c>
      <c r="N19" s="12">
        <f>(VLOOKUP(main!V19,main!$AO$4:$AR$55,4,FALSE))</f>
        <v>10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38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38</v>
      </c>
      <c r="U19" s="12">
        <f>(VLOOKUP(main!AC19,main!$AO$4:$AR$55,4,FALSE))</f>
        <v>38</v>
      </c>
      <c r="V19" s="12">
        <f>(VLOOKUP(main!AD19,main!$AO$4:$AR$55,4,FALSE))</f>
        <v>38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36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36</v>
      </c>
      <c r="M20" s="12">
        <f>(VLOOKUP(main!U20,main!$AO$4:$AR$55,4,FALSE))</f>
        <v>36</v>
      </c>
      <c r="N20" s="12">
        <f>(VLOOKUP(main!V20,main!$AO$4:$AR$55,4,FALSE))</f>
        <v>36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38</v>
      </c>
      <c r="T20" s="12">
        <f>(VLOOKUP(main!AB20,main!$AO$4:$AR$55,4,FALSE))</f>
        <v>38</v>
      </c>
      <c r="U20" s="12">
        <f>(VLOOKUP(main!AC20,main!$AO$4:$AR$55,4,FALSE))</f>
        <v>38</v>
      </c>
      <c r="V20" s="12">
        <f>(VLOOKUP(main!AD20,main!$AO$4:$AR$55,4,FALSE))</f>
        <v>38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36</v>
      </c>
      <c r="L21" s="12">
        <f>(VLOOKUP(main!T21,main!$AO$4:$AR$55,4,FALSE))</f>
        <v>36</v>
      </c>
      <c r="M21" s="12">
        <f>(VLOOKUP(main!U21,main!$AO$4:$AR$55,4,FALSE))</f>
        <v>38</v>
      </c>
      <c r="N21" s="12">
        <f>(VLOOKUP(main!V21,main!$AO$4:$AR$55,4,FALSE))</f>
        <v>38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38</v>
      </c>
      <c r="R21" s="12">
        <f>(VLOOKUP(main!Z21,main!$AO$4:$AR$55,4,FALSE))</f>
        <v>38</v>
      </c>
      <c r="S21" s="12">
        <f>(VLOOKUP(main!AA21,main!$AO$4:$AR$55,4,FALSE))</f>
        <v>38</v>
      </c>
      <c r="T21" s="12">
        <f>(VLOOKUP(main!AB21,main!$AO$4:$AR$55,4,FALSE))</f>
        <v>40</v>
      </c>
      <c r="U21" s="12">
        <f>(VLOOKUP(main!AC21,main!$AO$4:$AR$55,4,FALSE))</f>
        <v>40</v>
      </c>
      <c r="V21" s="12">
        <f>(VLOOKUP(main!AD21,main!$AO$4:$AR$55,4,FALSE))</f>
        <v>40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36</v>
      </c>
      <c r="J22" s="12">
        <f>(VLOOKUP(main!R22,main!$AO$4:$AR$55,4,FALSE))</f>
        <v>10</v>
      </c>
      <c r="K22" s="12">
        <f>(VLOOKUP(main!S22,main!$AO$4:$AR$55,4,FALSE))</f>
        <v>38</v>
      </c>
      <c r="L22" s="12">
        <f>(VLOOKUP(main!T22,main!$AO$4:$AR$55,4,FALSE))</f>
        <v>38</v>
      </c>
      <c r="M22" s="12">
        <f>(VLOOKUP(main!U22,main!$AO$4:$AR$55,4,FALSE))</f>
        <v>36</v>
      </c>
      <c r="N22" s="12">
        <f>(VLOOKUP(main!V22,main!$AO$4:$AR$55,4,FALSE))</f>
        <v>36</v>
      </c>
      <c r="O22" s="12">
        <f>(VLOOKUP(main!W22,main!$AO$4:$AR$55,4,FALSE))</f>
        <v>36</v>
      </c>
      <c r="P22" s="12">
        <f>(VLOOKUP(main!X22,main!$AO$4:$AR$55,4,FALSE))</f>
        <v>38</v>
      </c>
      <c r="Q22" s="12">
        <f>(VLOOKUP(main!Y22,main!$AO$4:$AR$55,4,FALSE))</f>
        <v>40</v>
      </c>
      <c r="R22" s="12">
        <f>(VLOOKUP(main!Z22,main!$AO$4:$AR$55,4,FALSE))</f>
        <v>40</v>
      </c>
      <c r="S22" s="12">
        <f>(VLOOKUP(main!AA22,main!$AO$4:$AR$55,4,FALSE))</f>
        <v>40</v>
      </c>
      <c r="T22" s="12">
        <f>(VLOOKUP(main!AB22,main!$AO$4:$AR$55,4,FALSE))</f>
        <v>40</v>
      </c>
      <c r="U22" s="12">
        <f>(VLOOKUP(main!AC22,main!$AO$4:$AR$55,4,FALSE))</f>
        <v>40</v>
      </c>
      <c r="V22" s="12">
        <f>(VLOOKUP(main!AD22,main!$AO$4:$AR$55,4,FALSE))</f>
        <v>40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36</v>
      </c>
      <c r="J23" s="12">
        <f>(VLOOKUP(main!R23,main!$AO$4:$AR$55,4,FALSE))</f>
        <v>36</v>
      </c>
      <c r="K23" s="12">
        <f>(VLOOKUP(main!S23,main!$AO$4:$AR$55,4,FALSE))</f>
        <v>36</v>
      </c>
      <c r="L23" s="12">
        <f>(VLOOKUP(main!T23,main!$AO$4:$AR$55,4,FALSE))</f>
        <v>36</v>
      </c>
      <c r="M23" s="12">
        <f>(VLOOKUP(main!U23,main!$AO$4:$AR$55,4,FALSE))</f>
        <v>38</v>
      </c>
      <c r="N23" s="12">
        <f>(VLOOKUP(main!V23,main!$AO$4:$AR$55,4,FALSE))</f>
        <v>36</v>
      </c>
      <c r="O23" s="12">
        <f>(VLOOKUP(main!W23,main!$AO$4:$AR$55,4,FALSE))</f>
        <v>10</v>
      </c>
      <c r="P23" s="12">
        <f>(VLOOKUP(main!X23,main!$AO$4:$AR$55,4,FALSE))</f>
        <v>0</v>
      </c>
      <c r="Q23" s="12">
        <f>(VLOOKUP(main!Y23,main!$AO$4:$AR$55,4,FALSE))</f>
        <v>40</v>
      </c>
      <c r="R23" s="12">
        <f>(VLOOKUP(main!Z23,main!$AO$4:$AR$55,4,FALSE))</f>
        <v>40</v>
      </c>
      <c r="S23" s="12">
        <f>(VLOOKUP(main!AA23,main!$AO$4:$AR$55,4,FALSE))</f>
        <v>40</v>
      </c>
      <c r="T23" s="12">
        <f>(VLOOKUP(main!AB23,main!$AO$4:$AR$55,4,FALSE))</f>
        <v>40</v>
      </c>
      <c r="U23" s="12">
        <f>(VLOOKUP(main!AC23,main!$AO$4:$AR$55,4,FALSE))</f>
        <v>40</v>
      </c>
      <c r="V23" s="12">
        <f>(VLOOKUP(main!AD23,main!$AO$4:$AR$55,4,FALSE))</f>
        <v>40</v>
      </c>
      <c r="W23" s="12">
        <f>(VLOOKUP(main!AE23,main!$AO$4:$AR$55,4,FALSE))</f>
        <v>10</v>
      </c>
      <c r="X23" s="12">
        <f>(VLOOKUP(main!AF23,main!$AO$4:$AR$55,4,FALSE))</f>
        <v>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36</v>
      </c>
      <c r="J24" s="12">
        <f>(VLOOKUP(main!R24,main!$AO$4:$AR$55,4,FALSE))</f>
        <v>36</v>
      </c>
      <c r="K24" s="12">
        <f>(VLOOKUP(main!S24,main!$AO$4:$AR$55,4,FALSE))</f>
        <v>36</v>
      </c>
      <c r="L24" s="12">
        <f>(VLOOKUP(main!T24,main!$AO$4:$AR$55,4,FALSE))</f>
        <v>29.110982162825401</v>
      </c>
      <c r="M24" s="12">
        <f>(VLOOKUP(main!U24,main!$AO$4:$AR$55,4,FALSE))</f>
        <v>38</v>
      </c>
      <c r="N24" s="12">
        <f>(VLOOKUP(main!V24,main!$AO$4:$AR$55,4,FALSE))</f>
        <v>38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40</v>
      </c>
      <c r="R24" s="12">
        <f>(VLOOKUP(main!Z24,main!$AO$4:$AR$55,4,FALSE))</f>
        <v>40</v>
      </c>
      <c r="S24" s="12">
        <f>(VLOOKUP(main!AA24,main!$AO$4:$AR$55,4,FALSE))</f>
        <v>40</v>
      </c>
      <c r="T24" s="12">
        <f>(VLOOKUP(main!AB24,main!$AO$4:$AR$55,4,FALSE))</f>
        <v>40</v>
      </c>
      <c r="U24" s="12">
        <f>(VLOOKUP(main!AC24,main!$AO$4:$AR$55,4,FALSE))</f>
        <v>40</v>
      </c>
      <c r="V24" s="12">
        <f>(VLOOKUP(main!AD24,main!$AO$4:$AR$55,4,FALSE))</f>
        <v>40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36</v>
      </c>
      <c r="J25" s="12">
        <f>(VLOOKUP(main!R25,main!$AO$4:$AR$55,4,FALSE))</f>
        <v>38</v>
      </c>
      <c r="K25" s="12">
        <f>(VLOOKUP(main!S25,main!$AO$4:$AR$55,4,FALSE))</f>
        <v>36</v>
      </c>
      <c r="L25" s="12">
        <f>(VLOOKUP(main!T25,main!$AO$4:$AR$55,4,FALSE))</f>
        <v>36</v>
      </c>
      <c r="M25" s="12">
        <f>(VLOOKUP(main!U25,main!$AO$4:$AR$55,4,FALSE))</f>
        <v>36</v>
      </c>
      <c r="N25" s="12">
        <f>(VLOOKUP(main!V25,main!$AO$4:$AR$55,4,FALSE))</f>
        <v>36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40</v>
      </c>
      <c r="R25" s="12">
        <f>(VLOOKUP(main!Z25,main!$AO$4:$AR$55,4,FALSE))</f>
        <v>40</v>
      </c>
      <c r="S25" s="12">
        <f>(VLOOKUP(main!AA25,main!$AO$4:$AR$55,4,FALSE))</f>
        <v>40</v>
      </c>
      <c r="T25" s="12">
        <f>(VLOOKUP(main!AB25,main!$AO$4:$AR$55,4,FALSE))</f>
        <v>40</v>
      </c>
      <c r="U25" s="12">
        <f>(VLOOKUP(main!AC25,main!$AO$4:$AR$55,4,FALSE))</f>
        <v>40</v>
      </c>
      <c r="V25" s="12">
        <f>(VLOOKUP(main!AD25,main!$AO$4:$AR$55,4,FALSE))</f>
        <v>40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38</v>
      </c>
      <c r="J26" s="12">
        <f>(VLOOKUP(main!R26,main!$AO$4:$AR$55,4,FALSE))</f>
        <v>38</v>
      </c>
      <c r="K26" s="12">
        <f>(VLOOKUP(main!S26,main!$AO$4:$AR$55,4,FALSE))</f>
        <v>38</v>
      </c>
      <c r="L26" s="12">
        <f>(VLOOKUP(main!T26,main!$AO$4:$AR$55,4,FALSE))</f>
        <v>38</v>
      </c>
      <c r="M26" s="12">
        <f>(VLOOKUP(main!U26,main!$AO$4:$AR$55,4,FALSE))</f>
        <v>36</v>
      </c>
      <c r="N26" s="12">
        <f>(VLOOKUP(main!V26,main!$AO$4:$AR$55,4,FALSE))</f>
        <v>36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38</v>
      </c>
      <c r="M27" s="12">
        <f>(VLOOKUP(main!U27,main!$AO$4:$AR$55,4,FALSE))</f>
        <v>38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40</v>
      </c>
      <c r="R27" s="12">
        <f>(VLOOKUP(main!Z27,main!$AO$4:$AR$55,4,FALSE))</f>
        <v>40</v>
      </c>
      <c r="S27" s="12">
        <f>(VLOOKUP(main!AA27,main!$AO$4:$AR$55,4,FALSE))</f>
        <v>40</v>
      </c>
      <c r="T27" s="12">
        <f>(VLOOKUP(main!AB27,main!$AO$4:$AR$55,4,FALSE))</f>
        <v>40</v>
      </c>
      <c r="U27" s="12">
        <f>(VLOOKUP(main!AC27,main!$AO$4:$AR$55,4,FALSE))</f>
        <v>40</v>
      </c>
      <c r="V27" s="12">
        <f>(VLOOKUP(main!AD27,main!$AO$4:$AR$55,4,FALSE))</f>
        <v>40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38</v>
      </c>
      <c r="K28" s="12">
        <f>(VLOOKUP(main!S28,main!$AO$4:$AR$55,4,FALSE))</f>
        <v>36</v>
      </c>
      <c r="L28" s="12">
        <f>(VLOOKUP(main!T28,main!$AO$4:$AR$55,4,FALSE))</f>
        <v>38</v>
      </c>
      <c r="M28" s="12">
        <f>(VLOOKUP(main!U28,main!$AO$4:$AR$55,4,FALSE))</f>
        <v>38</v>
      </c>
      <c r="N28" s="12">
        <f>(VLOOKUP(main!V28,main!$AO$4:$AR$55,4,FALSE))</f>
        <v>38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40</v>
      </c>
      <c r="R28" s="12">
        <f>(VLOOKUP(main!Z28,main!$AO$4:$AR$55,4,FALSE))</f>
        <v>0</v>
      </c>
      <c r="S28" s="12">
        <f>(VLOOKUP(main!AA28,main!$AO$4:$AR$55,4,FALSE))</f>
        <v>40</v>
      </c>
      <c r="T28" s="12">
        <f>(VLOOKUP(main!AB28,main!$AO$4:$AR$55,4,FALSE))</f>
        <v>40</v>
      </c>
      <c r="U28" s="12">
        <f>(VLOOKUP(main!AC28,main!$AO$4:$AR$55,4,FALSE))</f>
        <v>40</v>
      </c>
      <c r="V28" s="12">
        <f>(VLOOKUP(main!AD28,main!$AO$4:$AR$55,4,FALSE))</f>
        <v>40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38</v>
      </c>
      <c r="J29" s="12">
        <f>(VLOOKUP(main!R29,main!$AO$4:$AR$55,4,FALSE))</f>
        <v>36</v>
      </c>
      <c r="K29" s="12">
        <f>(VLOOKUP(main!S29,main!$AO$4:$AR$55,4,FALSE))</f>
        <v>38</v>
      </c>
      <c r="L29" s="12">
        <f>(VLOOKUP(main!T29,main!$AO$4:$AR$55,4,FALSE))</f>
        <v>36</v>
      </c>
      <c r="M29" s="12">
        <f>(VLOOKUP(main!U29,main!$AO$4:$AR$55,4,FALSE))</f>
        <v>38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38</v>
      </c>
      <c r="K30" s="12">
        <f>(VLOOKUP(main!S30,main!$AO$4:$AR$55,4,FALSE))</f>
        <v>38</v>
      </c>
      <c r="L30" s="12">
        <f>(VLOOKUP(main!T30,main!$AO$4:$AR$55,4,FALSE))</f>
        <v>36</v>
      </c>
      <c r="M30" s="12">
        <f>(VLOOKUP(main!U30,main!$AO$4:$AR$55,4,FALSE))</f>
        <v>36</v>
      </c>
      <c r="N30" s="12">
        <f>(VLOOKUP(main!V30,main!$AO$4:$AR$55,4,FALSE))</f>
        <v>38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40</v>
      </c>
      <c r="R30" s="12">
        <f>(VLOOKUP(main!Z30,main!$AO$4:$AR$55,4,FALSE))</f>
        <v>40</v>
      </c>
      <c r="S30" s="12">
        <f>(VLOOKUP(main!AA30,main!$AO$4:$AR$55,4,FALSE))</f>
        <v>40</v>
      </c>
      <c r="T30" s="12">
        <f>(VLOOKUP(main!AB30,main!$AO$4:$AR$55,4,FALSE))</f>
        <v>40</v>
      </c>
      <c r="U30" s="12">
        <f>(VLOOKUP(main!AC30,main!$AO$4:$AR$55,4,FALSE))</f>
        <v>40</v>
      </c>
      <c r="V30" s="12">
        <f>(VLOOKUP(main!AD30,main!$AO$4:$AR$55,4,FALSE))</f>
        <v>40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36</v>
      </c>
      <c r="J31" s="12">
        <f>(VLOOKUP(main!R31,main!$AO$4:$AR$55,4,FALSE))</f>
        <v>36</v>
      </c>
      <c r="K31" s="12">
        <f>(VLOOKUP(main!S31,main!$AO$4:$AR$55,4,FALSE))</f>
        <v>36</v>
      </c>
      <c r="L31" s="12">
        <f>(VLOOKUP(main!T31,main!$AO$4:$AR$55,4,FALSE))</f>
        <v>36</v>
      </c>
      <c r="M31" s="12">
        <f>(VLOOKUP(main!U31,main!$AO$4:$AR$55,4,FALSE))</f>
        <v>38</v>
      </c>
      <c r="N31" s="12">
        <f>(VLOOKUP(main!V31,main!$AO$4:$AR$55,4,FALSE))</f>
        <v>38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40</v>
      </c>
      <c r="R31" s="12">
        <f>(VLOOKUP(main!Z31,main!$AO$4:$AR$55,4,FALSE))</f>
        <v>40</v>
      </c>
      <c r="S31" s="12">
        <f>(VLOOKUP(main!AA31,main!$AO$4:$AR$55,4,FALSE))</f>
        <v>40</v>
      </c>
      <c r="T31" s="12">
        <f>(VLOOKUP(main!AB31,main!$AO$4:$AR$55,4,FALSE))</f>
        <v>40</v>
      </c>
      <c r="U31" s="12">
        <f>(VLOOKUP(main!AC31,main!$AO$4:$AR$55,4,FALSE))</f>
        <v>40</v>
      </c>
      <c r="V31" s="12">
        <f>(VLOOKUP(main!AD31,main!$AO$4:$AR$55,4,FALSE))</f>
        <v>40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29.110982162825401</v>
      </c>
      <c r="J32" s="12">
        <f>(VLOOKUP(main!R32,main!$AO$4:$AR$55,4,FALSE))</f>
        <v>36</v>
      </c>
      <c r="K32" s="12">
        <f>(VLOOKUP(main!S32,main!$AO$4:$AR$55,4,FALSE))</f>
        <v>36</v>
      </c>
      <c r="L32" s="12">
        <f>(VLOOKUP(main!T32,main!$AO$4:$AR$55,4,FALSE))</f>
        <v>36</v>
      </c>
      <c r="M32" s="12">
        <f>(VLOOKUP(main!U32,main!$AO$4:$AR$55,4,FALSE))</f>
        <v>36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38</v>
      </c>
      <c r="J33" s="12">
        <f>(VLOOKUP(main!R33,main!$AO$4:$AR$55,4,FALSE))</f>
        <v>36</v>
      </c>
      <c r="K33" s="12">
        <f>(VLOOKUP(main!S33,main!$AO$4:$AR$55,4,FALSE))</f>
        <v>38</v>
      </c>
      <c r="L33" s="12">
        <f>(VLOOKUP(main!T33,main!$AO$4:$AR$55,4,FALSE))</f>
        <v>36</v>
      </c>
      <c r="M33" s="12">
        <f>(VLOOKUP(main!U33,main!$AO$4:$AR$55,4,FALSE))</f>
        <v>38</v>
      </c>
      <c r="N33" s="12">
        <f>(VLOOKUP(main!V33,main!$AO$4:$AR$55,4,FALSE))</f>
        <v>29.110982162825401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40</v>
      </c>
      <c r="R33" s="12">
        <f>(VLOOKUP(main!Z33,main!$AO$4:$AR$55,4,FALSE))</f>
        <v>40</v>
      </c>
      <c r="S33" s="12">
        <f>(VLOOKUP(main!AA33,main!$AO$4:$AR$55,4,FALSE))</f>
        <v>40</v>
      </c>
      <c r="T33" s="12">
        <f>(VLOOKUP(main!AB33,main!$AO$4:$AR$55,4,FALSE))</f>
        <v>40</v>
      </c>
      <c r="U33" s="12">
        <f>(VLOOKUP(main!AC33,main!$AO$4:$AR$55,4,FALSE))</f>
        <v>40</v>
      </c>
      <c r="V33" s="12">
        <f>(VLOOKUP(main!AD33,main!$AO$4:$AR$55,4,FALSE))</f>
        <v>40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36</v>
      </c>
      <c r="J34" s="12">
        <f>(VLOOKUP(main!R34,main!$AO$4:$AR$55,4,FALSE))</f>
        <v>36</v>
      </c>
      <c r="K34" s="12">
        <f>(VLOOKUP(main!S34,main!$AO$4:$AR$55,4,FALSE))</f>
        <v>38</v>
      </c>
      <c r="L34" s="12">
        <f>(VLOOKUP(main!T34,main!$AO$4:$AR$55,4,FALSE))</f>
        <v>38</v>
      </c>
      <c r="M34" s="12">
        <f>(VLOOKUP(main!U34,main!$AO$4:$AR$55,4,FALSE))</f>
        <v>38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40</v>
      </c>
      <c r="R34" s="12">
        <f>(VLOOKUP(main!Z34,main!$AO$4:$AR$55,4,FALSE))</f>
        <v>40</v>
      </c>
      <c r="S34" s="12">
        <f>(VLOOKUP(main!AA34,main!$AO$4:$AR$55,4,FALSE))</f>
        <v>40</v>
      </c>
      <c r="T34" s="12">
        <f>(VLOOKUP(main!AB34,main!$AO$4:$AR$55,4,FALSE))</f>
        <v>40</v>
      </c>
      <c r="U34" s="12">
        <f>(VLOOKUP(main!AC34,main!$AO$4:$AR$55,4,FALSE))</f>
        <v>40</v>
      </c>
      <c r="V34" s="12">
        <f>(VLOOKUP(main!AD34,main!$AO$4:$AR$55,4,FALSE))</f>
        <v>40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34</v>
      </c>
      <c r="J35" s="12">
        <f>(VLOOKUP(main!R35,main!$AO$4:$AR$55,4,FALSE))</f>
        <v>36</v>
      </c>
      <c r="K35" s="12">
        <f>(VLOOKUP(main!S35,main!$AO$4:$AR$55,4,FALSE))</f>
        <v>36</v>
      </c>
      <c r="L35" s="12">
        <f>(VLOOKUP(main!T35,main!$AO$4:$AR$55,4,FALSE))</f>
        <v>36</v>
      </c>
      <c r="M35" s="12">
        <f>(VLOOKUP(main!U35,main!$AO$4:$AR$55,4,FALSE))</f>
        <v>36</v>
      </c>
      <c r="N35" s="12">
        <f>(VLOOKUP(main!V35,main!$AO$4:$AR$55,4,FALSE))</f>
        <v>36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36</v>
      </c>
      <c r="J36" s="12">
        <f>(VLOOKUP(main!R36,main!$AO$4:$AR$55,4,FALSE))</f>
        <v>36</v>
      </c>
      <c r="K36" s="12">
        <f>(VLOOKUP(main!S36,main!$AO$4:$AR$55,4,FALSE))</f>
        <v>36</v>
      </c>
      <c r="L36" s="12">
        <f>(VLOOKUP(main!T36,main!$AO$4:$AR$55,4,FALSE))</f>
        <v>36</v>
      </c>
      <c r="M36" s="12">
        <f>(VLOOKUP(main!U36,main!$AO$4:$AR$55,4,FALSE))</f>
        <v>36</v>
      </c>
      <c r="N36" s="12">
        <f>(VLOOKUP(main!V36,main!$AO$4:$AR$55,4,FALSE))</f>
        <v>40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40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40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40</v>
      </c>
      <c r="R37" s="12">
        <f>(VLOOKUP(main!Z37,main!$AO$4:$AR$55,4,FALSE))</f>
        <v>40</v>
      </c>
      <c r="S37" s="12">
        <f>(VLOOKUP(main!AA37,main!$AO$4:$AR$55,4,FALSE))</f>
        <v>40</v>
      </c>
      <c r="T37" s="12">
        <f>(VLOOKUP(main!AB37,main!$AO$4:$AR$55,4,FALSE))</f>
        <v>40</v>
      </c>
      <c r="U37" s="12">
        <f>(VLOOKUP(main!AC37,main!$AO$4:$AR$55,4,FALSE))</f>
        <v>40</v>
      </c>
      <c r="V37" s="12">
        <f>(VLOOKUP(main!AD37,main!$AO$4:$AR$55,4,FALSE))</f>
        <v>40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40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10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40</v>
      </c>
      <c r="R39" s="12">
        <f>(VLOOKUP(main!Z39,main!$AO$4:$AR$55,4,FALSE))</f>
        <v>40</v>
      </c>
      <c r="S39" s="12">
        <f>(VLOOKUP(main!AA39,main!$AO$4:$AR$55,4,FALSE))</f>
        <v>40</v>
      </c>
      <c r="T39" s="12">
        <f>(VLOOKUP(main!AB39,main!$AO$4:$AR$55,4,FALSE))</f>
        <v>40</v>
      </c>
      <c r="U39" s="12">
        <f>(VLOOKUP(main!AC39,main!$AO$4:$AR$55,4,FALSE))</f>
        <v>40</v>
      </c>
      <c r="V39" s="12">
        <f>(VLOOKUP(main!AD39,main!$AO$4:$AR$55,4,FALSE))</f>
        <v>40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40</v>
      </c>
      <c r="J40" s="12">
        <f>(VLOOKUP(main!R40,main!$AO$4:$AR$55,4,FALSE))</f>
        <v>40</v>
      </c>
      <c r="K40" s="12">
        <f>(VLOOKUP(main!S40,main!$AO$4:$AR$55,4,FALSE))</f>
        <v>40</v>
      </c>
      <c r="L40" s="12">
        <f>(VLOOKUP(main!T40,main!$AO$4:$AR$55,4,FALSE))</f>
        <v>40</v>
      </c>
      <c r="M40" s="12">
        <f>(VLOOKUP(main!U40,main!$AO$4:$AR$55,4,FALSE))</f>
        <v>40</v>
      </c>
      <c r="N40" s="12">
        <f>(VLOOKUP(main!V40,main!$AO$4:$AR$55,4,FALSE))</f>
        <v>40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40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40</v>
      </c>
      <c r="R41" s="12">
        <f>(VLOOKUP(main!Z41,main!$AO$4:$AR$55,4,FALSE))</f>
        <v>40</v>
      </c>
      <c r="S41" s="12">
        <f>(VLOOKUP(main!AA41,main!$AO$4:$AR$55,4,FALSE))</f>
        <v>40</v>
      </c>
      <c r="T41" s="12">
        <f>(VLOOKUP(main!AB41,main!$AO$4:$AR$55,4,FALSE))</f>
        <v>10</v>
      </c>
      <c r="U41" s="12">
        <f>(VLOOKUP(main!AC41,main!$AO$4:$AR$55,4,FALSE))</f>
        <v>38</v>
      </c>
      <c r="V41" s="12">
        <f>(VLOOKUP(main!AD41,main!$AO$4:$AR$55,4,FALSE))</f>
        <v>38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40</v>
      </c>
      <c r="J42" s="12">
        <f>(VLOOKUP(main!R42,main!$AO$4:$AR$55,4,FALSE))</f>
        <v>40</v>
      </c>
      <c r="K42" s="12">
        <f>(VLOOKUP(main!S42,main!$AO$4:$AR$55,4,FALSE))</f>
        <v>40</v>
      </c>
      <c r="L42" s="12">
        <f>(VLOOKUP(main!T42,main!$AO$4:$AR$55,4,FALSE))</f>
        <v>36</v>
      </c>
      <c r="M42" s="12">
        <f>(VLOOKUP(main!U42,main!$AO$4:$AR$55,4,FALSE))</f>
        <v>36</v>
      </c>
      <c r="N42" s="12">
        <f>(VLOOKUP(main!V42,main!$AO$4:$AR$55,4,FALSE))</f>
        <v>40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40</v>
      </c>
      <c r="J43" s="12">
        <f>(VLOOKUP(main!R43,main!$AO$4:$AR$55,4,FALSE))</f>
        <v>40</v>
      </c>
      <c r="K43" s="12">
        <f>(VLOOKUP(main!S43,main!$AO$4:$AR$55,4,FALSE))</f>
        <v>40</v>
      </c>
      <c r="L43" s="12">
        <f>(VLOOKUP(main!T43,main!$AO$4:$AR$55,4,FALSE))</f>
        <v>40</v>
      </c>
      <c r="M43" s="12">
        <f>(VLOOKUP(main!U43,main!$AO$4:$AR$55,4,FALSE))</f>
        <v>40</v>
      </c>
      <c r="N43" s="12">
        <f>(VLOOKUP(main!V43,main!$AO$4:$AR$55,4,FALSE))</f>
        <v>40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40</v>
      </c>
      <c r="J44" s="12">
        <f>(VLOOKUP(main!R44,main!$AO$4:$AR$55,4,FALSE))</f>
        <v>40</v>
      </c>
      <c r="K44" s="12">
        <f>(VLOOKUP(main!S44,main!$AO$4:$AR$55,4,FALSE))</f>
        <v>40</v>
      </c>
      <c r="L44" s="12">
        <f>(VLOOKUP(main!T44,main!$AO$4:$AR$55,4,FALSE))</f>
        <v>40</v>
      </c>
      <c r="M44" s="12">
        <f>(VLOOKUP(main!U44,main!$AO$4:$AR$55,4,FALSE))</f>
        <v>40</v>
      </c>
      <c r="N44" s="12">
        <f>(VLOOKUP(main!V44,main!$AO$4:$AR$55,4,FALSE))</f>
        <v>40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40</v>
      </c>
      <c r="J45" s="12">
        <f>(VLOOKUP(main!R45,main!$AO$4:$AR$55,4,FALSE))</f>
        <v>40</v>
      </c>
      <c r="K45" s="12">
        <f>(VLOOKUP(main!S45,main!$AO$4:$AR$55,4,FALSE))</f>
        <v>36</v>
      </c>
      <c r="L45" s="12">
        <f>(VLOOKUP(main!T45,main!$AO$4:$AR$55,4,FALSE))</f>
        <v>40</v>
      </c>
      <c r="M45" s="12">
        <f>(VLOOKUP(main!U45,main!$AO$4:$AR$55,4,FALSE))</f>
        <v>40</v>
      </c>
      <c r="N45" s="12">
        <f>(VLOOKUP(main!V45,main!$AO$4:$AR$55,4,FALSE))</f>
        <v>40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40</v>
      </c>
      <c r="J46" s="12">
        <f>(VLOOKUP(main!R46,main!$AO$4:$AR$55,4,FALSE))</f>
        <v>40</v>
      </c>
      <c r="K46" s="12">
        <f>(VLOOKUP(main!S46,main!$AO$4:$AR$55,4,FALSE))</f>
        <v>36</v>
      </c>
      <c r="L46" s="12">
        <f>(VLOOKUP(main!T46,main!$AO$4:$AR$55,4,FALSE))</f>
        <v>36</v>
      </c>
      <c r="M46" s="12">
        <f>(VLOOKUP(main!U46,main!$AO$4:$AR$55,4,FALSE))</f>
        <v>36</v>
      </c>
      <c r="N46" s="12">
        <f>(VLOOKUP(main!V46,main!$AO$4:$AR$55,4,FALSE))</f>
        <v>36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38</v>
      </c>
      <c r="R46" s="12">
        <f>(VLOOKUP(main!Z46,main!$AO$4:$AR$55,4,FALSE))</f>
        <v>38</v>
      </c>
      <c r="S46" s="12">
        <f>(VLOOKUP(main!AA46,main!$AO$4:$AR$55,4,FALSE))</f>
        <v>38</v>
      </c>
      <c r="T46" s="12">
        <f>(VLOOKUP(main!AB46,main!$AO$4:$AR$55,4,FALSE))</f>
        <v>38</v>
      </c>
      <c r="U46" s="12">
        <f>(VLOOKUP(main!AC46,main!$AO$4:$AR$55,4,FALSE))</f>
        <v>38</v>
      </c>
      <c r="V46" s="12">
        <f>(VLOOKUP(main!AD46,main!$AO$4:$AR$55,4,FALSE))</f>
        <v>38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36</v>
      </c>
      <c r="J47" s="12">
        <f>(VLOOKUP(main!R47,main!$AO$4:$AR$55,4,FALSE))</f>
        <v>36</v>
      </c>
      <c r="K47" s="12">
        <f>(VLOOKUP(main!S47,main!$AO$4:$AR$55,4,FALSE))</f>
        <v>36</v>
      </c>
      <c r="L47" s="12">
        <f>(VLOOKUP(main!T47,main!$AO$4:$AR$55,4,FALSE))</f>
        <v>36</v>
      </c>
      <c r="M47" s="12">
        <f>(VLOOKUP(main!U47,main!$AO$4:$AR$55,4,FALSE))</f>
        <v>36</v>
      </c>
      <c r="N47" s="12">
        <f>(VLOOKUP(main!V47,main!$AO$4:$AR$55,4,FALSE))</f>
        <v>36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38</v>
      </c>
      <c r="R47" s="12">
        <f>(VLOOKUP(main!Z47,main!$AO$4:$AR$55,4,FALSE))</f>
        <v>38</v>
      </c>
      <c r="S47" s="12">
        <f>(VLOOKUP(main!AA47,main!$AO$4:$AR$55,4,FALSE))</f>
        <v>38</v>
      </c>
      <c r="T47" s="12">
        <f>(VLOOKUP(main!AB47,main!$AO$4:$AR$55,4,FALSE))</f>
        <v>38</v>
      </c>
      <c r="U47" s="12">
        <f>(VLOOKUP(main!AC47,main!$AO$4:$AR$55,4,FALSE))</f>
        <v>38</v>
      </c>
      <c r="V47" s="12">
        <f>(VLOOKUP(main!AD47,main!$AO$4:$AR$55,4,FALSE))</f>
        <v>38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36</v>
      </c>
      <c r="J48" s="12">
        <f>(VLOOKUP(main!R48,main!$AO$4:$AR$55,4,FALSE))</f>
        <v>36</v>
      </c>
      <c r="K48" s="12">
        <f>(VLOOKUP(main!S48,main!$AO$4:$AR$55,4,FALSE))</f>
        <v>36</v>
      </c>
      <c r="L48" s="12">
        <f>(VLOOKUP(main!T48,main!$AO$4:$AR$55,4,FALSE))</f>
        <v>10</v>
      </c>
      <c r="M48" s="12">
        <f>(VLOOKUP(main!U48,main!$AO$4:$AR$55,4,FALSE))</f>
        <v>36</v>
      </c>
      <c r="N48" s="12">
        <f>(VLOOKUP(main!V48,main!$AO$4:$AR$55,4,FALSE))</f>
        <v>36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38</v>
      </c>
      <c r="S48" s="12">
        <f>(VLOOKUP(main!AA48,main!$AO$4:$AR$55,4,FALSE))</f>
        <v>38</v>
      </c>
      <c r="T48" s="12">
        <f>(VLOOKUP(main!AB48,main!$AO$4:$AR$55,4,FALSE))</f>
        <v>38</v>
      </c>
      <c r="U48" s="12">
        <f>(VLOOKUP(main!AC48,main!$AO$4:$AR$55,4,FALSE))</f>
        <v>38</v>
      </c>
      <c r="V48" s="12">
        <f>(VLOOKUP(main!AD48,main!$AO$4:$AR$55,4,FALSE))</f>
        <v>38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29.110982162825401</v>
      </c>
      <c r="J49" s="12">
        <f>(VLOOKUP(main!R49,main!$AO$4:$AR$55,4,FALSE))</f>
        <v>36</v>
      </c>
      <c r="K49" s="12">
        <f>(VLOOKUP(main!S49,main!$AO$4:$AR$55,4,FALSE))</f>
        <v>36</v>
      </c>
      <c r="L49" s="12">
        <f>(VLOOKUP(main!T49,main!$AO$4:$AR$55,4,FALSE))</f>
        <v>36</v>
      </c>
      <c r="M49" s="12">
        <f>(VLOOKUP(main!U49,main!$AO$4:$AR$55,4,FALSE))</f>
        <v>36</v>
      </c>
      <c r="N49" s="12">
        <f>(VLOOKUP(main!V49,main!$AO$4:$AR$55,4,FALSE))</f>
        <v>36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13.9998549331786</v>
      </c>
      <c r="R49" s="12">
        <f>(VLOOKUP(main!Z49,main!$AO$4:$AR$55,4,FALSE))</f>
        <v>38</v>
      </c>
      <c r="S49" s="12">
        <f>(VLOOKUP(main!AA49,main!$AO$4:$AR$55,4,FALSE))</f>
        <v>38</v>
      </c>
      <c r="T49" s="12">
        <f>(VLOOKUP(main!AB49,main!$AO$4:$AR$55,4,FALSE))</f>
        <v>38</v>
      </c>
      <c r="U49" s="12">
        <f>(VLOOKUP(main!AC49,main!$AO$4:$AR$55,4,FALSE))</f>
        <v>38</v>
      </c>
      <c r="V49" s="12">
        <f>(VLOOKUP(main!AD49,main!$AO$4:$AR$55,4,FALSE))</f>
        <v>38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36</v>
      </c>
      <c r="M50" s="12">
        <f>(VLOOKUP(main!U50,main!$AO$4:$AR$55,4,FALSE))</f>
        <v>36</v>
      </c>
      <c r="N50" s="12">
        <f>(VLOOKUP(main!V50,main!$AO$4:$AR$55,4,FALSE))</f>
        <v>36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40</v>
      </c>
      <c r="R50" s="12">
        <f>(VLOOKUP(main!Z50,main!$AO$4:$AR$55,4,FALSE))</f>
        <v>40</v>
      </c>
      <c r="S50" s="12">
        <f>(VLOOKUP(main!AA50,main!$AO$4:$AR$55,4,FALSE))</f>
        <v>40</v>
      </c>
      <c r="T50" s="12">
        <f>(VLOOKUP(main!AB50,main!$AO$4:$AR$55,4,FALSE))</f>
        <v>40</v>
      </c>
      <c r="U50" s="12">
        <f>(VLOOKUP(main!AC50,main!$AO$4:$AR$55,4,FALSE))</f>
        <v>40</v>
      </c>
      <c r="V50" s="12">
        <f>(VLOOKUP(main!AD50,main!$AO$4:$AR$55,4,FALSE))</f>
        <v>40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36</v>
      </c>
      <c r="J51" s="12">
        <f>(VLOOKUP(main!R51,main!$AO$4:$AR$55,4,FALSE))</f>
        <v>36</v>
      </c>
      <c r="K51" s="12">
        <f>(VLOOKUP(main!S51,main!$AO$4:$AR$55,4,FALSE))</f>
        <v>36</v>
      </c>
      <c r="L51" s="12">
        <f>(VLOOKUP(main!T51,main!$AO$4:$AR$55,4,FALSE))</f>
        <v>36</v>
      </c>
      <c r="M51" s="12">
        <f>(VLOOKUP(main!U51,main!$AO$4:$AR$55,4,FALSE))</f>
        <v>36</v>
      </c>
      <c r="N51" s="12">
        <f>(VLOOKUP(main!V51,main!$AO$4:$AR$55,4,FALSE))</f>
        <v>36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40</v>
      </c>
      <c r="R51" s="12">
        <f>(VLOOKUP(main!Z51,main!$AO$4:$AR$55,4,FALSE))</f>
        <v>40</v>
      </c>
      <c r="S51" s="12">
        <f>(VLOOKUP(main!AA51,main!$AO$4:$AR$55,4,FALSE))</f>
        <v>40</v>
      </c>
      <c r="T51" s="12">
        <f>(VLOOKUP(main!AB51,main!$AO$4:$AR$55,4,FALSE))</f>
        <v>40</v>
      </c>
      <c r="U51" s="12">
        <f>(VLOOKUP(main!AC51,main!$AO$4:$AR$55,4,FALSE))</f>
        <v>40</v>
      </c>
      <c r="V51" s="12">
        <f>(VLOOKUP(main!AD51,main!$AO$4:$AR$55,4,FALSE))</f>
        <v>40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36</v>
      </c>
      <c r="J52" s="12">
        <f>(VLOOKUP(main!R52,main!$AO$4:$AR$55,4,FALSE))</f>
        <v>36</v>
      </c>
      <c r="K52" s="12">
        <f>(VLOOKUP(main!S52,main!$AO$4:$AR$55,4,FALSE))</f>
        <v>36</v>
      </c>
      <c r="L52" s="12">
        <f>(VLOOKUP(main!T52,main!$AO$4:$AR$55,4,FALSE))</f>
        <v>36</v>
      </c>
      <c r="M52" s="12">
        <f>(VLOOKUP(main!U52,main!$AO$4:$AR$55,4,FALSE))</f>
        <v>29.110982162825401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40</v>
      </c>
      <c r="S52" s="12">
        <f>(VLOOKUP(main!AA52,main!$AO$4:$AR$55,4,FALSE))</f>
        <v>40</v>
      </c>
      <c r="T52" s="12">
        <f>(VLOOKUP(main!AB52,main!$AO$4:$AR$55,4,FALSE))</f>
        <v>40</v>
      </c>
      <c r="U52" s="12">
        <f>(VLOOKUP(main!AC52,main!$AO$4:$AR$55,4,FALSE))</f>
        <v>0</v>
      </c>
      <c r="V52" s="12">
        <f>(VLOOKUP(main!AD52,main!$AO$4:$AR$55,4,FALSE))</f>
        <v>40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36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40</v>
      </c>
      <c r="R53" s="12">
        <f>(VLOOKUP(main!Z53,main!$AO$4:$AR$55,4,FALSE))</f>
        <v>40</v>
      </c>
      <c r="S53" s="12">
        <f>(VLOOKUP(main!AA53,main!$AO$4:$AR$55,4,FALSE))</f>
        <v>40</v>
      </c>
      <c r="T53" s="12">
        <f>(VLOOKUP(main!AB53,main!$AO$4:$AR$55,4,FALSE))</f>
        <v>40</v>
      </c>
      <c r="U53" s="12">
        <f>(VLOOKUP(main!AC53,main!$AO$4:$AR$55,4,FALSE))</f>
        <v>40</v>
      </c>
      <c r="V53" s="12">
        <f>(VLOOKUP(main!AD53,main!$AO$4:$AR$55,4,FALSE))</f>
        <v>40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36</v>
      </c>
      <c r="J54" s="12">
        <f>(VLOOKUP(main!R54,main!$AO$4:$AR$55,4,FALSE))</f>
        <v>38</v>
      </c>
      <c r="K54" s="12">
        <f>(VLOOKUP(main!S54,main!$AO$4:$AR$55,4,FALSE))</f>
        <v>38</v>
      </c>
      <c r="L54" s="12">
        <f>(VLOOKUP(main!T54,main!$AO$4:$AR$55,4,FALSE))</f>
        <v>36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40</v>
      </c>
      <c r="R54" s="12">
        <f>(VLOOKUP(main!Z54,main!$AO$4:$AR$55,4,FALSE))</f>
        <v>36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38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10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38</v>
      </c>
      <c r="V55" s="12">
        <f>(VLOOKUP(main!AD55,main!$AO$4:$AR$55,4,FALSE))</f>
        <v>38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36</v>
      </c>
      <c r="J56" s="12">
        <f>(VLOOKUP(main!R56,main!$AO$4:$AR$55,4,FALSE))</f>
        <v>38</v>
      </c>
      <c r="K56" s="12">
        <f>(VLOOKUP(main!S56,main!$AO$4:$AR$55,4,FALSE))</f>
        <v>36</v>
      </c>
      <c r="L56" s="12">
        <f>(VLOOKUP(main!T56,main!$AO$4:$AR$55,4,FALSE))</f>
        <v>36</v>
      </c>
      <c r="M56" s="12">
        <f>(VLOOKUP(main!U56,main!$AO$4:$AR$55,4,FALSE))</f>
        <v>36</v>
      </c>
      <c r="N56" s="12">
        <f>(VLOOKUP(main!V56,main!$AO$4:$AR$55,4,FALSE))</f>
        <v>36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38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36</v>
      </c>
      <c r="K57" s="12">
        <f>(VLOOKUP(main!S57,main!$AO$4:$AR$55,4,FALSE))</f>
        <v>36</v>
      </c>
      <c r="L57" s="12">
        <f>(VLOOKUP(main!T57,main!$AO$4:$AR$55,4,FALSE))</f>
        <v>36</v>
      </c>
      <c r="M57" s="12">
        <f>(VLOOKUP(main!U57,main!$AO$4:$AR$55,4,FALSE))</f>
        <v>36</v>
      </c>
      <c r="N57" s="12">
        <f>(VLOOKUP(main!V57,main!$AO$4:$AR$55,4,FALSE))</f>
        <v>29.110982162825401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38</v>
      </c>
      <c r="R57" s="12">
        <f>(VLOOKUP(main!Z57,main!$AO$4:$AR$55,4,FALSE))</f>
        <v>36</v>
      </c>
      <c r="S57" s="12">
        <f>(VLOOKUP(main!AA57,main!$AO$4:$AR$55,4,FALSE))</f>
        <v>29.110982162825401</v>
      </c>
      <c r="T57" s="12">
        <f>(VLOOKUP(main!AB57,main!$AO$4:$AR$55,4,FALSE))</f>
        <v>38</v>
      </c>
      <c r="U57" s="12">
        <f>(VLOOKUP(main!AC57,main!$AO$4:$AR$55,4,FALSE))</f>
        <v>38</v>
      </c>
      <c r="V57" s="12">
        <f>(VLOOKUP(main!AD57,main!$AO$4:$AR$55,4,FALSE))</f>
        <v>38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36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38</v>
      </c>
      <c r="R58" s="12">
        <f>(VLOOKUP(main!Z58,main!$AO$4:$AR$55,4,FALSE))</f>
        <v>38</v>
      </c>
      <c r="S58" s="12">
        <f>(VLOOKUP(main!AA58,main!$AO$4:$AR$55,4,FALSE))</f>
        <v>38</v>
      </c>
      <c r="T58" s="12">
        <f>(VLOOKUP(main!AB58,main!$AO$4:$AR$55,4,FALSE))</f>
        <v>38</v>
      </c>
      <c r="U58" s="12">
        <f>(VLOOKUP(main!AC58,main!$AO$4:$AR$55,4,FALSE))</f>
        <v>38</v>
      </c>
      <c r="V58" s="12">
        <f>(VLOOKUP(main!AD58,main!$AO$4:$AR$55,4,FALSE))</f>
        <v>38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36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38</v>
      </c>
      <c r="R59" s="12">
        <f>(VLOOKUP(main!Z59,main!$AO$4:$AR$55,4,FALSE))</f>
        <v>38</v>
      </c>
      <c r="S59" s="12">
        <f>(VLOOKUP(main!AA59,main!$AO$4:$AR$55,4,FALSE))</f>
        <v>38</v>
      </c>
      <c r="T59" s="12">
        <f>(VLOOKUP(main!AB59,main!$AO$4:$AR$55,4,FALSE))</f>
        <v>38</v>
      </c>
      <c r="U59" s="12">
        <f>(VLOOKUP(main!AC59,main!$AO$4:$AR$55,4,FALSE))</f>
        <v>38</v>
      </c>
      <c r="V59" s="12">
        <f>(VLOOKUP(main!AD59,main!$AO$4:$AR$55,4,FALSE))</f>
        <v>38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36</v>
      </c>
      <c r="J60" s="12">
        <f>(VLOOKUP(main!R60,main!$AO$4:$AR$55,4,FALSE))</f>
        <v>36</v>
      </c>
      <c r="K60" s="12">
        <f>(VLOOKUP(main!S60,main!$AO$4:$AR$55,4,FALSE))</f>
        <v>29.110982162825401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38</v>
      </c>
      <c r="R60" s="12">
        <f>(VLOOKUP(main!Z60,main!$AO$4:$AR$55,4,FALSE))</f>
        <v>38</v>
      </c>
      <c r="S60" s="12">
        <f>(VLOOKUP(main!AA60,main!$AO$4:$AR$55,4,FALSE))</f>
        <v>38</v>
      </c>
      <c r="T60" s="12">
        <f>(VLOOKUP(main!AB60,main!$AO$4:$AR$55,4,FALSE))</f>
        <v>38</v>
      </c>
      <c r="U60" s="12">
        <f>(VLOOKUP(main!AC60,main!$AO$4:$AR$55,4,FALSE))</f>
        <v>38</v>
      </c>
      <c r="V60" s="12">
        <f>(VLOOKUP(main!AD60,main!$AO$4:$AR$55,4,FALSE))</f>
        <v>38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36</v>
      </c>
      <c r="J62" s="12">
        <f>(VLOOKUP(main!R62,main!$AO$4:$AR$55,4,FALSE))</f>
        <v>36</v>
      </c>
      <c r="K62" s="12">
        <f>(VLOOKUP(main!S62,main!$AO$4:$AR$55,4,FALSE))</f>
        <v>36</v>
      </c>
      <c r="L62" s="12">
        <f>(VLOOKUP(main!T62,main!$AO$4:$AR$55,4,FALSE))</f>
        <v>36</v>
      </c>
      <c r="M62" s="12">
        <f>(VLOOKUP(main!U62,main!$AO$4:$AR$55,4,FALSE))</f>
        <v>36</v>
      </c>
      <c r="N62" s="12">
        <f>(VLOOKUP(main!V62,main!$AO$4:$AR$55,4,FALSE))</f>
        <v>36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36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36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38</v>
      </c>
      <c r="S63" s="12">
        <f>(VLOOKUP(main!AA63,main!$AO$4:$AR$55,4,FALSE))</f>
        <v>38</v>
      </c>
      <c r="T63" s="12">
        <f>(VLOOKUP(main!AB63,main!$AO$4:$AR$55,4,FALSE))</f>
        <v>38</v>
      </c>
      <c r="U63" s="12">
        <f>(VLOOKUP(main!AC63,main!$AO$4:$AR$55,4,FALSE))</f>
        <v>38</v>
      </c>
      <c r="V63" s="12">
        <f>(VLOOKUP(main!AD63,main!$AO$4:$AR$55,4,FALSE))</f>
        <v>38</v>
      </c>
      <c r="W63" s="12">
        <f>(VLOOKUP(main!AE63,main!$AO$4:$AR$55,4,FALSE))</f>
        <v>38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36</v>
      </c>
      <c r="J64" s="12">
        <f>(VLOOKUP(main!R64,main!$AO$4:$AR$55,4,FALSE))</f>
        <v>36</v>
      </c>
      <c r="K64" s="12">
        <f>(VLOOKUP(main!S64,main!$AO$4:$AR$55,4,FALSE))</f>
        <v>38</v>
      </c>
      <c r="L64" s="12">
        <f>(VLOOKUP(main!T64,main!$AO$4:$AR$55,4,FALSE))</f>
        <v>36</v>
      </c>
      <c r="M64" s="12">
        <f>(VLOOKUP(main!U64,main!$AO$4:$AR$55,4,FALSE))</f>
        <v>36</v>
      </c>
      <c r="N64" s="12">
        <f>(VLOOKUP(main!V64,main!$AO$4:$AR$55,4,FALSE))</f>
        <v>36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38</v>
      </c>
      <c r="J65" s="12">
        <f>(VLOOKUP(main!R65,main!$AO$4:$AR$55,4,FALSE))</f>
        <v>36</v>
      </c>
      <c r="K65" s="12">
        <f>(VLOOKUP(main!S65,main!$AO$4:$AR$55,4,FALSE))</f>
        <v>36</v>
      </c>
      <c r="L65" s="12">
        <f>(VLOOKUP(main!T65,main!$AO$4:$AR$55,4,FALSE))</f>
        <v>36</v>
      </c>
      <c r="M65" s="12">
        <f>(VLOOKUP(main!U65,main!$AO$4:$AR$55,4,FALSE))</f>
        <v>38</v>
      </c>
      <c r="N65" s="12">
        <f>(VLOOKUP(main!V65,main!$AO$4:$AR$55,4,FALSE))</f>
        <v>38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38</v>
      </c>
      <c r="R65" s="12">
        <f>(VLOOKUP(main!Z65,main!$AO$4:$AR$55,4,FALSE))</f>
        <v>38</v>
      </c>
      <c r="S65" s="12">
        <f>(VLOOKUP(main!AA65,main!$AO$4:$AR$55,4,FALSE))</f>
        <v>34</v>
      </c>
      <c r="T65" s="12">
        <f>(VLOOKUP(main!AB65,main!$AO$4:$AR$55,4,FALSE))</f>
        <v>34</v>
      </c>
      <c r="U65" s="12">
        <f>(VLOOKUP(main!AC65,main!$AO$4:$AR$55,4,FALSE))</f>
        <v>10</v>
      </c>
      <c r="V65" s="12">
        <f>(VLOOKUP(main!AD65,main!$AO$4:$AR$55,4,FALSE))</f>
        <v>38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36</v>
      </c>
      <c r="J66" s="12">
        <f>(VLOOKUP(main!R66,main!$AO$4:$AR$55,4,FALSE))</f>
        <v>36</v>
      </c>
      <c r="K66" s="12">
        <f>(VLOOKUP(main!S66,main!$AO$4:$AR$55,4,FALSE))</f>
        <v>36</v>
      </c>
      <c r="L66" s="12">
        <f>(VLOOKUP(main!T66,main!$AO$4:$AR$55,4,FALSE))</f>
        <v>36</v>
      </c>
      <c r="M66" s="12">
        <f>(VLOOKUP(main!U66,main!$AO$4:$AR$55,4,FALSE))</f>
        <v>38</v>
      </c>
      <c r="N66" s="12">
        <f>(VLOOKUP(main!V66,main!$AO$4:$AR$55,4,FALSE))</f>
        <v>36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34</v>
      </c>
      <c r="R66" s="12">
        <f>(VLOOKUP(main!Z66,main!$AO$4:$AR$55,4,FALSE))</f>
        <v>29.110982162825401</v>
      </c>
      <c r="S66" s="12">
        <f>(VLOOKUP(main!AA66,main!$AO$4:$AR$55,4,FALSE))</f>
        <v>34</v>
      </c>
      <c r="T66" s="12">
        <f>(VLOOKUP(main!AB66,main!$AO$4:$AR$55,4,FALSE))</f>
        <v>34</v>
      </c>
      <c r="U66" s="12">
        <f>(VLOOKUP(main!AC66,main!$AO$4:$AR$55,4,FALSE))</f>
        <v>34</v>
      </c>
      <c r="V66" s="12">
        <f>(VLOOKUP(main!AD66,main!$AO$4:$AR$55,4,FALSE))</f>
        <v>34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36</v>
      </c>
      <c r="J67" s="12">
        <f>(VLOOKUP(main!R67,main!$AO$4:$AR$55,4,FALSE))</f>
        <v>36</v>
      </c>
      <c r="K67" s="12">
        <f>(VLOOKUP(main!S67,main!$AO$4:$AR$55,4,FALSE))</f>
        <v>36</v>
      </c>
      <c r="L67" s="12">
        <f>(VLOOKUP(main!T67,main!$AO$4:$AR$55,4,FALSE))</f>
        <v>36</v>
      </c>
      <c r="M67" s="12">
        <f>(VLOOKUP(main!U67,main!$AO$4:$AR$55,4,FALSE))</f>
        <v>36</v>
      </c>
      <c r="N67" s="12">
        <f>(VLOOKUP(main!V67,main!$AO$4:$AR$55,4,FALSE))</f>
        <v>36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34</v>
      </c>
      <c r="R67" s="12">
        <f>(VLOOKUP(main!Z67,main!$AO$4:$AR$55,4,FALSE))</f>
        <v>34</v>
      </c>
      <c r="S67" s="12">
        <f>(VLOOKUP(main!AA67,main!$AO$4:$AR$55,4,FALSE))</f>
        <v>29.110982162825401</v>
      </c>
      <c r="T67" s="12">
        <f>(VLOOKUP(main!AB67,main!$AO$4:$AR$55,4,FALSE))</f>
        <v>34</v>
      </c>
      <c r="U67" s="12">
        <f>(VLOOKUP(main!AC67,main!$AO$4:$AR$55,4,FALSE))</f>
        <v>34</v>
      </c>
      <c r="V67" s="12">
        <f>(VLOOKUP(main!AD67,main!$AO$4:$AR$55,4,FALSE))</f>
        <v>29.110982162825401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36</v>
      </c>
      <c r="J68" s="12">
        <f>(VLOOKUP(main!R68,main!$AO$4:$AR$55,4,FALSE))</f>
        <v>38</v>
      </c>
      <c r="K68" s="12">
        <f>(VLOOKUP(main!S68,main!$AO$4:$AR$55,4,FALSE))</f>
        <v>36</v>
      </c>
      <c r="L68" s="12">
        <f>(VLOOKUP(main!T68,main!$AO$4:$AR$55,4,FALSE))</f>
        <v>36</v>
      </c>
      <c r="M68" s="12">
        <f>(VLOOKUP(main!U68,main!$AO$4:$AR$55,4,FALSE))</f>
        <v>36</v>
      </c>
      <c r="N68" s="12">
        <f>(VLOOKUP(main!V68,main!$AO$4:$AR$55,4,FALSE))</f>
        <v>36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34</v>
      </c>
      <c r="R68" s="12">
        <f>(VLOOKUP(main!Z68,main!$AO$4:$AR$55,4,FALSE))</f>
        <v>34</v>
      </c>
      <c r="S68" s="12">
        <f>(VLOOKUP(main!AA68,main!$AO$4:$AR$55,4,FALSE))</f>
        <v>34</v>
      </c>
      <c r="T68" s="12">
        <f>(VLOOKUP(main!AB68,main!$AO$4:$AR$55,4,FALSE))</f>
        <v>29.110982162825401</v>
      </c>
      <c r="U68" s="12">
        <f>(VLOOKUP(main!AC68,main!$AO$4:$AR$55,4,FALSE))</f>
        <v>34</v>
      </c>
      <c r="V68" s="12">
        <f>(VLOOKUP(main!AD68,main!$AO$4:$AR$55,4,FALSE))</f>
        <v>34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38</v>
      </c>
      <c r="J69" s="12">
        <f>(VLOOKUP(main!R69,main!$AO$4:$AR$55,4,FALSE))</f>
        <v>36</v>
      </c>
      <c r="K69" s="12">
        <f>(VLOOKUP(main!S69,main!$AO$4:$AR$55,4,FALSE))</f>
        <v>36</v>
      </c>
      <c r="L69" s="12">
        <f>(VLOOKUP(main!T69,main!$AO$4:$AR$55,4,FALSE))</f>
        <v>36</v>
      </c>
      <c r="M69" s="12">
        <f>(VLOOKUP(main!U69,main!$AO$4:$AR$55,4,FALSE))</f>
        <v>36</v>
      </c>
      <c r="N69" s="12">
        <f>(VLOOKUP(main!V69,main!$AO$4:$AR$55,4,FALSE))</f>
        <v>36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13.9998549331786</v>
      </c>
      <c r="R69" s="12">
        <f>(VLOOKUP(main!Z69,main!$AO$4:$AR$55,4,FALSE))</f>
        <v>34</v>
      </c>
      <c r="S69" s="12">
        <f>(VLOOKUP(main!AA69,main!$AO$4:$AR$55,4,FALSE))</f>
        <v>34</v>
      </c>
      <c r="T69" s="12">
        <f>(VLOOKUP(main!AB69,main!$AO$4:$AR$55,4,FALSE))</f>
        <v>34</v>
      </c>
      <c r="U69" s="12">
        <f>(VLOOKUP(main!AC69,main!$AO$4:$AR$55,4,FALSE))</f>
        <v>10</v>
      </c>
      <c r="V69" s="12">
        <f>(VLOOKUP(main!AD69,main!$AO$4:$AR$55,4,FALSE))</f>
        <v>34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36</v>
      </c>
      <c r="J70" s="12">
        <f>(VLOOKUP(main!R70,main!$AO$4:$AR$55,4,FALSE))</f>
        <v>36</v>
      </c>
      <c r="K70" s="12">
        <f>(VLOOKUP(main!S70,main!$AO$4:$AR$55,4,FALSE))</f>
        <v>36</v>
      </c>
      <c r="L70" s="12">
        <f>(VLOOKUP(main!T70,main!$AO$4:$AR$55,4,FALSE))</f>
        <v>36</v>
      </c>
      <c r="M70" s="12">
        <f>(VLOOKUP(main!U70,main!$AO$4:$AR$55,4,FALSE))</f>
        <v>36</v>
      </c>
      <c r="N70" s="12">
        <f>(VLOOKUP(main!V70,main!$AO$4:$AR$55,4,FALSE))</f>
        <v>36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34</v>
      </c>
      <c r="R70" s="12">
        <f>(VLOOKUP(main!Z70,main!$AO$4:$AR$55,4,FALSE))</f>
        <v>29.110982162825401</v>
      </c>
      <c r="S70" s="12">
        <f>(VLOOKUP(main!AA70,main!$AO$4:$AR$55,4,FALSE))</f>
        <v>34</v>
      </c>
      <c r="T70" s="12">
        <f>(VLOOKUP(main!AB70,main!$AO$4:$AR$55,4,FALSE))</f>
        <v>34</v>
      </c>
      <c r="U70" s="12">
        <f>(VLOOKUP(main!AC70,main!$AO$4:$AR$55,4,FALSE))</f>
        <v>29.110982162825401</v>
      </c>
      <c r="V70" s="12">
        <f>(VLOOKUP(main!AD70,main!$AO$4:$AR$55,4,FALSE))</f>
        <v>34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36</v>
      </c>
      <c r="J71" s="12">
        <f>(VLOOKUP(main!R71,main!$AO$4:$AR$55,4,FALSE))</f>
        <v>36</v>
      </c>
      <c r="K71" s="12">
        <f>(VLOOKUP(main!S71,main!$AO$4:$AR$55,4,FALSE))</f>
        <v>36</v>
      </c>
      <c r="L71" s="12">
        <f>(VLOOKUP(main!T71,main!$AO$4:$AR$55,4,FALSE))</f>
        <v>36</v>
      </c>
      <c r="M71" s="12">
        <f>(VLOOKUP(main!U71,main!$AO$4:$AR$55,4,FALSE))</f>
        <v>36</v>
      </c>
      <c r="N71" s="12">
        <f>(VLOOKUP(main!V71,main!$AO$4:$AR$55,4,FALSE))</f>
        <v>38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34</v>
      </c>
      <c r="R71" s="12">
        <f>(VLOOKUP(main!Z71,main!$AO$4:$AR$55,4,FALSE))</f>
        <v>34</v>
      </c>
      <c r="S71" s="12">
        <f>(VLOOKUP(main!AA71,main!$AO$4:$AR$55,4,FALSE))</f>
        <v>34</v>
      </c>
      <c r="T71" s="12">
        <f>(VLOOKUP(main!AB71,main!$AO$4:$AR$55,4,FALSE))</f>
        <v>34</v>
      </c>
      <c r="U71" s="12">
        <f>(VLOOKUP(main!AC71,main!$AO$4:$AR$55,4,FALSE))</f>
        <v>34</v>
      </c>
      <c r="V71" s="12">
        <f>(VLOOKUP(main!AD71,main!$AO$4:$AR$55,4,FALSE))</f>
        <v>29.110982162825401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36</v>
      </c>
      <c r="J72" s="12">
        <f>(VLOOKUP(main!R72,main!$AO$4:$AR$55,4,FALSE))</f>
        <v>36</v>
      </c>
      <c r="K72" s="12">
        <f>(VLOOKUP(main!S72,main!$AO$4:$AR$55,4,FALSE))</f>
        <v>36</v>
      </c>
      <c r="L72" s="12">
        <f>(VLOOKUP(main!T72,main!$AO$4:$AR$55,4,FALSE))</f>
        <v>36</v>
      </c>
      <c r="M72" s="12">
        <f>(VLOOKUP(main!U72,main!$AO$4:$AR$55,4,FALSE))</f>
        <v>36</v>
      </c>
      <c r="N72" s="12">
        <f>(VLOOKUP(main!V72,main!$AO$4:$AR$55,4,FALSE))</f>
        <v>36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34</v>
      </c>
      <c r="R72" s="12">
        <f>(VLOOKUP(main!Z72,main!$AO$4:$AR$55,4,FALSE))</f>
        <v>34</v>
      </c>
      <c r="S72" s="12">
        <f>(VLOOKUP(main!AA72,main!$AO$4:$AR$55,4,FALSE))</f>
        <v>34</v>
      </c>
      <c r="T72" s="12">
        <f>(VLOOKUP(main!AB72,main!$AO$4:$AR$55,4,FALSE))</f>
        <v>34</v>
      </c>
      <c r="U72" s="12">
        <f>(VLOOKUP(main!AC72,main!$AO$4:$AR$55,4,FALSE))</f>
        <v>34</v>
      </c>
      <c r="V72" s="12">
        <f>(VLOOKUP(main!AD72,main!$AO$4:$AR$55,4,FALSE))</f>
        <v>34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36</v>
      </c>
      <c r="J73" s="12">
        <f>(VLOOKUP(main!R73,main!$AO$4:$AR$55,4,FALSE))</f>
        <v>36</v>
      </c>
      <c r="K73" s="12">
        <f>(VLOOKUP(main!S73,main!$AO$4:$AR$55,4,FALSE))</f>
        <v>0</v>
      </c>
      <c r="L73" s="12">
        <f>(VLOOKUP(main!T73,main!$AO$4:$AR$55,4,FALSE))</f>
        <v>36</v>
      </c>
      <c r="M73" s="12">
        <f>(VLOOKUP(main!U73,main!$AO$4:$AR$55,4,FALSE))</f>
        <v>36</v>
      </c>
      <c r="N73" s="12">
        <f>(VLOOKUP(main!V73,main!$AO$4:$AR$55,4,FALSE))</f>
        <v>36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29.110982162825401</v>
      </c>
      <c r="R73" s="12">
        <f>(VLOOKUP(main!Z73,main!$AO$4:$AR$55,4,FALSE))</f>
        <v>34</v>
      </c>
      <c r="S73" s="12">
        <f>(VLOOKUP(main!AA73,main!$AO$4:$AR$55,4,FALSE))</f>
        <v>13.9998549331786</v>
      </c>
      <c r="T73" s="12">
        <f>(VLOOKUP(main!AB73,main!$AO$4:$AR$55,4,FALSE))</f>
        <v>34</v>
      </c>
      <c r="U73" s="12">
        <f>(VLOOKUP(main!AC73,main!$AO$4:$AR$55,4,FALSE))</f>
        <v>34</v>
      </c>
      <c r="V73" s="12">
        <f>(VLOOKUP(main!AD73,main!$AO$4:$AR$55,4,FALSE))</f>
        <v>29.110982162825401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36</v>
      </c>
      <c r="J74" s="12">
        <f>(VLOOKUP(main!R74,main!$AO$4:$AR$55,4,FALSE))</f>
        <v>36</v>
      </c>
      <c r="K74" s="12">
        <f>(VLOOKUP(main!S74,main!$AO$4:$AR$55,4,FALSE))</f>
        <v>10</v>
      </c>
      <c r="L74" s="12">
        <f>(VLOOKUP(main!T74,main!$AO$4:$AR$55,4,FALSE))</f>
        <v>36</v>
      </c>
      <c r="M74" s="12">
        <f>(VLOOKUP(main!U74,main!$AO$4:$AR$55,4,FALSE))</f>
        <v>36</v>
      </c>
      <c r="N74" s="12">
        <f>(VLOOKUP(main!V74,main!$AO$4:$AR$55,4,FALSE))</f>
        <v>36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34</v>
      </c>
      <c r="R74" s="12">
        <f>(VLOOKUP(main!Z74,main!$AO$4:$AR$55,4,FALSE))</f>
        <v>34</v>
      </c>
      <c r="S74" s="12">
        <f>(VLOOKUP(main!AA74,main!$AO$4:$AR$55,4,FALSE))</f>
        <v>34</v>
      </c>
      <c r="T74" s="12">
        <f>(VLOOKUP(main!AB74,main!$AO$4:$AR$55,4,FALSE))</f>
        <v>34</v>
      </c>
      <c r="U74" s="12">
        <f>(VLOOKUP(main!AC74,main!$AO$4:$AR$55,4,FALSE))</f>
        <v>34</v>
      </c>
      <c r="V74" s="12">
        <f>(VLOOKUP(main!AD74,main!$AO$4:$AR$55,4,FALSE))</f>
        <v>34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36</v>
      </c>
      <c r="L75" s="12">
        <f>(VLOOKUP(main!T75,main!$AO$4:$AR$55,4,FALSE))</f>
        <v>36</v>
      </c>
      <c r="M75" s="12">
        <f>(VLOOKUP(main!U75,main!$AO$4:$AR$55,4,FALSE))</f>
        <v>36</v>
      </c>
      <c r="N75" s="12">
        <f>(VLOOKUP(main!V75,main!$AO$4:$AR$55,4,FALSE))</f>
        <v>36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34</v>
      </c>
      <c r="R75" s="12">
        <f>(VLOOKUP(main!Z75,main!$AO$4:$AR$55,4,FALSE))</f>
        <v>34</v>
      </c>
      <c r="S75" s="12">
        <f>(VLOOKUP(main!AA75,main!$AO$4:$AR$55,4,FALSE))</f>
        <v>34</v>
      </c>
      <c r="T75" s="12">
        <f>(VLOOKUP(main!AB75,main!$AO$4:$AR$55,4,FALSE))</f>
        <v>34</v>
      </c>
      <c r="U75" s="12">
        <f>(VLOOKUP(main!AC75,main!$AO$4:$AR$55,4,FALSE))</f>
        <v>34</v>
      </c>
      <c r="V75" s="12">
        <f>(VLOOKUP(main!AD75,main!$AO$4:$AR$55,4,FALSE))</f>
        <v>38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36</v>
      </c>
      <c r="J76" s="12">
        <f>(VLOOKUP(main!R76,main!$AO$4:$AR$55,4,FALSE))</f>
        <v>36</v>
      </c>
      <c r="K76" s="12">
        <f>(VLOOKUP(main!S76,main!$AO$4:$AR$55,4,FALSE))</f>
        <v>36</v>
      </c>
      <c r="L76" s="12">
        <f>(VLOOKUP(main!T76,main!$AO$4:$AR$55,4,FALSE))</f>
        <v>36</v>
      </c>
      <c r="M76" s="12">
        <f>(VLOOKUP(main!U76,main!$AO$4:$AR$55,4,FALSE))</f>
        <v>36</v>
      </c>
      <c r="N76" s="12">
        <f>(VLOOKUP(main!V76,main!$AO$4:$AR$55,4,FALSE))</f>
        <v>36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38</v>
      </c>
      <c r="R76" s="12">
        <f>(VLOOKUP(main!Z76,main!$AO$4:$AR$55,4,FALSE))</f>
        <v>38</v>
      </c>
      <c r="S76" s="12">
        <f>(VLOOKUP(main!AA76,main!$AO$4:$AR$55,4,FALSE))</f>
        <v>38</v>
      </c>
      <c r="T76" s="12">
        <f>(VLOOKUP(main!AB76,main!$AO$4:$AR$55,4,FALSE))</f>
        <v>38</v>
      </c>
      <c r="U76" s="12">
        <f>(VLOOKUP(main!AC76,main!$AO$4:$AR$55,4,FALSE))</f>
        <v>38</v>
      </c>
      <c r="V76" s="12">
        <f>(VLOOKUP(main!AD76,main!$AO$4:$AR$55,4,FALSE))</f>
        <v>38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29.110982162825401</v>
      </c>
      <c r="J77" s="12">
        <f>(VLOOKUP(main!R77,main!$AO$4:$AR$55,4,FALSE))</f>
        <v>36</v>
      </c>
      <c r="K77" s="12">
        <f>(VLOOKUP(main!S77,main!$AO$4:$AR$55,4,FALSE))</f>
        <v>36</v>
      </c>
      <c r="L77" s="12">
        <f>(VLOOKUP(main!T77,main!$AO$4:$AR$55,4,FALSE))</f>
        <v>36</v>
      </c>
      <c r="M77" s="12">
        <f>(VLOOKUP(main!U77,main!$AO$4:$AR$55,4,FALSE))</f>
        <v>36</v>
      </c>
      <c r="N77" s="12">
        <f>(VLOOKUP(main!V77,main!$AO$4:$AR$55,4,FALSE))</f>
        <v>36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38</v>
      </c>
      <c r="R77" s="12">
        <f>(VLOOKUP(main!Z77,main!$AO$4:$AR$55,4,FALSE))</f>
        <v>38</v>
      </c>
      <c r="S77" s="12">
        <f>(VLOOKUP(main!AA77,main!$AO$4:$AR$55,4,FALSE))</f>
        <v>38</v>
      </c>
      <c r="T77" s="12">
        <f>(VLOOKUP(main!AB77,main!$AO$4:$AR$55,4,FALSE))</f>
        <v>38</v>
      </c>
      <c r="U77" s="12">
        <f>(VLOOKUP(main!AC77,main!$AO$4:$AR$55,4,FALSE))</f>
        <v>38</v>
      </c>
      <c r="V77" s="12">
        <f>(VLOOKUP(main!AD77,main!$AO$4:$AR$55,4,FALSE))</f>
        <v>38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36</v>
      </c>
      <c r="J78" s="12">
        <f>(VLOOKUP(main!R78,main!$AO$4:$AR$55,4,FALSE))</f>
        <v>38</v>
      </c>
      <c r="K78" s="12">
        <f>(VLOOKUP(main!S78,main!$AO$4:$AR$55,4,FALSE))</f>
        <v>38</v>
      </c>
      <c r="L78" s="12">
        <f>(VLOOKUP(main!T78,main!$AO$4:$AR$55,4,FALSE))</f>
        <v>36</v>
      </c>
      <c r="M78" s="12">
        <f>(VLOOKUP(main!U78,main!$AO$4:$AR$55,4,FALSE))</f>
        <v>36</v>
      </c>
      <c r="N78" s="12">
        <f>(VLOOKUP(main!V78,main!$AO$4:$AR$55,4,FALSE))</f>
        <v>36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38</v>
      </c>
      <c r="R78" s="12">
        <f>(VLOOKUP(main!Z78,main!$AO$4:$AR$55,4,FALSE))</f>
        <v>38</v>
      </c>
      <c r="S78" s="12">
        <f>(VLOOKUP(main!AA78,main!$AO$4:$AR$55,4,FALSE))</f>
        <v>38</v>
      </c>
      <c r="T78" s="12">
        <f>(VLOOKUP(main!AB78,main!$AO$4:$AR$55,4,FALSE))</f>
        <v>38</v>
      </c>
      <c r="U78" s="12">
        <f>(VLOOKUP(main!AC78,main!$AO$4:$AR$55,4,FALSE))</f>
        <v>38</v>
      </c>
      <c r="V78" s="12">
        <f>(VLOOKUP(main!AD78,main!$AO$4:$AR$55,4,FALSE))</f>
        <v>38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36</v>
      </c>
      <c r="J79" s="12">
        <f>(VLOOKUP(main!R79,main!$AO$4:$AR$55,4,FALSE))</f>
        <v>36</v>
      </c>
      <c r="K79" s="12">
        <f>(VLOOKUP(main!S79,main!$AO$4:$AR$55,4,FALSE))</f>
        <v>36</v>
      </c>
      <c r="L79" s="12">
        <f>(VLOOKUP(main!T79,main!$AO$4:$AR$55,4,FALSE))</f>
        <v>36</v>
      </c>
      <c r="M79" s="12">
        <f>(VLOOKUP(main!U79,main!$AO$4:$AR$55,4,FALSE))</f>
        <v>36</v>
      </c>
      <c r="N79" s="12">
        <f>(VLOOKUP(main!V79,main!$AO$4:$AR$55,4,FALSE))</f>
        <v>29.110982162825401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38</v>
      </c>
      <c r="R79" s="12">
        <f>(VLOOKUP(main!Z79,main!$AO$4:$AR$55,4,FALSE))</f>
        <v>38</v>
      </c>
      <c r="S79" s="12">
        <f>(VLOOKUP(main!AA79,main!$AO$4:$AR$55,4,FALSE))</f>
        <v>38</v>
      </c>
      <c r="T79" s="12">
        <f>(VLOOKUP(main!AB79,main!$AO$4:$AR$55,4,FALSE))</f>
        <v>38</v>
      </c>
      <c r="U79" s="12">
        <f>(VLOOKUP(main!AC79,main!$AO$4:$AR$55,4,FALSE))</f>
        <v>38</v>
      </c>
      <c r="V79" s="12">
        <f>(VLOOKUP(main!AD79,main!$AO$4:$AR$55,4,FALSE))</f>
        <v>38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36</v>
      </c>
      <c r="J80" s="12">
        <f>(VLOOKUP(main!R80,main!$AO$4:$AR$55,4,FALSE))</f>
        <v>36</v>
      </c>
      <c r="K80" s="12">
        <f>(VLOOKUP(main!S80,main!$AO$4:$AR$55,4,FALSE))</f>
        <v>36</v>
      </c>
      <c r="L80" s="12">
        <f>(VLOOKUP(main!T80,main!$AO$4:$AR$55,4,FALSE))</f>
        <v>36</v>
      </c>
      <c r="M80" s="12">
        <f>(VLOOKUP(main!U80,main!$AO$4:$AR$55,4,FALSE))</f>
        <v>36</v>
      </c>
      <c r="N80" s="12">
        <f>(VLOOKUP(main!V80,main!$AO$4:$AR$55,4,FALSE))</f>
        <v>34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38</v>
      </c>
      <c r="R80" s="12">
        <f>(VLOOKUP(main!Z80,main!$AO$4:$AR$55,4,FALSE))</f>
        <v>38</v>
      </c>
      <c r="S80" s="12">
        <f>(VLOOKUP(main!AA80,main!$AO$4:$AR$55,4,FALSE))</f>
        <v>38</v>
      </c>
      <c r="T80" s="12">
        <f>(VLOOKUP(main!AB80,main!$AO$4:$AR$55,4,FALSE))</f>
        <v>34</v>
      </c>
      <c r="U80" s="12">
        <f>(VLOOKUP(main!AC80,main!$AO$4:$AR$55,4,FALSE))</f>
        <v>13.9998549331786</v>
      </c>
      <c r="V80" s="12">
        <f>(VLOOKUP(main!AD80,main!$AO$4:$AR$55,4,FALSE))</f>
        <v>38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34</v>
      </c>
      <c r="J81" s="12">
        <f>(VLOOKUP(main!R81,main!$AO$4:$AR$55,4,FALSE))</f>
        <v>34</v>
      </c>
      <c r="K81" s="12">
        <f>(VLOOKUP(main!S81,main!$AO$4:$AR$55,4,FALSE))</f>
        <v>10</v>
      </c>
      <c r="L81" s="12">
        <f>(VLOOKUP(main!T81,main!$AO$4:$AR$55,4,FALSE))</f>
        <v>34</v>
      </c>
      <c r="M81" s="12">
        <f>(VLOOKUP(main!U81,main!$AO$4:$AR$55,4,FALSE))</f>
        <v>34</v>
      </c>
      <c r="N81" s="12">
        <f>(VLOOKUP(main!V81,main!$AO$4:$AR$55,4,FALSE))</f>
        <v>29.110982162825401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38</v>
      </c>
      <c r="R81" s="12">
        <f>(VLOOKUP(main!Z81,main!$AO$4:$AR$55,4,FALSE))</f>
        <v>38</v>
      </c>
      <c r="S81" s="12">
        <f>(VLOOKUP(main!AA81,main!$AO$4:$AR$55,4,FALSE))</f>
        <v>38</v>
      </c>
      <c r="T81" s="12">
        <f>(VLOOKUP(main!AB81,main!$AO$4:$AR$55,4,FALSE))</f>
        <v>29.110982162825401</v>
      </c>
      <c r="U81" s="12">
        <f>(VLOOKUP(main!AC81,main!$AO$4:$AR$55,4,FALSE))</f>
        <v>34</v>
      </c>
      <c r="V81" s="12">
        <f>(VLOOKUP(main!AD81,main!$AO$4:$AR$55,4,FALSE))</f>
        <v>34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34</v>
      </c>
      <c r="N82" s="12">
        <f>(VLOOKUP(main!V82,main!$AO$4:$AR$55,4,FALSE))</f>
        <v>29.110982162825401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34</v>
      </c>
      <c r="R82" s="12">
        <f>(VLOOKUP(main!Z82,main!$AO$4:$AR$55,4,FALSE))</f>
        <v>34</v>
      </c>
      <c r="S82" s="12">
        <f>(VLOOKUP(main!AA82,main!$AO$4:$AR$55,4,FALSE))</f>
        <v>34</v>
      </c>
      <c r="T82" s="12">
        <f>(VLOOKUP(main!AB82,main!$AO$4:$AR$55,4,FALSE))</f>
        <v>34</v>
      </c>
      <c r="U82" s="12">
        <f>(VLOOKUP(main!AC82,main!$AO$4:$AR$55,4,FALSE))</f>
        <v>10</v>
      </c>
      <c r="V82" s="12">
        <f>(VLOOKUP(main!AD82,main!$AO$4:$AR$55,4,FALSE))</f>
        <v>34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29.110982162825401</v>
      </c>
      <c r="M83" s="12">
        <f>(VLOOKUP(main!U83,main!$AO$4:$AR$55,4,FALSE))</f>
        <v>34</v>
      </c>
      <c r="N83" s="12">
        <f>(VLOOKUP(main!V83,main!$AO$4:$AR$55,4,FALSE))</f>
        <v>10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13.9998549331786</v>
      </c>
      <c r="L84" s="12">
        <f>(VLOOKUP(main!T84,main!$AO$4:$AR$55,4,FALSE))</f>
        <v>34</v>
      </c>
      <c r="M84" s="12">
        <f>(VLOOKUP(main!U84,main!$AO$4:$AR$55,4,FALSE))</f>
        <v>29.110982162825401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34</v>
      </c>
      <c r="R84" s="12">
        <f>(VLOOKUP(main!Z84,main!$AO$4:$AR$55,4,FALSE))</f>
        <v>34</v>
      </c>
      <c r="S84" s="12">
        <f>(VLOOKUP(main!AA84,main!$AO$4:$AR$55,4,FALSE))</f>
        <v>34</v>
      </c>
      <c r="T84" s="12">
        <f>(VLOOKUP(main!AB84,main!$AO$4:$AR$55,4,FALSE))</f>
        <v>34</v>
      </c>
      <c r="U84" s="12">
        <f>(VLOOKUP(main!AC84,main!$AO$4:$AR$55,4,FALSE))</f>
        <v>34</v>
      </c>
      <c r="V84" s="12">
        <f>(VLOOKUP(main!AD84,main!$AO$4:$AR$55,4,FALSE))</f>
        <v>34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34</v>
      </c>
      <c r="R85" s="12">
        <f>(VLOOKUP(main!Z85,main!$AO$4:$AR$55,4,FALSE))</f>
        <v>34</v>
      </c>
      <c r="S85" s="12">
        <f>(VLOOKUP(main!AA85,main!$AO$4:$AR$55,4,FALSE))</f>
        <v>34</v>
      </c>
      <c r="T85" s="12">
        <f>(VLOOKUP(main!AB85,main!$AO$4:$AR$55,4,FALSE))</f>
        <v>34</v>
      </c>
      <c r="U85" s="12">
        <f>(VLOOKUP(main!AC85,main!$AO$4:$AR$55,4,FALSE))</f>
        <v>34</v>
      </c>
      <c r="V85" s="12">
        <f>(VLOOKUP(main!AD85,main!$AO$4:$AR$55,4,FALSE))</f>
        <v>34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39.110982162825401</v>
      </c>
      <c r="B86" s="12">
        <f>(VLOOKUP(main!J86,main!$AO$4:$AR$55,4,FALSE))</f>
        <v>39.110982162825401</v>
      </c>
      <c r="C86" s="12">
        <f>(VLOOKUP(main!K86,main!$AO$4:$AR$55,4,FALSE))</f>
        <v>10</v>
      </c>
      <c r="D86" s="12">
        <f>(VLOOKUP(main!L86,main!$AO$4:$AR$55,4,FALSE))</f>
        <v>39.110982162825401</v>
      </c>
      <c r="E86" s="12">
        <f>(VLOOKUP(main!M86,main!$AO$4:$AR$55,4,FALSE))</f>
        <v>39.110982162825401</v>
      </c>
      <c r="F86" s="12">
        <f>(VLOOKUP(main!N86,main!$AO$4:$AR$55,4,FALSE))</f>
        <v>39.110982162825401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13.9998549331786</v>
      </c>
      <c r="J86" s="12">
        <f>(VLOOKUP(main!R86,main!$AO$4:$AR$55,4,FALSE))</f>
        <v>0</v>
      </c>
      <c r="K86" s="12">
        <f>(VLOOKUP(main!S86,main!$AO$4:$AR$55,4,FALSE))</f>
        <v>60</v>
      </c>
      <c r="L86" s="12">
        <f>(VLOOKUP(main!T86,main!$AO$4:$AR$55,4,FALSE))</f>
        <v>40</v>
      </c>
      <c r="M86" s="12">
        <f>(VLOOKUP(main!U86,main!$AO$4:$AR$55,4,FALSE))</f>
        <v>40</v>
      </c>
      <c r="N86" s="12">
        <f>(VLOOKUP(main!V86,main!$AO$4:$AR$55,4,FALSE))</f>
        <v>60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39.110982162825401</v>
      </c>
      <c r="B87" s="12">
        <f>(VLOOKUP(main!J87,main!$AO$4:$AR$55,4,FALSE))</f>
        <v>10</v>
      </c>
      <c r="C87" s="12">
        <f>(VLOOKUP(main!K87,main!$AO$4:$AR$55,4,FALSE))</f>
        <v>44.222109392472198</v>
      </c>
      <c r="D87" s="12">
        <f>(VLOOKUP(main!L87,main!$AO$4:$AR$55,4,FALSE))</f>
        <v>29.110982162825401</v>
      </c>
      <c r="E87" s="12">
        <f>(VLOOKUP(main!M87,main!$AO$4:$AR$55,4,FALSE))</f>
        <v>44.222109392472198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38</v>
      </c>
      <c r="M87" s="12">
        <f>(VLOOKUP(main!U87,main!$AO$4:$AR$55,4,FALSE))</f>
        <v>38</v>
      </c>
      <c r="N87" s="12">
        <f>(VLOOKUP(main!V87,main!$AO$4:$AR$55,4,FALSE))</f>
        <v>38</v>
      </c>
      <c r="O87" s="12">
        <f>(VLOOKUP(main!W87,main!$AO$4:$AR$55,4,FALSE))</f>
        <v>38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10</v>
      </c>
      <c r="B88" s="12">
        <f>(VLOOKUP(main!J88,main!$AO$4:$AR$55,4,FALSE))</f>
        <v>44.222109392472198</v>
      </c>
      <c r="C88" s="12">
        <f>(VLOOKUP(main!K88,main!$AO$4:$AR$55,4,FALSE))</f>
        <v>44.222109392472198</v>
      </c>
      <c r="D88" s="12">
        <f>(VLOOKUP(main!L88,main!$AO$4:$AR$55,4,FALSE))</f>
        <v>39.110982162825401</v>
      </c>
      <c r="E88" s="12">
        <f>(VLOOKUP(main!M88,main!$AO$4:$AR$55,4,FALSE))</f>
        <v>39.110982162825401</v>
      </c>
      <c r="F88" s="12">
        <f>(VLOOKUP(main!N88,main!$AO$4:$AR$55,4,FALSE))</f>
        <v>39.110982162825401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38</v>
      </c>
      <c r="J88" s="12">
        <f>(VLOOKUP(main!R88,main!$AO$4:$AR$55,4,FALSE))</f>
        <v>38</v>
      </c>
      <c r="K88" s="12">
        <f>(VLOOKUP(main!S88,main!$AO$4:$AR$55,4,FALSE))</f>
        <v>38</v>
      </c>
      <c r="L88" s="12">
        <f>(VLOOKUP(main!T88,main!$AO$4:$AR$55,4,FALSE))</f>
        <v>38</v>
      </c>
      <c r="M88" s="12">
        <f>(VLOOKUP(main!U88,main!$AO$4:$AR$55,4,FALSE))</f>
        <v>38</v>
      </c>
      <c r="N88" s="12">
        <f>(VLOOKUP(main!V88,main!$AO$4:$AR$55,4,FALSE))</f>
        <v>38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34</v>
      </c>
      <c r="R88" s="12">
        <f>(VLOOKUP(main!Z88,main!$AO$4:$AR$55,4,FALSE))</f>
        <v>10</v>
      </c>
      <c r="S88" s="12">
        <f>(VLOOKUP(main!AA88,main!$AO$4:$AR$55,4,FALSE))</f>
        <v>34</v>
      </c>
      <c r="T88" s="12">
        <f>(VLOOKUP(main!AB88,main!$AO$4:$AR$55,4,FALSE))</f>
        <v>29.110982162825401</v>
      </c>
      <c r="U88" s="12">
        <f>(VLOOKUP(main!AC88,main!$AO$4:$AR$55,4,FALSE))</f>
        <v>34</v>
      </c>
      <c r="V88" s="12">
        <f>(VLOOKUP(main!AD88,main!$AO$4:$AR$55,4,FALSE))</f>
        <v>34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29.110982162825401</v>
      </c>
      <c r="B89" s="12">
        <f>(VLOOKUP(main!J89,main!$AO$4:$AR$55,4,FALSE))</f>
        <v>39.110982162825401</v>
      </c>
      <c r="C89" s="12">
        <f>(VLOOKUP(main!K89,main!$AO$4:$AR$55,4,FALSE))</f>
        <v>10</v>
      </c>
      <c r="D89" s="12">
        <f>(VLOOKUP(main!L89,main!$AO$4:$AR$55,4,FALSE))</f>
        <v>39.110982162825401</v>
      </c>
      <c r="E89" s="12">
        <f>(VLOOKUP(main!M89,main!$AO$4:$AR$55,4,FALSE))</f>
        <v>29.110982162825401</v>
      </c>
      <c r="F89" s="12">
        <f>(VLOOKUP(main!N89,main!$AO$4:$AR$55,4,FALSE))</f>
        <v>39.110982162825401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38</v>
      </c>
      <c r="J89" s="12">
        <f>(VLOOKUP(main!R89,main!$AO$4:$AR$55,4,FALSE))</f>
        <v>38</v>
      </c>
      <c r="K89" s="12">
        <f>(VLOOKUP(main!S89,main!$AO$4:$AR$55,4,FALSE))</f>
        <v>38</v>
      </c>
      <c r="L89" s="12">
        <f>(VLOOKUP(main!T89,main!$AO$4:$AR$55,4,FALSE))</f>
        <v>38</v>
      </c>
      <c r="M89" s="12">
        <f>(VLOOKUP(main!U89,main!$AO$4:$AR$55,4,FALSE))</f>
        <v>38</v>
      </c>
      <c r="N89" s="12">
        <f>(VLOOKUP(main!V89,main!$AO$4:$AR$55,4,FALSE))</f>
        <v>38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29.110982162825401</v>
      </c>
      <c r="B90" s="12">
        <f>(VLOOKUP(main!J90,main!$AO$4:$AR$55,4,FALSE))</f>
        <v>39.110982162825401</v>
      </c>
      <c r="C90" s="12">
        <f>(VLOOKUP(main!K90,main!$AO$4:$AR$55,4,FALSE))</f>
        <v>10</v>
      </c>
      <c r="D90" s="12">
        <f>(VLOOKUP(main!L90,main!$AO$4:$AR$55,4,FALSE))</f>
        <v>39.110982162825401</v>
      </c>
      <c r="E90" s="12">
        <f>(VLOOKUP(main!M90,main!$AO$4:$AR$55,4,FALSE))</f>
        <v>39.110982162825401</v>
      </c>
      <c r="F90" s="12">
        <f>(VLOOKUP(main!N90,main!$AO$4:$AR$55,4,FALSE))</f>
        <v>39.110982162825401</v>
      </c>
      <c r="G90" s="12">
        <f>(VLOOKUP(main!O90,main!$AO$4:$AR$55,4,FALSE))</f>
        <v>10</v>
      </c>
      <c r="H90" s="12">
        <f>(VLOOKUP(main!P90,main!$AO$4:$AR$55,4,FALSE))</f>
        <v>39.110982162825401</v>
      </c>
      <c r="I90" s="12">
        <f>(VLOOKUP(main!Q90,main!$AO$4:$AR$55,4,FALSE))</f>
        <v>38</v>
      </c>
      <c r="J90" s="12">
        <f>(VLOOKUP(main!R90,main!$AO$4:$AR$55,4,FALSE))</f>
        <v>38</v>
      </c>
      <c r="K90" s="12">
        <f>(VLOOKUP(main!S90,main!$AO$4:$AR$55,4,FALSE))</f>
        <v>38</v>
      </c>
      <c r="L90" s="12">
        <f>(VLOOKUP(main!T90,main!$AO$4:$AR$55,4,FALSE))</f>
        <v>38</v>
      </c>
      <c r="M90" s="12">
        <f>(VLOOKUP(main!U90,main!$AO$4:$AR$55,4,FALSE))</f>
        <v>38</v>
      </c>
      <c r="N90" s="12">
        <f>(VLOOKUP(main!V90,main!$AO$4:$AR$55,4,FALSE))</f>
        <v>38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34</v>
      </c>
      <c r="R90" s="12">
        <f>(VLOOKUP(main!Z90,main!$AO$4:$AR$55,4,FALSE))</f>
        <v>34</v>
      </c>
      <c r="S90" s="12">
        <f>(VLOOKUP(main!AA90,main!$AO$4:$AR$55,4,FALSE))</f>
        <v>34</v>
      </c>
      <c r="T90" s="12">
        <f>(VLOOKUP(main!AB90,main!$AO$4:$AR$55,4,FALSE))</f>
        <v>29.110982162825401</v>
      </c>
      <c r="U90" s="12">
        <f>(VLOOKUP(main!AC90,main!$AO$4:$AR$55,4,FALSE))</f>
        <v>34</v>
      </c>
      <c r="V90" s="12">
        <f>(VLOOKUP(main!AD90,main!$AO$4:$AR$55,4,FALSE))</f>
        <v>34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39.110982162825401</v>
      </c>
      <c r="B91" s="12">
        <f>(VLOOKUP(main!J91,main!$AO$4:$AR$55,4,FALSE))</f>
        <v>29.110982162825401</v>
      </c>
      <c r="C91" s="12">
        <f>(VLOOKUP(main!K91,main!$AO$4:$AR$55,4,FALSE))</f>
        <v>39.110982162825401</v>
      </c>
      <c r="D91" s="12">
        <f>(VLOOKUP(main!L91,main!$AO$4:$AR$55,4,FALSE))</f>
        <v>10</v>
      </c>
      <c r="E91" s="12">
        <f>(VLOOKUP(main!M91,main!$AO$4:$AR$55,4,FALSE))</f>
        <v>39.110982162825401</v>
      </c>
      <c r="F91" s="12">
        <f>(VLOOKUP(main!N91,main!$AO$4:$AR$55,4,FALSE))</f>
        <v>29.110982162825401</v>
      </c>
      <c r="G91" s="12">
        <f>(VLOOKUP(main!O91,main!$AO$4:$AR$55,4,FALSE))</f>
        <v>39.110982162825401</v>
      </c>
      <c r="H91" s="12">
        <f>(VLOOKUP(main!P91,main!$AO$4:$AR$55,4,FALSE))</f>
        <v>10</v>
      </c>
      <c r="I91" s="12">
        <f>(VLOOKUP(main!Q91,main!$AO$4:$AR$55,4,FALSE))</f>
        <v>38</v>
      </c>
      <c r="J91" s="12">
        <f>(VLOOKUP(main!R91,main!$AO$4:$AR$55,4,FALSE))</f>
        <v>38</v>
      </c>
      <c r="K91" s="12">
        <f>(VLOOKUP(main!S91,main!$AO$4:$AR$55,4,FALSE))</f>
        <v>38</v>
      </c>
      <c r="L91" s="12">
        <f>(VLOOKUP(main!T91,main!$AO$4:$AR$55,4,FALSE))</f>
        <v>10</v>
      </c>
      <c r="M91" s="12">
        <f>(VLOOKUP(main!U91,main!$AO$4:$AR$55,4,FALSE))</f>
        <v>38</v>
      </c>
      <c r="N91" s="12">
        <f>(VLOOKUP(main!V91,main!$AO$4:$AR$55,4,FALSE))</f>
        <v>38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34</v>
      </c>
      <c r="R91" s="12">
        <f>(VLOOKUP(main!Z91,main!$AO$4:$AR$55,4,FALSE))</f>
        <v>34</v>
      </c>
      <c r="S91" s="12">
        <f>(VLOOKUP(main!AA91,main!$AO$4:$AR$55,4,FALSE))</f>
        <v>29.110982162825401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39.110982162825401</v>
      </c>
      <c r="B92" s="12">
        <f>(VLOOKUP(main!J92,main!$AO$4:$AR$55,4,FALSE))</f>
        <v>29.110982162825401</v>
      </c>
      <c r="C92" s="12">
        <f>(VLOOKUP(main!K92,main!$AO$4:$AR$55,4,FALSE))</f>
        <v>39.110982162825401</v>
      </c>
      <c r="D92" s="12">
        <f>(VLOOKUP(main!L92,main!$AO$4:$AR$55,4,FALSE))</f>
        <v>10</v>
      </c>
      <c r="E92" s="12">
        <f>(VLOOKUP(main!M92,main!$AO$4:$AR$55,4,FALSE))</f>
        <v>39.110982162825401</v>
      </c>
      <c r="F92" s="12">
        <f>(VLOOKUP(main!N92,main!$AO$4:$AR$55,4,FALSE))</f>
        <v>39.110982162825401</v>
      </c>
      <c r="G92" s="12">
        <f>(VLOOKUP(main!O92,main!$AO$4:$AR$55,4,FALSE))</f>
        <v>10</v>
      </c>
      <c r="H92" s="12">
        <f>(VLOOKUP(main!P92,main!$AO$4:$AR$55,4,FALSE))</f>
        <v>0</v>
      </c>
      <c r="I92" s="12">
        <f>(VLOOKUP(main!Q92,main!$AO$4:$AR$55,4,FALSE))</f>
        <v>38</v>
      </c>
      <c r="J92" s="12">
        <f>(VLOOKUP(main!R92,main!$AO$4:$AR$55,4,FALSE))</f>
        <v>38</v>
      </c>
      <c r="K92" s="12">
        <f>(VLOOKUP(main!S92,main!$AO$4:$AR$55,4,FALSE))</f>
        <v>38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34</v>
      </c>
      <c r="S92" s="12">
        <f>(VLOOKUP(main!AA92,main!$AO$4:$AR$55,4,FALSE))</f>
        <v>10</v>
      </c>
      <c r="T92" s="12">
        <f>(VLOOKUP(main!AB92,main!$AO$4:$AR$55,4,FALSE))</f>
        <v>34</v>
      </c>
      <c r="U92" s="12">
        <f>(VLOOKUP(main!AC92,main!$AO$4:$AR$55,4,FALSE))</f>
        <v>34</v>
      </c>
      <c r="V92" s="12">
        <f>(VLOOKUP(main!AD92,main!$AO$4:$AR$55,4,FALSE))</f>
        <v>34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38</v>
      </c>
      <c r="J93" s="12">
        <f>(VLOOKUP(main!R93,main!$AO$4:$AR$55,4,FALSE))</f>
        <v>38</v>
      </c>
      <c r="K93" s="12">
        <f>(VLOOKUP(main!S93,main!$AO$4:$AR$55,4,FALSE))</f>
        <v>38</v>
      </c>
      <c r="L93" s="12">
        <f>(VLOOKUP(main!T93,main!$AO$4:$AR$55,4,FALSE))</f>
        <v>38</v>
      </c>
      <c r="M93" s="12">
        <f>(VLOOKUP(main!U93,main!$AO$4:$AR$55,4,FALSE))</f>
        <v>38</v>
      </c>
      <c r="N93" s="12">
        <f>(VLOOKUP(main!V93,main!$AO$4:$AR$55,4,FALSE))</f>
        <v>38</v>
      </c>
      <c r="O93" s="12">
        <f>(VLOOKUP(main!W93,main!$AO$4:$AR$55,4,FALSE))</f>
        <v>38</v>
      </c>
      <c r="P93" s="12">
        <f>(VLOOKUP(main!X93,main!$AO$4:$AR$55,4,FALSE))</f>
        <v>38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瞭望塔</vt:lpstr>
      <vt:lpstr>6.15</vt:lpstr>
      <vt:lpstr>6.16</vt:lpstr>
      <vt:lpstr>6.17</vt:lpstr>
      <vt:lpstr>6.18</vt:lpstr>
      <vt:lpstr>6.19</vt:lpstr>
      <vt:lpstr>6.2</vt:lpstr>
      <vt:lpstr>6.21</vt:lpstr>
      <vt:lpstr>6.22</vt:lpstr>
      <vt:lpstr>6.23</vt:lpstr>
      <vt:lpstr>6.24</vt:lpstr>
      <vt:lpstr>6.25</vt:lpstr>
      <vt:lpstr>6.26</vt:lpstr>
      <vt:lpstr>6.27</vt:lpstr>
      <vt:lpstr>6.28</vt:lpstr>
      <vt:lpstr>6.29</vt:lpstr>
      <vt:lpstr>6.3</vt:lpstr>
      <vt:lpstr>6.31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2026-06-16T20:57:25Z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