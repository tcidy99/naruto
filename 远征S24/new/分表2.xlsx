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tility\naruto\远征S24\new\"/>
    </mc:Choice>
  </mc:AlternateContent>
  <xr:revisionPtr revIDLastSave="0" documentId="13_ncr:1_{3BF58496-DB59-448A-93DE-DFC1946E99D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ain" sheetId="1" r:id="rId1"/>
    <sheet name="粮草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B269" i="2"/>
  <c r="B266" i="2"/>
  <c r="B263" i="2"/>
  <c r="B260" i="2"/>
  <c r="B257" i="2"/>
  <c r="B254" i="2"/>
  <c r="B251" i="2"/>
  <c r="B248" i="2"/>
  <c r="B245" i="2"/>
  <c r="B242" i="2"/>
  <c r="B239" i="2"/>
  <c r="B236" i="2"/>
  <c r="B233" i="2"/>
  <c r="B230" i="2"/>
  <c r="B227" i="2"/>
  <c r="B224" i="2"/>
  <c r="B221" i="2"/>
  <c r="B218" i="2"/>
  <c r="B215" i="2"/>
  <c r="B212" i="2"/>
  <c r="B209" i="2"/>
  <c r="B206" i="2"/>
  <c r="B203" i="2"/>
  <c r="B200" i="2"/>
  <c r="B197" i="2"/>
  <c r="B194" i="2"/>
  <c r="B191" i="2"/>
  <c r="B188" i="2"/>
  <c r="B185" i="2"/>
  <c r="B182" i="2"/>
  <c r="B179" i="2"/>
  <c r="B176" i="2"/>
  <c r="B173" i="2"/>
  <c r="B170" i="2"/>
  <c r="B167" i="2"/>
  <c r="B164" i="2"/>
  <c r="B161" i="2"/>
  <c r="B158" i="2"/>
  <c r="B155" i="2"/>
  <c r="B152" i="2"/>
  <c r="B149" i="2"/>
  <c r="B146" i="2"/>
  <c r="B143" i="2"/>
  <c r="B140" i="2"/>
  <c r="B137" i="2"/>
  <c r="B134" i="2"/>
  <c r="B131" i="2"/>
  <c r="B128" i="2"/>
  <c r="B125" i="2"/>
  <c r="B122" i="2"/>
  <c r="B119" i="2"/>
  <c r="B116" i="2"/>
  <c r="B113" i="2"/>
  <c r="B110" i="2"/>
  <c r="B107" i="2"/>
  <c r="B104" i="2"/>
  <c r="B101" i="2"/>
  <c r="B98" i="2"/>
  <c r="B95" i="2"/>
  <c r="B92" i="2"/>
  <c r="B89" i="2"/>
  <c r="B86" i="2"/>
  <c r="B83" i="2"/>
  <c r="B80" i="2"/>
  <c r="B77" i="2"/>
  <c r="B74" i="2"/>
  <c r="B71" i="2"/>
  <c r="B68" i="2"/>
  <c r="B65" i="2"/>
  <c r="B62" i="2"/>
  <c r="B59" i="2"/>
  <c r="B56" i="2"/>
  <c r="B53" i="2"/>
  <c r="B50" i="2"/>
  <c r="B47" i="2"/>
  <c r="B44" i="2"/>
  <c r="B41" i="2"/>
  <c r="B38" i="2"/>
  <c r="B35" i="2"/>
  <c r="B32" i="2"/>
  <c r="B29" i="2"/>
  <c r="B26" i="2"/>
  <c r="B23" i="2"/>
  <c r="B20" i="2"/>
  <c r="B17" i="2"/>
  <c r="B14" i="2"/>
  <c r="B11" i="2"/>
  <c r="B8" i="2"/>
  <c r="B5" i="2"/>
  <c r="B2" i="2"/>
  <c r="B269" i="1"/>
  <c r="B266" i="1"/>
  <c r="B263" i="1"/>
  <c r="B260" i="1"/>
  <c r="B257" i="1"/>
  <c r="B254" i="1"/>
  <c r="B251" i="1"/>
  <c r="B248" i="1"/>
  <c r="B245" i="1"/>
  <c r="B242" i="1"/>
  <c r="B239" i="1"/>
  <c r="B236" i="1"/>
  <c r="B233" i="1"/>
  <c r="B230" i="1"/>
  <c r="B227" i="1"/>
  <c r="B224" i="1"/>
  <c r="B221" i="1"/>
  <c r="B218" i="1"/>
  <c r="B215" i="1"/>
  <c r="B212" i="1"/>
  <c r="B209" i="1"/>
  <c r="B206" i="1"/>
  <c r="B203" i="1"/>
  <c r="B200" i="1"/>
  <c r="B197" i="1"/>
  <c r="B194" i="1"/>
  <c r="B191" i="1"/>
  <c r="B188" i="1"/>
  <c r="B185" i="1"/>
  <c r="B182" i="1"/>
  <c r="B179" i="1"/>
  <c r="B176" i="1"/>
  <c r="B173" i="1"/>
  <c r="B170" i="1"/>
  <c r="B167" i="1"/>
  <c r="B164" i="1"/>
  <c r="B161" i="1"/>
  <c r="B158" i="1"/>
  <c r="B155" i="1"/>
  <c r="B152" i="1"/>
  <c r="B149" i="1"/>
  <c r="B146" i="1"/>
  <c r="B143" i="1"/>
  <c r="B140" i="1"/>
  <c r="B137" i="1"/>
  <c r="B134" i="1"/>
  <c r="B131" i="1"/>
  <c r="B128" i="1"/>
  <c r="B125" i="1"/>
  <c r="B122" i="1"/>
  <c r="B119" i="1"/>
  <c r="B116" i="1"/>
  <c r="B113" i="1"/>
  <c r="B110" i="1"/>
  <c r="B107" i="1"/>
  <c r="B104" i="1"/>
  <c r="B101" i="1"/>
  <c r="B98" i="1"/>
  <c r="B95" i="1"/>
  <c r="B92" i="1"/>
  <c r="B89" i="1"/>
  <c r="B86" i="1"/>
  <c r="B83" i="1"/>
  <c r="B80" i="1"/>
  <c r="B77" i="1"/>
  <c r="B74" i="1"/>
  <c r="B71" i="1"/>
  <c r="B68" i="1"/>
  <c r="B65" i="1"/>
  <c r="B62" i="1"/>
  <c r="B59" i="1"/>
  <c r="B56" i="1"/>
  <c r="B53" i="1"/>
  <c r="B50" i="1"/>
  <c r="B47" i="1"/>
  <c r="B44" i="1"/>
  <c r="B41" i="1"/>
  <c r="B38" i="1"/>
  <c r="B35" i="1"/>
  <c r="B32" i="1"/>
  <c r="B29" i="1"/>
  <c r="B26" i="1"/>
  <c r="B23" i="1"/>
  <c r="B20" i="1"/>
  <c r="B17" i="1"/>
  <c r="B14" i="1"/>
  <c r="B11" i="1"/>
  <c r="B8" i="1"/>
  <c r="B5" i="1"/>
  <c r="B2" i="1"/>
</calcChain>
</file>

<file path=xl/sharedStrings.xml><?xml version="1.0" encoding="utf-8"?>
<sst xmlns="http://schemas.openxmlformats.org/spreadsheetml/2006/main" count="911" uniqueCount="44">
  <si>
    <t>Day</t>
  </si>
  <si>
    <t>Date</t>
  </si>
  <si>
    <t>Team</t>
  </si>
  <si>
    <t>Note</t>
  </si>
  <si>
    <t>一队</t>
  </si>
  <si>
    <t>二队</t>
  </si>
  <si>
    <t>三队</t>
  </si>
  <si>
    <t>粮草</t>
  </si>
  <si>
    <t>经验</t>
  </si>
  <si>
    <t>行动</t>
  </si>
  <si>
    <t>已占领</t>
  </si>
  <si>
    <t>1级</t>
  </si>
  <si>
    <t>2级</t>
  </si>
  <si>
    <t>3级</t>
  </si>
  <si>
    <t>4级</t>
  </si>
  <si>
    <t>5级</t>
  </si>
  <si>
    <t>6级</t>
  </si>
  <si>
    <t>草1</t>
  </si>
  <si>
    <t>草2</t>
  </si>
  <si>
    <t>草3</t>
  </si>
  <si>
    <t>草4</t>
  </si>
  <si>
    <t>草5</t>
  </si>
  <si>
    <t>草6</t>
  </si>
  <si>
    <t>遗迹</t>
  </si>
  <si>
    <t>商人</t>
  </si>
  <si>
    <t>营地</t>
  </si>
  <si>
    <t>大卦</t>
  </si>
  <si>
    <t>3级卦</t>
  </si>
  <si>
    <t>巨卦</t>
  </si>
  <si>
    <t>大boss</t>
  </si>
  <si>
    <t>中boss</t>
  </si>
  <si>
    <t>4级卦</t>
  </si>
  <si>
    <t>塔1</t>
  </si>
  <si>
    <t>塔2</t>
  </si>
  <si>
    <t>塔3</t>
  </si>
  <si>
    <t>空</t>
  </si>
  <si>
    <t>历练</t>
  </si>
  <si>
    <t>跳1</t>
  </si>
  <si>
    <t>跳2</t>
  </si>
  <si>
    <t>跳9</t>
  </si>
  <si>
    <t>跳8</t>
  </si>
  <si>
    <t>跳6</t>
  </si>
  <si>
    <t>跳18</t>
  </si>
  <si>
    <t>跳5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</si>
</sst>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indexed="65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0" xfId="0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0" fillId="3" borderId="3" xfId="0" applyFill="1" applyBorder="1"/>
    <xf numFmtId="0" fontId="0" fillId="0" borderId="6" xfId="0" applyBorder="1"/>
    <xf numFmtId="0" fontId="0" fillId="4" borderId="3" xfId="0" applyFill="1" applyBorder="1"/>
    <xf numFmtId="14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0" fillId="8" borderId="1" xfId="0" applyFill="1" applyBorder="1" applyAlignment="1">
      <alignment vertical="top"/>
    </xf>
    <xf numFmtId="0" fontId="0" fillId="9" borderId="1" xfId="0" applyFill="1" applyBorder="1" applyAlignment="1">
      <alignment vertical="top"/>
    </xf>
    <xf numFmtId="0" fontId="0" fillId="10" borderId="1" xfId="0" applyFill="1" applyBorder="1" applyAlignment="1">
      <alignment vertical="top"/>
    </xf>
    <xf numFmtId="0" fontId="4" fillId="5" borderId="1" xfId="0" applyFont="1" applyFill="1" applyBorder="1" applyAlignment="1">
      <alignment vertical="top"/>
    </xf>
    <xf numFmtId="0" fontId="4" fillId="6" borderId="1" xfId="0" applyFont="1" applyFill="1" applyBorder="1" applyAlignment="1">
      <alignment vertical="top"/>
    </xf>
    <xf numFmtId="0" fontId="4" fillId="7" borderId="1" xfId="0" applyFont="1" applyFill="1" applyBorder="1" applyAlignment="1">
      <alignment vertical="top"/>
    </xf>
    <xf numFmtId="0" fontId="4" fillId="8" borderId="1" xfId="0" applyFont="1" applyFill="1" applyBorder="1" applyAlignment="1">
      <alignment vertical="top"/>
    </xf>
    <xf numFmtId="0" fontId="5" fillId="9" borderId="1" xfId="0" applyFont="1" applyFill="1" applyBorder="1" applyAlignment="1">
      <alignment vertical="top"/>
    </xf>
    <xf numFmtId="0" fontId="6" fillId="10" borderId="1" xfId="0" applyFont="1" applyFill="1" applyBorder="1" applyAlignment="1">
      <alignment vertical="top"/>
    </xf>
    <xf numFmtId="0" fontId="3" fillId="11" borderId="1" xfId="0" applyFont="1" applyFill="1" applyBorder="1"/>
    <xf numFmtId="0" fontId="3" fillId="12" borderId="1" xfId="0" applyFont="1" applyFill="1" applyBorder="1"/>
    <xf numFmtId="0" fontId="3" fillId="13" borderId="1" xfId="0" applyFont="1" applyFill="1" applyBorder="1"/>
    <xf numFmtId="0" fontId="3" fillId="14" borderId="1" xfId="0" applyFont="1" applyFill="1" applyBorder="1"/>
    <xf numFmtId="0" fontId="3" fillId="0" borderId="1" xfId="0" applyFont="1" applyBorder="1"/>
    <xf numFmtId="0" fontId="3" fillId="15" borderId="1" xfId="0" applyFont="1" applyFill="1" applyBorder="1"/>
    <xf numFmtId="0" fontId="3" fillId="16" borderId="1" xfId="0" applyFont="1" applyFill="1" applyBorder="1"/>
    <xf numFmtId="0" fontId="3" fillId="17" borderId="1" xfId="0" applyFont="1" applyFill="1" applyBorder="1"/>
    <xf numFmtId="0" fontId="0" fillId="0" borderId="7" xfId="0" applyBorder="1"/>
    <xf numFmtId="0" fontId="0" fillId="0" borderId="3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40"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rgb="FFDB75FF"/>
        </patternFill>
      </fill>
    </dxf>
    <dxf>
      <fill>
        <patternFill>
          <bgColor theme="4"/>
        </patternFill>
      </fill>
    </dxf>
    <dxf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 patternType="darkGrid">
          <fgColor rgb="FF92D050"/>
          <bgColor theme="0"/>
        </patternFill>
      </fill>
    </dxf>
    <dxf>
      <font>
        <b/>
        <i val="0"/>
        <color auto="1"/>
      </font>
      <fill>
        <patternFill patternType="lightGrid">
          <fgColor theme="8" tint="-0.24994659260841701"/>
          <bgColor theme="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gray0625">
          <fgColor theme="8" tint="-0.24994659260841701"/>
          <bgColor theme="4" tint="0.79998168889431442"/>
        </patternFill>
      </fill>
    </dxf>
    <dxf>
      <font>
        <b/>
        <i val="0"/>
        <color rgb="FFFF000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4"/>
        </patternFill>
      </fill>
    </dxf>
    <dxf>
      <font>
        <b/>
        <i val="0"/>
        <color rgb="FFFFFF00"/>
      </font>
      <fill>
        <patternFill>
          <bgColor rgb="FF9900CC"/>
        </patternFill>
      </fill>
    </dxf>
    <dxf>
      <font>
        <b/>
        <i val="0"/>
        <color rgb="FFC00000"/>
      </font>
      <fill>
        <patternFill patternType="solid">
          <bgColor theme="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</font>
      <fill>
        <patternFill>
          <bgColor rgb="FFFFCCFF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rgb="FFDB75FF"/>
        </patternFill>
      </fill>
    </dxf>
    <dxf>
      <fill>
        <patternFill>
          <bgColor theme="4"/>
        </patternFill>
      </fill>
    </dxf>
    <dxf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 patternType="darkGrid">
          <fgColor rgb="FF92D050"/>
          <bgColor theme="0"/>
        </patternFill>
      </fill>
    </dxf>
    <dxf>
      <font>
        <b/>
        <i val="0"/>
        <color auto="1"/>
      </font>
      <fill>
        <patternFill patternType="lightGrid">
          <fgColor theme="8" tint="-0.24994659260841701"/>
          <bgColor theme="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gray0625">
          <fgColor theme="8" tint="-0.24994659260841701"/>
          <bgColor theme="4" tint="0.79998168889431442"/>
        </patternFill>
      </fill>
    </dxf>
    <dxf>
      <font>
        <b/>
        <i val="0"/>
        <color rgb="FFFF000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4"/>
        </patternFill>
      </fill>
    </dxf>
    <dxf>
      <font>
        <b/>
        <i val="0"/>
        <color rgb="FFFFFF00"/>
      </font>
      <fill>
        <patternFill>
          <bgColor rgb="FF9900CC"/>
        </patternFill>
      </fill>
    </dxf>
    <dxf>
      <font>
        <b/>
        <i val="0"/>
        <color rgb="FFC00000"/>
      </font>
      <fill>
        <patternFill patternType="solid">
          <bgColor theme="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</font>
      <fill>
        <patternFill>
          <bgColor rgb="FFFF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tility\naruto\&#36828;&#24449;S24\new\S24_&#20998;&#34920;8+7.xlsx" TargetMode="External"/><Relationship Id="rId1" Type="http://schemas.openxmlformats.org/officeDocument/2006/relationships/externalLinkPath" Target="S24_&#20998;&#34920;8+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</sheetNames>
    <sheetDataSet>
      <sheetData sheetId="0"/>
      <sheetData sheetId="1">
        <row r="2">
          <cell r="G2">
            <v>1</v>
          </cell>
          <cell r="I2">
            <v>46185</v>
          </cell>
        </row>
        <row r="3">
          <cell r="G3">
            <v>2</v>
          </cell>
          <cell r="I3">
            <v>46186</v>
          </cell>
        </row>
        <row r="4">
          <cell r="G4">
            <v>3</v>
          </cell>
          <cell r="I4">
            <v>46187</v>
          </cell>
        </row>
        <row r="5">
          <cell r="G5">
            <v>4</v>
          </cell>
          <cell r="I5">
            <v>46188</v>
          </cell>
        </row>
        <row r="6">
          <cell r="G6">
            <v>5</v>
          </cell>
          <cell r="I6">
            <v>46189</v>
          </cell>
        </row>
        <row r="7">
          <cell r="G7">
            <v>6</v>
          </cell>
          <cell r="I7">
            <v>46190</v>
          </cell>
        </row>
        <row r="8">
          <cell r="G8">
            <v>7</v>
          </cell>
          <cell r="I8">
            <v>46191</v>
          </cell>
        </row>
        <row r="9">
          <cell r="G9">
            <v>8</v>
          </cell>
          <cell r="I9">
            <v>46192</v>
          </cell>
        </row>
        <row r="10">
          <cell r="G10">
            <v>9</v>
          </cell>
          <cell r="I10">
            <v>46193</v>
          </cell>
        </row>
        <row r="11">
          <cell r="G11">
            <v>10</v>
          </cell>
          <cell r="I11">
            <v>46194</v>
          </cell>
        </row>
        <row r="12">
          <cell r="G12">
            <v>11</v>
          </cell>
          <cell r="I12">
            <v>46195</v>
          </cell>
        </row>
        <row r="13">
          <cell r="G13">
            <v>12</v>
          </cell>
          <cell r="I13">
            <v>46196</v>
          </cell>
        </row>
        <row r="14">
          <cell r="G14">
            <v>13</v>
          </cell>
          <cell r="I14">
            <v>46197</v>
          </cell>
        </row>
        <row r="15">
          <cell r="G15">
            <v>14</v>
          </cell>
          <cell r="I15">
            <v>46198</v>
          </cell>
        </row>
        <row r="16">
          <cell r="G16">
            <v>15</v>
          </cell>
          <cell r="I16">
            <v>46199</v>
          </cell>
        </row>
        <row r="17">
          <cell r="G17">
            <v>16</v>
          </cell>
          <cell r="I17">
            <v>46200</v>
          </cell>
        </row>
        <row r="18">
          <cell r="G18">
            <v>17</v>
          </cell>
          <cell r="I18">
            <v>46201</v>
          </cell>
        </row>
        <row r="19">
          <cell r="G19">
            <v>18</v>
          </cell>
          <cell r="I19">
            <v>46202</v>
          </cell>
        </row>
        <row r="20">
          <cell r="G20">
            <v>19</v>
          </cell>
          <cell r="I20">
            <v>46203</v>
          </cell>
        </row>
        <row r="21">
          <cell r="G21">
            <v>20</v>
          </cell>
          <cell r="I21">
            <v>46204</v>
          </cell>
        </row>
        <row r="22">
          <cell r="G22">
            <v>21</v>
          </cell>
          <cell r="I22">
            <v>46205</v>
          </cell>
        </row>
        <row r="23">
          <cell r="G23">
            <v>22</v>
          </cell>
          <cell r="I23">
            <v>46206</v>
          </cell>
        </row>
        <row r="24">
          <cell r="G24">
            <v>23</v>
          </cell>
          <cell r="I24">
            <v>46207</v>
          </cell>
        </row>
        <row r="25">
          <cell r="G25">
            <v>24</v>
          </cell>
          <cell r="I25">
            <v>46208</v>
          </cell>
        </row>
        <row r="26">
          <cell r="G26">
            <v>25</v>
          </cell>
          <cell r="I26">
            <v>46209</v>
          </cell>
        </row>
        <row r="27">
          <cell r="G27">
            <v>26</v>
          </cell>
          <cell r="I27">
            <v>46210</v>
          </cell>
        </row>
        <row r="28">
          <cell r="G28">
            <v>27</v>
          </cell>
          <cell r="I28">
            <v>46211</v>
          </cell>
        </row>
        <row r="29">
          <cell r="G29">
            <v>28</v>
          </cell>
          <cell r="I29">
            <v>46212</v>
          </cell>
        </row>
        <row r="30">
          <cell r="G30">
            <v>29</v>
          </cell>
          <cell r="I30">
            <v>46213</v>
          </cell>
        </row>
        <row r="31">
          <cell r="G31">
            <v>30</v>
          </cell>
          <cell r="I31">
            <v>46214</v>
          </cell>
        </row>
        <row r="32">
          <cell r="G32">
            <v>31</v>
          </cell>
          <cell r="I32">
            <v>46215</v>
          </cell>
        </row>
        <row r="33">
          <cell r="G33">
            <v>32</v>
          </cell>
          <cell r="I33">
            <v>46216</v>
          </cell>
        </row>
        <row r="34">
          <cell r="G34">
            <v>33</v>
          </cell>
          <cell r="I34">
            <v>46217</v>
          </cell>
        </row>
        <row r="35">
          <cell r="G35">
            <v>34</v>
          </cell>
          <cell r="I35">
            <v>46218</v>
          </cell>
        </row>
        <row r="36">
          <cell r="G36">
            <v>35</v>
          </cell>
          <cell r="I36">
            <v>46219</v>
          </cell>
        </row>
        <row r="37">
          <cell r="G37">
            <v>36</v>
          </cell>
          <cell r="I37">
            <v>46220</v>
          </cell>
        </row>
        <row r="38">
          <cell r="G38">
            <v>37</v>
          </cell>
          <cell r="I38">
            <v>46221</v>
          </cell>
        </row>
        <row r="39">
          <cell r="G39">
            <v>38</v>
          </cell>
          <cell r="I39">
            <v>46222</v>
          </cell>
        </row>
        <row r="40">
          <cell r="G40">
            <v>39</v>
          </cell>
          <cell r="I40">
            <v>46223</v>
          </cell>
        </row>
        <row r="41">
          <cell r="G41">
            <v>40</v>
          </cell>
          <cell r="I41">
            <v>46224</v>
          </cell>
        </row>
        <row r="42">
          <cell r="G42">
            <v>41</v>
          </cell>
          <cell r="I42">
            <v>46225</v>
          </cell>
        </row>
        <row r="43">
          <cell r="G43">
            <v>42</v>
          </cell>
          <cell r="I43">
            <v>46226</v>
          </cell>
        </row>
        <row r="44">
          <cell r="G44">
            <v>43</v>
          </cell>
          <cell r="I44">
            <v>46227</v>
          </cell>
        </row>
        <row r="45">
          <cell r="G45">
            <v>44</v>
          </cell>
          <cell r="I45">
            <v>46228</v>
          </cell>
        </row>
        <row r="46">
          <cell r="G46">
            <v>45</v>
          </cell>
          <cell r="I46">
            <v>46229</v>
          </cell>
        </row>
        <row r="47">
          <cell r="G47">
            <v>46</v>
          </cell>
          <cell r="I47">
            <v>46230</v>
          </cell>
        </row>
        <row r="48">
          <cell r="G48">
            <v>47</v>
          </cell>
          <cell r="I48">
            <v>46231</v>
          </cell>
        </row>
        <row r="49">
          <cell r="G49">
            <v>48</v>
          </cell>
          <cell r="I49">
            <v>46232</v>
          </cell>
        </row>
        <row r="50">
          <cell r="G50">
            <v>49</v>
          </cell>
          <cell r="I50">
            <v>46233</v>
          </cell>
        </row>
        <row r="51">
          <cell r="G51">
            <v>50</v>
          </cell>
          <cell r="I51">
            <v>46234</v>
          </cell>
        </row>
        <row r="52">
          <cell r="G52">
            <v>51</v>
          </cell>
          <cell r="I52">
            <v>46235</v>
          </cell>
        </row>
        <row r="53">
          <cell r="G53">
            <v>52</v>
          </cell>
          <cell r="I53">
            <v>46236</v>
          </cell>
        </row>
        <row r="54">
          <cell r="G54">
            <v>53</v>
          </cell>
          <cell r="I54">
            <v>46237</v>
          </cell>
        </row>
        <row r="55">
          <cell r="G55">
            <v>54</v>
          </cell>
          <cell r="I55">
            <v>46238</v>
          </cell>
        </row>
        <row r="56">
          <cell r="G56">
            <v>55</v>
          </cell>
          <cell r="I56">
            <v>46239</v>
          </cell>
        </row>
        <row r="57">
          <cell r="G57">
            <v>56</v>
          </cell>
          <cell r="I57">
            <v>46240</v>
          </cell>
        </row>
        <row r="58">
          <cell r="G58">
            <v>57</v>
          </cell>
          <cell r="I58">
            <v>46241</v>
          </cell>
        </row>
        <row r="59">
          <cell r="G59">
            <v>58</v>
          </cell>
          <cell r="I59">
            <v>46242</v>
          </cell>
        </row>
        <row r="60">
          <cell r="G60">
            <v>59</v>
          </cell>
          <cell r="I60">
            <v>46243</v>
          </cell>
        </row>
        <row r="61">
          <cell r="G61">
            <v>60</v>
          </cell>
          <cell r="I61">
            <v>46244</v>
          </cell>
        </row>
        <row r="62">
          <cell r="G62">
            <v>61</v>
          </cell>
          <cell r="I62">
            <v>46245</v>
          </cell>
        </row>
        <row r="63">
          <cell r="G63">
            <v>62</v>
          </cell>
          <cell r="I63">
            <v>46246</v>
          </cell>
        </row>
        <row r="64">
          <cell r="G64">
            <v>63</v>
          </cell>
          <cell r="I64">
            <v>46247</v>
          </cell>
        </row>
        <row r="65">
          <cell r="G65">
            <v>64</v>
          </cell>
          <cell r="I65">
            <v>46248</v>
          </cell>
        </row>
        <row r="66">
          <cell r="G66">
            <v>65</v>
          </cell>
          <cell r="I66">
            <v>46249</v>
          </cell>
        </row>
        <row r="67">
          <cell r="G67">
            <v>66</v>
          </cell>
          <cell r="I67">
            <v>46250</v>
          </cell>
        </row>
        <row r="68">
          <cell r="G68">
            <v>67</v>
          </cell>
          <cell r="I68">
            <v>46251</v>
          </cell>
        </row>
        <row r="69">
          <cell r="G69">
            <v>68</v>
          </cell>
          <cell r="I69">
            <v>46252</v>
          </cell>
        </row>
        <row r="70">
          <cell r="G70">
            <v>69</v>
          </cell>
          <cell r="I70">
            <v>46253</v>
          </cell>
        </row>
        <row r="71">
          <cell r="G71">
            <v>70</v>
          </cell>
          <cell r="I71">
            <v>46254</v>
          </cell>
        </row>
        <row r="72">
          <cell r="G72">
            <v>71</v>
          </cell>
          <cell r="I72">
            <v>46255</v>
          </cell>
        </row>
        <row r="73">
          <cell r="G73">
            <v>72</v>
          </cell>
          <cell r="I73">
            <v>46256</v>
          </cell>
        </row>
        <row r="74">
          <cell r="G74">
            <v>73</v>
          </cell>
          <cell r="I74">
            <v>46257</v>
          </cell>
        </row>
        <row r="75">
          <cell r="G75">
            <v>74</v>
          </cell>
          <cell r="I75">
            <v>46258</v>
          </cell>
        </row>
        <row r="76">
          <cell r="G76">
            <v>75</v>
          </cell>
          <cell r="I76">
            <v>46259</v>
          </cell>
        </row>
        <row r="77">
          <cell r="G77">
            <v>76</v>
          </cell>
          <cell r="I77">
            <v>46260</v>
          </cell>
        </row>
        <row r="78">
          <cell r="G78">
            <v>77</v>
          </cell>
          <cell r="I78">
            <v>46261</v>
          </cell>
        </row>
        <row r="79">
          <cell r="G79">
            <v>78</v>
          </cell>
          <cell r="I79">
            <v>46262</v>
          </cell>
        </row>
        <row r="80">
          <cell r="G80">
            <v>79</v>
          </cell>
          <cell r="I80">
            <v>46263</v>
          </cell>
        </row>
        <row r="81">
          <cell r="G81">
            <v>80</v>
          </cell>
          <cell r="I81">
            <v>46264</v>
          </cell>
        </row>
        <row r="82">
          <cell r="G82">
            <v>81</v>
          </cell>
          <cell r="I82">
            <v>46265</v>
          </cell>
        </row>
        <row r="83">
          <cell r="G83">
            <v>82</v>
          </cell>
          <cell r="I83">
            <v>46266</v>
          </cell>
        </row>
        <row r="84">
          <cell r="G84">
            <v>83</v>
          </cell>
          <cell r="I84">
            <v>46267</v>
          </cell>
        </row>
        <row r="85">
          <cell r="G85">
            <v>84</v>
          </cell>
          <cell r="I85">
            <v>46268</v>
          </cell>
        </row>
        <row r="86">
          <cell r="G86">
            <v>85</v>
          </cell>
          <cell r="I86">
            <v>46269</v>
          </cell>
        </row>
        <row r="87">
          <cell r="G87">
            <v>86</v>
          </cell>
          <cell r="I87">
            <v>46270</v>
          </cell>
        </row>
        <row r="88">
          <cell r="G88">
            <v>87</v>
          </cell>
          <cell r="I88">
            <v>46271</v>
          </cell>
        </row>
        <row r="89">
          <cell r="G89">
            <v>88</v>
          </cell>
          <cell r="I89">
            <v>46272</v>
          </cell>
        </row>
        <row r="90">
          <cell r="G90">
            <v>89</v>
          </cell>
          <cell r="I90">
            <v>46273</v>
          </cell>
        </row>
        <row r="91">
          <cell r="G91">
            <v>90</v>
          </cell>
          <cell r="I91">
            <v>46274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71"/>
  <sheetViews>
    <sheetView workbookViewId="0">
      <selection activeCell="Y25" sqref="Y25"/>
    </sheetView>
  </sheetViews>
  <sheetFormatPr defaultRowHeight="15" x14ac:dyDescent="0.25"/>
  <cols>
    <col min="2" max="2" width="12.28515625" customWidth="1"/>
    <col min="5" max="5" width="4.7109375" customWidth="1"/>
    <col min="6" max="31" width="5.7109375" customWidth="1"/>
  </cols>
  <sheetData>
    <row r="1" spans="1:38" ht="15.75" thickBot="1" x14ac:dyDescent="0.3">
      <c r="A1" t="s">
        <v>0</v>
      </c>
      <c r="B1" s="1" t="s">
        <v>1</v>
      </c>
      <c r="D1" s="35" t="s">
        <v>2</v>
      </c>
      <c r="E1" s="1" t="s">
        <v>9</v>
      </c>
      <c r="F1" s="36">
        <v>1</v>
      </c>
      <c r="G1" s="2">
        <v>2</v>
      </c>
      <c r="H1" s="2">
        <v>3</v>
      </c>
      <c r="I1" s="2">
        <v>4</v>
      </c>
      <c r="J1" s="2">
        <v>5</v>
      </c>
      <c r="K1" s="2">
        <v>6</v>
      </c>
      <c r="L1" s="2">
        <v>7</v>
      </c>
      <c r="M1" s="2">
        <v>8</v>
      </c>
      <c r="N1" s="2">
        <v>9</v>
      </c>
      <c r="O1" s="2">
        <v>10</v>
      </c>
      <c r="P1" s="2">
        <v>11</v>
      </c>
      <c r="Q1" s="2">
        <v>12</v>
      </c>
      <c r="R1" s="2">
        <v>13</v>
      </c>
      <c r="S1" s="2">
        <v>14</v>
      </c>
      <c r="T1" s="2">
        <v>15</v>
      </c>
      <c r="U1" s="2">
        <v>16</v>
      </c>
      <c r="V1" s="2">
        <v>17</v>
      </c>
      <c r="W1" s="2">
        <v>18</v>
      </c>
      <c r="X1" s="2">
        <v>19</v>
      </c>
      <c r="Y1" s="2">
        <v>20</v>
      </c>
      <c r="Z1" s="2">
        <v>21</v>
      </c>
      <c r="AA1" s="2">
        <v>22</v>
      </c>
      <c r="AB1" s="2">
        <v>23</v>
      </c>
      <c r="AC1" s="2">
        <v>24</v>
      </c>
      <c r="AD1" s="2">
        <v>25</v>
      </c>
      <c r="AE1" s="2" t="s">
        <v>9</v>
      </c>
      <c r="AF1" s="1" t="s">
        <v>3</v>
      </c>
      <c r="AI1" s="13" t="s">
        <v>7</v>
      </c>
      <c r="AJ1" s="13" t="s">
        <v>8</v>
      </c>
      <c r="AK1" s="13" t="s">
        <v>9</v>
      </c>
      <c r="AL1" t="s">
        <v>10</v>
      </c>
    </row>
    <row r="2" spans="1:38" x14ac:dyDescent="0.25">
      <c r="A2" s="3">
        <v>1</v>
      </c>
      <c r="B2" s="4">
        <f>INDEX([1]data!$I$2:$I$91,MATCH(A2*1,[1]data!$G$2:$G$91,0))</f>
        <v>46185</v>
      </c>
      <c r="D2" s="5" t="s">
        <v>4</v>
      </c>
      <c r="E2" s="39"/>
      <c r="F2" s="37" t="s">
        <v>11</v>
      </c>
      <c r="G2" s="6" t="s">
        <v>11</v>
      </c>
      <c r="H2" s="6" t="s">
        <v>11</v>
      </c>
      <c r="I2" s="6" t="s">
        <v>11</v>
      </c>
      <c r="J2" s="6" t="s">
        <v>24</v>
      </c>
      <c r="K2" s="6" t="s">
        <v>11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"/>
      <c r="AE2" s="34"/>
      <c r="AF2" s="8"/>
      <c r="AH2" s="14" t="s">
        <v>11</v>
      </c>
      <c r="AI2" s="1">
        <v>150</v>
      </c>
      <c r="AJ2" s="1">
        <v>35</v>
      </c>
      <c r="AK2" s="1">
        <v>1</v>
      </c>
      <c r="AL2" s="1"/>
    </row>
    <row r="3" spans="1:38" x14ac:dyDescent="0.25">
      <c r="A3" s="3">
        <v>1</v>
      </c>
      <c r="B3" s="4"/>
      <c r="D3" s="9" t="s">
        <v>5</v>
      </c>
      <c r="E3" s="40"/>
      <c r="F3" s="38" t="s">
        <v>11</v>
      </c>
      <c r="G3" s="1" t="s">
        <v>11</v>
      </c>
      <c r="H3" s="1" t="s">
        <v>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0"/>
      <c r="AE3" s="35"/>
      <c r="AF3" s="8"/>
      <c r="AH3" s="15" t="s">
        <v>12</v>
      </c>
      <c r="AI3" s="1">
        <v>160</v>
      </c>
      <c r="AJ3" s="1">
        <v>40</v>
      </c>
      <c r="AK3" s="1">
        <v>1</v>
      </c>
      <c r="AL3" s="1"/>
    </row>
    <row r="4" spans="1:38" x14ac:dyDescent="0.25">
      <c r="A4" s="3">
        <v>1</v>
      </c>
      <c r="B4" s="4"/>
      <c r="D4" s="11" t="s">
        <v>6</v>
      </c>
      <c r="E4" s="41"/>
      <c r="F4" s="3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0"/>
      <c r="AE4" s="35"/>
      <c r="AF4" s="8"/>
      <c r="AH4" s="16" t="s">
        <v>13</v>
      </c>
      <c r="AI4" s="1">
        <v>170</v>
      </c>
      <c r="AJ4" s="1">
        <v>45</v>
      </c>
      <c r="AK4" s="1">
        <v>1</v>
      </c>
      <c r="AL4" s="1"/>
    </row>
    <row r="5" spans="1:38" x14ac:dyDescent="0.25">
      <c r="A5" s="3">
        <v>2</v>
      </c>
      <c r="B5" s="4">
        <f>INDEX([1]data!$I$2:$I$91,MATCH(A5*1,[1]data!$G$2:$G$91,0))</f>
        <v>46186</v>
      </c>
      <c r="D5" s="5" t="s">
        <v>4</v>
      </c>
      <c r="E5" s="39"/>
      <c r="F5" s="3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0"/>
      <c r="AE5" s="35"/>
      <c r="AF5" s="8"/>
      <c r="AH5" s="17" t="s">
        <v>14</v>
      </c>
      <c r="AI5" s="1">
        <v>180</v>
      </c>
      <c r="AJ5" s="1">
        <v>50</v>
      </c>
      <c r="AK5" s="1">
        <v>1</v>
      </c>
      <c r="AL5" s="1"/>
    </row>
    <row r="6" spans="1:38" x14ac:dyDescent="0.25">
      <c r="A6" s="3">
        <v>2</v>
      </c>
      <c r="B6" s="4"/>
      <c r="D6" s="9" t="s">
        <v>5</v>
      </c>
      <c r="E6" s="40"/>
      <c r="F6" s="3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0"/>
      <c r="AE6" s="35"/>
      <c r="AF6" s="8"/>
      <c r="AH6" s="18" t="s">
        <v>15</v>
      </c>
      <c r="AI6" s="1">
        <v>190</v>
      </c>
      <c r="AJ6" s="1">
        <v>55</v>
      </c>
      <c r="AK6" s="1">
        <v>1</v>
      </c>
      <c r="AL6" s="1"/>
    </row>
    <row r="7" spans="1:38" x14ac:dyDescent="0.25">
      <c r="A7" s="3">
        <v>2</v>
      </c>
      <c r="B7" s="4"/>
      <c r="D7" s="11" t="s">
        <v>6</v>
      </c>
      <c r="E7" s="41"/>
      <c r="F7" s="38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0"/>
      <c r="AE7" s="35"/>
      <c r="AF7" s="8"/>
      <c r="AH7" s="19" t="s">
        <v>16</v>
      </c>
      <c r="AI7" s="1">
        <v>200</v>
      </c>
      <c r="AJ7" s="1">
        <v>60</v>
      </c>
      <c r="AK7" s="1">
        <v>1</v>
      </c>
      <c r="AL7" s="1"/>
    </row>
    <row r="8" spans="1:38" x14ac:dyDescent="0.25">
      <c r="A8" s="3">
        <v>3</v>
      </c>
      <c r="B8" s="4">
        <f>INDEX([1]data!$I$2:$I$91,MATCH(A8*1,[1]data!$G$2:$G$91,0))</f>
        <v>46187</v>
      </c>
      <c r="D8" s="5" t="s">
        <v>4</v>
      </c>
      <c r="E8" s="39"/>
      <c r="F8" s="38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0"/>
      <c r="AE8" s="35"/>
      <c r="AF8" s="8"/>
      <c r="AH8" s="20" t="s">
        <v>17</v>
      </c>
      <c r="AI8" s="1">
        <v>150</v>
      </c>
      <c r="AJ8" s="1">
        <v>35</v>
      </c>
      <c r="AK8" s="1">
        <v>1</v>
      </c>
      <c r="AL8" s="1"/>
    </row>
    <row r="9" spans="1:38" x14ac:dyDescent="0.25">
      <c r="A9" s="3">
        <v>3</v>
      </c>
      <c r="B9" s="4"/>
      <c r="D9" s="9" t="s">
        <v>5</v>
      </c>
      <c r="E9" s="40"/>
      <c r="F9" s="38"/>
      <c r="G9" s="1" t="s">
        <v>11</v>
      </c>
      <c r="H9" s="1" t="s">
        <v>11</v>
      </c>
      <c r="I9" s="1"/>
      <c r="J9" s="1"/>
      <c r="K9" s="1" t="s">
        <v>37</v>
      </c>
      <c r="L9" s="1" t="s">
        <v>11</v>
      </c>
      <c r="M9" s="1" t="s">
        <v>11</v>
      </c>
      <c r="N9" s="1" t="s">
        <v>24</v>
      </c>
      <c r="O9" s="1" t="s">
        <v>11</v>
      </c>
      <c r="P9" s="1" t="s">
        <v>11</v>
      </c>
      <c r="Q9" s="1" t="s">
        <v>11</v>
      </c>
      <c r="R9" s="1" t="s">
        <v>24</v>
      </c>
      <c r="S9" s="1" t="s">
        <v>11</v>
      </c>
      <c r="T9" s="1" t="s">
        <v>12</v>
      </c>
      <c r="U9" s="1" t="s">
        <v>33</v>
      </c>
      <c r="V9" s="1"/>
      <c r="W9" s="1"/>
      <c r="X9" s="1"/>
      <c r="Y9" s="1"/>
      <c r="Z9" s="1"/>
      <c r="AA9" s="1"/>
      <c r="AB9" s="1"/>
      <c r="AC9" s="1"/>
      <c r="AD9" s="10"/>
      <c r="AE9" s="35"/>
      <c r="AF9" s="8"/>
      <c r="AH9" s="21" t="s">
        <v>18</v>
      </c>
      <c r="AI9" s="1">
        <v>150</v>
      </c>
      <c r="AJ9" s="1">
        <v>40</v>
      </c>
      <c r="AK9" s="1">
        <v>1</v>
      </c>
      <c r="AL9" s="1"/>
    </row>
    <row r="10" spans="1:38" x14ac:dyDescent="0.25">
      <c r="A10" s="3">
        <v>3</v>
      </c>
      <c r="B10" s="4"/>
      <c r="D10" s="11" t="s">
        <v>6</v>
      </c>
      <c r="E10" s="41"/>
      <c r="F10" s="38" t="s">
        <v>24</v>
      </c>
      <c r="G10" s="1"/>
      <c r="H10" s="1"/>
      <c r="I10" s="1" t="s">
        <v>38</v>
      </c>
      <c r="J10" s="1" t="s">
        <v>32</v>
      </c>
      <c r="K10" s="1"/>
      <c r="L10" s="1"/>
      <c r="M10" s="1"/>
      <c r="N10" s="1"/>
      <c r="O10" s="1"/>
      <c r="P10" s="1"/>
      <c r="Q10" s="1"/>
      <c r="R10" s="1"/>
      <c r="S10" s="1" t="s">
        <v>39</v>
      </c>
      <c r="T10" s="1" t="s">
        <v>12</v>
      </c>
      <c r="U10" s="1" t="s">
        <v>12</v>
      </c>
      <c r="V10" s="1" t="s">
        <v>24</v>
      </c>
      <c r="W10" s="1" t="s">
        <v>12</v>
      </c>
      <c r="X10" s="1" t="s">
        <v>12</v>
      </c>
      <c r="Y10" s="1" t="s">
        <v>18</v>
      </c>
      <c r="Z10" s="1" t="s">
        <v>12</v>
      </c>
      <c r="AA10" s="1" t="s">
        <v>12</v>
      </c>
      <c r="AB10" s="1"/>
      <c r="AC10" s="1"/>
      <c r="AD10" s="10"/>
      <c r="AE10" s="35"/>
      <c r="AF10" s="8"/>
      <c r="AH10" s="22" t="s">
        <v>19</v>
      </c>
      <c r="AI10" s="1">
        <v>150</v>
      </c>
      <c r="AJ10" s="1">
        <v>45</v>
      </c>
      <c r="AK10" s="1">
        <v>1</v>
      </c>
      <c r="AL10" s="1"/>
    </row>
    <row r="11" spans="1:38" x14ac:dyDescent="0.25">
      <c r="A11" s="3">
        <v>4</v>
      </c>
      <c r="B11" s="4">
        <f>INDEX([1]data!$I$2:$I$91,MATCH(A11*1,[1]data!$G$2:$G$91,0))</f>
        <v>46188</v>
      </c>
      <c r="D11" s="5" t="s">
        <v>4</v>
      </c>
      <c r="E11" s="39"/>
      <c r="F11" s="3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0"/>
      <c r="AE11" s="35"/>
      <c r="AF11" s="8"/>
      <c r="AH11" s="23" t="s">
        <v>20</v>
      </c>
      <c r="AI11" s="1">
        <v>150</v>
      </c>
      <c r="AJ11" s="1">
        <v>50</v>
      </c>
      <c r="AK11" s="1">
        <v>1</v>
      </c>
      <c r="AL11" s="1"/>
    </row>
    <row r="12" spans="1:38" x14ac:dyDescent="0.25">
      <c r="A12" s="3">
        <v>4</v>
      </c>
      <c r="B12" s="4"/>
      <c r="D12" s="9" t="s">
        <v>5</v>
      </c>
      <c r="E12" s="40"/>
      <c r="F12" s="3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0"/>
      <c r="AE12" s="35"/>
      <c r="AF12" s="8"/>
      <c r="AH12" s="24" t="s">
        <v>21</v>
      </c>
      <c r="AI12" s="1">
        <v>150</v>
      </c>
      <c r="AJ12" s="1">
        <v>55</v>
      </c>
      <c r="AK12" s="1">
        <v>1</v>
      </c>
      <c r="AL12" s="1"/>
    </row>
    <row r="13" spans="1:38" x14ac:dyDescent="0.25">
      <c r="A13" s="3">
        <v>4</v>
      </c>
      <c r="B13" s="4"/>
      <c r="D13" s="11" t="s">
        <v>6</v>
      </c>
      <c r="E13" s="41"/>
      <c r="F13" s="38" t="s">
        <v>24</v>
      </c>
      <c r="G13" s="1" t="s">
        <v>12</v>
      </c>
      <c r="H13" s="1" t="s">
        <v>12</v>
      </c>
      <c r="I13" s="1" t="s">
        <v>12</v>
      </c>
      <c r="J13" s="1" t="s">
        <v>12</v>
      </c>
      <c r="K13" s="1" t="s">
        <v>18</v>
      </c>
      <c r="L13" s="1" t="s">
        <v>12</v>
      </c>
      <c r="M13" s="1" t="s">
        <v>12</v>
      </c>
      <c r="N13" s="1" t="s">
        <v>25</v>
      </c>
      <c r="O13" s="1" t="s">
        <v>12</v>
      </c>
      <c r="P13" s="1" t="s">
        <v>12</v>
      </c>
      <c r="Q13" s="1" t="s">
        <v>18</v>
      </c>
      <c r="R13" s="1" t="s">
        <v>12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0"/>
      <c r="AE13" s="35"/>
      <c r="AF13" s="8"/>
      <c r="AH13" s="25" t="s">
        <v>22</v>
      </c>
      <c r="AI13" s="1">
        <v>150</v>
      </c>
      <c r="AJ13" s="1">
        <v>60</v>
      </c>
      <c r="AK13" s="1">
        <v>1</v>
      </c>
      <c r="AL13" s="1"/>
    </row>
    <row r="14" spans="1:38" x14ac:dyDescent="0.25">
      <c r="A14" s="3">
        <v>5</v>
      </c>
      <c r="B14" s="4">
        <f>INDEX([1]data!$I$2:$I$91,MATCH(A14*1,[1]data!$G$2:$G$91,0))</f>
        <v>46189</v>
      </c>
      <c r="D14" s="5" t="s">
        <v>4</v>
      </c>
      <c r="E14" s="39"/>
      <c r="F14" s="38" t="s">
        <v>40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24</v>
      </c>
      <c r="L14" s="1" t="s">
        <v>13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0"/>
      <c r="AE14" s="35"/>
      <c r="AF14" s="8"/>
      <c r="AH14" s="26" t="s">
        <v>23</v>
      </c>
      <c r="AI14" s="1">
        <v>150</v>
      </c>
      <c r="AJ14" s="1">
        <v>40</v>
      </c>
      <c r="AK14" s="1">
        <v>1</v>
      </c>
      <c r="AL14" s="1"/>
    </row>
    <row r="15" spans="1:38" x14ac:dyDescent="0.25">
      <c r="A15" s="3">
        <v>5</v>
      </c>
      <c r="B15" s="4"/>
      <c r="D15" s="9" t="s">
        <v>5</v>
      </c>
      <c r="E15" s="40"/>
      <c r="F15" s="3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0"/>
      <c r="AE15" s="35"/>
      <c r="AF15" s="8"/>
      <c r="AH15" s="27" t="s">
        <v>24</v>
      </c>
      <c r="AI15" s="1">
        <v>50</v>
      </c>
      <c r="AJ15" s="1">
        <v>30</v>
      </c>
      <c r="AK15" s="1">
        <v>1</v>
      </c>
      <c r="AL15" s="1"/>
    </row>
    <row r="16" spans="1:38" x14ac:dyDescent="0.25">
      <c r="A16" s="3">
        <v>5</v>
      </c>
      <c r="B16" s="4"/>
      <c r="D16" s="11" t="s">
        <v>6</v>
      </c>
      <c r="E16" s="41"/>
      <c r="F16" s="38" t="s">
        <v>24</v>
      </c>
      <c r="G16" s="1" t="s">
        <v>12</v>
      </c>
      <c r="H16" s="1" t="s">
        <v>37</v>
      </c>
      <c r="I16" s="1" t="s">
        <v>13</v>
      </c>
      <c r="J16" s="1" t="s">
        <v>13</v>
      </c>
      <c r="K16" s="1"/>
      <c r="L16" s="1"/>
      <c r="M16" s="1" t="s">
        <v>13</v>
      </c>
      <c r="N16" s="1" t="s">
        <v>24</v>
      </c>
      <c r="O16" s="1" t="s">
        <v>13</v>
      </c>
      <c r="P16" s="1" t="s">
        <v>13</v>
      </c>
      <c r="Q16" s="1" t="s">
        <v>27</v>
      </c>
      <c r="R16" s="1" t="s">
        <v>37</v>
      </c>
      <c r="S16" s="1" t="s">
        <v>13</v>
      </c>
      <c r="T16" s="1" t="s">
        <v>13</v>
      </c>
      <c r="U16" s="1" t="s">
        <v>13</v>
      </c>
      <c r="V16" s="1" t="s">
        <v>25</v>
      </c>
      <c r="W16" s="1"/>
      <c r="X16" s="1"/>
      <c r="Y16" s="1"/>
      <c r="Z16" s="1"/>
      <c r="AA16" s="1"/>
      <c r="AB16" s="1"/>
      <c r="AC16" s="1"/>
      <c r="AD16" s="10"/>
      <c r="AE16" s="35"/>
      <c r="AF16" s="8"/>
      <c r="AH16" s="28" t="s">
        <v>25</v>
      </c>
      <c r="AI16" s="1">
        <v>-250</v>
      </c>
      <c r="AJ16" s="1">
        <v>0</v>
      </c>
      <c r="AK16" s="1">
        <v>-1</v>
      </c>
      <c r="AL16" s="1"/>
    </row>
    <row r="17" spans="1:38" x14ac:dyDescent="0.25">
      <c r="A17" s="3">
        <v>6</v>
      </c>
      <c r="B17" s="4">
        <f>INDEX([1]data!$I$2:$I$91,MATCH(A17*1,[1]data!$G$2:$G$91,0))</f>
        <v>46190</v>
      </c>
      <c r="D17" s="5" t="s">
        <v>4</v>
      </c>
      <c r="E17" s="39"/>
      <c r="F17" s="38" t="s">
        <v>13</v>
      </c>
      <c r="G17" s="1" t="s">
        <v>13</v>
      </c>
      <c r="H17" s="1" t="s">
        <v>27</v>
      </c>
      <c r="I17" s="1" t="s">
        <v>38</v>
      </c>
      <c r="J17" s="1" t="s">
        <v>13</v>
      </c>
      <c r="K17" s="1" t="s">
        <v>18</v>
      </c>
      <c r="L17" s="1" t="s">
        <v>13</v>
      </c>
      <c r="M17" s="1" t="s">
        <v>13</v>
      </c>
      <c r="N17" s="1" t="s">
        <v>24</v>
      </c>
      <c r="O17" s="1" t="s">
        <v>13</v>
      </c>
      <c r="P17" s="1"/>
      <c r="Q17" s="1" t="s">
        <v>13</v>
      </c>
      <c r="R17" s="1" t="s">
        <v>13</v>
      </c>
      <c r="S17" s="1"/>
      <c r="T17" s="1"/>
      <c r="U17" s="1"/>
      <c r="V17" s="1"/>
      <c r="W17" s="1"/>
      <c r="X17" s="1" t="s">
        <v>13</v>
      </c>
      <c r="Y17" s="1" t="s">
        <v>24</v>
      </c>
      <c r="Z17" s="1" t="s">
        <v>13</v>
      </c>
      <c r="AA17" s="1" t="s">
        <v>13</v>
      </c>
      <c r="AB17" s="1" t="s">
        <v>27</v>
      </c>
      <c r="AC17" s="1" t="s">
        <v>37</v>
      </c>
      <c r="AD17" s="10" t="s">
        <v>13</v>
      </c>
      <c r="AE17" s="35"/>
      <c r="AF17" s="8"/>
      <c r="AH17" s="29" t="s">
        <v>26</v>
      </c>
      <c r="AI17" s="1">
        <v>250</v>
      </c>
      <c r="AJ17" s="1">
        <v>300</v>
      </c>
      <c r="AK17" s="1">
        <v>1</v>
      </c>
      <c r="AL17" s="1"/>
    </row>
    <row r="18" spans="1:38" x14ac:dyDescent="0.25">
      <c r="A18" s="3">
        <v>6</v>
      </c>
      <c r="B18" s="4"/>
      <c r="D18" s="9" t="s">
        <v>5</v>
      </c>
      <c r="E18" s="40"/>
      <c r="F18" s="38" t="s">
        <v>41</v>
      </c>
      <c r="G18" s="1" t="s">
        <v>36</v>
      </c>
      <c r="H18" s="1" t="s">
        <v>42</v>
      </c>
      <c r="I18" s="1" t="s">
        <v>13</v>
      </c>
      <c r="J18" s="1" t="s">
        <v>26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0"/>
      <c r="AE18" s="35"/>
      <c r="AF18" s="8"/>
      <c r="AH18" s="29" t="s">
        <v>27</v>
      </c>
      <c r="AI18" s="1">
        <v>170</v>
      </c>
      <c r="AJ18" s="1">
        <v>45</v>
      </c>
      <c r="AK18" s="1">
        <v>1</v>
      </c>
      <c r="AL18" s="1"/>
    </row>
    <row r="19" spans="1:38" x14ac:dyDescent="0.25">
      <c r="A19" s="3">
        <v>6</v>
      </c>
      <c r="B19" s="4"/>
      <c r="D19" s="11" t="s">
        <v>6</v>
      </c>
      <c r="E19" s="41"/>
      <c r="F19" s="38" t="s">
        <v>13</v>
      </c>
      <c r="G19" s="1" t="s">
        <v>13</v>
      </c>
      <c r="H19" s="1" t="s">
        <v>18</v>
      </c>
      <c r="I19" s="1" t="s">
        <v>13</v>
      </c>
      <c r="J19" s="1" t="s">
        <v>13</v>
      </c>
      <c r="K19" s="1" t="s">
        <v>24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0"/>
      <c r="AE19" s="35"/>
      <c r="AF19" s="8"/>
      <c r="AH19" s="30" t="s">
        <v>28</v>
      </c>
      <c r="AI19" s="1">
        <v>250</v>
      </c>
      <c r="AJ19" s="1">
        <v>400</v>
      </c>
      <c r="AK19" s="1">
        <v>1</v>
      </c>
      <c r="AL19" s="1"/>
    </row>
    <row r="20" spans="1:38" x14ac:dyDescent="0.25">
      <c r="A20" s="3">
        <v>7</v>
      </c>
      <c r="B20" s="4">
        <f>INDEX([1]data!$I$2:$I$91,MATCH(A20*1,[1]data!$G$2:$G$91,0))</f>
        <v>46191</v>
      </c>
      <c r="D20" s="5" t="s">
        <v>4</v>
      </c>
      <c r="E20" s="39"/>
      <c r="F20" s="38" t="s">
        <v>15</v>
      </c>
      <c r="G20" s="1" t="s">
        <v>15</v>
      </c>
      <c r="H20" s="1" t="s">
        <v>15</v>
      </c>
      <c r="I20" s="1" t="s">
        <v>15</v>
      </c>
      <c r="J20" s="1" t="s">
        <v>15</v>
      </c>
      <c r="K20" s="1" t="s">
        <v>15</v>
      </c>
      <c r="L20" s="1" t="s">
        <v>25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0"/>
      <c r="AE20" s="35"/>
      <c r="AF20" s="8"/>
      <c r="AH20" s="31" t="s">
        <v>29</v>
      </c>
      <c r="AI20" s="1">
        <v>250</v>
      </c>
      <c r="AJ20" s="1">
        <v>1000</v>
      </c>
      <c r="AK20" s="1">
        <v>1</v>
      </c>
      <c r="AL20" s="1"/>
    </row>
    <row r="21" spans="1:38" x14ac:dyDescent="0.25">
      <c r="A21" s="3">
        <v>7</v>
      </c>
      <c r="B21" s="4"/>
      <c r="D21" s="9" t="s">
        <v>5</v>
      </c>
      <c r="E21" s="40"/>
      <c r="F21" s="38" t="s">
        <v>42</v>
      </c>
      <c r="G21" s="1" t="s">
        <v>13</v>
      </c>
      <c r="H21" s="1" t="s">
        <v>26</v>
      </c>
      <c r="I21" s="1"/>
      <c r="J21" s="1"/>
      <c r="K21" s="1" t="s">
        <v>42</v>
      </c>
      <c r="L21" s="1" t="s">
        <v>13</v>
      </c>
      <c r="M21" s="1" t="s">
        <v>26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0"/>
      <c r="AE21" s="35"/>
      <c r="AF21" s="8"/>
      <c r="AH21" s="32" t="s">
        <v>30</v>
      </c>
      <c r="AI21" s="1">
        <v>250</v>
      </c>
      <c r="AJ21" s="1">
        <v>500</v>
      </c>
      <c r="AK21" s="1">
        <v>1</v>
      </c>
      <c r="AL21" s="1"/>
    </row>
    <row r="22" spans="1:38" x14ac:dyDescent="0.25">
      <c r="A22" s="3">
        <v>7</v>
      </c>
      <c r="B22" s="4"/>
      <c r="D22" s="11" t="s">
        <v>6</v>
      </c>
      <c r="E22" s="41"/>
      <c r="F22" s="38" t="s">
        <v>13</v>
      </c>
      <c r="G22" s="1" t="s">
        <v>13</v>
      </c>
      <c r="H22" s="1" t="s">
        <v>27</v>
      </c>
      <c r="I22" s="1" t="s">
        <v>13</v>
      </c>
      <c r="J22" s="1" t="s">
        <v>13</v>
      </c>
      <c r="K22" s="1" t="s">
        <v>13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0"/>
      <c r="AE22" s="35"/>
      <c r="AF22" s="8"/>
      <c r="AH22" s="30" t="s">
        <v>31</v>
      </c>
      <c r="AI22" s="1">
        <v>180</v>
      </c>
      <c r="AJ22" s="1">
        <v>50</v>
      </c>
      <c r="AK22" s="1">
        <v>1</v>
      </c>
      <c r="AL22" s="1"/>
    </row>
    <row r="23" spans="1:38" x14ac:dyDescent="0.25">
      <c r="A23" s="3">
        <v>8</v>
      </c>
      <c r="B23" s="4">
        <f>INDEX([1]data!$I$2:$I$91,MATCH(A23*1,[1]data!$G$2:$G$91,0))</f>
        <v>46192</v>
      </c>
      <c r="D23" s="5" t="s">
        <v>4</v>
      </c>
      <c r="E23" s="39"/>
      <c r="F23" s="38"/>
      <c r="G23" s="1"/>
      <c r="H23" s="1"/>
      <c r="I23" s="1"/>
      <c r="J23" s="1"/>
      <c r="K23" s="1"/>
      <c r="L23" s="1"/>
      <c r="M23" s="1" t="s">
        <v>15</v>
      </c>
      <c r="N23" s="1" t="s">
        <v>15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0"/>
      <c r="AE23" s="35"/>
      <c r="AF23" s="8"/>
      <c r="AH23" s="20" t="s">
        <v>32</v>
      </c>
      <c r="AI23" s="1">
        <v>150</v>
      </c>
      <c r="AJ23" s="1">
        <v>35</v>
      </c>
      <c r="AK23" s="1">
        <v>1</v>
      </c>
      <c r="AL23" s="1"/>
    </row>
    <row r="24" spans="1:38" x14ac:dyDescent="0.25">
      <c r="A24" s="3">
        <v>8</v>
      </c>
      <c r="B24" s="4"/>
      <c r="D24" s="9" t="s">
        <v>5</v>
      </c>
      <c r="E24" s="40"/>
      <c r="F24" s="38"/>
      <c r="G24" s="1"/>
      <c r="H24" s="1"/>
      <c r="I24" s="1"/>
      <c r="J24" s="1"/>
      <c r="K24" s="1"/>
      <c r="L24" s="1" t="s">
        <v>15</v>
      </c>
      <c r="M24" s="1" t="s">
        <v>15</v>
      </c>
      <c r="N24" s="1" t="s">
        <v>15</v>
      </c>
      <c r="O24" s="1" t="s">
        <v>15</v>
      </c>
      <c r="P24" s="1" t="s">
        <v>14</v>
      </c>
      <c r="Q24" s="1" t="s">
        <v>24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0"/>
      <c r="AE24" s="35"/>
      <c r="AF24" s="8"/>
      <c r="AH24" s="21" t="s">
        <v>33</v>
      </c>
      <c r="AI24" s="1">
        <v>150</v>
      </c>
      <c r="AJ24" s="1">
        <v>40</v>
      </c>
      <c r="AK24" s="1">
        <v>1</v>
      </c>
      <c r="AL24" s="1"/>
    </row>
    <row r="25" spans="1:38" x14ac:dyDescent="0.25">
      <c r="A25" s="3">
        <v>8</v>
      </c>
      <c r="B25" s="4"/>
      <c r="D25" s="11" t="s">
        <v>6</v>
      </c>
      <c r="E25" s="41"/>
      <c r="F25" s="38" t="s">
        <v>13</v>
      </c>
      <c r="G25" s="1" t="s">
        <v>13</v>
      </c>
      <c r="H25" s="1" t="s">
        <v>13</v>
      </c>
      <c r="I25" s="1" t="s">
        <v>27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0"/>
      <c r="AE25" s="35"/>
      <c r="AF25" s="8"/>
      <c r="AH25" s="22" t="s">
        <v>34</v>
      </c>
      <c r="AI25" s="1">
        <v>150</v>
      </c>
      <c r="AJ25" s="1">
        <v>45</v>
      </c>
      <c r="AK25" s="1">
        <v>1</v>
      </c>
      <c r="AL25" s="1"/>
    </row>
    <row r="26" spans="1:38" x14ac:dyDescent="0.25">
      <c r="A26" s="3">
        <v>9</v>
      </c>
      <c r="B26" s="4">
        <f>INDEX([1]data!$I$2:$I$91,MATCH(A26*1,[1]data!$G$2:$G$91,0))</f>
        <v>46193</v>
      </c>
      <c r="D26" s="5" t="s">
        <v>4</v>
      </c>
      <c r="E26" s="39"/>
      <c r="F26" s="38" t="s">
        <v>43</v>
      </c>
      <c r="G26" s="1" t="s">
        <v>12</v>
      </c>
      <c r="H26" s="1" t="s">
        <v>12</v>
      </c>
      <c r="I26" s="1" t="s">
        <v>12</v>
      </c>
      <c r="J26" s="1" t="s">
        <v>24</v>
      </c>
      <c r="K26" s="1" t="s">
        <v>37</v>
      </c>
      <c r="L26" s="1" t="s">
        <v>12</v>
      </c>
      <c r="M26" s="1" t="s">
        <v>12</v>
      </c>
      <c r="N26" s="1" t="s">
        <v>12</v>
      </c>
      <c r="O26" s="1" t="s">
        <v>25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0"/>
      <c r="AE26" s="35"/>
      <c r="AF26" s="8"/>
      <c r="AH26" s="30" t="s">
        <v>35</v>
      </c>
      <c r="AI26" s="1">
        <v>0</v>
      </c>
      <c r="AJ26" s="1">
        <v>0</v>
      </c>
      <c r="AK26" s="1">
        <v>0</v>
      </c>
      <c r="AL26" s="1"/>
    </row>
    <row r="27" spans="1:38" x14ac:dyDescent="0.25">
      <c r="A27" s="3">
        <v>9</v>
      </c>
      <c r="B27" s="4"/>
      <c r="D27" s="9" t="s">
        <v>5</v>
      </c>
      <c r="E27" s="40"/>
      <c r="F27" s="38"/>
      <c r="G27" s="1" t="s">
        <v>14</v>
      </c>
      <c r="H27" s="1" t="s">
        <v>14</v>
      </c>
      <c r="I27" s="1" t="s">
        <v>15</v>
      </c>
      <c r="J27" s="1" t="s">
        <v>25</v>
      </c>
      <c r="K27" s="1" t="s">
        <v>14</v>
      </c>
      <c r="L27" s="1" t="s">
        <v>14</v>
      </c>
      <c r="M27" s="1" t="s">
        <v>18</v>
      </c>
      <c r="N27" s="1" t="s">
        <v>14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0"/>
      <c r="AE27" s="35"/>
      <c r="AF27" s="8"/>
      <c r="AH27" s="33" t="s">
        <v>36</v>
      </c>
      <c r="AI27" s="1">
        <v>50</v>
      </c>
      <c r="AJ27" s="1">
        <v>520</v>
      </c>
      <c r="AK27" s="1">
        <v>0</v>
      </c>
      <c r="AL27" s="1"/>
    </row>
    <row r="28" spans="1:38" x14ac:dyDescent="0.25">
      <c r="A28" s="3">
        <v>9</v>
      </c>
      <c r="B28" s="4"/>
      <c r="D28" s="11" t="s">
        <v>6</v>
      </c>
      <c r="E28" s="41"/>
      <c r="F28" s="38" t="s">
        <v>38</v>
      </c>
      <c r="G28" s="1" t="s">
        <v>13</v>
      </c>
      <c r="H28" s="1" t="s">
        <v>25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0"/>
      <c r="AE28" s="35"/>
      <c r="AF28" s="8"/>
    </row>
    <row r="29" spans="1:38" x14ac:dyDescent="0.25">
      <c r="A29" s="3">
        <v>10</v>
      </c>
      <c r="B29" s="4">
        <f>INDEX([1]data!$I$2:$I$91,MATCH(A29*1,[1]data!$G$2:$G$91,0))</f>
        <v>46194</v>
      </c>
      <c r="D29" s="5" t="s">
        <v>4</v>
      </c>
      <c r="E29" s="39"/>
      <c r="F29" s="38" t="s">
        <v>38</v>
      </c>
      <c r="G29" s="1" t="s">
        <v>18</v>
      </c>
      <c r="H29" s="1" t="s">
        <v>12</v>
      </c>
      <c r="I29" s="1" t="s">
        <v>18</v>
      </c>
      <c r="J29" s="1" t="s">
        <v>12</v>
      </c>
      <c r="K29" s="1" t="s">
        <v>12</v>
      </c>
      <c r="L29" s="1" t="s">
        <v>18</v>
      </c>
      <c r="M29" s="1" t="s">
        <v>12</v>
      </c>
      <c r="N29" s="1" t="s">
        <v>12</v>
      </c>
      <c r="O29" s="1" t="s">
        <v>25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0"/>
      <c r="AE29" s="35"/>
      <c r="AF29" s="8"/>
    </row>
    <row r="30" spans="1:38" x14ac:dyDescent="0.25">
      <c r="A30" s="3">
        <v>10</v>
      </c>
      <c r="B30" s="4"/>
      <c r="D30" s="9" t="s">
        <v>5</v>
      </c>
      <c r="E30" s="40"/>
      <c r="F30" s="38"/>
      <c r="G30" s="1" t="s">
        <v>14</v>
      </c>
      <c r="H30" s="1" t="s">
        <v>14</v>
      </c>
      <c r="I30" s="1" t="s">
        <v>16</v>
      </c>
      <c r="J30" s="1" t="s">
        <v>16</v>
      </c>
      <c r="K30" s="1" t="s">
        <v>16</v>
      </c>
      <c r="L30" s="1" t="s">
        <v>25</v>
      </c>
      <c r="M30" s="1" t="s">
        <v>16</v>
      </c>
      <c r="N30" s="1" t="s">
        <v>16</v>
      </c>
      <c r="O30" s="1" t="s">
        <v>16</v>
      </c>
      <c r="P30" s="1" t="s">
        <v>16</v>
      </c>
      <c r="Q30" s="1" t="s">
        <v>16</v>
      </c>
      <c r="R30" s="1" t="s">
        <v>16</v>
      </c>
      <c r="S30" s="1" t="s">
        <v>16</v>
      </c>
      <c r="T30" s="1" t="s">
        <v>25</v>
      </c>
      <c r="U30" s="1"/>
      <c r="V30" s="1"/>
      <c r="W30" s="1"/>
      <c r="X30" s="1"/>
      <c r="Y30" s="1"/>
      <c r="Z30" s="1"/>
      <c r="AA30" s="1"/>
      <c r="AB30" s="1"/>
      <c r="AC30" s="1"/>
      <c r="AD30" s="10"/>
      <c r="AE30" s="35"/>
      <c r="AF30" s="8"/>
    </row>
    <row r="31" spans="1:38" x14ac:dyDescent="0.25">
      <c r="A31" s="3">
        <v>10</v>
      </c>
      <c r="B31" s="4"/>
      <c r="D31" s="11" t="s">
        <v>6</v>
      </c>
      <c r="E31" s="41"/>
      <c r="F31" s="3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0"/>
      <c r="AE31" s="35"/>
      <c r="AF31" s="8"/>
    </row>
    <row r="32" spans="1:38" x14ac:dyDescent="0.25">
      <c r="A32" s="3">
        <v>11</v>
      </c>
      <c r="B32" s="12">
        <f>INDEX([1]data!$I$2:$I$91,MATCH(A32*1,[1]data!$G$2:$G$91,0))</f>
        <v>46195</v>
      </c>
      <c r="D32" s="5" t="s">
        <v>4</v>
      </c>
      <c r="E32" s="39"/>
      <c r="F32" s="3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0"/>
      <c r="AE32" s="35"/>
      <c r="AF32" s="8"/>
    </row>
    <row r="33" spans="1:32" x14ac:dyDescent="0.25">
      <c r="A33" s="3">
        <v>11</v>
      </c>
      <c r="B33" s="12"/>
      <c r="D33" s="9" t="s">
        <v>5</v>
      </c>
      <c r="E33" s="40"/>
      <c r="F33" s="3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 t="s">
        <v>16</v>
      </c>
      <c r="T33" s="1" t="s">
        <v>16</v>
      </c>
      <c r="U33" s="1"/>
      <c r="V33" s="1"/>
      <c r="W33" s="1"/>
      <c r="X33" s="1"/>
      <c r="Y33" s="1"/>
      <c r="Z33" s="1"/>
      <c r="AA33" s="1"/>
      <c r="AB33" s="1"/>
      <c r="AC33" s="1"/>
      <c r="AD33" s="10"/>
      <c r="AE33" s="35"/>
      <c r="AF33" s="8"/>
    </row>
    <row r="34" spans="1:32" x14ac:dyDescent="0.25">
      <c r="A34" s="3">
        <v>11</v>
      </c>
      <c r="B34" s="12"/>
      <c r="D34" s="11" t="s">
        <v>6</v>
      </c>
      <c r="E34" s="41"/>
      <c r="F34" s="38" t="s">
        <v>13</v>
      </c>
      <c r="G34" s="1" t="s">
        <v>13</v>
      </c>
      <c r="H34" s="1" t="s">
        <v>13</v>
      </c>
      <c r="I34" s="1" t="s">
        <v>24</v>
      </c>
      <c r="J34" s="1" t="s">
        <v>13</v>
      </c>
      <c r="K34" s="1" t="s">
        <v>13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0"/>
      <c r="AE34" s="35"/>
      <c r="AF34" s="8"/>
    </row>
    <row r="35" spans="1:32" x14ac:dyDescent="0.25">
      <c r="A35" s="3">
        <v>12</v>
      </c>
      <c r="B35" s="12">
        <f>INDEX([1]data!$I$2:$I$91,MATCH(A35*1,[1]data!$G$2:$G$91,0))</f>
        <v>46196</v>
      </c>
      <c r="D35" s="5" t="s">
        <v>4</v>
      </c>
      <c r="E35" s="39"/>
      <c r="F35" s="3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0"/>
      <c r="AE35" s="35"/>
      <c r="AF35" s="8"/>
    </row>
    <row r="36" spans="1:32" x14ac:dyDescent="0.25">
      <c r="A36" s="3">
        <v>12</v>
      </c>
      <c r="B36" s="12"/>
      <c r="D36" s="9" t="s">
        <v>5</v>
      </c>
      <c r="E36" s="40"/>
      <c r="F36" s="38" t="s">
        <v>16</v>
      </c>
      <c r="G36" s="1" t="s">
        <v>16</v>
      </c>
      <c r="H36" s="1" t="s">
        <v>16</v>
      </c>
      <c r="I36" s="1" t="s">
        <v>15</v>
      </c>
      <c r="J36" s="1" t="s">
        <v>15</v>
      </c>
      <c r="K36" s="1" t="s">
        <v>16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0"/>
      <c r="AE36" s="35"/>
      <c r="AF36" s="8"/>
    </row>
    <row r="37" spans="1:32" x14ac:dyDescent="0.25">
      <c r="A37" s="3">
        <v>12</v>
      </c>
      <c r="B37" s="12"/>
      <c r="D37" s="11" t="s">
        <v>6</v>
      </c>
      <c r="E37" s="41"/>
      <c r="F37" s="38" t="s">
        <v>37</v>
      </c>
      <c r="G37" s="1" t="s">
        <v>13</v>
      </c>
      <c r="H37" s="1" t="s">
        <v>13</v>
      </c>
      <c r="I37" s="1" t="s">
        <v>13</v>
      </c>
      <c r="J37" s="1" t="s">
        <v>24</v>
      </c>
      <c r="K37" s="1" t="s">
        <v>13</v>
      </c>
      <c r="L37" s="1" t="s">
        <v>13</v>
      </c>
      <c r="M37" s="1" t="s">
        <v>18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0"/>
      <c r="AE37" s="35"/>
      <c r="AF37" s="8"/>
    </row>
    <row r="38" spans="1:32" x14ac:dyDescent="0.25">
      <c r="A38" s="3">
        <v>13</v>
      </c>
      <c r="B38" s="12">
        <f>INDEX([1]data!$I$2:$I$91,MATCH(A38*1,[1]data!$G$2:$G$91,0))</f>
        <v>46197</v>
      </c>
      <c r="D38" s="5" t="s">
        <v>4</v>
      </c>
      <c r="E38" s="39"/>
      <c r="F38" s="3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0"/>
      <c r="AE38" s="35"/>
      <c r="AF38" s="8"/>
    </row>
    <row r="39" spans="1:32" x14ac:dyDescent="0.25">
      <c r="A39" s="3">
        <v>13</v>
      </c>
      <c r="B39" s="12"/>
      <c r="D39" s="9" t="s">
        <v>5</v>
      </c>
      <c r="E39" s="40"/>
      <c r="F39" s="38" t="s">
        <v>16</v>
      </c>
      <c r="G39" s="1" t="s">
        <v>16</v>
      </c>
      <c r="H39" s="1" t="s">
        <v>16</v>
      </c>
      <c r="I39" s="1" t="s">
        <v>16</v>
      </c>
      <c r="J39" s="1" t="s">
        <v>16</v>
      </c>
      <c r="K39" s="1" t="s">
        <v>16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0"/>
      <c r="AE39" s="35"/>
      <c r="AF39" s="8"/>
    </row>
    <row r="40" spans="1:32" x14ac:dyDescent="0.25">
      <c r="A40" s="3">
        <v>13</v>
      </c>
      <c r="B40" s="12"/>
      <c r="D40" s="11" t="s">
        <v>6</v>
      </c>
      <c r="E40" s="41"/>
      <c r="F40" s="38" t="s">
        <v>13</v>
      </c>
      <c r="G40" s="1" t="s">
        <v>24</v>
      </c>
      <c r="H40" s="1" t="s">
        <v>13</v>
      </c>
      <c r="I40" s="1" t="s">
        <v>13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0"/>
      <c r="AE40" s="35"/>
      <c r="AF40" s="8"/>
    </row>
    <row r="41" spans="1:32" x14ac:dyDescent="0.25">
      <c r="A41" s="3">
        <v>14</v>
      </c>
      <c r="B41" s="12">
        <f>INDEX([1]data!$I$2:$I$91,MATCH(A41*1,[1]data!$G$2:$G$91,0))</f>
        <v>46198</v>
      </c>
      <c r="D41" s="5" t="s">
        <v>4</v>
      </c>
      <c r="E41" s="39"/>
      <c r="F41" s="3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0"/>
      <c r="AE41" s="35"/>
      <c r="AF41" s="8"/>
    </row>
    <row r="42" spans="1:32" x14ac:dyDescent="0.25">
      <c r="A42" s="3">
        <v>14</v>
      </c>
      <c r="B42" s="12"/>
      <c r="D42" s="9" t="s">
        <v>5</v>
      </c>
      <c r="E42" s="40"/>
      <c r="F42" s="38" t="s">
        <v>16</v>
      </c>
      <c r="G42" s="1" t="s">
        <v>16</v>
      </c>
      <c r="H42" s="1" t="s">
        <v>16</v>
      </c>
      <c r="I42" s="1" t="s">
        <v>16</v>
      </c>
      <c r="J42" s="1" t="s">
        <v>16</v>
      </c>
      <c r="K42" s="1" t="s">
        <v>25</v>
      </c>
      <c r="L42" s="1" t="s">
        <v>16</v>
      </c>
      <c r="M42" s="1" t="s">
        <v>16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0"/>
      <c r="AE42" s="35"/>
      <c r="AF42" s="8"/>
    </row>
    <row r="43" spans="1:32" x14ac:dyDescent="0.25">
      <c r="A43" s="3">
        <v>14</v>
      </c>
      <c r="B43" s="12"/>
      <c r="D43" s="11" t="s">
        <v>6</v>
      </c>
      <c r="E43" s="41"/>
      <c r="F43" s="38" t="s">
        <v>15</v>
      </c>
      <c r="G43" s="1" t="s">
        <v>15</v>
      </c>
      <c r="H43" s="1" t="s">
        <v>15</v>
      </c>
      <c r="I43" s="1" t="s">
        <v>25</v>
      </c>
      <c r="J43" s="1" t="s">
        <v>37</v>
      </c>
      <c r="K43" s="1" t="s">
        <v>15</v>
      </c>
      <c r="L43" s="1" t="s">
        <v>15</v>
      </c>
      <c r="M43" s="1" t="s">
        <v>24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0"/>
      <c r="AE43" s="35"/>
      <c r="AF43" s="8"/>
    </row>
    <row r="44" spans="1:32" x14ac:dyDescent="0.25">
      <c r="A44" s="3">
        <v>15</v>
      </c>
      <c r="B44" s="12">
        <f>INDEX([1]data!$I$2:$I$91,MATCH(A44*1,[1]data!$G$2:$G$91,0))</f>
        <v>46199</v>
      </c>
      <c r="D44" s="5" t="s">
        <v>4</v>
      </c>
      <c r="E44" s="39"/>
      <c r="F44" s="3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0"/>
      <c r="AE44" s="35"/>
      <c r="AF44" s="8"/>
    </row>
    <row r="45" spans="1:32" x14ac:dyDescent="0.25">
      <c r="A45" s="3">
        <v>15</v>
      </c>
      <c r="B45" s="12"/>
      <c r="D45" s="9" t="s">
        <v>5</v>
      </c>
      <c r="E45" s="40"/>
      <c r="F45" s="38" t="s">
        <v>16</v>
      </c>
      <c r="G45" s="1" t="s">
        <v>16</v>
      </c>
      <c r="H45" s="1" t="s">
        <v>16</v>
      </c>
      <c r="I45" s="1" t="s">
        <v>16</v>
      </c>
      <c r="J45" s="1" t="s">
        <v>16</v>
      </c>
      <c r="K45" s="1" t="s">
        <v>16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0"/>
      <c r="AE45" s="35"/>
      <c r="AF45" s="8"/>
    </row>
    <row r="46" spans="1:32" x14ac:dyDescent="0.25">
      <c r="A46" s="3">
        <v>15</v>
      </c>
      <c r="B46" s="12"/>
      <c r="D46" s="11" t="s">
        <v>6</v>
      </c>
      <c r="E46" s="41"/>
      <c r="F46" s="38" t="s">
        <v>37</v>
      </c>
      <c r="G46" s="1" t="s">
        <v>21</v>
      </c>
      <c r="H46" s="1" t="s">
        <v>15</v>
      </c>
      <c r="I46" s="1" t="s">
        <v>15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0"/>
      <c r="AE46" s="35"/>
      <c r="AF46" s="8"/>
    </row>
    <row r="47" spans="1:32" x14ac:dyDescent="0.25">
      <c r="A47" s="3">
        <v>16</v>
      </c>
      <c r="B47" s="12">
        <f>INDEX([1]data!$I$2:$I$91,MATCH(A47*1,[1]data!$G$2:$G$91,0))</f>
        <v>46200</v>
      </c>
      <c r="D47" s="5" t="s">
        <v>4</v>
      </c>
      <c r="E47" s="39"/>
      <c r="F47" s="3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0"/>
      <c r="AE47" s="35"/>
      <c r="AF47" s="8"/>
    </row>
    <row r="48" spans="1:32" x14ac:dyDescent="0.25">
      <c r="A48" s="3">
        <v>16</v>
      </c>
      <c r="B48" s="12"/>
      <c r="D48" s="9" t="s">
        <v>5</v>
      </c>
      <c r="E48" s="40"/>
      <c r="F48" s="38" t="s">
        <v>16</v>
      </c>
      <c r="G48" s="1" t="s">
        <v>15</v>
      </c>
      <c r="H48" s="1" t="s">
        <v>25</v>
      </c>
      <c r="I48" s="1" t="s">
        <v>15</v>
      </c>
      <c r="J48" s="1" t="s">
        <v>15</v>
      </c>
      <c r="K48" s="1" t="s">
        <v>15</v>
      </c>
      <c r="L48" s="1" t="s">
        <v>15</v>
      </c>
      <c r="M48" s="1" t="s">
        <v>15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0"/>
      <c r="AE48" s="35"/>
      <c r="AF48" s="8"/>
    </row>
    <row r="49" spans="1:32" x14ac:dyDescent="0.25">
      <c r="A49" s="3">
        <v>16</v>
      </c>
      <c r="B49" s="12"/>
      <c r="D49" s="11" t="s">
        <v>6</v>
      </c>
      <c r="E49" s="41"/>
      <c r="F49" s="3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0"/>
      <c r="AE49" s="35"/>
      <c r="AF49" s="8"/>
    </row>
    <row r="50" spans="1:32" x14ac:dyDescent="0.25">
      <c r="A50" s="3">
        <v>17</v>
      </c>
      <c r="B50" s="12">
        <f>INDEX([1]data!$I$2:$I$91,MATCH(A50*1,[1]data!$G$2:$G$91,0))</f>
        <v>46201</v>
      </c>
      <c r="D50" s="5" t="s">
        <v>4</v>
      </c>
      <c r="E50" s="39"/>
      <c r="F50" s="3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0"/>
      <c r="AE50" s="35"/>
      <c r="AF50" s="8"/>
    </row>
    <row r="51" spans="1:32" x14ac:dyDescent="0.25">
      <c r="A51" s="3">
        <v>17</v>
      </c>
      <c r="B51" s="12"/>
      <c r="D51" s="9" t="s">
        <v>5</v>
      </c>
      <c r="E51" s="40"/>
      <c r="F51" s="38" t="s">
        <v>15</v>
      </c>
      <c r="G51" s="1" t="s">
        <v>15</v>
      </c>
      <c r="H51" s="1" t="s">
        <v>15</v>
      </c>
      <c r="I51" s="1" t="s">
        <v>15</v>
      </c>
      <c r="J51" s="1" t="s">
        <v>15</v>
      </c>
      <c r="K51" s="1" t="s">
        <v>15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0"/>
      <c r="AE51" s="35"/>
      <c r="AF51" s="8"/>
    </row>
    <row r="52" spans="1:32" x14ac:dyDescent="0.25">
      <c r="A52" s="3">
        <v>17</v>
      </c>
      <c r="B52" s="12"/>
      <c r="D52" s="11" t="s">
        <v>6</v>
      </c>
      <c r="E52" s="41"/>
      <c r="F52" s="38" t="s">
        <v>43</v>
      </c>
      <c r="G52" s="1" t="s">
        <v>14</v>
      </c>
      <c r="H52" s="1" t="s">
        <v>15</v>
      </c>
      <c r="I52" s="1" t="s">
        <v>15</v>
      </c>
      <c r="J52" s="1" t="s">
        <v>14</v>
      </c>
      <c r="K52" s="1" t="s">
        <v>14</v>
      </c>
      <c r="L52" s="1" t="s">
        <v>14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0"/>
      <c r="AE52" s="35"/>
      <c r="AF52" s="8"/>
    </row>
    <row r="53" spans="1:32" x14ac:dyDescent="0.25">
      <c r="A53" s="3">
        <v>18</v>
      </c>
      <c r="B53" s="12">
        <f>INDEX([1]data!$I$2:$I$91,MATCH(A53*1,[1]data!$G$2:$G$91,0))</f>
        <v>46202</v>
      </c>
      <c r="D53" s="5" t="s">
        <v>4</v>
      </c>
      <c r="E53" s="39"/>
      <c r="F53" s="3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0"/>
      <c r="AE53" s="35"/>
      <c r="AF53" s="8"/>
    </row>
    <row r="54" spans="1:32" x14ac:dyDescent="0.25">
      <c r="A54" s="3">
        <v>18</v>
      </c>
      <c r="B54" s="12"/>
      <c r="D54" s="9" t="s">
        <v>5</v>
      </c>
      <c r="E54" s="40"/>
      <c r="F54" s="38" t="s">
        <v>15</v>
      </c>
      <c r="G54" s="1" t="s">
        <v>15</v>
      </c>
      <c r="H54" s="1" t="s">
        <v>15</v>
      </c>
      <c r="I54" s="1" t="s">
        <v>15</v>
      </c>
      <c r="J54" s="1" t="s">
        <v>15</v>
      </c>
      <c r="K54" s="1" t="s">
        <v>16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0"/>
      <c r="AE54" s="35"/>
      <c r="AF54" s="8"/>
    </row>
    <row r="55" spans="1:32" x14ac:dyDescent="0.25">
      <c r="A55" s="3">
        <v>18</v>
      </c>
      <c r="B55" s="12"/>
      <c r="D55" s="11" t="s">
        <v>6</v>
      </c>
      <c r="E55" s="41"/>
      <c r="F55" s="38" t="s">
        <v>15</v>
      </c>
      <c r="G55" s="1" t="s">
        <v>15</v>
      </c>
      <c r="H55" s="1" t="s">
        <v>14</v>
      </c>
      <c r="I55" s="1" t="s">
        <v>14</v>
      </c>
      <c r="J55" s="1" t="s">
        <v>15</v>
      </c>
      <c r="K55" s="1" t="s">
        <v>15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0"/>
      <c r="AE55" s="35"/>
      <c r="AF55" s="8"/>
    </row>
    <row r="56" spans="1:32" x14ac:dyDescent="0.25">
      <c r="A56" s="3">
        <v>19</v>
      </c>
      <c r="B56" s="12">
        <f>INDEX([1]data!$I$2:$I$91,MATCH(A56*1,[1]data!$G$2:$G$91,0))</f>
        <v>46203</v>
      </c>
      <c r="D56" s="5" t="s">
        <v>4</v>
      </c>
      <c r="E56" s="39"/>
      <c r="F56" s="3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0"/>
      <c r="AE56" s="35"/>
      <c r="AF56" s="8"/>
    </row>
    <row r="57" spans="1:32" x14ac:dyDescent="0.25">
      <c r="A57" s="3">
        <v>19</v>
      </c>
      <c r="B57" s="12"/>
      <c r="D57" s="9" t="s">
        <v>5</v>
      </c>
      <c r="E57" s="40"/>
      <c r="F57" s="38" t="s">
        <v>37</v>
      </c>
      <c r="G57" s="1" t="s">
        <v>16</v>
      </c>
      <c r="H57" s="1" t="s">
        <v>16</v>
      </c>
      <c r="I57" s="1" t="s">
        <v>16</v>
      </c>
      <c r="J57" s="1" t="s">
        <v>16</v>
      </c>
      <c r="K57" s="1" t="s">
        <v>16</v>
      </c>
      <c r="L57" s="1" t="s">
        <v>43</v>
      </c>
      <c r="M57" s="1" t="s">
        <v>16</v>
      </c>
      <c r="N57" s="1" t="s">
        <v>16</v>
      </c>
      <c r="O57" s="1" t="s">
        <v>16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0"/>
      <c r="AE57" s="35"/>
      <c r="AF57" s="8"/>
    </row>
    <row r="58" spans="1:32" x14ac:dyDescent="0.25">
      <c r="A58" s="3">
        <v>19</v>
      </c>
      <c r="B58" s="12"/>
      <c r="D58" s="11" t="s">
        <v>6</v>
      </c>
      <c r="E58" s="41"/>
      <c r="F58" s="38" t="s">
        <v>14</v>
      </c>
      <c r="G58" s="1" t="s">
        <v>25</v>
      </c>
      <c r="H58" s="1" t="s">
        <v>15</v>
      </c>
      <c r="I58" s="1" t="s">
        <v>15</v>
      </c>
      <c r="J58" s="1" t="s">
        <v>43</v>
      </c>
      <c r="K58" s="1" t="s">
        <v>14</v>
      </c>
      <c r="L58" s="1" t="s">
        <v>14</v>
      </c>
      <c r="M58" s="1" t="s">
        <v>14</v>
      </c>
      <c r="N58" s="1" t="s">
        <v>15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0"/>
      <c r="AE58" s="35"/>
      <c r="AF58" s="8"/>
    </row>
    <row r="59" spans="1:32" x14ac:dyDescent="0.25">
      <c r="A59" s="3">
        <v>20</v>
      </c>
      <c r="B59" s="12">
        <f>INDEX([1]data!$I$2:$I$91,MATCH(A59*1,[1]data!$G$2:$G$91,0))</f>
        <v>46204</v>
      </c>
      <c r="D59" s="5" t="s">
        <v>4</v>
      </c>
      <c r="E59" s="39"/>
      <c r="F59" s="3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0"/>
      <c r="AE59" s="35"/>
      <c r="AF59" s="8"/>
    </row>
    <row r="60" spans="1:32" x14ac:dyDescent="0.25">
      <c r="A60" s="3">
        <v>20</v>
      </c>
      <c r="B60" s="12"/>
      <c r="D60" s="9" t="s">
        <v>5</v>
      </c>
      <c r="E60" s="40"/>
      <c r="F60" s="38" t="s">
        <v>16</v>
      </c>
      <c r="G60" s="1" t="s">
        <v>16</v>
      </c>
      <c r="H60" s="1" t="s">
        <v>16</v>
      </c>
      <c r="I60" s="1" t="s">
        <v>16</v>
      </c>
      <c r="J60" s="1" t="s">
        <v>16</v>
      </c>
      <c r="K60" s="1" t="s">
        <v>16</v>
      </c>
      <c r="L60" s="1" t="s">
        <v>25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0"/>
      <c r="AE60" s="35"/>
      <c r="AF60" s="8"/>
    </row>
    <row r="61" spans="1:32" x14ac:dyDescent="0.25">
      <c r="A61" s="3">
        <v>20</v>
      </c>
      <c r="B61" s="12"/>
      <c r="D61" s="11" t="s">
        <v>6</v>
      </c>
      <c r="E61" s="41"/>
      <c r="F61" s="38" t="s">
        <v>14</v>
      </c>
      <c r="G61" s="1" t="s">
        <v>14</v>
      </c>
      <c r="H61" s="1" t="s">
        <v>14</v>
      </c>
      <c r="I61" s="1" t="s">
        <v>14</v>
      </c>
      <c r="J61" s="1" t="s">
        <v>15</v>
      </c>
      <c r="K61" s="1" t="s">
        <v>14</v>
      </c>
      <c r="L61" s="1" t="s">
        <v>25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0"/>
      <c r="AE61" s="35"/>
      <c r="AF61" s="8"/>
    </row>
    <row r="62" spans="1:32" x14ac:dyDescent="0.25">
      <c r="A62" s="3">
        <v>21</v>
      </c>
      <c r="B62" s="12">
        <f>INDEX([1]data!$I$2:$I$91,MATCH(A62*1,[1]data!$G$2:$G$91,0))</f>
        <v>46205</v>
      </c>
      <c r="D62" s="5" t="s">
        <v>4</v>
      </c>
      <c r="E62" s="39"/>
      <c r="F62" s="3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0"/>
      <c r="AE62" s="35"/>
      <c r="AF62" s="8"/>
    </row>
    <row r="63" spans="1:32" x14ac:dyDescent="0.25">
      <c r="A63" s="3">
        <v>21</v>
      </c>
      <c r="B63" s="12"/>
      <c r="D63" s="9" t="s">
        <v>5</v>
      </c>
      <c r="E63" s="40"/>
      <c r="F63" s="3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0"/>
      <c r="AE63" s="35"/>
      <c r="AF63" s="8"/>
    </row>
    <row r="64" spans="1:32" x14ac:dyDescent="0.25">
      <c r="A64" s="3">
        <v>21</v>
      </c>
      <c r="B64" s="12"/>
      <c r="D64" s="11" t="s">
        <v>6</v>
      </c>
      <c r="E64" s="41"/>
      <c r="F64" s="3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0"/>
      <c r="AE64" s="35"/>
      <c r="AF64" s="8"/>
    </row>
    <row r="65" spans="1:32" x14ac:dyDescent="0.25">
      <c r="A65" s="3">
        <v>22</v>
      </c>
      <c r="B65" s="12">
        <f>INDEX([1]data!$I$2:$I$91,MATCH(A65*1,[1]data!$G$2:$G$91,0))</f>
        <v>46206</v>
      </c>
      <c r="D65" s="5" t="s">
        <v>4</v>
      </c>
      <c r="E65" s="39"/>
      <c r="F65" s="3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0"/>
      <c r="AE65" s="35"/>
      <c r="AF65" s="8"/>
    </row>
    <row r="66" spans="1:32" x14ac:dyDescent="0.25">
      <c r="A66" s="3">
        <v>22</v>
      </c>
      <c r="B66" s="12"/>
      <c r="D66" s="9" t="s">
        <v>5</v>
      </c>
      <c r="E66" s="40"/>
      <c r="F66" s="3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0"/>
      <c r="AE66" s="35"/>
      <c r="AF66" s="8"/>
    </row>
    <row r="67" spans="1:32" x14ac:dyDescent="0.25">
      <c r="A67" s="3">
        <v>22</v>
      </c>
      <c r="B67" s="12"/>
      <c r="D67" s="11" t="s">
        <v>6</v>
      </c>
      <c r="E67" s="41"/>
      <c r="F67" s="3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0"/>
      <c r="AE67" s="35"/>
      <c r="AF67" s="8"/>
    </row>
    <row r="68" spans="1:32" x14ac:dyDescent="0.25">
      <c r="A68" s="3">
        <v>23</v>
      </c>
      <c r="B68" s="12">
        <f>INDEX([1]data!$I$2:$I$91,MATCH(A68*1,[1]data!$G$2:$G$91,0))</f>
        <v>46207</v>
      </c>
      <c r="D68" s="5" t="s">
        <v>4</v>
      </c>
      <c r="E68" s="39"/>
      <c r="F68" s="3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0"/>
      <c r="AE68" s="35"/>
      <c r="AF68" s="8"/>
    </row>
    <row r="69" spans="1:32" x14ac:dyDescent="0.25">
      <c r="A69" s="3">
        <v>23</v>
      </c>
      <c r="B69" s="12"/>
      <c r="D69" s="9" t="s">
        <v>5</v>
      </c>
      <c r="E69" s="40"/>
      <c r="F69" s="3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0"/>
      <c r="AE69" s="35"/>
      <c r="AF69" s="8"/>
    </row>
    <row r="70" spans="1:32" x14ac:dyDescent="0.25">
      <c r="A70" s="3">
        <v>23</v>
      </c>
      <c r="B70" s="12"/>
      <c r="D70" s="11" t="s">
        <v>6</v>
      </c>
      <c r="E70" s="41"/>
      <c r="F70" s="3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0"/>
      <c r="AE70" s="35"/>
      <c r="AF70" s="8"/>
    </row>
    <row r="71" spans="1:32" x14ac:dyDescent="0.25">
      <c r="A71" s="3">
        <v>24</v>
      </c>
      <c r="B71" s="12">
        <f>INDEX([1]data!$I$2:$I$91,MATCH(A71*1,[1]data!$G$2:$G$91,0))</f>
        <v>46208</v>
      </c>
      <c r="D71" s="5" t="s">
        <v>4</v>
      </c>
      <c r="E71" s="39"/>
      <c r="F71" s="3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0"/>
      <c r="AE71" s="35"/>
      <c r="AF71" s="8"/>
    </row>
    <row r="72" spans="1:32" x14ac:dyDescent="0.25">
      <c r="A72" s="3">
        <v>24</v>
      </c>
      <c r="B72" s="12"/>
      <c r="D72" s="9" t="s">
        <v>5</v>
      </c>
      <c r="E72" s="40"/>
      <c r="F72" s="3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0"/>
      <c r="AE72" s="35"/>
      <c r="AF72" s="8"/>
    </row>
    <row r="73" spans="1:32" x14ac:dyDescent="0.25">
      <c r="A73" s="3">
        <v>24</v>
      </c>
      <c r="B73" s="12"/>
      <c r="D73" s="11" t="s">
        <v>6</v>
      </c>
      <c r="E73" s="41"/>
      <c r="F73" s="3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0"/>
      <c r="AE73" s="35"/>
      <c r="AF73" s="8"/>
    </row>
    <row r="74" spans="1:32" x14ac:dyDescent="0.25">
      <c r="A74" s="3">
        <v>25</v>
      </c>
      <c r="B74" s="12">
        <f>INDEX([1]data!$I$2:$I$91,MATCH(A74*1,[1]data!$G$2:$G$91,0))</f>
        <v>46209</v>
      </c>
      <c r="D74" s="5" t="s">
        <v>4</v>
      </c>
      <c r="E74" s="39"/>
      <c r="F74" s="3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0"/>
      <c r="AE74" s="35"/>
      <c r="AF74" s="8"/>
    </row>
    <row r="75" spans="1:32" x14ac:dyDescent="0.25">
      <c r="A75" s="3">
        <v>25</v>
      </c>
      <c r="B75" s="12"/>
      <c r="D75" s="9" t="s">
        <v>5</v>
      </c>
      <c r="E75" s="40"/>
      <c r="F75" s="3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0"/>
      <c r="AE75" s="35"/>
      <c r="AF75" s="8"/>
    </row>
    <row r="76" spans="1:32" x14ac:dyDescent="0.25">
      <c r="A76" s="3">
        <v>25</v>
      </c>
      <c r="B76" s="12"/>
      <c r="D76" s="11" t="s">
        <v>6</v>
      </c>
      <c r="E76" s="41"/>
      <c r="F76" s="3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0"/>
      <c r="AE76" s="35"/>
      <c r="AF76" s="8"/>
    </row>
    <row r="77" spans="1:32" x14ac:dyDescent="0.25">
      <c r="A77" s="3">
        <v>26</v>
      </c>
      <c r="B77" s="12">
        <f>INDEX([1]data!$I$2:$I$91,MATCH(A77*1,[1]data!$G$2:$G$91,0))</f>
        <v>46210</v>
      </c>
      <c r="D77" s="5" t="s">
        <v>4</v>
      </c>
      <c r="E77" s="39"/>
      <c r="F77" s="3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0"/>
      <c r="AE77" s="35"/>
      <c r="AF77" s="8"/>
    </row>
    <row r="78" spans="1:32" x14ac:dyDescent="0.25">
      <c r="A78" s="3">
        <v>26</v>
      </c>
      <c r="B78" s="12"/>
      <c r="D78" s="9" t="s">
        <v>5</v>
      </c>
      <c r="E78" s="40"/>
      <c r="F78" s="3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0"/>
      <c r="AE78" s="35"/>
      <c r="AF78" s="8"/>
    </row>
    <row r="79" spans="1:32" x14ac:dyDescent="0.25">
      <c r="A79" s="3">
        <v>26</v>
      </c>
      <c r="B79" s="12"/>
      <c r="D79" s="11" t="s">
        <v>6</v>
      </c>
      <c r="E79" s="41"/>
      <c r="F79" s="3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0"/>
      <c r="AE79" s="35"/>
      <c r="AF79" s="8"/>
    </row>
    <row r="80" spans="1:32" x14ac:dyDescent="0.25">
      <c r="A80" s="3">
        <v>27</v>
      </c>
      <c r="B80" s="12">
        <f>INDEX([1]data!$I$2:$I$91,MATCH(A80*1,[1]data!$G$2:$G$91,0))</f>
        <v>46211</v>
      </c>
      <c r="D80" s="5" t="s">
        <v>4</v>
      </c>
      <c r="E80" s="39"/>
      <c r="F80" s="3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0"/>
      <c r="AE80" s="35"/>
      <c r="AF80" s="8"/>
    </row>
    <row r="81" spans="1:32" x14ac:dyDescent="0.25">
      <c r="A81" s="3">
        <v>27</v>
      </c>
      <c r="B81" s="12"/>
      <c r="D81" s="9" t="s">
        <v>5</v>
      </c>
      <c r="E81" s="40"/>
      <c r="F81" s="3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0"/>
      <c r="AE81" s="35"/>
      <c r="AF81" s="8"/>
    </row>
    <row r="82" spans="1:32" x14ac:dyDescent="0.25">
      <c r="A82" s="3">
        <v>27</v>
      </c>
      <c r="B82" s="12"/>
      <c r="D82" s="11" t="s">
        <v>6</v>
      </c>
      <c r="E82" s="41"/>
      <c r="F82" s="3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0"/>
      <c r="AE82" s="35"/>
      <c r="AF82" s="8"/>
    </row>
    <row r="83" spans="1:32" x14ac:dyDescent="0.25">
      <c r="A83" s="3">
        <v>28</v>
      </c>
      <c r="B83" s="12">
        <f>INDEX([1]data!$I$2:$I$91,MATCH(A83*1,[1]data!$G$2:$G$91,0))</f>
        <v>46212</v>
      </c>
      <c r="D83" s="5" t="s">
        <v>4</v>
      </c>
      <c r="E83" s="39"/>
      <c r="F83" s="3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0"/>
      <c r="AE83" s="35"/>
      <c r="AF83" s="8"/>
    </row>
    <row r="84" spans="1:32" x14ac:dyDescent="0.25">
      <c r="A84" s="3">
        <v>28</v>
      </c>
      <c r="B84" s="12"/>
      <c r="D84" s="9" t="s">
        <v>5</v>
      </c>
      <c r="E84" s="40"/>
      <c r="F84" s="3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0"/>
      <c r="AE84" s="35"/>
      <c r="AF84" s="8"/>
    </row>
    <row r="85" spans="1:32" x14ac:dyDescent="0.25">
      <c r="A85" s="3">
        <v>28</v>
      </c>
      <c r="B85" s="12"/>
      <c r="D85" s="11" t="s">
        <v>6</v>
      </c>
      <c r="E85" s="41"/>
      <c r="F85" s="3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0"/>
      <c r="AE85" s="35"/>
      <c r="AF85" s="8"/>
    </row>
    <row r="86" spans="1:32" x14ac:dyDescent="0.25">
      <c r="A86" s="3">
        <v>29</v>
      </c>
      <c r="B86" s="12">
        <f>INDEX([1]data!$I$2:$I$91,MATCH(A86*1,[1]data!$G$2:$G$91,0))</f>
        <v>46213</v>
      </c>
      <c r="D86" s="5" t="s">
        <v>4</v>
      </c>
      <c r="E86" s="39"/>
      <c r="F86" s="3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0"/>
      <c r="AE86" s="35"/>
      <c r="AF86" s="8"/>
    </row>
    <row r="87" spans="1:32" x14ac:dyDescent="0.25">
      <c r="A87" s="3">
        <v>29</v>
      </c>
      <c r="B87" s="12"/>
      <c r="D87" s="9" t="s">
        <v>5</v>
      </c>
      <c r="E87" s="40"/>
      <c r="F87" s="3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0"/>
      <c r="AE87" s="35"/>
      <c r="AF87" s="8"/>
    </row>
    <row r="88" spans="1:32" x14ac:dyDescent="0.25">
      <c r="A88" s="3">
        <v>29</v>
      </c>
      <c r="B88" s="12"/>
      <c r="D88" s="11" t="s">
        <v>6</v>
      </c>
      <c r="E88" s="41"/>
      <c r="F88" s="3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0"/>
      <c r="AE88" s="35"/>
      <c r="AF88" s="8"/>
    </row>
    <row r="89" spans="1:32" x14ac:dyDescent="0.25">
      <c r="A89" s="3">
        <v>30</v>
      </c>
      <c r="B89" s="12">
        <f>INDEX([1]data!$I$2:$I$91,MATCH(A89*1,[1]data!$G$2:$G$91,0))</f>
        <v>46214</v>
      </c>
      <c r="D89" s="5" t="s">
        <v>4</v>
      </c>
      <c r="E89" s="39"/>
      <c r="F89" s="3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0"/>
      <c r="AE89" s="35"/>
      <c r="AF89" s="8"/>
    </row>
    <row r="90" spans="1:32" x14ac:dyDescent="0.25">
      <c r="A90" s="3">
        <v>30</v>
      </c>
      <c r="B90" s="12"/>
      <c r="D90" s="9" t="s">
        <v>5</v>
      </c>
      <c r="E90" s="40"/>
      <c r="F90" s="3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0"/>
      <c r="AE90" s="35"/>
      <c r="AF90" s="8"/>
    </row>
    <row r="91" spans="1:32" x14ac:dyDescent="0.25">
      <c r="A91" s="3">
        <v>30</v>
      </c>
      <c r="B91" s="12"/>
      <c r="D91" s="11" t="s">
        <v>6</v>
      </c>
      <c r="E91" s="41"/>
      <c r="F91" s="3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0"/>
      <c r="AE91" s="35"/>
      <c r="AF91" s="8"/>
    </row>
    <row r="92" spans="1:32" x14ac:dyDescent="0.25">
      <c r="A92" s="3">
        <v>31</v>
      </c>
      <c r="B92" s="12">
        <f>INDEX([1]data!$I$2:$I$91,MATCH(A92*1,[1]data!$G$2:$G$91,0))</f>
        <v>46215</v>
      </c>
      <c r="D92" s="5" t="s">
        <v>4</v>
      </c>
      <c r="E92" s="39"/>
      <c r="F92" s="3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0"/>
      <c r="AE92" s="35"/>
      <c r="AF92" s="8"/>
    </row>
    <row r="93" spans="1:32" x14ac:dyDescent="0.25">
      <c r="A93" s="3">
        <v>31</v>
      </c>
      <c r="B93" s="12"/>
      <c r="D93" s="9" t="s">
        <v>5</v>
      </c>
      <c r="E93" s="40"/>
      <c r="F93" s="3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0"/>
      <c r="AE93" s="35"/>
      <c r="AF93" s="8"/>
    </row>
    <row r="94" spans="1:32" x14ac:dyDescent="0.25">
      <c r="A94" s="3">
        <v>31</v>
      </c>
      <c r="B94" s="12"/>
      <c r="D94" s="11" t="s">
        <v>6</v>
      </c>
      <c r="E94" s="41"/>
      <c r="F94" s="3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0"/>
      <c r="AE94" s="35"/>
      <c r="AF94" s="8"/>
    </row>
    <row r="95" spans="1:32" x14ac:dyDescent="0.25">
      <c r="A95" s="3">
        <v>32</v>
      </c>
      <c r="B95" s="12">
        <f>INDEX([1]data!$I$2:$I$91,MATCH(A95*1,[1]data!$G$2:$G$91,0))</f>
        <v>46216</v>
      </c>
      <c r="D95" s="5" t="s">
        <v>4</v>
      </c>
      <c r="E95" s="39"/>
      <c r="F95" s="3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0"/>
      <c r="AE95" s="35"/>
      <c r="AF95" s="8"/>
    </row>
    <row r="96" spans="1:32" x14ac:dyDescent="0.25">
      <c r="A96" s="3">
        <v>32</v>
      </c>
      <c r="B96" s="12"/>
      <c r="D96" s="9" t="s">
        <v>5</v>
      </c>
      <c r="E96" s="40"/>
      <c r="F96" s="3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0"/>
      <c r="AE96" s="35"/>
      <c r="AF96" s="8"/>
    </row>
    <row r="97" spans="1:32" x14ac:dyDescent="0.25">
      <c r="A97" s="3">
        <v>32</v>
      </c>
      <c r="B97" s="12"/>
      <c r="D97" s="11" t="s">
        <v>6</v>
      </c>
      <c r="E97" s="41"/>
      <c r="F97" s="3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0"/>
      <c r="AE97" s="35"/>
      <c r="AF97" s="8"/>
    </row>
    <row r="98" spans="1:32" x14ac:dyDescent="0.25">
      <c r="A98" s="3">
        <v>33</v>
      </c>
      <c r="B98" s="12">
        <f>INDEX([1]data!$I$2:$I$91,MATCH(A98*1,[1]data!$G$2:$G$91,0))</f>
        <v>46217</v>
      </c>
      <c r="D98" s="5" t="s">
        <v>4</v>
      </c>
      <c r="E98" s="39"/>
      <c r="F98" s="3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0"/>
      <c r="AE98" s="35"/>
      <c r="AF98" s="8"/>
    </row>
    <row r="99" spans="1:32" x14ac:dyDescent="0.25">
      <c r="A99" s="3">
        <v>33</v>
      </c>
      <c r="B99" s="12"/>
      <c r="D99" s="9" t="s">
        <v>5</v>
      </c>
      <c r="E99" s="40"/>
      <c r="F99" s="3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0"/>
      <c r="AE99" s="35"/>
      <c r="AF99" s="8"/>
    </row>
    <row r="100" spans="1:32" x14ac:dyDescent="0.25">
      <c r="A100" s="3">
        <v>33</v>
      </c>
      <c r="B100" s="12"/>
      <c r="D100" s="11" t="s">
        <v>6</v>
      </c>
      <c r="E100" s="41"/>
      <c r="F100" s="3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0"/>
      <c r="AE100" s="35"/>
      <c r="AF100" s="8"/>
    </row>
    <row r="101" spans="1:32" x14ac:dyDescent="0.25">
      <c r="A101" s="3">
        <v>34</v>
      </c>
      <c r="B101" s="12">
        <f>INDEX([1]data!$I$2:$I$91,MATCH(A101*1,[1]data!$G$2:$G$91,0))</f>
        <v>46218</v>
      </c>
      <c r="D101" s="5" t="s">
        <v>4</v>
      </c>
      <c r="E101" s="39"/>
      <c r="F101" s="3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0"/>
      <c r="AE101" s="35"/>
      <c r="AF101" s="8"/>
    </row>
    <row r="102" spans="1:32" x14ac:dyDescent="0.25">
      <c r="A102" s="3">
        <v>34</v>
      </c>
      <c r="B102" s="12"/>
      <c r="D102" s="9" t="s">
        <v>5</v>
      </c>
      <c r="E102" s="40"/>
      <c r="F102" s="3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0"/>
      <c r="AE102" s="35"/>
      <c r="AF102" s="8"/>
    </row>
    <row r="103" spans="1:32" x14ac:dyDescent="0.25">
      <c r="A103" s="3">
        <v>34</v>
      </c>
      <c r="B103" s="12"/>
      <c r="D103" s="11" t="s">
        <v>6</v>
      </c>
      <c r="E103" s="41"/>
      <c r="F103" s="3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0"/>
      <c r="AE103" s="35"/>
      <c r="AF103" s="8"/>
    </row>
    <row r="104" spans="1:32" x14ac:dyDescent="0.25">
      <c r="A104" s="3">
        <v>35</v>
      </c>
      <c r="B104" s="12">
        <f>INDEX([1]data!$I$2:$I$91,MATCH(A104*1,[1]data!$G$2:$G$91,0))</f>
        <v>46219</v>
      </c>
      <c r="D104" s="5" t="s">
        <v>4</v>
      </c>
      <c r="E104" s="39"/>
      <c r="F104" s="3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0"/>
      <c r="AE104" s="35"/>
      <c r="AF104" s="8"/>
    </row>
    <row r="105" spans="1:32" x14ac:dyDescent="0.25">
      <c r="A105" s="3">
        <v>35</v>
      </c>
      <c r="B105" s="12"/>
      <c r="D105" s="9" t="s">
        <v>5</v>
      </c>
      <c r="E105" s="40"/>
      <c r="F105" s="3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0"/>
      <c r="AE105" s="35"/>
      <c r="AF105" s="8"/>
    </row>
    <row r="106" spans="1:32" x14ac:dyDescent="0.25">
      <c r="A106" s="3">
        <v>35</v>
      </c>
      <c r="B106" s="12"/>
      <c r="D106" s="11" t="s">
        <v>6</v>
      </c>
      <c r="E106" s="41"/>
      <c r="F106" s="3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0"/>
      <c r="AE106" s="35"/>
      <c r="AF106" s="8"/>
    </row>
    <row r="107" spans="1:32" x14ac:dyDescent="0.25">
      <c r="A107" s="3">
        <v>36</v>
      </c>
      <c r="B107" s="12">
        <f>INDEX([1]data!$I$2:$I$91,MATCH(A107*1,[1]data!$G$2:$G$91,0))</f>
        <v>46220</v>
      </c>
      <c r="D107" s="5" t="s">
        <v>4</v>
      </c>
      <c r="E107" s="39"/>
      <c r="F107" s="3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0"/>
      <c r="AE107" s="35"/>
      <c r="AF107" s="8"/>
    </row>
    <row r="108" spans="1:32" x14ac:dyDescent="0.25">
      <c r="A108" s="3">
        <v>36</v>
      </c>
      <c r="B108" s="12"/>
      <c r="D108" s="9" t="s">
        <v>5</v>
      </c>
      <c r="E108" s="40"/>
      <c r="F108" s="3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0"/>
      <c r="AE108" s="35"/>
      <c r="AF108" s="8"/>
    </row>
    <row r="109" spans="1:32" x14ac:dyDescent="0.25">
      <c r="A109" s="3">
        <v>36</v>
      </c>
      <c r="B109" s="12"/>
      <c r="D109" s="11" t="s">
        <v>6</v>
      </c>
      <c r="E109" s="41"/>
      <c r="F109" s="3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0"/>
      <c r="AE109" s="35"/>
      <c r="AF109" s="8"/>
    </row>
    <row r="110" spans="1:32" x14ac:dyDescent="0.25">
      <c r="A110" s="3">
        <v>37</v>
      </c>
      <c r="B110" s="12">
        <f>INDEX([1]data!$I$2:$I$91,MATCH(A110*1,[1]data!$G$2:$G$91,0))</f>
        <v>46221</v>
      </c>
      <c r="D110" s="5" t="s">
        <v>4</v>
      </c>
      <c r="E110" s="39"/>
      <c r="F110" s="3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0"/>
      <c r="AE110" s="35"/>
      <c r="AF110" s="8"/>
    </row>
    <row r="111" spans="1:32" x14ac:dyDescent="0.25">
      <c r="A111" s="3">
        <v>37</v>
      </c>
      <c r="B111" s="12"/>
      <c r="D111" s="9" t="s">
        <v>5</v>
      </c>
      <c r="E111" s="40"/>
      <c r="F111" s="3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0"/>
      <c r="AE111" s="35"/>
      <c r="AF111" s="8"/>
    </row>
    <row r="112" spans="1:32" x14ac:dyDescent="0.25">
      <c r="A112" s="3">
        <v>37</v>
      </c>
      <c r="B112" s="12"/>
      <c r="D112" s="11" t="s">
        <v>6</v>
      </c>
      <c r="E112" s="41"/>
      <c r="F112" s="3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0"/>
      <c r="AE112" s="35"/>
      <c r="AF112" s="8"/>
    </row>
    <row r="113" spans="1:32" x14ac:dyDescent="0.25">
      <c r="A113" s="3">
        <v>38</v>
      </c>
      <c r="B113" s="12">
        <f>INDEX([1]data!$I$2:$I$91,MATCH(A113*1,[1]data!$G$2:$G$91,0))</f>
        <v>46222</v>
      </c>
      <c r="D113" s="5" t="s">
        <v>4</v>
      </c>
      <c r="E113" s="39"/>
      <c r="F113" s="3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0"/>
      <c r="AE113" s="35"/>
      <c r="AF113" s="8"/>
    </row>
    <row r="114" spans="1:32" x14ac:dyDescent="0.25">
      <c r="A114" s="3">
        <v>38</v>
      </c>
      <c r="B114" s="12"/>
      <c r="D114" s="9" t="s">
        <v>5</v>
      </c>
      <c r="E114" s="40"/>
      <c r="F114" s="3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0"/>
      <c r="AE114" s="35"/>
      <c r="AF114" s="8"/>
    </row>
    <row r="115" spans="1:32" x14ac:dyDescent="0.25">
      <c r="A115" s="3">
        <v>38</v>
      </c>
      <c r="B115" s="12"/>
      <c r="D115" s="11" t="s">
        <v>6</v>
      </c>
      <c r="E115" s="41"/>
      <c r="F115" s="3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0"/>
      <c r="AE115" s="35"/>
      <c r="AF115" s="8"/>
    </row>
    <row r="116" spans="1:32" x14ac:dyDescent="0.25">
      <c r="A116" s="3">
        <v>39</v>
      </c>
      <c r="B116" s="12">
        <f>INDEX([1]data!$I$2:$I$91,MATCH(A116*1,[1]data!$G$2:$G$91,0))</f>
        <v>46223</v>
      </c>
      <c r="D116" s="5" t="s">
        <v>4</v>
      </c>
      <c r="E116" s="39"/>
      <c r="F116" s="3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0"/>
      <c r="AE116" s="35"/>
      <c r="AF116" s="8"/>
    </row>
    <row r="117" spans="1:32" x14ac:dyDescent="0.25">
      <c r="A117" s="3">
        <v>39</v>
      </c>
      <c r="B117" s="12"/>
      <c r="D117" s="9" t="s">
        <v>5</v>
      </c>
      <c r="E117" s="40"/>
      <c r="F117" s="3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0"/>
      <c r="AE117" s="35"/>
      <c r="AF117" s="8"/>
    </row>
    <row r="118" spans="1:32" x14ac:dyDescent="0.25">
      <c r="A118" s="3">
        <v>39</v>
      </c>
      <c r="B118" s="12"/>
      <c r="D118" s="11" t="s">
        <v>6</v>
      </c>
      <c r="E118" s="41"/>
      <c r="F118" s="3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0"/>
      <c r="AE118" s="35"/>
      <c r="AF118" s="8"/>
    </row>
    <row r="119" spans="1:32" x14ac:dyDescent="0.25">
      <c r="A119" s="3">
        <v>40</v>
      </c>
      <c r="B119" s="12">
        <f>INDEX([1]data!$I$2:$I$91,MATCH(A119*1,[1]data!$G$2:$G$91,0))</f>
        <v>46224</v>
      </c>
      <c r="D119" s="5" t="s">
        <v>4</v>
      </c>
      <c r="E119" s="39"/>
      <c r="F119" s="3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0"/>
      <c r="AE119" s="35"/>
      <c r="AF119" s="8"/>
    </row>
    <row r="120" spans="1:32" x14ac:dyDescent="0.25">
      <c r="A120" s="3">
        <v>40</v>
      </c>
      <c r="B120" s="12"/>
      <c r="D120" s="9" t="s">
        <v>5</v>
      </c>
      <c r="E120" s="40"/>
      <c r="F120" s="3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0"/>
      <c r="AE120" s="35"/>
      <c r="AF120" s="8"/>
    </row>
    <row r="121" spans="1:32" x14ac:dyDescent="0.25">
      <c r="A121" s="3">
        <v>40</v>
      </c>
      <c r="B121" s="12"/>
      <c r="D121" s="11" t="s">
        <v>6</v>
      </c>
      <c r="E121" s="41"/>
      <c r="F121" s="3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"/>
      <c r="AE121" s="35"/>
      <c r="AF121" s="8"/>
    </row>
    <row r="122" spans="1:32" x14ac:dyDescent="0.25">
      <c r="A122" s="3">
        <v>41</v>
      </c>
      <c r="B122" s="12">
        <f>INDEX([1]data!$I$2:$I$91,MATCH(A122*1,[1]data!$G$2:$G$91,0))</f>
        <v>46225</v>
      </c>
      <c r="D122" s="5" t="s">
        <v>4</v>
      </c>
      <c r="E122" s="39"/>
      <c r="F122" s="3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0"/>
      <c r="AE122" s="35"/>
      <c r="AF122" s="8"/>
    </row>
    <row r="123" spans="1:32" x14ac:dyDescent="0.25">
      <c r="A123" s="3">
        <v>41</v>
      </c>
      <c r="B123" s="12"/>
      <c r="D123" s="9" t="s">
        <v>5</v>
      </c>
      <c r="E123" s="40"/>
      <c r="F123" s="3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0"/>
      <c r="AE123" s="35"/>
      <c r="AF123" s="8"/>
    </row>
    <row r="124" spans="1:32" x14ac:dyDescent="0.25">
      <c r="A124" s="3">
        <v>41</v>
      </c>
      <c r="B124" s="12"/>
      <c r="D124" s="11" t="s">
        <v>6</v>
      </c>
      <c r="E124" s="41"/>
      <c r="F124" s="3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0"/>
      <c r="AE124" s="35"/>
      <c r="AF124" s="8"/>
    </row>
    <row r="125" spans="1:32" x14ac:dyDescent="0.25">
      <c r="A125" s="3">
        <v>42</v>
      </c>
      <c r="B125" s="12">
        <f>INDEX([1]data!$I$2:$I$91,MATCH(A125*1,[1]data!$G$2:$G$91,0))</f>
        <v>46226</v>
      </c>
      <c r="D125" s="5" t="s">
        <v>4</v>
      </c>
      <c r="E125" s="39"/>
      <c r="F125" s="3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0"/>
      <c r="AE125" s="35"/>
      <c r="AF125" s="8"/>
    </row>
    <row r="126" spans="1:32" x14ac:dyDescent="0.25">
      <c r="A126" s="3">
        <v>42</v>
      </c>
      <c r="B126" s="12"/>
      <c r="D126" s="9" t="s">
        <v>5</v>
      </c>
      <c r="E126" s="40"/>
      <c r="F126" s="3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0"/>
      <c r="AE126" s="35"/>
      <c r="AF126" s="8"/>
    </row>
    <row r="127" spans="1:32" x14ac:dyDescent="0.25">
      <c r="A127" s="3">
        <v>42</v>
      </c>
      <c r="B127" s="12"/>
      <c r="D127" s="11" t="s">
        <v>6</v>
      </c>
      <c r="E127" s="41"/>
      <c r="F127" s="3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0"/>
      <c r="AE127" s="35"/>
      <c r="AF127" s="8"/>
    </row>
    <row r="128" spans="1:32" x14ac:dyDescent="0.25">
      <c r="A128" s="3">
        <v>43</v>
      </c>
      <c r="B128" s="12">
        <f>INDEX([1]data!$I$2:$I$91,MATCH(A128*1,[1]data!$G$2:$G$91,0))</f>
        <v>46227</v>
      </c>
      <c r="D128" s="5" t="s">
        <v>4</v>
      </c>
      <c r="E128" s="39"/>
      <c r="F128" s="3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0"/>
      <c r="AE128" s="35"/>
      <c r="AF128" s="8"/>
    </row>
    <row r="129" spans="1:32" x14ac:dyDescent="0.25">
      <c r="A129" s="3">
        <v>43</v>
      </c>
      <c r="B129" s="12"/>
      <c r="D129" s="9" t="s">
        <v>5</v>
      </c>
      <c r="E129" s="40"/>
      <c r="F129" s="3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0"/>
      <c r="AE129" s="35"/>
      <c r="AF129" s="8"/>
    </row>
    <row r="130" spans="1:32" x14ac:dyDescent="0.25">
      <c r="A130" s="3">
        <v>43</v>
      </c>
      <c r="B130" s="12"/>
      <c r="D130" s="11" t="s">
        <v>6</v>
      </c>
      <c r="E130" s="41"/>
      <c r="F130" s="3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0"/>
      <c r="AE130" s="35"/>
      <c r="AF130" s="8"/>
    </row>
    <row r="131" spans="1:32" x14ac:dyDescent="0.25">
      <c r="A131" s="3">
        <v>44</v>
      </c>
      <c r="B131" s="12">
        <f>INDEX([1]data!$I$2:$I$91,MATCH(A131*1,[1]data!$G$2:$G$91,0))</f>
        <v>46228</v>
      </c>
      <c r="D131" s="5" t="s">
        <v>4</v>
      </c>
      <c r="E131" s="39"/>
      <c r="F131" s="3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0"/>
      <c r="AE131" s="35"/>
      <c r="AF131" s="8"/>
    </row>
    <row r="132" spans="1:32" x14ac:dyDescent="0.25">
      <c r="A132" s="3">
        <v>44</v>
      </c>
      <c r="B132" s="12"/>
      <c r="D132" s="9" t="s">
        <v>5</v>
      </c>
      <c r="E132" s="40"/>
      <c r="F132" s="3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0"/>
      <c r="AE132" s="35"/>
      <c r="AF132" s="8"/>
    </row>
    <row r="133" spans="1:32" x14ac:dyDescent="0.25">
      <c r="A133" s="3">
        <v>44</v>
      </c>
      <c r="B133" s="12"/>
      <c r="D133" s="11" t="s">
        <v>6</v>
      </c>
      <c r="E133" s="41"/>
      <c r="F133" s="3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0"/>
      <c r="AE133" s="35"/>
      <c r="AF133" s="8"/>
    </row>
    <row r="134" spans="1:32" x14ac:dyDescent="0.25">
      <c r="A134" s="3">
        <v>45</v>
      </c>
      <c r="B134" s="12">
        <f>INDEX([1]data!$I$2:$I$91,MATCH(A134*1,[1]data!$G$2:$G$91,0))</f>
        <v>46229</v>
      </c>
      <c r="D134" s="5" t="s">
        <v>4</v>
      </c>
      <c r="E134" s="39"/>
      <c r="F134" s="3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0"/>
      <c r="AE134" s="35"/>
      <c r="AF134" s="8"/>
    </row>
    <row r="135" spans="1:32" x14ac:dyDescent="0.25">
      <c r="A135" s="3">
        <v>45</v>
      </c>
      <c r="B135" s="12"/>
      <c r="D135" s="9" t="s">
        <v>5</v>
      </c>
      <c r="E135" s="40"/>
      <c r="F135" s="3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0"/>
      <c r="AE135" s="35"/>
      <c r="AF135" s="8"/>
    </row>
    <row r="136" spans="1:32" x14ac:dyDescent="0.25">
      <c r="A136" s="3">
        <v>45</v>
      </c>
      <c r="B136" s="12"/>
      <c r="D136" s="11" t="s">
        <v>6</v>
      </c>
      <c r="E136" s="41"/>
      <c r="F136" s="3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0"/>
      <c r="AE136" s="35"/>
      <c r="AF136" s="8"/>
    </row>
    <row r="137" spans="1:32" x14ac:dyDescent="0.25">
      <c r="A137" s="3">
        <v>46</v>
      </c>
      <c r="B137" s="12">
        <f>INDEX([1]data!$I$2:$I$91,MATCH(A137*1,[1]data!$G$2:$G$91,0))</f>
        <v>46230</v>
      </c>
      <c r="D137" s="5" t="s">
        <v>4</v>
      </c>
      <c r="E137" s="39"/>
      <c r="F137" s="3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0"/>
      <c r="AE137" s="35"/>
      <c r="AF137" s="8"/>
    </row>
    <row r="138" spans="1:32" x14ac:dyDescent="0.25">
      <c r="A138" s="3">
        <v>46</v>
      </c>
      <c r="B138" s="12"/>
      <c r="D138" s="9" t="s">
        <v>5</v>
      </c>
      <c r="E138" s="40"/>
      <c r="F138" s="3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0"/>
      <c r="AE138" s="35"/>
      <c r="AF138" s="8"/>
    </row>
    <row r="139" spans="1:32" x14ac:dyDescent="0.25">
      <c r="A139" s="3">
        <v>46</v>
      </c>
      <c r="B139" s="12"/>
      <c r="D139" s="11" t="s">
        <v>6</v>
      </c>
      <c r="E139" s="41"/>
      <c r="F139" s="3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0"/>
      <c r="AE139" s="35"/>
      <c r="AF139" s="8"/>
    </row>
    <row r="140" spans="1:32" x14ac:dyDescent="0.25">
      <c r="A140" s="3">
        <v>47</v>
      </c>
      <c r="B140" s="12">
        <f>INDEX([1]data!$I$2:$I$91,MATCH(A140*1,[1]data!$G$2:$G$91,0))</f>
        <v>46231</v>
      </c>
      <c r="D140" s="5" t="s">
        <v>4</v>
      </c>
      <c r="E140" s="39"/>
      <c r="F140" s="3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0"/>
      <c r="AE140" s="35"/>
      <c r="AF140" s="8"/>
    </row>
    <row r="141" spans="1:32" x14ac:dyDescent="0.25">
      <c r="A141" s="3">
        <v>47</v>
      </c>
      <c r="B141" s="12"/>
      <c r="D141" s="9" t="s">
        <v>5</v>
      </c>
      <c r="E141" s="40"/>
      <c r="F141" s="3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0"/>
      <c r="AE141" s="35"/>
      <c r="AF141" s="8"/>
    </row>
    <row r="142" spans="1:32" x14ac:dyDescent="0.25">
      <c r="A142" s="3">
        <v>47</v>
      </c>
      <c r="B142" s="12"/>
      <c r="D142" s="11" t="s">
        <v>6</v>
      </c>
      <c r="E142" s="41"/>
      <c r="F142" s="3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0"/>
      <c r="AE142" s="35"/>
      <c r="AF142" s="8"/>
    </row>
    <row r="143" spans="1:32" x14ac:dyDescent="0.25">
      <c r="A143" s="3">
        <v>48</v>
      </c>
      <c r="B143" s="12">
        <f>INDEX([1]data!$I$2:$I$91,MATCH(A143*1,[1]data!$G$2:$G$91,0))</f>
        <v>46232</v>
      </c>
      <c r="D143" s="5" t="s">
        <v>4</v>
      </c>
      <c r="E143" s="39"/>
      <c r="F143" s="3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0"/>
      <c r="AE143" s="35"/>
      <c r="AF143" s="8"/>
    </row>
    <row r="144" spans="1:32" x14ac:dyDescent="0.25">
      <c r="A144" s="3">
        <v>48</v>
      </c>
      <c r="B144" s="12"/>
      <c r="D144" s="9" t="s">
        <v>5</v>
      </c>
      <c r="E144" s="40"/>
      <c r="F144" s="3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0"/>
      <c r="AE144" s="35"/>
      <c r="AF144" s="8"/>
    </row>
    <row r="145" spans="1:32" x14ac:dyDescent="0.25">
      <c r="A145" s="3">
        <v>48</v>
      </c>
      <c r="B145" s="12"/>
      <c r="D145" s="11" t="s">
        <v>6</v>
      </c>
      <c r="E145" s="41"/>
      <c r="F145" s="3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0"/>
      <c r="AE145" s="35"/>
      <c r="AF145" s="8"/>
    </row>
    <row r="146" spans="1:32" x14ac:dyDescent="0.25">
      <c r="A146" s="3">
        <v>49</v>
      </c>
      <c r="B146" s="12">
        <f>INDEX([1]data!$I$2:$I$91,MATCH(A146*1,[1]data!$G$2:$G$91,0))</f>
        <v>46233</v>
      </c>
      <c r="D146" s="5" t="s">
        <v>4</v>
      </c>
      <c r="E146" s="39"/>
      <c r="F146" s="3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0"/>
      <c r="AE146" s="35"/>
      <c r="AF146" s="8"/>
    </row>
    <row r="147" spans="1:32" x14ac:dyDescent="0.25">
      <c r="A147" s="3">
        <v>49</v>
      </c>
      <c r="B147" s="12"/>
      <c r="D147" s="9" t="s">
        <v>5</v>
      </c>
      <c r="E147" s="40"/>
      <c r="F147" s="3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0"/>
      <c r="AE147" s="35"/>
      <c r="AF147" s="8"/>
    </row>
    <row r="148" spans="1:32" x14ac:dyDescent="0.25">
      <c r="A148" s="3">
        <v>49</v>
      </c>
      <c r="B148" s="12"/>
      <c r="D148" s="11" t="s">
        <v>6</v>
      </c>
      <c r="E148" s="41"/>
      <c r="F148" s="3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0"/>
      <c r="AE148" s="35"/>
      <c r="AF148" s="8"/>
    </row>
    <row r="149" spans="1:32" x14ac:dyDescent="0.25">
      <c r="A149" s="3">
        <v>50</v>
      </c>
      <c r="B149" s="12">
        <f>INDEX([1]data!$I$2:$I$91,MATCH(A149*1,[1]data!$G$2:$G$91,0))</f>
        <v>46234</v>
      </c>
      <c r="D149" s="5" t="s">
        <v>4</v>
      </c>
      <c r="E149" s="39"/>
      <c r="F149" s="3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0"/>
      <c r="AE149" s="35"/>
      <c r="AF149" s="8"/>
    </row>
    <row r="150" spans="1:32" x14ac:dyDescent="0.25">
      <c r="A150" s="3">
        <v>50</v>
      </c>
      <c r="B150" s="12"/>
      <c r="D150" s="9" t="s">
        <v>5</v>
      </c>
      <c r="E150" s="40"/>
      <c r="F150" s="3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0"/>
      <c r="AE150" s="35"/>
      <c r="AF150" s="8"/>
    </row>
    <row r="151" spans="1:32" x14ac:dyDescent="0.25">
      <c r="A151" s="3">
        <v>50</v>
      </c>
      <c r="B151" s="12"/>
      <c r="D151" s="11" t="s">
        <v>6</v>
      </c>
      <c r="E151" s="41"/>
      <c r="F151" s="3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0"/>
      <c r="AE151" s="35"/>
      <c r="AF151" s="8"/>
    </row>
    <row r="152" spans="1:32" x14ac:dyDescent="0.25">
      <c r="A152" s="3">
        <v>51</v>
      </c>
      <c r="B152" s="12">
        <f>INDEX([1]data!$I$2:$I$91,MATCH(A152*1,[1]data!$G$2:$G$91,0))</f>
        <v>46235</v>
      </c>
      <c r="D152" s="5" t="s">
        <v>4</v>
      </c>
      <c r="E152" s="39"/>
      <c r="F152" s="3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0"/>
      <c r="AE152" s="35"/>
      <c r="AF152" s="8"/>
    </row>
    <row r="153" spans="1:32" x14ac:dyDescent="0.25">
      <c r="A153" s="3">
        <v>51</v>
      </c>
      <c r="B153" s="12"/>
      <c r="D153" s="9" t="s">
        <v>5</v>
      </c>
      <c r="E153" s="40"/>
      <c r="F153" s="3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0"/>
      <c r="AE153" s="35"/>
      <c r="AF153" s="8"/>
    </row>
    <row r="154" spans="1:32" x14ac:dyDescent="0.25">
      <c r="A154" s="3">
        <v>51</v>
      </c>
      <c r="B154" s="12"/>
      <c r="D154" s="11" t="s">
        <v>6</v>
      </c>
      <c r="E154" s="41"/>
      <c r="F154" s="3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0"/>
      <c r="AE154" s="35"/>
      <c r="AF154" s="8"/>
    </row>
    <row r="155" spans="1:32" x14ac:dyDescent="0.25">
      <c r="A155" s="3">
        <v>52</v>
      </c>
      <c r="B155" s="12">
        <f>INDEX([1]data!$I$2:$I$91,MATCH(A155*1,[1]data!$G$2:$G$91,0))</f>
        <v>46236</v>
      </c>
      <c r="D155" s="5" t="s">
        <v>4</v>
      </c>
      <c r="E155" s="39"/>
      <c r="F155" s="3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0"/>
      <c r="AE155" s="35"/>
      <c r="AF155" s="8"/>
    </row>
    <row r="156" spans="1:32" x14ac:dyDescent="0.25">
      <c r="A156" s="3">
        <v>52</v>
      </c>
      <c r="B156" s="12"/>
      <c r="D156" s="9" t="s">
        <v>5</v>
      </c>
      <c r="E156" s="40"/>
      <c r="F156" s="3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0"/>
      <c r="AE156" s="35"/>
      <c r="AF156" s="8"/>
    </row>
    <row r="157" spans="1:32" x14ac:dyDescent="0.25">
      <c r="A157" s="3">
        <v>52</v>
      </c>
      <c r="B157" s="12"/>
      <c r="D157" s="11" t="s">
        <v>6</v>
      </c>
      <c r="E157" s="41"/>
      <c r="F157" s="3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0"/>
      <c r="AE157" s="35"/>
      <c r="AF157" s="8"/>
    </row>
    <row r="158" spans="1:32" x14ac:dyDescent="0.25">
      <c r="A158" s="3">
        <v>53</v>
      </c>
      <c r="B158" s="12">
        <f>INDEX([1]data!$I$2:$I$91,MATCH(A158*1,[1]data!$G$2:$G$91,0))</f>
        <v>46237</v>
      </c>
      <c r="D158" s="5" t="s">
        <v>4</v>
      </c>
      <c r="E158" s="39"/>
      <c r="F158" s="3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0"/>
      <c r="AE158" s="35"/>
      <c r="AF158" s="8"/>
    </row>
    <row r="159" spans="1:32" x14ac:dyDescent="0.25">
      <c r="A159" s="3">
        <v>53</v>
      </c>
      <c r="B159" s="12"/>
      <c r="D159" s="9" t="s">
        <v>5</v>
      </c>
      <c r="E159" s="40"/>
      <c r="F159" s="3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0"/>
      <c r="AE159" s="35"/>
      <c r="AF159" s="8"/>
    </row>
    <row r="160" spans="1:32" x14ac:dyDescent="0.25">
      <c r="A160" s="3">
        <v>53</v>
      </c>
      <c r="B160" s="12"/>
      <c r="D160" s="11" t="s">
        <v>6</v>
      </c>
      <c r="E160" s="41"/>
      <c r="F160" s="3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0"/>
      <c r="AE160" s="35"/>
      <c r="AF160" s="8"/>
    </row>
    <row r="161" spans="1:32" x14ac:dyDescent="0.25">
      <c r="A161" s="3">
        <v>54</v>
      </c>
      <c r="B161" s="12">
        <f>INDEX([1]data!$I$2:$I$91,MATCH(A161*1,[1]data!$G$2:$G$91,0))</f>
        <v>46238</v>
      </c>
      <c r="D161" s="5" t="s">
        <v>4</v>
      </c>
      <c r="E161" s="39"/>
      <c r="F161" s="3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0"/>
      <c r="AE161" s="35"/>
      <c r="AF161" s="8"/>
    </row>
    <row r="162" spans="1:32" x14ac:dyDescent="0.25">
      <c r="A162" s="3">
        <v>54</v>
      </c>
      <c r="B162" s="12"/>
      <c r="D162" s="9" t="s">
        <v>5</v>
      </c>
      <c r="E162" s="40"/>
      <c r="F162" s="3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0"/>
      <c r="AE162" s="35"/>
      <c r="AF162" s="8"/>
    </row>
    <row r="163" spans="1:32" x14ac:dyDescent="0.25">
      <c r="A163" s="3">
        <v>54</v>
      </c>
      <c r="B163" s="12"/>
      <c r="D163" s="11" t="s">
        <v>6</v>
      </c>
      <c r="E163" s="41"/>
      <c r="F163" s="3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0"/>
      <c r="AE163" s="35"/>
      <c r="AF163" s="8"/>
    </row>
    <row r="164" spans="1:32" x14ac:dyDescent="0.25">
      <c r="A164" s="3">
        <v>55</v>
      </c>
      <c r="B164" s="12">
        <f>INDEX([1]data!$I$2:$I$91,MATCH(A164*1,[1]data!$G$2:$G$91,0))</f>
        <v>46239</v>
      </c>
      <c r="D164" s="5" t="s">
        <v>4</v>
      </c>
      <c r="E164" s="39"/>
      <c r="F164" s="3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0"/>
      <c r="AE164" s="35"/>
      <c r="AF164" s="8"/>
    </row>
    <row r="165" spans="1:32" x14ac:dyDescent="0.25">
      <c r="A165" s="3">
        <v>55</v>
      </c>
      <c r="B165" s="12"/>
      <c r="D165" s="9" t="s">
        <v>5</v>
      </c>
      <c r="E165" s="40"/>
      <c r="F165" s="3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0"/>
      <c r="AE165" s="35"/>
      <c r="AF165" s="8"/>
    </row>
    <row r="166" spans="1:32" x14ac:dyDescent="0.25">
      <c r="A166" s="3">
        <v>55</v>
      </c>
      <c r="B166" s="12"/>
      <c r="D166" s="11" t="s">
        <v>6</v>
      </c>
      <c r="E166" s="41"/>
      <c r="F166" s="3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0"/>
      <c r="AE166" s="35"/>
      <c r="AF166" s="8"/>
    </row>
    <row r="167" spans="1:32" x14ac:dyDescent="0.25">
      <c r="A167" s="3">
        <v>56</v>
      </c>
      <c r="B167" s="12">
        <f>INDEX([1]data!$I$2:$I$91,MATCH(A167*1,[1]data!$G$2:$G$91,0))</f>
        <v>46240</v>
      </c>
      <c r="D167" s="5" t="s">
        <v>4</v>
      </c>
      <c r="E167" s="39"/>
      <c r="F167" s="3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0"/>
      <c r="AE167" s="35"/>
      <c r="AF167" s="8"/>
    </row>
    <row r="168" spans="1:32" x14ac:dyDescent="0.25">
      <c r="A168" s="3">
        <v>56</v>
      </c>
      <c r="B168" s="12"/>
      <c r="D168" s="9" t="s">
        <v>5</v>
      </c>
      <c r="E168" s="40"/>
      <c r="F168" s="3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0"/>
      <c r="AE168" s="35"/>
      <c r="AF168" s="8"/>
    </row>
    <row r="169" spans="1:32" x14ac:dyDescent="0.25">
      <c r="A169" s="3">
        <v>56</v>
      </c>
      <c r="B169" s="12"/>
      <c r="D169" s="11" t="s">
        <v>6</v>
      </c>
      <c r="E169" s="41"/>
      <c r="F169" s="3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0"/>
      <c r="AE169" s="35"/>
      <c r="AF169" s="8"/>
    </row>
    <row r="170" spans="1:32" x14ac:dyDescent="0.25">
      <c r="A170" s="3">
        <v>57</v>
      </c>
      <c r="B170" s="12">
        <f>INDEX([1]data!$I$2:$I$91,MATCH(A170*1,[1]data!$G$2:$G$91,0))</f>
        <v>46241</v>
      </c>
      <c r="D170" s="5" t="s">
        <v>4</v>
      </c>
      <c r="E170" s="39"/>
      <c r="F170" s="3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0"/>
      <c r="AE170" s="35"/>
      <c r="AF170" s="8"/>
    </row>
    <row r="171" spans="1:32" x14ac:dyDescent="0.25">
      <c r="A171" s="3">
        <v>57</v>
      </c>
      <c r="B171" s="12"/>
      <c r="D171" s="9" t="s">
        <v>5</v>
      </c>
      <c r="E171" s="40"/>
      <c r="F171" s="3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0"/>
      <c r="AE171" s="35"/>
      <c r="AF171" s="8"/>
    </row>
    <row r="172" spans="1:32" x14ac:dyDescent="0.25">
      <c r="A172" s="3">
        <v>57</v>
      </c>
      <c r="B172" s="12"/>
      <c r="D172" s="11" t="s">
        <v>6</v>
      </c>
      <c r="E172" s="41"/>
      <c r="F172" s="3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0"/>
      <c r="AE172" s="35"/>
      <c r="AF172" s="8"/>
    </row>
    <row r="173" spans="1:32" x14ac:dyDescent="0.25">
      <c r="A173" s="3">
        <v>58</v>
      </c>
      <c r="B173" s="12">
        <f>INDEX([1]data!$I$2:$I$91,MATCH(A173*1,[1]data!$G$2:$G$91,0))</f>
        <v>46242</v>
      </c>
      <c r="D173" s="5" t="s">
        <v>4</v>
      </c>
      <c r="E173" s="39"/>
      <c r="F173" s="3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0"/>
      <c r="AE173" s="35"/>
      <c r="AF173" s="8"/>
    </row>
    <row r="174" spans="1:32" x14ac:dyDescent="0.25">
      <c r="A174" s="3">
        <v>58</v>
      </c>
      <c r="B174" s="12"/>
      <c r="D174" s="9" t="s">
        <v>5</v>
      </c>
      <c r="E174" s="40"/>
      <c r="F174" s="3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0"/>
      <c r="AE174" s="35"/>
      <c r="AF174" s="8"/>
    </row>
    <row r="175" spans="1:32" x14ac:dyDescent="0.25">
      <c r="A175" s="3">
        <v>58</v>
      </c>
      <c r="B175" s="12"/>
      <c r="D175" s="11" t="s">
        <v>6</v>
      </c>
      <c r="E175" s="41"/>
      <c r="F175" s="3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0"/>
      <c r="AE175" s="35"/>
      <c r="AF175" s="8"/>
    </row>
    <row r="176" spans="1:32" x14ac:dyDescent="0.25">
      <c r="A176" s="3">
        <v>59</v>
      </c>
      <c r="B176" s="12">
        <f>INDEX([1]data!$I$2:$I$91,MATCH(A176*1,[1]data!$G$2:$G$91,0))</f>
        <v>46243</v>
      </c>
      <c r="D176" s="5" t="s">
        <v>4</v>
      </c>
      <c r="E176" s="39"/>
      <c r="F176" s="3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0"/>
      <c r="AE176" s="35"/>
      <c r="AF176" s="8"/>
    </row>
    <row r="177" spans="1:32" x14ac:dyDescent="0.25">
      <c r="A177" s="3">
        <v>59</v>
      </c>
      <c r="B177" s="12"/>
      <c r="D177" s="9" t="s">
        <v>5</v>
      </c>
      <c r="E177" s="40"/>
      <c r="F177" s="3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0"/>
      <c r="AE177" s="35"/>
      <c r="AF177" s="8"/>
    </row>
    <row r="178" spans="1:32" x14ac:dyDescent="0.25">
      <c r="A178" s="3">
        <v>59</v>
      </c>
      <c r="B178" s="12"/>
      <c r="D178" s="11" t="s">
        <v>6</v>
      </c>
      <c r="E178" s="41"/>
      <c r="F178" s="3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0"/>
      <c r="AE178" s="35"/>
      <c r="AF178" s="8"/>
    </row>
    <row r="179" spans="1:32" x14ac:dyDescent="0.25">
      <c r="A179" s="3">
        <v>60</v>
      </c>
      <c r="B179" s="12">
        <f>INDEX([1]data!$I$2:$I$91,MATCH(A179*1,[1]data!$G$2:$G$91,0))</f>
        <v>46244</v>
      </c>
      <c r="D179" s="5" t="s">
        <v>4</v>
      </c>
      <c r="E179" s="39"/>
      <c r="F179" s="3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0"/>
      <c r="AE179" s="35"/>
      <c r="AF179" s="8"/>
    </row>
    <row r="180" spans="1:32" x14ac:dyDescent="0.25">
      <c r="A180" s="3">
        <v>60</v>
      </c>
      <c r="B180" s="12"/>
      <c r="D180" s="9" t="s">
        <v>5</v>
      </c>
      <c r="E180" s="40"/>
      <c r="F180" s="3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0"/>
      <c r="AE180" s="35"/>
      <c r="AF180" s="8"/>
    </row>
    <row r="181" spans="1:32" x14ac:dyDescent="0.25">
      <c r="A181" s="3">
        <v>60</v>
      </c>
      <c r="B181" s="12"/>
      <c r="D181" s="11" t="s">
        <v>6</v>
      </c>
      <c r="E181" s="41"/>
      <c r="F181" s="3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0"/>
      <c r="AE181" s="35"/>
      <c r="AF181" s="8"/>
    </row>
    <row r="182" spans="1:32" x14ac:dyDescent="0.25">
      <c r="A182" s="3">
        <v>61</v>
      </c>
      <c r="B182" s="12">
        <f>INDEX([1]data!$I$2:$I$91,MATCH(A182*1,[1]data!$G$2:$G$91,0))</f>
        <v>46245</v>
      </c>
      <c r="D182" s="5" t="s">
        <v>4</v>
      </c>
      <c r="E182" s="39"/>
      <c r="F182" s="3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0"/>
      <c r="AE182" s="35"/>
      <c r="AF182" s="8"/>
    </row>
    <row r="183" spans="1:32" x14ac:dyDescent="0.25">
      <c r="A183" s="3">
        <v>61</v>
      </c>
      <c r="B183" s="12"/>
      <c r="D183" s="9" t="s">
        <v>5</v>
      </c>
      <c r="E183" s="40"/>
      <c r="F183" s="3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0"/>
      <c r="AE183" s="35"/>
      <c r="AF183" s="8"/>
    </row>
    <row r="184" spans="1:32" x14ac:dyDescent="0.25">
      <c r="A184" s="3">
        <v>61</v>
      </c>
      <c r="B184" s="12"/>
      <c r="D184" s="11" t="s">
        <v>6</v>
      </c>
      <c r="E184" s="41"/>
      <c r="F184" s="3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0"/>
      <c r="AE184" s="35"/>
      <c r="AF184" s="8"/>
    </row>
    <row r="185" spans="1:32" x14ac:dyDescent="0.25">
      <c r="A185" s="3">
        <v>62</v>
      </c>
      <c r="B185" s="12">
        <f>INDEX([1]data!$I$2:$I$91,MATCH(A185*1,[1]data!$G$2:$G$91,0))</f>
        <v>46246</v>
      </c>
      <c r="D185" s="5" t="s">
        <v>4</v>
      </c>
      <c r="E185" s="39"/>
      <c r="F185" s="3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0"/>
      <c r="AE185" s="35"/>
      <c r="AF185" s="8"/>
    </row>
    <row r="186" spans="1:32" x14ac:dyDescent="0.25">
      <c r="A186" s="3">
        <v>62</v>
      </c>
      <c r="B186" s="12"/>
      <c r="D186" s="9" t="s">
        <v>5</v>
      </c>
      <c r="E186" s="40"/>
      <c r="F186" s="3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0"/>
      <c r="AE186" s="35"/>
      <c r="AF186" s="8"/>
    </row>
    <row r="187" spans="1:32" x14ac:dyDescent="0.25">
      <c r="A187" s="3">
        <v>62</v>
      </c>
      <c r="B187" s="12"/>
      <c r="D187" s="11" t="s">
        <v>6</v>
      </c>
      <c r="E187" s="41"/>
      <c r="F187" s="3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0"/>
      <c r="AE187" s="35"/>
      <c r="AF187" s="8"/>
    </row>
    <row r="188" spans="1:32" x14ac:dyDescent="0.25">
      <c r="A188" s="3">
        <v>63</v>
      </c>
      <c r="B188" s="12">
        <f>INDEX([1]data!$I$2:$I$91,MATCH(A188*1,[1]data!$G$2:$G$91,0))</f>
        <v>46247</v>
      </c>
      <c r="D188" s="5" t="s">
        <v>4</v>
      </c>
      <c r="E188" s="39"/>
      <c r="F188" s="3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0"/>
      <c r="AE188" s="35"/>
      <c r="AF188" s="8"/>
    </row>
    <row r="189" spans="1:32" x14ac:dyDescent="0.25">
      <c r="A189" s="3">
        <v>63</v>
      </c>
      <c r="B189" s="12"/>
      <c r="D189" s="9" t="s">
        <v>5</v>
      </c>
      <c r="E189" s="40"/>
      <c r="F189" s="3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0"/>
      <c r="AE189" s="35"/>
      <c r="AF189" s="8"/>
    </row>
    <row r="190" spans="1:32" x14ac:dyDescent="0.25">
      <c r="A190" s="3">
        <v>63</v>
      </c>
      <c r="B190" s="12"/>
      <c r="D190" s="11" t="s">
        <v>6</v>
      </c>
      <c r="E190" s="41"/>
      <c r="F190" s="3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0"/>
      <c r="AE190" s="35"/>
      <c r="AF190" s="8"/>
    </row>
    <row r="191" spans="1:32" x14ac:dyDescent="0.25">
      <c r="A191" s="3">
        <v>64</v>
      </c>
      <c r="B191" s="12">
        <f>INDEX([1]data!$I$2:$I$91,MATCH(A191*1,[1]data!$G$2:$G$91,0))</f>
        <v>46248</v>
      </c>
      <c r="D191" s="5" t="s">
        <v>4</v>
      </c>
      <c r="E191" s="39"/>
      <c r="F191" s="3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0"/>
      <c r="AE191" s="35"/>
      <c r="AF191" s="8"/>
    </row>
    <row r="192" spans="1:32" x14ac:dyDescent="0.25">
      <c r="A192" s="3">
        <v>64</v>
      </c>
      <c r="B192" s="12"/>
      <c r="D192" s="9" t="s">
        <v>5</v>
      </c>
      <c r="E192" s="40"/>
      <c r="F192" s="3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0"/>
      <c r="AE192" s="35"/>
      <c r="AF192" s="8"/>
    </row>
    <row r="193" spans="1:32" x14ac:dyDescent="0.25">
      <c r="A193" s="3">
        <v>64</v>
      </c>
      <c r="B193" s="12"/>
      <c r="D193" s="11" t="s">
        <v>6</v>
      </c>
      <c r="E193" s="41"/>
      <c r="F193" s="3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0"/>
      <c r="AE193" s="35"/>
      <c r="AF193" s="8"/>
    </row>
    <row r="194" spans="1:32" x14ac:dyDescent="0.25">
      <c r="A194" s="3">
        <v>65</v>
      </c>
      <c r="B194" s="12">
        <f>INDEX([1]data!$I$2:$I$91,MATCH(A194*1,[1]data!$G$2:$G$91,0))</f>
        <v>46249</v>
      </c>
      <c r="D194" s="5" t="s">
        <v>4</v>
      </c>
      <c r="E194" s="39"/>
      <c r="F194" s="3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0"/>
      <c r="AE194" s="35"/>
      <c r="AF194" s="8"/>
    </row>
    <row r="195" spans="1:32" x14ac:dyDescent="0.25">
      <c r="A195" s="3">
        <v>65</v>
      </c>
      <c r="B195" s="12"/>
      <c r="D195" s="9" t="s">
        <v>5</v>
      </c>
      <c r="E195" s="40"/>
      <c r="F195" s="3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0"/>
      <c r="AE195" s="35"/>
      <c r="AF195" s="8"/>
    </row>
    <row r="196" spans="1:32" x14ac:dyDescent="0.25">
      <c r="A196" s="3">
        <v>65</v>
      </c>
      <c r="B196" s="12"/>
      <c r="D196" s="11" t="s">
        <v>6</v>
      </c>
      <c r="E196" s="41"/>
      <c r="F196" s="3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0"/>
      <c r="AE196" s="35"/>
      <c r="AF196" s="8"/>
    </row>
    <row r="197" spans="1:32" x14ac:dyDescent="0.25">
      <c r="A197" s="3">
        <v>66</v>
      </c>
      <c r="B197" s="12">
        <f>INDEX([1]data!$I$2:$I$91,MATCH(A197*1,[1]data!$G$2:$G$91,0))</f>
        <v>46250</v>
      </c>
      <c r="D197" s="5" t="s">
        <v>4</v>
      </c>
      <c r="E197" s="39"/>
      <c r="F197" s="3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0"/>
      <c r="AE197" s="35"/>
      <c r="AF197" s="8"/>
    </row>
    <row r="198" spans="1:32" x14ac:dyDescent="0.25">
      <c r="A198" s="3">
        <v>66</v>
      </c>
      <c r="B198" s="12"/>
      <c r="D198" s="9" t="s">
        <v>5</v>
      </c>
      <c r="E198" s="40"/>
      <c r="F198" s="3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0"/>
      <c r="AE198" s="35"/>
      <c r="AF198" s="8"/>
    </row>
    <row r="199" spans="1:32" x14ac:dyDescent="0.25">
      <c r="A199" s="3">
        <v>66</v>
      </c>
      <c r="B199" s="12"/>
      <c r="D199" s="11" t="s">
        <v>6</v>
      </c>
      <c r="E199" s="41"/>
      <c r="F199" s="3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0"/>
      <c r="AE199" s="35"/>
      <c r="AF199" s="8"/>
    </row>
    <row r="200" spans="1:32" x14ac:dyDescent="0.25">
      <c r="A200" s="3">
        <v>67</v>
      </c>
      <c r="B200" s="12">
        <f>INDEX([1]data!$I$2:$I$91,MATCH(A200*1,[1]data!$G$2:$G$91,0))</f>
        <v>46251</v>
      </c>
      <c r="D200" s="5" t="s">
        <v>4</v>
      </c>
      <c r="E200" s="39"/>
      <c r="F200" s="3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0"/>
      <c r="AE200" s="35"/>
      <c r="AF200" s="8"/>
    </row>
    <row r="201" spans="1:32" x14ac:dyDescent="0.25">
      <c r="A201" s="3">
        <v>67</v>
      </c>
      <c r="B201" s="12"/>
      <c r="D201" s="9" t="s">
        <v>5</v>
      </c>
      <c r="E201" s="40"/>
      <c r="F201" s="3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0"/>
      <c r="AE201" s="35"/>
      <c r="AF201" s="8"/>
    </row>
    <row r="202" spans="1:32" x14ac:dyDescent="0.25">
      <c r="A202" s="3">
        <v>67</v>
      </c>
      <c r="B202" s="12"/>
      <c r="D202" s="11" t="s">
        <v>6</v>
      </c>
      <c r="E202" s="41"/>
      <c r="F202" s="3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0"/>
      <c r="AE202" s="35"/>
      <c r="AF202" s="8"/>
    </row>
    <row r="203" spans="1:32" x14ac:dyDescent="0.25">
      <c r="A203" s="3">
        <v>68</v>
      </c>
      <c r="B203" s="12">
        <f>INDEX([1]data!$I$2:$I$91,MATCH(A203*1,[1]data!$G$2:$G$91,0))</f>
        <v>46252</v>
      </c>
      <c r="D203" s="5" t="s">
        <v>4</v>
      </c>
      <c r="E203" s="39"/>
      <c r="F203" s="3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0"/>
      <c r="AE203" s="35"/>
      <c r="AF203" s="8"/>
    </row>
    <row r="204" spans="1:32" x14ac:dyDescent="0.25">
      <c r="A204" s="3">
        <v>68</v>
      </c>
      <c r="B204" s="12"/>
      <c r="D204" s="9" t="s">
        <v>5</v>
      </c>
      <c r="E204" s="40"/>
      <c r="F204" s="3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0"/>
      <c r="AE204" s="35"/>
      <c r="AF204" s="8"/>
    </row>
    <row r="205" spans="1:32" x14ac:dyDescent="0.25">
      <c r="A205" s="3">
        <v>68</v>
      </c>
      <c r="B205" s="12"/>
      <c r="D205" s="11" t="s">
        <v>6</v>
      </c>
      <c r="E205" s="41"/>
      <c r="F205" s="3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0"/>
      <c r="AE205" s="35"/>
      <c r="AF205" s="8"/>
    </row>
    <row r="206" spans="1:32" x14ac:dyDescent="0.25">
      <c r="A206" s="3">
        <v>69</v>
      </c>
      <c r="B206" s="12">
        <f>INDEX([1]data!$I$2:$I$91,MATCH(A206*1,[1]data!$G$2:$G$91,0))</f>
        <v>46253</v>
      </c>
      <c r="D206" s="5" t="s">
        <v>4</v>
      </c>
      <c r="E206" s="39"/>
      <c r="F206" s="3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0"/>
      <c r="AE206" s="35"/>
      <c r="AF206" s="8"/>
    </row>
    <row r="207" spans="1:32" x14ac:dyDescent="0.25">
      <c r="A207" s="3">
        <v>69</v>
      </c>
      <c r="B207" s="12"/>
      <c r="D207" s="9" t="s">
        <v>5</v>
      </c>
      <c r="E207" s="40"/>
      <c r="F207" s="3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0"/>
      <c r="AE207" s="35"/>
      <c r="AF207" s="8"/>
    </row>
    <row r="208" spans="1:32" x14ac:dyDescent="0.25">
      <c r="A208" s="3">
        <v>69</v>
      </c>
      <c r="B208" s="12"/>
      <c r="D208" s="11" t="s">
        <v>6</v>
      </c>
      <c r="E208" s="41"/>
      <c r="F208" s="3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0"/>
      <c r="AE208" s="35"/>
      <c r="AF208" s="8"/>
    </row>
    <row r="209" spans="1:32" x14ac:dyDescent="0.25">
      <c r="A209" s="3">
        <v>70</v>
      </c>
      <c r="B209" s="12">
        <f>INDEX([1]data!$I$2:$I$91,MATCH(A209*1,[1]data!$G$2:$G$91,0))</f>
        <v>46254</v>
      </c>
      <c r="D209" s="5" t="s">
        <v>4</v>
      </c>
      <c r="E209" s="39"/>
      <c r="F209" s="3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0"/>
      <c r="AE209" s="35"/>
      <c r="AF209" s="8"/>
    </row>
    <row r="210" spans="1:32" x14ac:dyDescent="0.25">
      <c r="A210" s="3">
        <v>70</v>
      </c>
      <c r="B210" s="12"/>
      <c r="D210" s="9" t="s">
        <v>5</v>
      </c>
      <c r="E210" s="40"/>
      <c r="F210" s="3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0"/>
      <c r="AE210" s="35"/>
      <c r="AF210" s="8"/>
    </row>
    <row r="211" spans="1:32" x14ac:dyDescent="0.25">
      <c r="A211" s="3">
        <v>70</v>
      </c>
      <c r="B211" s="12"/>
      <c r="D211" s="11" t="s">
        <v>6</v>
      </c>
      <c r="E211" s="41"/>
      <c r="F211" s="3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0"/>
      <c r="AE211" s="35"/>
      <c r="AF211" s="8"/>
    </row>
    <row r="212" spans="1:32" x14ac:dyDescent="0.25">
      <c r="A212" s="3">
        <v>71</v>
      </c>
      <c r="B212" s="12">
        <f>INDEX([1]data!$I$2:$I$91,MATCH(A212*1,[1]data!$G$2:$G$91,0))</f>
        <v>46255</v>
      </c>
      <c r="D212" s="5" t="s">
        <v>4</v>
      </c>
      <c r="E212" s="39"/>
      <c r="F212" s="3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0"/>
      <c r="AE212" s="35"/>
      <c r="AF212" s="8"/>
    </row>
    <row r="213" spans="1:32" x14ac:dyDescent="0.25">
      <c r="A213" s="3">
        <v>71</v>
      </c>
      <c r="B213" s="12"/>
      <c r="D213" s="9" t="s">
        <v>5</v>
      </c>
      <c r="E213" s="40"/>
      <c r="F213" s="3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0"/>
      <c r="AE213" s="35"/>
      <c r="AF213" s="8"/>
    </row>
    <row r="214" spans="1:32" x14ac:dyDescent="0.25">
      <c r="A214" s="3">
        <v>71</v>
      </c>
      <c r="B214" s="12"/>
      <c r="D214" s="11" t="s">
        <v>6</v>
      </c>
      <c r="E214" s="41"/>
      <c r="F214" s="3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0"/>
      <c r="AE214" s="35"/>
      <c r="AF214" s="8"/>
    </row>
    <row r="215" spans="1:32" x14ac:dyDescent="0.25">
      <c r="A215" s="3">
        <v>72</v>
      </c>
      <c r="B215" s="12">
        <f>INDEX([1]data!$I$2:$I$91,MATCH(A215*1,[1]data!$G$2:$G$91,0))</f>
        <v>46256</v>
      </c>
      <c r="D215" s="5" t="s">
        <v>4</v>
      </c>
      <c r="E215" s="39"/>
      <c r="F215" s="3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0"/>
      <c r="AE215" s="35"/>
      <c r="AF215" s="8"/>
    </row>
    <row r="216" spans="1:32" x14ac:dyDescent="0.25">
      <c r="A216" s="3">
        <v>72</v>
      </c>
      <c r="B216" s="12"/>
      <c r="D216" s="9" t="s">
        <v>5</v>
      </c>
      <c r="E216" s="40"/>
      <c r="F216" s="3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0"/>
      <c r="AE216" s="35"/>
      <c r="AF216" s="8"/>
    </row>
    <row r="217" spans="1:32" x14ac:dyDescent="0.25">
      <c r="A217" s="3">
        <v>72</v>
      </c>
      <c r="B217" s="12"/>
      <c r="D217" s="11" t="s">
        <v>6</v>
      </c>
      <c r="E217" s="41"/>
      <c r="F217" s="3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0"/>
      <c r="AE217" s="35"/>
      <c r="AF217" s="8"/>
    </row>
    <row r="218" spans="1:32" x14ac:dyDescent="0.25">
      <c r="A218" s="3">
        <v>73</v>
      </c>
      <c r="B218" s="12">
        <f>INDEX([1]data!$I$2:$I$91,MATCH(A218*1,[1]data!$G$2:$G$91,0))</f>
        <v>46257</v>
      </c>
      <c r="D218" s="5" t="s">
        <v>4</v>
      </c>
      <c r="E218" s="39"/>
      <c r="F218" s="3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0"/>
      <c r="AE218" s="35"/>
      <c r="AF218" s="8"/>
    </row>
    <row r="219" spans="1:32" x14ac:dyDescent="0.25">
      <c r="A219" s="3">
        <v>73</v>
      </c>
      <c r="B219" s="12"/>
      <c r="D219" s="9" t="s">
        <v>5</v>
      </c>
      <c r="E219" s="40"/>
      <c r="F219" s="3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0"/>
      <c r="AE219" s="35"/>
      <c r="AF219" s="8"/>
    </row>
    <row r="220" spans="1:32" x14ac:dyDescent="0.25">
      <c r="A220" s="3">
        <v>73</v>
      </c>
      <c r="B220" s="12"/>
      <c r="D220" s="11" t="s">
        <v>6</v>
      </c>
      <c r="E220" s="41"/>
      <c r="F220" s="3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0"/>
      <c r="AE220" s="35"/>
      <c r="AF220" s="8"/>
    </row>
    <row r="221" spans="1:32" x14ac:dyDescent="0.25">
      <c r="A221" s="3">
        <v>74</v>
      </c>
      <c r="B221" s="12">
        <f>INDEX([1]data!$I$2:$I$91,MATCH(A221*1,[1]data!$G$2:$G$91,0))</f>
        <v>46258</v>
      </c>
      <c r="D221" s="5" t="s">
        <v>4</v>
      </c>
      <c r="E221" s="39"/>
      <c r="F221" s="3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0"/>
      <c r="AE221" s="35"/>
      <c r="AF221" s="8"/>
    </row>
    <row r="222" spans="1:32" x14ac:dyDescent="0.25">
      <c r="A222" s="3">
        <v>74</v>
      </c>
      <c r="B222" s="12"/>
      <c r="D222" s="9" t="s">
        <v>5</v>
      </c>
      <c r="E222" s="40"/>
      <c r="F222" s="3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0"/>
      <c r="AE222" s="35"/>
      <c r="AF222" s="8"/>
    </row>
    <row r="223" spans="1:32" x14ac:dyDescent="0.25">
      <c r="A223" s="3">
        <v>74</v>
      </c>
      <c r="B223" s="12"/>
      <c r="D223" s="11" t="s">
        <v>6</v>
      </c>
      <c r="E223" s="41"/>
      <c r="F223" s="3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0"/>
      <c r="AE223" s="35"/>
      <c r="AF223" s="8"/>
    </row>
    <row r="224" spans="1:32" x14ac:dyDescent="0.25">
      <c r="A224" s="3">
        <v>75</v>
      </c>
      <c r="B224" s="12">
        <f>INDEX([1]data!$I$2:$I$91,MATCH(A224*1,[1]data!$G$2:$G$91,0))</f>
        <v>46259</v>
      </c>
      <c r="D224" s="5" t="s">
        <v>4</v>
      </c>
      <c r="E224" s="39"/>
      <c r="F224" s="3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0"/>
      <c r="AE224" s="35"/>
      <c r="AF224" s="8"/>
    </row>
    <row r="225" spans="1:32" x14ac:dyDescent="0.25">
      <c r="A225" s="3">
        <v>75</v>
      </c>
      <c r="B225" s="12"/>
      <c r="D225" s="9" t="s">
        <v>5</v>
      </c>
      <c r="E225" s="40"/>
      <c r="F225" s="3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0"/>
      <c r="AE225" s="35"/>
      <c r="AF225" s="8"/>
    </row>
    <row r="226" spans="1:32" x14ac:dyDescent="0.25">
      <c r="A226" s="3">
        <v>75</v>
      </c>
      <c r="B226" s="12"/>
      <c r="D226" s="11" t="s">
        <v>6</v>
      </c>
      <c r="E226" s="41"/>
      <c r="F226" s="3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0"/>
      <c r="AE226" s="35"/>
      <c r="AF226" s="8"/>
    </row>
    <row r="227" spans="1:32" x14ac:dyDescent="0.25">
      <c r="A227" s="3">
        <v>76</v>
      </c>
      <c r="B227" s="12">
        <f>INDEX([1]data!$I$2:$I$91,MATCH(A227*1,[1]data!$G$2:$G$91,0))</f>
        <v>46260</v>
      </c>
      <c r="D227" s="5" t="s">
        <v>4</v>
      </c>
      <c r="E227" s="39"/>
      <c r="F227" s="3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0"/>
      <c r="AE227" s="35"/>
      <c r="AF227" s="8"/>
    </row>
    <row r="228" spans="1:32" x14ac:dyDescent="0.25">
      <c r="A228" s="3">
        <v>76</v>
      </c>
      <c r="B228" s="12"/>
      <c r="D228" s="9" t="s">
        <v>5</v>
      </c>
      <c r="E228" s="40"/>
      <c r="F228" s="3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0"/>
      <c r="AE228" s="35"/>
      <c r="AF228" s="8"/>
    </row>
    <row r="229" spans="1:32" x14ac:dyDescent="0.25">
      <c r="A229" s="3">
        <v>76</v>
      </c>
      <c r="B229" s="12"/>
      <c r="D229" s="11" t="s">
        <v>6</v>
      </c>
      <c r="E229" s="41"/>
      <c r="F229" s="3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0"/>
      <c r="AE229" s="35"/>
      <c r="AF229" s="8"/>
    </row>
    <row r="230" spans="1:32" x14ac:dyDescent="0.25">
      <c r="A230" s="3">
        <v>77</v>
      </c>
      <c r="B230" s="12">
        <f>INDEX([1]data!$I$2:$I$91,MATCH(A230*1,[1]data!$G$2:$G$91,0))</f>
        <v>46261</v>
      </c>
      <c r="D230" s="5" t="s">
        <v>4</v>
      </c>
      <c r="E230" s="39"/>
      <c r="F230" s="3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0"/>
      <c r="AE230" s="35"/>
      <c r="AF230" s="8"/>
    </row>
    <row r="231" spans="1:32" x14ac:dyDescent="0.25">
      <c r="A231" s="3">
        <v>77</v>
      </c>
      <c r="B231" s="12"/>
      <c r="D231" s="9" t="s">
        <v>5</v>
      </c>
      <c r="E231" s="40"/>
      <c r="F231" s="3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0"/>
      <c r="AE231" s="35"/>
      <c r="AF231" s="8"/>
    </row>
    <row r="232" spans="1:32" x14ac:dyDescent="0.25">
      <c r="A232" s="3">
        <v>77</v>
      </c>
      <c r="B232" s="12"/>
      <c r="D232" s="11" t="s">
        <v>6</v>
      </c>
      <c r="E232" s="41"/>
      <c r="F232" s="3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0"/>
      <c r="AE232" s="35"/>
      <c r="AF232" s="8"/>
    </row>
    <row r="233" spans="1:32" x14ac:dyDescent="0.25">
      <c r="A233" s="3">
        <v>78</v>
      </c>
      <c r="B233" s="12">
        <f>INDEX([1]data!$I$2:$I$91,MATCH(A233*1,[1]data!$G$2:$G$91,0))</f>
        <v>46262</v>
      </c>
      <c r="D233" s="5" t="s">
        <v>4</v>
      </c>
      <c r="E233" s="39"/>
      <c r="F233" s="3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0"/>
      <c r="AE233" s="35"/>
      <c r="AF233" s="8"/>
    </row>
    <row r="234" spans="1:32" x14ac:dyDescent="0.25">
      <c r="A234" s="3">
        <v>78</v>
      </c>
      <c r="B234" s="12"/>
      <c r="D234" s="9" t="s">
        <v>5</v>
      </c>
      <c r="E234" s="40"/>
      <c r="F234" s="3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0"/>
      <c r="AE234" s="35"/>
      <c r="AF234" s="8"/>
    </row>
    <row r="235" spans="1:32" x14ac:dyDescent="0.25">
      <c r="A235" s="3">
        <v>78</v>
      </c>
      <c r="B235" s="12"/>
      <c r="D235" s="11" t="s">
        <v>6</v>
      </c>
      <c r="E235" s="41"/>
      <c r="F235" s="3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0"/>
      <c r="AE235" s="35"/>
      <c r="AF235" s="8"/>
    </row>
    <row r="236" spans="1:32" x14ac:dyDescent="0.25">
      <c r="A236" s="3">
        <v>79</v>
      </c>
      <c r="B236" s="12">
        <f>INDEX([1]data!$I$2:$I$91,MATCH(A236*1,[1]data!$G$2:$G$91,0))</f>
        <v>46263</v>
      </c>
      <c r="D236" s="5" t="s">
        <v>4</v>
      </c>
      <c r="E236" s="39"/>
      <c r="F236" s="3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0"/>
      <c r="AE236" s="35"/>
      <c r="AF236" s="8"/>
    </row>
    <row r="237" spans="1:32" x14ac:dyDescent="0.25">
      <c r="A237" s="3">
        <v>79</v>
      </c>
      <c r="B237" s="12"/>
      <c r="D237" s="9" t="s">
        <v>5</v>
      </c>
      <c r="E237" s="40"/>
      <c r="F237" s="3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0"/>
      <c r="AE237" s="35"/>
      <c r="AF237" s="8"/>
    </row>
    <row r="238" spans="1:32" x14ac:dyDescent="0.25">
      <c r="A238" s="3">
        <v>79</v>
      </c>
      <c r="B238" s="12"/>
      <c r="D238" s="11" t="s">
        <v>6</v>
      </c>
      <c r="E238" s="41"/>
      <c r="F238" s="3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0"/>
      <c r="AE238" s="35"/>
      <c r="AF238" s="8"/>
    </row>
    <row r="239" spans="1:32" x14ac:dyDescent="0.25">
      <c r="A239" s="3">
        <v>80</v>
      </c>
      <c r="B239" s="12">
        <f>INDEX([1]data!$I$2:$I$91,MATCH(A239*1,[1]data!$G$2:$G$91,0))</f>
        <v>46264</v>
      </c>
      <c r="D239" s="5" t="s">
        <v>4</v>
      </c>
      <c r="E239" s="39"/>
      <c r="F239" s="3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0"/>
      <c r="AE239" s="35"/>
      <c r="AF239" s="8"/>
    </row>
    <row r="240" spans="1:32" x14ac:dyDescent="0.25">
      <c r="A240" s="3">
        <v>80</v>
      </c>
      <c r="B240" s="12"/>
      <c r="D240" s="9" t="s">
        <v>5</v>
      </c>
      <c r="E240" s="40"/>
      <c r="F240" s="3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0"/>
      <c r="AE240" s="35"/>
      <c r="AF240" s="8"/>
    </row>
    <row r="241" spans="1:32" x14ac:dyDescent="0.25">
      <c r="A241" s="3">
        <v>80</v>
      </c>
      <c r="B241" s="12"/>
      <c r="D241" s="11" t="s">
        <v>6</v>
      </c>
      <c r="E241" s="41"/>
      <c r="F241" s="3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0"/>
      <c r="AE241" s="35"/>
      <c r="AF241" s="8"/>
    </row>
    <row r="242" spans="1:32" x14ac:dyDescent="0.25">
      <c r="A242" s="3">
        <v>81</v>
      </c>
      <c r="B242" s="12">
        <f>INDEX([1]data!$I$2:$I$91,MATCH(A242*1,[1]data!$G$2:$G$91,0))</f>
        <v>46265</v>
      </c>
      <c r="D242" s="5" t="s">
        <v>4</v>
      </c>
      <c r="E242" s="39"/>
      <c r="F242" s="3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0"/>
      <c r="AE242" s="35"/>
      <c r="AF242" s="8"/>
    </row>
    <row r="243" spans="1:32" x14ac:dyDescent="0.25">
      <c r="A243" s="3">
        <v>81</v>
      </c>
      <c r="B243" s="12"/>
      <c r="D243" s="9" t="s">
        <v>5</v>
      </c>
      <c r="E243" s="40"/>
      <c r="F243" s="3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0"/>
      <c r="AE243" s="35"/>
      <c r="AF243" s="8"/>
    </row>
    <row r="244" spans="1:32" x14ac:dyDescent="0.25">
      <c r="A244" s="3">
        <v>81</v>
      </c>
      <c r="B244" s="12"/>
      <c r="D244" s="11" t="s">
        <v>6</v>
      </c>
      <c r="E244" s="41"/>
      <c r="F244" s="3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0"/>
      <c r="AE244" s="35"/>
      <c r="AF244" s="8"/>
    </row>
    <row r="245" spans="1:32" x14ac:dyDescent="0.25">
      <c r="A245" s="3">
        <v>82</v>
      </c>
      <c r="B245" s="12">
        <f>INDEX([1]data!$I$2:$I$91,MATCH(A245*1,[1]data!$G$2:$G$91,0))</f>
        <v>46266</v>
      </c>
      <c r="D245" s="5" t="s">
        <v>4</v>
      </c>
      <c r="E245" s="39"/>
      <c r="F245" s="3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0"/>
      <c r="AE245" s="35"/>
      <c r="AF245" s="8"/>
    </row>
    <row r="246" spans="1:32" x14ac:dyDescent="0.25">
      <c r="A246" s="3">
        <v>82</v>
      </c>
      <c r="B246" s="12"/>
      <c r="D246" s="9" t="s">
        <v>5</v>
      </c>
      <c r="E246" s="40"/>
      <c r="F246" s="3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0"/>
      <c r="AE246" s="35"/>
      <c r="AF246" s="8"/>
    </row>
    <row r="247" spans="1:32" x14ac:dyDescent="0.25">
      <c r="A247" s="3">
        <v>82</v>
      </c>
      <c r="B247" s="12"/>
      <c r="D247" s="11" t="s">
        <v>6</v>
      </c>
      <c r="E247" s="41"/>
      <c r="F247" s="3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0"/>
      <c r="AE247" s="35"/>
      <c r="AF247" s="8"/>
    </row>
    <row r="248" spans="1:32" x14ac:dyDescent="0.25">
      <c r="A248" s="3">
        <v>83</v>
      </c>
      <c r="B248" s="12">
        <f>INDEX([1]data!$I$2:$I$91,MATCH(A248*1,[1]data!$G$2:$G$91,0))</f>
        <v>46267</v>
      </c>
      <c r="D248" s="5" t="s">
        <v>4</v>
      </c>
      <c r="E248" s="39"/>
      <c r="F248" s="3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0"/>
      <c r="AE248" s="35"/>
      <c r="AF248" s="8"/>
    </row>
    <row r="249" spans="1:32" x14ac:dyDescent="0.25">
      <c r="A249" s="3">
        <v>83</v>
      </c>
      <c r="B249" s="12"/>
      <c r="D249" s="9" t="s">
        <v>5</v>
      </c>
      <c r="E249" s="40"/>
      <c r="F249" s="3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0"/>
      <c r="AE249" s="35"/>
      <c r="AF249" s="8"/>
    </row>
    <row r="250" spans="1:32" x14ac:dyDescent="0.25">
      <c r="A250" s="3">
        <v>83</v>
      </c>
      <c r="B250" s="12"/>
      <c r="D250" s="11" t="s">
        <v>6</v>
      </c>
      <c r="E250" s="41"/>
      <c r="F250" s="3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0"/>
      <c r="AE250" s="35"/>
      <c r="AF250" s="8"/>
    </row>
    <row r="251" spans="1:32" x14ac:dyDescent="0.25">
      <c r="A251" s="3">
        <v>84</v>
      </c>
      <c r="B251" s="12">
        <f>INDEX([1]data!$I$2:$I$91,MATCH(A251*1,[1]data!$G$2:$G$91,0))</f>
        <v>46268</v>
      </c>
      <c r="D251" s="5" t="s">
        <v>4</v>
      </c>
      <c r="E251" s="39"/>
      <c r="F251" s="3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0"/>
      <c r="AE251" s="35"/>
      <c r="AF251" s="8"/>
    </row>
    <row r="252" spans="1:32" x14ac:dyDescent="0.25">
      <c r="A252" s="3">
        <v>84</v>
      </c>
      <c r="B252" s="12"/>
      <c r="D252" s="9" t="s">
        <v>5</v>
      </c>
      <c r="E252" s="40"/>
      <c r="F252" s="3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0"/>
      <c r="AE252" s="35"/>
      <c r="AF252" s="8"/>
    </row>
    <row r="253" spans="1:32" x14ac:dyDescent="0.25">
      <c r="A253" s="3">
        <v>84</v>
      </c>
      <c r="B253" s="12"/>
      <c r="D253" s="11" t="s">
        <v>6</v>
      </c>
      <c r="E253" s="41"/>
      <c r="F253" s="3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0"/>
      <c r="AE253" s="35"/>
      <c r="AF253" s="8"/>
    </row>
    <row r="254" spans="1:32" x14ac:dyDescent="0.25">
      <c r="A254" s="3">
        <v>85</v>
      </c>
      <c r="B254" s="12">
        <f>INDEX([1]data!$I$2:$I$91,MATCH(A254*1,[1]data!$G$2:$G$91,0))</f>
        <v>46269</v>
      </c>
      <c r="D254" s="5" t="s">
        <v>4</v>
      </c>
      <c r="E254" s="39"/>
      <c r="F254" s="3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0"/>
      <c r="AE254" s="35"/>
      <c r="AF254" s="8"/>
    </row>
    <row r="255" spans="1:32" x14ac:dyDescent="0.25">
      <c r="A255" s="3">
        <v>85</v>
      </c>
      <c r="B255" s="12"/>
      <c r="D255" s="9" t="s">
        <v>5</v>
      </c>
      <c r="E255" s="40"/>
      <c r="F255" s="3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0"/>
      <c r="AE255" s="35"/>
      <c r="AF255" s="8"/>
    </row>
    <row r="256" spans="1:32" x14ac:dyDescent="0.25">
      <c r="A256" s="3">
        <v>85</v>
      </c>
      <c r="B256" s="12"/>
      <c r="D256" s="11" t="s">
        <v>6</v>
      </c>
      <c r="E256" s="41"/>
      <c r="F256" s="3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0"/>
      <c r="AE256" s="35"/>
      <c r="AF256" s="8"/>
    </row>
    <row r="257" spans="1:32" x14ac:dyDescent="0.25">
      <c r="A257" s="3">
        <v>86</v>
      </c>
      <c r="B257" s="12">
        <f>INDEX([1]data!$I$2:$I$91,MATCH(A257*1,[1]data!$G$2:$G$91,0))</f>
        <v>46270</v>
      </c>
      <c r="D257" s="5" t="s">
        <v>4</v>
      </c>
      <c r="E257" s="39"/>
      <c r="F257" s="3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0"/>
      <c r="AE257" s="35"/>
      <c r="AF257" s="8"/>
    </row>
    <row r="258" spans="1:32" x14ac:dyDescent="0.25">
      <c r="A258" s="3">
        <v>86</v>
      </c>
      <c r="B258" s="12"/>
      <c r="D258" s="9" t="s">
        <v>5</v>
      </c>
      <c r="E258" s="40"/>
      <c r="F258" s="3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0"/>
      <c r="AE258" s="35"/>
      <c r="AF258" s="8"/>
    </row>
    <row r="259" spans="1:32" x14ac:dyDescent="0.25">
      <c r="A259" s="3">
        <v>86</v>
      </c>
      <c r="B259" s="12"/>
      <c r="D259" s="11" t="s">
        <v>6</v>
      </c>
      <c r="E259" s="41"/>
      <c r="F259" s="3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0"/>
      <c r="AE259" s="35"/>
      <c r="AF259" s="8"/>
    </row>
    <row r="260" spans="1:32" x14ac:dyDescent="0.25">
      <c r="A260" s="3">
        <v>87</v>
      </c>
      <c r="B260" s="12">
        <f>INDEX([1]data!$I$2:$I$91,MATCH(A260*1,[1]data!$G$2:$G$91,0))</f>
        <v>46271</v>
      </c>
      <c r="D260" s="5" t="s">
        <v>4</v>
      </c>
      <c r="E260" s="39"/>
      <c r="F260" s="3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0"/>
      <c r="AE260" s="35"/>
      <c r="AF260" s="8"/>
    </row>
    <row r="261" spans="1:32" x14ac:dyDescent="0.25">
      <c r="A261" s="3">
        <v>87</v>
      </c>
      <c r="B261" s="12"/>
      <c r="D261" s="9" t="s">
        <v>5</v>
      </c>
      <c r="E261" s="40"/>
      <c r="F261" s="3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0"/>
      <c r="AE261" s="35"/>
      <c r="AF261" s="8"/>
    </row>
    <row r="262" spans="1:32" x14ac:dyDescent="0.25">
      <c r="A262" s="3">
        <v>87</v>
      </c>
      <c r="B262" s="12"/>
      <c r="D262" s="11" t="s">
        <v>6</v>
      </c>
      <c r="E262" s="41"/>
      <c r="F262" s="3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0"/>
      <c r="AE262" s="35"/>
      <c r="AF262" s="8"/>
    </row>
    <row r="263" spans="1:32" x14ac:dyDescent="0.25">
      <c r="A263" s="3">
        <v>88</v>
      </c>
      <c r="B263" s="12">
        <f>INDEX([1]data!$I$2:$I$91,MATCH(A263*1,[1]data!$G$2:$G$91,0))</f>
        <v>46272</v>
      </c>
      <c r="D263" s="5" t="s">
        <v>4</v>
      </c>
      <c r="E263" s="39"/>
      <c r="F263" s="3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0"/>
      <c r="AE263" s="35"/>
      <c r="AF263" s="8"/>
    </row>
    <row r="264" spans="1:32" x14ac:dyDescent="0.25">
      <c r="A264" s="3">
        <v>88</v>
      </c>
      <c r="B264" s="12"/>
      <c r="D264" s="9" t="s">
        <v>5</v>
      </c>
      <c r="E264" s="40"/>
      <c r="F264" s="3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0"/>
      <c r="AE264" s="35"/>
      <c r="AF264" s="8"/>
    </row>
    <row r="265" spans="1:32" x14ac:dyDescent="0.25">
      <c r="A265" s="3">
        <v>88</v>
      </c>
      <c r="B265" s="12"/>
      <c r="D265" s="11" t="s">
        <v>6</v>
      </c>
      <c r="E265" s="41"/>
      <c r="F265" s="3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0"/>
      <c r="AE265" s="35"/>
      <c r="AF265" s="8"/>
    </row>
    <row r="266" spans="1:32" x14ac:dyDescent="0.25">
      <c r="A266" s="3">
        <v>89</v>
      </c>
      <c r="B266" s="12">
        <f>INDEX([1]data!$I$2:$I$91,MATCH(A266*1,[1]data!$G$2:$G$91,0))</f>
        <v>46273</v>
      </c>
      <c r="D266" s="5" t="s">
        <v>4</v>
      </c>
      <c r="E266" s="39"/>
      <c r="F266" s="3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0"/>
      <c r="AE266" s="35"/>
      <c r="AF266" s="8"/>
    </row>
    <row r="267" spans="1:32" x14ac:dyDescent="0.25">
      <c r="A267" s="3">
        <v>89</v>
      </c>
      <c r="B267" s="12"/>
      <c r="D267" s="9" t="s">
        <v>5</v>
      </c>
      <c r="E267" s="40"/>
      <c r="F267" s="3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0"/>
      <c r="AE267" s="35"/>
      <c r="AF267" s="8"/>
    </row>
    <row r="268" spans="1:32" x14ac:dyDescent="0.25">
      <c r="A268" s="3">
        <v>89</v>
      </c>
      <c r="B268" s="12"/>
      <c r="D268" s="11" t="s">
        <v>6</v>
      </c>
      <c r="E268" s="41"/>
      <c r="F268" s="3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0"/>
      <c r="AE268" s="35"/>
      <c r="AF268" s="8"/>
    </row>
    <row r="269" spans="1:32" x14ac:dyDescent="0.25">
      <c r="A269" s="3">
        <v>90</v>
      </c>
      <c r="B269" s="12">
        <f>INDEX([1]data!$I$2:$I$91,MATCH(A269*1,[1]data!$G$2:$G$91,0))</f>
        <v>46274</v>
      </c>
      <c r="D269" s="5" t="s">
        <v>4</v>
      </c>
      <c r="E269" s="39"/>
      <c r="F269" s="3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0"/>
      <c r="AE269" s="35"/>
      <c r="AF269" s="8"/>
    </row>
    <row r="270" spans="1:32" x14ac:dyDescent="0.25">
      <c r="A270" s="3">
        <v>90</v>
      </c>
      <c r="B270" s="12"/>
      <c r="D270" s="9" t="s">
        <v>5</v>
      </c>
      <c r="E270" s="40"/>
      <c r="F270" s="3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0"/>
      <c r="AE270" s="35"/>
      <c r="AF270" s="8"/>
    </row>
    <row r="271" spans="1:32" x14ac:dyDescent="0.25">
      <c r="A271" s="3">
        <v>90</v>
      </c>
      <c r="B271" s="12"/>
      <c r="D271" s="11" t="s">
        <v>6</v>
      </c>
      <c r="E271" s="41"/>
      <c r="F271" s="3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0"/>
      <c r="AE271" s="35"/>
      <c r="AF271" s="8"/>
    </row>
  </sheetData>
  <mergeCells count="90">
    <mergeCell ref="B254:B256"/>
    <mergeCell ref="B257:B259"/>
    <mergeCell ref="B260:B262"/>
    <mergeCell ref="B263:B265"/>
    <mergeCell ref="B266:B268"/>
    <mergeCell ref="B269:B271"/>
    <mergeCell ref="B236:B238"/>
    <mergeCell ref="B239:B241"/>
    <mergeCell ref="B242:B244"/>
    <mergeCell ref="B245:B247"/>
    <mergeCell ref="B248:B250"/>
    <mergeCell ref="B251:B253"/>
    <mergeCell ref="B218:B220"/>
    <mergeCell ref="B221:B223"/>
    <mergeCell ref="B224:B226"/>
    <mergeCell ref="B227:B229"/>
    <mergeCell ref="B230:B232"/>
    <mergeCell ref="B233:B235"/>
    <mergeCell ref="B200:B202"/>
    <mergeCell ref="B203:B205"/>
    <mergeCell ref="B206:B208"/>
    <mergeCell ref="B209:B211"/>
    <mergeCell ref="B212:B214"/>
    <mergeCell ref="B215:B217"/>
    <mergeCell ref="B182:B184"/>
    <mergeCell ref="B185:B187"/>
    <mergeCell ref="B188:B190"/>
    <mergeCell ref="B191:B193"/>
    <mergeCell ref="B194:B196"/>
    <mergeCell ref="B197:B199"/>
    <mergeCell ref="B164:B166"/>
    <mergeCell ref="B167:B169"/>
    <mergeCell ref="B170:B172"/>
    <mergeCell ref="B173:B175"/>
    <mergeCell ref="B176:B178"/>
    <mergeCell ref="B179:B181"/>
    <mergeCell ref="B146:B148"/>
    <mergeCell ref="B149:B151"/>
    <mergeCell ref="B152:B154"/>
    <mergeCell ref="B155:B157"/>
    <mergeCell ref="B158:B160"/>
    <mergeCell ref="B161:B163"/>
    <mergeCell ref="B128:B130"/>
    <mergeCell ref="B131:B133"/>
    <mergeCell ref="B134:B136"/>
    <mergeCell ref="B137:B139"/>
    <mergeCell ref="B140:B142"/>
    <mergeCell ref="B143:B145"/>
    <mergeCell ref="B110:B112"/>
    <mergeCell ref="B113:B115"/>
    <mergeCell ref="B116:B118"/>
    <mergeCell ref="B119:B121"/>
    <mergeCell ref="B122:B124"/>
    <mergeCell ref="B125:B127"/>
    <mergeCell ref="B92:B94"/>
    <mergeCell ref="B95:B97"/>
    <mergeCell ref="B98:B100"/>
    <mergeCell ref="B101:B103"/>
    <mergeCell ref="B104:B106"/>
    <mergeCell ref="B107:B109"/>
    <mergeCell ref="B74:B76"/>
    <mergeCell ref="B77:B79"/>
    <mergeCell ref="B80:B82"/>
    <mergeCell ref="B83:B85"/>
    <mergeCell ref="B86:B88"/>
    <mergeCell ref="B89:B91"/>
    <mergeCell ref="B56:B58"/>
    <mergeCell ref="B59:B61"/>
    <mergeCell ref="B62:B64"/>
    <mergeCell ref="B65:B67"/>
    <mergeCell ref="B68:B70"/>
    <mergeCell ref="B71:B73"/>
    <mergeCell ref="B38:B40"/>
    <mergeCell ref="B41:B43"/>
    <mergeCell ref="B44:B46"/>
    <mergeCell ref="B47:B49"/>
    <mergeCell ref="B50:B52"/>
    <mergeCell ref="B53:B55"/>
    <mergeCell ref="B20:B22"/>
    <mergeCell ref="B23:B25"/>
    <mergeCell ref="B26:B28"/>
    <mergeCell ref="B29:B31"/>
    <mergeCell ref="B32:B34"/>
    <mergeCell ref="B35:B37"/>
    <mergeCell ref="B2:B4"/>
    <mergeCell ref="B5:B7"/>
    <mergeCell ref="B8:B10"/>
    <mergeCell ref="B11:B13"/>
    <mergeCell ref="B14:B16"/>
    <mergeCell ref="B17:B19"/>
  </mergeCells>
  <conditionalFormatting sqref="F2:AE271">
    <cfRule type="cellIs" dxfId="39" priority="1" operator="equal">
      <formula>"中boss"</formula>
    </cfRule>
    <cfRule type="cellIs" dxfId="37" priority="3" operator="equal">
      <formula>"塔1"</formula>
    </cfRule>
    <cfRule type="cellIs" dxfId="36" priority="4" operator="equal">
      <formula>"塔2"</formula>
    </cfRule>
    <cfRule type="cellIs" dxfId="35" priority="5" operator="equal">
      <formula>"草6"</formula>
    </cfRule>
    <cfRule type="cellIs" dxfId="34" priority="6" operator="equal">
      <formula>"草5"</formula>
    </cfRule>
    <cfRule type="cellIs" dxfId="33" priority="7" operator="equal">
      <formula>"草4"</formula>
    </cfRule>
    <cfRule type="cellIs" dxfId="32" priority="8" operator="equal">
      <formula>"草3"</formula>
    </cfRule>
    <cfRule type="cellIs" dxfId="31" priority="9" operator="equal">
      <formula>"历练"</formula>
    </cfRule>
    <cfRule type="cellIs" dxfId="30" priority="10" operator="equal">
      <formula>"3级卦"</formula>
    </cfRule>
    <cfRule type="cellIs" dxfId="29" priority="11" operator="equal">
      <formula>"大卦"</formula>
    </cfRule>
    <cfRule type="cellIs" dxfId="28" priority="12" operator="equal">
      <formula>"商人"</formula>
    </cfRule>
    <cfRule type="cellIs" dxfId="27" priority="13" operator="equal">
      <formula>"营地"</formula>
    </cfRule>
    <cfRule type="cellIs" dxfId="26" priority="14" operator="equal">
      <formula>"草2"</formula>
    </cfRule>
    <cfRule type="cellIs" dxfId="25" priority="15" operator="equal">
      <formula>"3级"</formula>
    </cfRule>
    <cfRule type="cellIs" dxfId="24" priority="16" operator="equal">
      <formula>"4级"</formula>
    </cfRule>
    <cfRule type="cellIs" dxfId="23" priority="17" operator="equal">
      <formula>"5级"</formula>
    </cfRule>
    <cfRule type="cellIs" dxfId="22" priority="18" operator="equal">
      <formula>"6级"</formula>
    </cfRule>
    <cfRule type="cellIs" dxfId="21" priority="19" operator="equal">
      <formula>"1级"</formula>
    </cfRule>
    <cfRule type="cellIs" dxfId="20" priority="20" operator="equal">
      <formula>"2级"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D1D3EC1C-5EC8-4096-8FAD-A815F1F41F7E}">
            <xm:f>NOT(ISERROR(SEARCH("跳",F2)))</xm:f>
            <xm:f>"跳"</xm:f>
            <x14:dxf>
              <font>
                <b/>
                <i val="0"/>
                <color theme="0"/>
              </font>
              <fill>
                <patternFill>
                  <bgColor theme="3"/>
                </patternFill>
              </fill>
            </x14:dxf>
          </x14:cfRule>
          <xm:sqref>F2:AE271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BC345-155E-4EFA-AEBB-226BBED485E0}">
  <dimension ref="A1:AL271"/>
  <sheetViews>
    <sheetView tabSelected="1" workbookViewId="0">
      <selection activeCell="T10" sqref="T10"/>
    </sheetView>
  </sheetViews>
  <sheetFormatPr defaultRowHeight="15" x14ac:dyDescent="0.25"/>
  <cols>
    <col min="2" max="2" width="12.28515625" customWidth="1"/>
    <col min="5" max="5" width="4.7109375" customWidth="1"/>
    <col min="6" max="31" width="5.7109375" customWidth="1"/>
  </cols>
  <sheetData>
    <row r="1" spans="1:38" ht="15.75" thickBot="1" x14ac:dyDescent="0.3">
      <c r="A1" t="s">
        <v>0</v>
      </c>
      <c r="B1" s="1" t="s">
        <v>1</v>
      </c>
      <c r="D1" s="35" t="s">
        <v>2</v>
      </c>
      <c r="E1" s="1" t="s">
        <v>9</v>
      </c>
      <c r="F1" s="36">
        <v>1</v>
      </c>
      <c r="G1" s="2">
        <v>2</v>
      </c>
      <c r="H1" s="2">
        <v>3</v>
      </c>
      <c r="I1" s="2">
        <v>4</v>
      </c>
      <c r="J1" s="2">
        <v>5</v>
      </c>
      <c r="K1" s="2">
        <v>6</v>
      </c>
      <c r="L1" s="2">
        <v>7</v>
      </c>
      <c r="M1" s="2">
        <v>8</v>
      </c>
      <c r="N1" s="2">
        <v>9</v>
      </c>
      <c r="O1" s="2">
        <v>10</v>
      </c>
      <c r="P1" s="2">
        <v>11</v>
      </c>
      <c r="Q1" s="2">
        <v>12</v>
      </c>
      <c r="R1" s="2">
        <v>13</v>
      </c>
      <c r="S1" s="2">
        <v>14</v>
      </c>
      <c r="T1" s="2">
        <v>15</v>
      </c>
      <c r="U1" s="2">
        <v>16</v>
      </c>
      <c r="V1" s="2">
        <v>17</v>
      </c>
      <c r="W1" s="2">
        <v>18</v>
      </c>
      <c r="X1" s="2">
        <v>19</v>
      </c>
      <c r="Y1" s="2">
        <v>20</v>
      </c>
      <c r="Z1" s="2">
        <v>21</v>
      </c>
      <c r="AA1" s="2">
        <v>22</v>
      </c>
      <c r="AB1" s="2">
        <v>23</v>
      </c>
      <c r="AC1" s="2">
        <v>24</v>
      </c>
      <c r="AD1" s="2">
        <v>25</v>
      </c>
      <c r="AE1" s="2" t="s">
        <v>9</v>
      </c>
      <c r="AF1" s="1" t="s">
        <v>3</v>
      </c>
      <c r="AI1" s="13" t="s">
        <v>7</v>
      </c>
      <c r="AJ1" s="13" t="s">
        <v>8</v>
      </c>
      <c r="AK1" s="13" t="s">
        <v>9</v>
      </c>
      <c r="AL1" t="s">
        <v>10</v>
      </c>
    </row>
    <row r="2" spans="1:38" x14ac:dyDescent="0.25">
      <c r="A2" s="3">
        <v>1</v>
      </c>
      <c r="B2" s="4">
        <f>INDEX([1]data!$I$2:$I$91,MATCH(A2*1,[1]data!$G$2:$G$91,0))</f>
        <v>46185</v>
      </c>
      <c r="D2" s="5" t="s">
        <v>4</v>
      </c>
      <c r="E2" s="39"/>
      <c r="F2" s="37">
        <f>IF(LEFT(C6,1)="跳",RIGHT(C6,LEN(C6)-1)*10*IF(C$15="是",0.8,1),IF(C6="营地",-INDEX([2]data!$H$2:$H$91,MATCH($A$2*1,[2]data!$G$2:$G$91,0))+50*IF(C$15="是",0.8,1),IFERROR(INDEX([2]data!$B$2:$B$27,MATCH(C6,[2]data!$A$2:$A$27,0)),0)*IF(C$15="是",0.8,1)))</f>
        <v>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"/>
      <c r="AE2" s="34"/>
      <c r="AF2" s="8"/>
      <c r="AH2" s="14" t="s">
        <v>11</v>
      </c>
      <c r="AI2" s="1">
        <v>150</v>
      </c>
      <c r="AJ2" s="1">
        <v>35</v>
      </c>
      <c r="AK2" s="1">
        <v>1</v>
      </c>
      <c r="AL2" s="1"/>
    </row>
    <row r="3" spans="1:38" x14ac:dyDescent="0.25">
      <c r="A3" s="3">
        <v>1</v>
      </c>
      <c r="B3" s="4"/>
      <c r="D3" s="9" t="s">
        <v>5</v>
      </c>
      <c r="E3" s="40"/>
      <c r="F3" s="3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0"/>
      <c r="AE3" s="35"/>
      <c r="AF3" s="8"/>
      <c r="AH3" s="15" t="s">
        <v>12</v>
      </c>
      <c r="AI3" s="1">
        <v>160</v>
      </c>
      <c r="AJ3" s="1">
        <v>40</v>
      </c>
      <c r="AK3" s="1">
        <v>1</v>
      </c>
      <c r="AL3" s="1"/>
    </row>
    <row r="4" spans="1:38" x14ac:dyDescent="0.25">
      <c r="A4" s="3">
        <v>1</v>
      </c>
      <c r="B4" s="4"/>
      <c r="D4" s="11" t="s">
        <v>6</v>
      </c>
      <c r="E4" s="41"/>
      <c r="F4" s="3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0"/>
      <c r="AE4" s="35"/>
      <c r="AF4" s="8"/>
      <c r="AH4" s="16" t="s">
        <v>13</v>
      </c>
      <c r="AI4" s="1">
        <v>170</v>
      </c>
      <c r="AJ4" s="1">
        <v>45</v>
      </c>
      <c r="AK4" s="1">
        <v>1</v>
      </c>
      <c r="AL4" s="1"/>
    </row>
    <row r="5" spans="1:38" x14ac:dyDescent="0.25">
      <c r="A5" s="3">
        <v>2</v>
      </c>
      <c r="B5" s="4">
        <f>INDEX([1]data!$I$2:$I$91,MATCH(A5*1,[1]data!$G$2:$G$91,0))</f>
        <v>46186</v>
      </c>
      <c r="D5" s="5" t="s">
        <v>4</v>
      </c>
      <c r="E5" s="39"/>
      <c r="F5" s="3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0"/>
      <c r="AE5" s="35"/>
      <c r="AF5" s="8"/>
      <c r="AH5" s="17" t="s">
        <v>14</v>
      </c>
      <c r="AI5" s="1">
        <v>180</v>
      </c>
      <c r="AJ5" s="1">
        <v>50</v>
      </c>
      <c r="AK5" s="1">
        <v>1</v>
      </c>
      <c r="AL5" s="1"/>
    </row>
    <row r="6" spans="1:38" x14ac:dyDescent="0.25">
      <c r="A6" s="3">
        <v>2</v>
      </c>
      <c r="B6" s="4"/>
      <c r="D6" s="9" t="s">
        <v>5</v>
      </c>
      <c r="E6" s="40"/>
      <c r="F6" s="3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0"/>
      <c r="AE6" s="35"/>
      <c r="AF6" s="8"/>
      <c r="AH6" s="18" t="s">
        <v>15</v>
      </c>
      <c r="AI6" s="1">
        <v>190</v>
      </c>
      <c r="AJ6" s="1">
        <v>55</v>
      </c>
      <c r="AK6" s="1">
        <v>1</v>
      </c>
      <c r="AL6" s="1"/>
    </row>
    <row r="7" spans="1:38" x14ac:dyDescent="0.25">
      <c r="A7" s="3">
        <v>2</v>
      </c>
      <c r="B7" s="4"/>
      <c r="D7" s="11" t="s">
        <v>6</v>
      </c>
      <c r="E7" s="41"/>
      <c r="F7" s="38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0"/>
      <c r="AE7" s="35"/>
      <c r="AF7" s="8"/>
      <c r="AH7" s="19" t="s">
        <v>16</v>
      </c>
      <c r="AI7" s="1">
        <v>200</v>
      </c>
      <c r="AJ7" s="1">
        <v>60</v>
      </c>
      <c r="AK7" s="1">
        <v>1</v>
      </c>
      <c r="AL7" s="1"/>
    </row>
    <row r="8" spans="1:38" x14ac:dyDescent="0.25">
      <c r="A8" s="3">
        <v>3</v>
      </c>
      <c r="B8" s="4">
        <f>INDEX([1]data!$I$2:$I$91,MATCH(A8*1,[1]data!$G$2:$G$91,0))</f>
        <v>46187</v>
      </c>
      <c r="D8" s="5" t="s">
        <v>4</v>
      </c>
      <c r="E8" s="39"/>
      <c r="F8" s="38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0"/>
      <c r="AE8" s="35"/>
      <c r="AF8" s="8"/>
      <c r="AH8" s="20" t="s">
        <v>17</v>
      </c>
      <c r="AI8" s="1">
        <v>150</v>
      </c>
      <c r="AJ8" s="1">
        <v>35</v>
      </c>
      <c r="AK8" s="1">
        <v>1</v>
      </c>
      <c r="AL8" s="1"/>
    </row>
    <row r="9" spans="1:38" x14ac:dyDescent="0.25">
      <c r="A9" s="3">
        <v>3</v>
      </c>
      <c r="B9" s="4"/>
      <c r="D9" s="9" t="s">
        <v>5</v>
      </c>
      <c r="E9" s="40"/>
      <c r="F9" s="3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0"/>
      <c r="AE9" s="35"/>
      <c r="AF9" s="8"/>
      <c r="AH9" s="21" t="s">
        <v>18</v>
      </c>
      <c r="AI9" s="1">
        <v>150</v>
      </c>
      <c r="AJ9" s="1">
        <v>40</v>
      </c>
      <c r="AK9" s="1">
        <v>1</v>
      </c>
      <c r="AL9" s="1"/>
    </row>
    <row r="10" spans="1:38" x14ac:dyDescent="0.25">
      <c r="A10" s="3">
        <v>3</v>
      </c>
      <c r="B10" s="4"/>
      <c r="D10" s="11" t="s">
        <v>6</v>
      </c>
      <c r="E10" s="41"/>
      <c r="F10" s="3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0"/>
      <c r="AE10" s="35"/>
      <c r="AF10" s="8"/>
      <c r="AH10" s="22" t="s">
        <v>19</v>
      </c>
      <c r="AI10" s="1">
        <v>150</v>
      </c>
      <c r="AJ10" s="1">
        <v>45</v>
      </c>
      <c r="AK10" s="1">
        <v>1</v>
      </c>
      <c r="AL10" s="1"/>
    </row>
    <row r="11" spans="1:38" x14ac:dyDescent="0.25">
      <c r="A11" s="3">
        <v>4</v>
      </c>
      <c r="B11" s="4">
        <f>INDEX([1]data!$I$2:$I$91,MATCH(A11*1,[1]data!$G$2:$G$91,0))</f>
        <v>46188</v>
      </c>
      <c r="D11" s="5" t="s">
        <v>4</v>
      </c>
      <c r="E11" s="39"/>
      <c r="F11" s="3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0"/>
      <c r="AE11" s="35"/>
      <c r="AF11" s="8"/>
      <c r="AH11" s="23" t="s">
        <v>20</v>
      </c>
      <c r="AI11" s="1">
        <v>150</v>
      </c>
      <c r="AJ11" s="1">
        <v>50</v>
      </c>
      <c r="AK11" s="1">
        <v>1</v>
      </c>
      <c r="AL11" s="1"/>
    </row>
    <row r="12" spans="1:38" x14ac:dyDescent="0.25">
      <c r="A12" s="3">
        <v>4</v>
      </c>
      <c r="B12" s="4"/>
      <c r="D12" s="9" t="s">
        <v>5</v>
      </c>
      <c r="E12" s="40"/>
      <c r="F12" s="3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0"/>
      <c r="AE12" s="35"/>
      <c r="AF12" s="8"/>
      <c r="AH12" s="24" t="s">
        <v>21</v>
      </c>
      <c r="AI12" s="1">
        <v>150</v>
      </c>
      <c r="AJ12" s="1">
        <v>55</v>
      </c>
      <c r="AK12" s="1">
        <v>1</v>
      </c>
      <c r="AL12" s="1"/>
    </row>
    <row r="13" spans="1:38" x14ac:dyDescent="0.25">
      <c r="A13" s="3">
        <v>4</v>
      </c>
      <c r="B13" s="4"/>
      <c r="D13" s="11" t="s">
        <v>6</v>
      </c>
      <c r="E13" s="41"/>
      <c r="F13" s="3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0"/>
      <c r="AE13" s="35"/>
      <c r="AF13" s="8"/>
      <c r="AH13" s="25" t="s">
        <v>22</v>
      </c>
      <c r="AI13" s="1">
        <v>150</v>
      </c>
      <c r="AJ13" s="1">
        <v>60</v>
      </c>
      <c r="AK13" s="1">
        <v>1</v>
      </c>
      <c r="AL13" s="1"/>
    </row>
    <row r="14" spans="1:38" x14ac:dyDescent="0.25">
      <c r="A14" s="3">
        <v>5</v>
      </c>
      <c r="B14" s="4">
        <f>INDEX([1]data!$I$2:$I$91,MATCH(A14*1,[1]data!$G$2:$G$91,0))</f>
        <v>46189</v>
      </c>
      <c r="D14" s="5" t="s">
        <v>4</v>
      </c>
      <c r="E14" s="39"/>
      <c r="F14" s="3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0"/>
      <c r="AE14" s="35"/>
      <c r="AF14" s="8"/>
      <c r="AH14" s="26" t="s">
        <v>23</v>
      </c>
      <c r="AI14" s="1">
        <v>150</v>
      </c>
      <c r="AJ14" s="1">
        <v>40</v>
      </c>
      <c r="AK14" s="1">
        <v>1</v>
      </c>
      <c r="AL14" s="1"/>
    </row>
    <row r="15" spans="1:38" x14ac:dyDescent="0.25">
      <c r="A15" s="3">
        <v>5</v>
      </c>
      <c r="B15" s="4"/>
      <c r="D15" s="9" t="s">
        <v>5</v>
      </c>
      <c r="E15" s="40"/>
      <c r="F15" s="3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0"/>
      <c r="AE15" s="35"/>
      <c r="AF15" s="8"/>
      <c r="AH15" s="27" t="s">
        <v>24</v>
      </c>
      <c r="AI15" s="1">
        <v>50</v>
      </c>
      <c r="AJ15" s="1">
        <v>30</v>
      </c>
      <c r="AK15" s="1">
        <v>1</v>
      </c>
      <c r="AL15" s="1"/>
    </row>
    <row r="16" spans="1:38" x14ac:dyDescent="0.25">
      <c r="A16" s="3">
        <v>5</v>
      </c>
      <c r="B16" s="4"/>
      <c r="D16" s="11" t="s">
        <v>6</v>
      </c>
      <c r="E16" s="41"/>
      <c r="F16" s="3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0"/>
      <c r="AE16" s="35"/>
      <c r="AF16" s="8"/>
      <c r="AH16" s="28" t="s">
        <v>25</v>
      </c>
      <c r="AI16" s="1">
        <v>-250</v>
      </c>
      <c r="AJ16" s="1">
        <v>0</v>
      </c>
      <c r="AK16" s="1">
        <v>-1</v>
      </c>
      <c r="AL16" s="1"/>
    </row>
    <row r="17" spans="1:38" x14ac:dyDescent="0.25">
      <c r="A17" s="3">
        <v>6</v>
      </c>
      <c r="B17" s="4">
        <f>INDEX([1]data!$I$2:$I$91,MATCH(A17*1,[1]data!$G$2:$G$91,0))</f>
        <v>46190</v>
      </c>
      <c r="D17" s="5" t="s">
        <v>4</v>
      </c>
      <c r="E17" s="39"/>
      <c r="F17" s="3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0"/>
      <c r="AE17" s="35"/>
      <c r="AF17" s="8"/>
      <c r="AH17" s="29" t="s">
        <v>26</v>
      </c>
      <c r="AI17" s="1">
        <v>250</v>
      </c>
      <c r="AJ17" s="1">
        <v>300</v>
      </c>
      <c r="AK17" s="1">
        <v>1</v>
      </c>
      <c r="AL17" s="1"/>
    </row>
    <row r="18" spans="1:38" x14ac:dyDescent="0.25">
      <c r="A18" s="3">
        <v>6</v>
      </c>
      <c r="B18" s="4"/>
      <c r="D18" s="9" t="s">
        <v>5</v>
      </c>
      <c r="E18" s="40"/>
      <c r="F18" s="3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0"/>
      <c r="AE18" s="35"/>
      <c r="AF18" s="8"/>
      <c r="AH18" s="29" t="s">
        <v>27</v>
      </c>
      <c r="AI18" s="1">
        <v>170</v>
      </c>
      <c r="AJ18" s="1">
        <v>45</v>
      </c>
      <c r="AK18" s="1">
        <v>1</v>
      </c>
      <c r="AL18" s="1"/>
    </row>
    <row r="19" spans="1:38" x14ac:dyDescent="0.25">
      <c r="A19" s="3">
        <v>6</v>
      </c>
      <c r="B19" s="4"/>
      <c r="D19" s="11" t="s">
        <v>6</v>
      </c>
      <c r="E19" s="41"/>
      <c r="F19" s="3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0"/>
      <c r="AE19" s="35"/>
      <c r="AF19" s="8"/>
      <c r="AH19" s="30" t="s">
        <v>28</v>
      </c>
      <c r="AI19" s="1">
        <v>250</v>
      </c>
      <c r="AJ19" s="1">
        <v>400</v>
      </c>
      <c r="AK19" s="1">
        <v>1</v>
      </c>
      <c r="AL19" s="1"/>
    </row>
    <row r="20" spans="1:38" x14ac:dyDescent="0.25">
      <c r="A20" s="3">
        <v>7</v>
      </c>
      <c r="B20" s="4">
        <f>INDEX([1]data!$I$2:$I$91,MATCH(A20*1,[1]data!$G$2:$G$91,0))</f>
        <v>46191</v>
      </c>
      <c r="D20" s="5" t="s">
        <v>4</v>
      </c>
      <c r="E20" s="39"/>
      <c r="F20" s="3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0"/>
      <c r="AE20" s="35"/>
      <c r="AF20" s="8"/>
      <c r="AH20" s="31" t="s">
        <v>29</v>
      </c>
      <c r="AI20" s="1">
        <v>250</v>
      </c>
      <c r="AJ20" s="1">
        <v>1000</v>
      </c>
      <c r="AK20" s="1">
        <v>1</v>
      </c>
      <c r="AL20" s="1"/>
    </row>
    <row r="21" spans="1:38" x14ac:dyDescent="0.25">
      <c r="A21" s="3">
        <v>7</v>
      </c>
      <c r="B21" s="4"/>
      <c r="D21" s="9" t="s">
        <v>5</v>
      </c>
      <c r="E21" s="40"/>
      <c r="F21" s="3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0"/>
      <c r="AE21" s="35"/>
      <c r="AF21" s="8"/>
      <c r="AH21" s="32" t="s">
        <v>30</v>
      </c>
      <c r="AI21" s="1">
        <v>250</v>
      </c>
      <c r="AJ21" s="1">
        <v>500</v>
      </c>
      <c r="AK21" s="1">
        <v>1</v>
      </c>
      <c r="AL21" s="1"/>
    </row>
    <row r="22" spans="1:38" x14ac:dyDescent="0.25">
      <c r="A22" s="3">
        <v>7</v>
      </c>
      <c r="B22" s="4"/>
      <c r="D22" s="11" t="s">
        <v>6</v>
      </c>
      <c r="E22" s="41"/>
      <c r="F22" s="3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0"/>
      <c r="AE22" s="35"/>
      <c r="AF22" s="8"/>
      <c r="AH22" s="30" t="s">
        <v>31</v>
      </c>
      <c r="AI22" s="1">
        <v>180</v>
      </c>
      <c r="AJ22" s="1">
        <v>50</v>
      </c>
      <c r="AK22" s="1">
        <v>1</v>
      </c>
      <c r="AL22" s="1"/>
    </row>
    <row r="23" spans="1:38" x14ac:dyDescent="0.25">
      <c r="A23" s="3">
        <v>8</v>
      </c>
      <c r="B23" s="4">
        <f>INDEX([1]data!$I$2:$I$91,MATCH(A23*1,[1]data!$G$2:$G$91,0))</f>
        <v>46192</v>
      </c>
      <c r="D23" s="5" t="s">
        <v>4</v>
      </c>
      <c r="E23" s="39"/>
      <c r="F23" s="3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0"/>
      <c r="AE23" s="35"/>
      <c r="AF23" s="8"/>
      <c r="AH23" s="20" t="s">
        <v>32</v>
      </c>
      <c r="AI23" s="1">
        <v>150</v>
      </c>
      <c r="AJ23" s="1">
        <v>35</v>
      </c>
      <c r="AK23" s="1">
        <v>1</v>
      </c>
      <c r="AL23" s="1"/>
    </row>
    <row r="24" spans="1:38" x14ac:dyDescent="0.25">
      <c r="A24" s="3">
        <v>8</v>
      </c>
      <c r="B24" s="4"/>
      <c r="D24" s="9" t="s">
        <v>5</v>
      </c>
      <c r="E24" s="40"/>
      <c r="F24" s="3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0"/>
      <c r="AE24" s="35"/>
      <c r="AF24" s="8"/>
      <c r="AH24" s="21" t="s">
        <v>33</v>
      </c>
      <c r="AI24" s="1">
        <v>150</v>
      </c>
      <c r="AJ24" s="1">
        <v>40</v>
      </c>
      <c r="AK24" s="1">
        <v>1</v>
      </c>
      <c r="AL24" s="1"/>
    </row>
    <row r="25" spans="1:38" x14ac:dyDescent="0.25">
      <c r="A25" s="3">
        <v>8</v>
      </c>
      <c r="B25" s="4"/>
      <c r="D25" s="11" t="s">
        <v>6</v>
      </c>
      <c r="E25" s="41"/>
      <c r="F25" s="3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0"/>
      <c r="AE25" s="35"/>
      <c r="AF25" s="8"/>
      <c r="AH25" s="22" t="s">
        <v>34</v>
      </c>
      <c r="AI25" s="1">
        <v>150</v>
      </c>
      <c r="AJ25" s="1">
        <v>45</v>
      </c>
      <c r="AK25" s="1">
        <v>1</v>
      </c>
      <c r="AL25" s="1"/>
    </row>
    <row r="26" spans="1:38" x14ac:dyDescent="0.25">
      <c r="A26" s="3">
        <v>9</v>
      </c>
      <c r="B26" s="4">
        <f>INDEX([1]data!$I$2:$I$91,MATCH(A26*1,[1]data!$G$2:$G$91,0))</f>
        <v>46193</v>
      </c>
      <c r="D26" s="5" t="s">
        <v>4</v>
      </c>
      <c r="E26" s="39"/>
      <c r="F26" s="3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0"/>
      <c r="AE26" s="35"/>
      <c r="AF26" s="8"/>
      <c r="AH26" s="30" t="s">
        <v>35</v>
      </c>
      <c r="AI26" s="1">
        <v>0</v>
      </c>
      <c r="AJ26" s="1">
        <v>0</v>
      </c>
      <c r="AK26" s="1">
        <v>0</v>
      </c>
      <c r="AL26" s="1"/>
    </row>
    <row r="27" spans="1:38" x14ac:dyDescent="0.25">
      <c r="A27" s="3">
        <v>9</v>
      </c>
      <c r="B27" s="4"/>
      <c r="D27" s="9" t="s">
        <v>5</v>
      </c>
      <c r="E27" s="40"/>
      <c r="F27" s="3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0"/>
      <c r="AE27" s="35"/>
      <c r="AF27" s="8"/>
      <c r="AH27" s="33" t="s">
        <v>36</v>
      </c>
      <c r="AI27" s="1">
        <v>50</v>
      </c>
      <c r="AJ27" s="1">
        <v>520</v>
      </c>
      <c r="AK27" s="1">
        <v>0</v>
      </c>
      <c r="AL27" s="1"/>
    </row>
    <row r="28" spans="1:38" x14ac:dyDescent="0.25">
      <c r="A28" s="3">
        <v>9</v>
      </c>
      <c r="B28" s="4"/>
      <c r="D28" s="11" t="s">
        <v>6</v>
      </c>
      <c r="E28" s="41"/>
      <c r="F28" s="3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0"/>
      <c r="AE28" s="35"/>
      <c r="AF28" s="8"/>
    </row>
    <row r="29" spans="1:38" x14ac:dyDescent="0.25">
      <c r="A29" s="3">
        <v>10</v>
      </c>
      <c r="B29" s="4">
        <f>INDEX([1]data!$I$2:$I$91,MATCH(A29*1,[1]data!$G$2:$G$91,0))</f>
        <v>46194</v>
      </c>
      <c r="D29" s="5" t="s">
        <v>4</v>
      </c>
      <c r="E29" s="39"/>
      <c r="F29" s="3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0"/>
      <c r="AE29" s="35"/>
      <c r="AF29" s="8"/>
    </row>
    <row r="30" spans="1:38" x14ac:dyDescent="0.25">
      <c r="A30" s="3">
        <v>10</v>
      </c>
      <c r="B30" s="4"/>
      <c r="D30" s="9" t="s">
        <v>5</v>
      </c>
      <c r="E30" s="40"/>
      <c r="F30" s="3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0"/>
      <c r="AE30" s="35"/>
      <c r="AF30" s="8"/>
    </row>
    <row r="31" spans="1:38" x14ac:dyDescent="0.25">
      <c r="A31" s="3">
        <v>10</v>
      </c>
      <c r="B31" s="4"/>
      <c r="D31" s="11" t="s">
        <v>6</v>
      </c>
      <c r="E31" s="41"/>
      <c r="F31" s="3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0"/>
      <c r="AE31" s="35"/>
      <c r="AF31" s="8"/>
    </row>
    <row r="32" spans="1:38" x14ac:dyDescent="0.25">
      <c r="A32" s="3">
        <v>11</v>
      </c>
      <c r="B32" s="12">
        <f>INDEX([1]data!$I$2:$I$91,MATCH(A32*1,[1]data!$G$2:$G$91,0))</f>
        <v>46195</v>
      </c>
      <c r="D32" s="5" t="s">
        <v>4</v>
      </c>
      <c r="E32" s="39"/>
      <c r="F32" s="3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0"/>
      <c r="AE32" s="35"/>
      <c r="AF32" s="8"/>
    </row>
    <row r="33" spans="1:32" x14ac:dyDescent="0.25">
      <c r="A33" s="3">
        <v>11</v>
      </c>
      <c r="B33" s="12"/>
      <c r="D33" s="9" t="s">
        <v>5</v>
      </c>
      <c r="E33" s="40"/>
      <c r="F33" s="3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0"/>
      <c r="AE33" s="35"/>
      <c r="AF33" s="8"/>
    </row>
    <row r="34" spans="1:32" x14ac:dyDescent="0.25">
      <c r="A34" s="3">
        <v>11</v>
      </c>
      <c r="B34" s="12"/>
      <c r="D34" s="11" t="s">
        <v>6</v>
      </c>
      <c r="E34" s="41"/>
      <c r="F34" s="3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0"/>
      <c r="AE34" s="35"/>
      <c r="AF34" s="8"/>
    </row>
    <row r="35" spans="1:32" x14ac:dyDescent="0.25">
      <c r="A35" s="3">
        <v>12</v>
      </c>
      <c r="B35" s="12">
        <f>INDEX([1]data!$I$2:$I$91,MATCH(A35*1,[1]data!$G$2:$G$91,0))</f>
        <v>46196</v>
      </c>
      <c r="D35" s="5" t="s">
        <v>4</v>
      </c>
      <c r="E35" s="39"/>
      <c r="F35" s="3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0"/>
      <c r="AE35" s="35"/>
      <c r="AF35" s="8"/>
    </row>
    <row r="36" spans="1:32" x14ac:dyDescent="0.25">
      <c r="A36" s="3">
        <v>12</v>
      </c>
      <c r="B36" s="12"/>
      <c r="D36" s="9" t="s">
        <v>5</v>
      </c>
      <c r="E36" s="40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0"/>
      <c r="AE36" s="35"/>
      <c r="AF36" s="8"/>
    </row>
    <row r="37" spans="1:32" x14ac:dyDescent="0.25">
      <c r="A37" s="3">
        <v>12</v>
      </c>
      <c r="B37" s="12"/>
      <c r="D37" s="11" t="s">
        <v>6</v>
      </c>
      <c r="E37" s="41"/>
      <c r="F37" s="3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0"/>
      <c r="AE37" s="35"/>
      <c r="AF37" s="8"/>
    </row>
    <row r="38" spans="1:32" x14ac:dyDescent="0.25">
      <c r="A38" s="3">
        <v>13</v>
      </c>
      <c r="B38" s="12">
        <f>INDEX([1]data!$I$2:$I$91,MATCH(A38*1,[1]data!$G$2:$G$91,0))</f>
        <v>46197</v>
      </c>
      <c r="D38" s="5" t="s">
        <v>4</v>
      </c>
      <c r="E38" s="39"/>
      <c r="F38" s="3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0"/>
      <c r="AE38" s="35"/>
      <c r="AF38" s="8"/>
    </row>
    <row r="39" spans="1:32" x14ac:dyDescent="0.25">
      <c r="A39" s="3">
        <v>13</v>
      </c>
      <c r="B39" s="12"/>
      <c r="D39" s="9" t="s">
        <v>5</v>
      </c>
      <c r="E39" s="40"/>
      <c r="F39" s="3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0"/>
      <c r="AE39" s="35"/>
      <c r="AF39" s="8"/>
    </row>
    <row r="40" spans="1:32" x14ac:dyDescent="0.25">
      <c r="A40" s="3">
        <v>13</v>
      </c>
      <c r="B40" s="12"/>
      <c r="D40" s="11" t="s">
        <v>6</v>
      </c>
      <c r="E40" s="41"/>
      <c r="F40" s="3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0"/>
      <c r="AE40" s="35"/>
      <c r="AF40" s="8"/>
    </row>
    <row r="41" spans="1:32" x14ac:dyDescent="0.25">
      <c r="A41" s="3">
        <v>14</v>
      </c>
      <c r="B41" s="12">
        <f>INDEX([1]data!$I$2:$I$91,MATCH(A41*1,[1]data!$G$2:$G$91,0))</f>
        <v>46198</v>
      </c>
      <c r="D41" s="5" t="s">
        <v>4</v>
      </c>
      <c r="E41" s="39"/>
      <c r="F41" s="3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0"/>
      <c r="AE41" s="35"/>
      <c r="AF41" s="8"/>
    </row>
    <row r="42" spans="1:32" x14ac:dyDescent="0.25">
      <c r="A42" s="3">
        <v>14</v>
      </c>
      <c r="B42" s="12"/>
      <c r="D42" s="9" t="s">
        <v>5</v>
      </c>
      <c r="E42" s="40"/>
      <c r="F42" s="3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0"/>
      <c r="AE42" s="35"/>
      <c r="AF42" s="8"/>
    </row>
    <row r="43" spans="1:32" x14ac:dyDescent="0.25">
      <c r="A43" s="3">
        <v>14</v>
      </c>
      <c r="B43" s="12"/>
      <c r="D43" s="11" t="s">
        <v>6</v>
      </c>
      <c r="E43" s="41"/>
      <c r="F43" s="3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0"/>
      <c r="AE43" s="35"/>
      <c r="AF43" s="8"/>
    </row>
    <row r="44" spans="1:32" x14ac:dyDescent="0.25">
      <c r="A44" s="3">
        <v>15</v>
      </c>
      <c r="B44" s="12">
        <f>INDEX([1]data!$I$2:$I$91,MATCH(A44*1,[1]data!$G$2:$G$91,0))</f>
        <v>46199</v>
      </c>
      <c r="D44" s="5" t="s">
        <v>4</v>
      </c>
      <c r="E44" s="39"/>
      <c r="F44" s="3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0"/>
      <c r="AE44" s="35"/>
      <c r="AF44" s="8"/>
    </row>
    <row r="45" spans="1:32" x14ac:dyDescent="0.25">
      <c r="A45" s="3">
        <v>15</v>
      </c>
      <c r="B45" s="12"/>
      <c r="D45" s="9" t="s">
        <v>5</v>
      </c>
      <c r="E45" s="40"/>
      <c r="F45" s="3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0"/>
      <c r="AE45" s="35"/>
      <c r="AF45" s="8"/>
    </row>
    <row r="46" spans="1:32" x14ac:dyDescent="0.25">
      <c r="A46" s="3">
        <v>15</v>
      </c>
      <c r="B46" s="12"/>
      <c r="D46" s="11" t="s">
        <v>6</v>
      </c>
      <c r="E46" s="41"/>
      <c r="F46" s="3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0"/>
      <c r="AE46" s="35"/>
      <c r="AF46" s="8"/>
    </row>
    <row r="47" spans="1:32" x14ac:dyDescent="0.25">
      <c r="A47" s="3">
        <v>16</v>
      </c>
      <c r="B47" s="12">
        <f>INDEX([1]data!$I$2:$I$91,MATCH(A47*1,[1]data!$G$2:$G$91,0))</f>
        <v>46200</v>
      </c>
      <c r="D47" s="5" t="s">
        <v>4</v>
      </c>
      <c r="E47" s="39"/>
      <c r="F47" s="3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0"/>
      <c r="AE47" s="35"/>
      <c r="AF47" s="8"/>
    </row>
    <row r="48" spans="1:32" x14ac:dyDescent="0.25">
      <c r="A48" s="3">
        <v>16</v>
      </c>
      <c r="B48" s="12"/>
      <c r="D48" s="9" t="s">
        <v>5</v>
      </c>
      <c r="E48" s="40"/>
      <c r="F48" s="3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0"/>
      <c r="AE48" s="35"/>
      <c r="AF48" s="8"/>
    </row>
    <row r="49" spans="1:32" x14ac:dyDescent="0.25">
      <c r="A49" s="3">
        <v>16</v>
      </c>
      <c r="B49" s="12"/>
      <c r="D49" s="11" t="s">
        <v>6</v>
      </c>
      <c r="E49" s="41"/>
      <c r="F49" s="3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0"/>
      <c r="AE49" s="35"/>
      <c r="AF49" s="8"/>
    </row>
    <row r="50" spans="1:32" x14ac:dyDescent="0.25">
      <c r="A50" s="3">
        <v>17</v>
      </c>
      <c r="B50" s="12">
        <f>INDEX([1]data!$I$2:$I$91,MATCH(A50*1,[1]data!$G$2:$G$91,0))</f>
        <v>46201</v>
      </c>
      <c r="D50" s="5" t="s">
        <v>4</v>
      </c>
      <c r="E50" s="39"/>
      <c r="F50" s="3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0"/>
      <c r="AE50" s="35"/>
      <c r="AF50" s="8"/>
    </row>
    <row r="51" spans="1:32" x14ac:dyDescent="0.25">
      <c r="A51" s="3">
        <v>17</v>
      </c>
      <c r="B51" s="12"/>
      <c r="D51" s="9" t="s">
        <v>5</v>
      </c>
      <c r="E51" s="40"/>
      <c r="F51" s="3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0"/>
      <c r="AE51" s="35"/>
      <c r="AF51" s="8"/>
    </row>
    <row r="52" spans="1:32" x14ac:dyDescent="0.25">
      <c r="A52" s="3">
        <v>17</v>
      </c>
      <c r="B52" s="12"/>
      <c r="D52" s="11" t="s">
        <v>6</v>
      </c>
      <c r="E52" s="41"/>
      <c r="F52" s="3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0"/>
      <c r="AE52" s="35"/>
      <c r="AF52" s="8"/>
    </row>
    <row r="53" spans="1:32" x14ac:dyDescent="0.25">
      <c r="A53" s="3">
        <v>18</v>
      </c>
      <c r="B53" s="12">
        <f>INDEX([1]data!$I$2:$I$91,MATCH(A53*1,[1]data!$G$2:$G$91,0))</f>
        <v>46202</v>
      </c>
      <c r="D53" s="5" t="s">
        <v>4</v>
      </c>
      <c r="E53" s="39"/>
      <c r="F53" s="3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0"/>
      <c r="AE53" s="35"/>
      <c r="AF53" s="8"/>
    </row>
    <row r="54" spans="1:32" x14ac:dyDescent="0.25">
      <c r="A54" s="3">
        <v>18</v>
      </c>
      <c r="B54" s="12"/>
      <c r="D54" s="9" t="s">
        <v>5</v>
      </c>
      <c r="E54" s="40"/>
      <c r="F54" s="3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0"/>
      <c r="AE54" s="35"/>
      <c r="AF54" s="8"/>
    </row>
    <row r="55" spans="1:32" x14ac:dyDescent="0.25">
      <c r="A55" s="3">
        <v>18</v>
      </c>
      <c r="B55" s="12"/>
      <c r="D55" s="11" t="s">
        <v>6</v>
      </c>
      <c r="E55" s="41"/>
      <c r="F55" s="3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0"/>
      <c r="AE55" s="35"/>
      <c r="AF55" s="8"/>
    </row>
    <row r="56" spans="1:32" x14ac:dyDescent="0.25">
      <c r="A56" s="3">
        <v>19</v>
      </c>
      <c r="B56" s="12">
        <f>INDEX([1]data!$I$2:$I$91,MATCH(A56*1,[1]data!$G$2:$G$91,0))</f>
        <v>46203</v>
      </c>
      <c r="D56" s="5" t="s">
        <v>4</v>
      </c>
      <c r="E56" s="39"/>
      <c r="F56" s="3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0"/>
      <c r="AE56" s="35"/>
      <c r="AF56" s="8"/>
    </row>
    <row r="57" spans="1:32" x14ac:dyDescent="0.25">
      <c r="A57" s="3">
        <v>19</v>
      </c>
      <c r="B57" s="12"/>
      <c r="D57" s="9" t="s">
        <v>5</v>
      </c>
      <c r="E57" s="40"/>
      <c r="F57" s="3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0"/>
      <c r="AE57" s="35"/>
      <c r="AF57" s="8"/>
    </row>
    <row r="58" spans="1:32" x14ac:dyDescent="0.25">
      <c r="A58" s="3">
        <v>19</v>
      </c>
      <c r="B58" s="12"/>
      <c r="D58" s="11" t="s">
        <v>6</v>
      </c>
      <c r="E58" s="41"/>
      <c r="F58" s="3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0"/>
      <c r="AE58" s="35"/>
      <c r="AF58" s="8"/>
    </row>
    <row r="59" spans="1:32" x14ac:dyDescent="0.25">
      <c r="A59" s="3">
        <v>20</v>
      </c>
      <c r="B59" s="12">
        <f>INDEX([1]data!$I$2:$I$91,MATCH(A59*1,[1]data!$G$2:$G$91,0))</f>
        <v>46204</v>
      </c>
      <c r="D59" s="5" t="s">
        <v>4</v>
      </c>
      <c r="E59" s="39"/>
      <c r="F59" s="3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0"/>
      <c r="AE59" s="35"/>
      <c r="AF59" s="8"/>
    </row>
    <row r="60" spans="1:32" x14ac:dyDescent="0.25">
      <c r="A60" s="3">
        <v>20</v>
      </c>
      <c r="B60" s="12"/>
      <c r="D60" s="9" t="s">
        <v>5</v>
      </c>
      <c r="E60" s="40"/>
      <c r="F60" s="3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0"/>
      <c r="AE60" s="35"/>
      <c r="AF60" s="8"/>
    </row>
    <row r="61" spans="1:32" x14ac:dyDescent="0.25">
      <c r="A61" s="3">
        <v>20</v>
      </c>
      <c r="B61" s="12"/>
      <c r="D61" s="11" t="s">
        <v>6</v>
      </c>
      <c r="E61" s="41"/>
      <c r="F61" s="3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0"/>
      <c r="AE61" s="35"/>
      <c r="AF61" s="8"/>
    </row>
    <row r="62" spans="1:32" x14ac:dyDescent="0.25">
      <c r="A62" s="3">
        <v>21</v>
      </c>
      <c r="B62" s="12">
        <f>INDEX([1]data!$I$2:$I$91,MATCH(A62*1,[1]data!$G$2:$G$91,0))</f>
        <v>46205</v>
      </c>
      <c r="D62" s="5" t="s">
        <v>4</v>
      </c>
      <c r="E62" s="39"/>
      <c r="F62" s="3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0"/>
      <c r="AE62" s="35"/>
      <c r="AF62" s="8"/>
    </row>
    <row r="63" spans="1:32" x14ac:dyDescent="0.25">
      <c r="A63" s="3">
        <v>21</v>
      </c>
      <c r="B63" s="12"/>
      <c r="D63" s="9" t="s">
        <v>5</v>
      </c>
      <c r="E63" s="40"/>
      <c r="F63" s="3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0"/>
      <c r="AE63" s="35"/>
      <c r="AF63" s="8"/>
    </row>
    <row r="64" spans="1:32" x14ac:dyDescent="0.25">
      <c r="A64" s="3">
        <v>21</v>
      </c>
      <c r="B64" s="12"/>
      <c r="D64" s="11" t="s">
        <v>6</v>
      </c>
      <c r="E64" s="41"/>
      <c r="F64" s="3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0"/>
      <c r="AE64" s="35"/>
      <c r="AF64" s="8"/>
    </row>
    <row r="65" spans="1:32" x14ac:dyDescent="0.25">
      <c r="A65" s="3">
        <v>22</v>
      </c>
      <c r="B65" s="12">
        <f>INDEX([1]data!$I$2:$I$91,MATCH(A65*1,[1]data!$G$2:$G$91,0))</f>
        <v>46206</v>
      </c>
      <c r="D65" s="5" t="s">
        <v>4</v>
      </c>
      <c r="E65" s="39"/>
      <c r="F65" s="3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0"/>
      <c r="AE65" s="35"/>
      <c r="AF65" s="8"/>
    </row>
    <row r="66" spans="1:32" x14ac:dyDescent="0.25">
      <c r="A66" s="3">
        <v>22</v>
      </c>
      <c r="B66" s="12"/>
      <c r="D66" s="9" t="s">
        <v>5</v>
      </c>
      <c r="E66" s="40"/>
      <c r="F66" s="3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0"/>
      <c r="AE66" s="35"/>
      <c r="AF66" s="8"/>
    </row>
    <row r="67" spans="1:32" x14ac:dyDescent="0.25">
      <c r="A67" s="3">
        <v>22</v>
      </c>
      <c r="B67" s="12"/>
      <c r="D67" s="11" t="s">
        <v>6</v>
      </c>
      <c r="E67" s="41"/>
      <c r="F67" s="3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0"/>
      <c r="AE67" s="35"/>
      <c r="AF67" s="8"/>
    </row>
    <row r="68" spans="1:32" x14ac:dyDescent="0.25">
      <c r="A68" s="3">
        <v>23</v>
      </c>
      <c r="B68" s="12">
        <f>INDEX([1]data!$I$2:$I$91,MATCH(A68*1,[1]data!$G$2:$G$91,0))</f>
        <v>46207</v>
      </c>
      <c r="D68" s="5" t="s">
        <v>4</v>
      </c>
      <c r="E68" s="39"/>
      <c r="F68" s="3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0"/>
      <c r="AE68" s="35"/>
      <c r="AF68" s="8"/>
    </row>
    <row r="69" spans="1:32" x14ac:dyDescent="0.25">
      <c r="A69" s="3">
        <v>23</v>
      </c>
      <c r="B69" s="12"/>
      <c r="D69" s="9" t="s">
        <v>5</v>
      </c>
      <c r="E69" s="40"/>
      <c r="F69" s="3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0"/>
      <c r="AE69" s="35"/>
      <c r="AF69" s="8"/>
    </row>
    <row r="70" spans="1:32" x14ac:dyDescent="0.25">
      <c r="A70" s="3">
        <v>23</v>
      </c>
      <c r="B70" s="12"/>
      <c r="D70" s="11" t="s">
        <v>6</v>
      </c>
      <c r="E70" s="41"/>
      <c r="F70" s="3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0"/>
      <c r="AE70" s="35"/>
      <c r="AF70" s="8"/>
    </row>
    <row r="71" spans="1:32" x14ac:dyDescent="0.25">
      <c r="A71" s="3">
        <v>24</v>
      </c>
      <c r="B71" s="12">
        <f>INDEX([1]data!$I$2:$I$91,MATCH(A71*1,[1]data!$G$2:$G$91,0))</f>
        <v>46208</v>
      </c>
      <c r="D71" s="5" t="s">
        <v>4</v>
      </c>
      <c r="E71" s="39"/>
      <c r="F71" s="3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0"/>
      <c r="AE71" s="35"/>
      <c r="AF71" s="8"/>
    </row>
    <row r="72" spans="1:32" x14ac:dyDescent="0.25">
      <c r="A72" s="3">
        <v>24</v>
      </c>
      <c r="B72" s="12"/>
      <c r="D72" s="9" t="s">
        <v>5</v>
      </c>
      <c r="E72" s="40"/>
      <c r="F72" s="3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0"/>
      <c r="AE72" s="35"/>
      <c r="AF72" s="8"/>
    </row>
    <row r="73" spans="1:32" x14ac:dyDescent="0.25">
      <c r="A73" s="3">
        <v>24</v>
      </c>
      <c r="B73" s="12"/>
      <c r="D73" s="11" t="s">
        <v>6</v>
      </c>
      <c r="E73" s="41"/>
      <c r="F73" s="3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0"/>
      <c r="AE73" s="35"/>
      <c r="AF73" s="8"/>
    </row>
    <row r="74" spans="1:32" x14ac:dyDescent="0.25">
      <c r="A74" s="3">
        <v>25</v>
      </c>
      <c r="B74" s="12">
        <f>INDEX([1]data!$I$2:$I$91,MATCH(A74*1,[1]data!$G$2:$G$91,0))</f>
        <v>46209</v>
      </c>
      <c r="D74" s="5" t="s">
        <v>4</v>
      </c>
      <c r="E74" s="39"/>
      <c r="F74" s="3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0"/>
      <c r="AE74" s="35"/>
      <c r="AF74" s="8"/>
    </row>
    <row r="75" spans="1:32" x14ac:dyDescent="0.25">
      <c r="A75" s="3">
        <v>25</v>
      </c>
      <c r="B75" s="12"/>
      <c r="D75" s="9" t="s">
        <v>5</v>
      </c>
      <c r="E75" s="40"/>
      <c r="F75" s="3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0"/>
      <c r="AE75" s="35"/>
      <c r="AF75" s="8"/>
    </row>
    <row r="76" spans="1:32" x14ac:dyDescent="0.25">
      <c r="A76" s="3">
        <v>25</v>
      </c>
      <c r="B76" s="12"/>
      <c r="D76" s="11" t="s">
        <v>6</v>
      </c>
      <c r="E76" s="41"/>
      <c r="F76" s="3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0"/>
      <c r="AE76" s="35"/>
      <c r="AF76" s="8"/>
    </row>
    <row r="77" spans="1:32" x14ac:dyDescent="0.25">
      <c r="A77" s="3">
        <v>26</v>
      </c>
      <c r="B77" s="12">
        <f>INDEX([1]data!$I$2:$I$91,MATCH(A77*1,[1]data!$G$2:$G$91,0))</f>
        <v>46210</v>
      </c>
      <c r="D77" s="5" t="s">
        <v>4</v>
      </c>
      <c r="E77" s="39"/>
      <c r="F77" s="3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0"/>
      <c r="AE77" s="35"/>
      <c r="AF77" s="8"/>
    </row>
    <row r="78" spans="1:32" x14ac:dyDescent="0.25">
      <c r="A78" s="3">
        <v>26</v>
      </c>
      <c r="B78" s="12"/>
      <c r="D78" s="9" t="s">
        <v>5</v>
      </c>
      <c r="E78" s="40"/>
      <c r="F78" s="3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0"/>
      <c r="AE78" s="35"/>
      <c r="AF78" s="8"/>
    </row>
    <row r="79" spans="1:32" x14ac:dyDescent="0.25">
      <c r="A79" s="3">
        <v>26</v>
      </c>
      <c r="B79" s="12"/>
      <c r="D79" s="11" t="s">
        <v>6</v>
      </c>
      <c r="E79" s="41"/>
      <c r="F79" s="3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0"/>
      <c r="AE79" s="35"/>
      <c r="AF79" s="8"/>
    </row>
    <row r="80" spans="1:32" x14ac:dyDescent="0.25">
      <c r="A80" s="3">
        <v>27</v>
      </c>
      <c r="B80" s="12">
        <f>INDEX([1]data!$I$2:$I$91,MATCH(A80*1,[1]data!$G$2:$G$91,0))</f>
        <v>46211</v>
      </c>
      <c r="D80" s="5" t="s">
        <v>4</v>
      </c>
      <c r="E80" s="39"/>
      <c r="F80" s="3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0"/>
      <c r="AE80" s="35"/>
      <c r="AF80" s="8"/>
    </row>
    <row r="81" spans="1:32" x14ac:dyDescent="0.25">
      <c r="A81" s="3">
        <v>27</v>
      </c>
      <c r="B81" s="12"/>
      <c r="D81" s="9" t="s">
        <v>5</v>
      </c>
      <c r="E81" s="40"/>
      <c r="F81" s="3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0"/>
      <c r="AE81" s="35"/>
      <c r="AF81" s="8"/>
    </row>
    <row r="82" spans="1:32" x14ac:dyDescent="0.25">
      <c r="A82" s="3">
        <v>27</v>
      </c>
      <c r="B82" s="12"/>
      <c r="D82" s="11" t="s">
        <v>6</v>
      </c>
      <c r="E82" s="41"/>
      <c r="F82" s="3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0"/>
      <c r="AE82" s="35"/>
      <c r="AF82" s="8"/>
    </row>
    <row r="83" spans="1:32" x14ac:dyDescent="0.25">
      <c r="A83" s="3">
        <v>28</v>
      </c>
      <c r="B83" s="12">
        <f>INDEX([1]data!$I$2:$I$91,MATCH(A83*1,[1]data!$G$2:$G$91,0))</f>
        <v>46212</v>
      </c>
      <c r="D83" s="5" t="s">
        <v>4</v>
      </c>
      <c r="E83" s="39"/>
      <c r="F83" s="3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0"/>
      <c r="AE83" s="35"/>
      <c r="AF83" s="8"/>
    </row>
    <row r="84" spans="1:32" x14ac:dyDescent="0.25">
      <c r="A84" s="3">
        <v>28</v>
      </c>
      <c r="B84" s="12"/>
      <c r="D84" s="9" t="s">
        <v>5</v>
      </c>
      <c r="E84" s="40"/>
      <c r="F84" s="3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0"/>
      <c r="AE84" s="35"/>
      <c r="AF84" s="8"/>
    </row>
    <row r="85" spans="1:32" x14ac:dyDescent="0.25">
      <c r="A85" s="3">
        <v>28</v>
      </c>
      <c r="B85" s="12"/>
      <c r="D85" s="11" t="s">
        <v>6</v>
      </c>
      <c r="E85" s="41"/>
      <c r="F85" s="3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0"/>
      <c r="AE85" s="35"/>
      <c r="AF85" s="8"/>
    </row>
    <row r="86" spans="1:32" x14ac:dyDescent="0.25">
      <c r="A86" s="3">
        <v>29</v>
      </c>
      <c r="B86" s="12">
        <f>INDEX([1]data!$I$2:$I$91,MATCH(A86*1,[1]data!$G$2:$G$91,0))</f>
        <v>46213</v>
      </c>
      <c r="D86" s="5" t="s">
        <v>4</v>
      </c>
      <c r="E86" s="39"/>
      <c r="F86" s="3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0"/>
      <c r="AE86" s="35"/>
      <c r="AF86" s="8"/>
    </row>
    <row r="87" spans="1:32" x14ac:dyDescent="0.25">
      <c r="A87" s="3">
        <v>29</v>
      </c>
      <c r="B87" s="12"/>
      <c r="D87" s="9" t="s">
        <v>5</v>
      </c>
      <c r="E87" s="40"/>
      <c r="F87" s="3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0"/>
      <c r="AE87" s="35"/>
      <c r="AF87" s="8"/>
    </row>
    <row r="88" spans="1:32" x14ac:dyDescent="0.25">
      <c r="A88" s="3">
        <v>29</v>
      </c>
      <c r="B88" s="12"/>
      <c r="D88" s="11" t="s">
        <v>6</v>
      </c>
      <c r="E88" s="41"/>
      <c r="F88" s="3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0"/>
      <c r="AE88" s="35"/>
      <c r="AF88" s="8"/>
    </row>
    <row r="89" spans="1:32" x14ac:dyDescent="0.25">
      <c r="A89" s="3">
        <v>30</v>
      </c>
      <c r="B89" s="12">
        <f>INDEX([1]data!$I$2:$I$91,MATCH(A89*1,[1]data!$G$2:$G$91,0))</f>
        <v>46214</v>
      </c>
      <c r="D89" s="5" t="s">
        <v>4</v>
      </c>
      <c r="E89" s="39"/>
      <c r="F89" s="3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0"/>
      <c r="AE89" s="35"/>
      <c r="AF89" s="8"/>
    </row>
    <row r="90" spans="1:32" x14ac:dyDescent="0.25">
      <c r="A90" s="3">
        <v>30</v>
      </c>
      <c r="B90" s="12"/>
      <c r="D90" s="9" t="s">
        <v>5</v>
      </c>
      <c r="E90" s="40"/>
      <c r="F90" s="3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0"/>
      <c r="AE90" s="35"/>
      <c r="AF90" s="8"/>
    </row>
    <row r="91" spans="1:32" x14ac:dyDescent="0.25">
      <c r="A91" s="3">
        <v>30</v>
      </c>
      <c r="B91" s="12"/>
      <c r="D91" s="11" t="s">
        <v>6</v>
      </c>
      <c r="E91" s="41"/>
      <c r="F91" s="3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0"/>
      <c r="AE91" s="35"/>
      <c r="AF91" s="8"/>
    </row>
    <row r="92" spans="1:32" x14ac:dyDescent="0.25">
      <c r="A92" s="3">
        <v>31</v>
      </c>
      <c r="B92" s="12">
        <f>INDEX([1]data!$I$2:$I$91,MATCH(A92*1,[1]data!$G$2:$G$91,0))</f>
        <v>46215</v>
      </c>
      <c r="D92" s="5" t="s">
        <v>4</v>
      </c>
      <c r="E92" s="39"/>
      <c r="F92" s="3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0"/>
      <c r="AE92" s="35"/>
      <c r="AF92" s="8"/>
    </row>
    <row r="93" spans="1:32" x14ac:dyDescent="0.25">
      <c r="A93" s="3">
        <v>31</v>
      </c>
      <c r="B93" s="12"/>
      <c r="D93" s="9" t="s">
        <v>5</v>
      </c>
      <c r="E93" s="40"/>
      <c r="F93" s="3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0"/>
      <c r="AE93" s="35"/>
      <c r="AF93" s="8"/>
    </row>
    <row r="94" spans="1:32" x14ac:dyDescent="0.25">
      <c r="A94" s="3">
        <v>31</v>
      </c>
      <c r="B94" s="12"/>
      <c r="D94" s="11" t="s">
        <v>6</v>
      </c>
      <c r="E94" s="41"/>
      <c r="F94" s="3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0"/>
      <c r="AE94" s="35"/>
      <c r="AF94" s="8"/>
    </row>
    <row r="95" spans="1:32" x14ac:dyDescent="0.25">
      <c r="A95" s="3">
        <v>32</v>
      </c>
      <c r="B95" s="12">
        <f>INDEX([1]data!$I$2:$I$91,MATCH(A95*1,[1]data!$G$2:$G$91,0))</f>
        <v>46216</v>
      </c>
      <c r="D95" s="5" t="s">
        <v>4</v>
      </c>
      <c r="E95" s="39"/>
      <c r="F95" s="3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0"/>
      <c r="AE95" s="35"/>
      <c r="AF95" s="8"/>
    </row>
    <row r="96" spans="1:32" x14ac:dyDescent="0.25">
      <c r="A96" s="3">
        <v>32</v>
      </c>
      <c r="B96" s="12"/>
      <c r="D96" s="9" t="s">
        <v>5</v>
      </c>
      <c r="E96" s="40"/>
      <c r="F96" s="3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0"/>
      <c r="AE96" s="35"/>
      <c r="AF96" s="8"/>
    </row>
    <row r="97" spans="1:32" x14ac:dyDescent="0.25">
      <c r="A97" s="3">
        <v>32</v>
      </c>
      <c r="B97" s="12"/>
      <c r="D97" s="11" t="s">
        <v>6</v>
      </c>
      <c r="E97" s="41"/>
      <c r="F97" s="3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0"/>
      <c r="AE97" s="35"/>
      <c r="AF97" s="8"/>
    </row>
    <row r="98" spans="1:32" x14ac:dyDescent="0.25">
      <c r="A98" s="3">
        <v>33</v>
      </c>
      <c r="B98" s="12">
        <f>INDEX([1]data!$I$2:$I$91,MATCH(A98*1,[1]data!$G$2:$G$91,0))</f>
        <v>46217</v>
      </c>
      <c r="D98" s="5" t="s">
        <v>4</v>
      </c>
      <c r="E98" s="39"/>
      <c r="F98" s="3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0"/>
      <c r="AE98" s="35"/>
      <c r="AF98" s="8"/>
    </row>
    <row r="99" spans="1:32" x14ac:dyDescent="0.25">
      <c r="A99" s="3">
        <v>33</v>
      </c>
      <c r="B99" s="12"/>
      <c r="D99" s="9" t="s">
        <v>5</v>
      </c>
      <c r="E99" s="40"/>
      <c r="F99" s="3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0"/>
      <c r="AE99" s="35"/>
      <c r="AF99" s="8"/>
    </row>
    <row r="100" spans="1:32" x14ac:dyDescent="0.25">
      <c r="A100" s="3">
        <v>33</v>
      </c>
      <c r="B100" s="12"/>
      <c r="D100" s="11" t="s">
        <v>6</v>
      </c>
      <c r="E100" s="41"/>
      <c r="F100" s="3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0"/>
      <c r="AE100" s="35"/>
      <c r="AF100" s="8"/>
    </row>
    <row r="101" spans="1:32" x14ac:dyDescent="0.25">
      <c r="A101" s="3">
        <v>34</v>
      </c>
      <c r="B101" s="12">
        <f>INDEX([1]data!$I$2:$I$91,MATCH(A101*1,[1]data!$G$2:$G$91,0))</f>
        <v>46218</v>
      </c>
      <c r="D101" s="5" t="s">
        <v>4</v>
      </c>
      <c r="E101" s="39"/>
      <c r="F101" s="3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0"/>
      <c r="AE101" s="35"/>
      <c r="AF101" s="8"/>
    </row>
    <row r="102" spans="1:32" x14ac:dyDescent="0.25">
      <c r="A102" s="3">
        <v>34</v>
      </c>
      <c r="B102" s="12"/>
      <c r="D102" s="9" t="s">
        <v>5</v>
      </c>
      <c r="E102" s="40"/>
      <c r="F102" s="3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0"/>
      <c r="AE102" s="35"/>
      <c r="AF102" s="8"/>
    </row>
    <row r="103" spans="1:32" x14ac:dyDescent="0.25">
      <c r="A103" s="3">
        <v>34</v>
      </c>
      <c r="B103" s="12"/>
      <c r="D103" s="11" t="s">
        <v>6</v>
      </c>
      <c r="E103" s="41"/>
      <c r="F103" s="3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0"/>
      <c r="AE103" s="35"/>
      <c r="AF103" s="8"/>
    </row>
    <row r="104" spans="1:32" x14ac:dyDescent="0.25">
      <c r="A104" s="3">
        <v>35</v>
      </c>
      <c r="B104" s="12">
        <f>INDEX([1]data!$I$2:$I$91,MATCH(A104*1,[1]data!$G$2:$G$91,0))</f>
        <v>46219</v>
      </c>
      <c r="D104" s="5" t="s">
        <v>4</v>
      </c>
      <c r="E104" s="39"/>
      <c r="F104" s="3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0"/>
      <c r="AE104" s="35"/>
      <c r="AF104" s="8"/>
    </row>
    <row r="105" spans="1:32" x14ac:dyDescent="0.25">
      <c r="A105" s="3">
        <v>35</v>
      </c>
      <c r="B105" s="12"/>
      <c r="D105" s="9" t="s">
        <v>5</v>
      </c>
      <c r="E105" s="40"/>
      <c r="F105" s="3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0"/>
      <c r="AE105" s="35"/>
      <c r="AF105" s="8"/>
    </row>
    <row r="106" spans="1:32" x14ac:dyDescent="0.25">
      <c r="A106" s="3">
        <v>35</v>
      </c>
      <c r="B106" s="12"/>
      <c r="D106" s="11" t="s">
        <v>6</v>
      </c>
      <c r="E106" s="41"/>
      <c r="F106" s="3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0"/>
      <c r="AE106" s="35"/>
      <c r="AF106" s="8"/>
    </row>
    <row r="107" spans="1:32" x14ac:dyDescent="0.25">
      <c r="A107" s="3">
        <v>36</v>
      </c>
      <c r="B107" s="12">
        <f>INDEX([1]data!$I$2:$I$91,MATCH(A107*1,[1]data!$G$2:$G$91,0))</f>
        <v>46220</v>
      </c>
      <c r="D107" s="5" t="s">
        <v>4</v>
      </c>
      <c r="E107" s="39"/>
      <c r="F107" s="3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0"/>
      <c r="AE107" s="35"/>
      <c r="AF107" s="8"/>
    </row>
    <row r="108" spans="1:32" x14ac:dyDescent="0.25">
      <c r="A108" s="3">
        <v>36</v>
      </c>
      <c r="B108" s="12"/>
      <c r="D108" s="9" t="s">
        <v>5</v>
      </c>
      <c r="E108" s="40"/>
      <c r="F108" s="3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0"/>
      <c r="AE108" s="35"/>
      <c r="AF108" s="8"/>
    </row>
    <row r="109" spans="1:32" x14ac:dyDescent="0.25">
      <c r="A109" s="3">
        <v>36</v>
      </c>
      <c r="B109" s="12"/>
      <c r="D109" s="11" t="s">
        <v>6</v>
      </c>
      <c r="E109" s="41"/>
      <c r="F109" s="3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0"/>
      <c r="AE109" s="35"/>
      <c r="AF109" s="8"/>
    </row>
    <row r="110" spans="1:32" x14ac:dyDescent="0.25">
      <c r="A110" s="3">
        <v>37</v>
      </c>
      <c r="B110" s="12">
        <f>INDEX([1]data!$I$2:$I$91,MATCH(A110*1,[1]data!$G$2:$G$91,0))</f>
        <v>46221</v>
      </c>
      <c r="D110" s="5" t="s">
        <v>4</v>
      </c>
      <c r="E110" s="39"/>
      <c r="F110" s="3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0"/>
      <c r="AE110" s="35"/>
      <c r="AF110" s="8"/>
    </row>
    <row r="111" spans="1:32" x14ac:dyDescent="0.25">
      <c r="A111" s="3">
        <v>37</v>
      </c>
      <c r="B111" s="12"/>
      <c r="D111" s="9" t="s">
        <v>5</v>
      </c>
      <c r="E111" s="40"/>
      <c r="F111" s="3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0"/>
      <c r="AE111" s="35"/>
      <c r="AF111" s="8"/>
    </row>
    <row r="112" spans="1:32" x14ac:dyDescent="0.25">
      <c r="A112" s="3">
        <v>37</v>
      </c>
      <c r="B112" s="12"/>
      <c r="D112" s="11" t="s">
        <v>6</v>
      </c>
      <c r="E112" s="41"/>
      <c r="F112" s="3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0"/>
      <c r="AE112" s="35"/>
      <c r="AF112" s="8"/>
    </row>
    <row r="113" spans="1:32" x14ac:dyDescent="0.25">
      <c r="A113" s="3">
        <v>38</v>
      </c>
      <c r="B113" s="12">
        <f>INDEX([1]data!$I$2:$I$91,MATCH(A113*1,[1]data!$G$2:$G$91,0))</f>
        <v>46222</v>
      </c>
      <c r="D113" s="5" t="s">
        <v>4</v>
      </c>
      <c r="E113" s="39"/>
      <c r="F113" s="3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0"/>
      <c r="AE113" s="35"/>
      <c r="AF113" s="8"/>
    </row>
    <row r="114" spans="1:32" x14ac:dyDescent="0.25">
      <c r="A114" s="3">
        <v>38</v>
      </c>
      <c r="B114" s="12"/>
      <c r="D114" s="9" t="s">
        <v>5</v>
      </c>
      <c r="E114" s="40"/>
      <c r="F114" s="3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0"/>
      <c r="AE114" s="35"/>
      <c r="AF114" s="8"/>
    </row>
    <row r="115" spans="1:32" x14ac:dyDescent="0.25">
      <c r="A115" s="3">
        <v>38</v>
      </c>
      <c r="B115" s="12"/>
      <c r="D115" s="11" t="s">
        <v>6</v>
      </c>
      <c r="E115" s="41"/>
      <c r="F115" s="3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0"/>
      <c r="AE115" s="35"/>
      <c r="AF115" s="8"/>
    </row>
    <row r="116" spans="1:32" x14ac:dyDescent="0.25">
      <c r="A116" s="3">
        <v>39</v>
      </c>
      <c r="B116" s="12">
        <f>INDEX([1]data!$I$2:$I$91,MATCH(A116*1,[1]data!$G$2:$G$91,0))</f>
        <v>46223</v>
      </c>
      <c r="D116" s="5" t="s">
        <v>4</v>
      </c>
      <c r="E116" s="39"/>
      <c r="F116" s="3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0"/>
      <c r="AE116" s="35"/>
      <c r="AF116" s="8"/>
    </row>
    <row r="117" spans="1:32" x14ac:dyDescent="0.25">
      <c r="A117" s="3">
        <v>39</v>
      </c>
      <c r="B117" s="12"/>
      <c r="D117" s="9" t="s">
        <v>5</v>
      </c>
      <c r="E117" s="40"/>
      <c r="F117" s="3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0"/>
      <c r="AE117" s="35"/>
      <c r="AF117" s="8"/>
    </row>
    <row r="118" spans="1:32" x14ac:dyDescent="0.25">
      <c r="A118" s="3">
        <v>39</v>
      </c>
      <c r="B118" s="12"/>
      <c r="D118" s="11" t="s">
        <v>6</v>
      </c>
      <c r="E118" s="41"/>
      <c r="F118" s="3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0"/>
      <c r="AE118" s="35"/>
      <c r="AF118" s="8"/>
    </row>
    <row r="119" spans="1:32" x14ac:dyDescent="0.25">
      <c r="A119" s="3">
        <v>40</v>
      </c>
      <c r="B119" s="12">
        <f>INDEX([1]data!$I$2:$I$91,MATCH(A119*1,[1]data!$G$2:$G$91,0))</f>
        <v>46224</v>
      </c>
      <c r="D119" s="5" t="s">
        <v>4</v>
      </c>
      <c r="E119" s="39"/>
      <c r="F119" s="3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0"/>
      <c r="AE119" s="35"/>
      <c r="AF119" s="8"/>
    </row>
    <row r="120" spans="1:32" x14ac:dyDescent="0.25">
      <c r="A120" s="3">
        <v>40</v>
      </c>
      <c r="B120" s="12"/>
      <c r="D120" s="9" t="s">
        <v>5</v>
      </c>
      <c r="E120" s="40"/>
      <c r="F120" s="3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0"/>
      <c r="AE120" s="35"/>
      <c r="AF120" s="8"/>
    </row>
    <row r="121" spans="1:32" x14ac:dyDescent="0.25">
      <c r="A121" s="3">
        <v>40</v>
      </c>
      <c r="B121" s="12"/>
      <c r="D121" s="11" t="s">
        <v>6</v>
      </c>
      <c r="E121" s="41"/>
      <c r="F121" s="3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"/>
      <c r="AE121" s="35"/>
      <c r="AF121" s="8"/>
    </row>
    <row r="122" spans="1:32" x14ac:dyDescent="0.25">
      <c r="A122" s="3">
        <v>41</v>
      </c>
      <c r="B122" s="12">
        <f>INDEX([1]data!$I$2:$I$91,MATCH(A122*1,[1]data!$G$2:$G$91,0))</f>
        <v>46225</v>
      </c>
      <c r="D122" s="5" t="s">
        <v>4</v>
      </c>
      <c r="E122" s="39"/>
      <c r="F122" s="3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0"/>
      <c r="AE122" s="35"/>
      <c r="AF122" s="8"/>
    </row>
    <row r="123" spans="1:32" x14ac:dyDescent="0.25">
      <c r="A123" s="3">
        <v>41</v>
      </c>
      <c r="B123" s="12"/>
      <c r="D123" s="9" t="s">
        <v>5</v>
      </c>
      <c r="E123" s="40"/>
      <c r="F123" s="3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0"/>
      <c r="AE123" s="35"/>
      <c r="AF123" s="8"/>
    </row>
    <row r="124" spans="1:32" x14ac:dyDescent="0.25">
      <c r="A124" s="3">
        <v>41</v>
      </c>
      <c r="B124" s="12"/>
      <c r="D124" s="11" t="s">
        <v>6</v>
      </c>
      <c r="E124" s="41"/>
      <c r="F124" s="3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0"/>
      <c r="AE124" s="35"/>
      <c r="AF124" s="8"/>
    </row>
    <row r="125" spans="1:32" x14ac:dyDescent="0.25">
      <c r="A125" s="3">
        <v>42</v>
      </c>
      <c r="B125" s="12">
        <f>INDEX([1]data!$I$2:$I$91,MATCH(A125*1,[1]data!$G$2:$G$91,0))</f>
        <v>46226</v>
      </c>
      <c r="D125" s="5" t="s">
        <v>4</v>
      </c>
      <c r="E125" s="39"/>
      <c r="F125" s="3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0"/>
      <c r="AE125" s="35"/>
      <c r="AF125" s="8"/>
    </row>
    <row r="126" spans="1:32" x14ac:dyDescent="0.25">
      <c r="A126" s="3">
        <v>42</v>
      </c>
      <c r="B126" s="12"/>
      <c r="D126" s="9" t="s">
        <v>5</v>
      </c>
      <c r="E126" s="40"/>
      <c r="F126" s="3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0"/>
      <c r="AE126" s="35"/>
      <c r="AF126" s="8"/>
    </row>
    <row r="127" spans="1:32" x14ac:dyDescent="0.25">
      <c r="A127" s="3">
        <v>42</v>
      </c>
      <c r="B127" s="12"/>
      <c r="D127" s="11" t="s">
        <v>6</v>
      </c>
      <c r="E127" s="41"/>
      <c r="F127" s="3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0"/>
      <c r="AE127" s="35"/>
      <c r="AF127" s="8"/>
    </row>
    <row r="128" spans="1:32" x14ac:dyDescent="0.25">
      <c r="A128" s="3">
        <v>43</v>
      </c>
      <c r="B128" s="12">
        <f>INDEX([1]data!$I$2:$I$91,MATCH(A128*1,[1]data!$G$2:$G$91,0))</f>
        <v>46227</v>
      </c>
      <c r="D128" s="5" t="s">
        <v>4</v>
      </c>
      <c r="E128" s="39"/>
      <c r="F128" s="3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0"/>
      <c r="AE128" s="35"/>
      <c r="AF128" s="8"/>
    </row>
    <row r="129" spans="1:32" x14ac:dyDescent="0.25">
      <c r="A129" s="3">
        <v>43</v>
      </c>
      <c r="B129" s="12"/>
      <c r="D129" s="9" t="s">
        <v>5</v>
      </c>
      <c r="E129" s="40"/>
      <c r="F129" s="3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0"/>
      <c r="AE129" s="35"/>
      <c r="AF129" s="8"/>
    </row>
    <row r="130" spans="1:32" x14ac:dyDescent="0.25">
      <c r="A130" s="3">
        <v>43</v>
      </c>
      <c r="B130" s="12"/>
      <c r="D130" s="11" t="s">
        <v>6</v>
      </c>
      <c r="E130" s="41"/>
      <c r="F130" s="3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0"/>
      <c r="AE130" s="35"/>
      <c r="AF130" s="8"/>
    </row>
    <row r="131" spans="1:32" x14ac:dyDescent="0.25">
      <c r="A131" s="3">
        <v>44</v>
      </c>
      <c r="B131" s="12">
        <f>INDEX([1]data!$I$2:$I$91,MATCH(A131*1,[1]data!$G$2:$G$91,0))</f>
        <v>46228</v>
      </c>
      <c r="D131" s="5" t="s">
        <v>4</v>
      </c>
      <c r="E131" s="39"/>
      <c r="F131" s="3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0"/>
      <c r="AE131" s="35"/>
      <c r="AF131" s="8"/>
    </row>
    <row r="132" spans="1:32" x14ac:dyDescent="0.25">
      <c r="A132" s="3">
        <v>44</v>
      </c>
      <c r="B132" s="12"/>
      <c r="D132" s="9" t="s">
        <v>5</v>
      </c>
      <c r="E132" s="40"/>
      <c r="F132" s="3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0"/>
      <c r="AE132" s="35"/>
      <c r="AF132" s="8"/>
    </row>
    <row r="133" spans="1:32" x14ac:dyDescent="0.25">
      <c r="A133" s="3">
        <v>44</v>
      </c>
      <c r="B133" s="12"/>
      <c r="D133" s="11" t="s">
        <v>6</v>
      </c>
      <c r="E133" s="41"/>
      <c r="F133" s="3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0"/>
      <c r="AE133" s="35"/>
      <c r="AF133" s="8"/>
    </row>
    <row r="134" spans="1:32" x14ac:dyDescent="0.25">
      <c r="A134" s="3">
        <v>45</v>
      </c>
      <c r="B134" s="12">
        <f>INDEX([1]data!$I$2:$I$91,MATCH(A134*1,[1]data!$G$2:$G$91,0))</f>
        <v>46229</v>
      </c>
      <c r="D134" s="5" t="s">
        <v>4</v>
      </c>
      <c r="E134" s="39"/>
      <c r="F134" s="3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0"/>
      <c r="AE134" s="35"/>
      <c r="AF134" s="8"/>
    </row>
    <row r="135" spans="1:32" x14ac:dyDescent="0.25">
      <c r="A135" s="3">
        <v>45</v>
      </c>
      <c r="B135" s="12"/>
      <c r="D135" s="9" t="s">
        <v>5</v>
      </c>
      <c r="E135" s="40"/>
      <c r="F135" s="3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0"/>
      <c r="AE135" s="35"/>
      <c r="AF135" s="8"/>
    </row>
    <row r="136" spans="1:32" x14ac:dyDescent="0.25">
      <c r="A136" s="3">
        <v>45</v>
      </c>
      <c r="B136" s="12"/>
      <c r="D136" s="11" t="s">
        <v>6</v>
      </c>
      <c r="E136" s="41"/>
      <c r="F136" s="3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0"/>
      <c r="AE136" s="35"/>
      <c r="AF136" s="8"/>
    </row>
    <row r="137" spans="1:32" x14ac:dyDescent="0.25">
      <c r="A137" s="3">
        <v>46</v>
      </c>
      <c r="B137" s="12">
        <f>INDEX([1]data!$I$2:$I$91,MATCH(A137*1,[1]data!$G$2:$G$91,0))</f>
        <v>46230</v>
      </c>
      <c r="D137" s="5" t="s">
        <v>4</v>
      </c>
      <c r="E137" s="39"/>
      <c r="F137" s="3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0"/>
      <c r="AE137" s="35"/>
      <c r="AF137" s="8"/>
    </row>
    <row r="138" spans="1:32" x14ac:dyDescent="0.25">
      <c r="A138" s="3">
        <v>46</v>
      </c>
      <c r="B138" s="12"/>
      <c r="D138" s="9" t="s">
        <v>5</v>
      </c>
      <c r="E138" s="40"/>
      <c r="F138" s="3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0"/>
      <c r="AE138" s="35"/>
      <c r="AF138" s="8"/>
    </row>
    <row r="139" spans="1:32" x14ac:dyDescent="0.25">
      <c r="A139" s="3">
        <v>46</v>
      </c>
      <c r="B139" s="12"/>
      <c r="D139" s="11" t="s">
        <v>6</v>
      </c>
      <c r="E139" s="41"/>
      <c r="F139" s="3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0"/>
      <c r="AE139" s="35"/>
      <c r="AF139" s="8"/>
    </row>
    <row r="140" spans="1:32" x14ac:dyDescent="0.25">
      <c r="A140" s="3">
        <v>47</v>
      </c>
      <c r="B140" s="12">
        <f>INDEX([1]data!$I$2:$I$91,MATCH(A140*1,[1]data!$G$2:$G$91,0))</f>
        <v>46231</v>
      </c>
      <c r="D140" s="5" t="s">
        <v>4</v>
      </c>
      <c r="E140" s="39"/>
      <c r="F140" s="3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0"/>
      <c r="AE140" s="35"/>
      <c r="AF140" s="8"/>
    </row>
    <row r="141" spans="1:32" x14ac:dyDescent="0.25">
      <c r="A141" s="3">
        <v>47</v>
      </c>
      <c r="B141" s="12"/>
      <c r="D141" s="9" t="s">
        <v>5</v>
      </c>
      <c r="E141" s="40"/>
      <c r="F141" s="3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0"/>
      <c r="AE141" s="35"/>
      <c r="AF141" s="8"/>
    </row>
    <row r="142" spans="1:32" x14ac:dyDescent="0.25">
      <c r="A142" s="3">
        <v>47</v>
      </c>
      <c r="B142" s="12"/>
      <c r="D142" s="11" t="s">
        <v>6</v>
      </c>
      <c r="E142" s="41"/>
      <c r="F142" s="3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0"/>
      <c r="AE142" s="35"/>
      <c r="AF142" s="8"/>
    </row>
    <row r="143" spans="1:32" x14ac:dyDescent="0.25">
      <c r="A143" s="3">
        <v>48</v>
      </c>
      <c r="B143" s="12">
        <f>INDEX([1]data!$I$2:$I$91,MATCH(A143*1,[1]data!$G$2:$G$91,0))</f>
        <v>46232</v>
      </c>
      <c r="D143" s="5" t="s">
        <v>4</v>
      </c>
      <c r="E143" s="39"/>
      <c r="F143" s="3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0"/>
      <c r="AE143" s="35"/>
      <c r="AF143" s="8"/>
    </row>
    <row r="144" spans="1:32" x14ac:dyDescent="0.25">
      <c r="A144" s="3">
        <v>48</v>
      </c>
      <c r="B144" s="12"/>
      <c r="D144" s="9" t="s">
        <v>5</v>
      </c>
      <c r="E144" s="40"/>
      <c r="F144" s="3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0"/>
      <c r="AE144" s="35"/>
      <c r="AF144" s="8"/>
    </row>
    <row r="145" spans="1:32" x14ac:dyDescent="0.25">
      <c r="A145" s="3">
        <v>48</v>
      </c>
      <c r="B145" s="12"/>
      <c r="D145" s="11" t="s">
        <v>6</v>
      </c>
      <c r="E145" s="41"/>
      <c r="F145" s="3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0"/>
      <c r="AE145" s="35"/>
      <c r="AF145" s="8"/>
    </row>
    <row r="146" spans="1:32" x14ac:dyDescent="0.25">
      <c r="A146" s="3">
        <v>49</v>
      </c>
      <c r="B146" s="12">
        <f>INDEX([1]data!$I$2:$I$91,MATCH(A146*1,[1]data!$G$2:$G$91,0))</f>
        <v>46233</v>
      </c>
      <c r="D146" s="5" t="s">
        <v>4</v>
      </c>
      <c r="E146" s="39"/>
      <c r="F146" s="3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0"/>
      <c r="AE146" s="35"/>
      <c r="AF146" s="8"/>
    </row>
    <row r="147" spans="1:32" x14ac:dyDescent="0.25">
      <c r="A147" s="3">
        <v>49</v>
      </c>
      <c r="B147" s="12"/>
      <c r="D147" s="9" t="s">
        <v>5</v>
      </c>
      <c r="E147" s="40"/>
      <c r="F147" s="3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0"/>
      <c r="AE147" s="35"/>
      <c r="AF147" s="8"/>
    </row>
    <row r="148" spans="1:32" x14ac:dyDescent="0.25">
      <c r="A148" s="3">
        <v>49</v>
      </c>
      <c r="B148" s="12"/>
      <c r="D148" s="11" t="s">
        <v>6</v>
      </c>
      <c r="E148" s="41"/>
      <c r="F148" s="3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0"/>
      <c r="AE148" s="35"/>
      <c r="AF148" s="8"/>
    </row>
    <row r="149" spans="1:32" x14ac:dyDescent="0.25">
      <c r="A149" s="3">
        <v>50</v>
      </c>
      <c r="B149" s="12">
        <f>INDEX([1]data!$I$2:$I$91,MATCH(A149*1,[1]data!$G$2:$G$91,0))</f>
        <v>46234</v>
      </c>
      <c r="D149" s="5" t="s">
        <v>4</v>
      </c>
      <c r="E149" s="39"/>
      <c r="F149" s="3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0"/>
      <c r="AE149" s="35"/>
      <c r="AF149" s="8"/>
    </row>
    <row r="150" spans="1:32" x14ac:dyDescent="0.25">
      <c r="A150" s="3">
        <v>50</v>
      </c>
      <c r="B150" s="12"/>
      <c r="D150" s="9" t="s">
        <v>5</v>
      </c>
      <c r="E150" s="40"/>
      <c r="F150" s="3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0"/>
      <c r="AE150" s="35"/>
      <c r="AF150" s="8"/>
    </row>
    <row r="151" spans="1:32" x14ac:dyDescent="0.25">
      <c r="A151" s="3">
        <v>50</v>
      </c>
      <c r="B151" s="12"/>
      <c r="D151" s="11" t="s">
        <v>6</v>
      </c>
      <c r="E151" s="41"/>
      <c r="F151" s="3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0"/>
      <c r="AE151" s="35"/>
      <c r="AF151" s="8"/>
    </row>
    <row r="152" spans="1:32" x14ac:dyDescent="0.25">
      <c r="A152" s="3">
        <v>51</v>
      </c>
      <c r="B152" s="12">
        <f>INDEX([1]data!$I$2:$I$91,MATCH(A152*1,[1]data!$G$2:$G$91,0))</f>
        <v>46235</v>
      </c>
      <c r="D152" s="5" t="s">
        <v>4</v>
      </c>
      <c r="E152" s="39"/>
      <c r="F152" s="3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0"/>
      <c r="AE152" s="35"/>
      <c r="AF152" s="8"/>
    </row>
    <row r="153" spans="1:32" x14ac:dyDescent="0.25">
      <c r="A153" s="3">
        <v>51</v>
      </c>
      <c r="B153" s="12"/>
      <c r="D153" s="9" t="s">
        <v>5</v>
      </c>
      <c r="E153" s="40"/>
      <c r="F153" s="3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0"/>
      <c r="AE153" s="35"/>
      <c r="AF153" s="8"/>
    </row>
    <row r="154" spans="1:32" x14ac:dyDescent="0.25">
      <c r="A154" s="3">
        <v>51</v>
      </c>
      <c r="B154" s="12"/>
      <c r="D154" s="11" t="s">
        <v>6</v>
      </c>
      <c r="E154" s="41"/>
      <c r="F154" s="3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0"/>
      <c r="AE154" s="35"/>
      <c r="AF154" s="8"/>
    </row>
    <row r="155" spans="1:32" x14ac:dyDescent="0.25">
      <c r="A155" s="3">
        <v>52</v>
      </c>
      <c r="B155" s="12">
        <f>INDEX([1]data!$I$2:$I$91,MATCH(A155*1,[1]data!$G$2:$G$91,0))</f>
        <v>46236</v>
      </c>
      <c r="D155" s="5" t="s">
        <v>4</v>
      </c>
      <c r="E155" s="39"/>
      <c r="F155" s="3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0"/>
      <c r="AE155" s="35"/>
      <c r="AF155" s="8"/>
    </row>
    <row r="156" spans="1:32" x14ac:dyDescent="0.25">
      <c r="A156" s="3">
        <v>52</v>
      </c>
      <c r="B156" s="12"/>
      <c r="D156" s="9" t="s">
        <v>5</v>
      </c>
      <c r="E156" s="40"/>
      <c r="F156" s="3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0"/>
      <c r="AE156" s="35"/>
      <c r="AF156" s="8"/>
    </row>
    <row r="157" spans="1:32" x14ac:dyDescent="0.25">
      <c r="A157" s="3">
        <v>52</v>
      </c>
      <c r="B157" s="12"/>
      <c r="D157" s="11" t="s">
        <v>6</v>
      </c>
      <c r="E157" s="41"/>
      <c r="F157" s="3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0"/>
      <c r="AE157" s="35"/>
      <c r="AF157" s="8"/>
    </row>
    <row r="158" spans="1:32" x14ac:dyDescent="0.25">
      <c r="A158" s="3">
        <v>53</v>
      </c>
      <c r="B158" s="12">
        <f>INDEX([1]data!$I$2:$I$91,MATCH(A158*1,[1]data!$G$2:$G$91,0))</f>
        <v>46237</v>
      </c>
      <c r="D158" s="5" t="s">
        <v>4</v>
      </c>
      <c r="E158" s="39"/>
      <c r="F158" s="3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0"/>
      <c r="AE158" s="35"/>
      <c r="AF158" s="8"/>
    </row>
    <row r="159" spans="1:32" x14ac:dyDescent="0.25">
      <c r="A159" s="3">
        <v>53</v>
      </c>
      <c r="B159" s="12"/>
      <c r="D159" s="9" t="s">
        <v>5</v>
      </c>
      <c r="E159" s="40"/>
      <c r="F159" s="3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0"/>
      <c r="AE159" s="35"/>
      <c r="AF159" s="8"/>
    </row>
    <row r="160" spans="1:32" x14ac:dyDescent="0.25">
      <c r="A160" s="3">
        <v>53</v>
      </c>
      <c r="B160" s="12"/>
      <c r="D160" s="11" t="s">
        <v>6</v>
      </c>
      <c r="E160" s="41"/>
      <c r="F160" s="3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0"/>
      <c r="AE160" s="35"/>
      <c r="AF160" s="8"/>
    </row>
    <row r="161" spans="1:32" x14ac:dyDescent="0.25">
      <c r="A161" s="3">
        <v>54</v>
      </c>
      <c r="B161" s="12">
        <f>INDEX([1]data!$I$2:$I$91,MATCH(A161*1,[1]data!$G$2:$G$91,0))</f>
        <v>46238</v>
      </c>
      <c r="D161" s="5" t="s">
        <v>4</v>
      </c>
      <c r="E161" s="39"/>
      <c r="F161" s="3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0"/>
      <c r="AE161" s="35"/>
      <c r="AF161" s="8"/>
    </row>
    <row r="162" spans="1:32" x14ac:dyDescent="0.25">
      <c r="A162" s="3">
        <v>54</v>
      </c>
      <c r="B162" s="12"/>
      <c r="D162" s="9" t="s">
        <v>5</v>
      </c>
      <c r="E162" s="40"/>
      <c r="F162" s="3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0"/>
      <c r="AE162" s="35"/>
      <c r="AF162" s="8"/>
    </row>
    <row r="163" spans="1:32" x14ac:dyDescent="0.25">
      <c r="A163" s="3">
        <v>54</v>
      </c>
      <c r="B163" s="12"/>
      <c r="D163" s="11" t="s">
        <v>6</v>
      </c>
      <c r="E163" s="41"/>
      <c r="F163" s="3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0"/>
      <c r="AE163" s="35"/>
      <c r="AF163" s="8"/>
    </row>
    <row r="164" spans="1:32" x14ac:dyDescent="0.25">
      <c r="A164" s="3">
        <v>55</v>
      </c>
      <c r="B164" s="12">
        <f>INDEX([1]data!$I$2:$I$91,MATCH(A164*1,[1]data!$G$2:$G$91,0))</f>
        <v>46239</v>
      </c>
      <c r="D164" s="5" t="s">
        <v>4</v>
      </c>
      <c r="E164" s="39"/>
      <c r="F164" s="3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0"/>
      <c r="AE164" s="35"/>
      <c r="AF164" s="8"/>
    </row>
    <row r="165" spans="1:32" x14ac:dyDescent="0.25">
      <c r="A165" s="3">
        <v>55</v>
      </c>
      <c r="B165" s="12"/>
      <c r="D165" s="9" t="s">
        <v>5</v>
      </c>
      <c r="E165" s="40"/>
      <c r="F165" s="3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0"/>
      <c r="AE165" s="35"/>
      <c r="AF165" s="8"/>
    </row>
    <row r="166" spans="1:32" x14ac:dyDescent="0.25">
      <c r="A166" s="3">
        <v>55</v>
      </c>
      <c r="B166" s="12"/>
      <c r="D166" s="11" t="s">
        <v>6</v>
      </c>
      <c r="E166" s="41"/>
      <c r="F166" s="3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0"/>
      <c r="AE166" s="35"/>
      <c r="AF166" s="8"/>
    </row>
    <row r="167" spans="1:32" x14ac:dyDescent="0.25">
      <c r="A167" s="3">
        <v>56</v>
      </c>
      <c r="B167" s="12">
        <f>INDEX([1]data!$I$2:$I$91,MATCH(A167*1,[1]data!$G$2:$G$91,0))</f>
        <v>46240</v>
      </c>
      <c r="D167" s="5" t="s">
        <v>4</v>
      </c>
      <c r="E167" s="39"/>
      <c r="F167" s="3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0"/>
      <c r="AE167" s="35"/>
      <c r="AF167" s="8"/>
    </row>
    <row r="168" spans="1:32" x14ac:dyDescent="0.25">
      <c r="A168" s="3">
        <v>56</v>
      </c>
      <c r="B168" s="12"/>
      <c r="D168" s="9" t="s">
        <v>5</v>
      </c>
      <c r="E168" s="40"/>
      <c r="F168" s="3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0"/>
      <c r="AE168" s="35"/>
      <c r="AF168" s="8"/>
    </row>
    <row r="169" spans="1:32" x14ac:dyDescent="0.25">
      <c r="A169" s="3">
        <v>56</v>
      </c>
      <c r="B169" s="12"/>
      <c r="D169" s="11" t="s">
        <v>6</v>
      </c>
      <c r="E169" s="41"/>
      <c r="F169" s="3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0"/>
      <c r="AE169" s="35"/>
      <c r="AF169" s="8"/>
    </row>
    <row r="170" spans="1:32" x14ac:dyDescent="0.25">
      <c r="A170" s="3">
        <v>57</v>
      </c>
      <c r="B170" s="12">
        <f>INDEX([1]data!$I$2:$I$91,MATCH(A170*1,[1]data!$G$2:$G$91,0))</f>
        <v>46241</v>
      </c>
      <c r="D170" s="5" t="s">
        <v>4</v>
      </c>
      <c r="E170" s="39"/>
      <c r="F170" s="3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0"/>
      <c r="AE170" s="35"/>
      <c r="AF170" s="8"/>
    </row>
    <row r="171" spans="1:32" x14ac:dyDescent="0.25">
      <c r="A171" s="3">
        <v>57</v>
      </c>
      <c r="B171" s="12"/>
      <c r="D171" s="9" t="s">
        <v>5</v>
      </c>
      <c r="E171" s="40"/>
      <c r="F171" s="3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0"/>
      <c r="AE171" s="35"/>
      <c r="AF171" s="8"/>
    </row>
    <row r="172" spans="1:32" x14ac:dyDescent="0.25">
      <c r="A172" s="3">
        <v>57</v>
      </c>
      <c r="B172" s="12"/>
      <c r="D172" s="11" t="s">
        <v>6</v>
      </c>
      <c r="E172" s="41"/>
      <c r="F172" s="3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0"/>
      <c r="AE172" s="35"/>
      <c r="AF172" s="8"/>
    </row>
    <row r="173" spans="1:32" x14ac:dyDescent="0.25">
      <c r="A173" s="3">
        <v>58</v>
      </c>
      <c r="B173" s="12">
        <f>INDEX([1]data!$I$2:$I$91,MATCH(A173*1,[1]data!$G$2:$G$91,0))</f>
        <v>46242</v>
      </c>
      <c r="D173" s="5" t="s">
        <v>4</v>
      </c>
      <c r="E173" s="39"/>
      <c r="F173" s="3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0"/>
      <c r="AE173" s="35"/>
      <c r="AF173" s="8"/>
    </row>
    <row r="174" spans="1:32" x14ac:dyDescent="0.25">
      <c r="A174" s="3">
        <v>58</v>
      </c>
      <c r="B174" s="12"/>
      <c r="D174" s="9" t="s">
        <v>5</v>
      </c>
      <c r="E174" s="40"/>
      <c r="F174" s="3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0"/>
      <c r="AE174" s="35"/>
      <c r="AF174" s="8"/>
    </row>
    <row r="175" spans="1:32" x14ac:dyDescent="0.25">
      <c r="A175" s="3">
        <v>58</v>
      </c>
      <c r="B175" s="12"/>
      <c r="D175" s="11" t="s">
        <v>6</v>
      </c>
      <c r="E175" s="41"/>
      <c r="F175" s="3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0"/>
      <c r="AE175" s="35"/>
      <c r="AF175" s="8"/>
    </row>
    <row r="176" spans="1:32" x14ac:dyDescent="0.25">
      <c r="A176" s="3">
        <v>59</v>
      </c>
      <c r="B176" s="12">
        <f>INDEX([1]data!$I$2:$I$91,MATCH(A176*1,[1]data!$G$2:$G$91,0))</f>
        <v>46243</v>
      </c>
      <c r="D176" s="5" t="s">
        <v>4</v>
      </c>
      <c r="E176" s="39"/>
      <c r="F176" s="3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0"/>
      <c r="AE176" s="35"/>
      <c r="AF176" s="8"/>
    </row>
    <row r="177" spans="1:32" x14ac:dyDescent="0.25">
      <c r="A177" s="3">
        <v>59</v>
      </c>
      <c r="B177" s="12"/>
      <c r="D177" s="9" t="s">
        <v>5</v>
      </c>
      <c r="E177" s="40"/>
      <c r="F177" s="3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0"/>
      <c r="AE177" s="35"/>
      <c r="AF177" s="8"/>
    </row>
    <row r="178" spans="1:32" x14ac:dyDescent="0.25">
      <c r="A178" s="3">
        <v>59</v>
      </c>
      <c r="B178" s="12"/>
      <c r="D178" s="11" t="s">
        <v>6</v>
      </c>
      <c r="E178" s="41"/>
      <c r="F178" s="3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0"/>
      <c r="AE178" s="35"/>
      <c r="AF178" s="8"/>
    </row>
    <row r="179" spans="1:32" x14ac:dyDescent="0.25">
      <c r="A179" s="3">
        <v>60</v>
      </c>
      <c r="B179" s="12">
        <f>INDEX([1]data!$I$2:$I$91,MATCH(A179*1,[1]data!$G$2:$G$91,0))</f>
        <v>46244</v>
      </c>
      <c r="D179" s="5" t="s">
        <v>4</v>
      </c>
      <c r="E179" s="39"/>
      <c r="F179" s="3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0"/>
      <c r="AE179" s="35"/>
      <c r="AF179" s="8"/>
    </row>
    <row r="180" spans="1:32" x14ac:dyDescent="0.25">
      <c r="A180" s="3">
        <v>60</v>
      </c>
      <c r="B180" s="12"/>
      <c r="D180" s="9" t="s">
        <v>5</v>
      </c>
      <c r="E180" s="40"/>
      <c r="F180" s="3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0"/>
      <c r="AE180" s="35"/>
      <c r="AF180" s="8"/>
    </row>
    <row r="181" spans="1:32" x14ac:dyDescent="0.25">
      <c r="A181" s="3">
        <v>60</v>
      </c>
      <c r="B181" s="12"/>
      <c r="D181" s="11" t="s">
        <v>6</v>
      </c>
      <c r="E181" s="41"/>
      <c r="F181" s="3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0"/>
      <c r="AE181" s="35"/>
      <c r="AF181" s="8"/>
    </row>
    <row r="182" spans="1:32" x14ac:dyDescent="0.25">
      <c r="A182" s="3">
        <v>61</v>
      </c>
      <c r="B182" s="12">
        <f>INDEX([1]data!$I$2:$I$91,MATCH(A182*1,[1]data!$G$2:$G$91,0))</f>
        <v>46245</v>
      </c>
      <c r="D182" s="5" t="s">
        <v>4</v>
      </c>
      <c r="E182" s="39"/>
      <c r="F182" s="3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0"/>
      <c r="AE182" s="35"/>
      <c r="AF182" s="8"/>
    </row>
    <row r="183" spans="1:32" x14ac:dyDescent="0.25">
      <c r="A183" s="3">
        <v>61</v>
      </c>
      <c r="B183" s="12"/>
      <c r="D183" s="9" t="s">
        <v>5</v>
      </c>
      <c r="E183" s="40"/>
      <c r="F183" s="3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0"/>
      <c r="AE183" s="35"/>
      <c r="AF183" s="8"/>
    </row>
    <row r="184" spans="1:32" x14ac:dyDescent="0.25">
      <c r="A184" s="3">
        <v>61</v>
      </c>
      <c r="B184" s="12"/>
      <c r="D184" s="11" t="s">
        <v>6</v>
      </c>
      <c r="E184" s="41"/>
      <c r="F184" s="3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0"/>
      <c r="AE184" s="35"/>
      <c r="AF184" s="8"/>
    </row>
    <row r="185" spans="1:32" x14ac:dyDescent="0.25">
      <c r="A185" s="3">
        <v>62</v>
      </c>
      <c r="B185" s="12">
        <f>INDEX([1]data!$I$2:$I$91,MATCH(A185*1,[1]data!$G$2:$G$91,0))</f>
        <v>46246</v>
      </c>
      <c r="D185" s="5" t="s">
        <v>4</v>
      </c>
      <c r="E185" s="39"/>
      <c r="F185" s="3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0"/>
      <c r="AE185" s="35"/>
      <c r="AF185" s="8"/>
    </row>
    <row r="186" spans="1:32" x14ac:dyDescent="0.25">
      <c r="A186" s="3">
        <v>62</v>
      </c>
      <c r="B186" s="12"/>
      <c r="D186" s="9" t="s">
        <v>5</v>
      </c>
      <c r="E186" s="40"/>
      <c r="F186" s="3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0"/>
      <c r="AE186" s="35"/>
      <c r="AF186" s="8"/>
    </row>
    <row r="187" spans="1:32" x14ac:dyDescent="0.25">
      <c r="A187" s="3">
        <v>62</v>
      </c>
      <c r="B187" s="12"/>
      <c r="D187" s="11" t="s">
        <v>6</v>
      </c>
      <c r="E187" s="41"/>
      <c r="F187" s="3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0"/>
      <c r="AE187" s="35"/>
      <c r="AF187" s="8"/>
    </row>
    <row r="188" spans="1:32" x14ac:dyDescent="0.25">
      <c r="A188" s="3">
        <v>63</v>
      </c>
      <c r="B188" s="12">
        <f>INDEX([1]data!$I$2:$I$91,MATCH(A188*1,[1]data!$G$2:$G$91,0))</f>
        <v>46247</v>
      </c>
      <c r="D188" s="5" t="s">
        <v>4</v>
      </c>
      <c r="E188" s="39"/>
      <c r="F188" s="3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0"/>
      <c r="AE188" s="35"/>
      <c r="AF188" s="8"/>
    </row>
    <row r="189" spans="1:32" x14ac:dyDescent="0.25">
      <c r="A189" s="3">
        <v>63</v>
      </c>
      <c r="B189" s="12"/>
      <c r="D189" s="9" t="s">
        <v>5</v>
      </c>
      <c r="E189" s="40"/>
      <c r="F189" s="3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0"/>
      <c r="AE189" s="35"/>
      <c r="AF189" s="8"/>
    </row>
    <row r="190" spans="1:32" x14ac:dyDescent="0.25">
      <c r="A190" s="3">
        <v>63</v>
      </c>
      <c r="B190" s="12"/>
      <c r="D190" s="11" t="s">
        <v>6</v>
      </c>
      <c r="E190" s="41"/>
      <c r="F190" s="3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0"/>
      <c r="AE190" s="35"/>
      <c r="AF190" s="8"/>
    </row>
    <row r="191" spans="1:32" x14ac:dyDescent="0.25">
      <c r="A191" s="3">
        <v>64</v>
      </c>
      <c r="B191" s="12">
        <f>INDEX([1]data!$I$2:$I$91,MATCH(A191*1,[1]data!$G$2:$G$91,0))</f>
        <v>46248</v>
      </c>
      <c r="D191" s="5" t="s">
        <v>4</v>
      </c>
      <c r="E191" s="39"/>
      <c r="F191" s="3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0"/>
      <c r="AE191" s="35"/>
      <c r="AF191" s="8"/>
    </row>
    <row r="192" spans="1:32" x14ac:dyDescent="0.25">
      <c r="A192" s="3">
        <v>64</v>
      </c>
      <c r="B192" s="12"/>
      <c r="D192" s="9" t="s">
        <v>5</v>
      </c>
      <c r="E192" s="40"/>
      <c r="F192" s="3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0"/>
      <c r="AE192" s="35"/>
      <c r="AF192" s="8"/>
    </row>
    <row r="193" spans="1:32" x14ac:dyDescent="0.25">
      <c r="A193" s="3">
        <v>64</v>
      </c>
      <c r="B193" s="12"/>
      <c r="D193" s="11" t="s">
        <v>6</v>
      </c>
      <c r="E193" s="41"/>
      <c r="F193" s="3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0"/>
      <c r="AE193" s="35"/>
      <c r="AF193" s="8"/>
    </row>
    <row r="194" spans="1:32" x14ac:dyDescent="0.25">
      <c r="A194" s="3">
        <v>65</v>
      </c>
      <c r="B194" s="12">
        <f>INDEX([1]data!$I$2:$I$91,MATCH(A194*1,[1]data!$G$2:$G$91,0))</f>
        <v>46249</v>
      </c>
      <c r="D194" s="5" t="s">
        <v>4</v>
      </c>
      <c r="E194" s="39"/>
      <c r="F194" s="3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0"/>
      <c r="AE194" s="35"/>
      <c r="AF194" s="8"/>
    </row>
    <row r="195" spans="1:32" x14ac:dyDescent="0.25">
      <c r="A195" s="3">
        <v>65</v>
      </c>
      <c r="B195" s="12"/>
      <c r="D195" s="9" t="s">
        <v>5</v>
      </c>
      <c r="E195" s="40"/>
      <c r="F195" s="3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0"/>
      <c r="AE195" s="35"/>
      <c r="AF195" s="8"/>
    </row>
    <row r="196" spans="1:32" x14ac:dyDescent="0.25">
      <c r="A196" s="3">
        <v>65</v>
      </c>
      <c r="B196" s="12"/>
      <c r="D196" s="11" t="s">
        <v>6</v>
      </c>
      <c r="E196" s="41"/>
      <c r="F196" s="3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0"/>
      <c r="AE196" s="35"/>
      <c r="AF196" s="8"/>
    </row>
    <row r="197" spans="1:32" x14ac:dyDescent="0.25">
      <c r="A197" s="3">
        <v>66</v>
      </c>
      <c r="B197" s="12">
        <f>INDEX([1]data!$I$2:$I$91,MATCH(A197*1,[1]data!$G$2:$G$91,0))</f>
        <v>46250</v>
      </c>
      <c r="D197" s="5" t="s">
        <v>4</v>
      </c>
      <c r="E197" s="39"/>
      <c r="F197" s="3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0"/>
      <c r="AE197" s="35"/>
      <c r="AF197" s="8"/>
    </row>
    <row r="198" spans="1:32" x14ac:dyDescent="0.25">
      <c r="A198" s="3">
        <v>66</v>
      </c>
      <c r="B198" s="12"/>
      <c r="D198" s="9" t="s">
        <v>5</v>
      </c>
      <c r="E198" s="40"/>
      <c r="F198" s="3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0"/>
      <c r="AE198" s="35"/>
      <c r="AF198" s="8"/>
    </row>
    <row r="199" spans="1:32" x14ac:dyDescent="0.25">
      <c r="A199" s="3">
        <v>66</v>
      </c>
      <c r="B199" s="12"/>
      <c r="D199" s="11" t="s">
        <v>6</v>
      </c>
      <c r="E199" s="41"/>
      <c r="F199" s="3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0"/>
      <c r="AE199" s="35"/>
      <c r="AF199" s="8"/>
    </row>
    <row r="200" spans="1:32" x14ac:dyDescent="0.25">
      <c r="A200" s="3">
        <v>67</v>
      </c>
      <c r="B200" s="12">
        <f>INDEX([1]data!$I$2:$I$91,MATCH(A200*1,[1]data!$G$2:$G$91,0))</f>
        <v>46251</v>
      </c>
      <c r="D200" s="5" t="s">
        <v>4</v>
      </c>
      <c r="E200" s="39"/>
      <c r="F200" s="3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0"/>
      <c r="AE200" s="35"/>
      <c r="AF200" s="8"/>
    </row>
    <row r="201" spans="1:32" x14ac:dyDescent="0.25">
      <c r="A201" s="3">
        <v>67</v>
      </c>
      <c r="B201" s="12"/>
      <c r="D201" s="9" t="s">
        <v>5</v>
      </c>
      <c r="E201" s="40"/>
      <c r="F201" s="3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0"/>
      <c r="AE201" s="35"/>
      <c r="AF201" s="8"/>
    </row>
    <row r="202" spans="1:32" x14ac:dyDescent="0.25">
      <c r="A202" s="3">
        <v>67</v>
      </c>
      <c r="B202" s="12"/>
      <c r="D202" s="11" t="s">
        <v>6</v>
      </c>
      <c r="E202" s="41"/>
      <c r="F202" s="3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0"/>
      <c r="AE202" s="35"/>
      <c r="AF202" s="8"/>
    </row>
    <row r="203" spans="1:32" x14ac:dyDescent="0.25">
      <c r="A203" s="3">
        <v>68</v>
      </c>
      <c r="B203" s="12">
        <f>INDEX([1]data!$I$2:$I$91,MATCH(A203*1,[1]data!$G$2:$G$91,0))</f>
        <v>46252</v>
      </c>
      <c r="D203" s="5" t="s">
        <v>4</v>
      </c>
      <c r="E203" s="39"/>
      <c r="F203" s="3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0"/>
      <c r="AE203" s="35"/>
      <c r="AF203" s="8"/>
    </row>
    <row r="204" spans="1:32" x14ac:dyDescent="0.25">
      <c r="A204" s="3">
        <v>68</v>
      </c>
      <c r="B204" s="12"/>
      <c r="D204" s="9" t="s">
        <v>5</v>
      </c>
      <c r="E204" s="40"/>
      <c r="F204" s="3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0"/>
      <c r="AE204" s="35"/>
      <c r="AF204" s="8"/>
    </row>
    <row r="205" spans="1:32" x14ac:dyDescent="0.25">
      <c r="A205" s="3">
        <v>68</v>
      </c>
      <c r="B205" s="12"/>
      <c r="D205" s="11" t="s">
        <v>6</v>
      </c>
      <c r="E205" s="41"/>
      <c r="F205" s="3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0"/>
      <c r="AE205" s="35"/>
      <c r="AF205" s="8"/>
    </row>
    <row r="206" spans="1:32" x14ac:dyDescent="0.25">
      <c r="A206" s="3">
        <v>69</v>
      </c>
      <c r="B206" s="12">
        <f>INDEX([1]data!$I$2:$I$91,MATCH(A206*1,[1]data!$G$2:$G$91,0))</f>
        <v>46253</v>
      </c>
      <c r="D206" s="5" t="s">
        <v>4</v>
      </c>
      <c r="E206" s="39"/>
      <c r="F206" s="3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0"/>
      <c r="AE206" s="35"/>
      <c r="AF206" s="8"/>
    </row>
    <row r="207" spans="1:32" x14ac:dyDescent="0.25">
      <c r="A207" s="3">
        <v>69</v>
      </c>
      <c r="B207" s="12"/>
      <c r="D207" s="9" t="s">
        <v>5</v>
      </c>
      <c r="E207" s="40"/>
      <c r="F207" s="3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0"/>
      <c r="AE207" s="35"/>
      <c r="AF207" s="8"/>
    </row>
    <row r="208" spans="1:32" x14ac:dyDescent="0.25">
      <c r="A208" s="3">
        <v>69</v>
      </c>
      <c r="B208" s="12"/>
      <c r="D208" s="11" t="s">
        <v>6</v>
      </c>
      <c r="E208" s="41"/>
      <c r="F208" s="3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0"/>
      <c r="AE208" s="35"/>
      <c r="AF208" s="8"/>
    </row>
    <row r="209" spans="1:32" x14ac:dyDescent="0.25">
      <c r="A209" s="3">
        <v>70</v>
      </c>
      <c r="B209" s="12">
        <f>INDEX([1]data!$I$2:$I$91,MATCH(A209*1,[1]data!$G$2:$G$91,0))</f>
        <v>46254</v>
      </c>
      <c r="D209" s="5" t="s">
        <v>4</v>
      </c>
      <c r="E209" s="39"/>
      <c r="F209" s="3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0"/>
      <c r="AE209" s="35"/>
      <c r="AF209" s="8"/>
    </row>
    <row r="210" spans="1:32" x14ac:dyDescent="0.25">
      <c r="A210" s="3">
        <v>70</v>
      </c>
      <c r="B210" s="12"/>
      <c r="D210" s="9" t="s">
        <v>5</v>
      </c>
      <c r="E210" s="40"/>
      <c r="F210" s="3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0"/>
      <c r="AE210" s="35"/>
      <c r="AF210" s="8"/>
    </row>
    <row r="211" spans="1:32" x14ac:dyDescent="0.25">
      <c r="A211" s="3">
        <v>70</v>
      </c>
      <c r="B211" s="12"/>
      <c r="D211" s="11" t="s">
        <v>6</v>
      </c>
      <c r="E211" s="41"/>
      <c r="F211" s="3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0"/>
      <c r="AE211" s="35"/>
      <c r="AF211" s="8"/>
    </row>
    <row r="212" spans="1:32" x14ac:dyDescent="0.25">
      <c r="A212" s="3">
        <v>71</v>
      </c>
      <c r="B212" s="12">
        <f>INDEX([1]data!$I$2:$I$91,MATCH(A212*1,[1]data!$G$2:$G$91,0))</f>
        <v>46255</v>
      </c>
      <c r="D212" s="5" t="s">
        <v>4</v>
      </c>
      <c r="E212" s="39"/>
      <c r="F212" s="3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0"/>
      <c r="AE212" s="35"/>
      <c r="AF212" s="8"/>
    </row>
    <row r="213" spans="1:32" x14ac:dyDescent="0.25">
      <c r="A213" s="3">
        <v>71</v>
      </c>
      <c r="B213" s="12"/>
      <c r="D213" s="9" t="s">
        <v>5</v>
      </c>
      <c r="E213" s="40"/>
      <c r="F213" s="3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0"/>
      <c r="AE213" s="35"/>
      <c r="AF213" s="8"/>
    </row>
    <row r="214" spans="1:32" x14ac:dyDescent="0.25">
      <c r="A214" s="3">
        <v>71</v>
      </c>
      <c r="B214" s="12"/>
      <c r="D214" s="11" t="s">
        <v>6</v>
      </c>
      <c r="E214" s="41"/>
      <c r="F214" s="3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0"/>
      <c r="AE214" s="35"/>
      <c r="AF214" s="8"/>
    </row>
    <row r="215" spans="1:32" x14ac:dyDescent="0.25">
      <c r="A215" s="3">
        <v>72</v>
      </c>
      <c r="B215" s="12">
        <f>INDEX([1]data!$I$2:$I$91,MATCH(A215*1,[1]data!$G$2:$G$91,0))</f>
        <v>46256</v>
      </c>
      <c r="D215" s="5" t="s">
        <v>4</v>
      </c>
      <c r="E215" s="39"/>
      <c r="F215" s="3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0"/>
      <c r="AE215" s="35"/>
      <c r="AF215" s="8"/>
    </row>
    <row r="216" spans="1:32" x14ac:dyDescent="0.25">
      <c r="A216" s="3">
        <v>72</v>
      </c>
      <c r="B216" s="12"/>
      <c r="D216" s="9" t="s">
        <v>5</v>
      </c>
      <c r="E216" s="40"/>
      <c r="F216" s="3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0"/>
      <c r="AE216" s="35"/>
      <c r="AF216" s="8"/>
    </row>
    <row r="217" spans="1:32" x14ac:dyDescent="0.25">
      <c r="A217" s="3">
        <v>72</v>
      </c>
      <c r="B217" s="12"/>
      <c r="D217" s="11" t="s">
        <v>6</v>
      </c>
      <c r="E217" s="41"/>
      <c r="F217" s="3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0"/>
      <c r="AE217" s="35"/>
      <c r="AF217" s="8"/>
    </row>
    <row r="218" spans="1:32" x14ac:dyDescent="0.25">
      <c r="A218" s="3">
        <v>73</v>
      </c>
      <c r="B218" s="12">
        <f>INDEX([1]data!$I$2:$I$91,MATCH(A218*1,[1]data!$G$2:$G$91,0))</f>
        <v>46257</v>
      </c>
      <c r="D218" s="5" t="s">
        <v>4</v>
      </c>
      <c r="E218" s="39"/>
      <c r="F218" s="3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0"/>
      <c r="AE218" s="35"/>
      <c r="AF218" s="8"/>
    </row>
    <row r="219" spans="1:32" x14ac:dyDescent="0.25">
      <c r="A219" s="3">
        <v>73</v>
      </c>
      <c r="B219" s="12"/>
      <c r="D219" s="9" t="s">
        <v>5</v>
      </c>
      <c r="E219" s="40"/>
      <c r="F219" s="3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0"/>
      <c r="AE219" s="35"/>
      <c r="AF219" s="8"/>
    </row>
    <row r="220" spans="1:32" x14ac:dyDescent="0.25">
      <c r="A220" s="3">
        <v>73</v>
      </c>
      <c r="B220" s="12"/>
      <c r="D220" s="11" t="s">
        <v>6</v>
      </c>
      <c r="E220" s="41"/>
      <c r="F220" s="3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0"/>
      <c r="AE220" s="35"/>
      <c r="AF220" s="8"/>
    </row>
    <row r="221" spans="1:32" x14ac:dyDescent="0.25">
      <c r="A221" s="3">
        <v>74</v>
      </c>
      <c r="B221" s="12">
        <f>INDEX([1]data!$I$2:$I$91,MATCH(A221*1,[1]data!$G$2:$G$91,0))</f>
        <v>46258</v>
      </c>
      <c r="D221" s="5" t="s">
        <v>4</v>
      </c>
      <c r="E221" s="39"/>
      <c r="F221" s="3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0"/>
      <c r="AE221" s="35"/>
      <c r="AF221" s="8"/>
    </row>
    <row r="222" spans="1:32" x14ac:dyDescent="0.25">
      <c r="A222" s="3">
        <v>74</v>
      </c>
      <c r="B222" s="12"/>
      <c r="D222" s="9" t="s">
        <v>5</v>
      </c>
      <c r="E222" s="40"/>
      <c r="F222" s="3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0"/>
      <c r="AE222" s="35"/>
      <c r="AF222" s="8"/>
    </row>
    <row r="223" spans="1:32" x14ac:dyDescent="0.25">
      <c r="A223" s="3">
        <v>74</v>
      </c>
      <c r="B223" s="12"/>
      <c r="D223" s="11" t="s">
        <v>6</v>
      </c>
      <c r="E223" s="41"/>
      <c r="F223" s="3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0"/>
      <c r="AE223" s="35"/>
      <c r="AF223" s="8"/>
    </row>
    <row r="224" spans="1:32" x14ac:dyDescent="0.25">
      <c r="A224" s="3">
        <v>75</v>
      </c>
      <c r="B224" s="12">
        <f>INDEX([1]data!$I$2:$I$91,MATCH(A224*1,[1]data!$G$2:$G$91,0))</f>
        <v>46259</v>
      </c>
      <c r="D224" s="5" t="s">
        <v>4</v>
      </c>
      <c r="E224" s="39"/>
      <c r="F224" s="3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0"/>
      <c r="AE224" s="35"/>
      <c r="AF224" s="8"/>
    </row>
    <row r="225" spans="1:32" x14ac:dyDescent="0.25">
      <c r="A225" s="3">
        <v>75</v>
      </c>
      <c r="B225" s="12"/>
      <c r="D225" s="9" t="s">
        <v>5</v>
      </c>
      <c r="E225" s="40"/>
      <c r="F225" s="3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0"/>
      <c r="AE225" s="35"/>
      <c r="AF225" s="8"/>
    </row>
    <row r="226" spans="1:32" x14ac:dyDescent="0.25">
      <c r="A226" s="3">
        <v>75</v>
      </c>
      <c r="B226" s="12"/>
      <c r="D226" s="11" t="s">
        <v>6</v>
      </c>
      <c r="E226" s="41"/>
      <c r="F226" s="3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0"/>
      <c r="AE226" s="35"/>
      <c r="AF226" s="8"/>
    </row>
    <row r="227" spans="1:32" x14ac:dyDescent="0.25">
      <c r="A227" s="3">
        <v>76</v>
      </c>
      <c r="B227" s="12">
        <f>INDEX([1]data!$I$2:$I$91,MATCH(A227*1,[1]data!$G$2:$G$91,0))</f>
        <v>46260</v>
      </c>
      <c r="D227" s="5" t="s">
        <v>4</v>
      </c>
      <c r="E227" s="39"/>
      <c r="F227" s="3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0"/>
      <c r="AE227" s="35"/>
      <c r="AF227" s="8"/>
    </row>
    <row r="228" spans="1:32" x14ac:dyDescent="0.25">
      <c r="A228" s="3">
        <v>76</v>
      </c>
      <c r="B228" s="12"/>
      <c r="D228" s="9" t="s">
        <v>5</v>
      </c>
      <c r="E228" s="40"/>
      <c r="F228" s="3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0"/>
      <c r="AE228" s="35"/>
      <c r="AF228" s="8"/>
    </row>
    <row r="229" spans="1:32" x14ac:dyDescent="0.25">
      <c r="A229" s="3">
        <v>76</v>
      </c>
      <c r="B229" s="12"/>
      <c r="D229" s="11" t="s">
        <v>6</v>
      </c>
      <c r="E229" s="41"/>
      <c r="F229" s="3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0"/>
      <c r="AE229" s="35"/>
      <c r="AF229" s="8"/>
    </row>
    <row r="230" spans="1:32" x14ac:dyDescent="0.25">
      <c r="A230" s="3">
        <v>77</v>
      </c>
      <c r="B230" s="12">
        <f>INDEX([1]data!$I$2:$I$91,MATCH(A230*1,[1]data!$G$2:$G$91,0))</f>
        <v>46261</v>
      </c>
      <c r="D230" s="5" t="s">
        <v>4</v>
      </c>
      <c r="E230" s="39"/>
      <c r="F230" s="3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0"/>
      <c r="AE230" s="35"/>
      <c r="AF230" s="8"/>
    </row>
    <row r="231" spans="1:32" x14ac:dyDescent="0.25">
      <c r="A231" s="3">
        <v>77</v>
      </c>
      <c r="B231" s="12"/>
      <c r="D231" s="9" t="s">
        <v>5</v>
      </c>
      <c r="E231" s="40"/>
      <c r="F231" s="3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0"/>
      <c r="AE231" s="35"/>
      <c r="AF231" s="8"/>
    </row>
    <row r="232" spans="1:32" x14ac:dyDescent="0.25">
      <c r="A232" s="3">
        <v>77</v>
      </c>
      <c r="B232" s="12"/>
      <c r="D232" s="11" t="s">
        <v>6</v>
      </c>
      <c r="E232" s="41"/>
      <c r="F232" s="3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0"/>
      <c r="AE232" s="35"/>
      <c r="AF232" s="8"/>
    </row>
    <row r="233" spans="1:32" x14ac:dyDescent="0.25">
      <c r="A233" s="3">
        <v>78</v>
      </c>
      <c r="B233" s="12">
        <f>INDEX([1]data!$I$2:$I$91,MATCH(A233*1,[1]data!$G$2:$G$91,0))</f>
        <v>46262</v>
      </c>
      <c r="D233" s="5" t="s">
        <v>4</v>
      </c>
      <c r="E233" s="39"/>
      <c r="F233" s="3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0"/>
      <c r="AE233" s="35"/>
      <c r="AF233" s="8"/>
    </row>
    <row r="234" spans="1:32" x14ac:dyDescent="0.25">
      <c r="A234" s="3">
        <v>78</v>
      </c>
      <c r="B234" s="12"/>
      <c r="D234" s="9" t="s">
        <v>5</v>
      </c>
      <c r="E234" s="40"/>
      <c r="F234" s="3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0"/>
      <c r="AE234" s="35"/>
      <c r="AF234" s="8"/>
    </row>
    <row r="235" spans="1:32" x14ac:dyDescent="0.25">
      <c r="A235" s="3">
        <v>78</v>
      </c>
      <c r="B235" s="12"/>
      <c r="D235" s="11" t="s">
        <v>6</v>
      </c>
      <c r="E235" s="41"/>
      <c r="F235" s="3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0"/>
      <c r="AE235" s="35"/>
      <c r="AF235" s="8"/>
    </row>
    <row r="236" spans="1:32" x14ac:dyDescent="0.25">
      <c r="A236" s="3">
        <v>79</v>
      </c>
      <c r="B236" s="12">
        <f>INDEX([1]data!$I$2:$I$91,MATCH(A236*1,[1]data!$G$2:$G$91,0))</f>
        <v>46263</v>
      </c>
      <c r="D236" s="5" t="s">
        <v>4</v>
      </c>
      <c r="E236" s="39"/>
      <c r="F236" s="3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0"/>
      <c r="AE236" s="35"/>
      <c r="AF236" s="8"/>
    </row>
    <row r="237" spans="1:32" x14ac:dyDescent="0.25">
      <c r="A237" s="3">
        <v>79</v>
      </c>
      <c r="B237" s="12"/>
      <c r="D237" s="9" t="s">
        <v>5</v>
      </c>
      <c r="E237" s="40"/>
      <c r="F237" s="3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0"/>
      <c r="AE237" s="35"/>
      <c r="AF237" s="8"/>
    </row>
    <row r="238" spans="1:32" x14ac:dyDescent="0.25">
      <c r="A238" s="3">
        <v>79</v>
      </c>
      <c r="B238" s="12"/>
      <c r="D238" s="11" t="s">
        <v>6</v>
      </c>
      <c r="E238" s="41"/>
      <c r="F238" s="3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0"/>
      <c r="AE238" s="35"/>
      <c r="AF238" s="8"/>
    </row>
    <row r="239" spans="1:32" x14ac:dyDescent="0.25">
      <c r="A239" s="3">
        <v>80</v>
      </c>
      <c r="B239" s="12">
        <f>INDEX([1]data!$I$2:$I$91,MATCH(A239*1,[1]data!$G$2:$G$91,0))</f>
        <v>46264</v>
      </c>
      <c r="D239" s="5" t="s">
        <v>4</v>
      </c>
      <c r="E239" s="39"/>
      <c r="F239" s="3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0"/>
      <c r="AE239" s="35"/>
      <c r="AF239" s="8"/>
    </row>
    <row r="240" spans="1:32" x14ac:dyDescent="0.25">
      <c r="A240" s="3">
        <v>80</v>
      </c>
      <c r="B240" s="12"/>
      <c r="D240" s="9" t="s">
        <v>5</v>
      </c>
      <c r="E240" s="40"/>
      <c r="F240" s="3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0"/>
      <c r="AE240" s="35"/>
      <c r="AF240" s="8"/>
    </row>
    <row r="241" spans="1:32" x14ac:dyDescent="0.25">
      <c r="A241" s="3">
        <v>80</v>
      </c>
      <c r="B241" s="12"/>
      <c r="D241" s="11" t="s">
        <v>6</v>
      </c>
      <c r="E241" s="41"/>
      <c r="F241" s="3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0"/>
      <c r="AE241" s="35"/>
      <c r="AF241" s="8"/>
    </row>
    <row r="242" spans="1:32" x14ac:dyDescent="0.25">
      <c r="A242" s="3">
        <v>81</v>
      </c>
      <c r="B242" s="12">
        <f>INDEX([1]data!$I$2:$I$91,MATCH(A242*1,[1]data!$G$2:$G$91,0))</f>
        <v>46265</v>
      </c>
      <c r="D242" s="5" t="s">
        <v>4</v>
      </c>
      <c r="E242" s="39"/>
      <c r="F242" s="3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0"/>
      <c r="AE242" s="35"/>
      <c r="AF242" s="8"/>
    </row>
    <row r="243" spans="1:32" x14ac:dyDescent="0.25">
      <c r="A243" s="3">
        <v>81</v>
      </c>
      <c r="B243" s="12"/>
      <c r="D243" s="9" t="s">
        <v>5</v>
      </c>
      <c r="E243" s="40"/>
      <c r="F243" s="3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0"/>
      <c r="AE243" s="35"/>
      <c r="AF243" s="8"/>
    </row>
    <row r="244" spans="1:32" x14ac:dyDescent="0.25">
      <c r="A244" s="3">
        <v>81</v>
      </c>
      <c r="B244" s="12"/>
      <c r="D244" s="11" t="s">
        <v>6</v>
      </c>
      <c r="E244" s="41"/>
      <c r="F244" s="3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0"/>
      <c r="AE244" s="35"/>
      <c r="AF244" s="8"/>
    </row>
    <row r="245" spans="1:32" x14ac:dyDescent="0.25">
      <c r="A245" s="3">
        <v>82</v>
      </c>
      <c r="B245" s="12">
        <f>INDEX([1]data!$I$2:$I$91,MATCH(A245*1,[1]data!$G$2:$G$91,0))</f>
        <v>46266</v>
      </c>
      <c r="D245" s="5" t="s">
        <v>4</v>
      </c>
      <c r="E245" s="39"/>
      <c r="F245" s="3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0"/>
      <c r="AE245" s="35"/>
      <c r="AF245" s="8"/>
    </row>
    <row r="246" spans="1:32" x14ac:dyDescent="0.25">
      <c r="A246" s="3">
        <v>82</v>
      </c>
      <c r="B246" s="12"/>
      <c r="D246" s="9" t="s">
        <v>5</v>
      </c>
      <c r="E246" s="40"/>
      <c r="F246" s="3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0"/>
      <c r="AE246" s="35"/>
      <c r="AF246" s="8"/>
    </row>
    <row r="247" spans="1:32" x14ac:dyDescent="0.25">
      <c r="A247" s="3">
        <v>82</v>
      </c>
      <c r="B247" s="12"/>
      <c r="D247" s="11" t="s">
        <v>6</v>
      </c>
      <c r="E247" s="41"/>
      <c r="F247" s="3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0"/>
      <c r="AE247" s="35"/>
      <c r="AF247" s="8"/>
    </row>
    <row r="248" spans="1:32" x14ac:dyDescent="0.25">
      <c r="A248" s="3">
        <v>83</v>
      </c>
      <c r="B248" s="12">
        <f>INDEX([1]data!$I$2:$I$91,MATCH(A248*1,[1]data!$G$2:$G$91,0))</f>
        <v>46267</v>
      </c>
      <c r="D248" s="5" t="s">
        <v>4</v>
      </c>
      <c r="E248" s="39"/>
      <c r="F248" s="3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0"/>
      <c r="AE248" s="35"/>
      <c r="AF248" s="8"/>
    </row>
    <row r="249" spans="1:32" x14ac:dyDescent="0.25">
      <c r="A249" s="3">
        <v>83</v>
      </c>
      <c r="B249" s="12"/>
      <c r="D249" s="9" t="s">
        <v>5</v>
      </c>
      <c r="E249" s="40"/>
      <c r="F249" s="3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0"/>
      <c r="AE249" s="35"/>
      <c r="AF249" s="8"/>
    </row>
    <row r="250" spans="1:32" x14ac:dyDescent="0.25">
      <c r="A250" s="3">
        <v>83</v>
      </c>
      <c r="B250" s="12"/>
      <c r="D250" s="11" t="s">
        <v>6</v>
      </c>
      <c r="E250" s="41"/>
      <c r="F250" s="3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0"/>
      <c r="AE250" s="35"/>
      <c r="AF250" s="8"/>
    </row>
    <row r="251" spans="1:32" x14ac:dyDescent="0.25">
      <c r="A251" s="3">
        <v>84</v>
      </c>
      <c r="B251" s="12">
        <f>INDEX([1]data!$I$2:$I$91,MATCH(A251*1,[1]data!$G$2:$G$91,0))</f>
        <v>46268</v>
      </c>
      <c r="D251" s="5" t="s">
        <v>4</v>
      </c>
      <c r="E251" s="39"/>
      <c r="F251" s="3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0"/>
      <c r="AE251" s="35"/>
      <c r="AF251" s="8"/>
    </row>
    <row r="252" spans="1:32" x14ac:dyDescent="0.25">
      <c r="A252" s="3">
        <v>84</v>
      </c>
      <c r="B252" s="12"/>
      <c r="D252" s="9" t="s">
        <v>5</v>
      </c>
      <c r="E252" s="40"/>
      <c r="F252" s="3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0"/>
      <c r="AE252" s="35"/>
      <c r="AF252" s="8"/>
    </row>
    <row r="253" spans="1:32" x14ac:dyDescent="0.25">
      <c r="A253" s="3">
        <v>84</v>
      </c>
      <c r="B253" s="12"/>
      <c r="D253" s="11" t="s">
        <v>6</v>
      </c>
      <c r="E253" s="41"/>
      <c r="F253" s="3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0"/>
      <c r="AE253" s="35"/>
      <c r="AF253" s="8"/>
    </row>
    <row r="254" spans="1:32" x14ac:dyDescent="0.25">
      <c r="A254" s="3">
        <v>85</v>
      </c>
      <c r="B254" s="12">
        <f>INDEX([1]data!$I$2:$I$91,MATCH(A254*1,[1]data!$G$2:$G$91,0))</f>
        <v>46269</v>
      </c>
      <c r="D254" s="5" t="s">
        <v>4</v>
      </c>
      <c r="E254" s="39"/>
      <c r="F254" s="3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0"/>
      <c r="AE254" s="35"/>
      <c r="AF254" s="8"/>
    </row>
    <row r="255" spans="1:32" x14ac:dyDescent="0.25">
      <c r="A255" s="3">
        <v>85</v>
      </c>
      <c r="B255" s="12"/>
      <c r="D255" s="9" t="s">
        <v>5</v>
      </c>
      <c r="E255" s="40"/>
      <c r="F255" s="3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0"/>
      <c r="AE255" s="35"/>
      <c r="AF255" s="8"/>
    </row>
    <row r="256" spans="1:32" x14ac:dyDescent="0.25">
      <c r="A256" s="3">
        <v>85</v>
      </c>
      <c r="B256" s="12"/>
      <c r="D256" s="11" t="s">
        <v>6</v>
      </c>
      <c r="E256" s="41"/>
      <c r="F256" s="3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0"/>
      <c r="AE256" s="35"/>
      <c r="AF256" s="8"/>
    </row>
    <row r="257" spans="1:32" x14ac:dyDescent="0.25">
      <c r="A257" s="3">
        <v>86</v>
      </c>
      <c r="B257" s="12">
        <f>INDEX([1]data!$I$2:$I$91,MATCH(A257*1,[1]data!$G$2:$G$91,0))</f>
        <v>46270</v>
      </c>
      <c r="D257" s="5" t="s">
        <v>4</v>
      </c>
      <c r="E257" s="39"/>
      <c r="F257" s="3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0"/>
      <c r="AE257" s="35"/>
      <c r="AF257" s="8"/>
    </row>
    <row r="258" spans="1:32" x14ac:dyDescent="0.25">
      <c r="A258" s="3">
        <v>86</v>
      </c>
      <c r="B258" s="12"/>
      <c r="D258" s="9" t="s">
        <v>5</v>
      </c>
      <c r="E258" s="40"/>
      <c r="F258" s="3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0"/>
      <c r="AE258" s="35"/>
      <c r="AF258" s="8"/>
    </row>
    <row r="259" spans="1:32" x14ac:dyDescent="0.25">
      <c r="A259" s="3">
        <v>86</v>
      </c>
      <c r="B259" s="12"/>
      <c r="D259" s="11" t="s">
        <v>6</v>
      </c>
      <c r="E259" s="41"/>
      <c r="F259" s="3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0"/>
      <c r="AE259" s="35"/>
      <c r="AF259" s="8"/>
    </row>
    <row r="260" spans="1:32" x14ac:dyDescent="0.25">
      <c r="A260" s="3">
        <v>87</v>
      </c>
      <c r="B260" s="12">
        <f>INDEX([1]data!$I$2:$I$91,MATCH(A260*1,[1]data!$G$2:$G$91,0))</f>
        <v>46271</v>
      </c>
      <c r="D260" s="5" t="s">
        <v>4</v>
      </c>
      <c r="E260" s="39"/>
      <c r="F260" s="3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0"/>
      <c r="AE260" s="35"/>
      <c r="AF260" s="8"/>
    </row>
    <row r="261" spans="1:32" x14ac:dyDescent="0.25">
      <c r="A261" s="3">
        <v>87</v>
      </c>
      <c r="B261" s="12"/>
      <c r="D261" s="9" t="s">
        <v>5</v>
      </c>
      <c r="E261" s="40"/>
      <c r="F261" s="3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0"/>
      <c r="AE261" s="35"/>
      <c r="AF261" s="8"/>
    </row>
    <row r="262" spans="1:32" x14ac:dyDescent="0.25">
      <c r="A262" s="3">
        <v>87</v>
      </c>
      <c r="B262" s="12"/>
      <c r="D262" s="11" t="s">
        <v>6</v>
      </c>
      <c r="E262" s="41"/>
      <c r="F262" s="3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0"/>
      <c r="AE262" s="35"/>
      <c r="AF262" s="8"/>
    </row>
    <row r="263" spans="1:32" x14ac:dyDescent="0.25">
      <c r="A263" s="3">
        <v>88</v>
      </c>
      <c r="B263" s="12">
        <f>INDEX([1]data!$I$2:$I$91,MATCH(A263*1,[1]data!$G$2:$G$91,0))</f>
        <v>46272</v>
      </c>
      <c r="D263" s="5" t="s">
        <v>4</v>
      </c>
      <c r="E263" s="39"/>
      <c r="F263" s="3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0"/>
      <c r="AE263" s="35"/>
      <c r="AF263" s="8"/>
    </row>
    <row r="264" spans="1:32" x14ac:dyDescent="0.25">
      <c r="A264" s="3">
        <v>88</v>
      </c>
      <c r="B264" s="12"/>
      <c r="D264" s="9" t="s">
        <v>5</v>
      </c>
      <c r="E264" s="40"/>
      <c r="F264" s="3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0"/>
      <c r="AE264" s="35"/>
      <c r="AF264" s="8"/>
    </row>
    <row r="265" spans="1:32" x14ac:dyDescent="0.25">
      <c r="A265" s="3">
        <v>88</v>
      </c>
      <c r="B265" s="12"/>
      <c r="D265" s="11" t="s">
        <v>6</v>
      </c>
      <c r="E265" s="41"/>
      <c r="F265" s="3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0"/>
      <c r="AE265" s="35"/>
      <c r="AF265" s="8"/>
    </row>
    <row r="266" spans="1:32" x14ac:dyDescent="0.25">
      <c r="A266" s="3">
        <v>89</v>
      </c>
      <c r="B266" s="12">
        <f>INDEX([1]data!$I$2:$I$91,MATCH(A266*1,[1]data!$G$2:$G$91,0))</f>
        <v>46273</v>
      </c>
      <c r="D266" s="5" t="s">
        <v>4</v>
      </c>
      <c r="E266" s="39"/>
      <c r="F266" s="3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0"/>
      <c r="AE266" s="35"/>
      <c r="AF266" s="8"/>
    </row>
    <row r="267" spans="1:32" x14ac:dyDescent="0.25">
      <c r="A267" s="3">
        <v>89</v>
      </c>
      <c r="B267" s="12"/>
      <c r="D267" s="9" t="s">
        <v>5</v>
      </c>
      <c r="E267" s="40"/>
      <c r="F267" s="3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0"/>
      <c r="AE267" s="35"/>
      <c r="AF267" s="8"/>
    </row>
    <row r="268" spans="1:32" x14ac:dyDescent="0.25">
      <c r="A268" s="3">
        <v>89</v>
      </c>
      <c r="B268" s="12"/>
      <c r="D268" s="11" t="s">
        <v>6</v>
      </c>
      <c r="E268" s="41"/>
      <c r="F268" s="3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0"/>
      <c r="AE268" s="35"/>
      <c r="AF268" s="8"/>
    </row>
    <row r="269" spans="1:32" x14ac:dyDescent="0.25">
      <c r="A269" s="3">
        <v>90</v>
      </c>
      <c r="B269" s="12">
        <f>INDEX([1]data!$I$2:$I$91,MATCH(A269*1,[1]data!$G$2:$G$91,0))</f>
        <v>46274</v>
      </c>
      <c r="D269" s="5" t="s">
        <v>4</v>
      </c>
      <c r="E269" s="39"/>
      <c r="F269" s="3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0"/>
      <c r="AE269" s="35"/>
      <c r="AF269" s="8"/>
    </row>
    <row r="270" spans="1:32" x14ac:dyDescent="0.25">
      <c r="A270" s="3">
        <v>90</v>
      </c>
      <c r="B270" s="12"/>
      <c r="D270" s="9" t="s">
        <v>5</v>
      </c>
      <c r="E270" s="40"/>
      <c r="F270" s="3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0"/>
      <c r="AE270" s="35"/>
      <c r="AF270" s="8"/>
    </row>
    <row r="271" spans="1:32" x14ac:dyDescent="0.25">
      <c r="A271" s="3">
        <v>90</v>
      </c>
      <c r="B271" s="12"/>
      <c r="D271" s="11" t="s">
        <v>6</v>
      </c>
      <c r="E271" s="41"/>
      <c r="F271" s="3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0"/>
      <c r="AE271" s="35"/>
      <c r="AF271" s="8"/>
    </row>
  </sheetData>
  <mergeCells count="90">
    <mergeCell ref="B254:B256"/>
    <mergeCell ref="B257:B259"/>
    <mergeCell ref="B260:B262"/>
    <mergeCell ref="B263:B265"/>
    <mergeCell ref="B266:B268"/>
    <mergeCell ref="B269:B271"/>
    <mergeCell ref="B236:B238"/>
    <mergeCell ref="B239:B241"/>
    <mergeCell ref="B242:B244"/>
    <mergeCell ref="B245:B247"/>
    <mergeCell ref="B248:B250"/>
    <mergeCell ref="B251:B253"/>
    <mergeCell ref="B218:B220"/>
    <mergeCell ref="B221:B223"/>
    <mergeCell ref="B224:B226"/>
    <mergeCell ref="B227:B229"/>
    <mergeCell ref="B230:B232"/>
    <mergeCell ref="B233:B235"/>
    <mergeCell ref="B200:B202"/>
    <mergeCell ref="B203:B205"/>
    <mergeCell ref="B206:B208"/>
    <mergeCell ref="B209:B211"/>
    <mergeCell ref="B212:B214"/>
    <mergeCell ref="B215:B217"/>
    <mergeCell ref="B182:B184"/>
    <mergeCell ref="B185:B187"/>
    <mergeCell ref="B188:B190"/>
    <mergeCell ref="B191:B193"/>
    <mergeCell ref="B194:B196"/>
    <mergeCell ref="B197:B199"/>
    <mergeCell ref="B164:B166"/>
    <mergeCell ref="B167:B169"/>
    <mergeCell ref="B170:B172"/>
    <mergeCell ref="B173:B175"/>
    <mergeCell ref="B176:B178"/>
    <mergeCell ref="B179:B181"/>
    <mergeCell ref="B146:B148"/>
    <mergeCell ref="B149:B151"/>
    <mergeCell ref="B152:B154"/>
    <mergeCell ref="B155:B157"/>
    <mergeCell ref="B158:B160"/>
    <mergeCell ref="B161:B163"/>
    <mergeCell ref="B128:B130"/>
    <mergeCell ref="B131:B133"/>
    <mergeCell ref="B134:B136"/>
    <mergeCell ref="B137:B139"/>
    <mergeCell ref="B140:B142"/>
    <mergeCell ref="B143:B145"/>
    <mergeCell ref="B110:B112"/>
    <mergeCell ref="B113:B115"/>
    <mergeCell ref="B116:B118"/>
    <mergeCell ref="B119:B121"/>
    <mergeCell ref="B122:B124"/>
    <mergeCell ref="B125:B127"/>
    <mergeCell ref="B92:B94"/>
    <mergeCell ref="B95:B97"/>
    <mergeCell ref="B98:B100"/>
    <mergeCell ref="B101:B103"/>
    <mergeCell ref="B104:B106"/>
    <mergeCell ref="B107:B109"/>
    <mergeCell ref="B74:B76"/>
    <mergeCell ref="B77:B79"/>
    <mergeCell ref="B80:B82"/>
    <mergeCell ref="B83:B85"/>
    <mergeCell ref="B86:B88"/>
    <mergeCell ref="B89:B91"/>
    <mergeCell ref="B56:B58"/>
    <mergeCell ref="B59:B61"/>
    <mergeCell ref="B62:B64"/>
    <mergeCell ref="B65:B67"/>
    <mergeCell ref="B68:B70"/>
    <mergeCell ref="B71:B73"/>
    <mergeCell ref="B38:B40"/>
    <mergeCell ref="B41:B43"/>
    <mergeCell ref="B44:B46"/>
    <mergeCell ref="B47:B49"/>
    <mergeCell ref="B50:B52"/>
    <mergeCell ref="B53:B55"/>
    <mergeCell ref="B20:B22"/>
    <mergeCell ref="B23:B25"/>
    <mergeCell ref="B26:B28"/>
    <mergeCell ref="B29:B31"/>
    <mergeCell ref="B32:B34"/>
    <mergeCell ref="B35:B37"/>
    <mergeCell ref="B2:B4"/>
    <mergeCell ref="B5:B7"/>
    <mergeCell ref="B8:B10"/>
    <mergeCell ref="B11:B13"/>
    <mergeCell ref="B14:B16"/>
    <mergeCell ref="B17:B19"/>
  </mergeCells>
  <conditionalFormatting sqref="F2:AE271">
    <cfRule type="cellIs" dxfId="19" priority="1" operator="equal">
      <formula>"中boss"</formula>
    </cfRule>
    <cfRule type="cellIs" dxfId="17" priority="3" operator="equal">
      <formula>"塔1"</formula>
    </cfRule>
    <cfRule type="cellIs" dxfId="16" priority="4" operator="equal">
      <formula>"塔2"</formula>
    </cfRule>
    <cfRule type="cellIs" dxfId="15" priority="5" operator="equal">
      <formula>"草6"</formula>
    </cfRule>
    <cfRule type="cellIs" dxfId="14" priority="6" operator="equal">
      <formula>"草5"</formula>
    </cfRule>
    <cfRule type="cellIs" dxfId="13" priority="7" operator="equal">
      <formula>"草4"</formula>
    </cfRule>
    <cfRule type="cellIs" dxfId="12" priority="8" operator="equal">
      <formula>"草3"</formula>
    </cfRule>
    <cfRule type="cellIs" dxfId="11" priority="9" operator="equal">
      <formula>"历练"</formula>
    </cfRule>
    <cfRule type="cellIs" dxfId="10" priority="10" operator="equal">
      <formula>"3级卦"</formula>
    </cfRule>
    <cfRule type="cellIs" dxfId="9" priority="11" operator="equal">
      <formula>"大卦"</formula>
    </cfRule>
    <cfRule type="cellIs" dxfId="8" priority="12" operator="equal">
      <formula>"商人"</formula>
    </cfRule>
    <cfRule type="cellIs" dxfId="7" priority="13" operator="equal">
      <formula>"营地"</formula>
    </cfRule>
    <cfRule type="cellIs" dxfId="6" priority="14" operator="equal">
      <formula>"草2"</formula>
    </cfRule>
    <cfRule type="cellIs" dxfId="5" priority="15" operator="equal">
      <formula>"3级"</formula>
    </cfRule>
    <cfRule type="cellIs" dxfId="4" priority="16" operator="equal">
      <formula>"4级"</formula>
    </cfRule>
    <cfRule type="cellIs" dxfId="3" priority="17" operator="equal">
      <formula>"5级"</formula>
    </cfRule>
    <cfRule type="cellIs" dxfId="2" priority="18" operator="equal">
      <formula>"6级"</formula>
    </cfRule>
    <cfRule type="cellIs" dxfId="1" priority="19" operator="equal">
      <formula>"1级"</formula>
    </cfRule>
    <cfRule type="cellIs" dxfId="0" priority="20" operator="equal">
      <formula>"2级"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7AE86587-1813-468A-AC4A-3A3319985F29}">
            <xm:f>NOT(ISERROR(SEARCH("跳",F2)))</xm:f>
            <xm:f>"跳"</xm:f>
            <x14:dxf>
              <font>
                <b/>
                <i val="0"/>
                <color theme="0"/>
              </font>
              <fill>
                <patternFill>
                  <bgColor theme="3"/>
                </patternFill>
              </fill>
            </x14:dxf>
          </x14:cfRule>
          <xm:sqref>F2:AE271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粮草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2015-06-05T18:17:20Z</dcterms:created>
  <dcterms:modified xsi:type="dcterms:W3CDTF">2026-06-18T04:46:06Z</dcterms:modified>
</cp:coreProperties>
</file>