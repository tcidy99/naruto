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71D4A151-05C5-4A8A-9E04-953E98B002AE}" xr6:coauthVersionLast="47" xr6:coauthVersionMax="47" xr10:uidLastSave="{00000000-0000-0000-0000-000000000000}"/>
  <bookViews>
    <workbookView xWindow="22932" yWindow="-108" windowWidth="23256" windowHeight="12576" firstSheet="1" activeTab="10" xr2:uid="{ECD4D7EE-2D5D-4083-A820-495883BB0745}"/>
  </bookViews>
  <sheets>
    <sheet name="11.00" sheetId="54" r:id="rId1"/>
    <sheet name="11.01" sheetId="55" r:id="rId2"/>
    <sheet name="11.02" sheetId="56" r:id="rId3"/>
    <sheet name="11.04" sheetId="58" r:id="rId4"/>
    <sheet name="11.03" sheetId="57" r:id="rId5"/>
    <sheet name="11.031" sheetId="64" r:id="rId6"/>
    <sheet name="11.05" sheetId="59" r:id="rId7"/>
    <sheet name="11.06" sheetId="60" r:id="rId8"/>
    <sheet name="11.08" sheetId="62" r:id="rId9"/>
    <sheet name="11.10" sheetId="63" r:id="rId10"/>
    <sheet name="11.07" sheetId="61" r:id="rId11"/>
    <sheet name="11.11" sheetId="65" r:id="rId12"/>
    <sheet name="11.12" sheetId="6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1" i="67" l="1"/>
  <c r="Y31" i="67"/>
  <c r="AD28" i="67"/>
  <c r="AA28" i="67"/>
  <c r="Z28" i="67"/>
  <c r="AD27" i="67"/>
  <c r="AA27" i="67"/>
  <c r="AB27" i="67" s="1"/>
  <c r="Z27" i="67"/>
  <c r="AD26" i="67"/>
  <c r="W26" i="67"/>
  <c r="AD25" i="67"/>
  <c r="AA25" i="67"/>
  <c r="Z25" i="67"/>
  <c r="W25" i="67"/>
  <c r="AD24" i="67"/>
  <c r="AA24" i="67"/>
  <c r="AB24" i="67" s="1"/>
  <c r="Z24" i="67"/>
  <c r="W24" i="67"/>
  <c r="AD23" i="67"/>
  <c r="AA23" i="67"/>
  <c r="Z23" i="67"/>
  <c r="W23" i="67"/>
  <c r="AD22" i="67"/>
  <c r="AA22" i="67"/>
  <c r="Z22" i="67"/>
  <c r="AD21" i="67"/>
  <c r="AA21" i="67"/>
  <c r="AB21" i="67" s="1"/>
  <c r="Z21" i="67"/>
  <c r="AD20" i="67"/>
  <c r="AA20" i="67"/>
  <c r="Z20" i="67"/>
  <c r="AD19" i="67"/>
  <c r="AA19" i="67"/>
  <c r="Z19" i="67"/>
  <c r="AD18" i="67"/>
  <c r="AA18" i="67"/>
  <c r="AB18" i="67" s="1"/>
  <c r="Z18" i="67"/>
  <c r="AD17" i="67"/>
  <c r="AA17" i="67"/>
  <c r="Z17" i="67"/>
  <c r="AD16" i="67"/>
  <c r="AA16" i="67"/>
  <c r="Z16" i="67"/>
  <c r="AD15" i="67"/>
  <c r="AA15" i="67"/>
  <c r="Z15" i="67"/>
  <c r="W15" i="67"/>
  <c r="AD14" i="67"/>
  <c r="AA14" i="67"/>
  <c r="AB14" i="67" s="1"/>
  <c r="Z14" i="67"/>
  <c r="AD13" i="67"/>
  <c r="AA13" i="67"/>
  <c r="Z13" i="67"/>
  <c r="AD12" i="67"/>
  <c r="AA12" i="67"/>
  <c r="AB12" i="67" s="1"/>
  <c r="Z12" i="67"/>
  <c r="AD11" i="67"/>
  <c r="AA11" i="67"/>
  <c r="AB11" i="67" s="1"/>
  <c r="Z11" i="67"/>
  <c r="W11" i="67"/>
  <c r="AD10" i="67"/>
  <c r="AA10" i="67"/>
  <c r="Z10" i="67"/>
  <c r="W10" i="67"/>
  <c r="AD9" i="67"/>
  <c r="AA9" i="67"/>
  <c r="Z9" i="67"/>
  <c r="W9" i="67"/>
  <c r="AD8" i="67"/>
  <c r="AA8" i="67"/>
  <c r="AB8" i="67" s="1"/>
  <c r="Z8" i="67"/>
  <c r="P8" i="67"/>
  <c r="H8" i="67"/>
  <c r="AD7" i="67"/>
  <c r="AA7" i="67"/>
  <c r="AB7" i="67" s="1"/>
  <c r="Z7" i="67"/>
  <c r="O7" i="67"/>
  <c r="N7" i="67"/>
  <c r="M7" i="67"/>
  <c r="G7" i="67"/>
  <c r="F7" i="67"/>
  <c r="H7" i="67" s="1"/>
  <c r="E7" i="67"/>
  <c r="AD6" i="67"/>
  <c r="AA6" i="67"/>
  <c r="AB6" i="67" s="1"/>
  <c r="Z6" i="67"/>
  <c r="R6" i="67"/>
  <c r="O6" i="67" a="1"/>
  <c r="O6" i="67" s="1"/>
  <c r="N6" i="67" a="1"/>
  <c r="N6" i="67" s="1"/>
  <c r="M6" i="67" a="1"/>
  <c r="M6" i="67" s="1"/>
  <c r="G6" i="67" a="1"/>
  <c r="G6" i="67" s="1"/>
  <c r="F6" i="67" a="1"/>
  <c r="F6" i="67" s="1"/>
  <c r="E6" i="67" a="1"/>
  <c r="E6" i="67" s="1"/>
  <c r="AD5" i="67"/>
  <c r="AA5" i="67"/>
  <c r="Z5" i="67"/>
  <c r="O5" i="67" a="1"/>
  <c r="O5" i="67" s="1"/>
  <c r="N5" i="67" a="1"/>
  <c r="N5" i="67" s="1"/>
  <c r="M5" i="67" a="1"/>
  <c r="M5" i="67" s="1"/>
  <c r="G5" i="67" a="1"/>
  <c r="G5" i="67" s="1"/>
  <c r="F5" i="67" a="1"/>
  <c r="F5" i="67" s="1"/>
  <c r="E5" i="67" a="1"/>
  <c r="E5" i="67" s="1"/>
  <c r="H5" i="67" s="1"/>
  <c r="AD4" i="67"/>
  <c r="AA4" i="67"/>
  <c r="Z4" i="67"/>
  <c r="W4" i="67"/>
  <c r="P4" i="67"/>
  <c r="H4" i="67"/>
  <c r="AD3" i="67"/>
  <c r="AD31" i="67" s="1"/>
  <c r="AA3" i="67"/>
  <c r="Z3" i="67"/>
  <c r="W3" i="67"/>
  <c r="H1" i="67" a="1"/>
  <c r="H1" i="67" s="1"/>
  <c r="AC31" i="65"/>
  <c r="Y31" i="65"/>
  <c r="AD28" i="65"/>
  <c r="AA28" i="65"/>
  <c r="Z28" i="65"/>
  <c r="AD27" i="65"/>
  <c r="AA27" i="65"/>
  <c r="Z27" i="65"/>
  <c r="AD26" i="65"/>
  <c r="W26" i="65"/>
  <c r="AD25" i="65"/>
  <c r="AA25" i="65"/>
  <c r="Z25" i="65"/>
  <c r="W25" i="65"/>
  <c r="AD24" i="65"/>
  <c r="AA24" i="65"/>
  <c r="Z24" i="65"/>
  <c r="W24" i="65"/>
  <c r="AD23" i="65"/>
  <c r="AA23" i="65"/>
  <c r="Z23" i="65"/>
  <c r="W23" i="65"/>
  <c r="AD22" i="65"/>
  <c r="AA22" i="65"/>
  <c r="Z22" i="65"/>
  <c r="AD21" i="65"/>
  <c r="AA21" i="65"/>
  <c r="AB21" i="65" s="1"/>
  <c r="Z21" i="65"/>
  <c r="AD20" i="65"/>
  <c r="AA20" i="65"/>
  <c r="Z20" i="65"/>
  <c r="AD19" i="65"/>
  <c r="AA19" i="65"/>
  <c r="Z19" i="65"/>
  <c r="AD18" i="65"/>
  <c r="AA18" i="65"/>
  <c r="Z18" i="65"/>
  <c r="AD17" i="65"/>
  <c r="AA17" i="65"/>
  <c r="Z17" i="65"/>
  <c r="AD16" i="65"/>
  <c r="AA16" i="65"/>
  <c r="AB16" i="65" s="1"/>
  <c r="Z16" i="65"/>
  <c r="AD15" i="65"/>
  <c r="AA15" i="65"/>
  <c r="Z15" i="65"/>
  <c r="W15" i="65"/>
  <c r="AD14" i="65"/>
  <c r="AA14" i="65"/>
  <c r="Z14" i="65"/>
  <c r="AD13" i="65"/>
  <c r="AA13" i="65"/>
  <c r="Z13" i="65"/>
  <c r="AD12" i="65"/>
  <c r="AA12" i="65"/>
  <c r="AB12" i="65" s="1"/>
  <c r="Z12" i="65"/>
  <c r="AD11" i="65"/>
  <c r="AA11" i="65"/>
  <c r="AB11" i="65" s="1"/>
  <c r="Z11" i="65"/>
  <c r="W11" i="65"/>
  <c r="AD10" i="65"/>
  <c r="AA10" i="65"/>
  <c r="Z10" i="65"/>
  <c r="AB10" i="65" s="1"/>
  <c r="W10" i="65"/>
  <c r="AD9" i="65"/>
  <c r="AA9" i="65"/>
  <c r="Z9" i="65"/>
  <c r="W9" i="65"/>
  <c r="AD8" i="65"/>
  <c r="AA8" i="65"/>
  <c r="AB8" i="65" s="1"/>
  <c r="Z8" i="65"/>
  <c r="P8" i="65"/>
  <c r="H8" i="65"/>
  <c r="AD7" i="65"/>
  <c r="AA7" i="65"/>
  <c r="AB7" i="65" s="1"/>
  <c r="Z7" i="65"/>
  <c r="O7" i="65"/>
  <c r="P7" i="65" s="1"/>
  <c r="N7" i="65"/>
  <c r="M7" i="65"/>
  <c r="G7" i="65"/>
  <c r="F7" i="65"/>
  <c r="H7" i="65" s="1"/>
  <c r="E7" i="65"/>
  <c r="AD6" i="65"/>
  <c r="AA6" i="65"/>
  <c r="AB6" i="65" s="1"/>
  <c r="Z6" i="65"/>
  <c r="R6" i="65"/>
  <c r="O6" i="65" a="1"/>
  <c r="O6" i="65" s="1"/>
  <c r="N6" i="65" a="1"/>
  <c r="N6" i="65" s="1"/>
  <c r="N9" i="65" s="1"/>
  <c r="M6" i="65" a="1"/>
  <c r="M6" i="65" s="1"/>
  <c r="G6" i="65" a="1"/>
  <c r="G6" i="65" s="1"/>
  <c r="F6" i="65" a="1"/>
  <c r="F6" i="65" s="1"/>
  <c r="E6" i="65" a="1"/>
  <c r="E6" i="65" s="1"/>
  <c r="H6" i="65" s="1"/>
  <c r="AD5" i="65"/>
  <c r="AA5" i="65"/>
  <c r="Z5" i="65"/>
  <c r="O5" i="65" a="1"/>
  <c r="O5" i="65" s="1"/>
  <c r="N5" i="65"/>
  <c r="N5" i="65" a="1"/>
  <c r="M5" i="65" a="1"/>
  <c r="M5" i="65" s="1"/>
  <c r="G5" i="65" a="1"/>
  <c r="G5" i="65" s="1"/>
  <c r="F5" i="65" a="1"/>
  <c r="F5" i="65" s="1"/>
  <c r="E5" i="65" a="1"/>
  <c r="E5" i="65" s="1"/>
  <c r="AD4" i="65"/>
  <c r="AA4" i="65"/>
  <c r="AB4" i="65" s="1"/>
  <c r="Z4" i="65"/>
  <c r="W4" i="65"/>
  <c r="P4" i="65"/>
  <c r="H4" i="65"/>
  <c r="AD3" i="65"/>
  <c r="AD31" i="65" s="1"/>
  <c r="AA3" i="65"/>
  <c r="Z3" i="65"/>
  <c r="W3" i="65"/>
  <c r="H1" i="65" s="1" a="1"/>
  <c r="H1" i="65" s="1"/>
  <c r="AC31" i="64"/>
  <c r="Y31" i="64"/>
  <c r="AD28" i="64"/>
  <c r="AA28" i="64"/>
  <c r="Z28" i="64"/>
  <c r="AD27" i="64"/>
  <c r="AA27" i="64"/>
  <c r="Z27" i="64"/>
  <c r="AD26" i="64"/>
  <c r="W26" i="64"/>
  <c r="AD25" i="64"/>
  <c r="AA25" i="64"/>
  <c r="Z25" i="64"/>
  <c r="W25" i="64"/>
  <c r="AD24" i="64"/>
  <c r="AA24" i="64"/>
  <c r="Z24" i="64"/>
  <c r="W24" i="64"/>
  <c r="AD23" i="64"/>
  <c r="AA23" i="64"/>
  <c r="Z23" i="64"/>
  <c r="W23" i="64"/>
  <c r="AD22" i="64"/>
  <c r="AA22" i="64"/>
  <c r="Z22" i="64"/>
  <c r="AD21" i="64"/>
  <c r="AA21" i="64"/>
  <c r="Z21" i="64"/>
  <c r="AB21" i="64" s="1"/>
  <c r="AD20" i="64"/>
  <c r="AA20" i="64"/>
  <c r="Z20" i="64"/>
  <c r="AD19" i="64"/>
  <c r="AA19" i="64"/>
  <c r="Z19" i="64"/>
  <c r="AD18" i="64"/>
  <c r="AA18" i="64"/>
  <c r="AB18" i="64" s="1"/>
  <c r="Z18" i="64"/>
  <c r="AD17" i="64"/>
  <c r="AA17" i="64"/>
  <c r="Z17" i="64"/>
  <c r="AD16" i="64"/>
  <c r="AA16" i="64"/>
  <c r="Z16" i="64"/>
  <c r="AD15" i="64"/>
  <c r="AA15" i="64"/>
  <c r="Z15" i="64"/>
  <c r="W15" i="64"/>
  <c r="AD14" i="64"/>
  <c r="AA14" i="64"/>
  <c r="Z14" i="64"/>
  <c r="AD13" i="64"/>
  <c r="AA13" i="64"/>
  <c r="Z13" i="64"/>
  <c r="AD12" i="64"/>
  <c r="AA12" i="64"/>
  <c r="Z12" i="64"/>
  <c r="AD11" i="64"/>
  <c r="AA11" i="64"/>
  <c r="Z11" i="64"/>
  <c r="W11" i="64"/>
  <c r="AD10" i="64"/>
  <c r="AA10" i="64"/>
  <c r="Z10" i="64"/>
  <c r="W10" i="64"/>
  <c r="AD9" i="64"/>
  <c r="AA9" i="64"/>
  <c r="Z9" i="64"/>
  <c r="W9" i="64"/>
  <c r="AD8" i="64"/>
  <c r="AA8" i="64"/>
  <c r="Z8" i="64"/>
  <c r="P8" i="64"/>
  <c r="H8" i="64"/>
  <c r="AD7" i="64"/>
  <c r="AA7" i="64"/>
  <c r="Z7" i="64"/>
  <c r="O7" i="64"/>
  <c r="N7" i="64"/>
  <c r="M7" i="64"/>
  <c r="G7" i="64"/>
  <c r="F7" i="64"/>
  <c r="H7" i="64" s="1"/>
  <c r="E7" i="64"/>
  <c r="AD6" i="64"/>
  <c r="AA6" i="64"/>
  <c r="Z6" i="64"/>
  <c r="R6" i="64"/>
  <c r="O6" i="64" a="1"/>
  <c r="O6" i="64" s="1"/>
  <c r="N6" i="64" a="1"/>
  <c r="N6" i="64" s="1"/>
  <c r="M6" i="64" a="1"/>
  <c r="M6" i="64" s="1"/>
  <c r="G6" i="64" a="1"/>
  <c r="G6" i="64" s="1"/>
  <c r="F6" i="64" a="1"/>
  <c r="F6" i="64" s="1"/>
  <c r="E6" i="64" a="1"/>
  <c r="E6" i="64" s="1"/>
  <c r="AD5" i="64"/>
  <c r="AA5" i="64"/>
  <c r="Z5" i="64"/>
  <c r="O5" i="64" a="1"/>
  <c r="O5" i="64" s="1"/>
  <c r="N5" i="64" a="1"/>
  <c r="N5" i="64" s="1"/>
  <c r="M5" i="64" a="1"/>
  <c r="M5" i="64" s="1"/>
  <c r="G5" i="64" a="1"/>
  <c r="G5" i="64" s="1"/>
  <c r="F5" i="64" a="1"/>
  <c r="F5" i="64" s="1"/>
  <c r="E5" i="64" a="1"/>
  <c r="E5" i="64" s="1"/>
  <c r="AD4" i="64"/>
  <c r="AA4" i="64"/>
  <c r="Z4" i="64"/>
  <c r="W4" i="64"/>
  <c r="P4" i="64"/>
  <c r="H4" i="64"/>
  <c r="AD3" i="64"/>
  <c r="AD31" i="64" s="1"/>
  <c r="AA3" i="64"/>
  <c r="Z3" i="64"/>
  <c r="W3" i="64"/>
  <c r="H1" i="64" s="1" a="1"/>
  <c r="H1" i="64" s="1"/>
  <c r="AB15" i="67" l="1"/>
  <c r="AB19" i="67"/>
  <c r="AB20" i="67"/>
  <c r="P7" i="67"/>
  <c r="P5" i="67"/>
  <c r="P11" i="67" s="1"/>
  <c r="AB3" i="67"/>
  <c r="AB23" i="67"/>
  <c r="AB4" i="67"/>
  <c r="AB9" i="67"/>
  <c r="AB16" i="67"/>
  <c r="N9" i="67"/>
  <c r="AB13" i="67"/>
  <c r="AB10" i="67"/>
  <c r="AB17" i="67"/>
  <c r="AB28" i="67"/>
  <c r="AB5" i="67"/>
  <c r="AB22" i="67"/>
  <c r="AB25" i="67"/>
  <c r="H6" i="67"/>
  <c r="O9" i="67"/>
  <c r="M9" i="67"/>
  <c r="P6" i="67"/>
  <c r="AB19" i="65"/>
  <c r="AB20" i="65"/>
  <c r="AB15" i="65"/>
  <c r="O9" i="65"/>
  <c r="AB23" i="65"/>
  <c r="AB9" i="65"/>
  <c r="AB27" i="65"/>
  <c r="P5" i="65"/>
  <c r="AB13" i="65"/>
  <c r="AB3" i="65"/>
  <c r="AB17" i="65"/>
  <c r="AB24" i="65"/>
  <c r="AB28" i="65"/>
  <c r="AB14" i="65"/>
  <c r="AB18" i="65"/>
  <c r="AB5" i="65"/>
  <c r="AB22" i="65"/>
  <c r="AB25" i="65"/>
  <c r="H5" i="65"/>
  <c r="M9" i="65"/>
  <c r="P6" i="65"/>
  <c r="N9" i="64"/>
  <c r="AB20" i="64"/>
  <c r="AB3" i="64"/>
  <c r="O9" i="64"/>
  <c r="AB5" i="64"/>
  <c r="AB8" i="64"/>
  <c r="AB11" i="64"/>
  <c r="AB4" i="64"/>
  <c r="AB19" i="64"/>
  <c r="AB12" i="64"/>
  <c r="AB23" i="64"/>
  <c r="AB16" i="64"/>
  <c r="AB27" i="64"/>
  <c r="AB9" i="64"/>
  <c r="P7" i="64"/>
  <c r="AB13" i="64"/>
  <c r="AB7" i="64"/>
  <c r="AB17" i="64"/>
  <c r="AB24" i="64"/>
  <c r="AB28" i="64"/>
  <c r="AB10" i="64"/>
  <c r="AB6" i="64"/>
  <c r="AB25" i="64"/>
  <c r="AB15" i="64"/>
  <c r="AB22" i="64"/>
  <c r="AB14" i="64"/>
  <c r="H6" i="64"/>
  <c r="H5" i="64"/>
  <c r="M9" i="64"/>
  <c r="P6" i="64"/>
  <c r="P5" i="64"/>
  <c r="R8" i="67" l="1" a="1"/>
  <c r="R8" i="67" s="1"/>
  <c r="P9" i="67"/>
  <c r="P12" i="67"/>
  <c r="R2" i="67" a="1"/>
  <c r="R2" i="67" s="1"/>
  <c r="P9" i="65"/>
  <c r="P11" i="65"/>
  <c r="R8" i="65" a="1"/>
  <c r="R8" i="65" s="1"/>
  <c r="R2" i="65" a="1"/>
  <c r="R2" i="65" s="1"/>
  <c r="P12" i="65"/>
  <c r="P11" i="64"/>
  <c r="P9" i="64"/>
  <c r="R8" i="64" a="1"/>
  <c r="R8" i="64" s="1"/>
  <c r="P12" i="64"/>
  <c r="R2" i="64" a="1"/>
  <c r="R2" i="64" s="1"/>
  <c r="AC31" i="63" l="1"/>
  <c r="Y31" i="63"/>
  <c r="AD28" i="63"/>
  <c r="AA28" i="63"/>
  <c r="Z28" i="63"/>
  <c r="AD27" i="63"/>
  <c r="AA27" i="63"/>
  <c r="Z27" i="63"/>
  <c r="AD26" i="63"/>
  <c r="W26" i="63"/>
  <c r="AD25" i="63"/>
  <c r="AA25" i="63"/>
  <c r="Z25" i="63"/>
  <c r="W25" i="63"/>
  <c r="AD24" i="63"/>
  <c r="AA24" i="63"/>
  <c r="Z24" i="63"/>
  <c r="W24" i="63"/>
  <c r="AD23" i="63"/>
  <c r="AA23" i="63"/>
  <c r="Z23" i="63"/>
  <c r="W23" i="63"/>
  <c r="AD22" i="63"/>
  <c r="AA22" i="63"/>
  <c r="Z22" i="63"/>
  <c r="AD21" i="63"/>
  <c r="AA21" i="63"/>
  <c r="Z21" i="63"/>
  <c r="AD20" i="63"/>
  <c r="AA20" i="63"/>
  <c r="Z20" i="63"/>
  <c r="AD19" i="63"/>
  <c r="AA19" i="63"/>
  <c r="Z19" i="63"/>
  <c r="AD18" i="63"/>
  <c r="AA18" i="63"/>
  <c r="Z18" i="63"/>
  <c r="AD17" i="63"/>
  <c r="AA17" i="63"/>
  <c r="Z17" i="63"/>
  <c r="AD16" i="63"/>
  <c r="AA16" i="63"/>
  <c r="Z16" i="63"/>
  <c r="AD15" i="63"/>
  <c r="AA15" i="63"/>
  <c r="Z15" i="63"/>
  <c r="W15" i="63"/>
  <c r="AD14" i="63"/>
  <c r="AA14" i="63"/>
  <c r="Z14" i="63"/>
  <c r="AD13" i="63"/>
  <c r="AA13" i="63"/>
  <c r="Z13" i="63"/>
  <c r="AD12" i="63"/>
  <c r="AA12" i="63"/>
  <c r="Z12" i="63"/>
  <c r="AD11" i="63"/>
  <c r="AA11" i="63"/>
  <c r="Z11" i="63"/>
  <c r="W11" i="63"/>
  <c r="AD10" i="63"/>
  <c r="AA10" i="63"/>
  <c r="Z10" i="63"/>
  <c r="W10" i="63"/>
  <c r="AD9" i="63"/>
  <c r="AA9" i="63"/>
  <c r="Z9" i="63"/>
  <c r="W9" i="63"/>
  <c r="AD8" i="63"/>
  <c r="AA8" i="63"/>
  <c r="Z8" i="63"/>
  <c r="P8" i="63"/>
  <c r="H8" i="63"/>
  <c r="AD7" i="63"/>
  <c r="AA7" i="63"/>
  <c r="Z7" i="63"/>
  <c r="O7" i="63"/>
  <c r="P7" i="63" s="1"/>
  <c r="N7" i="63"/>
  <c r="M7" i="63"/>
  <c r="G7" i="63"/>
  <c r="F7" i="63"/>
  <c r="E7" i="63"/>
  <c r="AD6" i="63"/>
  <c r="AA6" i="63"/>
  <c r="Z6" i="63"/>
  <c r="R6" i="63"/>
  <c r="O6" i="63" a="1"/>
  <c r="O6" i="63" s="1"/>
  <c r="O9" i="63" s="1"/>
  <c r="N6" i="63" a="1"/>
  <c r="N6" i="63" s="1"/>
  <c r="N9" i="63" s="1"/>
  <c r="M6" i="63" a="1"/>
  <c r="M6" i="63" s="1"/>
  <c r="G6" i="63" a="1"/>
  <c r="G6" i="63" s="1"/>
  <c r="F6" i="63" a="1"/>
  <c r="F6" i="63" s="1"/>
  <c r="E6" i="63" a="1"/>
  <c r="E6" i="63" s="1"/>
  <c r="AD5" i="63"/>
  <c r="AA5" i="63"/>
  <c r="Z5" i="63"/>
  <c r="O5" i="63" a="1"/>
  <c r="O5" i="63" s="1"/>
  <c r="N5" i="63" a="1"/>
  <c r="N5" i="63" s="1"/>
  <c r="M5" i="63" a="1"/>
  <c r="M5" i="63" s="1"/>
  <c r="G5" i="63" a="1"/>
  <c r="G5" i="63" s="1"/>
  <c r="F5" i="63" a="1"/>
  <c r="F5" i="63" s="1"/>
  <c r="E5" i="63" a="1"/>
  <c r="E5" i="63" s="1"/>
  <c r="AD4" i="63"/>
  <c r="AA4" i="63"/>
  <c r="Z4" i="63"/>
  <c r="W4" i="63"/>
  <c r="H1" i="63" s="1" a="1"/>
  <c r="H1" i="63" s="1"/>
  <c r="P4" i="63"/>
  <c r="H4" i="63"/>
  <c r="AD3" i="63"/>
  <c r="AD31" i="63" s="1"/>
  <c r="AA3" i="63"/>
  <c r="Z3" i="63"/>
  <c r="W3" i="63"/>
  <c r="AC31" i="62"/>
  <c r="Y31" i="62"/>
  <c r="AD28" i="62"/>
  <c r="AA28" i="62"/>
  <c r="Z28" i="62"/>
  <c r="AD27" i="62"/>
  <c r="AA27" i="62"/>
  <c r="Z27" i="62"/>
  <c r="AD26" i="62"/>
  <c r="W26" i="62"/>
  <c r="AD25" i="62"/>
  <c r="AA25" i="62"/>
  <c r="Z25" i="62"/>
  <c r="W25" i="62"/>
  <c r="AD24" i="62"/>
  <c r="AA24" i="62"/>
  <c r="Z24" i="62"/>
  <c r="W24" i="62"/>
  <c r="AD23" i="62"/>
  <c r="AA23" i="62"/>
  <c r="Z23" i="62"/>
  <c r="W23" i="62"/>
  <c r="AD22" i="62"/>
  <c r="AA22" i="62"/>
  <c r="AB22" i="62" s="1"/>
  <c r="Z22" i="62"/>
  <c r="AD21" i="62"/>
  <c r="AA21" i="62"/>
  <c r="AB21" i="62" s="1"/>
  <c r="Z21" i="62"/>
  <c r="AD20" i="62"/>
  <c r="AA20" i="62"/>
  <c r="Z20" i="62"/>
  <c r="AD19" i="62"/>
  <c r="AA19" i="62"/>
  <c r="Z19" i="62"/>
  <c r="AD18" i="62"/>
  <c r="AA18" i="62"/>
  <c r="AB18" i="62" s="1"/>
  <c r="Z18" i="62"/>
  <c r="AD17" i="62"/>
  <c r="AA17" i="62"/>
  <c r="Z17" i="62"/>
  <c r="AD16" i="62"/>
  <c r="AA16" i="62"/>
  <c r="Z16" i="62"/>
  <c r="AD15" i="62"/>
  <c r="AA15" i="62"/>
  <c r="Z15" i="62"/>
  <c r="W15" i="62"/>
  <c r="AD14" i="62"/>
  <c r="AA14" i="62"/>
  <c r="AB14" i="62" s="1"/>
  <c r="Z14" i="62"/>
  <c r="AD13" i="62"/>
  <c r="AA13" i="62"/>
  <c r="AB13" i="62" s="1"/>
  <c r="Z13" i="62"/>
  <c r="AD12" i="62"/>
  <c r="AA12" i="62"/>
  <c r="AB12" i="62" s="1"/>
  <c r="Z12" i="62"/>
  <c r="AD11" i="62"/>
  <c r="AA11" i="62"/>
  <c r="AB11" i="62" s="1"/>
  <c r="Z11" i="62"/>
  <c r="W11" i="62"/>
  <c r="AD10" i="62"/>
  <c r="AA10" i="62"/>
  <c r="Z10" i="62"/>
  <c r="W10" i="62"/>
  <c r="AD9" i="62"/>
  <c r="AA9" i="62"/>
  <c r="Z9" i="62"/>
  <c r="W9" i="62"/>
  <c r="AD8" i="62"/>
  <c r="AA8" i="62"/>
  <c r="AB8" i="62" s="1"/>
  <c r="Z8" i="62"/>
  <c r="P8" i="62"/>
  <c r="H8" i="62"/>
  <c r="AD7" i="62"/>
  <c r="AA7" i="62"/>
  <c r="AB7" i="62" s="1"/>
  <c r="Z7" i="62"/>
  <c r="O7" i="62"/>
  <c r="P7" i="62" s="1"/>
  <c r="N7" i="62"/>
  <c r="M7" i="62"/>
  <c r="G7" i="62"/>
  <c r="F7" i="62"/>
  <c r="H7" i="62" s="1"/>
  <c r="E7" i="62"/>
  <c r="AD6" i="62"/>
  <c r="AA6" i="62"/>
  <c r="AB6" i="62" s="1"/>
  <c r="Z6" i="62"/>
  <c r="R6" i="62"/>
  <c r="O6" i="62" a="1"/>
  <c r="O6" i="62" s="1"/>
  <c r="N6" i="62" a="1"/>
  <c r="N6" i="62" s="1"/>
  <c r="N9" i="62" s="1"/>
  <c r="M6" i="62" a="1"/>
  <c r="M6" i="62" s="1"/>
  <c r="G6" i="62" a="1"/>
  <c r="G6" i="62" s="1"/>
  <c r="F6" i="62" a="1"/>
  <c r="F6" i="62" s="1"/>
  <c r="E6" i="62" a="1"/>
  <c r="E6" i="62" s="1"/>
  <c r="H6" i="62" s="1"/>
  <c r="AD5" i="62"/>
  <c r="AA5" i="62"/>
  <c r="Z5" i="62"/>
  <c r="O5" i="62" a="1"/>
  <c r="O5" i="62" s="1"/>
  <c r="N5" i="62" a="1"/>
  <c r="N5" i="62" s="1"/>
  <c r="M5" i="62" a="1"/>
  <c r="M5" i="62" s="1"/>
  <c r="G5" i="62" a="1"/>
  <c r="G5" i="62" s="1"/>
  <c r="F5" i="62" a="1"/>
  <c r="F5" i="62" s="1"/>
  <c r="E5" i="62" a="1"/>
  <c r="E5" i="62" s="1"/>
  <c r="AD4" i="62"/>
  <c r="AA4" i="62"/>
  <c r="Z4" i="62"/>
  <c r="W4" i="62"/>
  <c r="P4" i="62"/>
  <c r="H4" i="62"/>
  <c r="AD3" i="62"/>
  <c r="AD31" i="62" s="1"/>
  <c r="AA3" i="62"/>
  <c r="Z3" i="62"/>
  <c r="W3" i="62"/>
  <c r="H1" i="62" a="1"/>
  <c r="H1" i="62" s="1"/>
  <c r="AC31" i="61"/>
  <c r="Y31" i="61"/>
  <c r="AD28" i="61"/>
  <c r="AA28" i="61"/>
  <c r="Z28" i="61"/>
  <c r="AD27" i="61"/>
  <c r="AA27" i="61"/>
  <c r="Z27" i="61"/>
  <c r="AD26" i="61"/>
  <c r="W26" i="61"/>
  <c r="AD25" i="61"/>
  <c r="AA25" i="61"/>
  <c r="Z25" i="61"/>
  <c r="W25" i="61"/>
  <c r="AD24" i="61"/>
  <c r="AA24" i="61"/>
  <c r="Z24" i="61"/>
  <c r="W24" i="61"/>
  <c r="AD23" i="61"/>
  <c r="AA23" i="61"/>
  <c r="Z23" i="61"/>
  <c r="W23" i="61"/>
  <c r="AD22" i="61"/>
  <c r="AA22" i="61"/>
  <c r="Z22" i="61"/>
  <c r="AD21" i="61"/>
  <c r="AA21" i="61"/>
  <c r="Z21" i="61"/>
  <c r="AD20" i="61"/>
  <c r="AA20" i="61"/>
  <c r="Z20" i="61"/>
  <c r="AD19" i="61"/>
  <c r="AA19" i="61"/>
  <c r="Z19" i="61"/>
  <c r="AD18" i="61"/>
  <c r="AA18" i="61"/>
  <c r="Z18" i="61"/>
  <c r="AD17" i="61"/>
  <c r="AA17" i="61"/>
  <c r="Z17" i="61"/>
  <c r="AD16" i="61"/>
  <c r="AA16" i="61"/>
  <c r="Z16" i="61"/>
  <c r="AD15" i="61"/>
  <c r="AA15" i="61"/>
  <c r="Z15" i="61"/>
  <c r="W15" i="61"/>
  <c r="AD14" i="61"/>
  <c r="AA14" i="61"/>
  <c r="Z14" i="61"/>
  <c r="AD13" i="61"/>
  <c r="AA13" i="61"/>
  <c r="Z13" i="61"/>
  <c r="AD12" i="61"/>
  <c r="AA12" i="61"/>
  <c r="Z12" i="61"/>
  <c r="AD11" i="61"/>
  <c r="AA11" i="61"/>
  <c r="Z11" i="61"/>
  <c r="W11" i="61"/>
  <c r="AD10" i="61"/>
  <c r="AA10" i="61"/>
  <c r="Z10" i="61"/>
  <c r="W10" i="61"/>
  <c r="AD9" i="61"/>
  <c r="AA9" i="61"/>
  <c r="Z9" i="61"/>
  <c r="W9" i="61"/>
  <c r="AD8" i="61"/>
  <c r="AA8" i="61"/>
  <c r="Z8" i="61"/>
  <c r="P8" i="61"/>
  <c r="H8" i="61"/>
  <c r="AD7" i="61"/>
  <c r="AA7" i="61"/>
  <c r="Z7" i="61"/>
  <c r="O7" i="61"/>
  <c r="P7" i="61" s="1"/>
  <c r="N7" i="61"/>
  <c r="M7" i="61"/>
  <c r="G7" i="61"/>
  <c r="F7" i="61"/>
  <c r="H7" i="61" s="1"/>
  <c r="E7" i="61"/>
  <c r="AD6" i="61"/>
  <c r="AA6" i="61"/>
  <c r="Z6" i="61"/>
  <c r="R6" i="61"/>
  <c r="O6" i="61" a="1"/>
  <c r="O6" i="61" s="1"/>
  <c r="N6" i="61" a="1"/>
  <c r="N6" i="61" s="1"/>
  <c r="M6" i="61" a="1"/>
  <c r="M6" i="61" s="1"/>
  <c r="G6" i="61" a="1"/>
  <c r="G6" i="61" s="1"/>
  <c r="F6" i="61" a="1"/>
  <c r="F6" i="61" s="1"/>
  <c r="E6" i="61" a="1"/>
  <c r="E6" i="61" s="1"/>
  <c r="AD5" i="61"/>
  <c r="AA5" i="61"/>
  <c r="Z5" i="61"/>
  <c r="O5" i="61" a="1"/>
  <c r="O5" i="61" s="1"/>
  <c r="N5" i="61" a="1"/>
  <c r="N5" i="61" s="1"/>
  <c r="M5" i="61" a="1"/>
  <c r="M5" i="61" s="1"/>
  <c r="G5" i="61" a="1"/>
  <c r="G5" i="61" s="1"/>
  <c r="F5" i="61" a="1"/>
  <c r="F5" i="61" s="1"/>
  <c r="E5" i="61" a="1"/>
  <c r="E5" i="61" s="1"/>
  <c r="AD4" i="61"/>
  <c r="AA4" i="61"/>
  <c r="Z4" i="61"/>
  <c r="W4" i="61"/>
  <c r="P4" i="61"/>
  <c r="H4" i="61"/>
  <c r="AD3" i="61"/>
  <c r="AD31" i="61" s="1"/>
  <c r="AA3" i="61"/>
  <c r="Z3" i="61"/>
  <c r="W3" i="61"/>
  <c r="H1" i="61" a="1"/>
  <c r="H1" i="61" s="1"/>
  <c r="AB11" i="61" l="1"/>
  <c r="AB14" i="61"/>
  <c r="AB6" i="61"/>
  <c r="AB18" i="61"/>
  <c r="AB22" i="61"/>
  <c r="AB7" i="61"/>
  <c r="AB21" i="61"/>
  <c r="AB8" i="61"/>
  <c r="H6" i="61"/>
  <c r="AB12" i="61"/>
  <c r="AB13" i="61"/>
  <c r="N9" i="61"/>
  <c r="AB14" i="63"/>
  <c r="H7" i="63"/>
  <c r="AB8" i="63"/>
  <c r="AB21" i="63"/>
  <c r="AB11" i="63"/>
  <c r="AB10" i="63"/>
  <c r="AB17" i="63"/>
  <c r="AB4" i="63"/>
  <c r="AB15" i="63"/>
  <c r="AB19" i="63"/>
  <c r="AB23" i="63"/>
  <c r="AB27" i="63"/>
  <c r="AB3" i="63"/>
  <c r="AB5" i="63"/>
  <c r="AB16" i="63"/>
  <c r="AB20" i="63"/>
  <c r="AB9" i="63"/>
  <c r="AB7" i="63"/>
  <c r="AB13" i="63"/>
  <c r="AB24" i="63"/>
  <c r="AB28" i="63"/>
  <c r="AB6" i="63"/>
  <c r="AB18" i="63"/>
  <c r="AB22" i="63"/>
  <c r="AB25" i="63"/>
  <c r="AB12" i="63"/>
  <c r="H6" i="63"/>
  <c r="H5" i="63"/>
  <c r="P6" i="63"/>
  <c r="M9" i="63"/>
  <c r="P5" i="63"/>
  <c r="AB17" i="62"/>
  <c r="AB16" i="62"/>
  <c r="O9" i="62"/>
  <c r="AB27" i="62"/>
  <c r="AB20" i="62"/>
  <c r="AB15" i="62"/>
  <c r="AB19" i="62"/>
  <c r="AB5" i="62"/>
  <c r="AB10" i="62"/>
  <c r="AB24" i="62"/>
  <c r="AB28" i="62"/>
  <c r="AB23" i="62"/>
  <c r="AB3" i="62"/>
  <c r="R2" i="62" s="1" a="1"/>
  <c r="R2" i="62" s="1"/>
  <c r="P5" i="62"/>
  <c r="AB4" i="62"/>
  <c r="AB9" i="62"/>
  <c r="AB25" i="62"/>
  <c r="H5" i="62"/>
  <c r="M9" i="62"/>
  <c r="P6" i="62"/>
  <c r="AB3" i="61"/>
  <c r="AB25" i="61"/>
  <c r="AB10" i="61"/>
  <c r="AB5" i="61"/>
  <c r="AB9" i="61"/>
  <c r="AB15" i="61"/>
  <c r="AB19" i="61"/>
  <c r="AB23" i="61"/>
  <c r="AB27" i="61"/>
  <c r="AB16" i="61"/>
  <c r="AB20" i="61"/>
  <c r="AB24" i="61"/>
  <c r="AB28" i="61"/>
  <c r="AB17" i="61"/>
  <c r="AB4" i="61"/>
  <c r="P5" i="61"/>
  <c r="O9" i="61"/>
  <c r="H5" i="61"/>
  <c r="M9" i="61"/>
  <c r="P6" i="61"/>
  <c r="AC31" i="60"/>
  <c r="Y31" i="60"/>
  <c r="AD28" i="60"/>
  <c r="AA28" i="60"/>
  <c r="Z28" i="60"/>
  <c r="AD27" i="60"/>
  <c r="AA27" i="60"/>
  <c r="Z27" i="60"/>
  <c r="AD26" i="60"/>
  <c r="W26" i="60"/>
  <c r="AD25" i="60"/>
  <c r="AA25" i="60"/>
  <c r="Z25" i="60"/>
  <c r="W25" i="60"/>
  <c r="AD24" i="60"/>
  <c r="AA24" i="60"/>
  <c r="Z24" i="60"/>
  <c r="W24" i="60"/>
  <c r="AD23" i="60"/>
  <c r="AA23" i="60"/>
  <c r="Z23" i="60"/>
  <c r="W23" i="60"/>
  <c r="AD22" i="60"/>
  <c r="AA22" i="60"/>
  <c r="Z22" i="60"/>
  <c r="AD21" i="60"/>
  <c r="AA21" i="60"/>
  <c r="AB21" i="60" s="1"/>
  <c r="Z21" i="60"/>
  <c r="AD20" i="60"/>
  <c r="AA20" i="60"/>
  <c r="Z20" i="60"/>
  <c r="AD19" i="60"/>
  <c r="AA19" i="60"/>
  <c r="Z19" i="60"/>
  <c r="AD18" i="60"/>
  <c r="AA18" i="60"/>
  <c r="Z18" i="60"/>
  <c r="AD17" i="60"/>
  <c r="AA17" i="60"/>
  <c r="Z17" i="60"/>
  <c r="AD16" i="60"/>
  <c r="AA16" i="60"/>
  <c r="Z16" i="60"/>
  <c r="AD15" i="60"/>
  <c r="AA15" i="60"/>
  <c r="Z15" i="60"/>
  <c r="W15" i="60"/>
  <c r="AD14" i="60"/>
  <c r="AA14" i="60"/>
  <c r="AB14" i="60" s="1"/>
  <c r="Z14" i="60"/>
  <c r="AD13" i="60"/>
  <c r="AA13" i="60"/>
  <c r="AB13" i="60" s="1"/>
  <c r="Z13" i="60"/>
  <c r="AD12" i="60"/>
  <c r="AA12" i="60"/>
  <c r="AB12" i="60" s="1"/>
  <c r="Z12" i="60"/>
  <c r="AD11" i="60"/>
  <c r="AA11" i="60"/>
  <c r="AB11" i="60" s="1"/>
  <c r="Z11" i="60"/>
  <c r="W11" i="60"/>
  <c r="AD10" i="60"/>
  <c r="AA10" i="60"/>
  <c r="Z10" i="60"/>
  <c r="W10" i="60"/>
  <c r="AD9" i="60"/>
  <c r="AA9" i="60"/>
  <c r="AB9" i="60" s="1"/>
  <c r="Z9" i="60"/>
  <c r="W9" i="60"/>
  <c r="AD8" i="60"/>
  <c r="AA8" i="60"/>
  <c r="AB8" i="60" s="1"/>
  <c r="Z8" i="60"/>
  <c r="P8" i="60"/>
  <c r="H8" i="60"/>
  <c r="AD7" i="60"/>
  <c r="AA7" i="60"/>
  <c r="AB7" i="60" s="1"/>
  <c r="Z7" i="60"/>
  <c r="O7" i="60"/>
  <c r="P7" i="60" s="1"/>
  <c r="N7" i="60"/>
  <c r="M7" i="60"/>
  <c r="H7" i="60"/>
  <c r="G7" i="60"/>
  <c r="F7" i="60"/>
  <c r="E7" i="60"/>
  <c r="AD6" i="60"/>
  <c r="AA6" i="60"/>
  <c r="AB6" i="60" s="1"/>
  <c r="Z6" i="60"/>
  <c r="R6" i="60"/>
  <c r="O6" i="60" a="1"/>
  <c r="O6" i="60" s="1"/>
  <c r="N6" i="60" a="1"/>
  <c r="N6" i="60" s="1"/>
  <c r="N9" i="60" s="1"/>
  <c r="M6" i="60" a="1"/>
  <c r="M6" i="60" s="1"/>
  <c r="G6" i="60" a="1"/>
  <c r="G6" i="60" s="1"/>
  <c r="F6" i="60" a="1"/>
  <c r="F6" i="60" s="1"/>
  <c r="E6" i="60" a="1"/>
  <c r="E6" i="60" s="1"/>
  <c r="AD5" i="60"/>
  <c r="AA5" i="60"/>
  <c r="AB5" i="60" s="1"/>
  <c r="Z5" i="60"/>
  <c r="O5" i="60" a="1"/>
  <c r="O5" i="60" s="1"/>
  <c r="N5" i="60" a="1"/>
  <c r="N5" i="60" s="1"/>
  <c r="M5" i="60" a="1"/>
  <c r="M5" i="60" s="1"/>
  <c r="G5" i="60" a="1"/>
  <c r="G5" i="60" s="1"/>
  <c r="F5" i="60" a="1"/>
  <c r="F5" i="60" s="1"/>
  <c r="E5" i="60" a="1"/>
  <c r="E5" i="60" s="1"/>
  <c r="H5" i="60" s="1"/>
  <c r="AD4" i="60"/>
  <c r="AA4" i="60"/>
  <c r="Z4" i="60"/>
  <c r="W4" i="60"/>
  <c r="P4" i="60"/>
  <c r="H4" i="60"/>
  <c r="AD3" i="60"/>
  <c r="AD31" i="60" s="1"/>
  <c r="AA3" i="60"/>
  <c r="Z3" i="60"/>
  <c r="W3" i="60"/>
  <c r="H1" i="60" s="1" a="1"/>
  <c r="H1" i="60" s="1"/>
  <c r="P11" i="63" l="1"/>
  <c r="P9" i="63"/>
  <c r="R8" i="63" a="1"/>
  <c r="R8" i="63" s="1"/>
  <c r="P12" i="63"/>
  <c r="R2" i="63" a="1"/>
  <c r="R2" i="63" s="1"/>
  <c r="P9" i="62"/>
  <c r="P11" i="62"/>
  <c r="P12" i="62"/>
  <c r="R8" i="62" a="1"/>
  <c r="R8" i="62" s="1"/>
  <c r="R8" i="61" a="1"/>
  <c r="R8" i="61" s="1"/>
  <c r="R2" i="61" a="1"/>
  <c r="R2" i="61" s="1"/>
  <c r="P9" i="61"/>
  <c r="P11" i="61"/>
  <c r="P12" i="61"/>
  <c r="O9" i="60"/>
  <c r="AB15" i="60"/>
  <c r="AB19" i="60"/>
  <c r="AB23" i="60"/>
  <c r="AB27" i="60"/>
  <c r="AB16" i="60"/>
  <c r="AB20" i="60"/>
  <c r="AB10" i="60"/>
  <c r="AB24" i="60"/>
  <c r="AB28" i="60"/>
  <c r="AB17" i="60"/>
  <c r="AB4" i="60"/>
  <c r="P5" i="60"/>
  <c r="P11" i="60" s="1"/>
  <c r="AB3" i="60"/>
  <c r="AB18" i="60"/>
  <c r="AB22" i="60"/>
  <c r="AB25" i="60"/>
  <c r="M9" i="60"/>
  <c r="P6" i="60"/>
  <c r="H6" i="60"/>
  <c r="R8" i="60" l="1" a="1"/>
  <c r="R8" i="60" s="1"/>
  <c r="P9" i="60"/>
  <c r="R2" i="60" a="1"/>
  <c r="R2" i="60" s="1"/>
  <c r="P12" i="60"/>
  <c r="AC31" i="59" l="1"/>
  <c r="Y31" i="59"/>
  <c r="AD28" i="59"/>
  <c r="AA28" i="59"/>
  <c r="Z28" i="59"/>
  <c r="AB28" i="59" s="1"/>
  <c r="AD27" i="59"/>
  <c r="AA27" i="59"/>
  <c r="Z27" i="59"/>
  <c r="AB27" i="59" s="1"/>
  <c r="AD26" i="59"/>
  <c r="W26" i="59"/>
  <c r="AD25" i="59"/>
  <c r="AA25" i="59"/>
  <c r="Z25" i="59"/>
  <c r="AB25" i="59" s="1"/>
  <c r="W25" i="59"/>
  <c r="AD24" i="59"/>
  <c r="AA24" i="59"/>
  <c r="Z24" i="59"/>
  <c r="AB24" i="59" s="1"/>
  <c r="W24" i="59"/>
  <c r="AD23" i="59"/>
  <c r="AA23" i="59"/>
  <c r="Z23" i="59"/>
  <c r="AB23" i="59" s="1"/>
  <c r="W23" i="59"/>
  <c r="AD22" i="59"/>
  <c r="AA22" i="59"/>
  <c r="AB22" i="59" s="1"/>
  <c r="Z22" i="59"/>
  <c r="AD21" i="59"/>
  <c r="AA21" i="59"/>
  <c r="Z21" i="59"/>
  <c r="AB21" i="59" s="1"/>
  <c r="AD20" i="59"/>
  <c r="AA20" i="59"/>
  <c r="Z20" i="59"/>
  <c r="AB20" i="59" s="1"/>
  <c r="AD19" i="59"/>
  <c r="AA19" i="59"/>
  <c r="Z19" i="59"/>
  <c r="AB19" i="59" s="1"/>
  <c r="AD18" i="59"/>
  <c r="AA18" i="59"/>
  <c r="Z18" i="59"/>
  <c r="AD17" i="59"/>
  <c r="AA17" i="59"/>
  <c r="Z17" i="59"/>
  <c r="AB17" i="59" s="1"/>
  <c r="AD16" i="59"/>
  <c r="AA16" i="59"/>
  <c r="Z16" i="59"/>
  <c r="AB16" i="59" s="1"/>
  <c r="AD15" i="59"/>
  <c r="AA15" i="59"/>
  <c r="Z15" i="59"/>
  <c r="AB15" i="59" s="1"/>
  <c r="W15" i="59"/>
  <c r="AD14" i="59"/>
  <c r="AA14" i="59"/>
  <c r="AB14" i="59" s="1"/>
  <c r="Z14" i="59"/>
  <c r="AD13" i="59"/>
  <c r="AB13" i="59"/>
  <c r="AA13" i="59"/>
  <c r="Z13" i="59"/>
  <c r="AD12" i="59"/>
  <c r="AA12" i="59"/>
  <c r="Z12" i="59"/>
  <c r="AD11" i="59"/>
  <c r="AA11" i="59"/>
  <c r="Z11" i="59"/>
  <c r="AB11" i="59" s="1"/>
  <c r="W11" i="59"/>
  <c r="AD10" i="59"/>
  <c r="AA10" i="59"/>
  <c r="Z10" i="59"/>
  <c r="AB10" i="59" s="1"/>
  <c r="W10" i="59"/>
  <c r="AD9" i="59"/>
  <c r="AA9" i="59"/>
  <c r="Z9" i="59"/>
  <c r="AB9" i="59" s="1"/>
  <c r="W9" i="59"/>
  <c r="AD8" i="59"/>
  <c r="AB8" i="59"/>
  <c r="AA8" i="59"/>
  <c r="Z8" i="59"/>
  <c r="P8" i="59"/>
  <c r="H8" i="59"/>
  <c r="AD7" i="59"/>
  <c r="AA7" i="59"/>
  <c r="Z7" i="59"/>
  <c r="AB7" i="59" s="1"/>
  <c r="O7" i="59"/>
  <c r="P7" i="59" s="1"/>
  <c r="N7" i="59"/>
  <c r="M7" i="59"/>
  <c r="G7" i="59"/>
  <c r="F7" i="59"/>
  <c r="H7" i="59" s="1"/>
  <c r="E7" i="59"/>
  <c r="AD6" i="59"/>
  <c r="AA6" i="59"/>
  <c r="Z6" i="59"/>
  <c r="AB6" i="59" s="1"/>
  <c r="R6" i="59"/>
  <c r="O6" i="59" a="1"/>
  <c r="O6" i="59" s="1"/>
  <c r="O9" i="59" s="1"/>
  <c r="N6" i="59" a="1"/>
  <c r="N6" i="59" s="1"/>
  <c r="N9" i="59" s="1"/>
  <c r="M6" i="59" a="1"/>
  <c r="M6" i="59" s="1"/>
  <c r="G6" i="59" a="1"/>
  <c r="G6" i="59" s="1"/>
  <c r="F6" i="59" a="1"/>
  <c r="F6" i="59" s="1"/>
  <c r="E6" i="59" a="1"/>
  <c r="E6" i="59" s="1"/>
  <c r="AD5" i="59"/>
  <c r="AA5" i="59"/>
  <c r="Z5" i="59"/>
  <c r="AB5" i="59" s="1"/>
  <c r="O5" i="59" a="1"/>
  <c r="O5" i="59" s="1"/>
  <c r="N5" i="59" a="1"/>
  <c r="N5" i="59" s="1"/>
  <c r="M5" i="59" a="1"/>
  <c r="M5" i="59" s="1"/>
  <c r="P5" i="59" s="1"/>
  <c r="G5" i="59" a="1"/>
  <c r="G5" i="59" s="1"/>
  <c r="F5" i="59" a="1"/>
  <c r="F5" i="59" s="1"/>
  <c r="E5" i="59" a="1"/>
  <c r="E5" i="59" s="1"/>
  <c r="AD4" i="59"/>
  <c r="AA4" i="59"/>
  <c r="Z4" i="59"/>
  <c r="AB4" i="59" s="1"/>
  <c r="W4" i="59"/>
  <c r="P4" i="59"/>
  <c r="H4" i="59"/>
  <c r="AD3" i="59"/>
  <c r="AD31" i="59" s="1"/>
  <c r="AA3" i="59"/>
  <c r="Z3" i="59"/>
  <c r="AB3" i="59" s="1"/>
  <c r="W3" i="59"/>
  <c r="H1" i="59" s="1" a="1"/>
  <c r="H1" i="59" s="1"/>
  <c r="AB18" i="59" l="1"/>
  <c r="AB12" i="59"/>
  <c r="R2" i="59" s="1" a="1"/>
  <c r="R2" i="59" s="1"/>
  <c r="H5" i="59"/>
  <c r="P11" i="59" s="1"/>
  <c r="M9" i="59"/>
  <c r="P6" i="59"/>
  <c r="P9" i="59" s="1"/>
  <c r="H6" i="59"/>
  <c r="P12" i="59" s="1"/>
  <c r="AC31" i="58"/>
  <c r="Y31" i="58"/>
  <c r="AD28" i="58"/>
  <c r="AA28" i="58"/>
  <c r="Z28" i="58"/>
  <c r="AD27" i="58"/>
  <c r="AA27" i="58"/>
  <c r="Z27" i="58"/>
  <c r="AD26" i="58"/>
  <c r="W26" i="58"/>
  <c r="AD25" i="58"/>
  <c r="AA25" i="58"/>
  <c r="Z25" i="58"/>
  <c r="W25" i="58"/>
  <c r="AD24" i="58"/>
  <c r="AA24" i="58"/>
  <c r="Z24" i="58"/>
  <c r="W24" i="58"/>
  <c r="AD23" i="58"/>
  <c r="AA23" i="58"/>
  <c r="Z23" i="58"/>
  <c r="W23" i="58"/>
  <c r="AD22" i="58"/>
  <c r="AA22" i="58"/>
  <c r="Z22" i="58"/>
  <c r="AD21" i="58"/>
  <c r="AA21" i="58"/>
  <c r="Z21" i="58"/>
  <c r="AD20" i="58"/>
  <c r="AA20" i="58"/>
  <c r="Z20" i="58"/>
  <c r="AD19" i="58"/>
  <c r="AA19" i="58"/>
  <c r="Z19" i="58"/>
  <c r="AD18" i="58"/>
  <c r="AA18" i="58"/>
  <c r="Z18" i="58"/>
  <c r="AD17" i="58"/>
  <c r="AA17" i="58"/>
  <c r="Z17" i="58"/>
  <c r="AD16" i="58"/>
  <c r="AA16" i="58"/>
  <c r="Z16" i="58"/>
  <c r="AD15" i="58"/>
  <c r="AA15" i="58"/>
  <c r="Z15" i="58"/>
  <c r="W15" i="58"/>
  <c r="AD14" i="58"/>
  <c r="AA14" i="58"/>
  <c r="Z14" i="58"/>
  <c r="AD13" i="58"/>
  <c r="AA13" i="58"/>
  <c r="Z13" i="58"/>
  <c r="AD12" i="58"/>
  <c r="AA12" i="58"/>
  <c r="Z12" i="58"/>
  <c r="AD11" i="58"/>
  <c r="AA11" i="58"/>
  <c r="Z11" i="58"/>
  <c r="W11" i="58"/>
  <c r="AD10" i="58"/>
  <c r="AA10" i="58"/>
  <c r="Z10" i="58"/>
  <c r="W10" i="58"/>
  <c r="AD9" i="58"/>
  <c r="AA9" i="58"/>
  <c r="Z9" i="58"/>
  <c r="W9" i="58"/>
  <c r="AD8" i="58"/>
  <c r="AA8" i="58"/>
  <c r="Z8" i="58"/>
  <c r="P8" i="58"/>
  <c r="H8" i="58"/>
  <c r="AD7" i="58"/>
  <c r="AA7" i="58"/>
  <c r="Z7" i="58"/>
  <c r="O7" i="58"/>
  <c r="N7" i="58"/>
  <c r="M7" i="58"/>
  <c r="G7" i="58"/>
  <c r="F7" i="58"/>
  <c r="H7" i="58" s="1"/>
  <c r="E7" i="58"/>
  <c r="AD6" i="58"/>
  <c r="AA6" i="58"/>
  <c r="Z6" i="58"/>
  <c r="R6" i="58"/>
  <c r="O6" i="58" a="1"/>
  <c r="O6" i="58" s="1"/>
  <c r="O9" i="58" s="1"/>
  <c r="N6" i="58" a="1"/>
  <c r="N6" i="58" s="1"/>
  <c r="N9" i="58" s="1"/>
  <c r="M6" i="58" a="1"/>
  <c r="M6" i="58" s="1"/>
  <c r="G6" i="58" a="1"/>
  <c r="G6" i="58" s="1"/>
  <c r="F6" i="58" a="1"/>
  <c r="F6" i="58" s="1"/>
  <c r="E6" i="58" a="1"/>
  <c r="E6" i="58" s="1"/>
  <c r="AD5" i="58"/>
  <c r="AA5" i="58"/>
  <c r="Z5" i="58"/>
  <c r="O5" i="58" a="1"/>
  <c r="O5" i="58" s="1"/>
  <c r="N5" i="58" a="1"/>
  <c r="N5" i="58" s="1"/>
  <c r="M5" i="58" a="1"/>
  <c r="M5" i="58" s="1"/>
  <c r="G5" i="58" a="1"/>
  <c r="G5" i="58" s="1"/>
  <c r="F5" i="58" a="1"/>
  <c r="F5" i="58" s="1"/>
  <c r="E5" i="58" a="1"/>
  <c r="E5" i="58" s="1"/>
  <c r="AD4" i="58"/>
  <c r="AA4" i="58"/>
  <c r="Z4" i="58"/>
  <c r="W4" i="58"/>
  <c r="P4" i="58"/>
  <c r="H4" i="58"/>
  <c r="AD3" i="58"/>
  <c r="AD31" i="58" s="1"/>
  <c r="AA3" i="58"/>
  <c r="Z3" i="58"/>
  <c r="W3" i="58"/>
  <c r="H1" i="58" a="1"/>
  <c r="H1" i="58" s="1"/>
  <c r="AC31" i="57"/>
  <c r="Y31" i="57"/>
  <c r="AD28" i="57"/>
  <c r="AA28" i="57"/>
  <c r="Z28" i="57"/>
  <c r="AD27" i="57"/>
  <c r="AA27" i="57"/>
  <c r="Z27" i="57"/>
  <c r="AD26" i="57"/>
  <c r="W26" i="57"/>
  <c r="AD25" i="57"/>
  <c r="AA25" i="57"/>
  <c r="Z25" i="57"/>
  <c r="W25" i="57"/>
  <c r="AD24" i="57"/>
  <c r="AA24" i="57"/>
  <c r="Z24" i="57"/>
  <c r="W24" i="57"/>
  <c r="AD23" i="57"/>
  <c r="AA23" i="57"/>
  <c r="Z23" i="57"/>
  <c r="W23" i="57"/>
  <c r="AD22" i="57"/>
  <c r="AA22" i="57"/>
  <c r="Z22" i="57"/>
  <c r="AD21" i="57"/>
  <c r="AA21" i="57"/>
  <c r="Z21" i="57"/>
  <c r="AB21" i="57" s="1"/>
  <c r="AD20" i="57"/>
  <c r="AA20" i="57"/>
  <c r="Z20" i="57"/>
  <c r="AD19" i="57"/>
  <c r="AA19" i="57"/>
  <c r="Z19" i="57"/>
  <c r="AD18" i="57"/>
  <c r="AA18" i="57"/>
  <c r="Z18" i="57"/>
  <c r="AD17" i="57"/>
  <c r="AA17" i="57"/>
  <c r="Z17" i="57"/>
  <c r="AD16" i="57"/>
  <c r="AA16" i="57"/>
  <c r="Z16" i="57"/>
  <c r="AD15" i="57"/>
  <c r="AA15" i="57"/>
  <c r="Z15" i="57"/>
  <c r="W15" i="57"/>
  <c r="AD14" i="57"/>
  <c r="AA14" i="57"/>
  <c r="Z14" i="57"/>
  <c r="AD13" i="57"/>
  <c r="AA13" i="57"/>
  <c r="Z13" i="57"/>
  <c r="AD12" i="57"/>
  <c r="AA12" i="57"/>
  <c r="Z12" i="57"/>
  <c r="AD11" i="57"/>
  <c r="AA11" i="57"/>
  <c r="Z11" i="57"/>
  <c r="W11" i="57"/>
  <c r="AD10" i="57"/>
  <c r="AA10" i="57"/>
  <c r="Z10" i="57"/>
  <c r="W10" i="57"/>
  <c r="AD9" i="57"/>
  <c r="AA9" i="57"/>
  <c r="Z9" i="57"/>
  <c r="W9" i="57"/>
  <c r="AD8" i="57"/>
  <c r="AA8" i="57"/>
  <c r="Z8" i="57"/>
  <c r="P8" i="57"/>
  <c r="H8" i="57"/>
  <c r="AD7" i="57"/>
  <c r="AA7" i="57"/>
  <c r="Z7" i="57"/>
  <c r="O7" i="57"/>
  <c r="P7" i="57" s="1"/>
  <c r="N7" i="57"/>
  <c r="M7" i="57"/>
  <c r="G7" i="57"/>
  <c r="F7" i="57"/>
  <c r="E7" i="57"/>
  <c r="AD6" i="57"/>
  <c r="AA6" i="57"/>
  <c r="Z6" i="57"/>
  <c r="R6" i="57"/>
  <c r="O6" i="57" a="1"/>
  <c r="O6" i="57" s="1"/>
  <c r="N6" i="57" a="1"/>
  <c r="N6" i="57" s="1"/>
  <c r="N9" i="57" s="1"/>
  <c r="M6" i="57" a="1"/>
  <c r="M6" i="57" s="1"/>
  <c r="G6" i="57" a="1"/>
  <c r="G6" i="57" s="1"/>
  <c r="F6" i="57" a="1"/>
  <c r="F6" i="57" s="1"/>
  <c r="E6" i="57" a="1"/>
  <c r="E6" i="57" s="1"/>
  <c r="AD5" i="57"/>
  <c r="AA5" i="57"/>
  <c r="Z5" i="57"/>
  <c r="O5" i="57" a="1"/>
  <c r="O5" i="57" s="1"/>
  <c r="N5" i="57" a="1"/>
  <c r="N5" i="57" s="1"/>
  <c r="M5" i="57" a="1"/>
  <c r="M5" i="57" s="1"/>
  <c r="G5" i="57" a="1"/>
  <c r="G5" i="57" s="1"/>
  <c r="F5" i="57" a="1"/>
  <c r="F5" i="57" s="1"/>
  <c r="E5" i="57" a="1"/>
  <c r="E5" i="57" s="1"/>
  <c r="AD4" i="57"/>
  <c r="AA4" i="57"/>
  <c r="Z4" i="57"/>
  <c r="W4" i="57"/>
  <c r="P4" i="57"/>
  <c r="H4" i="57"/>
  <c r="AD3" i="57"/>
  <c r="AD31" i="57" s="1"/>
  <c r="AA3" i="57"/>
  <c r="Z3" i="57"/>
  <c r="W3" i="57"/>
  <c r="H1" i="57" a="1"/>
  <c r="H1" i="57" s="1"/>
  <c r="W11" i="56"/>
  <c r="P5" i="58" l="1"/>
  <c r="P7" i="58"/>
  <c r="AB11" i="58"/>
  <c r="AB12" i="58"/>
  <c r="AB21" i="58"/>
  <c r="AB14" i="58"/>
  <c r="AB7" i="58"/>
  <c r="AB6" i="58"/>
  <c r="AB18" i="58"/>
  <c r="AB22" i="58"/>
  <c r="AB8" i="58"/>
  <c r="H5" i="58"/>
  <c r="P11" i="58" s="1"/>
  <c r="H6" i="58"/>
  <c r="AB3" i="58"/>
  <c r="AB4" i="58"/>
  <c r="AB20" i="58"/>
  <c r="R8" i="59" a="1"/>
  <c r="R8" i="59" s="1"/>
  <c r="AB5" i="58"/>
  <c r="AB15" i="58"/>
  <c r="AB19" i="58"/>
  <c r="AB23" i="58"/>
  <c r="AB27" i="58"/>
  <c r="AB16" i="58"/>
  <c r="AB9" i="58"/>
  <c r="AB10" i="58"/>
  <c r="AB13" i="58"/>
  <c r="AB24" i="58"/>
  <c r="AB28" i="58"/>
  <c r="AB17" i="58"/>
  <c r="AB25" i="58"/>
  <c r="M9" i="58"/>
  <c r="P6" i="58"/>
  <c r="P9" i="58" s="1"/>
  <c r="AB10" i="57"/>
  <c r="AB17" i="57"/>
  <c r="AB27" i="57"/>
  <c r="AB20" i="57"/>
  <c r="AB25" i="57"/>
  <c r="AB5" i="57"/>
  <c r="AB8" i="57"/>
  <c r="AB11" i="57"/>
  <c r="AB15" i="57"/>
  <c r="AB19" i="57"/>
  <c r="AB23" i="57"/>
  <c r="AB4" i="57"/>
  <c r="AB16" i="57"/>
  <c r="AB9" i="57"/>
  <c r="AB13" i="57"/>
  <c r="AB24" i="57"/>
  <c r="AB28" i="57"/>
  <c r="O9" i="57"/>
  <c r="AB3" i="57"/>
  <c r="P5" i="57"/>
  <c r="AB14" i="57"/>
  <c r="H6" i="57"/>
  <c r="AB7" i="57"/>
  <c r="AB6" i="57"/>
  <c r="H5" i="57"/>
  <c r="AB12" i="57"/>
  <c r="AB18" i="57"/>
  <c r="H7" i="57"/>
  <c r="AB22" i="57"/>
  <c r="M9" i="57"/>
  <c r="P6" i="57"/>
  <c r="R2" i="58" l="1" a="1"/>
  <c r="R2" i="58" s="1"/>
  <c r="P12" i="58"/>
  <c r="R8" i="58" a="1"/>
  <c r="R8" i="58" s="1"/>
  <c r="R2" i="57" a="1"/>
  <c r="R2" i="57" s="1"/>
  <c r="P11" i="57"/>
  <c r="P9" i="57"/>
  <c r="P12" i="57"/>
  <c r="R8" i="57" a="1"/>
  <c r="R8" i="57" s="1"/>
  <c r="AC31" i="56" l="1"/>
  <c r="Y31" i="56"/>
  <c r="AD28" i="56"/>
  <c r="AA28" i="56"/>
  <c r="Z28" i="56"/>
  <c r="AD27" i="56"/>
  <c r="AA27" i="56"/>
  <c r="Z27" i="56"/>
  <c r="AD26" i="56"/>
  <c r="W26" i="56"/>
  <c r="AD25" i="56"/>
  <c r="AA25" i="56"/>
  <c r="Z25" i="56"/>
  <c r="W25" i="56"/>
  <c r="AD24" i="56"/>
  <c r="AA24" i="56"/>
  <c r="Z24" i="56"/>
  <c r="W24" i="56"/>
  <c r="AD23" i="56"/>
  <c r="AA23" i="56"/>
  <c r="Z23" i="56"/>
  <c r="W23" i="56"/>
  <c r="AD22" i="56"/>
  <c r="AA22" i="56"/>
  <c r="Z22" i="56"/>
  <c r="AD21" i="56"/>
  <c r="AA21" i="56"/>
  <c r="Z21" i="56"/>
  <c r="AD20" i="56"/>
  <c r="AA20" i="56"/>
  <c r="Z20" i="56"/>
  <c r="AD19" i="56"/>
  <c r="AA19" i="56"/>
  <c r="Z19" i="56"/>
  <c r="AD18" i="56"/>
  <c r="AA18" i="56"/>
  <c r="Z18" i="56"/>
  <c r="AD17" i="56"/>
  <c r="AA17" i="56"/>
  <c r="Z17" i="56"/>
  <c r="AD16" i="56"/>
  <c r="AA16" i="56"/>
  <c r="Z16" i="56"/>
  <c r="AD15" i="56"/>
  <c r="AA15" i="56"/>
  <c r="Z15" i="56"/>
  <c r="W15" i="56"/>
  <c r="AD14" i="56"/>
  <c r="AA14" i="56"/>
  <c r="Z14" i="56"/>
  <c r="AD13" i="56"/>
  <c r="AA13" i="56"/>
  <c r="Z13" i="56"/>
  <c r="AD12" i="56"/>
  <c r="AA12" i="56"/>
  <c r="Z12" i="56"/>
  <c r="AD11" i="56"/>
  <c r="AA11" i="56"/>
  <c r="Z11" i="56"/>
  <c r="AD10" i="56"/>
  <c r="AA10" i="56"/>
  <c r="Z10" i="56"/>
  <c r="W10" i="56"/>
  <c r="AD9" i="56"/>
  <c r="AA9" i="56"/>
  <c r="Z9" i="56"/>
  <c r="W9" i="56"/>
  <c r="AD8" i="56"/>
  <c r="AA8" i="56"/>
  <c r="Z8" i="56"/>
  <c r="P8" i="56"/>
  <c r="H8" i="56"/>
  <c r="AD7" i="56"/>
  <c r="AA7" i="56"/>
  <c r="Z7" i="56"/>
  <c r="O7" i="56"/>
  <c r="P7" i="56" s="1"/>
  <c r="N7" i="56"/>
  <c r="M7" i="56"/>
  <c r="G7" i="56"/>
  <c r="F7" i="56"/>
  <c r="E7" i="56"/>
  <c r="AD6" i="56"/>
  <c r="AA6" i="56"/>
  <c r="Z6" i="56"/>
  <c r="R6" i="56"/>
  <c r="O6" i="56" a="1"/>
  <c r="O6" i="56" s="1"/>
  <c r="N6" i="56" a="1"/>
  <c r="N6" i="56" s="1"/>
  <c r="M6" i="56" a="1"/>
  <c r="M6" i="56" s="1"/>
  <c r="G6" i="56" a="1"/>
  <c r="G6" i="56" s="1"/>
  <c r="F6" i="56" a="1"/>
  <c r="F6" i="56" s="1"/>
  <c r="E6" i="56" a="1"/>
  <c r="E6" i="56" s="1"/>
  <c r="AD5" i="56"/>
  <c r="AA5" i="56"/>
  <c r="Z5" i="56"/>
  <c r="O5" i="56" a="1"/>
  <c r="O5" i="56" s="1"/>
  <c r="N5" i="56" a="1"/>
  <c r="N5" i="56" s="1"/>
  <c r="M5" i="56" a="1"/>
  <c r="M5" i="56" s="1"/>
  <c r="G5" i="56"/>
  <c r="G5" i="56" a="1"/>
  <c r="F5" i="56" a="1"/>
  <c r="F5" i="56" s="1"/>
  <c r="E5" i="56" a="1"/>
  <c r="E5" i="56" s="1"/>
  <c r="AD4" i="56"/>
  <c r="AA4" i="56"/>
  <c r="Z4" i="56"/>
  <c r="W4" i="56"/>
  <c r="P4" i="56"/>
  <c r="H4" i="56"/>
  <c r="AD3" i="56"/>
  <c r="AD31" i="56" s="1"/>
  <c r="AA3" i="56"/>
  <c r="Z3" i="56"/>
  <c r="W3" i="56"/>
  <c r="H1" i="56" a="1"/>
  <c r="H1" i="56" s="1"/>
  <c r="AB14" i="56" l="1"/>
  <c r="AB8" i="56"/>
  <c r="AB11" i="56"/>
  <c r="AB12" i="56"/>
  <c r="H5" i="56"/>
  <c r="AB21" i="56"/>
  <c r="H6" i="56"/>
  <c r="AB7" i="56"/>
  <c r="AB18" i="56"/>
  <c r="AB22" i="56"/>
  <c r="H7" i="56"/>
  <c r="AB15" i="56"/>
  <c r="AB19" i="56"/>
  <c r="AB5" i="56"/>
  <c r="AB9" i="56"/>
  <c r="AB23" i="56"/>
  <c r="AB27" i="56"/>
  <c r="AB16" i="56"/>
  <c r="AB20" i="56"/>
  <c r="AB3" i="56"/>
  <c r="AB6" i="56"/>
  <c r="AB10" i="56"/>
  <c r="AB13" i="56"/>
  <c r="AB24" i="56"/>
  <c r="AB28" i="56"/>
  <c r="AB17" i="56"/>
  <c r="AB4" i="56"/>
  <c r="AB25" i="56"/>
  <c r="M9" i="56"/>
  <c r="P6" i="56"/>
  <c r="N9" i="56"/>
  <c r="O9" i="56"/>
  <c r="P5" i="56"/>
  <c r="P11" i="56" l="1"/>
  <c r="P9" i="56"/>
  <c r="R2" i="56" a="1"/>
  <c r="R2" i="56" s="1"/>
  <c r="R8" i="56" a="1"/>
  <c r="R8" i="56" s="1"/>
  <c r="P12" i="56"/>
  <c r="AC31" i="55" l="1"/>
  <c r="Y31" i="55"/>
  <c r="AD28" i="55"/>
  <c r="AA28" i="55"/>
  <c r="Z28" i="55"/>
  <c r="AD27" i="55"/>
  <c r="AA27" i="55"/>
  <c r="Z27" i="55"/>
  <c r="AD26" i="55"/>
  <c r="W26" i="55"/>
  <c r="AD25" i="55"/>
  <c r="AA25" i="55"/>
  <c r="Z25" i="55"/>
  <c r="W25" i="55"/>
  <c r="AD24" i="55"/>
  <c r="AA24" i="55"/>
  <c r="Z24" i="55"/>
  <c r="W24" i="55"/>
  <c r="AD23" i="55"/>
  <c r="AA23" i="55"/>
  <c r="Z23" i="55"/>
  <c r="W23" i="55"/>
  <c r="AD22" i="55"/>
  <c r="AA22" i="55"/>
  <c r="Z22" i="55"/>
  <c r="AD21" i="55"/>
  <c r="AA21" i="55"/>
  <c r="Z21" i="55"/>
  <c r="AD20" i="55"/>
  <c r="AA20" i="55"/>
  <c r="Z20" i="55"/>
  <c r="AD19" i="55"/>
  <c r="AA19" i="55"/>
  <c r="Z19" i="55"/>
  <c r="AD18" i="55"/>
  <c r="AA18" i="55"/>
  <c r="Z18" i="55"/>
  <c r="AD17" i="55"/>
  <c r="AA17" i="55"/>
  <c r="Z17" i="55"/>
  <c r="AD16" i="55"/>
  <c r="AA16" i="55"/>
  <c r="Z16" i="55"/>
  <c r="AD15" i="55"/>
  <c r="AA15" i="55"/>
  <c r="Z15" i="55"/>
  <c r="W15" i="55"/>
  <c r="AD14" i="55"/>
  <c r="AA14" i="55"/>
  <c r="Z14" i="55"/>
  <c r="AD13" i="55"/>
  <c r="AA13" i="55"/>
  <c r="Z13" i="55"/>
  <c r="AD12" i="55"/>
  <c r="AA12" i="55"/>
  <c r="Z12" i="55"/>
  <c r="AD11" i="55"/>
  <c r="AA11" i="55"/>
  <c r="Z11" i="55"/>
  <c r="W11" i="55"/>
  <c r="AD10" i="55"/>
  <c r="AA10" i="55"/>
  <c r="Z10" i="55"/>
  <c r="W10" i="55"/>
  <c r="AD9" i="55"/>
  <c r="AA9" i="55"/>
  <c r="Z9" i="55"/>
  <c r="W9" i="55"/>
  <c r="AD8" i="55"/>
  <c r="AA8" i="55"/>
  <c r="Z8" i="55"/>
  <c r="P8" i="55"/>
  <c r="H8" i="55"/>
  <c r="AD7" i="55"/>
  <c r="AA7" i="55"/>
  <c r="Z7" i="55"/>
  <c r="O7" i="55"/>
  <c r="N7" i="55"/>
  <c r="M7" i="55"/>
  <c r="P7" i="55" s="1"/>
  <c r="G7" i="55"/>
  <c r="F7" i="55"/>
  <c r="E7" i="55"/>
  <c r="AD6" i="55"/>
  <c r="AA6" i="55"/>
  <c r="Z6" i="55"/>
  <c r="R6" i="55"/>
  <c r="O6" i="55" a="1"/>
  <c r="O6" i="55" s="1"/>
  <c r="N6" i="55" a="1"/>
  <c r="N6" i="55" s="1"/>
  <c r="M6" i="55" a="1"/>
  <c r="M6" i="55" s="1"/>
  <c r="G6" i="55" a="1"/>
  <c r="G6" i="55" s="1"/>
  <c r="F6" i="55" a="1"/>
  <c r="F6" i="55" s="1"/>
  <c r="E6" i="55" a="1"/>
  <c r="E6" i="55" s="1"/>
  <c r="AD5" i="55"/>
  <c r="AA5" i="55"/>
  <c r="Z5" i="55"/>
  <c r="O5" i="55" a="1"/>
  <c r="O5" i="55" s="1"/>
  <c r="N5" i="55" a="1"/>
  <c r="N5" i="55" s="1"/>
  <c r="M5" i="55" a="1"/>
  <c r="M5" i="55" s="1"/>
  <c r="G5" i="55" a="1"/>
  <c r="G5" i="55" s="1"/>
  <c r="F5" i="55" a="1"/>
  <c r="F5" i="55" s="1"/>
  <c r="E5" i="55" a="1"/>
  <c r="E5" i="55" s="1"/>
  <c r="AD4" i="55"/>
  <c r="AA4" i="55"/>
  <c r="Z4" i="55"/>
  <c r="W4" i="55"/>
  <c r="P4" i="55"/>
  <c r="H4" i="55"/>
  <c r="AD3" i="55"/>
  <c r="AD31" i="55" s="1"/>
  <c r="AA3" i="55"/>
  <c r="Z3" i="55"/>
  <c r="W3" i="55"/>
  <c r="H1" i="55" a="1"/>
  <c r="H1" i="55" s="1"/>
  <c r="AC31" i="54"/>
  <c r="Y31" i="54"/>
  <c r="AD28" i="54"/>
  <c r="AA28" i="54"/>
  <c r="Z28" i="54"/>
  <c r="AB28" i="54" s="1"/>
  <c r="AD27" i="54"/>
  <c r="AA27" i="54"/>
  <c r="Z27" i="54"/>
  <c r="AB27" i="54" s="1"/>
  <c r="AD26" i="54"/>
  <c r="W26" i="54"/>
  <c r="AD25" i="54"/>
  <c r="AA25" i="54"/>
  <c r="Z25" i="54"/>
  <c r="AB25" i="54" s="1"/>
  <c r="W25" i="54"/>
  <c r="AD24" i="54"/>
  <c r="AA24" i="54"/>
  <c r="Z24" i="54"/>
  <c r="AB24" i="54" s="1"/>
  <c r="W24" i="54"/>
  <c r="AD23" i="54"/>
  <c r="AA23" i="54"/>
  <c r="Z23" i="54"/>
  <c r="AB23" i="54" s="1"/>
  <c r="W23" i="54"/>
  <c r="AD22" i="54"/>
  <c r="AA22" i="54"/>
  <c r="Z22" i="54"/>
  <c r="AB22" i="54" s="1"/>
  <c r="AD21" i="54"/>
  <c r="AA21" i="54"/>
  <c r="Z21" i="54"/>
  <c r="AD20" i="54"/>
  <c r="AA20" i="54"/>
  <c r="Z20" i="54"/>
  <c r="AD19" i="54"/>
  <c r="AA19" i="54"/>
  <c r="Z19" i="54"/>
  <c r="AB19" i="54" s="1"/>
  <c r="AD18" i="54"/>
  <c r="AA18" i="54"/>
  <c r="Z18" i="54"/>
  <c r="AD17" i="54"/>
  <c r="AA17" i="54"/>
  <c r="Z17" i="54"/>
  <c r="AD16" i="54"/>
  <c r="AA16" i="54"/>
  <c r="Z16" i="54"/>
  <c r="AB16" i="54" s="1"/>
  <c r="AD15" i="54"/>
  <c r="AA15" i="54"/>
  <c r="Z15" i="54"/>
  <c r="AB15" i="54" s="1"/>
  <c r="W15" i="54"/>
  <c r="AD14" i="54"/>
  <c r="AB14" i="54"/>
  <c r="AA14" i="54"/>
  <c r="Z14" i="54"/>
  <c r="AD13" i="54"/>
  <c r="AA13" i="54"/>
  <c r="Z13" i="54"/>
  <c r="AD12" i="54"/>
  <c r="AA12" i="54"/>
  <c r="Z12" i="54"/>
  <c r="AB12" i="54" s="1"/>
  <c r="AD11" i="54"/>
  <c r="AA11" i="54"/>
  <c r="Z11" i="54"/>
  <c r="AB11" i="54" s="1"/>
  <c r="W11" i="54"/>
  <c r="AD10" i="54"/>
  <c r="AA10" i="54"/>
  <c r="Z10" i="54"/>
  <c r="AB10" i="54" s="1"/>
  <c r="W10" i="54"/>
  <c r="AD9" i="54"/>
  <c r="AA9" i="54"/>
  <c r="Z9" i="54"/>
  <c r="AB9" i="54" s="1"/>
  <c r="W9" i="54"/>
  <c r="AD8" i="54"/>
  <c r="AA8" i="54"/>
  <c r="Z8" i="54"/>
  <c r="AB8" i="54" s="1"/>
  <c r="P8" i="54"/>
  <c r="H8" i="54"/>
  <c r="AD7" i="54"/>
  <c r="AA7" i="54"/>
  <c r="Z7" i="54"/>
  <c r="AB7" i="54" s="1"/>
  <c r="O7" i="54"/>
  <c r="P7" i="54" s="1"/>
  <c r="N7" i="54"/>
  <c r="M7" i="54"/>
  <c r="G7" i="54"/>
  <c r="F7" i="54"/>
  <c r="E7" i="54"/>
  <c r="AD6" i="54"/>
  <c r="AA6" i="54"/>
  <c r="Z6" i="54"/>
  <c r="AB6" i="54" s="1"/>
  <c r="R6" i="54"/>
  <c r="O6" i="54" a="1"/>
  <c r="O6" i="54" s="1"/>
  <c r="O9" i="54" s="1"/>
  <c r="N6" i="54" a="1"/>
  <c r="N6" i="54" s="1"/>
  <c r="M6" i="54" a="1"/>
  <c r="M6" i="54" s="1"/>
  <c r="G6" i="54" a="1"/>
  <c r="G6" i="54" s="1"/>
  <c r="F6" i="54" a="1"/>
  <c r="F6" i="54" s="1"/>
  <c r="E6" i="54" a="1"/>
  <c r="E6" i="54" s="1"/>
  <c r="AD5" i="54"/>
  <c r="AA5" i="54"/>
  <c r="Z5" i="54"/>
  <c r="O5" i="54" a="1"/>
  <c r="O5" i="54" s="1"/>
  <c r="N5" i="54" a="1"/>
  <c r="N5" i="54" s="1"/>
  <c r="M5" i="54" a="1"/>
  <c r="M5" i="54" s="1"/>
  <c r="P5" i="54" s="1"/>
  <c r="G5" i="54" a="1"/>
  <c r="G5" i="54" s="1"/>
  <c r="F5" i="54" a="1"/>
  <c r="F5" i="54" s="1"/>
  <c r="E5" i="54" a="1"/>
  <c r="E5" i="54" s="1"/>
  <c r="AD4" i="54"/>
  <c r="AA4" i="54"/>
  <c r="Z4" i="54"/>
  <c r="AB4" i="54" s="1"/>
  <c r="W4" i="54"/>
  <c r="P4" i="54"/>
  <c r="H4" i="54"/>
  <c r="AD3" i="54"/>
  <c r="AD31" i="54" s="1"/>
  <c r="AA3" i="54"/>
  <c r="Z3" i="54"/>
  <c r="AB3" i="54" s="1"/>
  <c r="W3" i="54"/>
  <c r="H1" i="54" a="1"/>
  <c r="H1" i="54" s="1"/>
  <c r="AB10" i="55" l="1"/>
  <c r="AB5" i="55"/>
  <c r="AB12" i="55"/>
  <c r="AB27" i="55"/>
  <c r="AB24" i="55"/>
  <c r="AB28" i="55"/>
  <c r="AB17" i="55"/>
  <c r="AB7" i="55"/>
  <c r="AB3" i="55"/>
  <c r="AB8" i="55"/>
  <c r="AB11" i="55"/>
  <c r="AB15" i="55"/>
  <c r="AB19" i="55"/>
  <c r="AB4" i="55"/>
  <c r="AB23" i="55"/>
  <c r="AB9" i="55"/>
  <c r="AB16" i="55"/>
  <c r="AB20" i="55"/>
  <c r="AB6" i="55"/>
  <c r="AB22" i="55"/>
  <c r="AB25" i="55"/>
  <c r="H6" i="55"/>
  <c r="H7" i="55"/>
  <c r="AB14" i="55"/>
  <c r="AB18" i="55"/>
  <c r="AB13" i="55"/>
  <c r="AB21" i="55"/>
  <c r="H5" i="55"/>
  <c r="M9" i="55"/>
  <c r="P6" i="55"/>
  <c r="N9" i="55"/>
  <c r="O9" i="55"/>
  <c r="P5" i="55"/>
  <c r="H7" i="54"/>
  <c r="H5" i="54"/>
  <c r="P11" i="54" s="1"/>
  <c r="AB13" i="54"/>
  <c r="AB18" i="54"/>
  <c r="AB5" i="54"/>
  <c r="AB20" i="54"/>
  <c r="AB17" i="54"/>
  <c r="AB21" i="54"/>
  <c r="N9" i="54"/>
  <c r="M9" i="54"/>
  <c r="P6" i="54"/>
  <c r="P9" i="54" s="1"/>
  <c r="H6" i="54"/>
  <c r="P12" i="54" s="1"/>
  <c r="P11" i="55" l="1"/>
  <c r="P12" i="55"/>
  <c r="R2" i="55" a="1"/>
  <c r="R2" i="55" s="1"/>
  <c r="R8" i="55" a="1"/>
  <c r="R8" i="55" s="1"/>
  <c r="P9" i="55"/>
  <c r="R2" i="54" a="1"/>
  <c r="R2" i="54" s="1"/>
  <c r="R8" i="54" a="1"/>
  <c r="R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<sst xmlns="http://schemas.openxmlformats.org/spreadsheetml/2006/main" count="8658" uniqueCount="66">
  <si>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</si>
  <si>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</si>
  <si>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</si>
  <si>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</si>
  <si>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</si>
  <si>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</si>
  <si>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</si>
  <si>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</si>
  <si>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</si>
  <si>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</si>
  <si>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</si>
  <si>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</si>
  <si>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</si>
  <si>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</si>
  <si>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</si>
  <si>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</si>
  <si>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</si>
  <si>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</si>
  <si>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</si>
  <si>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</si>
  <si>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小卦</t>
  </si>
  <si>
    <t>小boss</t>
  </si>
  <si>
    <t>大boss</t>
  </si>
  <si>
    <t>中boss</t>
  </si>
  <si>
    <t>奈良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</si>
  <si>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</si>
  <si>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</si>
  <si>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</si>
  <si>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</si>
  <si>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</si>
  <si>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</si>
  <si>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</si>
  <si>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</si>
  <si>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</si>
  <si>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</si>
  <si>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</si>
  <si>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</si>
  <si>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</si>
  <si>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</si>
  <si>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</si>
  <si>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</si>
  <si>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</si>
  <si>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</si>
  <si>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</si>
  <si>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</si>
  <si>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</si>
  <si>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</si>
  <si>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</si>
  <si>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</si>
  <si>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</si>
  <si>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</si>
  <si>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</si>
  <si>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</si>
  <si>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</si>
  <si>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</si>
  <si>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</si>
  <si>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</si>
  <si>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</si>
  <si>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</si>
  <si>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</si>
  <si>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</si>
  <si>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</si>
  <si>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</si>
  <si>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对路线进行最终微调</t>
  </si>
  <si>
    <t>飞雷神</t>
  </si>
  <si>
    <t>根据剩余粮草，调整占领的三级地个数，直至粮草小于136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</si>
</sst>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0" borderId="1" xfId="0" applyFont="1" applyBorder="1"/>
    <xf numFmtId="0" fontId="1" fillId="16" borderId="1" xfId="0" applyFont="1" applyFill="1" applyBorder="1"/>
    <xf numFmtId="0" fontId="3" fillId="17" borderId="4" xfId="0" applyFont="1" applyFill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18" borderId="1" xfId="0" applyFont="1" applyFill="1" applyBorder="1"/>
    <xf numFmtId="0" fontId="4" fillId="18" borderId="6" xfId="0" applyFont="1" applyFill="1" applyBorder="1"/>
    <xf numFmtId="0" fontId="5" fillId="18" borderId="1" xfId="0" applyFont="1" applyFill="1" applyBorder="1"/>
    <xf numFmtId="0" fontId="5" fillId="18" borderId="6" xfId="0" applyFont="1" applyFill="1" applyBorder="1"/>
    <xf numFmtId="0" fontId="0" fillId="18" borderId="1" xfId="0" applyFill="1" applyBorder="1"/>
    <xf numFmtId="0" fontId="0" fillId="18" borderId="6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8" borderId="21" xfId="0" applyFont="1" applyFill="1" applyBorder="1"/>
    <xf numFmtId="0" fontId="4" fillId="19" borderId="21" xfId="0" applyFont="1" applyFill="1" applyBorder="1"/>
    <xf numFmtId="0" fontId="4" fillId="19" borderId="1" xfId="0" applyFont="1" applyFill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0" fillId="19" borderId="1" xfId="0" applyFill="1" applyBorder="1"/>
    <xf numFmtId="0" fontId="0" fillId="0" borderId="1" xfId="0" applyFill="1" applyBorder="1"/>
    <xf numFmtId="0" fontId="6" fillId="19" borderId="1" xfId="0" applyFont="1" applyFill="1" applyBorder="1"/>
    <xf numFmtId="0" fontId="8" fillId="18" borderId="6" xfId="0" applyFont="1" applyFill="1" applyBorder="1"/>
    <xf numFmtId="0" fontId="0" fillId="0" borderId="17" xfId="0" applyBorder="1"/>
    <xf numFmtId="0" fontId="7" fillId="0" borderId="0" xfId="0" applyFont="1" applyBorder="1"/>
    <xf numFmtId="0" fontId="0" fillId="0" borderId="6" xfId="0" applyFill="1" applyBorder="1"/>
    <xf numFmtId="0" fontId="0" fillId="19" borderId="17" xfId="0" applyFill="1" applyBorder="1"/>
    <xf numFmtId="0" fontId="0" fillId="0" borderId="6" xfId="0" applyBorder="1"/>
    <xf numFmtId="0" fontId="6" fillId="0" borderId="0" xfId="0" applyFont="1" applyBorder="1"/>
    <xf numFmtId="0" fontId="0" fillId="0" borderId="22" xfId="0" applyBorder="1"/>
    <xf numFmtId="0" fontId="0" fillId="0" borderId="23" xfId="0" applyBorder="1"/>
    <xf numFmtId="0" fontId="6" fillId="18" borderId="6" xfId="0" applyFont="1" applyFill="1" applyBorder="1"/>
    <xf numFmtId="0" fontId="1" fillId="20" borderId="1" xfId="0" applyFont="1" applyFill="1" applyBorder="1"/>
    <xf numFmtId="0" fontId="1" fillId="21" borderId="5" xfId="0" applyFont="1" applyFill="1" applyBorder="1"/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19" borderId="5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4" fillId="18" borderId="14" xfId="0" applyFont="1" applyFill="1" applyBorder="1" applyAlignment="1">
      <alignment horizontal="center"/>
    </xf>
    <xf numFmtId="0" fontId="4" fillId="18" borderId="15" xfId="0" applyFont="1" applyFill="1" applyBorder="1" applyAlignment="1">
      <alignment horizontal="center"/>
    </xf>
    <xf numFmtId="0" fontId="4" fillId="18" borderId="16" xfId="0" applyFont="1" applyFill="1" applyBorder="1" applyAlignment="1">
      <alignment horizontal="center"/>
    </xf>
    <xf numFmtId="0" fontId="1" fillId="19" borderId="12" xfId="0" applyFont="1" applyFill="1" applyBorder="1" applyAlignment="1">
      <alignment horizontal="center"/>
    </xf>
    <xf numFmtId="0" fontId="1" fillId="19" borderId="13" xfId="0" applyFont="1" applyFill="1" applyBorder="1" applyAlignment="1">
      <alignment horizontal="center"/>
    </xf>
    <xf numFmtId="0" fontId="4" fillId="18" borderId="1" xfId="0" applyFont="1" applyFill="1" applyBorder="1" applyAlignment="1">
      <alignment horizontal="center"/>
    </xf>
    <xf numFmtId="0" fontId="4" fillId="18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432349</xdr:colOff>
      <xdr:row>1</xdr:row>
      <xdr:rowOff>98611</xdr:rowOff>
    </xdr:from>
    <xdr:to>
      <xdr:col>45</xdr:col>
      <xdr:colOff>248898</xdr:colOff>
      <xdr:row>31</xdr:row>
      <xdr:rowOff>130172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1A9053-31F0-4559-8668-EBB88AF57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62559" y="294826"/>
          <a:ext cx="6518339" cy="56551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432349</xdr:colOff>
      <xdr:row>1</xdr:row>
      <xdr:rowOff>98611</xdr:rowOff>
    </xdr:from>
    <xdr:to>
      <xdr:col>45</xdr:col>
      <xdr:colOff>248898</xdr:colOff>
      <xdr:row>31</xdr:row>
      <xdr:rowOff>130172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324102-EE3E-4765-9EC4-C3DBE5CF0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62559" y="294826"/>
          <a:ext cx="6518339" cy="56551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432349</xdr:colOff>
      <xdr:row>1</xdr:row>
      <xdr:rowOff>98611</xdr:rowOff>
    </xdr:from>
    <xdr:to>
      <xdr:col>45</xdr:col>
      <xdr:colOff>245088</xdr:colOff>
      <xdr:row>31</xdr:row>
      <xdr:rowOff>133982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B528BA-49FF-42B2-A44B-7C76C203E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62559" y="294826"/>
          <a:ext cx="6518339" cy="56551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432349</xdr:colOff>
      <xdr:row>1</xdr:row>
      <xdr:rowOff>98611</xdr:rowOff>
    </xdr:from>
    <xdr:to>
      <xdr:col>45</xdr:col>
      <xdr:colOff>245088</xdr:colOff>
      <xdr:row>31</xdr:row>
      <xdr:rowOff>133982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0A76BE-2BFD-417E-BC77-EBE601D8C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62559" y="294826"/>
          <a:ext cx="6518339" cy="56551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432349</xdr:colOff>
      <xdr:row>1</xdr:row>
      <xdr:rowOff>98611</xdr:rowOff>
    </xdr:from>
    <xdr:to>
      <xdr:col>45</xdr:col>
      <xdr:colOff>248898</xdr:colOff>
      <xdr:row>31</xdr:row>
      <xdr:rowOff>130172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E47646-F2FB-45DC-9D17-6D08F65EB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62559" y="294826"/>
          <a:ext cx="6514529" cy="565893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432349</xdr:colOff>
      <xdr:row>1</xdr:row>
      <xdr:rowOff>98611</xdr:rowOff>
    </xdr:from>
    <xdr:to>
      <xdr:col>45</xdr:col>
      <xdr:colOff>248898</xdr:colOff>
      <xdr:row>31</xdr:row>
      <xdr:rowOff>130172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83434B-C1B2-4D6C-8106-322567FA3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58749" y="296731"/>
          <a:ext cx="6522149" cy="570846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432349</xdr:colOff>
      <xdr:row>1</xdr:row>
      <xdr:rowOff>98611</xdr:rowOff>
    </xdr:from>
    <xdr:to>
      <xdr:col>45</xdr:col>
      <xdr:colOff>248898</xdr:colOff>
      <xdr:row>31</xdr:row>
      <xdr:rowOff>130172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7CC6FA-5188-459C-AE7B-1825A645D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58749" y="296731"/>
          <a:ext cx="6522149" cy="57084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432349</xdr:colOff>
      <xdr:row>1</xdr:row>
      <xdr:rowOff>98611</xdr:rowOff>
    </xdr:from>
    <xdr:to>
      <xdr:col>45</xdr:col>
      <xdr:colOff>245088</xdr:colOff>
      <xdr:row>31</xdr:row>
      <xdr:rowOff>133982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DF34B5-B430-4F18-ACAC-29B14F523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58749" y="296731"/>
          <a:ext cx="6518339" cy="57122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432349</xdr:colOff>
      <xdr:row>1</xdr:row>
      <xdr:rowOff>98611</xdr:rowOff>
    </xdr:from>
    <xdr:to>
      <xdr:col>45</xdr:col>
      <xdr:colOff>245088</xdr:colOff>
      <xdr:row>31</xdr:row>
      <xdr:rowOff>133982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182FC-E0EA-4EF0-9DE6-BE9B93A48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58749" y="296731"/>
          <a:ext cx="6518339" cy="571227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432349</xdr:colOff>
      <xdr:row>1</xdr:row>
      <xdr:rowOff>98611</xdr:rowOff>
    </xdr:from>
    <xdr:to>
      <xdr:col>45</xdr:col>
      <xdr:colOff>245088</xdr:colOff>
      <xdr:row>31</xdr:row>
      <xdr:rowOff>133982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1DDF3E-2C75-47F4-85F0-C8945CD44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58749" y="295835"/>
          <a:ext cx="6518339" cy="561141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432349</xdr:colOff>
      <xdr:row>1</xdr:row>
      <xdr:rowOff>98611</xdr:rowOff>
    </xdr:from>
    <xdr:to>
      <xdr:col>45</xdr:col>
      <xdr:colOff>245088</xdr:colOff>
      <xdr:row>31</xdr:row>
      <xdr:rowOff>133982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9E8EAE-FC52-4BD3-9D88-626623D23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58749" y="296731"/>
          <a:ext cx="6518339" cy="571227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432349</xdr:colOff>
      <xdr:row>1</xdr:row>
      <xdr:rowOff>98611</xdr:rowOff>
    </xdr:from>
    <xdr:to>
      <xdr:col>45</xdr:col>
      <xdr:colOff>248898</xdr:colOff>
      <xdr:row>31</xdr:row>
      <xdr:rowOff>130172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3E884-18F1-47D6-88C0-6F51D1329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58749" y="296731"/>
          <a:ext cx="6522149" cy="570846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432349</xdr:colOff>
      <xdr:row>1</xdr:row>
      <xdr:rowOff>98611</xdr:rowOff>
    </xdr:from>
    <xdr:to>
      <xdr:col>45</xdr:col>
      <xdr:colOff>245088</xdr:colOff>
      <xdr:row>31</xdr:row>
      <xdr:rowOff>133982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4C9922-23A5-4DF4-896B-64DB60848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58749" y="296731"/>
          <a:ext cx="6518339" cy="5712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3594-376C-4255-B8E7-2FEFC2FE9A30}">
  <dimension ref="A1:AH100"/>
  <sheetViews>
    <sheetView zoomScale="85" zoomScaleNormal="85" workbookViewId="0">
      <selection activeCell="X11" sqref="X11"/>
    </sheetView>
  </sheetViews>
  <sheetFormatPr defaultRowHeight="14.4" x14ac:dyDescent="0.3"/>
  <sheetData>
    <row r="1" spans="1:30" ht="15.6" x14ac:dyDescent="0.3">
      <c r="A1" s="60" t="s">
        <v>30</v>
      </c>
      <c r="B1" s="61"/>
      <c r="C1" s="61"/>
      <c r="D1" s="61"/>
      <c r="E1" s="61"/>
      <c r="F1" s="62" t="s">
        <v>3</v>
      </c>
      <c r="G1" s="62"/>
      <c r="H1" s="24" cm="1">
        <f t="array" ref="H1">SUM(VLOOKUP(A4:C100,$T$3:$W$36,4,FALSE))+H4*10-H8*50</f>
        <v>2420.6640071082738</v>
      </c>
      <c r="I1" s="63" t="s">
        <v>41</v>
      </c>
      <c r="J1" s="64"/>
      <c r="K1" s="64"/>
      <c r="L1" s="64"/>
      <c r="M1" s="64"/>
      <c r="N1" s="64"/>
      <c r="O1" s="64"/>
      <c r="P1" s="65"/>
      <c r="Q1" s="63" t="s">
        <v>48</v>
      </c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30" ht="28.8" x14ac:dyDescent="0.3">
      <c r="A2" s="66" t="s">
        <v>35</v>
      </c>
      <c r="B2" s="67"/>
      <c r="C2" s="67"/>
      <c r="D2" s="68" t="s">
        <v>37</v>
      </c>
      <c r="E2" s="69"/>
      <c r="F2" s="69"/>
      <c r="G2" s="69"/>
      <c r="H2" s="70"/>
      <c r="I2" s="71" t="s">
        <v>35</v>
      </c>
      <c r="J2" s="72"/>
      <c r="K2" s="72"/>
      <c r="L2" s="73" t="s">
        <v>37</v>
      </c>
      <c r="M2" s="73"/>
      <c r="N2" s="73"/>
      <c r="O2" s="73"/>
      <c r="P2" s="74"/>
      <c r="Q2" s="49" t="s">
        <v>43</v>
      </c>
      <c r="R2" s="50" cm="1">
        <f t="array" ref="R2">SUM(V3:V28*AB3:AB28)+H6+P6+R4*500</f>
        <v>65345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30" x14ac:dyDescent="0.3">
      <c r="A3" s="59" t="s">
        <v>31</v>
      </c>
      <c r="B3" s="58" t="s">
        <v>32</v>
      </c>
      <c r="C3" s="20" t="s">
        <v>33</v>
      </c>
      <c r="D3" s="32"/>
      <c r="E3" s="59" t="s">
        <v>31</v>
      </c>
      <c r="F3" s="58" t="s">
        <v>32</v>
      </c>
      <c r="G3" s="20" t="s">
        <v>33</v>
      </c>
      <c r="H3" s="33" t="s">
        <v>36</v>
      </c>
      <c r="I3" s="59" t="s">
        <v>31</v>
      </c>
      <c r="J3" s="58" t="s">
        <v>32</v>
      </c>
      <c r="K3" s="20" t="s">
        <v>33</v>
      </c>
      <c r="L3" s="32"/>
      <c r="M3" s="59" t="s">
        <v>31</v>
      </c>
      <c r="N3" s="58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20</v>
      </c>
      <c r="Z3" s="1">
        <f>COUNTIF($A$4:$C$100,T3)</f>
        <v>13</v>
      </c>
      <c r="AA3" s="1">
        <f>COUNTIF($I$4:$K$100,T3)</f>
        <v>0</v>
      </c>
      <c r="AB3" s="53">
        <f>Y3-Z3-AA3</f>
        <v>7</v>
      </c>
      <c r="AC3">
        <v>24</v>
      </c>
      <c r="AD3">
        <f>AC3*V3</f>
        <v>840</v>
      </c>
    </row>
    <row r="4" spans="1:30" x14ac:dyDescent="0.3">
      <c r="A4" s="2" t="s">
        <v>4</v>
      </c>
      <c r="B4" s="2" t="s">
        <v>4</v>
      </c>
      <c r="C4" s="2" t="s">
        <v>4</v>
      </c>
      <c r="D4" s="42" t="s">
        <v>34</v>
      </c>
      <c r="E4" s="38">
        <v>0</v>
      </c>
      <c r="F4" s="38">
        <v>0</v>
      </c>
      <c r="G4" s="38">
        <v>0</v>
      </c>
      <c r="H4" s="35">
        <f>SUM(E4:G4)</f>
        <v>0</v>
      </c>
      <c r="I4" s="1" t="s">
        <v>27</v>
      </c>
      <c r="J4" s="1" t="s">
        <v>27</v>
      </c>
      <c r="K4" s="1" t="s">
        <v>27</v>
      </c>
      <c r="L4" s="42" t="s">
        <v>34</v>
      </c>
      <c r="M4" s="38">
        <v>0</v>
      </c>
      <c r="N4" s="38">
        <v>0</v>
      </c>
      <c r="O4" s="38">
        <v>0</v>
      </c>
      <c r="P4" s="35">
        <f>SUM(M4:O4)</f>
        <v>0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27</v>
      </c>
      <c r="Z4" s="1">
        <f t="shared" ref="Z4:Z28" si="1">COUNTIF($A$4:$C$100,T4)</f>
        <v>7</v>
      </c>
      <c r="AA4" s="1">
        <f t="shared" ref="AA4:AA28" si="2">COUNTIF($I$4:$K$100,T4)</f>
        <v>0</v>
      </c>
      <c r="AB4" s="53">
        <f t="shared" ref="AB4:AB28" si="3">Y4-Z4-AA4</f>
        <v>20</v>
      </c>
      <c r="AC4">
        <v>25</v>
      </c>
      <c r="AD4">
        <f t="shared" ref="AD4:AD28" si="4">AC4*V4</f>
        <v>1000</v>
      </c>
    </row>
    <row r="5" spans="1:30" x14ac:dyDescent="0.3">
      <c r="A5" s="2" t="s">
        <v>4</v>
      </c>
      <c r="B5" s="15" t="s">
        <v>17</v>
      </c>
      <c r="C5" s="2" t="s">
        <v>4</v>
      </c>
      <c r="D5" s="32" t="s">
        <v>38</v>
      </c>
      <c r="E5" s="34" cm="1">
        <f t="array" ref="E5">(SUM(VLOOKUP(A4:A100,$T$3:$W$41,2,FALSE))+E4*10)-E8*50</f>
        <v>450</v>
      </c>
      <c r="F5" s="34" cm="1">
        <f t="array" ref="F5">(SUM(VLOOKUP(B4:B100,$T$3:$W$41,2,FALSE))+F4*10)-F8*50</f>
        <v>5250</v>
      </c>
      <c r="G5" s="34" cm="1">
        <f t="array" ref="G5">(SUM(VLOOKUP(C4:C100,$T$3:$W$41,2,FALSE))+G4*10)-G8*50</f>
        <v>6990</v>
      </c>
      <c r="H5" s="57">
        <f t="shared" ref="H5:H8" si="5">SUM(E5:G5)</f>
        <v>12690</v>
      </c>
      <c r="I5" s="1" t="s">
        <v>27</v>
      </c>
      <c r="J5" s="1" t="s">
        <v>27</v>
      </c>
      <c r="K5" s="1" t="s">
        <v>27</v>
      </c>
      <c r="L5" s="32" t="s">
        <v>38</v>
      </c>
      <c r="M5" s="34" cm="1">
        <f t="array" ref="M5">(SUM(VLOOKUP(I4:I100,$T$3:$W$41,2,FALSE))+M4*10)*0.8-M8*40</f>
        <v>0</v>
      </c>
      <c r="N5" s="34" cm="1">
        <f t="array" ref="N5">(SUM(VLOOKUP(J4:J100,$T$3:$W$41,2,FALSE))+N4*10)*0.8-N8*40</f>
        <v>0</v>
      </c>
      <c r="O5" s="34" cm="1">
        <f t="array" ref="O5">(SUM(VLOOKUP(K4:K100,$T$3:$W$41,2,FALSE))+O4*10)*0.8-O8*40</f>
        <v>0</v>
      </c>
      <c r="P5" s="57">
        <f t="shared" ref="P5:P8" si="6">SUM(M5:O5)</f>
        <v>0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246</v>
      </c>
      <c r="Z5" s="1">
        <f t="shared" si="1"/>
        <v>43</v>
      </c>
      <c r="AA5" s="1">
        <f t="shared" si="2"/>
        <v>0</v>
      </c>
      <c r="AB5" s="53">
        <f t="shared" si="3"/>
        <v>203</v>
      </c>
      <c r="AC5">
        <v>247</v>
      </c>
      <c r="AD5">
        <f t="shared" si="4"/>
        <v>11115</v>
      </c>
    </row>
    <row r="6" spans="1:30" x14ac:dyDescent="0.3">
      <c r="A6" s="2" t="s">
        <v>4</v>
      </c>
      <c r="B6" s="2" t="s">
        <v>4</v>
      </c>
      <c r="C6" s="2" t="s">
        <v>4</v>
      </c>
      <c r="D6" s="32" t="s">
        <v>39</v>
      </c>
      <c r="E6" s="34" cm="1">
        <f t="array" ref="E6">(SUM(VLOOKUP(A4:A100,$T$3:$W$41,3,FALSE)))</f>
        <v>105</v>
      </c>
      <c r="F6" s="34" cm="1">
        <f t="array" ref="F6">(SUM(VLOOKUP(B4:B100,$T$3:$W$41,3,FALSE)))</f>
        <v>1640</v>
      </c>
      <c r="G6" s="34" cm="1">
        <f t="array" ref="G6">(SUM(VLOOKUP(C4:C100,$T$3:$W$41,3,FALSE)))</f>
        <v>2390</v>
      </c>
      <c r="H6" s="48">
        <f t="shared" si="5"/>
        <v>4135</v>
      </c>
      <c r="I6" s="1" t="s">
        <v>27</v>
      </c>
      <c r="J6" s="1" t="s">
        <v>27</v>
      </c>
      <c r="K6" s="1" t="s">
        <v>27</v>
      </c>
      <c r="L6" s="32" t="s">
        <v>39</v>
      </c>
      <c r="M6" s="34" cm="1">
        <f t="array" ref="M6">(SUM(VLOOKUP(I4:I100,$T$3:$W$41,3,FALSE)))</f>
        <v>0</v>
      </c>
      <c r="N6" s="34" cm="1">
        <f t="array" ref="N6">(SUM(VLOOKUP(J4:J100,$T$3:$W$41,3,FALSE)))</f>
        <v>0</v>
      </c>
      <c r="O6" s="34" cm="1">
        <f t="array" ref="O6">(SUM(VLOOKUP(K4:K100,$T$3:$W$41,3,FALSE)))</f>
        <v>0</v>
      </c>
      <c r="P6" s="48">
        <f t="shared" si="6"/>
        <v>0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268</v>
      </c>
      <c r="Z6" s="1">
        <f t="shared" si="1"/>
        <v>2</v>
      </c>
      <c r="AA6" s="1">
        <f t="shared" si="2"/>
        <v>0</v>
      </c>
      <c r="AB6" s="53">
        <f t="shared" si="3"/>
        <v>266</v>
      </c>
      <c r="AC6">
        <v>267</v>
      </c>
      <c r="AD6">
        <f t="shared" si="4"/>
        <v>13350</v>
      </c>
    </row>
    <row r="7" spans="1:30" x14ac:dyDescent="0.3">
      <c r="A7" s="1" t="s">
        <v>27</v>
      </c>
      <c r="B7" s="2" t="s">
        <v>4</v>
      </c>
      <c r="C7" s="2" t="s">
        <v>4</v>
      </c>
      <c r="D7" s="32" t="s">
        <v>40</v>
      </c>
      <c r="E7" s="34">
        <f>COUNTIF(A4:A100,"&lt;&gt;空")</f>
        <v>3</v>
      </c>
      <c r="F7" s="34">
        <f>COUNTIF(B4:B100,"&lt;&gt;空")</f>
        <v>32</v>
      </c>
      <c r="G7" s="34">
        <f>COUNTIF(C4:C100,"&lt;&gt;空")</f>
        <v>46</v>
      </c>
      <c r="H7" s="35">
        <f t="shared" si="5"/>
        <v>81</v>
      </c>
      <c r="I7" s="1" t="s">
        <v>27</v>
      </c>
      <c r="J7" s="1" t="s">
        <v>27</v>
      </c>
      <c r="K7" s="1" t="s">
        <v>27</v>
      </c>
      <c r="L7" s="32" t="s">
        <v>40</v>
      </c>
      <c r="M7" s="34">
        <f>COUNTIF(I4:I100,"&lt;&gt;空")</f>
        <v>0</v>
      </c>
      <c r="N7" s="34">
        <f>COUNTIF(J4:J100,"&lt;&gt;空")</f>
        <v>0</v>
      </c>
      <c r="O7" s="34">
        <f>COUNTIF(K4:K100,"&lt;&gt;空")</f>
        <v>0</v>
      </c>
      <c r="P7" s="35">
        <f t="shared" si="6"/>
        <v>0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235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  <c r="AD7">
        <f t="shared" si="4"/>
        <v>12925</v>
      </c>
    </row>
    <row r="8" spans="1:30" x14ac:dyDescent="0.3">
      <c r="A8" s="1" t="s">
        <v>27</v>
      </c>
      <c r="B8" s="2" t="s">
        <v>4</v>
      </c>
      <c r="C8" s="2" t="s">
        <v>4</v>
      </c>
      <c r="D8" s="41" t="s">
        <v>64</v>
      </c>
      <c r="E8" s="40">
        <v>0</v>
      </c>
      <c r="F8" s="40">
        <v>1</v>
      </c>
      <c r="G8" s="40">
        <v>0</v>
      </c>
      <c r="H8" s="35">
        <f t="shared" si="5"/>
        <v>1</v>
      </c>
      <c r="I8" s="1" t="s">
        <v>27</v>
      </c>
      <c r="J8" s="1" t="s">
        <v>27</v>
      </c>
      <c r="K8" s="1" t="s">
        <v>27</v>
      </c>
      <c r="L8" s="41" t="s">
        <v>64</v>
      </c>
      <c r="M8" s="40">
        <v>0</v>
      </c>
      <c r="N8" s="40">
        <v>0</v>
      </c>
      <c r="O8" s="40">
        <v>0</v>
      </c>
      <c r="P8" s="35">
        <f t="shared" si="6"/>
        <v>0</v>
      </c>
      <c r="Q8" s="49" t="s">
        <v>53</v>
      </c>
      <c r="R8" s="54" cm="1">
        <f t="array" ref="R8">R6-P5-H5-SUM(U3:U28*AB3:AB28)*0.8-R7*8</f>
        <v>518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193</v>
      </c>
      <c r="Z8" s="1">
        <f t="shared" si="1"/>
        <v>0</v>
      </c>
      <c r="AA8" s="1">
        <f t="shared" si="2"/>
        <v>0</v>
      </c>
      <c r="AB8" s="53">
        <f t="shared" si="3"/>
        <v>193</v>
      </c>
      <c r="AC8">
        <v>193</v>
      </c>
      <c r="AD8">
        <f t="shared" si="4"/>
        <v>11580</v>
      </c>
    </row>
    <row r="9" spans="1:30" x14ac:dyDescent="0.3">
      <c r="A9" s="1" t="s">
        <v>27</v>
      </c>
      <c r="B9" s="2" t="s">
        <v>4</v>
      </c>
      <c r="C9" s="16" t="s">
        <v>18</v>
      </c>
      <c r="D9" s="25"/>
      <c r="E9" s="25"/>
      <c r="F9" s="25"/>
      <c r="G9" s="25"/>
      <c r="H9" s="26"/>
      <c r="I9" s="1" t="s">
        <v>27</v>
      </c>
      <c r="J9" s="1" t="s">
        <v>27</v>
      </c>
      <c r="K9" s="1" t="s">
        <v>27</v>
      </c>
      <c r="L9" s="32" t="s">
        <v>42</v>
      </c>
      <c r="M9" s="36" t="e">
        <f>M6/M5</f>
        <v>#DIV/0!</v>
      </c>
      <c r="N9" s="36" t="e">
        <f>N6/N5</f>
        <v>#DIV/0!</v>
      </c>
      <c r="O9" s="36" t="e">
        <f>O6/O5</f>
        <v>#DIV/0!</v>
      </c>
      <c r="P9" s="37" t="e">
        <f>P6/P5</f>
        <v>#DIV/0!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7">U9-V9/0.330882</f>
        <v>44.222109392472248</v>
      </c>
      <c r="X9" s="45">
        <v>5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  <c r="AD9">
        <f t="shared" si="4"/>
        <v>0</v>
      </c>
    </row>
    <row r="10" spans="1:30" x14ac:dyDescent="0.3">
      <c r="A10" s="1" t="s">
        <v>27</v>
      </c>
      <c r="B10" s="4" t="s">
        <v>6</v>
      </c>
      <c r="C10" s="3" t="s">
        <v>5</v>
      </c>
      <c r="D10" s="25"/>
      <c r="E10" s="25"/>
      <c r="F10" s="25"/>
      <c r="G10" s="25"/>
      <c r="H10" s="26"/>
      <c r="I10" s="1" t="s">
        <v>27</v>
      </c>
      <c r="J10" s="1" t="s">
        <v>27</v>
      </c>
      <c r="K10" s="1" t="s">
        <v>27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7"/>
        <v>29.110982162825422</v>
      </c>
      <c r="X10" s="45">
        <v>6</v>
      </c>
      <c r="Y10" s="45">
        <v>3</v>
      </c>
      <c r="Z10" s="1">
        <f t="shared" si="1"/>
        <v>0</v>
      </c>
      <c r="AA10" s="1">
        <f t="shared" si="2"/>
        <v>0</v>
      </c>
      <c r="AB10" s="53">
        <f t="shared" si="3"/>
        <v>3</v>
      </c>
      <c r="AC10">
        <v>2</v>
      </c>
      <c r="AD10">
        <f t="shared" si="4"/>
        <v>80</v>
      </c>
    </row>
    <row r="11" spans="1:30" x14ac:dyDescent="0.3">
      <c r="A11" s="1" t="s">
        <v>27</v>
      </c>
      <c r="B11" s="4" t="s">
        <v>6</v>
      </c>
      <c r="C11" s="3" t="s">
        <v>5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1" t="s">
        <v>27</v>
      </c>
      <c r="L11" s="25"/>
      <c r="M11" s="25"/>
      <c r="N11" s="25"/>
      <c r="O11" s="25"/>
      <c r="P11" s="26">
        <f>H5+P5</f>
        <v>12690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 t="shared" si="7"/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6</v>
      </c>
      <c r="AD11">
        <f t="shared" si="4"/>
        <v>270</v>
      </c>
    </row>
    <row r="12" spans="1:30" x14ac:dyDescent="0.3">
      <c r="A12" s="1" t="s">
        <v>27</v>
      </c>
      <c r="B12" s="4" t="s">
        <v>6</v>
      </c>
      <c r="C12" s="3" t="s">
        <v>5</v>
      </c>
      <c r="D12" s="25"/>
      <c r="E12" s="25"/>
      <c r="F12" s="25"/>
      <c r="G12" s="25"/>
      <c r="H12" s="26"/>
      <c r="I12" s="1" t="s">
        <v>27</v>
      </c>
      <c r="J12" s="1" t="s">
        <v>27</v>
      </c>
      <c r="K12" s="1" t="s">
        <v>27</v>
      </c>
      <c r="L12" s="25"/>
      <c r="M12" s="25"/>
      <c r="N12" s="25"/>
      <c r="O12" s="25"/>
      <c r="P12" s="26">
        <f>H6+P6</f>
        <v>4135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  <c r="AD12">
        <f t="shared" si="4"/>
        <v>150</v>
      </c>
    </row>
    <row r="13" spans="1:30" x14ac:dyDescent="0.3">
      <c r="A13" s="1" t="s">
        <v>27</v>
      </c>
      <c r="B13" s="4" t="s">
        <v>6</v>
      </c>
      <c r="C13" s="3" t="s">
        <v>5</v>
      </c>
      <c r="D13" s="25"/>
      <c r="E13" s="25"/>
      <c r="F13" s="25"/>
      <c r="G13" s="25"/>
      <c r="H13" s="26"/>
      <c r="I13" s="1" t="s">
        <v>27</v>
      </c>
      <c r="J13" s="1" t="s">
        <v>27</v>
      </c>
      <c r="K13" s="1" t="s">
        <v>27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  <c r="AD13">
        <f t="shared" si="4"/>
        <v>165</v>
      </c>
    </row>
    <row r="14" spans="1:30" x14ac:dyDescent="0.3">
      <c r="A14" s="1" t="s">
        <v>27</v>
      </c>
      <c r="B14" s="4" t="s">
        <v>6</v>
      </c>
      <c r="C14" s="15" t="s">
        <v>17</v>
      </c>
      <c r="D14" s="25"/>
      <c r="E14" s="25"/>
      <c r="F14" s="25"/>
      <c r="G14" s="25"/>
      <c r="H14" s="26"/>
      <c r="I14" s="1" t="s">
        <v>27</v>
      </c>
      <c r="J14" s="1" t="s">
        <v>27</v>
      </c>
      <c r="K14" s="1" t="s">
        <v>27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  <c r="AD14">
        <f t="shared" si="4"/>
        <v>60</v>
      </c>
    </row>
    <row r="15" spans="1:30" x14ac:dyDescent="0.3">
      <c r="A15" s="1" t="s">
        <v>27</v>
      </c>
      <c r="B15" s="4" t="s">
        <v>6</v>
      </c>
      <c r="C15" s="3" t="s">
        <v>5</v>
      </c>
      <c r="D15" s="25"/>
      <c r="E15" s="25"/>
      <c r="F15" s="25"/>
      <c r="G15" s="25"/>
      <c r="H15" s="26"/>
      <c r="I15" s="1" t="s">
        <v>27</v>
      </c>
      <c r="J15" s="1" t="s">
        <v>27</v>
      </c>
      <c r="K15" s="1" t="s">
        <v>27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8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  <c r="AD15">
        <f t="shared" si="4"/>
        <v>0</v>
      </c>
    </row>
    <row r="16" spans="1:30" x14ac:dyDescent="0.3">
      <c r="A16" s="1" t="s">
        <v>27</v>
      </c>
      <c r="B16" s="4" t="s">
        <v>6</v>
      </c>
      <c r="C16" s="3" t="s">
        <v>5</v>
      </c>
      <c r="D16" s="25"/>
      <c r="E16" s="25"/>
      <c r="F16" s="25"/>
      <c r="G16" s="25"/>
      <c r="H16" s="26"/>
      <c r="I16" s="1" t="s">
        <v>27</v>
      </c>
      <c r="J16" s="1" t="s">
        <v>27</v>
      </c>
      <c r="K16" s="1" t="s">
        <v>27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5</v>
      </c>
      <c r="AA16" s="1">
        <f t="shared" si="2"/>
        <v>0</v>
      </c>
      <c r="AB16" s="53">
        <f t="shared" si="3"/>
        <v>33</v>
      </c>
      <c r="AC16">
        <v>38</v>
      </c>
      <c r="AD16">
        <f t="shared" si="4"/>
        <v>1140</v>
      </c>
    </row>
    <row r="17" spans="1:34" x14ac:dyDescent="0.3">
      <c r="A17" s="1" t="s">
        <v>27</v>
      </c>
      <c r="B17" s="17" t="s">
        <v>19</v>
      </c>
      <c r="C17" s="3" t="s">
        <v>5</v>
      </c>
      <c r="D17" s="25"/>
      <c r="E17" s="25"/>
      <c r="F17" s="25"/>
      <c r="G17" s="25"/>
      <c r="H17" s="26"/>
      <c r="I17" s="1" t="s">
        <v>27</v>
      </c>
      <c r="J17" s="1" t="s">
        <v>27</v>
      </c>
      <c r="K17" s="1" t="s">
        <v>27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1</v>
      </c>
      <c r="Y17" s="45">
        <v>1</v>
      </c>
      <c r="Z17" s="1">
        <f t="shared" si="1"/>
        <v>1</v>
      </c>
      <c r="AA17" s="1">
        <f t="shared" si="2"/>
        <v>0</v>
      </c>
      <c r="AB17" s="53">
        <f t="shared" si="3"/>
        <v>0</v>
      </c>
      <c r="AC17">
        <v>0</v>
      </c>
      <c r="AD17">
        <f t="shared" si="4"/>
        <v>0</v>
      </c>
    </row>
    <row r="18" spans="1:34" x14ac:dyDescent="0.3">
      <c r="A18" s="1" t="s">
        <v>27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1" t="s">
        <v>27</v>
      </c>
      <c r="J18" s="1" t="s">
        <v>27</v>
      </c>
      <c r="K18" s="1" t="s">
        <v>27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300</v>
      </c>
      <c r="W18" s="44"/>
      <c r="X18" s="45">
        <v>3</v>
      </c>
      <c r="Y18" s="45">
        <v>0</v>
      </c>
      <c r="Z18" s="1">
        <f t="shared" si="1"/>
        <v>3</v>
      </c>
      <c r="AA18" s="1">
        <f t="shared" si="2"/>
        <v>0</v>
      </c>
      <c r="AB18" s="53">
        <f t="shared" si="3"/>
        <v>-3</v>
      </c>
      <c r="AC18">
        <v>0</v>
      </c>
      <c r="AD18">
        <f t="shared" si="4"/>
        <v>0</v>
      </c>
    </row>
    <row r="19" spans="1:34" x14ac:dyDescent="0.3">
      <c r="A19" s="1" t="s">
        <v>27</v>
      </c>
      <c r="B19" s="4" t="s">
        <v>6</v>
      </c>
      <c r="C19" s="17" t="s">
        <v>20</v>
      </c>
      <c r="D19" s="25"/>
      <c r="E19" s="25"/>
      <c r="F19" s="25"/>
      <c r="G19" s="25"/>
      <c r="H19" s="26"/>
      <c r="I19" s="1" t="s">
        <v>27</v>
      </c>
      <c r="J19" s="1" t="s">
        <v>27</v>
      </c>
      <c r="K19" s="1" t="s">
        <v>27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  <c r="AD19">
        <f t="shared" si="4"/>
        <v>225</v>
      </c>
    </row>
    <row r="20" spans="1:34" x14ac:dyDescent="0.3">
      <c r="A20" s="1" t="s">
        <v>27</v>
      </c>
      <c r="B20" s="5" t="s">
        <v>7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1" t="s">
        <v>27</v>
      </c>
      <c r="K20" s="1" t="s">
        <v>27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2</v>
      </c>
      <c r="Z20" s="1">
        <f t="shared" si="1"/>
        <v>0</v>
      </c>
      <c r="AA20" s="1">
        <f t="shared" si="2"/>
        <v>0</v>
      </c>
      <c r="AB20" s="53">
        <f t="shared" si="3"/>
        <v>2</v>
      </c>
      <c r="AC20">
        <v>2</v>
      </c>
      <c r="AD20">
        <f t="shared" si="4"/>
        <v>400</v>
      </c>
    </row>
    <row r="21" spans="1:34" x14ac:dyDescent="0.3">
      <c r="A21" s="1" t="s">
        <v>27</v>
      </c>
      <c r="B21" s="5" t="s">
        <v>7</v>
      </c>
      <c r="C21" s="15" t="s">
        <v>17</v>
      </c>
      <c r="D21" s="25"/>
      <c r="E21" s="25"/>
      <c r="F21" s="25"/>
      <c r="G21" s="25"/>
      <c r="H21" s="26"/>
      <c r="I21" s="1" t="s">
        <v>27</v>
      </c>
      <c r="J21" s="1" t="s">
        <v>27</v>
      </c>
      <c r="K21" s="1" t="s">
        <v>27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  <c r="AD21">
        <f t="shared" si="4"/>
        <v>2000</v>
      </c>
    </row>
    <row r="22" spans="1:34" x14ac:dyDescent="0.3">
      <c r="A22" s="1" t="s">
        <v>27</v>
      </c>
      <c r="B22" s="4" t="s">
        <v>6</v>
      </c>
      <c r="C22" s="4" t="s">
        <v>6</v>
      </c>
      <c r="D22" s="25"/>
      <c r="E22" s="25"/>
      <c r="F22" s="25"/>
      <c r="G22" s="25"/>
      <c r="H22" s="26"/>
      <c r="I22" s="1" t="s">
        <v>27</v>
      </c>
      <c r="J22" s="1" t="s">
        <v>27</v>
      </c>
      <c r="K22" s="1" t="s">
        <v>27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3</v>
      </c>
      <c r="Y22" s="45">
        <v>3</v>
      </c>
      <c r="Z22" s="1">
        <f t="shared" si="1"/>
        <v>0</v>
      </c>
      <c r="AA22" s="1">
        <f t="shared" si="2"/>
        <v>0</v>
      </c>
      <c r="AB22" s="53">
        <f t="shared" si="3"/>
        <v>3</v>
      </c>
      <c r="AC22">
        <v>3</v>
      </c>
      <c r="AD22">
        <f t="shared" si="4"/>
        <v>1500</v>
      </c>
    </row>
    <row r="23" spans="1:34" x14ac:dyDescent="0.3">
      <c r="A23" s="1" t="s">
        <v>27</v>
      </c>
      <c r="B23" s="10" t="s">
        <v>12</v>
      </c>
      <c r="C23" s="17" t="s">
        <v>19</v>
      </c>
      <c r="D23" s="25"/>
      <c r="E23" s="25"/>
      <c r="F23" s="25"/>
      <c r="G23" s="25"/>
      <c r="H23" s="26"/>
      <c r="I23" s="1" t="s">
        <v>27</v>
      </c>
      <c r="J23" s="1" t="s">
        <v>27</v>
      </c>
      <c r="K23" s="1" t="s">
        <v>27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9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  <c r="AD23">
        <f t="shared" si="4"/>
        <v>0</v>
      </c>
    </row>
    <row r="24" spans="1:34" x14ac:dyDescent="0.3">
      <c r="A24" s="1" t="s">
        <v>27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1" t="s">
        <v>27</v>
      </c>
      <c r="K24" s="1" t="s">
        <v>27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9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  <c r="AD24">
        <f t="shared" si="4"/>
        <v>0</v>
      </c>
    </row>
    <row r="25" spans="1:34" x14ac:dyDescent="0.3">
      <c r="A25" s="1" t="s">
        <v>27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1" t="s">
        <v>27</v>
      </c>
      <c r="K25" s="1" t="s">
        <v>27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9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  <c r="AD25">
        <f t="shared" si="4"/>
        <v>0</v>
      </c>
    </row>
    <row r="26" spans="1:34" x14ac:dyDescent="0.3">
      <c r="A26" s="1" t="s">
        <v>27</v>
      </c>
      <c r="B26" s="17" t="s">
        <v>20</v>
      </c>
      <c r="C26" s="10" t="s">
        <v>12</v>
      </c>
      <c r="D26" s="25"/>
      <c r="E26" s="25"/>
      <c r="F26" s="25"/>
      <c r="G26" s="25"/>
      <c r="H26" s="26"/>
      <c r="I26" s="1" t="s">
        <v>27</v>
      </c>
      <c r="J26" s="1" t="s">
        <v>27</v>
      </c>
      <c r="K26" s="1" t="s">
        <v>27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9"/>
        <v>0</v>
      </c>
      <c r="X26" s="45">
        <v>0</v>
      </c>
      <c r="Y26" s="45">
        <v>0</v>
      </c>
      <c r="Z26" s="1"/>
      <c r="AA26" s="1"/>
      <c r="AB26" s="53"/>
      <c r="AD26">
        <f t="shared" si="4"/>
        <v>0</v>
      </c>
    </row>
    <row r="27" spans="1:34" x14ac:dyDescent="0.3">
      <c r="A27" s="1" t="s">
        <v>27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1" t="s">
        <v>27</v>
      </c>
      <c r="J27" s="1" t="s">
        <v>27</v>
      </c>
      <c r="K27" s="1" t="s">
        <v>27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14</v>
      </c>
      <c r="Y27" s="45">
        <v>14</v>
      </c>
      <c r="Z27" s="1">
        <f t="shared" si="1"/>
        <v>0</v>
      </c>
      <c r="AA27" s="1">
        <f t="shared" si="2"/>
        <v>0</v>
      </c>
      <c r="AB27" s="53">
        <f t="shared" si="3"/>
        <v>14</v>
      </c>
      <c r="AC27">
        <v>15</v>
      </c>
      <c r="AD27">
        <f t="shared" si="4"/>
        <v>0</v>
      </c>
      <c r="AE27">
        <v>3</v>
      </c>
      <c r="AF27">
        <v>4</v>
      </c>
      <c r="AG27">
        <v>5</v>
      </c>
      <c r="AH27">
        <v>6</v>
      </c>
    </row>
    <row r="28" spans="1:34" x14ac:dyDescent="0.3">
      <c r="A28" s="1" t="s">
        <v>27</v>
      </c>
      <c r="B28" s="4" t="s">
        <v>6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1" t="s">
        <v>27</v>
      </c>
      <c r="K28" s="1" t="s">
        <v>27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>
        <v>10</v>
      </c>
      <c r="X28" s="45">
        <v>3</v>
      </c>
      <c r="Y28" s="45">
        <v>3</v>
      </c>
      <c r="Z28" s="1">
        <f t="shared" si="1"/>
        <v>0</v>
      </c>
      <c r="AA28" s="1">
        <f t="shared" si="2"/>
        <v>0</v>
      </c>
      <c r="AB28" s="53">
        <f t="shared" si="3"/>
        <v>3</v>
      </c>
      <c r="AC28">
        <v>3</v>
      </c>
      <c r="AD28">
        <f t="shared" si="4"/>
        <v>1560</v>
      </c>
      <c r="AE28">
        <v>4</v>
      </c>
      <c r="AF28">
        <v>3</v>
      </c>
      <c r="AG28">
        <v>3</v>
      </c>
      <c r="AH28">
        <v>1</v>
      </c>
    </row>
    <row r="29" spans="1:34" ht="15" thickBot="1" x14ac:dyDescent="0.35">
      <c r="A29" s="1" t="s">
        <v>27</v>
      </c>
      <c r="B29" s="4" t="s">
        <v>6</v>
      </c>
      <c r="C29" s="15" t="s">
        <v>17</v>
      </c>
      <c r="D29" s="25"/>
      <c r="E29" s="25"/>
      <c r="F29" s="25"/>
      <c r="G29" s="25"/>
      <c r="H29" s="26"/>
      <c r="I29" s="1" t="s">
        <v>27</v>
      </c>
      <c r="J29" s="1" t="s">
        <v>27</v>
      </c>
      <c r="K29" s="1" t="s">
        <v>27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  <c r="AE29">
        <v>2</v>
      </c>
    </row>
    <row r="30" spans="1:34" x14ac:dyDescent="0.3">
      <c r="A30" s="1" t="s">
        <v>27</v>
      </c>
      <c r="B30" s="4" t="s">
        <v>6</v>
      </c>
      <c r="C30" s="4" t="s">
        <v>6</v>
      </c>
      <c r="D30" s="25"/>
      <c r="E30" s="25"/>
      <c r="F30" s="25"/>
      <c r="G30" s="25"/>
      <c r="H30" s="26"/>
      <c r="I30" s="1" t="s">
        <v>27</v>
      </c>
      <c r="J30" s="1" t="s">
        <v>27</v>
      </c>
      <c r="K30" s="1" t="s">
        <v>27</v>
      </c>
      <c r="L30" s="25"/>
      <c r="M30" s="25"/>
      <c r="N30" s="25"/>
      <c r="O30" s="25"/>
      <c r="P30" s="26"/>
    </row>
    <row r="31" spans="1:34" x14ac:dyDescent="0.3">
      <c r="A31" s="1" t="s">
        <v>27</v>
      </c>
      <c r="B31" s="4" t="s">
        <v>6</v>
      </c>
      <c r="C31" s="4" t="s">
        <v>6</v>
      </c>
      <c r="D31" s="25"/>
      <c r="E31" s="25"/>
      <c r="F31" s="25"/>
      <c r="G31" s="25"/>
      <c r="H31" s="26"/>
      <c r="I31" s="1" t="s">
        <v>27</v>
      </c>
      <c r="J31" s="1" t="s">
        <v>27</v>
      </c>
      <c r="K31" s="1" t="s">
        <v>27</v>
      </c>
      <c r="L31" s="25"/>
      <c r="M31" s="25"/>
      <c r="N31" s="25"/>
      <c r="O31" s="25"/>
      <c r="P31" s="26"/>
      <c r="Y31">
        <f>SUM(Y3:Y28)</f>
        <v>1073</v>
      </c>
      <c r="AC31">
        <f>SUM(AC3:AC28)</f>
        <v>1074</v>
      </c>
      <c r="AD31">
        <f>SUM(AD3:AD28)+7000</f>
        <v>65360</v>
      </c>
    </row>
    <row r="32" spans="1:34" x14ac:dyDescent="0.3">
      <c r="A32" s="1" t="s">
        <v>27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1" t="s">
        <v>27</v>
      </c>
      <c r="K32" s="1" t="s">
        <v>27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 x14ac:dyDescent="0.3">
      <c r="A33" s="1" t="s">
        <v>27</v>
      </c>
      <c r="B33" s="4" t="s">
        <v>6</v>
      </c>
      <c r="C33" s="17" t="s">
        <v>20</v>
      </c>
      <c r="D33" s="25"/>
      <c r="E33" s="25"/>
      <c r="F33" s="25"/>
      <c r="G33" s="25"/>
      <c r="H33" s="26"/>
      <c r="I33" s="1" t="s">
        <v>27</v>
      </c>
      <c r="J33" s="1" t="s">
        <v>27</v>
      </c>
      <c r="K33" s="1" t="s">
        <v>27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 x14ac:dyDescent="0.3">
      <c r="A34" s="1" t="s">
        <v>27</v>
      </c>
      <c r="B34" s="4" t="s">
        <v>6</v>
      </c>
      <c r="C34" s="4" t="s">
        <v>6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1" t="s">
        <v>27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 x14ac:dyDescent="0.3">
      <c r="A35" s="1" t="s">
        <v>27</v>
      </c>
      <c r="B35" s="17" t="s">
        <v>20</v>
      </c>
      <c r="C35" s="4" t="s">
        <v>6</v>
      </c>
      <c r="D35" s="25"/>
      <c r="E35" s="25"/>
      <c r="F35" s="25"/>
      <c r="G35" s="25"/>
      <c r="H35" s="26"/>
      <c r="I35" s="1" t="s">
        <v>27</v>
      </c>
      <c r="J35" s="1" t="s">
        <v>27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 x14ac:dyDescent="0.3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1" t="s">
        <v>27</v>
      </c>
      <c r="K36" s="1" t="s">
        <v>27</v>
      </c>
      <c r="L36" s="25"/>
      <c r="M36" s="25"/>
      <c r="N36" s="25"/>
      <c r="O36" s="25"/>
      <c r="P36" s="26"/>
      <c r="S36" t="s">
        <v>61</v>
      </c>
    </row>
    <row r="37" spans="1:19" x14ac:dyDescent="0.3">
      <c r="A37" s="1" t="s">
        <v>27</v>
      </c>
      <c r="B37" s="1" t="s">
        <v>27</v>
      </c>
      <c r="C37" s="17" t="s">
        <v>19</v>
      </c>
      <c r="D37" s="25"/>
      <c r="E37" s="25"/>
      <c r="F37" s="25"/>
      <c r="G37" s="25"/>
      <c r="H37" s="26"/>
      <c r="I37" s="1" t="s">
        <v>27</v>
      </c>
      <c r="J37" s="1" t="s">
        <v>27</v>
      </c>
      <c r="K37" s="1" t="s">
        <v>27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 x14ac:dyDescent="0.3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1" t="s">
        <v>27</v>
      </c>
      <c r="L38" s="25"/>
      <c r="M38" s="25"/>
      <c r="N38" s="25"/>
      <c r="O38" s="25"/>
      <c r="P38" s="26"/>
      <c r="R38">
        <v>6</v>
      </c>
      <c r="S38" t="s">
        <v>65</v>
      </c>
    </row>
    <row r="39" spans="1:19" x14ac:dyDescent="0.3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1" t="s">
        <v>27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 x14ac:dyDescent="0.3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1" t="s">
        <v>27</v>
      </c>
      <c r="L40" s="25"/>
      <c r="M40" s="25"/>
      <c r="N40" s="25"/>
      <c r="O40" s="25"/>
      <c r="P40" s="26"/>
    </row>
    <row r="41" spans="1:19" x14ac:dyDescent="0.3">
      <c r="A41" s="1" t="s">
        <v>27</v>
      </c>
      <c r="B41" s="1" t="s">
        <v>27</v>
      </c>
      <c r="C41" s="4" t="s">
        <v>6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1" t="s">
        <v>27</v>
      </c>
      <c r="L41" s="25"/>
      <c r="M41" s="25"/>
      <c r="N41" s="25"/>
      <c r="O41" s="25"/>
      <c r="P41" s="26"/>
    </row>
    <row r="42" spans="1:19" x14ac:dyDescent="0.3">
      <c r="A42" s="1" t="s">
        <v>27</v>
      </c>
      <c r="B42" s="1" t="s">
        <v>27</v>
      </c>
      <c r="C42" s="4" t="s">
        <v>6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1" t="s">
        <v>27</v>
      </c>
      <c r="L42" s="25"/>
      <c r="M42" s="25"/>
      <c r="N42" s="25"/>
      <c r="O42" s="25"/>
      <c r="P42" s="26"/>
    </row>
    <row r="43" spans="1:19" x14ac:dyDescent="0.3">
      <c r="A43" s="1" t="s">
        <v>27</v>
      </c>
      <c r="B43" s="1" t="s">
        <v>27</v>
      </c>
      <c r="C43" s="4" t="s">
        <v>6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1" t="s">
        <v>27</v>
      </c>
      <c r="L43" s="25"/>
      <c r="M43" s="25"/>
      <c r="N43" s="25"/>
      <c r="O43" s="25"/>
      <c r="P43" s="26"/>
    </row>
    <row r="44" spans="1:19" x14ac:dyDescent="0.3">
      <c r="A44" s="1" t="s">
        <v>27</v>
      </c>
      <c r="B44" s="1" t="s">
        <v>27</v>
      </c>
      <c r="C44" s="15" t="s">
        <v>17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1" t="s">
        <v>27</v>
      </c>
      <c r="L44" s="25"/>
      <c r="M44" s="25"/>
      <c r="N44" s="25"/>
      <c r="O44" s="25"/>
      <c r="P44" s="26"/>
    </row>
    <row r="45" spans="1:19" x14ac:dyDescent="0.3">
      <c r="A45" s="1" t="s">
        <v>27</v>
      </c>
      <c r="B45" s="1" t="s">
        <v>27</v>
      </c>
      <c r="C45" s="4" t="s">
        <v>6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 x14ac:dyDescent="0.3">
      <c r="A46" s="1" t="s">
        <v>27</v>
      </c>
      <c r="B46" s="1" t="s">
        <v>27</v>
      </c>
      <c r="C46" s="4" t="s">
        <v>6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 x14ac:dyDescent="0.3">
      <c r="A47" s="1" t="s">
        <v>27</v>
      </c>
      <c r="B47" s="1" t="s">
        <v>27</v>
      </c>
      <c r="C47" s="4" t="s">
        <v>6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 x14ac:dyDescent="0.3">
      <c r="A48" s="1" t="s">
        <v>27</v>
      </c>
      <c r="B48" s="1" t="s">
        <v>27</v>
      </c>
      <c r="C48" s="4" t="s">
        <v>6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 x14ac:dyDescent="0.3">
      <c r="A49" s="1" t="s">
        <v>27</v>
      </c>
      <c r="B49" s="1" t="s">
        <v>27</v>
      </c>
      <c r="C49" s="17" t="s">
        <v>20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 x14ac:dyDescent="0.3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 x14ac:dyDescent="0.3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 x14ac:dyDescent="0.3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 x14ac:dyDescent="0.3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 x14ac:dyDescent="0.3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 x14ac:dyDescent="0.3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 x14ac:dyDescent="0.3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 x14ac:dyDescent="0.3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 x14ac:dyDescent="0.3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 x14ac:dyDescent="0.3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 x14ac:dyDescent="0.3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 x14ac:dyDescent="0.3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 x14ac:dyDescent="0.3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 x14ac:dyDescent="0.3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 x14ac:dyDescent="0.3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 x14ac:dyDescent="0.3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 x14ac:dyDescent="0.3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 x14ac:dyDescent="0.3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 x14ac:dyDescent="0.3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 x14ac:dyDescent="0.3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 x14ac:dyDescent="0.3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 x14ac:dyDescent="0.3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 x14ac:dyDescent="0.3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 x14ac:dyDescent="0.3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 x14ac:dyDescent="0.3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 x14ac:dyDescent="0.3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 x14ac:dyDescent="0.3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 x14ac:dyDescent="0.3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 x14ac:dyDescent="0.3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 x14ac:dyDescent="0.3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 x14ac:dyDescent="0.3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 x14ac:dyDescent="0.3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 x14ac:dyDescent="0.3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 x14ac:dyDescent="0.3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 x14ac:dyDescent="0.3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 x14ac:dyDescent="0.3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 x14ac:dyDescent="0.3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 x14ac:dyDescent="0.3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 x14ac:dyDescent="0.3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 x14ac:dyDescent="0.3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 x14ac:dyDescent="0.3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 x14ac:dyDescent="0.3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 x14ac:dyDescent="0.3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 x14ac:dyDescent="0.3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 x14ac:dyDescent="0.3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 x14ac:dyDescent="0.3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 x14ac:dyDescent="0.3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 x14ac:dyDescent="0.3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 x14ac:dyDescent="0.3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 x14ac:dyDescent="0.3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 x14ac:dyDescent="0.35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8C59-8D01-411A-A496-DDDCA024DBC1}">
  <dimension ref="A1:AH100"/>
  <sheetViews>
    <sheetView zoomScale="85" zoomScaleNormal="85" workbookViewId="0">
      <selection activeCell="A16" sqref="A16"/>
    </sheetView>
  </sheetViews>
  <sheetFormatPr defaultRowHeight="14.4" x14ac:dyDescent="0.3"/>
  <sheetData>
    <row r="1" spans="1:30" ht="15.6" x14ac:dyDescent="0.3">
      <c r="A1" s="60" t="s">
        <v>30</v>
      </c>
      <c r="B1" s="61"/>
      <c r="C1" s="61"/>
      <c r="D1" s="61"/>
      <c r="E1" s="61"/>
      <c r="F1" s="62" t="s">
        <v>3</v>
      </c>
      <c r="G1" s="62"/>
      <c r="H1" s="24" cm="1">
        <f t="array" ref="H1">SUM(VLOOKUP(A4:C100,$T$3:$W$36,4,FALSE))+H4*10-H8*50</f>
        <v>2396.6640071082738</v>
      </c>
      <c r="I1" s="63" t="s">
        <v>41</v>
      </c>
      <c r="J1" s="64"/>
      <c r="K1" s="64"/>
      <c r="L1" s="64"/>
      <c r="M1" s="64"/>
      <c r="N1" s="64"/>
      <c r="O1" s="64"/>
      <c r="P1" s="65"/>
      <c r="Q1" s="63" t="s">
        <v>48</v>
      </c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30" ht="28.8" x14ac:dyDescent="0.3">
      <c r="A2" s="66" t="s">
        <v>35</v>
      </c>
      <c r="B2" s="67"/>
      <c r="C2" s="67"/>
      <c r="D2" s="68" t="s">
        <v>37</v>
      </c>
      <c r="E2" s="69"/>
      <c r="F2" s="69"/>
      <c r="G2" s="69"/>
      <c r="H2" s="70"/>
      <c r="I2" s="71" t="s">
        <v>35</v>
      </c>
      <c r="J2" s="72"/>
      <c r="K2" s="72"/>
      <c r="L2" s="73" t="s">
        <v>37</v>
      </c>
      <c r="M2" s="73"/>
      <c r="N2" s="73"/>
      <c r="O2" s="73"/>
      <c r="P2" s="74"/>
      <c r="Q2" s="49" t="s">
        <v>43</v>
      </c>
      <c r="R2" s="50" cm="1">
        <f t="array" ref="R2">SUM(V3:V28*AB3:AB28)+H6+P6+R4*500</f>
        <v>65945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30" x14ac:dyDescent="0.3">
      <c r="A3" s="59" t="s">
        <v>31</v>
      </c>
      <c r="B3" s="58" t="s">
        <v>32</v>
      </c>
      <c r="C3" s="20" t="s">
        <v>33</v>
      </c>
      <c r="D3" s="32"/>
      <c r="E3" s="59" t="s">
        <v>31</v>
      </c>
      <c r="F3" s="58" t="s">
        <v>32</v>
      </c>
      <c r="G3" s="20" t="s">
        <v>33</v>
      </c>
      <c r="H3" s="33" t="s">
        <v>36</v>
      </c>
      <c r="I3" s="59" t="s">
        <v>31</v>
      </c>
      <c r="J3" s="58" t="s">
        <v>32</v>
      </c>
      <c r="K3" s="20" t="s">
        <v>33</v>
      </c>
      <c r="L3" s="32"/>
      <c r="M3" s="59" t="s">
        <v>31</v>
      </c>
      <c r="N3" s="58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15</v>
      </c>
      <c r="Z3" s="1">
        <f>COUNTIF($A$4:$C$100,T3)</f>
        <v>13</v>
      </c>
      <c r="AA3" s="1">
        <f>COUNTIF($I$4:$K$100,T3)</f>
        <v>2</v>
      </c>
      <c r="AB3" s="53">
        <f>Y3-Z3-AA3</f>
        <v>0</v>
      </c>
      <c r="AC3">
        <v>24</v>
      </c>
      <c r="AD3">
        <f>AC3*V3</f>
        <v>840</v>
      </c>
    </row>
    <row r="4" spans="1:30" x14ac:dyDescent="0.3">
      <c r="A4" s="2" t="s">
        <v>4</v>
      </c>
      <c r="B4" s="2" t="s">
        <v>4</v>
      </c>
      <c r="C4" s="1" t="s">
        <v>27</v>
      </c>
      <c r="D4" s="42" t="s">
        <v>34</v>
      </c>
      <c r="E4" s="38">
        <v>0</v>
      </c>
      <c r="F4" s="38">
        <v>0</v>
      </c>
      <c r="G4" s="38">
        <v>0</v>
      </c>
      <c r="H4" s="35">
        <f>SUM(E4:G4)</f>
        <v>0</v>
      </c>
      <c r="I4" s="15" t="s">
        <v>17</v>
      </c>
      <c r="J4" s="3" t="s">
        <v>5</v>
      </c>
      <c r="K4" s="3" t="s">
        <v>5</v>
      </c>
      <c r="L4" s="42" t="s">
        <v>34</v>
      </c>
      <c r="M4" s="38">
        <v>1</v>
      </c>
      <c r="N4" s="38">
        <v>0</v>
      </c>
      <c r="O4" s="38">
        <v>4</v>
      </c>
      <c r="P4" s="35">
        <f>SUM(M4:O4)</f>
        <v>5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39</v>
      </c>
      <c r="Z4" s="1">
        <f t="shared" ref="Z4:Z28" si="1">COUNTIF($A$4:$C$100,T4)</f>
        <v>7</v>
      </c>
      <c r="AA4" s="1">
        <f t="shared" ref="AA4:AA28" si="2">COUNTIF($I$4:$K$100,T4)</f>
        <v>32</v>
      </c>
      <c r="AB4" s="53">
        <f t="shared" ref="AB4:AB28" si="3">Y4-Z4-AA4</f>
        <v>0</v>
      </c>
      <c r="AC4">
        <v>25</v>
      </c>
      <c r="AD4">
        <f t="shared" ref="AD4:AD28" si="4">AC4*V4</f>
        <v>1000</v>
      </c>
    </row>
    <row r="5" spans="1:30" x14ac:dyDescent="0.3">
      <c r="A5" s="2" t="s">
        <v>4</v>
      </c>
      <c r="B5" s="2" t="s">
        <v>4</v>
      </c>
      <c r="C5" s="1" t="s">
        <v>27</v>
      </c>
      <c r="D5" s="32" t="s">
        <v>38</v>
      </c>
      <c r="E5" s="34" cm="1">
        <f t="array" ref="E5">(SUM(VLOOKUP(A4:A100,$T$3:$W$41,2,FALSE))+E4*10)-E8*50</f>
        <v>800</v>
      </c>
      <c r="F5" s="34" cm="1">
        <f t="array" ref="F5">(SUM(VLOOKUP(B4:B100,$T$3:$W$41,2,FALSE))+F4*10)-F8*50</f>
        <v>5080</v>
      </c>
      <c r="G5" s="34" cm="1">
        <f t="array" ref="G5">(SUM(VLOOKUP(C4:C100,$T$3:$W$41,2,FALSE))+G4*10)-G8*50</f>
        <v>6690</v>
      </c>
      <c r="H5" s="57">
        <f t="shared" ref="H5:H8" si="5">SUM(E5:G5)</f>
        <v>12570</v>
      </c>
      <c r="I5" s="1" t="s">
        <v>27</v>
      </c>
      <c r="J5" s="3" t="s">
        <v>5</v>
      </c>
      <c r="K5" s="3" t="s">
        <v>5</v>
      </c>
      <c r="L5" s="32" t="s">
        <v>38</v>
      </c>
      <c r="M5" s="34" cm="1">
        <f t="array" ref="M5">(SUM(VLOOKUP(I4:I100,$T$3:$W$41,2,FALSE))+M4*10)*0.8-M8*40</f>
        <v>128</v>
      </c>
      <c r="N5" s="34" cm="1">
        <f t="array" ref="N5">(SUM(VLOOKUP(J4:J100,$T$3:$W$41,2,FALSE))+N4*10)*0.8-N8*40</f>
        <v>672</v>
      </c>
      <c r="O5" s="34" cm="1">
        <f t="array" ref="O5">(SUM(VLOOKUP(K4:K100,$T$3:$W$41,2,FALSE))+O4*10)*0.8-O8*40</f>
        <v>3736</v>
      </c>
      <c r="P5" s="57">
        <f t="shared" ref="P5:P8" si="6">SUM(M5:O5)</f>
        <v>4536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243</v>
      </c>
      <c r="Z5" s="1">
        <f t="shared" si="1"/>
        <v>42</v>
      </c>
      <c r="AA5" s="1">
        <f t="shared" si="2"/>
        <v>0</v>
      </c>
      <c r="AB5" s="53">
        <f t="shared" si="3"/>
        <v>201</v>
      </c>
      <c r="AC5">
        <v>247</v>
      </c>
      <c r="AD5">
        <f t="shared" si="4"/>
        <v>11115</v>
      </c>
    </row>
    <row r="6" spans="1:30" x14ac:dyDescent="0.3">
      <c r="A6" s="15" t="s">
        <v>17</v>
      </c>
      <c r="B6" s="2" t="s">
        <v>4</v>
      </c>
      <c r="C6" s="2" t="s">
        <v>4</v>
      </c>
      <c r="D6" s="32" t="s">
        <v>39</v>
      </c>
      <c r="E6" s="34" cm="1">
        <f t="array" ref="E6">(SUM(VLOOKUP(A4:A100,$T$3:$W$41,3,FALSE)))</f>
        <v>205</v>
      </c>
      <c r="F6" s="34" cm="1">
        <f t="array" ref="F6">(SUM(VLOOKUP(B4:B100,$T$3:$W$41,3,FALSE)))</f>
        <v>1595</v>
      </c>
      <c r="G6" s="34" cm="1">
        <f t="array" ref="G6">(SUM(VLOOKUP(C4:C100,$T$3:$W$41,3,FALSE)))</f>
        <v>2320</v>
      </c>
      <c r="H6" s="48">
        <f t="shared" si="5"/>
        <v>4120</v>
      </c>
      <c r="I6" s="2" t="s">
        <v>4</v>
      </c>
      <c r="J6" s="9" t="s">
        <v>11</v>
      </c>
      <c r="K6" s="3" t="s">
        <v>5</v>
      </c>
      <c r="L6" s="32" t="s">
        <v>39</v>
      </c>
      <c r="M6" s="34" cm="1">
        <f t="array" ref="M6">(SUM(VLOOKUP(I4:I100,$T$3:$W$41,3,FALSE)))</f>
        <v>100</v>
      </c>
      <c r="N6" s="34" cm="1">
        <f t="array" ref="N6">(SUM(VLOOKUP(J4:J100,$T$3:$W$41,3,FALSE)))</f>
        <v>230</v>
      </c>
      <c r="O6" s="34" cm="1">
        <f t="array" ref="O6">(SUM(VLOOKUP(K4:K100,$T$3:$W$41,3,FALSE)))</f>
        <v>1880</v>
      </c>
      <c r="P6" s="48">
        <f t="shared" si="6"/>
        <v>2210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267</v>
      </c>
      <c r="Z6" s="1">
        <f t="shared" si="1"/>
        <v>2</v>
      </c>
      <c r="AA6" s="1">
        <f t="shared" si="2"/>
        <v>0</v>
      </c>
      <c r="AB6" s="53">
        <f t="shared" si="3"/>
        <v>265</v>
      </c>
      <c r="AC6">
        <v>267</v>
      </c>
      <c r="AD6">
        <f t="shared" si="4"/>
        <v>13350</v>
      </c>
    </row>
    <row r="7" spans="1:30" x14ac:dyDescent="0.3">
      <c r="A7" s="2" t="s">
        <v>4</v>
      </c>
      <c r="B7" s="2" t="s">
        <v>4</v>
      </c>
      <c r="C7" s="2" t="s">
        <v>4</v>
      </c>
      <c r="D7" s="32" t="s">
        <v>40</v>
      </c>
      <c r="E7" s="34">
        <f>COUNTIF(A4:A100,"&lt;&gt;空")</f>
        <v>6</v>
      </c>
      <c r="F7" s="34">
        <f>COUNTIF(B4:B100,"&lt;&gt;空")</f>
        <v>31</v>
      </c>
      <c r="G7" s="34">
        <f>COUNTIF(C4:C100,"&lt;&gt;空")</f>
        <v>44</v>
      </c>
      <c r="H7" s="35">
        <f t="shared" si="5"/>
        <v>81</v>
      </c>
      <c r="I7" s="2" t="s">
        <v>4</v>
      </c>
      <c r="J7" s="3" t="s">
        <v>5</v>
      </c>
      <c r="K7" s="15" t="s">
        <v>17</v>
      </c>
      <c r="L7" s="32" t="s">
        <v>40</v>
      </c>
      <c r="M7" s="34">
        <f>COUNTIF(I4:I100,"&lt;&gt;空")</f>
        <v>4</v>
      </c>
      <c r="N7" s="34">
        <f>COUNTIF(J4:J100,"&lt;&gt;空")</f>
        <v>6</v>
      </c>
      <c r="O7" s="34">
        <f>COUNTIF(K4:K100,"&lt;&gt;空")</f>
        <v>38</v>
      </c>
      <c r="P7" s="35">
        <f t="shared" si="6"/>
        <v>48</v>
      </c>
      <c r="Q7" s="52" t="s">
        <v>54</v>
      </c>
      <c r="R7" s="25">
        <v>2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235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  <c r="AD7">
        <f t="shared" si="4"/>
        <v>12925</v>
      </c>
    </row>
    <row r="8" spans="1:30" x14ac:dyDescent="0.3">
      <c r="A8" s="2" t="s">
        <v>4</v>
      </c>
      <c r="B8" s="2" t="s">
        <v>4</v>
      </c>
      <c r="C8" s="2" t="s">
        <v>4</v>
      </c>
      <c r="D8" s="41" t="s">
        <v>64</v>
      </c>
      <c r="E8" s="40">
        <v>0</v>
      </c>
      <c r="F8" s="40">
        <v>1</v>
      </c>
      <c r="G8" s="40">
        <v>0</v>
      </c>
      <c r="H8" s="35">
        <f t="shared" si="5"/>
        <v>1</v>
      </c>
      <c r="I8" s="16" t="s">
        <v>28</v>
      </c>
      <c r="J8" s="3" t="s">
        <v>5</v>
      </c>
      <c r="K8" s="3" t="s">
        <v>5</v>
      </c>
      <c r="L8" s="41" t="s">
        <v>64</v>
      </c>
      <c r="M8" s="40">
        <v>0</v>
      </c>
      <c r="N8" s="40">
        <v>0</v>
      </c>
      <c r="O8" s="40">
        <v>2</v>
      </c>
      <c r="P8" s="35">
        <f t="shared" si="6"/>
        <v>2</v>
      </c>
      <c r="Q8" s="49" t="s">
        <v>53</v>
      </c>
      <c r="R8" s="54" cm="1">
        <f t="array" ref="R8">R6-P5-H5-SUM(U3:U28*AB3:AB28)*0.8-R7*8</f>
        <v>62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194</v>
      </c>
      <c r="Z8" s="1">
        <f t="shared" si="1"/>
        <v>0</v>
      </c>
      <c r="AA8" s="1">
        <f t="shared" si="2"/>
        <v>0</v>
      </c>
      <c r="AB8" s="53">
        <f t="shared" si="3"/>
        <v>194</v>
      </c>
      <c r="AC8">
        <v>193</v>
      </c>
      <c r="AD8">
        <f t="shared" si="4"/>
        <v>11580</v>
      </c>
    </row>
    <row r="9" spans="1:30" x14ac:dyDescent="0.3">
      <c r="A9" s="2" t="s">
        <v>4</v>
      </c>
      <c r="B9" s="15" t="s">
        <v>17</v>
      </c>
      <c r="C9" s="16" t="s">
        <v>18</v>
      </c>
      <c r="D9" s="25"/>
      <c r="E9" s="25"/>
      <c r="F9" s="25"/>
      <c r="G9" s="25"/>
      <c r="H9" s="26"/>
      <c r="I9" s="1" t="s">
        <v>27</v>
      </c>
      <c r="J9" s="15" t="s">
        <v>17</v>
      </c>
      <c r="K9" s="3" t="s">
        <v>5</v>
      </c>
      <c r="L9" s="32" t="s">
        <v>42</v>
      </c>
      <c r="M9" s="36">
        <f>M6/M5</f>
        <v>0.78125</v>
      </c>
      <c r="N9" s="36">
        <f>N6/N5</f>
        <v>0.34226190476190477</v>
      </c>
      <c r="O9" s="36">
        <f>O6/O5</f>
        <v>0.50321199143468953</v>
      </c>
      <c r="P9" s="37">
        <f>P6/P5</f>
        <v>0.48721340388007056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7">U9-V9/0.330882</f>
        <v>44.222109392472248</v>
      </c>
      <c r="X9" s="45">
        <v>5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  <c r="AD9">
        <f t="shared" si="4"/>
        <v>0</v>
      </c>
    </row>
    <row r="10" spans="1:30" x14ac:dyDescent="0.3">
      <c r="A10" s="1" t="s">
        <v>27</v>
      </c>
      <c r="B10" s="1" t="s">
        <v>27</v>
      </c>
      <c r="C10" s="3" t="s">
        <v>5</v>
      </c>
      <c r="D10" s="25"/>
      <c r="E10" s="25"/>
      <c r="F10" s="25"/>
      <c r="G10" s="25"/>
      <c r="H10" s="26"/>
      <c r="I10" s="1" t="s">
        <v>27</v>
      </c>
      <c r="J10" s="1" t="s">
        <v>27</v>
      </c>
      <c r="K10" s="3" t="s">
        <v>5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7"/>
        <v>29.110982162825422</v>
      </c>
      <c r="X10" s="45">
        <v>6</v>
      </c>
      <c r="Y10" s="45">
        <v>1</v>
      </c>
      <c r="Z10" s="1">
        <f t="shared" si="1"/>
        <v>0</v>
      </c>
      <c r="AA10" s="1">
        <f t="shared" si="2"/>
        <v>1</v>
      </c>
      <c r="AB10" s="53">
        <f t="shared" si="3"/>
        <v>0</v>
      </c>
      <c r="AC10">
        <v>2</v>
      </c>
      <c r="AD10">
        <f t="shared" si="4"/>
        <v>80</v>
      </c>
    </row>
    <row r="11" spans="1:30" x14ac:dyDescent="0.3">
      <c r="A11" s="1" t="s">
        <v>27</v>
      </c>
      <c r="B11" s="4" t="s">
        <v>6</v>
      </c>
      <c r="C11" s="3" t="s">
        <v>5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15" t="s">
        <v>17</v>
      </c>
      <c r="L11" s="25"/>
      <c r="M11" s="25"/>
      <c r="N11" s="25"/>
      <c r="O11" s="25"/>
      <c r="P11" s="26">
        <f>H5+P5</f>
        <v>17106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 t="shared" si="7"/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6</v>
      </c>
      <c r="AD11">
        <f t="shared" si="4"/>
        <v>270</v>
      </c>
    </row>
    <row r="12" spans="1:30" x14ac:dyDescent="0.3">
      <c r="A12" s="1" t="s">
        <v>27</v>
      </c>
      <c r="B12" s="4" t="s">
        <v>6</v>
      </c>
      <c r="C12" s="3" t="s">
        <v>5</v>
      </c>
      <c r="D12" s="25"/>
      <c r="E12" s="25"/>
      <c r="F12" s="25"/>
      <c r="G12" s="25"/>
      <c r="H12" s="26"/>
      <c r="I12" s="1" t="s">
        <v>27</v>
      </c>
      <c r="J12" s="1" t="s">
        <v>27</v>
      </c>
      <c r="K12" s="1" t="s">
        <v>27</v>
      </c>
      <c r="L12" s="25"/>
      <c r="M12" s="25"/>
      <c r="N12" s="25"/>
      <c r="O12" s="25"/>
      <c r="P12" s="26">
        <f>H6+P6</f>
        <v>6330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  <c r="AD12">
        <f t="shared" si="4"/>
        <v>150</v>
      </c>
    </row>
    <row r="13" spans="1:30" x14ac:dyDescent="0.3">
      <c r="A13" s="1" t="s">
        <v>27</v>
      </c>
      <c r="B13" s="4" t="s">
        <v>6</v>
      </c>
      <c r="C13" s="3" t="s">
        <v>5</v>
      </c>
      <c r="D13" s="25"/>
      <c r="E13" s="25"/>
      <c r="F13" s="25"/>
      <c r="G13" s="25"/>
      <c r="H13" s="26"/>
      <c r="I13" s="1" t="s">
        <v>27</v>
      </c>
      <c r="J13" s="1" t="s">
        <v>27</v>
      </c>
      <c r="K13" s="3" t="s">
        <v>5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  <c r="AD13">
        <f t="shared" si="4"/>
        <v>165</v>
      </c>
    </row>
    <row r="14" spans="1:30" x14ac:dyDescent="0.3">
      <c r="A14" s="1" t="s">
        <v>27</v>
      </c>
      <c r="B14" s="4" t="s">
        <v>6</v>
      </c>
      <c r="C14" s="15" t="s">
        <v>17</v>
      </c>
      <c r="D14" s="25"/>
      <c r="E14" s="25"/>
      <c r="F14" s="25"/>
      <c r="G14" s="25"/>
      <c r="H14" s="26"/>
      <c r="I14" s="1" t="s">
        <v>27</v>
      </c>
      <c r="J14" s="1" t="s">
        <v>27</v>
      </c>
      <c r="K14" s="3" t="s">
        <v>5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  <c r="AD14">
        <f t="shared" si="4"/>
        <v>60</v>
      </c>
    </row>
    <row r="15" spans="1:30" x14ac:dyDescent="0.3">
      <c r="A15" s="1" t="s">
        <v>27</v>
      </c>
      <c r="B15" s="4" t="s">
        <v>6</v>
      </c>
      <c r="C15" s="3" t="s">
        <v>5</v>
      </c>
      <c r="D15" s="25"/>
      <c r="E15" s="25"/>
      <c r="F15" s="25"/>
      <c r="G15" s="25"/>
      <c r="H15" s="26"/>
      <c r="I15" s="1" t="s">
        <v>27</v>
      </c>
      <c r="J15" s="1" t="s">
        <v>27</v>
      </c>
      <c r="K15" s="3" t="s">
        <v>5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8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  <c r="AD15">
        <f t="shared" si="4"/>
        <v>0</v>
      </c>
    </row>
    <row r="16" spans="1:30" x14ac:dyDescent="0.3">
      <c r="A16" s="1" t="s">
        <v>27</v>
      </c>
      <c r="B16" s="4" t="s">
        <v>6</v>
      </c>
      <c r="C16" s="3" t="s">
        <v>5</v>
      </c>
      <c r="D16" s="25"/>
      <c r="E16" s="25"/>
      <c r="F16" s="25"/>
      <c r="G16" s="25"/>
      <c r="H16" s="26"/>
      <c r="I16" s="1" t="s">
        <v>27</v>
      </c>
      <c r="J16" s="1" t="s">
        <v>27</v>
      </c>
      <c r="K16" s="3" t="s">
        <v>5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6</v>
      </c>
      <c r="AA16" s="1">
        <f t="shared" si="2"/>
        <v>10</v>
      </c>
      <c r="AB16" s="53">
        <f t="shared" si="3"/>
        <v>22</v>
      </c>
      <c r="AC16">
        <v>38</v>
      </c>
      <c r="AD16">
        <f t="shared" si="4"/>
        <v>1140</v>
      </c>
    </row>
    <row r="17" spans="1:34" x14ac:dyDescent="0.3">
      <c r="A17" s="1" t="s">
        <v>27</v>
      </c>
      <c r="B17" s="17" t="s">
        <v>19</v>
      </c>
      <c r="C17" s="3" t="s">
        <v>5</v>
      </c>
      <c r="D17" s="25"/>
      <c r="E17" s="25"/>
      <c r="F17" s="25"/>
      <c r="G17" s="25"/>
      <c r="H17" s="26"/>
      <c r="I17" s="1" t="s">
        <v>27</v>
      </c>
      <c r="J17" s="1" t="s">
        <v>27</v>
      </c>
      <c r="K17" s="15" t="s">
        <v>17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1</v>
      </c>
      <c r="Y17" s="45">
        <v>1</v>
      </c>
      <c r="Z17" s="1">
        <f t="shared" si="1"/>
        <v>1</v>
      </c>
      <c r="AA17" s="1">
        <f t="shared" si="2"/>
        <v>0</v>
      </c>
      <c r="AB17" s="53">
        <f t="shared" si="3"/>
        <v>0</v>
      </c>
      <c r="AC17">
        <v>0</v>
      </c>
      <c r="AD17">
        <f t="shared" si="4"/>
        <v>0</v>
      </c>
    </row>
    <row r="18" spans="1:34" x14ac:dyDescent="0.3">
      <c r="A18" s="1" t="s">
        <v>27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1" t="s">
        <v>27</v>
      </c>
      <c r="J18" s="1" t="s">
        <v>27</v>
      </c>
      <c r="K18" s="3" t="s">
        <v>5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300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  <c r="AC18">
        <v>0</v>
      </c>
      <c r="AD18">
        <f t="shared" si="4"/>
        <v>0</v>
      </c>
    </row>
    <row r="19" spans="1:34" x14ac:dyDescent="0.3">
      <c r="A19" s="1" t="s">
        <v>27</v>
      </c>
      <c r="B19" s="4" t="s">
        <v>6</v>
      </c>
      <c r="C19" s="17" t="s">
        <v>20</v>
      </c>
      <c r="D19" s="25"/>
      <c r="E19" s="25"/>
      <c r="F19" s="25"/>
      <c r="G19" s="25"/>
      <c r="H19" s="26"/>
      <c r="I19" s="1" t="s">
        <v>27</v>
      </c>
      <c r="J19" s="1" t="s">
        <v>27</v>
      </c>
      <c r="K19" s="3" t="s">
        <v>5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  <c r="AD19">
        <f t="shared" si="4"/>
        <v>225</v>
      </c>
    </row>
    <row r="20" spans="1:34" x14ac:dyDescent="0.3">
      <c r="A20" s="1" t="s">
        <v>27</v>
      </c>
      <c r="B20" s="5" t="s">
        <v>7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1" t="s">
        <v>27</v>
      </c>
      <c r="K20" s="3" t="s">
        <v>5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C20">
        <v>2</v>
      </c>
      <c r="AD20">
        <f t="shared" si="4"/>
        <v>400</v>
      </c>
    </row>
    <row r="21" spans="1:34" x14ac:dyDescent="0.3">
      <c r="A21" s="1" t="s">
        <v>27</v>
      </c>
      <c r="B21" s="5" t="s">
        <v>7</v>
      </c>
      <c r="C21" s="15" t="s">
        <v>17</v>
      </c>
      <c r="D21" s="25"/>
      <c r="E21" s="25"/>
      <c r="F21" s="25"/>
      <c r="G21" s="25"/>
      <c r="H21" s="26"/>
      <c r="I21" s="1" t="s">
        <v>27</v>
      </c>
      <c r="J21" s="1" t="s">
        <v>27</v>
      </c>
      <c r="K21" s="15" t="s">
        <v>17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  <c r="AD21">
        <f t="shared" si="4"/>
        <v>2000</v>
      </c>
    </row>
    <row r="22" spans="1:34" x14ac:dyDescent="0.3">
      <c r="A22" s="1" t="s">
        <v>27</v>
      </c>
      <c r="B22" s="4" t="s">
        <v>6</v>
      </c>
      <c r="C22" s="4" t="s">
        <v>6</v>
      </c>
      <c r="D22" s="25"/>
      <c r="E22" s="25"/>
      <c r="F22" s="25"/>
      <c r="G22" s="25"/>
      <c r="H22" s="26"/>
      <c r="I22" s="1" t="s">
        <v>27</v>
      </c>
      <c r="J22" s="1" t="s">
        <v>27</v>
      </c>
      <c r="K22" s="16" t="s">
        <v>28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3</v>
      </c>
      <c r="Y22" s="45">
        <v>3</v>
      </c>
      <c r="Z22" s="1">
        <f t="shared" si="1"/>
        <v>0</v>
      </c>
      <c r="AA22" s="1">
        <f t="shared" si="2"/>
        <v>0</v>
      </c>
      <c r="AB22" s="53">
        <f t="shared" si="3"/>
        <v>3</v>
      </c>
      <c r="AC22">
        <v>3</v>
      </c>
      <c r="AD22">
        <f t="shared" si="4"/>
        <v>1500</v>
      </c>
    </row>
    <row r="23" spans="1:34" x14ac:dyDescent="0.3">
      <c r="A23" s="1" t="s">
        <v>27</v>
      </c>
      <c r="B23" s="10" t="s">
        <v>12</v>
      </c>
      <c r="C23" s="17" t="s">
        <v>19</v>
      </c>
      <c r="D23" s="25"/>
      <c r="E23" s="25"/>
      <c r="F23" s="25"/>
      <c r="G23" s="25"/>
      <c r="H23" s="26"/>
      <c r="I23" s="1" t="s">
        <v>27</v>
      </c>
      <c r="J23" s="1" t="s">
        <v>27</v>
      </c>
      <c r="K23" s="3" t="s">
        <v>5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9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  <c r="AD23">
        <f t="shared" si="4"/>
        <v>0</v>
      </c>
    </row>
    <row r="24" spans="1:34" x14ac:dyDescent="0.3">
      <c r="A24" s="1" t="s">
        <v>27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1" t="s">
        <v>27</v>
      </c>
      <c r="K24" s="3" t="s">
        <v>5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9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  <c r="AD24">
        <f t="shared" si="4"/>
        <v>0</v>
      </c>
    </row>
    <row r="25" spans="1:34" x14ac:dyDescent="0.3">
      <c r="A25" s="1" t="s">
        <v>27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1" t="s">
        <v>27</v>
      </c>
      <c r="K25" s="3" t="s">
        <v>5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9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  <c r="AD25">
        <f t="shared" si="4"/>
        <v>0</v>
      </c>
    </row>
    <row r="26" spans="1:34" x14ac:dyDescent="0.3">
      <c r="A26" s="1" t="s">
        <v>27</v>
      </c>
      <c r="B26" s="17" t="s">
        <v>20</v>
      </c>
      <c r="C26" s="10" t="s">
        <v>12</v>
      </c>
      <c r="D26" s="25"/>
      <c r="E26" s="25"/>
      <c r="F26" s="25"/>
      <c r="G26" s="25"/>
      <c r="H26" s="26"/>
      <c r="I26" s="1" t="s">
        <v>27</v>
      </c>
      <c r="J26" s="1" t="s">
        <v>27</v>
      </c>
      <c r="K26" s="3" t="s">
        <v>5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9"/>
        <v>0</v>
      </c>
      <c r="X26" s="45">
        <v>0</v>
      </c>
      <c r="Y26" s="45">
        <v>0</v>
      </c>
      <c r="Z26" s="1"/>
      <c r="AA26" s="1"/>
      <c r="AB26" s="53"/>
      <c r="AD26">
        <f t="shared" si="4"/>
        <v>0</v>
      </c>
    </row>
    <row r="27" spans="1:34" x14ac:dyDescent="0.3">
      <c r="A27" s="1" t="s">
        <v>27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1" t="s">
        <v>27</v>
      </c>
      <c r="J27" s="1" t="s">
        <v>27</v>
      </c>
      <c r="K27" s="15" t="s">
        <v>17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14</v>
      </c>
      <c r="Y27" s="45">
        <v>14</v>
      </c>
      <c r="Z27" s="1">
        <f t="shared" si="1"/>
        <v>0</v>
      </c>
      <c r="AA27" s="1">
        <f t="shared" si="2"/>
        <v>2</v>
      </c>
      <c r="AB27" s="53">
        <f t="shared" si="3"/>
        <v>12</v>
      </c>
      <c r="AC27">
        <v>15</v>
      </c>
      <c r="AD27">
        <f t="shared" si="4"/>
        <v>0</v>
      </c>
      <c r="AE27">
        <v>3</v>
      </c>
      <c r="AF27">
        <v>4</v>
      </c>
      <c r="AG27">
        <v>5</v>
      </c>
      <c r="AH27">
        <v>6</v>
      </c>
    </row>
    <row r="28" spans="1:34" x14ac:dyDescent="0.3">
      <c r="A28" s="1" t="s">
        <v>27</v>
      </c>
      <c r="B28" s="4" t="s">
        <v>6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1" t="s">
        <v>27</v>
      </c>
      <c r="K28" s="3" t="s">
        <v>5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>
        <v>10</v>
      </c>
      <c r="X28" s="45">
        <v>3</v>
      </c>
      <c r="Y28" s="45">
        <v>3</v>
      </c>
      <c r="Z28" s="1">
        <f t="shared" si="1"/>
        <v>0</v>
      </c>
      <c r="AA28" s="1">
        <f t="shared" si="2"/>
        <v>1</v>
      </c>
      <c r="AB28" s="53">
        <f t="shared" si="3"/>
        <v>2</v>
      </c>
      <c r="AC28">
        <v>3</v>
      </c>
      <c r="AD28">
        <f t="shared" si="4"/>
        <v>1560</v>
      </c>
      <c r="AE28">
        <v>4</v>
      </c>
      <c r="AF28">
        <v>3</v>
      </c>
      <c r="AG28">
        <v>3</v>
      </c>
      <c r="AH28">
        <v>1</v>
      </c>
    </row>
    <row r="29" spans="1:34" ht="15" thickBot="1" x14ac:dyDescent="0.35">
      <c r="A29" s="1" t="s">
        <v>27</v>
      </c>
      <c r="B29" s="4" t="s">
        <v>6</v>
      </c>
      <c r="C29" s="15" t="s">
        <v>17</v>
      </c>
      <c r="D29" s="25"/>
      <c r="E29" s="25"/>
      <c r="F29" s="25"/>
      <c r="G29" s="25"/>
      <c r="H29" s="26"/>
      <c r="I29" s="1" t="s">
        <v>27</v>
      </c>
      <c r="J29" s="1" t="s">
        <v>27</v>
      </c>
      <c r="K29" s="3" t="s">
        <v>5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  <c r="AE29">
        <v>2</v>
      </c>
    </row>
    <row r="30" spans="1:34" x14ac:dyDescent="0.3">
      <c r="A30" s="1" t="s">
        <v>27</v>
      </c>
      <c r="B30" s="4" t="s">
        <v>6</v>
      </c>
      <c r="C30" s="4" t="s">
        <v>6</v>
      </c>
      <c r="D30" s="25"/>
      <c r="E30" s="25"/>
      <c r="F30" s="25"/>
      <c r="G30" s="25"/>
      <c r="H30" s="26"/>
      <c r="I30" s="1" t="s">
        <v>27</v>
      </c>
      <c r="J30" s="1" t="s">
        <v>27</v>
      </c>
      <c r="K30" s="3" t="s">
        <v>5</v>
      </c>
      <c r="L30" s="25"/>
      <c r="M30" s="25"/>
      <c r="N30" s="25"/>
      <c r="O30" s="25"/>
      <c r="P30" s="26"/>
    </row>
    <row r="31" spans="1:34" x14ac:dyDescent="0.3">
      <c r="A31" s="1" t="s">
        <v>27</v>
      </c>
      <c r="B31" s="4" t="s">
        <v>6</v>
      </c>
      <c r="C31" s="4" t="s">
        <v>6</v>
      </c>
      <c r="D31" s="25"/>
      <c r="E31" s="25"/>
      <c r="F31" s="25"/>
      <c r="G31" s="25"/>
      <c r="H31" s="26"/>
      <c r="I31" s="1" t="s">
        <v>27</v>
      </c>
      <c r="J31" s="1" t="s">
        <v>27</v>
      </c>
      <c r="K31" s="15" t="s">
        <v>17</v>
      </c>
      <c r="L31" s="25"/>
      <c r="M31" s="25"/>
      <c r="N31" s="25"/>
      <c r="O31" s="25"/>
      <c r="P31" s="26"/>
      <c r="Y31">
        <f>SUM(Y3:Y28)</f>
        <v>1076</v>
      </c>
      <c r="AC31">
        <f>SUM(AC3:AC28)</f>
        <v>1074</v>
      </c>
      <c r="AD31">
        <f>SUM(AD3:AD28)+7000</f>
        <v>65360</v>
      </c>
    </row>
    <row r="32" spans="1:34" x14ac:dyDescent="0.3">
      <c r="A32" s="1" t="s">
        <v>27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1" t="s">
        <v>27</v>
      </c>
      <c r="K32" s="1" t="s">
        <v>27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 x14ac:dyDescent="0.3">
      <c r="A33" s="1" t="s">
        <v>27</v>
      </c>
      <c r="B33" s="4" t="s">
        <v>6</v>
      </c>
      <c r="C33" s="17" t="s">
        <v>20</v>
      </c>
      <c r="D33" s="25"/>
      <c r="E33" s="25"/>
      <c r="F33" s="25"/>
      <c r="G33" s="25"/>
      <c r="H33" s="26"/>
      <c r="I33" s="1" t="s">
        <v>27</v>
      </c>
      <c r="J33" s="1" t="s">
        <v>27</v>
      </c>
      <c r="K33" s="1" t="s">
        <v>27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 x14ac:dyDescent="0.3">
      <c r="A34" s="1" t="s">
        <v>27</v>
      </c>
      <c r="B34" s="4" t="s">
        <v>6</v>
      </c>
      <c r="C34" s="4" t="s">
        <v>6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23" t="s">
        <v>29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 x14ac:dyDescent="0.3">
      <c r="A35" s="1" t="s">
        <v>27</v>
      </c>
      <c r="B35" s="17" t="s">
        <v>20</v>
      </c>
      <c r="C35" s="4" t="s">
        <v>6</v>
      </c>
      <c r="D35" s="25"/>
      <c r="E35" s="25"/>
      <c r="F35" s="25"/>
      <c r="G35" s="25"/>
      <c r="H35" s="26"/>
      <c r="I35" s="1" t="s">
        <v>27</v>
      </c>
      <c r="J35" s="1" t="s">
        <v>27</v>
      </c>
      <c r="K35" s="3" t="s">
        <v>5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 x14ac:dyDescent="0.3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1" t="s">
        <v>27</v>
      </c>
      <c r="K36" s="3" t="s">
        <v>5</v>
      </c>
      <c r="L36" s="25"/>
      <c r="M36" s="25"/>
      <c r="N36" s="25"/>
      <c r="O36" s="25"/>
      <c r="P36" s="26"/>
      <c r="S36" t="s">
        <v>61</v>
      </c>
    </row>
    <row r="37" spans="1:19" x14ac:dyDescent="0.3">
      <c r="A37" s="1" t="s">
        <v>27</v>
      </c>
      <c r="B37" s="1" t="s">
        <v>27</v>
      </c>
      <c r="C37" s="17" t="s">
        <v>19</v>
      </c>
      <c r="D37" s="25"/>
      <c r="E37" s="25"/>
      <c r="F37" s="25"/>
      <c r="G37" s="25"/>
      <c r="H37" s="26"/>
      <c r="I37" s="1" t="s">
        <v>27</v>
      </c>
      <c r="J37" s="1" t="s">
        <v>27</v>
      </c>
      <c r="K37" s="3" t="s">
        <v>5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 x14ac:dyDescent="0.3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3" t="s">
        <v>5</v>
      </c>
      <c r="L38" s="25"/>
      <c r="M38" s="25"/>
      <c r="N38" s="25"/>
      <c r="O38" s="25"/>
      <c r="P38" s="26"/>
      <c r="R38">
        <v>6</v>
      </c>
      <c r="S38" t="s">
        <v>65</v>
      </c>
    </row>
    <row r="39" spans="1:19" x14ac:dyDescent="0.3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15" t="s">
        <v>17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 x14ac:dyDescent="0.3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3" t="s">
        <v>5</v>
      </c>
      <c r="L40" s="25"/>
      <c r="M40" s="25"/>
      <c r="N40" s="25"/>
      <c r="O40" s="25"/>
      <c r="P40" s="26"/>
    </row>
    <row r="41" spans="1:19" x14ac:dyDescent="0.3">
      <c r="A41" s="1" t="s">
        <v>27</v>
      </c>
      <c r="B41" s="1" t="s">
        <v>27</v>
      </c>
      <c r="C41" s="4" t="s">
        <v>6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3" t="s">
        <v>5</v>
      </c>
      <c r="L41" s="25"/>
      <c r="M41" s="25"/>
      <c r="N41" s="25"/>
      <c r="O41" s="25"/>
      <c r="P41" s="26"/>
    </row>
    <row r="42" spans="1:19" x14ac:dyDescent="0.3">
      <c r="A42" s="1" t="s">
        <v>27</v>
      </c>
      <c r="B42" s="1" t="s">
        <v>27</v>
      </c>
      <c r="C42" s="4" t="s">
        <v>6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3" t="s">
        <v>5</v>
      </c>
      <c r="L42" s="25"/>
      <c r="M42" s="25"/>
      <c r="N42" s="25"/>
      <c r="O42" s="25"/>
      <c r="P42" s="26"/>
    </row>
    <row r="43" spans="1:19" x14ac:dyDescent="0.3">
      <c r="A43" s="1" t="s">
        <v>27</v>
      </c>
      <c r="B43" s="1" t="s">
        <v>27</v>
      </c>
      <c r="C43" s="4" t="s">
        <v>6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3" t="s">
        <v>5</v>
      </c>
      <c r="L43" s="25"/>
      <c r="M43" s="25"/>
      <c r="N43" s="25"/>
      <c r="O43" s="25"/>
      <c r="P43" s="26"/>
    </row>
    <row r="44" spans="1:19" x14ac:dyDescent="0.3">
      <c r="A44" s="1" t="s">
        <v>27</v>
      </c>
      <c r="B44" s="1" t="s">
        <v>27</v>
      </c>
      <c r="C44" s="15" t="s">
        <v>17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15" t="s">
        <v>17</v>
      </c>
      <c r="L44" s="25"/>
      <c r="M44" s="25"/>
      <c r="N44" s="25"/>
      <c r="O44" s="25"/>
      <c r="P44" s="26"/>
    </row>
    <row r="45" spans="1:19" x14ac:dyDescent="0.3">
      <c r="A45" s="1" t="s">
        <v>27</v>
      </c>
      <c r="B45" s="1" t="s">
        <v>27</v>
      </c>
      <c r="C45" s="4" t="s">
        <v>6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 x14ac:dyDescent="0.3">
      <c r="A46" s="1" t="s">
        <v>27</v>
      </c>
      <c r="B46" s="1" t="s">
        <v>27</v>
      </c>
      <c r="C46" s="4" t="s">
        <v>6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 x14ac:dyDescent="0.3">
      <c r="A47" s="1" t="s">
        <v>27</v>
      </c>
      <c r="B47" s="1" t="s">
        <v>27</v>
      </c>
      <c r="C47" s="4" t="s">
        <v>6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 x14ac:dyDescent="0.3">
      <c r="A48" s="1" t="s">
        <v>27</v>
      </c>
      <c r="B48" s="1" t="s">
        <v>27</v>
      </c>
      <c r="C48" s="4" t="s">
        <v>6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 x14ac:dyDescent="0.3">
      <c r="A49" s="1" t="s">
        <v>27</v>
      </c>
      <c r="B49" s="1" t="s">
        <v>27</v>
      </c>
      <c r="C49" s="17" t="s">
        <v>20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 x14ac:dyDescent="0.3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 x14ac:dyDescent="0.3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 x14ac:dyDescent="0.3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 x14ac:dyDescent="0.3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 x14ac:dyDescent="0.3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 x14ac:dyDescent="0.3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 x14ac:dyDescent="0.3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 x14ac:dyDescent="0.3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 x14ac:dyDescent="0.3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 x14ac:dyDescent="0.3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 x14ac:dyDescent="0.3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 x14ac:dyDescent="0.3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 x14ac:dyDescent="0.3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 x14ac:dyDescent="0.3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 x14ac:dyDescent="0.3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 x14ac:dyDescent="0.3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 x14ac:dyDescent="0.3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 x14ac:dyDescent="0.3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 x14ac:dyDescent="0.3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 x14ac:dyDescent="0.3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 x14ac:dyDescent="0.3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 x14ac:dyDescent="0.3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 x14ac:dyDescent="0.3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 x14ac:dyDescent="0.3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 x14ac:dyDescent="0.3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 x14ac:dyDescent="0.3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 x14ac:dyDescent="0.3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 x14ac:dyDescent="0.3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 x14ac:dyDescent="0.3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 x14ac:dyDescent="0.3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 x14ac:dyDescent="0.3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 x14ac:dyDescent="0.3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 x14ac:dyDescent="0.3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 x14ac:dyDescent="0.3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 x14ac:dyDescent="0.3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 x14ac:dyDescent="0.3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 x14ac:dyDescent="0.3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 x14ac:dyDescent="0.3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 x14ac:dyDescent="0.3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 x14ac:dyDescent="0.3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 x14ac:dyDescent="0.3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 x14ac:dyDescent="0.3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 x14ac:dyDescent="0.3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 x14ac:dyDescent="0.3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 x14ac:dyDescent="0.3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 x14ac:dyDescent="0.3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 x14ac:dyDescent="0.3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 x14ac:dyDescent="0.3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 x14ac:dyDescent="0.3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 x14ac:dyDescent="0.3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 x14ac:dyDescent="0.35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A3EC-1888-4A76-9955-8D69BA4D05BC}">
  <dimension ref="A1:AH100"/>
  <sheetViews>
    <sheetView topLeftCell="C1" zoomScale="85" zoomScaleNormal="85" workbookViewId="0">
      <selection activeCell="X8" sqref="X8"/>
    </sheetView>
  </sheetViews>
  <sheetFormatPr defaultRowHeight="14.4" x14ac:dyDescent="0.3"/>
  <sheetData>
    <row r="1" spans="1:30" ht="15.6" x14ac:dyDescent="0.3">
      <c r="A1" s="60" t="s">
        <v>30</v>
      </c>
      <c r="B1" s="61"/>
      <c r="C1" s="61"/>
      <c r="D1" s="61"/>
      <c r="E1" s="61"/>
      <c r="F1" s="62" t="s">
        <v>3</v>
      </c>
      <c r="G1" s="62"/>
      <c r="H1" s="24" cm="1">
        <f t="array" ref="H1">SUM(VLOOKUP(A4:C100,$T$3:$W$36,4,FALSE))+H4*10-H8*50</f>
        <v>2396.6640071082738</v>
      </c>
      <c r="I1" s="63" t="s">
        <v>41</v>
      </c>
      <c r="J1" s="64"/>
      <c r="K1" s="64"/>
      <c r="L1" s="64"/>
      <c r="M1" s="64"/>
      <c r="N1" s="64"/>
      <c r="O1" s="64"/>
      <c r="P1" s="65"/>
      <c r="Q1" s="63" t="s">
        <v>48</v>
      </c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30" ht="28.8" x14ac:dyDescent="0.3">
      <c r="A2" s="66" t="s">
        <v>35</v>
      </c>
      <c r="B2" s="67"/>
      <c r="C2" s="67"/>
      <c r="D2" s="68" t="s">
        <v>37</v>
      </c>
      <c r="E2" s="69"/>
      <c r="F2" s="69"/>
      <c r="G2" s="69"/>
      <c r="H2" s="70"/>
      <c r="I2" s="71" t="s">
        <v>35</v>
      </c>
      <c r="J2" s="72"/>
      <c r="K2" s="72"/>
      <c r="L2" s="73" t="s">
        <v>37</v>
      </c>
      <c r="M2" s="73"/>
      <c r="N2" s="73"/>
      <c r="O2" s="73"/>
      <c r="P2" s="74"/>
      <c r="Q2" s="49" t="s">
        <v>43</v>
      </c>
      <c r="R2" s="50" cm="1">
        <f t="array" ref="R2">SUM(V3:V28*AB3:AB28)+H6+P6+R4*500</f>
        <v>65930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30" x14ac:dyDescent="0.3">
      <c r="A3" s="59" t="s">
        <v>31</v>
      </c>
      <c r="B3" s="58" t="s">
        <v>32</v>
      </c>
      <c r="C3" s="20" t="s">
        <v>33</v>
      </c>
      <c r="D3" s="32"/>
      <c r="E3" s="59" t="s">
        <v>31</v>
      </c>
      <c r="F3" s="58" t="s">
        <v>32</v>
      </c>
      <c r="G3" s="20" t="s">
        <v>33</v>
      </c>
      <c r="H3" s="33" t="s">
        <v>36</v>
      </c>
      <c r="I3" s="59" t="s">
        <v>31</v>
      </c>
      <c r="J3" s="58" t="s">
        <v>32</v>
      </c>
      <c r="K3" s="20" t="s">
        <v>33</v>
      </c>
      <c r="L3" s="32"/>
      <c r="M3" s="59" t="s">
        <v>31</v>
      </c>
      <c r="N3" s="58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15</v>
      </c>
      <c r="Z3" s="1">
        <f>COUNTIF($A$4:$C$100,T3)</f>
        <v>13</v>
      </c>
      <c r="AA3" s="1">
        <f>COUNTIF($I$4:$K$100,T3)</f>
        <v>2</v>
      </c>
      <c r="AB3" s="53">
        <f>Y3-Z3-AA3</f>
        <v>0</v>
      </c>
      <c r="AC3">
        <v>24</v>
      </c>
      <c r="AD3">
        <f>AC3*V3</f>
        <v>840</v>
      </c>
    </row>
    <row r="4" spans="1:30" x14ac:dyDescent="0.3">
      <c r="A4" s="2" t="s">
        <v>4</v>
      </c>
      <c r="B4" s="2" t="s">
        <v>4</v>
      </c>
      <c r="C4" s="1" t="s">
        <v>27</v>
      </c>
      <c r="D4" s="42" t="s">
        <v>34</v>
      </c>
      <c r="E4" s="38">
        <v>0</v>
      </c>
      <c r="F4" s="38">
        <v>0</v>
      </c>
      <c r="G4" s="38">
        <v>0</v>
      </c>
      <c r="H4" s="35">
        <f>SUM(E4:G4)</f>
        <v>0</v>
      </c>
      <c r="I4" s="15" t="s">
        <v>17</v>
      </c>
      <c r="J4" s="3" t="s">
        <v>5</v>
      </c>
      <c r="K4" s="3" t="s">
        <v>5</v>
      </c>
      <c r="L4" s="42" t="s">
        <v>34</v>
      </c>
      <c r="M4" s="38">
        <v>1</v>
      </c>
      <c r="N4" s="38">
        <v>0</v>
      </c>
      <c r="O4" s="38">
        <v>2</v>
      </c>
      <c r="P4" s="35">
        <f>SUM(M4:O4)</f>
        <v>3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40</v>
      </c>
      <c r="Z4" s="1">
        <f t="shared" ref="Z4:Z28" si="1">COUNTIF($A$4:$C$100,T4)</f>
        <v>7</v>
      </c>
      <c r="AA4" s="1">
        <f t="shared" ref="AA4:AA28" si="2">COUNTIF($I$4:$K$100,T4)</f>
        <v>33</v>
      </c>
      <c r="AB4" s="53">
        <f t="shared" ref="AB4:AB28" si="3">Y4-Z4-AA4</f>
        <v>0</v>
      </c>
      <c r="AC4">
        <v>25</v>
      </c>
      <c r="AD4">
        <f t="shared" ref="AD4:AD28" si="4">AC4*V4</f>
        <v>1000</v>
      </c>
    </row>
    <row r="5" spans="1:30" x14ac:dyDescent="0.3">
      <c r="A5" s="2" t="s">
        <v>4</v>
      </c>
      <c r="B5" s="2" t="s">
        <v>4</v>
      </c>
      <c r="C5" s="1" t="s">
        <v>27</v>
      </c>
      <c r="D5" s="32" t="s">
        <v>38</v>
      </c>
      <c r="E5" s="34" cm="1">
        <f t="array" ref="E5">(SUM(VLOOKUP(A4:A100,$T$3:$W$41,2,FALSE))+E4*10)-E8*50</f>
        <v>800</v>
      </c>
      <c r="F5" s="34" cm="1">
        <f t="array" ref="F5">(SUM(VLOOKUP(B4:B100,$T$3:$W$41,2,FALSE))+F4*10)-F8*50</f>
        <v>5080</v>
      </c>
      <c r="G5" s="34" cm="1">
        <f t="array" ref="G5">(SUM(VLOOKUP(C4:C100,$T$3:$W$41,2,FALSE))+G4*10)-G8*50</f>
        <v>6690</v>
      </c>
      <c r="H5" s="57">
        <f t="shared" ref="H5:H8" si="5">SUM(E5:G5)</f>
        <v>12570</v>
      </c>
      <c r="I5" s="1" t="s">
        <v>27</v>
      </c>
      <c r="J5" s="3" t="s">
        <v>5</v>
      </c>
      <c r="K5" s="3" t="s">
        <v>5</v>
      </c>
      <c r="L5" s="32" t="s">
        <v>38</v>
      </c>
      <c r="M5" s="34" cm="1">
        <f t="array" ref="M5">(SUM(VLOOKUP(I4:I100,$T$3:$W$41,2,FALSE))+M4*10)*0.8-M8*40</f>
        <v>128</v>
      </c>
      <c r="N5" s="34" cm="1">
        <f t="array" ref="N5">(SUM(VLOOKUP(J4:J100,$T$3:$W$41,2,FALSE))+N4*10)*0.8-N8*40</f>
        <v>672</v>
      </c>
      <c r="O5" s="34" cm="1">
        <f t="array" ref="O5">(SUM(VLOOKUP(K4:K100,$T$3:$W$41,2,FALSE))+O4*10)*0.8-O8*40</f>
        <v>4088</v>
      </c>
      <c r="P5" s="57">
        <f t="shared" ref="P5:P8" si="6">SUM(M5:O5)</f>
        <v>4888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240</v>
      </c>
      <c r="Z5" s="1">
        <f t="shared" si="1"/>
        <v>42</v>
      </c>
      <c r="AA5" s="1">
        <f t="shared" si="2"/>
        <v>0</v>
      </c>
      <c r="AB5" s="53">
        <f t="shared" si="3"/>
        <v>198</v>
      </c>
      <c r="AC5">
        <v>247</v>
      </c>
      <c r="AD5">
        <f t="shared" si="4"/>
        <v>11115</v>
      </c>
    </row>
    <row r="6" spans="1:30" x14ac:dyDescent="0.3">
      <c r="A6" s="15" t="s">
        <v>17</v>
      </c>
      <c r="B6" s="2" t="s">
        <v>4</v>
      </c>
      <c r="C6" s="2" t="s">
        <v>4</v>
      </c>
      <c r="D6" s="32" t="s">
        <v>39</v>
      </c>
      <c r="E6" s="34" cm="1">
        <f t="array" ref="E6">(SUM(VLOOKUP(A4:A100,$T$3:$W$41,3,FALSE)))</f>
        <v>205</v>
      </c>
      <c r="F6" s="34" cm="1">
        <f t="array" ref="F6">(SUM(VLOOKUP(B4:B100,$T$3:$W$41,3,FALSE)))</f>
        <v>1595</v>
      </c>
      <c r="G6" s="34" cm="1">
        <f t="array" ref="G6">(SUM(VLOOKUP(C4:C100,$T$3:$W$41,3,FALSE)))</f>
        <v>2320</v>
      </c>
      <c r="H6" s="48">
        <f t="shared" si="5"/>
        <v>4120</v>
      </c>
      <c r="I6" s="2" t="s">
        <v>4</v>
      </c>
      <c r="J6" s="9" t="s">
        <v>11</v>
      </c>
      <c r="K6" s="3" t="s">
        <v>5</v>
      </c>
      <c r="L6" s="32" t="s">
        <v>39</v>
      </c>
      <c r="M6" s="34" cm="1">
        <f t="array" ref="M6">(SUM(VLOOKUP(I4:I100,$T$3:$W$41,3,FALSE)))</f>
        <v>100</v>
      </c>
      <c r="N6" s="34" cm="1">
        <f t="array" ref="N6">(SUM(VLOOKUP(J4:J100,$T$3:$W$41,3,FALSE)))</f>
        <v>230</v>
      </c>
      <c r="O6" s="34" cm="1">
        <f t="array" ref="O6">(SUM(VLOOKUP(K4:K100,$T$3:$W$41,3,FALSE)))</f>
        <v>2000</v>
      </c>
      <c r="P6" s="48">
        <f t="shared" si="6"/>
        <v>2330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267</v>
      </c>
      <c r="Z6" s="1">
        <f t="shared" si="1"/>
        <v>2</v>
      </c>
      <c r="AA6" s="1">
        <f t="shared" si="2"/>
        <v>0</v>
      </c>
      <c r="AB6" s="53">
        <f t="shared" si="3"/>
        <v>265</v>
      </c>
      <c r="AC6">
        <v>267</v>
      </c>
      <c r="AD6">
        <f t="shared" si="4"/>
        <v>13350</v>
      </c>
    </row>
    <row r="7" spans="1:30" x14ac:dyDescent="0.3">
      <c r="A7" s="2" t="s">
        <v>4</v>
      </c>
      <c r="B7" s="2" t="s">
        <v>4</v>
      </c>
      <c r="C7" s="2" t="s">
        <v>4</v>
      </c>
      <c r="D7" s="32" t="s">
        <v>40</v>
      </c>
      <c r="E7" s="34">
        <f>COUNTIF(A4:A100,"&lt;&gt;空")</f>
        <v>6</v>
      </c>
      <c r="F7" s="34">
        <f>COUNTIF(B4:B100,"&lt;&gt;空")</f>
        <v>31</v>
      </c>
      <c r="G7" s="34">
        <f>COUNTIF(C4:C100,"&lt;&gt;空")</f>
        <v>44</v>
      </c>
      <c r="H7" s="35">
        <f t="shared" si="5"/>
        <v>81</v>
      </c>
      <c r="I7" s="2" t="s">
        <v>4</v>
      </c>
      <c r="J7" s="3" t="s">
        <v>5</v>
      </c>
      <c r="K7" s="15" t="s">
        <v>17</v>
      </c>
      <c r="L7" s="32" t="s">
        <v>40</v>
      </c>
      <c r="M7" s="34">
        <f>COUNTIF(I4:I100,"&lt;&gt;空")</f>
        <v>4</v>
      </c>
      <c r="N7" s="34">
        <f>COUNTIF(J4:J100,"&lt;&gt;空")</f>
        <v>6</v>
      </c>
      <c r="O7" s="34">
        <f>COUNTIF(K4:K100,"&lt;&gt;空")</f>
        <v>41</v>
      </c>
      <c r="P7" s="35">
        <f t="shared" si="6"/>
        <v>51</v>
      </c>
      <c r="Q7" s="52" t="s">
        <v>54</v>
      </c>
      <c r="R7" s="25">
        <v>1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235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  <c r="AD7">
        <f t="shared" si="4"/>
        <v>12925</v>
      </c>
    </row>
    <row r="8" spans="1:30" x14ac:dyDescent="0.3">
      <c r="A8" s="2" t="s">
        <v>4</v>
      </c>
      <c r="B8" s="2" t="s">
        <v>4</v>
      </c>
      <c r="C8" s="2" t="s">
        <v>4</v>
      </c>
      <c r="D8" s="41" t="s">
        <v>64</v>
      </c>
      <c r="E8" s="40">
        <v>0</v>
      </c>
      <c r="F8" s="40">
        <v>1</v>
      </c>
      <c r="G8" s="40">
        <v>0</v>
      </c>
      <c r="H8" s="35">
        <f t="shared" si="5"/>
        <v>1</v>
      </c>
      <c r="I8" s="16" t="s">
        <v>28</v>
      </c>
      <c r="J8" s="3" t="s">
        <v>5</v>
      </c>
      <c r="K8" s="3" t="s">
        <v>5</v>
      </c>
      <c r="L8" s="41" t="s">
        <v>64</v>
      </c>
      <c r="M8" s="40">
        <v>0</v>
      </c>
      <c r="N8" s="40">
        <v>0</v>
      </c>
      <c r="O8" s="40">
        <v>2</v>
      </c>
      <c r="P8" s="35">
        <f t="shared" si="6"/>
        <v>2</v>
      </c>
      <c r="Q8" s="49" t="s">
        <v>53</v>
      </c>
      <c r="R8" s="54" cm="1">
        <f t="array" ref="R8">R6-P5-H5-SUM(U3:U28*AB3:AB28)*0.8-R7*8</f>
        <v>126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194</v>
      </c>
      <c r="Z8" s="1">
        <f t="shared" si="1"/>
        <v>0</v>
      </c>
      <c r="AA8" s="1">
        <f t="shared" si="2"/>
        <v>0</v>
      </c>
      <c r="AB8" s="53">
        <f t="shared" si="3"/>
        <v>194</v>
      </c>
      <c r="AC8">
        <v>193</v>
      </c>
      <c r="AD8">
        <f t="shared" si="4"/>
        <v>11580</v>
      </c>
    </row>
    <row r="9" spans="1:30" x14ac:dyDescent="0.3">
      <c r="A9" s="2" t="s">
        <v>4</v>
      </c>
      <c r="B9" s="15" t="s">
        <v>17</v>
      </c>
      <c r="C9" s="16" t="s">
        <v>18</v>
      </c>
      <c r="D9" s="25"/>
      <c r="E9" s="25"/>
      <c r="F9" s="25"/>
      <c r="G9" s="25"/>
      <c r="H9" s="26"/>
      <c r="I9" s="1" t="s">
        <v>27</v>
      </c>
      <c r="J9" s="15" t="s">
        <v>17</v>
      </c>
      <c r="K9" s="3" t="s">
        <v>5</v>
      </c>
      <c r="L9" s="32" t="s">
        <v>42</v>
      </c>
      <c r="M9" s="36">
        <f>M6/M5</f>
        <v>0.78125</v>
      </c>
      <c r="N9" s="36">
        <f>N6/N5</f>
        <v>0.34226190476190477</v>
      </c>
      <c r="O9" s="36">
        <f>O6/O5</f>
        <v>0.48923679060665359</v>
      </c>
      <c r="P9" s="37">
        <f>P6/P5</f>
        <v>0.47667757774140751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7">U9-V9/0.330882</f>
        <v>44.222109392472248</v>
      </c>
      <c r="X9" s="45">
        <v>5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  <c r="AD9">
        <f t="shared" si="4"/>
        <v>0</v>
      </c>
    </row>
    <row r="10" spans="1:30" x14ac:dyDescent="0.3">
      <c r="A10" s="1" t="s">
        <v>27</v>
      </c>
      <c r="B10" s="1" t="s">
        <v>27</v>
      </c>
      <c r="C10" s="3" t="s">
        <v>5</v>
      </c>
      <c r="D10" s="25"/>
      <c r="E10" s="25"/>
      <c r="F10" s="25"/>
      <c r="G10" s="25"/>
      <c r="H10" s="26"/>
      <c r="I10" s="1" t="s">
        <v>27</v>
      </c>
      <c r="J10" s="1" t="s">
        <v>27</v>
      </c>
      <c r="K10" s="3" t="s">
        <v>5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7"/>
        <v>29.110982162825422</v>
      </c>
      <c r="X10" s="45">
        <v>6</v>
      </c>
      <c r="Y10" s="45">
        <v>3</v>
      </c>
      <c r="Z10" s="1">
        <f t="shared" si="1"/>
        <v>0</v>
      </c>
      <c r="AA10" s="1">
        <f t="shared" si="2"/>
        <v>3</v>
      </c>
      <c r="AB10" s="53">
        <f t="shared" si="3"/>
        <v>0</v>
      </c>
      <c r="AC10">
        <v>2</v>
      </c>
      <c r="AD10">
        <f t="shared" si="4"/>
        <v>80</v>
      </c>
    </row>
    <row r="11" spans="1:30" x14ac:dyDescent="0.3">
      <c r="A11" s="1" t="s">
        <v>27</v>
      </c>
      <c r="B11" s="4" t="s">
        <v>6</v>
      </c>
      <c r="C11" s="3" t="s">
        <v>5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15" t="s">
        <v>17</v>
      </c>
      <c r="L11" s="25"/>
      <c r="M11" s="25"/>
      <c r="N11" s="25"/>
      <c r="O11" s="25"/>
      <c r="P11" s="26">
        <f>H5+P5</f>
        <v>17458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>U11-V11/0.330882</f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6</v>
      </c>
      <c r="AD11">
        <f t="shared" si="4"/>
        <v>270</v>
      </c>
    </row>
    <row r="12" spans="1:30" x14ac:dyDescent="0.3">
      <c r="A12" s="1" t="s">
        <v>27</v>
      </c>
      <c r="B12" s="4" t="s">
        <v>6</v>
      </c>
      <c r="C12" s="3" t="s">
        <v>5</v>
      </c>
      <c r="D12" s="25"/>
      <c r="E12" s="25"/>
      <c r="F12" s="25"/>
      <c r="G12" s="25"/>
      <c r="H12" s="26"/>
      <c r="I12" s="1" t="s">
        <v>27</v>
      </c>
      <c r="J12" s="1" t="s">
        <v>27</v>
      </c>
      <c r="K12" s="1" t="s">
        <v>27</v>
      </c>
      <c r="L12" s="25"/>
      <c r="M12" s="25"/>
      <c r="N12" s="25"/>
      <c r="O12" s="25"/>
      <c r="P12" s="26">
        <f>H6+P6</f>
        <v>6450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  <c r="AD12">
        <f t="shared" si="4"/>
        <v>150</v>
      </c>
    </row>
    <row r="13" spans="1:30" x14ac:dyDescent="0.3">
      <c r="A13" s="1" t="s">
        <v>27</v>
      </c>
      <c r="B13" s="4" t="s">
        <v>6</v>
      </c>
      <c r="C13" s="3" t="s">
        <v>5</v>
      </c>
      <c r="D13" s="25"/>
      <c r="E13" s="25"/>
      <c r="F13" s="25"/>
      <c r="G13" s="25"/>
      <c r="H13" s="26"/>
      <c r="I13" s="1" t="s">
        <v>27</v>
      </c>
      <c r="J13" s="1" t="s">
        <v>27</v>
      </c>
      <c r="K13" s="9" t="s">
        <v>11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  <c r="AD13">
        <f t="shared" si="4"/>
        <v>165</v>
      </c>
    </row>
    <row r="14" spans="1:30" x14ac:dyDescent="0.3">
      <c r="A14" s="1" t="s">
        <v>27</v>
      </c>
      <c r="B14" s="4" t="s">
        <v>6</v>
      </c>
      <c r="C14" s="15" t="s">
        <v>17</v>
      </c>
      <c r="D14" s="25"/>
      <c r="E14" s="25"/>
      <c r="F14" s="25"/>
      <c r="G14" s="25"/>
      <c r="H14" s="26"/>
      <c r="I14" s="1" t="s">
        <v>27</v>
      </c>
      <c r="J14" s="1" t="s">
        <v>27</v>
      </c>
      <c r="K14" s="3" t="s">
        <v>5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  <c r="AD14">
        <f t="shared" si="4"/>
        <v>60</v>
      </c>
    </row>
    <row r="15" spans="1:30" x14ac:dyDescent="0.3">
      <c r="A15" s="1" t="s">
        <v>27</v>
      </c>
      <c r="B15" s="4" t="s">
        <v>6</v>
      </c>
      <c r="C15" s="3" t="s">
        <v>5</v>
      </c>
      <c r="D15" s="25"/>
      <c r="E15" s="25"/>
      <c r="F15" s="25"/>
      <c r="G15" s="25"/>
      <c r="H15" s="26"/>
      <c r="I15" s="1" t="s">
        <v>27</v>
      </c>
      <c r="J15" s="1" t="s">
        <v>27</v>
      </c>
      <c r="K15" s="3" t="s">
        <v>5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8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  <c r="AD15">
        <f t="shared" si="4"/>
        <v>0</v>
      </c>
    </row>
    <row r="16" spans="1:30" x14ac:dyDescent="0.3">
      <c r="A16" s="1" t="s">
        <v>27</v>
      </c>
      <c r="B16" s="4" t="s">
        <v>6</v>
      </c>
      <c r="C16" s="3" t="s">
        <v>5</v>
      </c>
      <c r="D16" s="25"/>
      <c r="E16" s="25"/>
      <c r="F16" s="25"/>
      <c r="G16" s="25"/>
      <c r="H16" s="26"/>
      <c r="I16" s="1" t="s">
        <v>27</v>
      </c>
      <c r="J16" s="1" t="s">
        <v>27</v>
      </c>
      <c r="K16" s="3" t="s">
        <v>5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6</v>
      </c>
      <c r="AA16" s="1">
        <f t="shared" si="2"/>
        <v>10</v>
      </c>
      <c r="AB16" s="53">
        <f t="shared" si="3"/>
        <v>22</v>
      </c>
      <c r="AC16">
        <v>38</v>
      </c>
      <c r="AD16">
        <f t="shared" si="4"/>
        <v>1140</v>
      </c>
    </row>
    <row r="17" spans="1:34" x14ac:dyDescent="0.3">
      <c r="A17" s="1" t="s">
        <v>27</v>
      </c>
      <c r="B17" s="17" t="s">
        <v>19</v>
      </c>
      <c r="C17" s="3" t="s">
        <v>5</v>
      </c>
      <c r="D17" s="25"/>
      <c r="E17" s="25"/>
      <c r="F17" s="25"/>
      <c r="G17" s="25"/>
      <c r="H17" s="26"/>
      <c r="I17" s="1" t="s">
        <v>27</v>
      </c>
      <c r="J17" s="1" t="s">
        <v>27</v>
      </c>
      <c r="K17" s="9" t="s">
        <v>11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1</v>
      </c>
      <c r="Y17" s="45">
        <v>1</v>
      </c>
      <c r="Z17" s="1">
        <f t="shared" si="1"/>
        <v>1</v>
      </c>
      <c r="AA17" s="1">
        <f t="shared" si="2"/>
        <v>0</v>
      </c>
      <c r="AB17" s="53">
        <f t="shared" si="3"/>
        <v>0</v>
      </c>
      <c r="AC17">
        <v>0</v>
      </c>
      <c r="AD17">
        <f t="shared" si="4"/>
        <v>0</v>
      </c>
    </row>
    <row r="18" spans="1:34" x14ac:dyDescent="0.3">
      <c r="A18" s="1" t="s">
        <v>27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1" t="s">
        <v>27</v>
      </c>
      <c r="J18" s="1" t="s">
        <v>27</v>
      </c>
      <c r="K18" s="3" t="s">
        <v>5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300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  <c r="AC18">
        <v>0</v>
      </c>
      <c r="AD18">
        <f t="shared" si="4"/>
        <v>0</v>
      </c>
    </row>
    <row r="19" spans="1:34" x14ac:dyDescent="0.3">
      <c r="A19" s="1" t="s">
        <v>27</v>
      </c>
      <c r="B19" s="4" t="s">
        <v>6</v>
      </c>
      <c r="C19" s="17" t="s">
        <v>20</v>
      </c>
      <c r="D19" s="25"/>
      <c r="E19" s="25"/>
      <c r="F19" s="25"/>
      <c r="G19" s="25"/>
      <c r="H19" s="26"/>
      <c r="I19" s="1" t="s">
        <v>27</v>
      </c>
      <c r="J19" s="1" t="s">
        <v>27</v>
      </c>
      <c r="K19" s="15" t="s">
        <v>17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  <c r="AD19">
        <f t="shared" si="4"/>
        <v>225</v>
      </c>
    </row>
    <row r="20" spans="1:34" x14ac:dyDescent="0.3">
      <c r="A20" s="1" t="s">
        <v>27</v>
      </c>
      <c r="B20" s="5" t="s">
        <v>7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1" t="s">
        <v>27</v>
      </c>
      <c r="K20" s="3" t="s">
        <v>5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C20">
        <v>2</v>
      </c>
      <c r="AD20">
        <f t="shared" si="4"/>
        <v>400</v>
      </c>
    </row>
    <row r="21" spans="1:34" x14ac:dyDescent="0.3">
      <c r="A21" s="1" t="s">
        <v>27</v>
      </c>
      <c r="B21" s="5" t="s">
        <v>7</v>
      </c>
      <c r="C21" s="15" t="s">
        <v>17</v>
      </c>
      <c r="D21" s="25"/>
      <c r="E21" s="25"/>
      <c r="F21" s="25"/>
      <c r="G21" s="25"/>
      <c r="H21" s="26"/>
      <c r="I21" s="1" t="s">
        <v>27</v>
      </c>
      <c r="J21" s="1" t="s">
        <v>27</v>
      </c>
      <c r="K21" s="3" t="s">
        <v>5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  <c r="AD21">
        <f t="shared" si="4"/>
        <v>2000</v>
      </c>
    </row>
    <row r="22" spans="1:34" x14ac:dyDescent="0.3">
      <c r="A22" s="1" t="s">
        <v>27</v>
      </c>
      <c r="B22" s="4" t="s">
        <v>6</v>
      </c>
      <c r="C22" s="4" t="s">
        <v>6</v>
      </c>
      <c r="D22" s="25"/>
      <c r="E22" s="25"/>
      <c r="F22" s="25"/>
      <c r="G22" s="25"/>
      <c r="H22" s="26"/>
      <c r="I22" s="1" t="s">
        <v>27</v>
      </c>
      <c r="J22" s="1" t="s">
        <v>27</v>
      </c>
      <c r="K22" s="3" t="s">
        <v>5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3</v>
      </c>
      <c r="Y22" s="45">
        <v>3</v>
      </c>
      <c r="Z22" s="1">
        <f t="shared" si="1"/>
        <v>0</v>
      </c>
      <c r="AA22" s="1">
        <f t="shared" si="2"/>
        <v>0</v>
      </c>
      <c r="AB22" s="53">
        <f t="shared" si="3"/>
        <v>3</v>
      </c>
      <c r="AC22">
        <v>3</v>
      </c>
      <c r="AD22">
        <f t="shared" si="4"/>
        <v>1500</v>
      </c>
    </row>
    <row r="23" spans="1:34" x14ac:dyDescent="0.3">
      <c r="A23" s="1" t="s">
        <v>27</v>
      </c>
      <c r="B23" s="10" t="s">
        <v>12</v>
      </c>
      <c r="C23" s="17" t="s">
        <v>19</v>
      </c>
      <c r="D23" s="25"/>
      <c r="E23" s="25"/>
      <c r="F23" s="25"/>
      <c r="G23" s="25"/>
      <c r="H23" s="26"/>
      <c r="I23" s="1" t="s">
        <v>27</v>
      </c>
      <c r="J23" s="1" t="s">
        <v>27</v>
      </c>
      <c r="K23" s="3" t="s">
        <v>5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9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  <c r="AD23">
        <f t="shared" si="4"/>
        <v>0</v>
      </c>
    </row>
    <row r="24" spans="1:34" x14ac:dyDescent="0.3">
      <c r="A24" s="1" t="s">
        <v>27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1" t="s">
        <v>27</v>
      </c>
      <c r="K24" s="16" t="s">
        <v>28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9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  <c r="AD24">
        <f t="shared" si="4"/>
        <v>0</v>
      </c>
    </row>
    <row r="25" spans="1:34" x14ac:dyDescent="0.3">
      <c r="A25" s="1" t="s">
        <v>27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1" t="s">
        <v>27</v>
      </c>
      <c r="K25" s="3" t="s">
        <v>5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9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  <c r="AD25">
        <f t="shared" si="4"/>
        <v>0</v>
      </c>
    </row>
    <row r="26" spans="1:34" x14ac:dyDescent="0.3">
      <c r="A26" s="1" t="s">
        <v>27</v>
      </c>
      <c r="B26" s="17" t="s">
        <v>20</v>
      </c>
      <c r="C26" s="10" t="s">
        <v>12</v>
      </c>
      <c r="D26" s="25"/>
      <c r="E26" s="25"/>
      <c r="F26" s="25"/>
      <c r="G26" s="25"/>
      <c r="H26" s="26"/>
      <c r="I26" s="1" t="s">
        <v>27</v>
      </c>
      <c r="J26" s="1" t="s">
        <v>27</v>
      </c>
      <c r="K26" s="15" t="s">
        <v>17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9"/>
        <v>0</v>
      </c>
      <c r="X26" s="45">
        <v>0</v>
      </c>
      <c r="Y26" s="45">
        <v>0</v>
      </c>
      <c r="Z26" s="1"/>
      <c r="AA26" s="1"/>
      <c r="AB26" s="53"/>
      <c r="AD26">
        <f t="shared" si="4"/>
        <v>0</v>
      </c>
    </row>
    <row r="27" spans="1:34" x14ac:dyDescent="0.3">
      <c r="A27" s="1" t="s">
        <v>27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1" t="s">
        <v>27</v>
      </c>
      <c r="J27" s="1" t="s">
        <v>27</v>
      </c>
      <c r="K27" s="3" t="s">
        <v>5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14</v>
      </c>
      <c r="Y27" s="45">
        <v>14</v>
      </c>
      <c r="Z27" s="1">
        <f t="shared" si="1"/>
        <v>0</v>
      </c>
      <c r="AA27" s="1">
        <f t="shared" si="2"/>
        <v>2</v>
      </c>
      <c r="AB27" s="53">
        <f t="shared" si="3"/>
        <v>12</v>
      </c>
      <c r="AC27">
        <v>15</v>
      </c>
      <c r="AD27">
        <f t="shared" si="4"/>
        <v>0</v>
      </c>
      <c r="AE27">
        <v>3</v>
      </c>
      <c r="AF27">
        <v>4</v>
      </c>
      <c r="AG27">
        <v>5</v>
      </c>
      <c r="AH27">
        <v>6</v>
      </c>
    </row>
    <row r="28" spans="1:34" x14ac:dyDescent="0.3">
      <c r="A28" s="1" t="s">
        <v>27</v>
      </c>
      <c r="B28" s="4" t="s">
        <v>6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1" t="s">
        <v>27</v>
      </c>
      <c r="K28" s="3" t="s">
        <v>5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>
        <v>10</v>
      </c>
      <c r="X28" s="45">
        <v>3</v>
      </c>
      <c r="Y28" s="45">
        <v>3</v>
      </c>
      <c r="Z28" s="1">
        <f t="shared" si="1"/>
        <v>0</v>
      </c>
      <c r="AA28" s="1">
        <f t="shared" si="2"/>
        <v>1</v>
      </c>
      <c r="AB28" s="53">
        <f t="shared" si="3"/>
        <v>2</v>
      </c>
      <c r="AC28">
        <v>3</v>
      </c>
      <c r="AD28">
        <f t="shared" si="4"/>
        <v>1560</v>
      </c>
      <c r="AE28">
        <v>4</v>
      </c>
      <c r="AF28">
        <v>3</v>
      </c>
      <c r="AG28">
        <v>3</v>
      </c>
      <c r="AH28">
        <v>1</v>
      </c>
    </row>
    <row r="29" spans="1:34" ht="15" thickBot="1" x14ac:dyDescent="0.35">
      <c r="A29" s="1" t="s">
        <v>27</v>
      </c>
      <c r="B29" s="4" t="s">
        <v>6</v>
      </c>
      <c r="C29" s="15" t="s">
        <v>17</v>
      </c>
      <c r="D29" s="25"/>
      <c r="E29" s="25"/>
      <c r="F29" s="25"/>
      <c r="G29" s="25"/>
      <c r="H29" s="26"/>
      <c r="I29" s="1" t="s">
        <v>27</v>
      </c>
      <c r="J29" s="1" t="s">
        <v>27</v>
      </c>
      <c r="K29" s="15" t="s">
        <v>17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  <c r="AE29">
        <v>2</v>
      </c>
    </row>
    <row r="30" spans="1:34" x14ac:dyDescent="0.3">
      <c r="A30" s="1" t="s">
        <v>27</v>
      </c>
      <c r="B30" s="4" t="s">
        <v>6</v>
      </c>
      <c r="C30" s="4" t="s">
        <v>6</v>
      </c>
      <c r="D30" s="25"/>
      <c r="E30" s="25"/>
      <c r="F30" s="25"/>
      <c r="G30" s="25"/>
      <c r="H30" s="26"/>
      <c r="I30" s="1" t="s">
        <v>27</v>
      </c>
      <c r="J30" s="1" t="s">
        <v>27</v>
      </c>
      <c r="K30" s="3" t="s">
        <v>5</v>
      </c>
      <c r="L30" s="25"/>
      <c r="M30" s="25"/>
      <c r="N30" s="25"/>
      <c r="O30" s="25"/>
      <c r="P30" s="26"/>
    </row>
    <row r="31" spans="1:34" x14ac:dyDescent="0.3">
      <c r="A31" s="1" t="s">
        <v>27</v>
      </c>
      <c r="B31" s="4" t="s">
        <v>6</v>
      </c>
      <c r="C31" s="4" t="s">
        <v>6</v>
      </c>
      <c r="D31" s="25"/>
      <c r="E31" s="25"/>
      <c r="F31" s="25"/>
      <c r="G31" s="25"/>
      <c r="H31" s="26"/>
      <c r="I31" s="1" t="s">
        <v>27</v>
      </c>
      <c r="J31" s="1" t="s">
        <v>27</v>
      </c>
      <c r="K31" s="3" t="s">
        <v>5</v>
      </c>
      <c r="L31" s="25"/>
      <c r="M31" s="25"/>
      <c r="N31" s="25"/>
      <c r="O31" s="25"/>
      <c r="P31" s="26"/>
      <c r="Y31">
        <f>SUM(Y3:Y28)</f>
        <v>1076</v>
      </c>
      <c r="AC31">
        <f>SUM(AC3:AC28)</f>
        <v>1074</v>
      </c>
      <c r="AD31">
        <f>SUM(AD3:AD28)+7000</f>
        <v>65360</v>
      </c>
    </row>
    <row r="32" spans="1:34" x14ac:dyDescent="0.3">
      <c r="A32" s="1" t="s">
        <v>27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1" t="s">
        <v>27</v>
      </c>
      <c r="K32" s="3" t="s">
        <v>5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 x14ac:dyDescent="0.3">
      <c r="A33" s="1" t="s">
        <v>27</v>
      </c>
      <c r="B33" s="4" t="s">
        <v>6</v>
      </c>
      <c r="C33" s="17" t="s">
        <v>20</v>
      </c>
      <c r="D33" s="25"/>
      <c r="E33" s="25"/>
      <c r="F33" s="25"/>
      <c r="G33" s="25"/>
      <c r="H33" s="26"/>
      <c r="I33" s="1" t="s">
        <v>27</v>
      </c>
      <c r="J33" s="1" t="s">
        <v>27</v>
      </c>
      <c r="K33" s="3" t="s">
        <v>5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 x14ac:dyDescent="0.3">
      <c r="A34" s="1" t="s">
        <v>27</v>
      </c>
      <c r="B34" s="4" t="s">
        <v>6</v>
      </c>
      <c r="C34" s="4" t="s">
        <v>6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15" t="s">
        <v>17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 x14ac:dyDescent="0.3">
      <c r="A35" s="1" t="s">
        <v>27</v>
      </c>
      <c r="B35" s="17" t="s">
        <v>20</v>
      </c>
      <c r="C35" s="4" t="s">
        <v>6</v>
      </c>
      <c r="D35" s="25"/>
      <c r="E35" s="25"/>
      <c r="F35" s="25"/>
      <c r="G35" s="25"/>
      <c r="H35" s="26"/>
      <c r="I35" s="1" t="s">
        <v>27</v>
      </c>
      <c r="J35" s="1" t="s">
        <v>27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 x14ac:dyDescent="0.3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1" t="s">
        <v>27</v>
      </c>
      <c r="K36" s="23" t="s">
        <v>29</v>
      </c>
      <c r="L36" s="25"/>
      <c r="M36" s="25"/>
      <c r="N36" s="25"/>
      <c r="O36" s="25"/>
      <c r="P36" s="26"/>
      <c r="S36" t="s">
        <v>61</v>
      </c>
    </row>
    <row r="37" spans="1:19" x14ac:dyDescent="0.3">
      <c r="A37" s="1" t="s">
        <v>27</v>
      </c>
      <c r="B37" s="1" t="s">
        <v>27</v>
      </c>
      <c r="C37" s="17" t="s">
        <v>19</v>
      </c>
      <c r="D37" s="25"/>
      <c r="E37" s="25"/>
      <c r="F37" s="25"/>
      <c r="G37" s="25"/>
      <c r="H37" s="26"/>
      <c r="I37" s="1" t="s">
        <v>27</v>
      </c>
      <c r="J37" s="1" t="s">
        <v>27</v>
      </c>
      <c r="K37" s="3" t="s">
        <v>5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 x14ac:dyDescent="0.3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3" t="s">
        <v>5</v>
      </c>
      <c r="L38" s="25"/>
      <c r="M38" s="25"/>
      <c r="N38" s="25"/>
      <c r="O38" s="25"/>
      <c r="P38" s="26"/>
      <c r="R38">
        <v>6</v>
      </c>
      <c r="S38" t="s">
        <v>65</v>
      </c>
    </row>
    <row r="39" spans="1:19" x14ac:dyDescent="0.3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3" t="s">
        <v>5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 x14ac:dyDescent="0.3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3" t="s">
        <v>5</v>
      </c>
      <c r="L40" s="25"/>
      <c r="M40" s="25"/>
      <c r="N40" s="25"/>
      <c r="O40" s="25"/>
      <c r="P40" s="26"/>
    </row>
    <row r="41" spans="1:19" x14ac:dyDescent="0.3">
      <c r="A41" s="1" t="s">
        <v>27</v>
      </c>
      <c r="B41" s="1" t="s">
        <v>27</v>
      </c>
      <c r="C41" s="4" t="s">
        <v>6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15" t="s">
        <v>17</v>
      </c>
      <c r="L41" s="25"/>
      <c r="M41" s="25"/>
      <c r="N41" s="25"/>
      <c r="O41" s="25"/>
      <c r="P41" s="26"/>
    </row>
    <row r="42" spans="1:19" x14ac:dyDescent="0.3">
      <c r="A42" s="1" t="s">
        <v>27</v>
      </c>
      <c r="B42" s="1" t="s">
        <v>27</v>
      </c>
      <c r="C42" s="4" t="s">
        <v>6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3" t="s">
        <v>5</v>
      </c>
      <c r="L42" s="25"/>
      <c r="M42" s="25"/>
      <c r="N42" s="25"/>
      <c r="O42" s="25"/>
      <c r="P42" s="26"/>
    </row>
    <row r="43" spans="1:19" x14ac:dyDescent="0.3">
      <c r="A43" s="1" t="s">
        <v>27</v>
      </c>
      <c r="B43" s="1" t="s">
        <v>27</v>
      </c>
      <c r="C43" s="4" t="s">
        <v>6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3" t="s">
        <v>5</v>
      </c>
      <c r="L43" s="25"/>
      <c r="M43" s="25"/>
      <c r="N43" s="25"/>
      <c r="O43" s="25"/>
      <c r="P43" s="26"/>
    </row>
    <row r="44" spans="1:19" x14ac:dyDescent="0.3">
      <c r="A44" s="1" t="s">
        <v>27</v>
      </c>
      <c r="B44" s="1" t="s">
        <v>27</v>
      </c>
      <c r="C44" s="15" t="s">
        <v>17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3" t="s">
        <v>5</v>
      </c>
      <c r="L44" s="25"/>
      <c r="M44" s="25"/>
      <c r="N44" s="25"/>
      <c r="O44" s="25"/>
      <c r="P44" s="26"/>
    </row>
    <row r="45" spans="1:19" x14ac:dyDescent="0.3">
      <c r="A45" s="1" t="s">
        <v>27</v>
      </c>
      <c r="B45" s="1" t="s">
        <v>27</v>
      </c>
      <c r="C45" s="4" t="s">
        <v>6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3" t="s">
        <v>5</v>
      </c>
      <c r="L45" s="25"/>
      <c r="M45" s="25"/>
      <c r="N45" s="25"/>
      <c r="O45" s="25"/>
      <c r="P45" s="26"/>
    </row>
    <row r="46" spans="1:19" x14ac:dyDescent="0.3">
      <c r="A46" s="1" t="s">
        <v>27</v>
      </c>
      <c r="B46" s="1" t="s">
        <v>27</v>
      </c>
      <c r="C46" s="4" t="s">
        <v>6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5" t="s">
        <v>17</v>
      </c>
      <c r="L46" s="25"/>
      <c r="M46" s="25"/>
      <c r="N46" s="25"/>
      <c r="O46" s="25"/>
      <c r="P46" s="26"/>
    </row>
    <row r="47" spans="1:19" x14ac:dyDescent="0.3">
      <c r="A47" s="1" t="s">
        <v>27</v>
      </c>
      <c r="B47" s="1" t="s">
        <v>27</v>
      </c>
      <c r="C47" s="4" t="s">
        <v>6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 x14ac:dyDescent="0.3">
      <c r="A48" s="1" t="s">
        <v>27</v>
      </c>
      <c r="B48" s="1" t="s">
        <v>27</v>
      </c>
      <c r="C48" s="4" t="s">
        <v>6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 x14ac:dyDescent="0.3">
      <c r="A49" s="1" t="s">
        <v>27</v>
      </c>
      <c r="B49" s="1" t="s">
        <v>27</v>
      </c>
      <c r="C49" s="17" t="s">
        <v>20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 x14ac:dyDescent="0.3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 x14ac:dyDescent="0.3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 x14ac:dyDescent="0.3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 x14ac:dyDescent="0.3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 x14ac:dyDescent="0.3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 x14ac:dyDescent="0.3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 x14ac:dyDescent="0.3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 x14ac:dyDescent="0.3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 x14ac:dyDescent="0.3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 x14ac:dyDescent="0.3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 x14ac:dyDescent="0.3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 x14ac:dyDescent="0.3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 x14ac:dyDescent="0.3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 x14ac:dyDescent="0.3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 x14ac:dyDescent="0.3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 x14ac:dyDescent="0.3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 x14ac:dyDescent="0.3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 x14ac:dyDescent="0.3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 x14ac:dyDescent="0.3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 x14ac:dyDescent="0.3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 x14ac:dyDescent="0.3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 x14ac:dyDescent="0.3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 x14ac:dyDescent="0.3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 x14ac:dyDescent="0.3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 x14ac:dyDescent="0.3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 x14ac:dyDescent="0.3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 x14ac:dyDescent="0.3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 x14ac:dyDescent="0.3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 x14ac:dyDescent="0.3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 x14ac:dyDescent="0.3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 x14ac:dyDescent="0.3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 x14ac:dyDescent="0.3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 x14ac:dyDescent="0.3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 x14ac:dyDescent="0.3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 x14ac:dyDescent="0.3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 x14ac:dyDescent="0.3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 x14ac:dyDescent="0.3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 x14ac:dyDescent="0.3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 x14ac:dyDescent="0.3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 x14ac:dyDescent="0.3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 x14ac:dyDescent="0.3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 x14ac:dyDescent="0.3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 x14ac:dyDescent="0.3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 x14ac:dyDescent="0.3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 x14ac:dyDescent="0.3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 x14ac:dyDescent="0.3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 x14ac:dyDescent="0.3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 x14ac:dyDescent="0.3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 x14ac:dyDescent="0.3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 x14ac:dyDescent="0.3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 x14ac:dyDescent="0.35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872E-609A-4AAC-B5DD-F542B21B77EE}">
  <dimension ref="A1:AH100"/>
  <sheetViews>
    <sheetView topLeftCell="A19" zoomScale="85" zoomScaleNormal="85" workbookViewId="0">
      <selection activeCell="K14" sqref="K14:K34"/>
    </sheetView>
  </sheetViews>
  <sheetFormatPr defaultRowHeight="14.4" x14ac:dyDescent="0.3"/>
  <sheetData>
    <row r="1" spans="1:30" ht="15.6" x14ac:dyDescent="0.3">
      <c r="A1" s="60" t="s">
        <v>30</v>
      </c>
      <c r="B1" s="61"/>
      <c r="C1" s="61"/>
      <c r="D1" s="61"/>
      <c r="E1" s="61"/>
      <c r="F1" s="62" t="s">
        <v>3</v>
      </c>
      <c r="G1" s="62"/>
      <c r="H1" s="24" cm="1">
        <f t="array" ref="H1">SUM(VLOOKUP(A4:C100,$T$3:$W$36,4,FALSE))+H4*10-H8*50</f>
        <v>2396.6640071082738</v>
      </c>
      <c r="I1" s="63" t="s">
        <v>41</v>
      </c>
      <c r="J1" s="64"/>
      <c r="K1" s="64"/>
      <c r="L1" s="64"/>
      <c r="M1" s="64"/>
      <c r="N1" s="64"/>
      <c r="O1" s="64"/>
      <c r="P1" s="65"/>
      <c r="Q1" s="63" t="s">
        <v>48</v>
      </c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30" ht="28.8" x14ac:dyDescent="0.3">
      <c r="A2" s="66" t="s">
        <v>35</v>
      </c>
      <c r="B2" s="67"/>
      <c r="C2" s="67"/>
      <c r="D2" s="68" t="s">
        <v>37</v>
      </c>
      <c r="E2" s="69"/>
      <c r="F2" s="69"/>
      <c r="G2" s="69"/>
      <c r="H2" s="70"/>
      <c r="I2" s="71" t="s">
        <v>35</v>
      </c>
      <c r="J2" s="72"/>
      <c r="K2" s="72"/>
      <c r="L2" s="73" t="s">
        <v>37</v>
      </c>
      <c r="M2" s="73"/>
      <c r="N2" s="73"/>
      <c r="O2" s="73"/>
      <c r="P2" s="74"/>
      <c r="Q2" s="49" t="s">
        <v>43</v>
      </c>
      <c r="R2" s="50" cm="1">
        <f t="array" ref="R2">SUM(V3:V28*AB3:AB28)+H6+P6+R4*500</f>
        <v>65525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30" x14ac:dyDescent="0.3">
      <c r="A3" s="59" t="s">
        <v>31</v>
      </c>
      <c r="B3" s="58" t="s">
        <v>32</v>
      </c>
      <c r="C3" s="20" t="s">
        <v>33</v>
      </c>
      <c r="D3" s="32"/>
      <c r="E3" s="59" t="s">
        <v>31</v>
      </c>
      <c r="F3" s="58" t="s">
        <v>32</v>
      </c>
      <c r="G3" s="20" t="s">
        <v>33</v>
      </c>
      <c r="H3" s="33" t="s">
        <v>36</v>
      </c>
      <c r="I3" s="59" t="s">
        <v>31</v>
      </c>
      <c r="J3" s="58" t="s">
        <v>32</v>
      </c>
      <c r="K3" s="20" t="s">
        <v>33</v>
      </c>
      <c r="L3" s="32"/>
      <c r="M3" s="59" t="s">
        <v>31</v>
      </c>
      <c r="N3" s="58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15</v>
      </c>
      <c r="Z3" s="1">
        <f>COUNTIF($A$4:$C$100,T3)</f>
        <v>13</v>
      </c>
      <c r="AA3" s="1">
        <f>COUNTIF($I$4:$K$100,T3)</f>
        <v>2</v>
      </c>
      <c r="AB3" s="53">
        <f>Y3-Z3-AA3</f>
        <v>0</v>
      </c>
      <c r="AC3">
        <v>24</v>
      </c>
      <c r="AD3">
        <f>AC3*V3</f>
        <v>840</v>
      </c>
    </row>
    <row r="4" spans="1:30" x14ac:dyDescent="0.3">
      <c r="A4" s="2" t="s">
        <v>4</v>
      </c>
      <c r="B4" s="2" t="s">
        <v>4</v>
      </c>
      <c r="C4" s="1" t="s">
        <v>27</v>
      </c>
      <c r="D4" s="42" t="s">
        <v>34</v>
      </c>
      <c r="E4" s="38">
        <v>0</v>
      </c>
      <c r="F4" s="38">
        <v>0</v>
      </c>
      <c r="G4" s="38">
        <v>0</v>
      </c>
      <c r="H4" s="35">
        <f>SUM(E4:G4)</f>
        <v>0</v>
      </c>
      <c r="I4" s="15" t="s">
        <v>17</v>
      </c>
      <c r="J4" s="3" t="s">
        <v>5</v>
      </c>
      <c r="K4" s="3" t="s">
        <v>5</v>
      </c>
      <c r="L4" s="42" t="s">
        <v>34</v>
      </c>
      <c r="M4" s="38">
        <v>1</v>
      </c>
      <c r="N4" s="38">
        <v>0</v>
      </c>
      <c r="O4" s="38">
        <v>2</v>
      </c>
      <c r="P4" s="35">
        <f>SUM(M4:O4)</f>
        <v>3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40</v>
      </c>
      <c r="Z4" s="1">
        <f t="shared" ref="Z4:Z28" si="1">COUNTIF($A$4:$C$100,T4)</f>
        <v>7</v>
      </c>
      <c r="AA4" s="1">
        <f t="shared" ref="AA4:AA28" si="2">COUNTIF($I$4:$K$100,T4)</f>
        <v>33</v>
      </c>
      <c r="AB4" s="53">
        <f t="shared" ref="AB4:AB28" si="3">Y4-Z4-AA4</f>
        <v>0</v>
      </c>
      <c r="AC4">
        <v>25</v>
      </c>
      <c r="AD4">
        <f t="shared" ref="AD4:AD28" si="4">AC4*V4</f>
        <v>1000</v>
      </c>
    </row>
    <row r="5" spans="1:30" x14ac:dyDescent="0.3">
      <c r="A5" s="2" t="s">
        <v>4</v>
      </c>
      <c r="B5" s="2" t="s">
        <v>4</v>
      </c>
      <c r="C5" s="1" t="s">
        <v>27</v>
      </c>
      <c r="D5" s="32" t="s">
        <v>38</v>
      </c>
      <c r="E5" s="34" cm="1">
        <f t="array" ref="E5">(SUM(VLOOKUP(A4:A100,$T$3:$W$41,2,FALSE))+E4*10)-E8*50</f>
        <v>800</v>
      </c>
      <c r="F5" s="34" cm="1">
        <f t="array" ref="F5">(SUM(VLOOKUP(B4:B100,$T$3:$W$41,2,FALSE))+F4*10)-F8*50</f>
        <v>5080</v>
      </c>
      <c r="G5" s="34" cm="1">
        <f t="array" ref="G5">(SUM(VLOOKUP(C4:C100,$T$3:$W$41,2,FALSE))+G4*10)-G8*50</f>
        <v>6690</v>
      </c>
      <c r="H5" s="57">
        <f t="shared" ref="H5:H8" si="5">SUM(E5:G5)</f>
        <v>12570</v>
      </c>
      <c r="I5" s="1" t="s">
        <v>27</v>
      </c>
      <c r="J5" s="3" t="s">
        <v>5</v>
      </c>
      <c r="K5" s="3" t="s">
        <v>5</v>
      </c>
      <c r="L5" s="32" t="s">
        <v>38</v>
      </c>
      <c r="M5" s="34" cm="1">
        <f t="array" ref="M5">(SUM(VLOOKUP(I4:I100,$T$3:$W$41,2,FALSE))+M4*10)*0.8-M8*40</f>
        <v>128</v>
      </c>
      <c r="N5" s="34" cm="1">
        <f t="array" ref="N5">(SUM(VLOOKUP(J4:J100,$T$3:$W$41,2,FALSE))+N4*10)*0.8-N8*40</f>
        <v>672</v>
      </c>
      <c r="O5" s="34" cm="1">
        <f t="array" ref="O5">(SUM(VLOOKUP(K4:K100,$T$3:$W$41,2,FALSE))+O4*10)*0.8-O8*40</f>
        <v>3968</v>
      </c>
      <c r="P5" s="57">
        <f t="shared" ref="P5:P8" si="6">SUM(M5:O5)</f>
        <v>4768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243</v>
      </c>
      <c r="Z5" s="1">
        <f t="shared" si="1"/>
        <v>42</v>
      </c>
      <c r="AA5" s="1">
        <f t="shared" si="2"/>
        <v>0</v>
      </c>
      <c r="AB5" s="53">
        <f t="shared" si="3"/>
        <v>201</v>
      </c>
      <c r="AC5">
        <v>247</v>
      </c>
      <c r="AD5">
        <f t="shared" si="4"/>
        <v>11115</v>
      </c>
    </row>
    <row r="6" spans="1:30" x14ac:dyDescent="0.3">
      <c r="A6" s="15" t="s">
        <v>17</v>
      </c>
      <c r="B6" s="2" t="s">
        <v>4</v>
      </c>
      <c r="C6" s="2" t="s">
        <v>4</v>
      </c>
      <c r="D6" s="32" t="s">
        <v>39</v>
      </c>
      <c r="E6" s="34" cm="1">
        <f t="array" ref="E6">(SUM(VLOOKUP(A4:A100,$T$3:$W$41,3,FALSE)))</f>
        <v>205</v>
      </c>
      <c r="F6" s="34" cm="1">
        <f t="array" ref="F6">(SUM(VLOOKUP(B4:B100,$T$3:$W$41,3,FALSE)))</f>
        <v>1595</v>
      </c>
      <c r="G6" s="34" cm="1">
        <f t="array" ref="G6">(SUM(VLOOKUP(C4:C100,$T$3:$W$41,3,FALSE)))</f>
        <v>2320</v>
      </c>
      <c r="H6" s="48">
        <f t="shared" si="5"/>
        <v>4120</v>
      </c>
      <c r="I6" s="2" t="s">
        <v>4</v>
      </c>
      <c r="J6" s="9" t="s">
        <v>11</v>
      </c>
      <c r="K6" s="3" t="s">
        <v>5</v>
      </c>
      <c r="L6" s="32" t="s">
        <v>39</v>
      </c>
      <c r="M6" s="34" cm="1">
        <f t="array" ref="M6">(SUM(VLOOKUP(I4:I100,$T$3:$W$41,3,FALSE)))</f>
        <v>100</v>
      </c>
      <c r="N6" s="34" cm="1">
        <f t="array" ref="N6">(SUM(VLOOKUP(J4:J100,$T$3:$W$41,3,FALSE)))</f>
        <v>230</v>
      </c>
      <c r="O6" s="34" cm="1">
        <f t="array" ref="O6">(SUM(VLOOKUP(K4:K100,$T$3:$W$41,3,FALSE)))</f>
        <v>1960</v>
      </c>
      <c r="P6" s="48">
        <f t="shared" si="6"/>
        <v>2290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267</v>
      </c>
      <c r="Z6" s="1">
        <f t="shared" si="1"/>
        <v>2</v>
      </c>
      <c r="AA6" s="1">
        <f t="shared" si="2"/>
        <v>0</v>
      </c>
      <c r="AB6" s="53">
        <f t="shared" si="3"/>
        <v>265</v>
      </c>
      <c r="AC6">
        <v>267</v>
      </c>
      <c r="AD6">
        <f t="shared" si="4"/>
        <v>13350</v>
      </c>
    </row>
    <row r="7" spans="1:30" x14ac:dyDescent="0.3">
      <c r="A7" s="2" t="s">
        <v>4</v>
      </c>
      <c r="B7" s="2" t="s">
        <v>4</v>
      </c>
      <c r="C7" s="2" t="s">
        <v>4</v>
      </c>
      <c r="D7" s="32" t="s">
        <v>40</v>
      </c>
      <c r="E7" s="34">
        <f>COUNTIF(A4:A100,"&lt;&gt;空")</f>
        <v>6</v>
      </c>
      <c r="F7" s="34">
        <f>COUNTIF(B4:B100,"&lt;&gt;空")</f>
        <v>31</v>
      </c>
      <c r="G7" s="34">
        <f>COUNTIF(C4:C100,"&lt;&gt;空")</f>
        <v>44</v>
      </c>
      <c r="H7" s="35">
        <f t="shared" si="5"/>
        <v>81</v>
      </c>
      <c r="I7" s="2" t="s">
        <v>4</v>
      </c>
      <c r="J7" s="3" t="s">
        <v>5</v>
      </c>
      <c r="K7" s="15" t="s">
        <v>17</v>
      </c>
      <c r="L7" s="32" t="s">
        <v>40</v>
      </c>
      <c r="M7" s="34">
        <f>COUNTIF(I4:I100,"&lt;&gt;空")</f>
        <v>4</v>
      </c>
      <c r="N7" s="34">
        <f>COUNTIF(J4:J100,"&lt;&gt;空")</f>
        <v>6</v>
      </c>
      <c r="O7" s="34">
        <f>COUNTIF(K4:K100,"&lt;&gt;空")</f>
        <v>40</v>
      </c>
      <c r="P7" s="35">
        <f t="shared" si="6"/>
        <v>50</v>
      </c>
      <c r="Q7" s="52" t="s">
        <v>54</v>
      </c>
      <c r="R7" s="25">
        <v>1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235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  <c r="AD7">
        <f t="shared" si="4"/>
        <v>12925</v>
      </c>
    </row>
    <row r="8" spans="1:30" x14ac:dyDescent="0.3">
      <c r="A8" s="2" t="s">
        <v>4</v>
      </c>
      <c r="B8" s="2" t="s">
        <v>4</v>
      </c>
      <c r="C8" s="2" t="s">
        <v>4</v>
      </c>
      <c r="D8" s="41" t="s">
        <v>64</v>
      </c>
      <c r="E8" s="40">
        <v>0</v>
      </c>
      <c r="F8" s="40">
        <v>1</v>
      </c>
      <c r="G8" s="40">
        <v>0</v>
      </c>
      <c r="H8" s="35">
        <f t="shared" si="5"/>
        <v>1</v>
      </c>
      <c r="I8" s="16" t="s">
        <v>28</v>
      </c>
      <c r="J8" s="3" t="s">
        <v>5</v>
      </c>
      <c r="K8" s="3" t="s">
        <v>5</v>
      </c>
      <c r="L8" s="41" t="s">
        <v>64</v>
      </c>
      <c r="M8" s="40">
        <v>0</v>
      </c>
      <c r="N8" s="40">
        <v>0</v>
      </c>
      <c r="O8" s="40">
        <v>2</v>
      </c>
      <c r="P8" s="35">
        <f t="shared" si="6"/>
        <v>2</v>
      </c>
      <c r="Q8" s="49" t="s">
        <v>53</v>
      </c>
      <c r="R8" s="54" cm="1">
        <f t="array" ref="R8">R6-P5-H5-SUM(U3:U28*AB3:AB28)*0.8-R7*8</f>
        <v>38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194</v>
      </c>
      <c r="Z8" s="1">
        <f t="shared" si="1"/>
        <v>0</v>
      </c>
      <c r="AA8" s="1">
        <f t="shared" si="2"/>
        <v>0</v>
      </c>
      <c r="AB8" s="53">
        <f t="shared" si="3"/>
        <v>194</v>
      </c>
      <c r="AC8">
        <v>193</v>
      </c>
      <c r="AD8">
        <f t="shared" si="4"/>
        <v>11580</v>
      </c>
    </row>
    <row r="9" spans="1:30" x14ac:dyDescent="0.3">
      <c r="A9" s="2" t="s">
        <v>4</v>
      </c>
      <c r="B9" s="15" t="s">
        <v>17</v>
      </c>
      <c r="C9" s="16" t="s">
        <v>18</v>
      </c>
      <c r="D9" s="25"/>
      <c r="E9" s="25"/>
      <c r="F9" s="25"/>
      <c r="G9" s="25"/>
      <c r="H9" s="26"/>
      <c r="I9" s="1" t="s">
        <v>27</v>
      </c>
      <c r="J9" s="15" t="s">
        <v>17</v>
      </c>
      <c r="K9" s="3" t="s">
        <v>5</v>
      </c>
      <c r="L9" s="32" t="s">
        <v>42</v>
      </c>
      <c r="M9" s="36">
        <f>M6/M5</f>
        <v>0.78125</v>
      </c>
      <c r="N9" s="36">
        <f>N6/N5</f>
        <v>0.34226190476190477</v>
      </c>
      <c r="O9" s="36">
        <f>O6/O5</f>
        <v>0.49395161290322581</v>
      </c>
      <c r="P9" s="37">
        <f>P6/P5</f>
        <v>0.48028523489932884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7">U9-V9/0.330882</f>
        <v>44.222109392472248</v>
      </c>
      <c r="X9" s="45">
        <v>5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  <c r="AD9">
        <f t="shared" si="4"/>
        <v>0</v>
      </c>
    </row>
    <row r="10" spans="1:30" x14ac:dyDescent="0.3">
      <c r="A10" s="1" t="s">
        <v>27</v>
      </c>
      <c r="B10" s="1" t="s">
        <v>27</v>
      </c>
      <c r="C10" s="3" t="s">
        <v>5</v>
      </c>
      <c r="D10" s="25"/>
      <c r="E10" s="25"/>
      <c r="F10" s="25"/>
      <c r="G10" s="25"/>
      <c r="H10" s="26"/>
      <c r="I10" s="1" t="s">
        <v>27</v>
      </c>
      <c r="J10" s="1" t="s">
        <v>27</v>
      </c>
      <c r="K10" s="3" t="s">
        <v>5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7"/>
        <v>29.110982162825422</v>
      </c>
      <c r="X10" s="45">
        <v>6</v>
      </c>
      <c r="Y10" s="45">
        <v>2</v>
      </c>
      <c r="Z10" s="1">
        <f t="shared" si="1"/>
        <v>0</v>
      </c>
      <c r="AA10" s="1">
        <f t="shared" si="2"/>
        <v>2</v>
      </c>
      <c r="AB10" s="53">
        <f t="shared" si="3"/>
        <v>0</v>
      </c>
      <c r="AC10">
        <v>2</v>
      </c>
      <c r="AD10">
        <f t="shared" si="4"/>
        <v>80</v>
      </c>
    </row>
    <row r="11" spans="1:30" x14ac:dyDescent="0.3">
      <c r="A11" s="1" t="s">
        <v>27</v>
      </c>
      <c r="B11" s="4" t="s">
        <v>6</v>
      </c>
      <c r="C11" s="3" t="s">
        <v>5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15" t="s">
        <v>17</v>
      </c>
      <c r="L11" s="25"/>
      <c r="M11" s="25"/>
      <c r="N11" s="25"/>
      <c r="O11" s="25"/>
      <c r="P11" s="26">
        <f>H5+P5</f>
        <v>17338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>U11-V11/0.330882</f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6</v>
      </c>
      <c r="AD11">
        <f t="shared" si="4"/>
        <v>270</v>
      </c>
    </row>
    <row r="12" spans="1:30" x14ac:dyDescent="0.3">
      <c r="A12" s="1" t="s">
        <v>27</v>
      </c>
      <c r="B12" s="4" t="s">
        <v>6</v>
      </c>
      <c r="C12" s="3" t="s">
        <v>5</v>
      </c>
      <c r="D12" s="25"/>
      <c r="E12" s="25"/>
      <c r="F12" s="25"/>
      <c r="G12" s="25"/>
      <c r="H12" s="26"/>
      <c r="I12" s="1" t="s">
        <v>27</v>
      </c>
      <c r="J12" s="1" t="s">
        <v>27</v>
      </c>
      <c r="K12" s="1" t="s">
        <v>27</v>
      </c>
      <c r="L12" s="25"/>
      <c r="M12" s="25"/>
      <c r="N12" s="25"/>
      <c r="O12" s="25"/>
      <c r="P12" s="26">
        <f>H6+P6</f>
        <v>6410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  <c r="AD12">
        <f t="shared" si="4"/>
        <v>150</v>
      </c>
    </row>
    <row r="13" spans="1:30" x14ac:dyDescent="0.3">
      <c r="A13" s="1" t="s">
        <v>27</v>
      </c>
      <c r="B13" s="4" t="s">
        <v>6</v>
      </c>
      <c r="C13" s="3" t="s">
        <v>5</v>
      </c>
      <c r="D13" s="25"/>
      <c r="E13" s="25"/>
      <c r="F13" s="25"/>
      <c r="G13" s="25"/>
      <c r="H13" s="26"/>
      <c r="I13" s="1" t="s">
        <v>27</v>
      </c>
      <c r="J13" s="1" t="s">
        <v>27</v>
      </c>
      <c r="K13" s="1" t="s">
        <v>27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  <c r="AD13">
        <f t="shared" si="4"/>
        <v>165</v>
      </c>
    </row>
    <row r="14" spans="1:30" x14ac:dyDescent="0.3">
      <c r="A14" s="1" t="s">
        <v>27</v>
      </c>
      <c r="B14" s="4" t="s">
        <v>6</v>
      </c>
      <c r="C14" s="15" t="s">
        <v>17</v>
      </c>
      <c r="D14" s="25"/>
      <c r="E14" s="25"/>
      <c r="F14" s="25"/>
      <c r="G14" s="25"/>
      <c r="H14" s="26"/>
      <c r="I14" s="1" t="s">
        <v>27</v>
      </c>
      <c r="J14" s="1" t="s">
        <v>27</v>
      </c>
      <c r="K14" s="3" t="s">
        <v>5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  <c r="AD14">
        <f t="shared" si="4"/>
        <v>60</v>
      </c>
    </row>
    <row r="15" spans="1:30" x14ac:dyDescent="0.3">
      <c r="A15" s="1" t="s">
        <v>27</v>
      </c>
      <c r="B15" s="4" t="s">
        <v>6</v>
      </c>
      <c r="C15" s="3" t="s">
        <v>5</v>
      </c>
      <c r="D15" s="25"/>
      <c r="E15" s="25"/>
      <c r="F15" s="25"/>
      <c r="G15" s="25"/>
      <c r="H15" s="26"/>
      <c r="I15" s="1" t="s">
        <v>27</v>
      </c>
      <c r="J15" s="1" t="s">
        <v>27</v>
      </c>
      <c r="K15" s="3" t="s">
        <v>5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8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  <c r="AD15">
        <f t="shared" si="4"/>
        <v>0</v>
      </c>
    </row>
    <row r="16" spans="1:30" x14ac:dyDescent="0.3">
      <c r="A16" s="1" t="s">
        <v>27</v>
      </c>
      <c r="B16" s="4" t="s">
        <v>6</v>
      </c>
      <c r="C16" s="3" t="s">
        <v>5</v>
      </c>
      <c r="D16" s="25"/>
      <c r="E16" s="25"/>
      <c r="F16" s="25"/>
      <c r="G16" s="25"/>
      <c r="H16" s="26"/>
      <c r="I16" s="1" t="s">
        <v>27</v>
      </c>
      <c r="J16" s="1" t="s">
        <v>27</v>
      </c>
      <c r="K16" s="3" t="s">
        <v>5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6</v>
      </c>
      <c r="AA16" s="1">
        <f t="shared" si="2"/>
        <v>10</v>
      </c>
      <c r="AB16" s="53">
        <f t="shared" si="3"/>
        <v>22</v>
      </c>
      <c r="AC16">
        <v>38</v>
      </c>
      <c r="AD16">
        <f t="shared" si="4"/>
        <v>1140</v>
      </c>
    </row>
    <row r="17" spans="1:34" x14ac:dyDescent="0.3">
      <c r="A17" s="1" t="s">
        <v>27</v>
      </c>
      <c r="B17" s="17" t="s">
        <v>19</v>
      </c>
      <c r="C17" s="3" t="s">
        <v>5</v>
      </c>
      <c r="D17" s="25"/>
      <c r="E17" s="25"/>
      <c r="F17" s="25"/>
      <c r="G17" s="25"/>
      <c r="H17" s="26"/>
      <c r="I17" s="1" t="s">
        <v>27</v>
      </c>
      <c r="J17" s="1" t="s">
        <v>27</v>
      </c>
      <c r="K17" s="9" t="s">
        <v>11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1</v>
      </c>
      <c r="Y17" s="45">
        <v>1</v>
      </c>
      <c r="Z17" s="1">
        <f t="shared" si="1"/>
        <v>1</v>
      </c>
      <c r="AA17" s="1">
        <f t="shared" si="2"/>
        <v>0</v>
      </c>
      <c r="AB17" s="53">
        <f t="shared" si="3"/>
        <v>0</v>
      </c>
      <c r="AC17">
        <v>0</v>
      </c>
      <c r="AD17">
        <f t="shared" si="4"/>
        <v>0</v>
      </c>
    </row>
    <row r="18" spans="1:34" x14ac:dyDescent="0.3">
      <c r="A18" s="1" t="s">
        <v>27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1" t="s">
        <v>27</v>
      </c>
      <c r="J18" s="1" t="s">
        <v>27</v>
      </c>
      <c r="K18" s="3" t="s">
        <v>5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300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  <c r="AC18">
        <v>0</v>
      </c>
      <c r="AD18">
        <f t="shared" si="4"/>
        <v>0</v>
      </c>
    </row>
    <row r="19" spans="1:34" x14ac:dyDescent="0.3">
      <c r="A19" s="1" t="s">
        <v>27</v>
      </c>
      <c r="B19" s="4" t="s">
        <v>6</v>
      </c>
      <c r="C19" s="17" t="s">
        <v>20</v>
      </c>
      <c r="D19" s="25"/>
      <c r="E19" s="25"/>
      <c r="F19" s="25"/>
      <c r="G19" s="25"/>
      <c r="H19" s="26"/>
      <c r="I19" s="1" t="s">
        <v>27</v>
      </c>
      <c r="J19" s="1" t="s">
        <v>27</v>
      </c>
      <c r="K19" s="15" t="s">
        <v>17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  <c r="AD19">
        <f t="shared" si="4"/>
        <v>225</v>
      </c>
    </row>
    <row r="20" spans="1:34" x14ac:dyDescent="0.3">
      <c r="A20" s="1" t="s">
        <v>27</v>
      </c>
      <c r="B20" s="5" t="s">
        <v>7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1" t="s">
        <v>27</v>
      </c>
      <c r="K20" s="3" t="s">
        <v>5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C20">
        <v>2</v>
      </c>
      <c r="AD20">
        <f t="shared" si="4"/>
        <v>400</v>
      </c>
    </row>
    <row r="21" spans="1:34" x14ac:dyDescent="0.3">
      <c r="A21" s="1" t="s">
        <v>27</v>
      </c>
      <c r="B21" s="5" t="s">
        <v>7</v>
      </c>
      <c r="C21" s="15" t="s">
        <v>17</v>
      </c>
      <c r="D21" s="25"/>
      <c r="E21" s="25"/>
      <c r="F21" s="25"/>
      <c r="G21" s="25"/>
      <c r="H21" s="26"/>
      <c r="I21" s="1" t="s">
        <v>27</v>
      </c>
      <c r="J21" s="1" t="s">
        <v>27</v>
      </c>
      <c r="K21" s="3" t="s">
        <v>5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  <c r="AD21">
        <f t="shared" si="4"/>
        <v>2000</v>
      </c>
    </row>
    <row r="22" spans="1:34" x14ac:dyDescent="0.3">
      <c r="A22" s="1" t="s">
        <v>27</v>
      </c>
      <c r="B22" s="4" t="s">
        <v>6</v>
      </c>
      <c r="C22" s="4" t="s">
        <v>6</v>
      </c>
      <c r="D22" s="25"/>
      <c r="E22" s="25"/>
      <c r="F22" s="25"/>
      <c r="G22" s="25"/>
      <c r="H22" s="26"/>
      <c r="I22" s="1" t="s">
        <v>27</v>
      </c>
      <c r="J22" s="1" t="s">
        <v>27</v>
      </c>
      <c r="K22" s="3" t="s">
        <v>5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  <c r="AC22">
        <v>3</v>
      </c>
      <c r="AD22">
        <f t="shared" si="4"/>
        <v>1500</v>
      </c>
    </row>
    <row r="23" spans="1:34" x14ac:dyDescent="0.3">
      <c r="A23" s="1" t="s">
        <v>27</v>
      </c>
      <c r="B23" s="10" t="s">
        <v>12</v>
      </c>
      <c r="C23" s="17" t="s">
        <v>19</v>
      </c>
      <c r="D23" s="25"/>
      <c r="E23" s="25"/>
      <c r="F23" s="25"/>
      <c r="G23" s="25"/>
      <c r="H23" s="26"/>
      <c r="I23" s="1" t="s">
        <v>27</v>
      </c>
      <c r="J23" s="1" t="s">
        <v>27</v>
      </c>
      <c r="K23" s="3" t="s">
        <v>5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9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  <c r="AD23">
        <f t="shared" si="4"/>
        <v>0</v>
      </c>
    </row>
    <row r="24" spans="1:34" x14ac:dyDescent="0.3">
      <c r="A24" s="1" t="s">
        <v>27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1" t="s">
        <v>27</v>
      </c>
      <c r="K24" s="16" t="s">
        <v>28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9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  <c r="AD24">
        <f t="shared" si="4"/>
        <v>0</v>
      </c>
    </row>
    <row r="25" spans="1:34" x14ac:dyDescent="0.3">
      <c r="A25" s="1" t="s">
        <v>27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1" t="s">
        <v>27</v>
      </c>
      <c r="K25" s="3" t="s">
        <v>5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9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  <c r="AD25">
        <f t="shared" si="4"/>
        <v>0</v>
      </c>
    </row>
    <row r="26" spans="1:34" x14ac:dyDescent="0.3">
      <c r="A26" s="1" t="s">
        <v>27</v>
      </c>
      <c r="B26" s="17" t="s">
        <v>20</v>
      </c>
      <c r="C26" s="10" t="s">
        <v>12</v>
      </c>
      <c r="D26" s="25"/>
      <c r="E26" s="25"/>
      <c r="F26" s="25"/>
      <c r="G26" s="25"/>
      <c r="H26" s="26"/>
      <c r="I26" s="1" t="s">
        <v>27</v>
      </c>
      <c r="J26" s="1" t="s">
        <v>27</v>
      </c>
      <c r="K26" s="15" t="s">
        <v>17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9"/>
        <v>0</v>
      </c>
      <c r="X26" s="45">
        <v>0</v>
      </c>
      <c r="Y26" s="45">
        <v>0</v>
      </c>
      <c r="Z26" s="1"/>
      <c r="AA26" s="1"/>
      <c r="AB26" s="53"/>
      <c r="AD26">
        <f t="shared" si="4"/>
        <v>0</v>
      </c>
    </row>
    <row r="27" spans="1:34" x14ac:dyDescent="0.3">
      <c r="A27" s="1" t="s">
        <v>27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1" t="s">
        <v>27</v>
      </c>
      <c r="J27" s="1" t="s">
        <v>27</v>
      </c>
      <c r="K27" s="3" t="s">
        <v>5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14</v>
      </c>
      <c r="Y27" s="45">
        <v>14</v>
      </c>
      <c r="Z27" s="1">
        <f t="shared" si="1"/>
        <v>0</v>
      </c>
      <c r="AA27" s="1">
        <f t="shared" si="2"/>
        <v>2</v>
      </c>
      <c r="AB27" s="53">
        <f t="shared" si="3"/>
        <v>12</v>
      </c>
      <c r="AC27">
        <v>15</v>
      </c>
      <c r="AD27">
        <f t="shared" si="4"/>
        <v>0</v>
      </c>
      <c r="AE27">
        <v>3</v>
      </c>
      <c r="AF27">
        <v>4</v>
      </c>
      <c r="AG27">
        <v>5</v>
      </c>
      <c r="AH27">
        <v>6</v>
      </c>
    </row>
    <row r="28" spans="1:34" x14ac:dyDescent="0.3">
      <c r="A28" s="1" t="s">
        <v>27</v>
      </c>
      <c r="B28" s="4" t="s">
        <v>6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1" t="s">
        <v>27</v>
      </c>
      <c r="K28" s="3" t="s">
        <v>5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>
        <v>10</v>
      </c>
      <c r="X28" s="45">
        <v>3</v>
      </c>
      <c r="Y28" s="45">
        <v>3</v>
      </c>
      <c r="Z28" s="1">
        <f t="shared" si="1"/>
        <v>0</v>
      </c>
      <c r="AA28" s="1">
        <f t="shared" si="2"/>
        <v>1</v>
      </c>
      <c r="AB28" s="53">
        <f t="shared" si="3"/>
        <v>2</v>
      </c>
      <c r="AC28">
        <v>3</v>
      </c>
      <c r="AD28">
        <f t="shared" si="4"/>
        <v>1560</v>
      </c>
      <c r="AE28">
        <v>4</v>
      </c>
      <c r="AF28">
        <v>3</v>
      </c>
      <c r="AG28">
        <v>3</v>
      </c>
      <c r="AH28">
        <v>1</v>
      </c>
    </row>
    <row r="29" spans="1:34" ht="15" thickBot="1" x14ac:dyDescent="0.35">
      <c r="A29" s="1" t="s">
        <v>27</v>
      </c>
      <c r="B29" s="4" t="s">
        <v>6</v>
      </c>
      <c r="C29" s="15" t="s">
        <v>17</v>
      </c>
      <c r="D29" s="25"/>
      <c r="E29" s="25"/>
      <c r="F29" s="25"/>
      <c r="G29" s="25"/>
      <c r="H29" s="26"/>
      <c r="I29" s="1" t="s">
        <v>27</v>
      </c>
      <c r="J29" s="1" t="s">
        <v>27</v>
      </c>
      <c r="K29" s="15" t="s">
        <v>17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  <c r="AE29">
        <v>2</v>
      </c>
    </row>
    <row r="30" spans="1:34" x14ac:dyDescent="0.3">
      <c r="A30" s="1" t="s">
        <v>27</v>
      </c>
      <c r="B30" s="4" t="s">
        <v>6</v>
      </c>
      <c r="C30" s="4" t="s">
        <v>6</v>
      </c>
      <c r="D30" s="25"/>
      <c r="E30" s="25"/>
      <c r="F30" s="25"/>
      <c r="G30" s="25"/>
      <c r="H30" s="26"/>
      <c r="I30" s="1" t="s">
        <v>27</v>
      </c>
      <c r="J30" s="1" t="s">
        <v>27</v>
      </c>
      <c r="K30" s="3" t="s">
        <v>5</v>
      </c>
      <c r="L30" s="25"/>
      <c r="M30" s="25"/>
      <c r="N30" s="25"/>
      <c r="O30" s="25"/>
      <c r="P30" s="26"/>
    </row>
    <row r="31" spans="1:34" x14ac:dyDescent="0.3">
      <c r="A31" s="1" t="s">
        <v>27</v>
      </c>
      <c r="B31" s="4" t="s">
        <v>6</v>
      </c>
      <c r="C31" s="4" t="s">
        <v>6</v>
      </c>
      <c r="D31" s="25"/>
      <c r="E31" s="25"/>
      <c r="F31" s="25"/>
      <c r="G31" s="25"/>
      <c r="H31" s="26"/>
      <c r="I31" s="1" t="s">
        <v>27</v>
      </c>
      <c r="J31" s="1" t="s">
        <v>27</v>
      </c>
      <c r="K31" s="3" t="s">
        <v>5</v>
      </c>
      <c r="L31" s="25"/>
      <c r="M31" s="25"/>
      <c r="N31" s="25"/>
      <c r="O31" s="25"/>
      <c r="P31" s="26"/>
      <c r="Y31">
        <f>SUM(Y3:Y28)</f>
        <v>1077</v>
      </c>
      <c r="AC31">
        <f>SUM(AC3:AC28)</f>
        <v>1074</v>
      </c>
      <c r="AD31">
        <f>SUM(AD3:AD28)+7000</f>
        <v>65360</v>
      </c>
    </row>
    <row r="32" spans="1:34" x14ac:dyDescent="0.3">
      <c r="A32" s="1" t="s">
        <v>27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1" t="s">
        <v>27</v>
      </c>
      <c r="K32" s="3" t="s">
        <v>5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 x14ac:dyDescent="0.3">
      <c r="A33" s="1" t="s">
        <v>27</v>
      </c>
      <c r="B33" s="4" t="s">
        <v>6</v>
      </c>
      <c r="C33" s="17" t="s">
        <v>20</v>
      </c>
      <c r="D33" s="25"/>
      <c r="E33" s="25"/>
      <c r="F33" s="25"/>
      <c r="G33" s="25"/>
      <c r="H33" s="26"/>
      <c r="I33" s="1" t="s">
        <v>27</v>
      </c>
      <c r="J33" s="1" t="s">
        <v>27</v>
      </c>
      <c r="K33" s="3" t="s">
        <v>5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 x14ac:dyDescent="0.3">
      <c r="A34" s="1" t="s">
        <v>27</v>
      </c>
      <c r="B34" s="4" t="s">
        <v>6</v>
      </c>
      <c r="C34" s="4" t="s">
        <v>6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15" t="s">
        <v>17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 x14ac:dyDescent="0.3">
      <c r="A35" s="1" t="s">
        <v>27</v>
      </c>
      <c r="B35" s="17" t="s">
        <v>20</v>
      </c>
      <c r="C35" s="4" t="s">
        <v>6</v>
      </c>
      <c r="D35" s="25"/>
      <c r="E35" s="25"/>
      <c r="F35" s="25"/>
      <c r="G35" s="25"/>
      <c r="H35" s="26"/>
      <c r="I35" s="1" t="s">
        <v>27</v>
      </c>
      <c r="J35" s="1" t="s">
        <v>27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 x14ac:dyDescent="0.3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1" t="s">
        <v>27</v>
      </c>
      <c r="K36" s="23" t="s">
        <v>29</v>
      </c>
      <c r="L36" s="25"/>
      <c r="M36" s="25"/>
      <c r="N36" s="25"/>
      <c r="O36" s="25"/>
      <c r="P36" s="26"/>
      <c r="S36" t="s">
        <v>61</v>
      </c>
    </row>
    <row r="37" spans="1:19" x14ac:dyDescent="0.3">
      <c r="A37" s="1" t="s">
        <v>27</v>
      </c>
      <c r="B37" s="1" t="s">
        <v>27</v>
      </c>
      <c r="C37" s="17" t="s">
        <v>19</v>
      </c>
      <c r="D37" s="25"/>
      <c r="E37" s="25"/>
      <c r="F37" s="25"/>
      <c r="G37" s="25"/>
      <c r="H37" s="26"/>
      <c r="I37" s="1" t="s">
        <v>27</v>
      </c>
      <c r="J37" s="1" t="s">
        <v>27</v>
      </c>
      <c r="K37" s="3" t="s">
        <v>5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 x14ac:dyDescent="0.3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3" t="s">
        <v>5</v>
      </c>
      <c r="L38" s="25"/>
      <c r="M38" s="25"/>
      <c r="N38" s="25"/>
      <c r="O38" s="25"/>
      <c r="P38" s="26"/>
      <c r="R38">
        <v>6</v>
      </c>
      <c r="S38" t="s">
        <v>65</v>
      </c>
    </row>
    <row r="39" spans="1:19" x14ac:dyDescent="0.3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3" t="s">
        <v>5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 x14ac:dyDescent="0.3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3" t="s">
        <v>5</v>
      </c>
      <c r="L40" s="25"/>
      <c r="M40" s="25"/>
      <c r="N40" s="25"/>
      <c r="O40" s="25"/>
      <c r="P40" s="26"/>
    </row>
    <row r="41" spans="1:19" x14ac:dyDescent="0.3">
      <c r="A41" s="1" t="s">
        <v>27</v>
      </c>
      <c r="B41" s="1" t="s">
        <v>27</v>
      </c>
      <c r="C41" s="4" t="s">
        <v>6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15" t="s">
        <v>17</v>
      </c>
      <c r="L41" s="25"/>
      <c r="M41" s="25"/>
      <c r="N41" s="25"/>
      <c r="O41" s="25"/>
      <c r="P41" s="26"/>
    </row>
    <row r="42" spans="1:19" x14ac:dyDescent="0.3">
      <c r="A42" s="1" t="s">
        <v>27</v>
      </c>
      <c r="B42" s="1" t="s">
        <v>27</v>
      </c>
      <c r="C42" s="4" t="s">
        <v>6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3" t="s">
        <v>5</v>
      </c>
      <c r="L42" s="25"/>
      <c r="M42" s="25"/>
      <c r="N42" s="25"/>
      <c r="O42" s="25"/>
      <c r="P42" s="26"/>
    </row>
    <row r="43" spans="1:19" x14ac:dyDescent="0.3">
      <c r="A43" s="1" t="s">
        <v>27</v>
      </c>
      <c r="B43" s="1" t="s">
        <v>27</v>
      </c>
      <c r="C43" s="4" t="s">
        <v>6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3" t="s">
        <v>5</v>
      </c>
      <c r="L43" s="25"/>
      <c r="M43" s="25"/>
      <c r="N43" s="25"/>
      <c r="O43" s="25"/>
      <c r="P43" s="26"/>
    </row>
    <row r="44" spans="1:19" x14ac:dyDescent="0.3">
      <c r="A44" s="1" t="s">
        <v>27</v>
      </c>
      <c r="B44" s="1" t="s">
        <v>27</v>
      </c>
      <c r="C44" s="15" t="s">
        <v>17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3" t="s">
        <v>5</v>
      </c>
      <c r="L44" s="25"/>
      <c r="M44" s="25"/>
      <c r="N44" s="25"/>
      <c r="O44" s="25"/>
      <c r="P44" s="26"/>
    </row>
    <row r="45" spans="1:19" x14ac:dyDescent="0.3">
      <c r="A45" s="1" t="s">
        <v>27</v>
      </c>
      <c r="B45" s="1" t="s">
        <v>27</v>
      </c>
      <c r="C45" s="4" t="s">
        <v>6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3" t="s">
        <v>5</v>
      </c>
      <c r="L45" s="25"/>
      <c r="M45" s="25"/>
      <c r="N45" s="25"/>
      <c r="O45" s="25"/>
      <c r="P45" s="26"/>
    </row>
    <row r="46" spans="1:19" x14ac:dyDescent="0.3">
      <c r="A46" s="1" t="s">
        <v>27</v>
      </c>
      <c r="B46" s="1" t="s">
        <v>27</v>
      </c>
      <c r="C46" s="4" t="s">
        <v>6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5" t="s">
        <v>17</v>
      </c>
      <c r="L46" s="25"/>
      <c r="M46" s="25"/>
      <c r="N46" s="25"/>
      <c r="O46" s="25"/>
      <c r="P46" s="26"/>
    </row>
    <row r="47" spans="1:19" x14ac:dyDescent="0.3">
      <c r="A47" s="1" t="s">
        <v>27</v>
      </c>
      <c r="B47" s="1" t="s">
        <v>27</v>
      </c>
      <c r="C47" s="4" t="s">
        <v>6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 x14ac:dyDescent="0.3">
      <c r="A48" s="1" t="s">
        <v>27</v>
      </c>
      <c r="B48" s="1" t="s">
        <v>27</v>
      </c>
      <c r="C48" s="4" t="s">
        <v>6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 x14ac:dyDescent="0.3">
      <c r="A49" s="1" t="s">
        <v>27</v>
      </c>
      <c r="B49" s="1" t="s">
        <v>27</v>
      </c>
      <c r="C49" s="17" t="s">
        <v>20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 x14ac:dyDescent="0.3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 x14ac:dyDescent="0.3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 x14ac:dyDescent="0.3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 x14ac:dyDescent="0.3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 x14ac:dyDescent="0.3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 x14ac:dyDescent="0.3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 x14ac:dyDescent="0.3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 x14ac:dyDescent="0.3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 x14ac:dyDescent="0.3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 x14ac:dyDescent="0.3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 x14ac:dyDescent="0.3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 x14ac:dyDescent="0.3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 x14ac:dyDescent="0.3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 x14ac:dyDescent="0.3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 x14ac:dyDescent="0.3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 x14ac:dyDescent="0.3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 x14ac:dyDescent="0.3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 x14ac:dyDescent="0.3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 x14ac:dyDescent="0.3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 x14ac:dyDescent="0.3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 x14ac:dyDescent="0.3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 x14ac:dyDescent="0.3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 x14ac:dyDescent="0.3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 x14ac:dyDescent="0.3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 x14ac:dyDescent="0.3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 x14ac:dyDescent="0.3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 x14ac:dyDescent="0.3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 x14ac:dyDescent="0.3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 x14ac:dyDescent="0.3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 x14ac:dyDescent="0.3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 x14ac:dyDescent="0.3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 x14ac:dyDescent="0.3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 x14ac:dyDescent="0.3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 x14ac:dyDescent="0.3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 x14ac:dyDescent="0.3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 x14ac:dyDescent="0.3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 x14ac:dyDescent="0.3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 x14ac:dyDescent="0.3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 x14ac:dyDescent="0.3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 x14ac:dyDescent="0.3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 x14ac:dyDescent="0.3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 x14ac:dyDescent="0.3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 x14ac:dyDescent="0.3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 x14ac:dyDescent="0.3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 x14ac:dyDescent="0.3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 x14ac:dyDescent="0.3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 x14ac:dyDescent="0.3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 x14ac:dyDescent="0.3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 x14ac:dyDescent="0.3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 x14ac:dyDescent="0.3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 x14ac:dyDescent="0.35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5705-4871-4E2F-AB3D-7C1A3B369074}">
  <dimension ref="A1:AH100"/>
  <sheetViews>
    <sheetView topLeftCell="B1" zoomScale="85" zoomScaleNormal="85" workbookViewId="0">
      <selection activeCell="X11" sqref="X11"/>
    </sheetView>
  </sheetViews>
  <sheetFormatPr defaultRowHeight="14.4" x14ac:dyDescent="0.3"/>
  <sheetData>
    <row r="1" spans="1:30" ht="15.6" x14ac:dyDescent="0.3">
      <c r="A1" s="60" t="s">
        <v>30</v>
      </c>
      <c r="B1" s="61"/>
      <c r="C1" s="61"/>
      <c r="D1" s="61"/>
      <c r="E1" s="61"/>
      <c r="F1" s="62" t="s">
        <v>3</v>
      </c>
      <c r="G1" s="62"/>
      <c r="H1" s="24" cm="1">
        <f t="array" ref="H1">SUM(VLOOKUP(A4:C100,$T$3:$W$36,4,FALSE))+H4*10-H8*50</f>
        <v>2415.5530249454487</v>
      </c>
      <c r="I1" s="63" t="s">
        <v>41</v>
      </c>
      <c r="J1" s="64"/>
      <c r="K1" s="64"/>
      <c r="L1" s="64"/>
      <c r="M1" s="64"/>
      <c r="N1" s="64"/>
      <c r="O1" s="64"/>
      <c r="P1" s="65"/>
      <c r="Q1" s="63" t="s">
        <v>48</v>
      </c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30" ht="28.8" x14ac:dyDescent="0.3">
      <c r="A2" s="66" t="s">
        <v>35</v>
      </c>
      <c r="B2" s="67"/>
      <c r="C2" s="67"/>
      <c r="D2" s="68" t="s">
        <v>37</v>
      </c>
      <c r="E2" s="69"/>
      <c r="F2" s="69"/>
      <c r="G2" s="69"/>
      <c r="H2" s="70"/>
      <c r="I2" s="71" t="s">
        <v>35</v>
      </c>
      <c r="J2" s="72"/>
      <c r="K2" s="72"/>
      <c r="L2" s="73" t="s">
        <v>37</v>
      </c>
      <c r="M2" s="73"/>
      <c r="N2" s="73"/>
      <c r="O2" s="73"/>
      <c r="P2" s="74"/>
      <c r="Q2" s="49" t="s">
        <v>43</v>
      </c>
      <c r="R2" s="50" cm="1">
        <f t="array" ref="R2">SUM(V3:V28*AB3:AB28)+H6+P6+R4*500</f>
        <v>65510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30" x14ac:dyDescent="0.3">
      <c r="A3" s="59" t="s">
        <v>31</v>
      </c>
      <c r="B3" s="58" t="s">
        <v>32</v>
      </c>
      <c r="C3" s="20" t="s">
        <v>33</v>
      </c>
      <c r="D3" s="32"/>
      <c r="E3" s="59" t="s">
        <v>31</v>
      </c>
      <c r="F3" s="58" t="s">
        <v>32</v>
      </c>
      <c r="G3" s="20" t="s">
        <v>33</v>
      </c>
      <c r="H3" s="33" t="s">
        <v>36</v>
      </c>
      <c r="I3" s="59" t="s">
        <v>31</v>
      </c>
      <c r="J3" s="58" t="s">
        <v>32</v>
      </c>
      <c r="K3" s="20" t="s">
        <v>33</v>
      </c>
      <c r="L3" s="32"/>
      <c r="M3" s="59" t="s">
        <v>31</v>
      </c>
      <c r="N3" s="58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15</v>
      </c>
      <c r="Z3" s="1">
        <f>COUNTIF($A$4:$C$100,T3)</f>
        <v>13</v>
      </c>
      <c r="AA3" s="1">
        <f>COUNTIF($I$4:$K$100,T3)</f>
        <v>2</v>
      </c>
      <c r="AB3" s="53">
        <f>Y3-Z3-AA3</f>
        <v>0</v>
      </c>
      <c r="AC3">
        <v>24</v>
      </c>
      <c r="AD3">
        <f>AC3*V3</f>
        <v>840</v>
      </c>
    </row>
    <row r="4" spans="1:30" x14ac:dyDescent="0.3">
      <c r="A4" s="2" t="s">
        <v>4</v>
      </c>
      <c r="B4" s="2" t="s">
        <v>4</v>
      </c>
      <c r="C4" s="1" t="s">
        <v>27</v>
      </c>
      <c r="D4" s="42" t="s">
        <v>34</v>
      </c>
      <c r="E4" s="38">
        <v>0</v>
      </c>
      <c r="F4" s="38">
        <v>0</v>
      </c>
      <c r="G4" s="38">
        <v>0</v>
      </c>
      <c r="H4" s="35">
        <f>SUM(E4:G4)</f>
        <v>0</v>
      </c>
      <c r="I4" s="15" t="s">
        <v>17</v>
      </c>
      <c r="J4" s="3" t="s">
        <v>5</v>
      </c>
      <c r="K4" s="3" t="s">
        <v>5</v>
      </c>
      <c r="L4" s="42" t="s">
        <v>34</v>
      </c>
      <c r="M4" s="38">
        <v>1</v>
      </c>
      <c r="N4" s="38">
        <v>0</v>
      </c>
      <c r="O4" s="38">
        <v>2</v>
      </c>
      <c r="P4" s="35">
        <f>SUM(M4:O4)</f>
        <v>3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41</v>
      </c>
      <c r="Z4" s="1">
        <f t="shared" ref="Z4:Z28" si="1">COUNTIF($A$4:$C$100,T4)</f>
        <v>5</v>
      </c>
      <c r="AA4" s="1">
        <f t="shared" ref="AA4:AA28" si="2">COUNTIF($I$4:$K$100,T4)</f>
        <v>36</v>
      </c>
      <c r="AB4" s="53">
        <f t="shared" ref="AB4:AB28" si="3">Y4-Z4-AA4</f>
        <v>0</v>
      </c>
      <c r="AC4">
        <v>25</v>
      </c>
      <c r="AD4">
        <f t="shared" ref="AD4:AD28" si="4">AC4*V4</f>
        <v>1000</v>
      </c>
    </row>
    <row r="5" spans="1:30" x14ac:dyDescent="0.3">
      <c r="A5" s="2" t="s">
        <v>4</v>
      </c>
      <c r="B5" s="2" t="s">
        <v>4</v>
      </c>
      <c r="C5" s="1" t="s">
        <v>27</v>
      </c>
      <c r="D5" s="32" t="s">
        <v>38</v>
      </c>
      <c r="E5" s="34" cm="1">
        <f t="array" ref="E5">(SUM(VLOOKUP(A4:A100,$T$3:$W$41,2,FALSE))+E4*10)-E8*50</f>
        <v>800</v>
      </c>
      <c r="F5" s="34" cm="1">
        <f t="array" ref="F5">(SUM(VLOOKUP(B4:B100,$T$3:$W$41,2,FALSE))+F4*10)-F8*50</f>
        <v>5080</v>
      </c>
      <c r="G5" s="34" cm="1">
        <f t="array" ref="G5">(SUM(VLOOKUP(C4:C100,$T$3:$W$41,2,FALSE))+G4*10)-G8*50</f>
        <v>6660</v>
      </c>
      <c r="H5" s="57">
        <f t="shared" ref="H5:H8" si="5">SUM(E5:G5)</f>
        <v>12540</v>
      </c>
      <c r="I5" s="1" t="s">
        <v>27</v>
      </c>
      <c r="J5" s="3" t="s">
        <v>5</v>
      </c>
      <c r="K5" s="3" t="s">
        <v>5</v>
      </c>
      <c r="L5" s="32" t="s">
        <v>38</v>
      </c>
      <c r="M5" s="34" cm="1">
        <f t="array" ref="M5">(SUM(VLOOKUP(I4:I100,$T$3:$W$41,2,FALSE))+M4*10)*0.8-M8*40</f>
        <v>128</v>
      </c>
      <c r="N5" s="34" cm="1">
        <f t="array" ref="N5">(SUM(VLOOKUP(J4:J100,$T$3:$W$41,2,FALSE))+N4*10)*0.8-N8*40</f>
        <v>672</v>
      </c>
      <c r="O5" s="34" cm="1">
        <f t="array" ref="O5">(SUM(VLOOKUP(K4:K100,$T$3:$W$41,2,FALSE))+O4*10)*0.8-O8*40</f>
        <v>4512</v>
      </c>
      <c r="P5" s="57">
        <f t="shared" ref="P5:P8" si="6">SUM(M5:O5)</f>
        <v>5312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240</v>
      </c>
      <c r="Z5" s="1">
        <f t="shared" si="1"/>
        <v>44</v>
      </c>
      <c r="AA5" s="1">
        <f t="shared" si="2"/>
        <v>0</v>
      </c>
      <c r="AB5" s="53">
        <f t="shared" si="3"/>
        <v>196</v>
      </c>
      <c r="AC5">
        <v>247</v>
      </c>
      <c r="AD5">
        <f t="shared" si="4"/>
        <v>11115</v>
      </c>
    </row>
    <row r="6" spans="1:30" x14ac:dyDescent="0.3">
      <c r="A6" s="15" t="s">
        <v>17</v>
      </c>
      <c r="B6" s="2" t="s">
        <v>4</v>
      </c>
      <c r="C6" s="2" t="s">
        <v>4</v>
      </c>
      <c r="D6" s="32" t="s">
        <v>39</v>
      </c>
      <c r="E6" s="34" cm="1">
        <f t="array" ref="E6">(SUM(VLOOKUP(A4:A100,$T$3:$W$41,3,FALSE)))</f>
        <v>205</v>
      </c>
      <c r="F6" s="34" cm="1">
        <f t="array" ref="F6">(SUM(VLOOKUP(B4:B100,$T$3:$W$41,3,FALSE)))</f>
        <v>1595</v>
      </c>
      <c r="G6" s="34" cm="1">
        <f t="array" ref="G6">(SUM(VLOOKUP(C4:C100,$T$3:$W$41,3,FALSE)))</f>
        <v>2340</v>
      </c>
      <c r="H6" s="48">
        <f t="shared" si="5"/>
        <v>4140</v>
      </c>
      <c r="I6" s="2" t="s">
        <v>4</v>
      </c>
      <c r="J6" s="9" t="s">
        <v>11</v>
      </c>
      <c r="K6" s="3" t="s">
        <v>5</v>
      </c>
      <c r="L6" s="32" t="s">
        <v>39</v>
      </c>
      <c r="M6" s="34" cm="1">
        <f t="array" ref="M6">(SUM(VLOOKUP(I4:I100,$T$3:$W$41,3,FALSE)))</f>
        <v>100</v>
      </c>
      <c r="N6" s="34" cm="1">
        <f t="array" ref="N6">(SUM(VLOOKUP(J4:J100,$T$3:$W$41,3,FALSE)))</f>
        <v>230</v>
      </c>
      <c r="O6" s="34" cm="1">
        <f t="array" ref="O6">(SUM(VLOOKUP(K4:K100,$T$3:$W$41,3,FALSE)))</f>
        <v>2150</v>
      </c>
      <c r="P6" s="48">
        <f t="shared" si="6"/>
        <v>2480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267</v>
      </c>
      <c r="Z6" s="1">
        <f t="shared" si="1"/>
        <v>2</v>
      </c>
      <c r="AA6" s="1">
        <f t="shared" si="2"/>
        <v>0</v>
      </c>
      <c r="AB6" s="53">
        <f t="shared" si="3"/>
        <v>265</v>
      </c>
      <c r="AC6">
        <v>267</v>
      </c>
      <c r="AD6">
        <f t="shared" si="4"/>
        <v>13350</v>
      </c>
    </row>
    <row r="7" spans="1:30" x14ac:dyDescent="0.3">
      <c r="A7" s="2" t="s">
        <v>4</v>
      </c>
      <c r="B7" s="2" t="s">
        <v>4</v>
      </c>
      <c r="C7" s="2" t="s">
        <v>4</v>
      </c>
      <c r="D7" s="32" t="s">
        <v>40</v>
      </c>
      <c r="E7" s="34">
        <f>COUNTIF(A4:A100,"&lt;&gt;空")</f>
        <v>6</v>
      </c>
      <c r="F7" s="34">
        <f>COUNTIF(B4:B100,"&lt;&gt;空")</f>
        <v>31</v>
      </c>
      <c r="G7" s="34">
        <f>COUNTIF(C4:C100,"&lt;&gt;空")</f>
        <v>45</v>
      </c>
      <c r="H7" s="35">
        <f t="shared" si="5"/>
        <v>82</v>
      </c>
      <c r="I7" s="2" t="s">
        <v>4</v>
      </c>
      <c r="J7" s="3" t="s">
        <v>5</v>
      </c>
      <c r="K7" s="15" t="s">
        <v>17</v>
      </c>
      <c r="L7" s="32" t="s">
        <v>40</v>
      </c>
      <c r="M7" s="34">
        <f>COUNTIF(I4:I100,"&lt;&gt;空")</f>
        <v>4</v>
      </c>
      <c r="N7" s="34">
        <f>COUNTIF(J4:J100,"&lt;&gt;空")</f>
        <v>6</v>
      </c>
      <c r="O7" s="34">
        <f>COUNTIF(K4:K100,"&lt;&gt;空")</f>
        <v>45</v>
      </c>
      <c r="P7" s="35">
        <f t="shared" si="6"/>
        <v>55</v>
      </c>
      <c r="Q7" s="52" t="s">
        <v>54</v>
      </c>
      <c r="R7" s="25">
        <v>1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235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  <c r="AD7">
        <f t="shared" si="4"/>
        <v>12925</v>
      </c>
    </row>
    <row r="8" spans="1:30" x14ac:dyDescent="0.3">
      <c r="A8" s="2" t="s">
        <v>4</v>
      </c>
      <c r="B8" s="2" t="s">
        <v>4</v>
      </c>
      <c r="C8" s="2" t="s">
        <v>4</v>
      </c>
      <c r="D8" s="41" t="s">
        <v>64</v>
      </c>
      <c r="E8" s="40">
        <v>0</v>
      </c>
      <c r="F8" s="40">
        <v>1</v>
      </c>
      <c r="G8" s="40">
        <v>0</v>
      </c>
      <c r="H8" s="35">
        <f t="shared" si="5"/>
        <v>1</v>
      </c>
      <c r="I8" s="16" t="s">
        <v>28</v>
      </c>
      <c r="J8" s="3" t="s">
        <v>5</v>
      </c>
      <c r="K8" s="3" t="s">
        <v>5</v>
      </c>
      <c r="L8" s="41" t="s">
        <v>64</v>
      </c>
      <c r="M8" s="40">
        <v>0</v>
      </c>
      <c r="N8" s="40">
        <v>0</v>
      </c>
      <c r="O8" s="40">
        <v>2</v>
      </c>
      <c r="P8" s="35">
        <f t="shared" si="6"/>
        <v>2</v>
      </c>
      <c r="Q8" s="49" t="s">
        <v>53</v>
      </c>
      <c r="R8" s="54" cm="1">
        <f t="array" ref="R8">R6-P5-H5-SUM(U3:U28*AB3:AB28)*0.8-R7*8</f>
        <v>44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194</v>
      </c>
      <c r="Z8" s="1">
        <f t="shared" si="1"/>
        <v>0</v>
      </c>
      <c r="AA8" s="1">
        <f t="shared" si="2"/>
        <v>0</v>
      </c>
      <c r="AB8" s="53">
        <f t="shared" si="3"/>
        <v>194</v>
      </c>
      <c r="AC8">
        <v>193</v>
      </c>
      <c r="AD8">
        <f t="shared" si="4"/>
        <v>11580</v>
      </c>
    </row>
    <row r="9" spans="1:30" x14ac:dyDescent="0.3">
      <c r="A9" s="2" t="s">
        <v>4</v>
      </c>
      <c r="B9" s="15" t="s">
        <v>17</v>
      </c>
      <c r="C9" s="16" t="s">
        <v>18</v>
      </c>
      <c r="D9" s="25"/>
      <c r="E9" s="25"/>
      <c r="F9" s="25"/>
      <c r="G9" s="25"/>
      <c r="H9" s="26"/>
      <c r="I9" s="1" t="s">
        <v>27</v>
      </c>
      <c r="J9" s="15" t="s">
        <v>17</v>
      </c>
      <c r="K9" s="3" t="s">
        <v>5</v>
      </c>
      <c r="L9" s="32" t="s">
        <v>42</v>
      </c>
      <c r="M9" s="36">
        <f>M6/M5</f>
        <v>0.78125</v>
      </c>
      <c r="N9" s="36">
        <f>N6/N5</f>
        <v>0.34226190476190477</v>
      </c>
      <c r="O9" s="36">
        <f>O6/O5</f>
        <v>0.47650709219858156</v>
      </c>
      <c r="P9" s="37">
        <f>P6/P5</f>
        <v>0.46686746987951805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7">U9-V9/0.330882</f>
        <v>44.222109392472248</v>
      </c>
      <c r="X9" s="45">
        <v>5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  <c r="AD9">
        <f t="shared" si="4"/>
        <v>0</v>
      </c>
    </row>
    <row r="10" spans="1:30" x14ac:dyDescent="0.3">
      <c r="A10" s="1" t="s">
        <v>27</v>
      </c>
      <c r="B10" s="1" t="s">
        <v>27</v>
      </c>
      <c r="C10" s="3" t="s">
        <v>5</v>
      </c>
      <c r="D10" s="25"/>
      <c r="E10" s="25"/>
      <c r="F10" s="25"/>
      <c r="G10" s="25"/>
      <c r="H10" s="26"/>
      <c r="I10" s="1" t="s">
        <v>27</v>
      </c>
      <c r="J10" s="1" t="s">
        <v>27</v>
      </c>
      <c r="K10" s="3" t="s">
        <v>5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7"/>
        <v>29.110982162825422</v>
      </c>
      <c r="X10" s="45">
        <v>6</v>
      </c>
      <c r="Y10" s="45">
        <v>4</v>
      </c>
      <c r="Z10" s="1">
        <f t="shared" si="1"/>
        <v>1</v>
      </c>
      <c r="AA10" s="1">
        <f t="shared" si="2"/>
        <v>3</v>
      </c>
      <c r="AB10" s="53">
        <f t="shared" si="3"/>
        <v>0</v>
      </c>
      <c r="AC10">
        <v>2</v>
      </c>
      <c r="AD10">
        <f t="shared" si="4"/>
        <v>80</v>
      </c>
    </row>
    <row r="11" spans="1:30" x14ac:dyDescent="0.3">
      <c r="A11" s="1" t="s">
        <v>27</v>
      </c>
      <c r="B11" s="4" t="s">
        <v>6</v>
      </c>
      <c r="C11" s="3" t="s">
        <v>5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15" t="s">
        <v>17</v>
      </c>
      <c r="L11" s="25"/>
      <c r="M11" s="25"/>
      <c r="N11" s="25"/>
      <c r="O11" s="25"/>
      <c r="P11" s="26">
        <f>H5+P5</f>
        <v>17852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>U11-V11/0.330882</f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6</v>
      </c>
      <c r="AD11">
        <f t="shared" si="4"/>
        <v>270</v>
      </c>
    </row>
    <row r="12" spans="1:30" x14ac:dyDescent="0.3">
      <c r="A12" s="1" t="s">
        <v>27</v>
      </c>
      <c r="B12" s="4" t="s">
        <v>6</v>
      </c>
      <c r="C12" s="3" t="s">
        <v>5</v>
      </c>
      <c r="D12" s="25"/>
      <c r="E12" s="25"/>
      <c r="F12" s="25"/>
      <c r="G12" s="25"/>
      <c r="H12" s="26"/>
      <c r="I12" s="1" t="s">
        <v>27</v>
      </c>
      <c r="J12" s="1" t="s">
        <v>27</v>
      </c>
      <c r="K12" s="1" t="s">
        <v>27</v>
      </c>
      <c r="L12" s="25"/>
      <c r="M12" s="25"/>
      <c r="N12" s="25"/>
      <c r="O12" s="25"/>
      <c r="P12" s="26">
        <f>H6+P6</f>
        <v>6620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  <c r="AD12">
        <f t="shared" si="4"/>
        <v>150</v>
      </c>
    </row>
    <row r="13" spans="1:30" x14ac:dyDescent="0.3">
      <c r="A13" s="1" t="s">
        <v>27</v>
      </c>
      <c r="B13" s="4" t="s">
        <v>6</v>
      </c>
      <c r="C13" s="3" t="s">
        <v>5</v>
      </c>
      <c r="D13" s="25"/>
      <c r="E13" s="25"/>
      <c r="F13" s="25"/>
      <c r="G13" s="25"/>
      <c r="H13" s="26"/>
      <c r="I13" s="1" t="s">
        <v>27</v>
      </c>
      <c r="J13" s="1" t="s">
        <v>27</v>
      </c>
      <c r="K13" s="9" t="s">
        <v>11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  <c r="AD13">
        <f t="shared" si="4"/>
        <v>165</v>
      </c>
    </row>
    <row r="14" spans="1:30" x14ac:dyDescent="0.3">
      <c r="A14" s="1" t="s">
        <v>27</v>
      </c>
      <c r="B14" s="4" t="s">
        <v>6</v>
      </c>
      <c r="C14" s="3" t="s">
        <v>5</v>
      </c>
      <c r="D14" s="25"/>
      <c r="E14" s="25"/>
      <c r="F14" s="25"/>
      <c r="G14" s="25"/>
      <c r="H14" s="26"/>
      <c r="I14" s="1" t="s">
        <v>27</v>
      </c>
      <c r="J14" s="1" t="s">
        <v>27</v>
      </c>
      <c r="K14" s="3" t="s">
        <v>5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  <c r="AD14">
        <f t="shared" si="4"/>
        <v>60</v>
      </c>
    </row>
    <row r="15" spans="1:30" x14ac:dyDescent="0.3">
      <c r="A15" s="1" t="s">
        <v>27</v>
      </c>
      <c r="B15" s="4" t="s">
        <v>6</v>
      </c>
      <c r="C15" s="9" t="s">
        <v>11</v>
      </c>
      <c r="D15" s="25"/>
      <c r="E15" s="25"/>
      <c r="F15" s="25"/>
      <c r="G15" s="25"/>
      <c r="H15" s="26"/>
      <c r="I15" s="1" t="s">
        <v>27</v>
      </c>
      <c r="J15" s="1" t="s">
        <v>27</v>
      </c>
      <c r="K15" s="3" t="s">
        <v>5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8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  <c r="AD15">
        <f t="shared" si="4"/>
        <v>0</v>
      </c>
    </row>
    <row r="16" spans="1:30" x14ac:dyDescent="0.3">
      <c r="A16" s="1" t="s">
        <v>27</v>
      </c>
      <c r="B16" s="4" t="s">
        <v>6</v>
      </c>
      <c r="C16" s="4" t="s">
        <v>6</v>
      </c>
      <c r="D16" s="25"/>
      <c r="E16" s="25"/>
      <c r="F16" s="25"/>
      <c r="G16" s="25"/>
      <c r="H16" s="26"/>
      <c r="I16" s="1" t="s">
        <v>27</v>
      </c>
      <c r="J16" s="1" t="s">
        <v>27</v>
      </c>
      <c r="K16" s="3" t="s">
        <v>5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5</v>
      </c>
      <c r="AA16" s="1">
        <f t="shared" si="2"/>
        <v>11</v>
      </c>
      <c r="AB16" s="53">
        <f t="shared" si="3"/>
        <v>22</v>
      </c>
      <c r="AC16">
        <v>38</v>
      </c>
      <c r="AD16">
        <f t="shared" si="4"/>
        <v>1140</v>
      </c>
    </row>
    <row r="17" spans="1:34" x14ac:dyDescent="0.3">
      <c r="A17" s="1" t="s">
        <v>27</v>
      </c>
      <c r="B17" s="17" t="s">
        <v>19</v>
      </c>
      <c r="C17" s="4" t="s">
        <v>6</v>
      </c>
      <c r="D17" s="25"/>
      <c r="E17" s="25"/>
      <c r="F17" s="25"/>
      <c r="G17" s="25"/>
      <c r="H17" s="26"/>
      <c r="I17" s="1" t="s">
        <v>27</v>
      </c>
      <c r="J17" s="1" t="s">
        <v>27</v>
      </c>
      <c r="K17" s="9" t="s">
        <v>11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2</v>
      </c>
      <c r="Y17" s="45">
        <v>2</v>
      </c>
      <c r="Z17" s="1">
        <f t="shared" si="1"/>
        <v>2</v>
      </c>
      <c r="AA17" s="1">
        <f t="shared" si="2"/>
        <v>0</v>
      </c>
      <c r="AB17" s="53">
        <f t="shared" si="3"/>
        <v>0</v>
      </c>
      <c r="AC17">
        <v>0</v>
      </c>
      <c r="AD17">
        <f t="shared" si="4"/>
        <v>0</v>
      </c>
    </row>
    <row r="18" spans="1:34" x14ac:dyDescent="0.3">
      <c r="A18" s="1" t="s">
        <v>27</v>
      </c>
      <c r="B18" s="4" t="s">
        <v>6</v>
      </c>
      <c r="C18" s="16" t="s">
        <v>18</v>
      </c>
      <c r="D18" s="25"/>
      <c r="E18" s="25"/>
      <c r="F18" s="25"/>
      <c r="G18" s="25"/>
      <c r="H18" s="26"/>
      <c r="I18" s="1" t="s">
        <v>27</v>
      </c>
      <c r="J18" s="1" t="s">
        <v>27</v>
      </c>
      <c r="K18" s="3" t="s">
        <v>5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300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  <c r="AC18">
        <v>0</v>
      </c>
      <c r="AD18">
        <f t="shared" si="4"/>
        <v>0</v>
      </c>
    </row>
    <row r="19" spans="1:34" x14ac:dyDescent="0.3">
      <c r="A19" s="1" t="s">
        <v>27</v>
      </c>
      <c r="B19" s="4" t="s">
        <v>6</v>
      </c>
      <c r="C19" s="4" t="s">
        <v>6</v>
      </c>
      <c r="D19" s="25"/>
      <c r="E19" s="25"/>
      <c r="F19" s="25"/>
      <c r="G19" s="25"/>
      <c r="H19" s="26"/>
      <c r="I19" s="1" t="s">
        <v>27</v>
      </c>
      <c r="J19" s="1" t="s">
        <v>27</v>
      </c>
      <c r="K19" s="15" t="s">
        <v>17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  <c r="AD19">
        <f t="shared" si="4"/>
        <v>225</v>
      </c>
    </row>
    <row r="20" spans="1:34" x14ac:dyDescent="0.3">
      <c r="A20" s="1" t="s">
        <v>27</v>
      </c>
      <c r="B20" s="5" t="s">
        <v>7</v>
      </c>
      <c r="C20" s="17" t="s">
        <v>20</v>
      </c>
      <c r="D20" s="25"/>
      <c r="E20" s="25"/>
      <c r="F20" s="25"/>
      <c r="G20" s="25"/>
      <c r="H20" s="26"/>
      <c r="I20" s="1" t="s">
        <v>27</v>
      </c>
      <c r="J20" s="1" t="s">
        <v>27</v>
      </c>
      <c r="K20" s="3" t="s">
        <v>5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C20">
        <v>2</v>
      </c>
      <c r="AD20">
        <f t="shared" si="4"/>
        <v>400</v>
      </c>
    </row>
    <row r="21" spans="1:34" x14ac:dyDescent="0.3">
      <c r="A21" s="1" t="s">
        <v>27</v>
      </c>
      <c r="B21" s="5" t="s">
        <v>7</v>
      </c>
      <c r="C21" s="4" t="s">
        <v>6</v>
      </c>
      <c r="D21" s="25"/>
      <c r="E21" s="25"/>
      <c r="F21" s="25"/>
      <c r="G21" s="25"/>
      <c r="H21" s="26"/>
      <c r="I21" s="1" t="s">
        <v>27</v>
      </c>
      <c r="J21" s="1" t="s">
        <v>27</v>
      </c>
      <c r="K21" s="3" t="s">
        <v>5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  <c r="AD21">
        <f t="shared" si="4"/>
        <v>2000</v>
      </c>
    </row>
    <row r="22" spans="1:34" x14ac:dyDescent="0.3">
      <c r="A22" s="1" t="s">
        <v>27</v>
      </c>
      <c r="B22" s="4" t="s">
        <v>6</v>
      </c>
      <c r="C22" s="15" t="s">
        <v>17</v>
      </c>
      <c r="D22" s="25"/>
      <c r="E22" s="25"/>
      <c r="F22" s="25"/>
      <c r="G22" s="25"/>
      <c r="H22" s="26"/>
      <c r="I22" s="1" t="s">
        <v>27</v>
      </c>
      <c r="J22" s="1" t="s">
        <v>27</v>
      </c>
      <c r="K22" s="3" t="s">
        <v>5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  <c r="AC22">
        <v>3</v>
      </c>
      <c r="AD22">
        <f t="shared" si="4"/>
        <v>1500</v>
      </c>
    </row>
    <row r="23" spans="1:34" x14ac:dyDescent="0.3">
      <c r="A23" s="1" t="s">
        <v>27</v>
      </c>
      <c r="B23" s="10" t="s">
        <v>12</v>
      </c>
      <c r="C23" s="4" t="s">
        <v>6</v>
      </c>
      <c r="D23" s="25"/>
      <c r="E23" s="25"/>
      <c r="F23" s="25"/>
      <c r="G23" s="25"/>
      <c r="H23" s="26"/>
      <c r="I23" s="1" t="s">
        <v>27</v>
      </c>
      <c r="J23" s="1" t="s">
        <v>27</v>
      </c>
      <c r="K23" s="3" t="s">
        <v>5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9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  <c r="AD23">
        <f t="shared" si="4"/>
        <v>0</v>
      </c>
    </row>
    <row r="24" spans="1:34" x14ac:dyDescent="0.3">
      <c r="A24" s="1" t="s">
        <v>27</v>
      </c>
      <c r="B24" s="4" t="s">
        <v>6</v>
      </c>
      <c r="C24" s="17" t="s">
        <v>19</v>
      </c>
      <c r="D24" s="25"/>
      <c r="E24" s="25"/>
      <c r="F24" s="25"/>
      <c r="G24" s="25"/>
      <c r="H24" s="26"/>
      <c r="I24" s="1" t="s">
        <v>27</v>
      </c>
      <c r="J24" s="1" t="s">
        <v>27</v>
      </c>
      <c r="K24" s="16" t="s">
        <v>28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9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  <c r="AD24">
        <f t="shared" si="4"/>
        <v>0</v>
      </c>
    </row>
    <row r="25" spans="1:34" x14ac:dyDescent="0.3">
      <c r="A25" s="1" t="s">
        <v>27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1" t="s">
        <v>27</v>
      </c>
      <c r="K25" s="3" t="s">
        <v>5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9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  <c r="AD25">
        <f t="shared" si="4"/>
        <v>0</v>
      </c>
    </row>
    <row r="26" spans="1:34" x14ac:dyDescent="0.3">
      <c r="A26" s="1" t="s">
        <v>27</v>
      </c>
      <c r="B26" s="17" t="s">
        <v>20</v>
      </c>
      <c r="C26" s="4" t="s">
        <v>6</v>
      </c>
      <c r="D26" s="25"/>
      <c r="E26" s="25"/>
      <c r="F26" s="25"/>
      <c r="G26" s="25"/>
      <c r="H26" s="26"/>
      <c r="I26" s="1" t="s">
        <v>27</v>
      </c>
      <c r="J26" s="1" t="s">
        <v>27</v>
      </c>
      <c r="K26" s="15" t="s">
        <v>17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9"/>
        <v>0</v>
      </c>
      <c r="X26" s="45">
        <v>0</v>
      </c>
      <c r="Y26" s="45">
        <v>0</v>
      </c>
      <c r="Z26" s="1"/>
      <c r="AA26" s="1"/>
      <c r="AB26" s="53"/>
      <c r="AD26">
        <f t="shared" si="4"/>
        <v>0</v>
      </c>
    </row>
    <row r="27" spans="1:34" x14ac:dyDescent="0.3">
      <c r="A27" s="1" t="s">
        <v>27</v>
      </c>
      <c r="B27" s="4" t="s">
        <v>6</v>
      </c>
      <c r="C27" s="10" t="s">
        <v>12</v>
      </c>
      <c r="D27" s="25"/>
      <c r="E27" s="25"/>
      <c r="F27" s="25"/>
      <c r="G27" s="25"/>
      <c r="H27" s="26"/>
      <c r="I27" s="1" t="s">
        <v>27</v>
      </c>
      <c r="J27" s="1" t="s">
        <v>27</v>
      </c>
      <c r="K27" s="3" t="s">
        <v>5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13</v>
      </c>
      <c r="Y27" s="45">
        <v>13</v>
      </c>
      <c r="Z27" s="1">
        <f t="shared" si="1"/>
        <v>0</v>
      </c>
      <c r="AA27" s="1">
        <f t="shared" si="2"/>
        <v>2</v>
      </c>
      <c r="AB27" s="53">
        <f t="shared" si="3"/>
        <v>11</v>
      </c>
      <c r="AC27">
        <v>15</v>
      </c>
      <c r="AD27">
        <f t="shared" si="4"/>
        <v>0</v>
      </c>
      <c r="AF27">
        <v>4</v>
      </c>
      <c r="AG27">
        <v>5</v>
      </c>
      <c r="AH27">
        <v>6</v>
      </c>
    </row>
    <row r="28" spans="1:34" x14ac:dyDescent="0.3">
      <c r="A28" s="1" t="s">
        <v>27</v>
      </c>
      <c r="B28" s="4" t="s">
        <v>6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1" t="s">
        <v>27</v>
      </c>
      <c r="K28" s="3" t="s">
        <v>5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>
        <v>10</v>
      </c>
      <c r="X28" s="45">
        <v>3</v>
      </c>
      <c r="Y28" s="45">
        <v>3</v>
      </c>
      <c r="Z28" s="1">
        <f t="shared" si="1"/>
        <v>0</v>
      </c>
      <c r="AA28" s="1">
        <f t="shared" si="2"/>
        <v>1</v>
      </c>
      <c r="AB28" s="53">
        <f t="shared" si="3"/>
        <v>2</v>
      </c>
      <c r="AC28">
        <v>3</v>
      </c>
      <c r="AD28">
        <f t="shared" si="4"/>
        <v>1560</v>
      </c>
      <c r="AF28">
        <v>3</v>
      </c>
      <c r="AG28">
        <v>3</v>
      </c>
      <c r="AH28">
        <v>1</v>
      </c>
    </row>
    <row r="29" spans="1:34" ht="15" thickBot="1" x14ac:dyDescent="0.35">
      <c r="A29" s="1" t="s">
        <v>27</v>
      </c>
      <c r="B29" s="4" t="s">
        <v>6</v>
      </c>
      <c r="C29" s="4" t="s">
        <v>6</v>
      </c>
      <c r="D29" s="25"/>
      <c r="E29" s="25"/>
      <c r="F29" s="25"/>
      <c r="G29" s="25"/>
      <c r="H29" s="26"/>
      <c r="I29" s="1" t="s">
        <v>27</v>
      </c>
      <c r="J29" s="1" t="s">
        <v>27</v>
      </c>
      <c r="K29" s="15" t="s">
        <v>17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  <c r="AE29">
        <v>2</v>
      </c>
    </row>
    <row r="30" spans="1:34" x14ac:dyDescent="0.3">
      <c r="A30" s="1" t="s">
        <v>27</v>
      </c>
      <c r="B30" s="4" t="s">
        <v>6</v>
      </c>
      <c r="C30" s="15" t="s">
        <v>17</v>
      </c>
      <c r="D30" s="25"/>
      <c r="E30" s="25"/>
      <c r="F30" s="25"/>
      <c r="G30" s="25"/>
      <c r="H30" s="26"/>
      <c r="I30" s="1" t="s">
        <v>27</v>
      </c>
      <c r="J30" s="1" t="s">
        <v>27</v>
      </c>
      <c r="K30" s="3" t="s">
        <v>5</v>
      </c>
      <c r="L30" s="25"/>
      <c r="M30" s="25"/>
      <c r="N30" s="25"/>
      <c r="O30" s="25"/>
      <c r="P30" s="26"/>
    </row>
    <row r="31" spans="1:34" x14ac:dyDescent="0.3">
      <c r="A31" s="1" t="s">
        <v>27</v>
      </c>
      <c r="B31" s="4" t="s">
        <v>6</v>
      </c>
      <c r="C31" s="4" t="s">
        <v>6</v>
      </c>
      <c r="D31" s="25"/>
      <c r="E31" s="25"/>
      <c r="F31" s="25"/>
      <c r="G31" s="25"/>
      <c r="H31" s="26"/>
      <c r="I31" s="1" t="s">
        <v>27</v>
      </c>
      <c r="J31" s="1" t="s">
        <v>27</v>
      </c>
      <c r="K31" s="3" t="s">
        <v>5</v>
      </c>
      <c r="L31" s="25"/>
      <c r="M31" s="25"/>
      <c r="N31" s="25"/>
      <c r="O31" s="25"/>
      <c r="P31" s="26"/>
      <c r="Y31">
        <f>SUM(Y3:Y28)</f>
        <v>1077</v>
      </c>
      <c r="AC31">
        <f>SUM(AC3:AC28)</f>
        <v>1074</v>
      </c>
      <c r="AD31">
        <f>SUM(AD3:AD28)+7000</f>
        <v>65360</v>
      </c>
    </row>
    <row r="32" spans="1:34" x14ac:dyDescent="0.3">
      <c r="A32" s="1" t="s">
        <v>27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1" t="s">
        <v>27</v>
      </c>
      <c r="K32" s="3" t="s">
        <v>5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 x14ac:dyDescent="0.3">
      <c r="A33" s="1" t="s">
        <v>27</v>
      </c>
      <c r="B33" s="4" t="s">
        <v>6</v>
      </c>
      <c r="C33" s="4" t="s">
        <v>6</v>
      </c>
      <c r="D33" s="25"/>
      <c r="E33" s="25"/>
      <c r="F33" s="25"/>
      <c r="G33" s="25"/>
      <c r="H33" s="26"/>
      <c r="I33" s="1" t="s">
        <v>27</v>
      </c>
      <c r="J33" s="1" t="s">
        <v>27</v>
      </c>
      <c r="K33" s="3" t="s">
        <v>5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 x14ac:dyDescent="0.3">
      <c r="A34" s="1" t="s">
        <v>27</v>
      </c>
      <c r="B34" s="4" t="s">
        <v>6</v>
      </c>
      <c r="C34" s="17" t="s">
        <v>20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15" t="s">
        <v>17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 x14ac:dyDescent="0.3">
      <c r="A35" s="1" t="s">
        <v>27</v>
      </c>
      <c r="B35" s="17" t="s">
        <v>20</v>
      </c>
      <c r="C35" s="4" t="s">
        <v>6</v>
      </c>
      <c r="D35" s="25"/>
      <c r="E35" s="25"/>
      <c r="F35" s="25"/>
      <c r="G35" s="25"/>
      <c r="H35" s="26"/>
      <c r="I35" s="1" t="s">
        <v>27</v>
      </c>
      <c r="J35" s="1" t="s">
        <v>27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 x14ac:dyDescent="0.3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1" t="s">
        <v>27</v>
      </c>
      <c r="K36" s="3" t="s">
        <v>5</v>
      </c>
      <c r="L36" s="25"/>
      <c r="M36" s="25"/>
      <c r="N36" s="25"/>
      <c r="O36" s="25"/>
      <c r="P36" s="26"/>
      <c r="S36" t="s">
        <v>61</v>
      </c>
    </row>
    <row r="37" spans="1:19" x14ac:dyDescent="0.3">
      <c r="A37" s="1" t="s">
        <v>27</v>
      </c>
      <c r="B37" s="1" t="s">
        <v>27</v>
      </c>
      <c r="C37" s="4" t="s">
        <v>6</v>
      </c>
      <c r="D37" s="25"/>
      <c r="E37" s="25"/>
      <c r="F37" s="25"/>
      <c r="G37" s="25"/>
      <c r="H37" s="26"/>
      <c r="I37" s="1" t="s">
        <v>27</v>
      </c>
      <c r="J37" s="1" t="s">
        <v>27</v>
      </c>
      <c r="K37" s="15" t="s">
        <v>17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 x14ac:dyDescent="0.3">
      <c r="A38" s="1" t="s">
        <v>27</v>
      </c>
      <c r="B38" s="1" t="s">
        <v>27</v>
      </c>
      <c r="C38" s="17" t="s">
        <v>19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3" t="s">
        <v>5</v>
      </c>
      <c r="L38" s="25"/>
      <c r="M38" s="25"/>
      <c r="N38" s="25"/>
      <c r="O38" s="25"/>
      <c r="P38" s="26"/>
      <c r="R38">
        <v>6</v>
      </c>
      <c r="S38" t="s">
        <v>65</v>
      </c>
    </row>
    <row r="39" spans="1:19" x14ac:dyDescent="0.3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3" t="s">
        <v>5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 x14ac:dyDescent="0.3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23" t="s">
        <v>29</v>
      </c>
      <c r="L40" s="25"/>
      <c r="M40" s="25"/>
      <c r="N40" s="25"/>
      <c r="O40" s="25"/>
      <c r="P40" s="26"/>
    </row>
    <row r="41" spans="1:19" x14ac:dyDescent="0.3">
      <c r="A41" s="1" t="s">
        <v>27</v>
      </c>
      <c r="B41" s="1" t="s">
        <v>27</v>
      </c>
      <c r="C41" s="4" t="s">
        <v>6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3" t="s">
        <v>5</v>
      </c>
      <c r="L41" s="25"/>
      <c r="M41" s="25"/>
      <c r="N41" s="25"/>
      <c r="O41" s="25"/>
      <c r="P41" s="26"/>
    </row>
    <row r="42" spans="1:19" x14ac:dyDescent="0.3">
      <c r="A42" s="1" t="s">
        <v>27</v>
      </c>
      <c r="B42" s="1" t="s">
        <v>27</v>
      </c>
      <c r="C42" s="4" t="s">
        <v>6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3" t="s">
        <v>5</v>
      </c>
      <c r="L42" s="25"/>
      <c r="M42" s="25"/>
      <c r="N42" s="25"/>
      <c r="O42" s="25"/>
      <c r="P42" s="26"/>
    </row>
    <row r="43" spans="1:19" x14ac:dyDescent="0.3">
      <c r="A43" s="1" t="s">
        <v>27</v>
      </c>
      <c r="B43" s="1" t="s">
        <v>27</v>
      </c>
      <c r="C43" s="4" t="s">
        <v>6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3" t="s">
        <v>5</v>
      </c>
      <c r="L43" s="25"/>
      <c r="M43" s="25"/>
      <c r="N43" s="25"/>
      <c r="O43" s="25"/>
      <c r="P43" s="26"/>
    </row>
    <row r="44" spans="1:19" x14ac:dyDescent="0.3">
      <c r="A44" s="1" t="s">
        <v>27</v>
      </c>
      <c r="B44" s="1" t="s">
        <v>27</v>
      </c>
      <c r="C44" s="4" t="s">
        <v>6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3" t="s">
        <v>5</v>
      </c>
      <c r="L44" s="25"/>
      <c r="M44" s="25"/>
      <c r="N44" s="25"/>
      <c r="O44" s="25"/>
      <c r="P44" s="26"/>
    </row>
    <row r="45" spans="1:19" x14ac:dyDescent="0.3">
      <c r="A45" s="1" t="s">
        <v>27</v>
      </c>
      <c r="B45" s="1" t="s">
        <v>27</v>
      </c>
      <c r="C45" s="15" t="s">
        <v>17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5" t="s">
        <v>17</v>
      </c>
      <c r="L45" s="25"/>
      <c r="M45" s="25"/>
      <c r="N45" s="25"/>
      <c r="O45" s="25"/>
      <c r="P45" s="26"/>
    </row>
    <row r="46" spans="1:19" x14ac:dyDescent="0.3">
      <c r="A46" s="1" t="s">
        <v>27</v>
      </c>
      <c r="B46" s="1" t="s">
        <v>27</v>
      </c>
      <c r="C46" s="4" t="s">
        <v>6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3" t="s">
        <v>5</v>
      </c>
      <c r="L46" s="25"/>
      <c r="M46" s="25"/>
      <c r="N46" s="25"/>
      <c r="O46" s="25"/>
      <c r="P46" s="26"/>
    </row>
    <row r="47" spans="1:19" x14ac:dyDescent="0.3">
      <c r="A47" s="1" t="s">
        <v>27</v>
      </c>
      <c r="B47" s="1" t="s">
        <v>27</v>
      </c>
      <c r="C47" s="4" t="s">
        <v>6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3" t="s">
        <v>5</v>
      </c>
      <c r="L47" s="25"/>
      <c r="M47" s="25"/>
      <c r="N47" s="25"/>
      <c r="O47" s="25"/>
      <c r="P47" s="26"/>
    </row>
    <row r="48" spans="1:19" x14ac:dyDescent="0.3">
      <c r="A48" s="1" t="s">
        <v>27</v>
      </c>
      <c r="B48" s="1" t="s">
        <v>27</v>
      </c>
      <c r="C48" s="4" t="s">
        <v>6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3" t="s">
        <v>5</v>
      </c>
      <c r="L48" s="25"/>
      <c r="M48" s="25"/>
      <c r="N48" s="25"/>
      <c r="O48" s="25"/>
      <c r="P48" s="26"/>
    </row>
    <row r="49" spans="1:16" x14ac:dyDescent="0.3">
      <c r="A49" s="1" t="s">
        <v>27</v>
      </c>
      <c r="B49" s="1" t="s">
        <v>27</v>
      </c>
      <c r="C49" s="4" t="s">
        <v>6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3" t="s">
        <v>5</v>
      </c>
      <c r="L49" s="25"/>
      <c r="M49" s="25"/>
      <c r="N49" s="25"/>
      <c r="O49" s="25"/>
      <c r="P49" s="26"/>
    </row>
    <row r="50" spans="1:16" x14ac:dyDescent="0.3">
      <c r="A50" s="1" t="s">
        <v>27</v>
      </c>
      <c r="B50" s="1" t="s">
        <v>27</v>
      </c>
      <c r="C50" s="17" t="s">
        <v>20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5" t="s">
        <v>17</v>
      </c>
      <c r="L50" s="25"/>
      <c r="M50" s="25"/>
      <c r="N50" s="25"/>
      <c r="O50" s="25"/>
      <c r="P50" s="26"/>
    </row>
    <row r="51" spans="1:16" x14ac:dyDescent="0.3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 x14ac:dyDescent="0.3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 x14ac:dyDescent="0.3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 x14ac:dyDescent="0.3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 x14ac:dyDescent="0.3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 x14ac:dyDescent="0.3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 x14ac:dyDescent="0.3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 x14ac:dyDescent="0.3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 x14ac:dyDescent="0.3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 x14ac:dyDescent="0.3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 x14ac:dyDescent="0.3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 x14ac:dyDescent="0.3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 x14ac:dyDescent="0.3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 x14ac:dyDescent="0.3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 x14ac:dyDescent="0.3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 x14ac:dyDescent="0.3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 x14ac:dyDescent="0.3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 x14ac:dyDescent="0.3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 x14ac:dyDescent="0.3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 x14ac:dyDescent="0.3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 x14ac:dyDescent="0.3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 x14ac:dyDescent="0.3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 x14ac:dyDescent="0.3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 x14ac:dyDescent="0.3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 x14ac:dyDescent="0.3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 x14ac:dyDescent="0.3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 x14ac:dyDescent="0.3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 x14ac:dyDescent="0.3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 x14ac:dyDescent="0.3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 x14ac:dyDescent="0.3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 x14ac:dyDescent="0.3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 x14ac:dyDescent="0.3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 x14ac:dyDescent="0.3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 x14ac:dyDescent="0.3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 x14ac:dyDescent="0.3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 x14ac:dyDescent="0.3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 x14ac:dyDescent="0.3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 x14ac:dyDescent="0.3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 x14ac:dyDescent="0.3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 x14ac:dyDescent="0.3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 x14ac:dyDescent="0.3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 x14ac:dyDescent="0.3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 x14ac:dyDescent="0.3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 x14ac:dyDescent="0.3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 x14ac:dyDescent="0.3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 x14ac:dyDescent="0.3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 x14ac:dyDescent="0.3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 x14ac:dyDescent="0.3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 x14ac:dyDescent="0.3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 x14ac:dyDescent="0.35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BBFA4-2AA0-45A4-9415-06A95F4BDE92}">
  <dimension ref="A1:AH100"/>
  <sheetViews>
    <sheetView topLeftCell="B1" zoomScale="85" zoomScaleNormal="85" workbookViewId="0">
      <selection activeCell="Y10" sqref="Y10"/>
    </sheetView>
  </sheetViews>
  <sheetFormatPr defaultRowHeight="14.4" x14ac:dyDescent="0.3"/>
  <sheetData>
    <row r="1" spans="1:30" ht="15.6" x14ac:dyDescent="0.3">
      <c r="A1" s="60" t="s">
        <v>30</v>
      </c>
      <c r="B1" s="61"/>
      <c r="C1" s="61"/>
      <c r="D1" s="61"/>
      <c r="E1" s="61"/>
      <c r="F1" s="62" t="s">
        <v>3</v>
      </c>
      <c r="G1" s="62"/>
      <c r="H1" s="24" cm="1">
        <f t="array" ref="H1">SUM(VLOOKUP(A4:C100,$T$3:$W$36,4,FALSE))+H4*10-H8*50</f>
        <v>2405.5530249454487</v>
      </c>
      <c r="I1" s="63" t="s">
        <v>41</v>
      </c>
      <c r="J1" s="64"/>
      <c r="K1" s="64"/>
      <c r="L1" s="64"/>
      <c r="M1" s="64"/>
      <c r="N1" s="64"/>
      <c r="O1" s="64"/>
      <c r="P1" s="65"/>
      <c r="Q1" s="63" t="s">
        <v>48</v>
      </c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30" ht="28.8" x14ac:dyDescent="0.3">
      <c r="A2" s="66" t="s">
        <v>35</v>
      </c>
      <c r="B2" s="67"/>
      <c r="C2" s="67"/>
      <c r="D2" s="68" t="s">
        <v>37</v>
      </c>
      <c r="E2" s="69"/>
      <c r="F2" s="69"/>
      <c r="G2" s="69"/>
      <c r="H2" s="70"/>
      <c r="I2" s="71" t="s">
        <v>35</v>
      </c>
      <c r="J2" s="72"/>
      <c r="K2" s="72"/>
      <c r="L2" s="73" t="s">
        <v>37</v>
      </c>
      <c r="M2" s="73"/>
      <c r="N2" s="73"/>
      <c r="O2" s="73"/>
      <c r="P2" s="74"/>
      <c r="Q2" s="49" t="s">
        <v>43</v>
      </c>
      <c r="R2" s="50" cm="1">
        <f t="array" ref="R2">SUM(V3:V28*AB3:AB28)+H6+P6+R4*500</f>
        <v>65525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30" x14ac:dyDescent="0.3">
      <c r="A3" s="59" t="s">
        <v>31</v>
      </c>
      <c r="B3" s="58" t="s">
        <v>32</v>
      </c>
      <c r="C3" s="20" t="s">
        <v>33</v>
      </c>
      <c r="D3" s="32"/>
      <c r="E3" s="59" t="s">
        <v>31</v>
      </c>
      <c r="F3" s="58" t="s">
        <v>32</v>
      </c>
      <c r="G3" s="20" t="s">
        <v>33</v>
      </c>
      <c r="H3" s="33" t="s">
        <v>36</v>
      </c>
      <c r="I3" s="59" t="s">
        <v>31</v>
      </c>
      <c r="J3" s="58" t="s">
        <v>32</v>
      </c>
      <c r="K3" s="20" t="s">
        <v>33</v>
      </c>
      <c r="L3" s="32"/>
      <c r="M3" s="59" t="s">
        <v>31</v>
      </c>
      <c r="N3" s="58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19</v>
      </c>
      <c r="Z3" s="1">
        <f>COUNTIF($A$4:$C$100,T3)</f>
        <v>13</v>
      </c>
      <c r="AA3" s="1">
        <f>COUNTIF($I$4:$K$100,T3)</f>
        <v>6</v>
      </c>
      <c r="AB3" s="53">
        <f>Y3-Z3-AA3</f>
        <v>0</v>
      </c>
      <c r="AC3">
        <v>24</v>
      </c>
      <c r="AD3">
        <f>AC3*V3</f>
        <v>840</v>
      </c>
    </row>
    <row r="4" spans="1:30" x14ac:dyDescent="0.3">
      <c r="A4" s="2" t="s">
        <v>4</v>
      </c>
      <c r="B4" s="2" t="s">
        <v>4</v>
      </c>
      <c r="C4" s="1" t="s">
        <v>27</v>
      </c>
      <c r="D4" s="42" t="s">
        <v>34</v>
      </c>
      <c r="E4" s="38">
        <v>0</v>
      </c>
      <c r="F4" s="38">
        <v>0</v>
      </c>
      <c r="G4" s="38">
        <v>0</v>
      </c>
      <c r="H4" s="35">
        <f>SUM(E4:G4)</f>
        <v>0</v>
      </c>
      <c r="I4" s="15" t="s">
        <v>17</v>
      </c>
      <c r="J4" s="3" t="s">
        <v>5</v>
      </c>
      <c r="K4" s="3" t="s">
        <v>5</v>
      </c>
      <c r="L4" s="42" t="s">
        <v>34</v>
      </c>
      <c r="M4" s="38">
        <v>3</v>
      </c>
      <c r="N4" s="38">
        <v>0</v>
      </c>
      <c r="O4" s="38">
        <v>1</v>
      </c>
      <c r="P4" s="35">
        <f>SUM(M4:O4)</f>
        <v>4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39</v>
      </c>
      <c r="Z4" s="1">
        <f t="shared" ref="Z4:Z28" si="1">COUNTIF($A$4:$C$100,T4)</f>
        <v>5</v>
      </c>
      <c r="AA4" s="1">
        <f t="shared" ref="AA4:AA28" si="2">COUNTIF($I$4:$K$100,T4)</f>
        <v>34</v>
      </c>
      <c r="AB4" s="53">
        <f t="shared" ref="AB4:AB28" si="3">Y4-Z4-AA4</f>
        <v>0</v>
      </c>
      <c r="AC4">
        <v>25</v>
      </c>
      <c r="AD4">
        <f t="shared" ref="AD4:AD28" si="4">AC4*V4</f>
        <v>1000</v>
      </c>
    </row>
    <row r="5" spans="1:30" x14ac:dyDescent="0.3">
      <c r="A5" s="2" t="s">
        <v>4</v>
      </c>
      <c r="B5" s="2" t="s">
        <v>4</v>
      </c>
      <c r="C5" s="1" t="s">
        <v>27</v>
      </c>
      <c r="D5" s="32" t="s">
        <v>38</v>
      </c>
      <c r="E5" s="34" cm="1">
        <f t="array" ref="E5">(SUM(VLOOKUP(A4:A100,$T$3:$W$41,2,FALSE))+E4*10)-E8*50</f>
        <v>800</v>
      </c>
      <c r="F5" s="34" cm="1">
        <f t="array" ref="F5">(SUM(VLOOKUP(B4:B100,$T$3:$W$41,2,FALSE))+F4*10)-F8*50</f>
        <v>5030</v>
      </c>
      <c r="G5" s="34" cm="1">
        <f t="array" ref="G5">(SUM(VLOOKUP(C4:C100,$T$3:$W$41,2,FALSE))+G4*10)-G8*50</f>
        <v>6660</v>
      </c>
      <c r="H5" s="57">
        <f t="shared" ref="H5:H8" si="5">SUM(E5:G5)</f>
        <v>12490</v>
      </c>
      <c r="I5" s="1" t="s">
        <v>27</v>
      </c>
      <c r="J5" s="3" t="s">
        <v>5</v>
      </c>
      <c r="K5" s="3" t="s">
        <v>5</v>
      </c>
      <c r="L5" s="32" t="s">
        <v>38</v>
      </c>
      <c r="M5" s="34" cm="1">
        <f t="array" ref="M5">(SUM(VLOOKUP(I4:I100,$T$3:$W$41,2,FALSE))+M4*10)*0.8-M8*40</f>
        <v>3576</v>
      </c>
      <c r="N5" s="34" cm="1">
        <f t="array" ref="N5">(SUM(VLOOKUP(J4:J100,$T$3:$W$41,2,FALSE))+N4*10)*0.8-N8*40</f>
        <v>1232</v>
      </c>
      <c r="O5" s="34" cm="1">
        <f t="array" ref="O5">(SUM(VLOOKUP(K4:K100,$T$3:$W$41,2,FALSE))+O4*10)*0.8-O8*40</f>
        <v>776</v>
      </c>
      <c r="P5" s="57">
        <f t="shared" ref="P5:P8" si="6">SUM(M5:O5)</f>
        <v>5584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239</v>
      </c>
      <c r="Z5" s="1">
        <f t="shared" si="1"/>
        <v>44</v>
      </c>
      <c r="AA5" s="1">
        <f t="shared" si="2"/>
        <v>0</v>
      </c>
      <c r="AB5" s="53">
        <f t="shared" si="3"/>
        <v>195</v>
      </c>
      <c r="AC5">
        <v>247</v>
      </c>
      <c r="AD5">
        <f t="shared" si="4"/>
        <v>11115</v>
      </c>
    </row>
    <row r="6" spans="1:30" x14ac:dyDescent="0.3">
      <c r="A6" s="15" t="s">
        <v>17</v>
      </c>
      <c r="B6" s="2" t="s">
        <v>4</v>
      </c>
      <c r="C6" s="2" t="s">
        <v>4</v>
      </c>
      <c r="D6" s="32" t="s">
        <v>39</v>
      </c>
      <c r="E6" s="34" cm="1">
        <f t="array" ref="E6">(SUM(VLOOKUP(A4:A100,$T$3:$W$41,3,FALSE)))</f>
        <v>205</v>
      </c>
      <c r="F6" s="34" cm="1">
        <f t="array" ref="F6">(SUM(VLOOKUP(B4:B100,$T$3:$W$41,3,FALSE)))</f>
        <v>1565</v>
      </c>
      <c r="G6" s="34" cm="1">
        <f t="array" ref="G6">(SUM(VLOOKUP(C4:C100,$T$3:$W$41,3,FALSE)))</f>
        <v>2340</v>
      </c>
      <c r="H6" s="48">
        <f t="shared" si="5"/>
        <v>4110</v>
      </c>
      <c r="I6" s="2" t="s">
        <v>4</v>
      </c>
      <c r="J6" s="9" t="s">
        <v>11</v>
      </c>
      <c r="K6" s="3" t="s">
        <v>5</v>
      </c>
      <c r="L6" s="32" t="s">
        <v>39</v>
      </c>
      <c r="M6" s="34" cm="1">
        <f t="array" ref="M6">(SUM(VLOOKUP(I4:I100,$T$3:$W$41,3,FALSE)))</f>
        <v>1840</v>
      </c>
      <c r="N6" s="34" cm="1">
        <f t="array" ref="N6">(SUM(VLOOKUP(J4:J100,$T$3:$W$41,3,FALSE)))</f>
        <v>430</v>
      </c>
      <c r="O6" s="34" cm="1">
        <f t="array" ref="O6">(SUM(VLOOKUP(K4:K100,$T$3:$W$41,3,FALSE)))</f>
        <v>300</v>
      </c>
      <c r="P6" s="48">
        <f t="shared" si="6"/>
        <v>2570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267</v>
      </c>
      <c r="Z6" s="1">
        <f t="shared" si="1"/>
        <v>2</v>
      </c>
      <c r="AA6" s="1">
        <f t="shared" si="2"/>
        <v>0</v>
      </c>
      <c r="AB6" s="53">
        <f t="shared" si="3"/>
        <v>265</v>
      </c>
      <c r="AC6">
        <v>267</v>
      </c>
      <c r="AD6">
        <f t="shared" si="4"/>
        <v>13350</v>
      </c>
    </row>
    <row r="7" spans="1:30" x14ac:dyDescent="0.3">
      <c r="A7" s="2" t="s">
        <v>4</v>
      </c>
      <c r="B7" s="2" t="s">
        <v>4</v>
      </c>
      <c r="C7" s="2" t="s">
        <v>4</v>
      </c>
      <c r="D7" s="32" t="s">
        <v>40</v>
      </c>
      <c r="E7" s="34">
        <f>COUNTIF(A4:A100,"&lt;&gt;空")</f>
        <v>6</v>
      </c>
      <c r="F7" s="34">
        <f>COUNTIF(B4:B100,"&lt;&gt;空")</f>
        <v>30</v>
      </c>
      <c r="G7" s="34">
        <f>COUNTIF(C4:C100,"&lt;&gt;空")</f>
        <v>45</v>
      </c>
      <c r="H7" s="35">
        <f t="shared" si="5"/>
        <v>81</v>
      </c>
      <c r="I7" s="2" t="s">
        <v>4</v>
      </c>
      <c r="J7" s="3" t="s">
        <v>5</v>
      </c>
      <c r="K7" s="15" t="s">
        <v>17</v>
      </c>
      <c r="L7" s="32" t="s">
        <v>40</v>
      </c>
      <c r="M7" s="34">
        <f>COUNTIF(I4:I100,"&lt;&gt;空")</f>
        <v>38</v>
      </c>
      <c r="N7" s="34">
        <f>COUNTIF(J4:J100,"&lt;&gt;空")</f>
        <v>12</v>
      </c>
      <c r="O7" s="34">
        <f>COUNTIF(K4:K100,"&lt;&gt;空")</f>
        <v>8</v>
      </c>
      <c r="P7" s="35">
        <f t="shared" si="6"/>
        <v>58</v>
      </c>
      <c r="Q7" s="52" t="s">
        <v>54</v>
      </c>
      <c r="R7" s="25">
        <v>1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235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  <c r="AD7">
        <f t="shared" si="4"/>
        <v>12925</v>
      </c>
    </row>
    <row r="8" spans="1:30" x14ac:dyDescent="0.3">
      <c r="A8" s="2" t="s">
        <v>4</v>
      </c>
      <c r="B8" s="2" t="s">
        <v>4</v>
      </c>
      <c r="C8" s="2" t="s">
        <v>4</v>
      </c>
      <c r="D8" s="41" t="s">
        <v>64</v>
      </c>
      <c r="E8" s="40">
        <v>0</v>
      </c>
      <c r="F8" s="40">
        <v>1</v>
      </c>
      <c r="G8" s="40">
        <v>0</v>
      </c>
      <c r="H8" s="35">
        <f t="shared" si="5"/>
        <v>1</v>
      </c>
      <c r="I8" s="16" t="s">
        <v>28</v>
      </c>
      <c r="J8" s="3" t="s">
        <v>5</v>
      </c>
      <c r="K8" s="3" t="s">
        <v>5</v>
      </c>
      <c r="L8" s="41" t="s">
        <v>64</v>
      </c>
      <c r="M8" s="40">
        <v>0</v>
      </c>
      <c r="N8" s="40">
        <v>0</v>
      </c>
      <c r="O8" s="40">
        <v>2</v>
      </c>
      <c r="P8" s="35">
        <f t="shared" si="6"/>
        <v>2</v>
      </c>
      <c r="Q8" s="49" t="s">
        <v>53</v>
      </c>
      <c r="R8" s="54" cm="1">
        <f t="array" ref="R8">R6-P5-H5-SUM(U3:U28*AB3:AB28)*0.8-R7*8</f>
        <v>-42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194</v>
      </c>
      <c r="Z8" s="1">
        <f t="shared" si="1"/>
        <v>0</v>
      </c>
      <c r="AA8" s="1">
        <f t="shared" si="2"/>
        <v>0</v>
      </c>
      <c r="AB8" s="53">
        <f t="shared" si="3"/>
        <v>194</v>
      </c>
      <c r="AC8">
        <v>193</v>
      </c>
      <c r="AD8">
        <f t="shared" si="4"/>
        <v>11580</v>
      </c>
    </row>
    <row r="9" spans="1:30" x14ac:dyDescent="0.3">
      <c r="A9" s="2" t="s">
        <v>4</v>
      </c>
      <c r="B9" s="1" t="s">
        <v>27</v>
      </c>
      <c r="C9" s="16" t="s">
        <v>18</v>
      </c>
      <c r="D9" s="25"/>
      <c r="E9" s="25"/>
      <c r="F9" s="25"/>
      <c r="G9" s="25"/>
      <c r="H9" s="26"/>
      <c r="I9" s="1" t="s">
        <v>27</v>
      </c>
      <c r="J9" s="15" t="s">
        <v>17</v>
      </c>
      <c r="K9" s="3" t="s">
        <v>5</v>
      </c>
      <c r="L9" s="32" t="s">
        <v>42</v>
      </c>
      <c r="M9" s="36">
        <f>M6/M5</f>
        <v>0.5145413870246085</v>
      </c>
      <c r="N9" s="36">
        <f>N6/N5</f>
        <v>0.34902597402597402</v>
      </c>
      <c r="O9" s="36">
        <f>O6/O5</f>
        <v>0.38659793814432991</v>
      </c>
      <c r="P9" s="37">
        <f>P6/P5</f>
        <v>0.46024355300859598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7">U9-V9/0.330882</f>
        <v>44.222109392472248</v>
      </c>
      <c r="X9" s="45">
        <v>5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  <c r="AD9">
        <f t="shared" si="4"/>
        <v>0</v>
      </c>
    </row>
    <row r="10" spans="1:30" x14ac:dyDescent="0.3">
      <c r="A10" s="1" t="s">
        <v>27</v>
      </c>
      <c r="B10" s="1" t="s">
        <v>27</v>
      </c>
      <c r="C10" s="3" t="s">
        <v>5</v>
      </c>
      <c r="D10" s="25"/>
      <c r="E10" s="25"/>
      <c r="F10" s="25"/>
      <c r="G10" s="25"/>
      <c r="H10" s="26"/>
      <c r="I10" s="9" t="s">
        <v>11</v>
      </c>
      <c r="J10" s="1" t="s">
        <v>27</v>
      </c>
      <c r="K10" s="3" t="s">
        <v>5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7"/>
        <v>29.110982162825422</v>
      </c>
      <c r="X10" s="45">
        <v>6</v>
      </c>
      <c r="Y10" s="45">
        <v>4</v>
      </c>
      <c r="Z10" s="1">
        <f t="shared" si="1"/>
        <v>1</v>
      </c>
      <c r="AA10" s="1">
        <f t="shared" si="2"/>
        <v>3</v>
      </c>
      <c r="AB10" s="53">
        <f t="shared" si="3"/>
        <v>0</v>
      </c>
      <c r="AC10">
        <v>2</v>
      </c>
      <c r="AD10">
        <f t="shared" si="4"/>
        <v>80</v>
      </c>
    </row>
    <row r="11" spans="1:30" x14ac:dyDescent="0.3">
      <c r="A11" s="1" t="s">
        <v>27</v>
      </c>
      <c r="B11" s="4" t="s">
        <v>6</v>
      </c>
      <c r="C11" s="3" t="s">
        <v>5</v>
      </c>
      <c r="D11" s="25"/>
      <c r="E11" s="25"/>
      <c r="F11" s="25"/>
      <c r="G11" s="25"/>
      <c r="H11" s="26"/>
      <c r="I11" s="3" t="s">
        <v>5</v>
      </c>
      <c r="J11" s="15" t="s">
        <v>17</v>
      </c>
      <c r="K11" s="15" t="s">
        <v>17</v>
      </c>
      <c r="L11" s="25"/>
      <c r="M11" s="25"/>
      <c r="N11" s="25"/>
      <c r="O11" s="25"/>
      <c r="P11" s="26">
        <f>H5+P5</f>
        <v>18074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>U11-V11/0.330882</f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6</v>
      </c>
      <c r="AD11">
        <f t="shared" si="4"/>
        <v>270</v>
      </c>
    </row>
    <row r="12" spans="1:30" x14ac:dyDescent="0.3">
      <c r="A12" s="1" t="s">
        <v>27</v>
      </c>
      <c r="B12" s="4" t="s">
        <v>6</v>
      </c>
      <c r="C12" s="3" t="s">
        <v>5</v>
      </c>
      <c r="D12" s="25"/>
      <c r="E12" s="25"/>
      <c r="F12" s="25"/>
      <c r="G12" s="25"/>
      <c r="H12" s="26"/>
      <c r="I12" s="3" t="s">
        <v>5</v>
      </c>
      <c r="J12" s="2" t="s">
        <v>4</v>
      </c>
      <c r="K12" s="1" t="s">
        <v>27</v>
      </c>
      <c r="L12" s="25"/>
      <c r="M12" s="25"/>
      <c r="N12" s="25"/>
      <c r="O12" s="25"/>
      <c r="P12" s="26">
        <f>H6+P6</f>
        <v>6680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  <c r="AD12">
        <f t="shared" si="4"/>
        <v>150</v>
      </c>
    </row>
    <row r="13" spans="1:30" x14ac:dyDescent="0.3">
      <c r="A13" s="1" t="s">
        <v>27</v>
      </c>
      <c r="B13" s="4" t="s">
        <v>6</v>
      </c>
      <c r="C13" s="3" t="s">
        <v>5</v>
      </c>
      <c r="D13" s="25"/>
      <c r="E13" s="25"/>
      <c r="F13" s="25"/>
      <c r="G13" s="25"/>
      <c r="H13" s="26"/>
      <c r="I13" s="3" t="s">
        <v>5</v>
      </c>
      <c r="J13" s="2" t="s">
        <v>4</v>
      </c>
      <c r="K13" s="1" t="s">
        <v>27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  <c r="AD13">
        <f t="shared" si="4"/>
        <v>165</v>
      </c>
    </row>
    <row r="14" spans="1:30" x14ac:dyDescent="0.3">
      <c r="A14" s="1" t="s">
        <v>27</v>
      </c>
      <c r="B14" s="4" t="s">
        <v>6</v>
      </c>
      <c r="C14" s="3" t="s">
        <v>5</v>
      </c>
      <c r="D14" s="25"/>
      <c r="E14" s="25"/>
      <c r="F14" s="25"/>
      <c r="G14" s="25"/>
      <c r="H14" s="26"/>
      <c r="I14" s="9" t="s">
        <v>11</v>
      </c>
      <c r="J14" s="2" t="s">
        <v>4</v>
      </c>
      <c r="K14" s="1" t="s">
        <v>27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  <c r="AD14">
        <f t="shared" si="4"/>
        <v>60</v>
      </c>
    </row>
    <row r="15" spans="1:30" x14ac:dyDescent="0.3">
      <c r="A15" s="1" t="s">
        <v>27</v>
      </c>
      <c r="B15" s="4" t="s">
        <v>6</v>
      </c>
      <c r="C15" s="9" t="s">
        <v>11</v>
      </c>
      <c r="D15" s="25"/>
      <c r="E15" s="25"/>
      <c r="F15" s="25"/>
      <c r="G15" s="25"/>
      <c r="H15" s="26"/>
      <c r="I15" s="3" t="s">
        <v>5</v>
      </c>
      <c r="J15" s="2" t="s">
        <v>4</v>
      </c>
      <c r="K15" s="1" t="s">
        <v>27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8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  <c r="AD15">
        <f t="shared" si="4"/>
        <v>0</v>
      </c>
    </row>
    <row r="16" spans="1:30" x14ac:dyDescent="0.3">
      <c r="A16" s="1" t="s">
        <v>27</v>
      </c>
      <c r="B16" s="4" t="s">
        <v>6</v>
      </c>
      <c r="C16" s="4" t="s">
        <v>6</v>
      </c>
      <c r="D16" s="25"/>
      <c r="E16" s="25"/>
      <c r="F16" s="25"/>
      <c r="G16" s="25"/>
      <c r="H16" s="26"/>
      <c r="I16" s="15" t="s">
        <v>17</v>
      </c>
      <c r="J16" s="15" t="s">
        <v>17</v>
      </c>
      <c r="K16" s="1" t="s">
        <v>27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4</v>
      </c>
      <c r="AA16" s="1">
        <f t="shared" si="2"/>
        <v>12</v>
      </c>
      <c r="AB16" s="53">
        <f t="shared" si="3"/>
        <v>22</v>
      </c>
      <c r="AC16">
        <v>38</v>
      </c>
      <c r="AD16">
        <f t="shared" si="4"/>
        <v>1140</v>
      </c>
    </row>
    <row r="17" spans="1:34" x14ac:dyDescent="0.3">
      <c r="A17" s="1" t="s">
        <v>27</v>
      </c>
      <c r="B17" s="17" t="s">
        <v>19</v>
      </c>
      <c r="C17" s="4" t="s">
        <v>6</v>
      </c>
      <c r="D17" s="25"/>
      <c r="E17" s="25"/>
      <c r="F17" s="25"/>
      <c r="G17" s="25"/>
      <c r="H17" s="26"/>
      <c r="I17" s="3" t="s">
        <v>5</v>
      </c>
      <c r="J17" s="1" t="s">
        <v>27</v>
      </c>
      <c r="K17" s="1" t="s">
        <v>27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2</v>
      </c>
      <c r="Y17" s="45">
        <v>2</v>
      </c>
      <c r="Z17" s="1">
        <f t="shared" si="1"/>
        <v>2</v>
      </c>
      <c r="AA17" s="1">
        <f t="shared" si="2"/>
        <v>0</v>
      </c>
      <c r="AB17" s="53">
        <f t="shared" si="3"/>
        <v>0</v>
      </c>
      <c r="AC17">
        <v>0</v>
      </c>
      <c r="AD17">
        <f t="shared" si="4"/>
        <v>0</v>
      </c>
    </row>
    <row r="18" spans="1:34" x14ac:dyDescent="0.3">
      <c r="A18" s="1" t="s">
        <v>27</v>
      </c>
      <c r="B18" s="4" t="s">
        <v>6</v>
      </c>
      <c r="C18" s="16" t="s">
        <v>18</v>
      </c>
      <c r="D18" s="25"/>
      <c r="E18" s="25"/>
      <c r="F18" s="25"/>
      <c r="G18" s="25"/>
      <c r="H18" s="26"/>
      <c r="I18" s="3" t="s">
        <v>5</v>
      </c>
      <c r="J18" s="1" t="s">
        <v>27</v>
      </c>
      <c r="K18" s="1" t="s">
        <v>27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300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  <c r="AC18">
        <v>0</v>
      </c>
      <c r="AD18">
        <f t="shared" si="4"/>
        <v>0</v>
      </c>
    </row>
    <row r="19" spans="1:34" x14ac:dyDescent="0.3">
      <c r="A19" s="1" t="s">
        <v>27</v>
      </c>
      <c r="B19" s="4" t="s">
        <v>6</v>
      </c>
      <c r="C19" s="4" t="s">
        <v>6</v>
      </c>
      <c r="D19" s="25"/>
      <c r="E19" s="25"/>
      <c r="F19" s="25"/>
      <c r="G19" s="25"/>
      <c r="H19" s="26"/>
      <c r="I19" s="3" t="s">
        <v>5</v>
      </c>
      <c r="J19" s="1" t="s">
        <v>27</v>
      </c>
      <c r="K19" s="1" t="s">
        <v>27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  <c r="AD19">
        <f t="shared" si="4"/>
        <v>225</v>
      </c>
    </row>
    <row r="20" spans="1:34" x14ac:dyDescent="0.3">
      <c r="A20" s="1" t="s">
        <v>27</v>
      </c>
      <c r="B20" s="5" t="s">
        <v>7</v>
      </c>
      <c r="C20" s="17" t="s">
        <v>20</v>
      </c>
      <c r="D20" s="25"/>
      <c r="E20" s="25"/>
      <c r="F20" s="25"/>
      <c r="G20" s="25"/>
      <c r="H20" s="26"/>
      <c r="I20" s="3" t="s">
        <v>5</v>
      </c>
      <c r="J20" s="1" t="s">
        <v>27</v>
      </c>
      <c r="K20" s="1" t="s">
        <v>27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C20">
        <v>2</v>
      </c>
      <c r="AD20">
        <f t="shared" si="4"/>
        <v>400</v>
      </c>
    </row>
    <row r="21" spans="1:34" x14ac:dyDescent="0.3">
      <c r="A21" s="1" t="s">
        <v>27</v>
      </c>
      <c r="B21" s="5" t="s">
        <v>7</v>
      </c>
      <c r="C21" s="4" t="s">
        <v>6</v>
      </c>
      <c r="D21" s="25"/>
      <c r="E21" s="25"/>
      <c r="F21" s="25"/>
      <c r="G21" s="25"/>
      <c r="H21" s="26"/>
      <c r="I21" s="16" t="s">
        <v>28</v>
      </c>
      <c r="J21" s="1" t="s">
        <v>27</v>
      </c>
      <c r="K21" s="1" t="s">
        <v>27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  <c r="AD21">
        <f t="shared" si="4"/>
        <v>2000</v>
      </c>
    </row>
    <row r="22" spans="1:34" x14ac:dyDescent="0.3">
      <c r="A22" s="1" t="s">
        <v>27</v>
      </c>
      <c r="B22" s="4" t="s">
        <v>6</v>
      </c>
      <c r="C22" s="15" t="s">
        <v>17</v>
      </c>
      <c r="D22" s="25"/>
      <c r="E22" s="25"/>
      <c r="F22" s="25"/>
      <c r="G22" s="25"/>
      <c r="H22" s="26"/>
      <c r="I22" s="3" t="s">
        <v>5</v>
      </c>
      <c r="J22" s="1" t="s">
        <v>27</v>
      </c>
      <c r="K22" s="1" t="s">
        <v>27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  <c r="AC22">
        <v>3</v>
      </c>
      <c r="AD22">
        <f t="shared" si="4"/>
        <v>1500</v>
      </c>
    </row>
    <row r="23" spans="1:34" x14ac:dyDescent="0.3">
      <c r="A23" s="1" t="s">
        <v>27</v>
      </c>
      <c r="B23" s="10" t="s">
        <v>12</v>
      </c>
      <c r="C23" s="4" t="s">
        <v>6</v>
      </c>
      <c r="D23" s="25"/>
      <c r="E23" s="25"/>
      <c r="F23" s="25"/>
      <c r="G23" s="25"/>
      <c r="H23" s="26"/>
      <c r="I23" s="15" t="s">
        <v>17</v>
      </c>
      <c r="J23" s="1" t="s">
        <v>27</v>
      </c>
      <c r="K23" s="1" t="s">
        <v>27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9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  <c r="AD23">
        <f t="shared" si="4"/>
        <v>0</v>
      </c>
    </row>
    <row r="24" spans="1:34" x14ac:dyDescent="0.3">
      <c r="A24" s="1" t="s">
        <v>27</v>
      </c>
      <c r="B24" s="4" t="s">
        <v>6</v>
      </c>
      <c r="C24" s="17" t="s">
        <v>19</v>
      </c>
      <c r="D24" s="25"/>
      <c r="E24" s="25"/>
      <c r="F24" s="25"/>
      <c r="G24" s="25"/>
      <c r="H24" s="26"/>
      <c r="I24" s="3" t="s">
        <v>5</v>
      </c>
      <c r="J24" s="1" t="s">
        <v>27</v>
      </c>
      <c r="K24" s="1" t="s">
        <v>27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9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  <c r="AD24">
        <f t="shared" si="4"/>
        <v>0</v>
      </c>
    </row>
    <row r="25" spans="1:34" x14ac:dyDescent="0.3">
      <c r="A25" s="1" t="s">
        <v>27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3" t="s">
        <v>5</v>
      </c>
      <c r="J25" s="1" t="s">
        <v>27</v>
      </c>
      <c r="K25" s="1" t="s">
        <v>27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9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  <c r="AD25">
        <f t="shared" si="4"/>
        <v>0</v>
      </c>
    </row>
    <row r="26" spans="1:34" x14ac:dyDescent="0.3">
      <c r="A26" s="1" t="s">
        <v>27</v>
      </c>
      <c r="B26" s="17" t="s">
        <v>20</v>
      </c>
      <c r="C26" s="4" t="s">
        <v>6</v>
      </c>
      <c r="D26" s="25"/>
      <c r="E26" s="25"/>
      <c r="F26" s="25"/>
      <c r="G26" s="25"/>
      <c r="H26" s="26"/>
      <c r="I26" s="15" t="s">
        <v>17</v>
      </c>
      <c r="J26" s="1" t="s">
        <v>27</v>
      </c>
      <c r="K26" s="1" t="s">
        <v>27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9"/>
        <v>0</v>
      </c>
      <c r="X26" s="45">
        <v>0</v>
      </c>
      <c r="Y26" s="45">
        <v>0</v>
      </c>
      <c r="Z26" s="1"/>
      <c r="AA26" s="1"/>
      <c r="AB26" s="53"/>
      <c r="AD26">
        <f t="shared" si="4"/>
        <v>0</v>
      </c>
    </row>
    <row r="27" spans="1:34" x14ac:dyDescent="0.3">
      <c r="A27" s="1" t="s">
        <v>27</v>
      </c>
      <c r="B27" s="4" t="s">
        <v>6</v>
      </c>
      <c r="C27" s="10" t="s">
        <v>12</v>
      </c>
      <c r="D27" s="25"/>
      <c r="E27" s="25"/>
      <c r="F27" s="25"/>
      <c r="G27" s="25"/>
      <c r="H27" s="26"/>
      <c r="I27" s="3" t="s">
        <v>5</v>
      </c>
      <c r="J27" s="1" t="s">
        <v>27</v>
      </c>
      <c r="K27" s="1" t="s">
        <v>27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13</v>
      </c>
      <c r="Y27" s="45">
        <v>13</v>
      </c>
      <c r="Z27" s="1">
        <f t="shared" si="1"/>
        <v>0</v>
      </c>
      <c r="AA27" s="1">
        <f t="shared" si="2"/>
        <v>2</v>
      </c>
      <c r="AB27" s="53">
        <f t="shared" si="3"/>
        <v>11</v>
      </c>
      <c r="AC27">
        <v>15</v>
      </c>
      <c r="AD27">
        <f t="shared" si="4"/>
        <v>0</v>
      </c>
      <c r="AF27">
        <v>4</v>
      </c>
      <c r="AG27">
        <v>5</v>
      </c>
      <c r="AH27">
        <v>6</v>
      </c>
    </row>
    <row r="28" spans="1:34" x14ac:dyDescent="0.3">
      <c r="A28" s="1" t="s">
        <v>27</v>
      </c>
      <c r="B28" s="4" t="s">
        <v>6</v>
      </c>
      <c r="C28" s="4" t="s">
        <v>6</v>
      </c>
      <c r="D28" s="25"/>
      <c r="E28" s="25"/>
      <c r="F28" s="25"/>
      <c r="G28" s="25"/>
      <c r="H28" s="26"/>
      <c r="I28" s="3" t="s">
        <v>5</v>
      </c>
      <c r="J28" s="1" t="s">
        <v>27</v>
      </c>
      <c r="K28" s="1" t="s">
        <v>27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>
        <v>10</v>
      </c>
      <c r="X28" s="45">
        <v>3</v>
      </c>
      <c r="Y28" s="45">
        <v>3</v>
      </c>
      <c r="Z28" s="1">
        <f t="shared" si="1"/>
        <v>0</v>
      </c>
      <c r="AA28" s="1">
        <f t="shared" si="2"/>
        <v>1</v>
      </c>
      <c r="AB28" s="53">
        <f t="shared" si="3"/>
        <v>2</v>
      </c>
      <c r="AC28">
        <v>3</v>
      </c>
      <c r="AD28">
        <f t="shared" si="4"/>
        <v>1560</v>
      </c>
      <c r="AF28">
        <v>3</v>
      </c>
      <c r="AG28">
        <v>3</v>
      </c>
      <c r="AH28">
        <v>1</v>
      </c>
    </row>
    <row r="29" spans="1:34" ht="15" thickBot="1" x14ac:dyDescent="0.35">
      <c r="A29" s="1" t="s">
        <v>27</v>
      </c>
      <c r="B29" s="4" t="s">
        <v>6</v>
      </c>
      <c r="C29" s="4" t="s">
        <v>6</v>
      </c>
      <c r="D29" s="25"/>
      <c r="E29" s="25"/>
      <c r="F29" s="25"/>
      <c r="G29" s="25"/>
      <c r="H29" s="26"/>
      <c r="I29" s="3" t="s">
        <v>5</v>
      </c>
      <c r="J29" s="1" t="s">
        <v>27</v>
      </c>
      <c r="K29" s="1" t="s">
        <v>27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  <c r="AE29">
        <v>2</v>
      </c>
    </row>
    <row r="30" spans="1:34" x14ac:dyDescent="0.3">
      <c r="A30" s="1" t="s">
        <v>27</v>
      </c>
      <c r="B30" s="4" t="s">
        <v>6</v>
      </c>
      <c r="C30" s="15" t="s">
        <v>17</v>
      </c>
      <c r="D30" s="25"/>
      <c r="E30" s="25"/>
      <c r="F30" s="25"/>
      <c r="G30" s="25"/>
      <c r="H30" s="26"/>
      <c r="I30" s="15" t="s">
        <v>17</v>
      </c>
      <c r="J30" s="1" t="s">
        <v>27</v>
      </c>
      <c r="K30" s="1" t="s">
        <v>27</v>
      </c>
      <c r="L30" s="25"/>
      <c r="M30" s="25"/>
      <c r="N30" s="25"/>
      <c r="O30" s="25"/>
      <c r="P30" s="26"/>
    </row>
    <row r="31" spans="1:34" x14ac:dyDescent="0.3">
      <c r="A31" s="1" t="s">
        <v>27</v>
      </c>
      <c r="B31" s="4" t="s">
        <v>6</v>
      </c>
      <c r="C31" s="4" t="s">
        <v>6</v>
      </c>
      <c r="D31" s="25"/>
      <c r="E31" s="25"/>
      <c r="F31" s="25"/>
      <c r="G31" s="25"/>
      <c r="H31" s="26"/>
      <c r="I31" s="3" t="s">
        <v>5</v>
      </c>
      <c r="J31" s="1" t="s">
        <v>27</v>
      </c>
      <c r="K31" s="1" t="s">
        <v>27</v>
      </c>
      <c r="L31" s="25"/>
      <c r="M31" s="25"/>
      <c r="N31" s="25"/>
      <c r="O31" s="25"/>
      <c r="P31" s="26"/>
      <c r="Y31">
        <f>SUM(Y3:Y28)</f>
        <v>1078</v>
      </c>
      <c r="AC31">
        <f>SUM(AC3:AC28)</f>
        <v>1074</v>
      </c>
      <c r="AD31">
        <f>SUM(AD3:AD28)+7000</f>
        <v>65360</v>
      </c>
    </row>
    <row r="32" spans="1:34" x14ac:dyDescent="0.3">
      <c r="A32" s="1" t="s">
        <v>27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3" t="s">
        <v>5</v>
      </c>
      <c r="J32" s="1" t="s">
        <v>27</v>
      </c>
      <c r="K32" s="1" t="s">
        <v>27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 x14ac:dyDescent="0.3">
      <c r="A33" s="1" t="s">
        <v>27</v>
      </c>
      <c r="B33" s="4" t="s">
        <v>6</v>
      </c>
      <c r="C33" s="4" t="s">
        <v>6</v>
      </c>
      <c r="D33" s="25"/>
      <c r="E33" s="25"/>
      <c r="F33" s="25"/>
      <c r="G33" s="25"/>
      <c r="H33" s="26"/>
      <c r="I33" s="23" t="s">
        <v>29</v>
      </c>
      <c r="J33" s="1" t="s">
        <v>27</v>
      </c>
      <c r="K33" s="1" t="s">
        <v>27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 x14ac:dyDescent="0.3">
      <c r="A34" s="1" t="s">
        <v>27</v>
      </c>
      <c r="B34" s="4" t="s">
        <v>6</v>
      </c>
      <c r="C34" s="17" t="s">
        <v>20</v>
      </c>
      <c r="D34" s="25"/>
      <c r="E34" s="25"/>
      <c r="F34" s="25"/>
      <c r="G34" s="25"/>
      <c r="H34" s="26"/>
      <c r="I34" s="3" t="s">
        <v>5</v>
      </c>
      <c r="J34" s="1" t="s">
        <v>27</v>
      </c>
      <c r="K34" s="1" t="s">
        <v>27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 x14ac:dyDescent="0.3">
      <c r="A35" s="1" t="s">
        <v>27</v>
      </c>
      <c r="B35" s="17" t="s">
        <v>20</v>
      </c>
      <c r="C35" s="4" t="s">
        <v>6</v>
      </c>
      <c r="D35" s="25"/>
      <c r="E35" s="25"/>
      <c r="F35" s="25"/>
      <c r="G35" s="25"/>
      <c r="H35" s="26"/>
      <c r="I35" s="3" t="s">
        <v>5</v>
      </c>
      <c r="J35" s="1" t="s">
        <v>27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 x14ac:dyDescent="0.3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3" t="s">
        <v>5</v>
      </c>
      <c r="J36" s="1" t="s">
        <v>27</v>
      </c>
      <c r="K36" s="1" t="s">
        <v>27</v>
      </c>
      <c r="L36" s="25"/>
      <c r="M36" s="25"/>
      <c r="N36" s="25"/>
      <c r="O36" s="25"/>
      <c r="P36" s="26"/>
      <c r="S36" t="s">
        <v>61</v>
      </c>
    </row>
    <row r="37" spans="1:19" x14ac:dyDescent="0.3">
      <c r="A37" s="1" t="s">
        <v>27</v>
      </c>
      <c r="B37" s="1" t="s">
        <v>27</v>
      </c>
      <c r="C37" s="4" t="s">
        <v>6</v>
      </c>
      <c r="D37" s="25"/>
      <c r="E37" s="25"/>
      <c r="F37" s="25"/>
      <c r="G37" s="25"/>
      <c r="H37" s="26"/>
      <c r="I37" s="3" t="s">
        <v>5</v>
      </c>
      <c r="J37" s="1" t="s">
        <v>27</v>
      </c>
      <c r="K37" s="1" t="s">
        <v>27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 x14ac:dyDescent="0.3">
      <c r="A38" s="1" t="s">
        <v>27</v>
      </c>
      <c r="B38" s="1" t="s">
        <v>27</v>
      </c>
      <c r="C38" s="17" t="s">
        <v>19</v>
      </c>
      <c r="D38" s="25"/>
      <c r="E38" s="25"/>
      <c r="F38" s="25"/>
      <c r="G38" s="25"/>
      <c r="H38" s="26"/>
      <c r="I38" s="15" t="s">
        <v>17</v>
      </c>
      <c r="J38" s="1" t="s">
        <v>27</v>
      </c>
      <c r="K38" s="1" t="s">
        <v>27</v>
      </c>
      <c r="L38" s="25"/>
      <c r="M38" s="25"/>
      <c r="N38" s="25"/>
      <c r="O38" s="25"/>
      <c r="P38" s="26"/>
      <c r="R38">
        <v>6</v>
      </c>
      <c r="S38" t="s">
        <v>65</v>
      </c>
    </row>
    <row r="39" spans="1:19" x14ac:dyDescent="0.3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3" t="s">
        <v>5</v>
      </c>
      <c r="J39" s="1" t="s">
        <v>27</v>
      </c>
      <c r="K39" s="1" t="s">
        <v>27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 x14ac:dyDescent="0.3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3" t="s">
        <v>5</v>
      </c>
      <c r="J40" s="1" t="s">
        <v>27</v>
      </c>
      <c r="K40" s="1" t="s">
        <v>27</v>
      </c>
      <c r="L40" s="25"/>
      <c r="M40" s="25"/>
      <c r="N40" s="25"/>
      <c r="O40" s="25"/>
      <c r="P40" s="26"/>
    </row>
    <row r="41" spans="1:19" x14ac:dyDescent="0.3">
      <c r="A41" s="1" t="s">
        <v>27</v>
      </c>
      <c r="B41" s="1" t="s">
        <v>27</v>
      </c>
      <c r="C41" s="4" t="s">
        <v>6</v>
      </c>
      <c r="D41" s="25"/>
      <c r="E41" s="25"/>
      <c r="F41" s="25"/>
      <c r="G41" s="25"/>
      <c r="H41" s="26"/>
      <c r="I41" s="3" t="s">
        <v>5</v>
      </c>
      <c r="J41" s="1" t="s">
        <v>27</v>
      </c>
      <c r="K41" s="1" t="s">
        <v>27</v>
      </c>
      <c r="L41" s="25"/>
      <c r="M41" s="25"/>
      <c r="N41" s="25"/>
      <c r="O41" s="25"/>
      <c r="P41" s="26"/>
    </row>
    <row r="42" spans="1:19" x14ac:dyDescent="0.3">
      <c r="A42" s="1" t="s">
        <v>27</v>
      </c>
      <c r="B42" s="1" t="s">
        <v>27</v>
      </c>
      <c r="C42" s="4" t="s">
        <v>6</v>
      </c>
      <c r="D42" s="25"/>
      <c r="E42" s="25"/>
      <c r="F42" s="25"/>
      <c r="G42" s="25"/>
      <c r="H42" s="26"/>
      <c r="I42" s="3" t="s">
        <v>5</v>
      </c>
      <c r="J42" s="1" t="s">
        <v>27</v>
      </c>
      <c r="K42" s="1" t="s">
        <v>27</v>
      </c>
      <c r="L42" s="25"/>
      <c r="M42" s="25"/>
      <c r="N42" s="25"/>
      <c r="O42" s="25"/>
      <c r="P42" s="26"/>
    </row>
    <row r="43" spans="1:19" x14ac:dyDescent="0.3">
      <c r="A43" s="1" t="s">
        <v>27</v>
      </c>
      <c r="B43" s="1" t="s">
        <v>27</v>
      </c>
      <c r="C43" s="4" t="s">
        <v>6</v>
      </c>
      <c r="D43" s="25"/>
      <c r="E43" s="25"/>
      <c r="F43" s="25"/>
      <c r="G43" s="25"/>
      <c r="H43" s="26"/>
      <c r="I43" s="15" t="s">
        <v>17</v>
      </c>
      <c r="J43" s="1" t="s">
        <v>27</v>
      </c>
      <c r="K43" s="1" t="s">
        <v>27</v>
      </c>
      <c r="L43" s="25"/>
      <c r="M43" s="25"/>
      <c r="N43" s="25"/>
      <c r="O43" s="25"/>
      <c r="P43" s="26"/>
    </row>
    <row r="44" spans="1:19" x14ac:dyDescent="0.3">
      <c r="A44" s="1" t="s">
        <v>27</v>
      </c>
      <c r="B44" s="1" t="s">
        <v>27</v>
      </c>
      <c r="C44" s="4" t="s">
        <v>6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1" t="s">
        <v>27</v>
      </c>
      <c r="L44" s="25"/>
      <c r="M44" s="25"/>
      <c r="N44" s="25"/>
      <c r="O44" s="25"/>
      <c r="P44" s="26"/>
    </row>
    <row r="45" spans="1:19" x14ac:dyDescent="0.3">
      <c r="A45" s="1" t="s">
        <v>27</v>
      </c>
      <c r="B45" s="1" t="s">
        <v>27</v>
      </c>
      <c r="C45" s="15" t="s">
        <v>17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 x14ac:dyDescent="0.3">
      <c r="A46" s="1" t="s">
        <v>27</v>
      </c>
      <c r="B46" s="1" t="s">
        <v>27</v>
      </c>
      <c r="C46" s="4" t="s">
        <v>6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 x14ac:dyDescent="0.3">
      <c r="A47" s="1" t="s">
        <v>27</v>
      </c>
      <c r="B47" s="1" t="s">
        <v>27</v>
      </c>
      <c r="C47" s="4" t="s">
        <v>6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 x14ac:dyDescent="0.3">
      <c r="A48" s="1" t="s">
        <v>27</v>
      </c>
      <c r="B48" s="1" t="s">
        <v>27</v>
      </c>
      <c r="C48" s="4" t="s">
        <v>6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 x14ac:dyDescent="0.3">
      <c r="A49" s="1" t="s">
        <v>27</v>
      </c>
      <c r="B49" s="1" t="s">
        <v>27</v>
      </c>
      <c r="C49" s="4" t="s">
        <v>6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 x14ac:dyDescent="0.3">
      <c r="A50" s="1" t="s">
        <v>27</v>
      </c>
      <c r="B50" s="1" t="s">
        <v>27</v>
      </c>
      <c r="C50" s="17" t="s">
        <v>20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 x14ac:dyDescent="0.3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 x14ac:dyDescent="0.3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 x14ac:dyDescent="0.3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 x14ac:dyDescent="0.3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 x14ac:dyDescent="0.3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 x14ac:dyDescent="0.3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 x14ac:dyDescent="0.3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 x14ac:dyDescent="0.3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 x14ac:dyDescent="0.3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 x14ac:dyDescent="0.3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 x14ac:dyDescent="0.3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 x14ac:dyDescent="0.3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 x14ac:dyDescent="0.3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 x14ac:dyDescent="0.3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 x14ac:dyDescent="0.3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 x14ac:dyDescent="0.3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 x14ac:dyDescent="0.3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 x14ac:dyDescent="0.3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 x14ac:dyDescent="0.3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 x14ac:dyDescent="0.3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 x14ac:dyDescent="0.3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 x14ac:dyDescent="0.3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 x14ac:dyDescent="0.3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 x14ac:dyDescent="0.3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 x14ac:dyDescent="0.3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 x14ac:dyDescent="0.3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 x14ac:dyDescent="0.3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 x14ac:dyDescent="0.3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 x14ac:dyDescent="0.3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 x14ac:dyDescent="0.3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 x14ac:dyDescent="0.3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 x14ac:dyDescent="0.3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 x14ac:dyDescent="0.3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 x14ac:dyDescent="0.3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 x14ac:dyDescent="0.3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 x14ac:dyDescent="0.3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 x14ac:dyDescent="0.3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 x14ac:dyDescent="0.3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 x14ac:dyDescent="0.3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 x14ac:dyDescent="0.3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 x14ac:dyDescent="0.3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 x14ac:dyDescent="0.3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 x14ac:dyDescent="0.3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 x14ac:dyDescent="0.3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 x14ac:dyDescent="0.3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 x14ac:dyDescent="0.3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 x14ac:dyDescent="0.3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 x14ac:dyDescent="0.3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 x14ac:dyDescent="0.3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 x14ac:dyDescent="0.35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0185-C38F-4E38-BC8B-F3328E5CB735}">
  <dimension ref="A1:AH100"/>
  <sheetViews>
    <sheetView topLeftCell="C1" zoomScale="85" zoomScaleNormal="85" workbookViewId="0">
      <selection activeCell="Y10" sqref="Y10"/>
    </sheetView>
  </sheetViews>
  <sheetFormatPr defaultRowHeight="14.4" x14ac:dyDescent="0.3"/>
  <sheetData>
    <row r="1" spans="1:30" ht="15.6" x14ac:dyDescent="0.3">
      <c r="A1" s="60" t="s">
        <v>30</v>
      </c>
      <c r="B1" s="61"/>
      <c r="C1" s="61"/>
      <c r="D1" s="61"/>
      <c r="E1" s="61"/>
      <c r="F1" s="62" t="s">
        <v>3</v>
      </c>
      <c r="G1" s="62"/>
      <c r="H1" s="24" cm="1">
        <f t="array" ref="H1">SUM(VLOOKUP(A4:C100,$T$3:$W$36,4,FALSE))+H4*10-H8*50</f>
        <v>2421.7751343379209</v>
      </c>
      <c r="I1" s="63" t="s">
        <v>41</v>
      </c>
      <c r="J1" s="64"/>
      <c r="K1" s="64"/>
      <c r="L1" s="64"/>
      <c r="M1" s="64"/>
      <c r="N1" s="64"/>
      <c r="O1" s="64"/>
      <c r="P1" s="65"/>
      <c r="Q1" s="63" t="s">
        <v>48</v>
      </c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30" ht="28.8" x14ac:dyDescent="0.3">
      <c r="A2" s="66" t="s">
        <v>35</v>
      </c>
      <c r="B2" s="67"/>
      <c r="C2" s="67"/>
      <c r="D2" s="68" t="s">
        <v>37</v>
      </c>
      <c r="E2" s="69"/>
      <c r="F2" s="69"/>
      <c r="G2" s="69"/>
      <c r="H2" s="70"/>
      <c r="I2" s="71" t="s">
        <v>35</v>
      </c>
      <c r="J2" s="72"/>
      <c r="K2" s="72"/>
      <c r="L2" s="73" t="s">
        <v>37</v>
      </c>
      <c r="M2" s="73"/>
      <c r="N2" s="73"/>
      <c r="O2" s="73"/>
      <c r="P2" s="74"/>
      <c r="Q2" s="49" t="s">
        <v>43</v>
      </c>
      <c r="R2" s="50" cm="1">
        <f t="array" ref="R2">SUM(V3:V28*AB3:AB28)+H6+P6+R4*500</f>
        <v>65960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30" x14ac:dyDescent="0.3">
      <c r="A3" s="59" t="s">
        <v>31</v>
      </c>
      <c r="B3" s="58" t="s">
        <v>32</v>
      </c>
      <c r="C3" s="20" t="s">
        <v>33</v>
      </c>
      <c r="D3" s="32"/>
      <c r="E3" s="59" t="s">
        <v>31</v>
      </c>
      <c r="F3" s="58" t="s">
        <v>32</v>
      </c>
      <c r="G3" s="20" t="s">
        <v>33</v>
      </c>
      <c r="H3" s="33" t="s">
        <v>36</v>
      </c>
      <c r="I3" s="59" t="s">
        <v>31</v>
      </c>
      <c r="J3" s="58" t="s">
        <v>32</v>
      </c>
      <c r="K3" s="20" t="s">
        <v>33</v>
      </c>
      <c r="L3" s="32"/>
      <c r="M3" s="59" t="s">
        <v>31</v>
      </c>
      <c r="N3" s="58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16</v>
      </c>
      <c r="Z3" s="1">
        <f>COUNTIF($A$4:$C$100,T3)</f>
        <v>14</v>
      </c>
      <c r="AA3" s="1">
        <f>COUNTIF($I$4:$K$100,T3)</f>
        <v>2</v>
      </c>
      <c r="AB3" s="53">
        <f>Y3-Z3-AA3</f>
        <v>0</v>
      </c>
      <c r="AC3">
        <v>24</v>
      </c>
      <c r="AD3">
        <f>AC3*V3</f>
        <v>840</v>
      </c>
    </row>
    <row r="4" spans="1:30" x14ac:dyDescent="0.3">
      <c r="A4" s="2" t="s">
        <v>4</v>
      </c>
      <c r="B4" s="2" t="s">
        <v>4</v>
      </c>
      <c r="C4" s="1" t="s">
        <v>27</v>
      </c>
      <c r="D4" s="42" t="s">
        <v>34</v>
      </c>
      <c r="E4" s="38">
        <v>0</v>
      </c>
      <c r="F4" s="38">
        <v>0</v>
      </c>
      <c r="G4" s="38">
        <v>0</v>
      </c>
      <c r="H4" s="35">
        <f>SUM(E4:G4)</f>
        <v>0</v>
      </c>
      <c r="I4" s="15" t="s">
        <v>17</v>
      </c>
      <c r="J4" s="3" t="s">
        <v>5</v>
      </c>
      <c r="K4" s="3" t="s">
        <v>5</v>
      </c>
      <c r="L4" s="42" t="s">
        <v>34</v>
      </c>
      <c r="M4" s="38">
        <v>1</v>
      </c>
      <c r="N4" s="38">
        <v>0</v>
      </c>
      <c r="O4" s="38">
        <v>2</v>
      </c>
      <c r="P4" s="35">
        <f>SUM(M4:O4)</f>
        <v>3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41</v>
      </c>
      <c r="Z4" s="1">
        <f t="shared" ref="Z4:Z28" si="1">COUNTIF($A$4:$C$100,T4)</f>
        <v>5</v>
      </c>
      <c r="AA4" s="1">
        <f t="shared" ref="AA4:AA28" si="2">COUNTIF($I$4:$K$100,T4)</f>
        <v>36</v>
      </c>
      <c r="AB4" s="53">
        <f t="shared" ref="AB4:AB28" si="3">Y4-Z4-AA4</f>
        <v>0</v>
      </c>
      <c r="AC4">
        <v>25</v>
      </c>
      <c r="AD4">
        <f t="shared" ref="AD4:AD28" si="4">AC4*V4</f>
        <v>1000</v>
      </c>
    </row>
    <row r="5" spans="1:30" x14ac:dyDescent="0.3">
      <c r="A5" s="2" t="s">
        <v>4</v>
      </c>
      <c r="B5" s="2" t="s">
        <v>4</v>
      </c>
      <c r="C5" s="1" t="s">
        <v>27</v>
      </c>
      <c r="D5" s="32" t="s">
        <v>38</v>
      </c>
      <c r="E5" s="34" cm="1">
        <f t="array" ref="E5">(SUM(VLOOKUP(A4:A100,$T$3:$W$41,2,FALSE))+E4*10)-E8*50</f>
        <v>800</v>
      </c>
      <c r="F5" s="34" cm="1">
        <f t="array" ref="F5">(SUM(VLOOKUP(B4:B100,$T$3:$W$41,2,FALSE))+F4*10)-F8*50</f>
        <v>5040</v>
      </c>
      <c r="G5" s="34" cm="1">
        <f t="array" ref="G5">(SUM(VLOOKUP(C4:C100,$T$3:$W$41,2,FALSE))+G4*10)-G8*50</f>
        <v>6660</v>
      </c>
      <c r="H5" s="57">
        <f t="shared" ref="H5:H8" si="5">SUM(E5:G5)</f>
        <v>12500</v>
      </c>
      <c r="I5" s="1" t="s">
        <v>27</v>
      </c>
      <c r="J5" s="3" t="s">
        <v>5</v>
      </c>
      <c r="K5" s="3" t="s">
        <v>5</v>
      </c>
      <c r="L5" s="32" t="s">
        <v>38</v>
      </c>
      <c r="M5" s="34" cm="1">
        <f t="array" ref="M5">(SUM(VLOOKUP(I4:I100,$T$3:$W$41,2,FALSE))+M4*10)*0.8-M8*40</f>
        <v>128</v>
      </c>
      <c r="N5" s="34" cm="1">
        <f t="array" ref="N5">(SUM(VLOOKUP(J4:J100,$T$3:$W$41,2,FALSE))+N4*10)*0.8-N8*40</f>
        <v>672</v>
      </c>
      <c r="O5" s="34" cm="1">
        <f t="array" ref="O5">(SUM(VLOOKUP(K4:K100,$T$3:$W$41,2,FALSE))+O4*10)*0.8-O8*40</f>
        <v>4392</v>
      </c>
      <c r="P5" s="57">
        <f t="shared" ref="P5:P8" si="6">SUM(M5:O5)</f>
        <v>5192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239</v>
      </c>
      <c r="Z5" s="1">
        <f t="shared" si="1"/>
        <v>45</v>
      </c>
      <c r="AA5" s="1">
        <f t="shared" si="2"/>
        <v>0</v>
      </c>
      <c r="AB5" s="53">
        <f t="shared" si="3"/>
        <v>194</v>
      </c>
      <c r="AC5">
        <v>247</v>
      </c>
      <c r="AD5">
        <f t="shared" si="4"/>
        <v>11115</v>
      </c>
    </row>
    <row r="6" spans="1:30" x14ac:dyDescent="0.3">
      <c r="A6" s="15" t="s">
        <v>17</v>
      </c>
      <c r="B6" s="2" t="s">
        <v>4</v>
      </c>
      <c r="C6" s="2" t="s">
        <v>4</v>
      </c>
      <c r="D6" s="32" t="s">
        <v>39</v>
      </c>
      <c r="E6" s="34" cm="1">
        <f t="array" ref="E6">(SUM(VLOOKUP(A4:A100,$T$3:$W$41,3,FALSE)))</f>
        <v>205</v>
      </c>
      <c r="F6" s="34" cm="1">
        <f t="array" ref="F6">(SUM(VLOOKUP(B4:B100,$T$3:$W$41,3,FALSE)))</f>
        <v>1575</v>
      </c>
      <c r="G6" s="34" cm="1">
        <f t="array" ref="G6">(SUM(VLOOKUP(C4:C100,$T$3:$W$41,3,FALSE)))</f>
        <v>2340</v>
      </c>
      <c r="H6" s="48">
        <f t="shared" si="5"/>
        <v>4120</v>
      </c>
      <c r="I6" s="2" t="s">
        <v>4</v>
      </c>
      <c r="J6" s="9" t="s">
        <v>11</v>
      </c>
      <c r="K6" s="3" t="s">
        <v>5</v>
      </c>
      <c r="L6" s="32" t="s">
        <v>39</v>
      </c>
      <c r="M6" s="34" cm="1">
        <f t="array" ref="M6">(SUM(VLOOKUP(I4:I100,$T$3:$W$41,3,FALSE)))</f>
        <v>100</v>
      </c>
      <c r="N6" s="34" cm="1">
        <f t="array" ref="N6">(SUM(VLOOKUP(J4:J100,$T$3:$W$41,3,FALSE)))</f>
        <v>230</v>
      </c>
      <c r="O6" s="34" cm="1">
        <f t="array" ref="O6">(SUM(VLOOKUP(K4:K100,$T$3:$W$41,3,FALSE)))</f>
        <v>2110</v>
      </c>
      <c r="P6" s="48">
        <f t="shared" si="6"/>
        <v>2440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267</v>
      </c>
      <c r="Z6" s="1">
        <f t="shared" si="1"/>
        <v>0</v>
      </c>
      <c r="AA6" s="1">
        <f t="shared" si="2"/>
        <v>0</v>
      </c>
      <c r="AB6" s="53">
        <f t="shared" si="3"/>
        <v>267</v>
      </c>
      <c r="AC6">
        <v>267</v>
      </c>
      <c r="AD6">
        <f t="shared" si="4"/>
        <v>13350</v>
      </c>
    </row>
    <row r="7" spans="1:30" x14ac:dyDescent="0.3">
      <c r="A7" s="2" t="s">
        <v>4</v>
      </c>
      <c r="B7" s="2" t="s">
        <v>4</v>
      </c>
      <c r="C7" s="2" t="s">
        <v>4</v>
      </c>
      <c r="D7" s="32" t="s">
        <v>40</v>
      </c>
      <c r="E7" s="34">
        <f>COUNTIF(A4:A100,"&lt;&gt;空")</f>
        <v>6</v>
      </c>
      <c r="F7" s="34">
        <f>COUNTIF(B4:B100,"&lt;&gt;空")</f>
        <v>31</v>
      </c>
      <c r="G7" s="34">
        <f>COUNTIF(C4:C100,"&lt;&gt;空")</f>
        <v>45</v>
      </c>
      <c r="H7" s="35">
        <f t="shared" si="5"/>
        <v>82</v>
      </c>
      <c r="I7" s="2" t="s">
        <v>4</v>
      </c>
      <c r="J7" s="3" t="s">
        <v>5</v>
      </c>
      <c r="K7" s="15" t="s">
        <v>17</v>
      </c>
      <c r="L7" s="32" t="s">
        <v>40</v>
      </c>
      <c r="M7" s="34">
        <f>COUNTIF(I4:I100,"&lt;&gt;空")</f>
        <v>4</v>
      </c>
      <c r="N7" s="34">
        <f>COUNTIF(J4:J100,"&lt;&gt;空")</f>
        <v>6</v>
      </c>
      <c r="O7" s="34">
        <f>COUNTIF(K4:K100,"&lt;&gt;空")</f>
        <v>44</v>
      </c>
      <c r="P7" s="35">
        <f t="shared" si="6"/>
        <v>54</v>
      </c>
      <c r="Q7" s="52" t="s">
        <v>54</v>
      </c>
      <c r="R7" s="25">
        <v>1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235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  <c r="AD7">
        <f t="shared" si="4"/>
        <v>12925</v>
      </c>
    </row>
    <row r="8" spans="1:30" x14ac:dyDescent="0.3">
      <c r="A8" s="2" t="s">
        <v>4</v>
      </c>
      <c r="B8" s="2" t="s">
        <v>4</v>
      </c>
      <c r="C8" s="2" t="s">
        <v>4</v>
      </c>
      <c r="D8" s="41" t="s">
        <v>64</v>
      </c>
      <c r="E8" s="40">
        <v>0</v>
      </c>
      <c r="F8" s="40">
        <v>1</v>
      </c>
      <c r="G8" s="40">
        <v>0</v>
      </c>
      <c r="H8" s="35">
        <f t="shared" si="5"/>
        <v>1</v>
      </c>
      <c r="I8" s="16" t="s">
        <v>28</v>
      </c>
      <c r="J8" s="3" t="s">
        <v>5</v>
      </c>
      <c r="K8" s="3" t="s">
        <v>5</v>
      </c>
      <c r="L8" s="41" t="s">
        <v>64</v>
      </c>
      <c r="M8" s="40">
        <v>0</v>
      </c>
      <c r="N8" s="40">
        <v>0</v>
      </c>
      <c r="O8" s="40">
        <v>2</v>
      </c>
      <c r="P8" s="35">
        <f t="shared" si="6"/>
        <v>2</v>
      </c>
      <c r="Q8" s="49" t="s">
        <v>53</v>
      </c>
      <c r="R8" s="54" cm="1">
        <f t="array" ref="R8">R6-P5-H5-SUM(U3:U28*AB3:AB28)*0.8-R7*8</f>
        <v>28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194</v>
      </c>
      <c r="Z8" s="1">
        <f t="shared" si="1"/>
        <v>0</v>
      </c>
      <c r="AA8" s="1">
        <f t="shared" si="2"/>
        <v>0</v>
      </c>
      <c r="AB8" s="53">
        <f t="shared" si="3"/>
        <v>194</v>
      </c>
      <c r="AC8">
        <v>193</v>
      </c>
      <c r="AD8">
        <f t="shared" si="4"/>
        <v>11580</v>
      </c>
    </row>
    <row r="9" spans="1:30" x14ac:dyDescent="0.3">
      <c r="A9" s="2" t="s">
        <v>4</v>
      </c>
      <c r="B9" s="15" t="s">
        <v>17</v>
      </c>
      <c r="C9" s="16" t="s">
        <v>18</v>
      </c>
      <c r="D9" s="25"/>
      <c r="E9" s="25"/>
      <c r="F9" s="25"/>
      <c r="G9" s="25"/>
      <c r="H9" s="26"/>
      <c r="I9" s="1" t="s">
        <v>27</v>
      </c>
      <c r="J9" s="15" t="s">
        <v>17</v>
      </c>
      <c r="K9" s="3" t="s">
        <v>5</v>
      </c>
      <c r="L9" s="32" t="s">
        <v>42</v>
      </c>
      <c r="M9" s="36">
        <f>M6/M5</f>
        <v>0.78125</v>
      </c>
      <c r="N9" s="36">
        <f>N6/N5</f>
        <v>0.34226190476190477</v>
      </c>
      <c r="O9" s="36">
        <f>O6/O5</f>
        <v>0.48041894353369763</v>
      </c>
      <c r="P9" s="37">
        <f>P6/P5</f>
        <v>0.46995377503852082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7">U9-V9/0.330882</f>
        <v>44.222109392472248</v>
      </c>
      <c r="X9" s="45">
        <v>5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  <c r="AD9">
        <f t="shared" si="4"/>
        <v>0</v>
      </c>
    </row>
    <row r="10" spans="1:30" x14ac:dyDescent="0.3">
      <c r="A10" s="1" t="s">
        <v>27</v>
      </c>
      <c r="B10" s="1" t="s">
        <v>27</v>
      </c>
      <c r="C10" s="3" t="s">
        <v>5</v>
      </c>
      <c r="D10" s="25"/>
      <c r="E10" s="25"/>
      <c r="F10" s="25"/>
      <c r="G10" s="25"/>
      <c r="H10" s="26"/>
      <c r="I10" s="1" t="s">
        <v>27</v>
      </c>
      <c r="J10" s="1" t="s">
        <v>27</v>
      </c>
      <c r="K10" s="3" t="s">
        <v>5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7"/>
        <v>29.110982162825422</v>
      </c>
      <c r="X10" s="45">
        <v>6</v>
      </c>
      <c r="Y10" s="45">
        <v>3</v>
      </c>
      <c r="Z10" s="1">
        <f t="shared" si="1"/>
        <v>1</v>
      </c>
      <c r="AA10" s="1">
        <f t="shared" si="2"/>
        <v>2</v>
      </c>
      <c r="AB10" s="53">
        <f t="shared" si="3"/>
        <v>0</v>
      </c>
      <c r="AC10">
        <v>2</v>
      </c>
      <c r="AD10">
        <f t="shared" si="4"/>
        <v>80</v>
      </c>
    </row>
    <row r="11" spans="1:30" x14ac:dyDescent="0.3">
      <c r="A11" s="1" t="s">
        <v>27</v>
      </c>
      <c r="B11" s="4" t="s">
        <v>6</v>
      </c>
      <c r="C11" s="3" t="s">
        <v>5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15" t="s">
        <v>17</v>
      </c>
      <c r="L11" s="25"/>
      <c r="M11" s="25"/>
      <c r="N11" s="25"/>
      <c r="O11" s="25"/>
      <c r="P11" s="26">
        <f>H5+P5</f>
        <v>17692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>U11-V11/0.330882</f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6</v>
      </c>
      <c r="AD11">
        <f t="shared" si="4"/>
        <v>270</v>
      </c>
    </row>
    <row r="12" spans="1:30" x14ac:dyDescent="0.3">
      <c r="A12" s="1" t="s">
        <v>27</v>
      </c>
      <c r="B12" s="4" t="s">
        <v>6</v>
      </c>
      <c r="C12" s="3" t="s">
        <v>5</v>
      </c>
      <c r="D12" s="25"/>
      <c r="E12" s="25"/>
      <c r="F12" s="25"/>
      <c r="G12" s="25"/>
      <c r="H12" s="26"/>
      <c r="I12" s="1" t="s">
        <v>27</v>
      </c>
      <c r="J12" s="1" t="s">
        <v>27</v>
      </c>
      <c r="K12" s="1" t="s">
        <v>27</v>
      </c>
      <c r="L12" s="25"/>
      <c r="M12" s="25"/>
      <c r="N12" s="25"/>
      <c r="O12" s="25"/>
      <c r="P12" s="26">
        <f>H6+P6</f>
        <v>6560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  <c r="AD12">
        <f t="shared" si="4"/>
        <v>150</v>
      </c>
    </row>
    <row r="13" spans="1:30" x14ac:dyDescent="0.3">
      <c r="A13" s="1" t="s">
        <v>27</v>
      </c>
      <c r="B13" s="4" t="s">
        <v>6</v>
      </c>
      <c r="C13" s="3" t="s">
        <v>5</v>
      </c>
      <c r="D13" s="25"/>
      <c r="E13" s="25"/>
      <c r="F13" s="25"/>
      <c r="G13" s="25"/>
      <c r="H13" s="26"/>
      <c r="I13" s="1" t="s">
        <v>27</v>
      </c>
      <c r="J13" s="1" t="s">
        <v>27</v>
      </c>
      <c r="K13" s="1" t="s">
        <v>27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  <c r="AD13">
        <f t="shared" si="4"/>
        <v>165</v>
      </c>
    </row>
    <row r="14" spans="1:30" x14ac:dyDescent="0.3">
      <c r="A14" s="1" t="s">
        <v>27</v>
      </c>
      <c r="B14" s="4" t="s">
        <v>6</v>
      </c>
      <c r="C14" s="3" t="s">
        <v>5</v>
      </c>
      <c r="D14" s="25"/>
      <c r="E14" s="25"/>
      <c r="F14" s="25"/>
      <c r="G14" s="25"/>
      <c r="H14" s="26"/>
      <c r="I14" s="1" t="s">
        <v>27</v>
      </c>
      <c r="J14" s="1" t="s">
        <v>27</v>
      </c>
      <c r="K14" s="3" t="s">
        <v>5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  <c r="AD14">
        <f t="shared" si="4"/>
        <v>60</v>
      </c>
    </row>
    <row r="15" spans="1:30" x14ac:dyDescent="0.3">
      <c r="A15" s="1" t="s">
        <v>27</v>
      </c>
      <c r="B15" s="4" t="s">
        <v>6</v>
      </c>
      <c r="C15" s="9" t="s">
        <v>11</v>
      </c>
      <c r="D15" s="25"/>
      <c r="E15" s="25"/>
      <c r="F15" s="25"/>
      <c r="G15" s="25"/>
      <c r="H15" s="26"/>
      <c r="I15" s="1" t="s">
        <v>27</v>
      </c>
      <c r="J15" s="1" t="s">
        <v>27</v>
      </c>
      <c r="K15" s="3" t="s">
        <v>5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8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  <c r="AD15">
        <f t="shared" si="4"/>
        <v>0</v>
      </c>
    </row>
    <row r="16" spans="1:30" x14ac:dyDescent="0.3">
      <c r="A16" s="1" t="s">
        <v>27</v>
      </c>
      <c r="B16" s="4" t="s">
        <v>6</v>
      </c>
      <c r="C16" s="4" t="s">
        <v>6</v>
      </c>
      <c r="D16" s="25"/>
      <c r="E16" s="25"/>
      <c r="F16" s="25"/>
      <c r="G16" s="25"/>
      <c r="H16" s="26"/>
      <c r="I16" s="1" t="s">
        <v>27</v>
      </c>
      <c r="J16" s="1" t="s">
        <v>27</v>
      </c>
      <c r="K16" s="3" t="s">
        <v>5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5</v>
      </c>
      <c r="AA16" s="1">
        <f t="shared" si="2"/>
        <v>11</v>
      </c>
      <c r="AB16" s="53">
        <f t="shared" si="3"/>
        <v>22</v>
      </c>
      <c r="AC16">
        <v>38</v>
      </c>
      <c r="AD16">
        <f t="shared" si="4"/>
        <v>1140</v>
      </c>
    </row>
    <row r="17" spans="1:34" x14ac:dyDescent="0.3">
      <c r="A17" s="1" t="s">
        <v>27</v>
      </c>
      <c r="B17" s="17" t="s">
        <v>19</v>
      </c>
      <c r="C17" s="4" t="s">
        <v>6</v>
      </c>
      <c r="D17" s="25"/>
      <c r="E17" s="25"/>
      <c r="F17" s="25"/>
      <c r="G17" s="25"/>
      <c r="H17" s="26"/>
      <c r="I17" s="1" t="s">
        <v>27</v>
      </c>
      <c r="J17" s="1" t="s">
        <v>27</v>
      </c>
      <c r="K17" s="9" t="s">
        <v>11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1</v>
      </c>
      <c r="Y17" s="45">
        <v>1</v>
      </c>
      <c r="Z17" s="1">
        <f t="shared" si="1"/>
        <v>2</v>
      </c>
      <c r="AA17" s="1">
        <f t="shared" si="2"/>
        <v>0</v>
      </c>
      <c r="AB17" s="53">
        <f t="shared" si="3"/>
        <v>-1</v>
      </c>
      <c r="AC17">
        <v>0</v>
      </c>
      <c r="AD17">
        <f t="shared" si="4"/>
        <v>0</v>
      </c>
    </row>
    <row r="18" spans="1:34" x14ac:dyDescent="0.3">
      <c r="A18" s="1" t="s">
        <v>27</v>
      </c>
      <c r="B18" s="4" t="s">
        <v>6</v>
      </c>
      <c r="C18" s="16" t="s">
        <v>18</v>
      </c>
      <c r="D18" s="25"/>
      <c r="E18" s="25"/>
      <c r="F18" s="25"/>
      <c r="G18" s="25"/>
      <c r="H18" s="26"/>
      <c r="I18" s="1" t="s">
        <v>27</v>
      </c>
      <c r="J18" s="1" t="s">
        <v>27</v>
      </c>
      <c r="K18" s="3" t="s">
        <v>5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300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  <c r="AC18">
        <v>0</v>
      </c>
      <c r="AD18">
        <f t="shared" si="4"/>
        <v>0</v>
      </c>
    </row>
    <row r="19" spans="1:34" x14ac:dyDescent="0.3">
      <c r="A19" s="1" t="s">
        <v>27</v>
      </c>
      <c r="B19" s="4" t="s">
        <v>6</v>
      </c>
      <c r="C19" s="4" t="s">
        <v>6</v>
      </c>
      <c r="D19" s="25"/>
      <c r="E19" s="25"/>
      <c r="F19" s="25"/>
      <c r="G19" s="25"/>
      <c r="H19" s="26"/>
      <c r="I19" s="1" t="s">
        <v>27</v>
      </c>
      <c r="J19" s="1" t="s">
        <v>27</v>
      </c>
      <c r="K19" s="15" t="s">
        <v>17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  <c r="AD19">
        <f t="shared" si="4"/>
        <v>225</v>
      </c>
    </row>
    <row r="20" spans="1:34" x14ac:dyDescent="0.3">
      <c r="A20" s="1" t="s">
        <v>27</v>
      </c>
      <c r="B20" s="2" t="s">
        <v>4</v>
      </c>
      <c r="C20" s="17" t="s">
        <v>20</v>
      </c>
      <c r="D20" s="25"/>
      <c r="E20" s="25"/>
      <c r="F20" s="25"/>
      <c r="G20" s="25"/>
      <c r="H20" s="26"/>
      <c r="I20" s="1" t="s">
        <v>27</v>
      </c>
      <c r="J20" s="1" t="s">
        <v>27</v>
      </c>
      <c r="K20" s="3" t="s">
        <v>5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C20">
        <v>2</v>
      </c>
      <c r="AD20">
        <f t="shared" si="4"/>
        <v>400</v>
      </c>
    </row>
    <row r="21" spans="1:34" x14ac:dyDescent="0.3">
      <c r="A21" s="1" t="s">
        <v>27</v>
      </c>
      <c r="B21" s="4" t="s">
        <v>6</v>
      </c>
      <c r="C21" s="4" t="s">
        <v>6</v>
      </c>
      <c r="D21" s="25"/>
      <c r="E21" s="25"/>
      <c r="F21" s="25"/>
      <c r="G21" s="25"/>
      <c r="H21" s="26"/>
      <c r="I21" s="1" t="s">
        <v>27</v>
      </c>
      <c r="J21" s="1" t="s">
        <v>27</v>
      </c>
      <c r="K21" s="3" t="s">
        <v>5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  <c r="AD21">
        <f t="shared" si="4"/>
        <v>2000</v>
      </c>
    </row>
    <row r="22" spans="1:34" x14ac:dyDescent="0.3">
      <c r="A22" s="1" t="s">
        <v>27</v>
      </c>
      <c r="B22" s="4" t="s">
        <v>6</v>
      </c>
      <c r="C22" s="15" t="s">
        <v>17</v>
      </c>
      <c r="D22" s="25"/>
      <c r="E22" s="25"/>
      <c r="F22" s="25"/>
      <c r="G22" s="25"/>
      <c r="H22" s="26"/>
      <c r="I22" s="1" t="s">
        <v>27</v>
      </c>
      <c r="J22" s="1" t="s">
        <v>27</v>
      </c>
      <c r="K22" s="3" t="s">
        <v>5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3</v>
      </c>
      <c r="Y22" s="45">
        <v>3</v>
      </c>
      <c r="Z22" s="1">
        <f t="shared" si="1"/>
        <v>0</v>
      </c>
      <c r="AA22" s="1">
        <f t="shared" si="2"/>
        <v>0</v>
      </c>
      <c r="AB22" s="53">
        <f t="shared" si="3"/>
        <v>3</v>
      </c>
      <c r="AC22">
        <v>3</v>
      </c>
      <c r="AD22">
        <f t="shared" si="4"/>
        <v>1500</v>
      </c>
    </row>
    <row r="23" spans="1:34" x14ac:dyDescent="0.3">
      <c r="A23" s="1" t="s">
        <v>27</v>
      </c>
      <c r="B23" s="10" t="s">
        <v>12</v>
      </c>
      <c r="C23" s="4" t="s">
        <v>6</v>
      </c>
      <c r="D23" s="25"/>
      <c r="E23" s="25"/>
      <c r="F23" s="25"/>
      <c r="G23" s="25"/>
      <c r="H23" s="26"/>
      <c r="I23" s="1" t="s">
        <v>27</v>
      </c>
      <c r="J23" s="1" t="s">
        <v>27</v>
      </c>
      <c r="K23" s="3" t="s">
        <v>5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9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  <c r="AD23">
        <f t="shared" si="4"/>
        <v>0</v>
      </c>
    </row>
    <row r="24" spans="1:34" x14ac:dyDescent="0.3">
      <c r="A24" s="1" t="s">
        <v>27</v>
      </c>
      <c r="B24" s="4" t="s">
        <v>6</v>
      </c>
      <c r="C24" s="17" t="s">
        <v>19</v>
      </c>
      <c r="D24" s="25"/>
      <c r="E24" s="25"/>
      <c r="F24" s="25"/>
      <c r="G24" s="25"/>
      <c r="H24" s="26"/>
      <c r="I24" s="1" t="s">
        <v>27</v>
      </c>
      <c r="J24" s="1" t="s">
        <v>27</v>
      </c>
      <c r="K24" s="16" t="s">
        <v>28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9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  <c r="AD24">
        <f t="shared" si="4"/>
        <v>0</v>
      </c>
    </row>
    <row r="25" spans="1:34" x14ac:dyDescent="0.3">
      <c r="A25" s="1" t="s">
        <v>27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1" t="s">
        <v>27</v>
      </c>
      <c r="K25" s="3" t="s">
        <v>5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9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  <c r="AD25">
        <f t="shared" si="4"/>
        <v>0</v>
      </c>
    </row>
    <row r="26" spans="1:34" x14ac:dyDescent="0.3">
      <c r="A26" s="1" t="s">
        <v>27</v>
      </c>
      <c r="B26" s="17" t="s">
        <v>20</v>
      </c>
      <c r="C26" s="4" t="s">
        <v>6</v>
      </c>
      <c r="D26" s="25"/>
      <c r="E26" s="25"/>
      <c r="F26" s="25"/>
      <c r="G26" s="25"/>
      <c r="H26" s="26"/>
      <c r="I26" s="1" t="s">
        <v>27</v>
      </c>
      <c r="J26" s="1" t="s">
        <v>27</v>
      </c>
      <c r="K26" s="15" t="s">
        <v>17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9"/>
        <v>0</v>
      </c>
      <c r="X26" s="45">
        <v>0</v>
      </c>
      <c r="Y26" s="45">
        <v>0</v>
      </c>
      <c r="Z26" s="1"/>
      <c r="AA26" s="1"/>
      <c r="AB26" s="53"/>
      <c r="AD26">
        <f t="shared" si="4"/>
        <v>0</v>
      </c>
    </row>
    <row r="27" spans="1:34" x14ac:dyDescent="0.3">
      <c r="A27" s="1" t="s">
        <v>27</v>
      </c>
      <c r="B27" s="4" t="s">
        <v>6</v>
      </c>
      <c r="C27" s="10" t="s">
        <v>12</v>
      </c>
      <c r="D27" s="25"/>
      <c r="E27" s="25"/>
      <c r="F27" s="25"/>
      <c r="G27" s="25"/>
      <c r="H27" s="26"/>
      <c r="I27" s="1" t="s">
        <v>27</v>
      </c>
      <c r="J27" s="1" t="s">
        <v>27</v>
      </c>
      <c r="K27" s="3" t="s">
        <v>5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14</v>
      </c>
      <c r="Y27" s="45">
        <v>14</v>
      </c>
      <c r="Z27" s="1">
        <f t="shared" si="1"/>
        <v>0</v>
      </c>
      <c r="AA27" s="1">
        <f t="shared" si="2"/>
        <v>2</v>
      </c>
      <c r="AB27" s="53">
        <f t="shared" si="3"/>
        <v>12</v>
      </c>
      <c r="AC27">
        <v>15</v>
      </c>
      <c r="AD27">
        <f t="shared" si="4"/>
        <v>0</v>
      </c>
      <c r="AF27">
        <v>4</v>
      </c>
      <c r="AG27">
        <v>5</v>
      </c>
      <c r="AH27">
        <v>6</v>
      </c>
    </row>
    <row r="28" spans="1:34" x14ac:dyDescent="0.3">
      <c r="A28" s="1" t="s">
        <v>27</v>
      </c>
      <c r="B28" s="4" t="s">
        <v>6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1" t="s">
        <v>27</v>
      </c>
      <c r="K28" s="3" t="s">
        <v>5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>
        <v>10</v>
      </c>
      <c r="X28" s="45">
        <v>3</v>
      </c>
      <c r="Y28" s="45">
        <v>3</v>
      </c>
      <c r="Z28" s="1">
        <f t="shared" si="1"/>
        <v>0</v>
      </c>
      <c r="AA28" s="1">
        <f t="shared" si="2"/>
        <v>1</v>
      </c>
      <c r="AB28" s="53">
        <f t="shared" si="3"/>
        <v>2</v>
      </c>
      <c r="AC28">
        <v>3</v>
      </c>
      <c r="AD28">
        <f t="shared" si="4"/>
        <v>1560</v>
      </c>
      <c r="AF28">
        <v>3</v>
      </c>
      <c r="AG28">
        <v>3</v>
      </c>
      <c r="AH28">
        <v>1</v>
      </c>
    </row>
    <row r="29" spans="1:34" ht="15" thickBot="1" x14ac:dyDescent="0.35">
      <c r="A29" s="1" t="s">
        <v>27</v>
      </c>
      <c r="B29" s="4" t="s">
        <v>6</v>
      </c>
      <c r="C29" s="4" t="s">
        <v>6</v>
      </c>
      <c r="D29" s="25"/>
      <c r="E29" s="25"/>
      <c r="F29" s="25"/>
      <c r="G29" s="25"/>
      <c r="H29" s="26"/>
      <c r="I29" s="1" t="s">
        <v>27</v>
      </c>
      <c r="J29" s="1" t="s">
        <v>27</v>
      </c>
      <c r="K29" s="15" t="s">
        <v>17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  <c r="AE29">
        <v>2</v>
      </c>
    </row>
    <row r="30" spans="1:34" x14ac:dyDescent="0.3">
      <c r="A30" s="1" t="s">
        <v>27</v>
      </c>
      <c r="B30" s="4" t="s">
        <v>6</v>
      </c>
      <c r="C30" s="15" t="s">
        <v>17</v>
      </c>
      <c r="D30" s="25"/>
      <c r="E30" s="25"/>
      <c r="F30" s="25"/>
      <c r="G30" s="25"/>
      <c r="H30" s="26"/>
      <c r="I30" s="1" t="s">
        <v>27</v>
      </c>
      <c r="J30" s="1" t="s">
        <v>27</v>
      </c>
      <c r="K30" s="3" t="s">
        <v>5</v>
      </c>
      <c r="L30" s="25"/>
      <c r="M30" s="25"/>
      <c r="N30" s="25"/>
      <c r="O30" s="25"/>
      <c r="P30" s="26"/>
    </row>
    <row r="31" spans="1:34" x14ac:dyDescent="0.3">
      <c r="A31" s="1" t="s">
        <v>27</v>
      </c>
      <c r="B31" s="4" t="s">
        <v>6</v>
      </c>
      <c r="C31" s="4" t="s">
        <v>6</v>
      </c>
      <c r="D31" s="25"/>
      <c r="E31" s="25"/>
      <c r="F31" s="25"/>
      <c r="G31" s="25"/>
      <c r="H31" s="26"/>
      <c r="I31" s="1" t="s">
        <v>27</v>
      </c>
      <c r="J31" s="1" t="s">
        <v>27</v>
      </c>
      <c r="K31" s="3" t="s">
        <v>5</v>
      </c>
      <c r="L31" s="25"/>
      <c r="M31" s="25"/>
      <c r="N31" s="25"/>
      <c r="O31" s="25"/>
      <c r="P31" s="26"/>
      <c r="Y31">
        <f>SUM(Y3:Y28)</f>
        <v>1077</v>
      </c>
      <c r="AC31">
        <f>SUM(AC3:AC28)</f>
        <v>1074</v>
      </c>
      <c r="AD31">
        <f>SUM(AD3:AD28)+7000</f>
        <v>65360</v>
      </c>
    </row>
    <row r="32" spans="1:34" x14ac:dyDescent="0.3">
      <c r="A32" s="1" t="s">
        <v>27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1" t="s">
        <v>27</v>
      </c>
      <c r="K32" s="3" t="s">
        <v>5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 x14ac:dyDescent="0.3">
      <c r="A33" s="1" t="s">
        <v>27</v>
      </c>
      <c r="B33" s="4" t="s">
        <v>6</v>
      </c>
      <c r="C33" s="4" t="s">
        <v>6</v>
      </c>
      <c r="D33" s="25"/>
      <c r="E33" s="25"/>
      <c r="F33" s="25"/>
      <c r="G33" s="25"/>
      <c r="H33" s="26"/>
      <c r="I33" s="1" t="s">
        <v>27</v>
      </c>
      <c r="J33" s="1" t="s">
        <v>27</v>
      </c>
      <c r="K33" s="3" t="s">
        <v>5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 x14ac:dyDescent="0.3">
      <c r="A34" s="1" t="s">
        <v>27</v>
      </c>
      <c r="B34" s="4" t="s">
        <v>6</v>
      </c>
      <c r="C34" s="17" t="s">
        <v>20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15" t="s">
        <v>17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 x14ac:dyDescent="0.3">
      <c r="A35" s="1" t="s">
        <v>27</v>
      </c>
      <c r="B35" s="17" t="s">
        <v>20</v>
      </c>
      <c r="C35" s="4" t="s">
        <v>6</v>
      </c>
      <c r="D35" s="25"/>
      <c r="E35" s="25"/>
      <c r="F35" s="25"/>
      <c r="G35" s="25"/>
      <c r="H35" s="26"/>
      <c r="I35" s="1" t="s">
        <v>27</v>
      </c>
      <c r="J35" s="1" t="s">
        <v>27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 x14ac:dyDescent="0.3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1" t="s">
        <v>27</v>
      </c>
      <c r="K36" s="3" t="s">
        <v>5</v>
      </c>
      <c r="L36" s="25"/>
      <c r="M36" s="25"/>
      <c r="N36" s="25"/>
      <c r="O36" s="25"/>
      <c r="P36" s="26"/>
      <c r="S36" t="s">
        <v>61</v>
      </c>
    </row>
    <row r="37" spans="1:19" x14ac:dyDescent="0.3">
      <c r="A37" s="1" t="s">
        <v>27</v>
      </c>
      <c r="B37" s="1" t="s">
        <v>27</v>
      </c>
      <c r="C37" s="4" t="s">
        <v>6</v>
      </c>
      <c r="D37" s="25"/>
      <c r="E37" s="25"/>
      <c r="F37" s="25"/>
      <c r="G37" s="25"/>
      <c r="H37" s="26"/>
      <c r="I37" s="1" t="s">
        <v>27</v>
      </c>
      <c r="J37" s="1" t="s">
        <v>27</v>
      </c>
      <c r="K37" s="15" t="s">
        <v>17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 x14ac:dyDescent="0.3">
      <c r="A38" s="1" t="s">
        <v>27</v>
      </c>
      <c r="B38" s="1" t="s">
        <v>27</v>
      </c>
      <c r="C38" s="17" t="s">
        <v>19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3" t="s">
        <v>5</v>
      </c>
      <c r="L38" s="25"/>
      <c r="M38" s="25"/>
      <c r="N38" s="25"/>
      <c r="O38" s="25"/>
      <c r="P38" s="26"/>
      <c r="R38">
        <v>6</v>
      </c>
      <c r="S38" t="s">
        <v>65</v>
      </c>
    </row>
    <row r="39" spans="1:19" x14ac:dyDescent="0.3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3" t="s">
        <v>5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 x14ac:dyDescent="0.3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23" t="s">
        <v>29</v>
      </c>
      <c r="L40" s="25"/>
      <c r="M40" s="25"/>
      <c r="N40" s="25"/>
      <c r="O40" s="25"/>
      <c r="P40" s="26"/>
    </row>
    <row r="41" spans="1:19" x14ac:dyDescent="0.3">
      <c r="A41" s="1" t="s">
        <v>27</v>
      </c>
      <c r="B41" s="1" t="s">
        <v>27</v>
      </c>
      <c r="C41" s="4" t="s">
        <v>6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3" t="s">
        <v>5</v>
      </c>
      <c r="L41" s="25"/>
      <c r="M41" s="25"/>
      <c r="N41" s="25"/>
      <c r="O41" s="25"/>
      <c r="P41" s="26"/>
    </row>
    <row r="42" spans="1:19" x14ac:dyDescent="0.3">
      <c r="A42" s="1" t="s">
        <v>27</v>
      </c>
      <c r="B42" s="1" t="s">
        <v>27</v>
      </c>
      <c r="C42" s="4" t="s">
        <v>6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3" t="s">
        <v>5</v>
      </c>
      <c r="L42" s="25"/>
      <c r="M42" s="25"/>
      <c r="N42" s="25"/>
      <c r="O42" s="25"/>
      <c r="P42" s="26"/>
    </row>
    <row r="43" spans="1:19" x14ac:dyDescent="0.3">
      <c r="A43" s="1" t="s">
        <v>27</v>
      </c>
      <c r="B43" s="1" t="s">
        <v>27</v>
      </c>
      <c r="C43" s="4" t="s">
        <v>6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3" t="s">
        <v>5</v>
      </c>
      <c r="L43" s="25"/>
      <c r="M43" s="25"/>
      <c r="N43" s="25"/>
      <c r="O43" s="25"/>
      <c r="P43" s="26"/>
    </row>
    <row r="44" spans="1:19" x14ac:dyDescent="0.3">
      <c r="A44" s="1" t="s">
        <v>27</v>
      </c>
      <c r="B44" s="1" t="s">
        <v>27</v>
      </c>
      <c r="C44" s="4" t="s">
        <v>6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3" t="s">
        <v>5</v>
      </c>
      <c r="L44" s="25"/>
      <c r="M44" s="25"/>
      <c r="N44" s="25"/>
      <c r="O44" s="25"/>
      <c r="P44" s="26"/>
    </row>
    <row r="45" spans="1:19" x14ac:dyDescent="0.3">
      <c r="A45" s="1" t="s">
        <v>27</v>
      </c>
      <c r="B45" s="1" t="s">
        <v>27</v>
      </c>
      <c r="C45" s="15" t="s">
        <v>17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5" t="s">
        <v>17</v>
      </c>
      <c r="L45" s="25"/>
      <c r="M45" s="25"/>
      <c r="N45" s="25"/>
      <c r="O45" s="25"/>
      <c r="P45" s="26"/>
    </row>
    <row r="46" spans="1:19" x14ac:dyDescent="0.3">
      <c r="A46" s="1" t="s">
        <v>27</v>
      </c>
      <c r="B46" s="1" t="s">
        <v>27</v>
      </c>
      <c r="C46" s="4" t="s">
        <v>6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3" t="s">
        <v>5</v>
      </c>
      <c r="L46" s="25"/>
      <c r="M46" s="25"/>
      <c r="N46" s="25"/>
      <c r="O46" s="25"/>
      <c r="P46" s="26"/>
    </row>
    <row r="47" spans="1:19" x14ac:dyDescent="0.3">
      <c r="A47" s="1" t="s">
        <v>27</v>
      </c>
      <c r="B47" s="1" t="s">
        <v>27</v>
      </c>
      <c r="C47" s="4" t="s">
        <v>6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3" t="s">
        <v>5</v>
      </c>
      <c r="L47" s="25"/>
      <c r="M47" s="25"/>
      <c r="N47" s="25"/>
      <c r="O47" s="25"/>
      <c r="P47" s="26"/>
    </row>
    <row r="48" spans="1:19" x14ac:dyDescent="0.3">
      <c r="A48" s="1" t="s">
        <v>27</v>
      </c>
      <c r="B48" s="1" t="s">
        <v>27</v>
      </c>
      <c r="C48" s="4" t="s">
        <v>6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3" t="s">
        <v>5</v>
      </c>
      <c r="L48" s="25"/>
      <c r="M48" s="25"/>
      <c r="N48" s="25"/>
      <c r="O48" s="25"/>
      <c r="P48" s="26"/>
    </row>
    <row r="49" spans="1:16" x14ac:dyDescent="0.3">
      <c r="A49" s="1" t="s">
        <v>27</v>
      </c>
      <c r="B49" s="1" t="s">
        <v>27</v>
      </c>
      <c r="C49" s="4" t="s">
        <v>6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3" t="s">
        <v>5</v>
      </c>
      <c r="L49" s="25"/>
      <c r="M49" s="25"/>
      <c r="N49" s="25"/>
      <c r="O49" s="25"/>
      <c r="P49" s="26"/>
    </row>
    <row r="50" spans="1:16" x14ac:dyDescent="0.3">
      <c r="A50" s="1" t="s">
        <v>27</v>
      </c>
      <c r="B50" s="1" t="s">
        <v>27</v>
      </c>
      <c r="C50" s="17" t="s">
        <v>20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5" t="s">
        <v>17</v>
      </c>
      <c r="L50" s="25"/>
      <c r="M50" s="25"/>
      <c r="N50" s="25"/>
      <c r="O50" s="25"/>
      <c r="P50" s="26"/>
    </row>
    <row r="51" spans="1:16" x14ac:dyDescent="0.3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 x14ac:dyDescent="0.3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 x14ac:dyDescent="0.3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 x14ac:dyDescent="0.3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 x14ac:dyDescent="0.3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 x14ac:dyDescent="0.3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 x14ac:dyDescent="0.3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 x14ac:dyDescent="0.3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 x14ac:dyDescent="0.3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 x14ac:dyDescent="0.3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 x14ac:dyDescent="0.3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 x14ac:dyDescent="0.3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 x14ac:dyDescent="0.3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 x14ac:dyDescent="0.3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 x14ac:dyDescent="0.3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 x14ac:dyDescent="0.3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 x14ac:dyDescent="0.3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 x14ac:dyDescent="0.3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 x14ac:dyDescent="0.3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 x14ac:dyDescent="0.3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 x14ac:dyDescent="0.3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 x14ac:dyDescent="0.3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 x14ac:dyDescent="0.3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 x14ac:dyDescent="0.3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 x14ac:dyDescent="0.3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 x14ac:dyDescent="0.3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 x14ac:dyDescent="0.3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 x14ac:dyDescent="0.3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 x14ac:dyDescent="0.3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 x14ac:dyDescent="0.3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 x14ac:dyDescent="0.3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 x14ac:dyDescent="0.3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 x14ac:dyDescent="0.3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 x14ac:dyDescent="0.3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 x14ac:dyDescent="0.3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 x14ac:dyDescent="0.3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 x14ac:dyDescent="0.3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 x14ac:dyDescent="0.3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 x14ac:dyDescent="0.3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 x14ac:dyDescent="0.3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 x14ac:dyDescent="0.3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 x14ac:dyDescent="0.3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 x14ac:dyDescent="0.3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 x14ac:dyDescent="0.3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 x14ac:dyDescent="0.3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 x14ac:dyDescent="0.3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 x14ac:dyDescent="0.3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 x14ac:dyDescent="0.3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 x14ac:dyDescent="0.3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 x14ac:dyDescent="0.35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9178B-4B47-4AA5-B012-479D73179A7B}">
  <dimension ref="A1:AH100"/>
  <sheetViews>
    <sheetView topLeftCell="B1" zoomScale="85" zoomScaleNormal="85" workbookViewId="0">
      <selection activeCell="N25" sqref="N25"/>
    </sheetView>
  </sheetViews>
  <sheetFormatPr defaultRowHeight="14.4" x14ac:dyDescent="0.3"/>
  <sheetData>
    <row r="1" spans="1:30" ht="15.6" x14ac:dyDescent="0.3">
      <c r="A1" s="60" t="s">
        <v>30</v>
      </c>
      <c r="B1" s="61"/>
      <c r="C1" s="61"/>
      <c r="D1" s="61"/>
      <c r="E1" s="61"/>
      <c r="F1" s="62" t="s">
        <v>3</v>
      </c>
      <c r="G1" s="62"/>
      <c r="H1" s="24" cm="1">
        <f t="array" ref="H1">SUM(VLOOKUP(A4:C100,$T$3:$W$36,4,FALSE))+H4*10-H8*50</f>
        <v>2396.6640071082738</v>
      </c>
      <c r="I1" s="63" t="s">
        <v>41</v>
      </c>
      <c r="J1" s="64"/>
      <c r="K1" s="64"/>
      <c r="L1" s="64"/>
      <c r="M1" s="64"/>
      <c r="N1" s="64"/>
      <c r="O1" s="64"/>
      <c r="P1" s="65"/>
      <c r="Q1" s="63" t="s">
        <v>48</v>
      </c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30" ht="28.8" x14ac:dyDescent="0.3">
      <c r="A2" s="66" t="s">
        <v>35</v>
      </c>
      <c r="B2" s="67"/>
      <c r="C2" s="67"/>
      <c r="D2" s="68" t="s">
        <v>37</v>
      </c>
      <c r="E2" s="69"/>
      <c r="F2" s="69"/>
      <c r="G2" s="69"/>
      <c r="H2" s="70"/>
      <c r="I2" s="71" t="s">
        <v>35</v>
      </c>
      <c r="J2" s="72"/>
      <c r="K2" s="72"/>
      <c r="L2" s="73" t="s">
        <v>37</v>
      </c>
      <c r="M2" s="73"/>
      <c r="N2" s="73"/>
      <c r="O2" s="73"/>
      <c r="P2" s="74"/>
      <c r="Q2" s="49" t="s">
        <v>43</v>
      </c>
      <c r="R2" s="50" cm="1">
        <f t="array" ref="R2">SUM(V3:V28*AB3:AB28)+H6+P6+R4*500</f>
        <v>65515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30" x14ac:dyDescent="0.3">
      <c r="A3" s="59" t="s">
        <v>31</v>
      </c>
      <c r="B3" s="58" t="s">
        <v>32</v>
      </c>
      <c r="C3" s="20" t="s">
        <v>33</v>
      </c>
      <c r="D3" s="32"/>
      <c r="E3" s="59" t="s">
        <v>31</v>
      </c>
      <c r="F3" s="58" t="s">
        <v>32</v>
      </c>
      <c r="G3" s="20" t="s">
        <v>33</v>
      </c>
      <c r="H3" s="33" t="s">
        <v>36</v>
      </c>
      <c r="I3" s="59" t="s">
        <v>31</v>
      </c>
      <c r="J3" s="58" t="s">
        <v>32</v>
      </c>
      <c r="K3" s="20" t="s">
        <v>33</v>
      </c>
      <c r="L3" s="32"/>
      <c r="M3" s="59" t="s">
        <v>31</v>
      </c>
      <c r="N3" s="58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15</v>
      </c>
      <c r="Z3" s="1">
        <f>COUNTIF($A$4:$C$100,T3)</f>
        <v>13</v>
      </c>
      <c r="AA3" s="1">
        <f>COUNTIF($I$4:$K$100,T3)</f>
        <v>2</v>
      </c>
      <c r="AB3" s="53">
        <f>Y3-Z3-AA3</f>
        <v>0</v>
      </c>
      <c r="AC3">
        <v>24</v>
      </c>
      <c r="AD3">
        <f>AC3*V3</f>
        <v>840</v>
      </c>
    </row>
    <row r="4" spans="1:30" x14ac:dyDescent="0.3">
      <c r="A4" s="2" t="s">
        <v>4</v>
      </c>
      <c r="B4" s="2" t="s">
        <v>4</v>
      </c>
      <c r="C4" s="1" t="s">
        <v>27</v>
      </c>
      <c r="D4" s="42" t="s">
        <v>34</v>
      </c>
      <c r="E4" s="38">
        <v>0</v>
      </c>
      <c r="F4" s="38">
        <v>0</v>
      </c>
      <c r="G4" s="38">
        <v>0</v>
      </c>
      <c r="H4" s="35">
        <f>SUM(E4:G4)</f>
        <v>0</v>
      </c>
      <c r="I4" s="15" t="s">
        <v>17</v>
      </c>
      <c r="J4" s="3" t="s">
        <v>5</v>
      </c>
      <c r="K4" s="3" t="s">
        <v>5</v>
      </c>
      <c r="L4" s="42" t="s">
        <v>34</v>
      </c>
      <c r="M4" s="38">
        <v>1</v>
      </c>
      <c r="N4" s="38">
        <v>0</v>
      </c>
      <c r="O4" s="38">
        <v>3</v>
      </c>
      <c r="P4" s="35">
        <f>SUM(M4:O4)</f>
        <v>4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41</v>
      </c>
      <c r="Z4" s="1">
        <f t="shared" ref="Z4:Z28" si="1">COUNTIF($A$4:$C$100,T4)</f>
        <v>7</v>
      </c>
      <c r="AA4" s="1">
        <f t="shared" ref="AA4:AA28" si="2">COUNTIF($I$4:$K$100,T4)</f>
        <v>34</v>
      </c>
      <c r="AB4" s="53">
        <f t="shared" ref="AB4:AB28" si="3">Y4-Z4-AA4</f>
        <v>0</v>
      </c>
      <c r="AC4">
        <v>25</v>
      </c>
      <c r="AD4">
        <f t="shared" ref="AD4:AD28" si="4">AC4*V4</f>
        <v>1000</v>
      </c>
    </row>
    <row r="5" spans="1:30" x14ac:dyDescent="0.3">
      <c r="A5" s="2" t="s">
        <v>4</v>
      </c>
      <c r="B5" s="2" t="s">
        <v>4</v>
      </c>
      <c r="C5" s="1" t="s">
        <v>27</v>
      </c>
      <c r="D5" s="32" t="s">
        <v>38</v>
      </c>
      <c r="E5" s="34" cm="1">
        <f t="array" ref="E5">(SUM(VLOOKUP(A4:A100,$T$3:$W$41,2,FALSE))+E4*10)-E8*50</f>
        <v>800</v>
      </c>
      <c r="F5" s="34" cm="1">
        <f t="array" ref="F5">(SUM(VLOOKUP(B4:B100,$T$3:$W$41,2,FALSE))+F4*10)-F8*50</f>
        <v>5080</v>
      </c>
      <c r="G5" s="34" cm="1">
        <f t="array" ref="G5">(SUM(VLOOKUP(C4:C100,$T$3:$W$41,2,FALSE))+G4*10)-G8*50</f>
        <v>6690</v>
      </c>
      <c r="H5" s="57">
        <f t="shared" ref="H5:H8" si="5">SUM(E5:G5)</f>
        <v>12570</v>
      </c>
      <c r="I5" s="1" t="s">
        <v>27</v>
      </c>
      <c r="J5" s="3" t="s">
        <v>5</v>
      </c>
      <c r="K5" s="3" t="s">
        <v>5</v>
      </c>
      <c r="L5" s="32" t="s">
        <v>38</v>
      </c>
      <c r="M5" s="34" cm="1">
        <f t="array" ref="M5">(SUM(VLOOKUP(I4:I100,$T$3:$W$41,2,FALSE))+M4*10)*0.8-M8*40</f>
        <v>128</v>
      </c>
      <c r="N5" s="34" cm="1">
        <f t="array" ref="N5">(SUM(VLOOKUP(J4:J100,$T$3:$W$41,2,FALSE))+N4*10)*0.8-N8*40</f>
        <v>672</v>
      </c>
      <c r="O5" s="34" cm="1">
        <f t="array" ref="O5">(SUM(VLOOKUP(K4:K100,$T$3:$W$41,2,FALSE))+O4*10)*0.8-O8*40</f>
        <v>4104</v>
      </c>
      <c r="P5" s="57">
        <f t="shared" ref="P5:P8" si="6">SUM(M5:O5)</f>
        <v>4904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241</v>
      </c>
      <c r="Z5" s="1">
        <f t="shared" si="1"/>
        <v>42</v>
      </c>
      <c r="AA5" s="1">
        <f t="shared" si="2"/>
        <v>0</v>
      </c>
      <c r="AB5" s="53">
        <f t="shared" si="3"/>
        <v>199</v>
      </c>
      <c r="AC5">
        <v>247</v>
      </c>
      <c r="AD5">
        <f t="shared" si="4"/>
        <v>11115</v>
      </c>
    </row>
    <row r="6" spans="1:30" x14ac:dyDescent="0.3">
      <c r="A6" s="15" t="s">
        <v>17</v>
      </c>
      <c r="B6" s="2" t="s">
        <v>4</v>
      </c>
      <c r="C6" s="2" t="s">
        <v>4</v>
      </c>
      <c r="D6" s="32" t="s">
        <v>39</v>
      </c>
      <c r="E6" s="34" cm="1">
        <f t="array" ref="E6">(SUM(VLOOKUP(A4:A100,$T$3:$W$41,3,FALSE)))</f>
        <v>205</v>
      </c>
      <c r="F6" s="34" cm="1">
        <f t="array" ref="F6">(SUM(VLOOKUP(B4:B100,$T$3:$W$41,3,FALSE)))</f>
        <v>1595</v>
      </c>
      <c r="G6" s="34" cm="1">
        <f t="array" ref="G6">(SUM(VLOOKUP(C4:C100,$T$3:$W$41,3,FALSE)))</f>
        <v>2320</v>
      </c>
      <c r="H6" s="48">
        <f t="shared" si="5"/>
        <v>4120</v>
      </c>
      <c r="I6" s="2" t="s">
        <v>4</v>
      </c>
      <c r="J6" s="9" t="s">
        <v>11</v>
      </c>
      <c r="K6" s="3" t="s">
        <v>5</v>
      </c>
      <c r="L6" s="32" t="s">
        <v>39</v>
      </c>
      <c r="M6" s="34" cm="1">
        <f t="array" ref="M6">(SUM(VLOOKUP(I4:I100,$T$3:$W$41,3,FALSE)))</f>
        <v>100</v>
      </c>
      <c r="N6" s="34" cm="1">
        <f t="array" ref="N6">(SUM(VLOOKUP(J4:J100,$T$3:$W$41,3,FALSE)))</f>
        <v>230</v>
      </c>
      <c r="O6" s="34" cm="1">
        <f t="array" ref="O6">(SUM(VLOOKUP(K4:K100,$T$3:$W$41,3,FALSE)))</f>
        <v>2000</v>
      </c>
      <c r="P6" s="48">
        <f t="shared" si="6"/>
        <v>2330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267</v>
      </c>
      <c r="Z6" s="1">
        <f t="shared" si="1"/>
        <v>2</v>
      </c>
      <c r="AA6" s="1">
        <f t="shared" si="2"/>
        <v>0</v>
      </c>
      <c r="AB6" s="53">
        <f t="shared" si="3"/>
        <v>265</v>
      </c>
      <c r="AC6">
        <v>267</v>
      </c>
      <c r="AD6">
        <f t="shared" si="4"/>
        <v>13350</v>
      </c>
    </row>
    <row r="7" spans="1:30" x14ac:dyDescent="0.3">
      <c r="A7" s="2" t="s">
        <v>4</v>
      </c>
      <c r="B7" s="2" t="s">
        <v>4</v>
      </c>
      <c r="C7" s="2" t="s">
        <v>4</v>
      </c>
      <c r="D7" s="32" t="s">
        <v>40</v>
      </c>
      <c r="E7" s="34">
        <f>COUNTIF(A4:A100,"&lt;&gt;空")</f>
        <v>6</v>
      </c>
      <c r="F7" s="34">
        <f>COUNTIF(B4:B100,"&lt;&gt;空")</f>
        <v>31</v>
      </c>
      <c r="G7" s="34">
        <f>COUNTIF(C4:C100,"&lt;&gt;空")</f>
        <v>44</v>
      </c>
      <c r="H7" s="35">
        <f t="shared" si="5"/>
        <v>81</v>
      </c>
      <c r="I7" s="2" t="s">
        <v>4</v>
      </c>
      <c r="J7" s="3" t="s">
        <v>5</v>
      </c>
      <c r="K7" s="15" t="s">
        <v>17</v>
      </c>
      <c r="L7" s="32" t="s">
        <v>40</v>
      </c>
      <c r="M7" s="34">
        <f>COUNTIF(I4:I100,"&lt;&gt;空")</f>
        <v>4</v>
      </c>
      <c r="N7" s="34">
        <f>COUNTIF(J4:J100,"&lt;&gt;空")</f>
        <v>6</v>
      </c>
      <c r="O7" s="34">
        <f>COUNTIF(K4:K100,"&lt;&gt;空")</f>
        <v>41</v>
      </c>
      <c r="P7" s="35">
        <f t="shared" si="6"/>
        <v>51</v>
      </c>
      <c r="Q7" s="52" t="s">
        <v>54</v>
      </c>
      <c r="R7" s="25">
        <v>1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235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  <c r="AD7">
        <f t="shared" si="4"/>
        <v>12925</v>
      </c>
    </row>
    <row r="8" spans="1:30" x14ac:dyDescent="0.3">
      <c r="A8" s="2" t="s">
        <v>4</v>
      </c>
      <c r="B8" s="2" t="s">
        <v>4</v>
      </c>
      <c r="C8" s="2" t="s">
        <v>4</v>
      </c>
      <c r="D8" s="41" t="s">
        <v>64</v>
      </c>
      <c r="E8" s="40">
        <v>0</v>
      </c>
      <c r="F8" s="40">
        <v>1</v>
      </c>
      <c r="G8" s="40">
        <v>0</v>
      </c>
      <c r="H8" s="35">
        <f t="shared" si="5"/>
        <v>1</v>
      </c>
      <c r="I8" s="16" t="s">
        <v>28</v>
      </c>
      <c r="J8" s="3" t="s">
        <v>5</v>
      </c>
      <c r="K8" s="3" t="s">
        <v>5</v>
      </c>
      <c r="L8" s="41" t="s">
        <v>64</v>
      </c>
      <c r="M8" s="40">
        <v>0</v>
      </c>
      <c r="N8" s="40">
        <v>0</v>
      </c>
      <c r="O8" s="40">
        <v>2</v>
      </c>
      <c r="P8" s="35">
        <f t="shared" si="6"/>
        <v>2</v>
      </c>
      <c r="Q8" s="49" t="s">
        <v>53</v>
      </c>
      <c r="R8" s="54" cm="1">
        <f t="array" ref="R8">R6-P5-H5-SUM(U3:U28*AB3:AB28)*0.8-R7*8</f>
        <v>54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194</v>
      </c>
      <c r="Z8" s="1">
        <f t="shared" si="1"/>
        <v>0</v>
      </c>
      <c r="AA8" s="1">
        <f t="shared" si="2"/>
        <v>0</v>
      </c>
      <c r="AB8" s="53">
        <f t="shared" si="3"/>
        <v>194</v>
      </c>
      <c r="AC8">
        <v>193</v>
      </c>
      <c r="AD8">
        <f t="shared" si="4"/>
        <v>11580</v>
      </c>
    </row>
    <row r="9" spans="1:30" x14ac:dyDescent="0.3">
      <c r="A9" s="2" t="s">
        <v>4</v>
      </c>
      <c r="B9" s="15" t="s">
        <v>17</v>
      </c>
      <c r="C9" s="16" t="s">
        <v>18</v>
      </c>
      <c r="D9" s="25"/>
      <c r="E9" s="25"/>
      <c r="F9" s="25"/>
      <c r="G9" s="25"/>
      <c r="H9" s="26"/>
      <c r="I9" s="1" t="s">
        <v>27</v>
      </c>
      <c r="J9" s="15" t="s">
        <v>17</v>
      </c>
      <c r="K9" s="3" t="s">
        <v>5</v>
      </c>
      <c r="L9" s="32" t="s">
        <v>42</v>
      </c>
      <c r="M9" s="36">
        <f>M6/M5</f>
        <v>0.78125</v>
      </c>
      <c r="N9" s="36">
        <f>N6/N5</f>
        <v>0.34226190476190477</v>
      </c>
      <c r="O9" s="36">
        <f>O6/O5</f>
        <v>0.48732943469785572</v>
      </c>
      <c r="P9" s="37">
        <f>P6/P5</f>
        <v>0.47512234910277323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7">U9-V9/0.330882</f>
        <v>44.222109392472248</v>
      </c>
      <c r="X9" s="45">
        <v>5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  <c r="AD9">
        <f t="shared" si="4"/>
        <v>0</v>
      </c>
    </row>
    <row r="10" spans="1:30" x14ac:dyDescent="0.3">
      <c r="A10" s="1" t="s">
        <v>27</v>
      </c>
      <c r="B10" s="1" t="s">
        <v>27</v>
      </c>
      <c r="C10" s="3" t="s">
        <v>5</v>
      </c>
      <c r="D10" s="25"/>
      <c r="E10" s="25"/>
      <c r="F10" s="25"/>
      <c r="G10" s="25"/>
      <c r="H10" s="26"/>
      <c r="I10" s="1" t="s">
        <v>27</v>
      </c>
      <c r="J10" s="1" t="s">
        <v>27</v>
      </c>
      <c r="K10" s="3" t="s">
        <v>5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7"/>
        <v>29.110982162825422</v>
      </c>
      <c r="X10" s="45">
        <v>6</v>
      </c>
      <c r="Y10" s="45">
        <v>3</v>
      </c>
      <c r="Z10" s="1">
        <f t="shared" si="1"/>
        <v>0</v>
      </c>
      <c r="AA10" s="1">
        <f t="shared" si="2"/>
        <v>2</v>
      </c>
      <c r="AB10" s="53">
        <f t="shared" si="3"/>
        <v>1</v>
      </c>
      <c r="AC10">
        <v>2</v>
      </c>
      <c r="AD10">
        <f t="shared" si="4"/>
        <v>80</v>
      </c>
    </row>
    <row r="11" spans="1:30" x14ac:dyDescent="0.3">
      <c r="A11" s="1" t="s">
        <v>27</v>
      </c>
      <c r="B11" s="4" t="s">
        <v>6</v>
      </c>
      <c r="C11" s="3" t="s">
        <v>5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15" t="s">
        <v>17</v>
      </c>
      <c r="L11" s="25"/>
      <c r="M11" s="25"/>
      <c r="N11" s="25"/>
      <c r="O11" s="25"/>
      <c r="P11" s="26">
        <f>H5+P5</f>
        <v>17474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>U11-V11/0.330882</f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6</v>
      </c>
      <c r="AD11">
        <f t="shared" si="4"/>
        <v>270</v>
      </c>
    </row>
    <row r="12" spans="1:30" x14ac:dyDescent="0.3">
      <c r="A12" s="1" t="s">
        <v>27</v>
      </c>
      <c r="B12" s="4" t="s">
        <v>6</v>
      </c>
      <c r="C12" s="3" t="s">
        <v>5</v>
      </c>
      <c r="D12" s="25"/>
      <c r="E12" s="25"/>
      <c r="F12" s="25"/>
      <c r="G12" s="25"/>
      <c r="H12" s="26"/>
      <c r="I12" s="1" t="s">
        <v>27</v>
      </c>
      <c r="J12" s="1" t="s">
        <v>27</v>
      </c>
      <c r="K12" s="1" t="s">
        <v>27</v>
      </c>
      <c r="L12" s="25"/>
      <c r="M12" s="25"/>
      <c r="N12" s="25"/>
      <c r="O12" s="25"/>
      <c r="P12" s="26">
        <f>H6+P6</f>
        <v>6450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  <c r="AD12">
        <f t="shared" si="4"/>
        <v>150</v>
      </c>
    </row>
    <row r="13" spans="1:30" x14ac:dyDescent="0.3">
      <c r="A13" s="1" t="s">
        <v>27</v>
      </c>
      <c r="B13" s="4" t="s">
        <v>6</v>
      </c>
      <c r="C13" s="3" t="s">
        <v>5</v>
      </c>
      <c r="D13" s="25"/>
      <c r="E13" s="25"/>
      <c r="F13" s="25"/>
      <c r="G13" s="25"/>
      <c r="H13" s="26"/>
      <c r="I13" s="1" t="s">
        <v>27</v>
      </c>
      <c r="J13" s="1" t="s">
        <v>27</v>
      </c>
      <c r="K13" s="23" t="s">
        <v>29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  <c r="AD13">
        <f t="shared" si="4"/>
        <v>165</v>
      </c>
    </row>
    <row r="14" spans="1:30" x14ac:dyDescent="0.3">
      <c r="A14" s="1" t="s">
        <v>27</v>
      </c>
      <c r="B14" s="4" t="s">
        <v>6</v>
      </c>
      <c r="C14" s="15" t="s">
        <v>17</v>
      </c>
      <c r="D14" s="25"/>
      <c r="E14" s="25"/>
      <c r="F14" s="25"/>
      <c r="G14" s="25"/>
      <c r="H14" s="26"/>
      <c r="I14" s="1" t="s">
        <v>27</v>
      </c>
      <c r="J14" s="1" t="s">
        <v>27</v>
      </c>
      <c r="K14" s="3" t="s">
        <v>5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  <c r="AD14">
        <f t="shared" si="4"/>
        <v>60</v>
      </c>
    </row>
    <row r="15" spans="1:30" x14ac:dyDescent="0.3">
      <c r="A15" s="1" t="s">
        <v>27</v>
      </c>
      <c r="B15" s="4" t="s">
        <v>6</v>
      </c>
      <c r="C15" s="3" t="s">
        <v>5</v>
      </c>
      <c r="D15" s="25"/>
      <c r="E15" s="25"/>
      <c r="F15" s="25"/>
      <c r="G15" s="25"/>
      <c r="H15" s="26"/>
      <c r="I15" s="1" t="s">
        <v>27</v>
      </c>
      <c r="J15" s="1" t="s">
        <v>27</v>
      </c>
      <c r="K15" s="3" t="s">
        <v>5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8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  <c r="AD15">
        <f t="shared" si="4"/>
        <v>0</v>
      </c>
    </row>
    <row r="16" spans="1:30" x14ac:dyDescent="0.3">
      <c r="A16" s="1" t="s">
        <v>27</v>
      </c>
      <c r="B16" s="4" t="s">
        <v>6</v>
      </c>
      <c r="C16" s="3" t="s">
        <v>5</v>
      </c>
      <c r="D16" s="25"/>
      <c r="E16" s="25"/>
      <c r="F16" s="25"/>
      <c r="G16" s="25"/>
      <c r="H16" s="26"/>
      <c r="I16" s="1" t="s">
        <v>27</v>
      </c>
      <c r="J16" s="1" t="s">
        <v>27</v>
      </c>
      <c r="K16" s="3" t="s">
        <v>5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6</v>
      </c>
      <c r="AA16" s="1">
        <f t="shared" si="2"/>
        <v>10</v>
      </c>
      <c r="AB16" s="53">
        <f t="shared" si="3"/>
        <v>22</v>
      </c>
      <c r="AC16">
        <v>38</v>
      </c>
      <c r="AD16">
        <f t="shared" si="4"/>
        <v>1140</v>
      </c>
    </row>
    <row r="17" spans="1:34" x14ac:dyDescent="0.3">
      <c r="A17" s="1" t="s">
        <v>27</v>
      </c>
      <c r="B17" s="17" t="s">
        <v>19</v>
      </c>
      <c r="C17" s="3" t="s">
        <v>5</v>
      </c>
      <c r="D17" s="25"/>
      <c r="E17" s="25"/>
      <c r="F17" s="25"/>
      <c r="G17" s="25"/>
      <c r="H17" s="26"/>
      <c r="I17" s="1" t="s">
        <v>27</v>
      </c>
      <c r="J17" s="1" t="s">
        <v>27</v>
      </c>
      <c r="K17" s="3" t="s">
        <v>5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1</v>
      </c>
      <c r="Y17" s="45">
        <v>1</v>
      </c>
      <c r="Z17" s="1">
        <f t="shared" si="1"/>
        <v>1</v>
      </c>
      <c r="AA17" s="1">
        <f t="shared" si="2"/>
        <v>0</v>
      </c>
      <c r="AB17" s="53">
        <f t="shared" si="3"/>
        <v>0</v>
      </c>
      <c r="AC17">
        <v>0</v>
      </c>
      <c r="AD17">
        <f t="shared" si="4"/>
        <v>0</v>
      </c>
    </row>
    <row r="18" spans="1:34" x14ac:dyDescent="0.3">
      <c r="A18" s="1" t="s">
        <v>27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1" t="s">
        <v>27</v>
      </c>
      <c r="J18" s="1" t="s">
        <v>27</v>
      </c>
      <c r="K18" s="15" t="s">
        <v>17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300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  <c r="AC18">
        <v>0</v>
      </c>
      <c r="AD18">
        <f t="shared" si="4"/>
        <v>0</v>
      </c>
    </row>
    <row r="19" spans="1:34" x14ac:dyDescent="0.3">
      <c r="A19" s="1" t="s">
        <v>27</v>
      </c>
      <c r="B19" s="4" t="s">
        <v>6</v>
      </c>
      <c r="C19" s="17" t="s">
        <v>20</v>
      </c>
      <c r="D19" s="25"/>
      <c r="E19" s="25"/>
      <c r="F19" s="25"/>
      <c r="G19" s="25"/>
      <c r="H19" s="26"/>
      <c r="I19" s="1" t="s">
        <v>27</v>
      </c>
      <c r="J19" s="1" t="s">
        <v>27</v>
      </c>
      <c r="K19" s="3" t="s">
        <v>5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  <c r="AD19">
        <f t="shared" si="4"/>
        <v>225</v>
      </c>
    </row>
    <row r="20" spans="1:34" x14ac:dyDescent="0.3">
      <c r="A20" s="1" t="s">
        <v>27</v>
      </c>
      <c r="B20" s="5" t="s">
        <v>7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1" t="s">
        <v>27</v>
      </c>
      <c r="K20" s="3" t="s">
        <v>5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C20">
        <v>2</v>
      </c>
      <c r="AD20">
        <f t="shared" si="4"/>
        <v>400</v>
      </c>
    </row>
    <row r="21" spans="1:34" x14ac:dyDescent="0.3">
      <c r="A21" s="1" t="s">
        <v>27</v>
      </c>
      <c r="B21" s="5" t="s">
        <v>7</v>
      </c>
      <c r="C21" s="15" t="s">
        <v>17</v>
      </c>
      <c r="D21" s="25"/>
      <c r="E21" s="25"/>
      <c r="F21" s="25"/>
      <c r="G21" s="25"/>
      <c r="H21" s="26"/>
      <c r="I21" s="1" t="s">
        <v>27</v>
      </c>
      <c r="J21" s="1" t="s">
        <v>27</v>
      </c>
      <c r="K21" s="3" t="s">
        <v>5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  <c r="AD21">
        <f t="shared" si="4"/>
        <v>2000</v>
      </c>
    </row>
    <row r="22" spans="1:34" x14ac:dyDescent="0.3">
      <c r="A22" s="1" t="s">
        <v>27</v>
      </c>
      <c r="B22" s="4" t="s">
        <v>6</v>
      </c>
      <c r="C22" s="4" t="s">
        <v>6</v>
      </c>
      <c r="D22" s="25"/>
      <c r="E22" s="25"/>
      <c r="F22" s="25"/>
      <c r="G22" s="25"/>
      <c r="H22" s="26"/>
      <c r="I22" s="1" t="s">
        <v>27</v>
      </c>
      <c r="J22" s="1" t="s">
        <v>27</v>
      </c>
      <c r="K22" s="3" t="s">
        <v>5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  <c r="AC22">
        <v>3</v>
      </c>
      <c r="AD22">
        <f t="shared" si="4"/>
        <v>1500</v>
      </c>
    </row>
    <row r="23" spans="1:34" x14ac:dyDescent="0.3">
      <c r="A23" s="1" t="s">
        <v>27</v>
      </c>
      <c r="B23" s="10" t="s">
        <v>12</v>
      </c>
      <c r="C23" s="17" t="s">
        <v>19</v>
      </c>
      <c r="D23" s="25"/>
      <c r="E23" s="25"/>
      <c r="F23" s="25"/>
      <c r="G23" s="25"/>
      <c r="H23" s="26"/>
      <c r="I23" s="1" t="s">
        <v>27</v>
      </c>
      <c r="J23" s="1" t="s">
        <v>27</v>
      </c>
      <c r="K23" s="15" t="s">
        <v>17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9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  <c r="AD23">
        <f t="shared" si="4"/>
        <v>0</v>
      </c>
    </row>
    <row r="24" spans="1:34" x14ac:dyDescent="0.3">
      <c r="A24" s="1" t="s">
        <v>27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1" t="s">
        <v>27</v>
      </c>
      <c r="K24" s="1" t="s">
        <v>27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9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  <c r="AD24">
        <f t="shared" si="4"/>
        <v>0</v>
      </c>
    </row>
    <row r="25" spans="1:34" x14ac:dyDescent="0.3">
      <c r="A25" s="1" t="s">
        <v>27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1" t="s">
        <v>27</v>
      </c>
      <c r="K25" s="9" t="s">
        <v>11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9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  <c r="AD25">
        <f t="shared" si="4"/>
        <v>0</v>
      </c>
    </row>
    <row r="26" spans="1:34" x14ac:dyDescent="0.3">
      <c r="A26" s="1" t="s">
        <v>27</v>
      </c>
      <c r="B26" s="17" t="s">
        <v>20</v>
      </c>
      <c r="C26" s="10" t="s">
        <v>12</v>
      </c>
      <c r="D26" s="25"/>
      <c r="E26" s="25"/>
      <c r="F26" s="25"/>
      <c r="G26" s="25"/>
      <c r="H26" s="26"/>
      <c r="I26" s="1" t="s">
        <v>27</v>
      </c>
      <c r="J26" s="1" t="s">
        <v>27</v>
      </c>
      <c r="K26" s="3" t="s">
        <v>5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9"/>
        <v>0</v>
      </c>
      <c r="X26" s="45">
        <v>0</v>
      </c>
      <c r="Y26" s="45">
        <v>0</v>
      </c>
      <c r="Z26" s="1"/>
      <c r="AA26" s="1"/>
      <c r="AB26" s="53"/>
      <c r="AD26">
        <f t="shared" si="4"/>
        <v>0</v>
      </c>
    </row>
    <row r="27" spans="1:34" x14ac:dyDescent="0.3">
      <c r="A27" s="1" t="s">
        <v>27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1" t="s">
        <v>27</v>
      </c>
      <c r="J27" s="1" t="s">
        <v>27</v>
      </c>
      <c r="K27" s="3" t="s">
        <v>5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14</v>
      </c>
      <c r="Y27" s="45">
        <v>14</v>
      </c>
      <c r="Z27" s="1">
        <f t="shared" si="1"/>
        <v>0</v>
      </c>
      <c r="AA27" s="1">
        <f t="shared" si="2"/>
        <v>2</v>
      </c>
      <c r="AB27" s="53">
        <f t="shared" si="3"/>
        <v>12</v>
      </c>
      <c r="AC27">
        <v>15</v>
      </c>
      <c r="AD27">
        <f t="shared" si="4"/>
        <v>0</v>
      </c>
      <c r="AE27">
        <v>3</v>
      </c>
      <c r="AF27">
        <v>4</v>
      </c>
      <c r="AG27">
        <v>5</v>
      </c>
      <c r="AH27">
        <v>6</v>
      </c>
    </row>
    <row r="28" spans="1:34" x14ac:dyDescent="0.3">
      <c r="A28" s="1" t="s">
        <v>27</v>
      </c>
      <c r="B28" s="4" t="s">
        <v>6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1" t="s">
        <v>27</v>
      </c>
      <c r="K28" s="3" t="s">
        <v>5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>
        <v>10</v>
      </c>
      <c r="X28" s="45">
        <v>3</v>
      </c>
      <c r="Y28" s="45">
        <v>3</v>
      </c>
      <c r="Z28" s="1">
        <f t="shared" si="1"/>
        <v>0</v>
      </c>
      <c r="AA28" s="1">
        <f t="shared" si="2"/>
        <v>1</v>
      </c>
      <c r="AB28" s="53">
        <f t="shared" si="3"/>
        <v>2</v>
      </c>
      <c r="AC28">
        <v>3</v>
      </c>
      <c r="AD28">
        <f t="shared" si="4"/>
        <v>1560</v>
      </c>
      <c r="AE28">
        <v>4</v>
      </c>
      <c r="AF28">
        <v>3</v>
      </c>
      <c r="AG28">
        <v>3</v>
      </c>
      <c r="AH28">
        <v>1</v>
      </c>
    </row>
    <row r="29" spans="1:34" ht="15" thickBot="1" x14ac:dyDescent="0.35">
      <c r="A29" s="1" t="s">
        <v>27</v>
      </c>
      <c r="B29" s="4" t="s">
        <v>6</v>
      </c>
      <c r="C29" s="15" t="s">
        <v>17</v>
      </c>
      <c r="D29" s="25"/>
      <c r="E29" s="25"/>
      <c r="F29" s="25"/>
      <c r="G29" s="25"/>
      <c r="H29" s="26"/>
      <c r="I29" s="1" t="s">
        <v>27</v>
      </c>
      <c r="J29" s="1" t="s">
        <v>27</v>
      </c>
      <c r="K29" s="3" t="s">
        <v>5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  <c r="AE29">
        <v>2</v>
      </c>
    </row>
    <row r="30" spans="1:34" x14ac:dyDescent="0.3">
      <c r="A30" s="1" t="s">
        <v>27</v>
      </c>
      <c r="B30" s="4" t="s">
        <v>6</v>
      </c>
      <c r="C30" s="4" t="s">
        <v>6</v>
      </c>
      <c r="D30" s="25"/>
      <c r="E30" s="25"/>
      <c r="F30" s="25"/>
      <c r="G30" s="25"/>
      <c r="H30" s="26"/>
      <c r="I30" s="1" t="s">
        <v>27</v>
      </c>
      <c r="J30" s="1" t="s">
        <v>27</v>
      </c>
      <c r="K30" s="3" t="s">
        <v>5</v>
      </c>
      <c r="L30" s="25"/>
      <c r="M30" s="25"/>
      <c r="N30" s="25"/>
      <c r="O30" s="25"/>
      <c r="P30" s="26"/>
    </row>
    <row r="31" spans="1:34" x14ac:dyDescent="0.3">
      <c r="A31" s="1" t="s">
        <v>27</v>
      </c>
      <c r="B31" s="4" t="s">
        <v>6</v>
      </c>
      <c r="C31" s="4" t="s">
        <v>6</v>
      </c>
      <c r="D31" s="25"/>
      <c r="E31" s="25"/>
      <c r="F31" s="25"/>
      <c r="G31" s="25"/>
      <c r="H31" s="26"/>
      <c r="I31" s="1" t="s">
        <v>27</v>
      </c>
      <c r="J31" s="1" t="s">
        <v>27</v>
      </c>
      <c r="K31" s="15" t="s">
        <v>17</v>
      </c>
      <c r="L31" s="25"/>
      <c r="M31" s="25"/>
      <c r="N31" s="25"/>
      <c r="O31" s="25"/>
      <c r="P31" s="26"/>
      <c r="Y31">
        <f>SUM(Y3:Y28)</f>
        <v>1077</v>
      </c>
      <c r="AC31">
        <f>SUM(AC3:AC28)</f>
        <v>1074</v>
      </c>
      <c r="AD31">
        <f>SUM(AD3:AD28)+7000</f>
        <v>65360</v>
      </c>
    </row>
    <row r="32" spans="1:34" x14ac:dyDescent="0.3">
      <c r="A32" s="1" t="s">
        <v>27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1" t="s">
        <v>27</v>
      </c>
      <c r="K32" s="3" t="s">
        <v>5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 x14ac:dyDescent="0.3">
      <c r="A33" s="1" t="s">
        <v>27</v>
      </c>
      <c r="B33" s="4" t="s">
        <v>6</v>
      </c>
      <c r="C33" s="17" t="s">
        <v>20</v>
      </c>
      <c r="D33" s="25"/>
      <c r="E33" s="25"/>
      <c r="F33" s="25"/>
      <c r="G33" s="25"/>
      <c r="H33" s="26"/>
      <c r="I33" s="1" t="s">
        <v>27</v>
      </c>
      <c r="J33" s="1" t="s">
        <v>27</v>
      </c>
      <c r="K33" s="3" t="s">
        <v>5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 x14ac:dyDescent="0.3">
      <c r="A34" s="1" t="s">
        <v>27</v>
      </c>
      <c r="B34" s="4" t="s">
        <v>6</v>
      </c>
      <c r="C34" s="4" t="s">
        <v>6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3" t="s">
        <v>5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 x14ac:dyDescent="0.3">
      <c r="A35" s="1" t="s">
        <v>27</v>
      </c>
      <c r="B35" s="17" t="s">
        <v>20</v>
      </c>
      <c r="C35" s="4" t="s">
        <v>6</v>
      </c>
      <c r="D35" s="25"/>
      <c r="E35" s="25"/>
      <c r="F35" s="25"/>
      <c r="G35" s="25"/>
      <c r="H35" s="26"/>
      <c r="I35" s="1" t="s">
        <v>27</v>
      </c>
      <c r="J35" s="1" t="s">
        <v>27</v>
      </c>
      <c r="K35" s="15" t="s">
        <v>17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 x14ac:dyDescent="0.3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1" t="s">
        <v>27</v>
      </c>
      <c r="K36" s="16" t="s">
        <v>28</v>
      </c>
      <c r="L36" s="25"/>
      <c r="M36" s="25"/>
      <c r="N36" s="25"/>
      <c r="O36" s="25"/>
      <c r="P36" s="26"/>
      <c r="S36" t="s">
        <v>61</v>
      </c>
    </row>
    <row r="37" spans="1:19" x14ac:dyDescent="0.3">
      <c r="A37" s="1" t="s">
        <v>27</v>
      </c>
      <c r="B37" s="1" t="s">
        <v>27</v>
      </c>
      <c r="C37" s="17" t="s">
        <v>19</v>
      </c>
      <c r="D37" s="25"/>
      <c r="E37" s="25"/>
      <c r="F37" s="25"/>
      <c r="G37" s="25"/>
      <c r="H37" s="26"/>
      <c r="I37" s="1" t="s">
        <v>27</v>
      </c>
      <c r="J37" s="1" t="s">
        <v>27</v>
      </c>
      <c r="K37" s="3" t="s">
        <v>5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 x14ac:dyDescent="0.3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3" t="s">
        <v>5</v>
      </c>
      <c r="L38" s="25"/>
      <c r="M38" s="25"/>
      <c r="N38" s="25"/>
      <c r="O38" s="25"/>
      <c r="P38" s="26"/>
      <c r="R38">
        <v>6</v>
      </c>
      <c r="S38" t="s">
        <v>65</v>
      </c>
    </row>
    <row r="39" spans="1:19" x14ac:dyDescent="0.3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3" t="s">
        <v>5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 x14ac:dyDescent="0.3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3" t="s">
        <v>5</v>
      </c>
      <c r="L40" s="25"/>
      <c r="M40" s="25"/>
      <c r="N40" s="25"/>
      <c r="O40" s="25"/>
      <c r="P40" s="26"/>
    </row>
    <row r="41" spans="1:19" x14ac:dyDescent="0.3">
      <c r="A41" s="1" t="s">
        <v>27</v>
      </c>
      <c r="B41" s="1" t="s">
        <v>27</v>
      </c>
      <c r="C41" s="4" t="s">
        <v>6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15" t="s">
        <v>17</v>
      </c>
      <c r="L41" s="25"/>
      <c r="M41" s="25"/>
      <c r="N41" s="25"/>
      <c r="O41" s="25"/>
      <c r="P41" s="26"/>
    </row>
    <row r="42" spans="1:19" x14ac:dyDescent="0.3">
      <c r="A42" s="1" t="s">
        <v>27</v>
      </c>
      <c r="B42" s="1" t="s">
        <v>27</v>
      </c>
      <c r="C42" s="4" t="s">
        <v>6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3" t="s">
        <v>5</v>
      </c>
      <c r="L42" s="25"/>
      <c r="M42" s="25"/>
      <c r="N42" s="25"/>
      <c r="O42" s="25"/>
      <c r="P42" s="26"/>
    </row>
    <row r="43" spans="1:19" x14ac:dyDescent="0.3">
      <c r="A43" s="1" t="s">
        <v>27</v>
      </c>
      <c r="B43" s="1" t="s">
        <v>27</v>
      </c>
      <c r="C43" s="4" t="s">
        <v>6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3" t="s">
        <v>5</v>
      </c>
      <c r="L43" s="25"/>
      <c r="M43" s="25"/>
      <c r="N43" s="25"/>
      <c r="O43" s="25"/>
      <c r="P43" s="26"/>
    </row>
    <row r="44" spans="1:19" x14ac:dyDescent="0.3">
      <c r="A44" s="1" t="s">
        <v>27</v>
      </c>
      <c r="B44" s="1" t="s">
        <v>27</v>
      </c>
      <c r="C44" s="15" t="s">
        <v>17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3" t="s">
        <v>5</v>
      </c>
      <c r="L44" s="25"/>
      <c r="M44" s="25"/>
      <c r="N44" s="25"/>
      <c r="O44" s="25"/>
      <c r="P44" s="26"/>
    </row>
    <row r="45" spans="1:19" x14ac:dyDescent="0.3">
      <c r="A45" s="1" t="s">
        <v>27</v>
      </c>
      <c r="B45" s="1" t="s">
        <v>27</v>
      </c>
      <c r="C45" s="4" t="s">
        <v>6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3" t="s">
        <v>5</v>
      </c>
      <c r="L45" s="25"/>
      <c r="M45" s="25"/>
      <c r="N45" s="25"/>
      <c r="O45" s="25"/>
      <c r="P45" s="26"/>
    </row>
    <row r="46" spans="1:19" x14ac:dyDescent="0.3">
      <c r="A46" s="1" t="s">
        <v>27</v>
      </c>
      <c r="B46" s="1" t="s">
        <v>27</v>
      </c>
      <c r="C46" s="4" t="s">
        <v>6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5" t="s">
        <v>17</v>
      </c>
      <c r="L46" s="25"/>
      <c r="M46" s="25"/>
      <c r="N46" s="25"/>
      <c r="O46" s="25"/>
      <c r="P46" s="26"/>
    </row>
    <row r="47" spans="1:19" x14ac:dyDescent="0.3">
      <c r="A47" s="1" t="s">
        <v>27</v>
      </c>
      <c r="B47" s="1" t="s">
        <v>27</v>
      </c>
      <c r="C47" s="4" t="s">
        <v>6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 x14ac:dyDescent="0.3">
      <c r="A48" s="1" t="s">
        <v>27</v>
      </c>
      <c r="B48" s="1" t="s">
        <v>27</v>
      </c>
      <c r="C48" s="4" t="s">
        <v>6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 x14ac:dyDescent="0.3">
      <c r="A49" s="1" t="s">
        <v>27</v>
      </c>
      <c r="B49" s="1" t="s">
        <v>27</v>
      </c>
      <c r="C49" s="17" t="s">
        <v>20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 x14ac:dyDescent="0.3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 x14ac:dyDescent="0.3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 x14ac:dyDescent="0.3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 x14ac:dyDescent="0.3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 x14ac:dyDescent="0.3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 x14ac:dyDescent="0.3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 x14ac:dyDescent="0.3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 x14ac:dyDescent="0.3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 x14ac:dyDescent="0.3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 x14ac:dyDescent="0.3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 x14ac:dyDescent="0.3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 x14ac:dyDescent="0.3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 x14ac:dyDescent="0.3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 x14ac:dyDescent="0.3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 x14ac:dyDescent="0.3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 x14ac:dyDescent="0.3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 x14ac:dyDescent="0.3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 x14ac:dyDescent="0.3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 x14ac:dyDescent="0.3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 x14ac:dyDescent="0.3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 x14ac:dyDescent="0.3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 x14ac:dyDescent="0.3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 x14ac:dyDescent="0.3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 x14ac:dyDescent="0.3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 x14ac:dyDescent="0.3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 x14ac:dyDescent="0.3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 x14ac:dyDescent="0.3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 x14ac:dyDescent="0.3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 x14ac:dyDescent="0.3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 x14ac:dyDescent="0.3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 x14ac:dyDescent="0.3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 x14ac:dyDescent="0.3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 x14ac:dyDescent="0.3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 x14ac:dyDescent="0.3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 x14ac:dyDescent="0.3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 x14ac:dyDescent="0.3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 x14ac:dyDescent="0.3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 x14ac:dyDescent="0.3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 x14ac:dyDescent="0.3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 x14ac:dyDescent="0.3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 x14ac:dyDescent="0.3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 x14ac:dyDescent="0.3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 x14ac:dyDescent="0.3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 x14ac:dyDescent="0.3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 x14ac:dyDescent="0.3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 x14ac:dyDescent="0.3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 x14ac:dyDescent="0.3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 x14ac:dyDescent="0.3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 x14ac:dyDescent="0.3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 x14ac:dyDescent="0.3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 x14ac:dyDescent="0.35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8472-B6C4-4CB0-9D3B-6C5AF9D22B67}">
  <dimension ref="A1:AH100"/>
  <sheetViews>
    <sheetView topLeftCell="A22" zoomScale="85" zoomScaleNormal="85" workbookViewId="0">
      <selection activeCell="C19" sqref="C19:C49"/>
    </sheetView>
  </sheetViews>
  <sheetFormatPr defaultRowHeight="14.4" x14ac:dyDescent="0.3"/>
  <sheetData>
    <row r="1" spans="1:30" ht="15.6" x14ac:dyDescent="0.3">
      <c r="A1" s="60" t="s">
        <v>30</v>
      </c>
      <c r="B1" s="61"/>
      <c r="C1" s="61"/>
      <c r="D1" s="61"/>
      <c r="E1" s="61"/>
      <c r="F1" s="62" t="s">
        <v>3</v>
      </c>
      <c r="G1" s="62"/>
      <c r="H1" s="24" cm="1">
        <f t="array" ref="H1">SUM(VLOOKUP(A4:C100,$T$3:$W$36,4,FALSE))+H4*10-H8*50</f>
        <v>2396.6640071082738</v>
      </c>
      <c r="I1" s="63" t="s">
        <v>41</v>
      </c>
      <c r="J1" s="64"/>
      <c r="K1" s="64"/>
      <c r="L1" s="64"/>
      <c r="M1" s="64"/>
      <c r="N1" s="64"/>
      <c r="O1" s="64"/>
      <c r="P1" s="65"/>
      <c r="Q1" s="63" t="s">
        <v>48</v>
      </c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30" ht="28.8" x14ac:dyDescent="0.3">
      <c r="A2" s="66" t="s">
        <v>35</v>
      </c>
      <c r="B2" s="67"/>
      <c r="C2" s="67"/>
      <c r="D2" s="68" t="s">
        <v>37</v>
      </c>
      <c r="E2" s="69"/>
      <c r="F2" s="69"/>
      <c r="G2" s="69"/>
      <c r="H2" s="70"/>
      <c r="I2" s="71" t="s">
        <v>35</v>
      </c>
      <c r="J2" s="72"/>
      <c r="K2" s="72"/>
      <c r="L2" s="73" t="s">
        <v>37</v>
      </c>
      <c r="M2" s="73"/>
      <c r="N2" s="73"/>
      <c r="O2" s="73"/>
      <c r="P2" s="74"/>
      <c r="Q2" s="49" t="s">
        <v>43</v>
      </c>
      <c r="R2" s="50" cm="1">
        <f t="array" ref="R2">SUM(V3:V28*AB3:AB28)+H6+P6+R4*500</f>
        <v>65525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30" x14ac:dyDescent="0.3">
      <c r="A3" s="59" t="s">
        <v>31</v>
      </c>
      <c r="B3" s="58" t="s">
        <v>32</v>
      </c>
      <c r="C3" s="20" t="s">
        <v>33</v>
      </c>
      <c r="D3" s="32"/>
      <c r="E3" s="59" t="s">
        <v>31</v>
      </c>
      <c r="F3" s="58" t="s">
        <v>32</v>
      </c>
      <c r="G3" s="20" t="s">
        <v>33</v>
      </c>
      <c r="H3" s="33" t="s">
        <v>36</v>
      </c>
      <c r="I3" s="59" t="s">
        <v>31</v>
      </c>
      <c r="J3" s="58" t="s">
        <v>32</v>
      </c>
      <c r="K3" s="20" t="s">
        <v>33</v>
      </c>
      <c r="L3" s="32"/>
      <c r="M3" s="59" t="s">
        <v>31</v>
      </c>
      <c r="N3" s="58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16</v>
      </c>
      <c r="Z3" s="1">
        <f>COUNTIF($A$4:$C$100,T3)</f>
        <v>13</v>
      </c>
      <c r="AA3" s="1">
        <f>COUNTIF($I$4:$K$100,T3)</f>
        <v>3</v>
      </c>
      <c r="AB3" s="53">
        <f>Y3-Z3-AA3</f>
        <v>0</v>
      </c>
      <c r="AC3">
        <v>24</v>
      </c>
      <c r="AD3">
        <f>AC3*V3</f>
        <v>840</v>
      </c>
    </row>
    <row r="4" spans="1:30" x14ac:dyDescent="0.3">
      <c r="A4" s="2" t="s">
        <v>4</v>
      </c>
      <c r="B4" s="2" t="s">
        <v>4</v>
      </c>
      <c r="C4" s="1" t="s">
        <v>27</v>
      </c>
      <c r="D4" s="42" t="s">
        <v>34</v>
      </c>
      <c r="E4" s="38">
        <v>0</v>
      </c>
      <c r="F4" s="38">
        <v>0</v>
      </c>
      <c r="G4" s="38">
        <v>0</v>
      </c>
      <c r="H4" s="35">
        <f>SUM(E4:G4)</f>
        <v>0</v>
      </c>
      <c r="I4" s="15" t="s">
        <v>17</v>
      </c>
      <c r="J4" s="3" t="s">
        <v>5</v>
      </c>
      <c r="K4" s="3" t="s">
        <v>5</v>
      </c>
      <c r="L4" s="42" t="s">
        <v>34</v>
      </c>
      <c r="M4" s="38">
        <v>1</v>
      </c>
      <c r="N4" s="38">
        <v>0</v>
      </c>
      <c r="O4" s="38">
        <v>5</v>
      </c>
      <c r="P4" s="35">
        <f>SUM(M4:O4)</f>
        <v>6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38</v>
      </c>
      <c r="Z4" s="1">
        <f t="shared" ref="Z4:Z28" si="1">COUNTIF($A$4:$C$100,T4)</f>
        <v>7</v>
      </c>
      <c r="AA4" s="1">
        <f t="shared" ref="AA4:AA28" si="2">COUNTIF($I$4:$K$100,T4)</f>
        <v>31</v>
      </c>
      <c r="AB4" s="53">
        <f t="shared" ref="AB4:AB28" si="3">Y4-Z4-AA4</f>
        <v>0</v>
      </c>
      <c r="AC4">
        <v>25</v>
      </c>
      <c r="AD4">
        <f t="shared" ref="AD4:AD28" si="4">AC4*V4</f>
        <v>1000</v>
      </c>
    </row>
    <row r="5" spans="1:30" x14ac:dyDescent="0.3">
      <c r="A5" s="2" t="s">
        <v>4</v>
      </c>
      <c r="B5" s="2" t="s">
        <v>4</v>
      </c>
      <c r="C5" s="1" t="s">
        <v>27</v>
      </c>
      <c r="D5" s="32" t="s">
        <v>38</v>
      </c>
      <c r="E5" s="34" cm="1">
        <f t="array" ref="E5">(SUM(VLOOKUP(A4:A100,$T$3:$W$41,2,FALSE))+E4*10)-E8*50</f>
        <v>800</v>
      </c>
      <c r="F5" s="34" cm="1">
        <f t="array" ref="F5">(SUM(VLOOKUP(B4:B100,$T$3:$W$41,2,FALSE))+F4*10)-F8*50</f>
        <v>5080</v>
      </c>
      <c r="G5" s="34" cm="1">
        <f t="array" ref="G5">(SUM(VLOOKUP(C4:C100,$T$3:$W$41,2,FALSE))+G4*10)-G8*50</f>
        <v>6690</v>
      </c>
      <c r="H5" s="57">
        <f t="shared" ref="H5:H8" si="5">SUM(E5:G5)</f>
        <v>12570</v>
      </c>
      <c r="I5" s="1" t="s">
        <v>27</v>
      </c>
      <c r="J5" s="3" t="s">
        <v>5</v>
      </c>
      <c r="K5" s="3" t="s">
        <v>5</v>
      </c>
      <c r="L5" s="32" t="s">
        <v>38</v>
      </c>
      <c r="M5" s="34" cm="1">
        <f t="array" ref="M5">(SUM(VLOOKUP(I4:I100,$T$3:$W$41,2,FALSE))+M4*10)*0.8-M8*40</f>
        <v>128</v>
      </c>
      <c r="N5" s="34" cm="1">
        <f t="array" ref="N5">(SUM(VLOOKUP(J4:J100,$T$3:$W$41,2,FALSE))+N4*10)*0.8-N8*40</f>
        <v>672</v>
      </c>
      <c r="O5" s="34" cm="1">
        <f t="array" ref="O5">(SUM(VLOOKUP(K4:K100,$T$3:$W$41,2,FALSE))+O4*10)*0.8-O8*40</f>
        <v>3736</v>
      </c>
      <c r="P5" s="57">
        <f t="shared" ref="P5:P8" si="6">SUM(M5:O5)</f>
        <v>4536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244</v>
      </c>
      <c r="Z5" s="1">
        <f t="shared" si="1"/>
        <v>42</v>
      </c>
      <c r="AA5" s="1">
        <f t="shared" si="2"/>
        <v>0</v>
      </c>
      <c r="AB5" s="53">
        <f t="shared" si="3"/>
        <v>202</v>
      </c>
      <c r="AC5">
        <v>247</v>
      </c>
      <c r="AD5">
        <f t="shared" si="4"/>
        <v>11115</v>
      </c>
    </row>
    <row r="6" spans="1:30" x14ac:dyDescent="0.3">
      <c r="A6" s="15" t="s">
        <v>17</v>
      </c>
      <c r="B6" s="2" t="s">
        <v>4</v>
      </c>
      <c r="C6" s="2" t="s">
        <v>4</v>
      </c>
      <c r="D6" s="32" t="s">
        <v>39</v>
      </c>
      <c r="E6" s="34" cm="1">
        <f t="array" ref="E6">(SUM(VLOOKUP(A4:A100,$T$3:$W$41,3,FALSE)))</f>
        <v>205</v>
      </c>
      <c r="F6" s="34" cm="1">
        <f t="array" ref="F6">(SUM(VLOOKUP(B4:B100,$T$3:$W$41,3,FALSE)))</f>
        <v>1595</v>
      </c>
      <c r="G6" s="34" cm="1">
        <f t="array" ref="G6">(SUM(VLOOKUP(C4:C100,$T$3:$W$41,3,FALSE)))</f>
        <v>2320</v>
      </c>
      <c r="H6" s="48">
        <f t="shared" si="5"/>
        <v>4120</v>
      </c>
      <c r="I6" s="2" t="s">
        <v>4</v>
      </c>
      <c r="J6" s="9" t="s">
        <v>11</v>
      </c>
      <c r="K6" s="3" t="s">
        <v>5</v>
      </c>
      <c r="L6" s="32" t="s">
        <v>39</v>
      </c>
      <c r="M6" s="34" cm="1">
        <f t="array" ref="M6">(SUM(VLOOKUP(I4:I100,$T$3:$W$41,3,FALSE)))</f>
        <v>100</v>
      </c>
      <c r="N6" s="34" cm="1">
        <f t="array" ref="N6">(SUM(VLOOKUP(J4:J100,$T$3:$W$41,3,FALSE)))</f>
        <v>230</v>
      </c>
      <c r="O6" s="34" cm="1">
        <f t="array" ref="O6">(SUM(VLOOKUP(K4:K100,$T$3:$W$41,3,FALSE)))</f>
        <v>1875</v>
      </c>
      <c r="P6" s="48">
        <f t="shared" si="6"/>
        <v>2205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267</v>
      </c>
      <c r="Z6" s="1">
        <f t="shared" si="1"/>
        <v>2</v>
      </c>
      <c r="AA6" s="1">
        <f t="shared" si="2"/>
        <v>0</v>
      </c>
      <c r="AB6" s="53">
        <f t="shared" si="3"/>
        <v>265</v>
      </c>
      <c r="AC6">
        <v>267</v>
      </c>
      <c r="AD6">
        <f t="shared" si="4"/>
        <v>13350</v>
      </c>
    </row>
    <row r="7" spans="1:30" x14ac:dyDescent="0.3">
      <c r="A7" s="2" t="s">
        <v>4</v>
      </c>
      <c r="B7" s="2" t="s">
        <v>4</v>
      </c>
      <c r="C7" s="2" t="s">
        <v>4</v>
      </c>
      <c r="D7" s="32" t="s">
        <v>40</v>
      </c>
      <c r="E7" s="34">
        <f>COUNTIF(A4:A100,"&lt;&gt;空")</f>
        <v>6</v>
      </c>
      <c r="F7" s="34">
        <f>COUNTIF(B4:B100,"&lt;&gt;空")</f>
        <v>31</v>
      </c>
      <c r="G7" s="34">
        <f>COUNTIF(C4:C100,"&lt;&gt;空")</f>
        <v>44</v>
      </c>
      <c r="H7" s="35">
        <f t="shared" si="5"/>
        <v>81</v>
      </c>
      <c r="I7" s="2" t="s">
        <v>4</v>
      </c>
      <c r="J7" s="3" t="s">
        <v>5</v>
      </c>
      <c r="K7" s="15" t="s">
        <v>17</v>
      </c>
      <c r="L7" s="32" t="s">
        <v>40</v>
      </c>
      <c r="M7" s="34">
        <f>COUNTIF(I4:I100,"&lt;&gt;空")</f>
        <v>4</v>
      </c>
      <c r="N7" s="34">
        <f>COUNTIF(J4:J100,"&lt;&gt;空")</f>
        <v>6</v>
      </c>
      <c r="O7" s="34">
        <f>COUNTIF(K4:K100,"&lt;&gt;空")</f>
        <v>38</v>
      </c>
      <c r="P7" s="35">
        <f t="shared" si="6"/>
        <v>48</v>
      </c>
      <c r="Q7" s="52" t="s">
        <v>54</v>
      </c>
      <c r="R7" s="25">
        <v>1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235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  <c r="AD7">
        <f t="shared" si="4"/>
        <v>12925</v>
      </c>
    </row>
    <row r="8" spans="1:30" x14ac:dyDescent="0.3">
      <c r="A8" s="2" t="s">
        <v>4</v>
      </c>
      <c r="B8" s="2" t="s">
        <v>4</v>
      </c>
      <c r="C8" s="2" t="s">
        <v>4</v>
      </c>
      <c r="D8" s="41" t="s">
        <v>64</v>
      </c>
      <c r="E8" s="40">
        <v>0</v>
      </c>
      <c r="F8" s="40">
        <v>1</v>
      </c>
      <c r="G8" s="40">
        <v>0</v>
      </c>
      <c r="H8" s="35">
        <f t="shared" si="5"/>
        <v>1</v>
      </c>
      <c r="I8" s="16" t="s">
        <v>28</v>
      </c>
      <c r="J8" s="3" t="s">
        <v>5</v>
      </c>
      <c r="K8" s="3" t="s">
        <v>5</v>
      </c>
      <c r="L8" s="41" t="s">
        <v>64</v>
      </c>
      <c r="M8" s="40">
        <v>0</v>
      </c>
      <c r="N8" s="40">
        <v>0</v>
      </c>
      <c r="O8" s="40">
        <v>2</v>
      </c>
      <c r="P8" s="35">
        <f t="shared" si="6"/>
        <v>2</v>
      </c>
      <c r="Q8" s="49" t="s">
        <v>53</v>
      </c>
      <c r="R8" s="54" cm="1">
        <f t="array" ref="R8">R6-P5-H5-SUM(U3:U28*AB3:AB28)*0.8-R7*8</f>
        <v>14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194</v>
      </c>
      <c r="Z8" s="1">
        <f t="shared" si="1"/>
        <v>0</v>
      </c>
      <c r="AA8" s="1">
        <f t="shared" si="2"/>
        <v>0</v>
      </c>
      <c r="AB8" s="53">
        <f t="shared" si="3"/>
        <v>194</v>
      </c>
      <c r="AC8">
        <v>193</v>
      </c>
      <c r="AD8">
        <f t="shared" si="4"/>
        <v>11580</v>
      </c>
    </row>
    <row r="9" spans="1:30" x14ac:dyDescent="0.3">
      <c r="A9" s="2" t="s">
        <v>4</v>
      </c>
      <c r="B9" s="15" t="s">
        <v>17</v>
      </c>
      <c r="C9" s="16" t="s">
        <v>18</v>
      </c>
      <c r="D9" s="25"/>
      <c r="E9" s="25"/>
      <c r="F9" s="25"/>
      <c r="G9" s="25"/>
      <c r="H9" s="26"/>
      <c r="I9" s="1" t="s">
        <v>27</v>
      </c>
      <c r="J9" s="15" t="s">
        <v>17</v>
      </c>
      <c r="K9" s="3" t="s">
        <v>5</v>
      </c>
      <c r="L9" s="32" t="s">
        <v>42</v>
      </c>
      <c r="M9" s="36">
        <f>M6/M5</f>
        <v>0.78125</v>
      </c>
      <c r="N9" s="36">
        <f>N6/N5</f>
        <v>0.34226190476190477</v>
      </c>
      <c r="O9" s="36">
        <f>O6/O5</f>
        <v>0.5018736616702355</v>
      </c>
      <c r="P9" s="37">
        <f>P6/P5</f>
        <v>0.4861111111111111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7">U9-V9/0.330882</f>
        <v>44.222109392472248</v>
      </c>
      <c r="X9" s="45">
        <v>5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  <c r="AD9">
        <f t="shared" si="4"/>
        <v>0</v>
      </c>
    </row>
    <row r="10" spans="1:30" x14ac:dyDescent="0.3">
      <c r="A10" s="1" t="s">
        <v>27</v>
      </c>
      <c r="B10" s="1" t="s">
        <v>27</v>
      </c>
      <c r="C10" s="3" t="s">
        <v>5</v>
      </c>
      <c r="D10" s="25"/>
      <c r="E10" s="25"/>
      <c r="F10" s="25"/>
      <c r="G10" s="25"/>
      <c r="H10" s="26"/>
      <c r="I10" s="1" t="s">
        <v>27</v>
      </c>
      <c r="J10" s="1" t="s">
        <v>27</v>
      </c>
      <c r="K10" s="3" t="s">
        <v>5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7"/>
        <v>29.110982162825422</v>
      </c>
      <c r="X10" s="45">
        <v>6</v>
      </c>
      <c r="Y10" s="45">
        <v>2</v>
      </c>
      <c r="Z10" s="1">
        <f t="shared" si="1"/>
        <v>0</v>
      </c>
      <c r="AA10" s="1">
        <f t="shared" si="2"/>
        <v>1</v>
      </c>
      <c r="AB10" s="53">
        <f t="shared" si="3"/>
        <v>1</v>
      </c>
      <c r="AC10">
        <v>2</v>
      </c>
      <c r="AD10">
        <f t="shared" si="4"/>
        <v>80</v>
      </c>
    </row>
    <row r="11" spans="1:30" x14ac:dyDescent="0.3">
      <c r="A11" s="1" t="s">
        <v>27</v>
      </c>
      <c r="B11" s="4" t="s">
        <v>6</v>
      </c>
      <c r="C11" s="3" t="s">
        <v>5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15" t="s">
        <v>17</v>
      </c>
      <c r="L11" s="25"/>
      <c r="M11" s="25"/>
      <c r="N11" s="25"/>
      <c r="O11" s="25"/>
      <c r="P11" s="26">
        <f>H5+P5</f>
        <v>17106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>U11-V11/0.330882</f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6</v>
      </c>
      <c r="AD11">
        <f t="shared" si="4"/>
        <v>270</v>
      </c>
    </row>
    <row r="12" spans="1:30" x14ac:dyDescent="0.3">
      <c r="A12" s="1" t="s">
        <v>27</v>
      </c>
      <c r="B12" s="4" t="s">
        <v>6</v>
      </c>
      <c r="C12" s="3" t="s">
        <v>5</v>
      </c>
      <c r="D12" s="25"/>
      <c r="E12" s="25"/>
      <c r="F12" s="25"/>
      <c r="G12" s="25"/>
      <c r="H12" s="26"/>
      <c r="I12" s="1" t="s">
        <v>27</v>
      </c>
      <c r="J12" s="1" t="s">
        <v>27</v>
      </c>
      <c r="K12" s="1" t="s">
        <v>27</v>
      </c>
      <c r="L12" s="25"/>
      <c r="M12" s="25"/>
      <c r="N12" s="25"/>
      <c r="O12" s="25"/>
      <c r="P12" s="26">
        <f>H6+P6</f>
        <v>6325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  <c r="AD12">
        <f t="shared" si="4"/>
        <v>150</v>
      </c>
    </row>
    <row r="13" spans="1:30" x14ac:dyDescent="0.3">
      <c r="A13" s="1" t="s">
        <v>27</v>
      </c>
      <c r="B13" s="4" t="s">
        <v>6</v>
      </c>
      <c r="C13" s="3" t="s">
        <v>5</v>
      </c>
      <c r="D13" s="25"/>
      <c r="E13" s="25"/>
      <c r="F13" s="25"/>
      <c r="G13" s="25"/>
      <c r="H13" s="26"/>
      <c r="I13" s="1" t="s">
        <v>27</v>
      </c>
      <c r="J13" s="1" t="s">
        <v>27</v>
      </c>
      <c r="K13" s="1" t="s">
        <v>27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  <c r="AD13">
        <f t="shared" si="4"/>
        <v>165</v>
      </c>
    </row>
    <row r="14" spans="1:30" x14ac:dyDescent="0.3">
      <c r="A14" s="1" t="s">
        <v>27</v>
      </c>
      <c r="B14" s="4" t="s">
        <v>6</v>
      </c>
      <c r="C14" s="15" t="s">
        <v>17</v>
      </c>
      <c r="D14" s="25"/>
      <c r="E14" s="25"/>
      <c r="F14" s="25"/>
      <c r="G14" s="25"/>
      <c r="H14" s="26"/>
      <c r="I14" s="1" t="s">
        <v>27</v>
      </c>
      <c r="J14" s="1" t="s">
        <v>27</v>
      </c>
      <c r="K14" s="3" t="s">
        <v>5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  <c r="AD14">
        <f t="shared" si="4"/>
        <v>60</v>
      </c>
    </row>
    <row r="15" spans="1:30" x14ac:dyDescent="0.3">
      <c r="A15" s="1" t="s">
        <v>27</v>
      </c>
      <c r="B15" s="4" t="s">
        <v>6</v>
      </c>
      <c r="C15" s="3" t="s">
        <v>5</v>
      </c>
      <c r="D15" s="25"/>
      <c r="E15" s="25"/>
      <c r="F15" s="25"/>
      <c r="G15" s="25"/>
      <c r="H15" s="26"/>
      <c r="I15" s="1" t="s">
        <v>27</v>
      </c>
      <c r="J15" s="1" t="s">
        <v>27</v>
      </c>
      <c r="K15" s="3" t="s">
        <v>5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8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  <c r="AD15">
        <f t="shared" si="4"/>
        <v>0</v>
      </c>
    </row>
    <row r="16" spans="1:30" x14ac:dyDescent="0.3">
      <c r="A16" s="1" t="s">
        <v>27</v>
      </c>
      <c r="B16" s="4" t="s">
        <v>6</v>
      </c>
      <c r="C16" s="3" t="s">
        <v>5</v>
      </c>
      <c r="D16" s="25"/>
      <c r="E16" s="25"/>
      <c r="F16" s="25"/>
      <c r="G16" s="25"/>
      <c r="H16" s="26"/>
      <c r="I16" s="1" t="s">
        <v>27</v>
      </c>
      <c r="J16" s="1" t="s">
        <v>27</v>
      </c>
      <c r="K16" s="3" t="s">
        <v>5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6</v>
      </c>
      <c r="AA16" s="1">
        <f t="shared" si="2"/>
        <v>10</v>
      </c>
      <c r="AB16" s="53">
        <f t="shared" si="3"/>
        <v>22</v>
      </c>
      <c r="AC16">
        <v>38</v>
      </c>
      <c r="AD16">
        <f t="shared" si="4"/>
        <v>1140</v>
      </c>
    </row>
    <row r="17" spans="1:34" x14ac:dyDescent="0.3">
      <c r="A17" s="1" t="s">
        <v>27</v>
      </c>
      <c r="B17" s="17" t="s">
        <v>19</v>
      </c>
      <c r="C17" s="3" t="s">
        <v>5</v>
      </c>
      <c r="D17" s="25"/>
      <c r="E17" s="25"/>
      <c r="F17" s="25"/>
      <c r="G17" s="25"/>
      <c r="H17" s="26"/>
      <c r="I17" s="1" t="s">
        <v>27</v>
      </c>
      <c r="J17" s="1" t="s">
        <v>27</v>
      </c>
      <c r="K17" s="3" t="s">
        <v>5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1</v>
      </c>
      <c r="Y17" s="45">
        <v>1</v>
      </c>
      <c r="Z17" s="1">
        <f t="shared" si="1"/>
        <v>1</v>
      </c>
      <c r="AA17" s="1">
        <f t="shared" si="2"/>
        <v>0</v>
      </c>
      <c r="AB17" s="53">
        <f t="shared" si="3"/>
        <v>0</v>
      </c>
      <c r="AC17">
        <v>0</v>
      </c>
      <c r="AD17">
        <f t="shared" si="4"/>
        <v>0</v>
      </c>
    </row>
    <row r="18" spans="1:34" x14ac:dyDescent="0.3">
      <c r="A18" s="1" t="s">
        <v>27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1" t="s">
        <v>27</v>
      </c>
      <c r="J18" s="1" t="s">
        <v>27</v>
      </c>
      <c r="K18" s="3" t="s">
        <v>5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300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  <c r="AC18">
        <v>0</v>
      </c>
      <c r="AD18">
        <f t="shared" si="4"/>
        <v>0</v>
      </c>
    </row>
    <row r="19" spans="1:34" x14ac:dyDescent="0.3">
      <c r="A19" s="1" t="s">
        <v>27</v>
      </c>
      <c r="B19" s="4" t="s">
        <v>6</v>
      </c>
      <c r="C19" s="17" t="s">
        <v>20</v>
      </c>
      <c r="D19" s="25"/>
      <c r="E19" s="25"/>
      <c r="F19" s="25"/>
      <c r="G19" s="25"/>
      <c r="H19" s="26"/>
      <c r="I19" s="1" t="s">
        <v>27</v>
      </c>
      <c r="J19" s="1" t="s">
        <v>27</v>
      </c>
      <c r="K19" s="15" t="s">
        <v>17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  <c r="AD19">
        <f t="shared" si="4"/>
        <v>225</v>
      </c>
    </row>
    <row r="20" spans="1:34" x14ac:dyDescent="0.3">
      <c r="A20" s="1" t="s">
        <v>27</v>
      </c>
      <c r="B20" s="5" t="s">
        <v>7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1" t="s">
        <v>27</v>
      </c>
      <c r="K20" s="2" t="s">
        <v>4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C20">
        <v>2</v>
      </c>
      <c r="AD20">
        <f t="shared" si="4"/>
        <v>400</v>
      </c>
    </row>
    <row r="21" spans="1:34" x14ac:dyDescent="0.3">
      <c r="A21" s="1" t="s">
        <v>27</v>
      </c>
      <c r="B21" s="5" t="s">
        <v>7</v>
      </c>
      <c r="C21" s="15" t="s">
        <v>17</v>
      </c>
      <c r="D21" s="25"/>
      <c r="E21" s="25"/>
      <c r="F21" s="25"/>
      <c r="G21" s="25"/>
      <c r="H21" s="26"/>
      <c r="I21" s="1" t="s">
        <v>27</v>
      </c>
      <c r="J21" s="1" t="s">
        <v>27</v>
      </c>
      <c r="K21" s="3" t="s">
        <v>5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  <c r="AD21">
        <f t="shared" si="4"/>
        <v>2000</v>
      </c>
    </row>
    <row r="22" spans="1:34" x14ac:dyDescent="0.3">
      <c r="A22" s="1" t="s">
        <v>27</v>
      </c>
      <c r="B22" s="4" t="s">
        <v>6</v>
      </c>
      <c r="C22" s="4" t="s">
        <v>6</v>
      </c>
      <c r="D22" s="25"/>
      <c r="E22" s="25"/>
      <c r="F22" s="25"/>
      <c r="G22" s="25"/>
      <c r="H22" s="26"/>
      <c r="I22" s="1" t="s">
        <v>27</v>
      </c>
      <c r="J22" s="1" t="s">
        <v>27</v>
      </c>
      <c r="K22" s="3" t="s">
        <v>5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  <c r="AC22">
        <v>3</v>
      </c>
      <c r="AD22">
        <f t="shared" si="4"/>
        <v>1500</v>
      </c>
    </row>
    <row r="23" spans="1:34" x14ac:dyDescent="0.3">
      <c r="A23" s="1" t="s">
        <v>27</v>
      </c>
      <c r="B23" s="10" t="s">
        <v>12</v>
      </c>
      <c r="C23" s="17" t="s">
        <v>19</v>
      </c>
      <c r="D23" s="25"/>
      <c r="E23" s="25"/>
      <c r="F23" s="25"/>
      <c r="G23" s="25"/>
      <c r="H23" s="26"/>
      <c r="I23" s="1" t="s">
        <v>27</v>
      </c>
      <c r="J23" s="1" t="s">
        <v>27</v>
      </c>
      <c r="K23" s="1" t="s">
        <v>27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9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  <c r="AD23">
        <f t="shared" si="4"/>
        <v>0</v>
      </c>
    </row>
    <row r="24" spans="1:34" x14ac:dyDescent="0.3">
      <c r="A24" s="1" t="s">
        <v>27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1" t="s">
        <v>27</v>
      </c>
      <c r="K24" s="15" t="s">
        <v>17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9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  <c r="AD24">
        <f t="shared" si="4"/>
        <v>0</v>
      </c>
    </row>
    <row r="25" spans="1:34" x14ac:dyDescent="0.3">
      <c r="A25" s="1" t="s">
        <v>27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1" t="s">
        <v>27</v>
      </c>
      <c r="K25" s="3" t="s">
        <v>5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9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  <c r="AD25">
        <f t="shared" si="4"/>
        <v>0</v>
      </c>
    </row>
    <row r="26" spans="1:34" x14ac:dyDescent="0.3">
      <c r="A26" s="1" t="s">
        <v>27</v>
      </c>
      <c r="B26" s="17" t="s">
        <v>20</v>
      </c>
      <c r="C26" s="10" t="s">
        <v>12</v>
      </c>
      <c r="D26" s="25"/>
      <c r="E26" s="25"/>
      <c r="F26" s="25"/>
      <c r="G26" s="25"/>
      <c r="H26" s="26"/>
      <c r="I26" s="1" t="s">
        <v>27</v>
      </c>
      <c r="J26" s="1" t="s">
        <v>27</v>
      </c>
      <c r="K26" s="3" t="s">
        <v>5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9"/>
        <v>0</v>
      </c>
      <c r="X26" s="45">
        <v>0</v>
      </c>
      <c r="Y26" s="45">
        <v>0</v>
      </c>
      <c r="Z26" s="1"/>
      <c r="AA26" s="1"/>
      <c r="AB26" s="53"/>
      <c r="AD26">
        <f t="shared" si="4"/>
        <v>0</v>
      </c>
    </row>
    <row r="27" spans="1:34" x14ac:dyDescent="0.3">
      <c r="A27" s="1" t="s">
        <v>27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1" t="s">
        <v>27</v>
      </c>
      <c r="J27" s="1" t="s">
        <v>27</v>
      </c>
      <c r="K27" s="3" t="s">
        <v>5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14</v>
      </c>
      <c r="Y27" s="45">
        <v>14</v>
      </c>
      <c r="Z27" s="1">
        <f t="shared" si="1"/>
        <v>0</v>
      </c>
      <c r="AA27" s="1">
        <f t="shared" si="2"/>
        <v>2</v>
      </c>
      <c r="AB27" s="53">
        <f t="shared" si="3"/>
        <v>12</v>
      </c>
      <c r="AC27">
        <v>15</v>
      </c>
      <c r="AD27">
        <f t="shared" si="4"/>
        <v>0</v>
      </c>
      <c r="AE27">
        <v>3</v>
      </c>
      <c r="AF27">
        <v>4</v>
      </c>
      <c r="AG27">
        <v>5</v>
      </c>
      <c r="AH27">
        <v>6</v>
      </c>
    </row>
    <row r="28" spans="1:34" x14ac:dyDescent="0.3">
      <c r="A28" s="1" t="s">
        <v>27</v>
      </c>
      <c r="B28" s="4" t="s">
        <v>6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1" t="s">
        <v>27</v>
      </c>
      <c r="K28" s="15" t="s">
        <v>17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>
        <v>10</v>
      </c>
      <c r="X28" s="45">
        <v>3</v>
      </c>
      <c r="Y28" s="45">
        <v>3</v>
      </c>
      <c r="Z28" s="1">
        <f t="shared" si="1"/>
        <v>0</v>
      </c>
      <c r="AA28" s="1">
        <f t="shared" si="2"/>
        <v>1</v>
      </c>
      <c r="AB28" s="53">
        <f t="shared" si="3"/>
        <v>2</v>
      </c>
      <c r="AC28">
        <v>3</v>
      </c>
      <c r="AD28">
        <f t="shared" si="4"/>
        <v>1560</v>
      </c>
      <c r="AE28">
        <v>4</v>
      </c>
      <c r="AF28">
        <v>3</v>
      </c>
      <c r="AG28">
        <v>3</v>
      </c>
      <c r="AH28">
        <v>1</v>
      </c>
    </row>
    <row r="29" spans="1:34" ht="15" thickBot="1" x14ac:dyDescent="0.35">
      <c r="A29" s="1" t="s">
        <v>27</v>
      </c>
      <c r="B29" s="4" t="s">
        <v>6</v>
      </c>
      <c r="C29" s="15" t="s">
        <v>17</v>
      </c>
      <c r="D29" s="25"/>
      <c r="E29" s="25"/>
      <c r="F29" s="25"/>
      <c r="G29" s="25"/>
      <c r="H29" s="26"/>
      <c r="I29" s="1" t="s">
        <v>27</v>
      </c>
      <c r="J29" s="1" t="s">
        <v>27</v>
      </c>
      <c r="K29" s="3" t="s">
        <v>5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  <c r="AE29">
        <v>2</v>
      </c>
    </row>
    <row r="30" spans="1:34" x14ac:dyDescent="0.3">
      <c r="A30" s="1" t="s">
        <v>27</v>
      </c>
      <c r="B30" s="4" t="s">
        <v>6</v>
      </c>
      <c r="C30" s="4" t="s">
        <v>6</v>
      </c>
      <c r="D30" s="25"/>
      <c r="E30" s="25"/>
      <c r="F30" s="25"/>
      <c r="G30" s="25"/>
      <c r="H30" s="26"/>
      <c r="I30" s="1" t="s">
        <v>27</v>
      </c>
      <c r="J30" s="1" t="s">
        <v>27</v>
      </c>
      <c r="K30" s="3" t="s">
        <v>5</v>
      </c>
      <c r="L30" s="25"/>
      <c r="M30" s="25"/>
      <c r="N30" s="25"/>
      <c r="O30" s="25"/>
      <c r="P30" s="26"/>
    </row>
    <row r="31" spans="1:34" x14ac:dyDescent="0.3">
      <c r="A31" s="1" t="s">
        <v>27</v>
      </c>
      <c r="B31" s="4" t="s">
        <v>6</v>
      </c>
      <c r="C31" s="4" t="s">
        <v>6</v>
      </c>
      <c r="D31" s="25"/>
      <c r="E31" s="25"/>
      <c r="F31" s="25"/>
      <c r="G31" s="25"/>
      <c r="H31" s="26"/>
      <c r="I31" s="1" t="s">
        <v>27</v>
      </c>
      <c r="J31" s="1" t="s">
        <v>27</v>
      </c>
      <c r="K31" s="3" t="s">
        <v>5</v>
      </c>
      <c r="L31" s="25"/>
      <c r="M31" s="25"/>
      <c r="N31" s="25"/>
      <c r="O31" s="25"/>
      <c r="P31" s="26"/>
      <c r="Y31">
        <f>SUM(Y3:Y28)</f>
        <v>1077</v>
      </c>
      <c r="AC31">
        <f>SUM(AC3:AC28)</f>
        <v>1074</v>
      </c>
      <c r="AD31">
        <f>SUM(AD3:AD28)+7000</f>
        <v>65360</v>
      </c>
    </row>
    <row r="32" spans="1:34" x14ac:dyDescent="0.3">
      <c r="A32" s="1" t="s">
        <v>27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1" t="s">
        <v>27</v>
      </c>
      <c r="K32" s="16" t="s">
        <v>28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 x14ac:dyDescent="0.3">
      <c r="A33" s="1" t="s">
        <v>27</v>
      </c>
      <c r="B33" s="4" t="s">
        <v>6</v>
      </c>
      <c r="C33" s="17" t="s">
        <v>20</v>
      </c>
      <c r="D33" s="25"/>
      <c r="E33" s="25"/>
      <c r="F33" s="25"/>
      <c r="G33" s="25"/>
      <c r="H33" s="26"/>
      <c r="I33" s="1" t="s">
        <v>27</v>
      </c>
      <c r="J33" s="1" t="s">
        <v>27</v>
      </c>
      <c r="K33" s="15" t="s">
        <v>17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 x14ac:dyDescent="0.3">
      <c r="A34" s="1" t="s">
        <v>27</v>
      </c>
      <c r="B34" s="4" t="s">
        <v>6</v>
      </c>
      <c r="C34" s="4" t="s">
        <v>6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1" t="s">
        <v>27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 x14ac:dyDescent="0.3">
      <c r="A35" s="1" t="s">
        <v>27</v>
      </c>
      <c r="B35" s="17" t="s">
        <v>20</v>
      </c>
      <c r="C35" s="4" t="s">
        <v>6</v>
      </c>
      <c r="D35" s="25"/>
      <c r="E35" s="25"/>
      <c r="F35" s="25"/>
      <c r="G35" s="25"/>
      <c r="H35" s="26"/>
      <c r="I35" s="1" t="s">
        <v>27</v>
      </c>
      <c r="J35" s="1" t="s">
        <v>27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 x14ac:dyDescent="0.3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1" t="s">
        <v>27</v>
      </c>
      <c r="K36" s="23" t="s">
        <v>29</v>
      </c>
      <c r="L36" s="25"/>
      <c r="M36" s="25"/>
      <c r="N36" s="25"/>
      <c r="O36" s="25"/>
      <c r="P36" s="26"/>
      <c r="S36" t="s">
        <v>61</v>
      </c>
    </row>
    <row r="37" spans="1:19" x14ac:dyDescent="0.3">
      <c r="A37" s="1" t="s">
        <v>27</v>
      </c>
      <c r="B37" s="1" t="s">
        <v>27</v>
      </c>
      <c r="C37" s="17" t="s">
        <v>19</v>
      </c>
      <c r="D37" s="25"/>
      <c r="E37" s="25"/>
      <c r="F37" s="25"/>
      <c r="G37" s="25"/>
      <c r="H37" s="26"/>
      <c r="I37" s="1" t="s">
        <v>27</v>
      </c>
      <c r="J37" s="1" t="s">
        <v>27</v>
      </c>
      <c r="K37" s="3" t="s">
        <v>5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 x14ac:dyDescent="0.3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3" t="s">
        <v>5</v>
      </c>
      <c r="L38" s="25"/>
      <c r="M38" s="25"/>
      <c r="N38" s="25"/>
      <c r="O38" s="25"/>
      <c r="P38" s="26"/>
      <c r="R38">
        <v>6</v>
      </c>
      <c r="S38" t="s">
        <v>65</v>
      </c>
    </row>
    <row r="39" spans="1:19" x14ac:dyDescent="0.3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3" t="s">
        <v>5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 x14ac:dyDescent="0.3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3" t="s">
        <v>5</v>
      </c>
      <c r="L40" s="25"/>
      <c r="M40" s="25"/>
      <c r="N40" s="25"/>
      <c r="O40" s="25"/>
      <c r="P40" s="26"/>
    </row>
    <row r="41" spans="1:19" x14ac:dyDescent="0.3">
      <c r="A41" s="1" t="s">
        <v>27</v>
      </c>
      <c r="B41" s="1" t="s">
        <v>27</v>
      </c>
      <c r="C41" s="4" t="s">
        <v>6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15" t="s">
        <v>17</v>
      </c>
      <c r="L41" s="25"/>
      <c r="M41" s="25"/>
      <c r="N41" s="25"/>
      <c r="O41" s="25"/>
      <c r="P41" s="26"/>
    </row>
    <row r="42" spans="1:19" x14ac:dyDescent="0.3">
      <c r="A42" s="1" t="s">
        <v>27</v>
      </c>
      <c r="B42" s="1" t="s">
        <v>27</v>
      </c>
      <c r="C42" s="4" t="s">
        <v>6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3" t="s">
        <v>5</v>
      </c>
      <c r="L42" s="25"/>
      <c r="M42" s="25"/>
      <c r="N42" s="25"/>
      <c r="O42" s="25"/>
      <c r="P42" s="26"/>
    </row>
    <row r="43" spans="1:19" x14ac:dyDescent="0.3">
      <c r="A43" s="1" t="s">
        <v>27</v>
      </c>
      <c r="B43" s="1" t="s">
        <v>27</v>
      </c>
      <c r="C43" s="4" t="s">
        <v>6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3" t="s">
        <v>5</v>
      </c>
      <c r="L43" s="25"/>
      <c r="M43" s="25"/>
      <c r="N43" s="25"/>
      <c r="O43" s="25"/>
      <c r="P43" s="26"/>
    </row>
    <row r="44" spans="1:19" x14ac:dyDescent="0.3">
      <c r="A44" s="1" t="s">
        <v>27</v>
      </c>
      <c r="B44" s="1" t="s">
        <v>27</v>
      </c>
      <c r="C44" s="15" t="s">
        <v>17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3" t="s">
        <v>5</v>
      </c>
      <c r="L44" s="25"/>
      <c r="M44" s="25"/>
      <c r="N44" s="25"/>
      <c r="O44" s="25"/>
      <c r="P44" s="26"/>
    </row>
    <row r="45" spans="1:19" x14ac:dyDescent="0.3">
      <c r="A45" s="1" t="s">
        <v>27</v>
      </c>
      <c r="B45" s="1" t="s">
        <v>27</v>
      </c>
      <c r="C45" s="4" t="s">
        <v>6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3" t="s">
        <v>5</v>
      </c>
      <c r="L45" s="25"/>
      <c r="M45" s="25"/>
      <c r="N45" s="25"/>
      <c r="O45" s="25"/>
      <c r="P45" s="26"/>
    </row>
    <row r="46" spans="1:19" x14ac:dyDescent="0.3">
      <c r="A46" s="1" t="s">
        <v>27</v>
      </c>
      <c r="B46" s="1" t="s">
        <v>27</v>
      </c>
      <c r="C46" s="4" t="s">
        <v>6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5" t="s">
        <v>17</v>
      </c>
      <c r="L46" s="25"/>
      <c r="M46" s="25"/>
      <c r="N46" s="25"/>
      <c r="O46" s="25"/>
      <c r="P46" s="26"/>
    </row>
    <row r="47" spans="1:19" x14ac:dyDescent="0.3">
      <c r="A47" s="1" t="s">
        <v>27</v>
      </c>
      <c r="B47" s="1" t="s">
        <v>27</v>
      </c>
      <c r="C47" s="4" t="s">
        <v>6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 x14ac:dyDescent="0.3">
      <c r="A48" s="1" t="s">
        <v>27</v>
      </c>
      <c r="B48" s="1" t="s">
        <v>27</v>
      </c>
      <c r="C48" s="4" t="s">
        <v>6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 x14ac:dyDescent="0.3">
      <c r="A49" s="1" t="s">
        <v>27</v>
      </c>
      <c r="B49" s="1" t="s">
        <v>27</v>
      </c>
      <c r="C49" s="17" t="s">
        <v>20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 x14ac:dyDescent="0.3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 x14ac:dyDescent="0.3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 x14ac:dyDescent="0.3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 x14ac:dyDescent="0.3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 x14ac:dyDescent="0.3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 x14ac:dyDescent="0.3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 x14ac:dyDescent="0.3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 x14ac:dyDescent="0.3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 x14ac:dyDescent="0.3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 x14ac:dyDescent="0.3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 x14ac:dyDescent="0.3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 x14ac:dyDescent="0.3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 x14ac:dyDescent="0.3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 x14ac:dyDescent="0.3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 x14ac:dyDescent="0.3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 x14ac:dyDescent="0.3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 x14ac:dyDescent="0.3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 x14ac:dyDescent="0.3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 x14ac:dyDescent="0.3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 x14ac:dyDescent="0.3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 x14ac:dyDescent="0.3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 x14ac:dyDescent="0.3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 x14ac:dyDescent="0.3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 x14ac:dyDescent="0.3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 x14ac:dyDescent="0.3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 x14ac:dyDescent="0.3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 x14ac:dyDescent="0.3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 x14ac:dyDescent="0.3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 x14ac:dyDescent="0.3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 x14ac:dyDescent="0.3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 x14ac:dyDescent="0.3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 x14ac:dyDescent="0.3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 x14ac:dyDescent="0.3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 x14ac:dyDescent="0.3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 x14ac:dyDescent="0.3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 x14ac:dyDescent="0.3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 x14ac:dyDescent="0.3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 x14ac:dyDescent="0.3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 x14ac:dyDescent="0.3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 x14ac:dyDescent="0.3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 x14ac:dyDescent="0.3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 x14ac:dyDescent="0.3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 x14ac:dyDescent="0.3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 x14ac:dyDescent="0.3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 x14ac:dyDescent="0.3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 x14ac:dyDescent="0.3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 x14ac:dyDescent="0.3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 x14ac:dyDescent="0.3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 x14ac:dyDescent="0.3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 x14ac:dyDescent="0.3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 x14ac:dyDescent="0.35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845F-7A34-41D6-BD99-86BC2D6569D7}">
  <dimension ref="A1:AH100"/>
  <sheetViews>
    <sheetView zoomScale="85" zoomScaleNormal="85" workbookViewId="0">
      <selection activeCell="F16" sqref="F16"/>
    </sheetView>
  </sheetViews>
  <sheetFormatPr defaultRowHeight="14.4" x14ac:dyDescent="0.3"/>
  <sheetData>
    <row r="1" spans="1:30" ht="15.6" x14ac:dyDescent="0.3">
      <c r="A1" s="60" t="s">
        <v>30</v>
      </c>
      <c r="B1" s="61"/>
      <c r="C1" s="61"/>
      <c r="D1" s="61"/>
      <c r="E1" s="61"/>
      <c r="F1" s="62" t="s">
        <v>3</v>
      </c>
      <c r="G1" s="62"/>
      <c r="H1" s="24" cm="1">
        <f t="array" ref="H1">SUM(VLOOKUP(A4:C100,$T$3:$W$36,4,FALSE))+H4*10-H8*50</f>
        <v>2477.9968085299288</v>
      </c>
      <c r="I1" s="63" t="s">
        <v>41</v>
      </c>
      <c r="J1" s="64"/>
      <c r="K1" s="64"/>
      <c r="L1" s="64"/>
      <c r="M1" s="64"/>
      <c r="N1" s="64"/>
      <c r="O1" s="64"/>
      <c r="P1" s="65"/>
      <c r="Q1" s="63" t="s">
        <v>48</v>
      </c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30" ht="28.8" x14ac:dyDescent="0.3">
      <c r="A2" s="66" t="s">
        <v>35</v>
      </c>
      <c r="B2" s="67"/>
      <c r="C2" s="67"/>
      <c r="D2" s="68" t="s">
        <v>37</v>
      </c>
      <c r="E2" s="69"/>
      <c r="F2" s="69"/>
      <c r="G2" s="69"/>
      <c r="H2" s="70"/>
      <c r="I2" s="71" t="s">
        <v>35</v>
      </c>
      <c r="J2" s="72"/>
      <c r="K2" s="72"/>
      <c r="L2" s="73" t="s">
        <v>37</v>
      </c>
      <c r="M2" s="73"/>
      <c r="N2" s="73"/>
      <c r="O2" s="73"/>
      <c r="P2" s="74"/>
      <c r="Q2" s="49" t="s">
        <v>43</v>
      </c>
      <c r="R2" s="50" cm="1">
        <f t="array" ref="R2">SUM(V3:V28*AB3:AB28)+H6+P6+R4*500</f>
        <v>65495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30" x14ac:dyDescent="0.3">
      <c r="A3" s="59" t="s">
        <v>31</v>
      </c>
      <c r="B3" s="58" t="s">
        <v>32</v>
      </c>
      <c r="C3" s="20" t="s">
        <v>33</v>
      </c>
      <c r="D3" s="32"/>
      <c r="E3" s="59" t="s">
        <v>31</v>
      </c>
      <c r="F3" s="58" t="s">
        <v>32</v>
      </c>
      <c r="G3" s="20" t="s">
        <v>33</v>
      </c>
      <c r="H3" s="33" t="s">
        <v>36</v>
      </c>
      <c r="I3" s="59" t="s">
        <v>31</v>
      </c>
      <c r="J3" s="58" t="s">
        <v>32</v>
      </c>
      <c r="K3" s="20" t="s">
        <v>33</v>
      </c>
      <c r="L3" s="32"/>
      <c r="M3" s="59" t="s">
        <v>31</v>
      </c>
      <c r="N3" s="58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18</v>
      </c>
      <c r="Z3" s="1">
        <f>COUNTIF($A$4:$C$100,T3)</f>
        <v>4</v>
      </c>
      <c r="AA3" s="1">
        <f>COUNTIF($I$4:$K$100,T3)</f>
        <v>5</v>
      </c>
      <c r="AB3" s="53">
        <f>Y3-Z3-AA3</f>
        <v>9</v>
      </c>
      <c r="AC3">
        <v>24</v>
      </c>
      <c r="AD3">
        <f>AC3*V3</f>
        <v>840</v>
      </c>
    </row>
    <row r="4" spans="1:30" x14ac:dyDescent="0.3">
      <c r="A4" s="2" t="s">
        <v>4</v>
      </c>
      <c r="B4" s="2" t="s">
        <v>4</v>
      </c>
      <c r="C4" s="3" t="s">
        <v>5</v>
      </c>
      <c r="D4" s="42" t="s">
        <v>34</v>
      </c>
      <c r="E4" s="38">
        <v>0</v>
      </c>
      <c r="F4" s="38">
        <v>0</v>
      </c>
      <c r="G4" s="38">
        <v>0</v>
      </c>
      <c r="H4" s="35">
        <f>SUM(E4:G4)</f>
        <v>0</v>
      </c>
      <c r="I4" s="15" t="s">
        <v>17</v>
      </c>
      <c r="J4" s="3" t="s">
        <v>5</v>
      </c>
      <c r="K4" s="3" t="s">
        <v>5</v>
      </c>
      <c r="L4" s="42" t="s">
        <v>34</v>
      </c>
      <c r="M4" s="38">
        <v>1</v>
      </c>
      <c r="N4" s="38">
        <v>0</v>
      </c>
      <c r="O4" s="38">
        <v>4</v>
      </c>
      <c r="P4" s="35">
        <f>SUM(M4:O4)</f>
        <v>5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40</v>
      </c>
      <c r="Z4" s="1">
        <f t="shared" ref="Z4:Z28" si="1">COUNTIF($A$4:$C$100,T4)</f>
        <v>19</v>
      </c>
      <c r="AA4" s="1">
        <f t="shared" ref="AA4:AA28" si="2">COUNTIF($I$4:$K$100,T4)</f>
        <v>33</v>
      </c>
      <c r="AB4" s="53">
        <f t="shared" ref="AB4:AB28" si="3">Y4-Z4-AA4</f>
        <v>-12</v>
      </c>
      <c r="AC4">
        <v>25</v>
      </c>
      <c r="AD4">
        <f t="shared" ref="AD4:AD28" si="4">AC4*V4</f>
        <v>1000</v>
      </c>
    </row>
    <row r="5" spans="1:30" x14ac:dyDescent="0.3">
      <c r="A5" s="2" t="s">
        <v>4</v>
      </c>
      <c r="B5" s="15" t="s">
        <v>17</v>
      </c>
      <c r="C5" s="3" t="s">
        <v>5</v>
      </c>
      <c r="D5" s="32" t="s">
        <v>38</v>
      </c>
      <c r="E5" s="34" cm="1">
        <f t="array" ref="E5">(SUM(VLOOKUP(A4:A100,$T$3:$W$41,2,FALSE))+E4*10)-E8*50</f>
        <v>500</v>
      </c>
      <c r="F5" s="34" cm="1">
        <f t="array" ref="F5">(SUM(VLOOKUP(B4:B100,$T$3:$W$41,2,FALSE))+F4*10)-F8*50</f>
        <v>4480</v>
      </c>
      <c r="G5" s="34" cm="1">
        <f t="array" ref="G5">(SUM(VLOOKUP(C4:C100,$T$3:$W$41,2,FALSE))+G4*10)-G8*50</f>
        <v>8410</v>
      </c>
      <c r="H5" s="57">
        <f t="shared" ref="H5:H8" si="5">SUM(E5:G5)</f>
        <v>13390</v>
      </c>
      <c r="I5" s="1" t="s">
        <v>27</v>
      </c>
      <c r="J5" s="3" t="s">
        <v>5</v>
      </c>
      <c r="K5" s="3" t="s">
        <v>5</v>
      </c>
      <c r="L5" s="32" t="s">
        <v>38</v>
      </c>
      <c r="M5" s="34" cm="1">
        <f t="array" ref="M5">(SUM(VLOOKUP(I4:I100,$T$3:$W$41,2,FALSE))+M4*10)*0.8-M8*40</f>
        <v>128</v>
      </c>
      <c r="N5" s="34" cm="1">
        <f t="array" ref="N5">(SUM(VLOOKUP(J4:J100,$T$3:$W$41,2,FALSE))+N4*10)*0.8-N8*40</f>
        <v>672</v>
      </c>
      <c r="O5" s="34" cm="1">
        <f t="array" ref="O5">(SUM(VLOOKUP(K4:K100,$T$3:$W$41,2,FALSE))+O4*10)*0.8-O8*40</f>
        <v>4384</v>
      </c>
      <c r="P5" s="57">
        <f t="shared" ref="P5:P8" si="6">SUM(M5:O5)</f>
        <v>5184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240</v>
      </c>
      <c r="Z5" s="1">
        <f t="shared" si="1"/>
        <v>42</v>
      </c>
      <c r="AA5" s="1">
        <f t="shared" si="2"/>
        <v>0</v>
      </c>
      <c r="AB5" s="53">
        <f t="shared" si="3"/>
        <v>198</v>
      </c>
      <c r="AC5">
        <v>247</v>
      </c>
      <c r="AD5">
        <f t="shared" si="4"/>
        <v>11115</v>
      </c>
    </row>
    <row r="6" spans="1:30" x14ac:dyDescent="0.3">
      <c r="A6" s="2" t="s">
        <v>4</v>
      </c>
      <c r="B6" s="4" t="s">
        <v>6</v>
      </c>
      <c r="C6" s="3" t="s">
        <v>5</v>
      </c>
      <c r="D6" s="32" t="s">
        <v>39</v>
      </c>
      <c r="E6" s="34" cm="1">
        <f t="array" ref="E6">(SUM(VLOOKUP(A4:A100,$T$3:$W$41,3,FALSE)))</f>
        <v>135</v>
      </c>
      <c r="F6" s="34" cm="1">
        <f t="array" ref="F6">(SUM(VLOOKUP(B4:B100,$T$3:$W$41,3,FALSE)))</f>
        <v>1455</v>
      </c>
      <c r="G6" s="34" cm="1">
        <f t="array" ref="G6">(SUM(VLOOKUP(C4:C100,$T$3:$W$41,3,FALSE)))</f>
        <v>3245</v>
      </c>
      <c r="H6" s="48">
        <f t="shared" si="5"/>
        <v>4835</v>
      </c>
      <c r="I6" s="2" t="s">
        <v>4</v>
      </c>
      <c r="J6" s="9" t="s">
        <v>11</v>
      </c>
      <c r="K6" s="3" t="s">
        <v>5</v>
      </c>
      <c r="L6" s="32" t="s">
        <v>39</v>
      </c>
      <c r="M6" s="34" cm="1">
        <f t="array" ref="M6">(SUM(VLOOKUP(I4:I100,$T$3:$W$41,3,FALSE)))</f>
        <v>100</v>
      </c>
      <c r="N6" s="34" cm="1">
        <f t="array" ref="N6">(SUM(VLOOKUP(J4:J100,$T$3:$W$41,3,FALSE)))</f>
        <v>230</v>
      </c>
      <c r="O6" s="34" cm="1">
        <f t="array" ref="O6">(SUM(VLOOKUP(K4:K100,$T$3:$W$41,3,FALSE)))</f>
        <v>2095</v>
      </c>
      <c r="P6" s="48">
        <f t="shared" si="6"/>
        <v>2425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267</v>
      </c>
      <c r="Z6" s="1">
        <f t="shared" si="1"/>
        <v>2</v>
      </c>
      <c r="AA6" s="1">
        <f t="shared" si="2"/>
        <v>0</v>
      </c>
      <c r="AB6" s="53">
        <f t="shared" si="3"/>
        <v>265</v>
      </c>
      <c r="AC6">
        <v>267</v>
      </c>
      <c r="AD6">
        <f t="shared" si="4"/>
        <v>13350</v>
      </c>
    </row>
    <row r="7" spans="1:30" x14ac:dyDescent="0.3">
      <c r="A7" s="15" t="s">
        <v>17</v>
      </c>
      <c r="B7" s="4" t="s">
        <v>6</v>
      </c>
      <c r="C7" s="3" t="s">
        <v>5</v>
      </c>
      <c r="D7" s="32" t="s">
        <v>40</v>
      </c>
      <c r="E7" s="34">
        <f>COUNTIF(A4:A100,"&lt;&gt;空")</f>
        <v>4</v>
      </c>
      <c r="F7" s="34">
        <f>COUNTIF(B4:B100,"&lt;&gt;空")</f>
        <v>27</v>
      </c>
      <c r="G7" s="34">
        <f>COUNTIF(C4:C100,"&lt;&gt;空")</f>
        <v>54</v>
      </c>
      <c r="H7" s="35">
        <f t="shared" si="5"/>
        <v>85</v>
      </c>
      <c r="I7" s="2" t="s">
        <v>4</v>
      </c>
      <c r="J7" s="3" t="s">
        <v>5</v>
      </c>
      <c r="K7" s="15" t="s">
        <v>17</v>
      </c>
      <c r="L7" s="32" t="s">
        <v>40</v>
      </c>
      <c r="M7" s="34">
        <f>COUNTIF(I4:I100,"&lt;&gt;空")</f>
        <v>4</v>
      </c>
      <c r="N7" s="34">
        <f>COUNTIF(J4:J100,"&lt;&gt;空")</f>
        <v>6</v>
      </c>
      <c r="O7" s="34">
        <f>COUNTIF(K4:K100,"&lt;&gt;空")</f>
        <v>44</v>
      </c>
      <c r="P7" s="35">
        <f t="shared" si="6"/>
        <v>54</v>
      </c>
      <c r="Q7" s="52" t="s">
        <v>54</v>
      </c>
      <c r="R7" s="25">
        <v>1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235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  <c r="AD7">
        <f t="shared" si="4"/>
        <v>12925</v>
      </c>
    </row>
    <row r="8" spans="1:30" x14ac:dyDescent="0.3">
      <c r="A8" s="1" t="s">
        <v>27</v>
      </c>
      <c r="B8" s="4" t="s">
        <v>6</v>
      </c>
      <c r="C8" s="3" t="s">
        <v>5</v>
      </c>
      <c r="D8" s="41" t="s">
        <v>64</v>
      </c>
      <c r="E8" s="40">
        <v>0</v>
      </c>
      <c r="F8" s="40">
        <v>1</v>
      </c>
      <c r="G8" s="40">
        <v>0</v>
      </c>
      <c r="H8" s="35">
        <f t="shared" si="5"/>
        <v>1</v>
      </c>
      <c r="I8" s="16" t="s">
        <v>28</v>
      </c>
      <c r="J8" s="3" t="s">
        <v>5</v>
      </c>
      <c r="K8" s="3" t="s">
        <v>5</v>
      </c>
      <c r="L8" s="41" t="s">
        <v>64</v>
      </c>
      <c r="M8" s="40">
        <v>0</v>
      </c>
      <c r="N8" s="40">
        <v>0</v>
      </c>
      <c r="O8" s="40">
        <v>2</v>
      </c>
      <c r="P8" s="35">
        <f t="shared" si="6"/>
        <v>2</v>
      </c>
      <c r="Q8" s="49" t="s">
        <v>53</v>
      </c>
      <c r="R8" s="54" cm="1">
        <f t="array" ref="R8">R6-P5-H5-SUM(U3:U28*AB3:AB28)*0.8-R7*8</f>
        <v>-94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194</v>
      </c>
      <c r="Z8" s="1">
        <f t="shared" si="1"/>
        <v>0</v>
      </c>
      <c r="AA8" s="1">
        <f t="shared" si="2"/>
        <v>0</v>
      </c>
      <c r="AB8" s="53">
        <f t="shared" si="3"/>
        <v>194</v>
      </c>
      <c r="AC8">
        <v>193</v>
      </c>
      <c r="AD8">
        <f t="shared" si="4"/>
        <v>11580</v>
      </c>
    </row>
    <row r="9" spans="1:30" x14ac:dyDescent="0.3">
      <c r="A9" s="1" t="s">
        <v>27</v>
      </c>
      <c r="B9" s="4" t="s">
        <v>6</v>
      </c>
      <c r="C9" s="3" t="s">
        <v>5</v>
      </c>
      <c r="D9" s="25"/>
      <c r="E9" s="25"/>
      <c r="F9" s="25"/>
      <c r="G9" s="25"/>
      <c r="H9" s="26"/>
      <c r="I9" s="1" t="s">
        <v>27</v>
      </c>
      <c r="J9" s="15" t="s">
        <v>17</v>
      </c>
      <c r="K9" s="3" t="s">
        <v>5</v>
      </c>
      <c r="L9" s="32" t="s">
        <v>42</v>
      </c>
      <c r="M9" s="36">
        <f>M6/M5</f>
        <v>0.78125</v>
      </c>
      <c r="N9" s="36">
        <f>N6/N5</f>
        <v>0.34226190476190477</v>
      </c>
      <c r="O9" s="36">
        <f>O6/O5</f>
        <v>0.47787408759124089</v>
      </c>
      <c r="P9" s="37">
        <f>P6/P5</f>
        <v>0.4677854938271605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7">U9-V9/0.330882</f>
        <v>44.222109392472248</v>
      </c>
      <c r="X9" s="45">
        <v>5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  <c r="AD9">
        <f t="shared" si="4"/>
        <v>0</v>
      </c>
    </row>
    <row r="10" spans="1:30" x14ac:dyDescent="0.3">
      <c r="A10" s="1" t="s">
        <v>27</v>
      </c>
      <c r="B10" s="4" t="s">
        <v>6</v>
      </c>
      <c r="C10" s="3" t="s">
        <v>5</v>
      </c>
      <c r="D10" s="25"/>
      <c r="E10" s="25"/>
      <c r="F10" s="25"/>
      <c r="G10" s="25"/>
      <c r="H10" s="26"/>
      <c r="I10" s="1" t="s">
        <v>27</v>
      </c>
      <c r="J10" s="1" t="s">
        <v>27</v>
      </c>
      <c r="K10" s="3" t="s">
        <v>5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7"/>
        <v>29.110982162825422</v>
      </c>
      <c r="X10" s="45">
        <v>6</v>
      </c>
      <c r="Y10" s="45">
        <v>2</v>
      </c>
      <c r="Z10" s="1">
        <f t="shared" si="1"/>
        <v>0</v>
      </c>
      <c r="AA10" s="1">
        <f t="shared" si="2"/>
        <v>2</v>
      </c>
      <c r="AB10" s="53">
        <f t="shared" si="3"/>
        <v>0</v>
      </c>
      <c r="AC10">
        <v>2</v>
      </c>
      <c r="AD10">
        <f t="shared" si="4"/>
        <v>80</v>
      </c>
    </row>
    <row r="11" spans="1:30" x14ac:dyDescent="0.3">
      <c r="A11" s="1" t="s">
        <v>27</v>
      </c>
      <c r="B11" s="4" t="s">
        <v>6</v>
      </c>
      <c r="C11" s="3" t="s">
        <v>5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15" t="s">
        <v>17</v>
      </c>
      <c r="L11" s="25"/>
      <c r="M11" s="25"/>
      <c r="N11" s="25"/>
      <c r="O11" s="25"/>
      <c r="P11" s="26">
        <f>H5+P5</f>
        <v>18574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>U11-V11/0.330882</f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6</v>
      </c>
      <c r="AD11">
        <f t="shared" si="4"/>
        <v>270</v>
      </c>
    </row>
    <row r="12" spans="1:30" x14ac:dyDescent="0.3">
      <c r="A12" s="1" t="s">
        <v>27</v>
      </c>
      <c r="B12" s="17" t="s">
        <v>19</v>
      </c>
      <c r="C12" s="15" t="s">
        <v>17</v>
      </c>
      <c r="D12" s="25"/>
      <c r="E12" s="25"/>
      <c r="F12" s="25"/>
      <c r="G12" s="25"/>
      <c r="H12" s="26"/>
      <c r="I12" s="1" t="s">
        <v>27</v>
      </c>
      <c r="J12" s="1" t="s">
        <v>27</v>
      </c>
      <c r="K12" s="1" t="s">
        <v>27</v>
      </c>
      <c r="L12" s="25"/>
      <c r="M12" s="25"/>
      <c r="N12" s="25"/>
      <c r="O12" s="25"/>
      <c r="P12" s="26">
        <f>H6+P6</f>
        <v>7260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  <c r="AD12">
        <f t="shared" si="4"/>
        <v>150</v>
      </c>
    </row>
    <row r="13" spans="1:30" x14ac:dyDescent="0.3">
      <c r="A13" s="1" t="s">
        <v>27</v>
      </c>
      <c r="B13" s="4" t="s">
        <v>6</v>
      </c>
      <c r="C13" s="3" t="s">
        <v>5</v>
      </c>
      <c r="D13" s="25"/>
      <c r="E13" s="25"/>
      <c r="F13" s="25"/>
      <c r="G13" s="25"/>
      <c r="H13" s="26"/>
      <c r="I13" s="1" t="s">
        <v>27</v>
      </c>
      <c r="J13" s="1" t="s">
        <v>27</v>
      </c>
      <c r="K13" s="1" t="s">
        <v>27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  <c r="AD13">
        <f t="shared" si="4"/>
        <v>165</v>
      </c>
    </row>
    <row r="14" spans="1:30" x14ac:dyDescent="0.3">
      <c r="A14" s="1" t="s">
        <v>27</v>
      </c>
      <c r="B14" s="4" t="s">
        <v>6</v>
      </c>
      <c r="C14" s="3" t="s">
        <v>5</v>
      </c>
      <c r="D14" s="25"/>
      <c r="E14" s="25"/>
      <c r="F14" s="25"/>
      <c r="G14" s="25"/>
      <c r="H14" s="26"/>
      <c r="I14" s="1" t="s">
        <v>27</v>
      </c>
      <c r="J14" s="1" t="s">
        <v>27</v>
      </c>
      <c r="K14" s="3" t="s">
        <v>5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  <c r="AD14">
        <f t="shared" si="4"/>
        <v>60</v>
      </c>
    </row>
    <row r="15" spans="1:30" x14ac:dyDescent="0.3">
      <c r="A15" s="1" t="s">
        <v>27</v>
      </c>
      <c r="B15" s="5" t="s">
        <v>7</v>
      </c>
      <c r="C15" s="3" t="s">
        <v>5</v>
      </c>
      <c r="D15" s="25"/>
      <c r="E15" s="25"/>
      <c r="F15" s="25"/>
      <c r="G15" s="25"/>
      <c r="H15" s="26"/>
      <c r="I15" s="1" t="s">
        <v>27</v>
      </c>
      <c r="J15" s="1" t="s">
        <v>27</v>
      </c>
      <c r="K15" s="3" t="s">
        <v>5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8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  <c r="AD15">
        <f t="shared" si="4"/>
        <v>0</v>
      </c>
    </row>
    <row r="16" spans="1:30" x14ac:dyDescent="0.3">
      <c r="A16" s="1" t="s">
        <v>27</v>
      </c>
      <c r="B16" s="5" t="s">
        <v>7</v>
      </c>
      <c r="C16" s="3" t="s">
        <v>5</v>
      </c>
      <c r="D16" s="25"/>
      <c r="E16" s="25"/>
      <c r="F16" s="25"/>
      <c r="G16" s="25"/>
      <c r="H16" s="26"/>
      <c r="I16" s="1" t="s">
        <v>27</v>
      </c>
      <c r="J16" s="1" t="s">
        <v>27</v>
      </c>
      <c r="K16" s="3" t="s">
        <v>5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7</v>
      </c>
      <c r="AA16" s="1">
        <f t="shared" si="2"/>
        <v>11</v>
      </c>
      <c r="AB16" s="53">
        <f t="shared" si="3"/>
        <v>20</v>
      </c>
      <c r="AC16">
        <v>38</v>
      </c>
      <c r="AD16">
        <f t="shared" si="4"/>
        <v>1140</v>
      </c>
    </row>
    <row r="17" spans="1:34" x14ac:dyDescent="0.3">
      <c r="A17" s="1" t="s">
        <v>27</v>
      </c>
      <c r="B17" s="4" t="s">
        <v>6</v>
      </c>
      <c r="C17" s="3" t="s">
        <v>5</v>
      </c>
      <c r="D17" s="25"/>
      <c r="E17" s="25"/>
      <c r="F17" s="25"/>
      <c r="G17" s="25"/>
      <c r="H17" s="26"/>
      <c r="I17" s="1" t="s">
        <v>27</v>
      </c>
      <c r="J17" s="1" t="s">
        <v>27</v>
      </c>
      <c r="K17" s="9" t="s">
        <v>11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1</v>
      </c>
      <c r="Y17" s="45">
        <v>1</v>
      </c>
      <c r="Z17" s="1">
        <f t="shared" si="1"/>
        <v>0</v>
      </c>
      <c r="AA17" s="1">
        <f t="shared" si="2"/>
        <v>0</v>
      </c>
      <c r="AB17" s="53">
        <f t="shared" si="3"/>
        <v>1</v>
      </c>
      <c r="AC17">
        <v>0</v>
      </c>
      <c r="AD17">
        <f t="shared" si="4"/>
        <v>0</v>
      </c>
    </row>
    <row r="18" spans="1:34" x14ac:dyDescent="0.3">
      <c r="A18" s="1" t="s">
        <v>27</v>
      </c>
      <c r="B18" s="10" t="s">
        <v>12</v>
      </c>
      <c r="C18" s="3" t="s">
        <v>5</v>
      </c>
      <c r="D18" s="25"/>
      <c r="E18" s="25"/>
      <c r="F18" s="25"/>
      <c r="G18" s="25"/>
      <c r="H18" s="26"/>
      <c r="I18" s="1" t="s">
        <v>27</v>
      </c>
      <c r="J18" s="1" t="s">
        <v>27</v>
      </c>
      <c r="K18" s="3" t="s">
        <v>5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300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  <c r="AC18">
        <v>0</v>
      </c>
      <c r="AD18">
        <f t="shared" si="4"/>
        <v>0</v>
      </c>
    </row>
    <row r="19" spans="1:34" x14ac:dyDescent="0.3">
      <c r="A19" s="1" t="s">
        <v>27</v>
      </c>
      <c r="B19" s="4" t="s">
        <v>6</v>
      </c>
      <c r="C19" s="23" t="s">
        <v>29</v>
      </c>
      <c r="D19" s="25"/>
      <c r="E19" s="25"/>
      <c r="F19" s="25"/>
      <c r="G19" s="25"/>
      <c r="H19" s="26"/>
      <c r="I19" s="1" t="s">
        <v>27</v>
      </c>
      <c r="J19" s="1" t="s">
        <v>27</v>
      </c>
      <c r="K19" s="15" t="s">
        <v>17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  <c r="AD19">
        <f t="shared" si="4"/>
        <v>225</v>
      </c>
    </row>
    <row r="20" spans="1:34" x14ac:dyDescent="0.3">
      <c r="A20" s="1" t="s">
        <v>27</v>
      </c>
      <c r="B20" s="4" t="s">
        <v>6</v>
      </c>
      <c r="C20" s="3" t="s">
        <v>5</v>
      </c>
      <c r="D20" s="25"/>
      <c r="E20" s="25"/>
      <c r="F20" s="25"/>
      <c r="G20" s="25"/>
      <c r="H20" s="26"/>
      <c r="I20" s="1" t="s">
        <v>27</v>
      </c>
      <c r="J20" s="1" t="s">
        <v>27</v>
      </c>
      <c r="K20" s="3" t="s">
        <v>5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C20">
        <v>2</v>
      </c>
      <c r="AD20">
        <f t="shared" si="4"/>
        <v>400</v>
      </c>
    </row>
    <row r="21" spans="1:34" x14ac:dyDescent="0.3">
      <c r="A21" s="1" t="s">
        <v>27</v>
      </c>
      <c r="B21" s="17" t="s">
        <v>20</v>
      </c>
      <c r="C21" s="3" t="s">
        <v>5</v>
      </c>
      <c r="D21" s="25"/>
      <c r="E21" s="25"/>
      <c r="F21" s="25"/>
      <c r="G21" s="25"/>
      <c r="H21" s="26"/>
      <c r="I21" s="1" t="s">
        <v>27</v>
      </c>
      <c r="J21" s="1" t="s">
        <v>27</v>
      </c>
      <c r="K21" s="3" t="s">
        <v>5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  <c r="AD21">
        <f t="shared" si="4"/>
        <v>2000</v>
      </c>
    </row>
    <row r="22" spans="1:34" x14ac:dyDescent="0.3">
      <c r="A22" s="1" t="s">
        <v>27</v>
      </c>
      <c r="B22" s="4" t="s">
        <v>6</v>
      </c>
      <c r="C22" s="15" t="s">
        <v>17</v>
      </c>
      <c r="D22" s="25"/>
      <c r="E22" s="25"/>
      <c r="F22" s="25"/>
      <c r="G22" s="25"/>
      <c r="H22" s="26"/>
      <c r="I22" s="1" t="s">
        <v>27</v>
      </c>
      <c r="J22" s="1" t="s">
        <v>27</v>
      </c>
      <c r="K22" s="3" t="s">
        <v>5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  <c r="AC22">
        <v>3</v>
      </c>
      <c r="AD22">
        <f t="shared" si="4"/>
        <v>1500</v>
      </c>
    </row>
    <row r="23" spans="1:34" x14ac:dyDescent="0.3">
      <c r="A23" s="1" t="s">
        <v>27</v>
      </c>
      <c r="B23" s="4" t="s">
        <v>6</v>
      </c>
      <c r="C23" s="3" t="s">
        <v>5</v>
      </c>
      <c r="D23" s="25"/>
      <c r="E23" s="25"/>
      <c r="F23" s="25"/>
      <c r="G23" s="25"/>
      <c r="H23" s="26"/>
      <c r="I23" s="1" t="s">
        <v>27</v>
      </c>
      <c r="J23" s="1" t="s">
        <v>27</v>
      </c>
      <c r="K23" s="3" t="s">
        <v>5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9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  <c r="AD23">
        <f t="shared" si="4"/>
        <v>0</v>
      </c>
    </row>
    <row r="24" spans="1:34" x14ac:dyDescent="0.3">
      <c r="A24" s="1" t="s">
        <v>27</v>
      </c>
      <c r="B24" s="4" t="s">
        <v>6</v>
      </c>
      <c r="C24" s="3" t="s">
        <v>5</v>
      </c>
      <c r="D24" s="25"/>
      <c r="E24" s="25"/>
      <c r="F24" s="25"/>
      <c r="G24" s="25"/>
      <c r="H24" s="26"/>
      <c r="I24" s="1" t="s">
        <v>27</v>
      </c>
      <c r="J24" s="1" t="s">
        <v>27</v>
      </c>
      <c r="K24" s="15" t="s">
        <v>17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9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  <c r="AD24">
        <f t="shared" si="4"/>
        <v>0</v>
      </c>
    </row>
    <row r="25" spans="1:34" x14ac:dyDescent="0.3">
      <c r="A25" s="1" t="s">
        <v>27</v>
      </c>
      <c r="B25" s="4" t="s">
        <v>6</v>
      </c>
      <c r="C25" s="3" t="s">
        <v>5</v>
      </c>
      <c r="D25" s="25"/>
      <c r="E25" s="25"/>
      <c r="F25" s="25"/>
      <c r="G25" s="25"/>
      <c r="H25" s="26"/>
      <c r="I25" s="1" t="s">
        <v>27</v>
      </c>
      <c r="J25" s="1" t="s">
        <v>27</v>
      </c>
      <c r="K25" s="3" t="s">
        <v>5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9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  <c r="AD25">
        <f t="shared" si="4"/>
        <v>0</v>
      </c>
    </row>
    <row r="26" spans="1:34" x14ac:dyDescent="0.3">
      <c r="A26" s="1" t="s">
        <v>27</v>
      </c>
      <c r="B26" s="4" t="s">
        <v>6</v>
      </c>
      <c r="C26" s="4" t="s">
        <v>6</v>
      </c>
      <c r="D26" s="25"/>
      <c r="E26" s="25"/>
      <c r="F26" s="25"/>
      <c r="G26" s="25"/>
      <c r="H26" s="26"/>
      <c r="I26" s="1" t="s">
        <v>27</v>
      </c>
      <c r="J26" s="1" t="s">
        <v>27</v>
      </c>
      <c r="K26" s="3" t="s">
        <v>5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9"/>
        <v>0</v>
      </c>
      <c r="X26" s="45">
        <v>0</v>
      </c>
      <c r="Y26" s="45">
        <v>0</v>
      </c>
      <c r="Z26" s="1"/>
      <c r="AA26" s="1"/>
      <c r="AB26" s="53"/>
      <c r="AD26">
        <f t="shared" si="4"/>
        <v>0</v>
      </c>
    </row>
    <row r="27" spans="1:34" x14ac:dyDescent="0.3">
      <c r="A27" s="1" t="s">
        <v>27</v>
      </c>
      <c r="B27" s="4" t="s">
        <v>6</v>
      </c>
      <c r="C27" s="17" t="s">
        <v>20</v>
      </c>
      <c r="D27" s="25"/>
      <c r="E27" s="25"/>
      <c r="F27" s="25"/>
      <c r="G27" s="25"/>
      <c r="H27" s="26"/>
      <c r="I27" s="1" t="s">
        <v>27</v>
      </c>
      <c r="J27" s="1" t="s">
        <v>27</v>
      </c>
      <c r="K27" s="3" t="s">
        <v>5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14</v>
      </c>
      <c r="Y27" s="45">
        <v>14</v>
      </c>
      <c r="Z27" s="1">
        <f t="shared" si="1"/>
        <v>0</v>
      </c>
      <c r="AA27" s="1">
        <f t="shared" si="2"/>
        <v>2</v>
      </c>
      <c r="AB27" s="53">
        <f t="shared" si="3"/>
        <v>12</v>
      </c>
      <c r="AC27">
        <v>15</v>
      </c>
      <c r="AD27">
        <f t="shared" si="4"/>
        <v>0</v>
      </c>
      <c r="AE27">
        <v>3</v>
      </c>
      <c r="AF27">
        <v>4</v>
      </c>
      <c r="AG27">
        <v>5</v>
      </c>
      <c r="AH27">
        <v>6</v>
      </c>
    </row>
    <row r="28" spans="1:34" x14ac:dyDescent="0.3">
      <c r="A28" s="1" t="s">
        <v>27</v>
      </c>
      <c r="B28" s="4" t="s">
        <v>6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1" t="s">
        <v>27</v>
      </c>
      <c r="K28" s="15" t="s">
        <v>17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>
        <v>10</v>
      </c>
      <c r="X28" s="45">
        <v>3</v>
      </c>
      <c r="Y28" s="45">
        <v>3</v>
      </c>
      <c r="Z28" s="1">
        <f t="shared" si="1"/>
        <v>1</v>
      </c>
      <c r="AA28" s="1">
        <f t="shared" si="2"/>
        <v>1</v>
      </c>
      <c r="AB28" s="53">
        <f t="shared" si="3"/>
        <v>1</v>
      </c>
      <c r="AC28">
        <v>3</v>
      </c>
      <c r="AD28">
        <f t="shared" si="4"/>
        <v>1560</v>
      </c>
      <c r="AE28">
        <v>4</v>
      </c>
      <c r="AF28">
        <v>3</v>
      </c>
      <c r="AG28">
        <v>3</v>
      </c>
      <c r="AH28">
        <v>1</v>
      </c>
    </row>
    <row r="29" spans="1:34" ht="15" thickBot="1" x14ac:dyDescent="0.35">
      <c r="A29" s="1" t="s">
        <v>27</v>
      </c>
      <c r="B29" s="4" t="s">
        <v>6</v>
      </c>
      <c r="C29" s="15" t="s">
        <v>17</v>
      </c>
      <c r="D29" s="25"/>
      <c r="E29" s="25"/>
      <c r="F29" s="25"/>
      <c r="G29" s="25"/>
      <c r="H29" s="26"/>
      <c r="I29" s="1" t="s">
        <v>27</v>
      </c>
      <c r="J29" s="1" t="s">
        <v>27</v>
      </c>
      <c r="K29" s="3" t="s">
        <v>5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  <c r="AE29">
        <v>2</v>
      </c>
    </row>
    <row r="30" spans="1:34" x14ac:dyDescent="0.3">
      <c r="A30" s="1" t="s">
        <v>27</v>
      </c>
      <c r="B30" s="17" t="s">
        <v>20</v>
      </c>
      <c r="C30" s="4" t="s">
        <v>6</v>
      </c>
      <c r="D30" s="25"/>
      <c r="E30" s="25"/>
      <c r="F30" s="25"/>
      <c r="G30" s="25"/>
      <c r="H30" s="26"/>
      <c r="I30" s="1" t="s">
        <v>27</v>
      </c>
      <c r="J30" s="1" t="s">
        <v>27</v>
      </c>
      <c r="K30" s="3" t="s">
        <v>5</v>
      </c>
      <c r="L30" s="25"/>
      <c r="M30" s="25"/>
      <c r="N30" s="25"/>
      <c r="O30" s="25"/>
      <c r="P30" s="26"/>
    </row>
    <row r="31" spans="1:34" x14ac:dyDescent="0.3">
      <c r="A31" s="1" t="s">
        <v>27</v>
      </c>
      <c r="B31" s="1" t="s">
        <v>27</v>
      </c>
      <c r="C31" s="17" t="s">
        <v>19</v>
      </c>
      <c r="D31" s="25"/>
      <c r="E31" s="25"/>
      <c r="F31" s="25"/>
      <c r="G31" s="25"/>
      <c r="H31" s="26"/>
      <c r="I31" s="1" t="s">
        <v>27</v>
      </c>
      <c r="J31" s="1" t="s">
        <v>27</v>
      </c>
      <c r="K31" s="3" t="s">
        <v>5</v>
      </c>
      <c r="L31" s="25"/>
      <c r="M31" s="25"/>
      <c r="N31" s="25"/>
      <c r="O31" s="25"/>
      <c r="P31" s="26"/>
      <c r="Y31">
        <f>SUM(Y3:Y28)</f>
        <v>1077</v>
      </c>
      <c r="AC31">
        <f>SUM(AC3:AC28)</f>
        <v>1074</v>
      </c>
      <c r="AD31">
        <f>SUM(AD3:AD28)+7000</f>
        <v>65360</v>
      </c>
    </row>
    <row r="32" spans="1:34" x14ac:dyDescent="0.3">
      <c r="A32" s="1" t="s">
        <v>27</v>
      </c>
      <c r="B32" s="1" t="s">
        <v>27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1" t="s">
        <v>27</v>
      </c>
      <c r="K32" s="16" t="s">
        <v>28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 x14ac:dyDescent="0.3">
      <c r="A33" s="1" t="s">
        <v>27</v>
      </c>
      <c r="B33" s="1" t="s">
        <v>27</v>
      </c>
      <c r="C33" s="4" t="s">
        <v>6</v>
      </c>
      <c r="D33" s="25"/>
      <c r="E33" s="25"/>
      <c r="F33" s="25"/>
      <c r="G33" s="25"/>
      <c r="H33" s="26"/>
      <c r="I33" s="1" t="s">
        <v>27</v>
      </c>
      <c r="J33" s="1" t="s">
        <v>27</v>
      </c>
      <c r="K33" s="15" t="s">
        <v>17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 x14ac:dyDescent="0.3">
      <c r="A34" s="1" t="s">
        <v>27</v>
      </c>
      <c r="B34" s="1" t="s">
        <v>27</v>
      </c>
      <c r="C34" s="10" t="s">
        <v>12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1" t="s">
        <v>27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 x14ac:dyDescent="0.3">
      <c r="A35" s="1" t="s">
        <v>27</v>
      </c>
      <c r="B35" s="1" t="s">
        <v>27</v>
      </c>
      <c r="C35" s="4" t="s">
        <v>6</v>
      </c>
      <c r="D35" s="25"/>
      <c r="E35" s="25"/>
      <c r="F35" s="25"/>
      <c r="G35" s="25"/>
      <c r="H35" s="26"/>
      <c r="I35" s="1" t="s">
        <v>27</v>
      </c>
      <c r="J35" s="1" t="s">
        <v>27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 x14ac:dyDescent="0.3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1" t="s">
        <v>27</v>
      </c>
      <c r="K36" s="23" t="s">
        <v>29</v>
      </c>
      <c r="L36" s="25"/>
      <c r="M36" s="25"/>
      <c r="N36" s="25"/>
      <c r="O36" s="25"/>
      <c r="P36" s="26"/>
      <c r="S36" t="s">
        <v>61</v>
      </c>
    </row>
    <row r="37" spans="1:19" x14ac:dyDescent="0.3">
      <c r="A37" s="1" t="s">
        <v>27</v>
      </c>
      <c r="B37" s="1" t="s">
        <v>27</v>
      </c>
      <c r="C37" s="15" t="s">
        <v>17</v>
      </c>
      <c r="D37" s="25"/>
      <c r="E37" s="25"/>
      <c r="F37" s="25"/>
      <c r="G37" s="25"/>
      <c r="H37" s="26"/>
      <c r="I37" s="1" t="s">
        <v>27</v>
      </c>
      <c r="J37" s="1" t="s">
        <v>27</v>
      </c>
      <c r="K37" s="3" t="s">
        <v>5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 x14ac:dyDescent="0.3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3" t="s">
        <v>5</v>
      </c>
      <c r="L38" s="25"/>
      <c r="M38" s="25"/>
      <c r="N38" s="25"/>
      <c r="O38" s="25"/>
      <c r="P38" s="26"/>
      <c r="R38">
        <v>6</v>
      </c>
      <c r="S38" t="s">
        <v>65</v>
      </c>
    </row>
    <row r="39" spans="1:19" x14ac:dyDescent="0.3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3" t="s">
        <v>5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 x14ac:dyDescent="0.3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3" t="s">
        <v>5</v>
      </c>
      <c r="L40" s="25"/>
      <c r="M40" s="25"/>
      <c r="N40" s="25"/>
      <c r="O40" s="25"/>
      <c r="P40" s="26"/>
    </row>
    <row r="41" spans="1:19" x14ac:dyDescent="0.3">
      <c r="A41" s="1" t="s">
        <v>27</v>
      </c>
      <c r="B41" s="1" t="s">
        <v>27</v>
      </c>
      <c r="C41" s="17" t="s">
        <v>20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15" t="s">
        <v>17</v>
      </c>
      <c r="L41" s="25"/>
      <c r="M41" s="25"/>
      <c r="N41" s="25"/>
      <c r="O41" s="25"/>
      <c r="P41" s="26"/>
    </row>
    <row r="42" spans="1:19" x14ac:dyDescent="0.3">
      <c r="A42" s="1" t="s">
        <v>27</v>
      </c>
      <c r="B42" s="1" t="s">
        <v>27</v>
      </c>
      <c r="C42" s="4" t="s">
        <v>6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3" t="s">
        <v>5</v>
      </c>
      <c r="L42" s="25"/>
      <c r="M42" s="25"/>
      <c r="N42" s="25"/>
      <c r="O42" s="25"/>
      <c r="P42" s="26"/>
    </row>
    <row r="43" spans="1:19" x14ac:dyDescent="0.3">
      <c r="A43" s="1" t="s">
        <v>27</v>
      </c>
      <c r="B43" s="1" t="s">
        <v>27</v>
      </c>
      <c r="C43" s="4" t="s">
        <v>6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3" t="s">
        <v>5</v>
      </c>
      <c r="L43" s="25"/>
      <c r="M43" s="25"/>
      <c r="N43" s="25"/>
      <c r="O43" s="25"/>
      <c r="P43" s="26"/>
    </row>
    <row r="44" spans="1:19" x14ac:dyDescent="0.3">
      <c r="A44" s="1" t="s">
        <v>27</v>
      </c>
      <c r="B44" s="1" t="s">
        <v>27</v>
      </c>
      <c r="C44" s="4" t="s">
        <v>6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3" t="s">
        <v>5</v>
      </c>
      <c r="L44" s="25"/>
      <c r="M44" s="25"/>
      <c r="N44" s="25"/>
      <c r="O44" s="25"/>
      <c r="P44" s="26"/>
    </row>
    <row r="45" spans="1:19" x14ac:dyDescent="0.3">
      <c r="A45" s="1" t="s">
        <v>27</v>
      </c>
      <c r="B45" s="1" t="s">
        <v>27</v>
      </c>
      <c r="C45" s="17" t="s">
        <v>19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3" t="s">
        <v>5</v>
      </c>
      <c r="L45" s="25"/>
      <c r="M45" s="25"/>
      <c r="N45" s="25"/>
      <c r="O45" s="25"/>
      <c r="P45" s="26"/>
    </row>
    <row r="46" spans="1:19" x14ac:dyDescent="0.3">
      <c r="A46" s="1" t="s">
        <v>27</v>
      </c>
      <c r="B46" s="1" t="s">
        <v>27</v>
      </c>
      <c r="C46" s="4" t="s">
        <v>6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5" t="s">
        <v>17</v>
      </c>
      <c r="L46" s="25"/>
      <c r="M46" s="25"/>
      <c r="N46" s="25"/>
      <c r="O46" s="25"/>
      <c r="P46" s="26"/>
    </row>
    <row r="47" spans="1:19" x14ac:dyDescent="0.3">
      <c r="A47" s="1" t="s">
        <v>27</v>
      </c>
      <c r="B47" s="1" t="s">
        <v>27</v>
      </c>
      <c r="C47" s="4" t="s">
        <v>6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 x14ac:dyDescent="0.3">
      <c r="A48" s="1" t="s">
        <v>27</v>
      </c>
      <c r="B48" s="1" t="s">
        <v>27</v>
      </c>
      <c r="C48" s="4" t="s">
        <v>6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3" t="s">
        <v>5</v>
      </c>
      <c r="L48" s="25"/>
      <c r="M48" s="25"/>
      <c r="N48" s="25"/>
      <c r="O48" s="25"/>
      <c r="P48" s="26"/>
    </row>
    <row r="49" spans="1:16" x14ac:dyDescent="0.3">
      <c r="A49" s="1" t="s">
        <v>27</v>
      </c>
      <c r="B49" s="1" t="s">
        <v>27</v>
      </c>
      <c r="C49" s="4" t="s">
        <v>6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2" t="s">
        <v>4</v>
      </c>
      <c r="L49" s="25"/>
      <c r="M49" s="25"/>
      <c r="N49" s="25"/>
      <c r="O49" s="25"/>
      <c r="P49" s="26"/>
    </row>
    <row r="50" spans="1:16" x14ac:dyDescent="0.3">
      <c r="A50" s="1" t="s">
        <v>27</v>
      </c>
      <c r="B50" s="1" t="s">
        <v>27</v>
      </c>
      <c r="C50" s="4" t="s">
        <v>6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2" t="s">
        <v>4</v>
      </c>
      <c r="L50" s="25"/>
      <c r="M50" s="25"/>
      <c r="N50" s="25"/>
      <c r="O50" s="25"/>
      <c r="P50" s="26"/>
    </row>
    <row r="51" spans="1:16" x14ac:dyDescent="0.3">
      <c r="A51" s="1" t="s">
        <v>27</v>
      </c>
      <c r="B51" s="1" t="s">
        <v>27</v>
      </c>
      <c r="C51" s="4" t="s">
        <v>6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2" t="s">
        <v>4</v>
      </c>
      <c r="L51" s="25"/>
      <c r="M51" s="25"/>
      <c r="N51" s="25"/>
      <c r="O51" s="25"/>
      <c r="P51" s="26"/>
    </row>
    <row r="52" spans="1:16" x14ac:dyDescent="0.3">
      <c r="A52" s="1" t="s">
        <v>27</v>
      </c>
      <c r="B52" s="1" t="s">
        <v>27</v>
      </c>
      <c r="C52" s="15" t="s">
        <v>17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5" t="s">
        <v>17</v>
      </c>
      <c r="L52" s="25"/>
      <c r="M52" s="25"/>
      <c r="N52" s="25"/>
      <c r="O52" s="25"/>
      <c r="P52" s="26"/>
    </row>
    <row r="53" spans="1:16" x14ac:dyDescent="0.3">
      <c r="A53" s="1" t="s">
        <v>27</v>
      </c>
      <c r="B53" s="1" t="s">
        <v>27</v>
      </c>
      <c r="C53" s="4" t="s">
        <v>6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 x14ac:dyDescent="0.3">
      <c r="A54" s="1" t="s">
        <v>27</v>
      </c>
      <c r="B54" s="1" t="s">
        <v>27</v>
      </c>
      <c r="C54" s="4" t="s">
        <v>6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 x14ac:dyDescent="0.3">
      <c r="A55" s="1" t="s">
        <v>27</v>
      </c>
      <c r="B55" s="1" t="s">
        <v>27</v>
      </c>
      <c r="C55" s="4" t="s">
        <v>6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 x14ac:dyDescent="0.3">
      <c r="A56" s="27" t="s">
        <v>27</v>
      </c>
      <c r="B56" s="1" t="s">
        <v>27</v>
      </c>
      <c r="C56" s="4" t="s">
        <v>6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 x14ac:dyDescent="0.3">
      <c r="A57" s="27" t="s">
        <v>27</v>
      </c>
      <c r="B57" s="1" t="s">
        <v>27</v>
      </c>
      <c r="C57" s="17" t="s">
        <v>20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 x14ac:dyDescent="0.3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 x14ac:dyDescent="0.3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 x14ac:dyDescent="0.3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 x14ac:dyDescent="0.3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 x14ac:dyDescent="0.3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 x14ac:dyDescent="0.3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 x14ac:dyDescent="0.3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 x14ac:dyDescent="0.3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 x14ac:dyDescent="0.3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 x14ac:dyDescent="0.3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 x14ac:dyDescent="0.3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 x14ac:dyDescent="0.3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 x14ac:dyDescent="0.3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 x14ac:dyDescent="0.3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 x14ac:dyDescent="0.3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 x14ac:dyDescent="0.3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 x14ac:dyDescent="0.3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 x14ac:dyDescent="0.3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 x14ac:dyDescent="0.3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 x14ac:dyDescent="0.3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 x14ac:dyDescent="0.3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 x14ac:dyDescent="0.3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 x14ac:dyDescent="0.3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 x14ac:dyDescent="0.3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 x14ac:dyDescent="0.3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 x14ac:dyDescent="0.3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 x14ac:dyDescent="0.3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 x14ac:dyDescent="0.3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 x14ac:dyDescent="0.3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 x14ac:dyDescent="0.3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 x14ac:dyDescent="0.3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 x14ac:dyDescent="0.3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 x14ac:dyDescent="0.3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 x14ac:dyDescent="0.3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 x14ac:dyDescent="0.3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 x14ac:dyDescent="0.3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 x14ac:dyDescent="0.3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 x14ac:dyDescent="0.3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 x14ac:dyDescent="0.3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 x14ac:dyDescent="0.3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 x14ac:dyDescent="0.3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 x14ac:dyDescent="0.3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 x14ac:dyDescent="0.35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C7C4-020D-417C-83D9-DD36D9D9AC33}">
  <dimension ref="A1:AH100"/>
  <sheetViews>
    <sheetView tabSelected="1" topLeftCell="C1" zoomScale="85" zoomScaleNormal="85" workbookViewId="0">
      <selection activeCell="K37" sqref="K37:K46"/>
    </sheetView>
  </sheetViews>
  <sheetFormatPr defaultRowHeight="14.4" x14ac:dyDescent="0.3"/>
  <sheetData>
    <row r="1" spans="1:30" ht="15.6" x14ac:dyDescent="0.3">
      <c r="A1" s="60" t="s">
        <v>30</v>
      </c>
      <c r="B1" s="61"/>
      <c r="C1" s="61"/>
      <c r="D1" s="61"/>
      <c r="E1" s="61"/>
      <c r="F1" s="62" t="s">
        <v>3</v>
      </c>
      <c r="G1" s="62"/>
      <c r="H1" s="24" cm="1">
        <f t="array" ref="H1">SUM(VLOOKUP(A4:C100,$T$3:$W$36,4,FALSE))+H4*10-H8*50</f>
        <v>2396.6640071082738</v>
      </c>
      <c r="I1" s="63" t="s">
        <v>41</v>
      </c>
      <c r="J1" s="64"/>
      <c r="K1" s="64"/>
      <c r="L1" s="64"/>
      <c r="M1" s="64"/>
      <c r="N1" s="64"/>
      <c r="O1" s="64"/>
      <c r="P1" s="65"/>
      <c r="Q1" s="63" t="s">
        <v>48</v>
      </c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30" ht="28.8" x14ac:dyDescent="0.3">
      <c r="A2" s="66" t="s">
        <v>35</v>
      </c>
      <c r="B2" s="67"/>
      <c r="C2" s="67"/>
      <c r="D2" s="68" t="s">
        <v>37</v>
      </c>
      <c r="E2" s="69"/>
      <c r="F2" s="69"/>
      <c r="G2" s="69"/>
      <c r="H2" s="70"/>
      <c r="I2" s="71" t="s">
        <v>35</v>
      </c>
      <c r="J2" s="72"/>
      <c r="K2" s="72"/>
      <c r="L2" s="73" t="s">
        <v>37</v>
      </c>
      <c r="M2" s="73"/>
      <c r="N2" s="73"/>
      <c r="O2" s="73"/>
      <c r="P2" s="74"/>
      <c r="Q2" s="49" t="s">
        <v>43</v>
      </c>
      <c r="R2" s="50" cm="1">
        <f t="array" ref="R2">SUM(V3:V28*AB3:AB28)+H6+P6+R4*500</f>
        <v>65530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30" x14ac:dyDescent="0.3">
      <c r="A3" s="59" t="s">
        <v>31</v>
      </c>
      <c r="B3" s="58" t="s">
        <v>32</v>
      </c>
      <c r="C3" s="20" t="s">
        <v>33</v>
      </c>
      <c r="D3" s="32"/>
      <c r="E3" s="59" t="s">
        <v>31</v>
      </c>
      <c r="F3" s="58" t="s">
        <v>32</v>
      </c>
      <c r="G3" s="20" t="s">
        <v>33</v>
      </c>
      <c r="H3" s="33" t="s">
        <v>36</v>
      </c>
      <c r="I3" s="59" t="s">
        <v>31</v>
      </c>
      <c r="J3" s="58" t="s">
        <v>32</v>
      </c>
      <c r="K3" s="20" t="s">
        <v>33</v>
      </c>
      <c r="L3" s="32"/>
      <c r="M3" s="59" t="s">
        <v>31</v>
      </c>
      <c r="N3" s="58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15</v>
      </c>
      <c r="Z3" s="1">
        <f>COUNTIF($A$4:$C$100,T3)</f>
        <v>13</v>
      </c>
      <c r="AA3" s="1">
        <f>COUNTIF($I$4:$K$100,T3)</f>
        <v>2</v>
      </c>
      <c r="AB3" s="53">
        <f>Y3-Z3-AA3</f>
        <v>0</v>
      </c>
      <c r="AC3">
        <v>24</v>
      </c>
      <c r="AD3">
        <f>AC3*V3</f>
        <v>840</v>
      </c>
    </row>
    <row r="4" spans="1:30" x14ac:dyDescent="0.3">
      <c r="A4" s="2" t="s">
        <v>4</v>
      </c>
      <c r="B4" s="2" t="s">
        <v>4</v>
      </c>
      <c r="C4" s="1" t="s">
        <v>27</v>
      </c>
      <c r="D4" s="42" t="s">
        <v>34</v>
      </c>
      <c r="E4" s="38">
        <v>0</v>
      </c>
      <c r="F4" s="38">
        <v>0</v>
      </c>
      <c r="G4" s="38">
        <v>0</v>
      </c>
      <c r="H4" s="35">
        <f>SUM(E4:G4)</f>
        <v>0</v>
      </c>
      <c r="I4" s="15" t="s">
        <v>17</v>
      </c>
      <c r="J4" s="3" t="s">
        <v>5</v>
      </c>
      <c r="K4" s="3" t="s">
        <v>5</v>
      </c>
      <c r="L4" s="42" t="s">
        <v>34</v>
      </c>
      <c r="M4" s="38">
        <v>1</v>
      </c>
      <c r="N4" s="38">
        <v>3</v>
      </c>
      <c r="O4" s="38">
        <v>1</v>
      </c>
      <c r="P4" s="35">
        <f>SUM(M4:O4)</f>
        <v>5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39</v>
      </c>
      <c r="Z4" s="1">
        <f t="shared" ref="Z4:Z28" si="1">COUNTIF($A$4:$C$100,T4)</f>
        <v>7</v>
      </c>
      <c r="AA4" s="1">
        <f t="shared" ref="AA4:AA28" si="2">COUNTIF($I$4:$K$100,T4)</f>
        <v>32</v>
      </c>
      <c r="AB4" s="53">
        <f t="shared" ref="AB4:AB28" si="3">Y4-Z4-AA4</f>
        <v>0</v>
      </c>
      <c r="AC4">
        <v>25</v>
      </c>
      <c r="AD4">
        <f t="shared" ref="AD4:AD28" si="4">AC4*V4</f>
        <v>1000</v>
      </c>
    </row>
    <row r="5" spans="1:30" x14ac:dyDescent="0.3">
      <c r="A5" s="2" t="s">
        <v>4</v>
      </c>
      <c r="B5" s="2" t="s">
        <v>4</v>
      </c>
      <c r="C5" s="1" t="s">
        <v>27</v>
      </c>
      <c r="D5" s="32" t="s">
        <v>38</v>
      </c>
      <c r="E5" s="34" cm="1">
        <f t="array" ref="E5">(SUM(VLOOKUP(A4:A100,$T$3:$W$41,2,FALSE))+E4*10)-E8*50</f>
        <v>800</v>
      </c>
      <c r="F5" s="34" cm="1">
        <f t="array" ref="F5">(SUM(VLOOKUP(B4:B100,$T$3:$W$41,2,FALSE))+F4*10)-F8*50</f>
        <v>5080</v>
      </c>
      <c r="G5" s="34" cm="1">
        <f t="array" ref="G5">(SUM(VLOOKUP(C4:C100,$T$3:$W$41,2,FALSE))+G4*10)-G8*50</f>
        <v>6690</v>
      </c>
      <c r="H5" s="57">
        <f t="shared" ref="H5:H8" si="5">SUM(E5:G5)</f>
        <v>12570</v>
      </c>
      <c r="I5" s="1" t="s">
        <v>27</v>
      </c>
      <c r="J5" s="3" t="s">
        <v>5</v>
      </c>
      <c r="K5" s="3" t="s">
        <v>5</v>
      </c>
      <c r="L5" s="32" t="s">
        <v>38</v>
      </c>
      <c r="M5" s="34" cm="1">
        <f t="array" ref="M5">(SUM(VLOOKUP(I4:I100,$T$3:$W$41,2,FALSE))+M4*10)*0.8-M8*40</f>
        <v>128</v>
      </c>
      <c r="N5" s="34" cm="1">
        <f t="array" ref="N5">(SUM(VLOOKUP(J4:J100,$T$3:$W$41,2,FALSE))+N4*10)*0.8-N8*40</f>
        <v>696</v>
      </c>
      <c r="O5" s="34" cm="1">
        <f t="array" ref="O5">(SUM(VLOOKUP(K4:K100,$T$3:$W$41,2,FALSE))+O4*10)*0.8-O8*40</f>
        <v>3832</v>
      </c>
      <c r="P5" s="57">
        <f t="shared" ref="P5:P8" si="6">SUM(M5:O5)</f>
        <v>4656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244</v>
      </c>
      <c r="Z5" s="1">
        <f t="shared" si="1"/>
        <v>42</v>
      </c>
      <c r="AA5" s="1">
        <f t="shared" si="2"/>
        <v>0</v>
      </c>
      <c r="AB5" s="53">
        <f t="shared" si="3"/>
        <v>202</v>
      </c>
      <c r="AC5">
        <v>247</v>
      </c>
      <c r="AD5">
        <f t="shared" si="4"/>
        <v>11115</v>
      </c>
    </row>
    <row r="6" spans="1:30" x14ac:dyDescent="0.3">
      <c r="A6" s="15" t="s">
        <v>17</v>
      </c>
      <c r="B6" s="2" t="s">
        <v>4</v>
      </c>
      <c r="C6" s="2" t="s">
        <v>4</v>
      </c>
      <c r="D6" s="32" t="s">
        <v>39</v>
      </c>
      <c r="E6" s="34" cm="1">
        <f t="array" ref="E6">(SUM(VLOOKUP(A4:A100,$T$3:$W$41,3,FALSE)))</f>
        <v>205</v>
      </c>
      <c r="F6" s="34" cm="1">
        <f t="array" ref="F6">(SUM(VLOOKUP(B4:B100,$T$3:$W$41,3,FALSE)))</f>
        <v>1595</v>
      </c>
      <c r="G6" s="34" cm="1">
        <f t="array" ref="G6">(SUM(VLOOKUP(C4:C100,$T$3:$W$41,3,FALSE)))</f>
        <v>2320</v>
      </c>
      <c r="H6" s="48">
        <f t="shared" si="5"/>
        <v>4120</v>
      </c>
      <c r="I6" s="2" t="s">
        <v>4</v>
      </c>
      <c r="J6" s="9" t="s">
        <v>11</v>
      </c>
      <c r="K6" s="3" t="s">
        <v>5</v>
      </c>
      <c r="L6" s="32" t="s">
        <v>39</v>
      </c>
      <c r="M6" s="34" cm="1">
        <f t="array" ref="M6">(SUM(VLOOKUP(I4:I100,$T$3:$W$41,3,FALSE)))</f>
        <v>100</v>
      </c>
      <c r="N6" s="34" cm="1">
        <f t="array" ref="N6">(SUM(VLOOKUP(J4:J100,$T$3:$W$41,3,FALSE)))</f>
        <v>230</v>
      </c>
      <c r="O6" s="34" cm="1">
        <f t="array" ref="O6">(SUM(VLOOKUP(K4:K100,$T$3:$W$41,3,FALSE)))</f>
        <v>1920</v>
      </c>
      <c r="P6" s="48">
        <f t="shared" si="6"/>
        <v>2250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267</v>
      </c>
      <c r="Z6" s="1">
        <f t="shared" si="1"/>
        <v>2</v>
      </c>
      <c r="AA6" s="1">
        <f t="shared" si="2"/>
        <v>0</v>
      </c>
      <c r="AB6" s="53">
        <f t="shared" si="3"/>
        <v>265</v>
      </c>
      <c r="AC6">
        <v>267</v>
      </c>
      <c r="AD6">
        <f t="shared" si="4"/>
        <v>13350</v>
      </c>
    </row>
    <row r="7" spans="1:30" x14ac:dyDescent="0.3">
      <c r="A7" s="2" t="s">
        <v>4</v>
      </c>
      <c r="B7" s="2" t="s">
        <v>4</v>
      </c>
      <c r="C7" s="2" t="s">
        <v>4</v>
      </c>
      <c r="D7" s="32" t="s">
        <v>40</v>
      </c>
      <c r="E7" s="34">
        <f>COUNTIF(A4:A100,"&lt;&gt;空")</f>
        <v>6</v>
      </c>
      <c r="F7" s="34">
        <f>COUNTIF(B4:B100,"&lt;&gt;空")</f>
        <v>31</v>
      </c>
      <c r="G7" s="34">
        <f>COUNTIF(C4:C100,"&lt;&gt;空")</f>
        <v>44</v>
      </c>
      <c r="H7" s="35">
        <f t="shared" si="5"/>
        <v>81</v>
      </c>
      <c r="I7" s="2" t="s">
        <v>4</v>
      </c>
      <c r="J7" s="3" t="s">
        <v>5</v>
      </c>
      <c r="K7" s="15" t="s">
        <v>17</v>
      </c>
      <c r="L7" s="32" t="s">
        <v>40</v>
      </c>
      <c r="M7" s="34">
        <f>COUNTIF(I4:I100,"&lt;&gt;空")</f>
        <v>4</v>
      </c>
      <c r="N7" s="34">
        <f>COUNTIF(J4:J100,"&lt;&gt;空")</f>
        <v>6</v>
      </c>
      <c r="O7" s="34">
        <f>COUNTIF(K4:K100,"&lt;&gt;空")</f>
        <v>39</v>
      </c>
      <c r="P7" s="35">
        <f t="shared" si="6"/>
        <v>49</v>
      </c>
      <c r="Q7" s="52" t="s">
        <v>54</v>
      </c>
      <c r="R7" s="25">
        <v>1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235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  <c r="AD7">
        <f t="shared" si="4"/>
        <v>12925</v>
      </c>
    </row>
    <row r="8" spans="1:30" x14ac:dyDescent="0.3">
      <c r="A8" s="2" t="s">
        <v>4</v>
      </c>
      <c r="B8" s="2" t="s">
        <v>4</v>
      </c>
      <c r="C8" s="2" t="s">
        <v>4</v>
      </c>
      <c r="D8" s="41" t="s">
        <v>64</v>
      </c>
      <c r="E8" s="40">
        <v>0</v>
      </c>
      <c r="F8" s="40">
        <v>1</v>
      </c>
      <c r="G8" s="40">
        <v>0</v>
      </c>
      <c r="H8" s="35">
        <f t="shared" si="5"/>
        <v>1</v>
      </c>
      <c r="I8" s="16" t="s">
        <v>28</v>
      </c>
      <c r="J8" s="3" t="s">
        <v>5</v>
      </c>
      <c r="K8" s="3" t="s">
        <v>5</v>
      </c>
      <c r="L8" s="41" t="s">
        <v>64</v>
      </c>
      <c r="M8" s="40">
        <v>0</v>
      </c>
      <c r="N8" s="40">
        <v>0</v>
      </c>
      <c r="O8" s="40">
        <v>2</v>
      </c>
      <c r="P8" s="35">
        <f t="shared" si="6"/>
        <v>2</v>
      </c>
      <c r="Q8" s="49" t="s">
        <v>53</v>
      </c>
      <c r="R8" s="54" cm="1">
        <f t="array" ref="R8">R6-P5-H5-SUM(U3:U28*AB3:AB28)*0.8-R7*8</f>
        <v>14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194</v>
      </c>
      <c r="Z8" s="1">
        <f t="shared" si="1"/>
        <v>0</v>
      </c>
      <c r="AA8" s="1">
        <f t="shared" si="2"/>
        <v>0</v>
      </c>
      <c r="AB8" s="53">
        <f t="shared" si="3"/>
        <v>194</v>
      </c>
      <c r="AC8">
        <v>193</v>
      </c>
      <c r="AD8">
        <f t="shared" si="4"/>
        <v>11580</v>
      </c>
    </row>
    <row r="9" spans="1:30" x14ac:dyDescent="0.3">
      <c r="A9" s="2" t="s">
        <v>4</v>
      </c>
      <c r="B9" s="15" t="s">
        <v>17</v>
      </c>
      <c r="C9" s="16" t="s">
        <v>18</v>
      </c>
      <c r="D9" s="25"/>
      <c r="E9" s="25"/>
      <c r="F9" s="25"/>
      <c r="G9" s="25"/>
      <c r="H9" s="26"/>
      <c r="I9" s="1" t="s">
        <v>27</v>
      </c>
      <c r="J9" s="15" t="s">
        <v>17</v>
      </c>
      <c r="K9" s="3" t="s">
        <v>5</v>
      </c>
      <c r="L9" s="32" t="s">
        <v>42</v>
      </c>
      <c r="M9" s="36">
        <f>M6/M5</f>
        <v>0.78125</v>
      </c>
      <c r="N9" s="36">
        <f>N6/N5</f>
        <v>0.33045977011494254</v>
      </c>
      <c r="O9" s="36">
        <f>O6/O5</f>
        <v>0.5010438413361169</v>
      </c>
      <c r="P9" s="37">
        <f>P6/P5</f>
        <v>0.48324742268041238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7">U9-V9/0.330882</f>
        <v>44.222109392472248</v>
      </c>
      <c r="X9" s="45">
        <v>5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  <c r="AD9">
        <f t="shared" si="4"/>
        <v>0</v>
      </c>
    </row>
    <row r="10" spans="1:30" x14ac:dyDescent="0.3">
      <c r="A10" s="1" t="s">
        <v>27</v>
      </c>
      <c r="B10" s="1" t="s">
        <v>27</v>
      </c>
      <c r="C10" s="3" t="s">
        <v>5</v>
      </c>
      <c r="D10" s="25"/>
      <c r="E10" s="25"/>
      <c r="F10" s="25"/>
      <c r="G10" s="25"/>
      <c r="H10" s="26"/>
      <c r="I10" s="1" t="s">
        <v>27</v>
      </c>
      <c r="J10" s="1" t="s">
        <v>27</v>
      </c>
      <c r="K10" s="3" t="s">
        <v>5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7"/>
        <v>29.110982162825422</v>
      </c>
      <c r="X10" s="45">
        <v>6</v>
      </c>
      <c r="Y10" s="45">
        <v>2</v>
      </c>
      <c r="Z10" s="1">
        <f t="shared" si="1"/>
        <v>0</v>
      </c>
      <c r="AA10" s="1">
        <f t="shared" si="2"/>
        <v>2</v>
      </c>
      <c r="AB10" s="53">
        <f t="shared" si="3"/>
        <v>0</v>
      </c>
      <c r="AC10">
        <v>2</v>
      </c>
      <c r="AD10">
        <f t="shared" si="4"/>
        <v>80</v>
      </c>
    </row>
    <row r="11" spans="1:30" x14ac:dyDescent="0.3">
      <c r="A11" s="1" t="s">
        <v>27</v>
      </c>
      <c r="B11" s="4" t="s">
        <v>6</v>
      </c>
      <c r="C11" s="3" t="s">
        <v>5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15" t="s">
        <v>17</v>
      </c>
      <c r="L11" s="25"/>
      <c r="M11" s="25"/>
      <c r="N11" s="25"/>
      <c r="O11" s="25"/>
      <c r="P11" s="26">
        <f>H5+P5</f>
        <v>17226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>U11-V11/0.330882</f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6</v>
      </c>
      <c r="AD11">
        <f t="shared" si="4"/>
        <v>270</v>
      </c>
    </row>
    <row r="12" spans="1:30" x14ac:dyDescent="0.3">
      <c r="A12" s="1" t="s">
        <v>27</v>
      </c>
      <c r="B12" s="4" t="s">
        <v>6</v>
      </c>
      <c r="C12" s="3" t="s">
        <v>5</v>
      </c>
      <c r="D12" s="25"/>
      <c r="E12" s="25"/>
      <c r="F12" s="25"/>
      <c r="G12" s="25"/>
      <c r="H12" s="26"/>
      <c r="I12" s="1" t="s">
        <v>27</v>
      </c>
      <c r="J12" s="1" t="s">
        <v>27</v>
      </c>
      <c r="K12" s="1" t="s">
        <v>27</v>
      </c>
      <c r="L12" s="25"/>
      <c r="M12" s="25"/>
      <c r="N12" s="25"/>
      <c r="O12" s="25"/>
      <c r="P12" s="26">
        <f>H6+P6</f>
        <v>6370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  <c r="AD12">
        <f t="shared" si="4"/>
        <v>150</v>
      </c>
    </row>
    <row r="13" spans="1:30" x14ac:dyDescent="0.3">
      <c r="A13" s="1" t="s">
        <v>27</v>
      </c>
      <c r="B13" s="4" t="s">
        <v>6</v>
      </c>
      <c r="C13" s="3" t="s">
        <v>5</v>
      </c>
      <c r="D13" s="25"/>
      <c r="E13" s="25"/>
      <c r="F13" s="25"/>
      <c r="G13" s="25"/>
      <c r="H13" s="26"/>
      <c r="I13" s="1" t="s">
        <v>27</v>
      </c>
      <c r="J13" s="1" t="s">
        <v>27</v>
      </c>
      <c r="K13" s="1" t="s">
        <v>27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  <c r="AD13">
        <f t="shared" si="4"/>
        <v>165</v>
      </c>
    </row>
    <row r="14" spans="1:30" x14ac:dyDescent="0.3">
      <c r="A14" s="1" t="s">
        <v>27</v>
      </c>
      <c r="B14" s="4" t="s">
        <v>6</v>
      </c>
      <c r="C14" s="15" t="s">
        <v>17</v>
      </c>
      <c r="D14" s="25"/>
      <c r="E14" s="25"/>
      <c r="F14" s="25"/>
      <c r="G14" s="25"/>
      <c r="H14" s="26"/>
      <c r="I14" s="1" t="s">
        <v>27</v>
      </c>
      <c r="J14" s="1" t="s">
        <v>27</v>
      </c>
      <c r="K14" s="3" t="s">
        <v>5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  <c r="AD14">
        <f t="shared" si="4"/>
        <v>60</v>
      </c>
    </row>
    <row r="15" spans="1:30" x14ac:dyDescent="0.3">
      <c r="A15" s="1" t="s">
        <v>27</v>
      </c>
      <c r="B15" s="4" t="s">
        <v>6</v>
      </c>
      <c r="C15" s="3" t="s">
        <v>5</v>
      </c>
      <c r="D15" s="25"/>
      <c r="E15" s="25"/>
      <c r="F15" s="25"/>
      <c r="G15" s="25"/>
      <c r="H15" s="26"/>
      <c r="I15" s="1" t="s">
        <v>27</v>
      </c>
      <c r="J15" s="1" t="s">
        <v>27</v>
      </c>
      <c r="K15" s="3" t="s">
        <v>5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8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  <c r="AD15">
        <f t="shared" si="4"/>
        <v>0</v>
      </c>
    </row>
    <row r="16" spans="1:30" x14ac:dyDescent="0.3">
      <c r="A16" s="1" t="s">
        <v>27</v>
      </c>
      <c r="B16" s="4" t="s">
        <v>6</v>
      </c>
      <c r="C16" s="3" t="s">
        <v>5</v>
      </c>
      <c r="D16" s="25"/>
      <c r="E16" s="25"/>
      <c r="F16" s="25"/>
      <c r="G16" s="25"/>
      <c r="H16" s="26"/>
      <c r="I16" s="1" t="s">
        <v>27</v>
      </c>
      <c r="J16" s="1" t="s">
        <v>27</v>
      </c>
      <c r="K16" s="3" t="s">
        <v>5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6</v>
      </c>
      <c r="AA16" s="1">
        <f t="shared" si="2"/>
        <v>10</v>
      </c>
      <c r="AB16" s="53">
        <f t="shared" si="3"/>
        <v>22</v>
      </c>
      <c r="AC16">
        <v>38</v>
      </c>
      <c r="AD16">
        <f t="shared" si="4"/>
        <v>1140</v>
      </c>
    </row>
    <row r="17" spans="1:34" x14ac:dyDescent="0.3">
      <c r="A17" s="1" t="s">
        <v>27</v>
      </c>
      <c r="B17" s="17" t="s">
        <v>19</v>
      </c>
      <c r="C17" s="3" t="s">
        <v>5</v>
      </c>
      <c r="D17" s="25"/>
      <c r="E17" s="25"/>
      <c r="F17" s="25"/>
      <c r="G17" s="25"/>
      <c r="H17" s="26"/>
      <c r="I17" s="1" t="s">
        <v>27</v>
      </c>
      <c r="J17" s="1" t="s">
        <v>27</v>
      </c>
      <c r="K17" s="9" t="s">
        <v>11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1</v>
      </c>
      <c r="Y17" s="45">
        <v>1</v>
      </c>
      <c r="Z17" s="1">
        <f t="shared" si="1"/>
        <v>1</v>
      </c>
      <c r="AA17" s="1">
        <f t="shared" si="2"/>
        <v>0</v>
      </c>
      <c r="AB17" s="53">
        <f t="shared" si="3"/>
        <v>0</v>
      </c>
      <c r="AC17">
        <v>0</v>
      </c>
      <c r="AD17">
        <f t="shared" si="4"/>
        <v>0</v>
      </c>
    </row>
    <row r="18" spans="1:34" x14ac:dyDescent="0.3">
      <c r="A18" s="1" t="s">
        <v>27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1" t="s">
        <v>27</v>
      </c>
      <c r="J18" s="1" t="s">
        <v>27</v>
      </c>
      <c r="K18" s="3" t="s">
        <v>5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300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  <c r="AC18">
        <v>0</v>
      </c>
      <c r="AD18">
        <f t="shared" si="4"/>
        <v>0</v>
      </c>
    </row>
    <row r="19" spans="1:34" x14ac:dyDescent="0.3">
      <c r="A19" s="1" t="s">
        <v>27</v>
      </c>
      <c r="B19" s="4" t="s">
        <v>6</v>
      </c>
      <c r="C19" s="17" t="s">
        <v>20</v>
      </c>
      <c r="D19" s="25"/>
      <c r="E19" s="25"/>
      <c r="F19" s="25"/>
      <c r="G19" s="25"/>
      <c r="H19" s="26"/>
      <c r="I19" s="1" t="s">
        <v>27</v>
      </c>
      <c r="J19" s="1" t="s">
        <v>27</v>
      </c>
      <c r="K19" s="15" t="s">
        <v>17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  <c r="AD19">
        <f t="shared" si="4"/>
        <v>225</v>
      </c>
    </row>
    <row r="20" spans="1:34" x14ac:dyDescent="0.3">
      <c r="A20" s="1" t="s">
        <v>27</v>
      </c>
      <c r="B20" s="5" t="s">
        <v>7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1" t="s">
        <v>27</v>
      </c>
      <c r="K20" s="3" t="s">
        <v>5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C20">
        <v>2</v>
      </c>
      <c r="AD20">
        <f t="shared" si="4"/>
        <v>400</v>
      </c>
    </row>
    <row r="21" spans="1:34" x14ac:dyDescent="0.3">
      <c r="A21" s="1" t="s">
        <v>27</v>
      </c>
      <c r="B21" s="5" t="s">
        <v>7</v>
      </c>
      <c r="C21" s="15" t="s">
        <v>17</v>
      </c>
      <c r="D21" s="25"/>
      <c r="E21" s="25"/>
      <c r="F21" s="25"/>
      <c r="G21" s="25"/>
      <c r="H21" s="26"/>
      <c r="I21" s="1" t="s">
        <v>27</v>
      </c>
      <c r="J21" s="1" t="s">
        <v>27</v>
      </c>
      <c r="K21" s="3" t="s">
        <v>5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  <c r="AD21">
        <f t="shared" si="4"/>
        <v>2000</v>
      </c>
    </row>
    <row r="22" spans="1:34" x14ac:dyDescent="0.3">
      <c r="A22" s="1" t="s">
        <v>27</v>
      </c>
      <c r="B22" s="4" t="s">
        <v>6</v>
      </c>
      <c r="C22" s="4" t="s">
        <v>6</v>
      </c>
      <c r="D22" s="25"/>
      <c r="E22" s="25"/>
      <c r="F22" s="25"/>
      <c r="G22" s="25"/>
      <c r="H22" s="26"/>
      <c r="I22" s="1" t="s">
        <v>27</v>
      </c>
      <c r="J22" s="1" t="s">
        <v>27</v>
      </c>
      <c r="K22" s="3" t="s">
        <v>5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  <c r="AC22">
        <v>3</v>
      </c>
      <c r="AD22">
        <f t="shared" si="4"/>
        <v>1500</v>
      </c>
    </row>
    <row r="23" spans="1:34" x14ac:dyDescent="0.3">
      <c r="A23" s="1" t="s">
        <v>27</v>
      </c>
      <c r="B23" s="10" t="s">
        <v>12</v>
      </c>
      <c r="C23" s="17" t="s">
        <v>19</v>
      </c>
      <c r="D23" s="25"/>
      <c r="E23" s="25"/>
      <c r="F23" s="25"/>
      <c r="G23" s="25"/>
      <c r="H23" s="26"/>
      <c r="I23" s="1" t="s">
        <v>27</v>
      </c>
      <c r="J23" s="1" t="s">
        <v>27</v>
      </c>
      <c r="K23" s="3" t="s">
        <v>5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9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  <c r="AD23">
        <f t="shared" si="4"/>
        <v>0</v>
      </c>
    </row>
    <row r="24" spans="1:34" x14ac:dyDescent="0.3">
      <c r="A24" s="1" t="s">
        <v>27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1" t="s">
        <v>27</v>
      </c>
      <c r="K24" s="15" t="s">
        <v>17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9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  <c r="AD24">
        <f t="shared" si="4"/>
        <v>0</v>
      </c>
    </row>
    <row r="25" spans="1:34" x14ac:dyDescent="0.3">
      <c r="A25" s="1" t="s">
        <v>27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1" t="s">
        <v>27</v>
      </c>
      <c r="K25" s="3" t="s">
        <v>5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9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  <c r="AD25">
        <f t="shared" si="4"/>
        <v>0</v>
      </c>
    </row>
    <row r="26" spans="1:34" x14ac:dyDescent="0.3">
      <c r="A26" s="1" t="s">
        <v>27</v>
      </c>
      <c r="B26" s="17" t="s">
        <v>20</v>
      </c>
      <c r="C26" s="10" t="s">
        <v>12</v>
      </c>
      <c r="D26" s="25"/>
      <c r="E26" s="25"/>
      <c r="F26" s="25"/>
      <c r="G26" s="25"/>
      <c r="H26" s="26"/>
      <c r="I26" s="1" t="s">
        <v>27</v>
      </c>
      <c r="J26" s="1" t="s">
        <v>27</v>
      </c>
      <c r="K26" s="3" t="s">
        <v>5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9"/>
        <v>0</v>
      </c>
      <c r="X26" s="45">
        <v>0</v>
      </c>
      <c r="Y26" s="45">
        <v>0</v>
      </c>
      <c r="Z26" s="1"/>
      <c r="AA26" s="1"/>
      <c r="AB26" s="53"/>
      <c r="AD26">
        <f t="shared" si="4"/>
        <v>0</v>
      </c>
    </row>
    <row r="27" spans="1:34" x14ac:dyDescent="0.3">
      <c r="A27" s="1" t="s">
        <v>27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1" t="s">
        <v>27</v>
      </c>
      <c r="J27" s="1" t="s">
        <v>27</v>
      </c>
      <c r="K27" s="3" t="s">
        <v>5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14</v>
      </c>
      <c r="Y27" s="45">
        <v>14</v>
      </c>
      <c r="Z27" s="1">
        <f t="shared" si="1"/>
        <v>0</v>
      </c>
      <c r="AA27" s="1">
        <f t="shared" si="2"/>
        <v>2</v>
      </c>
      <c r="AB27" s="53">
        <f t="shared" si="3"/>
        <v>12</v>
      </c>
      <c r="AC27">
        <v>15</v>
      </c>
      <c r="AD27">
        <f t="shared" si="4"/>
        <v>0</v>
      </c>
      <c r="AE27">
        <v>3</v>
      </c>
      <c r="AF27">
        <v>4</v>
      </c>
      <c r="AG27">
        <v>5</v>
      </c>
      <c r="AH27">
        <v>6</v>
      </c>
    </row>
    <row r="28" spans="1:34" x14ac:dyDescent="0.3">
      <c r="A28" s="1" t="s">
        <v>27</v>
      </c>
      <c r="B28" s="4" t="s">
        <v>6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1" t="s">
        <v>27</v>
      </c>
      <c r="K28" s="15" t="s">
        <v>17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>
        <v>10</v>
      </c>
      <c r="X28" s="45">
        <v>3</v>
      </c>
      <c r="Y28" s="45">
        <v>3</v>
      </c>
      <c r="Z28" s="1">
        <f t="shared" si="1"/>
        <v>0</v>
      </c>
      <c r="AA28" s="1">
        <f t="shared" si="2"/>
        <v>1</v>
      </c>
      <c r="AB28" s="53">
        <f t="shared" si="3"/>
        <v>2</v>
      </c>
      <c r="AC28">
        <v>3</v>
      </c>
      <c r="AD28">
        <f t="shared" si="4"/>
        <v>1560</v>
      </c>
      <c r="AE28">
        <v>4</v>
      </c>
      <c r="AF28">
        <v>3</v>
      </c>
      <c r="AG28">
        <v>3</v>
      </c>
      <c r="AH28">
        <v>1</v>
      </c>
    </row>
    <row r="29" spans="1:34" ht="15" thickBot="1" x14ac:dyDescent="0.35">
      <c r="A29" s="1" t="s">
        <v>27</v>
      </c>
      <c r="B29" s="4" t="s">
        <v>6</v>
      </c>
      <c r="C29" s="15" t="s">
        <v>17</v>
      </c>
      <c r="D29" s="25"/>
      <c r="E29" s="25"/>
      <c r="F29" s="25"/>
      <c r="G29" s="25"/>
      <c r="H29" s="26"/>
      <c r="I29" s="1" t="s">
        <v>27</v>
      </c>
      <c r="J29" s="1" t="s">
        <v>27</v>
      </c>
      <c r="K29" s="3" t="s">
        <v>5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  <c r="AE29">
        <v>2</v>
      </c>
    </row>
    <row r="30" spans="1:34" x14ac:dyDescent="0.3">
      <c r="A30" s="1" t="s">
        <v>27</v>
      </c>
      <c r="B30" s="4" t="s">
        <v>6</v>
      </c>
      <c r="C30" s="4" t="s">
        <v>6</v>
      </c>
      <c r="D30" s="25"/>
      <c r="E30" s="25"/>
      <c r="F30" s="25"/>
      <c r="G30" s="25"/>
      <c r="H30" s="26"/>
      <c r="I30" s="1" t="s">
        <v>27</v>
      </c>
      <c r="J30" s="1" t="s">
        <v>27</v>
      </c>
      <c r="K30" s="3" t="s">
        <v>5</v>
      </c>
      <c r="L30" s="25"/>
      <c r="M30" s="25"/>
      <c r="N30" s="25"/>
      <c r="O30" s="25"/>
      <c r="P30" s="26"/>
    </row>
    <row r="31" spans="1:34" x14ac:dyDescent="0.3">
      <c r="A31" s="1" t="s">
        <v>27</v>
      </c>
      <c r="B31" s="4" t="s">
        <v>6</v>
      </c>
      <c r="C31" s="4" t="s">
        <v>6</v>
      </c>
      <c r="D31" s="25"/>
      <c r="E31" s="25"/>
      <c r="F31" s="25"/>
      <c r="G31" s="25"/>
      <c r="H31" s="26"/>
      <c r="I31" s="1" t="s">
        <v>27</v>
      </c>
      <c r="J31" s="1" t="s">
        <v>27</v>
      </c>
      <c r="K31" s="3" t="s">
        <v>5</v>
      </c>
      <c r="L31" s="25"/>
      <c r="M31" s="25"/>
      <c r="N31" s="25"/>
      <c r="O31" s="25"/>
      <c r="P31" s="26"/>
      <c r="Y31">
        <f>SUM(Y3:Y28)</f>
        <v>1077</v>
      </c>
      <c r="AC31">
        <f>SUM(AC3:AC28)</f>
        <v>1074</v>
      </c>
      <c r="AD31">
        <f>SUM(AD3:AD28)+7000</f>
        <v>65360</v>
      </c>
    </row>
    <row r="32" spans="1:34" x14ac:dyDescent="0.3">
      <c r="A32" s="1" t="s">
        <v>27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1" t="s">
        <v>27</v>
      </c>
      <c r="K32" s="16" t="s">
        <v>28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 x14ac:dyDescent="0.3">
      <c r="A33" s="1" t="s">
        <v>27</v>
      </c>
      <c r="B33" s="4" t="s">
        <v>6</v>
      </c>
      <c r="C33" s="17" t="s">
        <v>20</v>
      </c>
      <c r="D33" s="25"/>
      <c r="E33" s="25"/>
      <c r="F33" s="25"/>
      <c r="G33" s="25"/>
      <c r="H33" s="26"/>
      <c r="I33" s="1" t="s">
        <v>27</v>
      </c>
      <c r="J33" s="1" t="s">
        <v>27</v>
      </c>
      <c r="K33" s="15" t="s">
        <v>17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 x14ac:dyDescent="0.3">
      <c r="A34" s="1" t="s">
        <v>27</v>
      </c>
      <c r="B34" s="4" t="s">
        <v>6</v>
      </c>
      <c r="C34" s="4" t="s">
        <v>6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1" t="s">
        <v>27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 x14ac:dyDescent="0.3">
      <c r="A35" s="1" t="s">
        <v>27</v>
      </c>
      <c r="B35" s="17" t="s">
        <v>20</v>
      </c>
      <c r="C35" s="4" t="s">
        <v>6</v>
      </c>
      <c r="D35" s="25"/>
      <c r="E35" s="25"/>
      <c r="F35" s="25"/>
      <c r="G35" s="25"/>
      <c r="H35" s="26"/>
      <c r="I35" s="1" t="s">
        <v>27</v>
      </c>
      <c r="J35" s="1" t="s">
        <v>27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 x14ac:dyDescent="0.3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1" t="s">
        <v>27</v>
      </c>
      <c r="K36" s="23" t="s">
        <v>29</v>
      </c>
      <c r="L36" s="25"/>
      <c r="M36" s="25"/>
      <c r="N36" s="25"/>
      <c r="O36" s="25"/>
      <c r="P36" s="26"/>
      <c r="S36" t="s">
        <v>61</v>
      </c>
    </row>
    <row r="37" spans="1:19" x14ac:dyDescent="0.3">
      <c r="A37" s="1" t="s">
        <v>27</v>
      </c>
      <c r="B37" s="1" t="s">
        <v>27</v>
      </c>
      <c r="C37" s="17" t="s">
        <v>19</v>
      </c>
      <c r="D37" s="25"/>
      <c r="E37" s="25"/>
      <c r="F37" s="25"/>
      <c r="G37" s="25"/>
      <c r="H37" s="26"/>
      <c r="I37" s="1" t="s">
        <v>27</v>
      </c>
      <c r="J37" s="1" t="s">
        <v>27</v>
      </c>
      <c r="K37" s="3" t="s">
        <v>5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 x14ac:dyDescent="0.3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3" t="s">
        <v>5</v>
      </c>
      <c r="L38" s="25"/>
      <c r="M38" s="25"/>
      <c r="N38" s="25"/>
      <c r="O38" s="25"/>
      <c r="P38" s="26"/>
      <c r="R38">
        <v>6</v>
      </c>
      <c r="S38" t="s">
        <v>65</v>
      </c>
    </row>
    <row r="39" spans="1:19" x14ac:dyDescent="0.3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3" t="s">
        <v>5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 x14ac:dyDescent="0.3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3" t="s">
        <v>5</v>
      </c>
      <c r="L40" s="25"/>
      <c r="M40" s="25"/>
      <c r="N40" s="25"/>
      <c r="O40" s="25"/>
      <c r="P40" s="26"/>
    </row>
    <row r="41" spans="1:19" x14ac:dyDescent="0.3">
      <c r="A41" s="1" t="s">
        <v>27</v>
      </c>
      <c r="B41" s="1" t="s">
        <v>27</v>
      </c>
      <c r="C41" s="4" t="s">
        <v>6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15" t="s">
        <v>17</v>
      </c>
      <c r="L41" s="25"/>
      <c r="M41" s="25"/>
      <c r="N41" s="25"/>
      <c r="O41" s="25"/>
      <c r="P41" s="26"/>
    </row>
    <row r="42" spans="1:19" x14ac:dyDescent="0.3">
      <c r="A42" s="1" t="s">
        <v>27</v>
      </c>
      <c r="B42" s="1" t="s">
        <v>27</v>
      </c>
      <c r="C42" s="4" t="s">
        <v>6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3" t="s">
        <v>5</v>
      </c>
      <c r="L42" s="25"/>
      <c r="M42" s="25"/>
      <c r="N42" s="25"/>
      <c r="O42" s="25"/>
      <c r="P42" s="26"/>
    </row>
    <row r="43" spans="1:19" x14ac:dyDescent="0.3">
      <c r="A43" s="1" t="s">
        <v>27</v>
      </c>
      <c r="B43" s="1" t="s">
        <v>27</v>
      </c>
      <c r="C43" s="4" t="s">
        <v>6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3" t="s">
        <v>5</v>
      </c>
      <c r="L43" s="25"/>
      <c r="M43" s="25"/>
      <c r="N43" s="25"/>
      <c r="O43" s="25"/>
      <c r="P43" s="26"/>
    </row>
    <row r="44" spans="1:19" x14ac:dyDescent="0.3">
      <c r="A44" s="1" t="s">
        <v>27</v>
      </c>
      <c r="B44" s="1" t="s">
        <v>27</v>
      </c>
      <c r="C44" s="15" t="s">
        <v>17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3" t="s">
        <v>5</v>
      </c>
      <c r="L44" s="25"/>
      <c r="M44" s="25"/>
      <c r="N44" s="25"/>
      <c r="O44" s="25"/>
      <c r="P44" s="26"/>
    </row>
    <row r="45" spans="1:19" x14ac:dyDescent="0.3">
      <c r="A45" s="1" t="s">
        <v>27</v>
      </c>
      <c r="B45" s="1" t="s">
        <v>27</v>
      </c>
      <c r="C45" s="4" t="s">
        <v>6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3" t="s">
        <v>5</v>
      </c>
      <c r="L45" s="25"/>
      <c r="M45" s="25"/>
      <c r="N45" s="25"/>
      <c r="O45" s="25"/>
      <c r="P45" s="26"/>
    </row>
    <row r="46" spans="1:19" x14ac:dyDescent="0.3">
      <c r="A46" s="1" t="s">
        <v>27</v>
      </c>
      <c r="B46" s="1" t="s">
        <v>27</v>
      </c>
      <c r="C46" s="4" t="s">
        <v>6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5" t="s">
        <v>17</v>
      </c>
      <c r="L46" s="25"/>
      <c r="M46" s="25"/>
      <c r="N46" s="25"/>
      <c r="O46" s="25"/>
      <c r="P46" s="26"/>
    </row>
    <row r="47" spans="1:19" x14ac:dyDescent="0.3">
      <c r="A47" s="1" t="s">
        <v>27</v>
      </c>
      <c r="B47" s="1" t="s">
        <v>27</v>
      </c>
      <c r="C47" s="4" t="s">
        <v>6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 x14ac:dyDescent="0.3">
      <c r="A48" s="1" t="s">
        <v>27</v>
      </c>
      <c r="B48" s="1" t="s">
        <v>27</v>
      </c>
      <c r="C48" s="4" t="s">
        <v>6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 x14ac:dyDescent="0.3">
      <c r="A49" s="1" t="s">
        <v>27</v>
      </c>
      <c r="B49" s="1" t="s">
        <v>27</v>
      </c>
      <c r="C49" s="17" t="s">
        <v>20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 x14ac:dyDescent="0.3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 x14ac:dyDescent="0.3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 x14ac:dyDescent="0.3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 x14ac:dyDescent="0.3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 x14ac:dyDescent="0.3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 x14ac:dyDescent="0.3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 x14ac:dyDescent="0.3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 x14ac:dyDescent="0.3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 x14ac:dyDescent="0.3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 x14ac:dyDescent="0.3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 x14ac:dyDescent="0.3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 x14ac:dyDescent="0.3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 x14ac:dyDescent="0.3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 x14ac:dyDescent="0.3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 x14ac:dyDescent="0.3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 x14ac:dyDescent="0.3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 x14ac:dyDescent="0.3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 x14ac:dyDescent="0.3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 x14ac:dyDescent="0.3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 x14ac:dyDescent="0.3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 x14ac:dyDescent="0.3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 x14ac:dyDescent="0.3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 x14ac:dyDescent="0.3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 x14ac:dyDescent="0.3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 x14ac:dyDescent="0.3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 x14ac:dyDescent="0.3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 x14ac:dyDescent="0.3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 x14ac:dyDescent="0.3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 x14ac:dyDescent="0.3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 x14ac:dyDescent="0.3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 x14ac:dyDescent="0.3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 x14ac:dyDescent="0.3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 x14ac:dyDescent="0.3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 x14ac:dyDescent="0.3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 x14ac:dyDescent="0.3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 x14ac:dyDescent="0.3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 x14ac:dyDescent="0.3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 x14ac:dyDescent="0.3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 x14ac:dyDescent="0.3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 x14ac:dyDescent="0.3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 x14ac:dyDescent="0.3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 x14ac:dyDescent="0.3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 x14ac:dyDescent="0.3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 x14ac:dyDescent="0.3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 x14ac:dyDescent="0.3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 x14ac:dyDescent="0.3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 x14ac:dyDescent="0.3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 x14ac:dyDescent="0.3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 x14ac:dyDescent="0.3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 x14ac:dyDescent="0.3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 x14ac:dyDescent="0.35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ECF35-0143-472A-967F-EC5C471B1B0D}">
  <dimension ref="A1:AH100"/>
  <sheetViews>
    <sheetView topLeftCell="B1" zoomScale="85" zoomScaleNormal="85" workbookViewId="0">
      <selection activeCell="M25" sqref="M25"/>
    </sheetView>
  </sheetViews>
  <sheetFormatPr defaultRowHeight="14.4" x14ac:dyDescent="0.3"/>
  <sheetData>
    <row r="1" spans="1:30" ht="15.6" x14ac:dyDescent="0.3">
      <c r="A1" s="60" t="s">
        <v>30</v>
      </c>
      <c r="B1" s="61"/>
      <c r="C1" s="61"/>
      <c r="D1" s="61"/>
      <c r="E1" s="61"/>
      <c r="F1" s="62" t="s">
        <v>3</v>
      </c>
      <c r="G1" s="62"/>
      <c r="H1" s="24" cm="1">
        <f t="array" ref="H1">SUM(VLOOKUP(A4:C100,$T$3:$W$36,4,FALSE))+H4*10-H8*50</f>
        <v>2415.5530249454487</v>
      </c>
      <c r="I1" s="63" t="s">
        <v>41</v>
      </c>
      <c r="J1" s="64"/>
      <c r="K1" s="64"/>
      <c r="L1" s="64"/>
      <c r="M1" s="64"/>
      <c r="N1" s="64"/>
      <c r="O1" s="64"/>
      <c r="P1" s="65"/>
      <c r="Q1" s="63" t="s">
        <v>48</v>
      </c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30" ht="28.8" x14ac:dyDescent="0.3">
      <c r="A2" s="66" t="s">
        <v>35</v>
      </c>
      <c r="B2" s="67"/>
      <c r="C2" s="67"/>
      <c r="D2" s="68" t="s">
        <v>37</v>
      </c>
      <c r="E2" s="69"/>
      <c r="F2" s="69"/>
      <c r="G2" s="69"/>
      <c r="H2" s="70"/>
      <c r="I2" s="71" t="s">
        <v>35</v>
      </c>
      <c r="J2" s="72"/>
      <c r="K2" s="72"/>
      <c r="L2" s="73" t="s">
        <v>37</v>
      </c>
      <c r="M2" s="73"/>
      <c r="N2" s="73"/>
      <c r="O2" s="73"/>
      <c r="P2" s="74"/>
      <c r="Q2" s="49" t="s">
        <v>43</v>
      </c>
      <c r="R2" s="50" cm="1">
        <f t="array" ref="R2">SUM(V3:V28*AB3:AB28)+H6+P6+R4*500</f>
        <v>65525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30" x14ac:dyDescent="0.3">
      <c r="A3" s="59" t="s">
        <v>31</v>
      </c>
      <c r="B3" s="58" t="s">
        <v>32</v>
      </c>
      <c r="C3" s="20" t="s">
        <v>33</v>
      </c>
      <c r="D3" s="32"/>
      <c r="E3" s="59" t="s">
        <v>31</v>
      </c>
      <c r="F3" s="58" t="s">
        <v>32</v>
      </c>
      <c r="G3" s="20" t="s">
        <v>33</v>
      </c>
      <c r="H3" s="33" t="s">
        <v>36</v>
      </c>
      <c r="I3" s="59" t="s">
        <v>31</v>
      </c>
      <c r="J3" s="58" t="s">
        <v>32</v>
      </c>
      <c r="K3" s="20" t="s">
        <v>33</v>
      </c>
      <c r="L3" s="32"/>
      <c r="M3" s="59" t="s">
        <v>31</v>
      </c>
      <c r="N3" s="58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15</v>
      </c>
      <c r="Z3" s="1">
        <f>COUNTIF($A$4:$C$100,T3)</f>
        <v>13</v>
      </c>
      <c r="AA3" s="1">
        <f>COUNTIF($I$4:$K$100,T3)</f>
        <v>2</v>
      </c>
      <c r="AB3" s="53">
        <f>Y3-Z3-AA3</f>
        <v>0</v>
      </c>
      <c r="AC3">
        <v>24</v>
      </c>
      <c r="AD3">
        <f>AC3*V3</f>
        <v>840</v>
      </c>
    </row>
    <row r="4" spans="1:30" x14ac:dyDescent="0.3">
      <c r="A4" s="2" t="s">
        <v>4</v>
      </c>
      <c r="B4" s="2" t="s">
        <v>4</v>
      </c>
      <c r="C4" s="1" t="s">
        <v>27</v>
      </c>
      <c r="D4" s="42" t="s">
        <v>34</v>
      </c>
      <c r="E4" s="38">
        <v>0</v>
      </c>
      <c r="F4" s="38">
        <v>0</v>
      </c>
      <c r="G4" s="38">
        <v>0</v>
      </c>
      <c r="H4" s="35">
        <f>SUM(E4:G4)</f>
        <v>0</v>
      </c>
      <c r="I4" s="15" t="s">
        <v>17</v>
      </c>
      <c r="J4" s="3" t="s">
        <v>5</v>
      </c>
      <c r="K4" s="3" t="s">
        <v>5</v>
      </c>
      <c r="L4" s="42" t="s">
        <v>34</v>
      </c>
      <c r="M4" s="38">
        <v>1</v>
      </c>
      <c r="N4" s="38">
        <v>0</v>
      </c>
      <c r="O4" s="38">
        <v>5</v>
      </c>
      <c r="P4" s="35">
        <f>SUM(M4:O4)</f>
        <v>6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38</v>
      </c>
      <c r="Z4" s="1">
        <f t="shared" ref="Z4:Z28" si="1">COUNTIF($A$4:$C$100,T4)</f>
        <v>5</v>
      </c>
      <c r="AA4" s="1">
        <f t="shared" ref="AA4:AA28" si="2">COUNTIF($I$4:$K$100,T4)</f>
        <v>33</v>
      </c>
      <c r="AB4" s="53">
        <f t="shared" ref="AB4:AB28" si="3">Y4-Z4-AA4</f>
        <v>0</v>
      </c>
      <c r="AC4">
        <v>25</v>
      </c>
      <c r="AD4">
        <f t="shared" ref="AD4:AD28" si="4">AC4*V4</f>
        <v>1000</v>
      </c>
    </row>
    <row r="5" spans="1:30" x14ac:dyDescent="0.3">
      <c r="A5" s="2" t="s">
        <v>4</v>
      </c>
      <c r="B5" s="2" t="s">
        <v>4</v>
      </c>
      <c r="C5" s="1" t="s">
        <v>27</v>
      </c>
      <c r="D5" s="32" t="s">
        <v>38</v>
      </c>
      <c r="E5" s="34" cm="1">
        <f t="array" ref="E5">(SUM(VLOOKUP(A4:A100,$T$3:$W$41,2,FALSE))+E4*10)-E8*50</f>
        <v>800</v>
      </c>
      <c r="F5" s="34" cm="1">
        <f t="array" ref="F5">(SUM(VLOOKUP(B4:B100,$T$3:$W$41,2,FALSE))+F4*10)-F8*50</f>
        <v>5080</v>
      </c>
      <c r="G5" s="34" cm="1">
        <f t="array" ref="G5">(SUM(VLOOKUP(C4:C100,$T$3:$W$41,2,FALSE))+G4*10)-G8*50</f>
        <v>6660</v>
      </c>
      <c r="H5" s="57">
        <f t="shared" ref="H5:H8" si="5">SUM(E5:G5)</f>
        <v>12540</v>
      </c>
      <c r="I5" s="1" t="s">
        <v>27</v>
      </c>
      <c r="J5" s="3" t="s">
        <v>5</v>
      </c>
      <c r="K5" s="3" t="s">
        <v>5</v>
      </c>
      <c r="L5" s="32" t="s">
        <v>38</v>
      </c>
      <c r="M5" s="34" cm="1">
        <f t="array" ref="M5">(SUM(VLOOKUP(I4:I100,$T$3:$W$41,2,FALSE))+M4*10)*0.8-M8*40</f>
        <v>128</v>
      </c>
      <c r="N5" s="34" cm="1">
        <f t="array" ref="N5">(SUM(VLOOKUP(J4:J100,$T$3:$W$41,2,FALSE))+N4*10)*0.8-N8*40</f>
        <v>672</v>
      </c>
      <c r="O5" s="34" cm="1">
        <f t="array" ref="O5">(SUM(VLOOKUP(K4:K100,$T$3:$W$41,2,FALSE))+O4*10)*0.8-O8*40</f>
        <v>3912</v>
      </c>
      <c r="P5" s="57">
        <f t="shared" ref="P5:P8" si="6">SUM(M5:O5)</f>
        <v>4712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243</v>
      </c>
      <c r="Z5" s="1">
        <f t="shared" si="1"/>
        <v>44</v>
      </c>
      <c r="AA5" s="1">
        <f t="shared" si="2"/>
        <v>0</v>
      </c>
      <c r="AB5" s="53">
        <f t="shared" si="3"/>
        <v>199</v>
      </c>
      <c r="AC5">
        <v>247</v>
      </c>
      <c r="AD5">
        <f t="shared" si="4"/>
        <v>11115</v>
      </c>
    </row>
    <row r="6" spans="1:30" x14ac:dyDescent="0.3">
      <c r="A6" s="15" t="s">
        <v>17</v>
      </c>
      <c r="B6" s="2" t="s">
        <v>4</v>
      </c>
      <c r="C6" s="2" t="s">
        <v>4</v>
      </c>
      <c r="D6" s="32" t="s">
        <v>39</v>
      </c>
      <c r="E6" s="34" cm="1">
        <f t="array" ref="E6">(SUM(VLOOKUP(A4:A100,$T$3:$W$41,3,FALSE)))</f>
        <v>205</v>
      </c>
      <c r="F6" s="34" cm="1">
        <f t="array" ref="F6">(SUM(VLOOKUP(B4:B100,$T$3:$W$41,3,FALSE)))</f>
        <v>1595</v>
      </c>
      <c r="G6" s="34" cm="1">
        <f t="array" ref="G6">(SUM(VLOOKUP(C4:C100,$T$3:$W$41,3,FALSE)))</f>
        <v>2340</v>
      </c>
      <c r="H6" s="48">
        <f t="shared" si="5"/>
        <v>4140</v>
      </c>
      <c r="I6" s="2" t="s">
        <v>4</v>
      </c>
      <c r="J6" s="9" t="s">
        <v>11</v>
      </c>
      <c r="K6" s="3" t="s">
        <v>5</v>
      </c>
      <c r="L6" s="32" t="s">
        <v>39</v>
      </c>
      <c r="M6" s="34" cm="1">
        <f t="array" ref="M6">(SUM(VLOOKUP(I4:I100,$T$3:$W$41,3,FALSE)))</f>
        <v>100</v>
      </c>
      <c r="N6" s="34" cm="1">
        <f t="array" ref="N6">(SUM(VLOOKUP(J4:J100,$T$3:$W$41,3,FALSE)))</f>
        <v>230</v>
      </c>
      <c r="O6" s="34" cm="1">
        <f t="array" ref="O6">(SUM(VLOOKUP(K4:K100,$T$3:$W$41,3,FALSE)))</f>
        <v>1950</v>
      </c>
      <c r="P6" s="48">
        <f t="shared" si="6"/>
        <v>2280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267</v>
      </c>
      <c r="Z6" s="1">
        <f t="shared" si="1"/>
        <v>2</v>
      </c>
      <c r="AA6" s="1">
        <f t="shared" si="2"/>
        <v>0</v>
      </c>
      <c r="AB6" s="53">
        <f t="shared" si="3"/>
        <v>265</v>
      </c>
      <c r="AC6">
        <v>267</v>
      </c>
      <c r="AD6">
        <f t="shared" si="4"/>
        <v>13350</v>
      </c>
    </row>
    <row r="7" spans="1:30" x14ac:dyDescent="0.3">
      <c r="A7" s="2" t="s">
        <v>4</v>
      </c>
      <c r="B7" s="2" t="s">
        <v>4</v>
      </c>
      <c r="C7" s="2" t="s">
        <v>4</v>
      </c>
      <c r="D7" s="32" t="s">
        <v>40</v>
      </c>
      <c r="E7" s="34">
        <f>COUNTIF(A4:A100,"&lt;&gt;空")</f>
        <v>6</v>
      </c>
      <c r="F7" s="34">
        <f>COUNTIF(B4:B100,"&lt;&gt;空")</f>
        <v>31</v>
      </c>
      <c r="G7" s="34">
        <f>COUNTIF(C4:C100,"&lt;&gt;空")</f>
        <v>45</v>
      </c>
      <c r="H7" s="35">
        <f t="shared" si="5"/>
        <v>82</v>
      </c>
      <c r="I7" s="2" t="s">
        <v>4</v>
      </c>
      <c r="J7" s="3" t="s">
        <v>5</v>
      </c>
      <c r="K7" s="15" t="s">
        <v>17</v>
      </c>
      <c r="L7" s="32" t="s">
        <v>40</v>
      </c>
      <c r="M7" s="34">
        <f>COUNTIF(I4:I100,"&lt;&gt;空")</f>
        <v>4</v>
      </c>
      <c r="N7" s="34">
        <f>COUNTIF(J4:J100,"&lt;&gt;空")</f>
        <v>6</v>
      </c>
      <c r="O7" s="34">
        <f>COUNTIF(K4:K100,"&lt;&gt;空")</f>
        <v>40</v>
      </c>
      <c r="P7" s="35">
        <f t="shared" si="6"/>
        <v>50</v>
      </c>
      <c r="Q7" s="52" t="s">
        <v>54</v>
      </c>
      <c r="R7" s="25">
        <v>1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235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  <c r="AD7">
        <f t="shared" si="4"/>
        <v>12925</v>
      </c>
    </row>
    <row r="8" spans="1:30" x14ac:dyDescent="0.3">
      <c r="A8" s="2" t="s">
        <v>4</v>
      </c>
      <c r="B8" s="2" t="s">
        <v>4</v>
      </c>
      <c r="C8" s="2" t="s">
        <v>4</v>
      </c>
      <c r="D8" s="41" t="s">
        <v>64</v>
      </c>
      <c r="E8" s="40">
        <v>0</v>
      </c>
      <c r="F8" s="40">
        <v>1</v>
      </c>
      <c r="G8" s="40">
        <v>0</v>
      </c>
      <c r="H8" s="35">
        <f t="shared" si="5"/>
        <v>1</v>
      </c>
      <c r="I8" s="16" t="s">
        <v>28</v>
      </c>
      <c r="J8" s="3" t="s">
        <v>5</v>
      </c>
      <c r="K8" s="3" t="s">
        <v>5</v>
      </c>
      <c r="L8" s="41" t="s">
        <v>64</v>
      </c>
      <c r="M8" s="40">
        <v>0</v>
      </c>
      <c r="N8" s="40">
        <v>0</v>
      </c>
      <c r="O8" s="40">
        <v>2</v>
      </c>
      <c r="P8" s="35">
        <f t="shared" si="6"/>
        <v>2</v>
      </c>
      <c r="Q8" s="49" t="s">
        <v>53</v>
      </c>
      <c r="R8" s="54" cm="1">
        <f t="array" ref="R8">R6-P5-H5-SUM(U3:U28*AB3:AB28)*0.8-R7*8</f>
        <v>-4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194</v>
      </c>
      <c r="Z8" s="1">
        <f t="shared" si="1"/>
        <v>0</v>
      </c>
      <c r="AA8" s="1">
        <f t="shared" si="2"/>
        <v>0</v>
      </c>
      <c r="AB8" s="53">
        <f t="shared" si="3"/>
        <v>194</v>
      </c>
      <c r="AC8">
        <v>193</v>
      </c>
      <c r="AD8">
        <f t="shared" si="4"/>
        <v>11580</v>
      </c>
    </row>
    <row r="9" spans="1:30" x14ac:dyDescent="0.3">
      <c r="A9" s="2" t="s">
        <v>4</v>
      </c>
      <c r="B9" s="15" t="s">
        <v>17</v>
      </c>
      <c r="C9" s="16" t="s">
        <v>18</v>
      </c>
      <c r="D9" s="25"/>
      <c r="E9" s="25"/>
      <c r="F9" s="25"/>
      <c r="G9" s="25"/>
      <c r="H9" s="26"/>
      <c r="I9" s="1" t="s">
        <v>27</v>
      </c>
      <c r="J9" s="15" t="s">
        <v>17</v>
      </c>
      <c r="K9" s="3" t="s">
        <v>5</v>
      </c>
      <c r="L9" s="32" t="s">
        <v>42</v>
      </c>
      <c r="M9" s="36">
        <f>M6/M5</f>
        <v>0.78125</v>
      </c>
      <c r="N9" s="36">
        <f>N6/N5</f>
        <v>0.34226190476190477</v>
      </c>
      <c r="O9" s="36">
        <f>O6/O5</f>
        <v>0.49846625766871167</v>
      </c>
      <c r="P9" s="37">
        <f>P6/P5</f>
        <v>0.4838709677419355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7">U9-V9/0.330882</f>
        <v>44.222109392472248</v>
      </c>
      <c r="X9" s="45">
        <v>5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  <c r="AD9">
        <f t="shared" si="4"/>
        <v>0</v>
      </c>
    </row>
    <row r="10" spans="1:30" x14ac:dyDescent="0.3">
      <c r="A10" s="1" t="s">
        <v>27</v>
      </c>
      <c r="B10" s="1" t="s">
        <v>27</v>
      </c>
      <c r="C10" s="3" t="s">
        <v>5</v>
      </c>
      <c r="D10" s="25"/>
      <c r="E10" s="25"/>
      <c r="F10" s="25"/>
      <c r="G10" s="25"/>
      <c r="H10" s="26"/>
      <c r="I10" s="1" t="s">
        <v>27</v>
      </c>
      <c r="J10" s="1" t="s">
        <v>27</v>
      </c>
      <c r="K10" s="3" t="s">
        <v>5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7"/>
        <v>29.110982162825422</v>
      </c>
      <c r="X10" s="45">
        <v>6</v>
      </c>
      <c r="Y10" s="45">
        <v>4</v>
      </c>
      <c r="Z10" s="1">
        <f t="shared" si="1"/>
        <v>1</v>
      </c>
      <c r="AA10" s="1">
        <f t="shared" si="2"/>
        <v>1</v>
      </c>
      <c r="AB10" s="53">
        <f t="shared" si="3"/>
        <v>2</v>
      </c>
      <c r="AC10">
        <v>2</v>
      </c>
      <c r="AD10">
        <f t="shared" si="4"/>
        <v>80</v>
      </c>
    </row>
    <row r="11" spans="1:30" x14ac:dyDescent="0.3">
      <c r="A11" s="1" t="s">
        <v>27</v>
      </c>
      <c r="B11" s="4" t="s">
        <v>6</v>
      </c>
      <c r="C11" s="3" t="s">
        <v>5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15" t="s">
        <v>17</v>
      </c>
      <c r="L11" s="25"/>
      <c r="M11" s="25"/>
      <c r="N11" s="25"/>
      <c r="O11" s="25"/>
      <c r="P11" s="26">
        <f>H5+P5</f>
        <v>17252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>U11-V11/0.330882</f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6</v>
      </c>
      <c r="AD11">
        <f t="shared" si="4"/>
        <v>270</v>
      </c>
    </row>
    <row r="12" spans="1:30" x14ac:dyDescent="0.3">
      <c r="A12" s="1" t="s">
        <v>27</v>
      </c>
      <c r="B12" s="4" t="s">
        <v>6</v>
      </c>
      <c r="C12" s="3" t="s">
        <v>5</v>
      </c>
      <c r="D12" s="25"/>
      <c r="E12" s="25"/>
      <c r="F12" s="25"/>
      <c r="G12" s="25"/>
      <c r="H12" s="26"/>
      <c r="I12" s="1" t="s">
        <v>27</v>
      </c>
      <c r="J12" s="1" t="s">
        <v>27</v>
      </c>
      <c r="K12" s="1" t="s">
        <v>27</v>
      </c>
      <c r="L12" s="25"/>
      <c r="M12" s="25"/>
      <c r="N12" s="25"/>
      <c r="O12" s="25"/>
      <c r="P12" s="26">
        <f>H6+P6</f>
        <v>6420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  <c r="AD12">
        <f t="shared" si="4"/>
        <v>150</v>
      </c>
    </row>
    <row r="13" spans="1:30" x14ac:dyDescent="0.3">
      <c r="A13" s="1" t="s">
        <v>27</v>
      </c>
      <c r="B13" s="4" t="s">
        <v>6</v>
      </c>
      <c r="C13" s="3" t="s">
        <v>5</v>
      </c>
      <c r="D13" s="25"/>
      <c r="E13" s="25"/>
      <c r="F13" s="25"/>
      <c r="G13" s="25"/>
      <c r="H13" s="26"/>
      <c r="I13" s="1" t="s">
        <v>27</v>
      </c>
      <c r="J13" s="1" t="s">
        <v>27</v>
      </c>
      <c r="K13" s="3" t="s">
        <v>5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  <c r="AD13">
        <f t="shared" si="4"/>
        <v>165</v>
      </c>
    </row>
    <row r="14" spans="1:30" x14ac:dyDescent="0.3">
      <c r="A14" s="1" t="s">
        <v>27</v>
      </c>
      <c r="B14" s="4" t="s">
        <v>6</v>
      </c>
      <c r="C14" s="3" t="s">
        <v>5</v>
      </c>
      <c r="D14" s="25"/>
      <c r="E14" s="25"/>
      <c r="F14" s="25"/>
      <c r="G14" s="25"/>
      <c r="H14" s="26"/>
      <c r="I14" s="1" t="s">
        <v>27</v>
      </c>
      <c r="J14" s="1" t="s">
        <v>27</v>
      </c>
      <c r="K14" s="3" t="s">
        <v>5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  <c r="AD14">
        <f t="shared" si="4"/>
        <v>60</v>
      </c>
    </row>
    <row r="15" spans="1:30" x14ac:dyDescent="0.3">
      <c r="A15" s="1" t="s">
        <v>27</v>
      </c>
      <c r="B15" s="4" t="s">
        <v>6</v>
      </c>
      <c r="C15" s="9" t="s">
        <v>11</v>
      </c>
      <c r="D15" s="25"/>
      <c r="E15" s="25"/>
      <c r="F15" s="25"/>
      <c r="G15" s="25"/>
      <c r="H15" s="26"/>
      <c r="I15" s="1" t="s">
        <v>27</v>
      </c>
      <c r="J15" s="1" t="s">
        <v>27</v>
      </c>
      <c r="K15" s="3" t="s">
        <v>5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8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  <c r="AD15">
        <f t="shared" si="4"/>
        <v>0</v>
      </c>
    </row>
    <row r="16" spans="1:30" x14ac:dyDescent="0.3">
      <c r="A16" s="1" t="s">
        <v>27</v>
      </c>
      <c r="B16" s="4" t="s">
        <v>6</v>
      </c>
      <c r="C16" s="4" t="s">
        <v>6</v>
      </c>
      <c r="D16" s="25"/>
      <c r="E16" s="25"/>
      <c r="F16" s="25"/>
      <c r="G16" s="25"/>
      <c r="H16" s="26"/>
      <c r="I16" s="1" t="s">
        <v>27</v>
      </c>
      <c r="J16" s="1" t="s">
        <v>27</v>
      </c>
      <c r="K16" s="3" t="s">
        <v>5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5</v>
      </c>
      <c r="AA16" s="1">
        <f t="shared" si="2"/>
        <v>11</v>
      </c>
      <c r="AB16" s="53">
        <f>Y16-Z16-AA16</f>
        <v>22</v>
      </c>
      <c r="AC16">
        <v>38</v>
      </c>
      <c r="AD16">
        <f t="shared" si="4"/>
        <v>1140</v>
      </c>
    </row>
    <row r="17" spans="1:34" x14ac:dyDescent="0.3">
      <c r="A17" s="1" t="s">
        <v>27</v>
      </c>
      <c r="B17" s="17" t="s">
        <v>19</v>
      </c>
      <c r="C17" s="4" t="s">
        <v>6</v>
      </c>
      <c r="D17" s="25"/>
      <c r="E17" s="25"/>
      <c r="F17" s="25"/>
      <c r="G17" s="25"/>
      <c r="H17" s="26"/>
      <c r="I17" s="1" t="s">
        <v>27</v>
      </c>
      <c r="J17" s="1" t="s">
        <v>27</v>
      </c>
      <c r="K17" s="15" t="s">
        <v>17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2</v>
      </c>
      <c r="Y17" s="45">
        <v>2</v>
      </c>
      <c r="Z17" s="1">
        <f t="shared" si="1"/>
        <v>2</v>
      </c>
      <c r="AA17" s="1">
        <f t="shared" si="2"/>
        <v>0</v>
      </c>
      <c r="AB17" s="53">
        <f t="shared" si="3"/>
        <v>0</v>
      </c>
      <c r="AC17">
        <v>0</v>
      </c>
      <c r="AD17">
        <f t="shared" si="4"/>
        <v>0</v>
      </c>
    </row>
    <row r="18" spans="1:34" x14ac:dyDescent="0.3">
      <c r="A18" s="1" t="s">
        <v>27</v>
      </c>
      <c r="B18" s="4" t="s">
        <v>6</v>
      </c>
      <c r="C18" s="16" t="s">
        <v>18</v>
      </c>
      <c r="D18" s="25"/>
      <c r="E18" s="25"/>
      <c r="F18" s="25"/>
      <c r="G18" s="25"/>
      <c r="H18" s="26"/>
      <c r="I18" s="1" t="s">
        <v>27</v>
      </c>
      <c r="J18" s="1" t="s">
        <v>27</v>
      </c>
      <c r="K18" s="3" t="s">
        <v>5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300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  <c r="AC18">
        <v>0</v>
      </c>
      <c r="AD18">
        <f t="shared" si="4"/>
        <v>0</v>
      </c>
    </row>
    <row r="19" spans="1:34" x14ac:dyDescent="0.3">
      <c r="A19" s="1" t="s">
        <v>27</v>
      </c>
      <c r="B19" s="4" t="s">
        <v>6</v>
      </c>
      <c r="C19" s="4" t="s">
        <v>6</v>
      </c>
      <c r="D19" s="25"/>
      <c r="E19" s="25"/>
      <c r="F19" s="25"/>
      <c r="G19" s="25"/>
      <c r="H19" s="26"/>
      <c r="I19" s="1" t="s">
        <v>27</v>
      </c>
      <c r="J19" s="1" t="s">
        <v>27</v>
      </c>
      <c r="K19" s="15" t="s">
        <v>17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  <c r="AD19">
        <f t="shared" si="4"/>
        <v>225</v>
      </c>
    </row>
    <row r="20" spans="1:34" x14ac:dyDescent="0.3">
      <c r="A20" s="1" t="s">
        <v>27</v>
      </c>
      <c r="B20" s="5" t="s">
        <v>7</v>
      </c>
      <c r="C20" s="17" t="s">
        <v>20</v>
      </c>
      <c r="D20" s="25"/>
      <c r="E20" s="25"/>
      <c r="F20" s="25"/>
      <c r="G20" s="25"/>
      <c r="H20" s="26"/>
      <c r="I20" s="1" t="s">
        <v>27</v>
      </c>
      <c r="J20" s="1" t="s">
        <v>27</v>
      </c>
      <c r="K20" s="3" t="s">
        <v>5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C20">
        <v>2</v>
      </c>
      <c r="AD20">
        <f t="shared" si="4"/>
        <v>400</v>
      </c>
    </row>
    <row r="21" spans="1:34" x14ac:dyDescent="0.3">
      <c r="A21" s="1" t="s">
        <v>27</v>
      </c>
      <c r="B21" s="5" t="s">
        <v>7</v>
      </c>
      <c r="C21" s="4" t="s">
        <v>6</v>
      </c>
      <c r="D21" s="25"/>
      <c r="E21" s="25"/>
      <c r="F21" s="25"/>
      <c r="G21" s="25"/>
      <c r="H21" s="26"/>
      <c r="I21" s="1" t="s">
        <v>27</v>
      </c>
      <c r="J21" s="1" t="s">
        <v>27</v>
      </c>
      <c r="K21" s="3" t="s">
        <v>5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  <c r="AD21">
        <f t="shared" si="4"/>
        <v>2000</v>
      </c>
    </row>
    <row r="22" spans="1:34" x14ac:dyDescent="0.3">
      <c r="A22" s="1" t="s">
        <v>27</v>
      </c>
      <c r="B22" s="4" t="s">
        <v>6</v>
      </c>
      <c r="C22" s="15" t="s">
        <v>17</v>
      </c>
      <c r="D22" s="25"/>
      <c r="E22" s="25"/>
      <c r="F22" s="25"/>
      <c r="G22" s="25"/>
      <c r="H22" s="26"/>
      <c r="I22" s="1" t="s">
        <v>27</v>
      </c>
      <c r="J22" s="1" t="s">
        <v>27</v>
      </c>
      <c r="K22" s="3" t="s">
        <v>5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  <c r="AC22">
        <v>3</v>
      </c>
      <c r="AD22">
        <f t="shared" si="4"/>
        <v>1500</v>
      </c>
    </row>
    <row r="23" spans="1:34" x14ac:dyDescent="0.3">
      <c r="A23" s="1" t="s">
        <v>27</v>
      </c>
      <c r="B23" s="10" t="s">
        <v>12</v>
      </c>
      <c r="C23" s="4" t="s">
        <v>6</v>
      </c>
      <c r="D23" s="25"/>
      <c r="E23" s="25"/>
      <c r="F23" s="25"/>
      <c r="G23" s="25"/>
      <c r="H23" s="26"/>
      <c r="I23" s="1" t="s">
        <v>27</v>
      </c>
      <c r="J23" s="1" t="s">
        <v>27</v>
      </c>
      <c r="K23" s="15" t="s">
        <v>17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9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  <c r="AD23">
        <f t="shared" si="4"/>
        <v>0</v>
      </c>
    </row>
    <row r="24" spans="1:34" x14ac:dyDescent="0.3">
      <c r="A24" s="1" t="s">
        <v>27</v>
      </c>
      <c r="B24" s="4" t="s">
        <v>6</v>
      </c>
      <c r="C24" s="17" t="s">
        <v>19</v>
      </c>
      <c r="D24" s="25"/>
      <c r="E24" s="25"/>
      <c r="F24" s="25"/>
      <c r="G24" s="25"/>
      <c r="H24" s="26"/>
      <c r="I24" s="1" t="s">
        <v>27</v>
      </c>
      <c r="J24" s="1" t="s">
        <v>27</v>
      </c>
      <c r="K24" s="16" t="s">
        <v>28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9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  <c r="AD24">
        <f t="shared" si="4"/>
        <v>0</v>
      </c>
    </row>
    <row r="25" spans="1:34" x14ac:dyDescent="0.3">
      <c r="A25" s="1" t="s">
        <v>27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1" t="s">
        <v>27</v>
      </c>
      <c r="K25" s="3" t="s">
        <v>5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9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  <c r="AD25">
        <f t="shared" si="4"/>
        <v>0</v>
      </c>
    </row>
    <row r="26" spans="1:34" x14ac:dyDescent="0.3">
      <c r="A26" s="1" t="s">
        <v>27</v>
      </c>
      <c r="B26" s="17" t="s">
        <v>20</v>
      </c>
      <c r="C26" s="4" t="s">
        <v>6</v>
      </c>
      <c r="D26" s="25"/>
      <c r="E26" s="25"/>
      <c r="F26" s="25"/>
      <c r="G26" s="25"/>
      <c r="H26" s="26"/>
      <c r="I26" s="1" t="s">
        <v>27</v>
      </c>
      <c r="J26" s="1" t="s">
        <v>27</v>
      </c>
      <c r="K26" s="3" t="s">
        <v>5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9"/>
        <v>0</v>
      </c>
      <c r="X26" s="45">
        <v>0</v>
      </c>
      <c r="Y26" s="45">
        <v>0</v>
      </c>
      <c r="Z26" s="1"/>
      <c r="AA26" s="1"/>
      <c r="AB26" s="53"/>
      <c r="AD26">
        <f t="shared" si="4"/>
        <v>0</v>
      </c>
    </row>
    <row r="27" spans="1:34" x14ac:dyDescent="0.3">
      <c r="A27" s="1" t="s">
        <v>27</v>
      </c>
      <c r="B27" s="4" t="s">
        <v>6</v>
      </c>
      <c r="C27" s="10" t="s">
        <v>12</v>
      </c>
      <c r="D27" s="25"/>
      <c r="E27" s="25"/>
      <c r="F27" s="25"/>
      <c r="G27" s="25"/>
      <c r="H27" s="26"/>
      <c r="I27" s="1" t="s">
        <v>27</v>
      </c>
      <c r="J27" s="1" t="s">
        <v>27</v>
      </c>
      <c r="K27" s="3" t="s">
        <v>5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13</v>
      </c>
      <c r="Y27" s="45">
        <v>13</v>
      </c>
      <c r="Z27" s="1">
        <f t="shared" si="1"/>
        <v>0</v>
      </c>
      <c r="AA27" s="1">
        <f t="shared" si="2"/>
        <v>2</v>
      </c>
      <c r="AB27" s="53">
        <f t="shared" si="3"/>
        <v>11</v>
      </c>
      <c r="AC27">
        <v>15</v>
      </c>
      <c r="AD27">
        <f t="shared" si="4"/>
        <v>0</v>
      </c>
      <c r="AF27">
        <v>4</v>
      </c>
      <c r="AG27">
        <v>5</v>
      </c>
      <c r="AH27">
        <v>6</v>
      </c>
    </row>
    <row r="28" spans="1:34" x14ac:dyDescent="0.3">
      <c r="A28" s="1" t="s">
        <v>27</v>
      </c>
      <c r="B28" s="4" t="s">
        <v>6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1" t="s">
        <v>27</v>
      </c>
      <c r="K28" s="3" t="s">
        <v>5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>
        <v>10</v>
      </c>
      <c r="X28" s="45">
        <v>3</v>
      </c>
      <c r="Y28" s="45">
        <v>3</v>
      </c>
      <c r="Z28" s="1">
        <f t="shared" si="1"/>
        <v>0</v>
      </c>
      <c r="AA28" s="1">
        <f t="shared" si="2"/>
        <v>1</v>
      </c>
      <c r="AB28" s="53">
        <f t="shared" si="3"/>
        <v>2</v>
      </c>
      <c r="AC28">
        <v>3</v>
      </c>
      <c r="AD28">
        <f t="shared" si="4"/>
        <v>1560</v>
      </c>
      <c r="AF28">
        <v>3</v>
      </c>
      <c r="AG28">
        <v>3</v>
      </c>
      <c r="AH28">
        <v>1</v>
      </c>
    </row>
    <row r="29" spans="1:34" ht="15" thickBot="1" x14ac:dyDescent="0.35">
      <c r="A29" s="1" t="s">
        <v>27</v>
      </c>
      <c r="B29" s="4" t="s">
        <v>6</v>
      </c>
      <c r="C29" s="4" t="s">
        <v>6</v>
      </c>
      <c r="D29" s="25"/>
      <c r="E29" s="25"/>
      <c r="F29" s="25"/>
      <c r="G29" s="25"/>
      <c r="H29" s="26"/>
      <c r="I29" s="1" t="s">
        <v>27</v>
      </c>
      <c r="J29" s="1" t="s">
        <v>27</v>
      </c>
      <c r="K29" s="15" t="s">
        <v>17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  <c r="AE29">
        <v>2</v>
      </c>
    </row>
    <row r="30" spans="1:34" x14ac:dyDescent="0.3">
      <c r="A30" s="1" t="s">
        <v>27</v>
      </c>
      <c r="B30" s="4" t="s">
        <v>6</v>
      </c>
      <c r="C30" s="15" t="s">
        <v>17</v>
      </c>
      <c r="D30" s="25"/>
      <c r="E30" s="25"/>
      <c r="F30" s="25"/>
      <c r="G30" s="25"/>
      <c r="H30" s="26"/>
      <c r="I30" s="1" t="s">
        <v>27</v>
      </c>
      <c r="J30" s="1" t="s">
        <v>27</v>
      </c>
      <c r="K30" s="1" t="s">
        <v>27</v>
      </c>
      <c r="L30" s="25"/>
      <c r="M30" s="25"/>
      <c r="N30" s="25"/>
      <c r="O30" s="25"/>
      <c r="P30" s="26"/>
    </row>
    <row r="31" spans="1:34" x14ac:dyDescent="0.3">
      <c r="A31" s="1" t="s">
        <v>27</v>
      </c>
      <c r="B31" s="4" t="s">
        <v>6</v>
      </c>
      <c r="C31" s="4" t="s">
        <v>6</v>
      </c>
      <c r="D31" s="25"/>
      <c r="E31" s="25"/>
      <c r="F31" s="25"/>
      <c r="G31" s="25"/>
      <c r="H31" s="26"/>
      <c r="I31" s="1" t="s">
        <v>27</v>
      </c>
      <c r="J31" s="1" t="s">
        <v>27</v>
      </c>
      <c r="K31" s="3" t="s">
        <v>5</v>
      </c>
      <c r="L31" s="25"/>
      <c r="M31" s="25"/>
      <c r="N31" s="25"/>
      <c r="O31" s="25"/>
      <c r="P31" s="26"/>
      <c r="Y31">
        <f>SUM(Y3:Y28)</f>
        <v>1077</v>
      </c>
      <c r="AC31">
        <f>SUM(AC3:AC28)</f>
        <v>1074</v>
      </c>
      <c r="AD31">
        <f>SUM(AD3:AD28)+7000</f>
        <v>65360</v>
      </c>
    </row>
    <row r="32" spans="1:34" x14ac:dyDescent="0.3">
      <c r="A32" s="1" t="s">
        <v>27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1" t="s">
        <v>27</v>
      </c>
      <c r="K32" s="15" t="s">
        <v>17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 x14ac:dyDescent="0.3">
      <c r="A33" s="1" t="s">
        <v>27</v>
      </c>
      <c r="B33" s="4" t="s">
        <v>6</v>
      </c>
      <c r="C33" s="4" t="s">
        <v>6</v>
      </c>
      <c r="D33" s="25"/>
      <c r="E33" s="25"/>
      <c r="F33" s="25"/>
      <c r="G33" s="25"/>
      <c r="H33" s="26"/>
      <c r="I33" s="1" t="s">
        <v>27</v>
      </c>
      <c r="J33" s="1" t="s">
        <v>27</v>
      </c>
      <c r="K33" s="3" t="s">
        <v>5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 x14ac:dyDescent="0.3">
      <c r="A34" s="1" t="s">
        <v>27</v>
      </c>
      <c r="B34" s="4" t="s">
        <v>6</v>
      </c>
      <c r="C34" s="17" t="s">
        <v>20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3" t="s">
        <v>5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 x14ac:dyDescent="0.3">
      <c r="A35" s="1" t="s">
        <v>27</v>
      </c>
      <c r="B35" s="17" t="s">
        <v>20</v>
      </c>
      <c r="C35" s="4" t="s">
        <v>6</v>
      </c>
      <c r="D35" s="25"/>
      <c r="E35" s="25"/>
      <c r="F35" s="25"/>
      <c r="G35" s="25"/>
      <c r="H35" s="26"/>
      <c r="I35" s="1" t="s">
        <v>27</v>
      </c>
      <c r="J35" s="1" t="s">
        <v>27</v>
      </c>
      <c r="K35" s="23" t="s">
        <v>29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 x14ac:dyDescent="0.3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1" t="s">
        <v>27</v>
      </c>
      <c r="K36" s="3" t="s">
        <v>5</v>
      </c>
      <c r="L36" s="25"/>
      <c r="M36" s="25"/>
      <c r="N36" s="25"/>
      <c r="O36" s="25"/>
      <c r="P36" s="26"/>
      <c r="S36" t="s">
        <v>61</v>
      </c>
    </row>
    <row r="37" spans="1:19" x14ac:dyDescent="0.3">
      <c r="A37" s="1" t="s">
        <v>27</v>
      </c>
      <c r="B37" s="1" t="s">
        <v>27</v>
      </c>
      <c r="C37" s="4" t="s">
        <v>6</v>
      </c>
      <c r="D37" s="25"/>
      <c r="E37" s="25"/>
      <c r="F37" s="25"/>
      <c r="G37" s="25"/>
      <c r="H37" s="26"/>
      <c r="I37" s="1" t="s">
        <v>27</v>
      </c>
      <c r="J37" s="1" t="s">
        <v>27</v>
      </c>
      <c r="K37" s="3" t="s">
        <v>5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 x14ac:dyDescent="0.3">
      <c r="A38" s="1" t="s">
        <v>27</v>
      </c>
      <c r="B38" s="1" t="s">
        <v>27</v>
      </c>
      <c r="C38" s="17" t="s">
        <v>19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3" t="s">
        <v>5</v>
      </c>
      <c r="L38" s="25"/>
      <c r="M38" s="25"/>
      <c r="N38" s="25"/>
      <c r="O38" s="25"/>
      <c r="P38" s="26"/>
      <c r="R38">
        <v>6</v>
      </c>
      <c r="S38" t="s">
        <v>65</v>
      </c>
    </row>
    <row r="39" spans="1:19" x14ac:dyDescent="0.3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3" t="s">
        <v>5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 x14ac:dyDescent="0.3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15" t="s">
        <v>17</v>
      </c>
      <c r="L40" s="25"/>
      <c r="M40" s="25"/>
      <c r="N40" s="25"/>
      <c r="O40" s="25"/>
      <c r="P40" s="26"/>
    </row>
    <row r="41" spans="1:19" x14ac:dyDescent="0.3">
      <c r="A41" s="1" t="s">
        <v>27</v>
      </c>
      <c r="B41" s="1" t="s">
        <v>27</v>
      </c>
      <c r="C41" s="4" t="s">
        <v>6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3" t="s">
        <v>5</v>
      </c>
      <c r="L41" s="25"/>
      <c r="M41" s="25"/>
      <c r="N41" s="25"/>
      <c r="O41" s="25"/>
      <c r="P41" s="26"/>
    </row>
    <row r="42" spans="1:19" x14ac:dyDescent="0.3">
      <c r="A42" s="1" t="s">
        <v>27</v>
      </c>
      <c r="B42" s="1" t="s">
        <v>27</v>
      </c>
      <c r="C42" s="4" t="s">
        <v>6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3" t="s">
        <v>5</v>
      </c>
      <c r="L42" s="25"/>
      <c r="M42" s="25"/>
      <c r="N42" s="25"/>
      <c r="O42" s="25"/>
      <c r="P42" s="26"/>
    </row>
    <row r="43" spans="1:19" x14ac:dyDescent="0.3">
      <c r="A43" s="1" t="s">
        <v>27</v>
      </c>
      <c r="B43" s="1" t="s">
        <v>27</v>
      </c>
      <c r="C43" s="4" t="s">
        <v>6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3" t="s">
        <v>5</v>
      </c>
      <c r="L43" s="25"/>
      <c r="M43" s="25"/>
      <c r="N43" s="25"/>
      <c r="O43" s="25"/>
      <c r="P43" s="26"/>
    </row>
    <row r="44" spans="1:19" x14ac:dyDescent="0.3">
      <c r="A44" s="1" t="s">
        <v>27</v>
      </c>
      <c r="B44" s="1" t="s">
        <v>27</v>
      </c>
      <c r="C44" s="4" t="s">
        <v>6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3" t="s">
        <v>5</v>
      </c>
      <c r="L44" s="25"/>
      <c r="M44" s="25"/>
      <c r="N44" s="25"/>
      <c r="O44" s="25"/>
      <c r="P44" s="26"/>
    </row>
    <row r="45" spans="1:19" x14ac:dyDescent="0.3">
      <c r="A45" s="1" t="s">
        <v>27</v>
      </c>
      <c r="B45" s="1" t="s">
        <v>27</v>
      </c>
      <c r="C45" s="15" t="s">
        <v>17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5" t="s">
        <v>17</v>
      </c>
      <c r="L45" s="25"/>
      <c r="M45" s="25"/>
      <c r="N45" s="25"/>
      <c r="O45" s="25"/>
      <c r="P45" s="26"/>
    </row>
    <row r="46" spans="1:19" x14ac:dyDescent="0.3">
      <c r="A46" s="1" t="s">
        <v>27</v>
      </c>
      <c r="B46" s="1" t="s">
        <v>27</v>
      </c>
      <c r="C46" s="4" t="s">
        <v>6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 x14ac:dyDescent="0.3">
      <c r="A47" s="1" t="s">
        <v>27</v>
      </c>
      <c r="B47" s="1" t="s">
        <v>27</v>
      </c>
      <c r="C47" s="4" t="s">
        <v>6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 x14ac:dyDescent="0.3">
      <c r="A48" s="1" t="s">
        <v>27</v>
      </c>
      <c r="B48" s="1" t="s">
        <v>27</v>
      </c>
      <c r="C48" s="4" t="s">
        <v>6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 x14ac:dyDescent="0.3">
      <c r="A49" s="1" t="s">
        <v>27</v>
      </c>
      <c r="B49" s="1" t="s">
        <v>27</v>
      </c>
      <c r="C49" s="4" t="s">
        <v>6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 x14ac:dyDescent="0.3">
      <c r="A50" s="1" t="s">
        <v>27</v>
      </c>
      <c r="B50" s="1" t="s">
        <v>27</v>
      </c>
      <c r="C50" s="17" t="s">
        <v>20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 x14ac:dyDescent="0.3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 x14ac:dyDescent="0.3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 x14ac:dyDescent="0.3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 x14ac:dyDescent="0.3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 x14ac:dyDescent="0.3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 x14ac:dyDescent="0.3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 x14ac:dyDescent="0.3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 x14ac:dyDescent="0.3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 x14ac:dyDescent="0.3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 x14ac:dyDescent="0.3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 x14ac:dyDescent="0.3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 x14ac:dyDescent="0.3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 x14ac:dyDescent="0.3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 x14ac:dyDescent="0.3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 x14ac:dyDescent="0.3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 x14ac:dyDescent="0.3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 x14ac:dyDescent="0.3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 x14ac:dyDescent="0.3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 x14ac:dyDescent="0.3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 x14ac:dyDescent="0.3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 x14ac:dyDescent="0.3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 x14ac:dyDescent="0.3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 x14ac:dyDescent="0.3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 x14ac:dyDescent="0.3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 x14ac:dyDescent="0.3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 x14ac:dyDescent="0.3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 x14ac:dyDescent="0.3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 x14ac:dyDescent="0.3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 x14ac:dyDescent="0.3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 x14ac:dyDescent="0.3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 x14ac:dyDescent="0.3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 x14ac:dyDescent="0.3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 x14ac:dyDescent="0.3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 x14ac:dyDescent="0.3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 x14ac:dyDescent="0.3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 x14ac:dyDescent="0.3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 x14ac:dyDescent="0.3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 x14ac:dyDescent="0.3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 x14ac:dyDescent="0.3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 x14ac:dyDescent="0.3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 x14ac:dyDescent="0.3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 x14ac:dyDescent="0.3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 x14ac:dyDescent="0.3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 x14ac:dyDescent="0.3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 x14ac:dyDescent="0.3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 x14ac:dyDescent="0.3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 x14ac:dyDescent="0.3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 x14ac:dyDescent="0.3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 x14ac:dyDescent="0.3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 x14ac:dyDescent="0.35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7443-E29E-4480-9CDC-D24308686F94}">
  <dimension ref="A1:AH100"/>
  <sheetViews>
    <sheetView topLeftCell="B1" zoomScale="85" zoomScaleNormal="85" workbookViewId="0">
      <selection activeCell="AA22" sqref="AA22"/>
    </sheetView>
  </sheetViews>
  <sheetFormatPr defaultRowHeight="14.4" x14ac:dyDescent="0.3"/>
  <sheetData>
    <row r="1" spans="1:30" ht="15.6" x14ac:dyDescent="0.3">
      <c r="A1" s="60" t="s">
        <v>30</v>
      </c>
      <c r="B1" s="61"/>
      <c r="C1" s="61"/>
      <c r="D1" s="61"/>
      <c r="E1" s="61"/>
      <c r="F1" s="62" t="s">
        <v>3</v>
      </c>
      <c r="G1" s="62"/>
      <c r="H1" s="24" cm="1">
        <f t="array" ref="H1">SUM(VLOOKUP(A4:C100,$T$3:$W$36,4,FALSE))+H4*10-H8*50</f>
        <v>2396.6640071082738</v>
      </c>
      <c r="I1" s="63" t="s">
        <v>41</v>
      </c>
      <c r="J1" s="64"/>
      <c r="K1" s="64"/>
      <c r="L1" s="64"/>
      <c r="M1" s="64"/>
      <c r="N1" s="64"/>
      <c r="O1" s="64"/>
      <c r="P1" s="65"/>
      <c r="Q1" s="63" t="s">
        <v>48</v>
      </c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30" ht="28.8" x14ac:dyDescent="0.3">
      <c r="A2" s="66" t="s">
        <v>35</v>
      </c>
      <c r="B2" s="67"/>
      <c r="C2" s="67"/>
      <c r="D2" s="68" t="s">
        <v>37</v>
      </c>
      <c r="E2" s="69"/>
      <c r="F2" s="69"/>
      <c r="G2" s="69"/>
      <c r="H2" s="70"/>
      <c r="I2" s="71" t="s">
        <v>35</v>
      </c>
      <c r="J2" s="72"/>
      <c r="K2" s="72"/>
      <c r="L2" s="73" t="s">
        <v>37</v>
      </c>
      <c r="M2" s="73"/>
      <c r="N2" s="73"/>
      <c r="O2" s="73"/>
      <c r="P2" s="74"/>
      <c r="Q2" s="49" t="s">
        <v>43</v>
      </c>
      <c r="R2" s="50" cm="1">
        <f t="array" ref="R2">SUM(V3:V28*AB3:AB28)+H6+P6+R4*500</f>
        <v>65535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30" x14ac:dyDescent="0.3">
      <c r="A3" s="59" t="s">
        <v>31</v>
      </c>
      <c r="B3" s="58" t="s">
        <v>32</v>
      </c>
      <c r="C3" s="20" t="s">
        <v>33</v>
      </c>
      <c r="D3" s="32"/>
      <c r="E3" s="59" t="s">
        <v>31</v>
      </c>
      <c r="F3" s="58" t="s">
        <v>32</v>
      </c>
      <c r="G3" s="20" t="s">
        <v>33</v>
      </c>
      <c r="H3" s="33" t="s">
        <v>36</v>
      </c>
      <c r="I3" s="59" t="s">
        <v>31</v>
      </c>
      <c r="J3" s="58" t="s">
        <v>32</v>
      </c>
      <c r="K3" s="20" t="s">
        <v>33</v>
      </c>
      <c r="L3" s="32"/>
      <c r="M3" s="59" t="s">
        <v>31</v>
      </c>
      <c r="N3" s="58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15</v>
      </c>
      <c r="Z3" s="1">
        <f>COUNTIF($A$4:$C$100,T3)</f>
        <v>13</v>
      </c>
      <c r="AA3" s="1">
        <f>COUNTIF($I$4:$K$100,T3)</f>
        <v>2</v>
      </c>
      <c r="AB3" s="53">
        <f>Y3-Z3-AA3</f>
        <v>0</v>
      </c>
      <c r="AC3">
        <v>24</v>
      </c>
      <c r="AD3">
        <f>AC3*V3</f>
        <v>840</v>
      </c>
    </row>
    <row r="4" spans="1:30" x14ac:dyDescent="0.3">
      <c r="A4" s="2" t="s">
        <v>4</v>
      </c>
      <c r="B4" s="2" t="s">
        <v>4</v>
      </c>
      <c r="C4" s="1" t="s">
        <v>27</v>
      </c>
      <c r="D4" s="42" t="s">
        <v>34</v>
      </c>
      <c r="E4" s="38">
        <v>0</v>
      </c>
      <c r="F4" s="38">
        <v>0</v>
      </c>
      <c r="G4" s="38">
        <v>0</v>
      </c>
      <c r="H4" s="35">
        <f>SUM(E4:G4)</f>
        <v>0</v>
      </c>
      <c r="I4" s="3" t="s">
        <v>5</v>
      </c>
      <c r="J4" s="15" t="s">
        <v>17</v>
      </c>
      <c r="K4" s="3" t="s">
        <v>5</v>
      </c>
      <c r="L4" s="42" t="s">
        <v>34</v>
      </c>
      <c r="M4" s="38">
        <v>0</v>
      </c>
      <c r="N4" s="38">
        <v>1</v>
      </c>
      <c r="O4" s="38">
        <v>4</v>
      </c>
      <c r="P4" s="35">
        <f>SUM(M4:O4)</f>
        <v>5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39</v>
      </c>
      <c r="Z4" s="1">
        <f t="shared" ref="Z4:Z28" si="1">COUNTIF($A$4:$C$100,T4)</f>
        <v>7</v>
      </c>
      <c r="AA4" s="1">
        <f t="shared" ref="AA4:AA28" si="2">COUNTIF($I$4:$K$100,T4)</f>
        <v>32</v>
      </c>
      <c r="AB4" s="53">
        <f t="shared" ref="AB4:AB28" si="3">Y4-Z4-AA4</f>
        <v>0</v>
      </c>
      <c r="AC4">
        <v>25</v>
      </c>
      <c r="AD4">
        <f t="shared" ref="AD4:AD28" si="4">AC4*V4</f>
        <v>1000</v>
      </c>
    </row>
    <row r="5" spans="1:30" x14ac:dyDescent="0.3">
      <c r="A5" s="2" t="s">
        <v>4</v>
      </c>
      <c r="B5" s="2" t="s">
        <v>4</v>
      </c>
      <c r="C5" s="1" t="s">
        <v>27</v>
      </c>
      <c r="D5" s="32" t="s">
        <v>38</v>
      </c>
      <c r="E5" s="34" cm="1">
        <f t="array" ref="E5">(SUM(VLOOKUP(A4:A100,$T$3:$W$41,2,FALSE))+E4*10)-E8*50</f>
        <v>800</v>
      </c>
      <c r="F5" s="34" cm="1">
        <f t="array" ref="F5">(SUM(VLOOKUP(B4:B100,$T$3:$W$41,2,FALSE))+F4*10)-F8*50</f>
        <v>5080</v>
      </c>
      <c r="G5" s="34" cm="1">
        <f t="array" ref="G5">(SUM(VLOOKUP(C4:C100,$T$3:$W$41,2,FALSE))+G4*10)-G8*50</f>
        <v>6690</v>
      </c>
      <c r="H5" s="57">
        <f t="shared" ref="H5:H8" si="5">SUM(E5:G5)</f>
        <v>12570</v>
      </c>
      <c r="I5" s="3" t="s">
        <v>5</v>
      </c>
      <c r="J5" s="2" t="s">
        <v>4</v>
      </c>
      <c r="K5" s="3" t="s">
        <v>5</v>
      </c>
      <c r="L5" s="32" t="s">
        <v>38</v>
      </c>
      <c r="M5" s="34" cm="1">
        <f t="array" ref="M5">(SUM(VLOOKUP(I4:I100,$T$3:$W$41,2,FALSE))+M4*10)*0.8-M8*40</f>
        <v>672</v>
      </c>
      <c r="N5" s="34" cm="1">
        <f t="array" ref="N5">(SUM(VLOOKUP(J4:J100,$T$3:$W$41,2,FALSE))+N4*10)*0.8-N8*40</f>
        <v>128</v>
      </c>
      <c r="O5" s="34" cm="1">
        <f t="array" ref="O5">(SUM(VLOOKUP(K4:K100,$T$3:$W$41,2,FALSE))+O4*10)*0.8-O8*40</f>
        <v>3736</v>
      </c>
      <c r="P5" s="57">
        <f t="shared" ref="P5:P8" si="6">SUM(M5:O5)</f>
        <v>4536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245</v>
      </c>
      <c r="Z5" s="1">
        <f t="shared" si="1"/>
        <v>42</v>
      </c>
      <c r="AA5" s="1">
        <f t="shared" si="2"/>
        <v>0</v>
      </c>
      <c r="AB5" s="53">
        <f t="shared" si="3"/>
        <v>203</v>
      </c>
      <c r="AC5">
        <v>247</v>
      </c>
      <c r="AD5">
        <f t="shared" si="4"/>
        <v>11115</v>
      </c>
    </row>
    <row r="6" spans="1:30" x14ac:dyDescent="0.3">
      <c r="A6" s="15" t="s">
        <v>17</v>
      </c>
      <c r="B6" s="2" t="s">
        <v>4</v>
      </c>
      <c r="C6" s="2" t="s">
        <v>4</v>
      </c>
      <c r="D6" s="32" t="s">
        <v>39</v>
      </c>
      <c r="E6" s="34" cm="1">
        <f t="array" ref="E6">(SUM(VLOOKUP(A4:A100,$T$3:$W$41,3,FALSE)))</f>
        <v>205</v>
      </c>
      <c r="F6" s="34" cm="1">
        <f t="array" ref="F6">(SUM(VLOOKUP(B4:B100,$T$3:$W$41,3,FALSE)))</f>
        <v>1595</v>
      </c>
      <c r="G6" s="34" cm="1">
        <f t="array" ref="G6">(SUM(VLOOKUP(C4:C100,$T$3:$W$41,3,FALSE)))</f>
        <v>2320</v>
      </c>
      <c r="H6" s="48">
        <f t="shared" si="5"/>
        <v>4120</v>
      </c>
      <c r="I6" s="9" t="s">
        <v>11</v>
      </c>
      <c r="J6" s="2" t="s">
        <v>4</v>
      </c>
      <c r="K6" s="3" t="s">
        <v>5</v>
      </c>
      <c r="L6" s="32" t="s">
        <v>39</v>
      </c>
      <c r="M6" s="34" cm="1">
        <f t="array" ref="M6">(SUM(VLOOKUP(I4:I100,$T$3:$W$41,3,FALSE)))</f>
        <v>230</v>
      </c>
      <c r="N6" s="34" cm="1">
        <f t="array" ref="N6">(SUM(VLOOKUP(J4:J100,$T$3:$W$41,3,FALSE)))</f>
        <v>100</v>
      </c>
      <c r="O6" s="34" cm="1">
        <f t="array" ref="O6">(SUM(VLOOKUP(K4:K100,$T$3:$W$41,3,FALSE)))</f>
        <v>1880</v>
      </c>
      <c r="P6" s="48">
        <f t="shared" si="6"/>
        <v>2210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267</v>
      </c>
      <c r="Z6" s="1">
        <f t="shared" si="1"/>
        <v>2</v>
      </c>
      <c r="AA6" s="1">
        <f t="shared" si="2"/>
        <v>0</v>
      </c>
      <c r="AB6" s="53">
        <f t="shared" si="3"/>
        <v>265</v>
      </c>
      <c r="AC6">
        <v>267</v>
      </c>
      <c r="AD6">
        <f t="shared" si="4"/>
        <v>13350</v>
      </c>
    </row>
    <row r="7" spans="1:30" x14ac:dyDescent="0.3">
      <c r="A7" s="2" t="s">
        <v>4</v>
      </c>
      <c r="B7" s="2" t="s">
        <v>4</v>
      </c>
      <c r="C7" s="2" t="s">
        <v>4</v>
      </c>
      <c r="D7" s="32" t="s">
        <v>40</v>
      </c>
      <c r="E7" s="34">
        <f>COUNTIF(A4:A100,"&lt;&gt;空")</f>
        <v>6</v>
      </c>
      <c r="F7" s="34">
        <f>COUNTIF(B4:B100,"&lt;&gt;空")</f>
        <v>31</v>
      </c>
      <c r="G7" s="34">
        <f>COUNTIF(C4:C100,"&lt;&gt;空")</f>
        <v>44</v>
      </c>
      <c r="H7" s="35">
        <f t="shared" si="5"/>
        <v>81</v>
      </c>
      <c r="I7" s="3" t="s">
        <v>5</v>
      </c>
      <c r="J7" s="16" t="s">
        <v>28</v>
      </c>
      <c r="K7" s="15" t="s">
        <v>17</v>
      </c>
      <c r="L7" s="32" t="s">
        <v>40</v>
      </c>
      <c r="M7" s="34">
        <f>COUNTIF(I4:I100,"&lt;&gt;空")</f>
        <v>6</v>
      </c>
      <c r="N7" s="34">
        <f>COUNTIF(J4:J100,"&lt;&gt;空")</f>
        <v>4</v>
      </c>
      <c r="O7" s="34">
        <f>COUNTIF(K4:K100,"&lt;&gt;空")</f>
        <v>38</v>
      </c>
      <c r="P7" s="35">
        <f t="shared" si="6"/>
        <v>48</v>
      </c>
      <c r="Q7" s="52" t="s">
        <v>54</v>
      </c>
      <c r="R7" s="25">
        <v>2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235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  <c r="AD7">
        <f t="shared" si="4"/>
        <v>12925</v>
      </c>
    </row>
    <row r="8" spans="1:30" x14ac:dyDescent="0.3">
      <c r="A8" s="2" t="s">
        <v>4</v>
      </c>
      <c r="B8" s="2" t="s">
        <v>4</v>
      </c>
      <c r="C8" s="2" t="s">
        <v>4</v>
      </c>
      <c r="D8" s="41" t="s">
        <v>64</v>
      </c>
      <c r="E8" s="40">
        <v>0</v>
      </c>
      <c r="F8" s="40">
        <v>1</v>
      </c>
      <c r="G8" s="40">
        <v>0</v>
      </c>
      <c r="H8" s="35">
        <f t="shared" si="5"/>
        <v>1</v>
      </c>
      <c r="I8" s="3" t="s">
        <v>5</v>
      </c>
      <c r="J8" s="1" t="s">
        <v>27</v>
      </c>
      <c r="K8" s="3" t="s">
        <v>5</v>
      </c>
      <c r="L8" s="41" t="s">
        <v>64</v>
      </c>
      <c r="M8" s="40">
        <v>0</v>
      </c>
      <c r="N8" s="40">
        <v>0</v>
      </c>
      <c r="O8" s="40">
        <v>2</v>
      </c>
      <c r="P8" s="35">
        <f t="shared" si="6"/>
        <v>2</v>
      </c>
      <c r="Q8" s="49" t="s">
        <v>53</v>
      </c>
      <c r="R8" s="54" cm="1">
        <f t="array" ref="R8">R6-P5-H5-SUM(U3:U28*AB3:AB28)*0.8-R7*8</f>
        <v>-10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194</v>
      </c>
      <c r="Z8" s="1">
        <f t="shared" si="1"/>
        <v>0</v>
      </c>
      <c r="AA8" s="1">
        <f t="shared" si="2"/>
        <v>0</v>
      </c>
      <c r="AB8" s="53">
        <f t="shared" si="3"/>
        <v>194</v>
      </c>
      <c r="AC8">
        <v>193</v>
      </c>
      <c r="AD8">
        <f t="shared" si="4"/>
        <v>11580</v>
      </c>
    </row>
    <row r="9" spans="1:30" x14ac:dyDescent="0.3">
      <c r="A9" s="2" t="s">
        <v>4</v>
      </c>
      <c r="B9" s="15" t="s">
        <v>17</v>
      </c>
      <c r="C9" s="16" t="s">
        <v>18</v>
      </c>
      <c r="D9" s="25"/>
      <c r="E9" s="25"/>
      <c r="F9" s="25"/>
      <c r="G9" s="25"/>
      <c r="H9" s="26"/>
      <c r="I9" s="15" t="s">
        <v>17</v>
      </c>
      <c r="J9" s="1" t="s">
        <v>27</v>
      </c>
      <c r="K9" s="3" t="s">
        <v>5</v>
      </c>
      <c r="L9" s="32" t="s">
        <v>42</v>
      </c>
      <c r="M9" s="36">
        <f>M6/M5</f>
        <v>0.34226190476190477</v>
      </c>
      <c r="N9" s="36">
        <f>N6/N5</f>
        <v>0.78125</v>
      </c>
      <c r="O9" s="36">
        <f>O6/O5</f>
        <v>0.50321199143468953</v>
      </c>
      <c r="P9" s="37">
        <f>P6/P5</f>
        <v>0.48721340388007056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7">U9-V9/0.330882</f>
        <v>44.222109392472248</v>
      </c>
      <c r="X9" s="45">
        <v>5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  <c r="AD9">
        <f t="shared" si="4"/>
        <v>0</v>
      </c>
    </row>
    <row r="10" spans="1:30" x14ac:dyDescent="0.3">
      <c r="A10" s="1" t="s">
        <v>27</v>
      </c>
      <c r="B10" s="1" t="s">
        <v>27</v>
      </c>
      <c r="C10" s="3" t="s">
        <v>5</v>
      </c>
      <c r="D10" s="25"/>
      <c r="E10" s="25"/>
      <c r="F10" s="25"/>
      <c r="G10" s="25"/>
      <c r="H10" s="26"/>
      <c r="I10" s="1" t="s">
        <v>27</v>
      </c>
      <c r="J10" s="1" t="s">
        <v>27</v>
      </c>
      <c r="K10" s="3" t="s">
        <v>5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7"/>
        <v>29.110982162825422</v>
      </c>
      <c r="X10" s="45">
        <v>6</v>
      </c>
      <c r="Y10" s="45">
        <v>1</v>
      </c>
      <c r="Z10" s="1">
        <f t="shared" si="1"/>
        <v>0</v>
      </c>
      <c r="AA10" s="1">
        <f t="shared" si="2"/>
        <v>1</v>
      </c>
      <c r="AB10" s="53">
        <f t="shared" si="3"/>
        <v>0</v>
      </c>
      <c r="AC10">
        <v>2</v>
      </c>
      <c r="AD10">
        <f t="shared" si="4"/>
        <v>80</v>
      </c>
    </row>
    <row r="11" spans="1:30" x14ac:dyDescent="0.3">
      <c r="A11" s="1" t="s">
        <v>27</v>
      </c>
      <c r="B11" s="4" t="s">
        <v>6</v>
      </c>
      <c r="C11" s="3" t="s">
        <v>5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15" t="s">
        <v>17</v>
      </c>
      <c r="L11" s="25"/>
      <c r="M11" s="25"/>
      <c r="N11" s="25"/>
      <c r="O11" s="25"/>
      <c r="P11" s="26">
        <f>H5+P5</f>
        <v>17106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>U11-V11/0.330882</f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6</v>
      </c>
      <c r="AD11">
        <f t="shared" si="4"/>
        <v>270</v>
      </c>
    </row>
    <row r="12" spans="1:30" x14ac:dyDescent="0.3">
      <c r="A12" s="1" t="s">
        <v>27</v>
      </c>
      <c r="B12" s="4" t="s">
        <v>6</v>
      </c>
      <c r="C12" s="3" t="s">
        <v>5</v>
      </c>
      <c r="D12" s="25"/>
      <c r="E12" s="25"/>
      <c r="F12" s="25"/>
      <c r="G12" s="25"/>
      <c r="H12" s="26"/>
      <c r="I12" s="1" t="s">
        <v>27</v>
      </c>
      <c r="J12" s="1" t="s">
        <v>27</v>
      </c>
      <c r="K12" s="1" t="s">
        <v>27</v>
      </c>
      <c r="L12" s="25"/>
      <c r="M12" s="25"/>
      <c r="N12" s="25"/>
      <c r="O12" s="25"/>
      <c r="P12" s="26">
        <f>H6+P6</f>
        <v>6330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  <c r="AD12">
        <f t="shared" si="4"/>
        <v>150</v>
      </c>
    </row>
    <row r="13" spans="1:30" x14ac:dyDescent="0.3">
      <c r="A13" s="1" t="s">
        <v>27</v>
      </c>
      <c r="B13" s="4" t="s">
        <v>6</v>
      </c>
      <c r="C13" s="3" t="s">
        <v>5</v>
      </c>
      <c r="D13" s="25"/>
      <c r="E13" s="25"/>
      <c r="F13" s="25"/>
      <c r="G13" s="25"/>
      <c r="H13" s="26"/>
      <c r="I13" s="1" t="s">
        <v>27</v>
      </c>
      <c r="J13" s="1" t="s">
        <v>27</v>
      </c>
      <c r="K13" s="3" t="s">
        <v>5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  <c r="AD13">
        <f t="shared" si="4"/>
        <v>165</v>
      </c>
    </row>
    <row r="14" spans="1:30" x14ac:dyDescent="0.3">
      <c r="A14" s="1" t="s">
        <v>27</v>
      </c>
      <c r="B14" s="4" t="s">
        <v>6</v>
      </c>
      <c r="C14" s="15" t="s">
        <v>17</v>
      </c>
      <c r="D14" s="25"/>
      <c r="E14" s="25"/>
      <c r="F14" s="25"/>
      <c r="G14" s="25"/>
      <c r="H14" s="26"/>
      <c r="I14" s="1" t="s">
        <v>27</v>
      </c>
      <c r="J14" s="1" t="s">
        <v>27</v>
      </c>
      <c r="K14" s="3" t="s">
        <v>5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  <c r="AD14">
        <f t="shared" si="4"/>
        <v>60</v>
      </c>
    </row>
    <row r="15" spans="1:30" x14ac:dyDescent="0.3">
      <c r="A15" s="1" t="s">
        <v>27</v>
      </c>
      <c r="B15" s="4" t="s">
        <v>6</v>
      </c>
      <c r="C15" s="3" t="s">
        <v>5</v>
      </c>
      <c r="D15" s="25"/>
      <c r="E15" s="25"/>
      <c r="F15" s="25"/>
      <c r="G15" s="25"/>
      <c r="H15" s="26"/>
      <c r="I15" s="1" t="s">
        <v>27</v>
      </c>
      <c r="J15" s="1" t="s">
        <v>27</v>
      </c>
      <c r="K15" s="3" t="s">
        <v>5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8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  <c r="AD15">
        <f t="shared" si="4"/>
        <v>0</v>
      </c>
    </row>
    <row r="16" spans="1:30" x14ac:dyDescent="0.3">
      <c r="A16" s="1" t="s">
        <v>27</v>
      </c>
      <c r="B16" s="4" t="s">
        <v>6</v>
      </c>
      <c r="C16" s="3" t="s">
        <v>5</v>
      </c>
      <c r="D16" s="25"/>
      <c r="E16" s="25"/>
      <c r="F16" s="25"/>
      <c r="G16" s="25"/>
      <c r="H16" s="26"/>
      <c r="I16" s="1" t="s">
        <v>27</v>
      </c>
      <c r="J16" s="1" t="s">
        <v>27</v>
      </c>
      <c r="K16" s="15" t="s">
        <v>17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6</v>
      </c>
      <c r="AA16" s="1">
        <f t="shared" si="2"/>
        <v>10</v>
      </c>
      <c r="AB16" s="53">
        <f t="shared" si="3"/>
        <v>22</v>
      </c>
      <c r="AC16">
        <v>38</v>
      </c>
      <c r="AD16">
        <f t="shared" si="4"/>
        <v>1140</v>
      </c>
    </row>
    <row r="17" spans="1:34" x14ac:dyDescent="0.3">
      <c r="A17" s="1" t="s">
        <v>27</v>
      </c>
      <c r="B17" s="17" t="s">
        <v>19</v>
      </c>
      <c r="C17" s="3" t="s">
        <v>5</v>
      </c>
      <c r="D17" s="25"/>
      <c r="E17" s="25"/>
      <c r="F17" s="25"/>
      <c r="G17" s="25"/>
      <c r="H17" s="26"/>
      <c r="I17" s="1" t="s">
        <v>27</v>
      </c>
      <c r="J17" s="1" t="s">
        <v>27</v>
      </c>
      <c r="K17" s="3" t="s">
        <v>5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1</v>
      </c>
      <c r="Y17" s="45">
        <v>1</v>
      </c>
      <c r="Z17" s="1">
        <f t="shared" si="1"/>
        <v>1</v>
      </c>
      <c r="AA17" s="1">
        <f t="shared" si="2"/>
        <v>0</v>
      </c>
      <c r="AB17" s="53">
        <f t="shared" si="3"/>
        <v>0</v>
      </c>
      <c r="AC17">
        <v>0</v>
      </c>
      <c r="AD17">
        <f t="shared" si="4"/>
        <v>0</v>
      </c>
    </row>
    <row r="18" spans="1:34" x14ac:dyDescent="0.3">
      <c r="A18" s="1" t="s">
        <v>27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1" t="s">
        <v>27</v>
      </c>
      <c r="J18" s="1" t="s">
        <v>27</v>
      </c>
      <c r="K18" s="3" t="s">
        <v>5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300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  <c r="AC18">
        <v>0</v>
      </c>
      <c r="AD18">
        <f t="shared" si="4"/>
        <v>0</v>
      </c>
    </row>
    <row r="19" spans="1:34" x14ac:dyDescent="0.3">
      <c r="A19" s="1" t="s">
        <v>27</v>
      </c>
      <c r="B19" s="4" t="s">
        <v>6</v>
      </c>
      <c r="C19" s="17" t="s">
        <v>20</v>
      </c>
      <c r="D19" s="25"/>
      <c r="E19" s="25"/>
      <c r="F19" s="25"/>
      <c r="G19" s="25"/>
      <c r="H19" s="26"/>
      <c r="I19" s="1" t="s">
        <v>27</v>
      </c>
      <c r="J19" s="1" t="s">
        <v>27</v>
      </c>
      <c r="K19" s="3" t="s">
        <v>5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  <c r="AD19">
        <f t="shared" si="4"/>
        <v>225</v>
      </c>
    </row>
    <row r="20" spans="1:34" x14ac:dyDescent="0.3">
      <c r="A20" s="1" t="s">
        <v>27</v>
      </c>
      <c r="B20" s="5" t="s">
        <v>7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1" t="s">
        <v>27</v>
      </c>
      <c r="K20" s="15" t="s">
        <v>17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C20">
        <v>2</v>
      </c>
      <c r="AD20">
        <f t="shared" si="4"/>
        <v>400</v>
      </c>
    </row>
    <row r="21" spans="1:34" x14ac:dyDescent="0.3">
      <c r="A21" s="1" t="s">
        <v>27</v>
      </c>
      <c r="B21" s="5" t="s">
        <v>7</v>
      </c>
      <c r="C21" s="15" t="s">
        <v>17</v>
      </c>
      <c r="D21" s="25"/>
      <c r="E21" s="25"/>
      <c r="F21" s="25"/>
      <c r="G21" s="25"/>
      <c r="H21" s="26"/>
      <c r="I21" s="1" t="s">
        <v>27</v>
      </c>
      <c r="J21" s="1" t="s">
        <v>27</v>
      </c>
      <c r="K21" s="16" t="s">
        <v>28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  <c r="AD21">
        <f t="shared" si="4"/>
        <v>2000</v>
      </c>
    </row>
    <row r="22" spans="1:34" x14ac:dyDescent="0.3">
      <c r="A22" s="1" t="s">
        <v>27</v>
      </c>
      <c r="B22" s="4" t="s">
        <v>6</v>
      </c>
      <c r="C22" s="4" t="s">
        <v>6</v>
      </c>
      <c r="D22" s="25"/>
      <c r="E22" s="25"/>
      <c r="F22" s="25"/>
      <c r="G22" s="25"/>
      <c r="H22" s="26"/>
      <c r="I22" s="1" t="s">
        <v>27</v>
      </c>
      <c r="J22" s="1" t="s">
        <v>27</v>
      </c>
      <c r="K22" s="3" t="s">
        <v>5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  <c r="AC22">
        <v>3</v>
      </c>
      <c r="AD22">
        <f t="shared" si="4"/>
        <v>1500</v>
      </c>
    </row>
    <row r="23" spans="1:34" x14ac:dyDescent="0.3">
      <c r="A23" s="1" t="s">
        <v>27</v>
      </c>
      <c r="B23" s="10" t="s">
        <v>12</v>
      </c>
      <c r="C23" s="17" t="s">
        <v>19</v>
      </c>
      <c r="D23" s="25"/>
      <c r="E23" s="25"/>
      <c r="F23" s="25"/>
      <c r="G23" s="25"/>
      <c r="H23" s="26"/>
      <c r="I23" s="1" t="s">
        <v>27</v>
      </c>
      <c r="J23" s="1" t="s">
        <v>27</v>
      </c>
      <c r="K23" s="3" t="s">
        <v>5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9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  <c r="AD23">
        <f t="shared" si="4"/>
        <v>0</v>
      </c>
    </row>
    <row r="24" spans="1:34" x14ac:dyDescent="0.3">
      <c r="A24" s="1" t="s">
        <v>27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1" t="s">
        <v>27</v>
      </c>
      <c r="K24" s="3" t="s">
        <v>5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9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  <c r="AD24">
        <f t="shared" si="4"/>
        <v>0</v>
      </c>
    </row>
    <row r="25" spans="1:34" x14ac:dyDescent="0.3">
      <c r="A25" s="1" t="s">
        <v>27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1" t="s">
        <v>27</v>
      </c>
      <c r="K25" s="3" t="s">
        <v>5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9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  <c r="AD25">
        <f t="shared" si="4"/>
        <v>0</v>
      </c>
    </row>
    <row r="26" spans="1:34" x14ac:dyDescent="0.3">
      <c r="A26" s="1" t="s">
        <v>27</v>
      </c>
      <c r="B26" s="17" t="s">
        <v>20</v>
      </c>
      <c r="C26" s="10" t="s">
        <v>12</v>
      </c>
      <c r="D26" s="25"/>
      <c r="E26" s="25"/>
      <c r="F26" s="25"/>
      <c r="G26" s="25"/>
      <c r="H26" s="26"/>
      <c r="I26" s="1" t="s">
        <v>27</v>
      </c>
      <c r="J26" s="1" t="s">
        <v>27</v>
      </c>
      <c r="K26" s="15" t="s">
        <v>17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9"/>
        <v>0</v>
      </c>
      <c r="X26" s="45">
        <v>0</v>
      </c>
      <c r="Y26" s="45">
        <v>0</v>
      </c>
      <c r="Z26" s="1"/>
      <c r="AA26" s="1"/>
      <c r="AB26" s="53"/>
      <c r="AD26">
        <f t="shared" si="4"/>
        <v>0</v>
      </c>
    </row>
    <row r="27" spans="1:34" x14ac:dyDescent="0.3">
      <c r="A27" s="1" t="s">
        <v>27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1" t="s">
        <v>27</v>
      </c>
      <c r="J27" s="1" t="s">
        <v>27</v>
      </c>
      <c r="K27" s="3" t="s">
        <v>5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14</v>
      </c>
      <c r="Y27" s="45">
        <v>14</v>
      </c>
      <c r="Z27" s="1">
        <f t="shared" si="1"/>
        <v>0</v>
      </c>
      <c r="AA27" s="1">
        <f t="shared" si="2"/>
        <v>2</v>
      </c>
      <c r="AB27" s="53">
        <f t="shared" si="3"/>
        <v>12</v>
      </c>
      <c r="AC27">
        <v>15</v>
      </c>
      <c r="AD27">
        <f t="shared" si="4"/>
        <v>0</v>
      </c>
      <c r="AE27">
        <v>3</v>
      </c>
      <c r="AF27">
        <v>4</v>
      </c>
      <c r="AG27">
        <v>5</v>
      </c>
      <c r="AH27">
        <v>6</v>
      </c>
    </row>
    <row r="28" spans="1:34" x14ac:dyDescent="0.3">
      <c r="A28" s="1" t="s">
        <v>27</v>
      </c>
      <c r="B28" s="4" t="s">
        <v>6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1" t="s">
        <v>27</v>
      </c>
      <c r="K28" s="3" t="s">
        <v>5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>
        <v>10</v>
      </c>
      <c r="X28" s="45">
        <v>3</v>
      </c>
      <c r="Y28" s="45">
        <v>3</v>
      </c>
      <c r="Z28" s="1">
        <f t="shared" si="1"/>
        <v>0</v>
      </c>
      <c r="AA28" s="1">
        <f t="shared" si="2"/>
        <v>1</v>
      </c>
      <c r="AB28" s="53">
        <f t="shared" si="3"/>
        <v>2</v>
      </c>
      <c r="AC28">
        <v>3</v>
      </c>
      <c r="AD28">
        <f t="shared" si="4"/>
        <v>1560</v>
      </c>
      <c r="AE28">
        <v>4</v>
      </c>
      <c r="AF28">
        <v>3</v>
      </c>
      <c r="AG28">
        <v>3</v>
      </c>
      <c r="AH28">
        <v>1</v>
      </c>
    </row>
    <row r="29" spans="1:34" ht="15" thickBot="1" x14ac:dyDescent="0.35">
      <c r="A29" s="1" t="s">
        <v>27</v>
      </c>
      <c r="B29" s="4" t="s">
        <v>6</v>
      </c>
      <c r="C29" s="15" t="s">
        <v>17</v>
      </c>
      <c r="D29" s="25"/>
      <c r="E29" s="25"/>
      <c r="F29" s="25"/>
      <c r="G29" s="25"/>
      <c r="H29" s="26"/>
      <c r="I29" s="1" t="s">
        <v>27</v>
      </c>
      <c r="J29" s="1" t="s">
        <v>27</v>
      </c>
      <c r="K29" s="3" t="s">
        <v>5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  <c r="AE29">
        <v>2</v>
      </c>
    </row>
    <row r="30" spans="1:34" x14ac:dyDescent="0.3">
      <c r="A30" s="1" t="s">
        <v>27</v>
      </c>
      <c r="B30" s="4" t="s">
        <v>6</v>
      </c>
      <c r="C30" s="4" t="s">
        <v>6</v>
      </c>
      <c r="D30" s="25"/>
      <c r="E30" s="25"/>
      <c r="F30" s="25"/>
      <c r="G30" s="25"/>
      <c r="H30" s="26"/>
      <c r="I30" s="1" t="s">
        <v>27</v>
      </c>
      <c r="J30" s="1" t="s">
        <v>27</v>
      </c>
      <c r="K30" s="15" t="s">
        <v>17</v>
      </c>
      <c r="L30" s="25"/>
      <c r="M30" s="25"/>
      <c r="N30" s="25"/>
      <c r="O30" s="25"/>
      <c r="P30" s="26"/>
    </row>
    <row r="31" spans="1:34" x14ac:dyDescent="0.3">
      <c r="A31" s="1" t="s">
        <v>27</v>
      </c>
      <c r="B31" s="4" t="s">
        <v>6</v>
      </c>
      <c r="C31" s="4" t="s">
        <v>6</v>
      </c>
      <c r="D31" s="25"/>
      <c r="E31" s="25"/>
      <c r="F31" s="25"/>
      <c r="G31" s="25"/>
      <c r="H31" s="26"/>
      <c r="I31" s="1" t="s">
        <v>27</v>
      </c>
      <c r="J31" s="1" t="s">
        <v>27</v>
      </c>
      <c r="K31" s="1" t="s">
        <v>27</v>
      </c>
      <c r="L31" s="25"/>
      <c r="M31" s="25"/>
      <c r="N31" s="25"/>
      <c r="O31" s="25"/>
      <c r="P31" s="26"/>
      <c r="Y31">
        <f>SUM(Y3:Y28)</f>
        <v>1077</v>
      </c>
      <c r="AC31">
        <f>SUM(AC3:AC28)</f>
        <v>1074</v>
      </c>
      <c r="AD31">
        <f>SUM(AD3:AD28)+7000</f>
        <v>65360</v>
      </c>
    </row>
    <row r="32" spans="1:34" x14ac:dyDescent="0.3">
      <c r="A32" s="1" t="s">
        <v>27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1" t="s">
        <v>27</v>
      </c>
      <c r="K32" s="3" t="s">
        <v>5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 x14ac:dyDescent="0.3">
      <c r="A33" s="1" t="s">
        <v>27</v>
      </c>
      <c r="B33" s="4" t="s">
        <v>6</v>
      </c>
      <c r="C33" s="17" t="s">
        <v>20</v>
      </c>
      <c r="D33" s="25"/>
      <c r="E33" s="25"/>
      <c r="F33" s="25"/>
      <c r="G33" s="25"/>
      <c r="H33" s="26"/>
      <c r="I33" s="1" t="s">
        <v>27</v>
      </c>
      <c r="J33" s="1" t="s">
        <v>27</v>
      </c>
      <c r="K33" s="23" t="s">
        <v>29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 x14ac:dyDescent="0.3">
      <c r="A34" s="1" t="s">
        <v>27</v>
      </c>
      <c r="B34" s="4" t="s">
        <v>6</v>
      </c>
      <c r="C34" s="4" t="s">
        <v>6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3" t="s">
        <v>5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 x14ac:dyDescent="0.3">
      <c r="A35" s="1" t="s">
        <v>27</v>
      </c>
      <c r="B35" s="17" t="s">
        <v>20</v>
      </c>
      <c r="C35" s="4" t="s">
        <v>6</v>
      </c>
      <c r="D35" s="25"/>
      <c r="E35" s="25"/>
      <c r="F35" s="25"/>
      <c r="G35" s="25"/>
      <c r="H35" s="26"/>
      <c r="I35" s="1" t="s">
        <v>27</v>
      </c>
      <c r="J35" s="1" t="s">
        <v>27</v>
      </c>
      <c r="K35" s="3" t="s">
        <v>5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 x14ac:dyDescent="0.3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1" t="s">
        <v>27</v>
      </c>
      <c r="K36" s="3" t="s">
        <v>5</v>
      </c>
      <c r="L36" s="25"/>
      <c r="M36" s="25"/>
      <c r="N36" s="25"/>
      <c r="O36" s="25"/>
      <c r="P36" s="26"/>
      <c r="S36" t="s">
        <v>61</v>
      </c>
    </row>
    <row r="37" spans="1:19" x14ac:dyDescent="0.3">
      <c r="A37" s="1" t="s">
        <v>27</v>
      </c>
      <c r="B37" s="1" t="s">
        <v>27</v>
      </c>
      <c r="C37" s="17" t="s">
        <v>19</v>
      </c>
      <c r="D37" s="25"/>
      <c r="E37" s="25"/>
      <c r="F37" s="25"/>
      <c r="G37" s="25"/>
      <c r="H37" s="26"/>
      <c r="I37" s="1" t="s">
        <v>27</v>
      </c>
      <c r="J37" s="1" t="s">
        <v>27</v>
      </c>
      <c r="K37" s="3" t="s">
        <v>5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 x14ac:dyDescent="0.3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15" t="s">
        <v>17</v>
      </c>
      <c r="L38" s="25"/>
      <c r="M38" s="25"/>
      <c r="N38" s="25"/>
      <c r="O38" s="25"/>
      <c r="P38" s="26"/>
      <c r="R38">
        <v>6</v>
      </c>
      <c r="S38" t="s">
        <v>65</v>
      </c>
    </row>
    <row r="39" spans="1:19" x14ac:dyDescent="0.3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3" t="s">
        <v>5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 x14ac:dyDescent="0.3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3" t="s">
        <v>5</v>
      </c>
      <c r="L40" s="25"/>
      <c r="M40" s="25"/>
      <c r="N40" s="25"/>
      <c r="O40" s="25"/>
      <c r="P40" s="26"/>
    </row>
    <row r="41" spans="1:19" x14ac:dyDescent="0.3">
      <c r="A41" s="1" t="s">
        <v>27</v>
      </c>
      <c r="B41" s="1" t="s">
        <v>27</v>
      </c>
      <c r="C41" s="4" t="s">
        <v>6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3" t="s">
        <v>5</v>
      </c>
      <c r="L41" s="25"/>
      <c r="M41" s="25"/>
      <c r="N41" s="25"/>
      <c r="O41" s="25"/>
      <c r="P41" s="26"/>
    </row>
    <row r="42" spans="1:19" x14ac:dyDescent="0.3">
      <c r="A42" s="1" t="s">
        <v>27</v>
      </c>
      <c r="B42" s="1" t="s">
        <v>27</v>
      </c>
      <c r="C42" s="4" t="s">
        <v>6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3" t="s">
        <v>5</v>
      </c>
      <c r="L42" s="25"/>
      <c r="M42" s="25"/>
      <c r="N42" s="25"/>
      <c r="O42" s="25"/>
      <c r="P42" s="26"/>
    </row>
    <row r="43" spans="1:19" x14ac:dyDescent="0.3">
      <c r="A43" s="1" t="s">
        <v>27</v>
      </c>
      <c r="B43" s="1" t="s">
        <v>27</v>
      </c>
      <c r="C43" s="4" t="s">
        <v>6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15" t="s">
        <v>17</v>
      </c>
      <c r="L43" s="25"/>
      <c r="M43" s="25"/>
      <c r="N43" s="25"/>
      <c r="O43" s="25"/>
      <c r="P43" s="26"/>
    </row>
    <row r="44" spans="1:19" x14ac:dyDescent="0.3">
      <c r="A44" s="1" t="s">
        <v>27</v>
      </c>
      <c r="B44" s="1" t="s">
        <v>27</v>
      </c>
      <c r="C44" s="15" t="s">
        <v>17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1" t="s">
        <v>27</v>
      </c>
      <c r="L44" s="25"/>
      <c r="M44" s="25"/>
      <c r="N44" s="25"/>
      <c r="O44" s="25"/>
      <c r="P44" s="26"/>
    </row>
    <row r="45" spans="1:19" x14ac:dyDescent="0.3">
      <c r="A45" s="1" t="s">
        <v>27</v>
      </c>
      <c r="B45" s="1" t="s">
        <v>27</v>
      </c>
      <c r="C45" s="4" t="s">
        <v>6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 x14ac:dyDescent="0.3">
      <c r="A46" s="1" t="s">
        <v>27</v>
      </c>
      <c r="B46" s="1" t="s">
        <v>27</v>
      </c>
      <c r="C46" s="4" t="s">
        <v>6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 x14ac:dyDescent="0.3">
      <c r="A47" s="1" t="s">
        <v>27</v>
      </c>
      <c r="B47" s="1" t="s">
        <v>27</v>
      </c>
      <c r="C47" s="4" t="s">
        <v>6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 x14ac:dyDescent="0.3">
      <c r="A48" s="1" t="s">
        <v>27</v>
      </c>
      <c r="B48" s="1" t="s">
        <v>27</v>
      </c>
      <c r="C48" s="4" t="s">
        <v>6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 x14ac:dyDescent="0.3">
      <c r="A49" s="1" t="s">
        <v>27</v>
      </c>
      <c r="B49" s="1" t="s">
        <v>27</v>
      </c>
      <c r="C49" s="17" t="s">
        <v>20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 x14ac:dyDescent="0.3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 x14ac:dyDescent="0.3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 x14ac:dyDescent="0.3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 x14ac:dyDescent="0.3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 x14ac:dyDescent="0.3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 x14ac:dyDescent="0.3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 x14ac:dyDescent="0.3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 x14ac:dyDescent="0.3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 x14ac:dyDescent="0.3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 x14ac:dyDescent="0.3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 x14ac:dyDescent="0.3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 x14ac:dyDescent="0.3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 x14ac:dyDescent="0.3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 x14ac:dyDescent="0.3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 x14ac:dyDescent="0.3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 x14ac:dyDescent="0.3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 x14ac:dyDescent="0.3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 x14ac:dyDescent="0.3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 x14ac:dyDescent="0.3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 x14ac:dyDescent="0.3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 x14ac:dyDescent="0.3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 x14ac:dyDescent="0.3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 x14ac:dyDescent="0.3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 x14ac:dyDescent="0.3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 x14ac:dyDescent="0.3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 x14ac:dyDescent="0.3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 x14ac:dyDescent="0.3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 x14ac:dyDescent="0.3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 x14ac:dyDescent="0.3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 x14ac:dyDescent="0.3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 x14ac:dyDescent="0.3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 x14ac:dyDescent="0.3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 x14ac:dyDescent="0.3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 x14ac:dyDescent="0.3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 x14ac:dyDescent="0.3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 x14ac:dyDescent="0.3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 x14ac:dyDescent="0.3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 x14ac:dyDescent="0.3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 x14ac:dyDescent="0.3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 x14ac:dyDescent="0.3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 x14ac:dyDescent="0.3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 x14ac:dyDescent="0.3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 x14ac:dyDescent="0.3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 x14ac:dyDescent="0.3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 x14ac:dyDescent="0.3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 x14ac:dyDescent="0.3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 x14ac:dyDescent="0.3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 x14ac:dyDescent="0.3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 x14ac:dyDescent="0.3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 x14ac:dyDescent="0.3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 x14ac:dyDescent="0.35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11.00</vt:lpstr>
      <vt:lpstr>11.01</vt:lpstr>
      <vt:lpstr>11.02</vt:lpstr>
      <vt:lpstr>11.04</vt:lpstr>
      <vt:lpstr>11.03</vt:lpstr>
      <vt:lpstr>11.031</vt:lpstr>
      <vt:lpstr>11.05</vt:lpstr>
      <vt:lpstr>11.06</vt:lpstr>
      <vt:lpstr>11.08</vt:lpstr>
      <vt:lpstr>11.10</vt:lpstr>
      <vt:lpstr>11.07</vt:lpstr>
      <vt:lpstr>11.11</vt:lpstr>
      <vt:lpstr>11.12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2022-03-21T23:53:23Z</dcterms:created>
  <dcterms:modified xsi:type="dcterms:W3CDTF">2023-03-20T21:44:44Z</dcterms:modified>
</cp:coreProperties>
</file>