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C60731D4-2FFA-46D3-BE88-4C369C3A2E69}" xr6:coauthVersionLast="47" xr6:coauthVersionMax="47" xr10:uidLastSave="{00000000-0000-0000-0000-000000000000}"/>
  <bookViews>
    <workbookView xWindow="-108" yWindow="-108" windowWidth="23256" windowHeight="12576" xr2:uid="{ECD4D7EE-2D5D-4083-A820-495883BB0745}"/>
  </bookViews>
  <sheets>
    <sheet name="S11.03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15" i="2"/>
  <c r="W11" i="2"/>
  <c r="W10" i="2"/>
  <c r="W9" i="2"/>
  <c r="W4" i="2"/>
  <c r="W3" i="2"/>
  <c r="AG26" i="2"/>
  <c r="AF26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F28" i="2" s="1"/>
  <c r="AA27" i="2"/>
  <c r="Z27" i="2"/>
  <c r="AF27" i="2" s="1"/>
  <c r="AA25" i="2"/>
  <c r="Z25" i="2"/>
  <c r="AF25" i="2" s="1"/>
  <c r="AA24" i="2"/>
  <c r="Z24" i="2"/>
  <c r="AF24" i="2" s="1"/>
  <c r="AA23" i="2"/>
  <c r="Z23" i="2"/>
  <c r="AF23" i="2" s="1"/>
  <c r="AA22" i="2"/>
  <c r="Z22" i="2"/>
  <c r="AF22" i="2" s="1"/>
  <c r="AA21" i="2"/>
  <c r="Z21" i="2"/>
  <c r="AF21" i="2" s="1"/>
  <c r="AA20" i="2"/>
  <c r="Z20" i="2"/>
  <c r="AF20" i="2" s="1"/>
  <c r="AA19" i="2"/>
  <c r="Z19" i="2"/>
  <c r="AF19" i="2" s="1"/>
  <c r="AA18" i="2"/>
  <c r="Z18" i="2"/>
  <c r="AF18" i="2" s="1"/>
  <c r="AA17" i="2"/>
  <c r="Z17" i="2"/>
  <c r="AF17" i="2" s="1"/>
  <c r="AA16" i="2"/>
  <c r="Z16" i="2"/>
  <c r="AF16" i="2" s="1"/>
  <c r="AA15" i="2"/>
  <c r="Z15" i="2"/>
  <c r="AF15" i="2" s="1"/>
  <c r="AA14" i="2"/>
  <c r="Z14" i="2"/>
  <c r="AF14" i="2" s="1"/>
  <c r="AA13" i="2"/>
  <c r="Z13" i="2"/>
  <c r="AF13" i="2" s="1"/>
  <c r="AA12" i="2"/>
  <c r="Z12" i="2"/>
  <c r="AF12" i="2" s="1"/>
  <c r="AA11" i="2"/>
  <c r="Z11" i="2"/>
  <c r="AF11" i="2" s="1"/>
  <c r="AA10" i="2"/>
  <c r="Z10" i="2"/>
  <c r="AF10" i="2" s="1"/>
  <c r="AA9" i="2"/>
  <c r="Z9" i="2"/>
  <c r="AF9" i="2" s="1"/>
  <c r="AA8" i="2"/>
  <c r="Z8" i="2"/>
  <c r="AF8" i="2" s="1"/>
  <c r="P8" i="2"/>
  <c r="H8" i="2"/>
  <c r="AA7" i="2"/>
  <c r="Z7" i="2"/>
  <c r="AF7" i="2" s="1"/>
  <c r="O7" i="2"/>
  <c r="N7" i="2"/>
  <c r="M7" i="2"/>
  <c r="G7" i="2"/>
  <c r="F7" i="2"/>
  <c r="E7" i="2"/>
  <c r="AA6" i="2"/>
  <c r="Z6" i="2"/>
  <c r="AF6" i="2" s="1"/>
  <c r="R6" i="2"/>
  <c r="AA5" i="2"/>
  <c r="Z5" i="2"/>
  <c r="AF5" i="2" s="1"/>
  <c r="AA4" i="2"/>
  <c r="Z4" i="2"/>
  <c r="AF4" i="2" s="1"/>
  <c r="P4" i="2"/>
  <c r="H4" i="2"/>
  <c r="AA3" i="2"/>
  <c r="Z3" i="2"/>
  <c r="AF3" i="2" s="1"/>
  <c r="H1" i="2" a="1"/>
  <c r="H1" i="2" s="1"/>
  <c r="O6" i="2" l="1"/>
  <c r="O5" i="2"/>
  <c r="AF29" i="2" a="1"/>
  <c r="AF29" i="2" s="1"/>
  <c r="F5" i="2"/>
  <c r="F6" i="2"/>
  <c r="M6" i="2"/>
  <c r="N6" i="2"/>
  <c r="M5" i="2"/>
  <c r="M9" i="2" s="1"/>
  <c r="N5" i="2"/>
  <c r="E5" i="2"/>
  <c r="G5" i="2"/>
  <c r="E6" i="2"/>
  <c r="G6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P6" i="2" l="1"/>
  <c r="O9" i="2"/>
  <c r="N9" i="2"/>
  <c r="AG29" i="2" a="1"/>
  <c r="AG29" i="2" s="1"/>
  <c r="AG31" i="2" s="1"/>
  <c r="H6" i="2"/>
  <c r="R2" i="2" s="1" a="1"/>
  <c r="R2" i="2" s="1"/>
  <c r="H5" i="2"/>
  <c r="P5" i="2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<sst xmlns="http://schemas.openxmlformats.org/spreadsheetml/2006/main" count="686" uniqueCount="67">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</sst>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topLeftCell="J1" zoomScaleNormal="100" workbookViewId="0">
      <selection activeCell="L19" sqref="L19"/>
    </sheetView>
  </sheetViews>
  <sheetFormatPr defaultRowHeight="14.4"/>
  <sheetData>
    <row r="1" spans="1:33" ht="15.6">
      <c r="A1" s="60" t="s">
        <v>30</v>
      </c>
      <c r="B1" s="61"/>
      <c r="C1" s="61"/>
      <c r="D1" s="61"/>
      <c r="E1" s="61"/>
      <c r="F1" s="62" t="s">
        <v>3</v>
      </c>
      <c r="G1" s="62"/>
      <c r="H1" s="25" cm="1">
        <f t="array" ref="H1">SUM(VLOOKUP(A4:C100,$T$3:$W$36,4,FALSE))+H4*10-H8*50</f>
        <v>2396.6640071082738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3" ht="28.8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51" t="s">
        <v>43</v>
      </c>
      <c r="R2" s="52" cm="1">
        <f t="array" ref="R2">SUM(V3:V28*AB3:AB28)+H6+P6+R4*500</f>
        <v>65965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  <c r="AC2" s="59" t="s">
        <v>45</v>
      </c>
      <c r="AD2" t="s">
        <v>46</v>
      </c>
      <c r="AE2" t="s">
        <v>47</v>
      </c>
    </row>
    <row r="3" spans="1:33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91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19</v>
      </c>
      <c r="Z3" s="1">
        <f>COUNTIF($A$4:$C$100,T3)</f>
        <v>13</v>
      </c>
      <c r="AA3" s="1">
        <f>COUNTIF($I$4:$K$100,T3)</f>
        <v>6</v>
      </c>
      <c r="AB3" s="55">
        <f>Y3-Z3-AA3</f>
        <v>0</v>
      </c>
      <c r="AC3">
        <v>7</v>
      </c>
      <c r="AD3">
        <v>1</v>
      </c>
      <c r="AE3">
        <v>0</v>
      </c>
      <c r="AF3">
        <f>Z3-AC3</f>
        <v>6</v>
      </c>
      <c r="AG3">
        <f>AA3+AB3-AD3-AE3</f>
        <v>5</v>
      </c>
    </row>
    <row r="4" spans="1:33">
      <c r="A4" s="2" t="s">
        <v>4</v>
      </c>
      <c r="B4" s="2" t="s">
        <v>4</v>
      </c>
      <c r="C4" s="1" t="s">
        <v>27</v>
      </c>
      <c r="D4" s="44" t="s">
        <v>34</v>
      </c>
      <c r="E4" s="40">
        <v>0</v>
      </c>
      <c r="F4" s="40">
        <v>0</v>
      </c>
      <c r="G4" s="40">
        <v>0</v>
      </c>
      <c r="H4" s="37">
        <f>SUM(E4:G4)</f>
        <v>0</v>
      </c>
      <c r="I4" s="15" t="s">
        <v>17</v>
      </c>
      <c r="J4" s="3" t="s">
        <v>5</v>
      </c>
      <c r="K4" s="3" t="s">
        <v>5</v>
      </c>
      <c r="L4" s="44" t="s">
        <v>34</v>
      </c>
      <c r="M4" s="40">
        <v>1</v>
      </c>
      <c r="N4" s="40">
        <v>0</v>
      </c>
      <c r="O4" s="40">
        <v>2</v>
      </c>
      <c r="P4" s="37">
        <f>SUM(M4:O4)</f>
        <v>3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40</v>
      </c>
      <c r="Z4" s="1">
        <f t="shared" ref="Z4:Z28" si="1">COUNTIF($A$4:$C$100,T4)</f>
        <v>7</v>
      </c>
      <c r="AA4" s="1">
        <f t="shared" ref="AA4:AA28" si="2">COUNTIF($I$4:$K$100,T4)</f>
        <v>33</v>
      </c>
      <c r="AB4" s="55">
        <f t="shared" ref="AB4:AB28" si="3">Y4-Z4-AA4</f>
        <v>0</v>
      </c>
      <c r="AC4">
        <v>23</v>
      </c>
      <c r="AD4">
        <v>22</v>
      </c>
      <c r="AE4">
        <v>0</v>
      </c>
      <c r="AF4">
        <f t="shared" ref="AF4:AF28" si="4">Z4-AC4</f>
        <v>-16</v>
      </c>
      <c r="AG4">
        <f t="shared" ref="AG4:AG28" si="5">AA4+AB4-AD4-AE4</f>
        <v>11</v>
      </c>
    </row>
    <row r="5" spans="1:33">
      <c r="A5" s="2" t="s">
        <v>4</v>
      </c>
      <c r="B5" s="2" t="s">
        <v>4</v>
      </c>
      <c r="C5" s="1" t="s">
        <v>27</v>
      </c>
      <c r="D5" s="34" t="s">
        <v>38</v>
      </c>
      <c r="E5" s="36">
        <f>(SUM(粮草!A4:A100)+E4*10)-E8*50</f>
        <v>800</v>
      </c>
      <c r="F5" s="36">
        <f>(SUM(粮草!B4:B100)+F4*10)-F8*50</f>
        <v>5080</v>
      </c>
      <c r="G5" s="36">
        <f>(SUM(粮草!C4:C100)+G4*10)-G8*50</f>
        <v>6690</v>
      </c>
      <c r="H5" s="37">
        <f t="shared" ref="H5:H8" si="6">SUM(E5:G5)</f>
        <v>12570</v>
      </c>
      <c r="I5" s="1" t="s">
        <v>27</v>
      </c>
      <c r="J5" s="3" t="s">
        <v>5</v>
      </c>
      <c r="K5" s="3" t="s">
        <v>5</v>
      </c>
      <c r="L5" s="34" t="s">
        <v>38</v>
      </c>
      <c r="M5" s="36">
        <f>(SUM(粮草!I4:I100)*0.8+M4*8)-M8*40</f>
        <v>648</v>
      </c>
      <c r="N5" s="36">
        <f>(SUM(粮草!J4:J100)*0.8+N4*8)-N8*40</f>
        <v>672</v>
      </c>
      <c r="O5" s="36">
        <f>(SUM(粮草!K4:K100)*0.8+O4*8)-O8*40</f>
        <v>4088</v>
      </c>
      <c r="P5" s="37">
        <f t="shared" ref="P5:P8" si="7">SUM(M5:O5)</f>
        <v>5408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237</v>
      </c>
      <c r="Z5" s="1">
        <f t="shared" si="1"/>
        <v>42</v>
      </c>
      <c r="AA5" s="1">
        <f t="shared" si="2"/>
        <v>0</v>
      </c>
      <c r="AB5" s="55">
        <f t="shared" si="3"/>
        <v>195</v>
      </c>
      <c r="AC5">
        <v>38</v>
      </c>
      <c r="AD5">
        <v>0</v>
      </c>
      <c r="AE5">
        <v>206</v>
      </c>
      <c r="AF5">
        <f t="shared" si="4"/>
        <v>4</v>
      </c>
      <c r="AG5">
        <f t="shared" si="5"/>
        <v>-11</v>
      </c>
    </row>
    <row r="6" spans="1:33">
      <c r="A6" s="15" t="s">
        <v>17</v>
      </c>
      <c r="B6" s="2" t="s">
        <v>4</v>
      </c>
      <c r="C6" s="2" t="s">
        <v>4</v>
      </c>
      <c r="D6" s="34" t="s">
        <v>39</v>
      </c>
      <c r="E6" s="36">
        <f>(SUM(经验!A4:A100))</f>
        <v>205</v>
      </c>
      <c r="F6" s="36">
        <f>(SUM(经验!B4:B100))</f>
        <v>1595</v>
      </c>
      <c r="G6" s="36">
        <f>(SUM(经验!C4:C100))</f>
        <v>2320</v>
      </c>
      <c r="H6" s="50">
        <f t="shared" si="6"/>
        <v>4120</v>
      </c>
      <c r="I6" s="2" t="s">
        <v>4</v>
      </c>
      <c r="J6" s="9" t="s">
        <v>11</v>
      </c>
      <c r="K6" s="3" t="s">
        <v>5</v>
      </c>
      <c r="L6" s="34" t="s">
        <v>39</v>
      </c>
      <c r="M6" s="36">
        <f>(SUM(经验!I4:I100))</f>
        <v>270</v>
      </c>
      <c r="N6" s="36">
        <f>(SUM(经验!J4:J100))</f>
        <v>230</v>
      </c>
      <c r="O6" s="36">
        <f>(SUM(经验!K4:K100))</f>
        <v>2000</v>
      </c>
      <c r="P6" s="50">
        <f t="shared" si="7"/>
        <v>2500</v>
      </c>
      <c r="Q6" s="51" t="s">
        <v>52</v>
      </c>
      <c r="R6" s="27">
        <f>R3*1600-800+R5</f>
        <v>150800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267</v>
      </c>
      <c r="Y6" s="47">
        <v>267</v>
      </c>
      <c r="Z6" s="1">
        <f t="shared" si="1"/>
        <v>2</v>
      </c>
      <c r="AA6" s="1">
        <f t="shared" si="2"/>
        <v>0</v>
      </c>
      <c r="AB6" s="55">
        <f t="shared" si="3"/>
        <v>265</v>
      </c>
      <c r="AC6">
        <v>2</v>
      </c>
      <c r="AD6">
        <v>0</v>
      </c>
      <c r="AE6">
        <v>258</v>
      </c>
      <c r="AF6">
        <f t="shared" si="4"/>
        <v>0</v>
      </c>
      <c r="AG6">
        <f t="shared" si="5"/>
        <v>7</v>
      </c>
    </row>
    <row r="7" spans="1:33">
      <c r="A7" s="2" t="s">
        <v>4</v>
      </c>
      <c r="B7" s="2" t="s">
        <v>4</v>
      </c>
      <c r="C7" s="2" t="s">
        <v>4</v>
      </c>
      <c r="D7" s="34" t="s">
        <v>40</v>
      </c>
      <c r="E7" s="36">
        <f>COUNTIF(A4:A100,"&lt;&gt;空")</f>
        <v>6</v>
      </c>
      <c r="F7" s="36">
        <f>COUNTIF(B4:B100,"&lt;&gt;空")</f>
        <v>31</v>
      </c>
      <c r="G7" s="36">
        <f>COUNTIF(C4:C100,"&lt;&gt;空")</f>
        <v>44</v>
      </c>
      <c r="H7" s="37">
        <f t="shared" si="6"/>
        <v>81</v>
      </c>
      <c r="I7" s="2" t="s">
        <v>4</v>
      </c>
      <c r="J7" s="3" t="s">
        <v>5</v>
      </c>
      <c r="K7" s="15" t="s">
        <v>17</v>
      </c>
      <c r="L7" s="34" t="s">
        <v>40</v>
      </c>
      <c r="M7" s="36">
        <f>COUNTIF(I4:I100,"&lt;&gt;空")</f>
        <v>9</v>
      </c>
      <c r="N7" s="36">
        <f>COUNTIF(J4:J100,"&lt;&gt;空")</f>
        <v>6</v>
      </c>
      <c r="O7" s="36">
        <f>COUNTIF(K4:K100,"&lt;&gt;空")</f>
        <v>41</v>
      </c>
      <c r="P7" s="37">
        <f t="shared" si="7"/>
        <v>56</v>
      </c>
      <c r="Q7" s="54" t="s">
        <v>55</v>
      </c>
      <c r="R7" s="27">
        <v>1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235</v>
      </c>
      <c r="Y7" s="47">
        <v>235</v>
      </c>
      <c r="Z7" s="1">
        <f t="shared" si="1"/>
        <v>0</v>
      </c>
      <c r="AA7" s="1">
        <f t="shared" si="2"/>
        <v>0</v>
      </c>
      <c r="AB7" s="55">
        <f t="shared" si="3"/>
        <v>235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-3</v>
      </c>
    </row>
    <row r="8" spans="1:33">
      <c r="A8" s="2" t="s">
        <v>4</v>
      </c>
      <c r="B8" s="2" t="s">
        <v>4</v>
      </c>
      <c r="C8" s="2" t="s">
        <v>4</v>
      </c>
      <c r="D8" s="43" t="s">
        <v>53</v>
      </c>
      <c r="E8" s="42">
        <v>0</v>
      </c>
      <c r="F8" s="42">
        <v>1</v>
      </c>
      <c r="G8" s="42">
        <v>0</v>
      </c>
      <c r="H8" s="37">
        <f t="shared" si="6"/>
        <v>1</v>
      </c>
      <c r="I8" s="16" t="s">
        <v>28</v>
      </c>
      <c r="J8" s="3" t="s">
        <v>5</v>
      </c>
      <c r="K8" s="3" t="s">
        <v>5</v>
      </c>
      <c r="L8" s="43" t="s">
        <v>53</v>
      </c>
      <c r="M8" s="42">
        <v>0</v>
      </c>
      <c r="N8" s="42">
        <v>0</v>
      </c>
      <c r="O8" s="42">
        <v>2</v>
      </c>
      <c r="P8" s="37">
        <f t="shared" si="7"/>
        <v>2</v>
      </c>
      <c r="Q8" s="51" t="s">
        <v>54</v>
      </c>
      <c r="R8" s="56" cm="1">
        <f t="array" ref="R8">R6-P5-H5-SUM(U3:U28*AB3:AB28)*0.8-R7*8</f>
        <v>14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194</v>
      </c>
      <c r="Z8" s="1">
        <f t="shared" si="1"/>
        <v>0</v>
      </c>
      <c r="AA8" s="1">
        <f t="shared" si="2"/>
        <v>0</v>
      </c>
      <c r="AB8" s="55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>
      <c r="A9" s="2" t="s">
        <v>4</v>
      </c>
      <c r="B9" s="15" t="s">
        <v>17</v>
      </c>
      <c r="C9" s="16" t="s">
        <v>18</v>
      </c>
      <c r="D9" s="27"/>
      <c r="E9" s="27"/>
      <c r="F9" s="27"/>
      <c r="G9" s="27"/>
      <c r="H9" s="28"/>
      <c r="I9" s="1" t="s">
        <v>27</v>
      </c>
      <c r="J9" s="15" t="s">
        <v>17</v>
      </c>
      <c r="K9" s="3" t="s">
        <v>5</v>
      </c>
      <c r="L9" s="34" t="s">
        <v>42</v>
      </c>
      <c r="M9" s="38">
        <f>M6/M5</f>
        <v>0.41666666666666669</v>
      </c>
      <c r="N9" s="38">
        <f>N6/N5</f>
        <v>0.34226190476190477</v>
      </c>
      <c r="O9" s="38">
        <f>O6/O5</f>
        <v>0.48923679060665359</v>
      </c>
      <c r="P9" s="39">
        <f>P6/P5</f>
        <v>0.46227810650887574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0" si="8">U9-V9/0.330882</f>
        <v>44.222109392472248</v>
      </c>
      <c r="X9" s="47">
        <v>5</v>
      </c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>
      <c r="A10" s="1" t="s">
        <v>27</v>
      </c>
      <c r="B10" s="1" t="s">
        <v>27</v>
      </c>
      <c r="C10" s="3" t="s">
        <v>5</v>
      </c>
      <c r="D10" s="27"/>
      <c r="E10" s="27"/>
      <c r="F10" s="27"/>
      <c r="G10" s="27"/>
      <c r="H10" s="28"/>
      <c r="I10" s="2" t="s">
        <v>4</v>
      </c>
      <c r="J10" s="1" t="s">
        <v>27</v>
      </c>
      <c r="K10" s="3" t="s">
        <v>5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8"/>
        <v>29.110982162825422</v>
      </c>
      <c r="X10" s="47">
        <v>6</v>
      </c>
      <c r="Y10" s="47">
        <v>3</v>
      </c>
      <c r="Z10" s="1">
        <f t="shared" si="1"/>
        <v>0</v>
      </c>
      <c r="AA10" s="1">
        <f t="shared" si="2"/>
        <v>3</v>
      </c>
      <c r="AB10" s="55">
        <f t="shared" si="3"/>
        <v>0</v>
      </c>
      <c r="AC10">
        <v>0</v>
      </c>
      <c r="AD10">
        <v>0</v>
      </c>
      <c r="AE10">
        <v>0</v>
      </c>
      <c r="AF10">
        <f t="shared" si="4"/>
        <v>0</v>
      </c>
      <c r="AG10">
        <f t="shared" si="5"/>
        <v>3</v>
      </c>
    </row>
    <row r="11" spans="1:33">
      <c r="A11" s="1" t="s">
        <v>27</v>
      </c>
      <c r="B11" s="4" t="s">
        <v>6</v>
      </c>
      <c r="C11" s="3" t="s">
        <v>5</v>
      </c>
      <c r="D11" s="27"/>
      <c r="E11" s="27"/>
      <c r="F11" s="27"/>
      <c r="G11" s="27"/>
      <c r="H11" s="28"/>
      <c r="I11" s="2" t="s">
        <v>4</v>
      </c>
      <c r="J11" s="1" t="s">
        <v>27</v>
      </c>
      <c r="K11" s="15" t="s">
        <v>17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>U11-V11/0.330882</f>
        <v>13.999854933178597</v>
      </c>
      <c r="X11" s="47">
        <v>6</v>
      </c>
      <c r="Y11" s="47">
        <v>6</v>
      </c>
      <c r="Z11" s="1">
        <f t="shared" si="1"/>
        <v>2</v>
      </c>
      <c r="AA11" s="1">
        <f t="shared" si="2"/>
        <v>0</v>
      </c>
      <c r="AB11" s="55">
        <f t="shared" si="3"/>
        <v>4</v>
      </c>
      <c r="AC11">
        <v>2</v>
      </c>
      <c r="AD11">
        <v>0</v>
      </c>
      <c r="AE11">
        <v>4</v>
      </c>
      <c r="AF11">
        <f t="shared" si="4"/>
        <v>0</v>
      </c>
      <c r="AG11">
        <f t="shared" si="5"/>
        <v>0</v>
      </c>
    </row>
    <row r="12" spans="1:33">
      <c r="A12" s="1" t="s">
        <v>27</v>
      </c>
      <c r="B12" s="4" t="s">
        <v>6</v>
      </c>
      <c r="C12" s="3" t="s">
        <v>5</v>
      </c>
      <c r="D12" s="27"/>
      <c r="E12" s="27"/>
      <c r="F12" s="27"/>
      <c r="G12" s="27"/>
      <c r="H12" s="28"/>
      <c r="I12" s="2" t="s">
        <v>4</v>
      </c>
      <c r="J12" s="1" t="s">
        <v>27</v>
      </c>
      <c r="K12" s="1" t="s">
        <v>27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3</v>
      </c>
      <c r="Y12" s="47">
        <v>3</v>
      </c>
      <c r="Z12" s="1">
        <f t="shared" si="1"/>
        <v>0</v>
      </c>
      <c r="AA12" s="1">
        <f t="shared" si="2"/>
        <v>0</v>
      </c>
      <c r="AB12" s="55">
        <f t="shared" si="3"/>
        <v>3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-1</v>
      </c>
    </row>
    <row r="13" spans="1:33">
      <c r="A13" s="1" t="s">
        <v>27</v>
      </c>
      <c r="B13" s="4" t="s">
        <v>6</v>
      </c>
      <c r="C13" s="3" t="s">
        <v>5</v>
      </c>
      <c r="D13" s="27"/>
      <c r="E13" s="27"/>
      <c r="F13" s="27"/>
      <c r="G13" s="27"/>
      <c r="H13" s="28"/>
      <c r="I13" s="2" t="s">
        <v>4</v>
      </c>
      <c r="J13" s="1" t="s">
        <v>27</v>
      </c>
      <c r="K13" s="9" t="s">
        <v>11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>
      <c r="A14" s="1" t="s">
        <v>27</v>
      </c>
      <c r="B14" s="4" t="s">
        <v>6</v>
      </c>
      <c r="C14" s="15" t="s">
        <v>17</v>
      </c>
      <c r="D14" s="27"/>
      <c r="E14" s="27"/>
      <c r="F14" s="27"/>
      <c r="G14" s="27"/>
      <c r="H14" s="28"/>
      <c r="I14" s="15" t="s">
        <v>17</v>
      </c>
      <c r="J14" s="1" t="s">
        <v>27</v>
      </c>
      <c r="K14" s="3" t="s">
        <v>5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>
      <c r="A15" s="1" t="s">
        <v>27</v>
      </c>
      <c r="B15" s="4" t="s">
        <v>6</v>
      </c>
      <c r="C15" s="3" t="s">
        <v>5</v>
      </c>
      <c r="D15" s="27"/>
      <c r="E15" s="27"/>
      <c r="F15" s="27"/>
      <c r="G15" s="27"/>
      <c r="H15" s="28"/>
      <c r="I15" s="1" t="s">
        <v>27</v>
      </c>
      <c r="J15" s="1" t="s">
        <v>27</v>
      </c>
      <c r="K15" s="3" t="s">
        <v>5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9">U15-V15/0.330882</f>
        <v>44.222109392472248</v>
      </c>
      <c r="X15" s="47"/>
      <c r="Y15" s="47">
        <v>0</v>
      </c>
      <c r="Z15" s="1">
        <f t="shared" si="1"/>
        <v>0</v>
      </c>
      <c r="AA15" s="1">
        <f t="shared" si="2"/>
        <v>0</v>
      </c>
      <c r="AB15" s="55">
        <f t="shared" si="3"/>
        <v>0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0</v>
      </c>
    </row>
    <row r="16" spans="1:33">
      <c r="A16" s="1" t="s">
        <v>27</v>
      </c>
      <c r="B16" s="4" t="s">
        <v>6</v>
      </c>
      <c r="C16" s="3" t="s">
        <v>5</v>
      </c>
      <c r="D16" s="27"/>
      <c r="E16" s="27"/>
      <c r="F16" s="27"/>
      <c r="G16" s="27"/>
      <c r="H16" s="28"/>
      <c r="I16" s="1" t="s">
        <v>27</v>
      </c>
      <c r="J16" s="1" t="s">
        <v>27</v>
      </c>
      <c r="K16" s="3" t="s">
        <v>5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39</v>
      </c>
      <c r="Z16" s="1">
        <f t="shared" si="1"/>
        <v>6</v>
      </c>
      <c r="AA16" s="1">
        <f t="shared" si="2"/>
        <v>11</v>
      </c>
      <c r="AB16" s="55">
        <f t="shared" si="3"/>
        <v>22</v>
      </c>
      <c r="AC16">
        <v>3</v>
      </c>
      <c r="AD16">
        <v>8</v>
      </c>
      <c r="AE16">
        <v>27</v>
      </c>
      <c r="AF16">
        <f t="shared" si="4"/>
        <v>3</v>
      </c>
      <c r="AG16">
        <f t="shared" si="5"/>
        <v>-2</v>
      </c>
    </row>
    <row r="17" spans="1:33">
      <c r="A17" s="1" t="s">
        <v>27</v>
      </c>
      <c r="B17" s="17" t="s">
        <v>19</v>
      </c>
      <c r="C17" s="3" t="s">
        <v>5</v>
      </c>
      <c r="D17" s="27"/>
      <c r="E17" s="27"/>
      <c r="F17" s="27"/>
      <c r="G17" s="27"/>
      <c r="H17" s="28"/>
      <c r="I17" s="1" t="s">
        <v>27</v>
      </c>
      <c r="J17" s="1" t="s">
        <v>27</v>
      </c>
      <c r="K17" s="9" t="s">
        <v>11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1</v>
      </c>
      <c r="Y17" s="47">
        <v>1</v>
      </c>
      <c r="Z17" s="1">
        <f t="shared" si="1"/>
        <v>1</v>
      </c>
      <c r="AA17" s="1">
        <f t="shared" si="2"/>
        <v>0</v>
      </c>
      <c r="AB17" s="55">
        <f t="shared" si="3"/>
        <v>0</v>
      </c>
      <c r="AC17">
        <v>2</v>
      </c>
      <c r="AD17">
        <v>0</v>
      </c>
      <c r="AE17">
        <v>0</v>
      </c>
      <c r="AF17">
        <f t="shared" si="4"/>
        <v>-1</v>
      </c>
      <c r="AG17">
        <f t="shared" si="5"/>
        <v>0</v>
      </c>
    </row>
    <row r="18" spans="1:33">
      <c r="A18" s="1" t="s">
        <v>27</v>
      </c>
      <c r="B18" s="4" t="s">
        <v>6</v>
      </c>
      <c r="C18" s="4" t="s">
        <v>6</v>
      </c>
      <c r="D18" s="27"/>
      <c r="E18" s="27"/>
      <c r="F18" s="27"/>
      <c r="G18" s="27"/>
      <c r="H18" s="28"/>
      <c r="I18" s="1" t="s">
        <v>27</v>
      </c>
      <c r="J18" s="1" t="s">
        <v>27</v>
      </c>
      <c r="K18" s="3" t="s">
        <v>5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300</v>
      </c>
      <c r="W18" s="46"/>
      <c r="X18" s="47">
        <v>3</v>
      </c>
      <c r="Y18" s="47">
        <v>3</v>
      </c>
      <c r="Z18" s="1">
        <f t="shared" si="1"/>
        <v>3</v>
      </c>
      <c r="AA18" s="1">
        <f t="shared" si="2"/>
        <v>0</v>
      </c>
      <c r="AB18" s="55">
        <f t="shared" si="3"/>
        <v>0</v>
      </c>
      <c r="AC18">
        <v>3</v>
      </c>
      <c r="AD18">
        <v>0</v>
      </c>
      <c r="AE18">
        <v>0</v>
      </c>
      <c r="AF18">
        <f t="shared" si="4"/>
        <v>0</v>
      </c>
      <c r="AG18">
        <f t="shared" si="5"/>
        <v>0</v>
      </c>
    </row>
    <row r="19" spans="1:33">
      <c r="A19" s="1" t="s">
        <v>27</v>
      </c>
      <c r="B19" s="4" t="s">
        <v>6</v>
      </c>
      <c r="C19" s="17" t="s">
        <v>20</v>
      </c>
      <c r="D19" s="27"/>
      <c r="E19" s="27"/>
      <c r="F19" s="27"/>
      <c r="G19" s="27"/>
      <c r="H19" s="28"/>
      <c r="I19" s="1" t="s">
        <v>27</v>
      </c>
      <c r="J19" s="1" t="s">
        <v>27</v>
      </c>
      <c r="K19" s="15" t="s">
        <v>17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5</v>
      </c>
      <c r="AA19" s="1">
        <f t="shared" si="2"/>
        <v>0</v>
      </c>
      <c r="AB19" s="55">
        <f t="shared" si="3"/>
        <v>0</v>
      </c>
      <c r="AC19">
        <v>5</v>
      </c>
      <c r="AD19">
        <v>0</v>
      </c>
      <c r="AE19">
        <v>0</v>
      </c>
      <c r="AF19">
        <f t="shared" si="4"/>
        <v>0</v>
      </c>
      <c r="AG19">
        <f t="shared" si="5"/>
        <v>0</v>
      </c>
    </row>
    <row r="20" spans="1:33">
      <c r="A20" s="1" t="s">
        <v>27</v>
      </c>
      <c r="B20" s="5" t="s">
        <v>7</v>
      </c>
      <c r="C20" s="4" t="s">
        <v>6</v>
      </c>
      <c r="D20" s="27"/>
      <c r="E20" s="27"/>
      <c r="F20" s="27"/>
      <c r="G20" s="27"/>
      <c r="H20" s="28"/>
      <c r="I20" s="1" t="s">
        <v>27</v>
      </c>
      <c r="J20" s="1" t="s">
        <v>27</v>
      </c>
      <c r="K20" s="3" t="s">
        <v>5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0</v>
      </c>
      <c r="Z20" s="1">
        <f t="shared" si="1"/>
        <v>0</v>
      </c>
      <c r="AA20" s="1">
        <f t="shared" si="2"/>
        <v>0</v>
      </c>
      <c r="AB20" s="55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>
      <c r="A21" s="1" t="s">
        <v>27</v>
      </c>
      <c r="B21" s="5" t="s">
        <v>7</v>
      </c>
      <c r="C21" s="15" t="s">
        <v>17</v>
      </c>
      <c r="D21" s="27"/>
      <c r="E21" s="27"/>
      <c r="F21" s="27"/>
      <c r="G21" s="27"/>
      <c r="H21" s="28"/>
      <c r="I21" s="1" t="s">
        <v>27</v>
      </c>
      <c r="J21" s="1" t="s">
        <v>27</v>
      </c>
      <c r="K21" s="3" t="s">
        <v>5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>
      <c r="A22" s="1" t="s">
        <v>27</v>
      </c>
      <c r="B22" s="4" t="s">
        <v>6</v>
      </c>
      <c r="C22" s="4" t="s">
        <v>6</v>
      </c>
      <c r="D22" s="27"/>
      <c r="E22" s="27"/>
      <c r="F22" s="27"/>
      <c r="G22" s="27"/>
      <c r="H22" s="28"/>
      <c r="I22" s="1" t="s">
        <v>27</v>
      </c>
      <c r="J22" s="1" t="s">
        <v>27</v>
      </c>
      <c r="K22" s="3" t="s">
        <v>5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3</v>
      </c>
      <c r="Y22" s="47">
        <v>3</v>
      </c>
      <c r="Z22" s="1">
        <f t="shared" si="1"/>
        <v>0</v>
      </c>
      <c r="AA22" s="1">
        <f t="shared" si="2"/>
        <v>0</v>
      </c>
      <c r="AB22" s="55">
        <f t="shared" si="3"/>
        <v>3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1</v>
      </c>
    </row>
    <row r="23" spans="1:33">
      <c r="A23" s="1" t="s">
        <v>27</v>
      </c>
      <c r="B23" s="10" t="s">
        <v>12</v>
      </c>
      <c r="C23" s="17" t="s">
        <v>19</v>
      </c>
      <c r="D23" s="27"/>
      <c r="E23" s="27"/>
      <c r="F23" s="27"/>
      <c r="G23" s="27"/>
      <c r="H23" s="28"/>
      <c r="I23" s="1" t="s">
        <v>27</v>
      </c>
      <c r="J23" s="1" t="s">
        <v>27</v>
      </c>
      <c r="K23" s="3" t="s">
        <v>5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10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>
      <c r="A24" s="1" t="s">
        <v>27</v>
      </c>
      <c r="B24" s="4" t="s">
        <v>6</v>
      </c>
      <c r="C24" s="4" t="s">
        <v>6</v>
      </c>
      <c r="D24" s="27"/>
      <c r="E24" s="27"/>
      <c r="F24" s="27"/>
      <c r="G24" s="27"/>
      <c r="H24" s="28"/>
      <c r="I24" s="1" t="s">
        <v>27</v>
      </c>
      <c r="J24" s="1" t="s">
        <v>27</v>
      </c>
      <c r="K24" s="16" t="s">
        <v>28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10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>
      <c r="A25" s="1" t="s">
        <v>27</v>
      </c>
      <c r="B25" s="4" t="s">
        <v>6</v>
      </c>
      <c r="C25" s="4" t="s">
        <v>6</v>
      </c>
      <c r="D25" s="27"/>
      <c r="E25" s="27"/>
      <c r="F25" s="27"/>
      <c r="G25" s="27"/>
      <c r="H25" s="28"/>
      <c r="I25" s="1" t="s">
        <v>27</v>
      </c>
      <c r="J25" s="1" t="s">
        <v>27</v>
      </c>
      <c r="K25" s="3" t="s">
        <v>5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10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>
      <c r="A26" s="1" t="s">
        <v>27</v>
      </c>
      <c r="B26" s="17" t="s">
        <v>20</v>
      </c>
      <c r="C26" s="10" t="s">
        <v>12</v>
      </c>
      <c r="D26" s="27"/>
      <c r="E26" s="27"/>
      <c r="F26" s="27"/>
      <c r="G26" s="27"/>
      <c r="H26" s="28"/>
      <c r="I26" s="1" t="s">
        <v>27</v>
      </c>
      <c r="J26" s="1" t="s">
        <v>27</v>
      </c>
      <c r="K26" s="15" t="s">
        <v>17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10"/>
        <v>0</v>
      </c>
      <c r="X26" s="47">
        <v>0</v>
      </c>
      <c r="Y26" s="47">
        <v>0</v>
      </c>
      <c r="Z26" s="1"/>
      <c r="AA26" s="1"/>
      <c r="AB26" s="55"/>
      <c r="AF26">
        <f t="shared" si="4"/>
        <v>0</v>
      </c>
      <c r="AG26">
        <f t="shared" si="5"/>
        <v>0</v>
      </c>
    </row>
    <row r="27" spans="1:33">
      <c r="A27" s="1" t="s">
        <v>27</v>
      </c>
      <c r="B27" s="4" t="s">
        <v>6</v>
      </c>
      <c r="C27" s="4" t="s">
        <v>6</v>
      </c>
      <c r="D27" s="27"/>
      <c r="E27" s="27"/>
      <c r="F27" s="27"/>
      <c r="G27" s="27"/>
      <c r="H27" s="28"/>
      <c r="I27" s="1" t="s">
        <v>27</v>
      </c>
      <c r="J27" s="1" t="s">
        <v>27</v>
      </c>
      <c r="K27" s="3" t="s">
        <v>5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14</v>
      </c>
      <c r="Y27" s="47">
        <v>14</v>
      </c>
      <c r="Z27" s="1">
        <f t="shared" si="1"/>
        <v>0</v>
      </c>
      <c r="AA27" s="1">
        <f t="shared" si="2"/>
        <v>2</v>
      </c>
      <c r="AB27" s="55">
        <f t="shared" si="3"/>
        <v>12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1</v>
      </c>
    </row>
    <row r="28" spans="1:33">
      <c r="A28" s="1" t="s">
        <v>27</v>
      </c>
      <c r="B28" s="4" t="s">
        <v>6</v>
      </c>
      <c r="C28" s="4" t="s">
        <v>6</v>
      </c>
      <c r="D28" s="27"/>
      <c r="E28" s="27"/>
      <c r="F28" s="27"/>
      <c r="G28" s="27"/>
      <c r="H28" s="28"/>
      <c r="I28" s="1" t="s">
        <v>27</v>
      </c>
      <c r="J28" s="1" t="s">
        <v>27</v>
      </c>
      <c r="K28" s="3" t="s">
        <v>5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>
        <v>10</v>
      </c>
      <c r="X28" s="47">
        <v>3</v>
      </c>
      <c r="Y28" s="47">
        <v>3</v>
      </c>
      <c r="Z28" s="1">
        <f t="shared" si="1"/>
        <v>0</v>
      </c>
      <c r="AA28" s="1">
        <f t="shared" si="2"/>
        <v>1</v>
      </c>
      <c r="AB28" s="55">
        <f t="shared" si="3"/>
        <v>2</v>
      </c>
      <c r="AC28">
        <v>1</v>
      </c>
      <c r="AD28">
        <v>0</v>
      </c>
      <c r="AE28">
        <v>2</v>
      </c>
      <c r="AF28">
        <f t="shared" si="4"/>
        <v>-1</v>
      </c>
      <c r="AG28">
        <f t="shared" si="5"/>
        <v>1</v>
      </c>
    </row>
    <row r="29" spans="1:33" ht="15" thickBot="1">
      <c r="A29" s="1" t="s">
        <v>27</v>
      </c>
      <c r="B29" s="4" t="s">
        <v>6</v>
      </c>
      <c r="C29" s="15" t="s">
        <v>17</v>
      </c>
      <c r="D29" s="27"/>
      <c r="E29" s="27"/>
      <c r="F29" s="27"/>
      <c r="G29" s="27"/>
      <c r="H29" s="28"/>
      <c r="I29" s="1" t="s">
        <v>27</v>
      </c>
      <c r="J29" s="1" t="s">
        <v>27</v>
      </c>
      <c r="K29" s="15" t="s">
        <v>17</v>
      </c>
      <c r="L29" s="27"/>
      <c r="M29" s="27"/>
      <c r="N29" s="27"/>
      <c r="O29" s="27"/>
      <c r="P29" s="28"/>
      <c r="Q29" s="57"/>
      <c r="R29" s="32"/>
      <c r="S29" s="32"/>
      <c r="T29" s="31" t="s">
        <v>66</v>
      </c>
      <c r="U29" s="31"/>
      <c r="V29" s="31"/>
      <c r="W29" s="31"/>
      <c r="X29" s="31"/>
      <c r="Y29" s="31"/>
      <c r="Z29" s="31"/>
      <c r="AA29" s="31"/>
      <c r="AB29" s="58"/>
      <c r="AF29" cm="1">
        <f t="array" ref="AF29">SUM(AF3:AF28*U3:U28)</f>
        <v>-1180</v>
      </c>
      <c r="AG29" cm="1">
        <f t="array" ref="AG29">SUM(AG3:AG28*U3:U28*0.8)</f>
        <v>1304</v>
      </c>
    </row>
    <row r="30" spans="1:33">
      <c r="A30" s="1" t="s">
        <v>27</v>
      </c>
      <c r="B30" s="4" t="s">
        <v>6</v>
      </c>
      <c r="C30" s="4" t="s">
        <v>6</v>
      </c>
      <c r="D30" s="27"/>
      <c r="E30" s="27"/>
      <c r="F30" s="27"/>
      <c r="G30" s="27"/>
      <c r="H30" s="28"/>
      <c r="I30" s="1" t="s">
        <v>27</v>
      </c>
      <c r="J30" s="1" t="s">
        <v>27</v>
      </c>
      <c r="K30" s="3" t="s">
        <v>5</v>
      </c>
      <c r="L30" s="27"/>
      <c r="M30" s="27"/>
      <c r="N30" s="27"/>
      <c r="O30" s="27"/>
      <c r="P30" s="28"/>
      <c r="Y30">
        <f>SUM(Y3:Y28)</f>
        <v>1078</v>
      </c>
      <c r="AC30">
        <f>SUM(AC3:AC28)</f>
        <v>89</v>
      </c>
    </row>
    <row r="31" spans="1:33">
      <c r="A31" s="1" t="s">
        <v>27</v>
      </c>
      <c r="B31" s="4" t="s">
        <v>6</v>
      </c>
      <c r="C31" s="4" t="s">
        <v>6</v>
      </c>
      <c r="D31" s="27"/>
      <c r="E31" s="27"/>
      <c r="F31" s="27"/>
      <c r="G31" s="27"/>
      <c r="H31" s="28"/>
      <c r="I31" s="1" t="s">
        <v>27</v>
      </c>
      <c r="J31" s="1" t="s">
        <v>27</v>
      </c>
      <c r="K31" s="3" t="s">
        <v>5</v>
      </c>
      <c r="L31" s="27"/>
      <c r="M31" s="27"/>
      <c r="N31" s="27"/>
      <c r="O31" s="27"/>
      <c r="P31" s="28"/>
      <c r="AG31">
        <f>AG29+AF29+AC36-12</f>
        <v>168</v>
      </c>
    </row>
    <row r="32" spans="1:33">
      <c r="A32" s="1" t="s">
        <v>27</v>
      </c>
      <c r="B32" s="4" t="s">
        <v>6</v>
      </c>
      <c r="C32" s="4" t="s">
        <v>6</v>
      </c>
      <c r="D32" s="27"/>
      <c r="E32" s="27"/>
      <c r="F32" s="27"/>
      <c r="G32" s="27"/>
      <c r="H32" s="28"/>
      <c r="I32" s="1" t="s">
        <v>27</v>
      </c>
      <c r="J32" s="1" t="s">
        <v>27</v>
      </c>
      <c r="K32" s="3" t="s">
        <v>5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29">
      <c r="A33" s="1" t="s">
        <v>27</v>
      </c>
      <c r="B33" s="4" t="s">
        <v>6</v>
      </c>
      <c r="C33" s="17" t="s">
        <v>20</v>
      </c>
      <c r="D33" s="27"/>
      <c r="E33" s="27"/>
      <c r="F33" s="27"/>
      <c r="G33" s="27"/>
      <c r="H33" s="28"/>
      <c r="I33" s="1" t="s">
        <v>27</v>
      </c>
      <c r="J33" s="1" t="s">
        <v>27</v>
      </c>
      <c r="K33" s="3" t="s">
        <v>5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29">
      <c r="A34" s="1" t="s">
        <v>27</v>
      </c>
      <c r="B34" s="4" t="s">
        <v>6</v>
      </c>
      <c r="C34" s="4" t="s">
        <v>6</v>
      </c>
      <c r="D34" s="27"/>
      <c r="E34" s="27"/>
      <c r="F34" s="27"/>
      <c r="G34" s="27"/>
      <c r="H34" s="28"/>
      <c r="I34" s="1" t="s">
        <v>27</v>
      </c>
      <c r="J34" s="1" t="s">
        <v>27</v>
      </c>
      <c r="K34" s="15" t="s">
        <v>17</v>
      </c>
      <c r="L34" s="27"/>
      <c r="M34" s="27"/>
      <c r="N34" s="27"/>
      <c r="O34" s="27"/>
      <c r="P34" s="28"/>
      <c r="R34">
        <v>3</v>
      </c>
      <c r="S34" t="s">
        <v>58</v>
      </c>
      <c r="AA34">
        <v>7</v>
      </c>
      <c r="AB34">
        <v>18</v>
      </c>
      <c r="AC34">
        <f>AA34*10+AB34*8</f>
        <v>214</v>
      </c>
    </row>
    <row r="35" spans="1:29">
      <c r="A35" s="1" t="s">
        <v>27</v>
      </c>
      <c r="B35" s="17" t="s">
        <v>20</v>
      </c>
      <c r="C35" s="4" t="s">
        <v>6</v>
      </c>
      <c r="D35" s="27"/>
      <c r="E35" s="27"/>
      <c r="F35" s="27"/>
      <c r="G35" s="27"/>
      <c r="H35" s="28"/>
      <c r="I35" s="1" t="s">
        <v>27</v>
      </c>
      <c r="J35" s="1" t="s">
        <v>27</v>
      </c>
      <c r="K35" s="1" t="s">
        <v>27</v>
      </c>
      <c r="L35" s="27"/>
      <c r="M35" s="27"/>
      <c r="N35" s="27"/>
      <c r="O35" s="27"/>
      <c r="P35" s="28"/>
      <c r="R35">
        <v>4</v>
      </c>
      <c r="S35" t="s">
        <v>61</v>
      </c>
      <c r="AA35">
        <v>11</v>
      </c>
      <c r="AB35">
        <v>6</v>
      </c>
      <c r="AC35">
        <f>AA35*10+AB35*8</f>
        <v>158</v>
      </c>
    </row>
    <row r="36" spans="1:29">
      <c r="A36" s="1" t="s">
        <v>27</v>
      </c>
      <c r="B36" s="1" t="s">
        <v>27</v>
      </c>
      <c r="C36" s="4" t="s">
        <v>6</v>
      </c>
      <c r="D36" s="27"/>
      <c r="E36" s="27"/>
      <c r="F36" s="27"/>
      <c r="G36" s="27"/>
      <c r="H36" s="28"/>
      <c r="I36" s="1" t="s">
        <v>27</v>
      </c>
      <c r="J36" s="1" t="s">
        <v>27</v>
      </c>
      <c r="K36" s="23" t="s">
        <v>29</v>
      </c>
      <c r="L36" s="27"/>
      <c r="M36" s="27"/>
      <c r="N36" s="27"/>
      <c r="O36" s="27"/>
      <c r="P36" s="28"/>
      <c r="S36" t="s">
        <v>62</v>
      </c>
      <c r="AC36">
        <f>AC34-AC35</f>
        <v>56</v>
      </c>
    </row>
    <row r="37" spans="1:29">
      <c r="A37" s="1" t="s">
        <v>27</v>
      </c>
      <c r="B37" s="1" t="s">
        <v>27</v>
      </c>
      <c r="C37" s="17" t="s">
        <v>19</v>
      </c>
      <c r="D37" s="27"/>
      <c r="E37" s="27"/>
      <c r="F37" s="27"/>
      <c r="G37" s="27"/>
      <c r="H37" s="28"/>
      <c r="I37" s="1" t="s">
        <v>27</v>
      </c>
      <c r="J37" s="1" t="s">
        <v>27</v>
      </c>
      <c r="K37" s="3" t="s">
        <v>5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29">
      <c r="A38" s="1" t="s">
        <v>27</v>
      </c>
      <c r="B38" s="1" t="s">
        <v>27</v>
      </c>
      <c r="C38" s="4" t="s">
        <v>6</v>
      </c>
      <c r="D38" s="27"/>
      <c r="E38" s="27"/>
      <c r="F38" s="27"/>
      <c r="G38" s="27"/>
      <c r="H38" s="28"/>
      <c r="I38" s="1" t="s">
        <v>27</v>
      </c>
      <c r="J38" s="1" t="s">
        <v>27</v>
      </c>
      <c r="K38" s="3" t="s">
        <v>5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29">
      <c r="A39" s="1" t="s">
        <v>27</v>
      </c>
      <c r="B39" s="1" t="s">
        <v>27</v>
      </c>
      <c r="C39" s="4" t="s">
        <v>6</v>
      </c>
      <c r="D39" s="27"/>
      <c r="E39" s="27"/>
      <c r="F39" s="27"/>
      <c r="G39" s="27"/>
      <c r="H39" s="28"/>
      <c r="I39" s="1" t="s">
        <v>27</v>
      </c>
      <c r="J39" s="1" t="s">
        <v>27</v>
      </c>
      <c r="K39" s="3" t="s">
        <v>5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29">
      <c r="A40" s="1" t="s">
        <v>27</v>
      </c>
      <c r="B40" s="1" t="s">
        <v>27</v>
      </c>
      <c r="C40" s="4" t="s">
        <v>6</v>
      </c>
      <c r="D40" s="27"/>
      <c r="E40" s="27"/>
      <c r="F40" s="27"/>
      <c r="G40" s="27"/>
      <c r="H40" s="28"/>
      <c r="I40" s="1" t="s">
        <v>27</v>
      </c>
      <c r="J40" s="1" t="s">
        <v>27</v>
      </c>
      <c r="K40" s="3" t="s">
        <v>5</v>
      </c>
      <c r="L40" s="27"/>
      <c r="M40" s="27"/>
      <c r="N40" s="27"/>
      <c r="O40" s="27"/>
      <c r="P40" s="28"/>
    </row>
    <row r="41" spans="1:29">
      <c r="A41" s="1" t="s">
        <v>27</v>
      </c>
      <c r="B41" s="1" t="s">
        <v>27</v>
      </c>
      <c r="C41" s="4" t="s">
        <v>6</v>
      </c>
      <c r="D41" s="27"/>
      <c r="E41" s="27"/>
      <c r="F41" s="27"/>
      <c r="G41" s="27"/>
      <c r="H41" s="28"/>
      <c r="I41" s="1" t="s">
        <v>27</v>
      </c>
      <c r="J41" s="1" t="s">
        <v>27</v>
      </c>
      <c r="K41" s="15" t="s">
        <v>17</v>
      </c>
      <c r="L41" s="27"/>
      <c r="M41" s="27"/>
      <c r="N41" s="27"/>
      <c r="O41" s="27"/>
      <c r="P41" s="28"/>
    </row>
    <row r="42" spans="1:29">
      <c r="A42" s="1" t="s">
        <v>27</v>
      </c>
      <c r="B42" s="1" t="s">
        <v>27</v>
      </c>
      <c r="C42" s="4" t="s">
        <v>6</v>
      </c>
      <c r="D42" s="27"/>
      <c r="E42" s="27"/>
      <c r="F42" s="27"/>
      <c r="G42" s="27"/>
      <c r="H42" s="28"/>
      <c r="I42" s="1" t="s">
        <v>27</v>
      </c>
      <c r="J42" s="1" t="s">
        <v>27</v>
      </c>
      <c r="K42" s="3" t="s">
        <v>5</v>
      </c>
      <c r="L42" s="27"/>
      <c r="M42" s="27"/>
      <c r="N42" s="27"/>
      <c r="O42" s="27"/>
      <c r="P42" s="28"/>
    </row>
    <row r="43" spans="1:29">
      <c r="A43" s="1" t="s">
        <v>27</v>
      </c>
      <c r="B43" s="1" t="s">
        <v>27</v>
      </c>
      <c r="C43" s="4" t="s">
        <v>6</v>
      </c>
      <c r="D43" s="27"/>
      <c r="E43" s="27"/>
      <c r="F43" s="27"/>
      <c r="G43" s="27"/>
      <c r="H43" s="28"/>
      <c r="I43" s="1" t="s">
        <v>27</v>
      </c>
      <c r="J43" s="1" t="s">
        <v>27</v>
      </c>
      <c r="K43" s="3" t="s">
        <v>5</v>
      </c>
      <c r="L43" s="27"/>
      <c r="M43" s="27"/>
      <c r="N43" s="27"/>
      <c r="O43" s="27"/>
      <c r="P43" s="28"/>
    </row>
    <row r="44" spans="1:29">
      <c r="A44" s="1" t="s">
        <v>27</v>
      </c>
      <c r="B44" s="1" t="s">
        <v>27</v>
      </c>
      <c r="C44" s="15" t="s">
        <v>17</v>
      </c>
      <c r="D44" s="27"/>
      <c r="E44" s="27"/>
      <c r="F44" s="27"/>
      <c r="G44" s="27"/>
      <c r="H44" s="28"/>
      <c r="I44" s="1" t="s">
        <v>27</v>
      </c>
      <c r="J44" s="1" t="s">
        <v>27</v>
      </c>
      <c r="K44" s="3" t="s">
        <v>5</v>
      </c>
      <c r="L44" s="27"/>
      <c r="M44" s="27"/>
      <c r="N44" s="27"/>
      <c r="O44" s="27"/>
      <c r="P44" s="28"/>
    </row>
    <row r="45" spans="1:29">
      <c r="A45" s="1" t="s">
        <v>27</v>
      </c>
      <c r="B45" s="1" t="s">
        <v>27</v>
      </c>
      <c r="C45" s="4" t="s">
        <v>6</v>
      </c>
      <c r="D45" s="27"/>
      <c r="E45" s="27"/>
      <c r="F45" s="27"/>
      <c r="G45" s="27"/>
      <c r="H45" s="28"/>
      <c r="I45" s="1" t="s">
        <v>27</v>
      </c>
      <c r="J45" s="1" t="s">
        <v>27</v>
      </c>
      <c r="K45" s="3" t="s">
        <v>5</v>
      </c>
      <c r="L45" s="27"/>
      <c r="M45" s="27"/>
      <c r="N45" s="27"/>
      <c r="O45" s="27"/>
      <c r="P45" s="28"/>
    </row>
    <row r="46" spans="1:29">
      <c r="A46" s="1" t="s">
        <v>27</v>
      </c>
      <c r="B46" s="1" t="s">
        <v>27</v>
      </c>
      <c r="C46" s="4" t="s">
        <v>6</v>
      </c>
      <c r="D46" s="27"/>
      <c r="E46" s="27"/>
      <c r="F46" s="27"/>
      <c r="G46" s="27"/>
      <c r="H46" s="28"/>
      <c r="I46" s="1" t="s">
        <v>27</v>
      </c>
      <c r="J46" s="1" t="s">
        <v>27</v>
      </c>
      <c r="K46" s="15" t="s">
        <v>17</v>
      </c>
      <c r="L46" s="27"/>
      <c r="M46" s="27"/>
      <c r="N46" s="27"/>
      <c r="O46" s="27"/>
      <c r="P46" s="28"/>
    </row>
    <row r="47" spans="1:29">
      <c r="A47" s="1" t="s">
        <v>27</v>
      </c>
      <c r="B47" s="1" t="s">
        <v>27</v>
      </c>
      <c r="C47" s="4" t="s">
        <v>6</v>
      </c>
      <c r="D47" s="27"/>
      <c r="E47" s="27"/>
      <c r="F47" s="27"/>
      <c r="G47" s="27"/>
      <c r="H47" s="28"/>
      <c r="I47" s="1" t="s">
        <v>27</v>
      </c>
      <c r="J47" s="1" t="s">
        <v>27</v>
      </c>
      <c r="K47" s="1" t="s">
        <v>27</v>
      </c>
      <c r="L47" s="27"/>
      <c r="M47" s="27"/>
      <c r="N47" s="27"/>
      <c r="O47" s="27"/>
      <c r="P47" s="28"/>
    </row>
    <row r="48" spans="1:29">
      <c r="A48" s="1" t="s">
        <v>27</v>
      </c>
      <c r="B48" s="1" t="s">
        <v>27</v>
      </c>
      <c r="C48" s="4" t="s">
        <v>6</v>
      </c>
      <c r="D48" s="27"/>
      <c r="E48" s="27"/>
      <c r="F48" s="27"/>
      <c r="G48" s="27"/>
      <c r="H48" s="28"/>
      <c r="I48" s="1" t="s">
        <v>27</v>
      </c>
      <c r="J48" s="1" t="s">
        <v>27</v>
      </c>
      <c r="K48" s="1" t="s">
        <v>27</v>
      </c>
      <c r="L48" s="27"/>
      <c r="M48" s="27"/>
      <c r="N48" s="27"/>
      <c r="O48" s="27"/>
      <c r="P48" s="28"/>
    </row>
    <row r="49" spans="1:16">
      <c r="A49" s="1" t="s">
        <v>27</v>
      </c>
      <c r="B49" s="1" t="s">
        <v>27</v>
      </c>
      <c r="C49" s="17" t="s">
        <v>20</v>
      </c>
      <c r="D49" s="27"/>
      <c r="E49" s="27"/>
      <c r="F49" s="27"/>
      <c r="G49" s="27"/>
      <c r="H49" s="28"/>
      <c r="I49" s="1" t="s">
        <v>27</v>
      </c>
      <c r="J49" s="1" t="s">
        <v>27</v>
      </c>
      <c r="K49" s="1" t="s">
        <v>27</v>
      </c>
      <c r="L49" s="27"/>
      <c r="M49" s="27"/>
      <c r="N49" s="27"/>
      <c r="O49" s="27"/>
      <c r="P49" s="28"/>
    </row>
    <row r="50" spans="1:16">
      <c r="A50" s="1" t="s">
        <v>27</v>
      </c>
      <c r="B50" s="1" t="s">
        <v>27</v>
      </c>
      <c r="C50" s="1" t="s">
        <v>27</v>
      </c>
      <c r="D50" s="27"/>
      <c r="E50" s="27"/>
      <c r="F50" s="27"/>
      <c r="G50" s="27"/>
      <c r="H50" s="28"/>
      <c r="I50" s="1" t="s">
        <v>27</v>
      </c>
      <c r="J50" s="1" t="s">
        <v>27</v>
      </c>
      <c r="K50" s="1" t="s">
        <v>27</v>
      </c>
      <c r="L50" s="27"/>
      <c r="M50" s="27"/>
      <c r="N50" s="27"/>
      <c r="O50" s="27"/>
      <c r="P50" s="28"/>
    </row>
    <row r="51" spans="1:16">
      <c r="A51" s="1" t="s">
        <v>27</v>
      </c>
      <c r="B51" s="1" t="s">
        <v>27</v>
      </c>
      <c r="C51" s="1" t="s">
        <v>27</v>
      </c>
      <c r="D51" s="27"/>
      <c r="E51" s="27"/>
      <c r="F51" s="27"/>
      <c r="G51" s="27"/>
      <c r="H51" s="28"/>
      <c r="I51" s="1" t="s">
        <v>27</v>
      </c>
      <c r="J51" s="1" t="s">
        <v>27</v>
      </c>
      <c r="K51" s="1" t="s">
        <v>27</v>
      </c>
      <c r="L51" s="27"/>
      <c r="M51" s="27"/>
      <c r="N51" s="27"/>
      <c r="O51" s="27"/>
      <c r="P51" s="28"/>
    </row>
    <row r="52" spans="1:16">
      <c r="A52" s="1" t="s">
        <v>27</v>
      </c>
      <c r="B52" s="1" t="s">
        <v>27</v>
      </c>
      <c r="C52" s="1" t="s">
        <v>27</v>
      </c>
      <c r="D52" s="27"/>
      <c r="E52" s="27"/>
      <c r="F52" s="27"/>
      <c r="G52" s="27"/>
      <c r="H52" s="28"/>
      <c r="I52" s="1" t="s">
        <v>27</v>
      </c>
      <c r="J52" s="1" t="s">
        <v>27</v>
      </c>
      <c r="K52" s="1" t="s">
        <v>27</v>
      </c>
      <c r="L52" s="27"/>
      <c r="M52" s="27"/>
      <c r="N52" s="27"/>
      <c r="O52" s="27"/>
      <c r="P52" s="28"/>
    </row>
    <row r="53" spans="1:16">
      <c r="A53" s="1" t="s">
        <v>27</v>
      </c>
      <c r="B53" s="1" t="s">
        <v>27</v>
      </c>
      <c r="C53" s="1" t="s">
        <v>27</v>
      </c>
      <c r="D53" s="27"/>
      <c r="E53" s="27"/>
      <c r="F53" s="27"/>
      <c r="G53" s="27"/>
      <c r="H53" s="28"/>
      <c r="I53" s="1" t="s">
        <v>27</v>
      </c>
      <c r="J53" s="1" t="s">
        <v>27</v>
      </c>
      <c r="K53" s="1" t="s">
        <v>27</v>
      </c>
      <c r="L53" s="27"/>
      <c r="M53" s="27"/>
      <c r="N53" s="27"/>
      <c r="O53" s="27"/>
      <c r="P53" s="28"/>
    </row>
    <row r="54" spans="1:16">
      <c r="A54" s="1" t="s">
        <v>27</v>
      </c>
      <c r="B54" s="1" t="s">
        <v>27</v>
      </c>
      <c r="C54" s="1" t="s">
        <v>27</v>
      </c>
      <c r="D54" s="27"/>
      <c r="E54" s="27"/>
      <c r="F54" s="27"/>
      <c r="G54" s="27"/>
      <c r="H54" s="28"/>
      <c r="I54" s="1" t="s">
        <v>27</v>
      </c>
      <c r="J54" s="1" t="s">
        <v>27</v>
      </c>
      <c r="K54" s="1" t="s">
        <v>27</v>
      </c>
      <c r="L54" s="27"/>
      <c r="M54" s="27"/>
      <c r="N54" s="27"/>
      <c r="O54" s="27"/>
      <c r="P54" s="28"/>
    </row>
    <row r="55" spans="1:16">
      <c r="A55" s="1" t="s">
        <v>27</v>
      </c>
      <c r="B55" s="1" t="s">
        <v>27</v>
      </c>
      <c r="C55" s="1" t="s">
        <v>27</v>
      </c>
      <c r="D55" s="27"/>
      <c r="E55" s="27"/>
      <c r="F55" s="27"/>
      <c r="G55" s="27"/>
      <c r="H55" s="28"/>
      <c r="I55" s="1" t="s">
        <v>27</v>
      </c>
      <c r="J55" s="1" t="s">
        <v>27</v>
      </c>
      <c r="K55" s="1" t="s">
        <v>27</v>
      </c>
      <c r="L55" s="27"/>
      <c r="M55" s="27"/>
      <c r="N55" s="27"/>
      <c r="O55" s="27"/>
      <c r="P55" s="28"/>
    </row>
    <row r="56" spans="1:16">
      <c r="A56" s="29" t="s">
        <v>27</v>
      </c>
      <c r="B56" s="1" t="s">
        <v>27</v>
      </c>
      <c r="C56" s="1" t="s">
        <v>27</v>
      </c>
      <c r="D56" s="27"/>
      <c r="E56" s="27"/>
      <c r="F56" s="27"/>
      <c r="G56" s="27"/>
      <c r="H56" s="28"/>
      <c r="I56" s="1" t="s">
        <v>27</v>
      </c>
      <c r="J56" s="1" t="s">
        <v>27</v>
      </c>
      <c r="K56" s="1" t="s">
        <v>27</v>
      </c>
      <c r="L56" s="27"/>
      <c r="M56" s="27"/>
      <c r="N56" s="27"/>
      <c r="O56" s="27"/>
      <c r="P56" s="28"/>
    </row>
    <row r="57" spans="1:16">
      <c r="A57" s="29" t="s">
        <v>27</v>
      </c>
      <c r="B57" s="1" t="s">
        <v>27</v>
      </c>
      <c r="C57" s="1" t="s">
        <v>27</v>
      </c>
      <c r="D57" s="27"/>
      <c r="E57" s="27"/>
      <c r="F57" s="27"/>
      <c r="G57" s="27"/>
      <c r="H57" s="28"/>
      <c r="I57" s="1" t="s">
        <v>27</v>
      </c>
      <c r="J57" s="1" t="s">
        <v>27</v>
      </c>
      <c r="K57" s="1" t="s">
        <v>27</v>
      </c>
      <c r="L57" s="27"/>
      <c r="M57" s="27"/>
      <c r="N57" s="27"/>
      <c r="O57" s="27"/>
      <c r="P57" s="28"/>
    </row>
    <row r="58" spans="1:16">
      <c r="A58" s="29" t="s">
        <v>27</v>
      </c>
      <c r="B58" s="1" t="s">
        <v>27</v>
      </c>
      <c r="C58" s="1" t="s">
        <v>27</v>
      </c>
      <c r="D58" s="27"/>
      <c r="E58" s="27"/>
      <c r="F58" s="27"/>
      <c r="G58" s="27"/>
      <c r="H58" s="28"/>
      <c r="I58" s="1" t="s">
        <v>27</v>
      </c>
      <c r="J58" s="1" t="s">
        <v>27</v>
      </c>
      <c r="K58" s="1" t="s">
        <v>27</v>
      </c>
      <c r="L58" s="27"/>
      <c r="M58" s="27"/>
      <c r="N58" s="27"/>
      <c r="O58" s="27"/>
      <c r="P58" s="28"/>
    </row>
    <row r="59" spans="1:16">
      <c r="A59" s="29" t="s">
        <v>27</v>
      </c>
      <c r="B59" s="1" t="s">
        <v>27</v>
      </c>
      <c r="C59" s="1" t="s">
        <v>27</v>
      </c>
      <c r="D59" s="27"/>
      <c r="E59" s="27"/>
      <c r="F59" s="27"/>
      <c r="G59" s="27"/>
      <c r="H59" s="28"/>
      <c r="I59" s="1" t="s">
        <v>27</v>
      </c>
      <c r="J59" s="1" t="s">
        <v>27</v>
      </c>
      <c r="K59" s="1" t="s">
        <v>27</v>
      </c>
      <c r="L59" s="27"/>
      <c r="M59" s="27"/>
      <c r="N59" s="27"/>
      <c r="O59" s="27"/>
      <c r="P59" s="28"/>
    </row>
    <row r="60" spans="1:16">
      <c r="A60" s="29" t="s">
        <v>27</v>
      </c>
      <c r="B60" s="1" t="s">
        <v>27</v>
      </c>
      <c r="C60" s="1" t="s">
        <v>27</v>
      </c>
      <c r="D60" s="27"/>
      <c r="E60" s="27"/>
      <c r="F60" s="27"/>
      <c r="G60" s="27"/>
      <c r="H60" s="28"/>
      <c r="I60" s="1" t="s">
        <v>27</v>
      </c>
      <c r="J60" s="1" t="s">
        <v>27</v>
      </c>
      <c r="K60" s="1" t="s">
        <v>27</v>
      </c>
      <c r="L60" s="27"/>
      <c r="M60" s="27"/>
      <c r="N60" s="27"/>
      <c r="O60" s="27"/>
      <c r="P60" s="28"/>
    </row>
    <row r="61" spans="1:16">
      <c r="A61" s="29" t="s">
        <v>27</v>
      </c>
      <c r="B61" s="1" t="s">
        <v>27</v>
      </c>
      <c r="C61" s="1" t="s">
        <v>27</v>
      </c>
      <c r="D61" s="27"/>
      <c r="E61" s="27"/>
      <c r="F61" s="27"/>
      <c r="G61" s="27"/>
      <c r="H61" s="28"/>
      <c r="I61" s="1" t="s">
        <v>27</v>
      </c>
      <c r="J61" s="1" t="s">
        <v>27</v>
      </c>
      <c r="K61" s="1" t="s">
        <v>27</v>
      </c>
      <c r="L61" s="27"/>
      <c r="M61" s="27"/>
      <c r="N61" s="27"/>
      <c r="O61" s="27"/>
      <c r="P61" s="28"/>
    </row>
    <row r="62" spans="1:16">
      <c r="A62" s="29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1" t="s">
        <v>27</v>
      </c>
      <c r="J62" s="1" t="s">
        <v>27</v>
      </c>
      <c r="K62" s="1" t="s">
        <v>27</v>
      </c>
      <c r="L62" s="27"/>
      <c r="M62" s="27"/>
      <c r="N62" s="27"/>
      <c r="O62" s="27"/>
      <c r="P62" s="28"/>
    </row>
    <row r="63" spans="1:16">
      <c r="A63" s="29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1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>
      <c r="A64" s="29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1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>
      <c r="A65" s="29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29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>
      <c r="A66" s="29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29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>
      <c r="A67" s="29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29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>
      <c r="A68" s="29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29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>
      <c r="A69" s="29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29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>
      <c r="A70" s="29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29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>
      <c r="A71" s="29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29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>
      <c r="A72" s="29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29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>
      <c r="A73" s="29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29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>
      <c r="A74" s="29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29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>
      <c r="A75" s="29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29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>
      <c r="A76" s="29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>
      <c r="A77" s="29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>
      <c r="A78" s="29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" thickBot="1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4.4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(VLOOKUP('S11.03'!A4,'S11.03'!$T$3:$V$28,2,FALSE))</f>
        <v>150</v>
      </c>
      <c r="B4" s="1">
        <f>(VLOOKUP('S11.03'!B4,'S11.03'!$T$3:$V$28,2,FALSE))</f>
        <v>150</v>
      </c>
      <c r="C4" s="1">
        <f>(VLOOKUP('S11.03'!C4,'S11.03'!$T$3:$V$28,2,FALSE))</f>
        <v>0</v>
      </c>
      <c r="I4" s="1">
        <f>(VLOOKUP('S11.03'!I4,'S11.03'!$T$3:$V$28,2,FALSE))</f>
        <v>50</v>
      </c>
      <c r="J4" s="1">
        <f>(VLOOKUP('S11.03'!J4,'S11.03'!$T$3:$V$28,2,FALSE))</f>
        <v>160</v>
      </c>
      <c r="K4" s="1">
        <f>(VLOOKUP('S11.03'!K4,'S11.03'!$T$3:$V$28,2,FALSE))</f>
        <v>160</v>
      </c>
    </row>
    <row r="5" spans="1:11">
      <c r="A5" s="1">
        <f>(VLOOKUP('S11.03'!A5,'S11.03'!$T$3:$V$28,2,FALSE))</f>
        <v>150</v>
      </c>
      <c r="B5" s="1">
        <f>(VLOOKUP('S11.03'!B5,'S11.03'!$T$3:$V$28,2,FALSE))</f>
        <v>150</v>
      </c>
      <c r="C5" s="1">
        <f>(VLOOKUP('S11.03'!C5,'S11.03'!$T$3:$V$28,2,FALSE))</f>
        <v>0</v>
      </c>
      <c r="I5" s="1">
        <f>(VLOOKUP('S11.03'!I5,'S11.03'!$T$3:$V$28,2,FALSE))</f>
        <v>0</v>
      </c>
      <c r="J5" s="1">
        <f>(VLOOKUP('S11.03'!J5,'S11.03'!$T$3:$V$28,2,FALSE))</f>
        <v>160</v>
      </c>
      <c r="K5" s="1">
        <f>(VLOOKUP('S11.03'!K5,'S11.03'!$T$3:$V$28,2,FALSE))</f>
        <v>160</v>
      </c>
    </row>
    <row r="6" spans="1:11">
      <c r="A6" s="1">
        <f>(VLOOKUP('S11.03'!A6,'S11.03'!$T$3:$V$28,2,FALSE))</f>
        <v>50</v>
      </c>
      <c r="B6" s="1">
        <f>(VLOOKUP('S11.03'!B6,'S11.03'!$T$3:$V$28,2,FALSE))</f>
        <v>150</v>
      </c>
      <c r="C6" s="1">
        <f>(VLOOKUP('S11.03'!C6,'S11.03'!$T$3:$V$28,2,FALSE))</f>
        <v>150</v>
      </c>
      <c r="I6" s="1">
        <f>(VLOOKUP('S11.03'!I6,'S11.03'!$T$3:$V$28,2,FALSE))</f>
        <v>150</v>
      </c>
      <c r="J6" s="1">
        <f>(VLOOKUP('S11.03'!J6,'S11.03'!$T$3:$V$28,2,FALSE))</f>
        <v>150</v>
      </c>
      <c r="K6" s="1">
        <f>(VLOOKUP('S11.03'!K6,'S11.03'!$T$3:$V$28,2,FALSE))</f>
        <v>160</v>
      </c>
    </row>
    <row r="7" spans="1:11">
      <c r="A7" s="1">
        <f>(VLOOKUP('S11.03'!A7,'S11.03'!$T$3:$V$28,2,FALSE))</f>
        <v>150</v>
      </c>
      <c r="B7" s="1">
        <f>(VLOOKUP('S11.03'!B7,'S11.03'!$T$3:$V$28,2,FALSE))</f>
        <v>150</v>
      </c>
      <c r="C7" s="1">
        <f>(VLOOKUP('S11.03'!C7,'S11.03'!$T$3:$V$28,2,FALSE))</f>
        <v>150</v>
      </c>
      <c r="I7" s="1">
        <f>(VLOOKUP('S11.03'!I7,'S11.03'!$T$3:$V$28,2,FALSE))</f>
        <v>150</v>
      </c>
      <c r="J7" s="1">
        <f>(VLOOKUP('S11.03'!J7,'S11.03'!$T$3:$V$28,2,FALSE))</f>
        <v>160</v>
      </c>
      <c r="K7" s="1">
        <f>(VLOOKUP('S11.03'!K7,'S11.03'!$T$3:$V$28,2,FALSE))</f>
        <v>50</v>
      </c>
    </row>
    <row r="8" spans="1:11">
      <c r="A8" s="1">
        <f>(VLOOKUP('S11.03'!A8,'S11.03'!$T$3:$V$28,2,FALSE))</f>
        <v>150</v>
      </c>
      <c r="B8" s="1">
        <f>(VLOOKUP('S11.03'!B8,'S11.03'!$T$3:$V$28,2,FALSE))</f>
        <v>150</v>
      </c>
      <c r="C8" s="1">
        <f>(VLOOKUP('S11.03'!C8,'S11.03'!$T$3:$V$28,2,FALSE))</f>
        <v>150</v>
      </c>
      <c r="I8" s="1">
        <f>(VLOOKUP('S11.03'!I8,'S11.03'!$T$3:$V$28,2,FALSE))</f>
        <v>-200</v>
      </c>
      <c r="J8" s="1">
        <f>(VLOOKUP('S11.03'!J8,'S11.03'!$T$3:$V$28,2,FALSE))</f>
        <v>160</v>
      </c>
      <c r="K8" s="1">
        <f>(VLOOKUP('S11.03'!K8,'S11.03'!$T$3:$V$28,2,FALSE))</f>
        <v>160</v>
      </c>
    </row>
    <row r="9" spans="1:11">
      <c r="A9" s="1">
        <f>(VLOOKUP('S11.03'!A9,'S11.03'!$T$3:$V$28,2,FALSE))</f>
        <v>150</v>
      </c>
      <c r="B9" s="1">
        <f>(VLOOKUP('S11.03'!B9,'S11.03'!$T$3:$V$28,2,FALSE))</f>
        <v>50</v>
      </c>
      <c r="C9" s="1">
        <f>(VLOOKUP('S11.03'!C9,'S11.03'!$T$3:$V$28,2,FALSE))</f>
        <v>-150</v>
      </c>
      <c r="I9" s="1">
        <f>(VLOOKUP('S11.03'!I9,'S11.03'!$T$3:$V$28,2,FALSE))</f>
        <v>0</v>
      </c>
      <c r="J9" s="1">
        <f>(VLOOKUP('S11.03'!J9,'S11.03'!$T$3:$V$28,2,FALSE))</f>
        <v>50</v>
      </c>
      <c r="K9" s="1">
        <f>(VLOOKUP('S11.03'!K9,'S11.03'!$T$3:$V$28,2,FALSE))</f>
        <v>160</v>
      </c>
    </row>
    <row r="10" spans="1:11">
      <c r="A10" s="1">
        <f>(VLOOKUP('S11.03'!A10,'S11.03'!$T$3:$V$28,2,FALSE))</f>
        <v>0</v>
      </c>
      <c r="B10" s="1">
        <f>(VLOOKUP('S11.03'!B10,'S11.03'!$T$3:$V$28,2,FALSE))</f>
        <v>0</v>
      </c>
      <c r="C10" s="1">
        <f>(VLOOKUP('S11.03'!C10,'S11.03'!$T$3:$V$28,2,FALSE))</f>
        <v>160</v>
      </c>
      <c r="I10" s="1">
        <f>(VLOOKUP('S11.03'!I10,'S11.03'!$T$3:$V$28,2,FALSE))</f>
        <v>150</v>
      </c>
      <c r="J10" s="1">
        <f>(VLOOKUP('S11.03'!J10,'S11.03'!$T$3:$V$28,2,FALSE))</f>
        <v>0</v>
      </c>
      <c r="K10" s="1">
        <f>(VLOOKUP('S11.03'!K10,'S11.03'!$T$3:$V$28,2,FALSE))</f>
        <v>160</v>
      </c>
    </row>
    <row r="11" spans="1:11">
      <c r="A11" s="1">
        <f>(VLOOKUP('S11.03'!A11,'S11.03'!$T$3:$V$28,2,FALSE))</f>
        <v>0</v>
      </c>
      <c r="B11" s="1">
        <f>(VLOOKUP('S11.03'!B11,'S11.03'!$T$3:$V$28,2,FALSE))</f>
        <v>170</v>
      </c>
      <c r="C11" s="1">
        <f>(VLOOKUP('S11.03'!C11,'S11.03'!$T$3:$V$28,2,FALSE))</f>
        <v>160</v>
      </c>
      <c r="I11" s="1">
        <f>(VLOOKUP('S11.03'!I11,'S11.03'!$T$3:$V$28,2,FALSE))</f>
        <v>150</v>
      </c>
      <c r="J11" s="1">
        <f>(VLOOKUP('S11.03'!J11,'S11.03'!$T$3:$V$28,2,FALSE))</f>
        <v>0</v>
      </c>
      <c r="K11" s="1">
        <f>(VLOOKUP('S11.03'!K11,'S11.03'!$T$3:$V$28,2,FALSE))</f>
        <v>50</v>
      </c>
    </row>
    <row r="12" spans="1:11">
      <c r="A12" s="1">
        <f>(VLOOKUP('S11.03'!A12,'S11.03'!$T$3:$V$28,2,FALSE))</f>
        <v>0</v>
      </c>
      <c r="B12" s="1">
        <f>(VLOOKUP('S11.03'!B12,'S11.03'!$T$3:$V$28,2,FALSE))</f>
        <v>170</v>
      </c>
      <c r="C12" s="1">
        <f>(VLOOKUP('S11.03'!C12,'S11.03'!$T$3:$V$28,2,FALSE))</f>
        <v>160</v>
      </c>
      <c r="I12" s="1">
        <f>(VLOOKUP('S11.03'!I12,'S11.03'!$T$3:$V$28,2,FALSE))</f>
        <v>150</v>
      </c>
      <c r="J12" s="1">
        <f>(VLOOKUP('S11.03'!J12,'S11.03'!$T$3:$V$28,2,FALSE))</f>
        <v>0</v>
      </c>
      <c r="K12" s="1">
        <f>(VLOOKUP('S11.03'!K12,'S11.03'!$T$3:$V$28,2,FALSE))</f>
        <v>0</v>
      </c>
    </row>
    <row r="13" spans="1:11">
      <c r="A13" s="1">
        <f>(VLOOKUP('S11.03'!A13,'S11.03'!$T$3:$V$28,2,FALSE))</f>
        <v>0</v>
      </c>
      <c r="B13" s="1">
        <f>(VLOOKUP('S11.03'!B13,'S11.03'!$T$3:$V$28,2,FALSE))</f>
        <v>170</v>
      </c>
      <c r="C13" s="1">
        <f>(VLOOKUP('S11.03'!C13,'S11.03'!$T$3:$V$28,2,FALSE))</f>
        <v>160</v>
      </c>
      <c r="I13" s="1">
        <f>(VLOOKUP('S11.03'!I13,'S11.03'!$T$3:$V$28,2,FALSE))</f>
        <v>150</v>
      </c>
      <c r="J13" s="1">
        <f>(VLOOKUP('S11.03'!J13,'S11.03'!$T$3:$V$28,2,FALSE))</f>
        <v>0</v>
      </c>
      <c r="K13" s="1">
        <f>(VLOOKUP('S11.03'!K13,'S11.03'!$T$3:$V$28,2,FALSE))</f>
        <v>150</v>
      </c>
    </row>
    <row r="14" spans="1:11">
      <c r="A14" s="1">
        <f>(VLOOKUP('S11.03'!A14,'S11.03'!$T$3:$V$28,2,FALSE))</f>
        <v>0</v>
      </c>
      <c r="B14" s="1">
        <f>(VLOOKUP('S11.03'!B14,'S11.03'!$T$3:$V$28,2,FALSE))</f>
        <v>170</v>
      </c>
      <c r="C14" s="1">
        <f>(VLOOKUP('S11.03'!C14,'S11.03'!$T$3:$V$28,2,FALSE))</f>
        <v>50</v>
      </c>
      <c r="I14" s="1">
        <f>(VLOOKUP('S11.03'!I14,'S11.03'!$T$3:$V$28,2,FALSE))</f>
        <v>50</v>
      </c>
      <c r="J14" s="1">
        <f>(VLOOKUP('S11.03'!J14,'S11.03'!$T$3:$V$28,2,FALSE))</f>
        <v>0</v>
      </c>
      <c r="K14" s="1">
        <f>(VLOOKUP('S11.03'!K14,'S11.03'!$T$3:$V$28,2,FALSE))</f>
        <v>160</v>
      </c>
    </row>
    <row r="15" spans="1:11">
      <c r="A15" s="1">
        <f>(VLOOKUP('S11.03'!A15,'S11.03'!$T$3:$V$28,2,FALSE))</f>
        <v>0</v>
      </c>
      <c r="B15" s="1">
        <f>(VLOOKUP('S11.03'!B15,'S11.03'!$T$3:$V$28,2,FALSE))</f>
        <v>170</v>
      </c>
      <c r="C15" s="1">
        <f>(VLOOKUP('S11.03'!C15,'S11.03'!$T$3:$V$28,2,FALSE))</f>
        <v>160</v>
      </c>
      <c r="I15" s="1">
        <f>(VLOOKUP('S11.03'!I15,'S11.03'!$T$3:$V$28,2,FALSE))</f>
        <v>0</v>
      </c>
      <c r="J15" s="1">
        <f>(VLOOKUP('S11.03'!J15,'S11.03'!$T$3:$V$28,2,FALSE))</f>
        <v>0</v>
      </c>
      <c r="K15" s="1">
        <f>(VLOOKUP('S11.03'!K15,'S11.03'!$T$3:$V$28,2,FALSE))</f>
        <v>160</v>
      </c>
    </row>
    <row r="16" spans="1:11">
      <c r="A16" s="1">
        <f>(VLOOKUP('S11.03'!A16,'S11.03'!$T$3:$V$28,2,FALSE))</f>
        <v>0</v>
      </c>
      <c r="B16" s="1">
        <f>(VLOOKUP('S11.03'!B16,'S11.03'!$T$3:$V$28,2,FALSE))</f>
        <v>170</v>
      </c>
      <c r="C16" s="1">
        <f>(VLOOKUP('S11.03'!C16,'S11.03'!$T$3:$V$28,2,FALSE))</f>
        <v>160</v>
      </c>
      <c r="I16" s="1">
        <f>(VLOOKUP('S11.03'!I16,'S11.03'!$T$3:$V$28,2,FALSE))</f>
        <v>0</v>
      </c>
      <c r="J16" s="1">
        <f>(VLOOKUP('S11.03'!J16,'S11.03'!$T$3:$V$28,2,FALSE))</f>
        <v>0</v>
      </c>
      <c r="K16" s="1">
        <f>(VLOOKUP('S11.03'!K16,'S11.03'!$T$3:$V$28,2,FALSE))</f>
        <v>160</v>
      </c>
    </row>
    <row r="17" spans="1:11">
      <c r="A17" s="1">
        <f>(VLOOKUP('S11.03'!A17,'S11.03'!$T$3:$V$28,2,FALSE))</f>
        <v>0</v>
      </c>
      <c r="B17" s="1">
        <f>(VLOOKUP('S11.03'!B17,'S11.03'!$T$3:$V$28,2,FALSE))</f>
        <v>250</v>
      </c>
      <c r="C17" s="1">
        <f>(VLOOKUP('S11.03'!C17,'S11.03'!$T$3:$V$28,2,FALSE))</f>
        <v>160</v>
      </c>
      <c r="I17" s="1">
        <f>(VLOOKUP('S11.03'!I17,'S11.03'!$T$3:$V$28,2,FALSE))</f>
        <v>0</v>
      </c>
      <c r="J17" s="1">
        <f>(VLOOKUP('S11.03'!J17,'S11.03'!$T$3:$V$28,2,FALSE))</f>
        <v>0</v>
      </c>
      <c r="K17" s="1">
        <f>(VLOOKUP('S11.03'!K17,'S11.03'!$T$3:$V$28,2,FALSE))</f>
        <v>150</v>
      </c>
    </row>
    <row r="18" spans="1:11">
      <c r="A18" s="1">
        <f>(VLOOKUP('S11.03'!A18,'S11.03'!$T$3:$V$28,2,FALSE))</f>
        <v>0</v>
      </c>
      <c r="B18" s="1">
        <f>(VLOOKUP('S11.03'!B18,'S11.03'!$T$3:$V$28,2,FALSE))</f>
        <v>170</v>
      </c>
      <c r="C18" s="1">
        <f>(VLOOKUP('S11.03'!C18,'S11.03'!$T$3:$V$28,2,FALSE))</f>
        <v>170</v>
      </c>
      <c r="I18" s="1">
        <f>(VLOOKUP('S11.03'!I18,'S11.03'!$T$3:$V$28,2,FALSE))</f>
        <v>0</v>
      </c>
      <c r="J18" s="1">
        <f>(VLOOKUP('S11.03'!J18,'S11.03'!$T$3:$V$28,2,FALSE))</f>
        <v>0</v>
      </c>
      <c r="K18" s="1">
        <f>(VLOOKUP('S11.03'!K18,'S11.03'!$T$3:$V$28,2,FALSE))</f>
        <v>160</v>
      </c>
    </row>
    <row r="19" spans="1:11">
      <c r="A19" s="1">
        <f>(VLOOKUP('S11.03'!A19,'S11.03'!$T$3:$V$28,2,FALSE))</f>
        <v>0</v>
      </c>
      <c r="B19" s="1">
        <f>(VLOOKUP('S11.03'!B19,'S11.03'!$T$3:$V$28,2,FALSE))</f>
        <v>170</v>
      </c>
      <c r="C19" s="1">
        <f>(VLOOKUP('S11.03'!C19,'S11.03'!$T$3:$V$28,2,FALSE))</f>
        <v>170</v>
      </c>
      <c r="I19" s="1">
        <f>(VLOOKUP('S11.03'!I19,'S11.03'!$T$3:$V$28,2,FALSE))</f>
        <v>0</v>
      </c>
      <c r="J19" s="1">
        <f>(VLOOKUP('S11.03'!J19,'S11.03'!$T$3:$V$28,2,FALSE))</f>
        <v>0</v>
      </c>
      <c r="K19" s="1">
        <f>(VLOOKUP('S11.03'!K19,'S11.03'!$T$3:$V$28,2,FALSE))</f>
        <v>50</v>
      </c>
    </row>
    <row r="20" spans="1:11">
      <c r="A20" s="1">
        <f>(VLOOKUP('S11.03'!A20,'S11.03'!$T$3:$V$28,2,FALSE))</f>
        <v>0</v>
      </c>
      <c r="B20" s="1">
        <f>(VLOOKUP('S11.03'!B20,'S11.03'!$T$3:$V$28,2,FALSE))</f>
        <v>180</v>
      </c>
      <c r="C20" s="1">
        <f>(VLOOKUP('S11.03'!C20,'S11.03'!$T$3:$V$28,2,FALSE))</f>
        <v>170</v>
      </c>
      <c r="I20" s="1">
        <f>(VLOOKUP('S11.03'!I20,'S11.03'!$T$3:$V$28,2,FALSE))</f>
        <v>0</v>
      </c>
      <c r="J20" s="1">
        <f>(VLOOKUP('S11.03'!J20,'S11.03'!$T$3:$V$28,2,FALSE))</f>
        <v>0</v>
      </c>
      <c r="K20" s="1">
        <f>(VLOOKUP('S11.03'!K20,'S11.03'!$T$3:$V$28,2,FALSE))</f>
        <v>160</v>
      </c>
    </row>
    <row r="21" spans="1:11">
      <c r="A21" s="1">
        <f>(VLOOKUP('S11.03'!A21,'S11.03'!$T$3:$V$28,2,FALSE))</f>
        <v>0</v>
      </c>
      <c r="B21" s="1">
        <f>(VLOOKUP('S11.03'!B21,'S11.03'!$T$3:$V$28,2,FALSE))</f>
        <v>180</v>
      </c>
      <c r="C21" s="1">
        <f>(VLOOKUP('S11.03'!C21,'S11.03'!$T$3:$V$28,2,FALSE))</f>
        <v>50</v>
      </c>
      <c r="I21" s="1">
        <f>(VLOOKUP('S11.03'!I21,'S11.03'!$T$3:$V$28,2,FALSE))</f>
        <v>0</v>
      </c>
      <c r="J21" s="1">
        <f>(VLOOKUP('S11.03'!J21,'S11.03'!$T$3:$V$28,2,FALSE))</f>
        <v>0</v>
      </c>
      <c r="K21" s="1">
        <f>(VLOOKUP('S11.03'!K21,'S11.03'!$T$3:$V$28,2,FALSE))</f>
        <v>160</v>
      </c>
    </row>
    <row r="22" spans="1:11">
      <c r="A22" s="1">
        <f>(VLOOKUP('S11.03'!A22,'S11.03'!$T$3:$V$28,2,FALSE))</f>
        <v>0</v>
      </c>
      <c r="B22" s="1">
        <f>(VLOOKUP('S11.03'!B22,'S11.03'!$T$3:$V$28,2,FALSE))</f>
        <v>170</v>
      </c>
      <c r="C22" s="1">
        <f>(VLOOKUP('S11.03'!C22,'S11.03'!$T$3:$V$28,2,FALSE))</f>
        <v>170</v>
      </c>
      <c r="I22" s="1">
        <f>(VLOOKUP('S11.03'!I22,'S11.03'!$T$3:$V$28,2,FALSE))</f>
        <v>0</v>
      </c>
      <c r="J22" s="1">
        <f>(VLOOKUP('S11.03'!J22,'S11.03'!$T$3:$V$28,2,FALSE))</f>
        <v>0</v>
      </c>
      <c r="K22" s="1">
        <f>(VLOOKUP('S11.03'!K22,'S11.03'!$T$3:$V$28,2,FALSE))</f>
        <v>160</v>
      </c>
    </row>
    <row r="23" spans="1:11">
      <c r="A23" s="1">
        <f>(VLOOKUP('S11.03'!A23,'S11.03'!$T$3:$V$28,2,FALSE))</f>
        <v>0</v>
      </c>
      <c r="B23" s="1">
        <f>(VLOOKUP('S11.03'!B23,'S11.03'!$T$3:$V$28,2,FALSE))</f>
        <v>150</v>
      </c>
      <c r="C23" s="1">
        <f>(VLOOKUP('S11.03'!C23,'S11.03'!$T$3:$V$28,2,FALSE))</f>
        <v>250</v>
      </c>
      <c r="I23" s="1">
        <f>(VLOOKUP('S11.03'!I23,'S11.03'!$T$3:$V$28,2,FALSE))</f>
        <v>0</v>
      </c>
      <c r="J23" s="1">
        <f>(VLOOKUP('S11.03'!J23,'S11.03'!$T$3:$V$28,2,FALSE))</f>
        <v>0</v>
      </c>
      <c r="K23" s="1">
        <f>(VLOOKUP('S11.03'!K23,'S11.03'!$T$3:$V$28,2,FALSE))</f>
        <v>160</v>
      </c>
    </row>
    <row r="24" spans="1:11">
      <c r="A24" s="1">
        <f>(VLOOKUP('S11.03'!A24,'S11.03'!$T$3:$V$28,2,FALSE))</f>
        <v>0</v>
      </c>
      <c r="B24" s="1">
        <f>(VLOOKUP('S11.03'!B24,'S11.03'!$T$3:$V$28,2,FALSE))</f>
        <v>170</v>
      </c>
      <c r="C24" s="1">
        <f>(VLOOKUP('S11.03'!C24,'S11.03'!$T$3:$V$28,2,FALSE))</f>
        <v>170</v>
      </c>
      <c r="I24" s="1">
        <f>(VLOOKUP('S11.03'!I24,'S11.03'!$T$3:$V$28,2,FALSE))</f>
        <v>0</v>
      </c>
      <c r="J24" s="1">
        <f>(VLOOKUP('S11.03'!J24,'S11.03'!$T$3:$V$28,2,FALSE))</f>
        <v>0</v>
      </c>
      <c r="K24" s="1">
        <f>(VLOOKUP('S11.03'!K24,'S11.03'!$T$3:$V$28,2,FALSE))</f>
        <v>-200</v>
      </c>
    </row>
    <row r="25" spans="1:11">
      <c r="A25" s="1">
        <f>(VLOOKUP('S11.03'!A25,'S11.03'!$T$3:$V$28,2,FALSE))</f>
        <v>0</v>
      </c>
      <c r="B25" s="1">
        <f>(VLOOKUP('S11.03'!B25,'S11.03'!$T$3:$V$28,2,FALSE))</f>
        <v>170</v>
      </c>
      <c r="C25" s="1">
        <f>(VLOOKUP('S11.03'!C25,'S11.03'!$T$3:$V$28,2,FALSE))</f>
        <v>170</v>
      </c>
      <c r="I25" s="1">
        <f>(VLOOKUP('S11.03'!I25,'S11.03'!$T$3:$V$28,2,FALSE))</f>
        <v>0</v>
      </c>
      <c r="J25" s="1">
        <f>(VLOOKUP('S11.03'!J25,'S11.03'!$T$3:$V$28,2,FALSE))</f>
        <v>0</v>
      </c>
      <c r="K25" s="1">
        <f>(VLOOKUP('S11.03'!K25,'S11.03'!$T$3:$V$28,2,FALSE))</f>
        <v>160</v>
      </c>
    </row>
    <row r="26" spans="1:11">
      <c r="A26" s="1">
        <f>(VLOOKUP('S11.03'!A26,'S11.03'!$T$3:$V$28,2,FALSE))</f>
        <v>0</v>
      </c>
      <c r="B26" s="1">
        <f>(VLOOKUP('S11.03'!B26,'S11.03'!$T$3:$V$28,2,FALSE))</f>
        <v>170</v>
      </c>
      <c r="C26" s="1">
        <f>(VLOOKUP('S11.03'!C26,'S11.03'!$T$3:$V$28,2,FALSE))</f>
        <v>150</v>
      </c>
      <c r="I26" s="1">
        <f>(VLOOKUP('S11.03'!I26,'S11.03'!$T$3:$V$28,2,FALSE))</f>
        <v>0</v>
      </c>
      <c r="J26" s="1">
        <f>(VLOOKUP('S11.03'!J26,'S11.03'!$T$3:$V$28,2,FALSE))</f>
        <v>0</v>
      </c>
      <c r="K26" s="1">
        <f>(VLOOKUP('S11.03'!K26,'S11.03'!$T$3:$V$28,2,FALSE))</f>
        <v>50</v>
      </c>
    </row>
    <row r="27" spans="1:11">
      <c r="A27" s="1">
        <f>(VLOOKUP('S11.03'!A27,'S11.03'!$T$3:$V$28,2,FALSE))</f>
        <v>0</v>
      </c>
      <c r="B27" s="1">
        <f>(VLOOKUP('S11.03'!B27,'S11.03'!$T$3:$V$28,2,FALSE))</f>
        <v>170</v>
      </c>
      <c r="C27" s="1">
        <f>(VLOOKUP('S11.03'!C27,'S11.03'!$T$3:$V$28,2,FALSE))</f>
        <v>170</v>
      </c>
      <c r="I27" s="1">
        <f>(VLOOKUP('S11.03'!I27,'S11.03'!$T$3:$V$28,2,FALSE))</f>
        <v>0</v>
      </c>
      <c r="J27" s="1">
        <f>(VLOOKUP('S11.03'!J27,'S11.03'!$T$3:$V$28,2,FALSE))</f>
        <v>0</v>
      </c>
      <c r="K27" s="1">
        <f>(VLOOKUP('S11.03'!K27,'S11.03'!$T$3:$V$28,2,FALSE))</f>
        <v>160</v>
      </c>
    </row>
    <row r="28" spans="1:11">
      <c r="A28" s="1">
        <f>(VLOOKUP('S11.03'!A28,'S11.03'!$T$3:$V$28,2,FALSE))</f>
        <v>0</v>
      </c>
      <c r="B28" s="1">
        <f>(VLOOKUP('S11.03'!B28,'S11.03'!$T$3:$V$28,2,FALSE))</f>
        <v>170</v>
      </c>
      <c r="C28" s="1">
        <f>(VLOOKUP('S11.03'!C28,'S11.03'!$T$3:$V$28,2,FALSE))</f>
        <v>170</v>
      </c>
      <c r="I28" s="1">
        <f>(VLOOKUP('S11.03'!I28,'S11.03'!$T$3:$V$28,2,FALSE))</f>
        <v>0</v>
      </c>
      <c r="J28" s="1">
        <f>(VLOOKUP('S11.03'!J28,'S11.03'!$T$3:$V$28,2,FALSE))</f>
        <v>0</v>
      </c>
      <c r="K28" s="1">
        <f>(VLOOKUP('S11.03'!K28,'S11.03'!$T$3:$V$28,2,FALSE))</f>
        <v>160</v>
      </c>
    </row>
    <row r="29" spans="1:11">
      <c r="A29" s="1">
        <f>(VLOOKUP('S11.03'!A29,'S11.03'!$T$3:$V$28,2,FALSE))</f>
        <v>0</v>
      </c>
      <c r="B29" s="1">
        <f>(VLOOKUP('S11.03'!B29,'S11.03'!$T$3:$V$28,2,FALSE))</f>
        <v>170</v>
      </c>
      <c r="C29" s="1">
        <f>(VLOOKUP('S11.03'!C29,'S11.03'!$T$3:$V$28,2,FALSE))</f>
        <v>50</v>
      </c>
      <c r="I29" s="1">
        <f>(VLOOKUP('S11.03'!I29,'S11.03'!$T$3:$V$28,2,FALSE))</f>
        <v>0</v>
      </c>
      <c r="J29" s="1">
        <f>(VLOOKUP('S11.03'!J29,'S11.03'!$T$3:$V$28,2,FALSE))</f>
        <v>0</v>
      </c>
      <c r="K29" s="1">
        <f>(VLOOKUP('S11.03'!K29,'S11.03'!$T$3:$V$28,2,FALSE))</f>
        <v>50</v>
      </c>
    </row>
    <row r="30" spans="1:11">
      <c r="A30" s="1">
        <f>(VLOOKUP('S11.03'!A30,'S11.03'!$T$3:$V$28,2,FALSE))</f>
        <v>0</v>
      </c>
      <c r="B30" s="1">
        <f>(VLOOKUP('S11.03'!B30,'S11.03'!$T$3:$V$28,2,FALSE))</f>
        <v>170</v>
      </c>
      <c r="C30" s="1">
        <f>(VLOOKUP('S11.03'!C30,'S11.03'!$T$3:$V$28,2,FALSE))</f>
        <v>170</v>
      </c>
      <c r="I30" s="1">
        <f>(VLOOKUP('S11.03'!I30,'S11.03'!$T$3:$V$28,2,FALSE))</f>
        <v>0</v>
      </c>
      <c r="J30" s="1">
        <f>(VLOOKUP('S11.03'!J30,'S11.03'!$T$3:$V$28,2,FALSE))</f>
        <v>0</v>
      </c>
      <c r="K30" s="1">
        <f>(VLOOKUP('S11.03'!K30,'S11.03'!$T$3:$V$28,2,FALSE))</f>
        <v>160</v>
      </c>
    </row>
    <row r="31" spans="1:11">
      <c r="A31" s="1">
        <f>(VLOOKUP('S11.03'!A31,'S11.03'!$T$3:$V$28,2,FALSE))</f>
        <v>0</v>
      </c>
      <c r="B31" s="1">
        <f>(VLOOKUP('S11.03'!B31,'S11.03'!$T$3:$V$28,2,FALSE))</f>
        <v>170</v>
      </c>
      <c r="C31" s="1">
        <f>(VLOOKUP('S11.03'!C31,'S11.03'!$T$3:$V$28,2,FALSE))</f>
        <v>170</v>
      </c>
      <c r="I31" s="1">
        <f>(VLOOKUP('S11.03'!I31,'S11.03'!$T$3:$V$28,2,FALSE))</f>
        <v>0</v>
      </c>
      <c r="J31" s="1">
        <f>(VLOOKUP('S11.03'!J31,'S11.03'!$T$3:$V$28,2,FALSE))</f>
        <v>0</v>
      </c>
      <c r="K31" s="1">
        <f>(VLOOKUP('S11.03'!K31,'S11.03'!$T$3:$V$28,2,FALSE))</f>
        <v>160</v>
      </c>
    </row>
    <row r="32" spans="1:11">
      <c r="A32" s="1">
        <f>(VLOOKUP('S11.03'!A32,'S11.03'!$T$3:$V$28,2,FALSE))</f>
        <v>0</v>
      </c>
      <c r="B32" s="1">
        <f>(VLOOKUP('S11.03'!B32,'S11.03'!$T$3:$V$28,2,FALSE))</f>
        <v>170</v>
      </c>
      <c r="C32" s="1">
        <f>(VLOOKUP('S11.03'!C32,'S11.03'!$T$3:$V$28,2,FALSE))</f>
        <v>170</v>
      </c>
      <c r="I32" s="1">
        <f>(VLOOKUP('S11.03'!I32,'S11.03'!$T$3:$V$28,2,FALSE))</f>
        <v>0</v>
      </c>
      <c r="J32" s="1">
        <f>(VLOOKUP('S11.03'!J32,'S11.03'!$T$3:$V$28,2,FALSE))</f>
        <v>0</v>
      </c>
      <c r="K32" s="1">
        <f>(VLOOKUP('S11.03'!K32,'S11.03'!$T$3:$V$28,2,FALSE))</f>
        <v>160</v>
      </c>
    </row>
    <row r="33" spans="1:11">
      <c r="A33" s="1">
        <f>(VLOOKUP('S11.03'!A33,'S11.03'!$T$3:$V$28,2,FALSE))</f>
        <v>0</v>
      </c>
      <c r="B33" s="1">
        <f>(VLOOKUP('S11.03'!B33,'S11.03'!$T$3:$V$28,2,FALSE))</f>
        <v>170</v>
      </c>
      <c r="C33" s="1">
        <f>(VLOOKUP('S11.03'!C33,'S11.03'!$T$3:$V$28,2,FALSE))</f>
        <v>170</v>
      </c>
      <c r="I33" s="1">
        <f>(VLOOKUP('S11.03'!I33,'S11.03'!$T$3:$V$28,2,FALSE))</f>
        <v>0</v>
      </c>
      <c r="J33" s="1">
        <f>(VLOOKUP('S11.03'!J33,'S11.03'!$T$3:$V$28,2,FALSE))</f>
        <v>0</v>
      </c>
      <c r="K33" s="1">
        <f>(VLOOKUP('S11.03'!K33,'S11.03'!$T$3:$V$28,2,FALSE))</f>
        <v>160</v>
      </c>
    </row>
    <row r="34" spans="1:11">
      <c r="A34" s="1">
        <f>(VLOOKUP('S11.03'!A34,'S11.03'!$T$3:$V$28,2,FALSE))</f>
        <v>0</v>
      </c>
      <c r="B34" s="1">
        <f>(VLOOKUP('S11.03'!B34,'S11.03'!$T$3:$V$28,2,FALSE))</f>
        <v>170</v>
      </c>
      <c r="C34" s="1">
        <f>(VLOOKUP('S11.03'!C34,'S11.03'!$T$3:$V$28,2,FALSE))</f>
        <v>170</v>
      </c>
      <c r="I34" s="1">
        <f>(VLOOKUP('S11.03'!I34,'S11.03'!$T$3:$V$28,2,FALSE))</f>
        <v>0</v>
      </c>
      <c r="J34" s="1">
        <f>(VLOOKUP('S11.03'!J34,'S11.03'!$T$3:$V$28,2,FALSE))</f>
        <v>0</v>
      </c>
      <c r="K34" s="1">
        <f>(VLOOKUP('S11.03'!K34,'S11.03'!$T$3:$V$28,2,FALSE))</f>
        <v>50</v>
      </c>
    </row>
    <row r="35" spans="1:11">
      <c r="A35" s="1">
        <f>(VLOOKUP('S11.03'!A35,'S11.03'!$T$3:$V$28,2,FALSE))</f>
        <v>0</v>
      </c>
      <c r="B35" s="1">
        <f>(VLOOKUP('S11.03'!B35,'S11.03'!$T$3:$V$28,2,FALSE))</f>
        <v>170</v>
      </c>
      <c r="C35" s="1">
        <f>(VLOOKUP('S11.03'!C35,'S11.03'!$T$3:$V$28,2,FALSE))</f>
        <v>170</v>
      </c>
      <c r="I35" s="1">
        <f>(VLOOKUP('S11.03'!I35,'S11.03'!$T$3:$V$28,2,FALSE))</f>
        <v>0</v>
      </c>
      <c r="J35" s="1">
        <f>(VLOOKUP('S11.03'!J35,'S11.03'!$T$3:$V$28,2,FALSE))</f>
        <v>0</v>
      </c>
      <c r="K35" s="1">
        <f>(VLOOKUP('S11.03'!K35,'S11.03'!$T$3:$V$28,2,FALSE))</f>
        <v>0</v>
      </c>
    </row>
    <row r="36" spans="1:11">
      <c r="A36" s="1">
        <f>(VLOOKUP('S11.03'!A36,'S11.03'!$T$3:$V$28,2,FALSE))</f>
        <v>0</v>
      </c>
      <c r="B36" s="1">
        <f>(VLOOKUP('S11.03'!B36,'S11.03'!$T$3:$V$28,2,FALSE))</f>
        <v>0</v>
      </c>
      <c r="C36" s="1">
        <f>(VLOOKUP('S11.03'!C36,'S11.03'!$T$3:$V$28,2,FALSE))</f>
        <v>170</v>
      </c>
      <c r="I36" s="1">
        <f>(VLOOKUP('S11.03'!I36,'S11.03'!$T$3:$V$28,2,FALSE))</f>
        <v>0</v>
      </c>
      <c r="J36" s="1">
        <f>(VLOOKUP('S11.03'!J36,'S11.03'!$T$3:$V$28,2,FALSE))</f>
        <v>0</v>
      </c>
      <c r="K36" s="1">
        <f>(VLOOKUP('S11.03'!K36,'S11.03'!$T$3:$V$28,2,FALSE))</f>
        <v>50</v>
      </c>
    </row>
    <row r="37" spans="1:11">
      <c r="A37" s="1">
        <f>(VLOOKUP('S11.03'!A37,'S11.03'!$T$3:$V$28,2,FALSE))</f>
        <v>0</v>
      </c>
      <c r="B37" s="1">
        <f>(VLOOKUP('S11.03'!B37,'S11.03'!$T$3:$V$28,2,FALSE))</f>
        <v>0</v>
      </c>
      <c r="C37" s="1">
        <f>(VLOOKUP('S11.03'!C37,'S11.03'!$T$3:$V$28,2,FALSE))</f>
        <v>250</v>
      </c>
      <c r="I37" s="1">
        <f>(VLOOKUP('S11.03'!I37,'S11.03'!$T$3:$V$28,2,FALSE))</f>
        <v>0</v>
      </c>
      <c r="J37" s="1">
        <f>(VLOOKUP('S11.03'!J37,'S11.03'!$T$3:$V$28,2,FALSE))</f>
        <v>0</v>
      </c>
      <c r="K37" s="1">
        <f>(VLOOKUP('S11.03'!K37,'S11.03'!$T$3:$V$28,2,FALSE))</f>
        <v>160</v>
      </c>
    </row>
    <row r="38" spans="1:11">
      <c r="A38" s="1">
        <f>(VLOOKUP('S11.03'!A38,'S11.03'!$T$3:$V$28,2,FALSE))</f>
        <v>0</v>
      </c>
      <c r="B38" s="1">
        <f>(VLOOKUP('S11.03'!B38,'S11.03'!$T$3:$V$28,2,FALSE))</f>
        <v>0</v>
      </c>
      <c r="C38" s="1">
        <f>(VLOOKUP('S11.03'!C38,'S11.03'!$T$3:$V$28,2,FALSE))</f>
        <v>170</v>
      </c>
      <c r="I38" s="1">
        <f>(VLOOKUP('S11.03'!I38,'S11.03'!$T$3:$V$28,2,FALSE))</f>
        <v>0</v>
      </c>
      <c r="J38" s="1">
        <f>(VLOOKUP('S11.03'!J38,'S11.03'!$T$3:$V$28,2,FALSE))</f>
        <v>0</v>
      </c>
      <c r="K38" s="1">
        <f>(VLOOKUP('S11.03'!K38,'S11.03'!$T$3:$V$28,2,FALSE))</f>
        <v>160</v>
      </c>
    </row>
    <row r="39" spans="1:11">
      <c r="A39" s="1">
        <f>(VLOOKUP('S11.03'!A39,'S11.03'!$T$3:$V$28,2,FALSE))</f>
        <v>0</v>
      </c>
      <c r="B39" s="1">
        <f>(VLOOKUP('S11.03'!B39,'S11.03'!$T$3:$V$28,2,FALSE))</f>
        <v>0</v>
      </c>
      <c r="C39" s="1">
        <f>(VLOOKUP('S11.03'!C39,'S11.03'!$T$3:$V$28,2,FALSE))</f>
        <v>170</v>
      </c>
      <c r="I39" s="1">
        <f>(VLOOKUP('S11.03'!I39,'S11.03'!$T$3:$V$28,2,FALSE))</f>
        <v>0</v>
      </c>
      <c r="J39" s="1">
        <f>(VLOOKUP('S11.03'!J39,'S11.03'!$T$3:$V$28,2,FALSE))</f>
        <v>0</v>
      </c>
      <c r="K39" s="1">
        <f>(VLOOKUP('S11.03'!K39,'S11.03'!$T$3:$V$28,2,FALSE))</f>
        <v>160</v>
      </c>
    </row>
    <row r="40" spans="1:11">
      <c r="A40" s="1">
        <f>(VLOOKUP('S11.03'!A40,'S11.03'!$T$3:$V$28,2,FALSE))</f>
        <v>0</v>
      </c>
      <c r="B40" s="1">
        <f>(VLOOKUP('S11.03'!B40,'S11.03'!$T$3:$V$28,2,FALSE))</f>
        <v>0</v>
      </c>
      <c r="C40" s="1">
        <f>(VLOOKUP('S11.03'!C40,'S11.03'!$T$3:$V$28,2,FALSE))</f>
        <v>170</v>
      </c>
      <c r="I40" s="1">
        <f>(VLOOKUP('S11.03'!I40,'S11.03'!$T$3:$V$28,2,FALSE))</f>
        <v>0</v>
      </c>
      <c r="J40" s="1">
        <f>(VLOOKUP('S11.03'!J40,'S11.03'!$T$3:$V$28,2,FALSE))</f>
        <v>0</v>
      </c>
      <c r="K40" s="1">
        <f>(VLOOKUP('S11.03'!K40,'S11.03'!$T$3:$V$28,2,FALSE))</f>
        <v>160</v>
      </c>
    </row>
    <row r="41" spans="1:11">
      <c r="A41" s="1">
        <f>(VLOOKUP('S11.03'!A41,'S11.03'!$T$3:$V$28,2,FALSE))</f>
        <v>0</v>
      </c>
      <c r="B41" s="1">
        <f>(VLOOKUP('S11.03'!B41,'S11.03'!$T$3:$V$28,2,FALSE))</f>
        <v>0</v>
      </c>
      <c r="C41" s="1">
        <f>(VLOOKUP('S11.03'!C41,'S11.03'!$T$3:$V$28,2,FALSE))</f>
        <v>170</v>
      </c>
      <c r="I41" s="1">
        <f>(VLOOKUP('S11.03'!I41,'S11.03'!$T$3:$V$28,2,FALSE))</f>
        <v>0</v>
      </c>
      <c r="J41" s="1">
        <f>(VLOOKUP('S11.03'!J41,'S11.03'!$T$3:$V$28,2,FALSE))</f>
        <v>0</v>
      </c>
      <c r="K41" s="1">
        <f>(VLOOKUP('S11.03'!K41,'S11.03'!$T$3:$V$28,2,FALSE))</f>
        <v>50</v>
      </c>
    </row>
    <row r="42" spans="1:11">
      <c r="A42" s="1">
        <f>(VLOOKUP('S11.03'!A42,'S11.03'!$T$3:$V$28,2,FALSE))</f>
        <v>0</v>
      </c>
      <c r="B42" s="1">
        <f>(VLOOKUP('S11.03'!B42,'S11.03'!$T$3:$V$28,2,FALSE))</f>
        <v>0</v>
      </c>
      <c r="C42" s="1">
        <f>(VLOOKUP('S11.03'!C42,'S11.03'!$T$3:$V$28,2,FALSE))</f>
        <v>170</v>
      </c>
      <c r="I42" s="1">
        <f>(VLOOKUP('S11.03'!I42,'S11.03'!$T$3:$V$28,2,FALSE))</f>
        <v>0</v>
      </c>
      <c r="J42" s="1">
        <f>(VLOOKUP('S11.03'!J42,'S11.03'!$T$3:$V$28,2,FALSE))</f>
        <v>0</v>
      </c>
      <c r="K42" s="1">
        <f>(VLOOKUP('S11.03'!K42,'S11.03'!$T$3:$V$28,2,FALSE))</f>
        <v>160</v>
      </c>
    </row>
    <row r="43" spans="1:11">
      <c r="A43" s="1">
        <f>(VLOOKUP('S11.03'!A43,'S11.03'!$T$3:$V$28,2,FALSE))</f>
        <v>0</v>
      </c>
      <c r="B43" s="1">
        <f>(VLOOKUP('S11.03'!B43,'S11.03'!$T$3:$V$28,2,FALSE))</f>
        <v>0</v>
      </c>
      <c r="C43" s="1">
        <f>(VLOOKUP('S11.03'!C43,'S11.03'!$T$3:$V$28,2,FALSE))</f>
        <v>170</v>
      </c>
      <c r="I43" s="1">
        <f>(VLOOKUP('S11.03'!I43,'S11.03'!$T$3:$V$28,2,FALSE))</f>
        <v>0</v>
      </c>
      <c r="J43" s="1">
        <f>(VLOOKUP('S11.03'!J43,'S11.03'!$T$3:$V$28,2,FALSE))</f>
        <v>0</v>
      </c>
      <c r="K43" s="1">
        <f>(VLOOKUP('S11.03'!K43,'S11.03'!$T$3:$V$28,2,FALSE))</f>
        <v>160</v>
      </c>
    </row>
    <row r="44" spans="1:11">
      <c r="A44" s="1">
        <f>(VLOOKUP('S11.03'!A44,'S11.03'!$T$3:$V$28,2,FALSE))</f>
        <v>0</v>
      </c>
      <c r="B44" s="1">
        <f>(VLOOKUP('S11.03'!B44,'S11.03'!$T$3:$V$28,2,FALSE))</f>
        <v>0</v>
      </c>
      <c r="C44" s="1">
        <f>(VLOOKUP('S11.03'!C44,'S11.03'!$T$3:$V$28,2,FALSE))</f>
        <v>50</v>
      </c>
      <c r="I44" s="1">
        <f>(VLOOKUP('S11.03'!I44,'S11.03'!$T$3:$V$28,2,FALSE))</f>
        <v>0</v>
      </c>
      <c r="J44" s="1">
        <f>(VLOOKUP('S11.03'!J44,'S11.03'!$T$3:$V$28,2,FALSE))</f>
        <v>0</v>
      </c>
      <c r="K44" s="1">
        <f>(VLOOKUP('S11.03'!K44,'S11.03'!$T$3:$V$28,2,FALSE))</f>
        <v>160</v>
      </c>
    </row>
    <row r="45" spans="1:11">
      <c r="A45" s="1">
        <f>(VLOOKUP('S11.03'!A45,'S11.03'!$T$3:$V$28,2,FALSE))</f>
        <v>0</v>
      </c>
      <c r="B45" s="1">
        <f>(VLOOKUP('S11.03'!B45,'S11.03'!$T$3:$V$28,2,FALSE))</f>
        <v>0</v>
      </c>
      <c r="C45" s="1">
        <f>(VLOOKUP('S11.03'!C45,'S11.03'!$T$3:$V$28,2,FALSE))</f>
        <v>170</v>
      </c>
      <c r="I45" s="1">
        <f>(VLOOKUP('S11.03'!I45,'S11.03'!$T$3:$V$28,2,FALSE))</f>
        <v>0</v>
      </c>
      <c r="J45" s="1">
        <f>(VLOOKUP('S11.03'!J45,'S11.03'!$T$3:$V$28,2,FALSE))</f>
        <v>0</v>
      </c>
      <c r="K45" s="1">
        <f>(VLOOKUP('S11.03'!K45,'S11.03'!$T$3:$V$28,2,FALSE))</f>
        <v>160</v>
      </c>
    </row>
    <row r="46" spans="1:11">
      <c r="A46" s="1">
        <f>(VLOOKUP('S11.03'!A46,'S11.03'!$T$3:$V$28,2,FALSE))</f>
        <v>0</v>
      </c>
      <c r="B46" s="1">
        <f>(VLOOKUP('S11.03'!B46,'S11.03'!$T$3:$V$28,2,FALSE))</f>
        <v>0</v>
      </c>
      <c r="C46" s="1">
        <f>(VLOOKUP('S11.03'!C46,'S11.03'!$T$3:$V$28,2,FALSE))</f>
        <v>170</v>
      </c>
      <c r="I46" s="1">
        <f>(VLOOKUP('S11.03'!I46,'S11.03'!$T$3:$V$28,2,FALSE))</f>
        <v>0</v>
      </c>
      <c r="J46" s="1">
        <f>(VLOOKUP('S11.03'!J46,'S11.03'!$T$3:$V$28,2,FALSE))</f>
        <v>0</v>
      </c>
      <c r="K46" s="1">
        <f>(VLOOKUP('S11.03'!K46,'S11.03'!$T$3:$V$28,2,FALSE))</f>
        <v>50</v>
      </c>
    </row>
    <row r="47" spans="1:11">
      <c r="A47" s="1">
        <f>(VLOOKUP('S11.03'!A47,'S11.03'!$T$3:$V$28,2,FALSE))</f>
        <v>0</v>
      </c>
      <c r="B47" s="1">
        <f>(VLOOKUP('S11.03'!B47,'S11.03'!$T$3:$V$28,2,FALSE))</f>
        <v>0</v>
      </c>
      <c r="C47" s="1">
        <f>(VLOOKUP('S11.03'!C47,'S11.03'!$T$3:$V$28,2,FALSE))</f>
        <v>170</v>
      </c>
      <c r="I47" s="1">
        <f>(VLOOKUP('S11.03'!I47,'S11.03'!$T$3:$V$28,2,FALSE))</f>
        <v>0</v>
      </c>
      <c r="J47" s="1">
        <f>(VLOOKUP('S11.03'!J47,'S11.03'!$T$3:$V$28,2,FALSE))</f>
        <v>0</v>
      </c>
      <c r="K47" s="1">
        <f>(VLOOKUP('S11.03'!K47,'S11.03'!$T$3:$V$28,2,FALSE))</f>
        <v>0</v>
      </c>
    </row>
    <row r="48" spans="1:11">
      <c r="A48" s="1">
        <f>(VLOOKUP('S11.03'!A48,'S11.03'!$T$3:$V$28,2,FALSE))</f>
        <v>0</v>
      </c>
      <c r="B48" s="1">
        <f>(VLOOKUP('S11.03'!B48,'S11.03'!$T$3:$V$28,2,FALSE))</f>
        <v>0</v>
      </c>
      <c r="C48" s="1">
        <f>(VLOOKUP('S11.03'!C48,'S11.03'!$T$3:$V$28,2,FALSE))</f>
        <v>170</v>
      </c>
      <c r="I48" s="1">
        <f>(VLOOKUP('S11.03'!I48,'S11.03'!$T$3:$V$28,2,FALSE))</f>
        <v>0</v>
      </c>
      <c r="J48" s="1">
        <f>(VLOOKUP('S11.03'!J48,'S11.03'!$T$3:$V$28,2,FALSE))</f>
        <v>0</v>
      </c>
      <c r="K48" s="1">
        <f>(VLOOKUP('S11.03'!K48,'S11.03'!$T$3:$V$28,2,FALSE))</f>
        <v>0</v>
      </c>
    </row>
    <row r="49" spans="1:11">
      <c r="A49" s="1">
        <f>(VLOOKUP('S11.03'!A49,'S11.03'!$T$3:$V$28,2,FALSE))</f>
        <v>0</v>
      </c>
      <c r="B49" s="1">
        <f>(VLOOKUP('S11.03'!B49,'S11.03'!$T$3:$V$28,2,FALSE))</f>
        <v>0</v>
      </c>
      <c r="C49" s="1">
        <f>(VLOOKUP('S11.03'!C49,'S11.03'!$T$3:$V$28,2,FALSE))</f>
        <v>170</v>
      </c>
      <c r="I49" s="1">
        <f>(VLOOKUP('S11.03'!I49,'S11.03'!$T$3:$V$28,2,FALSE))</f>
        <v>0</v>
      </c>
      <c r="J49" s="1">
        <f>(VLOOKUP('S11.03'!J49,'S11.03'!$T$3:$V$28,2,FALSE))</f>
        <v>0</v>
      </c>
      <c r="K49" s="1">
        <f>(VLOOKUP('S11.03'!K49,'S11.03'!$T$3:$V$28,2,FALSE))</f>
        <v>0</v>
      </c>
    </row>
    <row r="50" spans="1:11">
      <c r="A50" s="1">
        <f>(VLOOKUP('S11.03'!A50,'S11.03'!$T$3:$V$28,2,FALSE))</f>
        <v>0</v>
      </c>
      <c r="B50" s="1">
        <f>(VLOOKUP('S11.03'!B50,'S11.03'!$T$3:$V$28,2,FALSE))</f>
        <v>0</v>
      </c>
      <c r="C50" s="1">
        <f>(VLOOKUP('S11.03'!C50,'S11.03'!$T$3:$V$28,2,FALSE))</f>
        <v>0</v>
      </c>
      <c r="I50" s="1">
        <f>(VLOOKUP('S11.03'!I50,'S11.03'!$T$3:$V$28,2,FALSE))</f>
        <v>0</v>
      </c>
      <c r="J50" s="1">
        <f>(VLOOKUP('S11.03'!J50,'S11.03'!$T$3:$V$28,2,FALSE))</f>
        <v>0</v>
      </c>
      <c r="K50" s="1">
        <f>(VLOOKUP('S11.03'!K50,'S11.03'!$T$3:$V$28,2,FALSE))</f>
        <v>0</v>
      </c>
    </row>
    <row r="51" spans="1:11">
      <c r="A51" s="1">
        <f>(VLOOKUP('S11.03'!A51,'S11.03'!$T$3:$V$28,2,FALSE))</f>
        <v>0</v>
      </c>
      <c r="B51" s="1">
        <f>(VLOOKUP('S11.03'!B51,'S11.03'!$T$3:$V$28,2,FALSE))</f>
        <v>0</v>
      </c>
      <c r="C51" s="1">
        <f>(VLOOKUP('S11.03'!C51,'S11.03'!$T$3:$V$28,2,FALSE))</f>
        <v>0</v>
      </c>
      <c r="I51" s="1">
        <f>(VLOOKUP('S11.03'!I51,'S11.03'!$T$3:$V$28,2,FALSE))</f>
        <v>0</v>
      </c>
      <c r="J51" s="1">
        <f>(VLOOKUP('S11.03'!J51,'S11.03'!$T$3:$V$28,2,FALSE))</f>
        <v>0</v>
      </c>
      <c r="K51" s="1">
        <f>(VLOOKUP('S11.03'!K51,'S11.03'!$T$3:$V$28,2,FALSE))</f>
        <v>0</v>
      </c>
    </row>
    <row r="52" spans="1:11">
      <c r="A52" s="1">
        <f>(VLOOKUP('S11.03'!A52,'S11.03'!$T$3:$V$28,2,FALSE))</f>
        <v>0</v>
      </c>
      <c r="B52" s="1">
        <f>(VLOOKUP('S11.03'!B52,'S11.03'!$T$3:$V$28,2,FALSE))</f>
        <v>0</v>
      </c>
      <c r="C52" s="1">
        <f>(VLOOKUP('S11.03'!C52,'S11.03'!$T$3:$V$28,2,FALSE))</f>
        <v>0</v>
      </c>
      <c r="I52" s="1">
        <f>(VLOOKUP('S11.03'!I52,'S11.03'!$T$3:$V$28,2,FALSE))</f>
        <v>0</v>
      </c>
      <c r="J52" s="1">
        <f>(VLOOKUP('S11.03'!J52,'S11.03'!$T$3:$V$28,2,FALSE))</f>
        <v>0</v>
      </c>
      <c r="K52" s="1">
        <f>(VLOOKUP('S11.03'!K52,'S11.03'!$T$3:$V$28,2,FALSE))</f>
        <v>0</v>
      </c>
    </row>
    <row r="53" spans="1:11">
      <c r="A53" s="1">
        <f>(VLOOKUP('S11.03'!A53,'S11.03'!$T$3:$V$28,2,FALSE))</f>
        <v>0</v>
      </c>
      <c r="B53" s="1">
        <f>(VLOOKUP('S11.03'!B53,'S11.03'!$T$3:$V$28,2,FALSE))</f>
        <v>0</v>
      </c>
      <c r="C53" s="1">
        <f>(VLOOKUP('S11.03'!C53,'S11.03'!$T$3:$V$28,2,FALSE))</f>
        <v>0</v>
      </c>
      <c r="I53" s="1">
        <f>(VLOOKUP('S11.03'!I53,'S11.03'!$T$3:$V$28,2,FALSE))</f>
        <v>0</v>
      </c>
      <c r="J53" s="1">
        <f>(VLOOKUP('S11.03'!J53,'S11.03'!$T$3:$V$28,2,FALSE))</f>
        <v>0</v>
      </c>
      <c r="K53" s="1">
        <f>(VLOOKUP('S11.03'!K53,'S11.03'!$T$3:$V$28,2,FALSE))</f>
        <v>0</v>
      </c>
    </row>
    <row r="54" spans="1:11">
      <c r="A54" s="1">
        <f>(VLOOKUP('S11.03'!A54,'S11.03'!$T$3:$V$28,2,FALSE))</f>
        <v>0</v>
      </c>
      <c r="B54" s="1">
        <f>(VLOOKUP('S11.03'!B54,'S11.03'!$T$3:$V$28,2,FALSE))</f>
        <v>0</v>
      </c>
      <c r="C54" s="1">
        <f>(VLOOKUP('S11.03'!C54,'S11.03'!$T$3:$V$28,2,FALSE))</f>
        <v>0</v>
      </c>
      <c r="I54" s="1">
        <f>(VLOOKUP('S11.03'!I54,'S11.03'!$T$3:$V$28,2,FALSE))</f>
        <v>0</v>
      </c>
      <c r="J54" s="1">
        <f>(VLOOKUP('S11.03'!J54,'S11.03'!$T$3:$V$28,2,FALSE))</f>
        <v>0</v>
      </c>
      <c r="K54" s="1">
        <f>(VLOOKUP('S11.03'!K54,'S11.03'!$T$3:$V$28,2,FALSE))</f>
        <v>0</v>
      </c>
    </row>
    <row r="55" spans="1:11">
      <c r="A55" s="1">
        <f>(VLOOKUP('S11.03'!A55,'S11.03'!$T$3:$V$28,2,FALSE))</f>
        <v>0</v>
      </c>
      <c r="B55" s="1">
        <f>(VLOOKUP('S11.03'!B55,'S11.03'!$T$3:$V$28,2,FALSE))</f>
        <v>0</v>
      </c>
      <c r="C55" s="1">
        <f>(VLOOKUP('S11.03'!C55,'S11.03'!$T$3:$V$28,2,FALSE))</f>
        <v>0</v>
      </c>
      <c r="I55" s="1">
        <f>(VLOOKUP('S11.03'!I55,'S11.03'!$T$3:$V$28,2,FALSE))</f>
        <v>0</v>
      </c>
      <c r="J55" s="1">
        <f>(VLOOKUP('S11.03'!J55,'S11.03'!$T$3:$V$28,2,FALSE))</f>
        <v>0</v>
      </c>
      <c r="K55" s="1">
        <f>(VLOOKUP('S11.03'!K55,'S11.03'!$T$3:$V$28,2,FALSE))</f>
        <v>0</v>
      </c>
    </row>
    <row r="56" spans="1:11">
      <c r="A56" s="1">
        <f>(VLOOKUP('S11.03'!A56,'S11.03'!$T$3:$V$28,2,FALSE))</f>
        <v>0</v>
      </c>
      <c r="B56" s="1">
        <f>(VLOOKUP('S11.03'!B56,'S11.03'!$T$3:$V$28,2,FALSE))</f>
        <v>0</v>
      </c>
      <c r="C56" s="1">
        <f>(VLOOKUP('S11.03'!C56,'S11.03'!$T$3:$V$28,2,FALSE))</f>
        <v>0</v>
      </c>
      <c r="I56" s="1">
        <f>(VLOOKUP('S11.03'!I56,'S11.03'!$T$3:$V$28,2,FALSE))</f>
        <v>0</v>
      </c>
      <c r="J56" s="1">
        <f>(VLOOKUP('S11.03'!J56,'S11.03'!$T$3:$V$28,2,FALSE))</f>
        <v>0</v>
      </c>
      <c r="K56" s="1">
        <f>(VLOOKUP('S11.03'!K56,'S11.03'!$T$3:$V$28,2,FALSE))</f>
        <v>0</v>
      </c>
    </row>
    <row r="57" spans="1:11">
      <c r="A57" s="1">
        <f>(VLOOKUP('S11.03'!A57,'S11.03'!$T$3:$V$28,2,FALSE))</f>
        <v>0</v>
      </c>
      <c r="B57" s="1">
        <f>(VLOOKUP('S11.03'!B57,'S11.03'!$T$3:$V$28,2,FALSE))</f>
        <v>0</v>
      </c>
      <c r="C57" s="1">
        <f>(VLOOKUP('S11.03'!C57,'S11.03'!$T$3:$V$28,2,FALSE))</f>
        <v>0</v>
      </c>
      <c r="I57" s="1">
        <f>(VLOOKUP('S11.03'!I57,'S11.03'!$T$3:$V$28,2,FALSE))</f>
        <v>0</v>
      </c>
      <c r="J57" s="1">
        <f>(VLOOKUP('S11.03'!J57,'S11.03'!$T$3:$V$28,2,FALSE))</f>
        <v>0</v>
      </c>
      <c r="K57" s="1">
        <f>(VLOOKUP('S11.03'!K57,'S11.03'!$T$3:$V$28,2,FALSE))</f>
        <v>0</v>
      </c>
    </row>
    <row r="58" spans="1:11">
      <c r="A58" s="1">
        <f>(VLOOKUP('S11.03'!A58,'S11.03'!$T$3:$V$28,2,FALSE))</f>
        <v>0</v>
      </c>
      <c r="B58" s="1">
        <f>(VLOOKUP('S11.03'!B58,'S11.03'!$T$3:$V$28,2,FALSE))</f>
        <v>0</v>
      </c>
      <c r="C58" s="1">
        <f>(VLOOKUP('S11.03'!C58,'S11.03'!$T$3:$V$28,2,FALSE))</f>
        <v>0</v>
      </c>
      <c r="I58" s="1">
        <f>(VLOOKUP('S11.03'!I58,'S11.03'!$T$3:$V$28,2,FALSE))</f>
        <v>0</v>
      </c>
      <c r="J58" s="1">
        <f>(VLOOKUP('S11.03'!J58,'S11.03'!$T$3:$V$28,2,FALSE))</f>
        <v>0</v>
      </c>
      <c r="K58" s="1">
        <f>(VLOOKUP('S11.03'!K58,'S11.03'!$T$3:$V$28,2,FALSE))</f>
        <v>0</v>
      </c>
    </row>
    <row r="59" spans="1:11">
      <c r="A59" s="1">
        <f>(VLOOKUP('S11.03'!A59,'S11.03'!$T$3:$V$28,2,FALSE))</f>
        <v>0</v>
      </c>
      <c r="B59" s="1">
        <f>(VLOOKUP('S11.03'!B59,'S11.03'!$T$3:$V$28,2,FALSE))</f>
        <v>0</v>
      </c>
      <c r="C59" s="1">
        <f>(VLOOKUP('S11.03'!C59,'S11.03'!$T$3:$V$28,2,FALSE))</f>
        <v>0</v>
      </c>
      <c r="I59" s="1">
        <f>(VLOOKUP('S11.03'!I59,'S11.03'!$T$3:$V$28,2,FALSE))</f>
        <v>0</v>
      </c>
      <c r="J59" s="1">
        <f>(VLOOKUP('S11.03'!J59,'S11.03'!$T$3:$V$28,2,FALSE))</f>
        <v>0</v>
      </c>
      <c r="K59" s="1">
        <f>(VLOOKUP('S11.03'!K59,'S11.03'!$T$3:$V$28,2,FALSE))</f>
        <v>0</v>
      </c>
    </row>
    <row r="60" spans="1:11">
      <c r="A60" s="1">
        <f>(VLOOKUP('S11.03'!A60,'S11.03'!$T$3:$V$28,2,FALSE))</f>
        <v>0</v>
      </c>
      <c r="B60" s="1">
        <f>(VLOOKUP('S11.03'!B60,'S11.03'!$T$3:$V$28,2,FALSE))</f>
        <v>0</v>
      </c>
      <c r="C60" s="1">
        <f>(VLOOKUP('S11.03'!C60,'S11.03'!$T$3:$V$28,2,FALSE))</f>
        <v>0</v>
      </c>
      <c r="I60" s="1">
        <f>(VLOOKUP('S11.03'!I60,'S11.03'!$T$3:$V$28,2,FALSE))</f>
        <v>0</v>
      </c>
      <c r="J60" s="1">
        <f>(VLOOKUP('S11.03'!J60,'S11.03'!$T$3:$V$28,2,FALSE))</f>
        <v>0</v>
      </c>
      <c r="K60" s="1">
        <f>(VLOOKUP('S11.03'!K60,'S11.03'!$T$3:$V$28,2,FALSE))</f>
        <v>0</v>
      </c>
    </row>
    <row r="61" spans="1:11">
      <c r="A61" s="1">
        <f>(VLOOKUP('S11.03'!A61,'S11.03'!$T$3:$V$28,2,FALSE))</f>
        <v>0</v>
      </c>
      <c r="B61" s="1">
        <f>(VLOOKUP('S11.03'!B61,'S11.03'!$T$3:$V$28,2,FALSE))</f>
        <v>0</v>
      </c>
      <c r="C61" s="1">
        <f>(VLOOKUP('S11.03'!C61,'S11.03'!$T$3:$V$28,2,FALSE))</f>
        <v>0</v>
      </c>
      <c r="I61" s="1">
        <f>(VLOOKUP('S11.03'!I61,'S11.03'!$T$3:$V$28,2,FALSE))</f>
        <v>0</v>
      </c>
      <c r="J61" s="1">
        <f>(VLOOKUP('S11.03'!J61,'S11.03'!$T$3:$V$28,2,FALSE))</f>
        <v>0</v>
      </c>
      <c r="K61" s="1">
        <f>(VLOOKUP('S11.03'!K61,'S11.03'!$T$3:$V$28,2,FALSE))</f>
        <v>0</v>
      </c>
    </row>
    <row r="62" spans="1:11">
      <c r="A62" s="1">
        <f>(VLOOKUP('S11.03'!A62,'S11.03'!$T$3:$V$28,2,FALSE))</f>
        <v>0</v>
      </c>
      <c r="B62" s="1">
        <f>(VLOOKUP('S11.03'!B62,'S11.03'!$T$3:$V$28,2,FALSE))</f>
        <v>0</v>
      </c>
      <c r="C62" s="1">
        <f>(VLOOKUP('S11.03'!C62,'S11.03'!$T$3:$V$28,2,FALSE))</f>
        <v>0</v>
      </c>
      <c r="I62" s="1">
        <f>(VLOOKUP('S11.03'!I62,'S11.03'!$T$3:$V$28,2,FALSE))</f>
        <v>0</v>
      </c>
      <c r="J62" s="1">
        <f>(VLOOKUP('S11.03'!J62,'S11.03'!$T$3:$V$28,2,FALSE))</f>
        <v>0</v>
      </c>
      <c r="K62" s="1">
        <f>(VLOOKUP('S11.03'!K62,'S11.03'!$T$3:$V$28,2,FALSE))</f>
        <v>0</v>
      </c>
    </row>
    <row r="63" spans="1:11">
      <c r="A63" s="1">
        <f>(VLOOKUP('S11.03'!A63,'S11.03'!$T$3:$V$28,2,FALSE))</f>
        <v>0</v>
      </c>
      <c r="B63" s="1">
        <f>(VLOOKUP('S11.03'!B63,'S11.03'!$T$3:$V$28,2,FALSE))</f>
        <v>0</v>
      </c>
      <c r="C63" s="1">
        <f>(VLOOKUP('S11.03'!C63,'S11.03'!$T$3:$V$28,2,FALSE))</f>
        <v>0</v>
      </c>
      <c r="I63" s="1">
        <f>(VLOOKUP('S11.03'!I63,'S11.03'!$T$3:$V$28,2,FALSE))</f>
        <v>0</v>
      </c>
      <c r="J63" s="1">
        <f>(VLOOKUP('S11.03'!J63,'S11.03'!$T$3:$V$28,2,FALSE))</f>
        <v>0</v>
      </c>
      <c r="K63" s="1">
        <f>(VLOOKUP('S11.03'!K63,'S11.03'!$T$3:$V$28,2,FALSE))</f>
        <v>0</v>
      </c>
    </row>
    <row r="64" spans="1:11">
      <c r="A64" s="1">
        <f>(VLOOKUP('S11.03'!A64,'S11.03'!$T$3:$V$28,2,FALSE))</f>
        <v>0</v>
      </c>
      <c r="B64" s="1">
        <f>(VLOOKUP('S11.03'!B64,'S11.03'!$T$3:$V$28,2,FALSE))</f>
        <v>0</v>
      </c>
      <c r="C64" s="1">
        <f>(VLOOKUP('S11.03'!C64,'S11.03'!$T$3:$V$28,2,FALSE))</f>
        <v>0</v>
      </c>
      <c r="I64" s="1">
        <f>(VLOOKUP('S11.03'!I64,'S11.03'!$T$3:$V$28,2,FALSE))</f>
        <v>0</v>
      </c>
      <c r="J64" s="1">
        <f>(VLOOKUP('S11.03'!J64,'S11.03'!$T$3:$V$28,2,FALSE))</f>
        <v>0</v>
      </c>
      <c r="K64" s="1">
        <f>(VLOOKUP('S11.03'!K64,'S11.03'!$T$3:$V$28,2,FALSE))</f>
        <v>0</v>
      </c>
    </row>
    <row r="65" spans="1:11">
      <c r="A65" s="1">
        <f>(VLOOKUP('S11.03'!A65,'S11.03'!$T$3:$V$28,2,FALSE))</f>
        <v>0</v>
      </c>
      <c r="B65" s="1">
        <f>(VLOOKUP('S11.03'!B65,'S11.03'!$T$3:$V$28,2,FALSE))</f>
        <v>0</v>
      </c>
      <c r="C65" s="1">
        <f>(VLOOKUP('S11.03'!C65,'S11.03'!$T$3:$V$28,2,FALSE))</f>
        <v>0</v>
      </c>
      <c r="I65" s="1">
        <f>(VLOOKUP('S11.03'!I65,'S11.03'!$T$3:$V$28,2,FALSE))</f>
        <v>0</v>
      </c>
      <c r="J65" s="1">
        <f>(VLOOKUP('S11.03'!J65,'S11.03'!$T$3:$V$28,2,FALSE))</f>
        <v>0</v>
      </c>
      <c r="K65" s="1">
        <f>(VLOOKUP('S11.03'!K65,'S11.03'!$T$3:$V$28,2,FALSE))</f>
        <v>0</v>
      </c>
    </row>
    <row r="66" spans="1:11">
      <c r="A66" s="1">
        <f>(VLOOKUP('S11.03'!A66,'S11.03'!$T$3:$V$28,2,FALSE))</f>
        <v>0</v>
      </c>
      <c r="B66" s="1">
        <f>(VLOOKUP('S11.03'!B66,'S11.03'!$T$3:$V$28,2,FALSE))</f>
        <v>0</v>
      </c>
      <c r="C66" s="1">
        <f>(VLOOKUP('S11.03'!C66,'S11.03'!$T$3:$V$28,2,FALSE))</f>
        <v>0</v>
      </c>
      <c r="I66" s="1">
        <f>(VLOOKUP('S11.03'!I66,'S11.03'!$T$3:$V$28,2,FALSE))</f>
        <v>0</v>
      </c>
      <c r="J66" s="1">
        <f>(VLOOKUP('S11.03'!J66,'S11.03'!$T$3:$V$28,2,FALSE))</f>
        <v>0</v>
      </c>
      <c r="K66" s="1">
        <f>(VLOOKUP('S11.03'!K66,'S11.03'!$T$3:$V$28,2,FALSE))</f>
        <v>0</v>
      </c>
    </row>
    <row r="67" spans="1:11">
      <c r="A67" s="1">
        <f>(VLOOKUP('S11.03'!A67,'S11.03'!$T$3:$V$28,2,FALSE))</f>
        <v>0</v>
      </c>
      <c r="B67" s="1">
        <f>(VLOOKUP('S11.03'!B67,'S11.03'!$T$3:$V$28,2,FALSE))</f>
        <v>0</v>
      </c>
      <c r="C67" s="1">
        <f>(VLOOKUP('S11.03'!C67,'S11.03'!$T$3:$V$28,2,FALSE))</f>
        <v>0</v>
      </c>
      <c r="I67" s="1">
        <f>(VLOOKUP('S11.03'!I67,'S11.03'!$T$3:$V$28,2,FALSE))</f>
        <v>0</v>
      </c>
      <c r="J67" s="1">
        <f>(VLOOKUP('S11.03'!J67,'S11.03'!$T$3:$V$28,2,FALSE))</f>
        <v>0</v>
      </c>
      <c r="K67" s="1">
        <f>(VLOOKUP('S11.03'!K67,'S11.03'!$T$3:$V$28,2,FALSE))</f>
        <v>0</v>
      </c>
    </row>
    <row r="68" spans="1:11">
      <c r="A68" s="1">
        <f>(VLOOKUP('S11.03'!A68,'S11.03'!$T$3:$V$28,2,FALSE))</f>
        <v>0</v>
      </c>
      <c r="B68" s="1">
        <f>(VLOOKUP('S11.03'!B68,'S11.03'!$T$3:$V$28,2,FALSE))</f>
        <v>0</v>
      </c>
      <c r="C68" s="1">
        <f>(VLOOKUP('S11.03'!C68,'S11.03'!$T$3:$V$28,2,FALSE))</f>
        <v>0</v>
      </c>
      <c r="I68" s="1">
        <f>(VLOOKUP('S11.03'!I68,'S11.03'!$T$3:$V$28,2,FALSE))</f>
        <v>0</v>
      </c>
      <c r="J68" s="1">
        <f>(VLOOKUP('S11.03'!J68,'S11.03'!$T$3:$V$28,2,FALSE))</f>
        <v>0</v>
      </c>
      <c r="K68" s="1">
        <f>(VLOOKUP('S11.03'!K68,'S11.03'!$T$3:$V$28,2,FALSE))</f>
        <v>0</v>
      </c>
    </row>
    <row r="69" spans="1:11">
      <c r="A69" s="1">
        <f>(VLOOKUP('S11.03'!A69,'S11.03'!$T$3:$V$28,2,FALSE))</f>
        <v>0</v>
      </c>
      <c r="B69" s="1">
        <f>(VLOOKUP('S11.03'!B69,'S11.03'!$T$3:$V$28,2,FALSE))</f>
        <v>0</v>
      </c>
      <c r="C69" s="1">
        <f>(VLOOKUP('S11.03'!C69,'S11.03'!$T$3:$V$28,2,FALSE))</f>
        <v>0</v>
      </c>
      <c r="I69" s="1">
        <f>(VLOOKUP('S11.03'!I69,'S11.03'!$T$3:$V$28,2,FALSE))</f>
        <v>0</v>
      </c>
      <c r="J69" s="1">
        <f>(VLOOKUP('S11.03'!J69,'S11.03'!$T$3:$V$28,2,FALSE))</f>
        <v>0</v>
      </c>
      <c r="K69" s="1">
        <f>(VLOOKUP('S11.03'!K69,'S11.03'!$T$3:$V$28,2,FALSE))</f>
        <v>0</v>
      </c>
    </row>
    <row r="70" spans="1:11">
      <c r="A70" s="1">
        <f>(VLOOKUP('S11.03'!A70,'S11.03'!$T$3:$V$28,2,FALSE))</f>
        <v>0</v>
      </c>
      <c r="B70" s="1">
        <f>(VLOOKUP('S11.03'!B70,'S11.03'!$T$3:$V$28,2,FALSE))</f>
        <v>0</v>
      </c>
      <c r="C70" s="1">
        <f>(VLOOKUP('S11.03'!C70,'S11.03'!$T$3:$V$28,2,FALSE))</f>
        <v>0</v>
      </c>
      <c r="I70" s="1">
        <f>(VLOOKUP('S11.03'!I70,'S11.03'!$T$3:$V$28,2,FALSE))</f>
        <v>0</v>
      </c>
      <c r="J70" s="1">
        <f>(VLOOKUP('S11.03'!J70,'S11.03'!$T$3:$V$28,2,FALSE))</f>
        <v>0</v>
      </c>
      <c r="K70" s="1">
        <f>(VLOOKUP('S11.03'!K70,'S11.03'!$T$3:$V$28,2,FALSE))</f>
        <v>0</v>
      </c>
    </row>
    <row r="71" spans="1:11">
      <c r="A71" s="1">
        <f>(VLOOKUP('S11.03'!A71,'S11.03'!$T$3:$V$28,2,FALSE))</f>
        <v>0</v>
      </c>
      <c r="B71" s="1">
        <f>(VLOOKUP('S11.03'!B71,'S11.03'!$T$3:$V$28,2,FALSE))</f>
        <v>0</v>
      </c>
      <c r="C71" s="1">
        <f>(VLOOKUP('S11.03'!C71,'S11.03'!$T$3:$V$28,2,FALSE))</f>
        <v>0</v>
      </c>
      <c r="I71" s="1">
        <f>(VLOOKUP('S11.03'!I71,'S11.03'!$T$3:$V$28,2,FALSE))</f>
        <v>0</v>
      </c>
      <c r="J71" s="1">
        <f>(VLOOKUP('S11.03'!J71,'S11.03'!$T$3:$V$28,2,FALSE))</f>
        <v>0</v>
      </c>
      <c r="K71" s="1">
        <f>(VLOOKUP('S11.03'!K71,'S11.03'!$T$3:$V$28,2,FALSE))</f>
        <v>0</v>
      </c>
    </row>
    <row r="72" spans="1:11">
      <c r="A72" s="1">
        <f>(VLOOKUP('S11.03'!A72,'S11.03'!$T$3:$V$28,2,FALSE))</f>
        <v>0</v>
      </c>
      <c r="B72" s="1">
        <f>(VLOOKUP('S11.03'!B72,'S11.03'!$T$3:$V$28,2,FALSE))</f>
        <v>0</v>
      </c>
      <c r="C72" s="1">
        <f>(VLOOKUP('S11.03'!C72,'S11.03'!$T$3:$V$28,2,FALSE))</f>
        <v>0</v>
      </c>
      <c r="I72" s="1">
        <f>(VLOOKUP('S11.03'!I72,'S11.03'!$T$3:$V$28,2,FALSE))</f>
        <v>0</v>
      </c>
      <c r="J72" s="1">
        <f>(VLOOKUP('S11.03'!J72,'S11.03'!$T$3:$V$28,2,FALSE))</f>
        <v>0</v>
      </c>
      <c r="K72" s="1">
        <f>(VLOOKUP('S11.03'!K72,'S11.03'!$T$3:$V$28,2,FALSE))</f>
        <v>0</v>
      </c>
    </row>
    <row r="73" spans="1:11">
      <c r="A73" s="1">
        <f>(VLOOKUP('S11.03'!A73,'S11.03'!$T$3:$V$28,2,FALSE))</f>
        <v>0</v>
      </c>
      <c r="B73" s="1">
        <f>(VLOOKUP('S11.03'!B73,'S11.03'!$T$3:$V$28,2,FALSE))</f>
        <v>0</v>
      </c>
      <c r="C73" s="1">
        <f>(VLOOKUP('S11.03'!C73,'S11.03'!$T$3:$V$28,2,FALSE))</f>
        <v>0</v>
      </c>
      <c r="I73" s="1">
        <f>(VLOOKUP('S11.03'!I73,'S11.03'!$T$3:$V$28,2,FALSE))</f>
        <v>0</v>
      </c>
      <c r="J73" s="1">
        <f>(VLOOKUP('S11.03'!J73,'S11.03'!$T$3:$V$28,2,FALSE))</f>
        <v>0</v>
      </c>
      <c r="K73" s="1">
        <f>(VLOOKUP('S11.03'!K73,'S11.03'!$T$3:$V$28,2,FALSE))</f>
        <v>0</v>
      </c>
    </row>
    <row r="74" spans="1:11">
      <c r="A74" s="1">
        <f>(VLOOKUP('S11.03'!A74,'S11.03'!$T$3:$V$28,2,FALSE))</f>
        <v>0</v>
      </c>
      <c r="B74" s="1">
        <f>(VLOOKUP('S11.03'!B74,'S11.03'!$T$3:$V$28,2,FALSE))</f>
        <v>0</v>
      </c>
      <c r="C74" s="1">
        <f>(VLOOKUP('S11.03'!C74,'S11.03'!$T$3:$V$28,2,FALSE))</f>
        <v>0</v>
      </c>
      <c r="I74" s="1">
        <f>(VLOOKUP('S11.03'!I74,'S11.03'!$T$3:$V$28,2,FALSE))</f>
        <v>0</v>
      </c>
      <c r="J74" s="1">
        <f>(VLOOKUP('S11.03'!J74,'S11.03'!$T$3:$V$28,2,FALSE))</f>
        <v>0</v>
      </c>
      <c r="K74" s="1">
        <f>(VLOOKUP('S11.03'!K74,'S11.03'!$T$3:$V$28,2,FALSE))</f>
        <v>0</v>
      </c>
    </row>
    <row r="75" spans="1:11">
      <c r="A75" s="1">
        <f>(VLOOKUP('S11.03'!A75,'S11.03'!$T$3:$V$28,2,FALSE))</f>
        <v>0</v>
      </c>
      <c r="B75" s="1">
        <f>(VLOOKUP('S11.03'!B75,'S11.03'!$T$3:$V$28,2,FALSE))</f>
        <v>0</v>
      </c>
      <c r="C75" s="1">
        <f>(VLOOKUP('S11.03'!C75,'S11.03'!$T$3:$V$28,2,FALSE))</f>
        <v>0</v>
      </c>
      <c r="I75" s="1">
        <f>(VLOOKUP('S11.03'!I75,'S11.03'!$T$3:$V$28,2,FALSE))</f>
        <v>0</v>
      </c>
      <c r="J75" s="1">
        <f>(VLOOKUP('S11.03'!J75,'S11.03'!$T$3:$V$28,2,FALSE))</f>
        <v>0</v>
      </c>
      <c r="K75" s="1">
        <f>(VLOOKUP('S11.03'!K75,'S11.03'!$T$3:$V$28,2,FALSE))</f>
        <v>0</v>
      </c>
    </row>
    <row r="76" spans="1:11">
      <c r="A76" s="1">
        <f>(VLOOKUP('S11.03'!A76,'S11.03'!$T$3:$V$28,2,FALSE))</f>
        <v>0</v>
      </c>
      <c r="B76" s="1">
        <f>(VLOOKUP('S11.03'!B76,'S11.03'!$T$3:$V$28,2,FALSE))</f>
        <v>0</v>
      </c>
      <c r="C76" s="1">
        <f>(VLOOKUP('S11.03'!C76,'S11.03'!$T$3:$V$28,2,FALSE))</f>
        <v>0</v>
      </c>
      <c r="I76" s="1">
        <f>(VLOOKUP('S11.03'!I76,'S11.03'!$T$3:$V$28,2,FALSE))</f>
        <v>0</v>
      </c>
      <c r="J76" s="1">
        <f>(VLOOKUP('S11.03'!J76,'S11.03'!$T$3:$V$28,2,FALSE))</f>
        <v>0</v>
      </c>
      <c r="K76" s="1">
        <f>(VLOOKUP('S11.03'!K76,'S11.03'!$T$3:$V$28,2,FALSE))</f>
        <v>0</v>
      </c>
    </row>
    <row r="77" spans="1:11">
      <c r="A77" s="1">
        <f>(VLOOKUP('S11.03'!A77,'S11.03'!$T$3:$V$28,2,FALSE))</f>
        <v>0</v>
      </c>
      <c r="B77" s="1">
        <f>(VLOOKUP('S11.03'!B77,'S11.03'!$T$3:$V$28,2,FALSE))</f>
        <v>0</v>
      </c>
      <c r="C77" s="1">
        <f>(VLOOKUP('S11.03'!C77,'S11.03'!$T$3:$V$28,2,FALSE))</f>
        <v>0</v>
      </c>
      <c r="I77" s="1">
        <f>(VLOOKUP('S11.03'!I77,'S11.03'!$T$3:$V$28,2,FALSE))</f>
        <v>0</v>
      </c>
      <c r="J77" s="1">
        <f>(VLOOKUP('S11.03'!J77,'S11.03'!$T$3:$V$28,2,FALSE))</f>
        <v>0</v>
      </c>
      <c r="K77" s="1">
        <f>(VLOOKUP('S11.03'!K77,'S11.03'!$T$3:$V$28,2,FALSE))</f>
        <v>0</v>
      </c>
    </row>
    <row r="78" spans="1:11">
      <c r="A78" s="1">
        <f>(VLOOKUP('S11.03'!A78,'S11.03'!$T$3:$V$28,2,FALSE))</f>
        <v>0</v>
      </c>
      <c r="B78" s="1">
        <f>(VLOOKUP('S11.03'!B78,'S11.03'!$T$3:$V$28,2,FALSE))</f>
        <v>0</v>
      </c>
      <c r="C78" s="1">
        <f>(VLOOKUP('S11.03'!C78,'S11.03'!$T$3:$V$28,2,FALSE))</f>
        <v>0</v>
      </c>
      <c r="I78" s="1">
        <f>(VLOOKUP('S11.03'!I78,'S11.03'!$T$3:$V$28,2,FALSE))</f>
        <v>0</v>
      </c>
      <c r="J78" s="1">
        <f>(VLOOKUP('S11.03'!J78,'S11.03'!$T$3:$V$28,2,FALSE))</f>
        <v>0</v>
      </c>
      <c r="K78" s="1">
        <f>(VLOOKUP('S11.03'!K78,'S11.03'!$T$3:$V$28,2,FALSE))</f>
        <v>0</v>
      </c>
    </row>
    <row r="79" spans="1:11">
      <c r="A79" s="1">
        <f>(VLOOKUP('S11.03'!A79,'S11.03'!$T$3:$V$28,2,FALSE))</f>
        <v>0</v>
      </c>
      <c r="B79" s="1">
        <f>(VLOOKUP('S11.03'!B79,'S11.03'!$T$3:$V$28,2,FALSE))</f>
        <v>0</v>
      </c>
      <c r="C79" s="1">
        <f>(VLOOKUP('S11.03'!C79,'S11.03'!$T$3:$V$28,2,FALSE))</f>
        <v>0</v>
      </c>
      <c r="I79" s="1">
        <f>(VLOOKUP('S11.03'!I79,'S11.03'!$T$3:$V$28,2,FALSE))</f>
        <v>0</v>
      </c>
      <c r="J79" s="1">
        <f>(VLOOKUP('S11.03'!J79,'S11.03'!$T$3:$V$28,2,FALSE))</f>
        <v>0</v>
      </c>
      <c r="K79" s="1">
        <f>(VLOOKUP('S11.03'!K79,'S11.03'!$T$3:$V$28,2,FALSE))</f>
        <v>0</v>
      </c>
    </row>
    <row r="80" spans="1:11">
      <c r="A80" s="1">
        <f>(VLOOKUP('S11.03'!A80,'S11.03'!$T$3:$V$28,2,FALSE))</f>
        <v>0</v>
      </c>
      <c r="B80" s="1">
        <f>(VLOOKUP('S11.03'!B80,'S11.03'!$T$3:$V$28,2,FALSE))</f>
        <v>0</v>
      </c>
      <c r="C80" s="1">
        <f>(VLOOKUP('S11.03'!C80,'S11.03'!$T$3:$V$28,2,FALSE))</f>
        <v>0</v>
      </c>
      <c r="I80" s="1">
        <f>(VLOOKUP('S11.03'!I80,'S11.03'!$T$3:$V$28,2,FALSE))</f>
        <v>0</v>
      </c>
      <c r="J80" s="1">
        <f>(VLOOKUP('S11.03'!J80,'S11.03'!$T$3:$V$28,2,FALSE))</f>
        <v>0</v>
      </c>
      <c r="K80" s="1">
        <f>(VLOOKUP('S11.03'!K80,'S11.03'!$T$3:$V$28,2,FALSE))</f>
        <v>0</v>
      </c>
    </row>
    <row r="81" spans="1:11">
      <c r="A81" s="1">
        <f>(VLOOKUP('S11.03'!A81,'S11.03'!$T$3:$V$28,2,FALSE))</f>
        <v>0</v>
      </c>
      <c r="B81" s="1">
        <f>(VLOOKUP('S11.03'!B81,'S11.03'!$T$3:$V$28,2,FALSE))</f>
        <v>0</v>
      </c>
      <c r="C81" s="1">
        <f>(VLOOKUP('S11.03'!C81,'S11.03'!$T$3:$V$28,2,FALSE))</f>
        <v>0</v>
      </c>
      <c r="I81" s="1">
        <f>(VLOOKUP('S11.03'!I81,'S11.03'!$T$3:$V$28,2,FALSE))</f>
        <v>0</v>
      </c>
      <c r="J81" s="1">
        <f>(VLOOKUP('S11.03'!J81,'S11.03'!$T$3:$V$28,2,FALSE))</f>
        <v>0</v>
      </c>
      <c r="K81" s="1">
        <f>(VLOOKUP('S11.03'!K81,'S11.03'!$T$3:$V$28,2,FALSE))</f>
        <v>0</v>
      </c>
    </row>
    <row r="82" spans="1:11">
      <c r="A82" s="1">
        <f>(VLOOKUP('S11.03'!A82,'S11.03'!$T$3:$V$28,2,FALSE))</f>
        <v>0</v>
      </c>
      <c r="B82" s="1">
        <f>(VLOOKUP('S11.03'!B82,'S11.03'!$T$3:$V$28,2,FALSE))</f>
        <v>0</v>
      </c>
      <c r="C82" s="1">
        <f>(VLOOKUP('S11.03'!C82,'S11.03'!$T$3:$V$28,2,FALSE))</f>
        <v>0</v>
      </c>
      <c r="I82" s="1">
        <f>(VLOOKUP('S11.03'!I82,'S11.03'!$T$3:$V$28,2,FALSE))</f>
        <v>0</v>
      </c>
      <c r="J82" s="1">
        <f>(VLOOKUP('S11.03'!J82,'S11.03'!$T$3:$V$28,2,FALSE))</f>
        <v>0</v>
      </c>
      <c r="K82" s="1">
        <f>(VLOOKUP('S11.03'!K82,'S11.03'!$T$3:$V$28,2,FALSE))</f>
        <v>0</v>
      </c>
    </row>
    <row r="83" spans="1:11">
      <c r="A83" s="1">
        <f>(VLOOKUP('S11.03'!A83,'S11.03'!$T$3:$V$28,2,FALSE))</f>
        <v>0</v>
      </c>
      <c r="B83" s="1">
        <f>(VLOOKUP('S11.03'!B83,'S11.03'!$T$3:$V$28,2,FALSE))</f>
        <v>0</v>
      </c>
      <c r="C83" s="1">
        <f>(VLOOKUP('S11.03'!C83,'S11.03'!$T$3:$V$28,2,FALSE))</f>
        <v>0</v>
      </c>
      <c r="I83" s="1">
        <f>(VLOOKUP('S11.03'!I83,'S11.03'!$T$3:$V$28,2,FALSE))</f>
        <v>0</v>
      </c>
      <c r="J83" s="1">
        <f>(VLOOKUP('S11.03'!J83,'S11.03'!$T$3:$V$28,2,FALSE))</f>
        <v>0</v>
      </c>
      <c r="K83" s="1">
        <f>(VLOOKUP('S11.03'!K83,'S11.03'!$T$3:$V$28,2,FALSE))</f>
        <v>0</v>
      </c>
    </row>
    <row r="84" spans="1:11">
      <c r="A84" s="1">
        <f>(VLOOKUP('S11.03'!A84,'S11.03'!$T$3:$V$28,2,FALSE))</f>
        <v>0</v>
      </c>
      <c r="B84" s="1">
        <f>(VLOOKUP('S11.03'!B84,'S11.03'!$T$3:$V$28,2,FALSE))</f>
        <v>0</v>
      </c>
      <c r="C84" s="1">
        <f>(VLOOKUP('S11.03'!C84,'S11.03'!$T$3:$V$28,2,FALSE))</f>
        <v>0</v>
      </c>
      <c r="I84" s="1">
        <f>(VLOOKUP('S11.03'!I84,'S11.03'!$T$3:$V$28,2,FALSE))</f>
        <v>0</v>
      </c>
      <c r="J84" s="1">
        <f>(VLOOKUP('S11.03'!J84,'S11.03'!$T$3:$V$28,2,FALSE))</f>
        <v>0</v>
      </c>
      <c r="K84" s="1">
        <f>(VLOOKUP('S11.03'!K84,'S11.03'!$T$3:$V$28,2,FALSE))</f>
        <v>0</v>
      </c>
    </row>
    <row r="85" spans="1:11">
      <c r="A85" s="1">
        <f>(VLOOKUP('S11.03'!A85,'S11.03'!$T$3:$V$28,2,FALSE))</f>
        <v>0</v>
      </c>
      <c r="B85" s="1">
        <f>(VLOOKUP('S11.03'!B85,'S11.03'!$T$3:$V$28,2,FALSE))</f>
        <v>0</v>
      </c>
      <c r="C85" s="1">
        <f>(VLOOKUP('S11.03'!C85,'S11.03'!$T$3:$V$28,2,FALSE))</f>
        <v>0</v>
      </c>
      <c r="I85" s="1">
        <f>(VLOOKUP('S11.03'!I85,'S11.03'!$T$3:$V$28,2,FALSE))</f>
        <v>0</v>
      </c>
      <c r="J85" s="1">
        <f>(VLOOKUP('S11.03'!J85,'S11.03'!$T$3:$V$28,2,FALSE))</f>
        <v>0</v>
      </c>
      <c r="K85" s="1">
        <f>(VLOOKUP('S11.03'!K85,'S11.03'!$T$3:$V$28,2,FALSE))</f>
        <v>0</v>
      </c>
    </row>
    <row r="86" spans="1:11">
      <c r="A86" s="1">
        <f>(VLOOKUP('S11.03'!A86,'S11.03'!$T$3:$V$28,2,FALSE))</f>
        <v>0</v>
      </c>
      <c r="B86" s="1">
        <f>(VLOOKUP('S11.03'!B86,'S11.03'!$T$3:$V$28,2,FALSE))</f>
        <v>0</v>
      </c>
      <c r="C86" s="1">
        <f>(VLOOKUP('S11.03'!C86,'S11.03'!$T$3:$V$28,2,FALSE))</f>
        <v>0</v>
      </c>
      <c r="I86" s="1">
        <f>(VLOOKUP('S11.03'!I86,'S11.03'!$T$3:$V$28,2,FALSE))</f>
        <v>0</v>
      </c>
      <c r="J86" s="1">
        <f>(VLOOKUP('S11.03'!J86,'S11.03'!$T$3:$V$28,2,FALSE))</f>
        <v>0</v>
      </c>
      <c r="K86" s="1">
        <f>(VLOOKUP('S11.03'!K86,'S11.03'!$T$3:$V$28,2,FALSE))</f>
        <v>0</v>
      </c>
    </row>
    <row r="87" spans="1:11">
      <c r="A87" s="1">
        <f>(VLOOKUP('S11.03'!A87,'S11.03'!$T$3:$V$28,2,FALSE))</f>
        <v>0</v>
      </c>
      <c r="B87" s="1">
        <f>(VLOOKUP('S11.03'!B87,'S11.03'!$T$3:$V$28,2,FALSE))</f>
        <v>0</v>
      </c>
      <c r="C87" s="1">
        <f>(VLOOKUP('S11.03'!C87,'S11.03'!$T$3:$V$28,2,FALSE))</f>
        <v>0</v>
      </c>
      <c r="I87" s="1">
        <f>(VLOOKUP('S11.03'!I87,'S11.03'!$T$3:$V$28,2,FALSE))</f>
        <v>0</v>
      </c>
      <c r="J87" s="1">
        <f>(VLOOKUP('S11.03'!J87,'S11.03'!$T$3:$V$28,2,FALSE))</f>
        <v>0</v>
      </c>
      <c r="K87" s="1">
        <f>(VLOOKUP('S11.03'!K87,'S11.03'!$T$3:$V$28,2,FALSE))</f>
        <v>0</v>
      </c>
    </row>
    <row r="88" spans="1:11">
      <c r="A88" s="1">
        <f>(VLOOKUP('S11.03'!A88,'S11.03'!$T$3:$V$28,2,FALSE))</f>
        <v>0</v>
      </c>
      <c r="B88" s="1">
        <f>(VLOOKUP('S11.03'!B88,'S11.03'!$T$3:$V$28,2,FALSE))</f>
        <v>0</v>
      </c>
      <c r="C88" s="1">
        <f>(VLOOKUP('S11.03'!C88,'S11.03'!$T$3:$V$28,2,FALSE))</f>
        <v>0</v>
      </c>
      <c r="I88" s="1">
        <f>(VLOOKUP('S11.03'!I88,'S11.03'!$T$3:$V$28,2,FALSE))</f>
        <v>0</v>
      </c>
      <c r="J88" s="1">
        <f>(VLOOKUP('S11.03'!J88,'S11.03'!$T$3:$V$28,2,FALSE))</f>
        <v>0</v>
      </c>
      <c r="K88" s="1">
        <f>(VLOOKUP('S11.03'!K88,'S11.03'!$T$3:$V$28,2,FALSE))</f>
        <v>0</v>
      </c>
    </row>
    <row r="89" spans="1:11">
      <c r="A89" s="1">
        <f>(VLOOKUP('S11.03'!A89,'S11.03'!$T$3:$V$28,2,FALSE))</f>
        <v>0</v>
      </c>
      <c r="B89" s="1">
        <f>(VLOOKUP('S11.03'!B89,'S11.03'!$T$3:$V$28,2,FALSE))</f>
        <v>0</v>
      </c>
      <c r="C89" s="1">
        <f>(VLOOKUP('S11.03'!C89,'S11.03'!$T$3:$V$28,2,FALSE))</f>
        <v>0</v>
      </c>
      <c r="I89" s="1">
        <f>(VLOOKUP('S11.03'!I89,'S11.03'!$T$3:$V$28,2,FALSE))</f>
        <v>0</v>
      </c>
      <c r="J89" s="1">
        <f>(VLOOKUP('S11.03'!J89,'S11.03'!$T$3:$V$28,2,FALSE))</f>
        <v>0</v>
      </c>
      <c r="K89" s="1">
        <f>(VLOOKUP('S11.03'!K89,'S11.03'!$T$3:$V$28,2,FALSE))</f>
        <v>0</v>
      </c>
    </row>
    <row r="90" spans="1:11">
      <c r="A90" s="1">
        <f>(VLOOKUP('S11.03'!A90,'S11.03'!$T$3:$V$28,2,FALSE))</f>
        <v>0</v>
      </c>
      <c r="B90" s="1">
        <f>(VLOOKUP('S11.03'!B90,'S11.03'!$T$3:$V$28,2,FALSE))</f>
        <v>0</v>
      </c>
      <c r="C90" s="1">
        <f>(VLOOKUP('S11.03'!C90,'S11.03'!$T$3:$V$28,2,FALSE))</f>
        <v>0</v>
      </c>
      <c r="I90" s="1">
        <f>(VLOOKUP('S11.03'!I90,'S11.03'!$T$3:$V$28,2,FALSE))</f>
        <v>0</v>
      </c>
      <c r="J90" s="1">
        <f>(VLOOKUP('S11.03'!J90,'S11.03'!$T$3:$V$28,2,FALSE))</f>
        <v>0</v>
      </c>
      <c r="K90" s="1">
        <f>(VLOOKUP('S11.03'!K90,'S11.03'!$T$3:$V$28,2,FALSE))</f>
        <v>0</v>
      </c>
    </row>
    <row r="91" spans="1:11">
      <c r="A91" s="1">
        <f>(VLOOKUP('S11.03'!A91,'S11.03'!$T$3:$V$28,2,FALSE))</f>
        <v>0</v>
      </c>
      <c r="B91" s="1">
        <f>(VLOOKUP('S11.03'!B91,'S11.03'!$T$3:$V$28,2,FALSE))</f>
        <v>0</v>
      </c>
      <c r="C91" s="1">
        <f>(VLOOKUP('S11.03'!C91,'S11.03'!$T$3:$V$28,2,FALSE))</f>
        <v>0</v>
      </c>
      <c r="I91" s="1">
        <f>(VLOOKUP('S11.03'!I91,'S11.03'!$T$3:$V$28,2,FALSE))</f>
        <v>0</v>
      </c>
      <c r="J91" s="1">
        <f>(VLOOKUP('S11.03'!J91,'S11.03'!$T$3:$V$28,2,FALSE))</f>
        <v>0</v>
      </c>
      <c r="K91" s="1">
        <f>(VLOOKUP('S11.03'!K91,'S11.03'!$T$3:$V$28,2,FALSE))</f>
        <v>0</v>
      </c>
    </row>
    <row r="92" spans="1:11">
      <c r="A92" s="1">
        <f>(VLOOKUP('S11.03'!A92,'S11.03'!$T$3:$V$28,2,FALSE))</f>
        <v>0</v>
      </c>
      <c r="B92" s="1">
        <f>(VLOOKUP('S11.03'!B92,'S11.03'!$T$3:$V$28,2,FALSE))</f>
        <v>0</v>
      </c>
      <c r="C92" s="1">
        <f>(VLOOKUP('S11.03'!C92,'S11.03'!$T$3:$V$28,2,FALSE))</f>
        <v>0</v>
      </c>
      <c r="I92" s="1">
        <f>(VLOOKUP('S11.03'!I92,'S11.03'!$T$3:$V$28,2,FALSE))</f>
        <v>0</v>
      </c>
      <c r="J92" s="1">
        <f>(VLOOKUP('S11.03'!J92,'S11.03'!$T$3:$V$28,2,FALSE))</f>
        <v>0</v>
      </c>
      <c r="K92" s="1">
        <f>(VLOOKUP('S11.03'!K92,'S11.03'!$T$3:$V$28,2,FALSE))</f>
        <v>0</v>
      </c>
    </row>
    <row r="93" spans="1:11">
      <c r="A93" s="1">
        <f>(VLOOKUP('S11.03'!A93,'S11.03'!$T$3:$V$28,2,FALSE))</f>
        <v>0</v>
      </c>
      <c r="B93" s="1">
        <f>(VLOOKUP('S11.03'!B93,'S11.03'!$T$3:$V$28,2,FALSE))</f>
        <v>0</v>
      </c>
      <c r="C93" s="1">
        <f>(VLOOKUP('S11.03'!C93,'S11.03'!$T$3:$V$28,2,FALSE))</f>
        <v>0</v>
      </c>
      <c r="I93" s="1">
        <f>(VLOOKUP('S11.03'!I93,'S11.03'!$T$3:$V$28,2,FALSE))</f>
        <v>0</v>
      </c>
      <c r="J93" s="1">
        <f>(VLOOKUP('S11.03'!J93,'S11.03'!$T$3:$V$28,2,FALSE))</f>
        <v>0</v>
      </c>
      <c r="K93" s="1">
        <f>(VLOOKUP('S11.03'!K93,'S11.03'!$T$3:$V$28,2,FALSE))</f>
        <v>0</v>
      </c>
    </row>
    <row r="94" spans="1:11">
      <c r="A94" s="1">
        <f>(VLOOKUP('S11.03'!A94,'S11.03'!$T$3:$V$28,2,FALSE))</f>
        <v>0</v>
      </c>
      <c r="B94" s="1">
        <f>(VLOOKUP('S11.03'!B94,'S11.03'!$T$3:$V$28,2,FALSE))</f>
        <v>0</v>
      </c>
      <c r="C94" s="1">
        <f>(VLOOKUP('S11.03'!C94,'S11.03'!$T$3:$V$28,2,FALSE))</f>
        <v>0</v>
      </c>
      <c r="I94" s="1">
        <f>(VLOOKUP('S11.03'!I94,'S11.03'!$T$3:$V$28,2,FALSE))</f>
        <v>0</v>
      </c>
      <c r="J94" s="1">
        <f>(VLOOKUP('S11.03'!J94,'S11.03'!$T$3:$V$28,2,FALSE))</f>
        <v>0</v>
      </c>
      <c r="K94" s="1">
        <f>(VLOOKUP('S11.03'!K94,'S11.03'!$T$3:$V$28,2,FALSE))</f>
        <v>0</v>
      </c>
    </row>
    <row r="95" spans="1:11">
      <c r="A95" s="1">
        <f>(VLOOKUP('S11.03'!A95,'S11.03'!$T$3:$V$28,2,FALSE))</f>
        <v>0</v>
      </c>
      <c r="B95" s="1">
        <f>(VLOOKUP('S11.03'!B95,'S11.03'!$T$3:$V$28,2,FALSE))</f>
        <v>0</v>
      </c>
      <c r="C95" s="1">
        <f>(VLOOKUP('S11.03'!C95,'S11.03'!$T$3:$V$28,2,FALSE))</f>
        <v>0</v>
      </c>
      <c r="I95" s="1">
        <f>(VLOOKUP('S11.03'!I95,'S11.03'!$T$3:$V$28,2,FALSE))</f>
        <v>0</v>
      </c>
      <c r="J95" s="1">
        <f>(VLOOKUP('S11.03'!J95,'S11.03'!$T$3:$V$28,2,FALSE))</f>
        <v>0</v>
      </c>
      <c r="K95" s="1">
        <f>(VLOOKUP('S11.03'!K95,'S11.03'!$T$3:$V$28,2,FALSE))</f>
        <v>0</v>
      </c>
    </row>
    <row r="96" spans="1:11">
      <c r="A96" s="1">
        <f>(VLOOKUP('S11.03'!A96,'S11.03'!$T$3:$V$28,2,FALSE))</f>
        <v>0</v>
      </c>
      <c r="B96" s="1">
        <f>(VLOOKUP('S11.03'!B96,'S11.03'!$T$3:$V$28,2,FALSE))</f>
        <v>0</v>
      </c>
      <c r="C96" s="1">
        <f>(VLOOKUP('S11.03'!C96,'S11.03'!$T$3:$V$28,2,FALSE))</f>
        <v>0</v>
      </c>
      <c r="I96" s="1">
        <f>(VLOOKUP('S11.03'!I96,'S11.03'!$T$3:$V$28,2,FALSE))</f>
        <v>0</v>
      </c>
      <c r="J96" s="1">
        <f>(VLOOKUP('S11.03'!J96,'S11.03'!$T$3:$V$28,2,FALSE))</f>
        <v>0</v>
      </c>
      <c r="K96" s="1">
        <f>(VLOOKUP('S11.03'!K96,'S11.03'!$T$3:$V$28,2,FALSE))</f>
        <v>0</v>
      </c>
    </row>
    <row r="97" spans="1:11">
      <c r="A97" s="1">
        <f>(VLOOKUP('S11.03'!A97,'S11.03'!$T$3:$V$28,2,FALSE))</f>
        <v>0</v>
      </c>
      <c r="B97" s="1">
        <f>(VLOOKUP('S11.03'!B97,'S11.03'!$T$3:$V$28,2,FALSE))</f>
        <v>0</v>
      </c>
      <c r="C97" s="1">
        <f>(VLOOKUP('S11.03'!C97,'S11.03'!$T$3:$V$28,2,FALSE))</f>
        <v>0</v>
      </c>
      <c r="I97" s="1">
        <f>(VLOOKUP('S11.03'!I97,'S11.03'!$T$3:$V$28,2,FALSE))</f>
        <v>0</v>
      </c>
      <c r="J97" s="1">
        <f>(VLOOKUP('S11.03'!J97,'S11.03'!$T$3:$V$28,2,FALSE))</f>
        <v>0</v>
      </c>
      <c r="K97" s="1">
        <f>(VLOOKUP('S11.03'!K97,'S11.03'!$T$3:$V$28,2,FALSE))</f>
        <v>0</v>
      </c>
    </row>
    <row r="98" spans="1:11">
      <c r="A98" s="1">
        <f>(VLOOKUP('S11.03'!A98,'S11.03'!$T$3:$V$28,2,FALSE))</f>
        <v>0</v>
      </c>
      <c r="B98" s="1">
        <f>(VLOOKUP('S11.03'!B98,'S11.03'!$T$3:$V$28,2,FALSE))</f>
        <v>0</v>
      </c>
      <c r="C98" s="1">
        <f>(VLOOKUP('S11.03'!C98,'S11.03'!$T$3:$V$28,2,FALSE))</f>
        <v>0</v>
      </c>
      <c r="I98" s="1">
        <f>(VLOOKUP('S11.03'!I98,'S11.03'!$T$3:$V$28,2,FALSE))</f>
        <v>0</v>
      </c>
      <c r="J98" s="1">
        <f>(VLOOKUP('S11.03'!J98,'S11.03'!$T$3:$V$28,2,FALSE))</f>
        <v>0</v>
      </c>
      <c r="K98" s="1">
        <f>(VLOOKUP('S11.03'!K98,'S11.03'!$T$3:$V$28,2,FALSE))</f>
        <v>0</v>
      </c>
    </row>
    <row r="99" spans="1:11">
      <c r="A99" s="1">
        <f>(VLOOKUP('S11.03'!A99,'S11.03'!$T$3:$V$28,2,FALSE))</f>
        <v>0</v>
      </c>
      <c r="B99" s="1">
        <f>(VLOOKUP('S11.03'!B99,'S11.03'!$T$3:$V$28,2,FALSE))</f>
        <v>0</v>
      </c>
      <c r="C99" s="1">
        <f>(VLOOKUP('S11.03'!C99,'S11.03'!$T$3:$V$28,2,FALSE))</f>
        <v>0</v>
      </c>
      <c r="I99" s="1">
        <f>(VLOOKUP('S11.03'!I99,'S11.03'!$T$3:$V$28,2,FALSE))</f>
        <v>0</v>
      </c>
      <c r="J99" s="1">
        <f>(VLOOKUP('S11.03'!J99,'S11.03'!$T$3:$V$28,2,FALSE))</f>
        <v>0</v>
      </c>
      <c r="K99" s="1">
        <f>(VLOOKUP('S11.03'!K99,'S11.03'!$T$3:$V$28,2,FALSE))</f>
        <v>0</v>
      </c>
    </row>
    <row r="100" spans="1:11">
      <c r="A100" s="1">
        <f>(VLOOKUP('S11.03'!A100,'S11.03'!$T$3:$V$28,2,FALSE))</f>
        <v>0</v>
      </c>
      <c r="B100" s="1">
        <f>(VLOOKUP('S11.03'!B100,'S11.03'!$T$3:$V$28,2,FALSE))</f>
        <v>0</v>
      </c>
      <c r="C100" s="1">
        <f>(VLOOKUP('S11.03'!C100,'S11.03'!$T$3:$V$28,2,FALSE))</f>
        <v>0</v>
      </c>
      <c r="I100" s="1">
        <f>(VLOOKUP('S11.03'!I100,'S11.03'!$T$3:$V$28,2,FALSE))</f>
        <v>0</v>
      </c>
      <c r="J100" s="1">
        <f>(VLOOKUP('S11.03'!J100,'S11.03'!$T$3:$V$28,2,FALSE))</f>
        <v>0</v>
      </c>
      <c r="K100" s="1">
        <f>(VLOOKUP('S11.03'!K100,'S11.03'!$T$3:$V$28,2,FALSE))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4.4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(VLOOKUP('S11.03'!A4,'S11.03'!$T$3:$V$28,3,FALSE))</f>
        <v>35</v>
      </c>
      <c r="B4" s="1">
        <f>(VLOOKUP('S11.03'!B4,'S11.03'!$T$3:$V$28,3,FALSE))</f>
        <v>35</v>
      </c>
      <c r="C4" s="1">
        <f>(VLOOKUP('S11.03'!C4,'S11.03'!$T$3:$V$28,3,FALSE))</f>
        <v>0</v>
      </c>
      <c r="I4" s="1">
        <f>(VLOOKUP('S11.03'!I4,'S11.03'!$T$3:$V$28,3,FALSE))</f>
        <v>30</v>
      </c>
      <c r="J4" s="1">
        <f>(VLOOKUP('S11.03'!J4,'S11.03'!$T$3:$V$28,3,FALSE))</f>
        <v>40</v>
      </c>
      <c r="K4" s="1">
        <f>(VLOOKUP('S11.03'!K4,'S11.03'!$T$3:$V$28,3,FALSE))</f>
        <v>40</v>
      </c>
    </row>
    <row r="5" spans="1:11">
      <c r="A5" s="1">
        <f>(VLOOKUP('S11.03'!A5,'S11.03'!$T$3:$V$28,3,FALSE))</f>
        <v>35</v>
      </c>
      <c r="B5" s="1">
        <f>(VLOOKUP('S11.03'!B5,'S11.03'!$T$3:$V$28,3,FALSE))</f>
        <v>35</v>
      </c>
      <c r="C5" s="1">
        <f>(VLOOKUP('S11.03'!C5,'S11.03'!$T$3:$V$28,3,FALSE))</f>
        <v>0</v>
      </c>
      <c r="I5" s="1">
        <f>(VLOOKUP('S11.03'!I5,'S11.03'!$T$3:$V$28,3,FALSE))</f>
        <v>0</v>
      </c>
      <c r="J5" s="1">
        <f>(VLOOKUP('S11.03'!J5,'S11.03'!$T$3:$V$28,3,FALSE))</f>
        <v>40</v>
      </c>
      <c r="K5" s="1">
        <f>(VLOOKUP('S11.03'!K5,'S11.03'!$T$3:$V$28,3,FALSE))</f>
        <v>40</v>
      </c>
    </row>
    <row r="6" spans="1:11">
      <c r="A6" s="1">
        <f>(VLOOKUP('S11.03'!A6,'S11.03'!$T$3:$V$28,3,FALSE))</f>
        <v>30</v>
      </c>
      <c r="B6" s="1">
        <f>(VLOOKUP('S11.03'!B6,'S11.03'!$T$3:$V$28,3,FALSE))</f>
        <v>35</v>
      </c>
      <c r="C6" s="1">
        <f>(VLOOKUP('S11.03'!C6,'S11.03'!$T$3:$V$28,3,FALSE))</f>
        <v>35</v>
      </c>
      <c r="I6" s="1">
        <f>(VLOOKUP('S11.03'!I6,'S11.03'!$T$3:$V$28,3,FALSE))</f>
        <v>35</v>
      </c>
      <c r="J6" s="1">
        <f>(VLOOKUP('S11.03'!J6,'S11.03'!$T$3:$V$28,3,FALSE))</f>
        <v>40</v>
      </c>
      <c r="K6" s="1">
        <f>(VLOOKUP('S11.03'!K6,'S11.03'!$T$3:$V$28,3,FALSE))</f>
        <v>40</v>
      </c>
    </row>
    <row r="7" spans="1:11">
      <c r="A7" s="1">
        <f>(VLOOKUP('S11.03'!A7,'S11.03'!$T$3:$V$28,3,FALSE))</f>
        <v>35</v>
      </c>
      <c r="B7" s="1">
        <f>(VLOOKUP('S11.03'!B7,'S11.03'!$T$3:$V$28,3,FALSE))</f>
        <v>35</v>
      </c>
      <c r="C7" s="1">
        <f>(VLOOKUP('S11.03'!C7,'S11.03'!$T$3:$V$28,3,FALSE))</f>
        <v>35</v>
      </c>
      <c r="I7" s="1">
        <f>(VLOOKUP('S11.03'!I7,'S11.03'!$T$3:$V$28,3,FALSE))</f>
        <v>35</v>
      </c>
      <c r="J7" s="1">
        <f>(VLOOKUP('S11.03'!J7,'S11.03'!$T$3:$V$28,3,FALSE))</f>
        <v>40</v>
      </c>
      <c r="K7" s="1">
        <f>(VLOOKUP('S11.03'!K7,'S11.03'!$T$3:$V$28,3,FALSE))</f>
        <v>30</v>
      </c>
    </row>
    <row r="8" spans="1:11">
      <c r="A8" s="1">
        <f>(VLOOKUP('S11.03'!A8,'S11.03'!$T$3:$V$28,3,FALSE))</f>
        <v>35</v>
      </c>
      <c r="B8" s="1">
        <f>(VLOOKUP('S11.03'!B8,'S11.03'!$T$3:$V$28,3,FALSE))</f>
        <v>35</v>
      </c>
      <c r="C8" s="1">
        <f>(VLOOKUP('S11.03'!C8,'S11.03'!$T$3:$V$28,3,FALSE))</f>
        <v>35</v>
      </c>
      <c r="I8" s="1">
        <f>(VLOOKUP('S11.03'!I8,'S11.03'!$T$3:$V$28,3,FALSE))</f>
        <v>0</v>
      </c>
      <c r="J8" s="1">
        <f>(VLOOKUP('S11.03'!J8,'S11.03'!$T$3:$V$28,3,FALSE))</f>
        <v>40</v>
      </c>
      <c r="K8" s="1">
        <f>(VLOOKUP('S11.03'!K8,'S11.03'!$T$3:$V$28,3,FALSE))</f>
        <v>40</v>
      </c>
    </row>
    <row r="9" spans="1:11">
      <c r="A9" s="1">
        <f>(VLOOKUP('S11.03'!A9,'S11.03'!$T$3:$V$28,3,FALSE))</f>
        <v>35</v>
      </c>
      <c r="B9" s="1">
        <f>(VLOOKUP('S11.03'!B9,'S11.03'!$T$3:$V$28,3,FALSE))</f>
        <v>30</v>
      </c>
      <c r="C9" s="1">
        <f>(VLOOKUP('S11.03'!C9,'S11.03'!$T$3:$V$28,3,FALSE))</f>
        <v>0</v>
      </c>
      <c r="I9" s="1">
        <f>(VLOOKUP('S11.03'!I9,'S11.03'!$T$3:$V$28,3,FALSE))</f>
        <v>0</v>
      </c>
      <c r="J9" s="1">
        <f>(VLOOKUP('S11.03'!J9,'S11.03'!$T$3:$V$28,3,FALSE))</f>
        <v>30</v>
      </c>
      <c r="K9" s="1">
        <f>(VLOOKUP('S11.03'!K9,'S11.03'!$T$3:$V$28,3,FALSE))</f>
        <v>40</v>
      </c>
    </row>
    <row r="10" spans="1:11">
      <c r="A10" s="1">
        <f>(VLOOKUP('S11.03'!A10,'S11.03'!$T$3:$V$28,3,FALSE))</f>
        <v>0</v>
      </c>
      <c r="B10" s="1">
        <f>(VLOOKUP('S11.03'!B10,'S11.03'!$T$3:$V$28,3,FALSE))</f>
        <v>0</v>
      </c>
      <c r="C10" s="1">
        <f>(VLOOKUP('S11.03'!C10,'S11.03'!$T$3:$V$28,3,FALSE))</f>
        <v>40</v>
      </c>
      <c r="I10" s="1">
        <f>(VLOOKUP('S11.03'!I10,'S11.03'!$T$3:$V$28,3,FALSE))</f>
        <v>35</v>
      </c>
      <c r="J10" s="1">
        <f>(VLOOKUP('S11.03'!J10,'S11.03'!$T$3:$V$28,3,FALSE))</f>
        <v>0</v>
      </c>
      <c r="K10" s="1">
        <f>(VLOOKUP('S11.03'!K10,'S11.03'!$T$3:$V$28,3,FALSE))</f>
        <v>40</v>
      </c>
    </row>
    <row r="11" spans="1:11">
      <c r="A11" s="1">
        <f>(VLOOKUP('S11.03'!A11,'S11.03'!$T$3:$V$28,3,FALSE))</f>
        <v>0</v>
      </c>
      <c r="B11" s="1">
        <f>(VLOOKUP('S11.03'!B11,'S11.03'!$T$3:$V$28,3,FALSE))</f>
        <v>45</v>
      </c>
      <c r="C11" s="1">
        <f>(VLOOKUP('S11.03'!C11,'S11.03'!$T$3:$V$28,3,FALSE))</f>
        <v>40</v>
      </c>
      <c r="I11" s="1">
        <f>(VLOOKUP('S11.03'!I11,'S11.03'!$T$3:$V$28,3,FALSE))</f>
        <v>35</v>
      </c>
      <c r="J11" s="1">
        <f>(VLOOKUP('S11.03'!J11,'S11.03'!$T$3:$V$28,3,FALSE))</f>
        <v>0</v>
      </c>
      <c r="K11" s="1">
        <f>(VLOOKUP('S11.03'!K11,'S11.03'!$T$3:$V$28,3,FALSE))</f>
        <v>30</v>
      </c>
    </row>
    <row r="12" spans="1:11">
      <c r="A12" s="1">
        <f>(VLOOKUP('S11.03'!A12,'S11.03'!$T$3:$V$28,3,FALSE))</f>
        <v>0</v>
      </c>
      <c r="B12" s="1">
        <f>(VLOOKUP('S11.03'!B12,'S11.03'!$T$3:$V$28,3,FALSE))</f>
        <v>45</v>
      </c>
      <c r="C12" s="1">
        <f>(VLOOKUP('S11.03'!C12,'S11.03'!$T$3:$V$28,3,FALSE))</f>
        <v>40</v>
      </c>
      <c r="I12" s="1">
        <f>(VLOOKUP('S11.03'!I12,'S11.03'!$T$3:$V$28,3,FALSE))</f>
        <v>35</v>
      </c>
      <c r="J12" s="1">
        <f>(VLOOKUP('S11.03'!J12,'S11.03'!$T$3:$V$28,3,FALSE))</f>
        <v>0</v>
      </c>
      <c r="K12" s="1">
        <f>(VLOOKUP('S11.03'!K12,'S11.03'!$T$3:$V$28,3,FALSE))</f>
        <v>0</v>
      </c>
    </row>
    <row r="13" spans="1:11">
      <c r="A13" s="1">
        <f>(VLOOKUP('S11.03'!A13,'S11.03'!$T$3:$V$28,3,FALSE))</f>
        <v>0</v>
      </c>
      <c r="B13" s="1">
        <f>(VLOOKUP('S11.03'!B13,'S11.03'!$T$3:$V$28,3,FALSE))</f>
        <v>45</v>
      </c>
      <c r="C13" s="1">
        <f>(VLOOKUP('S11.03'!C13,'S11.03'!$T$3:$V$28,3,FALSE))</f>
        <v>40</v>
      </c>
      <c r="I13" s="1">
        <f>(VLOOKUP('S11.03'!I13,'S11.03'!$T$3:$V$28,3,FALSE))</f>
        <v>35</v>
      </c>
      <c r="J13" s="1">
        <f>(VLOOKUP('S11.03'!J13,'S11.03'!$T$3:$V$28,3,FALSE))</f>
        <v>0</v>
      </c>
      <c r="K13" s="1">
        <f>(VLOOKUP('S11.03'!K13,'S11.03'!$T$3:$V$28,3,FALSE))</f>
        <v>40</v>
      </c>
    </row>
    <row r="14" spans="1:11">
      <c r="A14" s="1">
        <f>(VLOOKUP('S11.03'!A14,'S11.03'!$T$3:$V$28,3,FALSE))</f>
        <v>0</v>
      </c>
      <c r="B14" s="1">
        <f>(VLOOKUP('S11.03'!B14,'S11.03'!$T$3:$V$28,3,FALSE))</f>
        <v>45</v>
      </c>
      <c r="C14" s="1">
        <f>(VLOOKUP('S11.03'!C14,'S11.03'!$T$3:$V$28,3,FALSE))</f>
        <v>30</v>
      </c>
      <c r="I14" s="1">
        <f>(VLOOKUP('S11.03'!I14,'S11.03'!$T$3:$V$28,3,FALSE))</f>
        <v>30</v>
      </c>
      <c r="J14" s="1">
        <f>(VLOOKUP('S11.03'!J14,'S11.03'!$T$3:$V$28,3,FALSE))</f>
        <v>0</v>
      </c>
      <c r="K14" s="1">
        <f>(VLOOKUP('S11.03'!K14,'S11.03'!$T$3:$V$28,3,FALSE))</f>
        <v>40</v>
      </c>
    </row>
    <row r="15" spans="1:11">
      <c r="A15" s="1">
        <f>(VLOOKUP('S11.03'!A15,'S11.03'!$T$3:$V$28,3,FALSE))</f>
        <v>0</v>
      </c>
      <c r="B15" s="1">
        <f>(VLOOKUP('S11.03'!B15,'S11.03'!$T$3:$V$28,3,FALSE))</f>
        <v>45</v>
      </c>
      <c r="C15" s="1">
        <f>(VLOOKUP('S11.03'!C15,'S11.03'!$T$3:$V$28,3,FALSE))</f>
        <v>40</v>
      </c>
      <c r="I15" s="1">
        <f>(VLOOKUP('S11.03'!I15,'S11.03'!$T$3:$V$28,3,FALSE))</f>
        <v>0</v>
      </c>
      <c r="J15" s="1">
        <f>(VLOOKUP('S11.03'!J15,'S11.03'!$T$3:$V$28,3,FALSE))</f>
        <v>0</v>
      </c>
      <c r="K15" s="1">
        <f>(VLOOKUP('S11.03'!K15,'S11.03'!$T$3:$V$28,3,FALSE))</f>
        <v>40</v>
      </c>
    </row>
    <row r="16" spans="1:11">
      <c r="A16" s="1">
        <f>(VLOOKUP('S11.03'!A16,'S11.03'!$T$3:$V$28,3,FALSE))</f>
        <v>0</v>
      </c>
      <c r="B16" s="1">
        <f>(VLOOKUP('S11.03'!B16,'S11.03'!$T$3:$V$28,3,FALSE))</f>
        <v>45</v>
      </c>
      <c r="C16" s="1">
        <f>(VLOOKUP('S11.03'!C16,'S11.03'!$T$3:$V$28,3,FALSE))</f>
        <v>40</v>
      </c>
      <c r="I16" s="1">
        <f>(VLOOKUP('S11.03'!I16,'S11.03'!$T$3:$V$28,3,FALSE))</f>
        <v>0</v>
      </c>
      <c r="J16" s="1">
        <f>(VLOOKUP('S11.03'!J16,'S11.03'!$T$3:$V$28,3,FALSE))</f>
        <v>0</v>
      </c>
      <c r="K16" s="1">
        <f>(VLOOKUP('S11.03'!K16,'S11.03'!$T$3:$V$28,3,FALSE))</f>
        <v>40</v>
      </c>
    </row>
    <row r="17" spans="1:11">
      <c r="A17" s="1">
        <f>(VLOOKUP('S11.03'!A17,'S11.03'!$T$3:$V$28,3,FALSE))</f>
        <v>0</v>
      </c>
      <c r="B17" s="1">
        <f>(VLOOKUP('S11.03'!B17,'S11.03'!$T$3:$V$28,3,FALSE))</f>
        <v>300</v>
      </c>
      <c r="C17" s="1">
        <f>(VLOOKUP('S11.03'!C17,'S11.03'!$T$3:$V$28,3,FALSE))</f>
        <v>40</v>
      </c>
      <c r="I17" s="1">
        <f>(VLOOKUP('S11.03'!I17,'S11.03'!$T$3:$V$28,3,FALSE))</f>
        <v>0</v>
      </c>
      <c r="J17" s="1">
        <f>(VLOOKUP('S11.03'!J17,'S11.03'!$T$3:$V$28,3,FALSE))</f>
        <v>0</v>
      </c>
      <c r="K17" s="1">
        <f>(VLOOKUP('S11.03'!K17,'S11.03'!$T$3:$V$28,3,FALSE))</f>
        <v>40</v>
      </c>
    </row>
    <row r="18" spans="1:11">
      <c r="A18" s="1">
        <f>(VLOOKUP('S11.03'!A18,'S11.03'!$T$3:$V$28,3,FALSE))</f>
        <v>0</v>
      </c>
      <c r="B18" s="1">
        <f>(VLOOKUP('S11.03'!B18,'S11.03'!$T$3:$V$28,3,FALSE))</f>
        <v>45</v>
      </c>
      <c r="C18" s="1">
        <f>(VLOOKUP('S11.03'!C18,'S11.03'!$T$3:$V$28,3,FALSE))</f>
        <v>45</v>
      </c>
      <c r="I18" s="1">
        <f>(VLOOKUP('S11.03'!I18,'S11.03'!$T$3:$V$28,3,FALSE))</f>
        <v>0</v>
      </c>
      <c r="J18" s="1">
        <f>(VLOOKUP('S11.03'!J18,'S11.03'!$T$3:$V$28,3,FALSE))</f>
        <v>0</v>
      </c>
      <c r="K18" s="1">
        <f>(VLOOKUP('S11.03'!K18,'S11.03'!$T$3:$V$28,3,FALSE))</f>
        <v>40</v>
      </c>
    </row>
    <row r="19" spans="1:11">
      <c r="A19" s="1">
        <f>(VLOOKUP('S11.03'!A19,'S11.03'!$T$3:$V$28,3,FALSE))</f>
        <v>0</v>
      </c>
      <c r="B19" s="1">
        <f>(VLOOKUP('S11.03'!B19,'S11.03'!$T$3:$V$28,3,FALSE))</f>
        <v>45</v>
      </c>
      <c r="C19" s="1">
        <f>(VLOOKUP('S11.03'!C19,'S11.03'!$T$3:$V$28,3,FALSE))</f>
        <v>45</v>
      </c>
      <c r="I19" s="1">
        <f>(VLOOKUP('S11.03'!I19,'S11.03'!$T$3:$V$28,3,FALSE))</f>
        <v>0</v>
      </c>
      <c r="J19" s="1">
        <f>(VLOOKUP('S11.03'!J19,'S11.03'!$T$3:$V$28,3,FALSE))</f>
        <v>0</v>
      </c>
      <c r="K19" s="1">
        <f>(VLOOKUP('S11.03'!K19,'S11.03'!$T$3:$V$28,3,FALSE))</f>
        <v>30</v>
      </c>
    </row>
    <row r="20" spans="1:11">
      <c r="A20" s="1">
        <f>(VLOOKUP('S11.03'!A20,'S11.03'!$T$3:$V$28,3,FALSE))</f>
        <v>0</v>
      </c>
      <c r="B20" s="1">
        <f>(VLOOKUP('S11.03'!B20,'S11.03'!$T$3:$V$28,3,FALSE))</f>
        <v>50</v>
      </c>
      <c r="C20" s="1">
        <f>(VLOOKUP('S11.03'!C20,'S11.03'!$T$3:$V$28,3,FALSE))</f>
        <v>45</v>
      </c>
      <c r="I20" s="1">
        <f>(VLOOKUP('S11.03'!I20,'S11.03'!$T$3:$V$28,3,FALSE))</f>
        <v>0</v>
      </c>
      <c r="J20" s="1">
        <f>(VLOOKUP('S11.03'!J20,'S11.03'!$T$3:$V$28,3,FALSE))</f>
        <v>0</v>
      </c>
      <c r="K20" s="1">
        <f>(VLOOKUP('S11.03'!K20,'S11.03'!$T$3:$V$28,3,FALSE))</f>
        <v>40</v>
      </c>
    </row>
    <row r="21" spans="1:11">
      <c r="A21" s="1">
        <f>(VLOOKUP('S11.03'!A21,'S11.03'!$T$3:$V$28,3,FALSE))</f>
        <v>0</v>
      </c>
      <c r="B21" s="1">
        <f>(VLOOKUP('S11.03'!B21,'S11.03'!$T$3:$V$28,3,FALSE))</f>
        <v>50</v>
      </c>
      <c r="C21" s="1">
        <f>(VLOOKUP('S11.03'!C21,'S11.03'!$T$3:$V$28,3,FALSE))</f>
        <v>30</v>
      </c>
      <c r="I21" s="1">
        <f>(VLOOKUP('S11.03'!I21,'S11.03'!$T$3:$V$28,3,FALSE))</f>
        <v>0</v>
      </c>
      <c r="J21" s="1">
        <f>(VLOOKUP('S11.03'!J21,'S11.03'!$T$3:$V$28,3,FALSE))</f>
        <v>0</v>
      </c>
      <c r="K21" s="1">
        <f>(VLOOKUP('S11.03'!K21,'S11.03'!$T$3:$V$28,3,FALSE))</f>
        <v>40</v>
      </c>
    </row>
    <row r="22" spans="1:11">
      <c r="A22" s="1">
        <f>(VLOOKUP('S11.03'!A22,'S11.03'!$T$3:$V$28,3,FALSE))</f>
        <v>0</v>
      </c>
      <c r="B22" s="1">
        <f>(VLOOKUP('S11.03'!B22,'S11.03'!$T$3:$V$28,3,FALSE))</f>
        <v>45</v>
      </c>
      <c r="C22" s="1">
        <f>(VLOOKUP('S11.03'!C22,'S11.03'!$T$3:$V$28,3,FALSE))</f>
        <v>45</v>
      </c>
      <c r="I22" s="1">
        <f>(VLOOKUP('S11.03'!I22,'S11.03'!$T$3:$V$28,3,FALSE))</f>
        <v>0</v>
      </c>
      <c r="J22" s="1">
        <f>(VLOOKUP('S11.03'!J22,'S11.03'!$T$3:$V$28,3,FALSE))</f>
        <v>0</v>
      </c>
      <c r="K22" s="1">
        <f>(VLOOKUP('S11.03'!K22,'S11.03'!$T$3:$V$28,3,FALSE))</f>
        <v>40</v>
      </c>
    </row>
    <row r="23" spans="1:11">
      <c r="A23" s="1">
        <f>(VLOOKUP('S11.03'!A23,'S11.03'!$T$3:$V$28,3,FALSE))</f>
        <v>0</v>
      </c>
      <c r="B23" s="1">
        <f>(VLOOKUP('S11.03'!B23,'S11.03'!$T$3:$V$28,3,FALSE))</f>
        <v>45</v>
      </c>
      <c r="C23" s="1">
        <f>(VLOOKUP('S11.03'!C23,'S11.03'!$T$3:$V$28,3,FALSE))</f>
        <v>300</v>
      </c>
      <c r="I23" s="1">
        <f>(VLOOKUP('S11.03'!I23,'S11.03'!$T$3:$V$28,3,FALSE))</f>
        <v>0</v>
      </c>
      <c r="J23" s="1">
        <f>(VLOOKUP('S11.03'!J23,'S11.03'!$T$3:$V$28,3,FALSE))</f>
        <v>0</v>
      </c>
      <c r="K23" s="1">
        <f>(VLOOKUP('S11.03'!K23,'S11.03'!$T$3:$V$28,3,FALSE))</f>
        <v>40</v>
      </c>
    </row>
    <row r="24" spans="1:11">
      <c r="A24" s="1">
        <f>(VLOOKUP('S11.03'!A24,'S11.03'!$T$3:$V$28,3,FALSE))</f>
        <v>0</v>
      </c>
      <c r="B24" s="1">
        <f>(VLOOKUP('S11.03'!B24,'S11.03'!$T$3:$V$28,3,FALSE))</f>
        <v>45</v>
      </c>
      <c r="C24" s="1">
        <f>(VLOOKUP('S11.03'!C24,'S11.03'!$T$3:$V$28,3,FALSE))</f>
        <v>45</v>
      </c>
      <c r="I24" s="1">
        <f>(VLOOKUP('S11.03'!I24,'S11.03'!$T$3:$V$28,3,FALSE))</f>
        <v>0</v>
      </c>
      <c r="J24" s="1">
        <f>(VLOOKUP('S11.03'!J24,'S11.03'!$T$3:$V$28,3,FALSE))</f>
        <v>0</v>
      </c>
      <c r="K24" s="1">
        <f>(VLOOKUP('S11.03'!K24,'S11.03'!$T$3:$V$28,3,FALSE))</f>
        <v>0</v>
      </c>
    </row>
    <row r="25" spans="1:11">
      <c r="A25" s="1">
        <f>(VLOOKUP('S11.03'!A25,'S11.03'!$T$3:$V$28,3,FALSE))</f>
        <v>0</v>
      </c>
      <c r="B25" s="1">
        <f>(VLOOKUP('S11.03'!B25,'S11.03'!$T$3:$V$28,3,FALSE))</f>
        <v>45</v>
      </c>
      <c r="C25" s="1">
        <f>(VLOOKUP('S11.03'!C25,'S11.03'!$T$3:$V$28,3,FALSE))</f>
        <v>45</v>
      </c>
      <c r="I25" s="1">
        <f>(VLOOKUP('S11.03'!I25,'S11.03'!$T$3:$V$28,3,FALSE))</f>
        <v>0</v>
      </c>
      <c r="J25" s="1">
        <f>(VLOOKUP('S11.03'!J25,'S11.03'!$T$3:$V$28,3,FALSE))</f>
        <v>0</v>
      </c>
      <c r="K25" s="1">
        <f>(VLOOKUP('S11.03'!K25,'S11.03'!$T$3:$V$28,3,FALSE))</f>
        <v>40</v>
      </c>
    </row>
    <row r="26" spans="1:11">
      <c r="A26" s="1">
        <f>(VLOOKUP('S11.03'!A26,'S11.03'!$T$3:$V$28,3,FALSE))</f>
        <v>0</v>
      </c>
      <c r="B26" s="1">
        <f>(VLOOKUP('S11.03'!B26,'S11.03'!$T$3:$V$28,3,FALSE))</f>
        <v>45</v>
      </c>
      <c r="C26" s="1">
        <f>(VLOOKUP('S11.03'!C26,'S11.03'!$T$3:$V$28,3,FALSE))</f>
        <v>45</v>
      </c>
      <c r="I26" s="1">
        <f>(VLOOKUP('S11.03'!I26,'S11.03'!$T$3:$V$28,3,FALSE))</f>
        <v>0</v>
      </c>
      <c r="J26" s="1">
        <f>(VLOOKUP('S11.03'!J26,'S11.03'!$T$3:$V$28,3,FALSE))</f>
        <v>0</v>
      </c>
      <c r="K26" s="1">
        <f>(VLOOKUP('S11.03'!K26,'S11.03'!$T$3:$V$28,3,FALSE))</f>
        <v>30</v>
      </c>
    </row>
    <row r="27" spans="1:11">
      <c r="A27" s="1">
        <f>(VLOOKUP('S11.03'!A27,'S11.03'!$T$3:$V$28,3,FALSE))</f>
        <v>0</v>
      </c>
      <c r="B27" s="1">
        <f>(VLOOKUP('S11.03'!B27,'S11.03'!$T$3:$V$28,3,FALSE))</f>
        <v>45</v>
      </c>
      <c r="C27" s="1">
        <f>(VLOOKUP('S11.03'!C27,'S11.03'!$T$3:$V$28,3,FALSE))</f>
        <v>45</v>
      </c>
      <c r="I27" s="1">
        <f>(VLOOKUP('S11.03'!I27,'S11.03'!$T$3:$V$28,3,FALSE))</f>
        <v>0</v>
      </c>
      <c r="J27" s="1">
        <f>(VLOOKUP('S11.03'!J27,'S11.03'!$T$3:$V$28,3,FALSE))</f>
        <v>0</v>
      </c>
      <c r="K27" s="1">
        <f>(VLOOKUP('S11.03'!K27,'S11.03'!$T$3:$V$28,3,FALSE))</f>
        <v>40</v>
      </c>
    </row>
    <row r="28" spans="1:11">
      <c r="A28" s="1">
        <f>(VLOOKUP('S11.03'!A28,'S11.03'!$T$3:$V$28,3,FALSE))</f>
        <v>0</v>
      </c>
      <c r="B28" s="1">
        <f>(VLOOKUP('S11.03'!B28,'S11.03'!$T$3:$V$28,3,FALSE))</f>
        <v>45</v>
      </c>
      <c r="C28" s="1">
        <f>(VLOOKUP('S11.03'!C28,'S11.03'!$T$3:$V$28,3,FALSE))</f>
        <v>45</v>
      </c>
      <c r="I28" s="1">
        <f>(VLOOKUP('S11.03'!I28,'S11.03'!$T$3:$V$28,3,FALSE))</f>
        <v>0</v>
      </c>
      <c r="J28" s="1">
        <f>(VLOOKUP('S11.03'!J28,'S11.03'!$T$3:$V$28,3,FALSE))</f>
        <v>0</v>
      </c>
      <c r="K28" s="1">
        <f>(VLOOKUP('S11.03'!K28,'S11.03'!$T$3:$V$28,3,FALSE))</f>
        <v>40</v>
      </c>
    </row>
    <row r="29" spans="1:11">
      <c r="A29" s="1">
        <f>(VLOOKUP('S11.03'!A29,'S11.03'!$T$3:$V$28,3,FALSE))</f>
        <v>0</v>
      </c>
      <c r="B29" s="1">
        <f>(VLOOKUP('S11.03'!B29,'S11.03'!$T$3:$V$28,3,FALSE))</f>
        <v>45</v>
      </c>
      <c r="C29" s="1">
        <f>(VLOOKUP('S11.03'!C29,'S11.03'!$T$3:$V$28,3,FALSE))</f>
        <v>30</v>
      </c>
      <c r="I29" s="1">
        <f>(VLOOKUP('S11.03'!I29,'S11.03'!$T$3:$V$28,3,FALSE))</f>
        <v>0</v>
      </c>
      <c r="J29" s="1">
        <f>(VLOOKUP('S11.03'!J29,'S11.03'!$T$3:$V$28,3,FALSE))</f>
        <v>0</v>
      </c>
      <c r="K29" s="1">
        <f>(VLOOKUP('S11.03'!K29,'S11.03'!$T$3:$V$28,3,FALSE))</f>
        <v>30</v>
      </c>
    </row>
    <row r="30" spans="1:11">
      <c r="A30" s="1">
        <f>(VLOOKUP('S11.03'!A30,'S11.03'!$T$3:$V$28,3,FALSE))</f>
        <v>0</v>
      </c>
      <c r="B30" s="1">
        <f>(VLOOKUP('S11.03'!B30,'S11.03'!$T$3:$V$28,3,FALSE))</f>
        <v>45</v>
      </c>
      <c r="C30" s="1">
        <f>(VLOOKUP('S11.03'!C30,'S11.03'!$T$3:$V$28,3,FALSE))</f>
        <v>45</v>
      </c>
      <c r="I30" s="1">
        <f>(VLOOKUP('S11.03'!I30,'S11.03'!$T$3:$V$28,3,FALSE))</f>
        <v>0</v>
      </c>
      <c r="J30" s="1">
        <f>(VLOOKUP('S11.03'!J30,'S11.03'!$T$3:$V$28,3,FALSE))</f>
        <v>0</v>
      </c>
      <c r="K30" s="1">
        <f>(VLOOKUP('S11.03'!K30,'S11.03'!$T$3:$V$28,3,FALSE))</f>
        <v>40</v>
      </c>
    </row>
    <row r="31" spans="1:11">
      <c r="A31" s="1">
        <f>(VLOOKUP('S11.03'!A31,'S11.03'!$T$3:$V$28,3,FALSE))</f>
        <v>0</v>
      </c>
      <c r="B31" s="1">
        <f>(VLOOKUP('S11.03'!B31,'S11.03'!$T$3:$V$28,3,FALSE))</f>
        <v>45</v>
      </c>
      <c r="C31" s="1">
        <f>(VLOOKUP('S11.03'!C31,'S11.03'!$T$3:$V$28,3,FALSE))</f>
        <v>45</v>
      </c>
      <c r="I31" s="1">
        <f>(VLOOKUP('S11.03'!I31,'S11.03'!$T$3:$V$28,3,FALSE))</f>
        <v>0</v>
      </c>
      <c r="J31" s="1">
        <f>(VLOOKUP('S11.03'!J31,'S11.03'!$T$3:$V$28,3,FALSE))</f>
        <v>0</v>
      </c>
      <c r="K31" s="1">
        <f>(VLOOKUP('S11.03'!K31,'S11.03'!$T$3:$V$28,3,FALSE))</f>
        <v>40</v>
      </c>
    </row>
    <row r="32" spans="1:11">
      <c r="A32" s="1">
        <f>(VLOOKUP('S11.03'!A32,'S11.03'!$T$3:$V$28,3,FALSE))</f>
        <v>0</v>
      </c>
      <c r="B32" s="1">
        <f>(VLOOKUP('S11.03'!B32,'S11.03'!$T$3:$V$28,3,FALSE))</f>
        <v>45</v>
      </c>
      <c r="C32" s="1">
        <f>(VLOOKUP('S11.03'!C32,'S11.03'!$T$3:$V$28,3,FALSE))</f>
        <v>45</v>
      </c>
      <c r="I32" s="1">
        <f>(VLOOKUP('S11.03'!I32,'S11.03'!$T$3:$V$28,3,FALSE))</f>
        <v>0</v>
      </c>
      <c r="J32" s="1">
        <f>(VLOOKUP('S11.03'!J32,'S11.03'!$T$3:$V$28,3,FALSE))</f>
        <v>0</v>
      </c>
      <c r="K32" s="1">
        <f>(VLOOKUP('S11.03'!K32,'S11.03'!$T$3:$V$28,3,FALSE))</f>
        <v>40</v>
      </c>
    </row>
    <row r="33" spans="1:11">
      <c r="A33" s="1">
        <f>(VLOOKUP('S11.03'!A33,'S11.03'!$T$3:$V$28,3,FALSE))</f>
        <v>0</v>
      </c>
      <c r="B33" s="1">
        <f>(VLOOKUP('S11.03'!B33,'S11.03'!$T$3:$V$28,3,FALSE))</f>
        <v>45</v>
      </c>
      <c r="C33" s="1">
        <f>(VLOOKUP('S11.03'!C33,'S11.03'!$T$3:$V$28,3,FALSE))</f>
        <v>45</v>
      </c>
      <c r="I33" s="1">
        <f>(VLOOKUP('S11.03'!I33,'S11.03'!$T$3:$V$28,3,FALSE))</f>
        <v>0</v>
      </c>
      <c r="J33" s="1">
        <f>(VLOOKUP('S11.03'!J33,'S11.03'!$T$3:$V$28,3,FALSE))</f>
        <v>0</v>
      </c>
      <c r="K33" s="1">
        <f>(VLOOKUP('S11.03'!K33,'S11.03'!$T$3:$V$28,3,FALSE))</f>
        <v>40</v>
      </c>
    </row>
    <row r="34" spans="1:11">
      <c r="A34" s="1">
        <f>(VLOOKUP('S11.03'!A34,'S11.03'!$T$3:$V$28,3,FALSE))</f>
        <v>0</v>
      </c>
      <c r="B34" s="1">
        <f>(VLOOKUP('S11.03'!B34,'S11.03'!$T$3:$V$28,3,FALSE))</f>
        <v>45</v>
      </c>
      <c r="C34" s="1">
        <f>(VLOOKUP('S11.03'!C34,'S11.03'!$T$3:$V$28,3,FALSE))</f>
        <v>45</v>
      </c>
      <c r="I34" s="1">
        <f>(VLOOKUP('S11.03'!I34,'S11.03'!$T$3:$V$28,3,FALSE))</f>
        <v>0</v>
      </c>
      <c r="J34" s="1">
        <f>(VLOOKUP('S11.03'!J34,'S11.03'!$T$3:$V$28,3,FALSE))</f>
        <v>0</v>
      </c>
      <c r="K34" s="1">
        <f>(VLOOKUP('S11.03'!K34,'S11.03'!$T$3:$V$28,3,FALSE))</f>
        <v>30</v>
      </c>
    </row>
    <row r="35" spans="1:11">
      <c r="A35" s="1">
        <f>(VLOOKUP('S11.03'!A35,'S11.03'!$T$3:$V$28,3,FALSE))</f>
        <v>0</v>
      </c>
      <c r="B35" s="1">
        <f>(VLOOKUP('S11.03'!B35,'S11.03'!$T$3:$V$28,3,FALSE))</f>
        <v>45</v>
      </c>
      <c r="C35" s="1">
        <f>(VLOOKUP('S11.03'!C35,'S11.03'!$T$3:$V$28,3,FALSE))</f>
        <v>45</v>
      </c>
      <c r="I35" s="1">
        <f>(VLOOKUP('S11.03'!I35,'S11.03'!$T$3:$V$28,3,FALSE))</f>
        <v>0</v>
      </c>
      <c r="J35" s="1">
        <f>(VLOOKUP('S11.03'!J35,'S11.03'!$T$3:$V$28,3,FALSE))</f>
        <v>0</v>
      </c>
      <c r="K35" s="1">
        <f>(VLOOKUP('S11.03'!K35,'S11.03'!$T$3:$V$28,3,FALSE))</f>
        <v>0</v>
      </c>
    </row>
    <row r="36" spans="1:11">
      <c r="A36" s="1">
        <f>(VLOOKUP('S11.03'!A36,'S11.03'!$T$3:$V$28,3,FALSE))</f>
        <v>0</v>
      </c>
      <c r="B36" s="1">
        <f>(VLOOKUP('S11.03'!B36,'S11.03'!$T$3:$V$28,3,FALSE))</f>
        <v>0</v>
      </c>
      <c r="C36" s="1">
        <f>(VLOOKUP('S11.03'!C36,'S11.03'!$T$3:$V$28,3,FALSE))</f>
        <v>45</v>
      </c>
      <c r="I36" s="1">
        <f>(VLOOKUP('S11.03'!I36,'S11.03'!$T$3:$V$28,3,FALSE))</f>
        <v>0</v>
      </c>
      <c r="J36" s="1">
        <f>(VLOOKUP('S11.03'!J36,'S11.03'!$T$3:$V$28,3,FALSE))</f>
        <v>0</v>
      </c>
      <c r="K36" s="1">
        <f>(VLOOKUP('S11.03'!K36,'S11.03'!$T$3:$V$28,3,FALSE))</f>
        <v>520</v>
      </c>
    </row>
    <row r="37" spans="1:11">
      <c r="A37" s="1">
        <f>(VLOOKUP('S11.03'!A37,'S11.03'!$T$3:$V$28,3,FALSE))</f>
        <v>0</v>
      </c>
      <c r="B37" s="1">
        <f>(VLOOKUP('S11.03'!B37,'S11.03'!$T$3:$V$28,3,FALSE))</f>
        <v>0</v>
      </c>
      <c r="C37" s="1">
        <f>(VLOOKUP('S11.03'!C37,'S11.03'!$T$3:$V$28,3,FALSE))</f>
        <v>300</v>
      </c>
      <c r="I37" s="1">
        <f>(VLOOKUP('S11.03'!I37,'S11.03'!$T$3:$V$28,3,FALSE))</f>
        <v>0</v>
      </c>
      <c r="J37" s="1">
        <f>(VLOOKUP('S11.03'!J37,'S11.03'!$T$3:$V$28,3,FALSE))</f>
        <v>0</v>
      </c>
      <c r="K37" s="1">
        <f>(VLOOKUP('S11.03'!K37,'S11.03'!$T$3:$V$28,3,FALSE))</f>
        <v>40</v>
      </c>
    </row>
    <row r="38" spans="1:11">
      <c r="A38" s="1">
        <f>(VLOOKUP('S11.03'!A38,'S11.03'!$T$3:$V$28,3,FALSE))</f>
        <v>0</v>
      </c>
      <c r="B38" s="1">
        <f>(VLOOKUP('S11.03'!B38,'S11.03'!$T$3:$V$28,3,FALSE))</f>
        <v>0</v>
      </c>
      <c r="C38" s="1">
        <f>(VLOOKUP('S11.03'!C38,'S11.03'!$T$3:$V$28,3,FALSE))</f>
        <v>45</v>
      </c>
      <c r="I38" s="1">
        <f>(VLOOKUP('S11.03'!I38,'S11.03'!$T$3:$V$28,3,FALSE))</f>
        <v>0</v>
      </c>
      <c r="J38" s="1">
        <f>(VLOOKUP('S11.03'!J38,'S11.03'!$T$3:$V$28,3,FALSE))</f>
        <v>0</v>
      </c>
      <c r="K38" s="1">
        <f>(VLOOKUP('S11.03'!K38,'S11.03'!$T$3:$V$28,3,FALSE))</f>
        <v>40</v>
      </c>
    </row>
    <row r="39" spans="1:11">
      <c r="A39" s="1">
        <f>(VLOOKUP('S11.03'!A39,'S11.03'!$T$3:$V$28,3,FALSE))</f>
        <v>0</v>
      </c>
      <c r="B39" s="1">
        <f>(VLOOKUP('S11.03'!B39,'S11.03'!$T$3:$V$28,3,FALSE))</f>
        <v>0</v>
      </c>
      <c r="C39" s="1">
        <f>(VLOOKUP('S11.03'!C39,'S11.03'!$T$3:$V$28,3,FALSE))</f>
        <v>45</v>
      </c>
      <c r="I39" s="1">
        <f>(VLOOKUP('S11.03'!I39,'S11.03'!$T$3:$V$28,3,FALSE))</f>
        <v>0</v>
      </c>
      <c r="J39" s="1">
        <f>(VLOOKUP('S11.03'!J39,'S11.03'!$T$3:$V$28,3,FALSE))</f>
        <v>0</v>
      </c>
      <c r="K39" s="1">
        <f>(VLOOKUP('S11.03'!K39,'S11.03'!$T$3:$V$28,3,FALSE))</f>
        <v>40</v>
      </c>
    </row>
    <row r="40" spans="1:11">
      <c r="A40" s="1">
        <f>(VLOOKUP('S11.03'!A40,'S11.03'!$T$3:$V$28,3,FALSE))</f>
        <v>0</v>
      </c>
      <c r="B40" s="1">
        <f>(VLOOKUP('S11.03'!B40,'S11.03'!$T$3:$V$28,3,FALSE))</f>
        <v>0</v>
      </c>
      <c r="C40" s="1">
        <f>(VLOOKUP('S11.03'!C40,'S11.03'!$T$3:$V$28,3,FALSE))</f>
        <v>45</v>
      </c>
      <c r="I40" s="1">
        <f>(VLOOKUP('S11.03'!I40,'S11.03'!$T$3:$V$28,3,FALSE))</f>
        <v>0</v>
      </c>
      <c r="J40" s="1">
        <f>(VLOOKUP('S11.03'!J40,'S11.03'!$T$3:$V$28,3,FALSE))</f>
        <v>0</v>
      </c>
      <c r="K40" s="1">
        <f>(VLOOKUP('S11.03'!K40,'S11.03'!$T$3:$V$28,3,FALSE))</f>
        <v>40</v>
      </c>
    </row>
    <row r="41" spans="1:11">
      <c r="A41" s="1">
        <f>(VLOOKUP('S11.03'!A41,'S11.03'!$T$3:$V$28,3,FALSE))</f>
        <v>0</v>
      </c>
      <c r="B41" s="1">
        <f>(VLOOKUP('S11.03'!B41,'S11.03'!$T$3:$V$28,3,FALSE))</f>
        <v>0</v>
      </c>
      <c r="C41" s="1">
        <f>(VLOOKUP('S11.03'!C41,'S11.03'!$T$3:$V$28,3,FALSE))</f>
        <v>45</v>
      </c>
      <c r="I41" s="1">
        <f>(VLOOKUP('S11.03'!I41,'S11.03'!$T$3:$V$28,3,FALSE))</f>
        <v>0</v>
      </c>
      <c r="J41" s="1">
        <f>(VLOOKUP('S11.03'!J41,'S11.03'!$T$3:$V$28,3,FALSE))</f>
        <v>0</v>
      </c>
      <c r="K41" s="1">
        <f>(VLOOKUP('S11.03'!K41,'S11.03'!$T$3:$V$28,3,FALSE))</f>
        <v>30</v>
      </c>
    </row>
    <row r="42" spans="1:11">
      <c r="A42" s="1">
        <f>(VLOOKUP('S11.03'!A42,'S11.03'!$T$3:$V$28,3,FALSE))</f>
        <v>0</v>
      </c>
      <c r="B42" s="1">
        <f>(VLOOKUP('S11.03'!B42,'S11.03'!$T$3:$V$28,3,FALSE))</f>
        <v>0</v>
      </c>
      <c r="C42" s="1">
        <f>(VLOOKUP('S11.03'!C42,'S11.03'!$T$3:$V$28,3,FALSE))</f>
        <v>45</v>
      </c>
      <c r="I42" s="1">
        <f>(VLOOKUP('S11.03'!I42,'S11.03'!$T$3:$V$28,3,FALSE))</f>
        <v>0</v>
      </c>
      <c r="J42" s="1">
        <f>(VLOOKUP('S11.03'!J42,'S11.03'!$T$3:$V$28,3,FALSE))</f>
        <v>0</v>
      </c>
      <c r="K42" s="1">
        <f>(VLOOKUP('S11.03'!K42,'S11.03'!$T$3:$V$28,3,FALSE))</f>
        <v>40</v>
      </c>
    </row>
    <row r="43" spans="1:11">
      <c r="A43" s="1">
        <f>(VLOOKUP('S11.03'!A43,'S11.03'!$T$3:$V$28,3,FALSE))</f>
        <v>0</v>
      </c>
      <c r="B43" s="1">
        <f>(VLOOKUP('S11.03'!B43,'S11.03'!$T$3:$V$28,3,FALSE))</f>
        <v>0</v>
      </c>
      <c r="C43" s="1">
        <f>(VLOOKUP('S11.03'!C43,'S11.03'!$T$3:$V$28,3,FALSE))</f>
        <v>45</v>
      </c>
      <c r="I43" s="1">
        <f>(VLOOKUP('S11.03'!I43,'S11.03'!$T$3:$V$28,3,FALSE))</f>
        <v>0</v>
      </c>
      <c r="J43" s="1">
        <f>(VLOOKUP('S11.03'!J43,'S11.03'!$T$3:$V$28,3,FALSE))</f>
        <v>0</v>
      </c>
      <c r="K43" s="1">
        <f>(VLOOKUP('S11.03'!K43,'S11.03'!$T$3:$V$28,3,FALSE))</f>
        <v>40</v>
      </c>
    </row>
    <row r="44" spans="1:11">
      <c r="A44" s="1">
        <f>(VLOOKUP('S11.03'!A44,'S11.03'!$T$3:$V$28,3,FALSE))</f>
        <v>0</v>
      </c>
      <c r="B44" s="1">
        <f>(VLOOKUP('S11.03'!B44,'S11.03'!$T$3:$V$28,3,FALSE))</f>
        <v>0</v>
      </c>
      <c r="C44" s="1">
        <f>(VLOOKUP('S11.03'!C44,'S11.03'!$T$3:$V$28,3,FALSE))</f>
        <v>30</v>
      </c>
      <c r="I44" s="1">
        <f>(VLOOKUP('S11.03'!I44,'S11.03'!$T$3:$V$28,3,FALSE))</f>
        <v>0</v>
      </c>
      <c r="J44" s="1">
        <f>(VLOOKUP('S11.03'!J44,'S11.03'!$T$3:$V$28,3,FALSE))</f>
        <v>0</v>
      </c>
      <c r="K44" s="1">
        <f>(VLOOKUP('S11.03'!K44,'S11.03'!$T$3:$V$28,3,FALSE))</f>
        <v>40</v>
      </c>
    </row>
    <row r="45" spans="1:11">
      <c r="A45" s="1">
        <f>(VLOOKUP('S11.03'!A45,'S11.03'!$T$3:$V$28,3,FALSE))</f>
        <v>0</v>
      </c>
      <c r="B45" s="1">
        <f>(VLOOKUP('S11.03'!B45,'S11.03'!$T$3:$V$28,3,FALSE))</f>
        <v>0</v>
      </c>
      <c r="C45" s="1">
        <f>(VLOOKUP('S11.03'!C45,'S11.03'!$T$3:$V$28,3,FALSE))</f>
        <v>45</v>
      </c>
      <c r="I45" s="1">
        <f>(VLOOKUP('S11.03'!I45,'S11.03'!$T$3:$V$28,3,FALSE))</f>
        <v>0</v>
      </c>
      <c r="J45" s="1">
        <f>(VLOOKUP('S11.03'!J45,'S11.03'!$T$3:$V$28,3,FALSE))</f>
        <v>0</v>
      </c>
      <c r="K45" s="1">
        <f>(VLOOKUP('S11.03'!K45,'S11.03'!$T$3:$V$28,3,FALSE))</f>
        <v>40</v>
      </c>
    </row>
    <row r="46" spans="1:11">
      <c r="A46" s="1">
        <f>(VLOOKUP('S11.03'!A46,'S11.03'!$T$3:$V$28,3,FALSE))</f>
        <v>0</v>
      </c>
      <c r="B46" s="1">
        <f>(VLOOKUP('S11.03'!B46,'S11.03'!$T$3:$V$28,3,FALSE))</f>
        <v>0</v>
      </c>
      <c r="C46" s="1">
        <f>(VLOOKUP('S11.03'!C46,'S11.03'!$T$3:$V$28,3,FALSE))</f>
        <v>45</v>
      </c>
      <c r="I46" s="1">
        <f>(VLOOKUP('S11.03'!I46,'S11.03'!$T$3:$V$28,3,FALSE))</f>
        <v>0</v>
      </c>
      <c r="J46" s="1">
        <f>(VLOOKUP('S11.03'!J46,'S11.03'!$T$3:$V$28,3,FALSE))</f>
        <v>0</v>
      </c>
      <c r="K46" s="1">
        <f>(VLOOKUP('S11.03'!K46,'S11.03'!$T$3:$V$28,3,FALSE))</f>
        <v>30</v>
      </c>
    </row>
    <row r="47" spans="1:11">
      <c r="A47" s="1">
        <f>(VLOOKUP('S11.03'!A47,'S11.03'!$T$3:$V$28,3,FALSE))</f>
        <v>0</v>
      </c>
      <c r="B47" s="1">
        <f>(VLOOKUP('S11.03'!B47,'S11.03'!$T$3:$V$28,3,FALSE))</f>
        <v>0</v>
      </c>
      <c r="C47" s="1">
        <f>(VLOOKUP('S11.03'!C47,'S11.03'!$T$3:$V$28,3,FALSE))</f>
        <v>45</v>
      </c>
      <c r="I47" s="1">
        <f>(VLOOKUP('S11.03'!I47,'S11.03'!$T$3:$V$28,3,FALSE))</f>
        <v>0</v>
      </c>
      <c r="J47" s="1">
        <f>(VLOOKUP('S11.03'!J47,'S11.03'!$T$3:$V$28,3,FALSE))</f>
        <v>0</v>
      </c>
      <c r="K47" s="1">
        <f>(VLOOKUP('S11.03'!K47,'S11.03'!$T$3:$V$28,3,FALSE))</f>
        <v>0</v>
      </c>
    </row>
    <row r="48" spans="1:11">
      <c r="A48" s="1">
        <f>(VLOOKUP('S11.03'!A48,'S11.03'!$T$3:$V$28,3,FALSE))</f>
        <v>0</v>
      </c>
      <c r="B48" s="1">
        <f>(VLOOKUP('S11.03'!B48,'S11.03'!$T$3:$V$28,3,FALSE))</f>
        <v>0</v>
      </c>
      <c r="C48" s="1">
        <f>(VLOOKUP('S11.03'!C48,'S11.03'!$T$3:$V$28,3,FALSE))</f>
        <v>45</v>
      </c>
      <c r="I48" s="1">
        <f>(VLOOKUP('S11.03'!I48,'S11.03'!$T$3:$V$28,3,FALSE))</f>
        <v>0</v>
      </c>
      <c r="J48" s="1">
        <f>(VLOOKUP('S11.03'!J48,'S11.03'!$T$3:$V$28,3,FALSE))</f>
        <v>0</v>
      </c>
      <c r="K48" s="1">
        <f>(VLOOKUP('S11.03'!K48,'S11.03'!$T$3:$V$28,3,FALSE))</f>
        <v>0</v>
      </c>
    </row>
    <row r="49" spans="1:11">
      <c r="A49" s="1">
        <f>(VLOOKUP('S11.03'!A49,'S11.03'!$T$3:$V$28,3,FALSE))</f>
        <v>0</v>
      </c>
      <c r="B49" s="1">
        <f>(VLOOKUP('S11.03'!B49,'S11.03'!$T$3:$V$28,3,FALSE))</f>
        <v>0</v>
      </c>
      <c r="C49" s="1">
        <f>(VLOOKUP('S11.03'!C49,'S11.03'!$T$3:$V$28,3,FALSE))</f>
        <v>45</v>
      </c>
      <c r="I49" s="1">
        <f>(VLOOKUP('S11.03'!I49,'S11.03'!$T$3:$V$28,3,FALSE))</f>
        <v>0</v>
      </c>
      <c r="J49" s="1">
        <f>(VLOOKUP('S11.03'!J49,'S11.03'!$T$3:$V$28,3,FALSE))</f>
        <v>0</v>
      </c>
      <c r="K49" s="1">
        <f>(VLOOKUP('S11.03'!K49,'S11.03'!$T$3:$V$28,3,FALSE))</f>
        <v>0</v>
      </c>
    </row>
    <row r="50" spans="1:11">
      <c r="A50" s="1">
        <f>(VLOOKUP('S11.03'!A50,'S11.03'!$T$3:$V$28,3,FALSE))</f>
        <v>0</v>
      </c>
      <c r="B50" s="1">
        <f>(VLOOKUP('S11.03'!B50,'S11.03'!$T$3:$V$28,3,FALSE))</f>
        <v>0</v>
      </c>
      <c r="C50" s="1">
        <f>(VLOOKUP('S11.03'!C50,'S11.03'!$T$3:$V$28,3,FALSE))</f>
        <v>0</v>
      </c>
      <c r="I50" s="1">
        <f>(VLOOKUP('S11.03'!I50,'S11.03'!$T$3:$V$28,3,FALSE))</f>
        <v>0</v>
      </c>
      <c r="J50" s="1">
        <f>(VLOOKUP('S11.03'!J50,'S11.03'!$T$3:$V$28,3,FALSE))</f>
        <v>0</v>
      </c>
      <c r="K50" s="1">
        <f>(VLOOKUP('S11.03'!K50,'S11.03'!$T$3:$V$28,3,FALSE))</f>
        <v>0</v>
      </c>
    </row>
    <row r="51" spans="1:11">
      <c r="A51" s="1">
        <f>(VLOOKUP('S11.03'!A51,'S11.03'!$T$3:$V$28,3,FALSE))</f>
        <v>0</v>
      </c>
      <c r="B51" s="1">
        <f>(VLOOKUP('S11.03'!B51,'S11.03'!$T$3:$V$28,3,FALSE))</f>
        <v>0</v>
      </c>
      <c r="C51" s="1">
        <f>(VLOOKUP('S11.03'!C51,'S11.03'!$T$3:$V$28,3,FALSE))</f>
        <v>0</v>
      </c>
      <c r="I51" s="1">
        <f>(VLOOKUP('S11.03'!I51,'S11.03'!$T$3:$V$28,3,FALSE))</f>
        <v>0</v>
      </c>
      <c r="J51" s="1">
        <f>(VLOOKUP('S11.03'!J51,'S11.03'!$T$3:$V$28,3,FALSE))</f>
        <v>0</v>
      </c>
      <c r="K51" s="1">
        <f>(VLOOKUP('S11.03'!K51,'S11.03'!$T$3:$V$28,3,FALSE))</f>
        <v>0</v>
      </c>
    </row>
    <row r="52" spans="1:11">
      <c r="A52" s="1">
        <f>(VLOOKUP('S11.03'!A52,'S11.03'!$T$3:$V$28,3,FALSE))</f>
        <v>0</v>
      </c>
      <c r="B52" s="1">
        <f>(VLOOKUP('S11.03'!B52,'S11.03'!$T$3:$V$28,3,FALSE))</f>
        <v>0</v>
      </c>
      <c r="C52" s="1">
        <f>(VLOOKUP('S11.03'!C52,'S11.03'!$T$3:$V$28,3,FALSE))</f>
        <v>0</v>
      </c>
      <c r="I52" s="1">
        <f>(VLOOKUP('S11.03'!I52,'S11.03'!$T$3:$V$28,3,FALSE))</f>
        <v>0</v>
      </c>
      <c r="J52" s="1">
        <f>(VLOOKUP('S11.03'!J52,'S11.03'!$T$3:$V$28,3,FALSE))</f>
        <v>0</v>
      </c>
      <c r="K52" s="1">
        <f>(VLOOKUP('S11.03'!K52,'S11.03'!$T$3:$V$28,3,FALSE))</f>
        <v>0</v>
      </c>
    </row>
    <row r="53" spans="1:11">
      <c r="A53" s="1">
        <f>(VLOOKUP('S11.03'!A53,'S11.03'!$T$3:$V$28,3,FALSE))</f>
        <v>0</v>
      </c>
      <c r="B53" s="1">
        <f>(VLOOKUP('S11.03'!B53,'S11.03'!$T$3:$V$28,3,FALSE))</f>
        <v>0</v>
      </c>
      <c r="C53" s="1">
        <f>(VLOOKUP('S11.03'!C53,'S11.03'!$T$3:$V$28,3,FALSE))</f>
        <v>0</v>
      </c>
      <c r="I53" s="1">
        <f>(VLOOKUP('S11.03'!I53,'S11.03'!$T$3:$V$28,3,FALSE))</f>
        <v>0</v>
      </c>
      <c r="J53" s="1">
        <f>(VLOOKUP('S11.03'!J53,'S11.03'!$T$3:$V$28,3,FALSE))</f>
        <v>0</v>
      </c>
      <c r="K53" s="1">
        <f>(VLOOKUP('S11.03'!K53,'S11.03'!$T$3:$V$28,3,FALSE))</f>
        <v>0</v>
      </c>
    </row>
    <row r="54" spans="1:11">
      <c r="A54" s="1">
        <f>(VLOOKUP('S11.03'!A54,'S11.03'!$T$3:$V$28,3,FALSE))</f>
        <v>0</v>
      </c>
      <c r="B54" s="1">
        <f>(VLOOKUP('S11.03'!B54,'S11.03'!$T$3:$V$28,3,FALSE))</f>
        <v>0</v>
      </c>
      <c r="C54" s="1">
        <f>(VLOOKUP('S11.03'!C54,'S11.03'!$T$3:$V$28,3,FALSE))</f>
        <v>0</v>
      </c>
      <c r="I54" s="1">
        <f>(VLOOKUP('S11.03'!I54,'S11.03'!$T$3:$V$28,3,FALSE))</f>
        <v>0</v>
      </c>
      <c r="J54" s="1">
        <f>(VLOOKUP('S11.03'!J54,'S11.03'!$T$3:$V$28,3,FALSE))</f>
        <v>0</v>
      </c>
      <c r="K54" s="1">
        <f>(VLOOKUP('S11.03'!K54,'S11.03'!$T$3:$V$28,3,FALSE))</f>
        <v>0</v>
      </c>
    </row>
    <row r="55" spans="1:11">
      <c r="A55" s="1">
        <f>(VLOOKUP('S11.03'!A55,'S11.03'!$T$3:$V$28,3,FALSE))</f>
        <v>0</v>
      </c>
      <c r="B55" s="1">
        <f>(VLOOKUP('S11.03'!B55,'S11.03'!$T$3:$V$28,3,FALSE))</f>
        <v>0</v>
      </c>
      <c r="C55" s="1">
        <f>(VLOOKUP('S11.03'!C55,'S11.03'!$T$3:$V$28,3,FALSE))</f>
        <v>0</v>
      </c>
      <c r="I55" s="1">
        <f>(VLOOKUP('S11.03'!I55,'S11.03'!$T$3:$V$28,3,FALSE))</f>
        <v>0</v>
      </c>
      <c r="J55" s="1">
        <f>(VLOOKUP('S11.03'!J55,'S11.03'!$T$3:$V$28,3,FALSE))</f>
        <v>0</v>
      </c>
      <c r="K55" s="1">
        <f>(VLOOKUP('S11.03'!K55,'S11.03'!$T$3:$V$28,3,FALSE))</f>
        <v>0</v>
      </c>
    </row>
    <row r="56" spans="1:11">
      <c r="A56" s="1">
        <f>(VLOOKUP('S11.03'!A56,'S11.03'!$T$3:$V$28,3,FALSE))</f>
        <v>0</v>
      </c>
      <c r="B56" s="1">
        <f>(VLOOKUP('S11.03'!B56,'S11.03'!$T$3:$V$28,3,FALSE))</f>
        <v>0</v>
      </c>
      <c r="C56" s="1">
        <f>(VLOOKUP('S11.03'!C56,'S11.03'!$T$3:$V$28,3,FALSE))</f>
        <v>0</v>
      </c>
      <c r="I56" s="1">
        <f>(VLOOKUP('S11.03'!I56,'S11.03'!$T$3:$V$28,3,FALSE))</f>
        <v>0</v>
      </c>
      <c r="J56" s="1">
        <f>(VLOOKUP('S11.03'!J56,'S11.03'!$T$3:$V$28,3,FALSE))</f>
        <v>0</v>
      </c>
      <c r="K56" s="1">
        <f>(VLOOKUP('S11.03'!K56,'S11.03'!$T$3:$V$28,3,FALSE))</f>
        <v>0</v>
      </c>
    </row>
    <row r="57" spans="1:11">
      <c r="A57" s="1">
        <f>(VLOOKUP('S11.03'!A57,'S11.03'!$T$3:$V$28,3,FALSE))</f>
        <v>0</v>
      </c>
      <c r="B57" s="1">
        <f>(VLOOKUP('S11.03'!B57,'S11.03'!$T$3:$V$28,3,FALSE))</f>
        <v>0</v>
      </c>
      <c r="C57" s="1">
        <f>(VLOOKUP('S11.03'!C57,'S11.03'!$T$3:$V$28,3,FALSE))</f>
        <v>0</v>
      </c>
      <c r="I57" s="1">
        <f>(VLOOKUP('S11.03'!I57,'S11.03'!$T$3:$V$28,3,FALSE))</f>
        <v>0</v>
      </c>
      <c r="J57" s="1">
        <f>(VLOOKUP('S11.03'!J57,'S11.03'!$T$3:$V$28,3,FALSE))</f>
        <v>0</v>
      </c>
      <c r="K57" s="1">
        <f>(VLOOKUP('S11.03'!K57,'S11.03'!$T$3:$V$28,3,FALSE))</f>
        <v>0</v>
      </c>
    </row>
    <row r="58" spans="1:11">
      <c r="A58" s="1">
        <f>(VLOOKUP('S11.03'!A58,'S11.03'!$T$3:$V$28,3,FALSE))</f>
        <v>0</v>
      </c>
      <c r="B58" s="1">
        <f>(VLOOKUP('S11.03'!B58,'S11.03'!$T$3:$V$28,3,FALSE))</f>
        <v>0</v>
      </c>
      <c r="C58" s="1">
        <f>(VLOOKUP('S11.03'!C58,'S11.03'!$T$3:$V$28,3,FALSE))</f>
        <v>0</v>
      </c>
      <c r="I58" s="1">
        <f>(VLOOKUP('S11.03'!I58,'S11.03'!$T$3:$V$28,3,FALSE))</f>
        <v>0</v>
      </c>
      <c r="J58" s="1">
        <f>(VLOOKUP('S11.03'!J58,'S11.03'!$T$3:$V$28,3,FALSE))</f>
        <v>0</v>
      </c>
      <c r="K58" s="1">
        <f>(VLOOKUP('S11.03'!K58,'S11.03'!$T$3:$V$28,3,FALSE))</f>
        <v>0</v>
      </c>
    </row>
    <row r="59" spans="1:11">
      <c r="A59" s="1">
        <f>(VLOOKUP('S11.03'!A59,'S11.03'!$T$3:$V$28,3,FALSE))</f>
        <v>0</v>
      </c>
      <c r="B59" s="1">
        <f>(VLOOKUP('S11.03'!B59,'S11.03'!$T$3:$V$28,3,FALSE))</f>
        <v>0</v>
      </c>
      <c r="C59" s="1">
        <f>(VLOOKUP('S11.03'!C59,'S11.03'!$T$3:$V$28,3,FALSE))</f>
        <v>0</v>
      </c>
      <c r="I59" s="1">
        <f>(VLOOKUP('S11.03'!I59,'S11.03'!$T$3:$V$28,3,FALSE))</f>
        <v>0</v>
      </c>
      <c r="J59" s="1">
        <f>(VLOOKUP('S11.03'!J59,'S11.03'!$T$3:$V$28,3,FALSE))</f>
        <v>0</v>
      </c>
      <c r="K59" s="1">
        <f>(VLOOKUP('S11.03'!K59,'S11.03'!$T$3:$V$28,3,FALSE))</f>
        <v>0</v>
      </c>
    </row>
    <row r="60" spans="1:11">
      <c r="A60" s="1">
        <f>(VLOOKUP('S11.03'!A60,'S11.03'!$T$3:$V$28,3,FALSE))</f>
        <v>0</v>
      </c>
      <c r="B60" s="1">
        <f>(VLOOKUP('S11.03'!B60,'S11.03'!$T$3:$V$28,3,FALSE))</f>
        <v>0</v>
      </c>
      <c r="C60" s="1">
        <f>(VLOOKUP('S11.03'!C60,'S11.03'!$T$3:$V$28,3,FALSE))</f>
        <v>0</v>
      </c>
      <c r="I60" s="1">
        <f>(VLOOKUP('S11.03'!I60,'S11.03'!$T$3:$V$28,3,FALSE))</f>
        <v>0</v>
      </c>
      <c r="J60" s="1">
        <f>(VLOOKUP('S11.03'!J60,'S11.03'!$T$3:$V$28,3,FALSE))</f>
        <v>0</v>
      </c>
      <c r="K60" s="1">
        <f>(VLOOKUP('S11.03'!K60,'S11.03'!$T$3:$V$28,3,FALSE))</f>
        <v>0</v>
      </c>
    </row>
    <row r="61" spans="1:11">
      <c r="A61" s="1">
        <f>(VLOOKUP('S11.03'!A61,'S11.03'!$T$3:$V$28,3,FALSE))</f>
        <v>0</v>
      </c>
      <c r="B61" s="1">
        <f>(VLOOKUP('S11.03'!B61,'S11.03'!$T$3:$V$28,3,FALSE))</f>
        <v>0</v>
      </c>
      <c r="C61" s="1">
        <f>(VLOOKUP('S11.03'!C61,'S11.03'!$T$3:$V$28,3,FALSE))</f>
        <v>0</v>
      </c>
      <c r="I61" s="1">
        <f>(VLOOKUP('S11.03'!I61,'S11.03'!$T$3:$V$28,3,FALSE))</f>
        <v>0</v>
      </c>
      <c r="J61" s="1">
        <f>(VLOOKUP('S11.03'!J61,'S11.03'!$T$3:$V$28,3,FALSE))</f>
        <v>0</v>
      </c>
      <c r="K61" s="1">
        <f>(VLOOKUP('S11.03'!K61,'S11.03'!$T$3:$V$28,3,FALSE))</f>
        <v>0</v>
      </c>
    </row>
    <row r="62" spans="1:11">
      <c r="A62" s="1">
        <f>(VLOOKUP('S11.03'!A62,'S11.03'!$T$3:$V$28,3,FALSE))</f>
        <v>0</v>
      </c>
      <c r="B62" s="1">
        <f>(VLOOKUP('S11.03'!B62,'S11.03'!$T$3:$V$28,3,FALSE))</f>
        <v>0</v>
      </c>
      <c r="C62" s="1">
        <f>(VLOOKUP('S11.03'!C62,'S11.03'!$T$3:$V$28,3,FALSE))</f>
        <v>0</v>
      </c>
      <c r="I62" s="1">
        <f>(VLOOKUP('S11.03'!I62,'S11.03'!$T$3:$V$28,3,FALSE))</f>
        <v>0</v>
      </c>
      <c r="J62" s="1">
        <f>(VLOOKUP('S11.03'!J62,'S11.03'!$T$3:$V$28,3,FALSE))</f>
        <v>0</v>
      </c>
      <c r="K62" s="1">
        <f>(VLOOKUP('S11.03'!K62,'S11.03'!$T$3:$V$28,3,FALSE))</f>
        <v>0</v>
      </c>
    </row>
    <row r="63" spans="1:11">
      <c r="A63" s="1">
        <f>(VLOOKUP('S11.03'!A63,'S11.03'!$T$3:$V$28,3,FALSE))</f>
        <v>0</v>
      </c>
      <c r="B63" s="1">
        <f>(VLOOKUP('S11.03'!B63,'S11.03'!$T$3:$V$28,3,FALSE))</f>
        <v>0</v>
      </c>
      <c r="C63" s="1">
        <f>(VLOOKUP('S11.03'!C63,'S11.03'!$T$3:$V$28,3,FALSE))</f>
        <v>0</v>
      </c>
      <c r="I63" s="1">
        <f>(VLOOKUP('S11.03'!I63,'S11.03'!$T$3:$V$28,3,FALSE))</f>
        <v>0</v>
      </c>
      <c r="J63" s="1">
        <f>(VLOOKUP('S11.03'!J63,'S11.03'!$T$3:$V$28,3,FALSE))</f>
        <v>0</v>
      </c>
      <c r="K63" s="1">
        <f>(VLOOKUP('S11.03'!K63,'S11.03'!$T$3:$V$28,3,FALSE))</f>
        <v>0</v>
      </c>
    </row>
    <row r="64" spans="1:11">
      <c r="A64" s="1">
        <f>(VLOOKUP('S11.03'!A64,'S11.03'!$T$3:$V$28,3,FALSE))</f>
        <v>0</v>
      </c>
      <c r="B64" s="1">
        <f>(VLOOKUP('S11.03'!B64,'S11.03'!$T$3:$V$28,3,FALSE))</f>
        <v>0</v>
      </c>
      <c r="C64" s="1">
        <f>(VLOOKUP('S11.03'!C64,'S11.03'!$T$3:$V$28,3,FALSE))</f>
        <v>0</v>
      </c>
      <c r="I64" s="1">
        <f>(VLOOKUP('S11.03'!I64,'S11.03'!$T$3:$V$28,3,FALSE))</f>
        <v>0</v>
      </c>
      <c r="J64" s="1">
        <f>(VLOOKUP('S11.03'!J64,'S11.03'!$T$3:$V$28,3,FALSE))</f>
        <v>0</v>
      </c>
      <c r="K64" s="1">
        <f>(VLOOKUP('S11.03'!K64,'S11.03'!$T$3:$V$28,3,FALSE))</f>
        <v>0</v>
      </c>
    </row>
    <row r="65" spans="1:11">
      <c r="A65" s="1">
        <f>(VLOOKUP('S11.03'!A65,'S11.03'!$T$3:$V$28,3,FALSE))</f>
        <v>0</v>
      </c>
      <c r="B65" s="1">
        <f>(VLOOKUP('S11.03'!B65,'S11.03'!$T$3:$V$28,3,FALSE))</f>
        <v>0</v>
      </c>
      <c r="C65" s="1">
        <f>(VLOOKUP('S11.03'!C65,'S11.03'!$T$3:$V$28,3,FALSE))</f>
        <v>0</v>
      </c>
      <c r="I65" s="1">
        <f>(VLOOKUP('S11.03'!I65,'S11.03'!$T$3:$V$28,3,FALSE))</f>
        <v>0</v>
      </c>
      <c r="J65" s="1">
        <f>(VLOOKUP('S11.03'!J65,'S11.03'!$T$3:$V$28,3,FALSE))</f>
        <v>0</v>
      </c>
      <c r="K65" s="1">
        <f>(VLOOKUP('S11.03'!K65,'S11.03'!$T$3:$V$28,3,FALSE))</f>
        <v>0</v>
      </c>
    </row>
    <row r="66" spans="1:11">
      <c r="A66" s="1">
        <f>(VLOOKUP('S11.03'!A66,'S11.03'!$T$3:$V$28,3,FALSE))</f>
        <v>0</v>
      </c>
      <c r="B66" s="1">
        <f>(VLOOKUP('S11.03'!B66,'S11.03'!$T$3:$V$28,3,FALSE))</f>
        <v>0</v>
      </c>
      <c r="C66" s="1">
        <f>(VLOOKUP('S11.03'!C66,'S11.03'!$T$3:$V$28,3,FALSE))</f>
        <v>0</v>
      </c>
      <c r="I66" s="1">
        <f>(VLOOKUP('S11.03'!I66,'S11.03'!$T$3:$V$28,3,FALSE))</f>
        <v>0</v>
      </c>
      <c r="J66" s="1">
        <f>(VLOOKUP('S11.03'!J66,'S11.03'!$T$3:$V$28,3,FALSE))</f>
        <v>0</v>
      </c>
      <c r="K66" s="1">
        <f>(VLOOKUP('S11.03'!K66,'S11.03'!$T$3:$V$28,3,FALSE))</f>
        <v>0</v>
      </c>
    </row>
    <row r="67" spans="1:11">
      <c r="A67" s="1">
        <f>(VLOOKUP('S11.03'!A67,'S11.03'!$T$3:$V$28,3,FALSE))</f>
        <v>0</v>
      </c>
      <c r="B67" s="1">
        <f>(VLOOKUP('S11.03'!B67,'S11.03'!$T$3:$V$28,3,FALSE))</f>
        <v>0</v>
      </c>
      <c r="C67" s="1">
        <f>(VLOOKUP('S11.03'!C67,'S11.03'!$T$3:$V$28,3,FALSE))</f>
        <v>0</v>
      </c>
      <c r="I67" s="1">
        <f>(VLOOKUP('S11.03'!I67,'S11.03'!$T$3:$V$28,3,FALSE))</f>
        <v>0</v>
      </c>
      <c r="J67" s="1">
        <f>(VLOOKUP('S11.03'!J67,'S11.03'!$T$3:$V$28,3,FALSE))</f>
        <v>0</v>
      </c>
      <c r="K67" s="1">
        <f>(VLOOKUP('S11.03'!K67,'S11.03'!$T$3:$V$28,3,FALSE))</f>
        <v>0</v>
      </c>
    </row>
    <row r="68" spans="1:11">
      <c r="A68" s="1">
        <f>(VLOOKUP('S11.03'!A68,'S11.03'!$T$3:$V$28,3,FALSE))</f>
        <v>0</v>
      </c>
      <c r="B68" s="1">
        <f>(VLOOKUP('S11.03'!B68,'S11.03'!$T$3:$V$28,3,FALSE))</f>
        <v>0</v>
      </c>
      <c r="C68" s="1">
        <f>(VLOOKUP('S11.03'!C68,'S11.03'!$T$3:$V$28,3,FALSE))</f>
        <v>0</v>
      </c>
      <c r="I68" s="1">
        <f>(VLOOKUP('S11.03'!I68,'S11.03'!$T$3:$V$28,3,FALSE))</f>
        <v>0</v>
      </c>
      <c r="J68" s="1">
        <f>(VLOOKUP('S11.03'!J68,'S11.03'!$T$3:$V$28,3,FALSE))</f>
        <v>0</v>
      </c>
      <c r="K68" s="1">
        <f>(VLOOKUP('S11.03'!K68,'S11.03'!$T$3:$V$28,3,FALSE))</f>
        <v>0</v>
      </c>
    </row>
    <row r="69" spans="1:11">
      <c r="A69" s="1">
        <f>(VLOOKUP('S11.03'!A69,'S11.03'!$T$3:$V$28,3,FALSE))</f>
        <v>0</v>
      </c>
      <c r="B69" s="1">
        <f>(VLOOKUP('S11.03'!B69,'S11.03'!$T$3:$V$28,3,FALSE))</f>
        <v>0</v>
      </c>
      <c r="C69" s="1">
        <f>(VLOOKUP('S11.03'!C69,'S11.03'!$T$3:$V$28,3,FALSE))</f>
        <v>0</v>
      </c>
      <c r="I69" s="1">
        <f>(VLOOKUP('S11.03'!I69,'S11.03'!$T$3:$V$28,3,FALSE))</f>
        <v>0</v>
      </c>
      <c r="J69" s="1">
        <f>(VLOOKUP('S11.03'!J69,'S11.03'!$T$3:$V$28,3,FALSE))</f>
        <v>0</v>
      </c>
      <c r="K69" s="1">
        <f>(VLOOKUP('S11.03'!K69,'S11.03'!$T$3:$V$28,3,FALSE))</f>
        <v>0</v>
      </c>
    </row>
    <row r="70" spans="1:11">
      <c r="A70" s="1">
        <f>(VLOOKUP('S11.03'!A70,'S11.03'!$T$3:$V$28,3,FALSE))</f>
        <v>0</v>
      </c>
      <c r="B70" s="1">
        <f>(VLOOKUP('S11.03'!B70,'S11.03'!$T$3:$V$28,3,FALSE))</f>
        <v>0</v>
      </c>
      <c r="C70" s="1">
        <f>(VLOOKUP('S11.03'!C70,'S11.03'!$T$3:$V$28,3,FALSE))</f>
        <v>0</v>
      </c>
      <c r="I70" s="1">
        <f>(VLOOKUP('S11.03'!I70,'S11.03'!$T$3:$V$28,3,FALSE))</f>
        <v>0</v>
      </c>
      <c r="J70" s="1">
        <f>(VLOOKUP('S11.03'!J70,'S11.03'!$T$3:$V$28,3,FALSE))</f>
        <v>0</v>
      </c>
      <c r="K70" s="1">
        <f>(VLOOKUP('S11.03'!K70,'S11.03'!$T$3:$V$28,3,FALSE))</f>
        <v>0</v>
      </c>
    </row>
    <row r="71" spans="1:11">
      <c r="A71" s="1">
        <f>(VLOOKUP('S11.03'!A71,'S11.03'!$T$3:$V$28,3,FALSE))</f>
        <v>0</v>
      </c>
      <c r="B71" s="1">
        <f>(VLOOKUP('S11.03'!B71,'S11.03'!$T$3:$V$28,3,FALSE))</f>
        <v>0</v>
      </c>
      <c r="C71" s="1">
        <f>(VLOOKUP('S11.03'!C71,'S11.03'!$T$3:$V$28,3,FALSE))</f>
        <v>0</v>
      </c>
      <c r="I71" s="1">
        <f>(VLOOKUP('S11.03'!I71,'S11.03'!$T$3:$V$28,3,FALSE))</f>
        <v>0</v>
      </c>
      <c r="J71" s="1">
        <f>(VLOOKUP('S11.03'!J71,'S11.03'!$T$3:$V$28,3,FALSE))</f>
        <v>0</v>
      </c>
      <c r="K71" s="1">
        <f>(VLOOKUP('S11.03'!K71,'S11.03'!$T$3:$V$28,3,FALSE))</f>
        <v>0</v>
      </c>
    </row>
    <row r="72" spans="1:11">
      <c r="A72" s="1">
        <f>(VLOOKUP('S11.03'!A72,'S11.03'!$T$3:$V$28,3,FALSE))</f>
        <v>0</v>
      </c>
      <c r="B72" s="1">
        <f>(VLOOKUP('S11.03'!B72,'S11.03'!$T$3:$V$28,3,FALSE))</f>
        <v>0</v>
      </c>
      <c r="C72" s="1">
        <f>(VLOOKUP('S11.03'!C72,'S11.03'!$T$3:$V$28,3,FALSE))</f>
        <v>0</v>
      </c>
      <c r="I72" s="1">
        <f>(VLOOKUP('S11.03'!I72,'S11.03'!$T$3:$V$28,3,FALSE))</f>
        <v>0</v>
      </c>
      <c r="J72" s="1">
        <f>(VLOOKUP('S11.03'!J72,'S11.03'!$T$3:$V$28,3,FALSE))</f>
        <v>0</v>
      </c>
      <c r="K72" s="1">
        <f>(VLOOKUP('S11.03'!K72,'S11.03'!$T$3:$V$28,3,FALSE))</f>
        <v>0</v>
      </c>
    </row>
    <row r="73" spans="1:11">
      <c r="A73" s="1">
        <f>(VLOOKUP('S11.03'!A73,'S11.03'!$T$3:$V$28,3,FALSE))</f>
        <v>0</v>
      </c>
      <c r="B73" s="1">
        <f>(VLOOKUP('S11.03'!B73,'S11.03'!$T$3:$V$28,3,FALSE))</f>
        <v>0</v>
      </c>
      <c r="C73" s="1">
        <f>(VLOOKUP('S11.03'!C73,'S11.03'!$T$3:$V$28,3,FALSE))</f>
        <v>0</v>
      </c>
      <c r="I73" s="1">
        <f>(VLOOKUP('S11.03'!I73,'S11.03'!$T$3:$V$28,3,FALSE))</f>
        <v>0</v>
      </c>
      <c r="J73" s="1">
        <f>(VLOOKUP('S11.03'!J73,'S11.03'!$T$3:$V$28,3,FALSE))</f>
        <v>0</v>
      </c>
      <c r="K73" s="1">
        <f>(VLOOKUP('S11.03'!K73,'S11.03'!$T$3:$V$28,3,FALSE))</f>
        <v>0</v>
      </c>
    </row>
    <row r="74" spans="1:11">
      <c r="A74" s="1">
        <f>(VLOOKUP('S11.03'!A74,'S11.03'!$T$3:$V$28,3,FALSE))</f>
        <v>0</v>
      </c>
      <c r="B74" s="1">
        <f>(VLOOKUP('S11.03'!B74,'S11.03'!$T$3:$V$28,3,FALSE))</f>
        <v>0</v>
      </c>
      <c r="C74" s="1">
        <f>(VLOOKUP('S11.03'!C74,'S11.03'!$T$3:$V$28,3,FALSE))</f>
        <v>0</v>
      </c>
      <c r="I74" s="1">
        <f>(VLOOKUP('S11.03'!I74,'S11.03'!$T$3:$V$28,3,FALSE))</f>
        <v>0</v>
      </c>
      <c r="J74" s="1">
        <f>(VLOOKUP('S11.03'!J74,'S11.03'!$T$3:$V$28,3,FALSE))</f>
        <v>0</v>
      </c>
      <c r="K74" s="1">
        <f>(VLOOKUP('S11.03'!K74,'S11.03'!$T$3:$V$28,3,FALSE))</f>
        <v>0</v>
      </c>
    </row>
    <row r="75" spans="1:11">
      <c r="A75" s="1">
        <f>(VLOOKUP('S11.03'!A75,'S11.03'!$T$3:$V$28,3,FALSE))</f>
        <v>0</v>
      </c>
      <c r="B75" s="1">
        <f>(VLOOKUP('S11.03'!B75,'S11.03'!$T$3:$V$28,3,FALSE))</f>
        <v>0</v>
      </c>
      <c r="C75" s="1">
        <f>(VLOOKUP('S11.03'!C75,'S11.03'!$T$3:$V$28,3,FALSE))</f>
        <v>0</v>
      </c>
      <c r="I75" s="1">
        <f>(VLOOKUP('S11.03'!I75,'S11.03'!$T$3:$V$28,3,FALSE))</f>
        <v>0</v>
      </c>
      <c r="J75" s="1">
        <f>(VLOOKUP('S11.03'!J75,'S11.03'!$T$3:$V$28,3,FALSE))</f>
        <v>0</v>
      </c>
      <c r="K75" s="1">
        <f>(VLOOKUP('S11.03'!K75,'S11.03'!$T$3:$V$28,3,FALSE))</f>
        <v>0</v>
      </c>
    </row>
    <row r="76" spans="1:11">
      <c r="A76" s="1">
        <f>(VLOOKUP('S11.03'!A76,'S11.03'!$T$3:$V$28,3,FALSE))</f>
        <v>0</v>
      </c>
      <c r="B76" s="1">
        <f>(VLOOKUP('S11.03'!B76,'S11.03'!$T$3:$V$28,3,FALSE))</f>
        <v>0</v>
      </c>
      <c r="C76" s="1">
        <f>(VLOOKUP('S11.03'!C76,'S11.03'!$T$3:$V$28,3,FALSE))</f>
        <v>0</v>
      </c>
      <c r="I76" s="1">
        <f>(VLOOKUP('S11.03'!I76,'S11.03'!$T$3:$V$28,3,FALSE))</f>
        <v>0</v>
      </c>
      <c r="J76" s="1">
        <f>(VLOOKUP('S11.03'!J76,'S11.03'!$T$3:$V$28,3,FALSE))</f>
        <v>0</v>
      </c>
      <c r="K76" s="1">
        <f>(VLOOKUP('S11.03'!K76,'S11.03'!$T$3:$V$28,3,FALSE))</f>
        <v>0</v>
      </c>
    </row>
    <row r="77" spans="1:11">
      <c r="A77" s="1">
        <f>(VLOOKUP('S11.03'!A77,'S11.03'!$T$3:$V$28,3,FALSE))</f>
        <v>0</v>
      </c>
      <c r="B77" s="1">
        <f>(VLOOKUP('S11.03'!B77,'S11.03'!$T$3:$V$28,3,FALSE))</f>
        <v>0</v>
      </c>
      <c r="C77" s="1">
        <f>(VLOOKUP('S11.03'!C77,'S11.03'!$T$3:$V$28,3,FALSE))</f>
        <v>0</v>
      </c>
      <c r="I77" s="1">
        <f>(VLOOKUP('S11.03'!I77,'S11.03'!$T$3:$V$28,3,FALSE))</f>
        <v>0</v>
      </c>
      <c r="J77" s="1">
        <f>(VLOOKUP('S11.03'!J77,'S11.03'!$T$3:$V$28,3,FALSE))</f>
        <v>0</v>
      </c>
      <c r="K77" s="1">
        <f>(VLOOKUP('S11.03'!K77,'S11.03'!$T$3:$V$28,3,FALSE))</f>
        <v>0</v>
      </c>
    </row>
    <row r="78" spans="1:11">
      <c r="A78" s="1">
        <f>(VLOOKUP('S11.03'!A78,'S11.03'!$T$3:$V$28,3,FALSE))</f>
        <v>0</v>
      </c>
      <c r="B78" s="1">
        <f>(VLOOKUP('S11.03'!B78,'S11.03'!$T$3:$V$28,3,FALSE))</f>
        <v>0</v>
      </c>
      <c r="C78" s="1">
        <f>(VLOOKUP('S11.03'!C78,'S11.03'!$T$3:$V$28,3,FALSE))</f>
        <v>0</v>
      </c>
      <c r="I78" s="1">
        <f>(VLOOKUP('S11.03'!I78,'S11.03'!$T$3:$V$28,3,FALSE))</f>
        <v>0</v>
      </c>
      <c r="J78" s="1">
        <f>(VLOOKUP('S11.03'!J78,'S11.03'!$T$3:$V$28,3,FALSE))</f>
        <v>0</v>
      </c>
      <c r="K78" s="1">
        <f>(VLOOKUP('S11.03'!K78,'S11.03'!$T$3:$V$28,3,FALSE))</f>
        <v>0</v>
      </c>
    </row>
    <row r="79" spans="1:11">
      <c r="A79" s="1">
        <f>(VLOOKUP('S11.03'!A79,'S11.03'!$T$3:$V$28,3,FALSE))</f>
        <v>0</v>
      </c>
      <c r="B79" s="1">
        <f>(VLOOKUP('S11.03'!B79,'S11.03'!$T$3:$V$28,3,FALSE))</f>
        <v>0</v>
      </c>
      <c r="C79" s="1">
        <f>(VLOOKUP('S11.03'!C79,'S11.03'!$T$3:$V$28,3,FALSE))</f>
        <v>0</v>
      </c>
      <c r="I79" s="1">
        <f>(VLOOKUP('S11.03'!I79,'S11.03'!$T$3:$V$28,3,FALSE))</f>
        <v>0</v>
      </c>
      <c r="J79" s="1">
        <f>(VLOOKUP('S11.03'!J79,'S11.03'!$T$3:$V$28,3,FALSE))</f>
        <v>0</v>
      </c>
      <c r="K79" s="1">
        <f>(VLOOKUP('S11.03'!K79,'S11.03'!$T$3:$V$28,3,FALSE))</f>
        <v>0</v>
      </c>
    </row>
    <row r="80" spans="1:11">
      <c r="A80" s="1">
        <f>(VLOOKUP('S11.03'!A80,'S11.03'!$T$3:$V$28,3,FALSE))</f>
        <v>0</v>
      </c>
      <c r="B80" s="1">
        <f>(VLOOKUP('S11.03'!B80,'S11.03'!$T$3:$V$28,3,FALSE))</f>
        <v>0</v>
      </c>
      <c r="C80" s="1">
        <f>(VLOOKUP('S11.03'!C80,'S11.03'!$T$3:$V$28,3,FALSE))</f>
        <v>0</v>
      </c>
      <c r="I80" s="1">
        <f>(VLOOKUP('S11.03'!I80,'S11.03'!$T$3:$V$28,3,FALSE))</f>
        <v>0</v>
      </c>
      <c r="J80" s="1">
        <f>(VLOOKUP('S11.03'!J80,'S11.03'!$T$3:$V$28,3,FALSE))</f>
        <v>0</v>
      </c>
      <c r="K80" s="1">
        <f>(VLOOKUP('S11.03'!K80,'S11.03'!$T$3:$V$28,3,FALSE))</f>
        <v>0</v>
      </c>
    </row>
    <row r="81" spans="1:11">
      <c r="A81" s="1">
        <f>(VLOOKUP('S11.03'!A81,'S11.03'!$T$3:$V$28,3,FALSE))</f>
        <v>0</v>
      </c>
      <c r="B81" s="1">
        <f>(VLOOKUP('S11.03'!B81,'S11.03'!$T$3:$V$28,3,FALSE))</f>
        <v>0</v>
      </c>
      <c r="C81" s="1">
        <f>(VLOOKUP('S11.03'!C81,'S11.03'!$T$3:$V$28,3,FALSE))</f>
        <v>0</v>
      </c>
      <c r="I81" s="1">
        <f>(VLOOKUP('S11.03'!I81,'S11.03'!$T$3:$V$28,3,FALSE))</f>
        <v>0</v>
      </c>
      <c r="J81" s="1">
        <f>(VLOOKUP('S11.03'!J81,'S11.03'!$T$3:$V$28,3,FALSE))</f>
        <v>0</v>
      </c>
      <c r="K81" s="1">
        <f>(VLOOKUP('S11.03'!K81,'S11.03'!$T$3:$V$28,3,FALSE))</f>
        <v>0</v>
      </c>
    </row>
    <row r="82" spans="1:11">
      <c r="A82" s="1">
        <f>(VLOOKUP('S11.03'!A82,'S11.03'!$T$3:$V$28,3,FALSE))</f>
        <v>0</v>
      </c>
      <c r="B82" s="1">
        <f>(VLOOKUP('S11.03'!B82,'S11.03'!$T$3:$V$28,3,FALSE))</f>
        <v>0</v>
      </c>
      <c r="C82" s="1">
        <f>(VLOOKUP('S11.03'!C82,'S11.03'!$T$3:$V$28,3,FALSE))</f>
        <v>0</v>
      </c>
      <c r="I82" s="1">
        <f>(VLOOKUP('S11.03'!I82,'S11.03'!$T$3:$V$28,3,FALSE))</f>
        <v>0</v>
      </c>
      <c r="J82" s="1">
        <f>(VLOOKUP('S11.03'!J82,'S11.03'!$T$3:$V$28,3,FALSE))</f>
        <v>0</v>
      </c>
      <c r="K82" s="1">
        <f>(VLOOKUP('S11.03'!K82,'S11.03'!$T$3:$V$28,3,FALSE))</f>
        <v>0</v>
      </c>
    </row>
    <row r="83" spans="1:11">
      <c r="A83" s="1">
        <f>(VLOOKUP('S11.03'!A83,'S11.03'!$T$3:$V$28,3,FALSE))</f>
        <v>0</v>
      </c>
      <c r="B83" s="1">
        <f>(VLOOKUP('S11.03'!B83,'S11.03'!$T$3:$V$28,3,FALSE))</f>
        <v>0</v>
      </c>
      <c r="C83" s="1">
        <f>(VLOOKUP('S11.03'!C83,'S11.03'!$T$3:$V$28,3,FALSE))</f>
        <v>0</v>
      </c>
      <c r="I83" s="1">
        <f>(VLOOKUP('S11.03'!I83,'S11.03'!$T$3:$V$28,3,FALSE))</f>
        <v>0</v>
      </c>
      <c r="J83" s="1">
        <f>(VLOOKUP('S11.03'!J83,'S11.03'!$T$3:$V$28,3,FALSE))</f>
        <v>0</v>
      </c>
      <c r="K83" s="1">
        <f>(VLOOKUP('S11.03'!K83,'S11.03'!$T$3:$V$28,3,FALSE))</f>
        <v>0</v>
      </c>
    </row>
    <row r="84" spans="1:11">
      <c r="A84" s="1">
        <f>(VLOOKUP('S11.03'!A84,'S11.03'!$T$3:$V$28,3,FALSE))</f>
        <v>0</v>
      </c>
      <c r="B84" s="1">
        <f>(VLOOKUP('S11.03'!B84,'S11.03'!$T$3:$V$28,3,FALSE))</f>
        <v>0</v>
      </c>
      <c r="C84" s="1">
        <f>(VLOOKUP('S11.03'!C84,'S11.03'!$T$3:$V$28,3,FALSE))</f>
        <v>0</v>
      </c>
      <c r="I84" s="1">
        <f>(VLOOKUP('S11.03'!I84,'S11.03'!$T$3:$V$28,3,FALSE))</f>
        <v>0</v>
      </c>
      <c r="J84" s="1">
        <f>(VLOOKUP('S11.03'!J84,'S11.03'!$T$3:$V$28,3,FALSE))</f>
        <v>0</v>
      </c>
      <c r="K84" s="1">
        <f>(VLOOKUP('S11.03'!K84,'S11.03'!$T$3:$V$28,3,FALSE))</f>
        <v>0</v>
      </c>
    </row>
    <row r="85" spans="1:11">
      <c r="A85" s="1">
        <f>(VLOOKUP('S11.03'!A85,'S11.03'!$T$3:$V$28,3,FALSE))</f>
        <v>0</v>
      </c>
      <c r="B85" s="1">
        <f>(VLOOKUP('S11.03'!B85,'S11.03'!$T$3:$V$28,3,FALSE))</f>
        <v>0</v>
      </c>
      <c r="C85" s="1">
        <f>(VLOOKUP('S11.03'!C85,'S11.03'!$T$3:$V$28,3,FALSE))</f>
        <v>0</v>
      </c>
      <c r="I85" s="1">
        <f>(VLOOKUP('S11.03'!I85,'S11.03'!$T$3:$V$28,3,FALSE))</f>
        <v>0</v>
      </c>
      <c r="J85" s="1">
        <f>(VLOOKUP('S11.03'!J85,'S11.03'!$T$3:$V$28,3,FALSE))</f>
        <v>0</v>
      </c>
      <c r="K85" s="1">
        <f>(VLOOKUP('S11.03'!K85,'S11.03'!$T$3:$V$28,3,FALSE))</f>
        <v>0</v>
      </c>
    </row>
    <row r="86" spans="1:11">
      <c r="A86" s="1">
        <f>(VLOOKUP('S11.03'!A86,'S11.03'!$T$3:$V$28,3,FALSE))</f>
        <v>0</v>
      </c>
      <c r="B86" s="1">
        <f>(VLOOKUP('S11.03'!B86,'S11.03'!$T$3:$V$28,3,FALSE))</f>
        <v>0</v>
      </c>
      <c r="C86" s="1">
        <f>(VLOOKUP('S11.03'!C86,'S11.03'!$T$3:$V$28,3,FALSE))</f>
        <v>0</v>
      </c>
      <c r="I86" s="1">
        <f>(VLOOKUP('S11.03'!I86,'S11.03'!$T$3:$V$28,3,FALSE))</f>
        <v>0</v>
      </c>
      <c r="J86" s="1">
        <f>(VLOOKUP('S11.03'!J86,'S11.03'!$T$3:$V$28,3,FALSE))</f>
        <v>0</v>
      </c>
      <c r="K86" s="1">
        <f>(VLOOKUP('S11.03'!K86,'S11.03'!$T$3:$V$28,3,FALSE))</f>
        <v>0</v>
      </c>
    </row>
    <row r="87" spans="1:11">
      <c r="A87" s="1">
        <f>(VLOOKUP('S11.03'!A87,'S11.03'!$T$3:$V$28,3,FALSE))</f>
        <v>0</v>
      </c>
      <c r="B87" s="1">
        <f>(VLOOKUP('S11.03'!B87,'S11.03'!$T$3:$V$28,3,FALSE))</f>
        <v>0</v>
      </c>
      <c r="C87" s="1">
        <f>(VLOOKUP('S11.03'!C87,'S11.03'!$T$3:$V$28,3,FALSE))</f>
        <v>0</v>
      </c>
      <c r="I87" s="1">
        <f>(VLOOKUP('S11.03'!I87,'S11.03'!$T$3:$V$28,3,FALSE))</f>
        <v>0</v>
      </c>
      <c r="J87" s="1">
        <f>(VLOOKUP('S11.03'!J87,'S11.03'!$T$3:$V$28,3,FALSE))</f>
        <v>0</v>
      </c>
      <c r="K87" s="1">
        <f>(VLOOKUP('S11.03'!K87,'S11.03'!$T$3:$V$28,3,FALSE))</f>
        <v>0</v>
      </c>
    </row>
    <row r="88" spans="1:11">
      <c r="A88" s="1">
        <f>(VLOOKUP('S11.03'!A88,'S11.03'!$T$3:$V$28,3,FALSE))</f>
        <v>0</v>
      </c>
      <c r="B88" s="1">
        <f>(VLOOKUP('S11.03'!B88,'S11.03'!$T$3:$V$28,3,FALSE))</f>
        <v>0</v>
      </c>
      <c r="C88" s="1">
        <f>(VLOOKUP('S11.03'!C88,'S11.03'!$T$3:$V$28,3,FALSE))</f>
        <v>0</v>
      </c>
      <c r="I88" s="1">
        <f>(VLOOKUP('S11.03'!I88,'S11.03'!$T$3:$V$28,3,FALSE))</f>
        <v>0</v>
      </c>
      <c r="J88" s="1">
        <f>(VLOOKUP('S11.03'!J88,'S11.03'!$T$3:$V$28,3,FALSE))</f>
        <v>0</v>
      </c>
      <c r="K88" s="1">
        <f>(VLOOKUP('S11.03'!K88,'S11.03'!$T$3:$V$28,3,FALSE))</f>
        <v>0</v>
      </c>
    </row>
    <row r="89" spans="1:11">
      <c r="A89" s="1">
        <f>(VLOOKUP('S11.03'!A89,'S11.03'!$T$3:$V$28,3,FALSE))</f>
        <v>0</v>
      </c>
      <c r="B89" s="1">
        <f>(VLOOKUP('S11.03'!B89,'S11.03'!$T$3:$V$28,3,FALSE))</f>
        <v>0</v>
      </c>
      <c r="C89" s="1">
        <f>(VLOOKUP('S11.03'!C89,'S11.03'!$T$3:$V$28,3,FALSE))</f>
        <v>0</v>
      </c>
      <c r="I89" s="1">
        <f>(VLOOKUP('S11.03'!I89,'S11.03'!$T$3:$V$28,3,FALSE))</f>
        <v>0</v>
      </c>
      <c r="J89" s="1">
        <f>(VLOOKUP('S11.03'!J89,'S11.03'!$T$3:$V$28,3,FALSE))</f>
        <v>0</v>
      </c>
      <c r="K89" s="1">
        <f>(VLOOKUP('S11.03'!K89,'S11.03'!$T$3:$V$28,3,FALSE))</f>
        <v>0</v>
      </c>
    </row>
    <row r="90" spans="1:11">
      <c r="A90" s="1">
        <f>(VLOOKUP('S11.03'!A90,'S11.03'!$T$3:$V$28,3,FALSE))</f>
        <v>0</v>
      </c>
      <c r="B90" s="1">
        <f>(VLOOKUP('S11.03'!B90,'S11.03'!$T$3:$V$28,3,FALSE))</f>
        <v>0</v>
      </c>
      <c r="C90" s="1">
        <f>(VLOOKUP('S11.03'!C90,'S11.03'!$T$3:$V$28,3,FALSE))</f>
        <v>0</v>
      </c>
      <c r="I90" s="1">
        <f>(VLOOKUP('S11.03'!I90,'S11.03'!$T$3:$V$28,3,FALSE))</f>
        <v>0</v>
      </c>
      <c r="J90" s="1">
        <f>(VLOOKUP('S11.03'!J90,'S11.03'!$T$3:$V$28,3,FALSE))</f>
        <v>0</v>
      </c>
      <c r="K90" s="1">
        <f>(VLOOKUP('S11.03'!K90,'S11.03'!$T$3:$V$28,3,FALSE))</f>
        <v>0</v>
      </c>
    </row>
    <row r="91" spans="1:11">
      <c r="A91" s="1">
        <f>(VLOOKUP('S11.03'!A91,'S11.03'!$T$3:$V$28,3,FALSE))</f>
        <v>0</v>
      </c>
      <c r="B91" s="1">
        <f>(VLOOKUP('S11.03'!B91,'S11.03'!$T$3:$V$28,3,FALSE))</f>
        <v>0</v>
      </c>
      <c r="C91" s="1">
        <f>(VLOOKUP('S11.03'!C91,'S11.03'!$T$3:$V$28,3,FALSE))</f>
        <v>0</v>
      </c>
      <c r="I91" s="1">
        <f>(VLOOKUP('S11.03'!I91,'S11.03'!$T$3:$V$28,3,FALSE))</f>
        <v>0</v>
      </c>
      <c r="J91" s="1">
        <f>(VLOOKUP('S11.03'!J91,'S11.03'!$T$3:$V$28,3,FALSE))</f>
        <v>0</v>
      </c>
      <c r="K91" s="1">
        <f>(VLOOKUP('S11.03'!K91,'S11.03'!$T$3:$V$28,3,FALSE))</f>
        <v>0</v>
      </c>
    </row>
    <row r="92" spans="1:11">
      <c r="A92" s="1">
        <f>(VLOOKUP('S11.03'!A92,'S11.03'!$T$3:$V$28,3,FALSE))</f>
        <v>0</v>
      </c>
      <c r="B92" s="1">
        <f>(VLOOKUP('S11.03'!B92,'S11.03'!$T$3:$V$28,3,FALSE))</f>
        <v>0</v>
      </c>
      <c r="C92" s="1">
        <f>(VLOOKUP('S11.03'!C92,'S11.03'!$T$3:$V$28,3,FALSE))</f>
        <v>0</v>
      </c>
      <c r="I92" s="1">
        <f>(VLOOKUP('S11.03'!I92,'S11.03'!$T$3:$V$28,3,FALSE))</f>
        <v>0</v>
      </c>
      <c r="J92" s="1">
        <f>(VLOOKUP('S11.03'!J92,'S11.03'!$T$3:$V$28,3,FALSE))</f>
        <v>0</v>
      </c>
      <c r="K92" s="1">
        <f>(VLOOKUP('S11.03'!K92,'S11.03'!$T$3:$V$28,3,FALSE))</f>
        <v>0</v>
      </c>
    </row>
    <row r="93" spans="1:11">
      <c r="A93" s="1">
        <f>(VLOOKUP('S11.03'!A93,'S11.03'!$T$3:$V$28,3,FALSE))</f>
        <v>0</v>
      </c>
      <c r="B93" s="1">
        <f>(VLOOKUP('S11.03'!B93,'S11.03'!$T$3:$V$28,3,FALSE))</f>
        <v>0</v>
      </c>
      <c r="C93" s="1">
        <f>(VLOOKUP('S11.03'!C93,'S11.03'!$T$3:$V$28,3,FALSE))</f>
        <v>0</v>
      </c>
      <c r="I93" s="1">
        <f>(VLOOKUP('S11.03'!I93,'S11.03'!$T$3:$V$28,3,FALSE))</f>
        <v>0</v>
      </c>
      <c r="J93" s="1">
        <f>(VLOOKUP('S11.03'!J93,'S11.03'!$T$3:$V$28,3,FALSE))</f>
        <v>0</v>
      </c>
      <c r="K93" s="1">
        <f>(VLOOKUP('S11.03'!K93,'S11.03'!$T$3:$V$28,3,FALSE))</f>
        <v>0</v>
      </c>
    </row>
    <row r="94" spans="1:11">
      <c r="A94" s="1">
        <f>(VLOOKUP('S11.03'!A94,'S11.03'!$T$3:$V$28,3,FALSE))</f>
        <v>0</v>
      </c>
      <c r="B94" s="1">
        <f>(VLOOKUP('S11.03'!B94,'S11.03'!$T$3:$V$28,3,FALSE))</f>
        <v>0</v>
      </c>
      <c r="C94" s="1">
        <f>(VLOOKUP('S11.03'!C94,'S11.03'!$T$3:$V$28,3,FALSE))</f>
        <v>0</v>
      </c>
      <c r="I94" s="1">
        <f>(VLOOKUP('S11.03'!I94,'S11.03'!$T$3:$V$28,3,FALSE))</f>
        <v>0</v>
      </c>
      <c r="J94" s="1">
        <f>(VLOOKUP('S11.03'!J94,'S11.03'!$T$3:$V$28,3,FALSE))</f>
        <v>0</v>
      </c>
      <c r="K94" s="1">
        <f>(VLOOKUP('S11.03'!K94,'S11.03'!$T$3:$V$28,3,FALSE))</f>
        <v>0</v>
      </c>
    </row>
    <row r="95" spans="1:11">
      <c r="A95" s="1">
        <f>(VLOOKUP('S11.03'!A95,'S11.03'!$T$3:$V$28,3,FALSE))</f>
        <v>0</v>
      </c>
      <c r="B95" s="1">
        <f>(VLOOKUP('S11.03'!B95,'S11.03'!$T$3:$V$28,3,FALSE))</f>
        <v>0</v>
      </c>
      <c r="C95" s="1">
        <f>(VLOOKUP('S11.03'!C95,'S11.03'!$T$3:$V$28,3,FALSE))</f>
        <v>0</v>
      </c>
      <c r="I95" s="1">
        <f>(VLOOKUP('S11.03'!I95,'S11.03'!$T$3:$V$28,3,FALSE))</f>
        <v>0</v>
      </c>
      <c r="J95" s="1">
        <f>(VLOOKUP('S11.03'!J95,'S11.03'!$T$3:$V$28,3,FALSE))</f>
        <v>0</v>
      </c>
      <c r="K95" s="1">
        <f>(VLOOKUP('S11.03'!K95,'S11.03'!$T$3:$V$28,3,FALSE))</f>
        <v>0</v>
      </c>
    </row>
    <row r="96" spans="1:11">
      <c r="A96" s="1">
        <f>(VLOOKUP('S11.03'!A96,'S11.03'!$T$3:$V$28,3,FALSE))</f>
        <v>0</v>
      </c>
      <c r="B96" s="1">
        <f>(VLOOKUP('S11.03'!B96,'S11.03'!$T$3:$V$28,3,FALSE))</f>
        <v>0</v>
      </c>
      <c r="C96" s="1">
        <f>(VLOOKUP('S11.03'!C96,'S11.03'!$T$3:$V$28,3,FALSE))</f>
        <v>0</v>
      </c>
      <c r="I96" s="1">
        <f>(VLOOKUP('S11.03'!I96,'S11.03'!$T$3:$V$28,3,FALSE))</f>
        <v>0</v>
      </c>
      <c r="J96" s="1">
        <f>(VLOOKUP('S11.03'!J96,'S11.03'!$T$3:$V$28,3,FALSE))</f>
        <v>0</v>
      </c>
      <c r="K96" s="1">
        <f>(VLOOKUP('S11.03'!K96,'S11.03'!$T$3:$V$28,3,FALSE))</f>
        <v>0</v>
      </c>
    </row>
    <row r="97" spans="1:11">
      <c r="A97" s="1">
        <f>(VLOOKUP('S11.03'!A97,'S11.03'!$T$3:$V$28,3,FALSE))</f>
        <v>0</v>
      </c>
      <c r="B97" s="1">
        <f>(VLOOKUP('S11.03'!B97,'S11.03'!$T$3:$V$28,3,FALSE))</f>
        <v>0</v>
      </c>
      <c r="C97" s="1">
        <f>(VLOOKUP('S11.03'!C97,'S11.03'!$T$3:$V$28,3,FALSE))</f>
        <v>0</v>
      </c>
      <c r="I97" s="1">
        <f>(VLOOKUP('S11.03'!I97,'S11.03'!$T$3:$V$28,3,FALSE))</f>
        <v>0</v>
      </c>
      <c r="J97" s="1">
        <f>(VLOOKUP('S11.03'!J97,'S11.03'!$T$3:$V$28,3,FALSE))</f>
        <v>0</v>
      </c>
      <c r="K97" s="1">
        <f>(VLOOKUP('S11.03'!K97,'S11.03'!$T$3:$V$28,3,FALSE))</f>
        <v>0</v>
      </c>
    </row>
    <row r="98" spans="1:11">
      <c r="A98" s="1">
        <f>(VLOOKUP('S11.03'!A98,'S11.03'!$T$3:$V$28,3,FALSE))</f>
        <v>0</v>
      </c>
      <c r="B98" s="1">
        <f>(VLOOKUP('S11.03'!B98,'S11.03'!$T$3:$V$28,3,FALSE))</f>
        <v>0</v>
      </c>
      <c r="C98" s="1">
        <f>(VLOOKUP('S11.03'!C98,'S11.03'!$T$3:$V$28,3,FALSE))</f>
        <v>0</v>
      </c>
      <c r="I98" s="1">
        <f>(VLOOKUP('S11.03'!I98,'S11.03'!$T$3:$V$28,3,FALSE))</f>
        <v>0</v>
      </c>
      <c r="J98" s="1">
        <f>(VLOOKUP('S11.03'!J98,'S11.03'!$T$3:$V$28,3,FALSE))</f>
        <v>0</v>
      </c>
      <c r="K98" s="1">
        <f>(VLOOKUP('S11.03'!K98,'S11.03'!$T$3:$V$28,3,FALSE))</f>
        <v>0</v>
      </c>
    </row>
    <row r="99" spans="1:11">
      <c r="A99" s="1">
        <f>(VLOOKUP('S11.03'!A99,'S11.03'!$T$3:$V$28,3,FALSE))</f>
        <v>0</v>
      </c>
      <c r="B99" s="1">
        <f>(VLOOKUP('S11.03'!B99,'S11.03'!$T$3:$V$28,3,FALSE))</f>
        <v>0</v>
      </c>
      <c r="C99" s="1">
        <f>(VLOOKUP('S11.03'!C99,'S11.03'!$T$3:$V$28,3,FALSE))</f>
        <v>0</v>
      </c>
      <c r="I99" s="1">
        <f>(VLOOKUP('S11.03'!I99,'S11.03'!$T$3:$V$28,3,FALSE))</f>
        <v>0</v>
      </c>
      <c r="J99" s="1">
        <f>(VLOOKUP('S11.03'!J99,'S11.03'!$T$3:$V$28,3,FALSE))</f>
        <v>0</v>
      </c>
      <c r="K99" s="1">
        <f>(VLOOKUP('S11.03'!K99,'S11.03'!$T$3:$V$28,3,FALSE))</f>
        <v>0</v>
      </c>
    </row>
    <row r="100" spans="1:11">
      <c r="A100" s="1">
        <f>(VLOOKUP('S11.03'!A100,'S11.03'!$T$3:$V$28,3,FALSE))</f>
        <v>0</v>
      </c>
      <c r="B100" s="1">
        <f>(VLOOKUP('S11.03'!B100,'S11.03'!$T$3:$V$28,3,FALSE))</f>
        <v>0</v>
      </c>
      <c r="C100" s="1">
        <f>(VLOOKUP('S11.03'!C100,'S11.03'!$T$3:$V$28,3,FALSE))</f>
        <v>0</v>
      </c>
      <c r="I100" s="1">
        <f>(VLOOKUP('S11.03'!I100,'S11.03'!$T$3:$V$28,3,FALSE))</f>
        <v>0</v>
      </c>
      <c r="J100" s="1">
        <f>(VLOOKUP('S11.03'!J100,'S11.03'!$T$3:$V$28,3,FALSE))</f>
        <v>0</v>
      </c>
      <c r="K100" s="1">
        <f>(VLOOKUP('S11.03'!K100,'S11.03'!$T$3:$V$28,3,FALSE))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S11.03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2022-03-21T23:53:23Z</dcterms:created>
  <dcterms:modified xsi:type="dcterms:W3CDTF">2023-03-17T08:15:50Z</dcterms:modified>
</cp:coreProperties>
</file>