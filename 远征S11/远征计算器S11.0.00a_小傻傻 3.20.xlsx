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6EC3D8C4-3B6C-4F61-B655-833549E1E2B8}" xr6:coauthVersionLast="47" xr6:coauthVersionMax="47" xr10:uidLastSave="{00000000-0000-0000-0000-000000000000}"/>
  <bookViews>
    <workbookView xWindow="2475" yWindow="1005" windowWidth="19365" windowHeight="10950" xr2:uid="{00000000-000D-0000-FFFF-FFFF00000000}"/>
  </bookViews>
  <sheets>
    <sheet name="11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4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</calcChain>
</file>

<file path=xl/sharedStrings.xml><?xml version="1.0" encoding="utf-8"?>
<sst xmlns="http://schemas.openxmlformats.org/spreadsheetml/2006/main" count="2379" uniqueCount="76">
  <si>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</si>
  <si>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</si>
  <si>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</si>
  <si>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</si>
  <si>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</si>
  <si>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</si>
  <si>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</si>
  <si>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</si>
  <si>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</si>
  <si>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</si>
  <si>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</si>
  <si>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</si>
  <si>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</si>
  <si>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</si>
  <si>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</si>
  <si>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</si>
  <si>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</si>
  <si>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</si>
  <si>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</si>
  <si>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</si>
  <si>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</si>
  <si>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</si>
  <si>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</si>
  <si>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</si>
  <si>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</si>
  <si>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</si>
  <si>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</si>
  <si>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</si>
  <si>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</si>
  <si>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</si>
  <si>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</si>
  <si>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</si>
  <si>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</si>
  <si>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</si>
  <si>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</si>
  <si>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</si>
  <si>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</si>
  <si>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</si>
  <si>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</si>
  <si>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</si>
  <si>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</si>
  <si>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</si>
  <si>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</si>
  <si>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</si>
  <si>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</si>
  <si>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</si>
  <si>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</si>
  <si>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</si>
  <si>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</si>
  <si>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</si>
  <si>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</si>
  <si>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</si>
  <si>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</si>
  <si>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</si>
  <si>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</si>
  <si>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</si>
  <si>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</si>
  <si>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</si>
  <si>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</si>
  <si>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</si>
  <si>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</si>
  <si>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</si>
  <si>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</si>
  <si>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</si>
  <si>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</si>
  <si>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</si>
  <si>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</si>
  <si>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</si>
  <si>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</si>
  <si>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</si>
  <si>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</si>
  <si>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粮草调整</t>
  </si>
  <si>
    <t>version 11.07</t>
  </si>
  <si>
    <t>队伍一 风</t>
    <phoneticPr fontId="8" type="noConversion"/>
  </si>
  <si>
    <t>队伍二 土</t>
    <phoneticPr fontId="8" type="noConversion"/>
  </si>
  <si>
    <t>队伍三 火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</si>
</sst>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3" fillId="9" borderId="13" xfId="0" applyFont="1" applyFill="1" applyBorder="1"/>
    <xf numFmtId="0" fontId="3" fillId="14" borderId="13" xfId="0" applyFont="1" applyFill="1" applyBorder="1"/>
    <xf numFmtId="0" fontId="3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10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3" fillId="18" borderId="13" xfId="0" applyFont="1" applyFill="1" applyBorder="1"/>
    <xf numFmtId="0" fontId="0" fillId="11" borderId="4" xfId="0" applyFill="1" applyBorder="1"/>
    <xf numFmtId="0" fontId="3" fillId="19" borderId="13" xfId="0" applyFont="1" applyFill="1" applyBorder="1"/>
    <xf numFmtId="0" fontId="3" fillId="20" borderId="13" xfId="0" applyFont="1" applyFill="1" applyBorder="1"/>
    <xf numFmtId="0" fontId="3" fillId="21" borderId="13" xfId="0" applyFont="1" applyFill="1" applyBorder="1"/>
    <xf numFmtId="0" fontId="3" fillId="5" borderId="13" xfId="0" applyFont="1" applyFill="1" applyBorder="1"/>
    <xf numFmtId="0" fontId="3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9" fillId="0" borderId="0" xfId="0" applyFont="1"/>
    <xf numFmtId="0" fontId="9" fillId="11" borderId="10" xfId="0" applyFont="1" applyFill="1" applyBorder="1"/>
    <xf numFmtId="0" fontId="9" fillId="11" borderId="11" xfId="0" applyFont="1" applyFill="1" applyBorder="1"/>
    <xf numFmtId="0" fontId="10" fillId="22" borderId="14" xfId="0" applyFont="1" applyFill="1" applyBorder="1" applyAlignment="1">
      <alignment horizontal="center" wrapText="1"/>
    </xf>
    <xf numFmtId="0" fontId="10" fillId="22" borderId="14" xfId="0" applyFont="1" applyFill="1" applyBorder="1" applyAlignment="1">
      <alignment wrapText="1"/>
    </xf>
    <xf numFmtId="0" fontId="10" fillId="22" borderId="15" xfId="0" applyFont="1" applyFill="1" applyBorder="1" applyAlignment="1">
      <alignment wrapText="1"/>
    </xf>
    <xf numFmtId="0" fontId="11" fillId="15" borderId="15" xfId="0" applyFont="1" applyFill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Fill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13" borderId="13" xfId="0" applyFont="1" applyFill="1" applyBorder="1" applyAlignment="1">
      <alignment vertical="top"/>
    </xf>
    <xf numFmtId="0" fontId="12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3" fillId="12" borderId="5" xfId="0" applyFont="1" applyFill="1" applyBorder="1"/>
    <xf numFmtId="0" fontId="10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7" fillId="3" borderId="0" xfId="0" applyFont="1" applyFill="1"/>
    <xf numFmtId="0" fontId="10" fillId="25" borderId="13" xfId="0" applyFont="1" applyFill="1" applyBorder="1"/>
    <xf numFmtId="0" fontId="13" fillId="0" borderId="0" xfId="0" applyFont="1"/>
    <xf numFmtId="0" fontId="14" fillId="17" borderId="13" xfId="0" applyFont="1" applyFill="1" applyBorder="1" applyAlignment="1">
      <alignment vertical="top"/>
    </xf>
    <xf numFmtId="0" fontId="13" fillId="0" borderId="17" xfId="0" applyFont="1" applyBorder="1"/>
    <xf numFmtId="0" fontId="14" fillId="8" borderId="13" xfId="0" applyFont="1" applyFill="1" applyBorder="1" applyAlignment="1">
      <alignment vertical="top"/>
    </xf>
    <xf numFmtId="0" fontId="14" fillId="13" borderId="13" xfId="0" applyFont="1" applyFill="1" applyBorder="1" applyAlignment="1">
      <alignment vertical="top"/>
    </xf>
    <xf numFmtId="0" fontId="14" fillId="10" borderId="13" xfId="0" applyFont="1" applyFill="1" applyBorder="1" applyAlignment="1">
      <alignment vertical="top"/>
    </xf>
    <xf numFmtId="0" fontId="14" fillId="16" borderId="13" xfId="0" applyFont="1" applyFill="1" applyBorder="1" applyAlignment="1">
      <alignment vertical="top"/>
    </xf>
    <xf numFmtId="0" fontId="14" fillId="2" borderId="13" xfId="0" applyFont="1" applyFill="1" applyBorder="1" applyAlignment="1">
      <alignment vertical="top"/>
    </xf>
    <xf numFmtId="0" fontId="2" fillId="7" borderId="12" xfId="0" applyFont="1" applyFill="1" applyBorder="1" applyAlignment="1">
      <alignment wrapText="1"/>
    </xf>
    <xf numFmtId="0" fontId="3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10" fillId="26" borderId="13" xfId="0" applyFont="1" applyFill="1" applyBorder="1"/>
    <xf numFmtId="0" fontId="0" fillId="28" borderId="13" xfId="0" applyFill="1" applyBorder="1" applyAlignment="1">
      <alignment vertical="top"/>
    </xf>
    <xf numFmtId="0" fontId="1" fillId="23" borderId="0" xfId="0" applyFont="1" applyFill="1" applyAlignment="1">
      <alignment wrapText="1"/>
    </xf>
    <xf numFmtId="0" fontId="1" fillId="0" borderId="0" xfId="0" applyFont="1"/>
    <xf numFmtId="0" fontId="3" fillId="11" borderId="2" xfId="0" applyFont="1" applyFill="1" applyBorder="1" applyAlignment="1">
      <alignment horizontal="center"/>
    </xf>
    <xf numFmtId="0" fontId="3" fillId="17" borderId="2" xfId="0" applyFont="1" applyFill="1" applyBorder="1" applyAlignment="1"/>
    <xf numFmtId="0" fontId="3" fillId="17" borderId="2" xfId="0" applyFont="1" applyFill="1" applyBorder="1" applyAlignment="1">
      <alignment horizontal="center"/>
    </xf>
    <xf numFmtId="0" fontId="0" fillId="17" borderId="4" xfId="0" applyFill="1" applyBorder="1"/>
    <xf numFmtId="0" fontId="0" fillId="17" borderId="0" xfId="0" applyFill="1" applyBorder="1"/>
    <xf numFmtId="0" fontId="0" fillId="17" borderId="5" xfId="0" applyFill="1" applyBorder="1"/>
    <xf numFmtId="14" fontId="12" fillId="31" borderId="0" xfId="0" applyNumberFormat="1" applyFont="1" applyFill="1"/>
    <xf numFmtId="0" fontId="15" fillId="3" borderId="0" xfId="0" applyFont="1" applyFill="1"/>
    <xf numFmtId="0" fontId="15" fillId="8" borderId="13" xfId="0" applyFont="1" applyFill="1" applyBorder="1" applyAlignment="1">
      <alignment vertical="top"/>
    </xf>
    <xf numFmtId="0" fontId="15" fillId="0" borderId="0" xfId="0" applyFont="1"/>
    <xf numFmtId="0" fontId="15" fillId="12" borderId="5" xfId="0" applyFont="1" applyFill="1" applyBorder="1"/>
    <xf numFmtId="0" fontId="16" fillId="26" borderId="13" xfId="0" applyFont="1" applyFill="1" applyBorder="1"/>
    <xf numFmtId="0" fontId="16" fillId="15" borderId="15" xfId="0" applyFont="1" applyFill="1" applyBorder="1" applyAlignment="1">
      <alignment horizontal="center"/>
    </xf>
    <xf numFmtId="0" fontId="15" fillId="0" borderId="15" xfId="0" applyFont="1" applyBorder="1"/>
    <xf numFmtId="0" fontId="16" fillId="27" borderId="13" xfId="0" applyFont="1" applyFill="1" applyBorder="1"/>
    <xf numFmtId="0" fontId="15" fillId="28" borderId="13" xfId="0" applyFont="1" applyFill="1" applyBorder="1" applyAlignment="1">
      <alignment vertical="top"/>
    </xf>
    <xf numFmtId="0" fontId="15" fillId="22" borderId="13" xfId="0" applyFont="1" applyFill="1" applyBorder="1" applyAlignment="1">
      <alignment vertical="top"/>
    </xf>
    <xf numFmtId="0" fontId="16" fillId="11" borderId="13" xfId="0" applyFont="1" applyFill="1" applyBorder="1"/>
    <xf numFmtId="0" fontId="15" fillId="30" borderId="0" xfId="0" applyFont="1" applyFill="1"/>
    <xf numFmtId="0" fontId="15" fillId="29" borderId="13" xfId="0" applyFont="1" applyFill="1" applyBorder="1" applyAlignment="1">
      <alignment vertical="top"/>
    </xf>
    <xf numFmtId="0" fontId="16" fillId="22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6" fillId="20" borderId="13" xfId="0" applyFont="1" applyFill="1" applyBorder="1"/>
    <xf numFmtId="0" fontId="16" fillId="29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5" fillId="22" borderId="0" xfId="0" applyFont="1" applyFill="1"/>
    <xf numFmtId="0" fontId="16" fillId="25" borderId="13" xfId="0" applyFont="1" applyFill="1" applyBorder="1"/>
    <xf numFmtId="0" fontId="16" fillId="28" borderId="13" xfId="0" applyFont="1" applyFill="1" applyBorder="1" applyAlignment="1">
      <alignment vertical="top"/>
    </xf>
    <xf numFmtId="0" fontId="16" fillId="19" borderId="13" xfId="0" applyFont="1" applyFill="1" applyBorder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FFCCFF"/>
      <color rgb="FFFFF243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94"/>
  <sheetViews>
    <sheetView tabSelected="1" zoomScaleNormal="100" workbookViewId="0">
      <pane xSplit="5" ySplit="3" topLeftCell="F84" activePane="bottomRight" state="frozen"/>
      <selection pane="topRight" activeCell="F1" sqref="F1"/>
      <selection pane="bottomLeft" activeCell="A4" sqref="A4"/>
      <selection pane="bottomRight" activeCell="E92" sqref="E92"/>
    </sheetView>
  </sheetViews>
  <sheetFormatPr defaultColWidth="9" defaultRowHeight="15"/>
  <cols>
    <col min="1" max="1" width="11.85546875" customWidth="1"/>
    <col min="2" max="2" width="9" customWidth="1"/>
    <col min="3" max="3" width="7.8554687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25">
        <f ca="1">(_xlfn.DAYS(TODAY(),A4)+2)/((_xlfn.DAYS(A94,A4))+1)</f>
        <v>1</v>
      </c>
      <c r="B1" s="126"/>
      <c r="C1" s="126"/>
      <c r="D1" s="126"/>
      <c r="E1" s="126"/>
      <c r="F1" s="126"/>
      <c r="G1" s="126"/>
      <c r="H1" s="127"/>
      <c r="I1" s="128" t="s">
        <v>0</v>
      </c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30"/>
      <c r="AH1" s="21"/>
      <c r="AI1" s="21"/>
      <c r="AJ1" s="21"/>
      <c r="AM1" s="123" t="s">
        <v>1</v>
      </c>
      <c r="AN1" s="123"/>
      <c r="AO1" s="123"/>
      <c r="AP1" s="61"/>
    </row>
    <row r="2" spans="1:53" ht="16.149999999999999" customHeight="1" thickBot="1">
      <c r="A2" s="88" t="s">
        <v>72</v>
      </c>
      <c r="B2" s="69" t="s">
        <v>67</v>
      </c>
      <c r="C2" s="70">
        <f>SUM(亏损!A4:X94)+SUM(AG4:AG14)*10</f>
        <v>29558.881039162046</v>
      </c>
      <c r="D2" s="131" t="s">
        <v>2</v>
      </c>
      <c r="E2" s="132"/>
      <c r="F2" s="133">
        <f>SUM(F4:F94)+SUM(H4:H94)</f>
        <v>65530</v>
      </c>
      <c r="G2" s="133"/>
      <c r="H2" s="134"/>
      <c r="I2" s="135" t="s">
        <v>73</v>
      </c>
      <c r="J2" s="136"/>
      <c r="K2" s="89" t="s">
        <v>3</v>
      </c>
      <c r="L2" s="89">
        <f>COUNTIF(I4:P94,"&lt;&gt;空")</f>
        <v>512</v>
      </c>
      <c r="M2" s="136" t="s">
        <v>4</v>
      </c>
      <c r="N2" s="136"/>
      <c r="O2" s="136"/>
      <c r="P2" s="137"/>
      <c r="Q2" s="138" t="s">
        <v>74</v>
      </c>
      <c r="R2" s="139"/>
      <c r="S2" s="82" t="s">
        <v>3</v>
      </c>
      <c r="T2" s="82">
        <f>COUNTIF(Q4:X94,"&lt;&gt;空")</f>
        <v>52</v>
      </c>
      <c r="U2" s="139" t="s">
        <v>4</v>
      </c>
      <c r="V2" s="139"/>
      <c r="W2" s="139"/>
      <c r="X2" s="140"/>
      <c r="Y2" s="141" t="s">
        <v>75</v>
      </c>
      <c r="Z2" s="142"/>
      <c r="AA2" s="90" t="s">
        <v>7</v>
      </c>
      <c r="AB2" s="91">
        <f>COUNTIF(Y4:AF94,"&lt;&gt;空")</f>
        <v>513</v>
      </c>
      <c r="AC2" s="142" t="s">
        <v>4</v>
      </c>
      <c r="AD2" s="142"/>
      <c r="AE2" s="142"/>
      <c r="AF2" s="143"/>
      <c r="AG2" s="50">
        <f>SUM(AG4:AG94)</f>
        <v>7</v>
      </c>
      <c r="AH2" s="50">
        <f t="shared" ref="AH2" si="0">SUM(AH4:AH94)</f>
        <v>1</v>
      </c>
      <c r="AI2" s="50">
        <f>SUM(AI4:AI94)</f>
        <v>5</v>
      </c>
      <c r="AJ2" s="20">
        <f t="shared" ref="AJ2" si="1">SUM(AJ4:AJ94)</f>
        <v>1</v>
      </c>
      <c r="AK2" s="120" t="s">
        <v>8</v>
      </c>
      <c r="AM2" s="124"/>
      <c r="AN2" s="124"/>
      <c r="AO2" s="124"/>
      <c r="AP2" s="66"/>
      <c r="AS2" t="s">
        <v>27</v>
      </c>
      <c r="AT2">
        <f>SUM(AT4:AT29)</f>
        <v>1077</v>
      </c>
      <c r="AV2" t="s">
        <v>59</v>
      </c>
      <c r="AW2" s="43">
        <f>SUM(AU4:AW29)+7000</f>
        <v>65530</v>
      </c>
      <c r="AX2" s="36"/>
      <c r="AY2" s="44" t="s">
        <v>9</v>
      </c>
    </row>
    <row r="3" spans="1:53" ht="31.5" customHeight="1" thickBot="1">
      <c r="A3" s="14" t="s">
        <v>10</v>
      </c>
      <c r="B3" s="15" t="s">
        <v>11</v>
      </c>
      <c r="C3" s="87" t="s">
        <v>71</v>
      </c>
      <c r="D3" s="15" t="s">
        <v>12</v>
      </c>
      <c r="E3" s="15" t="s">
        <v>13</v>
      </c>
      <c r="F3" s="16" t="s">
        <v>14</v>
      </c>
      <c r="G3" s="16" t="s">
        <v>15</v>
      </c>
      <c r="H3" s="81" t="s">
        <v>16</v>
      </c>
      <c r="I3" s="29">
        <v>1</v>
      </c>
      <c r="J3" s="41">
        <v>2</v>
      </c>
      <c r="K3" s="41">
        <v>3</v>
      </c>
      <c r="L3" s="41">
        <v>4</v>
      </c>
      <c r="M3" s="41">
        <v>5</v>
      </c>
      <c r="N3" s="41">
        <v>6</v>
      </c>
      <c r="O3" s="41">
        <v>7</v>
      </c>
      <c r="P3" s="41">
        <v>8</v>
      </c>
      <c r="Q3" s="83">
        <v>1</v>
      </c>
      <c r="R3" s="84">
        <v>2</v>
      </c>
      <c r="S3" s="84">
        <v>3</v>
      </c>
      <c r="T3" s="84">
        <v>4</v>
      </c>
      <c r="U3" s="84">
        <v>5</v>
      </c>
      <c r="V3" s="84">
        <v>6</v>
      </c>
      <c r="W3" s="84">
        <v>7</v>
      </c>
      <c r="X3" s="84">
        <v>8</v>
      </c>
      <c r="Y3" s="92">
        <v>1</v>
      </c>
      <c r="Z3" s="93">
        <v>2</v>
      </c>
      <c r="AA3" s="93">
        <v>3</v>
      </c>
      <c r="AB3" s="93">
        <v>4</v>
      </c>
      <c r="AC3" s="93">
        <v>5</v>
      </c>
      <c r="AD3" s="93">
        <v>6</v>
      </c>
      <c r="AE3" s="93">
        <v>7</v>
      </c>
      <c r="AF3" s="94">
        <v>8</v>
      </c>
      <c r="AG3" s="51" t="s">
        <v>17</v>
      </c>
      <c r="AH3" s="52" t="s">
        <v>18</v>
      </c>
      <c r="AI3" s="52" t="s">
        <v>19</v>
      </c>
      <c r="AJ3" s="22" t="s">
        <v>20</v>
      </c>
      <c r="AK3" s="121"/>
      <c r="AL3" s="23"/>
      <c r="AM3" s="24" t="s">
        <v>21</v>
      </c>
      <c r="AN3" s="24" t="s">
        <v>22</v>
      </c>
      <c r="AO3" s="24" t="s">
        <v>23</v>
      </c>
      <c r="AP3" s="24" t="s">
        <v>66</v>
      </c>
      <c r="AQ3" s="37" t="s">
        <v>24</v>
      </c>
      <c r="AR3" s="38" t="s">
        <v>25</v>
      </c>
      <c r="AS3" s="39" t="s">
        <v>26</v>
      </c>
      <c r="AT3" s="40" t="s">
        <v>27</v>
      </c>
      <c r="AU3" s="37" t="s">
        <v>28</v>
      </c>
      <c r="AV3" s="38" t="s">
        <v>29</v>
      </c>
      <c r="AW3" s="39" t="s">
        <v>30</v>
      </c>
      <c r="AX3" s="41" t="s">
        <v>31</v>
      </c>
      <c r="AY3" s="45">
        <v>1</v>
      </c>
    </row>
    <row r="4" spans="1:53" s="47" customFormat="1" ht="15.75" thickBot="1">
      <c r="A4" s="95">
        <v>45002</v>
      </c>
      <c r="B4" s="96">
        <v>800</v>
      </c>
      <c r="C4" s="96">
        <v>6000</v>
      </c>
      <c r="D4" s="96">
        <f>(SUM(粮草!A4:X4)+AG4*10)*IF(AK4="是",$AY$4,$AY$3)</f>
        <v>1550</v>
      </c>
      <c r="E4" s="96">
        <f>SUM($B$4:B4)+SUM($C$4:C4)-SUM($D$4:D4)</f>
        <v>5250</v>
      </c>
      <c r="F4" s="96">
        <f>SUM(经验!A4:X4)</f>
        <v>380</v>
      </c>
      <c r="G4" s="96">
        <f>SUM($F$4:F4)+SUM($H$4:H4)</f>
        <v>880</v>
      </c>
      <c r="H4" s="96">
        <v>500</v>
      </c>
      <c r="I4" s="97" t="s">
        <v>32</v>
      </c>
      <c r="J4" s="97" t="s">
        <v>32</v>
      </c>
      <c r="K4" s="97" t="s">
        <v>32</v>
      </c>
      <c r="L4" s="98" t="s">
        <v>33</v>
      </c>
      <c r="M4" s="98" t="s">
        <v>33</v>
      </c>
      <c r="N4" s="98" t="s">
        <v>33</v>
      </c>
      <c r="O4" s="99" t="s">
        <v>33</v>
      </c>
      <c r="P4" s="99" t="s">
        <v>33</v>
      </c>
      <c r="Q4" s="97" t="s">
        <v>32</v>
      </c>
      <c r="R4" s="97" t="s">
        <v>32</v>
      </c>
      <c r="S4" s="98" t="s">
        <v>33</v>
      </c>
      <c r="T4" s="98" t="s">
        <v>33</v>
      </c>
      <c r="U4" s="98" t="s">
        <v>33</v>
      </c>
      <c r="V4" s="98" t="s">
        <v>33</v>
      </c>
      <c r="W4" s="99" t="s">
        <v>33</v>
      </c>
      <c r="X4" s="99" t="s">
        <v>33</v>
      </c>
      <c r="Y4" s="97" t="s">
        <v>32</v>
      </c>
      <c r="Z4" s="97" t="s">
        <v>32</v>
      </c>
      <c r="AA4" s="97" t="s">
        <v>32</v>
      </c>
      <c r="AB4" s="97" t="s">
        <v>32</v>
      </c>
      <c r="AC4" s="97" t="s">
        <v>32</v>
      </c>
      <c r="AD4" s="100" t="s">
        <v>38</v>
      </c>
      <c r="AE4" s="99" t="s">
        <v>33</v>
      </c>
      <c r="AF4" s="99" t="s">
        <v>33</v>
      </c>
      <c r="AG4" s="101">
        <f>AH4+AI4+AJ4</f>
        <v>0</v>
      </c>
      <c r="AH4" s="101"/>
      <c r="AI4" s="101"/>
      <c r="AJ4" s="101"/>
      <c r="AK4" s="102" t="s">
        <v>34</v>
      </c>
      <c r="AM4" s="56" t="s">
        <v>32</v>
      </c>
      <c r="AN4" s="24">
        <v>150</v>
      </c>
      <c r="AO4" s="24">
        <v>35</v>
      </c>
      <c r="AP4" s="57">
        <v>44.222109392472248</v>
      </c>
      <c r="AQ4" s="57">
        <f>COUNTIF($I$4:$P$94,AM4)</f>
        <v>3</v>
      </c>
      <c r="AR4" s="57">
        <f>COUNTIF($Q$4:$X$94,AM4)</f>
        <v>4</v>
      </c>
      <c r="AS4" s="57">
        <f>COUNTIF($Y$4:$AF$94,AM4)</f>
        <v>8</v>
      </c>
      <c r="AT4" s="57">
        <f>AQ4+AR4+AS4</f>
        <v>15</v>
      </c>
      <c r="AU4" s="58">
        <f>AQ4*$AO4</f>
        <v>105</v>
      </c>
      <c r="AV4" s="58">
        <f t="shared" ref="AV4:AW19" si="2">AR4*$AO4</f>
        <v>140</v>
      </c>
      <c r="AW4" s="58">
        <f t="shared" si="2"/>
        <v>280</v>
      </c>
      <c r="AX4" s="48" t="s">
        <v>35</v>
      </c>
      <c r="AY4" s="49">
        <v>0.8</v>
      </c>
      <c r="BA4" s="54">
        <f>AN4*0.8</f>
        <v>120</v>
      </c>
    </row>
    <row r="5" spans="1:53" s="47" customFormat="1">
      <c r="A5" s="95">
        <v>45003</v>
      </c>
      <c r="B5" s="96">
        <v>1600</v>
      </c>
      <c r="C5" s="96"/>
      <c r="D5" s="96">
        <f>(SUM(粮草!A5:X5)+AG5*10)*IF(AK5="是",$AY$4,$AY$3)</f>
        <v>940</v>
      </c>
      <c r="E5" s="96">
        <f>SUM($B$4:B5)+SUM($C$4:C5)-SUM($D$4:D5)</f>
        <v>5910</v>
      </c>
      <c r="F5" s="96">
        <f>SUM(经验!A5:X5)</f>
        <v>265</v>
      </c>
      <c r="G5" s="96">
        <f>SUM($F$4:F5)+SUM($H$4:H5)</f>
        <v>1145</v>
      </c>
      <c r="H5" s="96">
        <v>0</v>
      </c>
      <c r="I5" s="98" t="s">
        <v>33</v>
      </c>
      <c r="J5" s="98" t="s">
        <v>33</v>
      </c>
      <c r="K5" s="98" t="s">
        <v>33</v>
      </c>
      <c r="L5" s="98" t="s">
        <v>33</v>
      </c>
      <c r="M5" s="98" t="s">
        <v>33</v>
      </c>
      <c r="N5" s="98" t="s">
        <v>33</v>
      </c>
      <c r="O5" s="99" t="s">
        <v>33</v>
      </c>
      <c r="P5" s="99" t="s">
        <v>33</v>
      </c>
      <c r="Q5" s="98" t="s">
        <v>33</v>
      </c>
      <c r="R5" s="98" t="s">
        <v>33</v>
      </c>
      <c r="S5" s="98" t="s">
        <v>33</v>
      </c>
      <c r="T5" s="98" t="s">
        <v>33</v>
      </c>
      <c r="U5" s="98" t="s">
        <v>33</v>
      </c>
      <c r="V5" s="98" t="s">
        <v>33</v>
      </c>
      <c r="W5" s="99" t="s">
        <v>33</v>
      </c>
      <c r="X5" s="99" t="s">
        <v>33</v>
      </c>
      <c r="Y5" s="97" t="s">
        <v>32</v>
      </c>
      <c r="Z5" s="97" t="s">
        <v>32</v>
      </c>
      <c r="AA5" s="97" t="s">
        <v>32</v>
      </c>
      <c r="AB5" s="103" t="s">
        <v>45</v>
      </c>
      <c r="AC5" s="104" t="s">
        <v>36</v>
      </c>
      <c r="AD5" s="104" t="s">
        <v>36</v>
      </c>
      <c r="AE5" s="104" t="s">
        <v>36</v>
      </c>
      <c r="AF5" s="104" t="s">
        <v>36</v>
      </c>
      <c r="AG5" s="101">
        <f t="shared" ref="AG5:AG68" si="3">AH5+AI5+AJ5</f>
        <v>0</v>
      </c>
      <c r="AH5" s="101"/>
      <c r="AI5" s="101"/>
      <c r="AJ5" s="101"/>
      <c r="AK5" s="102" t="s">
        <v>34</v>
      </c>
      <c r="AM5" s="59" t="s">
        <v>36</v>
      </c>
      <c r="AN5" s="24">
        <v>160</v>
      </c>
      <c r="AO5" s="24">
        <v>40</v>
      </c>
      <c r="AP5" s="57">
        <v>39.110982162825422</v>
      </c>
      <c r="AQ5" s="57">
        <f t="shared" ref="AQ5:AQ26" si="4">COUNTIF($I$4:$P$94,AM5)</f>
        <v>4</v>
      </c>
      <c r="AR5" s="57">
        <f t="shared" ref="AR5:AR26" si="5">COUNTIF($Q$4:$X$94,AM5)</f>
        <v>22</v>
      </c>
      <c r="AS5" s="57">
        <f t="shared" ref="AS5:AS26" si="6">COUNTIF($Y$4:$AF$94,AM5)</f>
        <v>13</v>
      </c>
      <c r="AT5" s="57">
        <f t="shared" ref="AT5:AT26" si="7">AQ5+AR5+AS5</f>
        <v>39</v>
      </c>
      <c r="AU5" s="58">
        <f t="shared" ref="AU5:AW28" si="8">AQ5*$AO5</f>
        <v>160</v>
      </c>
      <c r="AV5" s="58">
        <f t="shared" si="2"/>
        <v>880</v>
      </c>
      <c r="AW5" s="58">
        <f t="shared" si="2"/>
        <v>520</v>
      </c>
      <c r="AX5" s="122" t="s">
        <v>37</v>
      </c>
      <c r="AY5" s="122"/>
      <c r="BA5" s="54">
        <f t="shared" ref="BA5:BA29" si="9">AN5*0.8</f>
        <v>128</v>
      </c>
    </row>
    <row r="6" spans="1:53" s="47" customFormat="1">
      <c r="A6" s="95">
        <v>45004</v>
      </c>
      <c r="B6" s="96">
        <v>1600</v>
      </c>
      <c r="C6" s="96"/>
      <c r="D6" s="96">
        <f>(SUM(粮草!A6:X6)+AG6*10)*IF(AK6="是",$AY$4,$AY$3)</f>
        <v>870</v>
      </c>
      <c r="E6" s="96">
        <f>SUM($B$4:B6)+SUM($C$4:C6)-SUM($D$4:D6)</f>
        <v>6640</v>
      </c>
      <c r="F6" s="96">
        <f>SUM(经验!A6:X6)</f>
        <v>240</v>
      </c>
      <c r="G6" s="96">
        <f>SUM($F$4:F6)+SUM($H$4:H6)</f>
        <v>1385</v>
      </c>
      <c r="H6" s="96">
        <v>0</v>
      </c>
      <c r="I6" s="98" t="s">
        <v>33</v>
      </c>
      <c r="J6" s="98" t="s">
        <v>33</v>
      </c>
      <c r="K6" s="98" t="s">
        <v>33</v>
      </c>
      <c r="L6" s="98" t="s">
        <v>33</v>
      </c>
      <c r="M6" s="98" t="s">
        <v>33</v>
      </c>
      <c r="N6" s="98" t="s">
        <v>33</v>
      </c>
      <c r="O6" s="99" t="s">
        <v>33</v>
      </c>
      <c r="P6" s="99" t="s">
        <v>33</v>
      </c>
      <c r="Q6" s="98" t="s">
        <v>33</v>
      </c>
      <c r="R6" s="98" t="s">
        <v>33</v>
      </c>
      <c r="S6" s="98" t="s">
        <v>33</v>
      </c>
      <c r="T6" s="98" t="s">
        <v>33</v>
      </c>
      <c r="U6" s="98" t="s">
        <v>33</v>
      </c>
      <c r="V6" s="98" t="s">
        <v>33</v>
      </c>
      <c r="W6" s="99" t="s">
        <v>33</v>
      </c>
      <c r="X6" s="99" t="s">
        <v>33</v>
      </c>
      <c r="Y6" s="100" t="s">
        <v>38</v>
      </c>
      <c r="Z6" s="104" t="s">
        <v>36</v>
      </c>
      <c r="AA6" s="104" t="s">
        <v>36</v>
      </c>
      <c r="AB6" s="104" t="s">
        <v>36</v>
      </c>
      <c r="AC6" s="105" t="s">
        <v>39</v>
      </c>
      <c r="AD6" s="106" t="s">
        <v>70</v>
      </c>
      <c r="AE6" s="99" t="s">
        <v>33</v>
      </c>
      <c r="AF6" s="99" t="s">
        <v>33</v>
      </c>
      <c r="AG6" s="101">
        <f t="shared" si="3"/>
        <v>0</v>
      </c>
      <c r="AH6" s="101"/>
      <c r="AI6" s="101"/>
      <c r="AJ6" s="101"/>
      <c r="AK6" s="102" t="s">
        <v>34</v>
      </c>
      <c r="AM6" s="60" t="s">
        <v>39</v>
      </c>
      <c r="AN6" s="24">
        <v>170</v>
      </c>
      <c r="AO6" s="24">
        <v>45</v>
      </c>
      <c r="AP6" s="57">
        <v>34</v>
      </c>
      <c r="AQ6" s="57">
        <f t="shared" si="4"/>
        <v>151</v>
      </c>
      <c r="AR6" s="57">
        <f t="shared" si="5"/>
        <v>12</v>
      </c>
      <c r="AS6" s="57">
        <f t="shared" si="6"/>
        <v>81</v>
      </c>
      <c r="AT6" s="57">
        <f t="shared" si="7"/>
        <v>244</v>
      </c>
      <c r="AU6" s="58">
        <f t="shared" si="8"/>
        <v>6795</v>
      </c>
      <c r="AV6" s="58">
        <f t="shared" si="2"/>
        <v>540</v>
      </c>
      <c r="AW6" s="58">
        <f t="shared" si="2"/>
        <v>3645</v>
      </c>
      <c r="AX6" s="123"/>
      <c r="AY6" s="123"/>
      <c r="BA6" s="54">
        <f t="shared" si="9"/>
        <v>136</v>
      </c>
    </row>
    <row r="7" spans="1:53">
      <c r="A7" s="95">
        <v>45005</v>
      </c>
      <c r="B7" s="98">
        <v>1600</v>
      </c>
      <c r="C7" s="107">
        <v>50</v>
      </c>
      <c r="D7" s="96">
        <f>(SUM(粮草!A7:X7)+AG7*10)*IF(AK7="是",$AY$4,$AY$3)</f>
        <v>2050</v>
      </c>
      <c r="E7" s="96">
        <f>SUM($B$4:B7)+SUM($C$4:C7)-SUM($D$4:D7)</f>
        <v>6240</v>
      </c>
      <c r="F7" s="96">
        <f>SUM(经验!A7:X7)</f>
        <v>810</v>
      </c>
      <c r="G7" s="96">
        <f>SUM($F$4:F7)+SUM($H$4:H7)</f>
        <v>2395</v>
      </c>
      <c r="H7" s="98">
        <v>200</v>
      </c>
      <c r="I7" s="100" t="s">
        <v>38</v>
      </c>
      <c r="J7" s="105" t="s">
        <v>39</v>
      </c>
      <c r="K7" s="105" t="s">
        <v>39</v>
      </c>
      <c r="L7" s="105" t="s">
        <v>39</v>
      </c>
      <c r="M7" s="105" t="s">
        <v>39</v>
      </c>
      <c r="N7" s="105" t="s">
        <v>39</v>
      </c>
      <c r="O7" s="105" t="s">
        <v>39</v>
      </c>
      <c r="P7" s="99" t="s">
        <v>33</v>
      </c>
      <c r="Q7" s="98" t="s">
        <v>33</v>
      </c>
      <c r="R7" s="98" t="s">
        <v>33</v>
      </c>
      <c r="S7" s="98" t="s">
        <v>33</v>
      </c>
      <c r="T7" s="98" t="s">
        <v>33</v>
      </c>
      <c r="U7" s="98" t="s">
        <v>33</v>
      </c>
      <c r="V7" s="98" t="s">
        <v>33</v>
      </c>
      <c r="W7" s="99" t="s">
        <v>33</v>
      </c>
      <c r="X7" s="99" t="s">
        <v>33</v>
      </c>
      <c r="Y7" s="105" t="s">
        <v>39</v>
      </c>
      <c r="Z7" s="100" t="s">
        <v>38</v>
      </c>
      <c r="AA7" s="105" t="s">
        <v>39</v>
      </c>
      <c r="AB7" s="106" t="s">
        <v>69</v>
      </c>
      <c r="AC7" s="105" t="s">
        <v>39</v>
      </c>
      <c r="AD7" s="105" t="s">
        <v>39</v>
      </c>
      <c r="AE7" s="99" t="s">
        <v>33</v>
      </c>
      <c r="AF7" s="99" t="s">
        <v>33</v>
      </c>
      <c r="AG7" s="101">
        <f t="shared" si="3"/>
        <v>0</v>
      </c>
      <c r="AH7" s="101"/>
      <c r="AI7" s="101"/>
      <c r="AJ7" s="101"/>
      <c r="AK7" s="102" t="s">
        <v>34</v>
      </c>
      <c r="AM7" s="25" t="s">
        <v>41</v>
      </c>
      <c r="AN7" s="24">
        <v>180</v>
      </c>
      <c r="AO7" s="24">
        <v>50</v>
      </c>
      <c r="AP7" s="24">
        <v>36</v>
      </c>
      <c r="AQ7" s="24">
        <f t="shared" si="4"/>
        <v>103</v>
      </c>
      <c r="AR7" s="24">
        <f t="shared" si="5"/>
        <v>0</v>
      </c>
      <c r="AS7" s="24">
        <f t="shared" si="6"/>
        <v>164</v>
      </c>
      <c r="AT7" s="24">
        <f t="shared" si="7"/>
        <v>267</v>
      </c>
      <c r="AU7" s="42">
        <f t="shared" si="8"/>
        <v>5150</v>
      </c>
      <c r="AV7" s="42">
        <f t="shared" si="2"/>
        <v>0</v>
      </c>
      <c r="AW7" s="42">
        <f t="shared" si="2"/>
        <v>8200</v>
      </c>
      <c r="AX7" s="123"/>
      <c r="AY7" s="123"/>
      <c r="BA7">
        <f t="shared" si="9"/>
        <v>144</v>
      </c>
    </row>
    <row r="8" spans="1:53">
      <c r="A8" s="95">
        <v>45006</v>
      </c>
      <c r="B8" s="98">
        <v>1600</v>
      </c>
      <c r="C8" s="98"/>
      <c r="D8" s="96">
        <f>(SUM(粮草!A8:X8)+AG8*10)*IF(AK8="是",$AY$4,$AY$3)</f>
        <v>2000</v>
      </c>
      <c r="E8" s="96">
        <f>SUM($B$4:B8)+SUM($C$4:C8)-SUM($D$4:D8)</f>
        <v>5840</v>
      </c>
      <c r="F8" s="96">
        <f>SUM(经验!A8:X8)</f>
        <v>790</v>
      </c>
      <c r="G8" s="96">
        <f>SUM($F$4:F8)+SUM($H$4:H8)</f>
        <v>3285</v>
      </c>
      <c r="H8" s="98">
        <v>100</v>
      </c>
      <c r="I8" s="106" t="s">
        <v>69</v>
      </c>
      <c r="J8" s="105" t="s">
        <v>39</v>
      </c>
      <c r="K8" s="105" t="s">
        <v>39</v>
      </c>
      <c r="L8" s="108" t="s">
        <v>41</v>
      </c>
      <c r="M8" s="108" t="s">
        <v>41</v>
      </c>
      <c r="N8" s="105" t="s">
        <v>39</v>
      </c>
      <c r="O8" s="99" t="s">
        <v>33</v>
      </c>
      <c r="P8" s="99" t="s">
        <v>33</v>
      </c>
      <c r="Q8" s="98" t="s">
        <v>33</v>
      </c>
      <c r="R8" s="98" t="s">
        <v>33</v>
      </c>
      <c r="S8" s="98" t="s">
        <v>33</v>
      </c>
      <c r="T8" s="98" t="s">
        <v>33</v>
      </c>
      <c r="U8" s="98" t="s">
        <v>33</v>
      </c>
      <c r="V8" s="98" t="s">
        <v>33</v>
      </c>
      <c r="W8" s="99" t="s">
        <v>33</v>
      </c>
      <c r="X8" s="99" t="s">
        <v>33</v>
      </c>
      <c r="Y8" s="109" t="s">
        <v>46</v>
      </c>
      <c r="Z8" s="105" t="s">
        <v>39</v>
      </c>
      <c r="AA8" s="105" t="s">
        <v>39</v>
      </c>
      <c r="AB8" s="100" t="s">
        <v>38</v>
      </c>
      <c r="AC8" s="105" t="s">
        <v>39</v>
      </c>
      <c r="AD8" s="105" t="s">
        <v>39</v>
      </c>
      <c r="AE8" s="99" t="s">
        <v>33</v>
      </c>
      <c r="AF8" s="99" t="s">
        <v>33</v>
      </c>
      <c r="AG8" s="101">
        <f t="shared" si="3"/>
        <v>0</v>
      </c>
      <c r="AH8" s="101"/>
      <c r="AI8" s="101"/>
      <c r="AJ8" s="101"/>
      <c r="AK8" s="102" t="s">
        <v>34</v>
      </c>
      <c r="AM8" s="26" t="s">
        <v>42</v>
      </c>
      <c r="AN8" s="24">
        <v>190</v>
      </c>
      <c r="AO8" s="24">
        <v>55</v>
      </c>
      <c r="AP8" s="24">
        <v>38</v>
      </c>
      <c r="AQ8" s="24">
        <f t="shared" si="4"/>
        <v>128</v>
      </c>
      <c r="AR8" s="24">
        <f t="shared" si="5"/>
        <v>0</v>
      </c>
      <c r="AS8" s="24">
        <f t="shared" si="6"/>
        <v>107</v>
      </c>
      <c r="AT8" s="24">
        <f t="shared" si="7"/>
        <v>235</v>
      </c>
      <c r="AU8" s="42">
        <f t="shared" si="8"/>
        <v>7040</v>
      </c>
      <c r="AV8" s="42">
        <f t="shared" si="2"/>
        <v>0</v>
      </c>
      <c r="AW8" s="42">
        <f t="shared" si="2"/>
        <v>5885</v>
      </c>
      <c r="AX8" s="123"/>
      <c r="AY8" s="123"/>
      <c r="BA8">
        <f t="shared" si="9"/>
        <v>152</v>
      </c>
    </row>
    <row r="9" spans="1:53">
      <c r="A9" s="95">
        <v>45007</v>
      </c>
      <c r="B9" s="98">
        <v>1600</v>
      </c>
      <c r="C9" s="98"/>
      <c r="D9" s="96">
        <f>(SUM(粮草!A9:X9)+AG9*10)*IF(AK9="是",$AY$4,$AY$3)</f>
        <v>2100</v>
      </c>
      <c r="E9" s="96">
        <f>SUM($B$4:B9)+SUM($C$4:C9)-SUM($D$4:D9)</f>
        <v>5340</v>
      </c>
      <c r="F9" s="96">
        <f>SUM(经验!A9:X9)</f>
        <v>795</v>
      </c>
      <c r="G9" s="96">
        <f>SUM($F$4:F9)+SUM($H$4:H9)</f>
        <v>4280</v>
      </c>
      <c r="H9" s="98">
        <v>200</v>
      </c>
      <c r="I9" s="109" t="s">
        <v>46</v>
      </c>
      <c r="J9" s="105" t="s">
        <v>39</v>
      </c>
      <c r="K9" s="105" t="s">
        <v>39</v>
      </c>
      <c r="L9" s="106" t="s">
        <v>70</v>
      </c>
      <c r="M9" s="105" t="s">
        <v>39</v>
      </c>
      <c r="N9" s="105" t="s">
        <v>39</v>
      </c>
      <c r="O9" s="99" t="s">
        <v>33</v>
      </c>
      <c r="P9" s="99" t="s">
        <v>33</v>
      </c>
      <c r="Q9" s="98" t="s">
        <v>33</v>
      </c>
      <c r="R9" s="98" t="s">
        <v>33</v>
      </c>
      <c r="S9" s="98" t="s">
        <v>33</v>
      </c>
      <c r="T9" s="98" t="s">
        <v>33</v>
      </c>
      <c r="U9" s="98" t="s">
        <v>33</v>
      </c>
      <c r="V9" s="98" t="s">
        <v>33</v>
      </c>
      <c r="W9" s="99" t="s">
        <v>33</v>
      </c>
      <c r="X9" s="99" t="s">
        <v>33</v>
      </c>
      <c r="Y9" s="105" t="s">
        <v>39</v>
      </c>
      <c r="Z9" s="106" t="s">
        <v>70</v>
      </c>
      <c r="AA9" s="105" t="s">
        <v>39</v>
      </c>
      <c r="AB9" s="105" t="s">
        <v>39</v>
      </c>
      <c r="AC9" s="105" t="s">
        <v>39</v>
      </c>
      <c r="AD9" s="106" t="s">
        <v>69</v>
      </c>
      <c r="AE9" s="99" t="s">
        <v>33</v>
      </c>
      <c r="AF9" s="99" t="s">
        <v>33</v>
      </c>
      <c r="AG9" s="101">
        <f t="shared" si="3"/>
        <v>0</v>
      </c>
      <c r="AH9" s="101"/>
      <c r="AI9" s="101"/>
      <c r="AJ9" s="101"/>
      <c r="AK9" s="102" t="s">
        <v>34</v>
      </c>
      <c r="AM9" s="27" t="s">
        <v>43</v>
      </c>
      <c r="AN9" s="24">
        <v>200</v>
      </c>
      <c r="AO9" s="24">
        <v>60</v>
      </c>
      <c r="AP9" s="24"/>
      <c r="AQ9" s="24">
        <f t="shared" si="4"/>
        <v>90</v>
      </c>
      <c r="AR9" s="24">
        <f t="shared" si="5"/>
        <v>0</v>
      </c>
      <c r="AS9" s="24">
        <f t="shared" si="6"/>
        <v>104</v>
      </c>
      <c r="AT9" s="24">
        <f t="shared" si="7"/>
        <v>194</v>
      </c>
      <c r="AU9" s="42">
        <f t="shared" si="8"/>
        <v>5400</v>
      </c>
      <c r="AV9" s="42">
        <f t="shared" si="2"/>
        <v>0</v>
      </c>
      <c r="AW9" s="42">
        <f t="shared" si="2"/>
        <v>6240</v>
      </c>
      <c r="BA9">
        <f t="shared" si="9"/>
        <v>160</v>
      </c>
    </row>
    <row r="10" spans="1:53">
      <c r="A10" s="95">
        <v>45008</v>
      </c>
      <c r="B10" s="98">
        <v>1600</v>
      </c>
      <c r="C10" s="98"/>
      <c r="D10" s="96">
        <f>(SUM(粮草!A10:X10)+AG10*10)*IF(AK10="是",$AY$4,$AY$3)</f>
        <v>2210</v>
      </c>
      <c r="E10" s="96">
        <f>SUM($B$4:B10)+SUM($C$4:C10)-SUM($D$4:D10)</f>
        <v>4730</v>
      </c>
      <c r="F10" s="96">
        <f>SUM(经验!A10:X10)</f>
        <v>585</v>
      </c>
      <c r="G10" s="96">
        <f>SUM($F$4:F10)+SUM($H$4:H10)</f>
        <v>4865</v>
      </c>
      <c r="H10" s="98">
        <v>0</v>
      </c>
      <c r="I10" s="105" t="s">
        <v>39</v>
      </c>
      <c r="J10" s="105" t="s">
        <v>39</v>
      </c>
      <c r="K10" s="105" t="s">
        <v>39</v>
      </c>
      <c r="L10" s="105" t="s">
        <v>39</v>
      </c>
      <c r="M10" s="105" t="s">
        <v>39</v>
      </c>
      <c r="N10" s="105" t="s">
        <v>39</v>
      </c>
      <c r="O10" s="106" t="s">
        <v>70</v>
      </c>
      <c r="P10" s="99" t="s">
        <v>33</v>
      </c>
      <c r="Q10" s="98" t="s">
        <v>33</v>
      </c>
      <c r="R10" s="98" t="s">
        <v>33</v>
      </c>
      <c r="S10" s="98" t="s">
        <v>33</v>
      </c>
      <c r="T10" s="98" t="s">
        <v>33</v>
      </c>
      <c r="U10" s="98" t="s">
        <v>33</v>
      </c>
      <c r="V10" s="98" t="s">
        <v>33</v>
      </c>
      <c r="W10" s="99" t="s">
        <v>33</v>
      </c>
      <c r="X10" s="99" t="s">
        <v>33</v>
      </c>
      <c r="Y10" s="105" t="s">
        <v>39</v>
      </c>
      <c r="Z10" s="105" t="s">
        <v>39</v>
      </c>
      <c r="AA10" s="105" t="s">
        <v>39</v>
      </c>
      <c r="AB10" s="105" t="s">
        <v>39</v>
      </c>
      <c r="AC10" s="105" t="s">
        <v>39</v>
      </c>
      <c r="AD10" s="105" t="s">
        <v>39</v>
      </c>
      <c r="AE10" s="99" t="s">
        <v>33</v>
      </c>
      <c r="AF10" s="99" t="s">
        <v>33</v>
      </c>
      <c r="AG10" s="101">
        <f t="shared" si="3"/>
        <v>0</v>
      </c>
      <c r="AH10" s="101"/>
      <c r="AI10" s="101"/>
      <c r="AJ10" s="101"/>
      <c r="AK10" s="102" t="s">
        <v>34</v>
      </c>
      <c r="AM10" s="76" t="s">
        <v>44</v>
      </c>
      <c r="AN10" s="24">
        <v>150</v>
      </c>
      <c r="AO10" s="24">
        <v>35</v>
      </c>
      <c r="AP10" s="24">
        <v>44.222109392472248</v>
      </c>
      <c r="AQ10" s="24">
        <f t="shared" si="4"/>
        <v>0</v>
      </c>
      <c r="AR10" s="24">
        <f t="shared" si="5"/>
        <v>0</v>
      </c>
      <c r="AS10" s="24">
        <f t="shared" si="6"/>
        <v>0</v>
      </c>
      <c r="AT10" s="24">
        <f t="shared" si="7"/>
        <v>0</v>
      </c>
      <c r="AU10" s="42">
        <f t="shared" si="8"/>
        <v>0</v>
      </c>
      <c r="AV10" s="42">
        <f t="shared" si="2"/>
        <v>0</v>
      </c>
      <c r="AW10" s="42">
        <f t="shared" si="2"/>
        <v>0</v>
      </c>
      <c r="BA10">
        <f t="shared" si="9"/>
        <v>120</v>
      </c>
    </row>
    <row r="11" spans="1:53">
      <c r="A11" s="95">
        <v>45009</v>
      </c>
      <c r="B11" s="98">
        <v>1600</v>
      </c>
      <c r="C11" s="98"/>
      <c r="D11" s="96">
        <f>(SUM(粮草!A11:X11)+AG11*10)*IF(AK11="是",$AY$4,$AY$3)</f>
        <v>900</v>
      </c>
      <c r="E11" s="96">
        <f>SUM($B$4:B11)+SUM($C$4:C11)-SUM($D$4:D11)</f>
        <v>5430</v>
      </c>
      <c r="F11" s="96">
        <f>SUM(经验!A11:X11)</f>
        <v>255</v>
      </c>
      <c r="G11" s="96">
        <f>SUM($F$4:F11)+SUM($H$4:H11)</f>
        <v>5120</v>
      </c>
      <c r="H11" s="98">
        <v>0</v>
      </c>
      <c r="I11" s="98" t="s">
        <v>33</v>
      </c>
      <c r="J11" s="98" t="s">
        <v>33</v>
      </c>
      <c r="K11" s="98" t="s">
        <v>33</v>
      </c>
      <c r="L11" s="98" t="s">
        <v>33</v>
      </c>
      <c r="M11" s="98" t="s">
        <v>33</v>
      </c>
      <c r="N11" s="98" t="s">
        <v>33</v>
      </c>
      <c r="O11" s="99" t="s">
        <v>33</v>
      </c>
      <c r="P11" s="99" t="s">
        <v>33</v>
      </c>
      <c r="Q11" s="98" t="s">
        <v>33</v>
      </c>
      <c r="R11" s="98" t="s">
        <v>33</v>
      </c>
      <c r="S11" s="98" t="s">
        <v>33</v>
      </c>
      <c r="T11" s="98" t="s">
        <v>33</v>
      </c>
      <c r="U11" s="98" t="s">
        <v>33</v>
      </c>
      <c r="V11" s="98" t="s">
        <v>33</v>
      </c>
      <c r="W11" s="99" t="s">
        <v>33</v>
      </c>
      <c r="X11" s="99" t="s">
        <v>33</v>
      </c>
      <c r="Y11" s="100" t="s">
        <v>38</v>
      </c>
      <c r="Z11" s="105" t="s">
        <v>39</v>
      </c>
      <c r="AA11" s="105" t="s">
        <v>39</v>
      </c>
      <c r="AB11" s="105" t="s">
        <v>39</v>
      </c>
      <c r="AC11" s="105" t="s">
        <v>39</v>
      </c>
      <c r="AD11" s="106" t="s">
        <v>70</v>
      </c>
      <c r="AE11" s="99" t="s">
        <v>33</v>
      </c>
      <c r="AF11" s="99" t="s">
        <v>33</v>
      </c>
      <c r="AG11" s="101">
        <f t="shared" si="3"/>
        <v>0</v>
      </c>
      <c r="AH11" s="101"/>
      <c r="AI11" s="101"/>
      <c r="AJ11" s="101"/>
      <c r="AK11" s="102" t="s">
        <v>34</v>
      </c>
      <c r="AM11" s="77" t="s">
        <v>40</v>
      </c>
      <c r="AN11" s="24">
        <v>150</v>
      </c>
      <c r="AO11" s="24">
        <v>40</v>
      </c>
      <c r="AP11" s="24">
        <v>29.110982162825422</v>
      </c>
      <c r="AQ11" s="24">
        <f t="shared" si="4"/>
        <v>1</v>
      </c>
      <c r="AR11" s="24">
        <f t="shared" si="5"/>
        <v>1</v>
      </c>
      <c r="AS11" s="24">
        <f t="shared" si="6"/>
        <v>0</v>
      </c>
      <c r="AT11" s="24">
        <f t="shared" si="7"/>
        <v>2</v>
      </c>
      <c r="AU11" s="42">
        <f t="shared" si="8"/>
        <v>40</v>
      </c>
      <c r="AV11" s="42">
        <f t="shared" si="2"/>
        <v>40</v>
      </c>
      <c r="AW11" s="42">
        <f t="shared" si="2"/>
        <v>0</v>
      </c>
      <c r="BA11">
        <f t="shared" si="9"/>
        <v>120</v>
      </c>
    </row>
    <row r="12" spans="1:53">
      <c r="A12" s="95">
        <v>45010</v>
      </c>
      <c r="B12" s="98">
        <v>1600</v>
      </c>
      <c r="C12" s="98"/>
      <c r="D12" s="96">
        <f>(SUM(粮草!A12:X12)+AG12*10)*IF(AK12="是",$AY$4,$AY$3)</f>
        <v>1632</v>
      </c>
      <c r="E12" s="96">
        <f>SUM($B$4:B12)+SUM($C$4:C12)-SUM($D$4:D12)</f>
        <v>5398</v>
      </c>
      <c r="F12" s="96">
        <f>SUM(经验!A12:X12)</f>
        <v>540</v>
      </c>
      <c r="G12" s="96">
        <f>SUM($F$4:F12)+SUM($H$4:H12)</f>
        <v>5660</v>
      </c>
      <c r="H12" s="98">
        <v>0</v>
      </c>
      <c r="I12" s="105" t="s">
        <v>39</v>
      </c>
      <c r="J12" s="105" t="s">
        <v>39</v>
      </c>
      <c r="K12" s="105" t="s">
        <v>39</v>
      </c>
      <c r="L12" s="105" t="s">
        <v>39</v>
      </c>
      <c r="M12" s="105" t="s">
        <v>39</v>
      </c>
      <c r="N12" s="105" t="s">
        <v>39</v>
      </c>
      <c r="O12" s="99" t="s">
        <v>33</v>
      </c>
      <c r="P12" s="99" t="s">
        <v>33</v>
      </c>
      <c r="Q12" s="98" t="s">
        <v>33</v>
      </c>
      <c r="R12" s="98" t="s">
        <v>33</v>
      </c>
      <c r="S12" s="98" t="s">
        <v>33</v>
      </c>
      <c r="T12" s="98" t="s">
        <v>33</v>
      </c>
      <c r="U12" s="98" t="s">
        <v>33</v>
      </c>
      <c r="V12" s="98" t="s">
        <v>33</v>
      </c>
      <c r="W12" s="99" t="s">
        <v>33</v>
      </c>
      <c r="X12" s="99" t="s">
        <v>33</v>
      </c>
      <c r="Y12" s="105" t="s">
        <v>39</v>
      </c>
      <c r="Z12" s="105" t="s">
        <v>39</v>
      </c>
      <c r="AA12" s="105" t="s">
        <v>39</v>
      </c>
      <c r="AB12" s="105" t="s">
        <v>39</v>
      </c>
      <c r="AC12" s="105" t="s">
        <v>39</v>
      </c>
      <c r="AD12" s="105" t="s">
        <v>39</v>
      </c>
      <c r="AE12" s="99" t="s">
        <v>33</v>
      </c>
      <c r="AF12" s="99" t="s">
        <v>33</v>
      </c>
      <c r="AG12" s="101">
        <f t="shared" si="3"/>
        <v>0</v>
      </c>
      <c r="AH12" s="101"/>
      <c r="AI12" s="101"/>
      <c r="AJ12" s="101"/>
      <c r="AK12" s="102" t="s">
        <v>51</v>
      </c>
      <c r="AM12" s="78" t="s">
        <v>46</v>
      </c>
      <c r="AN12" s="24">
        <v>150</v>
      </c>
      <c r="AO12" s="24">
        <v>45</v>
      </c>
      <c r="AP12" s="24">
        <v>13.999854933178597</v>
      </c>
      <c r="AQ12" s="24">
        <f t="shared" si="4"/>
        <v>3</v>
      </c>
      <c r="AR12" s="24">
        <f t="shared" si="5"/>
        <v>0</v>
      </c>
      <c r="AS12" s="24">
        <f t="shared" si="6"/>
        <v>3</v>
      </c>
      <c r="AT12" s="24">
        <f t="shared" si="7"/>
        <v>6</v>
      </c>
      <c r="AU12" s="42">
        <f t="shared" si="8"/>
        <v>135</v>
      </c>
      <c r="AV12" s="42">
        <f t="shared" si="2"/>
        <v>0</v>
      </c>
      <c r="AW12" s="42">
        <f t="shared" si="2"/>
        <v>135</v>
      </c>
      <c r="BA12">
        <f t="shared" si="9"/>
        <v>120</v>
      </c>
    </row>
    <row r="13" spans="1:53">
      <c r="A13" s="95">
        <v>45011</v>
      </c>
      <c r="B13" s="98">
        <v>1600</v>
      </c>
      <c r="C13" s="98"/>
      <c r="D13" s="96">
        <f>(SUM(粮草!A13:X13)+AG13*10)*IF(AK13="是",$AY$4,$AY$3)</f>
        <v>1616</v>
      </c>
      <c r="E13" s="96">
        <f>SUM($B$4:B13)+SUM($C$4:C13)-SUM($D$4:D13)</f>
        <v>5382</v>
      </c>
      <c r="F13" s="96">
        <f>SUM(经验!A13:X13)</f>
        <v>540</v>
      </c>
      <c r="G13" s="96">
        <f>SUM($F$4:F13)+SUM($H$4:H13)</f>
        <v>6200</v>
      </c>
      <c r="H13" s="98">
        <v>0</v>
      </c>
      <c r="I13" s="105" t="s">
        <v>39</v>
      </c>
      <c r="J13" s="109" t="s">
        <v>46</v>
      </c>
      <c r="K13" s="105" t="s">
        <v>39</v>
      </c>
      <c r="L13" s="105" t="s">
        <v>39</v>
      </c>
      <c r="M13" s="105" t="s">
        <v>39</v>
      </c>
      <c r="N13" s="105" t="s">
        <v>39</v>
      </c>
      <c r="O13" s="99" t="s">
        <v>33</v>
      </c>
      <c r="P13" s="99" t="s">
        <v>33</v>
      </c>
      <c r="Q13" s="98" t="s">
        <v>33</v>
      </c>
      <c r="R13" s="98" t="s">
        <v>33</v>
      </c>
      <c r="S13" s="98" t="s">
        <v>33</v>
      </c>
      <c r="T13" s="98" t="s">
        <v>33</v>
      </c>
      <c r="U13" s="98" t="s">
        <v>33</v>
      </c>
      <c r="V13" s="98" t="s">
        <v>33</v>
      </c>
      <c r="W13" s="99" t="s">
        <v>33</v>
      </c>
      <c r="X13" s="99" t="s">
        <v>33</v>
      </c>
      <c r="Y13" s="105" t="s">
        <v>39</v>
      </c>
      <c r="Z13" s="105" t="s">
        <v>39</v>
      </c>
      <c r="AA13" s="105" t="s">
        <v>39</v>
      </c>
      <c r="AB13" s="105" t="s">
        <v>39</v>
      </c>
      <c r="AC13" s="105" t="s">
        <v>39</v>
      </c>
      <c r="AD13" s="105" t="s">
        <v>39</v>
      </c>
      <c r="AE13" s="99" t="s">
        <v>33</v>
      </c>
      <c r="AF13" s="99" t="s">
        <v>33</v>
      </c>
      <c r="AG13" s="101">
        <f t="shared" si="3"/>
        <v>0</v>
      </c>
      <c r="AH13" s="101"/>
      <c r="AI13" s="101"/>
      <c r="AJ13" s="101"/>
      <c r="AK13" s="102" t="s">
        <v>51</v>
      </c>
      <c r="AM13" s="79" t="s">
        <v>47</v>
      </c>
      <c r="AN13" s="24">
        <v>150</v>
      </c>
      <c r="AO13" s="24">
        <v>50</v>
      </c>
      <c r="AP13" s="24"/>
      <c r="AQ13" s="24">
        <f t="shared" si="4"/>
        <v>1</v>
      </c>
      <c r="AR13" s="24">
        <f t="shared" si="5"/>
        <v>0</v>
      </c>
      <c r="AS13" s="24">
        <f t="shared" si="6"/>
        <v>2</v>
      </c>
      <c r="AT13" s="24">
        <f t="shared" si="7"/>
        <v>3</v>
      </c>
      <c r="AU13" s="42">
        <f t="shared" si="8"/>
        <v>50</v>
      </c>
      <c r="AV13" s="42">
        <f t="shared" si="2"/>
        <v>0</v>
      </c>
      <c r="AW13" s="42">
        <f t="shared" si="2"/>
        <v>100</v>
      </c>
      <c r="BA13">
        <f t="shared" si="9"/>
        <v>120</v>
      </c>
    </row>
    <row r="14" spans="1:53">
      <c r="A14" s="95">
        <v>45012</v>
      </c>
      <c r="B14" s="96">
        <v>1600</v>
      </c>
      <c r="C14" s="96"/>
      <c r="D14" s="96">
        <f>(SUM(粮草!A14:X14)+AG14*10)*IF(AK14="是",$AY$4,$AY$3)</f>
        <v>1536</v>
      </c>
      <c r="E14" s="96">
        <f>SUM($B$4:B14)+SUM($C$4:C14)-SUM($D$4:D14)</f>
        <v>5446</v>
      </c>
      <c r="F14" s="96">
        <f>SUM(经验!A14:X14)</f>
        <v>525</v>
      </c>
      <c r="G14" s="96">
        <f>SUM($F$4:F14)+SUM($H$4:H14)</f>
        <v>7025</v>
      </c>
      <c r="H14" s="96">
        <v>300</v>
      </c>
      <c r="I14" s="105" t="s">
        <v>39</v>
      </c>
      <c r="J14" s="105" t="s">
        <v>39</v>
      </c>
      <c r="K14" s="105" t="s">
        <v>39</v>
      </c>
      <c r="L14" s="105" t="s">
        <v>39</v>
      </c>
      <c r="M14" s="105" t="s">
        <v>39</v>
      </c>
      <c r="N14" s="105" t="s">
        <v>39</v>
      </c>
      <c r="O14" s="99" t="s">
        <v>33</v>
      </c>
      <c r="P14" s="99" t="s">
        <v>33</v>
      </c>
      <c r="Q14" s="98" t="s">
        <v>33</v>
      </c>
      <c r="R14" s="98" t="s">
        <v>33</v>
      </c>
      <c r="S14" s="98" t="s">
        <v>33</v>
      </c>
      <c r="T14" s="98" t="s">
        <v>33</v>
      </c>
      <c r="U14" s="98" t="s">
        <v>33</v>
      </c>
      <c r="V14" s="98" t="s">
        <v>33</v>
      </c>
      <c r="W14" s="99" t="s">
        <v>33</v>
      </c>
      <c r="X14" s="99" t="s">
        <v>33</v>
      </c>
      <c r="Y14" s="105" t="s">
        <v>39</v>
      </c>
      <c r="Z14" s="105" t="s">
        <v>39</v>
      </c>
      <c r="AA14" s="105" t="s">
        <v>39</v>
      </c>
      <c r="AB14" s="105" t="s">
        <v>39</v>
      </c>
      <c r="AC14" s="100" t="s">
        <v>38</v>
      </c>
      <c r="AD14" s="105" t="s">
        <v>39</v>
      </c>
      <c r="AE14" s="99" t="s">
        <v>33</v>
      </c>
      <c r="AF14" s="99" t="s">
        <v>33</v>
      </c>
      <c r="AG14" s="101">
        <f t="shared" si="3"/>
        <v>0</v>
      </c>
      <c r="AH14" s="101"/>
      <c r="AI14" s="101"/>
      <c r="AJ14" s="101"/>
      <c r="AK14" s="102" t="s">
        <v>51</v>
      </c>
      <c r="AM14" s="74" t="s">
        <v>48</v>
      </c>
      <c r="AN14" s="24">
        <v>150</v>
      </c>
      <c r="AO14" s="24">
        <v>55</v>
      </c>
      <c r="AP14" s="24"/>
      <c r="AQ14" s="24">
        <f t="shared" si="4"/>
        <v>2</v>
      </c>
      <c r="AR14" s="24">
        <f t="shared" si="5"/>
        <v>0</v>
      </c>
      <c r="AS14" s="24">
        <f t="shared" si="6"/>
        <v>1</v>
      </c>
      <c r="AT14" s="24">
        <f t="shared" si="7"/>
        <v>3</v>
      </c>
      <c r="AU14" s="42">
        <f t="shared" si="8"/>
        <v>110</v>
      </c>
      <c r="AV14" s="42">
        <f t="shared" si="2"/>
        <v>0</v>
      </c>
      <c r="AW14" s="42">
        <f t="shared" si="2"/>
        <v>55</v>
      </c>
      <c r="BA14">
        <f t="shared" si="9"/>
        <v>120</v>
      </c>
    </row>
    <row r="15" spans="1:53">
      <c r="A15" s="95">
        <v>45013</v>
      </c>
      <c r="B15" s="96">
        <v>1600</v>
      </c>
      <c r="C15" s="96"/>
      <c r="D15" s="96">
        <f>(SUM(粮草!A15:X15)+AG15*10)*IF(AK15="是",$AY$4,$AY$3)</f>
        <v>1632</v>
      </c>
      <c r="E15" s="96">
        <f>SUM($B$4:B15)+SUM($C$4:C15)-SUM($D$4:D15)</f>
        <v>5414</v>
      </c>
      <c r="F15" s="96">
        <f>SUM(经验!A15:X15)</f>
        <v>540</v>
      </c>
      <c r="G15" s="96">
        <f>SUM($F$4:F15)+SUM($H$4:H15)</f>
        <v>7565</v>
      </c>
      <c r="H15" s="96">
        <v>0</v>
      </c>
      <c r="I15" s="105" t="s">
        <v>39</v>
      </c>
      <c r="J15" s="105" t="s">
        <v>39</v>
      </c>
      <c r="K15" s="105" t="s">
        <v>39</v>
      </c>
      <c r="L15" s="105" t="s">
        <v>39</v>
      </c>
      <c r="M15" s="105" t="s">
        <v>39</v>
      </c>
      <c r="N15" s="105" t="s">
        <v>39</v>
      </c>
      <c r="O15" s="99" t="s">
        <v>33</v>
      </c>
      <c r="P15" s="99" t="s">
        <v>33</v>
      </c>
      <c r="Q15" s="98" t="s">
        <v>33</v>
      </c>
      <c r="R15" s="98" t="s">
        <v>33</v>
      </c>
      <c r="S15" s="98" t="s">
        <v>33</v>
      </c>
      <c r="T15" s="98" t="s">
        <v>33</v>
      </c>
      <c r="U15" s="98" t="s">
        <v>33</v>
      </c>
      <c r="V15" s="98" t="s">
        <v>33</v>
      </c>
      <c r="W15" s="99" t="s">
        <v>33</v>
      </c>
      <c r="X15" s="99" t="s">
        <v>33</v>
      </c>
      <c r="Y15" s="105" t="s">
        <v>39</v>
      </c>
      <c r="Z15" s="105" t="s">
        <v>39</v>
      </c>
      <c r="AA15" s="105" t="s">
        <v>39</v>
      </c>
      <c r="AB15" s="105" t="s">
        <v>39</v>
      </c>
      <c r="AC15" s="105" t="s">
        <v>39</v>
      </c>
      <c r="AD15" s="105" t="s">
        <v>39</v>
      </c>
      <c r="AE15" s="99" t="s">
        <v>33</v>
      </c>
      <c r="AF15" s="99" t="s">
        <v>33</v>
      </c>
      <c r="AG15" s="101">
        <f t="shared" si="3"/>
        <v>0</v>
      </c>
      <c r="AH15" s="101"/>
      <c r="AI15" s="101"/>
      <c r="AJ15" s="101"/>
      <c r="AK15" s="102" t="s">
        <v>51</v>
      </c>
      <c r="AM15" s="80" t="s">
        <v>49</v>
      </c>
      <c r="AN15" s="24">
        <v>150</v>
      </c>
      <c r="AO15" s="24">
        <v>60</v>
      </c>
      <c r="AP15" s="24"/>
      <c r="AQ15" s="24">
        <f t="shared" si="4"/>
        <v>0</v>
      </c>
      <c r="AR15" s="24">
        <f t="shared" si="5"/>
        <v>0</v>
      </c>
      <c r="AS15" s="24">
        <f t="shared" si="6"/>
        <v>1</v>
      </c>
      <c r="AT15" s="24">
        <f t="shared" si="7"/>
        <v>1</v>
      </c>
      <c r="AU15" s="42">
        <f t="shared" si="8"/>
        <v>0</v>
      </c>
      <c r="AV15" s="42">
        <f t="shared" si="2"/>
        <v>0</v>
      </c>
      <c r="AW15" s="42">
        <f t="shared" si="2"/>
        <v>60</v>
      </c>
      <c r="BA15">
        <f t="shared" si="9"/>
        <v>120</v>
      </c>
    </row>
    <row r="16" spans="1:53">
      <c r="A16" s="95">
        <v>45014</v>
      </c>
      <c r="B16" s="96">
        <v>1600</v>
      </c>
      <c r="C16" s="96"/>
      <c r="D16" s="96">
        <f>(SUM(粮草!A16:X16)+AG16*10)*IF(AK16="是",$AY$4,$AY$3)</f>
        <v>1632</v>
      </c>
      <c r="E16" s="96">
        <f>SUM($B$4:B16)+SUM($C$4:C16)-SUM($D$4:D16)</f>
        <v>5382</v>
      </c>
      <c r="F16" s="96">
        <f>SUM(经验!A16:X16)</f>
        <v>540</v>
      </c>
      <c r="G16" s="96">
        <f>SUM($F$4:F16)+SUM($H$4:H16)</f>
        <v>8305</v>
      </c>
      <c r="H16" s="96">
        <v>200</v>
      </c>
      <c r="I16" s="105" t="s">
        <v>39</v>
      </c>
      <c r="J16" s="105" t="s">
        <v>39</v>
      </c>
      <c r="K16" s="105" t="s">
        <v>39</v>
      </c>
      <c r="L16" s="105" t="s">
        <v>39</v>
      </c>
      <c r="M16" s="105" t="s">
        <v>39</v>
      </c>
      <c r="N16" s="105" t="s">
        <v>39</v>
      </c>
      <c r="O16" s="99" t="s">
        <v>33</v>
      </c>
      <c r="P16" s="99" t="s">
        <v>33</v>
      </c>
      <c r="Q16" s="98" t="s">
        <v>33</v>
      </c>
      <c r="R16" s="98" t="s">
        <v>33</v>
      </c>
      <c r="S16" s="98" t="s">
        <v>33</v>
      </c>
      <c r="T16" s="98" t="s">
        <v>33</v>
      </c>
      <c r="U16" s="98" t="s">
        <v>33</v>
      </c>
      <c r="V16" s="98" t="s">
        <v>33</v>
      </c>
      <c r="W16" s="99" t="s">
        <v>33</v>
      </c>
      <c r="X16" s="99" t="s">
        <v>33</v>
      </c>
      <c r="Y16" s="105" t="s">
        <v>39</v>
      </c>
      <c r="Z16" s="105" t="s">
        <v>39</v>
      </c>
      <c r="AA16" s="105" t="s">
        <v>39</v>
      </c>
      <c r="AB16" s="105" t="s">
        <v>39</v>
      </c>
      <c r="AC16" s="105" t="s">
        <v>39</v>
      </c>
      <c r="AD16" s="105" t="s">
        <v>39</v>
      </c>
      <c r="AE16" s="99" t="s">
        <v>33</v>
      </c>
      <c r="AF16" s="99" t="s">
        <v>33</v>
      </c>
      <c r="AG16" s="101">
        <f t="shared" si="3"/>
        <v>0</v>
      </c>
      <c r="AH16" s="101"/>
      <c r="AI16" s="101"/>
      <c r="AJ16" s="101"/>
      <c r="AK16" s="102" t="s">
        <v>51</v>
      </c>
      <c r="AM16" s="28" t="s">
        <v>50</v>
      </c>
      <c r="AN16" s="24">
        <v>150</v>
      </c>
      <c r="AO16" s="24">
        <v>35</v>
      </c>
      <c r="AP16" s="24">
        <v>44.222109392472248</v>
      </c>
      <c r="AQ16" s="24">
        <f t="shared" si="4"/>
        <v>0</v>
      </c>
      <c r="AR16" s="24">
        <f t="shared" si="5"/>
        <v>0</v>
      </c>
      <c r="AS16" s="24">
        <f t="shared" si="6"/>
        <v>0</v>
      </c>
      <c r="AT16" s="24">
        <f t="shared" si="7"/>
        <v>0</v>
      </c>
      <c r="AU16" s="42">
        <f t="shared" si="8"/>
        <v>0</v>
      </c>
      <c r="AV16" s="42">
        <f t="shared" si="2"/>
        <v>0</v>
      </c>
      <c r="AW16" s="42">
        <f t="shared" si="2"/>
        <v>0</v>
      </c>
      <c r="BA16">
        <f t="shared" si="9"/>
        <v>120</v>
      </c>
    </row>
    <row r="17" spans="1:53">
      <c r="A17" s="95">
        <v>45015</v>
      </c>
      <c r="B17" s="96">
        <v>1600</v>
      </c>
      <c r="C17" s="96"/>
      <c r="D17" s="96">
        <f>(SUM(粮草!A17:X17)+AG17*10)*IF(AK17="是",$AY$4,$AY$3)</f>
        <v>1600</v>
      </c>
      <c r="E17" s="96">
        <f>SUM($B$4:B17)+SUM($C$4:C17)-SUM($D$4:D17)</f>
        <v>5382</v>
      </c>
      <c r="F17" s="96">
        <f>SUM(经验!A17:X17)</f>
        <v>540</v>
      </c>
      <c r="G17" s="96">
        <f>SUM($F$4:F17)+SUM($H$4:H17)</f>
        <v>8845</v>
      </c>
      <c r="H17" s="96">
        <v>0</v>
      </c>
      <c r="I17" s="105" t="s">
        <v>39</v>
      </c>
      <c r="J17" s="105" t="s">
        <v>39</v>
      </c>
      <c r="K17" s="105" t="s">
        <v>39</v>
      </c>
      <c r="L17" s="109" t="s">
        <v>46</v>
      </c>
      <c r="M17" s="105" t="s">
        <v>39</v>
      </c>
      <c r="N17" s="105" t="s">
        <v>39</v>
      </c>
      <c r="O17" s="99" t="s">
        <v>33</v>
      </c>
      <c r="P17" s="99" t="s">
        <v>33</v>
      </c>
      <c r="Q17" s="98" t="s">
        <v>33</v>
      </c>
      <c r="R17" s="98" t="s">
        <v>33</v>
      </c>
      <c r="S17" s="98" t="s">
        <v>33</v>
      </c>
      <c r="T17" s="98" t="s">
        <v>33</v>
      </c>
      <c r="U17" s="98" t="s">
        <v>33</v>
      </c>
      <c r="V17" s="98" t="s">
        <v>33</v>
      </c>
      <c r="W17" s="99" t="s">
        <v>33</v>
      </c>
      <c r="X17" s="99" t="s">
        <v>33</v>
      </c>
      <c r="Y17" s="105" t="s">
        <v>39</v>
      </c>
      <c r="Z17" s="105" t="s">
        <v>39</v>
      </c>
      <c r="AA17" s="105" t="s">
        <v>39</v>
      </c>
      <c r="AB17" s="105" t="s">
        <v>39</v>
      </c>
      <c r="AC17" s="109" t="s">
        <v>46</v>
      </c>
      <c r="AD17" s="105" t="s">
        <v>39</v>
      </c>
      <c r="AE17" s="99" t="s">
        <v>33</v>
      </c>
      <c r="AF17" s="99" t="s">
        <v>33</v>
      </c>
      <c r="AG17" s="101">
        <f t="shared" si="3"/>
        <v>0</v>
      </c>
      <c r="AH17" s="101"/>
      <c r="AI17" s="101"/>
      <c r="AJ17" s="101"/>
      <c r="AK17" s="102" t="s">
        <v>51</v>
      </c>
      <c r="AM17" s="18" t="s">
        <v>38</v>
      </c>
      <c r="AN17" s="24">
        <v>50</v>
      </c>
      <c r="AO17" s="24">
        <v>30</v>
      </c>
      <c r="AP17" s="24">
        <v>10</v>
      </c>
      <c r="AQ17" s="24">
        <f t="shared" si="4"/>
        <v>14</v>
      </c>
      <c r="AR17" s="24">
        <f t="shared" si="5"/>
        <v>9</v>
      </c>
      <c r="AS17" s="24">
        <f t="shared" si="6"/>
        <v>15</v>
      </c>
      <c r="AT17" s="24">
        <f t="shared" si="7"/>
        <v>38</v>
      </c>
      <c r="AU17" s="42">
        <f t="shared" si="8"/>
        <v>420</v>
      </c>
      <c r="AV17" s="42">
        <f t="shared" si="2"/>
        <v>270</v>
      </c>
      <c r="AW17" s="42">
        <f t="shared" si="2"/>
        <v>450</v>
      </c>
      <c r="BA17">
        <f t="shared" si="9"/>
        <v>40</v>
      </c>
    </row>
    <row r="18" spans="1:53">
      <c r="A18" s="95">
        <v>45016</v>
      </c>
      <c r="B18" s="96">
        <v>1600</v>
      </c>
      <c r="C18" s="96"/>
      <c r="D18" s="96">
        <f>(SUM(粮草!A18:X18)+AG18*10)*IF(AK18="是",$AY$4,$AY$3)</f>
        <v>1632</v>
      </c>
      <c r="E18" s="96">
        <f>SUM($B$4:B18)+SUM($C$4:C18)-SUM($D$4:D18)</f>
        <v>5350</v>
      </c>
      <c r="F18" s="96">
        <f>SUM(经验!A18:X18)</f>
        <v>540</v>
      </c>
      <c r="G18" s="96">
        <f>SUM($F$4:F18)+SUM($H$4:H18)</f>
        <v>9385</v>
      </c>
      <c r="H18" s="96">
        <v>0</v>
      </c>
      <c r="I18" s="105" t="s">
        <v>39</v>
      </c>
      <c r="J18" s="105" t="s">
        <v>39</v>
      </c>
      <c r="K18" s="105" t="s">
        <v>39</v>
      </c>
      <c r="L18" s="105" t="s">
        <v>39</v>
      </c>
      <c r="M18" s="105" t="s">
        <v>39</v>
      </c>
      <c r="N18" s="105" t="s">
        <v>39</v>
      </c>
      <c r="O18" s="99" t="s">
        <v>33</v>
      </c>
      <c r="P18" s="99" t="s">
        <v>33</v>
      </c>
      <c r="Q18" s="98" t="s">
        <v>33</v>
      </c>
      <c r="R18" s="98" t="s">
        <v>33</v>
      </c>
      <c r="S18" s="98" t="s">
        <v>33</v>
      </c>
      <c r="T18" s="98" t="s">
        <v>33</v>
      </c>
      <c r="U18" s="98" t="s">
        <v>33</v>
      </c>
      <c r="V18" s="98" t="s">
        <v>33</v>
      </c>
      <c r="W18" s="99" t="s">
        <v>33</v>
      </c>
      <c r="X18" s="99" t="s">
        <v>33</v>
      </c>
      <c r="Y18" s="105" t="s">
        <v>39</v>
      </c>
      <c r="Z18" s="105" t="s">
        <v>39</v>
      </c>
      <c r="AA18" s="105" t="s">
        <v>39</v>
      </c>
      <c r="AB18" s="105" t="s">
        <v>39</v>
      </c>
      <c r="AC18" s="105" t="s">
        <v>39</v>
      </c>
      <c r="AD18" s="105" t="s">
        <v>39</v>
      </c>
      <c r="AE18" s="99" t="s">
        <v>33</v>
      </c>
      <c r="AF18" s="99" t="s">
        <v>33</v>
      </c>
      <c r="AG18" s="101">
        <f t="shared" si="3"/>
        <v>0</v>
      </c>
      <c r="AH18" s="101"/>
      <c r="AI18" s="101"/>
      <c r="AJ18" s="101"/>
      <c r="AK18" s="102" t="s">
        <v>51</v>
      </c>
      <c r="AL18" s="29" t="s">
        <v>31</v>
      </c>
      <c r="AM18" s="19" t="s">
        <v>45</v>
      </c>
      <c r="AN18" s="24">
        <v>-150</v>
      </c>
      <c r="AO18" s="24">
        <v>0</v>
      </c>
      <c r="AP18" s="24">
        <v>10</v>
      </c>
      <c r="AQ18" s="24">
        <f t="shared" si="4"/>
        <v>0</v>
      </c>
      <c r="AR18" s="24">
        <f t="shared" si="5"/>
        <v>0</v>
      </c>
      <c r="AS18" s="24">
        <f t="shared" si="6"/>
        <v>1</v>
      </c>
      <c r="AT18" s="24">
        <f t="shared" si="7"/>
        <v>1</v>
      </c>
      <c r="AU18" s="42">
        <f t="shared" si="8"/>
        <v>0</v>
      </c>
      <c r="AV18" s="42">
        <f t="shared" si="2"/>
        <v>0</v>
      </c>
      <c r="AW18" s="42">
        <f t="shared" si="2"/>
        <v>0</v>
      </c>
      <c r="BA18">
        <f t="shared" si="9"/>
        <v>-120</v>
      </c>
    </row>
    <row r="19" spans="1:53">
      <c r="A19" s="95">
        <v>45017</v>
      </c>
      <c r="B19" s="96">
        <v>1600</v>
      </c>
      <c r="C19" s="96"/>
      <c r="D19" s="96">
        <f>(SUM(粮草!A19:X19)+AG19*10)*IF(AK19="是",$AY$4,$AY$3)</f>
        <v>1536</v>
      </c>
      <c r="E19" s="96">
        <f>SUM($B$4:B19)+SUM($C$4:C19)-SUM($D$4:D19)</f>
        <v>5414</v>
      </c>
      <c r="F19" s="96">
        <f>SUM(经验!A19:X19)</f>
        <v>525</v>
      </c>
      <c r="G19" s="96">
        <f>SUM($F$4:F19)+SUM($H$4:H19)</f>
        <v>9910</v>
      </c>
      <c r="H19" s="96">
        <v>0</v>
      </c>
      <c r="I19" s="105" t="s">
        <v>39</v>
      </c>
      <c r="J19" s="105" t="s">
        <v>39</v>
      </c>
      <c r="K19" s="105" t="s">
        <v>39</v>
      </c>
      <c r="L19" s="105" t="s">
        <v>39</v>
      </c>
      <c r="M19" s="105" t="s">
        <v>39</v>
      </c>
      <c r="N19" s="105" t="s">
        <v>39</v>
      </c>
      <c r="O19" s="99" t="s">
        <v>33</v>
      </c>
      <c r="P19" s="99" t="s">
        <v>33</v>
      </c>
      <c r="Q19" s="98" t="s">
        <v>33</v>
      </c>
      <c r="R19" s="98" t="s">
        <v>33</v>
      </c>
      <c r="S19" s="98" t="s">
        <v>33</v>
      </c>
      <c r="T19" s="98" t="s">
        <v>33</v>
      </c>
      <c r="U19" s="98" t="s">
        <v>33</v>
      </c>
      <c r="V19" s="98" t="s">
        <v>33</v>
      </c>
      <c r="W19" s="99" t="s">
        <v>33</v>
      </c>
      <c r="X19" s="99" t="s">
        <v>33</v>
      </c>
      <c r="Y19" s="105" t="s">
        <v>39</v>
      </c>
      <c r="Z19" s="100" t="s">
        <v>38</v>
      </c>
      <c r="AA19" s="105" t="s">
        <v>39</v>
      </c>
      <c r="AB19" s="105" t="s">
        <v>39</v>
      </c>
      <c r="AC19" s="105" t="s">
        <v>39</v>
      </c>
      <c r="AD19" s="105" t="s">
        <v>39</v>
      </c>
      <c r="AE19" s="99" t="s">
        <v>33</v>
      </c>
      <c r="AF19" s="99" t="s">
        <v>33</v>
      </c>
      <c r="AG19" s="101">
        <f t="shared" si="3"/>
        <v>0</v>
      </c>
      <c r="AH19" s="101"/>
      <c r="AI19" s="101"/>
      <c r="AJ19" s="101"/>
      <c r="AK19" s="102" t="s">
        <v>51</v>
      </c>
      <c r="AM19" s="68" t="s">
        <v>69</v>
      </c>
      <c r="AN19" s="24">
        <v>250</v>
      </c>
      <c r="AO19" s="24">
        <v>300</v>
      </c>
      <c r="AP19" s="24"/>
      <c r="AQ19" s="24">
        <f t="shared" si="4"/>
        <v>1</v>
      </c>
      <c r="AR19" s="24">
        <f t="shared" si="5"/>
        <v>0</v>
      </c>
      <c r="AS19" s="24">
        <f t="shared" si="6"/>
        <v>2</v>
      </c>
      <c r="AT19" s="24">
        <f t="shared" si="7"/>
        <v>3</v>
      </c>
      <c r="AU19" s="42">
        <f t="shared" si="8"/>
        <v>300</v>
      </c>
      <c r="AV19" s="42">
        <f t="shared" si="2"/>
        <v>0</v>
      </c>
      <c r="AW19" s="42">
        <f t="shared" si="2"/>
        <v>600</v>
      </c>
      <c r="BA19">
        <f t="shared" si="9"/>
        <v>200</v>
      </c>
    </row>
    <row r="20" spans="1:53">
      <c r="A20" s="95">
        <v>45018</v>
      </c>
      <c r="B20" s="96">
        <v>1600</v>
      </c>
      <c r="C20" s="96"/>
      <c r="D20" s="96">
        <f>(SUM(粮草!A20:X20)+AG20*10)*IF(AK20="是",$AY$4,$AY$3)</f>
        <v>1632</v>
      </c>
      <c r="E20" s="96">
        <f>SUM($B$4:B20)+SUM($C$4:C20)-SUM($D$4:D20)</f>
        <v>5382</v>
      </c>
      <c r="F20" s="96">
        <f>SUM(经验!A20:X20)</f>
        <v>540</v>
      </c>
      <c r="G20" s="96">
        <f>SUM($F$4:F20)+SUM($H$4:H20)</f>
        <v>10450</v>
      </c>
      <c r="H20" s="96">
        <v>0</v>
      </c>
      <c r="I20" s="105" t="s">
        <v>39</v>
      </c>
      <c r="J20" s="105" t="s">
        <v>39</v>
      </c>
      <c r="K20" s="105" t="s">
        <v>39</v>
      </c>
      <c r="L20" s="105" t="s">
        <v>39</v>
      </c>
      <c r="M20" s="105" t="s">
        <v>39</v>
      </c>
      <c r="N20" s="105" t="s">
        <v>39</v>
      </c>
      <c r="O20" s="99" t="s">
        <v>33</v>
      </c>
      <c r="P20" s="99" t="s">
        <v>33</v>
      </c>
      <c r="Q20" s="98" t="s">
        <v>33</v>
      </c>
      <c r="R20" s="98" t="s">
        <v>33</v>
      </c>
      <c r="S20" s="98" t="s">
        <v>33</v>
      </c>
      <c r="T20" s="98" t="s">
        <v>33</v>
      </c>
      <c r="U20" s="98" t="s">
        <v>33</v>
      </c>
      <c r="V20" s="98" t="s">
        <v>33</v>
      </c>
      <c r="W20" s="99" t="s">
        <v>33</v>
      </c>
      <c r="X20" s="99" t="s">
        <v>33</v>
      </c>
      <c r="Y20" s="105" t="s">
        <v>39</v>
      </c>
      <c r="Z20" s="105" t="s">
        <v>39</v>
      </c>
      <c r="AA20" s="105" t="s">
        <v>39</v>
      </c>
      <c r="AB20" s="105" t="s">
        <v>39</v>
      </c>
      <c r="AC20" s="105" t="s">
        <v>39</v>
      </c>
      <c r="AD20" s="105" t="s">
        <v>39</v>
      </c>
      <c r="AE20" s="99" t="s">
        <v>33</v>
      </c>
      <c r="AF20" s="99" t="s">
        <v>33</v>
      </c>
      <c r="AG20" s="101">
        <f t="shared" si="3"/>
        <v>0</v>
      </c>
      <c r="AH20" s="101"/>
      <c r="AI20" s="101"/>
      <c r="AJ20" s="101"/>
      <c r="AK20" s="102" t="s">
        <v>51</v>
      </c>
      <c r="AM20" s="68" t="s">
        <v>70</v>
      </c>
      <c r="AN20" s="24">
        <v>170</v>
      </c>
      <c r="AO20" s="24">
        <v>45</v>
      </c>
      <c r="AP20" s="24"/>
      <c r="AQ20" s="24">
        <f t="shared" si="4"/>
        <v>2</v>
      </c>
      <c r="AR20" s="24">
        <f t="shared" si="5"/>
        <v>0</v>
      </c>
      <c r="AS20" s="24">
        <f t="shared" si="6"/>
        <v>3</v>
      </c>
      <c r="AT20" s="24">
        <f t="shared" si="7"/>
        <v>5</v>
      </c>
      <c r="AU20" s="42">
        <f t="shared" si="8"/>
        <v>90</v>
      </c>
      <c r="AV20" s="42">
        <f t="shared" si="8"/>
        <v>0</v>
      </c>
      <c r="AW20" s="42">
        <f t="shared" si="8"/>
        <v>135</v>
      </c>
      <c r="BA20">
        <f t="shared" si="9"/>
        <v>136</v>
      </c>
    </row>
    <row r="21" spans="1:53">
      <c r="A21" s="95">
        <v>45019</v>
      </c>
      <c r="B21" s="98">
        <v>1600</v>
      </c>
      <c r="C21" s="98"/>
      <c r="D21" s="96">
        <f>(SUM(粮草!A21:X21)+AG21*10)*IF(AK21="是",$AY$4,$AY$3)</f>
        <v>1632</v>
      </c>
      <c r="E21" s="96">
        <f>SUM($B$4:B21)+SUM($C$4:C21)-SUM($D$4:D21)</f>
        <v>5350</v>
      </c>
      <c r="F21" s="96">
        <f>SUM(经验!A21:X21)</f>
        <v>540</v>
      </c>
      <c r="G21" s="96">
        <f>SUM($F$4:F21)+SUM($H$4:H21)</f>
        <v>11190</v>
      </c>
      <c r="H21" s="98">
        <v>200</v>
      </c>
      <c r="I21" s="105" t="s">
        <v>39</v>
      </c>
      <c r="J21" s="105" t="s">
        <v>39</v>
      </c>
      <c r="K21" s="105" t="s">
        <v>39</v>
      </c>
      <c r="L21" s="105" t="s">
        <v>39</v>
      </c>
      <c r="M21" s="105" t="s">
        <v>39</v>
      </c>
      <c r="N21" s="105" t="s">
        <v>39</v>
      </c>
      <c r="O21" s="99" t="s">
        <v>33</v>
      </c>
      <c r="P21" s="99" t="s">
        <v>33</v>
      </c>
      <c r="Q21" s="98" t="s">
        <v>33</v>
      </c>
      <c r="R21" s="98" t="s">
        <v>33</v>
      </c>
      <c r="S21" s="98" t="s">
        <v>33</v>
      </c>
      <c r="T21" s="98" t="s">
        <v>33</v>
      </c>
      <c r="U21" s="98" t="s">
        <v>33</v>
      </c>
      <c r="V21" s="98" t="s">
        <v>33</v>
      </c>
      <c r="W21" s="99" t="s">
        <v>33</v>
      </c>
      <c r="X21" s="99" t="s">
        <v>33</v>
      </c>
      <c r="Y21" s="105" t="s">
        <v>39</v>
      </c>
      <c r="Z21" s="105" t="s">
        <v>39</v>
      </c>
      <c r="AA21" s="105" t="s">
        <v>39</v>
      </c>
      <c r="AB21" s="105" t="s">
        <v>39</v>
      </c>
      <c r="AC21" s="105" t="s">
        <v>39</v>
      </c>
      <c r="AD21" s="105" t="s">
        <v>39</v>
      </c>
      <c r="AE21" s="99" t="s">
        <v>33</v>
      </c>
      <c r="AF21" s="99" t="s">
        <v>33</v>
      </c>
      <c r="AG21" s="101">
        <f t="shared" si="3"/>
        <v>0</v>
      </c>
      <c r="AH21" s="101"/>
      <c r="AI21" s="101"/>
      <c r="AJ21" s="101"/>
      <c r="AK21" s="102" t="s">
        <v>51</v>
      </c>
      <c r="AM21" s="30" t="s">
        <v>52</v>
      </c>
      <c r="AN21" s="24">
        <v>250</v>
      </c>
      <c r="AO21" s="24">
        <v>200</v>
      </c>
      <c r="AP21" s="24"/>
      <c r="AQ21" s="24">
        <f t="shared" si="4"/>
        <v>0</v>
      </c>
      <c r="AR21" s="24">
        <f t="shared" si="5"/>
        <v>0</v>
      </c>
      <c r="AS21" s="24">
        <f t="shared" si="6"/>
        <v>0</v>
      </c>
      <c r="AT21" s="24">
        <f t="shared" si="7"/>
        <v>0</v>
      </c>
      <c r="AU21" s="42">
        <f t="shared" si="8"/>
        <v>0</v>
      </c>
      <c r="AV21" s="42">
        <f t="shared" si="8"/>
        <v>0</v>
      </c>
      <c r="AW21" s="42">
        <f t="shared" si="8"/>
        <v>0</v>
      </c>
      <c r="BA21">
        <f t="shared" si="9"/>
        <v>200</v>
      </c>
    </row>
    <row r="22" spans="1:53">
      <c r="A22" s="95">
        <v>45020</v>
      </c>
      <c r="B22" s="98">
        <v>1600</v>
      </c>
      <c r="C22" s="98"/>
      <c r="D22" s="96">
        <f>(SUM(粮草!A22:X22)+AG22*10)*IF(AK22="是",$AY$4,$AY$3)</f>
        <v>1632</v>
      </c>
      <c r="E22" s="96">
        <f>SUM($B$4:B22)+SUM($C$4:C22)-SUM($D$4:D22)</f>
        <v>5318</v>
      </c>
      <c r="F22" s="96">
        <f>SUM(经验!A22:X22)</f>
        <v>610</v>
      </c>
      <c r="G22" s="96">
        <f>SUM($F$4:F22)+SUM($H$4:H22)</f>
        <v>11900</v>
      </c>
      <c r="H22" s="98">
        <v>100</v>
      </c>
      <c r="I22" s="105" t="s">
        <v>39</v>
      </c>
      <c r="J22" s="105" t="s">
        <v>39</v>
      </c>
      <c r="K22" s="105" t="s">
        <v>39</v>
      </c>
      <c r="L22" s="105" t="s">
        <v>39</v>
      </c>
      <c r="M22" s="105" t="s">
        <v>39</v>
      </c>
      <c r="N22" s="105" t="s">
        <v>39</v>
      </c>
      <c r="O22" s="99" t="s">
        <v>33</v>
      </c>
      <c r="P22" s="99" t="s">
        <v>33</v>
      </c>
      <c r="Q22" s="98" t="s">
        <v>33</v>
      </c>
      <c r="R22" s="98" t="s">
        <v>33</v>
      </c>
      <c r="S22" s="98" t="s">
        <v>33</v>
      </c>
      <c r="T22" s="98" t="s">
        <v>33</v>
      </c>
      <c r="U22" s="98" t="s">
        <v>33</v>
      </c>
      <c r="V22" s="98" t="s">
        <v>33</v>
      </c>
      <c r="W22" s="99" t="s">
        <v>33</v>
      </c>
      <c r="X22" s="99" t="s">
        <v>33</v>
      </c>
      <c r="Y22" s="108" t="s">
        <v>41</v>
      </c>
      <c r="Z22" s="105" t="s">
        <v>39</v>
      </c>
      <c r="AA22" s="109" t="s">
        <v>46</v>
      </c>
      <c r="AB22" s="108" t="s">
        <v>41</v>
      </c>
      <c r="AC22" s="108" t="s">
        <v>41</v>
      </c>
      <c r="AD22" s="108" t="s">
        <v>41</v>
      </c>
      <c r="AE22" s="103" t="s">
        <v>58</v>
      </c>
      <c r="AF22" s="108" t="s">
        <v>41</v>
      </c>
      <c r="AG22" s="101">
        <f t="shared" si="3"/>
        <v>0</v>
      </c>
      <c r="AH22" s="101"/>
      <c r="AI22" s="101"/>
      <c r="AJ22" s="101"/>
      <c r="AK22" s="102" t="s">
        <v>51</v>
      </c>
      <c r="AM22" s="31" t="s">
        <v>53</v>
      </c>
      <c r="AN22" s="24">
        <v>250</v>
      </c>
      <c r="AO22" s="24">
        <v>1000</v>
      </c>
      <c r="AP22" s="24"/>
      <c r="AQ22" s="24">
        <f t="shared" si="4"/>
        <v>1</v>
      </c>
      <c r="AR22" s="24">
        <f t="shared" si="5"/>
        <v>0</v>
      </c>
      <c r="AS22" s="24">
        <f t="shared" si="6"/>
        <v>1</v>
      </c>
      <c r="AT22" s="24">
        <f t="shared" si="7"/>
        <v>2</v>
      </c>
      <c r="AU22" s="42">
        <f t="shared" si="8"/>
        <v>1000</v>
      </c>
      <c r="AV22" s="42">
        <f t="shared" si="8"/>
        <v>0</v>
      </c>
      <c r="AW22" s="42">
        <f t="shared" si="8"/>
        <v>1000</v>
      </c>
      <c r="BA22">
        <f t="shared" si="9"/>
        <v>200</v>
      </c>
    </row>
    <row r="23" spans="1:53">
      <c r="A23" s="95">
        <v>45021</v>
      </c>
      <c r="B23" s="98">
        <v>1600</v>
      </c>
      <c r="C23" s="98"/>
      <c r="D23" s="96">
        <f>(SUM(粮草!A23:X23)+AG23*10)*IF(AK23="是",$AY$4,$AY$3)</f>
        <v>1680</v>
      </c>
      <c r="E23" s="96">
        <f>SUM($B$4:B23)+SUM($C$4:C23)-SUM($D$4:D23)</f>
        <v>5238</v>
      </c>
      <c r="F23" s="96">
        <f>SUM(经验!A23:X23)</f>
        <v>570</v>
      </c>
      <c r="G23" s="96">
        <f>SUM($F$4:F23)+SUM($H$4:H23)</f>
        <v>12670</v>
      </c>
      <c r="H23" s="98">
        <v>200</v>
      </c>
      <c r="I23" s="105" t="s">
        <v>39</v>
      </c>
      <c r="J23" s="105" t="s">
        <v>39</v>
      </c>
      <c r="K23" s="105" t="s">
        <v>39</v>
      </c>
      <c r="L23" s="105" t="s">
        <v>39</v>
      </c>
      <c r="M23" s="105" t="s">
        <v>39</v>
      </c>
      <c r="N23" s="105" t="s">
        <v>39</v>
      </c>
      <c r="O23" s="99" t="s">
        <v>33</v>
      </c>
      <c r="P23" s="99" t="s">
        <v>33</v>
      </c>
      <c r="Q23" s="98" t="s">
        <v>33</v>
      </c>
      <c r="R23" s="98" t="s">
        <v>33</v>
      </c>
      <c r="S23" s="98" t="s">
        <v>33</v>
      </c>
      <c r="T23" s="98" t="s">
        <v>33</v>
      </c>
      <c r="U23" s="98" t="s">
        <v>33</v>
      </c>
      <c r="V23" s="98" t="s">
        <v>33</v>
      </c>
      <c r="W23" s="99" t="s">
        <v>33</v>
      </c>
      <c r="X23" s="99" t="s">
        <v>33</v>
      </c>
      <c r="Y23" s="108" t="s">
        <v>41</v>
      </c>
      <c r="Z23" s="108" t="s">
        <v>41</v>
      </c>
      <c r="AA23" s="108" t="s">
        <v>41</v>
      </c>
      <c r="AB23" s="108" t="s">
        <v>41</v>
      </c>
      <c r="AC23" s="108" t="s">
        <v>41</v>
      </c>
      <c r="AD23" s="108" t="s">
        <v>41</v>
      </c>
      <c r="AE23" s="99" t="s">
        <v>33</v>
      </c>
      <c r="AF23" s="99" t="s">
        <v>33</v>
      </c>
      <c r="AG23" s="101">
        <f t="shared" si="3"/>
        <v>0</v>
      </c>
      <c r="AH23" s="101"/>
      <c r="AI23" s="101"/>
      <c r="AJ23" s="101"/>
      <c r="AK23" s="102" t="s">
        <v>51</v>
      </c>
      <c r="AM23" s="32" t="s">
        <v>54</v>
      </c>
      <c r="AN23" s="24">
        <v>250</v>
      </c>
      <c r="AO23" s="24">
        <v>500</v>
      </c>
      <c r="AP23" s="24"/>
      <c r="AQ23" s="24">
        <f t="shared" si="4"/>
        <v>1</v>
      </c>
      <c r="AR23" s="24">
        <f t="shared" si="5"/>
        <v>0</v>
      </c>
      <c r="AS23" s="24">
        <f t="shared" si="6"/>
        <v>1</v>
      </c>
      <c r="AT23" s="24">
        <f t="shared" si="7"/>
        <v>2</v>
      </c>
      <c r="AU23" s="42">
        <f t="shared" si="8"/>
        <v>500</v>
      </c>
      <c r="AV23" s="42">
        <f t="shared" si="8"/>
        <v>0</v>
      </c>
      <c r="AW23" s="42">
        <f t="shared" si="8"/>
        <v>500</v>
      </c>
      <c r="BA23">
        <f t="shared" si="9"/>
        <v>200</v>
      </c>
    </row>
    <row r="24" spans="1:53">
      <c r="A24" s="95">
        <v>45022</v>
      </c>
      <c r="B24" s="98">
        <v>1600</v>
      </c>
      <c r="C24" s="98"/>
      <c r="D24" s="96">
        <f>(SUM(粮草!A24:X24)+AG24*10)*IF(AK24="是",$AY$4,$AY$3)</f>
        <v>1680</v>
      </c>
      <c r="E24" s="96">
        <f>SUM($B$4:B24)+SUM($C$4:C24)-SUM($D$4:D24)</f>
        <v>5158</v>
      </c>
      <c r="F24" s="96">
        <f>SUM(经验!A24:X24)</f>
        <v>570</v>
      </c>
      <c r="G24" s="96">
        <f>SUM($F$4:F24)+SUM($H$4:H24)</f>
        <v>13240</v>
      </c>
      <c r="H24" s="98">
        <v>0</v>
      </c>
      <c r="I24" s="105" t="s">
        <v>39</v>
      </c>
      <c r="J24" s="105" t="s">
        <v>39</v>
      </c>
      <c r="K24" s="105" t="s">
        <v>39</v>
      </c>
      <c r="L24" s="105" t="s">
        <v>39</v>
      </c>
      <c r="M24" s="105" t="s">
        <v>39</v>
      </c>
      <c r="N24" s="105" t="s">
        <v>39</v>
      </c>
      <c r="O24" s="99" t="s">
        <v>33</v>
      </c>
      <c r="P24" s="99" t="s">
        <v>33</v>
      </c>
      <c r="Q24" s="98" t="s">
        <v>33</v>
      </c>
      <c r="R24" s="98" t="s">
        <v>33</v>
      </c>
      <c r="S24" s="98" t="s">
        <v>33</v>
      </c>
      <c r="T24" s="98" t="s">
        <v>33</v>
      </c>
      <c r="U24" s="98" t="s">
        <v>33</v>
      </c>
      <c r="V24" s="98" t="s">
        <v>33</v>
      </c>
      <c r="W24" s="99" t="s">
        <v>33</v>
      </c>
      <c r="X24" s="99" t="s">
        <v>33</v>
      </c>
      <c r="Y24" s="108" t="s">
        <v>41</v>
      </c>
      <c r="Z24" s="108" t="s">
        <v>41</v>
      </c>
      <c r="AA24" s="108" t="s">
        <v>41</v>
      </c>
      <c r="AB24" s="108" t="s">
        <v>41</v>
      </c>
      <c r="AC24" s="108" t="s">
        <v>41</v>
      </c>
      <c r="AD24" s="108" t="s">
        <v>41</v>
      </c>
      <c r="AE24" s="99" t="s">
        <v>33</v>
      </c>
      <c r="AF24" s="99" t="s">
        <v>33</v>
      </c>
      <c r="AG24" s="101">
        <f t="shared" si="3"/>
        <v>0</v>
      </c>
      <c r="AH24" s="101"/>
      <c r="AI24" s="101"/>
      <c r="AJ24" s="101"/>
      <c r="AK24" s="102" t="s">
        <v>51</v>
      </c>
      <c r="AM24" s="33" t="s">
        <v>55</v>
      </c>
      <c r="AN24" s="24">
        <v>160</v>
      </c>
      <c r="AO24" s="24">
        <v>40</v>
      </c>
      <c r="AP24" s="24">
        <v>39.110982162825422</v>
      </c>
      <c r="AQ24" s="24">
        <f t="shared" si="4"/>
        <v>0</v>
      </c>
      <c r="AR24" s="24">
        <f t="shared" si="5"/>
        <v>0</v>
      </c>
      <c r="AS24" s="24">
        <f t="shared" si="6"/>
        <v>0</v>
      </c>
      <c r="AT24" s="24">
        <f t="shared" si="7"/>
        <v>0</v>
      </c>
      <c r="AU24" s="42">
        <f t="shared" si="8"/>
        <v>0</v>
      </c>
      <c r="AV24" s="42">
        <f t="shared" si="8"/>
        <v>0</v>
      </c>
      <c r="AW24" s="42">
        <f t="shared" si="8"/>
        <v>0</v>
      </c>
      <c r="BA24">
        <f t="shared" si="9"/>
        <v>128</v>
      </c>
    </row>
    <row r="25" spans="1:53">
      <c r="A25" s="95">
        <v>45023</v>
      </c>
      <c r="B25" s="98">
        <v>1600</v>
      </c>
      <c r="C25" s="98"/>
      <c r="D25" s="96">
        <f>(SUM(粮草!A25:X25)+AG25*10)*IF(AK25="是",$AY$4,$AY$3)</f>
        <v>1680</v>
      </c>
      <c r="E25" s="96">
        <f>SUM($B$4:B25)+SUM($C$4:C25)-SUM($D$4:D25)</f>
        <v>5078</v>
      </c>
      <c r="F25" s="96">
        <f>SUM(经验!A25:X25)</f>
        <v>570</v>
      </c>
      <c r="G25" s="96">
        <f>SUM($F$4:F25)+SUM($H$4:H25)</f>
        <v>13810</v>
      </c>
      <c r="H25" s="98">
        <v>0</v>
      </c>
      <c r="I25" s="105" t="s">
        <v>39</v>
      </c>
      <c r="J25" s="105" t="s">
        <v>39</v>
      </c>
      <c r="K25" s="105" t="s">
        <v>39</v>
      </c>
      <c r="L25" s="105" t="s">
        <v>39</v>
      </c>
      <c r="M25" s="105" t="s">
        <v>39</v>
      </c>
      <c r="N25" s="105" t="s">
        <v>39</v>
      </c>
      <c r="O25" s="99" t="s">
        <v>33</v>
      </c>
      <c r="P25" s="99" t="s">
        <v>33</v>
      </c>
      <c r="Q25" s="98" t="s">
        <v>33</v>
      </c>
      <c r="R25" s="98" t="s">
        <v>33</v>
      </c>
      <c r="S25" s="98" t="s">
        <v>33</v>
      </c>
      <c r="T25" s="98" t="s">
        <v>33</v>
      </c>
      <c r="U25" s="98" t="s">
        <v>33</v>
      </c>
      <c r="V25" s="98" t="s">
        <v>33</v>
      </c>
      <c r="W25" s="99" t="s">
        <v>33</v>
      </c>
      <c r="X25" s="99" t="s">
        <v>33</v>
      </c>
      <c r="Y25" s="108" t="s">
        <v>41</v>
      </c>
      <c r="Z25" s="108" t="s">
        <v>41</v>
      </c>
      <c r="AA25" s="108" t="s">
        <v>41</v>
      </c>
      <c r="AB25" s="108" t="s">
        <v>41</v>
      </c>
      <c r="AC25" s="108" t="s">
        <v>41</v>
      </c>
      <c r="AD25" s="108" t="s">
        <v>41</v>
      </c>
      <c r="AE25" s="99" t="s">
        <v>33</v>
      </c>
      <c r="AF25" s="99" t="s">
        <v>33</v>
      </c>
      <c r="AG25" s="101">
        <f t="shared" si="3"/>
        <v>0</v>
      </c>
      <c r="AH25" s="101"/>
      <c r="AI25" s="101"/>
      <c r="AJ25" s="101"/>
      <c r="AK25" s="102" t="s">
        <v>51</v>
      </c>
      <c r="AM25" s="33" t="s">
        <v>56</v>
      </c>
      <c r="AN25" s="24">
        <v>160</v>
      </c>
      <c r="AO25" s="24">
        <v>40</v>
      </c>
      <c r="AP25" s="24">
        <v>39.110982162825422</v>
      </c>
      <c r="AQ25" s="24">
        <f t="shared" si="4"/>
        <v>0</v>
      </c>
      <c r="AR25" s="24">
        <f t="shared" si="5"/>
        <v>0</v>
      </c>
      <c r="AS25" s="24">
        <f t="shared" si="6"/>
        <v>0</v>
      </c>
      <c r="AT25" s="24">
        <f t="shared" si="7"/>
        <v>0</v>
      </c>
      <c r="AU25" s="42">
        <f t="shared" si="8"/>
        <v>0</v>
      </c>
      <c r="AV25" s="42">
        <f t="shared" si="8"/>
        <v>0</v>
      </c>
      <c r="AW25" s="42">
        <f t="shared" si="8"/>
        <v>0</v>
      </c>
      <c r="BA25">
        <f t="shared" si="9"/>
        <v>128</v>
      </c>
    </row>
    <row r="26" spans="1:53">
      <c r="A26" s="95">
        <v>45024</v>
      </c>
      <c r="B26" s="98">
        <v>1600</v>
      </c>
      <c r="C26" s="98"/>
      <c r="D26" s="96">
        <f>(SUM(粮草!A26:X26)+AG26*10)*IF(AK26="是",$AY$4,$AY$3)</f>
        <v>1584</v>
      </c>
      <c r="E26" s="96">
        <f>SUM($B$4:B26)+SUM($C$4:C26)-SUM($D$4:D26)</f>
        <v>5094</v>
      </c>
      <c r="F26" s="96">
        <f>SUM(经验!A26:X26)</f>
        <v>555</v>
      </c>
      <c r="G26" s="96">
        <f>SUM($F$4:F26)+SUM($H$4:H26)</f>
        <v>14365</v>
      </c>
      <c r="H26" s="98">
        <v>0</v>
      </c>
      <c r="I26" s="105" t="s">
        <v>39</v>
      </c>
      <c r="J26" s="105" t="s">
        <v>39</v>
      </c>
      <c r="K26" s="100" t="s">
        <v>38</v>
      </c>
      <c r="L26" s="105" t="s">
        <v>39</v>
      </c>
      <c r="M26" s="105" t="s">
        <v>39</v>
      </c>
      <c r="N26" s="105" t="s">
        <v>39</v>
      </c>
      <c r="O26" s="99" t="s">
        <v>33</v>
      </c>
      <c r="P26" s="99" t="s">
        <v>33</v>
      </c>
      <c r="Q26" s="98" t="s">
        <v>33</v>
      </c>
      <c r="R26" s="98" t="s">
        <v>33</v>
      </c>
      <c r="S26" s="98" t="s">
        <v>33</v>
      </c>
      <c r="T26" s="98" t="s">
        <v>33</v>
      </c>
      <c r="U26" s="98" t="s">
        <v>33</v>
      </c>
      <c r="V26" s="98" t="s">
        <v>33</v>
      </c>
      <c r="W26" s="99" t="s">
        <v>33</v>
      </c>
      <c r="X26" s="99" t="s">
        <v>33</v>
      </c>
      <c r="Y26" s="108" t="s">
        <v>41</v>
      </c>
      <c r="Z26" s="108" t="s">
        <v>41</v>
      </c>
      <c r="AA26" s="108" t="s">
        <v>41</v>
      </c>
      <c r="AB26" s="108" t="s">
        <v>41</v>
      </c>
      <c r="AC26" s="108" t="s">
        <v>41</v>
      </c>
      <c r="AD26" s="108" t="s">
        <v>41</v>
      </c>
      <c r="AE26" s="99" t="s">
        <v>33</v>
      </c>
      <c r="AF26" s="99" t="s">
        <v>33</v>
      </c>
      <c r="AG26" s="101">
        <f t="shared" si="3"/>
        <v>0</v>
      </c>
      <c r="AH26" s="101"/>
      <c r="AI26" s="101"/>
      <c r="AJ26" s="101"/>
      <c r="AK26" s="102" t="s">
        <v>51</v>
      </c>
      <c r="AM26" s="33" t="s">
        <v>57</v>
      </c>
      <c r="AN26" s="24">
        <v>150</v>
      </c>
      <c r="AO26" s="24">
        <v>35</v>
      </c>
      <c r="AP26" s="24">
        <v>44.222109392472248</v>
      </c>
      <c r="AQ26" s="24">
        <f t="shared" si="4"/>
        <v>0</v>
      </c>
      <c r="AR26" s="24">
        <f t="shared" si="5"/>
        <v>0</v>
      </c>
      <c r="AS26" s="24">
        <f t="shared" si="6"/>
        <v>0</v>
      </c>
      <c r="AT26" s="24">
        <f t="shared" si="7"/>
        <v>0</v>
      </c>
      <c r="AU26" s="42">
        <f t="shared" si="8"/>
        <v>0</v>
      </c>
      <c r="AV26" s="42">
        <f t="shared" si="8"/>
        <v>0</v>
      </c>
      <c r="AW26" s="42">
        <f t="shared" si="8"/>
        <v>0</v>
      </c>
      <c r="BA26">
        <f t="shared" si="9"/>
        <v>120</v>
      </c>
    </row>
    <row r="27" spans="1:53">
      <c r="A27" s="95">
        <v>45025</v>
      </c>
      <c r="B27" s="98">
        <v>1600</v>
      </c>
      <c r="C27" s="98"/>
      <c r="D27" s="96">
        <f>(SUM(粮草!A27:X27)+AG27*10)*IF(AK27="是",$AY$4,$AY$3)</f>
        <v>1680</v>
      </c>
      <c r="E27" s="96">
        <f>SUM($B$4:B27)+SUM($C$4:C27)-SUM($D$4:D27)</f>
        <v>5014</v>
      </c>
      <c r="F27" s="96">
        <f>SUM(经验!A27:X27)</f>
        <v>570</v>
      </c>
      <c r="G27" s="96">
        <f>SUM($F$4:F27)+SUM($H$4:H27)</f>
        <v>14935</v>
      </c>
      <c r="H27" s="98">
        <v>0</v>
      </c>
      <c r="I27" s="105" t="s">
        <v>39</v>
      </c>
      <c r="J27" s="105" t="s">
        <v>39</v>
      </c>
      <c r="K27" s="105" t="s">
        <v>39</v>
      </c>
      <c r="L27" s="105" t="s">
        <v>39</v>
      </c>
      <c r="M27" s="105" t="s">
        <v>39</v>
      </c>
      <c r="N27" s="105" t="s">
        <v>39</v>
      </c>
      <c r="O27" s="99" t="s">
        <v>33</v>
      </c>
      <c r="P27" s="99" t="s">
        <v>33</v>
      </c>
      <c r="Q27" s="98" t="s">
        <v>33</v>
      </c>
      <c r="R27" s="98" t="s">
        <v>33</v>
      </c>
      <c r="S27" s="98" t="s">
        <v>33</v>
      </c>
      <c r="T27" s="98" t="s">
        <v>33</v>
      </c>
      <c r="U27" s="98" t="s">
        <v>33</v>
      </c>
      <c r="V27" s="98" t="s">
        <v>33</v>
      </c>
      <c r="W27" s="99" t="s">
        <v>33</v>
      </c>
      <c r="X27" s="99" t="s">
        <v>33</v>
      </c>
      <c r="Y27" s="108" t="s">
        <v>41</v>
      </c>
      <c r="Z27" s="108" t="s">
        <v>41</v>
      </c>
      <c r="AA27" s="108" t="s">
        <v>41</v>
      </c>
      <c r="AB27" s="108" t="s">
        <v>41</v>
      </c>
      <c r="AC27" s="108" t="s">
        <v>41</v>
      </c>
      <c r="AD27" s="108" t="s">
        <v>41</v>
      </c>
      <c r="AE27" s="99" t="s">
        <v>33</v>
      </c>
      <c r="AF27" s="99" t="s">
        <v>33</v>
      </c>
      <c r="AG27" s="101">
        <f t="shared" si="3"/>
        <v>0</v>
      </c>
      <c r="AH27" s="101"/>
      <c r="AI27" s="101"/>
      <c r="AJ27" s="101"/>
      <c r="AK27" s="102" t="s">
        <v>51</v>
      </c>
      <c r="AM27" s="34" t="s">
        <v>33</v>
      </c>
      <c r="AN27" s="24">
        <v>0</v>
      </c>
      <c r="AO27" s="24">
        <v>0</v>
      </c>
      <c r="AP27" s="24">
        <v>0</v>
      </c>
      <c r="AQ27" s="24"/>
      <c r="AR27" s="24"/>
      <c r="AS27" s="24"/>
      <c r="AT27" s="24"/>
      <c r="AU27" s="42">
        <f t="shared" si="8"/>
        <v>0</v>
      </c>
      <c r="AV27" s="42">
        <f t="shared" si="8"/>
        <v>0</v>
      </c>
      <c r="AW27" s="42">
        <f t="shared" si="8"/>
        <v>0</v>
      </c>
      <c r="BA27">
        <f t="shared" si="9"/>
        <v>0</v>
      </c>
    </row>
    <row r="28" spans="1:53" ht="15.75" thickBot="1">
      <c r="A28" s="95">
        <v>45026</v>
      </c>
      <c r="B28" s="96">
        <v>1600</v>
      </c>
      <c r="C28" s="96"/>
      <c r="D28" s="96">
        <f>(SUM(粮草!A28:X28)+AG28*10)*IF(AK28="是",$AY$4,$AY$3)</f>
        <v>1592</v>
      </c>
      <c r="E28" s="96">
        <f>SUM($B$4:B28)+SUM($C$4:C28)-SUM($D$4:D28)</f>
        <v>5022</v>
      </c>
      <c r="F28" s="96">
        <f>SUM(经验!A28:X28)</f>
        <v>560</v>
      </c>
      <c r="G28" s="96">
        <f>SUM($F$4:F28)+SUM($H$4:H28)</f>
        <v>15695</v>
      </c>
      <c r="H28" s="96">
        <v>200</v>
      </c>
      <c r="I28" s="105" t="s">
        <v>39</v>
      </c>
      <c r="J28" s="105" t="s">
        <v>39</v>
      </c>
      <c r="K28" s="105" t="s">
        <v>39</v>
      </c>
      <c r="L28" s="105" t="s">
        <v>39</v>
      </c>
      <c r="M28" s="105" t="s">
        <v>39</v>
      </c>
      <c r="N28" s="100" t="s">
        <v>38</v>
      </c>
      <c r="O28" s="99" t="s">
        <v>33</v>
      </c>
      <c r="P28" s="99" t="s">
        <v>33</v>
      </c>
      <c r="Q28" s="98" t="s">
        <v>33</v>
      </c>
      <c r="R28" s="98" t="s">
        <v>33</v>
      </c>
      <c r="S28" s="98" t="s">
        <v>33</v>
      </c>
      <c r="T28" s="98" t="s">
        <v>33</v>
      </c>
      <c r="U28" s="98" t="s">
        <v>33</v>
      </c>
      <c r="V28" s="98" t="s">
        <v>33</v>
      </c>
      <c r="W28" s="99" t="s">
        <v>33</v>
      </c>
      <c r="X28" s="99" t="s">
        <v>33</v>
      </c>
      <c r="Y28" s="108" t="s">
        <v>41</v>
      </c>
      <c r="Z28" s="108" t="s">
        <v>41</v>
      </c>
      <c r="AA28" s="108" t="s">
        <v>41</v>
      </c>
      <c r="AB28" s="108" t="s">
        <v>41</v>
      </c>
      <c r="AC28" s="108" t="s">
        <v>41</v>
      </c>
      <c r="AD28" s="110" t="s">
        <v>42</v>
      </c>
      <c r="AE28" s="99" t="s">
        <v>33</v>
      </c>
      <c r="AF28" s="99" t="s">
        <v>33</v>
      </c>
      <c r="AG28" s="101">
        <f t="shared" si="3"/>
        <v>0</v>
      </c>
      <c r="AH28" s="101"/>
      <c r="AI28" s="101"/>
      <c r="AJ28" s="101"/>
      <c r="AK28" s="102" t="s">
        <v>51</v>
      </c>
      <c r="AL28" s="35" t="s">
        <v>35</v>
      </c>
      <c r="AM28" s="19" t="s">
        <v>58</v>
      </c>
      <c r="AN28" s="24">
        <v>-200</v>
      </c>
      <c r="AO28" s="24">
        <v>0</v>
      </c>
      <c r="AP28" s="24"/>
      <c r="AQ28" s="24">
        <f>COUNTIF($I$4:$P$94,AM28)</f>
        <v>6</v>
      </c>
      <c r="AR28" s="24">
        <f>COUNTIF($Q$4:$X$94,AM28)</f>
        <v>3</v>
      </c>
      <c r="AS28" s="24">
        <f>COUNTIF($Y$4:$AF$94,AM28)</f>
        <v>5</v>
      </c>
      <c r="AT28" s="24">
        <f>AQ28+AR28+AS28</f>
        <v>14</v>
      </c>
      <c r="AU28" s="42">
        <f t="shared" si="8"/>
        <v>0</v>
      </c>
      <c r="AV28" s="42">
        <f t="shared" si="8"/>
        <v>0</v>
      </c>
      <c r="AW28" s="42">
        <f t="shared" si="8"/>
        <v>0</v>
      </c>
      <c r="BA28">
        <f t="shared" si="9"/>
        <v>-160</v>
      </c>
    </row>
    <row r="29" spans="1:53">
      <c r="A29" s="95">
        <v>45027</v>
      </c>
      <c r="B29" s="96">
        <v>1600</v>
      </c>
      <c r="C29" s="96"/>
      <c r="D29" s="96">
        <f>(SUM(粮草!A29:X29)+AG29*10)*IF(AK29="是",$AY$4,$AY$3)</f>
        <v>1728</v>
      </c>
      <c r="E29" s="96">
        <f>SUM($B$4:B29)+SUM($C$4:C29)-SUM($D$4:D29)</f>
        <v>4894</v>
      </c>
      <c r="F29" s="96">
        <f>SUM(经验!A29:X29)</f>
        <v>600</v>
      </c>
      <c r="G29" s="96">
        <f>SUM($F$4:F29)+SUM($H$4:H29)</f>
        <v>16395</v>
      </c>
      <c r="H29" s="96">
        <v>100</v>
      </c>
      <c r="I29" s="105" t="s">
        <v>39</v>
      </c>
      <c r="J29" s="105" t="s">
        <v>39</v>
      </c>
      <c r="K29" s="105" t="s">
        <v>39</v>
      </c>
      <c r="L29" s="105" t="s">
        <v>39</v>
      </c>
      <c r="M29" s="105" t="s">
        <v>39</v>
      </c>
      <c r="N29" s="105" t="s">
        <v>39</v>
      </c>
      <c r="O29" s="99" t="s">
        <v>33</v>
      </c>
      <c r="P29" s="99" t="s">
        <v>33</v>
      </c>
      <c r="Q29" s="98" t="s">
        <v>33</v>
      </c>
      <c r="R29" s="98" t="s">
        <v>33</v>
      </c>
      <c r="S29" s="98" t="s">
        <v>33</v>
      </c>
      <c r="T29" s="98" t="s">
        <v>33</v>
      </c>
      <c r="U29" s="98" t="s">
        <v>33</v>
      </c>
      <c r="V29" s="98" t="s">
        <v>33</v>
      </c>
      <c r="W29" s="99" t="s">
        <v>33</v>
      </c>
      <c r="X29" s="99" t="s">
        <v>33</v>
      </c>
      <c r="Y29" s="110" t="s">
        <v>42</v>
      </c>
      <c r="Z29" s="110" t="s">
        <v>42</v>
      </c>
      <c r="AA29" s="110" t="s">
        <v>42</v>
      </c>
      <c r="AB29" s="110" t="s">
        <v>42</v>
      </c>
      <c r="AC29" s="110" t="s">
        <v>42</v>
      </c>
      <c r="AD29" s="110" t="s">
        <v>42</v>
      </c>
      <c r="AE29" s="99" t="s">
        <v>33</v>
      </c>
      <c r="AF29" s="99" t="s">
        <v>33</v>
      </c>
      <c r="AG29" s="101">
        <f t="shared" si="3"/>
        <v>0</v>
      </c>
      <c r="AH29" s="101"/>
      <c r="AI29" s="101"/>
      <c r="AJ29" s="101"/>
      <c r="AK29" s="102" t="s">
        <v>51</v>
      </c>
      <c r="AM29" s="72" t="s">
        <v>68</v>
      </c>
      <c r="AN29" s="24">
        <v>50</v>
      </c>
      <c r="AO29" s="24">
        <v>520</v>
      </c>
      <c r="AP29" s="24"/>
      <c r="AQ29" s="24">
        <f>COUNTIF($I$4:$P$94,AM29)</f>
        <v>1</v>
      </c>
      <c r="AR29" s="24">
        <f>COUNTIF($Q$4:$X$94,AM29)</f>
        <v>1</v>
      </c>
      <c r="AS29" s="24">
        <f>COUNTIF($Y$4:$AF$94,AM29)</f>
        <v>1</v>
      </c>
      <c r="AT29" s="24">
        <f>AQ29+AR29+AS29</f>
        <v>3</v>
      </c>
      <c r="AU29" s="42">
        <f t="shared" ref="AU29" si="10">AQ29*$AO29</f>
        <v>520</v>
      </c>
      <c r="AV29" s="42">
        <f t="shared" ref="AV29" si="11">AR29*$AO29</f>
        <v>520</v>
      </c>
      <c r="AW29" s="42">
        <f t="shared" ref="AW29" si="12">AS29*$AO29</f>
        <v>520</v>
      </c>
      <c r="BA29">
        <f t="shared" si="9"/>
        <v>40</v>
      </c>
    </row>
    <row r="30" spans="1:53">
      <c r="A30" s="95">
        <v>45028</v>
      </c>
      <c r="B30" s="96">
        <v>1600</v>
      </c>
      <c r="C30" s="96"/>
      <c r="D30" s="96">
        <f>(SUM(粮草!A30:X30)+AG30*10)*IF(AK30="是",$AY$4,$AY$3)</f>
        <v>1616</v>
      </c>
      <c r="E30" s="96">
        <f>SUM($B$4:B30)+SUM($C$4:C30)-SUM($D$4:D30)</f>
        <v>4878</v>
      </c>
      <c r="F30" s="96">
        <f>SUM(经验!A30:X30)</f>
        <v>575</v>
      </c>
      <c r="G30" s="96">
        <f>SUM($F$4:F30)+SUM($H$4:H30)</f>
        <v>17170</v>
      </c>
      <c r="H30" s="96">
        <v>200</v>
      </c>
      <c r="I30" s="105" t="s">
        <v>39</v>
      </c>
      <c r="J30" s="105" t="s">
        <v>39</v>
      </c>
      <c r="K30" s="105" t="s">
        <v>39</v>
      </c>
      <c r="L30" s="105" t="s">
        <v>39</v>
      </c>
      <c r="M30" s="105" t="s">
        <v>39</v>
      </c>
      <c r="N30" s="105" t="s">
        <v>39</v>
      </c>
      <c r="O30" s="99" t="s">
        <v>33</v>
      </c>
      <c r="P30" s="99" t="s">
        <v>33</v>
      </c>
      <c r="Q30" s="98" t="s">
        <v>33</v>
      </c>
      <c r="R30" s="98" t="s">
        <v>33</v>
      </c>
      <c r="S30" s="98" t="s">
        <v>33</v>
      </c>
      <c r="T30" s="98" t="s">
        <v>33</v>
      </c>
      <c r="U30" s="98" t="s">
        <v>33</v>
      </c>
      <c r="V30" s="98" t="s">
        <v>33</v>
      </c>
      <c r="W30" s="99" t="s">
        <v>33</v>
      </c>
      <c r="X30" s="99" t="s">
        <v>33</v>
      </c>
      <c r="Y30" s="100" t="s">
        <v>38</v>
      </c>
      <c r="Z30" s="110" t="s">
        <v>42</v>
      </c>
      <c r="AA30" s="110" t="s">
        <v>42</v>
      </c>
      <c r="AB30" s="110" t="s">
        <v>42</v>
      </c>
      <c r="AC30" s="110" t="s">
        <v>42</v>
      </c>
      <c r="AD30" s="110" t="s">
        <v>42</v>
      </c>
      <c r="AE30" s="99" t="s">
        <v>33</v>
      </c>
      <c r="AF30" s="99" t="s">
        <v>33</v>
      </c>
      <c r="AG30" s="101">
        <f t="shared" si="3"/>
        <v>0</v>
      </c>
      <c r="AH30" s="101"/>
      <c r="AI30" s="101"/>
      <c r="AJ30" s="101"/>
      <c r="AK30" s="102" t="s">
        <v>51</v>
      </c>
      <c r="AM30" s="24"/>
      <c r="AN30" s="24"/>
      <c r="AO30" s="24"/>
      <c r="AP30" s="42"/>
    </row>
    <row r="31" spans="1:53">
      <c r="A31" s="95">
        <v>45029</v>
      </c>
      <c r="B31" s="96">
        <v>1600</v>
      </c>
      <c r="C31" s="96"/>
      <c r="D31" s="96">
        <f>(SUM(粮草!A31:X31)+AG31*10)*IF(AK31="是",$AY$4,$AY$3)</f>
        <v>1632</v>
      </c>
      <c r="E31" s="96">
        <f>SUM($B$4:B31)+SUM($C$4:C31)-SUM($D$4:D31)</f>
        <v>4846</v>
      </c>
      <c r="F31" s="96">
        <f>SUM(经验!A31:X31)</f>
        <v>585</v>
      </c>
      <c r="G31" s="96">
        <f>SUM($F$4:F31)+SUM($H$4:H31)</f>
        <v>17755</v>
      </c>
      <c r="H31" s="96">
        <v>0</v>
      </c>
      <c r="I31" s="105" t="s">
        <v>39</v>
      </c>
      <c r="J31" s="105" t="s">
        <v>39</v>
      </c>
      <c r="K31" s="105" t="s">
        <v>39</v>
      </c>
      <c r="L31" s="105" t="s">
        <v>39</v>
      </c>
      <c r="M31" s="105" t="s">
        <v>39</v>
      </c>
      <c r="N31" s="100" t="s">
        <v>38</v>
      </c>
      <c r="O31" s="99" t="s">
        <v>33</v>
      </c>
      <c r="P31" s="99" t="s">
        <v>33</v>
      </c>
      <c r="Q31" s="98" t="s">
        <v>33</v>
      </c>
      <c r="R31" s="98" t="s">
        <v>33</v>
      </c>
      <c r="S31" s="98" t="s">
        <v>33</v>
      </c>
      <c r="T31" s="98" t="s">
        <v>33</v>
      </c>
      <c r="U31" s="98" t="s">
        <v>33</v>
      </c>
      <c r="V31" s="98" t="s">
        <v>33</v>
      </c>
      <c r="W31" s="99" t="s">
        <v>33</v>
      </c>
      <c r="X31" s="99" t="s">
        <v>33</v>
      </c>
      <c r="Y31" s="110" t="s">
        <v>42</v>
      </c>
      <c r="Z31" s="110" t="s">
        <v>42</v>
      </c>
      <c r="AA31" s="110" t="s">
        <v>42</v>
      </c>
      <c r="AB31" s="110" t="s">
        <v>42</v>
      </c>
      <c r="AC31" s="110" t="s">
        <v>42</v>
      </c>
      <c r="AD31" s="110" t="s">
        <v>42</v>
      </c>
      <c r="AE31" s="99" t="s">
        <v>33</v>
      </c>
      <c r="AF31" s="99" t="s">
        <v>33</v>
      </c>
      <c r="AG31" s="101">
        <f t="shared" si="3"/>
        <v>0</v>
      </c>
      <c r="AH31" s="101"/>
      <c r="AI31" s="101"/>
      <c r="AJ31" s="101"/>
      <c r="AK31" s="102" t="s">
        <v>51</v>
      </c>
      <c r="AM31" s="24"/>
      <c r="AN31" s="24"/>
      <c r="AO31" s="24"/>
      <c r="AP31" s="42"/>
    </row>
    <row r="32" spans="1:53">
      <c r="A32" s="95">
        <v>45030</v>
      </c>
      <c r="B32" s="96">
        <v>1600</v>
      </c>
      <c r="C32" s="96"/>
      <c r="D32" s="96">
        <f>(SUM(粮草!A32:X32)+AG32*10)*IF(AK32="是",$AY$4,$AY$3)</f>
        <v>1512</v>
      </c>
      <c r="E32" s="96">
        <f>SUM($B$4:B32)+SUM($C$4:C32)-SUM($D$4:D32)</f>
        <v>4934</v>
      </c>
      <c r="F32" s="96">
        <f>SUM(经验!A32:X32)</f>
        <v>610</v>
      </c>
      <c r="G32" s="96">
        <f>SUM($F$4:F32)+SUM($H$4:H32)</f>
        <v>18365</v>
      </c>
      <c r="H32" s="96">
        <v>0</v>
      </c>
      <c r="I32" s="105" t="s">
        <v>39</v>
      </c>
      <c r="J32" s="105" t="s">
        <v>39</v>
      </c>
      <c r="K32" s="105" t="s">
        <v>39</v>
      </c>
      <c r="L32" s="103" t="s">
        <v>58</v>
      </c>
      <c r="M32" s="105" t="s">
        <v>39</v>
      </c>
      <c r="N32" s="105" t="s">
        <v>39</v>
      </c>
      <c r="O32" s="100" t="s">
        <v>38</v>
      </c>
      <c r="P32" s="99" t="s">
        <v>33</v>
      </c>
      <c r="Q32" s="98" t="s">
        <v>33</v>
      </c>
      <c r="R32" s="98" t="s">
        <v>33</v>
      </c>
      <c r="S32" s="98" t="s">
        <v>33</v>
      </c>
      <c r="T32" s="98" t="s">
        <v>33</v>
      </c>
      <c r="U32" s="98" t="s">
        <v>33</v>
      </c>
      <c r="V32" s="98" t="s">
        <v>33</v>
      </c>
      <c r="W32" s="99" t="s">
        <v>33</v>
      </c>
      <c r="X32" s="99" t="s">
        <v>33</v>
      </c>
      <c r="Y32" s="110" t="s">
        <v>42</v>
      </c>
      <c r="Z32" s="111" t="s">
        <v>43</v>
      </c>
      <c r="AA32" s="111" t="s">
        <v>43</v>
      </c>
      <c r="AB32" s="111" t="s">
        <v>43</v>
      </c>
      <c r="AC32" s="111" t="s">
        <v>43</v>
      </c>
      <c r="AD32" s="111" t="s">
        <v>43</v>
      </c>
      <c r="AE32" s="99" t="s">
        <v>33</v>
      </c>
      <c r="AF32" s="99" t="s">
        <v>33</v>
      </c>
      <c r="AG32" s="101">
        <f t="shared" si="3"/>
        <v>0</v>
      </c>
      <c r="AH32" s="101"/>
      <c r="AI32" s="101"/>
      <c r="AJ32" s="101"/>
      <c r="AK32" s="102" t="s">
        <v>51</v>
      </c>
      <c r="AM32" s="24"/>
      <c r="AN32" s="24"/>
      <c r="AO32" s="24"/>
      <c r="AP32" s="42"/>
    </row>
    <row r="33" spans="1:42">
      <c r="A33" s="95">
        <v>45031</v>
      </c>
      <c r="B33" s="96">
        <v>1600</v>
      </c>
      <c r="C33" s="96"/>
      <c r="D33" s="96">
        <f>(SUM(粮草!A33:X33)+AG33*10)*IF(AK33="是",$AY$4,$AY$3)</f>
        <v>1776</v>
      </c>
      <c r="E33" s="96">
        <f>SUM($B$4:B33)+SUM($C$4:C33)-SUM($D$4:D33)</f>
        <v>4758</v>
      </c>
      <c r="F33" s="96">
        <f>SUM(经验!A33:X33)</f>
        <v>630</v>
      </c>
      <c r="G33" s="96">
        <f>SUM($F$4:F33)+SUM($H$4:H33)</f>
        <v>18995</v>
      </c>
      <c r="H33" s="96">
        <v>0</v>
      </c>
      <c r="I33" s="105" t="s">
        <v>39</v>
      </c>
      <c r="J33" s="105" t="s">
        <v>39</v>
      </c>
      <c r="K33" s="105" t="s">
        <v>39</v>
      </c>
      <c r="L33" s="105" t="s">
        <v>39</v>
      </c>
      <c r="M33" s="105" t="s">
        <v>39</v>
      </c>
      <c r="N33" s="105" t="s">
        <v>39</v>
      </c>
      <c r="O33" s="99" t="s">
        <v>33</v>
      </c>
      <c r="P33" s="99" t="s">
        <v>33</v>
      </c>
      <c r="Q33" s="98" t="s">
        <v>33</v>
      </c>
      <c r="R33" s="98" t="s">
        <v>33</v>
      </c>
      <c r="S33" s="98" t="s">
        <v>33</v>
      </c>
      <c r="T33" s="98" t="s">
        <v>33</v>
      </c>
      <c r="U33" s="98" t="s">
        <v>33</v>
      </c>
      <c r="V33" s="98" t="s">
        <v>33</v>
      </c>
      <c r="W33" s="99" t="s">
        <v>33</v>
      </c>
      <c r="X33" s="99" t="s">
        <v>33</v>
      </c>
      <c r="Y33" s="111" t="s">
        <v>43</v>
      </c>
      <c r="Z33" s="111" t="s">
        <v>43</v>
      </c>
      <c r="AA33" s="111" t="s">
        <v>43</v>
      </c>
      <c r="AB33" s="111" t="s">
        <v>43</v>
      </c>
      <c r="AC33" s="111" t="s">
        <v>43</v>
      </c>
      <c r="AD33" s="111" t="s">
        <v>43</v>
      </c>
      <c r="AE33" s="99" t="s">
        <v>33</v>
      </c>
      <c r="AF33" s="99" t="s">
        <v>33</v>
      </c>
      <c r="AG33" s="101">
        <f t="shared" si="3"/>
        <v>0</v>
      </c>
      <c r="AH33" s="101"/>
      <c r="AI33" s="101"/>
      <c r="AJ33" s="101"/>
      <c r="AK33" s="102" t="s">
        <v>51</v>
      </c>
      <c r="AM33" s="24"/>
      <c r="AN33" s="24"/>
      <c r="AO33" s="24"/>
      <c r="AP33" s="42"/>
    </row>
    <row r="34" spans="1:42">
      <c r="A34" s="95">
        <v>45032</v>
      </c>
      <c r="B34" s="96">
        <v>1600</v>
      </c>
      <c r="C34" s="96"/>
      <c r="D34" s="96">
        <f>(SUM(粮草!A34:X34)+AG34*10)*IF(AK34="是",$AY$4,$AY$3)</f>
        <v>1824</v>
      </c>
      <c r="E34" s="96">
        <f>SUM($B$4:B34)+SUM($C$4:C34)-SUM($D$4:D34)</f>
        <v>4534</v>
      </c>
      <c r="F34" s="96">
        <f>SUM(经验!A34:X34)</f>
        <v>660</v>
      </c>
      <c r="G34" s="96">
        <f>SUM($F$4:F34)+SUM($H$4:H34)</f>
        <v>19655</v>
      </c>
      <c r="H34" s="96">
        <v>0</v>
      </c>
      <c r="I34" s="108" t="s">
        <v>41</v>
      </c>
      <c r="J34" s="108" t="s">
        <v>41</v>
      </c>
      <c r="K34" s="108" t="s">
        <v>41</v>
      </c>
      <c r="L34" s="108" t="s">
        <v>41</v>
      </c>
      <c r="M34" s="108" t="s">
        <v>41</v>
      </c>
      <c r="N34" s="108" t="s">
        <v>41</v>
      </c>
      <c r="O34" s="99" t="s">
        <v>33</v>
      </c>
      <c r="P34" s="99" t="s">
        <v>33</v>
      </c>
      <c r="Q34" s="98" t="s">
        <v>33</v>
      </c>
      <c r="R34" s="98" t="s">
        <v>33</v>
      </c>
      <c r="S34" s="98" t="s">
        <v>33</v>
      </c>
      <c r="T34" s="98" t="s">
        <v>33</v>
      </c>
      <c r="U34" s="98" t="s">
        <v>33</v>
      </c>
      <c r="V34" s="98" t="s">
        <v>33</v>
      </c>
      <c r="W34" s="99" t="s">
        <v>33</v>
      </c>
      <c r="X34" s="99" t="s">
        <v>33</v>
      </c>
      <c r="Y34" s="111" t="s">
        <v>43</v>
      </c>
      <c r="Z34" s="111" t="s">
        <v>43</v>
      </c>
      <c r="AA34" s="111" t="s">
        <v>43</v>
      </c>
      <c r="AB34" s="111" t="s">
        <v>43</v>
      </c>
      <c r="AC34" s="111" t="s">
        <v>43</v>
      </c>
      <c r="AD34" s="111" t="s">
        <v>43</v>
      </c>
      <c r="AE34" s="99" t="s">
        <v>33</v>
      </c>
      <c r="AF34" s="99" t="s">
        <v>33</v>
      </c>
      <c r="AG34" s="101">
        <f t="shared" si="3"/>
        <v>0</v>
      </c>
      <c r="AH34" s="101"/>
      <c r="AI34" s="101"/>
      <c r="AJ34" s="101"/>
      <c r="AK34" s="102" t="s">
        <v>51</v>
      </c>
      <c r="AM34" s="24"/>
      <c r="AN34" s="24"/>
      <c r="AO34" s="24"/>
      <c r="AP34" s="42"/>
    </row>
    <row r="35" spans="1:42">
      <c r="A35" s="95">
        <v>45033</v>
      </c>
      <c r="B35" s="98">
        <v>1600</v>
      </c>
      <c r="C35" s="98"/>
      <c r="D35" s="96">
        <f>(SUM(粮草!A35:X35)+AG35*10)*IF(AK35="是",$AY$4,$AY$3)</f>
        <v>1816</v>
      </c>
      <c r="E35" s="96">
        <f>SUM($B$4:B35)+SUM($C$4:C35)-SUM($D$4:D35)</f>
        <v>4318</v>
      </c>
      <c r="F35" s="96">
        <f>SUM(经验!A35:X35)</f>
        <v>655</v>
      </c>
      <c r="G35" s="96">
        <f>SUM($F$4:F35)+SUM($H$4:H35)</f>
        <v>20510</v>
      </c>
      <c r="H35" s="98">
        <v>200</v>
      </c>
      <c r="I35" s="108" t="s">
        <v>41</v>
      </c>
      <c r="J35" s="108" t="s">
        <v>41</v>
      </c>
      <c r="K35" s="108" t="s">
        <v>41</v>
      </c>
      <c r="L35" s="108" t="s">
        <v>41</v>
      </c>
      <c r="M35" s="108" t="s">
        <v>41</v>
      </c>
      <c r="N35" s="105" t="s">
        <v>39</v>
      </c>
      <c r="O35" s="99" t="s">
        <v>33</v>
      </c>
      <c r="P35" s="99" t="s">
        <v>33</v>
      </c>
      <c r="Q35" s="98" t="s">
        <v>33</v>
      </c>
      <c r="R35" s="98" t="s">
        <v>33</v>
      </c>
      <c r="S35" s="98" t="s">
        <v>33</v>
      </c>
      <c r="T35" s="98" t="s">
        <v>33</v>
      </c>
      <c r="U35" s="98" t="s">
        <v>33</v>
      </c>
      <c r="V35" s="98" t="s">
        <v>33</v>
      </c>
      <c r="W35" s="99" t="s">
        <v>33</v>
      </c>
      <c r="X35" s="99" t="s">
        <v>33</v>
      </c>
      <c r="Y35" s="111" t="s">
        <v>43</v>
      </c>
      <c r="Z35" s="111" t="s">
        <v>43</v>
      </c>
      <c r="AA35" s="111" t="s">
        <v>43</v>
      </c>
      <c r="AB35" s="111" t="s">
        <v>43</v>
      </c>
      <c r="AC35" s="111" t="s">
        <v>43</v>
      </c>
      <c r="AD35" s="111" t="s">
        <v>43</v>
      </c>
      <c r="AE35" s="99" t="s">
        <v>33</v>
      </c>
      <c r="AF35" s="99" t="s">
        <v>33</v>
      </c>
      <c r="AG35" s="101">
        <f t="shared" si="3"/>
        <v>0</v>
      </c>
      <c r="AH35" s="101"/>
      <c r="AI35" s="101"/>
      <c r="AJ35" s="101"/>
      <c r="AK35" s="102" t="s">
        <v>51</v>
      </c>
      <c r="AM35" s="24"/>
      <c r="AN35" s="24"/>
      <c r="AO35" s="24"/>
      <c r="AP35" s="42"/>
    </row>
    <row r="36" spans="1:42">
      <c r="A36" s="95">
        <v>45034</v>
      </c>
      <c r="B36" s="98">
        <v>1600</v>
      </c>
      <c r="C36" s="98"/>
      <c r="D36" s="96">
        <f>(SUM(粮草!A36:X36)+AG36*10)*IF(AK36="是",$AY$4,$AY$3)</f>
        <v>1680</v>
      </c>
      <c r="E36" s="96">
        <f>SUM($B$4:B36)+SUM($C$4:C36)-SUM($D$4:D36)</f>
        <v>4238</v>
      </c>
      <c r="F36" s="96">
        <f>SUM(经验!A36:X36)</f>
        <v>615</v>
      </c>
      <c r="G36" s="96">
        <f>SUM($F$4:F36)+SUM($H$4:H36)</f>
        <v>21225</v>
      </c>
      <c r="H36" s="98">
        <v>100</v>
      </c>
      <c r="I36" s="105" t="s">
        <v>39</v>
      </c>
      <c r="J36" s="105" t="s">
        <v>39</v>
      </c>
      <c r="K36" s="105" t="s">
        <v>39</v>
      </c>
      <c r="L36" s="100" t="s">
        <v>38</v>
      </c>
      <c r="M36" s="105" t="s">
        <v>39</v>
      </c>
      <c r="N36" s="105" t="s">
        <v>39</v>
      </c>
      <c r="O36" s="99" t="s">
        <v>33</v>
      </c>
      <c r="P36" s="99" t="s">
        <v>33</v>
      </c>
      <c r="Q36" s="98" t="s">
        <v>33</v>
      </c>
      <c r="R36" s="98" t="s">
        <v>33</v>
      </c>
      <c r="S36" s="98" t="s">
        <v>33</v>
      </c>
      <c r="T36" s="98" t="s">
        <v>33</v>
      </c>
      <c r="U36" s="98" t="s">
        <v>33</v>
      </c>
      <c r="V36" s="98" t="s">
        <v>33</v>
      </c>
      <c r="W36" s="99" t="s">
        <v>33</v>
      </c>
      <c r="X36" s="99" t="s">
        <v>33</v>
      </c>
      <c r="Y36" s="111" t="s">
        <v>43</v>
      </c>
      <c r="Z36" s="111" t="s">
        <v>43</v>
      </c>
      <c r="AA36" s="111" t="s">
        <v>43</v>
      </c>
      <c r="AB36" s="111" t="s">
        <v>43</v>
      </c>
      <c r="AC36" s="111" t="s">
        <v>43</v>
      </c>
      <c r="AD36" s="111" t="s">
        <v>43</v>
      </c>
      <c r="AE36" s="99" t="s">
        <v>33</v>
      </c>
      <c r="AF36" s="99" t="s">
        <v>33</v>
      </c>
      <c r="AG36" s="101">
        <f t="shared" si="3"/>
        <v>0</v>
      </c>
      <c r="AH36" s="101"/>
      <c r="AI36" s="101"/>
      <c r="AJ36" s="101"/>
      <c r="AK36" s="102" t="s">
        <v>51</v>
      </c>
      <c r="AM36" s="24"/>
      <c r="AN36" s="24"/>
      <c r="AO36" s="24"/>
      <c r="AP36" s="42"/>
    </row>
    <row r="37" spans="1:42">
      <c r="A37" s="95">
        <v>45035</v>
      </c>
      <c r="B37" s="98">
        <v>1600</v>
      </c>
      <c r="C37" s="98"/>
      <c r="D37" s="96">
        <f>(SUM(粮草!A37:X37)+AG37*10)*IF(AK37="是",$AY$4,$AY$3)</f>
        <v>1824</v>
      </c>
      <c r="E37" s="96">
        <f>SUM($B$4:B37)+SUM($C$4:C37)-SUM($D$4:D37)</f>
        <v>4014</v>
      </c>
      <c r="F37" s="96">
        <f>SUM(经验!A37:X37)</f>
        <v>660</v>
      </c>
      <c r="G37" s="96">
        <f>SUM($F$4:F37)+SUM($H$4:H37)</f>
        <v>22085</v>
      </c>
      <c r="H37" s="98">
        <v>200</v>
      </c>
      <c r="I37" s="108" t="s">
        <v>41</v>
      </c>
      <c r="J37" s="108" t="s">
        <v>41</v>
      </c>
      <c r="K37" s="108" t="s">
        <v>41</v>
      </c>
      <c r="L37" s="108" t="s">
        <v>41</v>
      </c>
      <c r="M37" s="108" t="s">
        <v>41</v>
      </c>
      <c r="N37" s="108" t="s">
        <v>41</v>
      </c>
      <c r="O37" s="99" t="s">
        <v>33</v>
      </c>
      <c r="P37" s="99" t="s">
        <v>33</v>
      </c>
      <c r="Q37" s="98" t="s">
        <v>33</v>
      </c>
      <c r="R37" s="98" t="s">
        <v>33</v>
      </c>
      <c r="S37" s="98" t="s">
        <v>33</v>
      </c>
      <c r="T37" s="98" t="s">
        <v>33</v>
      </c>
      <c r="U37" s="98" t="s">
        <v>33</v>
      </c>
      <c r="V37" s="98" t="s">
        <v>33</v>
      </c>
      <c r="W37" s="99" t="s">
        <v>33</v>
      </c>
      <c r="X37" s="99" t="s">
        <v>33</v>
      </c>
      <c r="Y37" s="111" t="s">
        <v>43</v>
      </c>
      <c r="Z37" s="111" t="s">
        <v>43</v>
      </c>
      <c r="AA37" s="111" t="s">
        <v>43</v>
      </c>
      <c r="AB37" s="111" t="s">
        <v>43</v>
      </c>
      <c r="AC37" s="111" t="s">
        <v>43</v>
      </c>
      <c r="AD37" s="111" t="s">
        <v>43</v>
      </c>
      <c r="AE37" s="99" t="s">
        <v>33</v>
      </c>
      <c r="AF37" s="99" t="s">
        <v>33</v>
      </c>
      <c r="AG37" s="101">
        <f t="shared" si="3"/>
        <v>0</v>
      </c>
      <c r="AH37" s="101"/>
      <c r="AI37" s="101"/>
      <c r="AJ37" s="101"/>
      <c r="AK37" s="102" t="s">
        <v>51</v>
      </c>
      <c r="AM37" s="24"/>
      <c r="AN37" s="24"/>
      <c r="AO37" s="24"/>
      <c r="AP37" s="42"/>
    </row>
    <row r="38" spans="1:42">
      <c r="A38" s="95">
        <v>45036</v>
      </c>
      <c r="B38" s="98">
        <v>1600</v>
      </c>
      <c r="C38" s="98"/>
      <c r="D38" s="96">
        <f>(SUM(粮草!A38:X38)+AG38*10)*IF(AK38="是",$AY$4,$AY$3)</f>
        <v>1680</v>
      </c>
      <c r="E38" s="96">
        <f>SUM($B$4:B38)+SUM($C$4:C38)-SUM($D$4:D38)</f>
        <v>3934</v>
      </c>
      <c r="F38" s="96">
        <f>SUM(经验!A38:X38)</f>
        <v>640</v>
      </c>
      <c r="G38" s="96">
        <f>SUM($F$4:F38)+SUM($H$4:H38)</f>
        <v>22725</v>
      </c>
      <c r="H38" s="98">
        <v>0</v>
      </c>
      <c r="I38" s="108" t="s">
        <v>41</v>
      </c>
      <c r="J38" s="108" t="s">
        <v>41</v>
      </c>
      <c r="K38" s="108" t="s">
        <v>41</v>
      </c>
      <c r="L38" s="108" t="s">
        <v>41</v>
      </c>
      <c r="M38" s="108" t="s">
        <v>41</v>
      </c>
      <c r="N38" s="100" t="s">
        <v>38</v>
      </c>
      <c r="O38" s="99" t="s">
        <v>33</v>
      </c>
      <c r="P38" s="99" t="s">
        <v>33</v>
      </c>
      <c r="Q38" s="98" t="s">
        <v>33</v>
      </c>
      <c r="R38" s="98" t="s">
        <v>33</v>
      </c>
      <c r="S38" s="98" t="s">
        <v>33</v>
      </c>
      <c r="T38" s="98" t="s">
        <v>33</v>
      </c>
      <c r="U38" s="98" t="s">
        <v>33</v>
      </c>
      <c r="V38" s="98" t="s">
        <v>33</v>
      </c>
      <c r="W38" s="99" t="s">
        <v>33</v>
      </c>
      <c r="X38" s="99" t="s">
        <v>33</v>
      </c>
      <c r="Y38" s="111" t="s">
        <v>43</v>
      </c>
      <c r="Z38" s="111" t="s">
        <v>43</v>
      </c>
      <c r="AA38" s="111" t="s">
        <v>43</v>
      </c>
      <c r="AB38" s="111" t="s">
        <v>43</v>
      </c>
      <c r="AC38" s="112" t="s">
        <v>49</v>
      </c>
      <c r="AD38" s="111" t="s">
        <v>43</v>
      </c>
      <c r="AE38" s="99" t="s">
        <v>33</v>
      </c>
      <c r="AF38" s="99" t="s">
        <v>33</v>
      </c>
      <c r="AG38" s="101">
        <f t="shared" si="3"/>
        <v>0</v>
      </c>
      <c r="AH38" s="101"/>
      <c r="AI38" s="101"/>
      <c r="AJ38" s="101"/>
      <c r="AK38" s="102" t="s">
        <v>51</v>
      </c>
      <c r="AM38" s="24"/>
      <c r="AN38" s="24"/>
      <c r="AO38" s="24"/>
      <c r="AP38" s="42"/>
    </row>
    <row r="39" spans="1:42">
      <c r="A39" s="95">
        <v>45037</v>
      </c>
      <c r="B39" s="98">
        <v>1600</v>
      </c>
      <c r="C39" s="98"/>
      <c r="D39" s="96">
        <f>(SUM(粮草!A39:X39)+AG39*10)*IF(AK39="是",$AY$4,$AY$3)</f>
        <v>1824</v>
      </c>
      <c r="E39" s="96">
        <f>SUM($B$4:B39)+SUM($C$4:C39)-SUM($D$4:D39)</f>
        <v>3710</v>
      </c>
      <c r="F39" s="96">
        <f>SUM(经验!A39:X39)</f>
        <v>660</v>
      </c>
      <c r="G39" s="96">
        <f>SUM($F$4:F39)+SUM($H$4:H39)</f>
        <v>23385</v>
      </c>
      <c r="H39" s="98">
        <v>0</v>
      </c>
      <c r="I39" s="108" t="s">
        <v>41</v>
      </c>
      <c r="J39" s="108" t="s">
        <v>41</v>
      </c>
      <c r="K39" s="108" t="s">
        <v>41</v>
      </c>
      <c r="L39" s="108" t="s">
        <v>41</v>
      </c>
      <c r="M39" s="108" t="s">
        <v>41</v>
      </c>
      <c r="N39" s="108" t="s">
        <v>41</v>
      </c>
      <c r="O39" s="99" t="s">
        <v>33</v>
      </c>
      <c r="P39" s="99" t="s">
        <v>33</v>
      </c>
      <c r="Q39" s="98" t="s">
        <v>33</v>
      </c>
      <c r="R39" s="98" t="s">
        <v>33</v>
      </c>
      <c r="S39" s="98" t="s">
        <v>33</v>
      </c>
      <c r="T39" s="98" t="s">
        <v>33</v>
      </c>
      <c r="U39" s="98" t="s">
        <v>33</v>
      </c>
      <c r="V39" s="98" t="s">
        <v>33</v>
      </c>
      <c r="W39" s="99" t="s">
        <v>33</v>
      </c>
      <c r="X39" s="99" t="s">
        <v>33</v>
      </c>
      <c r="Y39" s="111" t="s">
        <v>43</v>
      </c>
      <c r="Z39" s="111" t="s">
        <v>43</v>
      </c>
      <c r="AA39" s="111" t="s">
        <v>43</v>
      </c>
      <c r="AB39" s="111" t="s">
        <v>43</v>
      </c>
      <c r="AC39" s="111" t="s">
        <v>43</v>
      </c>
      <c r="AD39" s="111" t="s">
        <v>43</v>
      </c>
      <c r="AE39" s="99" t="s">
        <v>33</v>
      </c>
      <c r="AF39" s="99" t="s">
        <v>33</v>
      </c>
      <c r="AG39" s="101">
        <f t="shared" si="3"/>
        <v>0</v>
      </c>
      <c r="AH39" s="101"/>
      <c r="AI39" s="101"/>
      <c r="AJ39" s="101"/>
      <c r="AK39" s="102" t="s">
        <v>51</v>
      </c>
      <c r="AM39" s="24" t="s">
        <v>61</v>
      </c>
      <c r="AN39" s="24"/>
      <c r="AO39" s="24"/>
      <c r="AP39" s="42"/>
    </row>
    <row r="40" spans="1:42">
      <c r="A40" s="95">
        <v>45038</v>
      </c>
      <c r="B40" s="98">
        <v>1600</v>
      </c>
      <c r="C40" s="98"/>
      <c r="D40" s="96">
        <f>(SUM(粮草!A40:X40)+AG40*10)*IF(AK40="是",$AY$4,$AY$3)</f>
        <v>1824</v>
      </c>
      <c r="E40" s="96">
        <f>SUM($B$4:B40)+SUM($C$4:C40)-SUM($D$4:D40)</f>
        <v>3486</v>
      </c>
      <c r="F40" s="96">
        <f>SUM(经验!A40:X40)</f>
        <v>660</v>
      </c>
      <c r="G40" s="96">
        <f>SUM($F$4:F40)+SUM($H$4:H40)</f>
        <v>24045</v>
      </c>
      <c r="H40" s="98">
        <v>0</v>
      </c>
      <c r="I40" s="108" t="s">
        <v>41</v>
      </c>
      <c r="J40" s="108" t="s">
        <v>41</v>
      </c>
      <c r="K40" s="108" t="s">
        <v>41</v>
      </c>
      <c r="L40" s="108" t="s">
        <v>41</v>
      </c>
      <c r="M40" s="108" t="s">
        <v>41</v>
      </c>
      <c r="N40" s="108" t="s">
        <v>41</v>
      </c>
      <c r="O40" s="99" t="s">
        <v>33</v>
      </c>
      <c r="P40" s="99" t="s">
        <v>33</v>
      </c>
      <c r="Q40" s="98" t="s">
        <v>33</v>
      </c>
      <c r="R40" s="98" t="s">
        <v>33</v>
      </c>
      <c r="S40" s="98" t="s">
        <v>33</v>
      </c>
      <c r="T40" s="98" t="s">
        <v>33</v>
      </c>
      <c r="U40" s="98" t="s">
        <v>33</v>
      </c>
      <c r="V40" s="98" t="s">
        <v>33</v>
      </c>
      <c r="W40" s="99" t="s">
        <v>33</v>
      </c>
      <c r="X40" s="99" t="s">
        <v>33</v>
      </c>
      <c r="Y40" s="111" t="s">
        <v>43</v>
      </c>
      <c r="Z40" s="111" t="s">
        <v>43</v>
      </c>
      <c r="AA40" s="111" t="s">
        <v>43</v>
      </c>
      <c r="AB40" s="111" t="s">
        <v>43</v>
      </c>
      <c r="AC40" s="111" t="s">
        <v>43</v>
      </c>
      <c r="AD40" s="111" t="s">
        <v>43</v>
      </c>
      <c r="AE40" s="99" t="s">
        <v>33</v>
      </c>
      <c r="AF40" s="99" t="s">
        <v>33</v>
      </c>
      <c r="AG40" s="101">
        <f t="shared" si="3"/>
        <v>0</v>
      </c>
      <c r="AH40" s="101"/>
      <c r="AI40" s="101"/>
      <c r="AJ40" s="101"/>
      <c r="AK40" s="102" t="s">
        <v>51</v>
      </c>
      <c r="AM40" s="24" t="s">
        <v>62</v>
      </c>
      <c r="AN40" s="24"/>
      <c r="AO40" s="24"/>
      <c r="AP40" s="42"/>
    </row>
    <row r="41" spans="1:42">
      <c r="A41" s="95">
        <v>45039</v>
      </c>
      <c r="B41" s="98">
        <v>1600</v>
      </c>
      <c r="C41" s="98"/>
      <c r="D41" s="96">
        <f>(SUM(粮草!A41:X41)+AG41*10)*IF(AK41="是",$AY$4,$AY$3)</f>
        <v>1720</v>
      </c>
      <c r="E41" s="96">
        <f>SUM($B$4:B41)+SUM($C$4:C41)-SUM($D$4:D41)</f>
        <v>3366</v>
      </c>
      <c r="F41" s="96">
        <f>SUM(经验!A41:X41)</f>
        <v>640</v>
      </c>
      <c r="G41" s="96">
        <f>SUM($F$4:F41)+SUM($H$4:H41)</f>
        <v>24685</v>
      </c>
      <c r="H41" s="98">
        <v>0</v>
      </c>
      <c r="I41" s="108" t="s">
        <v>41</v>
      </c>
      <c r="J41" s="108" t="s">
        <v>41</v>
      </c>
      <c r="K41" s="100" t="s">
        <v>38</v>
      </c>
      <c r="L41" s="108" t="s">
        <v>41</v>
      </c>
      <c r="M41" s="108" t="s">
        <v>41</v>
      </c>
      <c r="N41" s="108" t="s">
        <v>41</v>
      </c>
      <c r="O41" s="99" t="s">
        <v>33</v>
      </c>
      <c r="P41" s="99" t="s">
        <v>33</v>
      </c>
      <c r="Q41" s="98" t="s">
        <v>33</v>
      </c>
      <c r="R41" s="98" t="s">
        <v>33</v>
      </c>
      <c r="S41" s="98" t="s">
        <v>33</v>
      </c>
      <c r="T41" s="98" t="s">
        <v>33</v>
      </c>
      <c r="U41" s="98" t="s">
        <v>33</v>
      </c>
      <c r="V41" s="98" t="s">
        <v>33</v>
      </c>
      <c r="W41" s="99" t="s">
        <v>33</v>
      </c>
      <c r="X41" s="99" t="s">
        <v>33</v>
      </c>
      <c r="Y41" s="111" t="s">
        <v>43</v>
      </c>
      <c r="Z41" s="111" t="s">
        <v>43</v>
      </c>
      <c r="AA41" s="111" t="s">
        <v>43</v>
      </c>
      <c r="AB41" s="111" t="s">
        <v>43</v>
      </c>
      <c r="AC41" s="111" t="s">
        <v>43</v>
      </c>
      <c r="AD41" s="111" t="s">
        <v>43</v>
      </c>
      <c r="AE41" s="99" t="s">
        <v>33</v>
      </c>
      <c r="AF41" s="99" t="s">
        <v>33</v>
      </c>
      <c r="AG41" s="101">
        <f t="shared" si="3"/>
        <v>0</v>
      </c>
      <c r="AH41" s="101"/>
      <c r="AI41" s="101"/>
      <c r="AJ41" s="101"/>
      <c r="AK41" s="102" t="s">
        <v>51</v>
      </c>
      <c r="AM41" s="24" t="s">
        <v>63</v>
      </c>
      <c r="AN41" s="24"/>
      <c r="AO41" s="24"/>
      <c r="AP41" s="42"/>
    </row>
    <row r="42" spans="1:42">
      <c r="A42" s="95">
        <v>45040</v>
      </c>
      <c r="B42" s="96">
        <v>1600</v>
      </c>
      <c r="C42" s="96"/>
      <c r="D42" s="96">
        <f>(SUM(粮草!A42:X42)+AG42*10)*IF(AK42="是",$AY$4,$AY$3)</f>
        <v>1824</v>
      </c>
      <c r="E42" s="96">
        <f>SUM($B$4:B42)+SUM($C$4:C42)-SUM($D$4:D42)</f>
        <v>3142</v>
      </c>
      <c r="F42" s="96">
        <f>SUM(经验!A42:X42)</f>
        <v>660</v>
      </c>
      <c r="G42" s="96">
        <f>SUM($F$4:F42)+SUM($H$4:H42)</f>
        <v>25645</v>
      </c>
      <c r="H42" s="96">
        <v>300</v>
      </c>
      <c r="I42" s="108" t="s">
        <v>41</v>
      </c>
      <c r="J42" s="108" t="s">
        <v>41</v>
      </c>
      <c r="K42" s="108" t="s">
        <v>41</v>
      </c>
      <c r="L42" s="108" t="s">
        <v>41</v>
      </c>
      <c r="M42" s="108" t="s">
        <v>41</v>
      </c>
      <c r="N42" s="108" t="s">
        <v>41</v>
      </c>
      <c r="O42" s="99" t="s">
        <v>33</v>
      </c>
      <c r="P42" s="99" t="s">
        <v>33</v>
      </c>
      <c r="Q42" s="98" t="s">
        <v>33</v>
      </c>
      <c r="R42" s="98" t="s">
        <v>33</v>
      </c>
      <c r="S42" s="98" t="s">
        <v>33</v>
      </c>
      <c r="T42" s="98" t="s">
        <v>33</v>
      </c>
      <c r="U42" s="98" t="s">
        <v>33</v>
      </c>
      <c r="V42" s="98" t="s">
        <v>33</v>
      </c>
      <c r="W42" s="99" t="s">
        <v>33</v>
      </c>
      <c r="X42" s="99" t="s">
        <v>33</v>
      </c>
      <c r="Y42" s="111" t="s">
        <v>43</v>
      </c>
      <c r="Z42" s="111" t="s">
        <v>43</v>
      </c>
      <c r="AA42" s="111" t="s">
        <v>43</v>
      </c>
      <c r="AB42" s="111" t="s">
        <v>43</v>
      </c>
      <c r="AC42" s="111" t="s">
        <v>43</v>
      </c>
      <c r="AD42" s="111" t="s">
        <v>43</v>
      </c>
      <c r="AE42" s="99" t="s">
        <v>33</v>
      </c>
      <c r="AF42" s="99" t="s">
        <v>33</v>
      </c>
      <c r="AG42" s="101">
        <f t="shared" si="3"/>
        <v>0</v>
      </c>
      <c r="AH42" s="101"/>
      <c r="AI42" s="101"/>
      <c r="AJ42" s="101"/>
      <c r="AK42" s="102" t="s">
        <v>51</v>
      </c>
      <c r="AM42" s="24" t="s">
        <v>64</v>
      </c>
      <c r="AN42" s="24"/>
      <c r="AO42" s="24"/>
      <c r="AP42" s="42"/>
    </row>
    <row r="43" spans="1:42">
      <c r="A43" s="95">
        <v>45041</v>
      </c>
      <c r="B43" s="96">
        <v>1600</v>
      </c>
      <c r="C43" s="96"/>
      <c r="D43" s="96">
        <f>(SUM(粮草!A43:X43)+AG43*10)*IF(AK43="是",$AY$4,$AY$3)</f>
        <v>1824</v>
      </c>
      <c r="E43" s="96">
        <f>SUM($B$4:B43)+SUM($C$4:C43)-SUM($D$4:D43)</f>
        <v>2918</v>
      </c>
      <c r="F43" s="96">
        <f>SUM(经验!A43:X43)</f>
        <v>660</v>
      </c>
      <c r="G43" s="96">
        <f>SUM($F$4:F43)+SUM($H$4:H43)</f>
        <v>26305</v>
      </c>
      <c r="H43" s="96">
        <v>0</v>
      </c>
      <c r="I43" s="108" t="s">
        <v>41</v>
      </c>
      <c r="J43" s="108" t="s">
        <v>41</v>
      </c>
      <c r="K43" s="108" t="s">
        <v>41</v>
      </c>
      <c r="L43" s="108" t="s">
        <v>41</v>
      </c>
      <c r="M43" s="108" t="s">
        <v>41</v>
      </c>
      <c r="N43" s="108" t="s">
        <v>41</v>
      </c>
      <c r="O43" s="99" t="s">
        <v>33</v>
      </c>
      <c r="P43" s="99" t="s">
        <v>33</v>
      </c>
      <c r="Q43" s="98" t="s">
        <v>33</v>
      </c>
      <c r="R43" s="98" t="s">
        <v>33</v>
      </c>
      <c r="S43" s="98" t="s">
        <v>33</v>
      </c>
      <c r="T43" s="98" t="s">
        <v>33</v>
      </c>
      <c r="U43" s="98" t="s">
        <v>33</v>
      </c>
      <c r="V43" s="98" t="s">
        <v>33</v>
      </c>
      <c r="W43" s="99" t="s">
        <v>33</v>
      </c>
      <c r="X43" s="99" t="s">
        <v>33</v>
      </c>
      <c r="Y43" s="111" t="s">
        <v>43</v>
      </c>
      <c r="Z43" s="111" t="s">
        <v>43</v>
      </c>
      <c r="AA43" s="111" t="s">
        <v>43</v>
      </c>
      <c r="AB43" s="111" t="s">
        <v>43</v>
      </c>
      <c r="AC43" s="111" t="s">
        <v>43</v>
      </c>
      <c r="AD43" s="111" t="s">
        <v>43</v>
      </c>
      <c r="AE43" s="99" t="s">
        <v>33</v>
      </c>
      <c r="AF43" s="99" t="s">
        <v>33</v>
      </c>
      <c r="AG43" s="101">
        <f t="shared" si="3"/>
        <v>0</v>
      </c>
      <c r="AH43" s="101"/>
      <c r="AI43" s="101"/>
      <c r="AJ43" s="101"/>
      <c r="AK43" s="102" t="s">
        <v>51</v>
      </c>
      <c r="AM43" s="65" t="s">
        <v>65</v>
      </c>
      <c r="AN43" s="24"/>
      <c r="AO43" s="24"/>
      <c r="AP43" s="42"/>
    </row>
    <row r="44" spans="1:42">
      <c r="A44" s="95">
        <v>45042</v>
      </c>
      <c r="B44" s="96">
        <v>1600</v>
      </c>
      <c r="C44" s="96"/>
      <c r="D44" s="96">
        <f>(SUM(粮草!A44:X44)+AG44*10)*IF(AK44="是",$AY$4,$AY$3)</f>
        <v>1664</v>
      </c>
      <c r="E44" s="96">
        <f>SUM($B$4:B44)+SUM($C$4:C44)-SUM($D$4:D44)</f>
        <v>2854</v>
      </c>
      <c r="F44" s="96">
        <f>SUM(经验!A44:X44)</f>
        <v>600</v>
      </c>
      <c r="G44" s="96">
        <f>SUM($F$4:F44)+SUM($H$4:H44)</f>
        <v>27105</v>
      </c>
      <c r="H44" s="96">
        <v>200</v>
      </c>
      <c r="I44" s="108" t="s">
        <v>41</v>
      </c>
      <c r="J44" s="108" t="s">
        <v>41</v>
      </c>
      <c r="K44" s="108" t="s">
        <v>41</v>
      </c>
      <c r="L44" s="108" t="s">
        <v>41</v>
      </c>
      <c r="M44" s="108" t="s">
        <v>41</v>
      </c>
      <c r="N44" s="108" t="s">
        <v>41</v>
      </c>
      <c r="O44" s="99" t="s">
        <v>33</v>
      </c>
      <c r="P44" s="99" t="s">
        <v>33</v>
      </c>
      <c r="Q44" s="98" t="s">
        <v>33</v>
      </c>
      <c r="R44" s="98" t="s">
        <v>33</v>
      </c>
      <c r="S44" s="98" t="s">
        <v>33</v>
      </c>
      <c r="T44" s="98" t="s">
        <v>33</v>
      </c>
      <c r="U44" s="98" t="s">
        <v>33</v>
      </c>
      <c r="V44" s="98" t="s">
        <v>33</v>
      </c>
      <c r="W44" s="99" t="s">
        <v>33</v>
      </c>
      <c r="X44" s="99" t="s">
        <v>33</v>
      </c>
      <c r="Y44" s="111" t="s">
        <v>43</v>
      </c>
      <c r="Z44" s="111" t="s">
        <v>43</v>
      </c>
      <c r="AA44" s="111" t="s">
        <v>43</v>
      </c>
      <c r="AB44" s="111" t="s">
        <v>43</v>
      </c>
      <c r="AC44" s="111" t="s">
        <v>43</v>
      </c>
      <c r="AD44" s="98" t="s">
        <v>33</v>
      </c>
      <c r="AE44" s="99" t="s">
        <v>33</v>
      </c>
      <c r="AF44" s="99" t="s">
        <v>33</v>
      </c>
      <c r="AG44" s="101">
        <f t="shared" si="3"/>
        <v>0</v>
      </c>
      <c r="AH44" s="101"/>
      <c r="AI44" s="101"/>
      <c r="AJ44" s="101"/>
      <c r="AK44" s="102" t="s">
        <v>51</v>
      </c>
      <c r="AM44" s="24"/>
      <c r="AN44" s="24"/>
      <c r="AO44" s="24"/>
      <c r="AP44" s="42"/>
    </row>
    <row r="45" spans="1:42">
      <c r="A45" s="95">
        <v>45043</v>
      </c>
      <c r="B45" s="96">
        <v>1600</v>
      </c>
      <c r="C45" s="96"/>
      <c r="D45" s="96">
        <f>(SUM(粮草!A45:X45)+AG45*10)*IF(AK45="是",$AY$4,$AY$3)</f>
        <v>1760</v>
      </c>
      <c r="E45" s="96">
        <f>SUM($B$4:B45)+SUM($C$4:C45)-SUM($D$4:D45)</f>
        <v>2694</v>
      </c>
      <c r="F45" s="96">
        <f>SUM(经验!A45:X45)</f>
        <v>1580</v>
      </c>
      <c r="G45" s="96">
        <f>SUM($F$4:F45)+SUM($H$4:H45)</f>
        <v>28685</v>
      </c>
      <c r="H45" s="96">
        <v>0</v>
      </c>
      <c r="I45" s="108" t="s">
        <v>41</v>
      </c>
      <c r="J45" s="108" t="s">
        <v>41</v>
      </c>
      <c r="K45" s="108" t="s">
        <v>41</v>
      </c>
      <c r="L45" s="108" t="s">
        <v>41</v>
      </c>
      <c r="M45" s="108" t="s">
        <v>41</v>
      </c>
      <c r="N45" s="100" t="s">
        <v>38</v>
      </c>
      <c r="O45" s="99" t="s">
        <v>33</v>
      </c>
      <c r="P45" s="99" t="s">
        <v>33</v>
      </c>
      <c r="Q45" s="98" t="s">
        <v>33</v>
      </c>
      <c r="R45" s="98" t="s">
        <v>33</v>
      </c>
      <c r="S45" s="98" t="s">
        <v>33</v>
      </c>
      <c r="T45" s="98" t="s">
        <v>33</v>
      </c>
      <c r="U45" s="98" t="s">
        <v>33</v>
      </c>
      <c r="V45" s="98" t="s">
        <v>33</v>
      </c>
      <c r="W45" s="99" t="s">
        <v>33</v>
      </c>
      <c r="X45" s="99" t="s">
        <v>33</v>
      </c>
      <c r="Y45" s="113" t="s">
        <v>53</v>
      </c>
      <c r="Z45" s="111" t="s">
        <v>43</v>
      </c>
      <c r="AA45" s="111" t="s">
        <v>43</v>
      </c>
      <c r="AB45" s="111" t="s">
        <v>43</v>
      </c>
      <c r="AC45" s="111" t="s">
        <v>43</v>
      </c>
      <c r="AD45" s="111" t="s">
        <v>43</v>
      </c>
      <c r="AE45" s="99" t="s">
        <v>33</v>
      </c>
      <c r="AF45" s="99" t="s">
        <v>33</v>
      </c>
      <c r="AG45" s="101">
        <f t="shared" si="3"/>
        <v>0</v>
      </c>
      <c r="AH45" s="101"/>
      <c r="AI45" s="101"/>
      <c r="AJ45" s="101"/>
      <c r="AK45" s="102" t="s">
        <v>51</v>
      </c>
    </row>
    <row r="46" spans="1:42">
      <c r="A46" s="95">
        <v>45044</v>
      </c>
      <c r="B46" s="96">
        <v>1600</v>
      </c>
      <c r="C46" s="96"/>
      <c r="D46" s="96">
        <f>(SUM(粮草!A46:X46)+AG46*10)*IF(AK46="是",$AY$4,$AY$3)</f>
        <v>1664</v>
      </c>
      <c r="E46" s="96">
        <f>SUM($B$4:B46)+SUM($C$4:C46)-SUM($D$4:D46)</f>
        <v>2630</v>
      </c>
      <c r="F46" s="96">
        <f>SUM(经验!A46:X46)</f>
        <v>660</v>
      </c>
      <c r="G46" s="96">
        <f>SUM($F$4:F46)+SUM($H$4:H46)</f>
        <v>29345</v>
      </c>
      <c r="H46" s="96">
        <v>0</v>
      </c>
      <c r="I46" s="108" t="s">
        <v>41</v>
      </c>
      <c r="J46" s="108" t="s">
        <v>41</v>
      </c>
      <c r="K46" s="103" t="s">
        <v>58</v>
      </c>
      <c r="L46" s="108" t="s">
        <v>41</v>
      </c>
      <c r="M46" s="108" t="s">
        <v>41</v>
      </c>
      <c r="N46" s="108" t="s">
        <v>41</v>
      </c>
      <c r="O46" s="108" t="s">
        <v>41</v>
      </c>
      <c r="P46" s="99" t="s">
        <v>33</v>
      </c>
      <c r="Q46" s="98" t="s">
        <v>33</v>
      </c>
      <c r="R46" s="98" t="s">
        <v>33</v>
      </c>
      <c r="S46" s="98" t="s">
        <v>33</v>
      </c>
      <c r="T46" s="98" t="s">
        <v>33</v>
      </c>
      <c r="U46" s="98" t="s">
        <v>33</v>
      </c>
      <c r="V46" s="98" t="s">
        <v>33</v>
      </c>
      <c r="W46" s="99" t="s">
        <v>33</v>
      </c>
      <c r="X46" s="99" t="s">
        <v>33</v>
      </c>
      <c r="Y46" s="111" t="s">
        <v>43</v>
      </c>
      <c r="Z46" s="111" t="s">
        <v>43</v>
      </c>
      <c r="AA46" s="111" t="s">
        <v>43</v>
      </c>
      <c r="AB46" s="111" t="s">
        <v>43</v>
      </c>
      <c r="AC46" s="111" t="s">
        <v>43</v>
      </c>
      <c r="AD46" s="111" t="s">
        <v>43</v>
      </c>
      <c r="AE46" s="99" t="s">
        <v>33</v>
      </c>
      <c r="AF46" s="99" t="s">
        <v>33</v>
      </c>
      <c r="AG46" s="101">
        <f t="shared" si="3"/>
        <v>0</v>
      </c>
      <c r="AH46" s="101"/>
      <c r="AI46" s="101"/>
      <c r="AJ46" s="101"/>
      <c r="AK46" s="102" t="s">
        <v>51</v>
      </c>
    </row>
    <row r="47" spans="1:42">
      <c r="A47" s="95">
        <v>45045</v>
      </c>
      <c r="B47" s="96">
        <v>1600</v>
      </c>
      <c r="C47" s="96"/>
      <c r="D47" s="96">
        <f>(SUM(粮草!A47:X47)+AG47*10)*IF(AK47="是",$AY$4,$AY$3)</f>
        <v>1824</v>
      </c>
      <c r="E47" s="96">
        <f>SUM($B$4:B47)+SUM($C$4:C47)-SUM($D$4:D47)</f>
        <v>2406</v>
      </c>
      <c r="F47" s="96">
        <f>SUM(经验!A47:X47)</f>
        <v>660</v>
      </c>
      <c r="G47" s="96">
        <f>SUM($F$4:F47)+SUM($H$4:H47)</f>
        <v>30005</v>
      </c>
      <c r="H47" s="96">
        <v>0</v>
      </c>
      <c r="I47" s="108" t="s">
        <v>41</v>
      </c>
      <c r="J47" s="108" t="s">
        <v>41</v>
      </c>
      <c r="K47" s="108" t="s">
        <v>41</v>
      </c>
      <c r="L47" s="108" t="s">
        <v>41</v>
      </c>
      <c r="M47" s="108" t="s">
        <v>41</v>
      </c>
      <c r="N47" s="108" t="s">
        <v>41</v>
      </c>
      <c r="O47" s="99" t="s">
        <v>33</v>
      </c>
      <c r="P47" s="99" t="s">
        <v>33</v>
      </c>
      <c r="Q47" s="98" t="s">
        <v>33</v>
      </c>
      <c r="R47" s="98" t="s">
        <v>33</v>
      </c>
      <c r="S47" s="98" t="s">
        <v>33</v>
      </c>
      <c r="T47" s="98" t="s">
        <v>33</v>
      </c>
      <c r="U47" s="98" t="s">
        <v>33</v>
      </c>
      <c r="V47" s="98" t="s">
        <v>33</v>
      </c>
      <c r="W47" s="99" t="s">
        <v>33</v>
      </c>
      <c r="X47" s="99" t="s">
        <v>33</v>
      </c>
      <c r="Y47" s="111" t="s">
        <v>43</v>
      </c>
      <c r="Z47" s="111" t="s">
        <v>43</v>
      </c>
      <c r="AA47" s="111" t="s">
        <v>43</v>
      </c>
      <c r="AB47" s="111" t="s">
        <v>43</v>
      </c>
      <c r="AC47" s="111" t="s">
        <v>43</v>
      </c>
      <c r="AD47" s="111" t="s">
        <v>43</v>
      </c>
      <c r="AE47" s="99" t="s">
        <v>33</v>
      </c>
      <c r="AF47" s="99" t="s">
        <v>33</v>
      </c>
      <c r="AG47" s="101">
        <f t="shared" si="3"/>
        <v>0</v>
      </c>
      <c r="AH47" s="101"/>
      <c r="AI47" s="101"/>
      <c r="AJ47" s="101"/>
      <c r="AK47" s="102" t="s">
        <v>51</v>
      </c>
    </row>
    <row r="48" spans="1:42">
      <c r="A48" s="95">
        <v>45046</v>
      </c>
      <c r="B48" s="96">
        <v>1600</v>
      </c>
      <c r="C48" s="96"/>
      <c r="D48" s="96">
        <f>(SUM(粮草!A48:X48)+AG48*10)*IF(AK48="是",$AY$4,$AY$3)</f>
        <v>1808</v>
      </c>
      <c r="E48" s="96">
        <f>SUM($B$4:B48)+SUM($C$4:C48)-SUM($D$4:D48)</f>
        <v>2198</v>
      </c>
      <c r="F48" s="96">
        <f>SUM(经验!A48:X48)</f>
        <v>710</v>
      </c>
      <c r="G48" s="96">
        <f>SUM($F$4:F48)+SUM($H$4:H48)</f>
        <v>30715</v>
      </c>
      <c r="H48" s="96">
        <v>0</v>
      </c>
      <c r="I48" s="108" t="s">
        <v>41</v>
      </c>
      <c r="J48" s="108" t="s">
        <v>41</v>
      </c>
      <c r="K48" s="103" t="s">
        <v>58</v>
      </c>
      <c r="L48" s="108" t="s">
        <v>41</v>
      </c>
      <c r="M48" s="108" t="s">
        <v>41</v>
      </c>
      <c r="N48" s="108" t="s">
        <v>41</v>
      </c>
      <c r="O48" s="108" t="s">
        <v>41</v>
      </c>
      <c r="P48" s="108" t="s">
        <v>41</v>
      </c>
      <c r="Q48" s="98" t="s">
        <v>33</v>
      </c>
      <c r="R48" s="98" t="s">
        <v>33</v>
      </c>
      <c r="S48" s="98" t="s">
        <v>33</v>
      </c>
      <c r="T48" s="98" t="s">
        <v>33</v>
      </c>
      <c r="U48" s="98" t="s">
        <v>33</v>
      </c>
      <c r="V48" s="98" t="s">
        <v>33</v>
      </c>
      <c r="W48" s="99" t="s">
        <v>33</v>
      </c>
      <c r="X48" s="99" t="s">
        <v>33</v>
      </c>
      <c r="Y48" s="111" t="s">
        <v>43</v>
      </c>
      <c r="Z48" s="111" t="s">
        <v>43</v>
      </c>
      <c r="AA48" s="111" t="s">
        <v>43</v>
      </c>
      <c r="AB48" s="111" t="s">
        <v>43</v>
      </c>
      <c r="AC48" s="111" t="s">
        <v>43</v>
      </c>
      <c r="AD48" s="111" t="s">
        <v>43</v>
      </c>
      <c r="AE48" s="99" t="s">
        <v>33</v>
      </c>
      <c r="AF48" s="99" t="s">
        <v>33</v>
      </c>
      <c r="AG48" s="101">
        <f t="shared" si="3"/>
        <v>0</v>
      </c>
      <c r="AH48" s="101"/>
      <c r="AI48" s="101"/>
      <c r="AJ48" s="101"/>
      <c r="AK48" s="102" t="s">
        <v>51</v>
      </c>
    </row>
    <row r="49" spans="1:37">
      <c r="A49" s="95">
        <v>45047</v>
      </c>
      <c r="B49" s="98">
        <v>1600</v>
      </c>
      <c r="C49" s="98"/>
      <c r="D49" s="96">
        <f>(SUM(粮草!A49:X49)+AG49*10)*IF(AK49="是",$AY$4,$AY$3)</f>
        <v>1680</v>
      </c>
      <c r="E49" s="96">
        <f>SUM($B$4:B49)+SUM($C$4:C49)-SUM($D$4:D49)</f>
        <v>2118</v>
      </c>
      <c r="F49" s="96">
        <f>SUM(经验!A49:X49)</f>
        <v>670</v>
      </c>
      <c r="G49" s="96">
        <f>SUM($F$4:F49)+SUM($H$4:H49)</f>
        <v>31585</v>
      </c>
      <c r="H49" s="98">
        <v>200</v>
      </c>
      <c r="I49" s="108" t="s">
        <v>41</v>
      </c>
      <c r="J49" s="108" t="s">
        <v>41</v>
      </c>
      <c r="K49" s="108" t="s">
        <v>41</v>
      </c>
      <c r="L49" s="108" t="s">
        <v>41</v>
      </c>
      <c r="M49" s="110" t="s">
        <v>42</v>
      </c>
      <c r="N49" s="110" t="s">
        <v>42</v>
      </c>
      <c r="O49" s="99" t="s">
        <v>33</v>
      </c>
      <c r="P49" s="99" t="s">
        <v>33</v>
      </c>
      <c r="Q49" s="98" t="s">
        <v>33</v>
      </c>
      <c r="R49" s="98" t="s">
        <v>33</v>
      </c>
      <c r="S49" s="98" t="s">
        <v>33</v>
      </c>
      <c r="T49" s="98" t="s">
        <v>33</v>
      </c>
      <c r="U49" s="98" t="s">
        <v>33</v>
      </c>
      <c r="V49" s="98" t="s">
        <v>33</v>
      </c>
      <c r="W49" s="99" t="s">
        <v>33</v>
      </c>
      <c r="X49" s="99" t="s">
        <v>33</v>
      </c>
      <c r="Y49" s="111" t="s">
        <v>43</v>
      </c>
      <c r="Z49" s="111" t="s">
        <v>43</v>
      </c>
      <c r="AA49" s="103" t="s">
        <v>58</v>
      </c>
      <c r="AB49" s="111" t="s">
        <v>43</v>
      </c>
      <c r="AC49" s="111" t="s">
        <v>43</v>
      </c>
      <c r="AD49" s="111" t="s">
        <v>43</v>
      </c>
      <c r="AE49" s="111" t="s">
        <v>43</v>
      </c>
      <c r="AF49" s="99" t="s">
        <v>33</v>
      </c>
      <c r="AG49" s="101">
        <f t="shared" si="3"/>
        <v>0</v>
      </c>
      <c r="AH49" s="101"/>
      <c r="AI49" s="101"/>
      <c r="AJ49" s="101"/>
      <c r="AK49" s="102" t="s">
        <v>51</v>
      </c>
    </row>
    <row r="50" spans="1:37">
      <c r="A50" s="95">
        <v>45048</v>
      </c>
      <c r="B50" s="98">
        <v>1600</v>
      </c>
      <c r="C50" s="98"/>
      <c r="D50" s="96">
        <f>(SUM(粮草!A50:X50)+AG50*10)*IF(AK50="是",$AY$4,$AY$3)</f>
        <v>1648</v>
      </c>
      <c r="E50" s="96">
        <f>SUM($B$4:B50)+SUM($C$4:C50)-SUM($D$4:D50)</f>
        <v>2070</v>
      </c>
      <c r="F50" s="96">
        <f>SUM(经验!A50:X50)</f>
        <v>610</v>
      </c>
      <c r="G50" s="96">
        <f>SUM($F$4:F50)+SUM($H$4:H50)</f>
        <v>32295</v>
      </c>
      <c r="H50" s="98">
        <v>100</v>
      </c>
      <c r="I50" s="108" t="s">
        <v>41</v>
      </c>
      <c r="J50" s="108" t="s">
        <v>41</v>
      </c>
      <c r="K50" s="114" t="s">
        <v>47</v>
      </c>
      <c r="L50" s="108" t="s">
        <v>41</v>
      </c>
      <c r="M50" s="100" t="s">
        <v>38</v>
      </c>
      <c r="N50" s="108" t="s">
        <v>41</v>
      </c>
      <c r="O50" s="99" t="s">
        <v>33</v>
      </c>
      <c r="P50" s="99" t="s">
        <v>33</v>
      </c>
      <c r="Q50" s="98" t="s">
        <v>33</v>
      </c>
      <c r="R50" s="98" t="s">
        <v>33</v>
      </c>
      <c r="S50" s="98" t="s">
        <v>33</v>
      </c>
      <c r="T50" s="98" t="s">
        <v>33</v>
      </c>
      <c r="U50" s="98" t="s">
        <v>33</v>
      </c>
      <c r="V50" s="98" t="s">
        <v>33</v>
      </c>
      <c r="W50" s="99" t="s">
        <v>33</v>
      </c>
      <c r="X50" s="99" t="s">
        <v>33</v>
      </c>
      <c r="Y50" s="110" t="s">
        <v>42</v>
      </c>
      <c r="Z50" s="110" t="s">
        <v>42</v>
      </c>
      <c r="AA50" s="110" t="s">
        <v>42</v>
      </c>
      <c r="AB50" s="110" t="s">
        <v>42</v>
      </c>
      <c r="AC50" s="110" t="s">
        <v>42</v>
      </c>
      <c r="AD50" s="110" t="s">
        <v>42</v>
      </c>
      <c r="AE50" s="99" t="s">
        <v>33</v>
      </c>
      <c r="AF50" s="99" t="s">
        <v>33</v>
      </c>
      <c r="AG50" s="101">
        <f t="shared" si="3"/>
        <v>0</v>
      </c>
      <c r="AH50" s="101"/>
      <c r="AI50" s="101"/>
      <c r="AJ50" s="101"/>
      <c r="AK50" s="102" t="s">
        <v>51</v>
      </c>
    </row>
    <row r="51" spans="1:37">
      <c r="A51" s="95">
        <v>45049</v>
      </c>
      <c r="B51" s="98">
        <v>1600</v>
      </c>
      <c r="C51" s="98"/>
      <c r="D51" s="96">
        <f>(SUM(粮草!A51:X51)+AG51*10)*IF(AK51="是",$AY$4,$AY$3)</f>
        <v>1776</v>
      </c>
      <c r="E51" s="96">
        <f>SUM($B$4:B51)+SUM($C$4:C51)-SUM($D$4:D51)</f>
        <v>1894</v>
      </c>
      <c r="F51" s="96">
        <f>SUM(经验!A51:X51)</f>
        <v>630</v>
      </c>
      <c r="G51" s="96">
        <f>SUM($F$4:F51)+SUM($H$4:H51)</f>
        <v>33125</v>
      </c>
      <c r="H51" s="98">
        <v>200</v>
      </c>
      <c r="I51" s="108" t="s">
        <v>41</v>
      </c>
      <c r="J51" s="108" t="s">
        <v>41</v>
      </c>
      <c r="K51" s="108" t="s">
        <v>41</v>
      </c>
      <c r="L51" s="108" t="s">
        <v>41</v>
      </c>
      <c r="M51" s="108" t="s">
        <v>41</v>
      </c>
      <c r="N51" s="108" t="s">
        <v>41</v>
      </c>
      <c r="O51" s="99" t="s">
        <v>33</v>
      </c>
      <c r="P51" s="99" t="s">
        <v>33</v>
      </c>
      <c r="Q51" s="98" t="s">
        <v>33</v>
      </c>
      <c r="R51" s="98" t="s">
        <v>33</v>
      </c>
      <c r="S51" s="98" t="s">
        <v>33</v>
      </c>
      <c r="T51" s="98" t="s">
        <v>33</v>
      </c>
      <c r="U51" s="98" t="s">
        <v>33</v>
      </c>
      <c r="V51" s="98" t="s">
        <v>33</v>
      </c>
      <c r="W51" s="99" t="s">
        <v>33</v>
      </c>
      <c r="X51" s="99" t="s">
        <v>33</v>
      </c>
      <c r="Y51" s="110" t="s">
        <v>42</v>
      </c>
      <c r="Z51" s="110" t="s">
        <v>42</v>
      </c>
      <c r="AA51" s="110" t="s">
        <v>42</v>
      </c>
      <c r="AB51" s="110" t="s">
        <v>42</v>
      </c>
      <c r="AC51" s="110" t="s">
        <v>42</v>
      </c>
      <c r="AD51" s="110" t="s">
        <v>42</v>
      </c>
      <c r="AE51" s="99" t="s">
        <v>33</v>
      </c>
      <c r="AF51" s="99" t="s">
        <v>33</v>
      </c>
      <c r="AG51" s="101">
        <f t="shared" si="3"/>
        <v>0</v>
      </c>
      <c r="AH51" s="101"/>
      <c r="AI51" s="101"/>
      <c r="AJ51" s="101"/>
      <c r="AK51" s="102" t="s">
        <v>51</v>
      </c>
    </row>
    <row r="52" spans="1:37">
      <c r="A52" s="95">
        <v>45050</v>
      </c>
      <c r="B52" s="98">
        <v>1600</v>
      </c>
      <c r="C52" s="98"/>
      <c r="D52" s="96">
        <f>(SUM(粮草!A52:X52)+AG52*10)*IF(AK52="是",$AY$4,$AY$3)</f>
        <v>1664</v>
      </c>
      <c r="E52" s="96">
        <f>SUM($B$4:B52)+SUM($C$4:C52)-SUM($D$4:D52)</f>
        <v>1830</v>
      </c>
      <c r="F52" s="96">
        <f>SUM(经验!A52:X52)</f>
        <v>665</v>
      </c>
      <c r="G52" s="96">
        <f>SUM($F$4:F52)+SUM($H$4:H52)</f>
        <v>33790</v>
      </c>
      <c r="H52" s="98">
        <v>0</v>
      </c>
      <c r="I52" s="108" t="s">
        <v>41</v>
      </c>
      <c r="J52" s="108" t="s">
        <v>41</v>
      </c>
      <c r="K52" s="108" t="s">
        <v>41</v>
      </c>
      <c r="L52" s="108" t="s">
        <v>41</v>
      </c>
      <c r="M52" s="108" t="s">
        <v>41</v>
      </c>
      <c r="N52" s="100" t="s">
        <v>38</v>
      </c>
      <c r="O52" s="99" t="s">
        <v>33</v>
      </c>
      <c r="P52" s="99" t="s">
        <v>33</v>
      </c>
      <c r="Q52" s="98" t="s">
        <v>33</v>
      </c>
      <c r="R52" s="98" t="s">
        <v>33</v>
      </c>
      <c r="S52" s="98" t="s">
        <v>33</v>
      </c>
      <c r="T52" s="98" t="s">
        <v>33</v>
      </c>
      <c r="U52" s="98" t="s">
        <v>33</v>
      </c>
      <c r="V52" s="98" t="s">
        <v>33</v>
      </c>
      <c r="W52" s="99" t="s">
        <v>33</v>
      </c>
      <c r="X52" s="99" t="s">
        <v>33</v>
      </c>
      <c r="Y52" s="110" t="s">
        <v>42</v>
      </c>
      <c r="Z52" s="110" t="s">
        <v>42</v>
      </c>
      <c r="AA52" s="103" t="s">
        <v>58</v>
      </c>
      <c r="AB52" s="110" t="s">
        <v>42</v>
      </c>
      <c r="AC52" s="110" t="s">
        <v>42</v>
      </c>
      <c r="AD52" s="110" t="s">
        <v>42</v>
      </c>
      <c r="AE52" s="110" t="s">
        <v>42</v>
      </c>
      <c r="AF52" s="110" t="s">
        <v>42</v>
      </c>
      <c r="AG52" s="101">
        <f t="shared" si="3"/>
        <v>0</v>
      </c>
      <c r="AH52" s="101"/>
      <c r="AI52" s="101"/>
      <c r="AJ52" s="101"/>
      <c r="AK52" s="102" t="s">
        <v>51</v>
      </c>
    </row>
    <row r="53" spans="1:37">
      <c r="A53" s="95">
        <v>45051</v>
      </c>
      <c r="B53" s="98">
        <v>1600</v>
      </c>
      <c r="C53" s="98"/>
      <c r="D53" s="96">
        <f>(SUM(粮草!A53:X53)+AG53*10)*IF(AK53="是",$AY$4,$AY$3)</f>
        <v>1816</v>
      </c>
      <c r="E53" s="96">
        <f>SUM($B$4:B53)+SUM($C$4:C53)-SUM($D$4:D53)</f>
        <v>1614</v>
      </c>
      <c r="F53" s="96">
        <f>SUM(经验!A53:X53)</f>
        <v>655</v>
      </c>
      <c r="G53" s="96">
        <f>SUM($F$4:F53)+SUM($H$4:H53)</f>
        <v>34445</v>
      </c>
      <c r="H53" s="98">
        <v>0</v>
      </c>
      <c r="I53" s="108" t="s">
        <v>41</v>
      </c>
      <c r="J53" s="110" t="s">
        <v>42</v>
      </c>
      <c r="K53" s="110" t="s">
        <v>42</v>
      </c>
      <c r="L53" s="110" t="s">
        <v>42</v>
      </c>
      <c r="M53" s="110" t="s">
        <v>42</v>
      </c>
      <c r="N53" s="110" t="s">
        <v>42</v>
      </c>
      <c r="O53" s="99" t="s">
        <v>33</v>
      </c>
      <c r="P53" s="99" t="s">
        <v>33</v>
      </c>
      <c r="Q53" s="98" t="s">
        <v>33</v>
      </c>
      <c r="R53" s="98" t="s">
        <v>33</v>
      </c>
      <c r="S53" s="98" t="s">
        <v>33</v>
      </c>
      <c r="T53" s="98" t="s">
        <v>33</v>
      </c>
      <c r="U53" s="98" t="s">
        <v>33</v>
      </c>
      <c r="V53" s="98" t="s">
        <v>33</v>
      </c>
      <c r="W53" s="99" t="s">
        <v>33</v>
      </c>
      <c r="X53" s="99" t="s">
        <v>33</v>
      </c>
      <c r="Y53" s="110" t="s">
        <v>42</v>
      </c>
      <c r="Z53" s="110" t="s">
        <v>42</v>
      </c>
      <c r="AA53" s="110" t="s">
        <v>42</v>
      </c>
      <c r="AB53" s="110" t="s">
        <v>42</v>
      </c>
      <c r="AC53" s="110" t="s">
        <v>42</v>
      </c>
      <c r="AD53" s="110" t="s">
        <v>42</v>
      </c>
      <c r="AE53" s="99" t="s">
        <v>33</v>
      </c>
      <c r="AF53" s="99" t="s">
        <v>33</v>
      </c>
      <c r="AG53" s="101">
        <f t="shared" si="3"/>
        <v>0</v>
      </c>
      <c r="AH53" s="101"/>
      <c r="AI53" s="101"/>
      <c r="AJ53" s="101"/>
      <c r="AK53" s="102" t="s">
        <v>51</v>
      </c>
    </row>
    <row r="54" spans="1:37">
      <c r="A54" s="95">
        <v>45052</v>
      </c>
      <c r="B54" s="98">
        <v>1600</v>
      </c>
      <c r="C54" s="98"/>
      <c r="D54" s="96">
        <f>(SUM(粮草!A54:X54)+AG54*10)*IF(AK54="是",$AY$4,$AY$3)</f>
        <v>1712</v>
      </c>
      <c r="E54" s="96">
        <f>SUM($B$4:B54)+SUM($C$4:C54)-SUM($D$4:D54)</f>
        <v>1502</v>
      </c>
      <c r="F54" s="96">
        <f>SUM(经验!A54:X54)</f>
        <v>635</v>
      </c>
      <c r="G54" s="96">
        <f>SUM($F$4:F54)+SUM($H$4:H54)</f>
        <v>35080</v>
      </c>
      <c r="H54" s="98">
        <v>0</v>
      </c>
      <c r="I54" s="110" t="s">
        <v>42</v>
      </c>
      <c r="J54" s="110" t="s">
        <v>42</v>
      </c>
      <c r="K54" s="110" t="s">
        <v>42</v>
      </c>
      <c r="L54" s="110" t="s">
        <v>42</v>
      </c>
      <c r="M54" s="110" t="s">
        <v>42</v>
      </c>
      <c r="N54" s="110" t="s">
        <v>42</v>
      </c>
      <c r="O54" s="99" t="s">
        <v>33</v>
      </c>
      <c r="P54" s="99" t="s">
        <v>33</v>
      </c>
      <c r="Q54" s="98" t="s">
        <v>33</v>
      </c>
      <c r="R54" s="98" t="s">
        <v>33</v>
      </c>
      <c r="S54" s="98" t="s">
        <v>33</v>
      </c>
      <c r="T54" s="98" t="s">
        <v>33</v>
      </c>
      <c r="U54" s="98" t="s">
        <v>33</v>
      </c>
      <c r="V54" s="98" t="s">
        <v>33</v>
      </c>
      <c r="W54" s="99" t="s">
        <v>33</v>
      </c>
      <c r="X54" s="99" t="s">
        <v>33</v>
      </c>
      <c r="Y54" s="100" t="s">
        <v>38</v>
      </c>
      <c r="Z54" s="110" t="s">
        <v>42</v>
      </c>
      <c r="AA54" s="110" t="s">
        <v>42</v>
      </c>
      <c r="AB54" s="110" t="s">
        <v>42</v>
      </c>
      <c r="AC54" s="110" t="s">
        <v>42</v>
      </c>
      <c r="AD54" s="110" t="s">
        <v>42</v>
      </c>
      <c r="AE54" s="99" t="s">
        <v>33</v>
      </c>
      <c r="AF54" s="99" t="s">
        <v>33</v>
      </c>
      <c r="AG54" s="101">
        <f t="shared" si="3"/>
        <v>0</v>
      </c>
      <c r="AH54" s="101"/>
      <c r="AI54" s="101"/>
      <c r="AJ54" s="101"/>
      <c r="AK54" s="102" t="s">
        <v>51</v>
      </c>
    </row>
    <row r="55" spans="1:37">
      <c r="A55" s="95">
        <v>45053</v>
      </c>
      <c r="B55" s="98">
        <v>1600</v>
      </c>
      <c r="C55" s="98"/>
      <c r="D55" s="96">
        <f>(SUM(粮草!A55:X55)+AG55*10)*IF(AK55="是",$AY$4,$AY$3)</f>
        <v>1792</v>
      </c>
      <c r="E55" s="96">
        <f>SUM($B$4:B55)+SUM($C$4:C55)-SUM($D$4:D55)</f>
        <v>1310</v>
      </c>
      <c r="F55" s="96">
        <f>SUM(经验!A55:X55)</f>
        <v>660</v>
      </c>
      <c r="G55" s="96">
        <f>SUM($F$4:F55)+SUM($H$4:H55)</f>
        <v>35740</v>
      </c>
      <c r="H55" s="98">
        <v>0</v>
      </c>
      <c r="I55" s="110" t="s">
        <v>42</v>
      </c>
      <c r="J55" s="110" t="s">
        <v>42</v>
      </c>
      <c r="K55" s="110" t="s">
        <v>42</v>
      </c>
      <c r="L55" s="110" t="s">
        <v>42</v>
      </c>
      <c r="M55" s="110" t="s">
        <v>42</v>
      </c>
      <c r="N55" s="110" t="s">
        <v>42</v>
      </c>
      <c r="O55" s="99" t="s">
        <v>33</v>
      </c>
      <c r="P55" s="99" t="s">
        <v>33</v>
      </c>
      <c r="Q55" s="98" t="s">
        <v>33</v>
      </c>
      <c r="R55" s="98" t="s">
        <v>33</v>
      </c>
      <c r="S55" s="98" t="s">
        <v>33</v>
      </c>
      <c r="T55" s="98" t="s">
        <v>33</v>
      </c>
      <c r="U55" s="98" t="s">
        <v>33</v>
      </c>
      <c r="V55" s="98" t="s">
        <v>33</v>
      </c>
      <c r="W55" s="99" t="s">
        <v>33</v>
      </c>
      <c r="X55" s="99" t="s">
        <v>33</v>
      </c>
      <c r="Y55" s="110" t="s">
        <v>42</v>
      </c>
      <c r="Z55" s="110" t="s">
        <v>42</v>
      </c>
      <c r="AA55" s="110" t="s">
        <v>42</v>
      </c>
      <c r="AB55" s="115" t="s">
        <v>48</v>
      </c>
      <c r="AC55" s="110" t="s">
        <v>42</v>
      </c>
      <c r="AD55" s="110" t="s">
        <v>42</v>
      </c>
      <c r="AE55" s="99" t="s">
        <v>33</v>
      </c>
      <c r="AF55" s="99" t="s">
        <v>33</v>
      </c>
      <c r="AG55" s="101">
        <f t="shared" si="3"/>
        <v>0</v>
      </c>
      <c r="AH55" s="101"/>
      <c r="AI55" s="101"/>
      <c r="AJ55" s="101"/>
      <c r="AK55" s="102" t="s">
        <v>51</v>
      </c>
    </row>
    <row r="56" spans="1:37">
      <c r="A56" s="95">
        <v>45054</v>
      </c>
      <c r="B56" s="96">
        <v>1600</v>
      </c>
      <c r="C56" s="96"/>
      <c r="D56" s="96">
        <f>(SUM(粮草!A56:X56)+AG56*10)*IF(AK56="是",$AY$4,$AY$3)</f>
        <v>1824</v>
      </c>
      <c r="E56" s="96">
        <f>SUM($B$4:B56)+SUM($C$4:C56)-SUM($D$4:D56)</f>
        <v>1086</v>
      </c>
      <c r="F56" s="96">
        <f>SUM(经验!A56:X56)</f>
        <v>660</v>
      </c>
      <c r="G56" s="96">
        <f>SUM($F$4:F56)+SUM($H$4:H56)</f>
        <v>36700</v>
      </c>
      <c r="H56" s="96">
        <v>300</v>
      </c>
      <c r="I56" s="110" t="s">
        <v>42</v>
      </c>
      <c r="J56" s="110" t="s">
        <v>42</v>
      </c>
      <c r="K56" s="110" t="s">
        <v>42</v>
      </c>
      <c r="L56" s="110" t="s">
        <v>42</v>
      </c>
      <c r="M56" s="110" t="s">
        <v>42</v>
      </c>
      <c r="N56" s="110" t="s">
        <v>42</v>
      </c>
      <c r="O56" s="99" t="s">
        <v>33</v>
      </c>
      <c r="P56" s="99" t="s">
        <v>33</v>
      </c>
      <c r="Q56" s="98" t="s">
        <v>33</v>
      </c>
      <c r="R56" s="98" t="s">
        <v>33</v>
      </c>
      <c r="S56" s="98" t="s">
        <v>33</v>
      </c>
      <c r="T56" s="98" t="s">
        <v>33</v>
      </c>
      <c r="U56" s="98" t="s">
        <v>33</v>
      </c>
      <c r="V56" s="98" t="s">
        <v>33</v>
      </c>
      <c r="W56" s="99" t="s">
        <v>33</v>
      </c>
      <c r="X56" s="99" t="s">
        <v>33</v>
      </c>
      <c r="Y56" s="110" t="s">
        <v>42</v>
      </c>
      <c r="Z56" s="110" t="s">
        <v>42</v>
      </c>
      <c r="AA56" s="110" t="s">
        <v>42</v>
      </c>
      <c r="AB56" s="110" t="s">
        <v>42</v>
      </c>
      <c r="AC56" s="110" t="s">
        <v>42</v>
      </c>
      <c r="AD56" s="110" t="s">
        <v>42</v>
      </c>
      <c r="AE56" s="99" t="s">
        <v>33</v>
      </c>
      <c r="AF56" s="99" t="s">
        <v>33</v>
      </c>
      <c r="AG56" s="101">
        <f t="shared" si="3"/>
        <v>0</v>
      </c>
      <c r="AH56" s="101"/>
      <c r="AI56" s="101"/>
      <c r="AJ56" s="101"/>
      <c r="AK56" s="102" t="s">
        <v>51</v>
      </c>
    </row>
    <row r="57" spans="1:37">
      <c r="A57" s="95">
        <v>45055</v>
      </c>
      <c r="B57" s="96">
        <v>1600</v>
      </c>
      <c r="C57" s="96"/>
      <c r="D57" s="96">
        <f>(SUM(粮草!A57:X57)+AG57*10)*IF(AK57="是",$AY$4,$AY$3)</f>
        <v>1824</v>
      </c>
      <c r="E57" s="96">
        <f>SUM($B$4:B57)+SUM($C$4:C57)-SUM($D$4:D57)</f>
        <v>862</v>
      </c>
      <c r="F57" s="96">
        <f>SUM(经验!A57:X57)</f>
        <v>660</v>
      </c>
      <c r="G57" s="96">
        <f>SUM($F$4:F57)+SUM($H$4:H57)</f>
        <v>37360</v>
      </c>
      <c r="H57" s="96">
        <v>0</v>
      </c>
      <c r="I57" s="110" t="s">
        <v>42</v>
      </c>
      <c r="J57" s="110" t="s">
        <v>42</v>
      </c>
      <c r="K57" s="110" t="s">
        <v>42</v>
      </c>
      <c r="L57" s="110" t="s">
        <v>42</v>
      </c>
      <c r="M57" s="110" t="s">
        <v>42</v>
      </c>
      <c r="N57" s="110" t="s">
        <v>42</v>
      </c>
      <c r="O57" s="99" t="s">
        <v>33</v>
      </c>
      <c r="P57" s="99" t="s">
        <v>33</v>
      </c>
      <c r="Q57" s="98" t="s">
        <v>33</v>
      </c>
      <c r="R57" s="98" t="s">
        <v>33</v>
      </c>
      <c r="S57" s="98" t="s">
        <v>33</v>
      </c>
      <c r="T57" s="98" t="s">
        <v>33</v>
      </c>
      <c r="U57" s="98" t="s">
        <v>33</v>
      </c>
      <c r="V57" s="98" t="s">
        <v>33</v>
      </c>
      <c r="W57" s="99" t="s">
        <v>33</v>
      </c>
      <c r="X57" s="99" t="s">
        <v>33</v>
      </c>
      <c r="Y57" s="110" t="s">
        <v>42</v>
      </c>
      <c r="Z57" s="110" t="s">
        <v>42</v>
      </c>
      <c r="AA57" s="110" t="s">
        <v>42</v>
      </c>
      <c r="AB57" s="110" t="s">
        <v>42</v>
      </c>
      <c r="AC57" s="110" t="s">
        <v>42</v>
      </c>
      <c r="AD57" s="110" t="s">
        <v>42</v>
      </c>
      <c r="AE57" s="99" t="s">
        <v>33</v>
      </c>
      <c r="AF57" s="99" t="s">
        <v>33</v>
      </c>
      <c r="AG57" s="101">
        <f t="shared" si="3"/>
        <v>0</v>
      </c>
      <c r="AH57" s="101"/>
      <c r="AI57" s="101"/>
      <c r="AJ57" s="101"/>
      <c r="AK57" s="102" t="s">
        <v>51</v>
      </c>
    </row>
    <row r="58" spans="1:37">
      <c r="A58" s="95">
        <v>45056</v>
      </c>
      <c r="B58" s="96">
        <v>1600</v>
      </c>
      <c r="C58" s="96"/>
      <c r="D58" s="96">
        <f>(SUM(粮草!A58:X58)+AG58*10)*IF(AK58="是",$AY$4,$AY$3)</f>
        <v>1712</v>
      </c>
      <c r="E58" s="96">
        <f>SUM($B$4:B58)+SUM($C$4:C58)-SUM($D$4:D58)</f>
        <v>750</v>
      </c>
      <c r="F58" s="96">
        <f>SUM(经验!A58:X58)</f>
        <v>635</v>
      </c>
      <c r="G58" s="96">
        <f>SUM($F$4:F58)+SUM($H$4:H58)</f>
        <v>38195</v>
      </c>
      <c r="H58" s="96">
        <v>200</v>
      </c>
      <c r="I58" s="100" t="s">
        <v>38</v>
      </c>
      <c r="J58" s="110" t="s">
        <v>42</v>
      </c>
      <c r="K58" s="110" t="s">
        <v>42</v>
      </c>
      <c r="L58" s="110" t="s">
        <v>42</v>
      </c>
      <c r="M58" s="110" t="s">
        <v>42</v>
      </c>
      <c r="N58" s="110" t="s">
        <v>42</v>
      </c>
      <c r="O58" s="99" t="s">
        <v>33</v>
      </c>
      <c r="P58" s="99" t="s">
        <v>33</v>
      </c>
      <c r="Q58" s="98" t="s">
        <v>33</v>
      </c>
      <c r="R58" s="98" t="s">
        <v>33</v>
      </c>
      <c r="S58" s="98" t="s">
        <v>33</v>
      </c>
      <c r="T58" s="98" t="s">
        <v>33</v>
      </c>
      <c r="U58" s="98" t="s">
        <v>33</v>
      </c>
      <c r="V58" s="98" t="s">
        <v>33</v>
      </c>
      <c r="W58" s="99" t="s">
        <v>33</v>
      </c>
      <c r="X58" s="99" t="s">
        <v>33</v>
      </c>
      <c r="Y58" s="110" t="s">
        <v>42</v>
      </c>
      <c r="Z58" s="110" t="s">
        <v>42</v>
      </c>
      <c r="AA58" s="110" t="s">
        <v>42</v>
      </c>
      <c r="AB58" s="110" t="s">
        <v>42</v>
      </c>
      <c r="AC58" s="110" t="s">
        <v>42</v>
      </c>
      <c r="AD58" s="110" t="s">
        <v>42</v>
      </c>
      <c r="AE58" s="99" t="s">
        <v>33</v>
      </c>
      <c r="AF58" s="99" t="s">
        <v>33</v>
      </c>
      <c r="AG58" s="101">
        <f t="shared" si="3"/>
        <v>0</v>
      </c>
      <c r="AH58" s="101"/>
      <c r="AI58" s="101"/>
      <c r="AJ58" s="101"/>
      <c r="AK58" s="102" t="s">
        <v>51</v>
      </c>
    </row>
    <row r="59" spans="1:37">
      <c r="A59" s="95">
        <v>45057</v>
      </c>
      <c r="B59" s="96">
        <v>1600</v>
      </c>
      <c r="C59" s="96"/>
      <c r="D59" s="96">
        <f>(SUM(粮草!A59:X59)+AG59*10)*IF(AK59="是",$AY$4,$AY$3)</f>
        <v>1824</v>
      </c>
      <c r="E59" s="96">
        <f>SUM($B$4:B59)+SUM($C$4:C59)-SUM($D$4:D59)</f>
        <v>526</v>
      </c>
      <c r="F59" s="96">
        <f>SUM(经验!A59:X59)</f>
        <v>660</v>
      </c>
      <c r="G59" s="96">
        <f>SUM($F$4:F59)+SUM($H$4:H59)</f>
        <v>38855</v>
      </c>
      <c r="H59" s="96">
        <v>0</v>
      </c>
      <c r="I59" s="110" t="s">
        <v>42</v>
      </c>
      <c r="J59" s="110" t="s">
        <v>42</v>
      </c>
      <c r="K59" s="110" t="s">
        <v>42</v>
      </c>
      <c r="L59" s="110" t="s">
        <v>42</v>
      </c>
      <c r="M59" s="110" t="s">
        <v>42</v>
      </c>
      <c r="N59" s="110" t="s">
        <v>42</v>
      </c>
      <c r="O59" s="99" t="s">
        <v>33</v>
      </c>
      <c r="P59" s="99" t="s">
        <v>33</v>
      </c>
      <c r="Q59" s="98" t="s">
        <v>33</v>
      </c>
      <c r="R59" s="98" t="s">
        <v>33</v>
      </c>
      <c r="S59" s="98" t="s">
        <v>33</v>
      </c>
      <c r="T59" s="98" t="s">
        <v>33</v>
      </c>
      <c r="U59" s="98" t="s">
        <v>33</v>
      </c>
      <c r="V59" s="98" t="s">
        <v>33</v>
      </c>
      <c r="W59" s="99" t="s">
        <v>33</v>
      </c>
      <c r="X59" s="99" t="s">
        <v>33</v>
      </c>
      <c r="Y59" s="110" t="s">
        <v>42</v>
      </c>
      <c r="Z59" s="110" t="s">
        <v>42</v>
      </c>
      <c r="AA59" s="110" t="s">
        <v>42</v>
      </c>
      <c r="AB59" s="110" t="s">
        <v>42</v>
      </c>
      <c r="AC59" s="110" t="s">
        <v>42</v>
      </c>
      <c r="AD59" s="110" t="s">
        <v>42</v>
      </c>
      <c r="AE59" s="99" t="s">
        <v>33</v>
      </c>
      <c r="AF59" s="99" t="s">
        <v>33</v>
      </c>
      <c r="AG59" s="101">
        <f t="shared" si="3"/>
        <v>0</v>
      </c>
      <c r="AH59" s="101"/>
      <c r="AI59" s="101"/>
      <c r="AJ59" s="101"/>
      <c r="AK59" s="102" t="s">
        <v>51</v>
      </c>
    </row>
    <row r="60" spans="1:37">
      <c r="A60" s="95">
        <v>45058</v>
      </c>
      <c r="B60" s="96">
        <v>1600</v>
      </c>
      <c r="C60" s="96"/>
      <c r="D60" s="96">
        <f>(SUM(粮草!A60:X60)+AG60*10)*IF(AK60="是",$AY$4,$AY$3)</f>
        <v>1664</v>
      </c>
      <c r="E60" s="96">
        <f>SUM($B$4:B60)+SUM($C$4:C60)-SUM($D$4:D60)</f>
        <v>462</v>
      </c>
      <c r="F60" s="96">
        <f>SUM(经验!A60:X60)</f>
        <v>660</v>
      </c>
      <c r="G60" s="96">
        <f>SUM($F$4:F60)+SUM($H$4:H60)</f>
        <v>39515</v>
      </c>
      <c r="H60" s="96">
        <v>0</v>
      </c>
      <c r="I60" s="110" t="s">
        <v>42</v>
      </c>
      <c r="J60" s="110" t="s">
        <v>42</v>
      </c>
      <c r="K60" s="110" t="s">
        <v>42</v>
      </c>
      <c r="L60" s="110" t="s">
        <v>42</v>
      </c>
      <c r="M60" s="110" t="s">
        <v>42</v>
      </c>
      <c r="N60" s="110" t="s">
        <v>42</v>
      </c>
      <c r="O60" s="99" t="s">
        <v>33</v>
      </c>
      <c r="P60" s="99" t="s">
        <v>33</v>
      </c>
      <c r="Q60" s="98" t="s">
        <v>33</v>
      </c>
      <c r="R60" s="98" t="s">
        <v>33</v>
      </c>
      <c r="S60" s="98" t="s">
        <v>33</v>
      </c>
      <c r="T60" s="98" t="s">
        <v>33</v>
      </c>
      <c r="U60" s="98" t="s">
        <v>33</v>
      </c>
      <c r="V60" s="98" t="s">
        <v>33</v>
      </c>
      <c r="W60" s="99" t="s">
        <v>33</v>
      </c>
      <c r="X60" s="99" t="s">
        <v>33</v>
      </c>
      <c r="Y60" s="110" t="s">
        <v>42</v>
      </c>
      <c r="Z60" s="110" t="s">
        <v>42</v>
      </c>
      <c r="AA60" s="110" t="s">
        <v>42</v>
      </c>
      <c r="AB60" s="103" t="s">
        <v>58</v>
      </c>
      <c r="AC60" s="110" t="s">
        <v>42</v>
      </c>
      <c r="AD60" s="110" t="s">
        <v>42</v>
      </c>
      <c r="AE60" s="110" t="s">
        <v>42</v>
      </c>
      <c r="AF60" s="99" t="s">
        <v>33</v>
      </c>
      <c r="AG60" s="101">
        <f t="shared" si="3"/>
        <v>0</v>
      </c>
      <c r="AH60" s="101"/>
      <c r="AI60" s="101"/>
      <c r="AJ60" s="101"/>
      <c r="AK60" s="102" t="s">
        <v>51</v>
      </c>
    </row>
    <row r="61" spans="1:37">
      <c r="A61" s="95">
        <v>45059</v>
      </c>
      <c r="B61" s="96">
        <v>1600</v>
      </c>
      <c r="C61" s="96"/>
      <c r="D61" s="96">
        <f>(SUM(粮草!A61:X61)+AG61*10)*IF(AK61="是",$AY$4,$AY$3)</f>
        <v>1640</v>
      </c>
      <c r="E61" s="96">
        <f>SUM($B$4:B61)+SUM($C$4:C61)-SUM($D$4:D61)</f>
        <v>422</v>
      </c>
      <c r="F61" s="96">
        <f>SUM(经验!A61:X61)</f>
        <v>610</v>
      </c>
      <c r="G61" s="96">
        <f>SUM($F$4:F61)+SUM($H$4:H61)</f>
        <v>40125</v>
      </c>
      <c r="H61" s="96">
        <v>0</v>
      </c>
      <c r="I61" s="110" t="s">
        <v>42</v>
      </c>
      <c r="J61" s="110" t="s">
        <v>42</v>
      </c>
      <c r="K61" s="110" t="s">
        <v>42</v>
      </c>
      <c r="L61" s="110" t="s">
        <v>42</v>
      </c>
      <c r="M61" s="115" t="s">
        <v>48</v>
      </c>
      <c r="N61" s="110" t="s">
        <v>42</v>
      </c>
      <c r="O61" s="99" t="s">
        <v>33</v>
      </c>
      <c r="P61" s="99" t="s">
        <v>33</v>
      </c>
      <c r="Q61" s="98" t="s">
        <v>33</v>
      </c>
      <c r="R61" s="98" t="s">
        <v>33</v>
      </c>
      <c r="S61" s="98" t="s">
        <v>33</v>
      </c>
      <c r="T61" s="98" t="s">
        <v>33</v>
      </c>
      <c r="U61" s="98" t="s">
        <v>33</v>
      </c>
      <c r="V61" s="98" t="s">
        <v>33</v>
      </c>
      <c r="W61" s="99" t="s">
        <v>33</v>
      </c>
      <c r="X61" s="99" t="s">
        <v>33</v>
      </c>
      <c r="Y61" s="108" t="s">
        <v>41</v>
      </c>
      <c r="Z61" s="108" t="s">
        <v>41</v>
      </c>
      <c r="AA61" s="108" t="s">
        <v>41</v>
      </c>
      <c r="AB61" s="108" t="s">
        <v>41</v>
      </c>
      <c r="AC61" s="108" t="s">
        <v>41</v>
      </c>
      <c r="AD61" s="100" t="s">
        <v>38</v>
      </c>
      <c r="AE61" s="99" t="s">
        <v>33</v>
      </c>
      <c r="AF61" s="99" t="s">
        <v>33</v>
      </c>
      <c r="AG61" s="101">
        <f t="shared" si="3"/>
        <v>0</v>
      </c>
      <c r="AH61" s="101"/>
      <c r="AI61" s="101"/>
      <c r="AJ61" s="101"/>
      <c r="AK61" s="102" t="s">
        <v>51</v>
      </c>
    </row>
    <row r="62" spans="1:37">
      <c r="A62" s="95">
        <v>45060</v>
      </c>
      <c r="B62" s="96">
        <v>1600</v>
      </c>
      <c r="C62" s="96"/>
      <c r="D62" s="96">
        <f>(SUM(粮草!A62:X62)+AG62*10)*IF(AK62="是",$AY$4,$AY$3)</f>
        <v>1776</v>
      </c>
      <c r="E62" s="96">
        <f>SUM($B$4:B62)+SUM($C$4:C62)-SUM($D$4:D62)</f>
        <v>246</v>
      </c>
      <c r="F62" s="96">
        <f>SUM(经验!A62:X62)</f>
        <v>630</v>
      </c>
      <c r="G62" s="96">
        <f>SUM($F$4:F62)+SUM($H$4:H62)</f>
        <v>40755</v>
      </c>
      <c r="H62" s="96">
        <v>0</v>
      </c>
      <c r="I62" s="110" t="s">
        <v>42</v>
      </c>
      <c r="J62" s="110" t="s">
        <v>42</v>
      </c>
      <c r="K62" s="110" t="s">
        <v>42</v>
      </c>
      <c r="L62" s="110" t="s">
        <v>42</v>
      </c>
      <c r="M62" s="110" t="s">
        <v>42</v>
      </c>
      <c r="N62" s="110" t="s">
        <v>42</v>
      </c>
      <c r="O62" s="99" t="s">
        <v>33</v>
      </c>
      <c r="P62" s="99" t="s">
        <v>33</v>
      </c>
      <c r="Q62" s="98" t="s">
        <v>33</v>
      </c>
      <c r="R62" s="98" t="s">
        <v>33</v>
      </c>
      <c r="S62" s="98" t="s">
        <v>33</v>
      </c>
      <c r="T62" s="98" t="s">
        <v>33</v>
      </c>
      <c r="U62" s="98" t="s">
        <v>33</v>
      </c>
      <c r="V62" s="98" t="s">
        <v>33</v>
      </c>
      <c r="W62" s="99" t="s">
        <v>33</v>
      </c>
      <c r="X62" s="99" t="s">
        <v>33</v>
      </c>
      <c r="Y62" s="108" t="s">
        <v>41</v>
      </c>
      <c r="Z62" s="108" t="s">
        <v>41</v>
      </c>
      <c r="AA62" s="108" t="s">
        <v>41</v>
      </c>
      <c r="AB62" s="108" t="s">
        <v>41</v>
      </c>
      <c r="AC62" s="108" t="s">
        <v>41</v>
      </c>
      <c r="AD62" s="108" t="s">
        <v>41</v>
      </c>
      <c r="AE62" s="99" t="s">
        <v>33</v>
      </c>
      <c r="AF62" s="99" t="s">
        <v>33</v>
      </c>
      <c r="AG62" s="101">
        <f t="shared" si="3"/>
        <v>0</v>
      </c>
      <c r="AH62" s="101"/>
      <c r="AI62" s="101"/>
      <c r="AJ62" s="101"/>
      <c r="AK62" s="102" t="s">
        <v>51</v>
      </c>
    </row>
    <row r="63" spans="1:37">
      <c r="A63" s="95">
        <v>45061</v>
      </c>
      <c r="B63" s="98">
        <v>1600</v>
      </c>
      <c r="C63" s="98"/>
      <c r="D63" s="96">
        <f>(SUM(粮草!A63:X63)+AG63*10)*IF(AK63="是",$AY$4,$AY$3)</f>
        <v>1776</v>
      </c>
      <c r="E63" s="96">
        <f>SUM($B$4:B63)+SUM($C$4:C63)-SUM($D$4:D63)</f>
        <v>70</v>
      </c>
      <c r="F63" s="96">
        <f>SUM(经验!A63:X63)</f>
        <v>630</v>
      </c>
      <c r="G63" s="96">
        <f>SUM($F$4:F63)+SUM($H$4:H63)</f>
        <v>41685</v>
      </c>
      <c r="H63" s="98">
        <v>300</v>
      </c>
      <c r="I63" s="110" t="s">
        <v>42</v>
      </c>
      <c r="J63" s="110" t="s">
        <v>42</v>
      </c>
      <c r="K63" s="110" t="s">
        <v>42</v>
      </c>
      <c r="L63" s="110" t="s">
        <v>42</v>
      </c>
      <c r="M63" s="110" t="s">
        <v>42</v>
      </c>
      <c r="N63" s="110" t="s">
        <v>42</v>
      </c>
      <c r="O63" s="99" t="s">
        <v>33</v>
      </c>
      <c r="P63" s="99" t="s">
        <v>33</v>
      </c>
      <c r="Q63" s="98" t="s">
        <v>33</v>
      </c>
      <c r="R63" s="98" t="s">
        <v>33</v>
      </c>
      <c r="S63" s="98" t="s">
        <v>33</v>
      </c>
      <c r="T63" s="98" t="s">
        <v>33</v>
      </c>
      <c r="U63" s="98" t="s">
        <v>33</v>
      </c>
      <c r="V63" s="98" t="s">
        <v>33</v>
      </c>
      <c r="W63" s="99" t="s">
        <v>33</v>
      </c>
      <c r="X63" s="99" t="s">
        <v>33</v>
      </c>
      <c r="Y63" s="108" t="s">
        <v>41</v>
      </c>
      <c r="Z63" s="108" t="s">
        <v>41</v>
      </c>
      <c r="AA63" s="108" t="s">
        <v>41</v>
      </c>
      <c r="AB63" s="108" t="s">
        <v>41</v>
      </c>
      <c r="AC63" s="108" t="s">
        <v>41</v>
      </c>
      <c r="AD63" s="108" t="s">
        <v>41</v>
      </c>
      <c r="AE63" s="99" t="s">
        <v>33</v>
      </c>
      <c r="AF63" s="99" t="s">
        <v>33</v>
      </c>
      <c r="AG63" s="101">
        <f t="shared" si="3"/>
        <v>0</v>
      </c>
      <c r="AH63" s="101"/>
      <c r="AI63" s="101"/>
      <c r="AJ63" s="101"/>
      <c r="AK63" s="102" t="s">
        <v>51</v>
      </c>
    </row>
    <row r="64" spans="1:37">
      <c r="A64" s="95">
        <v>45062</v>
      </c>
      <c r="B64" s="98">
        <v>1600</v>
      </c>
      <c r="C64" s="98"/>
      <c r="D64" s="96">
        <f>(SUM(粮草!A64:X64)+AG64*10)*IF(AK64="是",$AY$4,$AY$3)</f>
        <v>1664</v>
      </c>
      <c r="E64" s="96">
        <f>SUM($B$4:B64)+SUM($C$4:C64)-SUM($D$4:D64)</f>
        <v>6</v>
      </c>
      <c r="F64" s="96">
        <f>SUM(经验!A64:X64)</f>
        <v>605</v>
      </c>
      <c r="G64" s="96">
        <f>SUM($F$4:F64)+SUM($H$4:H64)</f>
        <v>42290</v>
      </c>
      <c r="H64" s="98">
        <v>0</v>
      </c>
      <c r="I64" s="110" t="s">
        <v>42</v>
      </c>
      <c r="J64" s="110" t="s">
        <v>42</v>
      </c>
      <c r="K64" s="110" t="s">
        <v>42</v>
      </c>
      <c r="L64" s="110" t="s">
        <v>42</v>
      </c>
      <c r="M64" s="100" t="s">
        <v>38</v>
      </c>
      <c r="N64" s="110" t="s">
        <v>42</v>
      </c>
      <c r="O64" s="99" t="s">
        <v>33</v>
      </c>
      <c r="P64" s="99" t="s">
        <v>33</v>
      </c>
      <c r="Q64" s="98" t="s">
        <v>33</v>
      </c>
      <c r="R64" s="98" t="s">
        <v>33</v>
      </c>
      <c r="S64" s="98" t="s">
        <v>33</v>
      </c>
      <c r="T64" s="98" t="s">
        <v>33</v>
      </c>
      <c r="U64" s="98" t="s">
        <v>33</v>
      </c>
      <c r="V64" s="98" t="s">
        <v>33</v>
      </c>
      <c r="W64" s="99" t="s">
        <v>33</v>
      </c>
      <c r="X64" s="99" t="s">
        <v>33</v>
      </c>
      <c r="Y64" s="108" t="s">
        <v>41</v>
      </c>
      <c r="Z64" s="108" t="s">
        <v>41</v>
      </c>
      <c r="AA64" s="108" t="s">
        <v>41</v>
      </c>
      <c r="AB64" s="108" t="s">
        <v>41</v>
      </c>
      <c r="AC64" s="108" t="s">
        <v>41</v>
      </c>
      <c r="AD64" s="108" t="s">
        <v>41</v>
      </c>
      <c r="AE64" s="99" t="s">
        <v>33</v>
      </c>
      <c r="AF64" s="99" t="s">
        <v>33</v>
      </c>
      <c r="AG64" s="101">
        <f t="shared" si="3"/>
        <v>0</v>
      </c>
      <c r="AH64" s="101"/>
      <c r="AI64" s="101"/>
      <c r="AJ64" s="101"/>
      <c r="AK64" s="102" t="s">
        <v>51</v>
      </c>
    </row>
    <row r="65" spans="1:37">
      <c r="A65" s="95">
        <v>45063</v>
      </c>
      <c r="B65" s="98">
        <v>1600</v>
      </c>
      <c r="C65" s="98"/>
      <c r="D65" s="96">
        <f>(SUM(粮草!A65:X65)+AG65*10)*IF(AK65="是",$AY$4,$AY$3)</f>
        <v>1576</v>
      </c>
      <c r="E65" s="96">
        <f>SUM($B$4:B65)+SUM($C$4:C65)-SUM($D$4:D65)</f>
        <v>30</v>
      </c>
      <c r="F65" s="96">
        <f>SUM(经验!A65:X65)</f>
        <v>590</v>
      </c>
      <c r="G65" s="96">
        <f>SUM($F$4:F65)+SUM($H$4:H65)</f>
        <v>43080</v>
      </c>
      <c r="H65" s="98">
        <v>200</v>
      </c>
      <c r="I65" s="111" t="s">
        <v>43</v>
      </c>
      <c r="J65" s="111" t="s">
        <v>43</v>
      </c>
      <c r="K65" s="111" t="s">
        <v>43</v>
      </c>
      <c r="L65" s="111" t="s">
        <v>43</v>
      </c>
      <c r="M65" s="111" t="s">
        <v>43</v>
      </c>
      <c r="N65" s="111" t="s">
        <v>43</v>
      </c>
      <c r="O65" s="99" t="s">
        <v>33</v>
      </c>
      <c r="P65" s="99" t="s">
        <v>33</v>
      </c>
      <c r="Q65" s="98" t="s">
        <v>33</v>
      </c>
      <c r="R65" s="98" t="s">
        <v>33</v>
      </c>
      <c r="S65" s="98" t="s">
        <v>33</v>
      </c>
      <c r="T65" s="98" t="s">
        <v>33</v>
      </c>
      <c r="U65" s="98" t="s">
        <v>33</v>
      </c>
      <c r="V65" s="98" t="s">
        <v>33</v>
      </c>
      <c r="W65" s="99" t="s">
        <v>33</v>
      </c>
      <c r="X65" s="99" t="s">
        <v>33</v>
      </c>
      <c r="Y65" s="108" t="s">
        <v>41</v>
      </c>
      <c r="Z65" s="108" t="s">
        <v>41</v>
      </c>
      <c r="AA65" s="108" t="s">
        <v>41</v>
      </c>
      <c r="AB65" s="100" t="s">
        <v>38</v>
      </c>
      <c r="AC65" s="108" t="s">
        <v>41</v>
      </c>
      <c r="AD65" s="98" t="s">
        <v>33</v>
      </c>
      <c r="AE65" s="99" t="s">
        <v>33</v>
      </c>
      <c r="AF65" s="99" t="s">
        <v>33</v>
      </c>
      <c r="AG65" s="101">
        <f t="shared" si="3"/>
        <v>0</v>
      </c>
      <c r="AH65" s="101"/>
      <c r="AI65" s="101"/>
      <c r="AJ65" s="101"/>
      <c r="AK65" s="102" t="s">
        <v>51</v>
      </c>
    </row>
    <row r="66" spans="1:37">
      <c r="A66" s="95">
        <v>45064</v>
      </c>
      <c r="B66" s="98">
        <v>1600</v>
      </c>
      <c r="C66" s="98"/>
      <c r="D66" s="96">
        <f>(SUM(粮草!A66:X66)+AG66*10)*IF(AK66="是",$AY$4,$AY$3)</f>
        <v>1504</v>
      </c>
      <c r="E66" s="96">
        <f>SUM($B$4:B66)+SUM($C$4:C66)-SUM($D$4:D66)</f>
        <v>126</v>
      </c>
      <c r="F66" s="96">
        <f>SUM(经验!A66:X66)</f>
        <v>540</v>
      </c>
      <c r="G66" s="96">
        <f>SUM($F$4:F66)+SUM($H$4:H66)</f>
        <v>43620</v>
      </c>
      <c r="H66" s="98">
        <v>0</v>
      </c>
      <c r="I66" s="111" t="s">
        <v>43</v>
      </c>
      <c r="J66" s="111" t="s">
        <v>43</v>
      </c>
      <c r="K66" s="111" t="s">
        <v>43</v>
      </c>
      <c r="L66" s="111" t="s">
        <v>43</v>
      </c>
      <c r="M66" s="98" t="s">
        <v>33</v>
      </c>
      <c r="N66" s="98" t="s">
        <v>33</v>
      </c>
      <c r="O66" s="99" t="s">
        <v>33</v>
      </c>
      <c r="P66" s="99" t="s">
        <v>33</v>
      </c>
      <c r="Q66" s="98" t="s">
        <v>33</v>
      </c>
      <c r="R66" s="98" t="s">
        <v>33</v>
      </c>
      <c r="S66" s="98" t="s">
        <v>33</v>
      </c>
      <c r="T66" s="98" t="s">
        <v>33</v>
      </c>
      <c r="U66" s="98" t="s">
        <v>33</v>
      </c>
      <c r="V66" s="98" t="s">
        <v>33</v>
      </c>
      <c r="W66" s="99" t="s">
        <v>33</v>
      </c>
      <c r="X66" s="99" t="s">
        <v>33</v>
      </c>
      <c r="Y66" s="108" t="s">
        <v>41</v>
      </c>
      <c r="Z66" s="108" t="s">
        <v>41</v>
      </c>
      <c r="AA66" s="108" t="s">
        <v>41</v>
      </c>
      <c r="AB66" s="108" t="s">
        <v>41</v>
      </c>
      <c r="AC66" s="108" t="s">
        <v>41</v>
      </c>
      <c r="AD66" s="108" t="s">
        <v>41</v>
      </c>
      <c r="AE66" s="99" t="s">
        <v>33</v>
      </c>
      <c r="AF66" s="99" t="s">
        <v>33</v>
      </c>
      <c r="AG66" s="101">
        <f t="shared" si="3"/>
        <v>0</v>
      </c>
      <c r="AH66" s="101"/>
      <c r="AI66" s="101"/>
      <c r="AJ66" s="101"/>
      <c r="AK66" s="102" t="s">
        <v>51</v>
      </c>
    </row>
    <row r="67" spans="1:37">
      <c r="A67" s="95">
        <v>45065</v>
      </c>
      <c r="B67" s="98">
        <v>1600</v>
      </c>
      <c r="C67" s="98"/>
      <c r="D67" s="96">
        <f>(SUM(粮草!A67:X67)+AG67*10)*IF(AK67="是",$AY$4,$AY$3)</f>
        <v>1640</v>
      </c>
      <c r="E67" s="96">
        <f>SUM($B$4:B67)+SUM($C$4:C67)-SUM($D$4:D67)</f>
        <v>86</v>
      </c>
      <c r="F67" s="96">
        <f>SUM(经验!A67:X67)</f>
        <v>600</v>
      </c>
      <c r="G67" s="96">
        <f>SUM($F$4:F67)+SUM($H$4:H67)</f>
        <v>44220</v>
      </c>
      <c r="H67" s="98">
        <v>0</v>
      </c>
      <c r="I67" s="111" t="s">
        <v>43</v>
      </c>
      <c r="J67" s="111" t="s">
        <v>43</v>
      </c>
      <c r="K67" s="111" t="s">
        <v>43</v>
      </c>
      <c r="L67" s="111" t="s">
        <v>43</v>
      </c>
      <c r="M67" s="111" t="s">
        <v>43</v>
      </c>
      <c r="N67" s="98" t="s">
        <v>33</v>
      </c>
      <c r="O67" s="99" t="s">
        <v>33</v>
      </c>
      <c r="P67" s="99" t="s">
        <v>33</v>
      </c>
      <c r="Q67" s="98" t="s">
        <v>33</v>
      </c>
      <c r="R67" s="98" t="s">
        <v>33</v>
      </c>
      <c r="S67" s="98" t="s">
        <v>33</v>
      </c>
      <c r="T67" s="98" t="s">
        <v>33</v>
      </c>
      <c r="U67" s="98" t="s">
        <v>33</v>
      </c>
      <c r="V67" s="98" t="s">
        <v>33</v>
      </c>
      <c r="W67" s="99" t="s">
        <v>33</v>
      </c>
      <c r="X67" s="99" t="s">
        <v>33</v>
      </c>
      <c r="Y67" s="114" t="s">
        <v>47</v>
      </c>
      <c r="Z67" s="108" t="s">
        <v>41</v>
      </c>
      <c r="AA67" s="108" t="s">
        <v>41</v>
      </c>
      <c r="AB67" s="108" t="s">
        <v>41</v>
      </c>
      <c r="AC67" s="108" t="s">
        <v>41</v>
      </c>
      <c r="AD67" s="108" t="s">
        <v>41</v>
      </c>
      <c r="AE67" s="99" t="s">
        <v>33</v>
      </c>
      <c r="AF67" s="99" t="s">
        <v>33</v>
      </c>
      <c r="AG67" s="101">
        <f t="shared" si="3"/>
        <v>0</v>
      </c>
      <c r="AH67" s="101"/>
      <c r="AI67" s="101"/>
      <c r="AJ67" s="101"/>
      <c r="AK67" s="102" t="s">
        <v>51</v>
      </c>
    </row>
    <row r="68" spans="1:37">
      <c r="A68" s="95">
        <v>45066</v>
      </c>
      <c r="B68" s="98">
        <v>1600</v>
      </c>
      <c r="C68" s="98"/>
      <c r="D68" s="96">
        <f>(SUM(粮草!A68:X68)+AG68*10)*IF(AK68="是",$AY$4,$AY$3)</f>
        <v>1344</v>
      </c>
      <c r="E68" s="96">
        <f>SUM($B$4:B68)+SUM($C$4:C68)-SUM($D$4:D68)</f>
        <v>342</v>
      </c>
      <c r="F68" s="96">
        <f>SUM(经验!A68:X68)</f>
        <v>540</v>
      </c>
      <c r="G68" s="96">
        <f>SUM($F$4:F68)+SUM($H$4:H68)</f>
        <v>44760</v>
      </c>
      <c r="H68" s="98">
        <v>0</v>
      </c>
      <c r="I68" s="111" t="s">
        <v>43</v>
      </c>
      <c r="J68" s="111" t="s">
        <v>43</v>
      </c>
      <c r="K68" s="103" t="s">
        <v>58</v>
      </c>
      <c r="L68" s="111" t="s">
        <v>43</v>
      </c>
      <c r="M68" s="111" t="s">
        <v>43</v>
      </c>
      <c r="N68" s="98" t="s">
        <v>33</v>
      </c>
      <c r="O68" s="99" t="s">
        <v>33</v>
      </c>
      <c r="P68" s="99" t="s">
        <v>33</v>
      </c>
      <c r="Q68" s="98" t="s">
        <v>33</v>
      </c>
      <c r="R68" s="98" t="s">
        <v>33</v>
      </c>
      <c r="S68" s="98" t="s">
        <v>33</v>
      </c>
      <c r="T68" s="98" t="s">
        <v>33</v>
      </c>
      <c r="U68" s="98" t="s">
        <v>33</v>
      </c>
      <c r="V68" s="98" t="s">
        <v>33</v>
      </c>
      <c r="W68" s="99" t="s">
        <v>33</v>
      </c>
      <c r="X68" s="99" t="s">
        <v>33</v>
      </c>
      <c r="Y68" s="108" t="s">
        <v>41</v>
      </c>
      <c r="Z68" s="108" t="s">
        <v>41</v>
      </c>
      <c r="AA68" s="108" t="s">
        <v>41</v>
      </c>
      <c r="AB68" s="108" t="s">
        <v>41</v>
      </c>
      <c r="AC68" s="108" t="s">
        <v>41</v>
      </c>
      <c r="AD68" s="108" t="s">
        <v>41</v>
      </c>
      <c r="AE68" s="99" t="s">
        <v>33</v>
      </c>
      <c r="AF68" s="99" t="s">
        <v>33</v>
      </c>
      <c r="AG68" s="101">
        <f t="shared" si="3"/>
        <v>0</v>
      </c>
      <c r="AH68" s="101"/>
      <c r="AI68" s="101"/>
      <c r="AJ68" s="101"/>
      <c r="AK68" s="102" t="s">
        <v>51</v>
      </c>
    </row>
    <row r="69" spans="1:37">
      <c r="A69" s="95">
        <v>45067</v>
      </c>
      <c r="B69" s="98">
        <v>1600</v>
      </c>
      <c r="C69" s="98"/>
      <c r="D69" s="96">
        <f>(SUM(粮草!A69:X69)+AG69*10)*IF(AK69="是",$AY$4,$AY$3)</f>
        <v>1824</v>
      </c>
      <c r="E69" s="96">
        <f>SUM($B$4:B69)+SUM($C$4:C69)-SUM($D$4:D69)</f>
        <v>118</v>
      </c>
      <c r="F69" s="96">
        <f>SUM(经验!A69:X69)</f>
        <v>660</v>
      </c>
      <c r="G69" s="96">
        <f>SUM($F$4:F69)+SUM($H$4:H69)</f>
        <v>45420</v>
      </c>
      <c r="H69" s="98">
        <v>0</v>
      </c>
      <c r="I69" s="111" t="s">
        <v>43</v>
      </c>
      <c r="J69" s="111" t="s">
        <v>43</v>
      </c>
      <c r="K69" s="111" t="s">
        <v>43</v>
      </c>
      <c r="L69" s="111" t="s">
        <v>43</v>
      </c>
      <c r="M69" s="111" t="s">
        <v>43</v>
      </c>
      <c r="N69" s="111" t="s">
        <v>43</v>
      </c>
      <c r="O69" s="99" t="s">
        <v>33</v>
      </c>
      <c r="P69" s="99" t="s">
        <v>33</v>
      </c>
      <c r="Q69" s="98" t="s">
        <v>33</v>
      </c>
      <c r="R69" s="98" t="s">
        <v>33</v>
      </c>
      <c r="S69" s="98" t="s">
        <v>33</v>
      </c>
      <c r="T69" s="98" t="s">
        <v>33</v>
      </c>
      <c r="U69" s="98" t="s">
        <v>33</v>
      </c>
      <c r="V69" s="98" t="s">
        <v>33</v>
      </c>
      <c r="W69" s="99" t="s">
        <v>33</v>
      </c>
      <c r="X69" s="99" t="s">
        <v>33</v>
      </c>
      <c r="Y69" s="108" t="s">
        <v>41</v>
      </c>
      <c r="Z69" s="108" t="s">
        <v>41</v>
      </c>
      <c r="AA69" s="108" t="s">
        <v>41</v>
      </c>
      <c r="AB69" s="108" t="s">
        <v>41</v>
      </c>
      <c r="AC69" s="108" t="s">
        <v>41</v>
      </c>
      <c r="AD69" s="108" t="s">
        <v>41</v>
      </c>
      <c r="AE69" s="99" t="s">
        <v>33</v>
      </c>
      <c r="AF69" s="99" t="s">
        <v>33</v>
      </c>
      <c r="AG69" s="101">
        <f t="shared" ref="AG69:AG94" si="13">AH69+AI69+AJ69</f>
        <v>0</v>
      </c>
      <c r="AH69" s="101"/>
      <c r="AI69" s="101"/>
      <c r="AJ69" s="101"/>
      <c r="AK69" s="102" t="s">
        <v>51</v>
      </c>
    </row>
    <row r="70" spans="1:37">
      <c r="A70" s="95">
        <v>45068</v>
      </c>
      <c r="B70" s="96">
        <v>1600</v>
      </c>
      <c r="C70" s="96"/>
      <c r="D70" s="96">
        <f>(SUM(粮草!A70:X70)+AG70*10)*IF(AK70="是",$AY$4,$AY$3)</f>
        <v>1680</v>
      </c>
      <c r="E70" s="96">
        <f>SUM($B$4:B70)+SUM($C$4:C70)-SUM($D$4:D70)</f>
        <v>38</v>
      </c>
      <c r="F70" s="96">
        <f>SUM(经验!A70:X70)</f>
        <v>610</v>
      </c>
      <c r="G70" s="96">
        <f>SUM($F$4:F70)+SUM($H$4:H70)</f>
        <v>46330</v>
      </c>
      <c r="H70" s="96">
        <v>300</v>
      </c>
      <c r="I70" s="111" t="s">
        <v>43</v>
      </c>
      <c r="J70" s="111" t="s">
        <v>43</v>
      </c>
      <c r="K70" s="111" t="s">
        <v>43</v>
      </c>
      <c r="L70" s="111" t="s">
        <v>43</v>
      </c>
      <c r="M70" s="111" t="s">
        <v>43</v>
      </c>
      <c r="N70" s="111" t="s">
        <v>43</v>
      </c>
      <c r="O70" s="99" t="s">
        <v>33</v>
      </c>
      <c r="P70" s="99" t="s">
        <v>33</v>
      </c>
      <c r="Q70" s="98" t="s">
        <v>33</v>
      </c>
      <c r="R70" s="98" t="s">
        <v>33</v>
      </c>
      <c r="S70" s="98" t="s">
        <v>33</v>
      </c>
      <c r="T70" s="98" t="s">
        <v>33</v>
      </c>
      <c r="U70" s="98" t="s">
        <v>33</v>
      </c>
      <c r="V70" s="98" t="s">
        <v>33</v>
      </c>
      <c r="W70" s="99" t="s">
        <v>33</v>
      </c>
      <c r="X70" s="99" t="s">
        <v>33</v>
      </c>
      <c r="Y70" s="108" t="s">
        <v>41</v>
      </c>
      <c r="Z70" s="108" t="s">
        <v>41</v>
      </c>
      <c r="AA70" s="108" t="s">
        <v>41</v>
      </c>
      <c r="AB70" s="108" t="s">
        <v>41</v>
      </c>
      <c r="AC70" s="108" t="s">
        <v>41</v>
      </c>
      <c r="AD70" s="98" t="s">
        <v>33</v>
      </c>
      <c r="AE70" s="99" t="s">
        <v>33</v>
      </c>
      <c r="AF70" s="99" t="s">
        <v>33</v>
      </c>
      <c r="AG70" s="101">
        <f t="shared" si="13"/>
        <v>0</v>
      </c>
      <c r="AH70" s="101"/>
      <c r="AI70" s="101"/>
      <c r="AJ70" s="101"/>
      <c r="AK70" s="102" t="s">
        <v>51</v>
      </c>
    </row>
    <row r="71" spans="1:37">
      <c r="A71" s="95">
        <v>45069</v>
      </c>
      <c r="B71" s="96">
        <v>1600</v>
      </c>
      <c r="C71" s="96"/>
      <c r="D71" s="96">
        <f>(SUM(粮草!A71:X71)+AG71*10)*IF(AK71="是",$AY$4,$AY$3)</f>
        <v>1520</v>
      </c>
      <c r="E71" s="96">
        <f>SUM($B$4:B71)+SUM($C$4:C71)-SUM($D$4:D71)</f>
        <v>118</v>
      </c>
      <c r="F71" s="96">
        <f>SUM(经验!A71:X71)</f>
        <v>550</v>
      </c>
      <c r="G71" s="96">
        <f>SUM($F$4:F71)+SUM($H$4:H71)</f>
        <v>46880</v>
      </c>
      <c r="H71" s="96">
        <v>0</v>
      </c>
      <c r="I71" s="111" t="s">
        <v>43</v>
      </c>
      <c r="J71" s="111" t="s">
        <v>43</v>
      </c>
      <c r="K71" s="111" t="s">
        <v>43</v>
      </c>
      <c r="L71" s="111" t="s">
        <v>43</v>
      </c>
      <c r="M71" s="111" t="s">
        <v>43</v>
      </c>
      <c r="N71" s="98" t="s">
        <v>33</v>
      </c>
      <c r="O71" s="99" t="s">
        <v>33</v>
      </c>
      <c r="P71" s="99" t="s">
        <v>33</v>
      </c>
      <c r="Q71" s="98" t="s">
        <v>33</v>
      </c>
      <c r="R71" s="98" t="s">
        <v>33</v>
      </c>
      <c r="S71" s="98" t="s">
        <v>33</v>
      </c>
      <c r="T71" s="98" t="s">
        <v>33</v>
      </c>
      <c r="U71" s="98" t="s">
        <v>33</v>
      </c>
      <c r="V71" s="98" t="s">
        <v>33</v>
      </c>
      <c r="W71" s="99" t="s">
        <v>33</v>
      </c>
      <c r="X71" s="99" t="s">
        <v>33</v>
      </c>
      <c r="Y71" s="108" t="s">
        <v>41</v>
      </c>
      <c r="Z71" s="108" t="s">
        <v>41</v>
      </c>
      <c r="AA71" s="108" t="s">
        <v>41</v>
      </c>
      <c r="AB71" s="108" t="s">
        <v>41</v>
      </c>
      <c r="AC71" s="108" t="s">
        <v>41</v>
      </c>
      <c r="AD71" s="98" t="s">
        <v>33</v>
      </c>
      <c r="AE71" s="99" t="s">
        <v>33</v>
      </c>
      <c r="AF71" s="99" t="s">
        <v>33</v>
      </c>
      <c r="AG71" s="101">
        <f t="shared" si="13"/>
        <v>0</v>
      </c>
      <c r="AH71" s="101"/>
      <c r="AI71" s="101"/>
      <c r="AJ71" s="101"/>
      <c r="AK71" s="102" t="s">
        <v>51</v>
      </c>
    </row>
    <row r="72" spans="1:37">
      <c r="A72" s="95">
        <v>45070</v>
      </c>
      <c r="B72" s="96">
        <v>1600</v>
      </c>
      <c r="C72" s="96"/>
      <c r="D72" s="96">
        <f>(SUM(粮草!A72:X72)+AG72*10)*IF(AK72="是",$AY$4,$AY$3)</f>
        <v>1504</v>
      </c>
      <c r="E72" s="96">
        <f>SUM($B$4:B72)+SUM($C$4:C72)-SUM($D$4:D72)</f>
        <v>214</v>
      </c>
      <c r="F72" s="96">
        <f>SUM(经验!A72:X72)</f>
        <v>540</v>
      </c>
      <c r="G72" s="96">
        <f>SUM($F$4:F72)+SUM($H$4:H72)</f>
        <v>47620</v>
      </c>
      <c r="H72" s="96">
        <v>200</v>
      </c>
      <c r="I72" s="111" t="s">
        <v>43</v>
      </c>
      <c r="J72" s="111" t="s">
        <v>43</v>
      </c>
      <c r="K72" s="111" t="s">
        <v>43</v>
      </c>
      <c r="L72" s="111" t="s">
        <v>43</v>
      </c>
      <c r="M72" s="98" t="s">
        <v>33</v>
      </c>
      <c r="N72" s="98" t="s">
        <v>33</v>
      </c>
      <c r="O72" s="99" t="s">
        <v>33</v>
      </c>
      <c r="P72" s="99" t="s">
        <v>33</v>
      </c>
      <c r="Q72" s="98" t="s">
        <v>33</v>
      </c>
      <c r="R72" s="98" t="s">
        <v>33</v>
      </c>
      <c r="S72" s="98" t="s">
        <v>33</v>
      </c>
      <c r="T72" s="98" t="s">
        <v>33</v>
      </c>
      <c r="U72" s="98" t="s">
        <v>33</v>
      </c>
      <c r="V72" s="98" t="s">
        <v>33</v>
      </c>
      <c r="W72" s="99" t="s">
        <v>33</v>
      </c>
      <c r="X72" s="99" t="s">
        <v>33</v>
      </c>
      <c r="Y72" s="108" t="s">
        <v>41</v>
      </c>
      <c r="Z72" s="108" t="s">
        <v>41</v>
      </c>
      <c r="AA72" s="108" t="s">
        <v>41</v>
      </c>
      <c r="AB72" s="108" t="s">
        <v>41</v>
      </c>
      <c r="AC72" s="108" t="s">
        <v>41</v>
      </c>
      <c r="AD72" s="108" t="s">
        <v>41</v>
      </c>
      <c r="AE72" s="99" t="s">
        <v>33</v>
      </c>
      <c r="AF72" s="99" t="s">
        <v>33</v>
      </c>
      <c r="AG72" s="101">
        <f t="shared" si="13"/>
        <v>0</v>
      </c>
      <c r="AH72" s="101"/>
      <c r="AI72" s="101"/>
      <c r="AJ72" s="101"/>
      <c r="AK72" s="102" t="s">
        <v>51</v>
      </c>
    </row>
    <row r="73" spans="1:37">
      <c r="A73" s="95">
        <v>45071</v>
      </c>
      <c r="B73" s="96">
        <v>1600</v>
      </c>
      <c r="C73" s="96"/>
      <c r="D73" s="96">
        <f>(SUM(粮草!A73:X73)+AG73*10)*IF(AK73="是",$AY$4,$AY$3)</f>
        <v>1720</v>
      </c>
      <c r="E73" s="96">
        <f>SUM($B$4:B73)+SUM($C$4:C73)-SUM($D$4:D73)</f>
        <v>94</v>
      </c>
      <c r="F73" s="96">
        <f>SUM(经验!A73:X73)</f>
        <v>1550</v>
      </c>
      <c r="G73" s="96">
        <f>SUM($F$4:F73)+SUM($H$4:H73)</f>
        <v>49170</v>
      </c>
      <c r="H73" s="96">
        <v>0</v>
      </c>
      <c r="I73" s="111" t="s">
        <v>43</v>
      </c>
      <c r="J73" s="111" t="s">
        <v>43</v>
      </c>
      <c r="K73" s="111" t="s">
        <v>43</v>
      </c>
      <c r="L73" s="111" t="s">
        <v>43</v>
      </c>
      <c r="M73" s="111" t="s">
        <v>43</v>
      </c>
      <c r="N73" s="113" t="s">
        <v>53</v>
      </c>
      <c r="O73" s="99" t="s">
        <v>33</v>
      </c>
      <c r="P73" s="99" t="s">
        <v>33</v>
      </c>
      <c r="Q73" s="98" t="s">
        <v>33</v>
      </c>
      <c r="R73" s="98" t="s">
        <v>33</v>
      </c>
      <c r="S73" s="98" t="s">
        <v>33</v>
      </c>
      <c r="T73" s="98" t="s">
        <v>33</v>
      </c>
      <c r="U73" s="98" t="s">
        <v>33</v>
      </c>
      <c r="V73" s="98" t="s">
        <v>33</v>
      </c>
      <c r="W73" s="99" t="s">
        <v>33</v>
      </c>
      <c r="X73" s="99" t="s">
        <v>33</v>
      </c>
      <c r="Y73" s="108" t="s">
        <v>41</v>
      </c>
      <c r="Z73" s="108" t="s">
        <v>41</v>
      </c>
      <c r="AA73" s="108" t="s">
        <v>41</v>
      </c>
      <c r="AB73" s="108" t="s">
        <v>41</v>
      </c>
      <c r="AC73" s="108" t="s">
        <v>41</v>
      </c>
      <c r="AD73" s="98" t="s">
        <v>33</v>
      </c>
      <c r="AE73" s="99" t="s">
        <v>33</v>
      </c>
      <c r="AF73" s="99" t="s">
        <v>33</v>
      </c>
      <c r="AG73" s="101">
        <f t="shared" si="13"/>
        <v>0</v>
      </c>
      <c r="AH73" s="101"/>
      <c r="AI73" s="101"/>
      <c r="AJ73" s="101"/>
      <c r="AK73" s="102" t="s">
        <v>51</v>
      </c>
    </row>
    <row r="74" spans="1:37">
      <c r="A74" s="95">
        <v>45072</v>
      </c>
      <c r="B74" s="96">
        <v>1600</v>
      </c>
      <c r="C74" s="96"/>
      <c r="D74" s="96">
        <f>(SUM(粮草!A74:X74)+AG74*10)*IF(AK74="是",$AY$4,$AY$3)</f>
        <v>1680</v>
      </c>
      <c r="E74" s="96">
        <f>SUM($B$4:B74)+SUM($C$4:C74)-SUM($D$4:D74)</f>
        <v>14</v>
      </c>
      <c r="F74" s="96">
        <f>SUM(经验!A74:X74)</f>
        <v>610</v>
      </c>
      <c r="G74" s="96">
        <f>SUM($F$4:F74)+SUM($H$4:H74)</f>
        <v>49780</v>
      </c>
      <c r="H74" s="96">
        <v>0</v>
      </c>
      <c r="I74" s="111" t="s">
        <v>43</v>
      </c>
      <c r="J74" s="111" t="s">
        <v>43</v>
      </c>
      <c r="K74" s="111" t="s">
        <v>43</v>
      </c>
      <c r="L74" s="111" t="s">
        <v>43</v>
      </c>
      <c r="M74" s="111" t="s">
        <v>43</v>
      </c>
      <c r="N74" s="111" t="s">
        <v>43</v>
      </c>
      <c r="O74" s="99" t="s">
        <v>33</v>
      </c>
      <c r="P74" s="99" t="s">
        <v>33</v>
      </c>
      <c r="Q74" s="98" t="s">
        <v>33</v>
      </c>
      <c r="R74" s="98" t="s">
        <v>33</v>
      </c>
      <c r="S74" s="98" t="s">
        <v>33</v>
      </c>
      <c r="T74" s="98" t="s">
        <v>33</v>
      </c>
      <c r="U74" s="98" t="s">
        <v>33</v>
      </c>
      <c r="V74" s="98" t="s">
        <v>33</v>
      </c>
      <c r="W74" s="99" t="s">
        <v>33</v>
      </c>
      <c r="X74" s="99" t="s">
        <v>33</v>
      </c>
      <c r="Y74" s="108" t="s">
        <v>41</v>
      </c>
      <c r="Z74" s="108" t="s">
        <v>41</v>
      </c>
      <c r="AA74" s="108" t="s">
        <v>41</v>
      </c>
      <c r="AB74" s="108" t="s">
        <v>41</v>
      </c>
      <c r="AC74" s="108" t="s">
        <v>41</v>
      </c>
      <c r="AD74" s="98" t="s">
        <v>33</v>
      </c>
      <c r="AE74" s="99" t="s">
        <v>33</v>
      </c>
      <c r="AF74" s="99" t="s">
        <v>33</v>
      </c>
      <c r="AG74" s="101">
        <f t="shared" si="13"/>
        <v>0</v>
      </c>
      <c r="AH74" s="101"/>
      <c r="AI74" s="101"/>
      <c r="AJ74" s="101"/>
      <c r="AK74" s="102" t="s">
        <v>51</v>
      </c>
    </row>
    <row r="75" spans="1:37">
      <c r="A75" s="95">
        <v>45073</v>
      </c>
      <c r="B75" s="96">
        <v>1600</v>
      </c>
      <c r="C75" s="96"/>
      <c r="D75" s="96">
        <f>(SUM(粮草!A75:X75)+AG75*10)*IF(AK75="是",$AY$4,$AY$3)</f>
        <v>1536</v>
      </c>
      <c r="E75" s="96">
        <f>SUM($B$4:B75)+SUM($C$4:C75)-SUM($D$4:D75)</f>
        <v>78</v>
      </c>
      <c r="F75" s="96">
        <f>SUM(经验!A75:X75)</f>
        <v>560</v>
      </c>
      <c r="G75" s="96">
        <f>SUM($F$4:F75)+SUM($H$4:H75)</f>
        <v>50340</v>
      </c>
      <c r="H75" s="96">
        <v>0</v>
      </c>
      <c r="I75" s="111" t="s">
        <v>43</v>
      </c>
      <c r="J75" s="111" t="s">
        <v>43</v>
      </c>
      <c r="K75" s="111" t="s">
        <v>43</v>
      </c>
      <c r="L75" s="111" t="s">
        <v>43</v>
      </c>
      <c r="M75" s="111" t="s">
        <v>43</v>
      </c>
      <c r="N75" s="111" t="s">
        <v>43</v>
      </c>
      <c r="O75" s="99" t="s">
        <v>33</v>
      </c>
      <c r="P75" s="99" t="s">
        <v>33</v>
      </c>
      <c r="Q75" s="98" t="s">
        <v>33</v>
      </c>
      <c r="R75" s="98" t="s">
        <v>33</v>
      </c>
      <c r="S75" s="98" t="s">
        <v>33</v>
      </c>
      <c r="T75" s="98" t="s">
        <v>33</v>
      </c>
      <c r="U75" s="98" t="s">
        <v>33</v>
      </c>
      <c r="V75" s="98" t="s">
        <v>33</v>
      </c>
      <c r="W75" s="99" t="s">
        <v>33</v>
      </c>
      <c r="X75" s="99" t="s">
        <v>33</v>
      </c>
      <c r="Y75" s="108" t="s">
        <v>41</v>
      </c>
      <c r="Z75" s="108" t="s">
        <v>41</v>
      </c>
      <c r="AA75" s="108" t="s">
        <v>41</v>
      </c>
      <c r="AB75" s="108" t="s">
        <v>41</v>
      </c>
      <c r="AC75" s="98" t="s">
        <v>33</v>
      </c>
      <c r="AD75" s="98" t="s">
        <v>33</v>
      </c>
      <c r="AE75" s="99" t="s">
        <v>33</v>
      </c>
      <c r="AF75" s="99" t="s">
        <v>33</v>
      </c>
      <c r="AG75" s="101">
        <f t="shared" si="13"/>
        <v>0</v>
      </c>
      <c r="AH75" s="101"/>
      <c r="AI75" s="101"/>
      <c r="AJ75" s="101"/>
      <c r="AK75" s="102" t="s">
        <v>51</v>
      </c>
    </row>
    <row r="76" spans="1:37">
      <c r="A76" s="95">
        <v>45074</v>
      </c>
      <c r="B76" s="96">
        <v>1600</v>
      </c>
      <c r="C76" s="96"/>
      <c r="D76" s="96">
        <f>(SUM(粮草!A76:X76)+AG76*10)*IF(AK76="是",$AY$4,$AY$3)</f>
        <v>1504</v>
      </c>
      <c r="E76" s="96">
        <f>SUM($B$4:B76)+SUM($C$4:C76)-SUM($D$4:D76)</f>
        <v>174</v>
      </c>
      <c r="F76" s="96">
        <f>SUM(经验!A76:X76)</f>
        <v>540</v>
      </c>
      <c r="G76" s="96">
        <f>SUM($F$4:F76)+SUM($H$4:H76)</f>
        <v>50880</v>
      </c>
      <c r="H76" s="96">
        <v>0</v>
      </c>
      <c r="I76" s="111" t="s">
        <v>43</v>
      </c>
      <c r="J76" s="111" t="s">
        <v>43</v>
      </c>
      <c r="K76" s="111" t="s">
        <v>43</v>
      </c>
      <c r="L76" s="111" t="s">
        <v>43</v>
      </c>
      <c r="M76" s="98" t="s">
        <v>33</v>
      </c>
      <c r="N76" s="98" t="s">
        <v>33</v>
      </c>
      <c r="O76" s="99" t="s">
        <v>33</v>
      </c>
      <c r="P76" s="99" t="s">
        <v>33</v>
      </c>
      <c r="Q76" s="98" t="s">
        <v>33</v>
      </c>
      <c r="R76" s="98" t="s">
        <v>33</v>
      </c>
      <c r="S76" s="98" t="s">
        <v>33</v>
      </c>
      <c r="T76" s="98" t="s">
        <v>33</v>
      </c>
      <c r="U76" s="98" t="s">
        <v>33</v>
      </c>
      <c r="V76" s="98" t="s">
        <v>33</v>
      </c>
      <c r="W76" s="99" t="s">
        <v>33</v>
      </c>
      <c r="X76" s="99" t="s">
        <v>33</v>
      </c>
      <c r="Y76" s="108" t="s">
        <v>41</v>
      </c>
      <c r="Z76" s="108" t="s">
        <v>41</v>
      </c>
      <c r="AA76" s="108" t="s">
        <v>41</v>
      </c>
      <c r="AB76" s="108" t="s">
        <v>41</v>
      </c>
      <c r="AC76" s="108" t="s">
        <v>41</v>
      </c>
      <c r="AD76" s="108" t="s">
        <v>41</v>
      </c>
      <c r="AE76" s="99" t="s">
        <v>33</v>
      </c>
      <c r="AF76" s="99" t="s">
        <v>33</v>
      </c>
      <c r="AG76" s="101">
        <f t="shared" si="13"/>
        <v>0</v>
      </c>
      <c r="AH76" s="101"/>
      <c r="AI76" s="101"/>
      <c r="AJ76" s="101"/>
      <c r="AK76" s="102" t="s">
        <v>51</v>
      </c>
    </row>
    <row r="77" spans="1:37">
      <c r="A77" s="95">
        <v>45075</v>
      </c>
      <c r="B77" s="98">
        <v>1600</v>
      </c>
      <c r="C77" s="98"/>
      <c r="D77" s="96">
        <f>(SUM(粮草!A77:X77)+AG77*10)*IF(AK77="是",$AY$4,$AY$3)</f>
        <v>1560</v>
      </c>
      <c r="E77" s="96">
        <f>SUM($B$4:B77)+SUM($C$4:C77)-SUM($D$4:D77)</f>
        <v>214</v>
      </c>
      <c r="F77" s="96">
        <f>SUM(经验!A77:X77)</f>
        <v>580</v>
      </c>
      <c r="G77" s="96">
        <f>SUM($F$4:F77)+SUM($H$4:H77)</f>
        <v>51660</v>
      </c>
      <c r="H77" s="98">
        <v>200</v>
      </c>
      <c r="I77" s="111" t="s">
        <v>43</v>
      </c>
      <c r="J77" s="111" t="s">
        <v>43</v>
      </c>
      <c r="K77" s="111" t="s">
        <v>43</v>
      </c>
      <c r="L77" s="111" t="s">
        <v>43</v>
      </c>
      <c r="M77" s="111" t="s">
        <v>43</v>
      </c>
      <c r="N77" s="98" t="s">
        <v>33</v>
      </c>
      <c r="O77" s="99" t="s">
        <v>33</v>
      </c>
      <c r="P77" s="99" t="s">
        <v>33</v>
      </c>
      <c r="Q77" s="98" t="s">
        <v>33</v>
      </c>
      <c r="R77" s="98" t="s">
        <v>33</v>
      </c>
      <c r="S77" s="98" t="s">
        <v>33</v>
      </c>
      <c r="T77" s="98" t="s">
        <v>33</v>
      </c>
      <c r="U77" s="98" t="s">
        <v>33</v>
      </c>
      <c r="V77" s="98" t="s">
        <v>33</v>
      </c>
      <c r="W77" s="99" t="s">
        <v>33</v>
      </c>
      <c r="X77" s="99" t="s">
        <v>33</v>
      </c>
      <c r="Y77" s="100" t="s">
        <v>38</v>
      </c>
      <c r="Z77" s="108" t="s">
        <v>41</v>
      </c>
      <c r="AA77" s="108" t="s">
        <v>41</v>
      </c>
      <c r="AB77" s="108" t="s">
        <v>41</v>
      </c>
      <c r="AC77" s="108" t="s">
        <v>41</v>
      </c>
      <c r="AD77" s="108" t="s">
        <v>41</v>
      </c>
      <c r="AE77" s="99" t="s">
        <v>33</v>
      </c>
      <c r="AF77" s="99" t="s">
        <v>33</v>
      </c>
      <c r="AG77" s="101">
        <f t="shared" si="13"/>
        <v>0</v>
      </c>
      <c r="AH77" s="101"/>
      <c r="AI77" s="101"/>
      <c r="AJ77" s="101"/>
      <c r="AK77" s="102" t="s">
        <v>51</v>
      </c>
    </row>
    <row r="78" spans="1:37">
      <c r="A78" s="95">
        <v>45076</v>
      </c>
      <c r="B78" s="98">
        <v>1600</v>
      </c>
      <c r="C78" s="98"/>
      <c r="D78" s="96">
        <f>(SUM(粮草!A78:X78)+AG78*10)*IF(AK78="是",$AY$4,$AY$3)</f>
        <v>1320</v>
      </c>
      <c r="E78" s="96">
        <f>SUM($B$4:B78)+SUM($C$4:C78)-SUM($D$4:D78)</f>
        <v>494</v>
      </c>
      <c r="F78" s="96">
        <f>SUM(经验!A78:X78)</f>
        <v>540</v>
      </c>
      <c r="G78" s="96">
        <f>SUM($F$4:F78)+SUM($H$4:H78)</f>
        <v>52300</v>
      </c>
      <c r="H78" s="98">
        <v>100</v>
      </c>
      <c r="I78" s="111" t="s">
        <v>43</v>
      </c>
      <c r="J78" s="111" t="s">
        <v>43</v>
      </c>
      <c r="K78" s="103" t="s">
        <v>58</v>
      </c>
      <c r="L78" s="111" t="s">
        <v>43</v>
      </c>
      <c r="M78" s="111" t="s">
        <v>43</v>
      </c>
      <c r="N78" s="98" t="s">
        <v>33</v>
      </c>
      <c r="O78" s="99" t="s">
        <v>33</v>
      </c>
      <c r="P78" s="99" t="s">
        <v>33</v>
      </c>
      <c r="Q78" s="98" t="s">
        <v>33</v>
      </c>
      <c r="R78" s="98" t="s">
        <v>33</v>
      </c>
      <c r="S78" s="98" t="s">
        <v>33</v>
      </c>
      <c r="T78" s="98" t="s">
        <v>33</v>
      </c>
      <c r="U78" s="98" t="s">
        <v>33</v>
      </c>
      <c r="V78" s="98" t="s">
        <v>33</v>
      </c>
      <c r="W78" s="99" t="s">
        <v>33</v>
      </c>
      <c r="X78" s="99" t="s">
        <v>33</v>
      </c>
      <c r="Y78" s="114" t="s">
        <v>47</v>
      </c>
      <c r="Z78" s="108" t="s">
        <v>41</v>
      </c>
      <c r="AA78" s="108" t="s">
        <v>41</v>
      </c>
      <c r="AB78" s="108" t="s">
        <v>41</v>
      </c>
      <c r="AC78" s="108" t="s">
        <v>41</v>
      </c>
      <c r="AD78" s="108" t="s">
        <v>41</v>
      </c>
      <c r="AE78" s="99" t="s">
        <v>33</v>
      </c>
      <c r="AF78" s="99" t="s">
        <v>33</v>
      </c>
      <c r="AG78" s="101">
        <f t="shared" si="13"/>
        <v>0</v>
      </c>
      <c r="AH78" s="101"/>
      <c r="AI78" s="101"/>
      <c r="AJ78" s="101"/>
      <c r="AK78" s="102" t="s">
        <v>51</v>
      </c>
    </row>
    <row r="79" spans="1:37">
      <c r="A79" s="95">
        <v>45077</v>
      </c>
      <c r="B79" s="98">
        <v>1600</v>
      </c>
      <c r="C79" s="98"/>
      <c r="D79" s="96">
        <f>(SUM(粮草!A79:X79)+AG79*10)*IF(AK79="是",$AY$4,$AY$3)</f>
        <v>1984</v>
      </c>
      <c r="E79" s="96">
        <f>SUM($B$4:B79)+SUM($C$4:C79)-SUM($D$4:D79)</f>
        <v>110</v>
      </c>
      <c r="F79" s="96">
        <f>SUM(经验!A79:X79)</f>
        <v>720</v>
      </c>
      <c r="G79" s="96">
        <f>SUM($F$4:F79)+SUM($H$4:H79)</f>
        <v>53220</v>
      </c>
      <c r="H79" s="98">
        <v>200</v>
      </c>
      <c r="I79" s="111" t="s">
        <v>43</v>
      </c>
      <c r="J79" s="111" t="s">
        <v>43</v>
      </c>
      <c r="K79" s="111" t="s">
        <v>43</v>
      </c>
      <c r="L79" s="111" t="s">
        <v>43</v>
      </c>
      <c r="M79" s="111" t="s">
        <v>43</v>
      </c>
      <c r="N79" s="111" t="s">
        <v>43</v>
      </c>
      <c r="O79" s="111" t="s">
        <v>43</v>
      </c>
      <c r="P79" s="99" t="s">
        <v>33</v>
      </c>
      <c r="Q79" s="98" t="s">
        <v>33</v>
      </c>
      <c r="R79" s="98" t="s">
        <v>33</v>
      </c>
      <c r="S79" s="98" t="s">
        <v>33</v>
      </c>
      <c r="T79" s="98" t="s">
        <v>33</v>
      </c>
      <c r="U79" s="98" t="s">
        <v>33</v>
      </c>
      <c r="V79" s="98" t="s">
        <v>33</v>
      </c>
      <c r="W79" s="99" t="s">
        <v>33</v>
      </c>
      <c r="X79" s="99" t="s">
        <v>33</v>
      </c>
      <c r="Y79" s="108" t="s">
        <v>41</v>
      </c>
      <c r="Z79" s="108" t="s">
        <v>41</v>
      </c>
      <c r="AA79" s="108" t="s">
        <v>41</v>
      </c>
      <c r="AB79" s="108" t="s">
        <v>41</v>
      </c>
      <c r="AC79" s="108" t="s">
        <v>41</v>
      </c>
      <c r="AD79" s="108" t="s">
        <v>41</v>
      </c>
      <c r="AE79" s="99" t="s">
        <v>33</v>
      </c>
      <c r="AF79" s="99" t="s">
        <v>33</v>
      </c>
      <c r="AG79" s="101">
        <f t="shared" si="13"/>
        <v>0</v>
      </c>
      <c r="AH79" s="101"/>
      <c r="AI79" s="101"/>
      <c r="AJ79" s="101"/>
      <c r="AK79" s="102" t="s">
        <v>51</v>
      </c>
    </row>
    <row r="80" spans="1:37">
      <c r="A80" s="95">
        <v>45078</v>
      </c>
      <c r="B80" s="98">
        <v>1600</v>
      </c>
      <c r="C80" s="98"/>
      <c r="D80" s="96">
        <f>(SUM(粮草!A80:X80)+AG80*10)*IF(AK80="是",$AY$4,$AY$3)</f>
        <v>1576</v>
      </c>
      <c r="E80" s="96">
        <f>SUM($B$4:B80)+SUM($C$4:C80)-SUM($D$4:D80)</f>
        <v>134</v>
      </c>
      <c r="F80" s="96">
        <f>SUM(经验!A80:X80)</f>
        <v>590</v>
      </c>
      <c r="G80" s="96">
        <f>SUM($F$4:F80)+SUM($H$4:H80)</f>
        <v>53810</v>
      </c>
      <c r="H80" s="98">
        <v>0</v>
      </c>
      <c r="I80" s="111" t="s">
        <v>43</v>
      </c>
      <c r="J80" s="111" t="s">
        <v>43</v>
      </c>
      <c r="K80" s="111" t="s">
        <v>43</v>
      </c>
      <c r="L80" s="111" t="s">
        <v>43</v>
      </c>
      <c r="M80" s="111" t="s">
        <v>43</v>
      </c>
      <c r="N80" s="111" t="s">
        <v>43</v>
      </c>
      <c r="O80" s="99" t="s">
        <v>33</v>
      </c>
      <c r="P80" s="99" t="s">
        <v>33</v>
      </c>
      <c r="Q80" s="98" t="s">
        <v>33</v>
      </c>
      <c r="R80" s="98" t="s">
        <v>33</v>
      </c>
      <c r="S80" s="98" t="s">
        <v>33</v>
      </c>
      <c r="T80" s="98" t="s">
        <v>33</v>
      </c>
      <c r="U80" s="98" t="s">
        <v>33</v>
      </c>
      <c r="V80" s="98" t="s">
        <v>33</v>
      </c>
      <c r="W80" s="99" t="s">
        <v>33</v>
      </c>
      <c r="X80" s="99" t="s">
        <v>33</v>
      </c>
      <c r="Y80" s="108" t="s">
        <v>41</v>
      </c>
      <c r="Z80" s="100" t="s">
        <v>38</v>
      </c>
      <c r="AA80" s="108" t="s">
        <v>41</v>
      </c>
      <c r="AB80" s="108" t="s">
        <v>41</v>
      </c>
      <c r="AC80" s="108" t="s">
        <v>41</v>
      </c>
      <c r="AD80" s="98" t="s">
        <v>33</v>
      </c>
      <c r="AE80" s="99" t="s">
        <v>33</v>
      </c>
      <c r="AF80" s="99" t="s">
        <v>33</v>
      </c>
      <c r="AG80" s="101">
        <f t="shared" si="13"/>
        <v>0</v>
      </c>
      <c r="AH80" s="101"/>
      <c r="AI80" s="101"/>
      <c r="AJ80" s="101"/>
      <c r="AK80" s="102" t="s">
        <v>51</v>
      </c>
    </row>
    <row r="81" spans="1:37">
      <c r="A81" s="95">
        <v>45079</v>
      </c>
      <c r="B81" s="98">
        <v>1600</v>
      </c>
      <c r="C81" s="98"/>
      <c r="D81" s="96">
        <f>(SUM(粮草!A81:X81)+AG81*10)*IF(AK81="是",$AY$4,$AY$3)</f>
        <v>1680</v>
      </c>
      <c r="E81" s="96">
        <f>SUM($B$4:B81)+SUM($C$4:C81)-SUM($D$4:D81)</f>
        <v>54</v>
      </c>
      <c r="F81" s="96">
        <f>SUM(经验!A81:X81)</f>
        <v>610</v>
      </c>
      <c r="G81" s="96">
        <f>SUM($F$4:F81)+SUM($H$4:H81)</f>
        <v>54420</v>
      </c>
      <c r="H81" s="98">
        <v>0</v>
      </c>
      <c r="I81" s="111" t="s">
        <v>43</v>
      </c>
      <c r="J81" s="111" t="s">
        <v>43</v>
      </c>
      <c r="K81" s="111" t="s">
        <v>43</v>
      </c>
      <c r="L81" s="111" t="s">
        <v>43</v>
      </c>
      <c r="M81" s="111" t="s">
        <v>43</v>
      </c>
      <c r="N81" s="111" t="s">
        <v>43</v>
      </c>
      <c r="O81" s="99" t="s">
        <v>33</v>
      </c>
      <c r="P81" s="99" t="s">
        <v>33</v>
      </c>
      <c r="Q81" s="98" t="s">
        <v>33</v>
      </c>
      <c r="R81" s="98" t="s">
        <v>33</v>
      </c>
      <c r="S81" s="98" t="s">
        <v>33</v>
      </c>
      <c r="T81" s="98" t="s">
        <v>33</v>
      </c>
      <c r="U81" s="98" t="s">
        <v>33</v>
      </c>
      <c r="V81" s="98" t="s">
        <v>33</v>
      </c>
      <c r="W81" s="99" t="s">
        <v>33</v>
      </c>
      <c r="X81" s="99" t="s">
        <v>33</v>
      </c>
      <c r="Y81" s="108" t="s">
        <v>41</v>
      </c>
      <c r="Z81" s="108" t="s">
        <v>41</v>
      </c>
      <c r="AA81" s="108" t="s">
        <v>41</v>
      </c>
      <c r="AB81" s="108" t="s">
        <v>41</v>
      </c>
      <c r="AC81" s="108" t="s">
        <v>41</v>
      </c>
      <c r="AD81" s="98" t="s">
        <v>33</v>
      </c>
      <c r="AE81" s="99" t="s">
        <v>33</v>
      </c>
      <c r="AF81" s="99" t="s">
        <v>33</v>
      </c>
      <c r="AG81" s="101">
        <f t="shared" si="13"/>
        <v>0</v>
      </c>
      <c r="AH81" s="101"/>
      <c r="AI81" s="101"/>
      <c r="AJ81" s="101"/>
      <c r="AK81" s="102" t="s">
        <v>51</v>
      </c>
    </row>
    <row r="82" spans="1:37">
      <c r="A82" s="95">
        <v>45080</v>
      </c>
      <c r="B82" s="98">
        <v>1600</v>
      </c>
      <c r="C82" s="98"/>
      <c r="D82" s="96">
        <f>(SUM(粮草!A82:X82)+AG82*10)*IF(AK82="是",$AY$4,$AY$3)</f>
        <v>1640</v>
      </c>
      <c r="E82" s="96">
        <f>SUM($B$4:B82)+SUM($C$4:C82)-SUM($D$4:D82)</f>
        <v>14</v>
      </c>
      <c r="F82" s="96">
        <f>SUM(经验!A82:X82)</f>
        <v>585</v>
      </c>
      <c r="G82" s="96">
        <f>SUM($F$4:F82)+SUM($H$4:H82)</f>
        <v>55005</v>
      </c>
      <c r="H82" s="98">
        <v>0</v>
      </c>
      <c r="I82" s="111" t="s">
        <v>43</v>
      </c>
      <c r="J82" s="110" t="s">
        <v>42</v>
      </c>
      <c r="K82" s="110" t="s">
        <v>42</v>
      </c>
      <c r="L82" s="110" t="s">
        <v>42</v>
      </c>
      <c r="M82" s="110" t="s">
        <v>42</v>
      </c>
      <c r="N82" s="110" t="s">
        <v>42</v>
      </c>
      <c r="O82" s="99" t="s">
        <v>33</v>
      </c>
      <c r="P82" s="99" t="s">
        <v>33</v>
      </c>
      <c r="Q82" s="98" t="s">
        <v>33</v>
      </c>
      <c r="R82" s="98" t="s">
        <v>33</v>
      </c>
      <c r="S82" s="98" t="s">
        <v>33</v>
      </c>
      <c r="T82" s="98" t="s">
        <v>33</v>
      </c>
      <c r="U82" s="98" t="s">
        <v>33</v>
      </c>
      <c r="V82" s="98" t="s">
        <v>33</v>
      </c>
      <c r="W82" s="99" t="s">
        <v>33</v>
      </c>
      <c r="X82" s="99" t="s">
        <v>33</v>
      </c>
      <c r="Y82" s="108" t="s">
        <v>41</v>
      </c>
      <c r="Z82" s="108" t="s">
        <v>41</v>
      </c>
      <c r="AA82" s="108" t="s">
        <v>41</v>
      </c>
      <c r="AB82" s="108" t="s">
        <v>41</v>
      </c>
      <c r="AC82" s="108" t="s">
        <v>41</v>
      </c>
      <c r="AD82" s="98" t="s">
        <v>33</v>
      </c>
      <c r="AE82" s="99" t="s">
        <v>33</v>
      </c>
      <c r="AF82" s="99" t="s">
        <v>33</v>
      </c>
      <c r="AG82" s="101">
        <f t="shared" si="13"/>
        <v>0</v>
      </c>
      <c r="AH82" s="101"/>
      <c r="AI82" s="101"/>
      <c r="AJ82" s="101"/>
      <c r="AK82" s="102" t="s">
        <v>51</v>
      </c>
    </row>
    <row r="83" spans="1:37">
      <c r="A83" s="95">
        <v>45081</v>
      </c>
      <c r="B83" s="98">
        <v>1600</v>
      </c>
      <c r="C83" s="98"/>
      <c r="D83" s="96">
        <f>(SUM(粮草!A83:X83)+AG83*10)*IF(AK83="是",$AY$4,$AY$3)</f>
        <v>1584</v>
      </c>
      <c r="E83" s="96">
        <f>SUM($B$4:B83)+SUM($C$4:C83)-SUM($D$4:D83)</f>
        <v>30</v>
      </c>
      <c r="F83" s="96">
        <f>SUM(经验!A83:X83)</f>
        <v>630</v>
      </c>
      <c r="G83" s="96">
        <f>SUM($F$4:F83)+SUM($H$4:H83)</f>
        <v>55635</v>
      </c>
      <c r="H83" s="98">
        <v>0</v>
      </c>
      <c r="I83" s="110" t="s">
        <v>42</v>
      </c>
      <c r="J83" s="110" t="s">
        <v>42</v>
      </c>
      <c r="K83" s="110" t="s">
        <v>42</v>
      </c>
      <c r="L83" s="110" t="s">
        <v>42</v>
      </c>
      <c r="M83" s="115" t="s">
        <v>48</v>
      </c>
      <c r="N83" s="110" t="s">
        <v>42</v>
      </c>
      <c r="O83" s="99" t="s">
        <v>33</v>
      </c>
      <c r="P83" s="99" t="s">
        <v>33</v>
      </c>
      <c r="Q83" s="100" t="s">
        <v>38</v>
      </c>
      <c r="R83" s="97" t="s">
        <v>32</v>
      </c>
      <c r="S83" s="97" t="s">
        <v>32</v>
      </c>
      <c r="T83" s="103" t="s">
        <v>58</v>
      </c>
      <c r="U83" s="98" t="s">
        <v>33</v>
      </c>
      <c r="V83" s="98" t="s">
        <v>33</v>
      </c>
      <c r="W83" s="99" t="s">
        <v>33</v>
      </c>
      <c r="X83" s="99" t="s">
        <v>33</v>
      </c>
      <c r="Y83" s="108" t="s">
        <v>41</v>
      </c>
      <c r="Z83" s="108" t="s">
        <v>41</v>
      </c>
      <c r="AA83" s="108" t="s">
        <v>41</v>
      </c>
      <c r="AB83" s="108" t="s">
        <v>41</v>
      </c>
      <c r="AC83" s="98" t="s">
        <v>33</v>
      </c>
      <c r="AD83" s="98" t="s">
        <v>33</v>
      </c>
      <c r="AE83" s="99" t="s">
        <v>33</v>
      </c>
      <c r="AF83" s="99" t="s">
        <v>33</v>
      </c>
      <c r="AG83" s="101">
        <f t="shared" si="13"/>
        <v>1</v>
      </c>
      <c r="AH83" s="101"/>
      <c r="AI83" s="101">
        <v>1</v>
      </c>
      <c r="AJ83" s="101"/>
      <c r="AK83" s="102" t="s">
        <v>51</v>
      </c>
    </row>
    <row r="84" spans="1:37">
      <c r="A84" s="95">
        <v>45082</v>
      </c>
      <c r="B84" s="96">
        <v>1600</v>
      </c>
      <c r="C84" s="96"/>
      <c r="D84" s="96">
        <f>(SUM(粮草!A84:X84)+AG84*10)*IF(AK84="是",$AY$4,$AY$3)</f>
        <v>1496</v>
      </c>
      <c r="E84" s="96">
        <f>SUM($B$4:B84)+SUM($C$4:C84)-SUM($D$4:D84)</f>
        <v>134</v>
      </c>
      <c r="F84" s="96">
        <f>SUM(经验!A84:X84)</f>
        <v>535</v>
      </c>
      <c r="G84" s="96">
        <f>SUM($F$4:F84)+SUM($H$4:H84)</f>
        <v>56370</v>
      </c>
      <c r="H84" s="96">
        <v>200</v>
      </c>
      <c r="I84" s="110" t="s">
        <v>42</v>
      </c>
      <c r="J84" s="110" t="s">
        <v>42</v>
      </c>
      <c r="K84" s="110" t="s">
        <v>42</v>
      </c>
      <c r="L84" s="110" t="s">
        <v>42</v>
      </c>
      <c r="M84" s="110" t="s">
        <v>42</v>
      </c>
      <c r="N84" s="110" t="s">
        <v>42</v>
      </c>
      <c r="O84" s="110" t="s">
        <v>42</v>
      </c>
      <c r="P84" s="99" t="s">
        <v>33</v>
      </c>
      <c r="Q84" s="98" t="s">
        <v>33</v>
      </c>
      <c r="R84" s="98" t="s">
        <v>33</v>
      </c>
      <c r="S84" s="98" t="s">
        <v>33</v>
      </c>
      <c r="T84" s="98" t="s">
        <v>33</v>
      </c>
      <c r="U84" s="98" t="s">
        <v>33</v>
      </c>
      <c r="V84" s="98" t="s">
        <v>33</v>
      </c>
      <c r="W84" s="99" t="s">
        <v>33</v>
      </c>
      <c r="X84" s="99" t="s">
        <v>33</v>
      </c>
      <c r="Y84" s="108" t="s">
        <v>41</v>
      </c>
      <c r="Z84" s="108" t="s">
        <v>41</v>
      </c>
      <c r="AA84" s="108" t="s">
        <v>41</v>
      </c>
      <c r="AB84" s="98" t="s">
        <v>33</v>
      </c>
      <c r="AC84" s="98" t="s">
        <v>33</v>
      </c>
      <c r="AD84" s="98" t="s">
        <v>33</v>
      </c>
      <c r="AE84" s="99" t="s">
        <v>33</v>
      </c>
      <c r="AF84" s="99" t="s">
        <v>33</v>
      </c>
      <c r="AG84" s="101">
        <f t="shared" si="13"/>
        <v>0</v>
      </c>
      <c r="AH84" s="101"/>
      <c r="AI84" s="101"/>
      <c r="AJ84" s="101"/>
      <c r="AK84" s="102" t="s">
        <v>51</v>
      </c>
    </row>
    <row r="85" spans="1:37">
      <c r="A85" s="95">
        <v>45083</v>
      </c>
      <c r="B85" s="96">
        <v>1600</v>
      </c>
      <c r="C85" s="116">
        <v>40</v>
      </c>
      <c r="D85" s="96">
        <f>(SUM(粮草!A85:X85)+AG85*10)*IF(AK85="是",$AY$4,$AY$3)</f>
        <v>1768</v>
      </c>
      <c r="E85" s="96">
        <f>SUM($B$4:B85)+SUM($C$4:C85)-SUM($D$4:D85)</f>
        <v>6</v>
      </c>
      <c r="F85" s="96">
        <f>SUM(经验!A85:X85)</f>
        <v>690</v>
      </c>
      <c r="G85" s="96">
        <f>SUM($F$4:F85)+SUM($H$4:H85)</f>
        <v>57160</v>
      </c>
      <c r="H85" s="96">
        <v>100</v>
      </c>
      <c r="I85" s="110" t="s">
        <v>42</v>
      </c>
      <c r="J85" s="110" t="s">
        <v>42</v>
      </c>
      <c r="K85" s="110" t="s">
        <v>42</v>
      </c>
      <c r="L85" s="110" t="s">
        <v>42</v>
      </c>
      <c r="M85" s="110" t="s">
        <v>42</v>
      </c>
      <c r="N85" s="98" t="s">
        <v>33</v>
      </c>
      <c r="O85" s="99" t="s">
        <v>33</v>
      </c>
      <c r="P85" s="99" t="s">
        <v>33</v>
      </c>
      <c r="Q85" s="105" t="s">
        <v>39</v>
      </c>
      <c r="R85" s="103" t="s">
        <v>58</v>
      </c>
      <c r="S85" s="105" t="s">
        <v>39</v>
      </c>
      <c r="T85" s="105" t="s">
        <v>39</v>
      </c>
      <c r="U85" s="105" t="s">
        <v>39</v>
      </c>
      <c r="V85" s="105" t="s">
        <v>39</v>
      </c>
      <c r="W85" s="100" t="s">
        <v>38</v>
      </c>
      <c r="X85" s="99" t="s">
        <v>33</v>
      </c>
      <c r="Y85" s="108" t="s">
        <v>41</v>
      </c>
      <c r="Z85" s="110" t="s">
        <v>42</v>
      </c>
      <c r="AA85" s="110" t="s">
        <v>42</v>
      </c>
      <c r="AB85" s="98" t="s">
        <v>33</v>
      </c>
      <c r="AC85" s="98" t="s">
        <v>33</v>
      </c>
      <c r="AD85" s="98" t="s">
        <v>33</v>
      </c>
      <c r="AE85" s="99" t="s">
        <v>33</v>
      </c>
      <c r="AF85" s="99" t="s">
        <v>33</v>
      </c>
      <c r="AG85" s="101">
        <f t="shared" si="13"/>
        <v>0</v>
      </c>
      <c r="AH85" s="101"/>
      <c r="AI85" s="101"/>
      <c r="AJ85" s="101"/>
      <c r="AK85" s="102" t="s">
        <v>51</v>
      </c>
    </row>
    <row r="86" spans="1:37">
      <c r="A86" s="95">
        <v>45084</v>
      </c>
      <c r="B86" s="96">
        <v>1600</v>
      </c>
      <c r="C86" s="96"/>
      <c r="D86" s="96">
        <f>(SUM(粮草!A86:X86)+AG86*10)*IF(AK86="是",$AY$4,$AY$3)</f>
        <v>1600</v>
      </c>
      <c r="E86" s="96">
        <f>SUM($B$4:B86)+SUM($C$4:C86)-SUM($D$4:D86)</f>
        <v>6</v>
      </c>
      <c r="F86" s="96">
        <f>SUM(经验!A86:X86)</f>
        <v>555</v>
      </c>
      <c r="G86" s="96">
        <f>SUM($F$4:F86)+SUM($H$4:H86)</f>
        <v>57915</v>
      </c>
      <c r="H86" s="96">
        <v>200</v>
      </c>
      <c r="I86" s="110" t="s">
        <v>42</v>
      </c>
      <c r="J86" s="110" t="s">
        <v>42</v>
      </c>
      <c r="K86" s="110" t="s">
        <v>42</v>
      </c>
      <c r="L86" s="110" t="s">
        <v>42</v>
      </c>
      <c r="M86" s="110" t="s">
        <v>42</v>
      </c>
      <c r="N86" s="110" t="s">
        <v>42</v>
      </c>
      <c r="O86" s="99" t="s">
        <v>33</v>
      </c>
      <c r="P86" s="99" t="s">
        <v>33</v>
      </c>
      <c r="Q86" s="105" t="s">
        <v>39</v>
      </c>
      <c r="R86" s="105" t="s">
        <v>39</v>
      </c>
      <c r="S86" s="105" t="s">
        <v>39</v>
      </c>
      <c r="T86" s="105" t="s">
        <v>39</v>
      </c>
      <c r="U86" s="105" t="s">
        <v>39</v>
      </c>
      <c r="V86" s="98" t="s">
        <v>33</v>
      </c>
      <c r="W86" s="99" t="s">
        <v>33</v>
      </c>
      <c r="X86" s="99" t="s">
        <v>33</v>
      </c>
      <c r="Y86" s="98" t="s">
        <v>33</v>
      </c>
      <c r="Z86" s="98" t="s">
        <v>33</v>
      </c>
      <c r="AA86" s="98" t="s">
        <v>33</v>
      </c>
      <c r="AB86" s="98" t="s">
        <v>33</v>
      </c>
      <c r="AC86" s="98" t="s">
        <v>33</v>
      </c>
      <c r="AD86" s="98" t="s">
        <v>33</v>
      </c>
      <c r="AE86" s="99" t="s">
        <v>33</v>
      </c>
      <c r="AF86" s="99" t="s">
        <v>33</v>
      </c>
      <c r="AG86" s="101">
        <f t="shared" si="13"/>
        <v>1</v>
      </c>
      <c r="AH86" s="101">
        <v>1</v>
      </c>
      <c r="AI86" s="101"/>
      <c r="AJ86" s="101"/>
      <c r="AK86" s="102" t="s">
        <v>51</v>
      </c>
    </row>
    <row r="87" spans="1:37">
      <c r="A87" s="95">
        <v>45085</v>
      </c>
      <c r="B87" s="96">
        <v>1600</v>
      </c>
      <c r="C87" s="96"/>
      <c r="D87" s="96">
        <f>(SUM(粮草!A87:X87)+AG87*10)*IF(AK87="是",$AY$4,$AY$3)</f>
        <v>1496</v>
      </c>
      <c r="E87" s="96">
        <f>SUM($B$4:B87)+SUM($C$4:C87)-SUM($D$4:D87)</f>
        <v>110</v>
      </c>
      <c r="F87" s="96">
        <f>SUM(经验!A87:X87)</f>
        <v>1090</v>
      </c>
      <c r="G87" s="96">
        <f>SUM($F$4:F87)+SUM($H$4:H87)</f>
        <v>59005</v>
      </c>
      <c r="H87" s="96">
        <v>0</v>
      </c>
      <c r="I87" s="110" t="s">
        <v>42</v>
      </c>
      <c r="J87" s="110" t="s">
        <v>42</v>
      </c>
      <c r="K87" s="110" t="s">
        <v>42</v>
      </c>
      <c r="L87" s="98" t="s">
        <v>33</v>
      </c>
      <c r="M87" s="98" t="s">
        <v>33</v>
      </c>
      <c r="N87" s="98" t="s">
        <v>33</v>
      </c>
      <c r="O87" s="99" t="s">
        <v>33</v>
      </c>
      <c r="P87" s="99" t="s">
        <v>33</v>
      </c>
      <c r="Q87" s="100" t="s">
        <v>38</v>
      </c>
      <c r="R87" s="105" t="s">
        <v>39</v>
      </c>
      <c r="S87" s="105" t="s">
        <v>39</v>
      </c>
      <c r="T87" s="104" t="s">
        <v>36</v>
      </c>
      <c r="U87" s="104" t="s">
        <v>36</v>
      </c>
      <c r="V87" s="104" t="s">
        <v>36</v>
      </c>
      <c r="W87" s="99" t="s">
        <v>33</v>
      </c>
      <c r="X87" s="99" t="s">
        <v>33</v>
      </c>
      <c r="Y87" s="110" t="s">
        <v>42</v>
      </c>
      <c r="Z87" s="103" t="s">
        <v>58</v>
      </c>
      <c r="AA87" s="110" t="s">
        <v>42</v>
      </c>
      <c r="AB87" s="117" t="s">
        <v>68</v>
      </c>
      <c r="AC87" s="110" t="s">
        <v>42</v>
      </c>
      <c r="AD87" s="98" t="s">
        <v>33</v>
      </c>
      <c r="AE87" s="99" t="s">
        <v>33</v>
      </c>
      <c r="AF87" s="99" t="s">
        <v>33</v>
      </c>
      <c r="AG87" s="101">
        <f t="shared" si="13"/>
        <v>1</v>
      </c>
      <c r="AH87" s="101"/>
      <c r="AI87" s="101">
        <v>1</v>
      </c>
      <c r="AJ87" s="101"/>
      <c r="AK87" s="102" t="s">
        <v>51</v>
      </c>
    </row>
    <row r="88" spans="1:37">
      <c r="A88" s="95">
        <v>45086</v>
      </c>
      <c r="B88" s="96">
        <v>1600</v>
      </c>
      <c r="C88" s="96"/>
      <c r="D88" s="96">
        <f>(SUM(粮草!A88:X88)+AG88*10)*IF(AK88="是",$AY$4,$AY$3)</f>
        <v>1464</v>
      </c>
      <c r="E88" s="96">
        <f>SUM($B$4:B88)+SUM($C$4:C88)-SUM($D$4:D88)</f>
        <v>246</v>
      </c>
      <c r="F88" s="96">
        <f>SUM(经验!A88:X88)</f>
        <v>520</v>
      </c>
      <c r="G88" s="96">
        <f>SUM($F$4:F88)+SUM($H$4:H88)</f>
        <v>59525</v>
      </c>
      <c r="H88" s="96">
        <v>0</v>
      </c>
      <c r="I88" s="98" t="s">
        <v>33</v>
      </c>
      <c r="J88" s="98" t="s">
        <v>33</v>
      </c>
      <c r="K88" s="98" t="s">
        <v>33</v>
      </c>
      <c r="L88" s="98" t="s">
        <v>33</v>
      </c>
      <c r="M88" s="98" t="s">
        <v>33</v>
      </c>
      <c r="N88" s="98" t="s">
        <v>33</v>
      </c>
      <c r="O88" s="99" t="s">
        <v>33</v>
      </c>
      <c r="P88" s="99" t="s">
        <v>33</v>
      </c>
      <c r="Q88" s="118" t="s">
        <v>40</v>
      </c>
      <c r="R88" s="104" t="s">
        <v>36</v>
      </c>
      <c r="S88" s="100" t="s">
        <v>38</v>
      </c>
      <c r="T88" s="104" t="s">
        <v>36</v>
      </c>
      <c r="U88" s="104" t="s">
        <v>36</v>
      </c>
      <c r="V88" s="98" t="s">
        <v>33</v>
      </c>
      <c r="W88" s="99" t="s">
        <v>33</v>
      </c>
      <c r="X88" s="99" t="s">
        <v>33</v>
      </c>
      <c r="Y88" s="110" t="s">
        <v>42</v>
      </c>
      <c r="Z88" s="110" t="s">
        <v>42</v>
      </c>
      <c r="AA88" s="110" t="s">
        <v>42</v>
      </c>
      <c r="AB88" s="110" t="s">
        <v>42</v>
      </c>
      <c r="AC88" s="110" t="s">
        <v>42</v>
      </c>
      <c r="AD88" s="110" t="s">
        <v>42</v>
      </c>
      <c r="AE88" s="99" t="s">
        <v>33</v>
      </c>
      <c r="AF88" s="99" t="s">
        <v>33</v>
      </c>
      <c r="AG88" s="101">
        <f t="shared" si="13"/>
        <v>1</v>
      </c>
      <c r="AH88" s="101"/>
      <c r="AI88" s="101">
        <v>1</v>
      </c>
      <c r="AJ88" s="101"/>
      <c r="AK88" s="102" t="s">
        <v>51</v>
      </c>
    </row>
    <row r="89" spans="1:37">
      <c r="A89" s="95">
        <v>45087</v>
      </c>
      <c r="B89" s="96">
        <v>1600</v>
      </c>
      <c r="C89" s="96"/>
      <c r="D89" s="96">
        <f>(SUM(粮草!A89:X89)+AG89*10)*IF(AK89="是",$AY$4,$AY$3)</f>
        <v>1704</v>
      </c>
      <c r="E89" s="96">
        <f>SUM($B$4:B89)+SUM($C$4:C89)-SUM($D$4:D89)</f>
        <v>142</v>
      </c>
      <c r="F89" s="96">
        <f>SUM(经验!A89:X89)</f>
        <v>1125</v>
      </c>
      <c r="G89" s="96">
        <f>SUM($F$4:F89)+SUM($H$4:H89)</f>
        <v>60650</v>
      </c>
      <c r="H89" s="96">
        <v>0</v>
      </c>
      <c r="I89" s="110" t="s">
        <v>42</v>
      </c>
      <c r="J89" s="110" t="s">
        <v>42</v>
      </c>
      <c r="K89" s="117" t="s">
        <v>68</v>
      </c>
      <c r="L89" s="110" t="s">
        <v>42</v>
      </c>
      <c r="M89" s="110" t="s">
        <v>42</v>
      </c>
      <c r="N89" s="110" t="s">
        <v>42</v>
      </c>
      <c r="O89" s="110" t="s">
        <v>42</v>
      </c>
      <c r="P89" s="99" t="s">
        <v>33</v>
      </c>
      <c r="Q89" s="104" t="s">
        <v>36</v>
      </c>
      <c r="R89" s="104" t="s">
        <v>36</v>
      </c>
      <c r="S89" s="100" t="s">
        <v>38</v>
      </c>
      <c r="T89" s="98" t="s">
        <v>33</v>
      </c>
      <c r="U89" s="98" t="s">
        <v>33</v>
      </c>
      <c r="V89" s="98" t="s">
        <v>33</v>
      </c>
      <c r="W89" s="99" t="s">
        <v>33</v>
      </c>
      <c r="X89" s="99" t="s">
        <v>33</v>
      </c>
      <c r="Y89" s="110" t="s">
        <v>42</v>
      </c>
      <c r="Z89" s="110" t="s">
        <v>42</v>
      </c>
      <c r="AA89" s="110" t="s">
        <v>42</v>
      </c>
      <c r="AB89" s="98" t="s">
        <v>33</v>
      </c>
      <c r="AC89" s="98" t="s">
        <v>33</v>
      </c>
      <c r="AD89" s="98" t="s">
        <v>33</v>
      </c>
      <c r="AE89" s="99" t="s">
        <v>33</v>
      </c>
      <c r="AF89" s="99" t="s">
        <v>33</v>
      </c>
      <c r="AG89" s="101">
        <f t="shared" si="13"/>
        <v>0</v>
      </c>
      <c r="AH89" s="101"/>
      <c r="AI89" s="101"/>
      <c r="AJ89" s="101"/>
      <c r="AK89" s="102" t="s">
        <v>51</v>
      </c>
    </row>
    <row r="90" spans="1:37">
      <c r="A90" s="95">
        <v>45088</v>
      </c>
      <c r="B90" s="96">
        <v>1600</v>
      </c>
      <c r="C90" s="96"/>
      <c r="D90" s="96">
        <f>(SUM(粮草!A90:X90)+AG90*10)*IF(AK90="是",$AY$4,$AY$3)</f>
        <v>1592</v>
      </c>
      <c r="E90" s="96">
        <f>SUM($B$4:B90)+SUM($C$4:C90)-SUM($D$4:D90)</f>
        <v>150</v>
      </c>
      <c r="F90" s="96">
        <f>SUM(经验!A90:X90)</f>
        <v>615</v>
      </c>
      <c r="G90" s="96">
        <f>SUM($F$4:F90)+SUM($H$4:H90)</f>
        <v>61265</v>
      </c>
      <c r="H90" s="96">
        <v>0</v>
      </c>
      <c r="I90" s="110" t="s">
        <v>42</v>
      </c>
      <c r="J90" s="110" t="s">
        <v>42</v>
      </c>
      <c r="K90" s="110" t="s">
        <v>42</v>
      </c>
      <c r="L90" s="110" t="s">
        <v>42</v>
      </c>
      <c r="M90" s="110" t="s">
        <v>42</v>
      </c>
      <c r="N90" s="103" t="s">
        <v>58</v>
      </c>
      <c r="O90" s="99" t="s">
        <v>33</v>
      </c>
      <c r="P90" s="99" t="s">
        <v>33</v>
      </c>
      <c r="Q90" s="104" t="s">
        <v>36</v>
      </c>
      <c r="R90" s="104" t="s">
        <v>36</v>
      </c>
      <c r="S90" s="104" t="s">
        <v>36</v>
      </c>
      <c r="T90" s="100" t="s">
        <v>38</v>
      </c>
      <c r="U90" s="104" t="s">
        <v>36</v>
      </c>
      <c r="V90" s="104" t="s">
        <v>36</v>
      </c>
      <c r="W90" s="99" t="s">
        <v>33</v>
      </c>
      <c r="X90" s="99" t="s">
        <v>33</v>
      </c>
      <c r="Y90" s="110" t="s">
        <v>42</v>
      </c>
      <c r="Z90" s="110" t="s">
        <v>42</v>
      </c>
      <c r="AA90" s="98" t="s">
        <v>33</v>
      </c>
      <c r="AB90" s="98" t="s">
        <v>33</v>
      </c>
      <c r="AC90" s="98" t="s">
        <v>33</v>
      </c>
      <c r="AD90" s="98" t="s">
        <v>33</v>
      </c>
      <c r="AE90" s="99" t="s">
        <v>33</v>
      </c>
      <c r="AF90" s="99" t="s">
        <v>33</v>
      </c>
      <c r="AG90" s="101">
        <f t="shared" si="13"/>
        <v>1</v>
      </c>
      <c r="AH90" s="101"/>
      <c r="AI90" s="101">
        <v>1</v>
      </c>
      <c r="AJ90" s="101"/>
      <c r="AK90" s="102" t="s">
        <v>51</v>
      </c>
    </row>
    <row r="91" spans="1:37">
      <c r="A91" s="95">
        <v>45089</v>
      </c>
      <c r="B91" s="98">
        <v>1600</v>
      </c>
      <c r="C91" s="98"/>
      <c r="D91" s="96">
        <f>(SUM(粮草!A91:X91)+AG91*10)*IF(AK91="是",$AY$4,$AY$3)</f>
        <v>1536</v>
      </c>
      <c r="E91" s="96">
        <f>SUM($B$4:B91)+SUM($C$4:C91)-SUM($D$4:D91)</f>
        <v>214</v>
      </c>
      <c r="F91" s="96">
        <f>SUM(经验!A91:X91)</f>
        <v>620</v>
      </c>
      <c r="G91" s="96">
        <f>SUM($F$4:F91)+SUM($H$4:H91)</f>
        <v>62085</v>
      </c>
      <c r="H91" s="98">
        <v>200</v>
      </c>
      <c r="I91" s="110" t="s">
        <v>42</v>
      </c>
      <c r="J91" s="110" t="s">
        <v>42</v>
      </c>
      <c r="K91" s="110" t="s">
        <v>42</v>
      </c>
      <c r="L91" s="110" t="s">
        <v>42</v>
      </c>
      <c r="M91" s="110" t="s">
        <v>42</v>
      </c>
      <c r="N91" s="110" t="s">
        <v>42</v>
      </c>
      <c r="O91" s="99" t="s">
        <v>33</v>
      </c>
      <c r="P91" s="99" t="s">
        <v>33</v>
      </c>
      <c r="Q91" s="104" t="s">
        <v>36</v>
      </c>
      <c r="R91" s="100" t="s">
        <v>38</v>
      </c>
      <c r="S91" s="103" t="s">
        <v>58</v>
      </c>
      <c r="T91" s="98" t="s">
        <v>33</v>
      </c>
      <c r="U91" s="98" t="s">
        <v>33</v>
      </c>
      <c r="V91" s="98" t="s">
        <v>33</v>
      </c>
      <c r="W91" s="99" t="s">
        <v>33</v>
      </c>
      <c r="X91" s="99" t="s">
        <v>33</v>
      </c>
      <c r="Y91" s="110" t="s">
        <v>42</v>
      </c>
      <c r="Z91" s="110" t="s">
        <v>42</v>
      </c>
      <c r="AA91" s="110" t="s">
        <v>42</v>
      </c>
      <c r="AB91" s="110" t="s">
        <v>42</v>
      </c>
      <c r="AC91" s="98" t="s">
        <v>33</v>
      </c>
      <c r="AD91" s="98" t="s">
        <v>33</v>
      </c>
      <c r="AE91" s="99" t="s">
        <v>33</v>
      </c>
      <c r="AF91" s="99" t="s">
        <v>33</v>
      </c>
      <c r="AG91" s="101">
        <f t="shared" si="13"/>
        <v>1</v>
      </c>
      <c r="AH91" s="101"/>
      <c r="AI91" s="101">
        <v>1</v>
      </c>
      <c r="AJ91" s="101"/>
      <c r="AK91" s="102" t="s">
        <v>51</v>
      </c>
    </row>
    <row r="92" spans="1:37">
      <c r="A92" s="95">
        <v>45090</v>
      </c>
      <c r="B92" s="98">
        <v>1600</v>
      </c>
      <c r="C92" s="98"/>
      <c r="D92" s="96">
        <f>(SUM(粮草!A92:X92)+AG92*10)*IF(AK92="是",$AY$4,$AY$3)</f>
        <v>1568</v>
      </c>
      <c r="E92" s="96">
        <f>SUM($B$4:B92)+SUM($C$4:C92)-SUM($D$4:D92)</f>
        <v>246</v>
      </c>
      <c r="F92" s="96">
        <f>SUM(经验!A92:X92)</f>
        <v>995</v>
      </c>
      <c r="G92" s="96">
        <f>SUM($F$4:F92)+SUM($H$4:H92)</f>
        <v>63180</v>
      </c>
      <c r="H92" s="98">
        <v>100</v>
      </c>
      <c r="I92" s="110" t="s">
        <v>42</v>
      </c>
      <c r="J92" s="110" t="s">
        <v>42</v>
      </c>
      <c r="K92" s="110" t="s">
        <v>42</v>
      </c>
      <c r="L92" s="110" t="s">
        <v>42</v>
      </c>
      <c r="M92" s="110" t="s">
        <v>42</v>
      </c>
      <c r="N92" s="110" t="s">
        <v>42</v>
      </c>
      <c r="O92" s="99" t="s">
        <v>33</v>
      </c>
      <c r="P92" s="99" t="s">
        <v>33</v>
      </c>
      <c r="Q92" s="98" t="s">
        <v>33</v>
      </c>
      <c r="R92" s="98" t="s">
        <v>33</v>
      </c>
      <c r="S92" s="98" t="s">
        <v>33</v>
      </c>
      <c r="T92" s="98" t="s">
        <v>33</v>
      </c>
      <c r="U92" s="98" t="s">
        <v>33</v>
      </c>
      <c r="V92" s="98" t="s">
        <v>33</v>
      </c>
      <c r="W92" s="99" t="s">
        <v>33</v>
      </c>
      <c r="X92" s="99" t="s">
        <v>33</v>
      </c>
      <c r="Y92" s="110" t="s">
        <v>42</v>
      </c>
      <c r="Z92" s="110" t="s">
        <v>42</v>
      </c>
      <c r="AA92" s="110" t="s">
        <v>42</v>
      </c>
      <c r="AB92" s="119" t="s">
        <v>54</v>
      </c>
      <c r="AC92" s="98" t="s">
        <v>33</v>
      </c>
      <c r="AD92" s="98" t="s">
        <v>33</v>
      </c>
      <c r="AE92" s="99" t="s">
        <v>33</v>
      </c>
      <c r="AF92" s="99" t="s">
        <v>33</v>
      </c>
      <c r="AG92" s="101">
        <f t="shared" si="13"/>
        <v>0</v>
      </c>
      <c r="AH92" s="101"/>
      <c r="AI92" s="101"/>
      <c r="AJ92" s="101"/>
      <c r="AK92" s="102" t="s">
        <v>51</v>
      </c>
    </row>
    <row r="93" spans="1:37">
      <c r="A93" s="95">
        <v>45091</v>
      </c>
      <c r="B93" s="98">
        <v>1600</v>
      </c>
      <c r="C93" s="116">
        <v>40</v>
      </c>
      <c r="D93" s="96">
        <f>(SUM(粮草!A93:X93)+AG93*10)*IF(AK93="是",$AY$4,$AY$3)</f>
        <v>1776</v>
      </c>
      <c r="E93" s="96">
        <f>SUM($B$4:B93)+SUM($C$4:C93)-SUM($D$4:D93)</f>
        <v>110</v>
      </c>
      <c r="F93" s="96">
        <f>SUM(经验!A93:X93)</f>
        <v>1550</v>
      </c>
      <c r="G93" s="96">
        <f>SUM($F$4:F93)+SUM($H$4:H93)</f>
        <v>64930</v>
      </c>
      <c r="H93" s="98">
        <v>200</v>
      </c>
      <c r="I93" s="110" t="s">
        <v>42</v>
      </c>
      <c r="J93" s="110" t="s">
        <v>42</v>
      </c>
      <c r="K93" s="110" t="s">
        <v>42</v>
      </c>
      <c r="L93" s="110" t="s">
        <v>42</v>
      </c>
      <c r="M93" s="119" t="s">
        <v>54</v>
      </c>
      <c r="N93" s="104" t="s">
        <v>36</v>
      </c>
      <c r="O93" s="104" t="s">
        <v>36</v>
      </c>
      <c r="P93" s="118" t="s">
        <v>40</v>
      </c>
      <c r="Q93" s="117" t="s">
        <v>68</v>
      </c>
      <c r="R93" s="104" t="s">
        <v>36</v>
      </c>
      <c r="S93" s="104" t="s">
        <v>36</v>
      </c>
      <c r="T93" s="104" t="s">
        <v>36</v>
      </c>
      <c r="U93" s="104" t="s">
        <v>36</v>
      </c>
      <c r="V93" s="100" t="s">
        <v>38</v>
      </c>
      <c r="W93" s="99" t="s">
        <v>33</v>
      </c>
      <c r="X93" s="99" t="s">
        <v>33</v>
      </c>
      <c r="Y93" s="98" t="s">
        <v>33</v>
      </c>
      <c r="Z93" s="98" t="s">
        <v>33</v>
      </c>
      <c r="AA93" s="98" t="s">
        <v>33</v>
      </c>
      <c r="AB93" s="98" t="s">
        <v>33</v>
      </c>
      <c r="AC93" s="98" t="s">
        <v>33</v>
      </c>
      <c r="AD93" s="98" t="s">
        <v>33</v>
      </c>
      <c r="AE93" s="99" t="s">
        <v>33</v>
      </c>
      <c r="AF93" s="99" t="s">
        <v>33</v>
      </c>
      <c r="AG93" s="101">
        <f t="shared" si="13"/>
        <v>0</v>
      </c>
      <c r="AH93" s="101"/>
      <c r="AI93" s="101"/>
      <c r="AJ93" s="101"/>
      <c r="AK93" s="102" t="s">
        <v>51</v>
      </c>
    </row>
    <row r="94" spans="1:37" ht="15.75" thickBot="1">
      <c r="A94" s="55">
        <v>45092</v>
      </c>
      <c r="B94">
        <v>1600</v>
      </c>
      <c r="D94" s="17">
        <f>(SUM(粮草!A94:X94)+AG94*10)*IF(AK94="是",$AY$4,$AY$3)</f>
        <v>1704</v>
      </c>
      <c r="E94" s="71">
        <f>SUM($B$4:B94)+SUM($C$4:C94)-SUM($D$4:D94)</f>
        <v>6</v>
      </c>
      <c r="F94" s="17">
        <f>SUM(经验!A94:X94)</f>
        <v>600</v>
      </c>
      <c r="G94" s="46">
        <f>SUM($F$4:F94)+SUM($H$4:H94)</f>
        <v>65530</v>
      </c>
      <c r="H94">
        <v>0</v>
      </c>
      <c r="I94" s="86" t="s">
        <v>36</v>
      </c>
      <c r="J94" s="86" t="s">
        <v>36</v>
      </c>
      <c r="K94" s="85" t="s">
        <v>38</v>
      </c>
      <c r="L94" s="73" t="s">
        <v>33</v>
      </c>
      <c r="M94" s="73" t="s">
        <v>33</v>
      </c>
      <c r="N94" s="73" t="s">
        <v>33</v>
      </c>
      <c r="O94" s="67" t="s">
        <v>33</v>
      </c>
      <c r="P94" s="67" t="s">
        <v>33</v>
      </c>
      <c r="Q94" s="86" t="s">
        <v>36</v>
      </c>
      <c r="R94" s="86" t="s">
        <v>36</v>
      </c>
      <c r="S94" s="86" t="s">
        <v>36</v>
      </c>
      <c r="T94" s="86" t="s">
        <v>36</v>
      </c>
      <c r="U94" s="85" t="s">
        <v>38</v>
      </c>
      <c r="V94" s="73" t="s">
        <v>33</v>
      </c>
      <c r="W94" s="67" t="s">
        <v>33</v>
      </c>
      <c r="X94" s="67" t="s">
        <v>33</v>
      </c>
      <c r="Y94" s="86" t="s">
        <v>36</v>
      </c>
      <c r="Z94" s="86" t="s">
        <v>36</v>
      </c>
      <c r="AA94" s="86" t="s">
        <v>36</v>
      </c>
      <c r="AB94" s="85" t="s">
        <v>38</v>
      </c>
      <c r="AC94" s="86" t="s">
        <v>36</v>
      </c>
      <c r="AD94" s="86" t="s">
        <v>36</v>
      </c>
      <c r="AE94" s="86" t="s">
        <v>36</v>
      </c>
      <c r="AF94" s="85" t="s">
        <v>38</v>
      </c>
      <c r="AG94" s="53">
        <f t="shared" si="13"/>
        <v>1</v>
      </c>
      <c r="AH94" s="53"/>
      <c r="AI94" s="53"/>
      <c r="AJ94" s="53">
        <v>1</v>
      </c>
      <c r="AK94" s="75" t="s">
        <v>51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4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conditionalFormatting sqref="Y88:AD88 Y89:AA89 Y90:Z90">
    <cfRule type="uniqueValues" dxfId="11" priority="38"/>
  </conditionalFormatting>
  <conditionalFormatting sqref="Y91:AA92">
    <cfRule type="uniqueValues" dxfId="10" priority="37"/>
  </conditionalFormatting>
  <conditionalFormatting sqref="Z69:AD69">
    <cfRule type="uniqueValues" dxfId="9" priority="36"/>
  </conditionalFormatting>
  <conditionalFormatting sqref="Z70:AC70">
    <cfRule type="uniqueValues" dxfId="8" priority="35"/>
  </conditionalFormatting>
  <conditionalFormatting sqref="Z71:AC71">
    <cfRule type="uniqueValues" dxfId="7" priority="34"/>
  </conditionalFormatting>
  <conditionalFormatting sqref="Y72:AD72">
    <cfRule type="uniqueValues" dxfId="6" priority="33"/>
  </conditionalFormatting>
  <conditionalFormatting sqref="Y73:AC73">
    <cfRule type="uniqueValues" dxfId="5" priority="26"/>
  </conditionalFormatting>
  <conditionalFormatting sqref="Y74:Z74">
    <cfRule type="uniqueValues" dxfId="4" priority="25"/>
  </conditionalFormatting>
  <conditionalFormatting sqref="AA74:AC74">
    <cfRule type="uniqueValues" dxfId="3" priority="19"/>
  </conditionalFormatting>
  <conditionalFormatting sqref="Z78:AC78">
    <cfRule type="uniqueValues" dxfId="2" priority="18"/>
  </conditionalFormatting>
  <conditionalFormatting sqref="Y79:AD79">
    <cfRule type="uniqueValues" dxfId="1" priority="4"/>
  </conditionalFormatting>
  <conditionalFormatting sqref="Y80 AA80:AC80">
    <cfRule type="uniqueValues" dxfId="0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6" t="s">
        <v>60</v>
      </c>
      <c r="B2" s="147"/>
      <c r="C2" s="1" t="s">
        <v>3</v>
      </c>
      <c r="D2" s="1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" t="s">
        <v>3</v>
      </c>
      <c r="L2" s="6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9">
        <f>COUNTIF(Q4:X94,"&lt;&gt;空")</f>
        <v>728</v>
      </c>
      <c r="U2" s="144" t="s">
        <v>4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(VLOOKUP('11.07'!I4,'11.07'!$AM$4:$AO$55,2,FALSE))*IF('11.07'!AK$4="是",'11.07'!$AY$4,'11.07'!$AY$3)</f>
        <v>150</v>
      </c>
      <c r="B4" s="4">
        <f>(VLOOKUP('11.07'!J4,'11.07'!$AM$4:$AO$55,2,FALSE))*IF('11.07'!AL$4="是",'11.07'!$AY$4,'11.07'!$AY$3)</f>
        <v>150</v>
      </c>
      <c r="C4" s="4">
        <f>(VLOOKUP('11.07'!K4,'11.07'!$AM$4:$AO$55,2,FALSE))*IF('11.07'!AM$4="是",'11.07'!$AY$4,'11.07'!$AY$3)</f>
        <v>150</v>
      </c>
      <c r="D4" s="4">
        <f>(VLOOKUP('11.07'!L4,'11.07'!$AM$4:$AO$55,2,FALSE))*IF('11.07'!AN$4="是",'11.07'!$AY$4,'11.07'!$AY$3)</f>
        <v>0</v>
      </c>
      <c r="E4" s="4">
        <f>(VLOOKUP('11.07'!M4,'11.07'!$AM$4:$AO$55,2,FALSE))*IF('11.07'!AO$4="是",'11.07'!$AY$4,'11.07'!$AY$3)</f>
        <v>0</v>
      </c>
      <c r="F4" s="4">
        <f>(VLOOKUP('11.07'!N4,'11.07'!$AM$4:$AO$55,2,FALSE))*IF('11.07'!AQ$4="是",'11.07'!$AY$4,'11.07'!$AY$3)</f>
        <v>0</v>
      </c>
      <c r="G4" s="5">
        <f>(VLOOKUP('11.07'!O4,'11.07'!$AM$4:$AO$55,2,FALSE))*IF('11.07'!AR$4="是",'11.07'!$AY$4,'11.07'!$AY$3)</f>
        <v>0</v>
      </c>
      <c r="H4" s="5">
        <f>(VLOOKUP('11.07'!P4,'11.07'!$AM$4:$AO$55,2,FALSE))*IF('11.07'!AS$4="是",'11.07'!$AY$4,'11.07'!$AY$3)</f>
        <v>0</v>
      </c>
      <c r="I4" s="4">
        <f>(VLOOKUP('11.07'!Q4,'11.07'!$AM$4:$AO$55,2,FALSE))*IF('11.07'!AT$4="是",'11.07'!$AY$4,'11.07'!$AY$3)</f>
        <v>150</v>
      </c>
      <c r="J4" s="4">
        <f>(VLOOKUP('11.07'!R4,'11.07'!$AM$4:$AO$55,2,FALSE))*IF('11.07'!AU$4="是",'11.07'!$AY$4,'11.07'!$AY$3)</f>
        <v>150</v>
      </c>
      <c r="K4" s="4">
        <f>(VLOOKUP('11.07'!S4,'11.07'!$AM$4:$AO$55,2,FALSE))*IF('11.07'!AV$4="是",'11.07'!$AY$4,'11.07'!$AY$3)</f>
        <v>0</v>
      </c>
      <c r="L4" s="4">
        <f>(VLOOKUP('11.07'!T4,'11.07'!$AM$4:$AO$55,2,FALSE))*IF('11.07'!AW$4="是",'11.07'!$AY$4,'11.07'!$AY$3)</f>
        <v>0</v>
      </c>
      <c r="M4" s="4">
        <f>(VLOOKUP('11.07'!U4,'11.07'!$AM$4:$AO$55,2,FALSE))*IF('11.07'!AX$4="是",'11.07'!$AY$4,'11.07'!$AY$3)</f>
        <v>0</v>
      </c>
      <c r="N4" s="4">
        <f>(VLOOKUP('11.07'!V4,'11.07'!$AM$4:$AO$55,2,FALSE))*IF('11.07'!AY$4="是",'11.07'!$AY$4,'11.07'!$AY$3)</f>
        <v>0</v>
      </c>
      <c r="O4" s="5">
        <f>(VLOOKUP('11.07'!W4,'11.07'!$AM$4:$AO$55,2,FALSE))*IF('11.07'!AZ$4="是",'11.07'!$AY$4,'11.07'!$AY$3)</f>
        <v>0</v>
      </c>
      <c r="P4" s="5">
        <f>(VLOOKUP('11.07'!X4,'11.07'!$AM$4:$AO$55,2,FALSE))*IF('11.07'!BA$4="是",'11.07'!$AY$4,'11.07'!$AY$3)</f>
        <v>0</v>
      </c>
      <c r="Q4" s="4">
        <f>(VLOOKUP('11.07'!Y4,'11.07'!$AM$4:$AO$55,2,FALSE))*IF('11.07'!BB$4="是",'11.07'!$AY$4,'11.07'!$AY$3)</f>
        <v>150</v>
      </c>
      <c r="R4" s="4">
        <f>(VLOOKUP('11.07'!Z4,'11.07'!$AM$4:$AO$55,2,FALSE))*IF('11.07'!BC$4="是",'11.07'!$AY$4,'11.07'!$AY$3)</f>
        <v>150</v>
      </c>
      <c r="S4" s="4">
        <f>(VLOOKUP('11.07'!AA4,'11.07'!$AM$4:$AO$55,2,FALSE))*IF('11.07'!BD$4="是",'11.07'!$AY$4,'11.07'!$AY$3)</f>
        <v>150</v>
      </c>
      <c r="T4" s="4">
        <f>(VLOOKUP('11.07'!AB4,'11.07'!$AM$4:$AO$55,2,FALSE))*IF('11.07'!BE$4="是",'11.07'!$AY$4,'11.07'!$AY$3)</f>
        <v>150</v>
      </c>
      <c r="U4" s="4">
        <f>(VLOOKUP('11.07'!AC4,'11.07'!$AM$4:$AO$55,2,FALSE))*IF('11.07'!BF$4="是",'11.07'!$AY$4,'11.07'!$AY$3)</f>
        <v>150</v>
      </c>
      <c r="V4" s="4">
        <f>(VLOOKUP('11.07'!AD4,'11.07'!$AM$4:$AO$55,2,FALSE))*IF('11.07'!BG$4="是",'11.07'!$AY$4,'11.07'!$AY$3)</f>
        <v>50</v>
      </c>
      <c r="W4" s="5">
        <f>(VLOOKUP('11.07'!AE4,'11.07'!$AM$4:$AO$55,2,FALSE))*IF('11.07'!BH$4="是",'11.07'!$AY$4,'11.07'!$AY$3)</f>
        <v>0</v>
      </c>
      <c r="X4" s="5">
        <f>(VLOOKUP('11.07'!AF4,'11.07'!$AM$4:$AO$55,2,FALSE))*IF('11.07'!BI$4="是",'11.07'!$AY$4,'11.07'!$AY$3)</f>
        <v>0</v>
      </c>
    </row>
    <row r="5" spans="1:24">
      <c r="A5" s="4">
        <f>(VLOOKUP('11.07'!I5,'11.07'!$AM$4:$AO$55,2,FALSE))*IF('11.07'!AK$4="是",'11.07'!$AY$4,'11.07'!$AY$3)</f>
        <v>0</v>
      </c>
      <c r="B5" s="4">
        <f>(VLOOKUP('11.07'!J5,'11.07'!$AM$4:$AO$55,2,FALSE))*IF('11.07'!AL$4="是",'11.07'!$AY$4,'11.07'!$AY$3)</f>
        <v>0</v>
      </c>
      <c r="C5" s="4">
        <f>(VLOOKUP('11.07'!K5,'11.07'!$AM$4:$AO$55,2,FALSE))*IF('11.07'!AM$4="是",'11.07'!$AY$4,'11.07'!$AY$3)</f>
        <v>0</v>
      </c>
      <c r="D5" s="4">
        <f>(VLOOKUP('11.07'!L5,'11.07'!$AM$4:$AO$55,2,FALSE))*IF('11.07'!AN$4="是",'11.07'!$AY$4,'11.07'!$AY$3)</f>
        <v>0</v>
      </c>
      <c r="E5" s="4">
        <f>(VLOOKUP('11.07'!M5,'11.07'!$AM$4:$AO$55,2,FALSE))*IF('11.07'!AO$4="是",'11.07'!$AY$4,'11.07'!$AY$3)</f>
        <v>0</v>
      </c>
      <c r="F5" s="4">
        <f>(VLOOKUP('11.07'!N5,'11.07'!$AM$4:$AO$55,2,FALSE))*IF('11.07'!AQ$4="是",'11.07'!$AY$4,'11.07'!$AY$3)</f>
        <v>0</v>
      </c>
      <c r="G5" s="5">
        <f>(VLOOKUP('11.07'!O5,'11.07'!$AM$4:$AO$55,2,FALSE))*IF('11.07'!AR$4="是",'11.07'!$AY$4,'11.07'!$AY$3)</f>
        <v>0</v>
      </c>
      <c r="H5" s="5">
        <f>(VLOOKUP('11.07'!P5,'11.07'!$AM$4:$AO$55,2,FALSE))*IF('11.07'!AS$4="是",'11.07'!$AY$4,'11.07'!$AY$3)</f>
        <v>0</v>
      </c>
      <c r="I5" s="4">
        <f>(VLOOKUP('11.07'!Q5,'11.07'!$AM$4:$AO$55,2,FALSE))*IF('11.07'!AT$4="是",'11.07'!$AY$4,'11.07'!$AY$3)</f>
        <v>0</v>
      </c>
      <c r="J5" s="4">
        <f>(VLOOKUP('11.07'!R5,'11.07'!$AM$4:$AO$55,2,FALSE))*IF('11.07'!AU$4="是",'11.07'!$AY$4,'11.07'!$AY$3)</f>
        <v>0</v>
      </c>
      <c r="K5" s="4">
        <f>(VLOOKUP('11.07'!S5,'11.07'!$AM$4:$AO$55,2,FALSE))*IF('11.07'!AV$4="是",'11.07'!$AY$4,'11.07'!$AY$3)</f>
        <v>0</v>
      </c>
      <c r="L5" s="4">
        <f>(VLOOKUP('11.07'!T5,'11.07'!$AM$4:$AO$55,2,FALSE))*IF('11.07'!AW$4="是",'11.07'!$AY$4,'11.07'!$AY$3)</f>
        <v>0</v>
      </c>
      <c r="M5" s="4">
        <f>(VLOOKUP('11.07'!U5,'11.07'!$AM$4:$AO$55,2,FALSE))*IF('11.07'!AX$4="是",'11.07'!$AY$4,'11.07'!$AY$3)</f>
        <v>0</v>
      </c>
      <c r="N5" s="4">
        <f>(VLOOKUP('11.07'!V5,'11.07'!$AM$4:$AO$55,2,FALSE))*IF('11.07'!AY$4="是",'11.07'!$AY$4,'11.07'!$AY$3)</f>
        <v>0</v>
      </c>
      <c r="O5" s="5">
        <f>(VLOOKUP('11.07'!W5,'11.07'!$AM$4:$AO$55,2,FALSE))*IF('11.07'!AZ$4="是",'11.07'!$AY$4,'11.07'!$AY$3)</f>
        <v>0</v>
      </c>
      <c r="P5" s="5">
        <f>(VLOOKUP('11.07'!X5,'11.07'!$AM$4:$AO$55,2,FALSE))*IF('11.07'!BA$4="是",'11.07'!$AY$4,'11.07'!$AY$3)</f>
        <v>0</v>
      </c>
      <c r="Q5" s="4">
        <f>(VLOOKUP('11.07'!Y5,'11.07'!$AM$4:$AO$55,2,FALSE))*IF('11.07'!BB$4="是",'11.07'!$AY$4,'11.07'!$AY$3)</f>
        <v>150</v>
      </c>
      <c r="R5" s="4">
        <f>(VLOOKUP('11.07'!Z5,'11.07'!$AM$4:$AO$55,2,FALSE))*IF('11.07'!BC$4="是",'11.07'!$AY$4,'11.07'!$AY$3)</f>
        <v>150</v>
      </c>
      <c r="S5" s="4">
        <f>(VLOOKUP('11.07'!AA5,'11.07'!$AM$4:$AO$55,2,FALSE))*IF('11.07'!BD$4="是",'11.07'!$AY$4,'11.07'!$AY$3)</f>
        <v>150</v>
      </c>
      <c r="T5" s="4">
        <f>(VLOOKUP('11.07'!AB5,'11.07'!$AM$4:$AO$55,2,FALSE))*IF('11.07'!BE$4="是",'11.07'!$AY$4,'11.07'!$AY$3)</f>
        <v>-150</v>
      </c>
      <c r="U5" s="4">
        <f>(VLOOKUP('11.07'!AC5,'11.07'!$AM$4:$AO$55,2,FALSE))*IF('11.07'!BF$4="是",'11.07'!$AY$4,'11.07'!$AY$3)</f>
        <v>160</v>
      </c>
      <c r="V5" s="4">
        <f>(VLOOKUP('11.07'!AD5,'11.07'!$AM$4:$AO$55,2,FALSE))*IF('11.07'!BG$4="是",'11.07'!$AY$4,'11.07'!$AY$3)</f>
        <v>160</v>
      </c>
      <c r="W5" s="5">
        <f>(VLOOKUP('11.07'!AE5,'11.07'!$AM$4:$AO$55,2,FALSE))*IF('11.07'!BH$4="是",'11.07'!$AY$4,'11.07'!$AY$3)</f>
        <v>160</v>
      </c>
      <c r="X5" s="5">
        <f>(VLOOKUP('11.07'!AF5,'11.07'!$AM$4:$AO$55,2,FALSE))*IF('11.07'!BI$4="是",'11.07'!$AY$4,'11.07'!$AY$3)</f>
        <v>160</v>
      </c>
    </row>
    <row r="6" spans="1:24">
      <c r="A6" s="4">
        <f>(VLOOKUP('11.07'!I6,'11.07'!$AM$4:$AO$55,2,FALSE))*IF('11.07'!AK$4="是",'11.07'!$AY$4,'11.07'!$AY$3)</f>
        <v>0</v>
      </c>
      <c r="B6" s="4">
        <f>(VLOOKUP('11.07'!J6,'11.07'!$AM$4:$AO$55,2,FALSE))*IF('11.07'!AL$4="是",'11.07'!$AY$4,'11.07'!$AY$3)</f>
        <v>0</v>
      </c>
      <c r="C6" s="4">
        <f>(VLOOKUP('11.07'!K6,'11.07'!$AM$4:$AO$55,2,FALSE))*IF('11.07'!AM$4="是",'11.07'!$AY$4,'11.07'!$AY$3)</f>
        <v>0</v>
      </c>
      <c r="D6" s="4">
        <f>(VLOOKUP('11.07'!L6,'11.07'!$AM$4:$AO$55,2,FALSE))*IF('11.07'!AN$4="是",'11.07'!$AY$4,'11.07'!$AY$3)</f>
        <v>0</v>
      </c>
      <c r="E6" s="4">
        <f>(VLOOKUP('11.07'!M6,'11.07'!$AM$4:$AO$55,2,FALSE))*IF('11.07'!AO$4="是",'11.07'!$AY$4,'11.07'!$AY$3)</f>
        <v>0</v>
      </c>
      <c r="F6" s="4">
        <f>(VLOOKUP('11.07'!N6,'11.07'!$AM$4:$AO$55,2,FALSE))*IF('11.07'!AQ$4="是",'11.07'!$AY$4,'11.07'!$AY$3)</f>
        <v>0</v>
      </c>
      <c r="G6" s="5">
        <f>(VLOOKUP('11.07'!O6,'11.07'!$AM$4:$AO$55,2,FALSE))*IF('11.07'!AR$4="是",'11.07'!$AY$4,'11.07'!$AY$3)</f>
        <v>0</v>
      </c>
      <c r="H6" s="5">
        <f>(VLOOKUP('11.07'!P6,'11.07'!$AM$4:$AO$55,2,FALSE))*IF('11.07'!AS$4="是",'11.07'!$AY$4,'11.07'!$AY$3)</f>
        <v>0</v>
      </c>
      <c r="I6" s="4">
        <f>(VLOOKUP('11.07'!Q6,'11.07'!$AM$4:$AO$55,2,FALSE))*IF('11.07'!AT$4="是",'11.07'!$AY$4,'11.07'!$AY$3)</f>
        <v>0</v>
      </c>
      <c r="J6" s="4">
        <f>(VLOOKUP('11.07'!R6,'11.07'!$AM$4:$AO$55,2,FALSE))*IF('11.07'!AU$4="是",'11.07'!$AY$4,'11.07'!$AY$3)</f>
        <v>0</v>
      </c>
      <c r="K6" s="4">
        <f>(VLOOKUP('11.07'!S6,'11.07'!$AM$4:$AO$55,2,FALSE))*IF('11.07'!AV$4="是",'11.07'!$AY$4,'11.07'!$AY$3)</f>
        <v>0</v>
      </c>
      <c r="L6" s="4">
        <f>(VLOOKUP('11.07'!T6,'11.07'!$AM$4:$AO$55,2,FALSE))*IF('11.07'!AW$4="是",'11.07'!$AY$4,'11.07'!$AY$3)</f>
        <v>0</v>
      </c>
      <c r="M6" s="4">
        <f>(VLOOKUP('11.07'!U6,'11.07'!$AM$4:$AO$55,2,FALSE))*IF('11.07'!AX$4="是",'11.07'!$AY$4,'11.07'!$AY$3)</f>
        <v>0</v>
      </c>
      <c r="N6" s="4">
        <f>(VLOOKUP('11.07'!V6,'11.07'!$AM$4:$AO$55,2,FALSE))*IF('11.07'!AY$4="是",'11.07'!$AY$4,'11.07'!$AY$3)</f>
        <v>0</v>
      </c>
      <c r="O6" s="5">
        <f>(VLOOKUP('11.07'!W6,'11.07'!$AM$4:$AO$55,2,FALSE))*IF('11.07'!AZ$4="是",'11.07'!$AY$4,'11.07'!$AY$3)</f>
        <v>0</v>
      </c>
      <c r="P6" s="5">
        <f>(VLOOKUP('11.07'!X6,'11.07'!$AM$4:$AO$55,2,FALSE))*IF('11.07'!BA$4="是",'11.07'!$AY$4,'11.07'!$AY$3)</f>
        <v>0</v>
      </c>
      <c r="Q6" s="4">
        <f>(VLOOKUP('11.07'!Y6,'11.07'!$AM$4:$AO$55,2,FALSE))*IF('11.07'!BB$4="是",'11.07'!$AY$4,'11.07'!$AY$3)</f>
        <v>50</v>
      </c>
      <c r="R6" s="4">
        <f>(VLOOKUP('11.07'!Z6,'11.07'!$AM$4:$AO$55,2,FALSE))*IF('11.07'!BC$4="是",'11.07'!$AY$4,'11.07'!$AY$3)</f>
        <v>160</v>
      </c>
      <c r="S6" s="4">
        <f>(VLOOKUP('11.07'!AA6,'11.07'!$AM$4:$AO$55,2,FALSE))*IF('11.07'!BD$4="是",'11.07'!$AY$4,'11.07'!$AY$3)</f>
        <v>160</v>
      </c>
      <c r="T6" s="4">
        <f>(VLOOKUP('11.07'!AB6,'11.07'!$AM$4:$AO$55,2,FALSE))*IF('11.07'!BE$4="是",'11.07'!$AY$4,'11.07'!$AY$3)</f>
        <v>160</v>
      </c>
      <c r="U6" s="4">
        <f>(VLOOKUP('11.07'!AC6,'11.07'!$AM$4:$AO$55,2,FALSE))*IF('11.07'!BF$4="是",'11.07'!$AY$4,'11.07'!$AY$3)</f>
        <v>170</v>
      </c>
      <c r="V6" s="4">
        <f>(VLOOKUP('11.07'!AD6,'11.07'!$AM$4:$AO$55,2,FALSE))*IF('11.07'!BG$4="是",'11.07'!$AY$4,'11.07'!$AY$3)</f>
        <v>170</v>
      </c>
      <c r="W6" s="5">
        <f>(VLOOKUP('11.07'!AE6,'11.07'!$AM$4:$AO$55,2,FALSE))*IF('11.07'!BH$4="是",'11.07'!$AY$4,'11.07'!$AY$3)</f>
        <v>0</v>
      </c>
      <c r="X6" s="5">
        <f>(VLOOKUP('11.07'!AF6,'11.07'!$AM$4:$AO$55,2,FALSE))*IF('11.07'!BI$4="是",'11.07'!$AY$4,'11.07'!$AY$3)</f>
        <v>0</v>
      </c>
    </row>
    <row r="7" spans="1:24">
      <c r="A7" s="4">
        <f>(VLOOKUP('11.07'!I7,'11.07'!$AM$4:$AO$55,2,FALSE))*IF('11.07'!AK$4="是",'11.07'!$AY$4,'11.07'!$AY$3)</f>
        <v>50</v>
      </c>
      <c r="B7" s="4">
        <f>(VLOOKUP('11.07'!J7,'11.07'!$AM$4:$AO$55,2,FALSE))*IF('11.07'!AL$4="是",'11.07'!$AY$4,'11.07'!$AY$3)</f>
        <v>170</v>
      </c>
      <c r="C7" s="4">
        <f>(VLOOKUP('11.07'!K7,'11.07'!$AM$4:$AO$55,2,FALSE))*IF('11.07'!AM$4="是",'11.07'!$AY$4,'11.07'!$AY$3)</f>
        <v>170</v>
      </c>
      <c r="D7" s="4">
        <f>(VLOOKUP('11.07'!L7,'11.07'!$AM$4:$AO$55,2,FALSE))*IF('11.07'!AN$4="是",'11.07'!$AY$4,'11.07'!$AY$3)</f>
        <v>170</v>
      </c>
      <c r="E7" s="4">
        <f>(VLOOKUP('11.07'!M7,'11.07'!$AM$4:$AO$55,2,FALSE))*IF('11.07'!AO$4="是",'11.07'!$AY$4,'11.07'!$AY$3)</f>
        <v>170</v>
      </c>
      <c r="F7" s="4">
        <f>(VLOOKUP('11.07'!N7,'11.07'!$AM$4:$AO$55,2,FALSE))*IF('11.07'!AQ$4="是",'11.07'!$AY$4,'11.07'!$AY$3)</f>
        <v>170</v>
      </c>
      <c r="G7" s="5">
        <f>(VLOOKUP('11.07'!O7,'11.07'!$AM$4:$AO$55,2,FALSE))*IF('11.07'!AR$4="是",'11.07'!$AY$4,'11.07'!$AY$3)</f>
        <v>170</v>
      </c>
      <c r="H7" s="5">
        <f>(VLOOKUP('11.07'!P7,'11.07'!$AM$4:$AO$55,2,FALSE))*IF('11.07'!AS$4="是",'11.07'!$AY$4,'11.07'!$AY$3)</f>
        <v>0</v>
      </c>
      <c r="I7" s="4">
        <f>(VLOOKUP('11.07'!Q7,'11.07'!$AM$4:$AO$55,2,FALSE))*IF('11.07'!AT$4="是",'11.07'!$AY$4,'11.07'!$AY$3)</f>
        <v>0</v>
      </c>
      <c r="J7" s="4">
        <f>(VLOOKUP('11.07'!R7,'11.07'!$AM$4:$AO$55,2,FALSE))*IF('11.07'!AU$4="是",'11.07'!$AY$4,'11.07'!$AY$3)</f>
        <v>0</v>
      </c>
      <c r="K7" s="4">
        <f>(VLOOKUP('11.07'!S7,'11.07'!$AM$4:$AO$55,2,FALSE))*IF('11.07'!AV$4="是",'11.07'!$AY$4,'11.07'!$AY$3)</f>
        <v>0</v>
      </c>
      <c r="L7" s="4">
        <f>(VLOOKUP('11.07'!T7,'11.07'!$AM$4:$AO$55,2,FALSE))*IF('11.07'!AW$4="是",'11.07'!$AY$4,'11.07'!$AY$3)</f>
        <v>0</v>
      </c>
      <c r="M7" s="4">
        <f>(VLOOKUP('11.07'!U7,'11.07'!$AM$4:$AO$55,2,FALSE))*IF('11.07'!AX$4="是",'11.07'!$AY$4,'11.07'!$AY$3)</f>
        <v>0</v>
      </c>
      <c r="N7" s="4">
        <f>(VLOOKUP('11.07'!V7,'11.07'!$AM$4:$AO$55,2,FALSE))*IF('11.07'!AY$4="是",'11.07'!$AY$4,'11.07'!$AY$3)</f>
        <v>0</v>
      </c>
      <c r="O7" s="5">
        <f>(VLOOKUP('11.07'!W7,'11.07'!$AM$4:$AO$55,2,FALSE))*IF('11.07'!AZ$4="是",'11.07'!$AY$4,'11.07'!$AY$3)</f>
        <v>0</v>
      </c>
      <c r="P7" s="5">
        <f>(VLOOKUP('11.07'!X7,'11.07'!$AM$4:$AO$55,2,FALSE))*IF('11.07'!BA$4="是",'11.07'!$AY$4,'11.07'!$AY$3)</f>
        <v>0</v>
      </c>
      <c r="Q7" s="4">
        <f>(VLOOKUP('11.07'!Y7,'11.07'!$AM$4:$AO$55,2,FALSE))*IF('11.07'!BB$4="是",'11.07'!$AY$4,'11.07'!$AY$3)</f>
        <v>170</v>
      </c>
      <c r="R7" s="4">
        <f>(VLOOKUP('11.07'!Z7,'11.07'!$AM$4:$AO$55,2,FALSE))*IF('11.07'!BC$4="是",'11.07'!$AY$4,'11.07'!$AY$3)</f>
        <v>50</v>
      </c>
      <c r="S7" s="4">
        <f>(VLOOKUP('11.07'!AA7,'11.07'!$AM$4:$AO$55,2,FALSE))*IF('11.07'!BD$4="是",'11.07'!$AY$4,'11.07'!$AY$3)</f>
        <v>170</v>
      </c>
      <c r="T7" s="4">
        <f>(VLOOKUP('11.07'!AB7,'11.07'!$AM$4:$AO$55,2,FALSE))*IF('11.07'!BE$4="是",'11.07'!$AY$4,'11.07'!$AY$3)</f>
        <v>250</v>
      </c>
      <c r="U7" s="4">
        <f>(VLOOKUP('11.07'!AC7,'11.07'!$AM$4:$AO$55,2,FALSE))*IF('11.07'!BF$4="是",'11.07'!$AY$4,'11.07'!$AY$3)</f>
        <v>170</v>
      </c>
      <c r="V7" s="4">
        <f>(VLOOKUP('11.07'!AD7,'11.07'!$AM$4:$AO$55,2,FALSE))*IF('11.07'!BG$4="是",'11.07'!$AY$4,'11.07'!$AY$3)</f>
        <v>170</v>
      </c>
      <c r="W7" s="5">
        <f>(VLOOKUP('11.07'!AE7,'11.07'!$AM$4:$AO$55,2,FALSE))*IF('11.07'!BH$4="是",'11.07'!$AY$4,'11.07'!$AY$3)</f>
        <v>0</v>
      </c>
      <c r="X7" s="5">
        <f>(VLOOKUP('11.07'!AF7,'11.07'!$AM$4:$AO$55,2,FALSE))*IF('11.07'!BI$4="是",'11.07'!$AY$4,'11.07'!$AY$3)</f>
        <v>0</v>
      </c>
    </row>
    <row r="8" spans="1:24">
      <c r="A8" s="4">
        <f>(VLOOKUP('11.07'!I8,'11.07'!$AM$4:$AO$55,2,FALSE))*IF('11.07'!AK$4="是",'11.07'!$AY$4,'11.07'!$AY$3)</f>
        <v>250</v>
      </c>
      <c r="B8" s="4">
        <f>(VLOOKUP('11.07'!J8,'11.07'!$AM$4:$AO$55,2,FALSE))*IF('11.07'!AL$4="是",'11.07'!$AY$4,'11.07'!$AY$3)</f>
        <v>170</v>
      </c>
      <c r="C8" s="4">
        <f>(VLOOKUP('11.07'!K8,'11.07'!$AM$4:$AO$55,2,FALSE))*IF('11.07'!AM$4="是",'11.07'!$AY$4,'11.07'!$AY$3)</f>
        <v>170</v>
      </c>
      <c r="D8" s="4">
        <f>(VLOOKUP('11.07'!L8,'11.07'!$AM$4:$AO$55,2,FALSE))*IF('11.07'!AN$4="是",'11.07'!$AY$4,'11.07'!$AY$3)</f>
        <v>180</v>
      </c>
      <c r="E8" s="4">
        <f>(VLOOKUP('11.07'!M8,'11.07'!$AM$4:$AO$55,2,FALSE))*IF('11.07'!AO$4="是",'11.07'!$AY$4,'11.07'!$AY$3)</f>
        <v>180</v>
      </c>
      <c r="F8" s="4">
        <f>(VLOOKUP('11.07'!N8,'11.07'!$AM$4:$AO$55,2,FALSE))*IF('11.07'!AQ$4="是",'11.07'!$AY$4,'11.07'!$AY$3)</f>
        <v>170</v>
      </c>
      <c r="G8" s="5">
        <f>(VLOOKUP('11.07'!O8,'11.07'!$AM$4:$AO$55,2,FALSE))*IF('11.07'!AR$4="是",'11.07'!$AY$4,'11.07'!$AY$3)</f>
        <v>0</v>
      </c>
      <c r="H8" s="5">
        <f>(VLOOKUP('11.07'!P8,'11.07'!$AM$4:$AO$55,2,FALSE))*IF('11.07'!AS$4="是",'11.07'!$AY$4,'11.07'!$AY$3)</f>
        <v>0</v>
      </c>
      <c r="I8" s="4">
        <f>(VLOOKUP('11.07'!Q8,'11.07'!$AM$4:$AO$55,2,FALSE))*IF('11.07'!AT$4="是",'11.07'!$AY$4,'11.07'!$AY$3)</f>
        <v>0</v>
      </c>
      <c r="J8" s="4">
        <f>(VLOOKUP('11.07'!R8,'11.07'!$AM$4:$AO$55,2,FALSE))*IF('11.07'!AU$4="是",'11.07'!$AY$4,'11.07'!$AY$3)</f>
        <v>0</v>
      </c>
      <c r="K8" s="4">
        <f>(VLOOKUP('11.07'!S8,'11.07'!$AM$4:$AO$55,2,FALSE))*IF('11.07'!AV$4="是",'11.07'!$AY$4,'11.07'!$AY$3)</f>
        <v>0</v>
      </c>
      <c r="L8" s="4">
        <f>(VLOOKUP('11.07'!T8,'11.07'!$AM$4:$AO$55,2,FALSE))*IF('11.07'!AW$4="是",'11.07'!$AY$4,'11.07'!$AY$3)</f>
        <v>0</v>
      </c>
      <c r="M8" s="4">
        <f>(VLOOKUP('11.07'!U8,'11.07'!$AM$4:$AO$55,2,FALSE))*IF('11.07'!AX$4="是",'11.07'!$AY$4,'11.07'!$AY$3)</f>
        <v>0</v>
      </c>
      <c r="N8" s="4">
        <f>(VLOOKUP('11.07'!V8,'11.07'!$AM$4:$AO$55,2,FALSE))*IF('11.07'!AY$4="是",'11.07'!$AY$4,'11.07'!$AY$3)</f>
        <v>0</v>
      </c>
      <c r="O8" s="5">
        <f>(VLOOKUP('11.07'!W8,'11.07'!$AM$4:$AO$55,2,FALSE))*IF('11.07'!AZ$4="是",'11.07'!$AY$4,'11.07'!$AY$3)</f>
        <v>0</v>
      </c>
      <c r="P8" s="5">
        <f>(VLOOKUP('11.07'!X8,'11.07'!$AM$4:$AO$55,2,FALSE))*IF('11.07'!BA$4="是",'11.07'!$AY$4,'11.07'!$AY$3)</f>
        <v>0</v>
      </c>
      <c r="Q8" s="4">
        <f>(VLOOKUP('11.07'!Y8,'11.07'!$AM$4:$AO$55,2,FALSE))*IF('11.07'!BB$4="是",'11.07'!$AY$4,'11.07'!$AY$3)</f>
        <v>150</v>
      </c>
      <c r="R8" s="4">
        <f>(VLOOKUP('11.07'!Z8,'11.07'!$AM$4:$AO$55,2,FALSE))*IF('11.07'!BC$4="是",'11.07'!$AY$4,'11.07'!$AY$3)</f>
        <v>170</v>
      </c>
      <c r="S8" s="4">
        <f>(VLOOKUP('11.07'!AA8,'11.07'!$AM$4:$AO$55,2,FALSE))*IF('11.07'!BD$4="是",'11.07'!$AY$4,'11.07'!$AY$3)</f>
        <v>170</v>
      </c>
      <c r="T8" s="4">
        <f>(VLOOKUP('11.07'!AB8,'11.07'!$AM$4:$AO$55,2,FALSE))*IF('11.07'!BE$4="是",'11.07'!$AY$4,'11.07'!$AY$3)</f>
        <v>50</v>
      </c>
      <c r="U8" s="4">
        <f>(VLOOKUP('11.07'!AC8,'11.07'!$AM$4:$AO$55,2,FALSE))*IF('11.07'!BF$4="是",'11.07'!$AY$4,'11.07'!$AY$3)</f>
        <v>170</v>
      </c>
      <c r="V8" s="4">
        <f>(VLOOKUP('11.07'!AD8,'11.07'!$AM$4:$AO$55,2,FALSE))*IF('11.07'!BG$4="是",'11.07'!$AY$4,'11.07'!$AY$3)</f>
        <v>170</v>
      </c>
      <c r="W8" s="5">
        <f>(VLOOKUP('11.07'!AE8,'11.07'!$AM$4:$AO$55,2,FALSE))*IF('11.07'!BH$4="是",'11.07'!$AY$4,'11.07'!$AY$3)</f>
        <v>0</v>
      </c>
      <c r="X8" s="5">
        <f>(VLOOKUP('11.07'!AF8,'11.07'!$AM$4:$AO$55,2,FALSE))*IF('11.07'!BI$4="是",'11.07'!$AY$4,'11.07'!$AY$3)</f>
        <v>0</v>
      </c>
    </row>
    <row r="9" spans="1:24">
      <c r="A9" s="4">
        <f>(VLOOKUP('11.07'!I9,'11.07'!$AM$4:$AO$55,2,FALSE))*IF('11.07'!AK$4="是",'11.07'!$AY$4,'11.07'!$AY$3)</f>
        <v>150</v>
      </c>
      <c r="B9" s="4">
        <f>(VLOOKUP('11.07'!J9,'11.07'!$AM$4:$AO$55,2,FALSE))*IF('11.07'!AL$4="是",'11.07'!$AY$4,'11.07'!$AY$3)</f>
        <v>170</v>
      </c>
      <c r="C9" s="4">
        <f>(VLOOKUP('11.07'!K9,'11.07'!$AM$4:$AO$55,2,FALSE))*IF('11.07'!AM$4="是",'11.07'!$AY$4,'11.07'!$AY$3)</f>
        <v>170</v>
      </c>
      <c r="D9" s="4">
        <f>(VLOOKUP('11.07'!L9,'11.07'!$AM$4:$AO$55,2,FALSE))*IF('11.07'!AN$4="是",'11.07'!$AY$4,'11.07'!$AY$3)</f>
        <v>170</v>
      </c>
      <c r="E9" s="4">
        <f>(VLOOKUP('11.07'!M9,'11.07'!$AM$4:$AO$55,2,FALSE))*IF('11.07'!AO$4="是",'11.07'!$AY$4,'11.07'!$AY$3)</f>
        <v>170</v>
      </c>
      <c r="F9" s="4">
        <f>(VLOOKUP('11.07'!N9,'11.07'!$AM$4:$AO$55,2,FALSE))*IF('11.07'!AQ$4="是",'11.07'!$AY$4,'11.07'!$AY$3)</f>
        <v>170</v>
      </c>
      <c r="G9" s="5">
        <f>(VLOOKUP('11.07'!O9,'11.07'!$AM$4:$AO$55,2,FALSE))*IF('11.07'!AR$4="是",'11.07'!$AY$4,'11.07'!$AY$3)</f>
        <v>0</v>
      </c>
      <c r="H9" s="5">
        <f>(VLOOKUP('11.07'!P9,'11.07'!$AM$4:$AO$55,2,FALSE))*IF('11.07'!AS$4="是",'11.07'!$AY$4,'11.07'!$AY$3)</f>
        <v>0</v>
      </c>
      <c r="I9" s="4">
        <f>(VLOOKUP('11.07'!Q9,'11.07'!$AM$4:$AO$55,2,FALSE))*IF('11.07'!AT$4="是",'11.07'!$AY$4,'11.07'!$AY$3)</f>
        <v>0</v>
      </c>
      <c r="J9" s="4">
        <f>(VLOOKUP('11.07'!R9,'11.07'!$AM$4:$AO$55,2,FALSE))*IF('11.07'!AU$4="是",'11.07'!$AY$4,'11.07'!$AY$3)</f>
        <v>0</v>
      </c>
      <c r="K9" s="4">
        <f>(VLOOKUP('11.07'!S9,'11.07'!$AM$4:$AO$55,2,FALSE))*IF('11.07'!AV$4="是",'11.07'!$AY$4,'11.07'!$AY$3)</f>
        <v>0</v>
      </c>
      <c r="L9" s="4">
        <f>(VLOOKUP('11.07'!T9,'11.07'!$AM$4:$AO$55,2,FALSE))*IF('11.07'!AW$4="是",'11.07'!$AY$4,'11.07'!$AY$3)</f>
        <v>0</v>
      </c>
      <c r="M9" s="4">
        <f>(VLOOKUP('11.07'!U9,'11.07'!$AM$4:$AO$55,2,FALSE))*IF('11.07'!AX$4="是",'11.07'!$AY$4,'11.07'!$AY$3)</f>
        <v>0</v>
      </c>
      <c r="N9" s="4">
        <f>(VLOOKUP('11.07'!V9,'11.07'!$AM$4:$AO$55,2,FALSE))*IF('11.07'!AY$4="是",'11.07'!$AY$4,'11.07'!$AY$3)</f>
        <v>0</v>
      </c>
      <c r="O9" s="5">
        <f>(VLOOKUP('11.07'!W9,'11.07'!$AM$4:$AO$55,2,FALSE))*IF('11.07'!AZ$4="是",'11.07'!$AY$4,'11.07'!$AY$3)</f>
        <v>0</v>
      </c>
      <c r="P9" s="5">
        <f>(VLOOKUP('11.07'!X9,'11.07'!$AM$4:$AO$55,2,FALSE))*IF('11.07'!BA$4="是",'11.07'!$AY$4,'11.07'!$AY$3)</f>
        <v>0</v>
      </c>
      <c r="Q9" s="4">
        <f>(VLOOKUP('11.07'!Y9,'11.07'!$AM$4:$AO$55,2,FALSE))*IF('11.07'!BB$4="是",'11.07'!$AY$4,'11.07'!$AY$3)</f>
        <v>170</v>
      </c>
      <c r="R9" s="4">
        <f>(VLOOKUP('11.07'!Z9,'11.07'!$AM$4:$AO$55,2,FALSE))*IF('11.07'!BC$4="是",'11.07'!$AY$4,'11.07'!$AY$3)</f>
        <v>170</v>
      </c>
      <c r="S9" s="4">
        <f>(VLOOKUP('11.07'!AA9,'11.07'!$AM$4:$AO$55,2,FALSE))*IF('11.07'!BD$4="是",'11.07'!$AY$4,'11.07'!$AY$3)</f>
        <v>170</v>
      </c>
      <c r="T9" s="4">
        <f>(VLOOKUP('11.07'!AB9,'11.07'!$AM$4:$AO$55,2,FALSE))*IF('11.07'!BE$4="是",'11.07'!$AY$4,'11.07'!$AY$3)</f>
        <v>170</v>
      </c>
      <c r="U9" s="4">
        <f>(VLOOKUP('11.07'!AC9,'11.07'!$AM$4:$AO$55,2,FALSE))*IF('11.07'!BF$4="是",'11.07'!$AY$4,'11.07'!$AY$3)</f>
        <v>170</v>
      </c>
      <c r="V9" s="4">
        <f>(VLOOKUP('11.07'!AD9,'11.07'!$AM$4:$AO$55,2,FALSE))*IF('11.07'!BG$4="是",'11.07'!$AY$4,'11.07'!$AY$3)</f>
        <v>250</v>
      </c>
      <c r="W9" s="5">
        <f>(VLOOKUP('11.07'!AE9,'11.07'!$AM$4:$AO$55,2,FALSE))*IF('11.07'!BH$4="是",'11.07'!$AY$4,'11.07'!$AY$3)</f>
        <v>0</v>
      </c>
      <c r="X9" s="5">
        <f>(VLOOKUP('11.07'!AF9,'11.07'!$AM$4:$AO$55,2,FALSE))*IF('11.07'!BI$4="是",'11.07'!$AY$4,'11.07'!$AY$3)</f>
        <v>0</v>
      </c>
    </row>
    <row r="10" spans="1:24">
      <c r="A10" s="4">
        <f>(VLOOKUP('11.07'!I10,'11.07'!$AM$4:$AO$55,2,FALSE))*IF('11.07'!AK$4="是",'11.07'!$AY$4,'11.07'!$AY$3)</f>
        <v>170</v>
      </c>
      <c r="B10" s="4">
        <f>(VLOOKUP('11.07'!J10,'11.07'!$AM$4:$AO$55,2,FALSE))*IF('11.07'!AL$4="是",'11.07'!$AY$4,'11.07'!$AY$3)</f>
        <v>170</v>
      </c>
      <c r="C10" s="4">
        <f>(VLOOKUP('11.07'!K10,'11.07'!$AM$4:$AO$55,2,FALSE))*IF('11.07'!AM$4="是",'11.07'!$AY$4,'11.07'!$AY$3)</f>
        <v>170</v>
      </c>
      <c r="D10" s="4">
        <f>(VLOOKUP('11.07'!L10,'11.07'!$AM$4:$AO$55,2,FALSE))*IF('11.07'!AN$4="是",'11.07'!$AY$4,'11.07'!$AY$3)</f>
        <v>170</v>
      </c>
      <c r="E10" s="4">
        <f>(VLOOKUP('11.07'!M10,'11.07'!$AM$4:$AO$55,2,FALSE))*IF('11.07'!AO$4="是",'11.07'!$AY$4,'11.07'!$AY$3)</f>
        <v>170</v>
      </c>
      <c r="F10" s="4">
        <f>(VLOOKUP('11.07'!N10,'11.07'!$AM$4:$AO$55,2,FALSE))*IF('11.07'!AQ$4="是",'11.07'!$AY$4,'11.07'!$AY$3)</f>
        <v>170</v>
      </c>
      <c r="G10" s="5">
        <f>(VLOOKUP('11.07'!O10,'11.07'!$AM$4:$AO$55,2,FALSE))*IF('11.07'!AR$4="是",'11.07'!$AY$4,'11.07'!$AY$3)</f>
        <v>170</v>
      </c>
      <c r="H10" s="5">
        <f>(VLOOKUP('11.07'!P10,'11.07'!$AM$4:$AO$55,2,FALSE))*IF('11.07'!AS$4="是",'11.07'!$AY$4,'11.07'!$AY$3)</f>
        <v>0</v>
      </c>
      <c r="I10" s="4">
        <f>(VLOOKUP('11.07'!Q10,'11.07'!$AM$4:$AO$55,2,FALSE))*IF('11.07'!AT$4="是",'11.07'!$AY$4,'11.07'!$AY$3)</f>
        <v>0</v>
      </c>
      <c r="J10" s="4">
        <f>(VLOOKUP('11.07'!R10,'11.07'!$AM$4:$AO$55,2,FALSE))*IF('11.07'!AU$4="是",'11.07'!$AY$4,'11.07'!$AY$3)</f>
        <v>0</v>
      </c>
      <c r="K10" s="4">
        <f>(VLOOKUP('11.07'!S10,'11.07'!$AM$4:$AO$55,2,FALSE))*IF('11.07'!AV$4="是",'11.07'!$AY$4,'11.07'!$AY$3)</f>
        <v>0</v>
      </c>
      <c r="L10" s="4">
        <f>(VLOOKUP('11.07'!T10,'11.07'!$AM$4:$AO$55,2,FALSE))*IF('11.07'!AW$4="是",'11.07'!$AY$4,'11.07'!$AY$3)</f>
        <v>0</v>
      </c>
      <c r="M10" s="4">
        <f>(VLOOKUP('11.07'!U10,'11.07'!$AM$4:$AO$55,2,FALSE))*IF('11.07'!AX$4="是",'11.07'!$AY$4,'11.07'!$AY$3)</f>
        <v>0</v>
      </c>
      <c r="N10" s="4">
        <f>(VLOOKUP('11.07'!V10,'11.07'!$AM$4:$AO$55,2,FALSE))*IF('11.07'!AY$4="是",'11.07'!$AY$4,'11.07'!$AY$3)</f>
        <v>0</v>
      </c>
      <c r="O10" s="5">
        <f>(VLOOKUP('11.07'!W10,'11.07'!$AM$4:$AO$55,2,FALSE))*IF('11.07'!AZ$4="是",'11.07'!$AY$4,'11.07'!$AY$3)</f>
        <v>0</v>
      </c>
      <c r="P10" s="5">
        <f>(VLOOKUP('11.07'!X10,'11.07'!$AM$4:$AO$55,2,FALSE))*IF('11.07'!BA$4="是",'11.07'!$AY$4,'11.07'!$AY$3)</f>
        <v>0</v>
      </c>
      <c r="Q10" s="4">
        <f>(VLOOKUP('11.07'!Y10,'11.07'!$AM$4:$AO$55,2,FALSE))*IF('11.07'!BB$4="是",'11.07'!$AY$4,'11.07'!$AY$3)</f>
        <v>170</v>
      </c>
      <c r="R10" s="4">
        <f>(VLOOKUP('11.07'!Z10,'11.07'!$AM$4:$AO$55,2,FALSE))*IF('11.07'!BC$4="是",'11.07'!$AY$4,'11.07'!$AY$3)</f>
        <v>170</v>
      </c>
      <c r="S10" s="4">
        <f>(VLOOKUP('11.07'!AA10,'11.07'!$AM$4:$AO$55,2,FALSE))*IF('11.07'!BD$4="是",'11.07'!$AY$4,'11.07'!$AY$3)</f>
        <v>170</v>
      </c>
      <c r="T10" s="4">
        <f>(VLOOKUP('11.07'!AB10,'11.07'!$AM$4:$AO$55,2,FALSE))*IF('11.07'!BE$4="是",'11.07'!$AY$4,'11.07'!$AY$3)</f>
        <v>170</v>
      </c>
      <c r="U10" s="4">
        <f>(VLOOKUP('11.07'!AC10,'11.07'!$AM$4:$AO$55,2,FALSE))*IF('11.07'!BF$4="是",'11.07'!$AY$4,'11.07'!$AY$3)</f>
        <v>170</v>
      </c>
      <c r="V10" s="4">
        <f>(VLOOKUP('11.07'!AD10,'11.07'!$AM$4:$AO$55,2,FALSE))*IF('11.07'!BG$4="是",'11.07'!$AY$4,'11.07'!$AY$3)</f>
        <v>170</v>
      </c>
      <c r="W10" s="5">
        <f>(VLOOKUP('11.07'!AE10,'11.07'!$AM$4:$AO$55,2,FALSE))*IF('11.07'!BH$4="是",'11.07'!$AY$4,'11.07'!$AY$3)</f>
        <v>0</v>
      </c>
      <c r="X10" s="5">
        <f>(VLOOKUP('11.07'!AF10,'11.07'!$AM$4:$AO$55,2,FALSE))*IF('11.07'!BI$4="是",'11.07'!$AY$4,'11.07'!$AY$3)</f>
        <v>0</v>
      </c>
    </row>
    <row r="11" spans="1:24">
      <c r="A11" s="4">
        <f>(VLOOKUP('11.07'!I11,'11.07'!$AM$4:$AO$55,2,FALSE))*IF('11.07'!AK$4="是",'11.07'!$AY$4,'11.07'!$AY$3)</f>
        <v>0</v>
      </c>
      <c r="B11" s="4">
        <f>(VLOOKUP('11.07'!J11,'11.07'!$AM$4:$AO$55,2,FALSE))*IF('11.07'!AL$4="是",'11.07'!$AY$4,'11.07'!$AY$3)</f>
        <v>0</v>
      </c>
      <c r="C11" s="4">
        <f>(VLOOKUP('11.07'!K11,'11.07'!$AM$4:$AO$55,2,FALSE))*IF('11.07'!AM$4="是",'11.07'!$AY$4,'11.07'!$AY$3)</f>
        <v>0</v>
      </c>
      <c r="D11" s="4">
        <f>(VLOOKUP('11.07'!L11,'11.07'!$AM$4:$AO$55,2,FALSE))*IF('11.07'!AN$4="是",'11.07'!$AY$4,'11.07'!$AY$3)</f>
        <v>0</v>
      </c>
      <c r="E11" s="4">
        <f>(VLOOKUP('11.07'!M11,'11.07'!$AM$4:$AO$55,2,FALSE))*IF('11.07'!AO$4="是",'11.07'!$AY$4,'11.07'!$AY$3)</f>
        <v>0</v>
      </c>
      <c r="F11" s="4">
        <f>(VLOOKUP('11.07'!N11,'11.07'!$AM$4:$AO$55,2,FALSE))*IF('11.07'!AQ$4="是",'11.07'!$AY$4,'11.07'!$AY$3)</f>
        <v>0</v>
      </c>
      <c r="G11" s="5">
        <f>(VLOOKUP('11.07'!O11,'11.07'!$AM$4:$AO$55,2,FALSE))*IF('11.07'!AR$4="是",'11.07'!$AY$4,'11.07'!$AY$3)</f>
        <v>0</v>
      </c>
      <c r="H11" s="5">
        <f>(VLOOKUP('11.07'!P11,'11.07'!$AM$4:$AO$55,2,FALSE))*IF('11.07'!AS$4="是",'11.07'!$AY$4,'11.07'!$AY$3)</f>
        <v>0</v>
      </c>
      <c r="I11" s="4">
        <f>(VLOOKUP('11.07'!Q11,'11.07'!$AM$4:$AO$55,2,FALSE))*IF('11.07'!AT$4="是",'11.07'!$AY$4,'11.07'!$AY$3)</f>
        <v>0</v>
      </c>
      <c r="J11" s="4">
        <f>(VLOOKUP('11.07'!R11,'11.07'!$AM$4:$AO$55,2,FALSE))*IF('11.07'!AU$4="是",'11.07'!$AY$4,'11.07'!$AY$3)</f>
        <v>0</v>
      </c>
      <c r="K11" s="4">
        <f>(VLOOKUP('11.07'!S11,'11.07'!$AM$4:$AO$55,2,FALSE))*IF('11.07'!AV$4="是",'11.07'!$AY$4,'11.07'!$AY$3)</f>
        <v>0</v>
      </c>
      <c r="L11" s="4">
        <f>(VLOOKUP('11.07'!T11,'11.07'!$AM$4:$AO$55,2,FALSE))*IF('11.07'!AW$4="是",'11.07'!$AY$4,'11.07'!$AY$3)</f>
        <v>0</v>
      </c>
      <c r="M11" s="4">
        <f>(VLOOKUP('11.07'!U11,'11.07'!$AM$4:$AO$55,2,FALSE))*IF('11.07'!AX$4="是",'11.07'!$AY$4,'11.07'!$AY$3)</f>
        <v>0</v>
      </c>
      <c r="N11" s="4">
        <f>(VLOOKUP('11.07'!V11,'11.07'!$AM$4:$AO$55,2,FALSE))*IF('11.07'!AY$4="是",'11.07'!$AY$4,'11.07'!$AY$3)</f>
        <v>0</v>
      </c>
      <c r="O11" s="5">
        <f>(VLOOKUP('11.07'!W11,'11.07'!$AM$4:$AO$55,2,FALSE))*IF('11.07'!AZ$4="是",'11.07'!$AY$4,'11.07'!$AY$3)</f>
        <v>0</v>
      </c>
      <c r="P11" s="5">
        <f>(VLOOKUP('11.07'!X11,'11.07'!$AM$4:$AO$55,2,FALSE))*IF('11.07'!BA$4="是",'11.07'!$AY$4,'11.07'!$AY$3)</f>
        <v>0</v>
      </c>
      <c r="Q11" s="4">
        <f>(VLOOKUP('11.07'!Y11,'11.07'!$AM$4:$AO$55,2,FALSE))*IF('11.07'!BB$4="是",'11.07'!$AY$4,'11.07'!$AY$3)</f>
        <v>50</v>
      </c>
      <c r="R11" s="4">
        <f>(VLOOKUP('11.07'!Z11,'11.07'!$AM$4:$AO$55,2,FALSE))*IF('11.07'!BC$4="是",'11.07'!$AY$4,'11.07'!$AY$3)</f>
        <v>170</v>
      </c>
      <c r="S11" s="4">
        <f>(VLOOKUP('11.07'!AA11,'11.07'!$AM$4:$AO$55,2,FALSE))*IF('11.07'!BD$4="是",'11.07'!$AY$4,'11.07'!$AY$3)</f>
        <v>170</v>
      </c>
      <c r="T11" s="4">
        <f>(VLOOKUP('11.07'!AB11,'11.07'!$AM$4:$AO$55,2,FALSE))*IF('11.07'!BE$4="是",'11.07'!$AY$4,'11.07'!$AY$3)</f>
        <v>170</v>
      </c>
      <c r="U11" s="4">
        <f>(VLOOKUP('11.07'!AC11,'11.07'!$AM$4:$AO$55,2,FALSE))*IF('11.07'!BF$4="是",'11.07'!$AY$4,'11.07'!$AY$3)</f>
        <v>170</v>
      </c>
      <c r="V11" s="4">
        <f>(VLOOKUP('11.07'!AD11,'11.07'!$AM$4:$AO$55,2,FALSE))*IF('11.07'!BG$4="是",'11.07'!$AY$4,'11.07'!$AY$3)</f>
        <v>170</v>
      </c>
      <c r="W11" s="5">
        <f>(VLOOKUP('11.07'!AE11,'11.07'!$AM$4:$AO$55,2,FALSE))*IF('11.07'!BH$4="是",'11.07'!$AY$4,'11.07'!$AY$3)</f>
        <v>0</v>
      </c>
      <c r="X11" s="5">
        <f>(VLOOKUP('11.07'!AF11,'11.07'!$AM$4:$AO$55,2,FALSE))*IF('11.07'!BI$4="是",'11.07'!$AY$4,'11.07'!$AY$3)</f>
        <v>0</v>
      </c>
    </row>
    <row r="12" spans="1:24">
      <c r="A12" s="4">
        <f>(VLOOKUP('11.07'!I12,'11.07'!$AM$4:$AO$55,2,FALSE))*IF('11.07'!AK$4="是",'11.07'!$AY$4,'11.07'!$AY$3)</f>
        <v>170</v>
      </c>
      <c r="B12" s="4">
        <f>(VLOOKUP('11.07'!J12,'11.07'!$AM$4:$AO$55,2,FALSE))*IF('11.07'!AL$4="是",'11.07'!$AY$4,'11.07'!$AY$3)</f>
        <v>170</v>
      </c>
      <c r="C12" s="4">
        <f>(VLOOKUP('11.07'!K12,'11.07'!$AM$4:$AO$55,2,FALSE))*IF('11.07'!AM$4="是",'11.07'!$AY$4,'11.07'!$AY$3)</f>
        <v>170</v>
      </c>
      <c r="D12" s="4">
        <f>(VLOOKUP('11.07'!L12,'11.07'!$AM$4:$AO$55,2,FALSE))*IF('11.07'!AN$4="是",'11.07'!$AY$4,'11.07'!$AY$3)</f>
        <v>170</v>
      </c>
      <c r="E12" s="4">
        <f>(VLOOKUP('11.07'!M12,'11.07'!$AM$4:$AO$55,2,FALSE))*IF('11.07'!AO$4="是",'11.07'!$AY$4,'11.07'!$AY$3)</f>
        <v>170</v>
      </c>
      <c r="F12" s="4">
        <f>(VLOOKUP('11.07'!N12,'11.07'!$AM$4:$AO$55,2,FALSE))*IF('11.07'!AQ$4="是",'11.07'!$AY$4,'11.07'!$AY$3)</f>
        <v>170</v>
      </c>
      <c r="G12" s="5">
        <f>(VLOOKUP('11.07'!O12,'11.07'!$AM$4:$AO$55,2,FALSE))*IF('11.07'!AR$4="是",'11.07'!$AY$4,'11.07'!$AY$3)</f>
        <v>0</v>
      </c>
      <c r="H12" s="5">
        <f>(VLOOKUP('11.07'!P12,'11.07'!$AM$4:$AO$55,2,FALSE))*IF('11.07'!AS$4="是",'11.07'!$AY$4,'11.07'!$AY$3)</f>
        <v>0</v>
      </c>
      <c r="I12" s="4">
        <f>(VLOOKUP('11.07'!Q12,'11.07'!$AM$4:$AO$55,2,FALSE))*IF('11.07'!AT$4="是",'11.07'!$AY$4,'11.07'!$AY$3)</f>
        <v>0</v>
      </c>
      <c r="J12" s="4">
        <f>(VLOOKUP('11.07'!R12,'11.07'!$AM$4:$AO$55,2,FALSE))*IF('11.07'!AU$4="是",'11.07'!$AY$4,'11.07'!$AY$3)</f>
        <v>0</v>
      </c>
      <c r="K12" s="4">
        <f>(VLOOKUP('11.07'!S12,'11.07'!$AM$4:$AO$55,2,FALSE))*IF('11.07'!AV$4="是",'11.07'!$AY$4,'11.07'!$AY$3)</f>
        <v>0</v>
      </c>
      <c r="L12" s="4">
        <f>(VLOOKUP('11.07'!T12,'11.07'!$AM$4:$AO$55,2,FALSE))*IF('11.07'!AW$4="是",'11.07'!$AY$4,'11.07'!$AY$3)</f>
        <v>0</v>
      </c>
      <c r="M12" s="4">
        <f>(VLOOKUP('11.07'!U12,'11.07'!$AM$4:$AO$55,2,FALSE))*IF('11.07'!AX$4="是",'11.07'!$AY$4,'11.07'!$AY$3)</f>
        <v>0</v>
      </c>
      <c r="N12" s="4">
        <f>(VLOOKUP('11.07'!V12,'11.07'!$AM$4:$AO$55,2,FALSE))*IF('11.07'!AY$4="是",'11.07'!$AY$4,'11.07'!$AY$3)</f>
        <v>0</v>
      </c>
      <c r="O12" s="5">
        <f>(VLOOKUP('11.07'!W12,'11.07'!$AM$4:$AO$55,2,FALSE))*IF('11.07'!AZ$4="是",'11.07'!$AY$4,'11.07'!$AY$3)</f>
        <v>0</v>
      </c>
      <c r="P12" s="5">
        <f>(VLOOKUP('11.07'!X12,'11.07'!$AM$4:$AO$55,2,FALSE))*IF('11.07'!BA$4="是",'11.07'!$AY$4,'11.07'!$AY$3)</f>
        <v>0</v>
      </c>
      <c r="Q12" s="4">
        <f>(VLOOKUP('11.07'!Y12,'11.07'!$AM$4:$AO$55,2,FALSE))*IF('11.07'!BB$4="是",'11.07'!$AY$4,'11.07'!$AY$3)</f>
        <v>170</v>
      </c>
      <c r="R12" s="4">
        <f>(VLOOKUP('11.07'!Z12,'11.07'!$AM$4:$AO$55,2,FALSE))*IF('11.07'!BC$4="是",'11.07'!$AY$4,'11.07'!$AY$3)</f>
        <v>170</v>
      </c>
      <c r="S12" s="4">
        <f>(VLOOKUP('11.07'!AA12,'11.07'!$AM$4:$AO$55,2,FALSE))*IF('11.07'!BD$4="是",'11.07'!$AY$4,'11.07'!$AY$3)</f>
        <v>170</v>
      </c>
      <c r="T12" s="4">
        <f>(VLOOKUP('11.07'!AB12,'11.07'!$AM$4:$AO$55,2,FALSE))*IF('11.07'!BE$4="是",'11.07'!$AY$4,'11.07'!$AY$3)</f>
        <v>170</v>
      </c>
      <c r="U12" s="4">
        <f>(VLOOKUP('11.07'!AC12,'11.07'!$AM$4:$AO$55,2,FALSE))*IF('11.07'!BF$4="是",'11.07'!$AY$4,'11.07'!$AY$3)</f>
        <v>170</v>
      </c>
      <c r="V12" s="4">
        <f>(VLOOKUP('11.07'!AD12,'11.07'!$AM$4:$AO$55,2,FALSE))*IF('11.07'!BG$4="是",'11.07'!$AY$4,'11.07'!$AY$3)</f>
        <v>170</v>
      </c>
      <c r="W12" s="5">
        <f>(VLOOKUP('11.07'!AE12,'11.07'!$AM$4:$AO$55,2,FALSE))*IF('11.07'!BH$4="是",'11.07'!$AY$4,'11.07'!$AY$3)</f>
        <v>0</v>
      </c>
      <c r="X12" s="5">
        <f>(VLOOKUP('11.07'!AF12,'11.07'!$AM$4:$AO$55,2,FALSE))*IF('11.07'!BI$4="是",'11.07'!$AY$4,'11.07'!$AY$3)</f>
        <v>0</v>
      </c>
    </row>
    <row r="13" spans="1:24">
      <c r="A13" s="4">
        <f>(VLOOKUP('11.07'!I13,'11.07'!$AM$4:$AO$55,2,FALSE))*IF('11.07'!AK$4="是",'11.07'!$AY$4,'11.07'!$AY$3)</f>
        <v>170</v>
      </c>
      <c r="B13" s="4">
        <f>(VLOOKUP('11.07'!J13,'11.07'!$AM$4:$AO$55,2,FALSE))*IF('11.07'!AL$4="是",'11.07'!$AY$4,'11.07'!$AY$3)</f>
        <v>150</v>
      </c>
      <c r="C13" s="4">
        <f>(VLOOKUP('11.07'!K13,'11.07'!$AM$4:$AO$55,2,FALSE))*IF('11.07'!AM$4="是",'11.07'!$AY$4,'11.07'!$AY$3)</f>
        <v>170</v>
      </c>
      <c r="D13" s="4">
        <f>(VLOOKUP('11.07'!L13,'11.07'!$AM$4:$AO$55,2,FALSE))*IF('11.07'!AN$4="是",'11.07'!$AY$4,'11.07'!$AY$3)</f>
        <v>170</v>
      </c>
      <c r="E13" s="4">
        <f>(VLOOKUP('11.07'!M13,'11.07'!$AM$4:$AO$55,2,FALSE))*IF('11.07'!AO$4="是",'11.07'!$AY$4,'11.07'!$AY$3)</f>
        <v>170</v>
      </c>
      <c r="F13" s="4">
        <f>(VLOOKUP('11.07'!N13,'11.07'!$AM$4:$AO$55,2,FALSE))*IF('11.07'!AQ$4="是",'11.07'!$AY$4,'11.07'!$AY$3)</f>
        <v>170</v>
      </c>
      <c r="G13" s="5">
        <f>(VLOOKUP('11.07'!O13,'11.07'!$AM$4:$AO$55,2,FALSE))*IF('11.07'!AR$4="是",'11.07'!$AY$4,'11.07'!$AY$3)</f>
        <v>0</v>
      </c>
      <c r="H13" s="5">
        <f>(VLOOKUP('11.07'!P13,'11.07'!$AM$4:$AO$55,2,FALSE))*IF('11.07'!AS$4="是",'11.07'!$AY$4,'11.07'!$AY$3)</f>
        <v>0</v>
      </c>
      <c r="I13" s="4">
        <f>(VLOOKUP('11.07'!Q13,'11.07'!$AM$4:$AO$55,2,FALSE))*IF('11.07'!AT$4="是",'11.07'!$AY$4,'11.07'!$AY$3)</f>
        <v>0</v>
      </c>
      <c r="J13" s="4">
        <f>(VLOOKUP('11.07'!R13,'11.07'!$AM$4:$AO$55,2,FALSE))*IF('11.07'!AU$4="是",'11.07'!$AY$4,'11.07'!$AY$3)</f>
        <v>0</v>
      </c>
      <c r="K13" s="4">
        <f>(VLOOKUP('11.07'!S13,'11.07'!$AM$4:$AO$55,2,FALSE))*IF('11.07'!AV$4="是",'11.07'!$AY$4,'11.07'!$AY$3)</f>
        <v>0</v>
      </c>
      <c r="L13" s="4">
        <f>(VLOOKUP('11.07'!T13,'11.07'!$AM$4:$AO$55,2,FALSE))*IF('11.07'!AW$4="是",'11.07'!$AY$4,'11.07'!$AY$3)</f>
        <v>0</v>
      </c>
      <c r="M13" s="4">
        <f>(VLOOKUP('11.07'!U13,'11.07'!$AM$4:$AO$55,2,FALSE))*IF('11.07'!AX$4="是",'11.07'!$AY$4,'11.07'!$AY$3)</f>
        <v>0</v>
      </c>
      <c r="N13" s="4">
        <f>(VLOOKUP('11.07'!V13,'11.07'!$AM$4:$AO$55,2,FALSE))*IF('11.07'!AY$4="是",'11.07'!$AY$4,'11.07'!$AY$3)</f>
        <v>0</v>
      </c>
      <c r="O13" s="5">
        <f>(VLOOKUP('11.07'!W13,'11.07'!$AM$4:$AO$55,2,FALSE))*IF('11.07'!AZ$4="是",'11.07'!$AY$4,'11.07'!$AY$3)</f>
        <v>0</v>
      </c>
      <c r="P13" s="5">
        <f>(VLOOKUP('11.07'!X13,'11.07'!$AM$4:$AO$55,2,FALSE))*IF('11.07'!BA$4="是",'11.07'!$AY$4,'11.07'!$AY$3)</f>
        <v>0</v>
      </c>
      <c r="Q13" s="4">
        <f>(VLOOKUP('11.07'!Y13,'11.07'!$AM$4:$AO$55,2,FALSE))*IF('11.07'!BB$4="是",'11.07'!$AY$4,'11.07'!$AY$3)</f>
        <v>170</v>
      </c>
      <c r="R13" s="4">
        <f>(VLOOKUP('11.07'!Z13,'11.07'!$AM$4:$AO$55,2,FALSE))*IF('11.07'!BC$4="是",'11.07'!$AY$4,'11.07'!$AY$3)</f>
        <v>170</v>
      </c>
      <c r="S13" s="4">
        <f>(VLOOKUP('11.07'!AA13,'11.07'!$AM$4:$AO$55,2,FALSE))*IF('11.07'!BD$4="是",'11.07'!$AY$4,'11.07'!$AY$3)</f>
        <v>170</v>
      </c>
      <c r="T13" s="4">
        <f>(VLOOKUP('11.07'!AB13,'11.07'!$AM$4:$AO$55,2,FALSE))*IF('11.07'!BE$4="是",'11.07'!$AY$4,'11.07'!$AY$3)</f>
        <v>170</v>
      </c>
      <c r="U13" s="4">
        <f>(VLOOKUP('11.07'!AC13,'11.07'!$AM$4:$AO$55,2,FALSE))*IF('11.07'!BF$4="是",'11.07'!$AY$4,'11.07'!$AY$3)</f>
        <v>170</v>
      </c>
      <c r="V13" s="4">
        <f>(VLOOKUP('11.07'!AD13,'11.07'!$AM$4:$AO$55,2,FALSE))*IF('11.07'!BG$4="是",'11.07'!$AY$4,'11.07'!$AY$3)</f>
        <v>170</v>
      </c>
      <c r="W13" s="5">
        <f>(VLOOKUP('11.07'!AE13,'11.07'!$AM$4:$AO$55,2,FALSE))*IF('11.07'!BH$4="是",'11.07'!$AY$4,'11.07'!$AY$3)</f>
        <v>0</v>
      </c>
      <c r="X13" s="5">
        <f>(VLOOKUP('11.07'!AF13,'11.07'!$AM$4:$AO$55,2,FALSE))*IF('11.07'!BI$4="是",'11.07'!$AY$4,'11.07'!$AY$3)</f>
        <v>0</v>
      </c>
    </row>
    <row r="14" spans="1:24">
      <c r="A14" s="4">
        <f>(VLOOKUP('11.07'!I14,'11.07'!$AM$4:$AO$55,2,FALSE))*IF('11.07'!AK$4="是",'11.07'!$AY$4,'11.07'!$AY$3)</f>
        <v>170</v>
      </c>
      <c r="B14" s="4">
        <f>(VLOOKUP('11.07'!J14,'11.07'!$AM$4:$AO$55,2,FALSE))*IF('11.07'!AL$4="是",'11.07'!$AY$4,'11.07'!$AY$3)</f>
        <v>170</v>
      </c>
      <c r="C14" s="4">
        <f>(VLOOKUP('11.07'!K14,'11.07'!$AM$4:$AO$55,2,FALSE))*IF('11.07'!AM$4="是",'11.07'!$AY$4,'11.07'!$AY$3)</f>
        <v>170</v>
      </c>
      <c r="D14" s="4">
        <f>(VLOOKUP('11.07'!L14,'11.07'!$AM$4:$AO$55,2,FALSE))*IF('11.07'!AN$4="是",'11.07'!$AY$4,'11.07'!$AY$3)</f>
        <v>170</v>
      </c>
      <c r="E14" s="4">
        <f>(VLOOKUP('11.07'!M14,'11.07'!$AM$4:$AO$55,2,FALSE))*IF('11.07'!AO$4="是",'11.07'!$AY$4,'11.07'!$AY$3)</f>
        <v>170</v>
      </c>
      <c r="F14" s="4">
        <f>(VLOOKUP('11.07'!N14,'11.07'!$AM$4:$AO$55,2,FALSE))*IF('11.07'!AQ$4="是",'11.07'!$AY$4,'11.07'!$AY$3)</f>
        <v>170</v>
      </c>
      <c r="G14" s="5">
        <f>(VLOOKUP('11.07'!O14,'11.07'!$AM$4:$AO$55,2,FALSE))*IF('11.07'!AR$4="是",'11.07'!$AY$4,'11.07'!$AY$3)</f>
        <v>0</v>
      </c>
      <c r="H14" s="5">
        <f>(VLOOKUP('11.07'!P14,'11.07'!$AM$4:$AO$55,2,FALSE))*IF('11.07'!AS$4="是",'11.07'!$AY$4,'11.07'!$AY$3)</f>
        <v>0</v>
      </c>
      <c r="I14" s="4">
        <f>(VLOOKUP('11.07'!Q14,'11.07'!$AM$4:$AO$55,2,FALSE))*IF('11.07'!AT$4="是",'11.07'!$AY$4,'11.07'!$AY$3)</f>
        <v>0</v>
      </c>
      <c r="J14" s="4">
        <f>(VLOOKUP('11.07'!R14,'11.07'!$AM$4:$AO$55,2,FALSE))*IF('11.07'!AU$4="是",'11.07'!$AY$4,'11.07'!$AY$3)</f>
        <v>0</v>
      </c>
      <c r="K14" s="4">
        <f>(VLOOKUP('11.07'!S14,'11.07'!$AM$4:$AO$55,2,FALSE))*IF('11.07'!AV$4="是",'11.07'!$AY$4,'11.07'!$AY$3)</f>
        <v>0</v>
      </c>
      <c r="L14" s="4">
        <f>(VLOOKUP('11.07'!T14,'11.07'!$AM$4:$AO$55,2,FALSE))*IF('11.07'!AW$4="是",'11.07'!$AY$4,'11.07'!$AY$3)</f>
        <v>0</v>
      </c>
      <c r="M14" s="4">
        <f>(VLOOKUP('11.07'!U14,'11.07'!$AM$4:$AO$55,2,FALSE))*IF('11.07'!AX$4="是",'11.07'!$AY$4,'11.07'!$AY$3)</f>
        <v>0</v>
      </c>
      <c r="N14" s="4">
        <f>(VLOOKUP('11.07'!V14,'11.07'!$AM$4:$AO$55,2,FALSE))*IF('11.07'!AY$4="是",'11.07'!$AY$4,'11.07'!$AY$3)</f>
        <v>0</v>
      </c>
      <c r="O14" s="5">
        <f>(VLOOKUP('11.07'!W14,'11.07'!$AM$4:$AO$55,2,FALSE))*IF('11.07'!AZ$4="是",'11.07'!$AY$4,'11.07'!$AY$3)</f>
        <v>0</v>
      </c>
      <c r="P14" s="5">
        <f>(VLOOKUP('11.07'!X14,'11.07'!$AM$4:$AO$55,2,FALSE))*IF('11.07'!BA$4="是",'11.07'!$AY$4,'11.07'!$AY$3)</f>
        <v>0</v>
      </c>
      <c r="Q14" s="4">
        <f>(VLOOKUP('11.07'!Y14,'11.07'!$AM$4:$AO$55,2,FALSE))*IF('11.07'!BB$4="是",'11.07'!$AY$4,'11.07'!$AY$3)</f>
        <v>170</v>
      </c>
      <c r="R14" s="4">
        <f>(VLOOKUP('11.07'!Z14,'11.07'!$AM$4:$AO$55,2,FALSE))*IF('11.07'!BC$4="是",'11.07'!$AY$4,'11.07'!$AY$3)</f>
        <v>170</v>
      </c>
      <c r="S14" s="4">
        <f>(VLOOKUP('11.07'!AA14,'11.07'!$AM$4:$AO$55,2,FALSE))*IF('11.07'!BD$4="是",'11.07'!$AY$4,'11.07'!$AY$3)</f>
        <v>170</v>
      </c>
      <c r="T14" s="4">
        <f>(VLOOKUP('11.07'!AB14,'11.07'!$AM$4:$AO$55,2,FALSE))*IF('11.07'!BE$4="是",'11.07'!$AY$4,'11.07'!$AY$3)</f>
        <v>170</v>
      </c>
      <c r="U14" s="4">
        <f>(VLOOKUP('11.07'!AC14,'11.07'!$AM$4:$AO$55,2,FALSE))*IF('11.07'!BF$4="是",'11.07'!$AY$4,'11.07'!$AY$3)</f>
        <v>50</v>
      </c>
      <c r="V14" s="4">
        <f>(VLOOKUP('11.07'!AD14,'11.07'!$AM$4:$AO$55,2,FALSE))*IF('11.07'!BG$4="是",'11.07'!$AY$4,'11.07'!$AY$3)</f>
        <v>170</v>
      </c>
      <c r="W14" s="5">
        <f>(VLOOKUP('11.07'!AE14,'11.07'!$AM$4:$AO$55,2,FALSE))*IF('11.07'!BH$4="是",'11.07'!$AY$4,'11.07'!$AY$3)</f>
        <v>0</v>
      </c>
      <c r="X14" s="5">
        <f>(VLOOKUP('11.07'!AF14,'11.07'!$AM$4:$AO$55,2,FALSE))*IF('11.07'!BI$4="是",'11.07'!$AY$4,'11.07'!$AY$3)</f>
        <v>0</v>
      </c>
    </row>
    <row r="15" spans="1:24">
      <c r="A15" s="4">
        <f>(VLOOKUP('11.07'!I15,'11.07'!$AM$4:$AO$55,2,FALSE))*IF('11.07'!AK$4="是",'11.07'!$AY$4,'11.07'!$AY$3)</f>
        <v>170</v>
      </c>
      <c r="B15" s="4">
        <f>(VLOOKUP('11.07'!J15,'11.07'!$AM$4:$AO$55,2,FALSE))*IF('11.07'!AL$4="是",'11.07'!$AY$4,'11.07'!$AY$3)</f>
        <v>170</v>
      </c>
      <c r="C15" s="4">
        <f>(VLOOKUP('11.07'!K15,'11.07'!$AM$4:$AO$55,2,FALSE))*IF('11.07'!AM$4="是",'11.07'!$AY$4,'11.07'!$AY$3)</f>
        <v>170</v>
      </c>
      <c r="D15" s="4">
        <f>(VLOOKUP('11.07'!L15,'11.07'!$AM$4:$AO$55,2,FALSE))*IF('11.07'!AN$4="是",'11.07'!$AY$4,'11.07'!$AY$3)</f>
        <v>170</v>
      </c>
      <c r="E15" s="4">
        <f>(VLOOKUP('11.07'!M15,'11.07'!$AM$4:$AO$55,2,FALSE))*IF('11.07'!AO$4="是",'11.07'!$AY$4,'11.07'!$AY$3)</f>
        <v>170</v>
      </c>
      <c r="F15" s="4">
        <f>(VLOOKUP('11.07'!N15,'11.07'!$AM$4:$AO$55,2,FALSE))*IF('11.07'!AQ$4="是",'11.07'!$AY$4,'11.07'!$AY$3)</f>
        <v>170</v>
      </c>
      <c r="G15" s="5">
        <f>(VLOOKUP('11.07'!O15,'11.07'!$AM$4:$AO$55,2,FALSE))*IF('11.07'!AR$4="是",'11.07'!$AY$4,'11.07'!$AY$3)</f>
        <v>0</v>
      </c>
      <c r="H15" s="5">
        <f>(VLOOKUP('11.07'!P15,'11.07'!$AM$4:$AO$55,2,FALSE))*IF('11.07'!AS$4="是",'11.07'!$AY$4,'11.07'!$AY$3)</f>
        <v>0</v>
      </c>
      <c r="I15" s="4">
        <f>(VLOOKUP('11.07'!Q15,'11.07'!$AM$4:$AO$55,2,FALSE))*IF('11.07'!AT$4="是",'11.07'!$AY$4,'11.07'!$AY$3)</f>
        <v>0</v>
      </c>
      <c r="J15" s="4">
        <f>(VLOOKUP('11.07'!R15,'11.07'!$AM$4:$AO$55,2,FALSE))*IF('11.07'!AU$4="是",'11.07'!$AY$4,'11.07'!$AY$3)</f>
        <v>0</v>
      </c>
      <c r="K15" s="4">
        <f>(VLOOKUP('11.07'!S15,'11.07'!$AM$4:$AO$55,2,FALSE))*IF('11.07'!AV$4="是",'11.07'!$AY$4,'11.07'!$AY$3)</f>
        <v>0</v>
      </c>
      <c r="L15" s="4">
        <f>(VLOOKUP('11.07'!T15,'11.07'!$AM$4:$AO$55,2,FALSE))*IF('11.07'!AW$4="是",'11.07'!$AY$4,'11.07'!$AY$3)</f>
        <v>0</v>
      </c>
      <c r="M15" s="4">
        <f>(VLOOKUP('11.07'!U15,'11.07'!$AM$4:$AO$55,2,FALSE))*IF('11.07'!AX$4="是",'11.07'!$AY$4,'11.07'!$AY$3)</f>
        <v>0</v>
      </c>
      <c r="N15" s="4">
        <f>(VLOOKUP('11.07'!V15,'11.07'!$AM$4:$AO$55,2,FALSE))*IF('11.07'!AY$4="是",'11.07'!$AY$4,'11.07'!$AY$3)</f>
        <v>0</v>
      </c>
      <c r="O15" s="5">
        <f>(VLOOKUP('11.07'!W15,'11.07'!$AM$4:$AO$55,2,FALSE))*IF('11.07'!AZ$4="是",'11.07'!$AY$4,'11.07'!$AY$3)</f>
        <v>0</v>
      </c>
      <c r="P15" s="5">
        <f>(VLOOKUP('11.07'!X15,'11.07'!$AM$4:$AO$55,2,FALSE))*IF('11.07'!BA$4="是",'11.07'!$AY$4,'11.07'!$AY$3)</f>
        <v>0</v>
      </c>
      <c r="Q15" s="4">
        <f>(VLOOKUP('11.07'!Y15,'11.07'!$AM$4:$AO$55,2,FALSE))*IF('11.07'!BB$4="是",'11.07'!$AY$4,'11.07'!$AY$3)</f>
        <v>170</v>
      </c>
      <c r="R15" s="4">
        <f>(VLOOKUP('11.07'!Z15,'11.07'!$AM$4:$AO$55,2,FALSE))*IF('11.07'!BC$4="是",'11.07'!$AY$4,'11.07'!$AY$3)</f>
        <v>170</v>
      </c>
      <c r="S15" s="4">
        <f>(VLOOKUP('11.07'!AA15,'11.07'!$AM$4:$AO$55,2,FALSE))*IF('11.07'!BD$4="是",'11.07'!$AY$4,'11.07'!$AY$3)</f>
        <v>170</v>
      </c>
      <c r="T15" s="4">
        <f>(VLOOKUP('11.07'!AB15,'11.07'!$AM$4:$AO$55,2,FALSE))*IF('11.07'!BE$4="是",'11.07'!$AY$4,'11.07'!$AY$3)</f>
        <v>170</v>
      </c>
      <c r="U15" s="4">
        <f>(VLOOKUP('11.07'!AC15,'11.07'!$AM$4:$AO$55,2,FALSE))*IF('11.07'!BF$4="是",'11.07'!$AY$4,'11.07'!$AY$3)</f>
        <v>170</v>
      </c>
      <c r="V15" s="4">
        <f>(VLOOKUP('11.07'!AD15,'11.07'!$AM$4:$AO$55,2,FALSE))*IF('11.07'!BG$4="是",'11.07'!$AY$4,'11.07'!$AY$3)</f>
        <v>170</v>
      </c>
      <c r="W15" s="5">
        <f>(VLOOKUP('11.07'!AE15,'11.07'!$AM$4:$AO$55,2,FALSE))*IF('11.07'!BH$4="是",'11.07'!$AY$4,'11.07'!$AY$3)</f>
        <v>0</v>
      </c>
      <c r="X15" s="5">
        <f>(VLOOKUP('11.07'!AF15,'11.07'!$AM$4:$AO$55,2,FALSE))*IF('11.07'!BI$4="是",'11.07'!$AY$4,'11.07'!$AY$3)</f>
        <v>0</v>
      </c>
    </row>
    <row r="16" spans="1:24">
      <c r="A16" s="4">
        <f>(VLOOKUP('11.07'!I16,'11.07'!$AM$4:$AO$55,2,FALSE))*IF('11.07'!AK$4="是",'11.07'!$AY$4,'11.07'!$AY$3)</f>
        <v>170</v>
      </c>
      <c r="B16" s="4">
        <f>(VLOOKUP('11.07'!J16,'11.07'!$AM$4:$AO$55,2,FALSE))*IF('11.07'!AL$4="是",'11.07'!$AY$4,'11.07'!$AY$3)</f>
        <v>170</v>
      </c>
      <c r="C16" s="4">
        <f>(VLOOKUP('11.07'!K16,'11.07'!$AM$4:$AO$55,2,FALSE))*IF('11.07'!AM$4="是",'11.07'!$AY$4,'11.07'!$AY$3)</f>
        <v>170</v>
      </c>
      <c r="D16" s="4">
        <f>(VLOOKUP('11.07'!L16,'11.07'!$AM$4:$AO$55,2,FALSE))*IF('11.07'!AN$4="是",'11.07'!$AY$4,'11.07'!$AY$3)</f>
        <v>170</v>
      </c>
      <c r="E16" s="4">
        <f>(VLOOKUP('11.07'!M16,'11.07'!$AM$4:$AO$55,2,FALSE))*IF('11.07'!AO$4="是",'11.07'!$AY$4,'11.07'!$AY$3)</f>
        <v>170</v>
      </c>
      <c r="F16" s="4">
        <f>(VLOOKUP('11.07'!N16,'11.07'!$AM$4:$AO$55,2,FALSE))*IF('11.07'!AQ$4="是",'11.07'!$AY$4,'11.07'!$AY$3)</f>
        <v>170</v>
      </c>
      <c r="G16" s="5">
        <f>(VLOOKUP('11.07'!O16,'11.07'!$AM$4:$AO$55,2,FALSE))*IF('11.07'!AR$4="是",'11.07'!$AY$4,'11.07'!$AY$3)</f>
        <v>0</v>
      </c>
      <c r="H16" s="5">
        <f>(VLOOKUP('11.07'!P16,'11.07'!$AM$4:$AO$55,2,FALSE))*IF('11.07'!AS$4="是",'11.07'!$AY$4,'11.07'!$AY$3)</f>
        <v>0</v>
      </c>
      <c r="I16" s="4">
        <f>(VLOOKUP('11.07'!Q16,'11.07'!$AM$4:$AO$55,2,FALSE))*IF('11.07'!AT$4="是",'11.07'!$AY$4,'11.07'!$AY$3)</f>
        <v>0</v>
      </c>
      <c r="J16" s="4">
        <f>(VLOOKUP('11.07'!R16,'11.07'!$AM$4:$AO$55,2,FALSE))*IF('11.07'!AU$4="是",'11.07'!$AY$4,'11.07'!$AY$3)</f>
        <v>0</v>
      </c>
      <c r="K16" s="4">
        <f>(VLOOKUP('11.07'!S16,'11.07'!$AM$4:$AO$55,2,FALSE))*IF('11.07'!AV$4="是",'11.07'!$AY$4,'11.07'!$AY$3)</f>
        <v>0</v>
      </c>
      <c r="L16" s="4">
        <f>(VLOOKUP('11.07'!T16,'11.07'!$AM$4:$AO$55,2,FALSE))*IF('11.07'!AW$4="是",'11.07'!$AY$4,'11.07'!$AY$3)</f>
        <v>0</v>
      </c>
      <c r="M16" s="4">
        <f>(VLOOKUP('11.07'!U16,'11.07'!$AM$4:$AO$55,2,FALSE))*IF('11.07'!AX$4="是",'11.07'!$AY$4,'11.07'!$AY$3)</f>
        <v>0</v>
      </c>
      <c r="N16" s="4">
        <f>(VLOOKUP('11.07'!V16,'11.07'!$AM$4:$AO$55,2,FALSE))*IF('11.07'!AY$4="是",'11.07'!$AY$4,'11.07'!$AY$3)</f>
        <v>0</v>
      </c>
      <c r="O16" s="5">
        <f>(VLOOKUP('11.07'!W16,'11.07'!$AM$4:$AO$55,2,FALSE))*IF('11.07'!AZ$4="是",'11.07'!$AY$4,'11.07'!$AY$3)</f>
        <v>0</v>
      </c>
      <c r="P16" s="5">
        <f>(VLOOKUP('11.07'!X16,'11.07'!$AM$4:$AO$55,2,FALSE))*IF('11.07'!BA$4="是",'11.07'!$AY$4,'11.07'!$AY$3)</f>
        <v>0</v>
      </c>
      <c r="Q16" s="4">
        <f>(VLOOKUP('11.07'!Y16,'11.07'!$AM$4:$AO$55,2,FALSE))*IF('11.07'!BB$4="是",'11.07'!$AY$4,'11.07'!$AY$3)</f>
        <v>170</v>
      </c>
      <c r="R16" s="4">
        <f>(VLOOKUP('11.07'!Z16,'11.07'!$AM$4:$AO$55,2,FALSE))*IF('11.07'!BC$4="是",'11.07'!$AY$4,'11.07'!$AY$3)</f>
        <v>170</v>
      </c>
      <c r="S16" s="4">
        <f>(VLOOKUP('11.07'!AA16,'11.07'!$AM$4:$AO$55,2,FALSE))*IF('11.07'!BD$4="是",'11.07'!$AY$4,'11.07'!$AY$3)</f>
        <v>170</v>
      </c>
      <c r="T16" s="4">
        <f>(VLOOKUP('11.07'!AB16,'11.07'!$AM$4:$AO$55,2,FALSE))*IF('11.07'!BE$4="是",'11.07'!$AY$4,'11.07'!$AY$3)</f>
        <v>170</v>
      </c>
      <c r="U16" s="4">
        <f>(VLOOKUP('11.07'!AC16,'11.07'!$AM$4:$AO$55,2,FALSE))*IF('11.07'!BF$4="是",'11.07'!$AY$4,'11.07'!$AY$3)</f>
        <v>170</v>
      </c>
      <c r="V16" s="4">
        <f>(VLOOKUP('11.07'!AD16,'11.07'!$AM$4:$AO$55,2,FALSE))*IF('11.07'!BG$4="是",'11.07'!$AY$4,'11.07'!$AY$3)</f>
        <v>170</v>
      </c>
      <c r="W16" s="5">
        <f>(VLOOKUP('11.07'!AE16,'11.07'!$AM$4:$AO$55,2,FALSE))*IF('11.07'!BH$4="是",'11.07'!$AY$4,'11.07'!$AY$3)</f>
        <v>0</v>
      </c>
      <c r="X16" s="5">
        <f>(VLOOKUP('11.07'!AF16,'11.07'!$AM$4:$AO$55,2,FALSE))*IF('11.07'!BI$4="是",'11.07'!$AY$4,'11.07'!$AY$3)</f>
        <v>0</v>
      </c>
    </row>
    <row r="17" spans="1:24">
      <c r="A17" s="4">
        <f>(VLOOKUP('11.07'!I17,'11.07'!$AM$4:$AO$55,2,FALSE))*IF('11.07'!AK$4="是",'11.07'!$AY$4,'11.07'!$AY$3)</f>
        <v>170</v>
      </c>
      <c r="B17" s="4">
        <f>(VLOOKUP('11.07'!J17,'11.07'!$AM$4:$AO$55,2,FALSE))*IF('11.07'!AL$4="是",'11.07'!$AY$4,'11.07'!$AY$3)</f>
        <v>170</v>
      </c>
      <c r="C17" s="4">
        <f>(VLOOKUP('11.07'!K17,'11.07'!$AM$4:$AO$55,2,FALSE))*IF('11.07'!AM$4="是",'11.07'!$AY$4,'11.07'!$AY$3)</f>
        <v>170</v>
      </c>
      <c r="D17" s="4">
        <f>(VLOOKUP('11.07'!L17,'11.07'!$AM$4:$AO$55,2,FALSE))*IF('11.07'!AN$4="是",'11.07'!$AY$4,'11.07'!$AY$3)</f>
        <v>150</v>
      </c>
      <c r="E17" s="4">
        <f>(VLOOKUP('11.07'!M17,'11.07'!$AM$4:$AO$55,2,FALSE))*IF('11.07'!AO$4="是",'11.07'!$AY$4,'11.07'!$AY$3)</f>
        <v>170</v>
      </c>
      <c r="F17" s="4">
        <f>(VLOOKUP('11.07'!N17,'11.07'!$AM$4:$AO$55,2,FALSE))*IF('11.07'!AQ$4="是",'11.07'!$AY$4,'11.07'!$AY$3)</f>
        <v>170</v>
      </c>
      <c r="G17" s="5">
        <f>(VLOOKUP('11.07'!O17,'11.07'!$AM$4:$AO$55,2,FALSE))*IF('11.07'!AR$4="是",'11.07'!$AY$4,'11.07'!$AY$3)</f>
        <v>0</v>
      </c>
      <c r="H17" s="5">
        <f>(VLOOKUP('11.07'!P17,'11.07'!$AM$4:$AO$55,2,FALSE))*IF('11.07'!AS$4="是",'11.07'!$AY$4,'11.07'!$AY$3)</f>
        <v>0</v>
      </c>
      <c r="I17" s="4">
        <f>(VLOOKUP('11.07'!Q17,'11.07'!$AM$4:$AO$55,2,FALSE))*IF('11.07'!AT$4="是",'11.07'!$AY$4,'11.07'!$AY$3)</f>
        <v>0</v>
      </c>
      <c r="J17" s="4">
        <f>(VLOOKUP('11.07'!R17,'11.07'!$AM$4:$AO$55,2,FALSE))*IF('11.07'!AU$4="是",'11.07'!$AY$4,'11.07'!$AY$3)</f>
        <v>0</v>
      </c>
      <c r="K17" s="4">
        <f>(VLOOKUP('11.07'!S17,'11.07'!$AM$4:$AO$55,2,FALSE))*IF('11.07'!AV$4="是",'11.07'!$AY$4,'11.07'!$AY$3)</f>
        <v>0</v>
      </c>
      <c r="L17" s="4">
        <f>(VLOOKUP('11.07'!T17,'11.07'!$AM$4:$AO$55,2,FALSE))*IF('11.07'!AW$4="是",'11.07'!$AY$4,'11.07'!$AY$3)</f>
        <v>0</v>
      </c>
      <c r="M17" s="4">
        <f>(VLOOKUP('11.07'!U17,'11.07'!$AM$4:$AO$55,2,FALSE))*IF('11.07'!AX$4="是",'11.07'!$AY$4,'11.07'!$AY$3)</f>
        <v>0</v>
      </c>
      <c r="N17" s="4">
        <f>(VLOOKUP('11.07'!V17,'11.07'!$AM$4:$AO$55,2,FALSE))*IF('11.07'!AY$4="是",'11.07'!$AY$4,'11.07'!$AY$3)</f>
        <v>0</v>
      </c>
      <c r="O17" s="5">
        <f>(VLOOKUP('11.07'!W17,'11.07'!$AM$4:$AO$55,2,FALSE))*IF('11.07'!AZ$4="是",'11.07'!$AY$4,'11.07'!$AY$3)</f>
        <v>0</v>
      </c>
      <c r="P17" s="5">
        <f>(VLOOKUP('11.07'!X17,'11.07'!$AM$4:$AO$55,2,FALSE))*IF('11.07'!BA$4="是",'11.07'!$AY$4,'11.07'!$AY$3)</f>
        <v>0</v>
      </c>
      <c r="Q17" s="4">
        <f>(VLOOKUP('11.07'!Y17,'11.07'!$AM$4:$AO$55,2,FALSE))*IF('11.07'!BB$4="是",'11.07'!$AY$4,'11.07'!$AY$3)</f>
        <v>170</v>
      </c>
      <c r="R17" s="4">
        <f>(VLOOKUP('11.07'!Z17,'11.07'!$AM$4:$AO$55,2,FALSE))*IF('11.07'!BC$4="是",'11.07'!$AY$4,'11.07'!$AY$3)</f>
        <v>170</v>
      </c>
      <c r="S17" s="4">
        <f>(VLOOKUP('11.07'!AA17,'11.07'!$AM$4:$AO$55,2,FALSE))*IF('11.07'!BD$4="是",'11.07'!$AY$4,'11.07'!$AY$3)</f>
        <v>170</v>
      </c>
      <c r="T17" s="4">
        <f>(VLOOKUP('11.07'!AB17,'11.07'!$AM$4:$AO$55,2,FALSE))*IF('11.07'!BE$4="是",'11.07'!$AY$4,'11.07'!$AY$3)</f>
        <v>170</v>
      </c>
      <c r="U17" s="4">
        <f>(VLOOKUP('11.07'!AC17,'11.07'!$AM$4:$AO$55,2,FALSE))*IF('11.07'!BF$4="是",'11.07'!$AY$4,'11.07'!$AY$3)</f>
        <v>150</v>
      </c>
      <c r="V17" s="4">
        <f>(VLOOKUP('11.07'!AD17,'11.07'!$AM$4:$AO$55,2,FALSE))*IF('11.07'!BG$4="是",'11.07'!$AY$4,'11.07'!$AY$3)</f>
        <v>170</v>
      </c>
      <c r="W17" s="5">
        <f>(VLOOKUP('11.07'!AE17,'11.07'!$AM$4:$AO$55,2,FALSE))*IF('11.07'!BH$4="是",'11.07'!$AY$4,'11.07'!$AY$3)</f>
        <v>0</v>
      </c>
      <c r="X17" s="5">
        <f>(VLOOKUP('11.07'!AF17,'11.07'!$AM$4:$AO$55,2,FALSE))*IF('11.07'!BI$4="是",'11.07'!$AY$4,'11.07'!$AY$3)</f>
        <v>0</v>
      </c>
    </row>
    <row r="18" spans="1:24">
      <c r="A18" s="4">
        <f>(VLOOKUP('11.07'!I18,'11.07'!$AM$4:$AO$55,2,FALSE))*IF('11.07'!AK$4="是",'11.07'!$AY$4,'11.07'!$AY$3)</f>
        <v>170</v>
      </c>
      <c r="B18" s="4">
        <f>(VLOOKUP('11.07'!J18,'11.07'!$AM$4:$AO$55,2,FALSE))*IF('11.07'!AL$4="是",'11.07'!$AY$4,'11.07'!$AY$3)</f>
        <v>170</v>
      </c>
      <c r="C18" s="4">
        <f>(VLOOKUP('11.07'!K18,'11.07'!$AM$4:$AO$55,2,FALSE))*IF('11.07'!AM$4="是",'11.07'!$AY$4,'11.07'!$AY$3)</f>
        <v>170</v>
      </c>
      <c r="D18" s="4">
        <f>(VLOOKUP('11.07'!L18,'11.07'!$AM$4:$AO$55,2,FALSE))*IF('11.07'!AN$4="是",'11.07'!$AY$4,'11.07'!$AY$3)</f>
        <v>170</v>
      </c>
      <c r="E18" s="4">
        <f>(VLOOKUP('11.07'!M18,'11.07'!$AM$4:$AO$55,2,FALSE))*IF('11.07'!AO$4="是",'11.07'!$AY$4,'11.07'!$AY$3)</f>
        <v>170</v>
      </c>
      <c r="F18" s="4">
        <f>(VLOOKUP('11.07'!N18,'11.07'!$AM$4:$AO$55,2,FALSE))*IF('11.07'!AQ$4="是",'11.07'!$AY$4,'11.07'!$AY$3)</f>
        <v>170</v>
      </c>
      <c r="G18" s="5">
        <f>(VLOOKUP('11.07'!O18,'11.07'!$AM$4:$AO$55,2,FALSE))*IF('11.07'!AR$4="是",'11.07'!$AY$4,'11.07'!$AY$3)</f>
        <v>0</v>
      </c>
      <c r="H18" s="5">
        <f>(VLOOKUP('11.07'!P18,'11.07'!$AM$4:$AO$55,2,FALSE))*IF('11.07'!AS$4="是",'11.07'!$AY$4,'11.07'!$AY$3)</f>
        <v>0</v>
      </c>
      <c r="I18" s="4">
        <f>(VLOOKUP('11.07'!Q18,'11.07'!$AM$4:$AO$55,2,FALSE))*IF('11.07'!AT$4="是",'11.07'!$AY$4,'11.07'!$AY$3)</f>
        <v>0</v>
      </c>
      <c r="J18" s="4">
        <f>(VLOOKUP('11.07'!R18,'11.07'!$AM$4:$AO$55,2,FALSE))*IF('11.07'!AU$4="是",'11.07'!$AY$4,'11.07'!$AY$3)</f>
        <v>0</v>
      </c>
      <c r="K18" s="4">
        <f>(VLOOKUP('11.07'!S18,'11.07'!$AM$4:$AO$55,2,FALSE))*IF('11.07'!AV$4="是",'11.07'!$AY$4,'11.07'!$AY$3)</f>
        <v>0</v>
      </c>
      <c r="L18" s="4">
        <f>(VLOOKUP('11.07'!T18,'11.07'!$AM$4:$AO$55,2,FALSE))*IF('11.07'!AW$4="是",'11.07'!$AY$4,'11.07'!$AY$3)</f>
        <v>0</v>
      </c>
      <c r="M18" s="4">
        <f>(VLOOKUP('11.07'!U18,'11.07'!$AM$4:$AO$55,2,FALSE))*IF('11.07'!AX$4="是",'11.07'!$AY$4,'11.07'!$AY$3)</f>
        <v>0</v>
      </c>
      <c r="N18" s="4">
        <f>(VLOOKUP('11.07'!V18,'11.07'!$AM$4:$AO$55,2,FALSE))*IF('11.07'!AY$4="是",'11.07'!$AY$4,'11.07'!$AY$3)</f>
        <v>0</v>
      </c>
      <c r="O18" s="5">
        <f>(VLOOKUP('11.07'!W18,'11.07'!$AM$4:$AO$55,2,FALSE))*IF('11.07'!AZ$4="是",'11.07'!$AY$4,'11.07'!$AY$3)</f>
        <v>0</v>
      </c>
      <c r="P18" s="5">
        <f>(VLOOKUP('11.07'!X18,'11.07'!$AM$4:$AO$55,2,FALSE))*IF('11.07'!BA$4="是",'11.07'!$AY$4,'11.07'!$AY$3)</f>
        <v>0</v>
      </c>
      <c r="Q18" s="4">
        <f>(VLOOKUP('11.07'!Y18,'11.07'!$AM$4:$AO$55,2,FALSE))*IF('11.07'!BB$4="是",'11.07'!$AY$4,'11.07'!$AY$3)</f>
        <v>170</v>
      </c>
      <c r="R18" s="4">
        <f>(VLOOKUP('11.07'!Z18,'11.07'!$AM$4:$AO$55,2,FALSE))*IF('11.07'!BC$4="是",'11.07'!$AY$4,'11.07'!$AY$3)</f>
        <v>170</v>
      </c>
      <c r="S18" s="4">
        <f>(VLOOKUP('11.07'!AA18,'11.07'!$AM$4:$AO$55,2,FALSE))*IF('11.07'!BD$4="是",'11.07'!$AY$4,'11.07'!$AY$3)</f>
        <v>170</v>
      </c>
      <c r="T18" s="4">
        <f>(VLOOKUP('11.07'!AB18,'11.07'!$AM$4:$AO$55,2,FALSE))*IF('11.07'!BE$4="是",'11.07'!$AY$4,'11.07'!$AY$3)</f>
        <v>170</v>
      </c>
      <c r="U18" s="4">
        <f>(VLOOKUP('11.07'!AC18,'11.07'!$AM$4:$AO$55,2,FALSE))*IF('11.07'!BF$4="是",'11.07'!$AY$4,'11.07'!$AY$3)</f>
        <v>170</v>
      </c>
      <c r="V18" s="4">
        <f>(VLOOKUP('11.07'!AD18,'11.07'!$AM$4:$AO$55,2,FALSE))*IF('11.07'!BG$4="是",'11.07'!$AY$4,'11.07'!$AY$3)</f>
        <v>170</v>
      </c>
      <c r="W18" s="5">
        <f>(VLOOKUP('11.07'!AE18,'11.07'!$AM$4:$AO$55,2,FALSE))*IF('11.07'!BH$4="是",'11.07'!$AY$4,'11.07'!$AY$3)</f>
        <v>0</v>
      </c>
      <c r="X18" s="5">
        <f>(VLOOKUP('11.07'!AF18,'11.07'!$AM$4:$AO$55,2,FALSE))*IF('11.07'!BI$4="是",'11.07'!$AY$4,'11.07'!$AY$3)</f>
        <v>0</v>
      </c>
    </row>
    <row r="19" spans="1:24">
      <c r="A19" s="4">
        <f>(VLOOKUP('11.07'!I19,'11.07'!$AM$4:$AO$55,2,FALSE))*IF('11.07'!AK$4="是",'11.07'!$AY$4,'11.07'!$AY$3)</f>
        <v>170</v>
      </c>
      <c r="B19" s="4">
        <f>(VLOOKUP('11.07'!J19,'11.07'!$AM$4:$AO$55,2,FALSE))*IF('11.07'!AL$4="是",'11.07'!$AY$4,'11.07'!$AY$3)</f>
        <v>170</v>
      </c>
      <c r="C19" s="4">
        <f>(VLOOKUP('11.07'!K19,'11.07'!$AM$4:$AO$55,2,FALSE))*IF('11.07'!AM$4="是",'11.07'!$AY$4,'11.07'!$AY$3)</f>
        <v>170</v>
      </c>
      <c r="D19" s="4">
        <f>(VLOOKUP('11.07'!L19,'11.07'!$AM$4:$AO$55,2,FALSE))*IF('11.07'!AN$4="是",'11.07'!$AY$4,'11.07'!$AY$3)</f>
        <v>170</v>
      </c>
      <c r="E19" s="4">
        <f>(VLOOKUP('11.07'!M19,'11.07'!$AM$4:$AO$55,2,FALSE))*IF('11.07'!AO$4="是",'11.07'!$AY$4,'11.07'!$AY$3)</f>
        <v>170</v>
      </c>
      <c r="F19" s="4">
        <f>(VLOOKUP('11.07'!N19,'11.07'!$AM$4:$AO$55,2,FALSE))*IF('11.07'!AQ$4="是",'11.07'!$AY$4,'11.07'!$AY$3)</f>
        <v>170</v>
      </c>
      <c r="G19" s="5">
        <f>(VLOOKUP('11.07'!O19,'11.07'!$AM$4:$AO$55,2,FALSE))*IF('11.07'!AR$4="是",'11.07'!$AY$4,'11.07'!$AY$3)</f>
        <v>0</v>
      </c>
      <c r="H19" s="5">
        <f>(VLOOKUP('11.07'!P19,'11.07'!$AM$4:$AO$55,2,FALSE))*IF('11.07'!AS$4="是",'11.07'!$AY$4,'11.07'!$AY$3)</f>
        <v>0</v>
      </c>
      <c r="I19" s="4">
        <f>(VLOOKUP('11.07'!Q19,'11.07'!$AM$4:$AO$55,2,FALSE))*IF('11.07'!AT$4="是",'11.07'!$AY$4,'11.07'!$AY$3)</f>
        <v>0</v>
      </c>
      <c r="J19" s="4">
        <f>(VLOOKUP('11.07'!R19,'11.07'!$AM$4:$AO$55,2,FALSE))*IF('11.07'!AU$4="是",'11.07'!$AY$4,'11.07'!$AY$3)</f>
        <v>0</v>
      </c>
      <c r="K19" s="4">
        <f>(VLOOKUP('11.07'!S19,'11.07'!$AM$4:$AO$55,2,FALSE))*IF('11.07'!AV$4="是",'11.07'!$AY$4,'11.07'!$AY$3)</f>
        <v>0</v>
      </c>
      <c r="L19" s="4">
        <f>(VLOOKUP('11.07'!T19,'11.07'!$AM$4:$AO$55,2,FALSE))*IF('11.07'!AW$4="是",'11.07'!$AY$4,'11.07'!$AY$3)</f>
        <v>0</v>
      </c>
      <c r="M19" s="4">
        <f>(VLOOKUP('11.07'!U19,'11.07'!$AM$4:$AO$55,2,FALSE))*IF('11.07'!AX$4="是",'11.07'!$AY$4,'11.07'!$AY$3)</f>
        <v>0</v>
      </c>
      <c r="N19" s="4">
        <f>(VLOOKUP('11.07'!V19,'11.07'!$AM$4:$AO$55,2,FALSE))*IF('11.07'!AY$4="是",'11.07'!$AY$4,'11.07'!$AY$3)</f>
        <v>0</v>
      </c>
      <c r="O19" s="5">
        <f>(VLOOKUP('11.07'!W19,'11.07'!$AM$4:$AO$55,2,FALSE))*IF('11.07'!AZ$4="是",'11.07'!$AY$4,'11.07'!$AY$3)</f>
        <v>0</v>
      </c>
      <c r="P19" s="5">
        <f>(VLOOKUP('11.07'!X19,'11.07'!$AM$4:$AO$55,2,FALSE))*IF('11.07'!BA$4="是",'11.07'!$AY$4,'11.07'!$AY$3)</f>
        <v>0</v>
      </c>
      <c r="Q19" s="4">
        <f>(VLOOKUP('11.07'!Y19,'11.07'!$AM$4:$AO$55,2,FALSE))*IF('11.07'!BB$4="是",'11.07'!$AY$4,'11.07'!$AY$3)</f>
        <v>170</v>
      </c>
      <c r="R19" s="4">
        <f>(VLOOKUP('11.07'!Z19,'11.07'!$AM$4:$AO$55,2,FALSE))*IF('11.07'!BC$4="是",'11.07'!$AY$4,'11.07'!$AY$3)</f>
        <v>50</v>
      </c>
      <c r="S19" s="4">
        <f>(VLOOKUP('11.07'!AA19,'11.07'!$AM$4:$AO$55,2,FALSE))*IF('11.07'!BD$4="是",'11.07'!$AY$4,'11.07'!$AY$3)</f>
        <v>170</v>
      </c>
      <c r="T19" s="4">
        <f>(VLOOKUP('11.07'!AB19,'11.07'!$AM$4:$AO$55,2,FALSE))*IF('11.07'!BE$4="是",'11.07'!$AY$4,'11.07'!$AY$3)</f>
        <v>170</v>
      </c>
      <c r="U19" s="4">
        <f>(VLOOKUP('11.07'!AC19,'11.07'!$AM$4:$AO$55,2,FALSE))*IF('11.07'!BF$4="是",'11.07'!$AY$4,'11.07'!$AY$3)</f>
        <v>170</v>
      </c>
      <c r="V19" s="4">
        <f>(VLOOKUP('11.07'!AD19,'11.07'!$AM$4:$AO$55,2,FALSE))*IF('11.07'!BG$4="是",'11.07'!$AY$4,'11.07'!$AY$3)</f>
        <v>170</v>
      </c>
      <c r="W19" s="5">
        <f>(VLOOKUP('11.07'!AE19,'11.07'!$AM$4:$AO$55,2,FALSE))*IF('11.07'!BH$4="是",'11.07'!$AY$4,'11.07'!$AY$3)</f>
        <v>0</v>
      </c>
      <c r="X19" s="5">
        <f>(VLOOKUP('11.07'!AF19,'11.07'!$AM$4:$AO$55,2,FALSE))*IF('11.07'!BI$4="是",'11.07'!$AY$4,'11.07'!$AY$3)</f>
        <v>0</v>
      </c>
    </row>
    <row r="20" spans="1:24">
      <c r="A20" s="4">
        <f>(VLOOKUP('11.07'!I20,'11.07'!$AM$4:$AO$55,2,FALSE))*IF('11.07'!AK$4="是",'11.07'!$AY$4,'11.07'!$AY$3)</f>
        <v>170</v>
      </c>
      <c r="B20" s="4">
        <f>(VLOOKUP('11.07'!J20,'11.07'!$AM$4:$AO$55,2,FALSE))*IF('11.07'!AL$4="是",'11.07'!$AY$4,'11.07'!$AY$3)</f>
        <v>170</v>
      </c>
      <c r="C20" s="4">
        <f>(VLOOKUP('11.07'!K20,'11.07'!$AM$4:$AO$55,2,FALSE))*IF('11.07'!AM$4="是",'11.07'!$AY$4,'11.07'!$AY$3)</f>
        <v>170</v>
      </c>
      <c r="D20" s="4">
        <f>(VLOOKUP('11.07'!L20,'11.07'!$AM$4:$AO$55,2,FALSE))*IF('11.07'!AN$4="是",'11.07'!$AY$4,'11.07'!$AY$3)</f>
        <v>170</v>
      </c>
      <c r="E20" s="4">
        <f>(VLOOKUP('11.07'!M20,'11.07'!$AM$4:$AO$55,2,FALSE))*IF('11.07'!AO$4="是",'11.07'!$AY$4,'11.07'!$AY$3)</f>
        <v>170</v>
      </c>
      <c r="F20" s="4">
        <f>(VLOOKUP('11.07'!N20,'11.07'!$AM$4:$AO$55,2,FALSE))*IF('11.07'!AQ$4="是",'11.07'!$AY$4,'11.07'!$AY$3)</f>
        <v>170</v>
      </c>
      <c r="G20" s="5">
        <f>(VLOOKUP('11.07'!O20,'11.07'!$AM$4:$AO$55,2,FALSE))*IF('11.07'!AR$4="是",'11.07'!$AY$4,'11.07'!$AY$3)</f>
        <v>0</v>
      </c>
      <c r="H20" s="5">
        <f>(VLOOKUP('11.07'!P20,'11.07'!$AM$4:$AO$55,2,FALSE))*IF('11.07'!AS$4="是",'11.07'!$AY$4,'11.07'!$AY$3)</f>
        <v>0</v>
      </c>
      <c r="I20" s="4">
        <f>(VLOOKUP('11.07'!Q20,'11.07'!$AM$4:$AO$55,2,FALSE))*IF('11.07'!AT$4="是",'11.07'!$AY$4,'11.07'!$AY$3)</f>
        <v>0</v>
      </c>
      <c r="J20" s="4">
        <f>(VLOOKUP('11.07'!R20,'11.07'!$AM$4:$AO$55,2,FALSE))*IF('11.07'!AU$4="是",'11.07'!$AY$4,'11.07'!$AY$3)</f>
        <v>0</v>
      </c>
      <c r="K20" s="4">
        <f>(VLOOKUP('11.07'!S20,'11.07'!$AM$4:$AO$55,2,FALSE))*IF('11.07'!AV$4="是",'11.07'!$AY$4,'11.07'!$AY$3)</f>
        <v>0</v>
      </c>
      <c r="L20" s="4">
        <f>(VLOOKUP('11.07'!T20,'11.07'!$AM$4:$AO$55,2,FALSE))*IF('11.07'!AW$4="是",'11.07'!$AY$4,'11.07'!$AY$3)</f>
        <v>0</v>
      </c>
      <c r="M20" s="4">
        <f>(VLOOKUP('11.07'!U20,'11.07'!$AM$4:$AO$55,2,FALSE))*IF('11.07'!AX$4="是",'11.07'!$AY$4,'11.07'!$AY$3)</f>
        <v>0</v>
      </c>
      <c r="N20" s="4">
        <f>(VLOOKUP('11.07'!V20,'11.07'!$AM$4:$AO$55,2,FALSE))*IF('11.07'!AY$4="是",'11.07'!$AY$4,'11.07'!$AY$3)</f>
        <v>0</v>
      </c>
      <c r="O20" s="5">
        <f>(VLOOKUP('11.07'!W20,'11.07'!$AM$4:$AO$55,2,FALSE))*IF('11.07'!AZ$4="是",'11.07'!$AY$4,'11.07'!$AY$3)</f>
        <v>0</v>
      </c>
      <c r="P20" s="5">
        <f>(VLOOKUP('11.07'!X20,'11.07'!$AM$4:$AO$55,2,FALSE))*IF('11.07'!BA$4="是",'11.07'!$AY$4,'11.07'!$AY$3)</f>
        <v>0</v>
      </c>
      <c r="Q20" s="4">
        <f>(VLOOKUP('11.07'!Y20,'11.07'!$AM$4:$AO$55,2,FALSE))*IF('11.07'!BB$4="是",'11.07'!$AY$4,'11.07'!$AY$3)</f>
        <v>170</v>
      </c>
      <c r="R20" s="4">
        <f>(VLOOKUP('11.07'!Z20,'11.07'!$AM$4:$AO$55,2,FALSE))*IF('11.07'!BC$4="是",'11.07'!$AY$4,'11.07'!$AY$3)</f>
        <v>170</v>
      </c>
      <c r="S20" s="4">
        <f>(VLOOKUP('11.07'!AA20,'11.07'!$AM$4:$AO$55,2,FALSE))*IF('11.07'!BD$4="是",'11.07'!$AY$4,'11.07'!$AY$3)</f>
        <v>170</v>
      </c>
      <c r="T20" s="4">
        <f>(VLOOKUP('11.07'!AB20,'11.07'!$AM$4:$AO$55,2,FALSE))*IF('11.07'!BE$4="是",'11.07'!$AY$4,'11.07'!$AY$3)</f>
        <v>170</v>
      </c>
      <c r="U20" s="4">
        <f>(VLOOKUP('11.07'!AC20,'11.07'!$AM$4:$AO$55,2,FALSE))*IF('11.07'!BF$4="是",'11.07'!$AY$4,'11.07'!$AY$3)</f>
        <v>170</v>
      </c>
      <c r="V20" s="4">
        <f>(VLOOKUP('11.07'!AD20,'11.07'!$AM$4:$AO$55,2,FALSE))*IF('11.07'!BG$4="是",'11.07'!$AY$4,'11.07'!$AY$3)</f>
        <v>170</v>
      </c>
      <c r="W20" s="5">
        <f>(VLOOKUP('11.07'!AE20,'11.07'!$AM$4:$AO$55,2,FALSE))*IF('11.07'!BH$4="是",'11.07'!$AY$4,'11.07'!$AY$3)</f>
        <v>0</v>
      </c>
      <c r="X20" s="5">
        <f>(VLOOKUP('11.07'!AF20,'11.07'!$AM$4:$AO$55,2,FALSE))*IF('11.07'!BI$4="是",'11.07'!$AY$4,'11.07'!$AY$3)</f>
        <v>0</v>
      </c>
    </row>
    <row r="21" spans="1:24">
      <c r="A21" s="4">
        <f>(VLOOKUP('11.07'!I21,'11.07'!$AM$4:$AO$55,2,FALSE))*IF('11.07'!AK$4="是",'11.07'!$AY$4,'11.07'!$AY$3)</f>
        <v>170</v>
      </c>
      <c r="B21" s="4">
        <f>(VLOOKUP('11.07'!J21,'11.07'!$AM$4:$AO$55,2,FALSE))*IF('11.07'!AL$4="是",'11.07'!$AY$4,'11.07'!$AY$3)</f>
        <v>170</v>
      </c>
      <c r="C21" s="4">
        <f>(VLOOKUP('11.07'!K21,'11.07'!$AM$4:$AO$55,2,FALSE))*IF('11.07'!AM$4="是",'11.07'!$AY$4,'11.07'!$AY$3)</f>
        <v>170</v>
      </c>
      <c r="D21" s="4">
        <f>(VLOOKUP('11.07'!L21,'11.07'!$AM$4:$AO$55,2,FALSE))*IF('11.07'!AN$4="是",'11.07'!$AY$4,'11.07'!$AY$3)</f>
        <v>170</v>
      </c>
      <c r="E21" s="4">
        <f>(VLOOKUP('11.07'!M21,'11.07'!$AM$4:$AO$55,2,FALSE))*IF('11.07'!AO$4="是",'11.07'!$AY$4,'11.07'!$AY$3)</f>
        <v>170</v>
      </c>
      <c r="F21" s="4">
        <f>(VLOOKUP('11.07'!N21,'11.07'!$AM$4:$AO$55,2,FALSE))*IF('11.07'!AQ$4="是",'11.07'!$AY$4,'11.07'!$AY$3)</f>
        <v>170</v>
      </c>
      <c r="G21" s="5">
        <f>(VLOOKUP('11.07'!O21,'11.07'!$AM$4:$AO$55,2,FALSE))*IF('11.07'!AR$4="是",'11.07'!$AY$4,'11.07'!$AY$3)</f>
        <v>0</v>
      </c>
      <c r="H21" s="5">
        <f>(VLOOKUP('11.07'!P21,'11.07'!$AM$4:$AO$55,2,FALSE))*IF('11.07'!AS$4="是",'11.07'!$AY$4,'11.07'!$AY$3)</f>
        <v>0</v>
      </c>
      <c r="I21" s="4">
        <f>(VLOOKUP('11.07'!Q21,'11.07'!$AM$4:$AO$55,2,FALSE))*IF('11.07'!AT$4="是",'11.07'!$AY$4,'11.07'!$AY$3)</f>
        <v>0</v>
      </c>
      <c r="J21" s="4">
        <f>(VLOOKUP('11.07'!R21,'11.07'!$AM$4:$AO$55,2,FALSE))*IF('11.07'!AU$4="是",'11.07'!$AY$4,'11.07'!$AY$3)</f>
        <v>0</v>
      </c>
      <c r="K21" s="4">
        <f>(VLOOKUP('11.07'!S21,'11.07'!$AM$4:$AO$55,2,FALSE))*IF('11.07'!AV$4="是",'11.07'!$AY$4,'11.07'!$AY$3)</f>
        <v>0</v>
      </c>
      <c r="L21" s="4">
        <f>(VLOOKUP('11.07'!T21,'11.07'!$AM$4:$AO$55,2,FALSE))*IF('11.07'!AW$4="是",'11.07'!$AY$4,'11.07'!$AY$3)</f>
        <v>0</v>
      </c>
      <c r="M21" s="4">
        <f>(VLOOKUP('11.07'!U21,'11.07'!$AM$4:$AO$55,2,FALSE))*IF('11.07'!AX$4="是",'11.07'!$AY$4,'11.07'!$AY$3)</f>
        <v>0</v>
      </c>
      <c r="N21" s="4">
        <f>(VLOOKUP('11.07'!V21,'11.07'!$AM$4:$AO$55,2,FALSE))*IF('11.07'!AY$4="是",'11.07'!$AY$4,'11.07'!$AY$3)</f>
        <v>0</v>
      </c>
      <c r="O21" s="5">
        <f>(VLOOKUP('11.07'!W21,'11.07'!$AM$4:$AO$55,2,FALSE))*IF('11.07'!AZ$4="是",'11.07'!$AY$4,'11.07'!$AY$3)</f>
        <v>0</v>
      </c>
      <c r="P21" s="5">
        <f>(VLOOKUP('11.07'!X21,'11.07'!$AM$4:$AO$55,2,FALSE))*IF('11.07'!BA$4="是",'11.07'!$AY$4,'11.07'!$AY$3)</f>
        <v>0</v>
      </c>
      <c r="Q21" s="4">
        <f>(VLOOKUP('11.07'!Y21,'11.07'!$AM$4:$AO$55,2,FALSE))*IF('11.07'!BB$4="是",'11.07'!$AY$4,'11.07'!$AY$3)</f>
        <v>170</v>
      </c>
      <c r="R21" s="4">
        <f>(VLOOKUP('11.07'!Z21,'11.07'!$AM$4:$AO$55,2,FALSE))*IF('11.07'!BC$4="是",'11.07'!$AY$4,'11.07'!$AY$3)</f>
        <v>170</v>
      </c>
      <c r="S21" s="4">
        <f>(VLOOKUP('11.07'!AA21,'11.07'!$AM$4:$AO$55,2,FALSE))*IF('11.07'!BD$4="是",'11.07'!$AY$4,'11.07'!$AY$3)</f>
        <v>170</v>
      </c>
      <c r="T21" s="4">
        <f>(VLOOKUP('11.07'!AB21,'11.07'!$AM$4:$AO$55,2,FALSE))*IF('11.07'!BE$4="是",'11.07'!$AY$4,'11.07'!$AY$3)</f>
        <v>170</v>
      </c>
      <c r="U21" s="4">
        <f>(VLOOKUP('11.07'!AC21,'11.07'!$AM$4:$AO$55,2,FALSE))*IF('11.07'!BF$4="是",'11.07'!$AY$4,'11.07'!$AY$3)</f>
        <v>170</v>
      </c>
      <c r="V21" s="4">
        <f>(VLOOKUP('11.07'!AD21,'11.07'!$AM$4:$AO$55,2,FALSE))*IF('11.07'!BG$4="是",'11.07'!$AY$4,'11.07'!$AY$3)</f>
        <v>170</v>
      </c>
      <c r="W21" s="5">
        <f>(VLOOKUP('11.07'!AE21,'11.07'!$AM$4:$AO$55,2,FALSE))*IF('11.07'!BH$4="是",'11.07'!$AY$4,'11.07'!$AY$3)</f>
        <v>0</v>
      </c>
      <c r="X21" s="5">
        <f>(VLOOKUP('11.07'!AF21,'11.07'!$AM$4:$AO$55,2,FALSE))*IF('11.07'!BI$4="是",'11.07'!$AY$4,'11.07'!$AY$3)</f>
        <v>0</v>
      </c>
    </row>
    <row r="22" spans="1:24">
      <c r="A22" s="4">
        <f>(VLOOKUP('11.07'!I22,'11.07'!$AM$4:$AO$55,2,FALSE))*IF('11.07'!AK$4="是",'11.07'!$AY$4,'11.07'!$AY$3)</f>
        <v>170</v>
      </c>
      <c r="B22" s="4">
        <f>(VLOOKUP('11.07'!J22,'11.07'!$AM$4:$AO$55,2,FALSE))*IF('11.07'!AL$4="是",'11.07'!$AY$4,'11.07'!$AY$3)</f>
        <v>170</v>
      </c>
      <c r="C22" s="4">
        <f>(VLOOKUP('11.07'!K22,'11.07'!$AM$4:$AO$55,2,FALSE))*IF('11.07'!AM$4="是",'11.07'!$AY$4,'11.07'!$AY$3)</f>
        <v>170</v>
      </c>
      <c r="D22" s="4">
        <f>(VLOOKUP('11.07'!L22,'11.07'!$AM$4:$AO$55,2,FALSE))*IF('11.07'!AN$4="是",'11.07'!$AY$4,'11.07'!$AY$3)</f>
        <v>170</v>
      </c>
      <c r="E22" s="4">
        <f>(VLOOKUP('11.07'!M22,'11.07'!$AM$4:$AO$55,2,FALSE))*IF('11.07'!AO$4="是",'11.07'!$AY$4,'11.07'!$AY$3)</f>
        <v>170</v>
      </c>
      <c r="F22" s="4">
        <f>(VLOOKUP('11.07'!N22,'11.07'!$AM$4:$AO$55,2,FALSE))*IF('11.07'!AQ$4="是",'11.07'!$AY$4,'11.07'!$AY$3)</f>
        <v>170</v>
      </c>
      <c r="G22" s="5">
        <f>(VLOOKUP('11.07'!O22,'11.07'!$AM$4:$AO$55,2,FALSE))*IF('11.07'!AR$4="是",'11.07'!$AY$4,'11.07'!$AY$3)</f>
        <v>0</v>
      </c>
      <c r="H22" s="5">
        <f>(VLOOKUP('11.07'!P22,'11.07'!$AM$4:$AO$55,2,FALSE))*IF('11.07'!AS$4="是",'11.07'!$AY$4,'11.07'!$AY$3)</f>
        <v>0</v>
      </c>
      <c r="I22" s="4">
        <f>(VLOOKUP('11.07'!Q22,'11.07'!$AM$4:$AO$55,2,FALSE))*IF('11.07'!AT$4="是",'11.07'!$AY$4,'11.07'!$AY$3)</f>
        <v>0</v>
      </c>
      <c r="J22" s="4">
        <f>(VLOOKUP('11.07'!R22,'11.07'!$AM$4:$AO$55,2,FALSE))*IF('11.07'!AU$4="是",'11.07'!$AY$4,'11.07'!$AY$3)</f>
        <v>0</v>
      </c>
      <c r="K22" s="4">
        <f>(VLOOKUP('11.07'!S22,'11.07'!$AM$4:$AO$55,2,FALSE))*IF('11.07'!AV$4="是",'11.07'!$AY$4,'11.07'!$AY$3)</f>
        <v>0</v>
      </c>
      <c r="L22" s="4">
        <f>(VLOOKUP('11.07'!T22,'11.07'!$AM$4:$AO$55,2,FALSE))*IF('11.07'!AW$4="是",'11.07'!$AY$4,'11.07'!$AY$3)</f>
        <v>0</v>
      </c>
      <c r="M22" s="4">
        <f>(VLOOKUP('11.07'!U22,'11.07'!$AM$4:$AO$55,2,FALSE))*IF('11.07'!AX$4="是",'11.07'!$AY$4,'11.07'!$AY$3)</f>
        <v>0</v>
      </c>
      <c r="N22" s="4">
        <f>(VLOOKUP('11.07'!V22,'11.07'!$AM$4:$AO$55,2,FALSE))*IF('11.07'!AY$4="是",'11.07'!$AY$4,'11.07'!$AY$3)</f>
        <v>0</v>
      </c>
      <c r="O22" s="5">
        <f>(VLOOKUP('11.07'!W22,'11.07'!$AM$4:$AO$55,2,FALSE))*IF('11.07'!AZ$4="是",'11.07'!$AY$4,'11.07'!$AY$3)</f>
        <v>0</v>
      </c>
      <c r="P22" s="5">
        <f>(VLOOKUP('11.07'!X22,'11.07'!$AM$4:$AO$55,2,FALSE))*IF('11.07'!BA$4="是",'11.07'!$AY$4,'11.07'!$AY$3)</f>
        <v>0</v>
      </c>
      <c r="Q22" s="4">
        <f>(VLOOKUP('11.07'!Y22,'11.07'!$AM$4:$AO$55,2,FALSE))*IF('11.07'!BB$4="是",'11.07'!$AY$4,'11.07'!$AY$3)</f>
        <v>180</v>
      </c>
      <c r="R22" s="4">
        <f>(VLOOKUP('11.07'!Z22,'11.07'!$AM$4:$AO$55,2,FALSE))*IF('11.07'!BC$4="是",'11.07'!$AY$4,'11.07'!$AY$3)</f>
        <v>170</v>
      </c>
      <c r="S22" s="4">
        <f>(VLOOKUP('11.07'!AA22,'11.07'!$AM$4:$AO$55,2,FALSE))*IF('11.07'!BD$4="是",'11.07'!$AY$4,'11.07'!$AY$3)</f>
        <v>150</v>
      </c>
      <c r="T22" s="4">
        <f>(VLOOKUP('11.07'!AB22,'11.07'!$AM$4:$AO$55,2,FALSE))*IF('11.07'!BE$4="是",'11.07'!$AY$4,'11.07'!$AY$3)</f>
        <v>180</v>
      </c>
      <c r="U22" s="4">
        <f>(VLOOKUP('11.07'!AC22,'11.07'!$AM$4:$AO$55,2,FALSE))*IF('11.07'!BF$4="是",'11.07'!$AY$4,'11.07'!$AY$3)</f>
        <v>180</v>
      </c>
      <c r="V22" s="4">
        <f>(VLOOKUP('11.07'!AD22,'11.07'!$AM$4:$AO$55,2,FALSE))*IF('11.07'!BG$4="是",'11.07'!$AY$4,'11.07'!$AY$3)</f>
        <v>180</v>
      </c>
      <c r="W22" s="5">
        <f>(VLOOKUP('11.07'!AE22,'11.07'!$AM$4:$AO$55,2,FALSE))*IF('11.07'!BH$4="是",'11.07'!$AY$4,'11.07'!$AY$3)</f>
        <v>-200</v>
      </c>
      <c r="X22" s="5">
        <f>(VLOOKUP('11.07'!AF22,'11.07'!$AM$4:$AO$55,2,FALSE))*IF('11.07'!BI$4="是",'11.07'!$AY$4,'11.07'!$AY$3)</f>
        <v>180</v>
      </c>
    </row>
    <row r="23" spans="1:24">
      <c r="A23" s="4">
        <f>(VLOOKUP('11.07'!I23,'11.07'!$AM$4:$AO$55,2,FALSE))*IF('11.07'!AK$4="是",'11.07'!$AY$4,'11.07'!$AY$3)</f>
        <v>170</v>
      </c>
      <c r="B23" s="4">
        <f>(VLOOKUP('11.07'!J23,'11.07'!$AM$4:$AO$55,2,FALSE))*IF('11.07'!AL$4="是",'11.07'!$AY$4,'11.07'!$AY$3)</f>
        <v>170</v>
      </c>
      <c r="C23" s="4">
        <f>(VLOOKUP('11.07'!K23,'11.07'!$AM$4:$AO$55,2,FALSE))*IF('11.07'!AM$4="是",'11.07'!$AY$4,'11.07'!$AY$3)</f>
        <v>170</v>
      </c>
      <c r="D23" s="4">
        <f>(VLOOKUP('11.07'!L23,'11.07'!$AM$4:$AO$55,2,FALSE))*IF('11.07'!AN$4="是",'11.07'!$AY$4,'11.07'!$AY$3)</f>
        <v>170</v>
      </c>
      <c r="E23" s="4">
        <f>(VLOOKUP('11.07'!M23,'11.07'!$AM$4:$AO$55,2,FALSE))*IF('11.07'!AO$4="是",'11.07'!$AY$4,'11.07'!$AY$3)</f>
        <v>170</v>
      </c>
      <c r="F23" s="4">
        <f>(VLOOKUP('11.07'!N23,'11.07'!$AM$4:$AO$55,2,FALSE))*IF('11.07'!AQ$4="是",'11.07'!$AY$4,'11.07'!$AY$3)</f>
        <v>170</v>
      </c>
      <c r="G23" s="5">
        <f>(VLOOKUP('11.07'!O23,'11.07'!$AM$4:$AO$55,2,FALSE))*IF('11.07'!AR$4="是",'11.07'!$AY$4,'11.07'!$AY$3)</f>
        <v>0</v>
      </c>
      <c r="H23" s="5">
        <f>(VLOOKUP('11.07'!P23,'11.07'!$AM$4:$AO$55,2,FALSE))*IF('11.07'!AS$4="是",'11.07'!$AY$4,'11.07'!$AY$3)</f>
        <v>0</v>
      </c>
      <c r="I23" s="4">
        <f>(VLOOKUP('11.07'!Q23,'11.07'!$AM$4:$AO$55,2,FALSE))*IF('11.07'!AT$4="是",'11.07'!$AY$4,'11.07'!$AY$3)</f>
        <v>0</v>
      </c>
      <c r="J23" s="4">
        <f>(VLOOKUP('11.07'!R23,'11.07'!$AM$4:$AO$55,2,FALSE))*IF('11.07'!AU$4="是",'11.07'!$AY$4,'11.07'!$AY$3)</f>
        <v>0</v>
      </c>
      <c r="K23" s="4">
        <f>(VLOOKUP('11.07'!S23,'11.07'!$AM$4:$AO$55,2,FALSE))*IF('11.07'!AV$4="是",'11.07'!$AY$4,'11.07'!$AY$3)</f>
        <v>0</v>
      </c>
      <c r="L23" s="4">
        <f>(VLOOKUP('11.07'!T23,'11.07'!$AM$4:$AO$55,2,FALSE))*IF('11.07'!AW$4="是",'11.07'!$AY$4,'11.07'!$AY$3)</f>
        <v>0</v>
      </c>
      <c r="M23" s="4">
        <f>(VLOOKUP('11.07'!U23,'11.07'!$AM$4:$AO$55,2,FALSE))*IF('11.07'!AX$4="是",'11.07'!$AY$4,'11.07'!$AY$3)</f>
        <v>0</v>
      </c>
      <c r="N23" s="4">
        <f>(VLOOKUP('11.07'!V23,'11.07'!$AM$4:$AO$55,2,FALSE))*IF('11.07'!AY$4="是",'11.07'!$AY$4,'11.07'!$AY$3)</f>
        <v>0</v>
      </c>
      <c r="O23" s="5">
        <f>(VLOOKUP('11.07'!W23,'11.07'!$AM$4:$AO$55,2,FALSE))*IF('11.07'!AZ$4="是",'11.07'!$AY$4,'11.07'!$AY$3)</f>
        <v>0</v>
      </c>
      <c r="P23" s="5">
        <f>(VLOOKUP('11.07'!X23,'11.07'!$AM$4:$AO$55,2,FALSE))*IF('11.07'!BA$4="是",'11.07'!$AY$4,'11.07'!$AY$3)</f>
        <v>0</v>
      </c>
      <c r="Q23" s="4">
        <f>(VLOOKUP('11.07'!Y23,'11.07'!$AM$4:$AO$55,2,FALSE))*IF('11.07'!BB$4="是",'11.07'!$AY$4,'11.07'!$AY$3)</f>
        <v>180</v>
      </c>
      <c r="R23" s="4">
        <f>(VLOOKUP('11.07'!Z23,'11.07'!$AM$4:$AO$55,2,FALSE))*IF('11.07'!BC$4="是",'11.07'!$AY$4,'11.07'!$AY$3)</f>
        <v>180</v>
      </c>
      <c r="S23" s="4">
        <f>(VLOOKUP('11.07'!AA23,'11.07'!$AM$4:$AO$55,2,FALSE))*IF('11.07'!BD$4="是",'11.07'!$AY$4,'11.07'!$AY$3)</f>
        <v>180</v>
      </c>
      <c r="T23" s="4">
        <f>(VLOOKUP('11.07'!AB23,'11.07'!$AM$4:$AO$55,2,FALSE))*IF('11.07'!BE$4="是",'11.07'!$AY$4,'11.07'!$AY$3)</f>
        <v>180</v>
      </c>
      <c r="U23" s="4">
        <f>(VLOOKUP('11.07'!AC23,'11.07'!$AM$4:$AO$55,2,FALSE))*IF('11.07'!BF$4="是",'11.07'!$AY$4,'11.07'!$AY$3)</f>
        <v>180</v>
      </c>
      <c r="V23" s="4">
        <f>(VLOOKUP('11.07'!AD23,'11.07'!$AM$4:$AO$55,2,FALSE))*IF('11.07'!BG$4="是",'11.07'!$AY$4,'11.07'!$AY$3)</f>
        <v>180</v>
      </c>
      <c r="W23" s="5">
        <f>(VLOOKUP('11.07'!AE23,'11.07'!$AM$4:$AO$55,2,FALSE))*IF('11.07'!BH$4="是",'11.07'!$AY$4,'11.07'!$AY$3)</f>
        <v>0</v>
      </c>
      <c r="X23" s="5">
        <f>(VLOOKUP('11.07'!AF23,'11.07'!$AM$4:$AO$55,2,FALSE))*IF('11.07'!BI$4="是",'11.07'!$AY$4,'11.07'!$AY$3)</f>
        <v>0</v>
      </c>
    </row>
    <row r="24" spans="1:24">
      <c r="A24" s="4">
        <f>(VLOOKUP('11.07'!I24,'11.07'!$AM$4:$AO$55,2,FALSE))*IF('11.07'!AK$4="是",'11.07'!$AY$4,'11.07'!$AY$3)</f>
        <v>170</v>
      </c>
      <c r="B24" s="4">
        <f>(VLOOKUP('11.07'!J24,'11.07'!$AM$4:$AO$55,2,FALSE))*IF('11.07'!AL$4="是",'11.07'!$AY$4,'11.07'!$AY$3)</f>
        <v>170</v>
      </c>
      <c r="C24" s="4">
        <f>(VLOOKUP('11.07'!K24,'11.07'!$AM$4:$AO$55,2,FALSE))*IF('11.07'!AM$4="是",'11.07'!$AY$4,'11.07'!$AY$3)</f>
        <v>170</v>
      </c>
      <c r="D24" s="4">
        <f>(VLOOKUP('11.07'!L24,'11.07'!$AM$4:$AO$55,2,FALSE))*IF('11.07'!AN$4="是",'11.07'!$AY$4,'11.07'!$AY$3)</f>
        <v>170</v>
      </c>
      <c r="E24" s="4">
        <f>(VLOOKUP('11.07'!M24,'11.07'!$AM$4:$AO$55,2,FALSE))*IF('11.07'!AO$4="是",'11.07'!$AY$4,'11.07'!$AY$3)</f>
        <v>170</v>
      </c>
      <c r="F24" s="4">
        <f>(VLOOKUP('11.07'!N24,'11.07'!$AM$4:$AO$55,2,FALSE))*IF('11.07'!AQ$4="是",'11.07'!$AY$4,'11.07'!$AY$3)</f>
        <v>170</v>
      </c>
      <c r="G24" s="5">
        <f>(VLOOKUP('11.07'!O24,'11.07'!$AM$4:$AO$55,2,FALSE))*IF('11.07'!AR$4="是",'11.07'!$AY$4,'11.07'!$AY$3)</f>
        <v>0</v>
      </c>
      <c r="H24" s="5">
        <f>(VLOOKUP('11.07'!P24,'11.07'!$AM$4:$AO$55,2,FALSE))*IF('11.07'!AS$4="是",'11.07'!$AY$4,'11.07'!$AY$3)</f>
        <v>0</v>
      </c>
      <c r="I24" s="4">
        <f>(VLOOKUP('11.07'!Q24,'11.07'!$AM$4:$AO$55,2,FALSE))*IF('11.07'!AT$4="是",'11.07'!$AY$4,'11.07'!$AY$3)</f>
        <v>0</v>
      </c>
      <c r="J24" s="4">
        <f>(VLOOKUP('11.07'!R24,'11.07'!$AM$4:$AO$55,2,FALSE))*IF('11.07'!AU$4="是",'11.07'!$AY$4,'11.07'!$AY$3)</f>
        <v>0</v>
      </c>
      <c r="K24" s="4">
        <f>(VLOOKUP('11.07'!S24,'11.07'!$AM$4:$AO$55,2,FALSE))*IF('11.07'!AV$4="是",'11.07'!$AY$4,'11.07'!$AY$3)</f>
        <v>0</v>
      </c>
      <c r="L24" s="4">
        <f>(VLOOKUP('11.07'!T24,'11.07'!$AM$4:$AO$55,2,FALSE))*IF('11.07'!AW$4="是",'11.07'!$AY$4,'11.07'!$AY$3)</f>
        <v>0</v>
      </c>
      <c r="M24" s="4">
        <f>(VLOOKUP('11.07'!U24,'11.07'!$AM$4:$AO$55,2,FALSE))*IF('11.07'!AX$4="是",'11.07'!$AY$4,'11.07'!$AY$3)</f>
        <v>0</v>
      </c>
      <c r="N24" s="4">
        <f>(VLOOKUP('11.07'!V24,'11.07'!$AM$4:$AO$55,2,FALSE))*IF('11.07'!AY$4="是",'11.07'!$AY$4,'11.07'!$AY$3)</f>
        <v>0</v>
      </c>
      <c r="O24" s="5">
        <f>(VLOOKUP('11.07'!W24,'11.07'!$AM$4:$AO$55,2,FALSE))*IF('11.07'!AZ$4="是",'11.07'!$AY$4,'11.07'!$AY$3)</f>
        <v>0</v>
      </c>
      <c r="P24" s="5">
        <f>(VLOOKUP('11.07'!X24,'11.07'!$AM$4:$AO$55,2,FALSE))*IF('11.07'!BA$4="是",'11.07'!$AY$4,'11.07'!$AY$3)</f>
        <v>0</v>
      </c>
      <c r="Q24" s="4">
        <f>(VLOOKUP('11.07'!Y24,'11.07'!$AM$4:$AO$55,2,FALSE))*IF('11.07'!BB$4="是",'11.07'!$AY$4,'11.07'!$AY$3)</f>
        <v>180</v>
      </c>
      <c r="R24" s="4">
        <f>(VLOOKUP('11.07'!Z24,'11.07'!$AM$4:$AO$55,2,FALSE))*IF('11.07'!BC$4="是",'11.07'!$AY$4,'11.07'!$AY$3)</f>
        <v>180</v>
      </c>
      <c r="S24" s="4">
        <f>(VLOOKUP('11.07'!AA24,'11.07'!$AM$4:$AO$55,2,FALSE))*IF('11.07'!BD$4="是",'11.07'!$AY$4,'11.07'!$AY$3)</f>
        <v>180</v>
      </c>
      <c r="T24" s="4">
        <f>(VLOOKUP('11.07'!AB24,'11.07'!$AM$4:$AO$55,2,FALSE))*IF('11.07'!BE$4="是",'11.07'!$AY$4,'11.07'!$AY$3)</f>
        <v>180</v>
      </c>
      <c r="U24" s="4">
        <f>(VLOOKUP('11.07'!AC24,'11.07'!$AM$4:$AO$55,2,FALSE))*IF('11.07'!BF$4="是",'11.07'!$AY$4,'11.07'!$AY$3)</f>
        <v>180</v>
      </c>
      <c r="V24" s="4">
        <f>(VLOOKUP('11.07'!AD24,'11.07'!$AM$4:$AO$55,2,FALSE))*IF('11.07'!BG$4="是",'11.07'!$AY$4,'11.07'!$AY$3)</f>
        <v>180</v>
      </c>
      <c r="W24" s="5">
        <f>(VLOOKUP('11.07'!AE24,'11.07'!$AM$4:$AO$55,2,FALSE))*IF('11.07'!BH$4="是",'11.07'!$AY$4,'11.07'!$AY$3)</f>
        <v>0</v>
      </c>
      <c r="X24" s="5">
        <f>(VLOOKUP('11.07'!AF24,'11.07'!$AM$4:$AO$55,2,FALSE))*IF('11.07'!BI$4="是",'11.07'!$AY$4,'11.07'!$AY$3)</f>
        <v>0</v>
      </c>
    </row>
    <row r="25" spans="1:24">
      <c r="A25" s="4">
        <f>(VLOOKUP('11.07'!I25,'11.07'!$AM$4:$AO$55,2,FALSE))*IF('11.07'!AK$4="是",'11.07'!$AY$4,'11.07'!$AY$3)</f>
        <v>170</v>
      </c>
      <c r="B25" s="4">
        <f>(VLOOKUP('11.07'!J25,'11.07'!$AM$4:$AO$55,2,FALSE))*IF('11.07'!AL$4="是",'11.07'!$AY$4,'11.07'!$AY$3)</f>
        <v>170</v>
      </c>
      <c r="C25" s="4">
        <f>(VLOOKUP('11.07'!K25,'11.07'!$AM$4:$AO$55,2,FALSE))*IF('11.07'!AM$4="是",'11.07'!$AY$4,'11.07'!$AY$3)</f>
        <v>170</v>
      </c>
      <c r="D25" s="4">
        <f>(VLOOKUP('11.07'!L25,'11.07'!$AM$4:$AO$55,2,FALSE))*IF('11.07'!AN$4="是",'11.07'!$AY$4,'11.07'!$AY$3)</f>
        <v>170</v>
      </c>
      <c r="E25" s="4">
        <f>(VLOOKUP('11.07'!M25,'11.07'!$AM$4:$AO$55,2,FALSE))*IF('11.07'!AO$4="是",'11.07'!$AY$4,'11.07'!$AY$3)</f>
        <v>170</v>
      </c>
      <c r="F25" s="4">
        <f>(VLOOKUP('11.07'!N25,'11.07'!$AM$4:$AO$55,2,FALSE))*IF('11.07'!AQ$4="是",'11.07'!$AY$4,'11.07'!$AY$3)</f>
        <v>170</v>
      </c>
      <c r="G25" s="5">
        <f>(VLOOKUP('11.07'!O25,'11.07'!$AM$4:$AO$55,2,FALSE))*IF('11.07'!AR$4="是",'11.07'!$AY$4,'11.07'!$AY$3)</f>
        <v>0</v>
      </c>
      <c r="H25" s="5">
        <f>(VLOOKUP('11.07'!P25,'11.07'!$AM$4:$AO$55,2,FALSE))*IF('11.07'!AS$4="是",'11.07'!$AY$4,'11.07'!$AY$3)</f>
        <v>0</v>
      </c>
      <c r="I25" s="4">
        <f>(VLOOKUP('11.07'!Q25,'11.07'!$AM$4:$AO$55,2,FALSE))*IF('11.07'!AT$4="是",'11.07'!$AY$4,'11.07'!$AY$3)</f>
        <v>0</v>
      </c>
      <c r="J25" s="4">
        <f>(VLOOKUP('11.07'!R25,'11.07'!$AM$4:$AO$55,2,FALSE))*IF('11.07'!AU$4="是",'11.07'!$AY$4,'11.07'!$AY$3)</f>
        <v>0</v>
      </c>
      <c r="K25" s="4">
        <f>(VLOOKUP('11.07'!S25,'11.07'!$AM$4:$AO$55,2,FALSE))*IF('11.07'!AV$4="是",'11.07'!$AY$4,'11.07'!$AY$3)</f>
        <v>0</v>
      </c>
      <c r="L25" s="4">
        <f>(VLOOKUP('11.07'!T25,'11.07'!$AM$4:$AO$55,2,FALSE))*IF('11.07'!AW$4="是",'11.07'!$AY$4,'11.07'!$AY$3)</f>
        <v>0</v>
      </c>
      <c r="M25" s="4">
        <f>(VLOOKUP('11.07'!U25,'11.07'!$AM$4:$AO$55,2,FALSE))*IF('11.07'!AX$4="是",'11.07'!$AY$4,'11.07'!$AY$3)</f>
        <v>0</v>
      </c>
      <c r="N25" s="4">
        <f>(VLOOKUP('11.07'!V25,'11.07'!$AM$4:$AO$55,2,FALSE))*IF('11.07'!AY$4="是",'11.07'!$AY$4,'11.07'!$AY$3)</f>
        <v>0</v>
      </c>
      <c r="O25" s="5">
        <f>(VLOOKUP('11.07'!W25,'11.07'!$AM$4:$AO$55,2,FALSE))*IF('11.07'!AZ$4="是",'11.07'!$AY$4,'11.07'!$AY$3)</f>
        <v>0</v>
      </c>
      <c r="P25" s="5">
        <f>(VLOOKUP('11.07'!X25,'11.07'!$AM$4:$AO$55,2,FALSE))*IF('11.07'!BA$4="是",'11.07'!$AY$4,'11.07'!$AY$3)</f>
        <v>0</v>
      </c>
      <c r="Q25" s="4">
        <f>(VLOOKUP('11.07'!Y25,'11.07'!$AM$4:$AO$55,2,FALSE))*IF('11.07'!BB$4="是",'11.07'!$AY$4,'11.07'!$AY$3)</f>
        <v>180</v>
      </c>
      <c r="R25" s="4">
        <f>(VLOOKUP('11.07'!Z25,'11.07'!$AM$4:$AO$55,2,FALSE))*IF('11.07'!BC$4="是",'11.07'!$AY$4,'11.07'!$AY$3)</f>
        <v>180</v>
      </c>
      <c r="S25" s="4">
        <f>(VLOOKUP('11.07'!AA25,'11.07'!$AM$4:$AO$55,2,FALSE))*IF('11.07'!BD$4="是",'11.07'!$AY$4,'11.07'!$AY$3)</f>
        <v>180</v>
      </c>
      <c r="T25" s="4">
        <f>(VLOOKUP('11.07'!AB25,'11.07'!$AM$4:$AO$55,2,FALSE))*IF('11.07'!BE$4="是",'11.07'!$AY$4,'11.07'!$AY$3)</f>
        <v>180</v>
      </c>
      <c r="U25" s="4">
        <f>(VLOOKUP('11.07'!AC25,'11.07'!$AM$4:$AO$55,2,FALSE))*IF('11.07'!BF$4="是",'11.07'!$AY$4,'11.07'!$AY$3)</f>
        <v>180</v>
      </c>
      <c r="V25" s="4">
        <f>(VLOOKUP('11.07'!AD25,'11.07'!$AM$4:$AO$55,2,FALSE))*IF('11.07'!BG$4="是",'11.07'!$AY$4,'11.07'!$AY$3)</f>
        <v>180</v>
      </c>
      <c r="W25" s="5">
        <f>(VLOOKUP('11.07'!AE25,'11.07'!$AM$4:$AO$55,2,FALSE))*IF('11.07'!BH$4="是",'11.07'!$AY$4,'11.07'!$AY$3)</f>
        <v>0</v>
      </c>
      <c r="X25" s="5">
        <f>(VLOOKUP('11.07'!AF25,'11.07'!$AM$4:$AO$55,2,FALSE))*IF('11.07'!BI$4="是",'11.07'!$AY$4,'11.07'!$AY$3)</f>
        <v>0</v>
      </c>
    </row>
    <row r="26" spans="1:24">
      <c r="A26" s="4">
        <f>(VLOOKUP('11.07'!I26,'11.07'!$AM$4:$AO$55,2,FALSE))*IF('11.07'!AK$4="是",'11.07'!$AY$4,'11.07'!$AY$3)</f>
        <v>170</v>
      </c>
      <c r="B26" s="4">
        <f>(VLOOKUP('11.07'!J26,'11.07'!$AM$4:$AO$55,2,FALSE))*IF('11.07'!AL$4="是",'11.07'!$AY$4,'11.07'!$AY$3)</f>
        <v>170</v>
      </c>
      <c r="C26" s="4">
        <f>(VLOOKUP('11.07'!K26,'11.07'!$AM$4:$AO$55,2,FALSE))*IF('11.07'!AM$4="是",'11.07'!$AY$4,'11.07'!$AY$3)</f>
        <v>50</v>
      </c>
      <c r="D26" s="4">
        <f>(VLOOKUP('11.07'!L26,'11.07'!$AM$4:$AO$55,2,FALSE))*IF('11.07'!AN$4="是",'11.07'!$AY$4,'11.07'!$AY$3)</f>
        <v>170</v>
      </c>
      <c r="E26" s="4">
        <f>(VLOOKUP('11.07'!M26,'11.07'!$AM$4:$AO$55,2,FALSE))*IF('11.07'!AO$4="是",'11.07'!$AY$4,'11.07'!$AY$3)</f>
        <v>170</v>
      </c>
      <c r="F26" s="4">
        <f>(VLOOKUP('11.07'!N26,'11.07'!$AM$4:$AO$55,2,FALSE))*IF('11.07'!AQ$4="是",'11.07'!$AY$4,'11.07'!$AY$3)</f>
        <v>170</v>
      </c>
      <c r="G26" s="5">
        <f>(VLOOKUP('11.07'!O26,'11.07'!$AM$4:$AO$55,2,FALSE))*IF('11.07'!AR$4="是",'11.07'!$AY$4,'11.07'!$AY$3)</f>
        <v>0</v>
      </c>
      <c r="H26" s="5">
        <f>(VLOOKUP('11.07'!P26,'11.07'!$AM$4:$AO$55,2,FALSE))*IF('11.07'!AS$4="是",'11.07'!$AY$4,'11.07'!$AY$3)</f>
        <v>0</v>
      </c>
      <c r="I26" s="4">
        <f>(VLOOKUP('11.07'!Q26,'11.07'!$AM$4:$AO$55,2,FALSE))*IF('11.07'!AT$4="是",'11.07'!$AY$4,'11.07'!$AY$3)</f>
        <v>0</v>
      </c>
      <c r="J26" s="4">
        <f>(VLOOKUP('11.07'!R26,'11.07'!$AM$4:$AO$55,2,FALSE))*IF('11.07'!AU$4="是",'11.07'!$AY$4,'11.07'!$AY$3)</f>
        <v>0</v>
      </c>
      <c r="K26" s="4">
        <f>(VLOOKUP('11.07'!S26,'11.07'!$AM$4:$AO$55,2,FALSE))*IF('11.07'!AV$4="是",'11.07'!$AY$4,'11.07'!$AY$3)</f>
        <v>0</v>
      </c>
      <c r="L26" s="4">
        <f>(VLOOKUP('11.07'!T26,'11.07'!$AM$4:$AO$55,2,FALSE))*IF('11.07'!AW$4="是",'11.07'!$AY$4,'11.07'!$AY$3)</f>
        <v>0</v>
      </c>
      <c r="M26" s="4">
        <f>(VLOOKUP('11.07'!U26,'11.07'!$AM$4:$AO$55,2,FALSE))*IF('11.07'!AX$4="是",'11.07'!$AY$4,'11.07'!$AY$3)</f>
        <v>0</v>
      </c>
      <c r="N26" s="4">
        <f>(VLOOKUP('11.07'!V26,'11.07'!$AM$4:$AO$55,2,FALSE))*IF('11.07'!AY$4="是",'11.07'!$AY$4,'11.07'!$AY$3)</f>
        <v>0</v>
      </c>
      <c r="O26" s="5">
        <f>(VLOOKUP('11.07'!W26,'11.07'!$AM$4:$AO$55,2,FALSE))*IF('11.07'!AZ$4="是",'11.07'!$AY$4,'11.07'!$AY$3)</f>
        <v>0</v>
      </c>
      <c r="P26" s="5">
        <f>(VLOOKUP('11.07'!X26,'11.07'!$AM$4:$AO$55,2,FALSE))*IF('11.07'!BA$4="是",'11.07'!$AY$4,'11.07'!$AY$3)</f>
        <v>0</v>
      </c>
      <c r="Q26" s="4">
        <f>(VLOOKUP('11.07'!Y26,'11.07'!$AM$4:$AO$55,2,FALSE))*IF('11.07'!BB$4="是",'11.07'!$AY$4,'11.07'!$AY$3)</f>
        <v>180</v>
      </c>
      <c r="R26" s="4">
        <f>(VLOOKUP('11.07'!Z26,'11.07'!$AM$4:$AO$55,2,FALSE))*IF('11.07'!BC$4="是",'11.07'!$AY$4,'11.07'!$AY$3)</f>
        <v>180</v>
      </c>
      <c r="S26" s="4">
        <f>(VLOOKUP('11.07'!AA26,'11.07'!$AM$4:$AO$55,2,FALSE))*IF('11.07'!BD$4="是",'11.07'!$AY$4,'11.07'!$AY$3)</f>
        <v>180</v>
      </c>
      <c r="T26" s="4">
        <f>(VLOOKUP('11.07'!AB26,'11.07'!$AM$4:$AO$55,2,FALSE))*IF('11.07'!BE$4="是",'11.07'!$AY$4,'11.07'!$AY$3)</f>
        <v>180</v>
      </c>
      <c r="U26" s="4">
        <f>(VLOOKUP('11.07'!AC26,'11.07'!$AM$4:$AO$55,2,FALSE))*IF('11.07'!BF$4="是",'11.07'!$AY$4,'11.07'!$AY$3)</f>
        <v>180</v>
      </c>
      <c r="V26" s="4">
        <f>(VLOOKUP('11.07'!AD26,'11.07'!$AM$4:$AO$55,2,FALSE))*IF('11.07'!BG$4="是",'11.07'!$AY$4,'11.07'!$AY$3)</f>
        <v>180</v>
      </c>
      <c r="W26" s="5">
        <f>(VLOOKUP('11.07'!AE26,'11.07'!$AM$4:$AO$55,2,FALSE))*IF('11.07'!BH$4="是",'11.07'!$AY$4,'11.07'!$AY$3)</f>
        <v>0</v>
      </c>
      <c r="X26" s="5">
        <f>(VLOOKUP('11.07'!AF26,'11.07'!$AM$4:$AO$55,2,FALSE))*IF('11.07'!BI$4="是",'11.07'!$AY$4,'11.07'!$AY$3)</f>
        <v>0</v>
      </c>
    </row>
    <row r="27" spans="1:24">
      <c r="A27" s="4">
        <f>(VLOOKUP('11.07'!I27,'11.07'!$AM$4:$AO$55,2,FALSE))*IF('11.07'!AK$4="是",'11.07'!$AY$4,'11.07'!$AY$3)</f>
        <v>170</v>
      </c>
      <c r="B27" s="4">
        <f>(VLOOKUP('11.07'!J27,'11.07'!$AM$4:$AO$55,2,FALSE))*IF('11.07'!AL$4="是",'11.07'!$AY$4,'11.07'!$AY$3)</f>
        <v>170</v>
      </c>
      <c r="C27" s="4">
        <f>(VLOOKUP('11.07'!K27,'11.07'!$AM$4:$AO$55,2,FALSE))*IF('11.07'!AM$4="是",'11.07'!$AY$4,'11.07'!$AY$3)</f>
        <v>170</v>
      </c>
      <c r="D27" s="4">
        <f>(VLOOKUP('11.07'!L27,'11.07'!$AM$4:$AO$55,2,FALSE))*IF('11.07'!AN$4="是",'11.07'!$AY$4,'11.07'!$AY$3)</f>
        <v>170</v>
      </c>
      <c r="E27" s="4">
        <f>(VLOOKUP('11.07'!M27,'11.07'!$AM$4:$AO$55,2,FALSE))*IF('11.07'!AO$4="是",'11.07'!$AY$4,'11.07'!$AY$3)</f>
        <v>170</v>
      </c>
      <c r="F27" s="4">
        <f>(VLOOKUP('11.07'!N27,'11.07'!$AM$4:$AO$55,2,FALSE))*IF('11.07'!AQ$4="是",'11.07'!$AY$4,'11.07'!$AY$3)</f>
        <v>170</v>
      </c>
      <c r="G27" s="5">
        <f>(VLOOKUP('11.07'!O27,'11.07'!$AM$4:$AO$55,2,FALSE))*IF('11.07'!AR$4="是",'11.07'!$AY$4,'11.07'!$AY$3)</f>
        <v>0</v>
      </c>
      <c r="H27" s="5">
        <f>(VLOOKUP('11.07'!P27,'11.07'!$AM$4:$AO$55,2,FALSE))*IF('11.07'!AS$4="是",'11.07'!$AY$4,'11.07'!$AY$3)</f>
        <v>0</v>
      </c>
      <c r="I27" s="4">
        <f>(VLOOKUP('11.07'!Q27,'11.07'!$AM$4:$AO$55,2,FALSE))*IF('11.07'!AT$4="是",'11.07'!$AY$4,'11.07'!$AY$3)</f>
        <v>0</v>
      </c>
      <c r="J27" s="4">
        <f>(VLOOKUP('11.07'!R27,'11.07'!$AM$4:$AO$55,2,FALSE))*IF('11.07'!AU$4="是",'11.07'!$AY$4,'11.07'!$AY$3)</f>
        <v>0</v>
      </c>
      <c r="K27" s="4">
        <f>(VLOOKUP('11.07'!S27,'11.07'!$AM$4:$AO$55,2,FALSE))*IF('11.07'!AV$4="是",'11.07'!$AY$4,'11.07'!$AY$3)</f>
        <v>0</v>
      </c>
      <c r="L27" s="4">
        <f>(VLOOKUP('11.07'!T27,'11.07'!$AM$4:$AO$55,2,FALSE))*IF('11.07'!AW$4="是",'11.07'!$AY$4,'11.07'!$AY$3)</f>
        <v>0</v>
      </c>
      <c r="M27" s="4">
        <f>(VLOOKUP('11.07'!U27,'11.07'!$AM$4:$AO$55,2,FALSE))*IF('11.07'!AX$4="是",'11.07'!$AY$4,'11.07'!$AY$3)</f>
        <v>0</v>
      </c>
      <c r="N27" s="4">
        <f>(VLOOKUP('11.07'!V27,'11.07'!$AM$4:$AO$55,2,FALSE))*IF('11.07'!AY$4="是",'11.07'!$AY$4,'11.07'!$AY$3)</f>
        <v>0</v>
      </c>
      <c r="O27" s="5">
        <f>(VLOOKUP('11.07'!W27,'11.07'!$AM$4:$AO$55,2,FALSE))*IF('11.07'!AZ$4="是",'11.07'!$AY$4,'11.07'!$AY$3)</f>
        <v>0</v>
      </c>
      <c r="P27" s="5">
        <f>(VLOOKUP('11.07'!X27,'11.07'!$AM$4:$AO$55,2,FALSE))*IF('11.07'!BA$4="是",'11.07'!$AY$4,'11.07'!$AY$3)</f>
        <v>0</v>
      </c>
      <c r="Q27" s="4">
        <f>(VLOOKUP('11.07'!Y27,'11.07'!$AM$4:$AO$55,2,FALSE))*IF('11.07'!BB$4="是",'11.07'!$AY$4,'11.07'!$AY$3)</f>
        <v>180</v>
      </c>
      <c r="R27" s="4">
        <f>(VLOOKUP('11.07'!Z27,'11.07'!$AM$4:$AO$55,2,FALSE))*IF('11.07'!BC$4="是",'11.07'!$AY$4,'11.07'!$AY$3)</f>
        <v>180</v>
      </c>
      <c r="S27" s="4">
        <f>(VLOOKUP('11.07'!AA27,'11.07'!$AM$4:$AO$55,2,FALSE))*IF('11.07'!BD$4="是",'11.07'!$AY$4,'11.07'!$AY$3)</f>
        <v>180</v>
      </c>
      <c r="T27" s="4">
        <f>(VLOOKUP('11.07'!AB27,'11.07'!$AM$4:$AO$55,2,FALSE))*IF('11.07'!BE$4="是",'11.07'!$AY$4,'11.07'!$AY$3)</f>
        <v>180</v>
      </c>
      <c r="U27" s="4">
        <f>(VLOOKUP('11.07'!AC27,'11.07'!$AM$4:$AO$55,2,FALSE))*IF('11.07'!BF$4="是",'11.07'!$AY$4,'11.07'!$AY$3)</f>
        <v>180</v>
      </c>
      <c r="V27" s="4">
        <f>(VLOOKUP('11.07'!AD27,'11.07'!$AM$4:$AO$55,2,FALSE))*IF('11.07'!BG$4="是",'11.07'!$AY$4,'11.07'!$AY$3)</f>
        <v>180</v>
      </c>
      <c r="W27" s="5">
        <f>(VLOOKUP('11.07'!AE27,'11.07'!$AM$4:$AO$55,2,FALSE))*IF('11.07'!BH$4="是",'11.07'!$AY$4,'11.07'!$AY$3)</f>
        <v>0</v>
      </c>
      <c r="X27" s="5">
        <f>(VLOOKUP('11.07'!AF27,'11.07'!$AM$4:$AO$55,2,FALSE))*IF('11.07'!BI$4="是",'11.07'!$AY$4,'11.07'!$AY$3)</f>
        <v>0</v>
      </c>
    </row>
    <row r="28" spans="1:24">
      <c r="A28" s="4">
        <f>(VLOOKUP('11.07'!I28,'11.07'!$AM$4:$AO$55,2,FALSE))*IF('11.07'!AK$4="是",'11.07'!$AY$4,'11.07'!$AY$3)</f>
        <v>170</v>
      </c>
      <c r="B28" s="4">
        <f>(VLOOKUP('11.07'!J28,'11.07'!$AM$4:$AO$55,2,FALSE))*IF('11.07'!AL$4="是",'11.07'!$AY$4,'11.07'!$AY$3)</f>
        <v>170</v>
      </c>
      <c r="C28" s="4">
        <f>(VLOOKUP('11.07'!K28,'11.07'!$AM$4:$AO$55,2,FALSE))*IF('11.07'!AM$4="是",'11.07'!$AY$4,'11.07'!$AY$3)</f>
        <v>170</v>
      </c>
      <c r="D28" s="4">
        <f>(VLOOKUP('11.07'!L28,'11.07'!$AM$4:$AO$55,2,FALSE))*IF('11.07'!AN$4="是",'11.07'!$AY$4,'11.07'!$AY$3)</f>
        <v>170</v>
      </c>
      <c r="E28" s="4">
        <f>(VLOOKUP('11.07'!M28,'11.07'!$AM$4:$AO$55,2,FALSE))*IF('11.07'!AO$4="是",'11.07'!$AY$4,'11.07'!$AY$3)</f>
        <v>170</v>
      </c>
      <c r="F28" s="4">
        <f>(VLOOKUP('11.07'!N28,'11.07'!$AM$4:$AO$55,2,FALSE))*IF('11.07'!AQ$4="是",'11.07'!$AY$4,'11.07'!$AY$3)</f>
        <v>50</v>
      </c>
      <c r="G28" s="5">
        <f>(VLOOKUP('11.07'!O28,'11.07'!$AM$4:$AO$55,2,FALSE))*IF('11.07'!AR$4="是",'11.07'!$AY$4,'11.07'!$AY$3)</f>
        <v>0</v>
      </c>
      <c r="H28" s="5">
        <f>(VLOOKUP('11.07'!P28,'11.07'!$AM$4:$AO$55,2,FALSE))*IF('11.07'!AS$4="是",'11.07'!$AY$4,'11.07'!$AY$3)</f>
        <v>0</v>
      </c>
      <c r="I28" s="4">
        <f>(VLOOKUP('11.07'!Q28,'11.07'!$AM$4:$AO$55,2,FALSE))*IF('11.07'!AT$4="是",'11.07'!$AY$4,'11.07'!$AY$3)</f>
        <v>0</v>
      </c>
      <c r="J28" s="4">
        <f>(VLOOKUP('11.07'!R28,'11.07'!$AM$4:$AO$55,2,FALSE))*IF('11.07'!AU$4="是",'11.07'!$AY$4,'11.07'!$AY$3)</f>
        <v>0</v>
      </c>
      <c r="K28" s="4">
        <f>(VLOOKUP('11.07'!S28,'11.07'!$AM$4:$AO$55,2,FALSE))*IF('11.07'!AV$4="是",'11.07'!$AY$4,'11.07'!$AY$3)</f>
        <v>0</v>
      </c>
      <c r="L28" s="4">
        <f>(VLOOKUP('11.07'!T28,'11.07'!$AM$4:$AO$55,2,FALSE))*IF('11.07'!AW$4="是",'11.07'!$AY$4,'11.07'!$AY$3)</f>
        <v>0</v>
      </c>
      <c r="M28" s="4">
        <f>(VLOOKUP('11.07'!U28,'11.07'!$AM$4:$AO$55,2,FALSE))*IF('11.07'!AX$4="是",'11.07'!$AY$4,'11.07'!$AY$3)</f>
        <v>0</v>
      </c>
      <c r="N28" s="4">
        <f>(VLOOKUP('11.07'!V28,'11.07'!$AM$4:$AO$55,2,FALSE))*IF('11.07'!AY$4="是",'11.07'!$AY$4,'11.07'!$AY$3)</f>
        <v>0</v>
      </c>
      <c r="O28" s="5">
        <f>(VLOOKUP('11.07'!W28,'11.07'!$AM$4:$AO$55,2,FALSE))*IF('11.07'!AZ$4="是",'11.07'!$AY$4,'11.07'!$AY$3)</f>
        <v>0</v>
      </c>
      <c r="P28" s="5">
        <f>(VLOOKUP('11.07'!X28,'11.07'!$AM$4:$AO$55,2,FALSE))*IF('11.07'!BA$4="是",'11.07'!$AY$4,'11.07'!$AY$3)</f>
        <v>0</v>
      </c>
      <c r="Q28" s="4">
        <f>(VLOOKUP('11.07'!Y28,'11.07'!$AM$4:$AO$55,2,FALSE))*IF('11.07'!BB$4="是",'11.07'!$AY$4,'11.07'!$AY$3)</f>
        <v>180</v>
      </c>
      <c r="R28" s="4">
        <f>(VLOOKUP('11.07'!Z28,'11.07'!$AM$4:$AO$55,2,FALSE))*IF('11.07'!BC$4="是",'11.07'!$AY$4,'11.07'!$AY$3)</f>
        <v>180</v>
      </c>
      <c r="S28" s="4">
        <f>(VLOOKUP('11.07'!AA28,'11.07'!$AM$4:$AO$55,2,FALSE))*IF('11.07'!BD$4="是",'11.07'!$AY$4,'11.07'!$AY$3)</f>
        <v>180</v>
      </c>
      <c r="T28" s="4">
        <f>(VLOOKUP('11.07'!AB28,'11.07'!$AM$4:$AO$55,2,FALSE))*IF('11.07'!BE$4="是",'11.07'!$AY$4,'11.07'!$AY$3)</f>
        <v>180</v>
      </c>
      <c r="U28" s="4">
        <f>(VLOOKUP('11.07'!AC28,'11.07'!$AM$4:$AO$55,2,FALSE))*IF('11.07'!BF$4="是",'11.07'!$AY$4,'11.07'!$AY$3)</f>
        <v>180</v>
      </c>
      <c r="V28" s="4">
        <f>(VLOOKUP('11.07'!AD28,'11.07'!$AM$4:$AO$55,2,FALSE))*IF('11.07'!BG$4="是",'11.07'!$AY$4,'11.07'!$AY$3)</f>
        <v>190</v>
      </c>
      <c r="W28" s="5">
        <f>(VLOOKUP('11.07'!AE28,'11.07'!$AM$4:$AO$55,2,FALSE))*IF('11.07'!BH$4="是",'11.07'!$AY$4,'11.07'!$AY$3)</f>
        <v>0</v>
      </c>
      <c r="X28" s="5">
        <f>(VLOOKUP('11.07'!AF28,'11.07'!$AM$4:$AO$55,2,FALSE))*IF('11.07'!BI$4="是",'11.07'!$AY$4,'11.07'!$AY$3)</f>
        <v>0</v>
      </c>
    </row>
    <row r="29" spans="1:24">
      <c r="A29" s="4">
        <f>(VLOOKUP('11.07'!I29,'11.07'!$AM$4:$AO$55,2,FALSE))*IF('11.07'!AK$4="是",'11.07'!$AY$4,'11.07'!$AY$3)</f>
        <v>170</v>
      </c>
      <c r="B29" s="4">
        <f>(VLOOKUP('11.07'!J29,'11.07'!$AM$4:$AO$55,2,FALSE))*IF('11.07'!AL$4="是",'11.07'!$AY$4,'11.07'!$AY$3)</f>
        <v>170</v>
      </c>
      <c r="C29" s="4">
        <f>(VLOOKUP('11.07'!K29,'11.07'!$AM$4:$AO$55,2,FALSE))*IF('11.07'!AM$4="是",'11.07'!$AY$4,'11.07'!$AY$3)</f>
        <v>170</v>
      </c>
      <c r="D29" s="4">
        <f>(VLOOKUP('11.07'!L29,'11.07'!$AM$4:$AO$55,2,FALSE))*IF('11.07'!AN$4="是",'11.07'!$AY$4,'11.07'!$AY$3)</f>
        <v>170</v>
      </c>
      <c r="E29" s="4">
        <f>(VLOOKUP('11.07'!M29,'11.07'!$AM$4:$AO$55,2,FALSE))*IF('11.07'!AO$4="是",'11.07'!$AY$4,'11.07'!$AY$3)</f>
        <v>170</v>
      </c>
      <c r="F29" s="4">
        <f>(VLOOKUP('11.07'!N29,'11.07'!$AM$4:$AO$55,2,FALSE))*IF('11.07'!AQ$4="是",'11.07'!$AY$4,'11.07'!$AY$3)</f>
        <v>170</v>
      </c>
      <c r="G29" s="5">
        <f>(VLOOKUP('11.07'!O29,'11.07'!$AM$4:$AO$55,2,FALSE))*IF('11.07'!AR$4="是",'11.07'!$AY$4,'11.07'!$AY$3)</f>
        <v>0</v>
      </c>
      <c r="H29" s="5">
        <f>(VLOOKUP('11.07'!P29,'11.07'!$AM$4:$AO$55,2,FALSE))*IF('11.07'!AS$4="是",'11.07'!$AY$4,'11.07'!$AY$3)</f>
        <v>0</v>
      </c>
      <c r="I29" s="4">
        <f>(VLOOKUP('11.07'!Q29,'11.07'!$AM$4:$AO$55,2,FALSE))*IF('11.07'!AT$4="是",'11.07'!$AY$4,'11.07'!$AY$3)</f>
        <v>0</v>
      </c>
      <c r="J29" s="4">
        <f>(VLOOKUP('11.07'!R29,'11.07'!$AM$4:$AO$55,2,FALSE))*IF('11.07'!AU$4="是",'11.07'!$AY$4,'11.07'!$AY$3)</f>
        <v>0</v>
      </c>
      <c r="K29" s="4">
        <f>(VLOOKUP('11.07'!S29,'11.07'!$AM$4:$AO$55,2,FALSE))*IF('11.07'!AV$4="是",'11.07'!$AY$4,'11.07'!$AY$3)</f>
        <v>0</v>
      </c>
      <c r="L29" s="4">
        <f>(VLOOKUP('11.07'!T29,'11.07'!$AM$4:$AO$55,2,FALSE))*IF('11.07'!AW$4="是",'11.07'!$AY$4,'11.07'!$AY$3)</f>
        <v>0</v>
      </c>
      <c r="M29" s="4">
        <f>(VLOOKUP('11.07'!U29,'11.07'!$AM$4:$AO$55,2,FALSE))*IF('11.07'!AX$4="是",'11.07'!$AY$4,'11.07'!$AY$3)</f>
        <v>0</v>
      </c>
      <c r="N29" s="4">
        <f>(VLOOKUP('11.07'!V29,'11.07'!$AM$4:$AO$55,2,FALSE))*IF('11.07'!AY$4="是",'11.07'!$AY$4,'11.07'!$AY$3)</f>
        <v>0</v>
      </c>
      <c r="O29" s="5">
        <f>(VLOOKUP('11.07'!W29,'11.07'!$AM$4:$AO$55,2,FALSE))*IF('11.07'!AZ$4="是",'11.07'!$AY$4,'11.07'!$AY$3)</f>
        <v>0</v>
      </c>
      <c r="P29" s="5">
        <f>(VLOOKUP('11.07'!X29,'11.07'!$AM$4:$AO$55,2,FALSE))*IF('11.07'!BA$4="是",'11.07'!$AY$4,'11.07'!$AY$3)</f>
        <v>0</v>
      </c>
      <c r="Q29" s="4">
        <f>(VLOOKUP('11.07'!Y29,'11.07'!$AM$4:$AO$55,2,FALSE))*IF('11.07'!BB$4="是",'11.07'!$AY$4,'11.07'!$AY$3)</f>
        <v>190</v>
      </c>
      <c r="R29" s="4">
        <f>(VLOOKUP('11.07'!Z29,'11.07'!$AM$4:$AO$55,2,FALSE))*IF('11.07'!BC$4="是",'11.07'!$AY$4,'11.07'!$AY$3)</f>
        <v>190</v>
      </c>
      <c r="S29" s="4">
        <f>(VLOOKUP('11.07'!AA29,'11.07'!$AM$4:$AO$55,2,FALSE))*IF('11.07'!BD$4="是",'11.07'!$AY$4,'11.07'!$AY$3)</f>
        <v>190</v>
      </c>
      <c r="T29" s="4">
        <f>(VLOOKUP('11.07'!AB29,'11.07'!$AM$4:$AO$55,2,FALSE))*IF('11.07'!BE$4="是",'11.07'!$AY$4,'11.07'!$AY$3)</f>
        <v>190</v>
      </c>
      <c r="U29" s="4">
        <f>(VLOOKUP('11.07'!AC29,'11.07'!$AM$4:$AO$55,2,FALSE))*IF('11.07'!BF$4="是",'11.07'!$AY$4,'11.07'!$AY$3)</f>
        <v>190</v>
      </c>
      <c r="V29" s="4">
        <f>(VLOOKUP('11.07'!AD29,'11.07'!$AM$4:$AO$55,2,FALSE))*IF('11.07'!BG$4="是",'11.07'!$AY$4,'11.07'!$AY$3)</f>
        <v>190</v>
      </c>
      <c r="W29" s="5">
        <f>(VLOOKUP('11.07'!AE29,'11.07'!$AM$4:$AO$55,2,FALSE))*IF('11.07'!BH$4="是",'11.07'!$AY$4,'11.07'!$AY$3)</f>
        <v>0</v>
      </c>
      <c r="X29" s="5">
        <f>(VLOOKUP('11.07'!AF29,'11.07'!$AM$4:$AO$55,2,FALSE))*IF('11.07'!BI$4="是",'11.07'!$AY$4,'11.07'!$AY$3)</f>
        <v>0</v>
      </c>
    </row>
    <row r="30" spans="1:24">
      <c r="A30" s="4">
        <f>(VLOOKUP('11.07'!I30,'11.07'!$AM$4:$AO$55,2,FALSE))*IF('11.07'!AK$4="是",'11.07'!$AY$4,'11.07'!$AY$3)</f>
        <v>170</v>
      </c>
      <c r="B30" s="4">
        <f>(VLOOKUP('11.07'!J30,'11.07'!$AM$4:$AO$55,2,FALSE))*IF('11.07'!AL$4="是",'11.07'!$AY$4,'11.07'!$AY$3)</f>
        <v>170</v>
      </c>
      <c r="C30" s="4">
        <f>(VLOOKUP('11.07'!K30,'11.07'!$AM$4:$AO$55,2,FALSE))*IF('11.07'!AM$4="是",'11.07'!$AY$4,'11.07'!$AY$3)</f>
        <v>170</v>
      </c>
      <c r="D30" s="4">
        <f>(VLOOKUP('11.07'!L30,'11.07'!$AM$4:$AO$55,2,FALSE))*IF('11.07'!AN$4="是",'11.07'!$AY$4,'11.07'!$AY$3)</f>
        <v>170</v>
      </c>
      <c r="E30" s="4">
        <f>(VLOOKUP('11.07'!M30,'11.07'!$AM$4:$AO$55,2,FALSE))*IF('11.07'!AO$4="是",'11.07'!$AY$4,'11.07'!$AY$3)</f>
        <v>170</v>
      </c>
      <c r="F30" s="4">
        <f>(VLOOKUP('11.07'!N30,'11.07'!$AM$4:$AO$55,2,FALSE))*IF('11.07'!AQ$4="是",'11.07'!$AY$4,'11.07'!$AY$3)</f>
        <v>170</v>
      </c>
      <c r="G30" s="5">
        <f>(VLOOKUP('11.07'!O30,'11.07'!$AM$4:$AO$55,2,FALSE))*IF('11.07'!AR$4="是",'11.07'!$AY$4,'11.07'!$AY$3)</f>
        <v>0</v>
      </c>
      <c r="H30" s="5">
        <f>(VLOOKUP('11.07'!P30,'11.07'!$AM$4:$AO$55,2,FALSE))*IF('11.07'!AS$4="是",'11.07'!$AY$4,'11.07'!$AY$3)</f>
        <v>0</v>
      </c>
      <c r="I30" s="4">
        <f>(VLOOKUP('11.07'!Q30,'11.07'!$AM$4:$AO$55,2,FALSE))*IF('11.07'!AT$4="是",'11.07'!$AY$4,'11.07'!$AY$3)</f>
        <v>0</v>
      </c>
      <c r="J30" s="4">
        <f>(VLOOKUP('11.07'!R30,'11.07'!$AM$4:$AO$55,2,FALSE))*IF('11.07'!AU$4="是",'11.07'!$AY$4,'11.07'!$AY$3)</f>
        <v>0</v>
      </c>
      <c r="K30" s="4">
        <f>(VLOOKUP('11.07'!S30,'11.07'!$AM$4:$AO$55,2,FALSE))*IF('11.07'!AV$4="是",'11.07'!$AY$4,'11.07'!$AY$3)</f>
        <v>0</v>
      </c>
      <c r="L30" s="4">
        <f>(VLOOKUP('11.07'!T30,'11.07'!$AM$4:$AO$55,2,FALSE))*IF('11.07'!AW$4="是",'11.07'!$AY$4,'11.07'!$AY$3)</f>
        <v>0</v>
      </c>
      <c r="M30" s="4">
        <f>(VLOOKUP('11.07'!U30,'11.07'!$AM$4:$AO$55,2,FALSE))*IF('11.07'!AX$4="是",'11.07'!$AY$4,'11.07'!$AY$3)</f>
        <v>0</v>
      </c>
      <c r="N30" s="4">
        <f>(VLOOKUP('11.07'!V30,'11.07'!$AM$4:$AO$55,2,FALSE))*IF('11.07'!AY$4="是",'11.07'!$AY$4,'11.07'!$AY$3)</f>
        <v>0</v>
      </c>
      <c r="O30" s="5">
        <f>(VLOOKUP('11.07'!W30,'11.07'!$AM$4:$AO$55,2,FALSE))*IF('11.07'!AZ$4="是",'11.07'!$AY$4,'11.07'!$AY$3)</f>
        <v>0</v>
      </c>
      <c r="P30" s="5">
        <f>(VLOOKUP('11.07'!X30,'11.07'!$AM$4:$AO$55,2,FALSE))*IF('11.07'!BA$4="是",'11.07'!$AY$4,'11.07'!$AY$3)</f>
        <v>0</v>
      </c>
      <c r="Q30" s="4">
        <f>(VLOOKUP('11.07'!Y30,'11.07'!$AM$4:$AO$55,2,FALSE))*IF('11.07'!BB$4="是",'11.07'!$AY$4,'11.07'!$AY$3)</f>
        <v>50</v>
      </c>
      <c r="R30" s="4">
        <f>(VLOOKUP('11.07'!Z30,'11.07'!$AM$4:$AO$55,2,FALSE))*IF('11.07'!BC$4="是",'11.07'!$AY$4,'11.07'!$AY$3)</f>
        <v>190</v>
      </c>
      <c r="S30" s="4">
        <f>(VLOOKUP('11.07'!AA30,'11.07'!$AM$4:$AO$55,2,FALSE))*IF('11.07'!BD$4="是",'11.07'!$AY$4,'11.07'!$AY$3)</f>
        <v>190</v>
      </c>
      <c r="T30" s="4">
        <f>(VLOOKUP('11.07'!AB30,'11.07'!$AM$4:$AO$55,2,FALSE))*IF('11.07'!BE$4="是",'11.07'!$AY$4,'11.07'!$AY$3)</f>
        <v>190</v>
      </c>
      <c r="U30" s="4">
        <f>(VLOOKUP('11.07'!AC30,'11.07'!$AM$4:$AO$55,2,FALSE))*IF('11.07'!BF$4="是",'11.07'!$AY$4,'11.07'!$AY$3)</f>
        <v>190</v>
      </c>
      <c r="V30" s="4">
        <f>(VLOOKUP('11.07'!AD30,'11.07'!$AM$4:$AO$55,2,FALSE))*IF('11.07'!BG$4="是",'11.07'!$AY$4,'11.07'!$AY$3)</f>
        <v>190</v>
      </c>
      <c r="W30" s="5">
        <f>(VLOOKUP('11.07'!AE30,'11.07'!$AM$4:$AO$55,2,FALSE))*IF('11.07'!BH$4="是",'11.07'!$AY$4,'11.07'!$AY$3)</f>
        <v>0</v>
      </c>
      <c r="X30" s="5">
        <f>(VLOOKUP('11.07'!AF30,'11.07'!$AM$4:$AO$55,2,FALSE))*IF('11.07'!BI$4="是",'11.07'!$AY$4,'11.07'!$AY$3)</f>
        <v>0</v>
      </c>
    </row>
    <row r="31" spans="1:24">
      <c r="A31" s="4">
        <f>(VLOOKUP('11.07'!I31,'11.07'!$AM$4:$AO$55,2,FALSE))*IF('11.07'!AK$4="是",'11.07'!$AY$4,'11.07'!$AY$3)</f>
        <v>170</v>
      </c>
      <c r="B31" s="4">
        <f>(VLOOKUP('11.07'!J31,'11.07'!$AM$4:$AO$55,2,FALSE))*IF('11.07'!AL$4="是",'11.07'!$AY$4,'11.07'!$AY$3)</f>
        <v>170</v>
      </c>
      <c r="C31" s="4">
        <f>(VLOOKUP('11.07'!K31,'11.07'!$AM$4:$AO$55,2,FALSE))*IF('11.07'!AM$4="是",'11.07'!$AY$4,'11.07'!$AY$3)</f>
        <v>170</v>
      </c>
      <c r="D31" s="4">
        <f>(VLOOKUP('11.07'!L31,'11.07'!$AM$4:$AO$55,2,FALSE))*IF('11.07'!AN$4="是",'11.07'!$AY$4,'11.07'!$AY$3)</f>
        <v>170</v>
      </c>
      <c r="E31" s="4">
        <f>(VLOOKUP('11.07'!M31,'11.07'!$AM$4:$AO$55,2,FALSE))*IF('11.07'!AO$4="是",'11.07'!$AY$4,'11.07'!$AY$3)</f>
        <v>170</v>
      </c>
      <c r="F31" s="4">
        <f>(VLOOKUP('11.07'!N31,'11.07'!$AM$4:$AO$55,2,FALSE))*IF('11.07'!AQ$4="是",'11.07'!$AY$4,'11.07'!$AY$3)</f>
        <v>50</v>
      </c>
      <c r="G31" s="5">
        <f>(VLOOKUP('11.07'!O31,'11.07'!$AM$4:$AO$55,2,FALSE))*IF('11.07'!AR$4="是",'11.07'!$AY$4,'11.07'!$AY$3)</f>
        <v>0</v>
      </c>
      <c r="H31" s="5">
        <f>(VLOOKUP('11.07'!P31,'11.07'!$AM$4:$AO$55,2,FALSE))*IF('11.07'!AS$4="是",'11.07'!$AY$4,'11.07'!$AY$3)</f>
        <v>0</v>
      </c>
      <c r="I31" s="4">
        <f>(VLOOKUP('11.07'!Q31,'11.07'!$AM$4:$AO$55,2,FALSE))*IF('11.07'!AT$4="是",'11.07'!$AY$4,'11.07'!$AY$3)</f>
        <v>0</v>
      </c>
      <c r="J31" s="4">
        <f>(VLOOKUP('11.07'!R31,'11.07'!$AM$4:$AO$55,2,FALSE))*IF('11.07'!AU$4="是",'11.07'!$AY$4,'11.07'!$AY$3)</f>
        <v>0</v>
      </c>
      <c r="K31" s="4">
        <f>(VLOOKUP('11.07'!S31,'11.07'!$AM$4:$AO$55,2,FALSE))*IF('11.07'!AV$4="是",'11.07'!$AY$4,'11.07'!$AY$3)</f>
        <v>0</v>
      </c>
      <c r="L31" s="4">
        <f>(VLOOKUP('11.07'!T31,'11.07'!$AM$4:$AO$55,2,FALSE))*IF('11.07'!AW$4="是",'11.07'!$AY$4,'11.07'!$AY$3)</f>
        <v>0</v>
      </c>
      <c r="M31" s="4">
        <f>(VLOOKUP('11.07'!U31,'11.07'!$AM$4:$AO$55,2,FALSE))*IF('11.07'!AX$4="是",'11.07'!$AY$4,'11.07'!$AY$3)</f>
        <v>0</v>
      </c>
      <c r="N31" s="4">
        <f>(VLOOKUP('11.07'!V31,'11.07'!$AM$4:$AO$55,2,FALSE))*IF('11.07'!AY$4="是",'11.07'!$AY$4,'11.07'!$AY$3)</f>
        <v>0</v>
      </c>
      <c r="O31" s="5">
        <f>(VLOOKUP('11.07'!W31,'11.07'!$AM$4:$AO$55,2,FALSE))*IF('11.07'!AZ$4="是",'11.07'!$AY$4,'11.07'!$AY$3)</f>
        <v>0</v>
      </c>
      <c r="P31" s="5">
        <f>(VLOOKUP('11.07'!X31,'11.07'!$AM$4:$AO$55,2,FALSE))*IF('11.07'!BA$4="是",'11.07'!$AY$4,'11.07'!$AY$3)</f>
        <v>0</v>
      </c>
      <c r="Q31" s="4">
        <f>(VLOOKUP('11.07'!Y31,'11.07'!$AM$4:$AO$55,2,FALSE))*IF('11.07'!BB$4="是",'11.07'!$AY$4,'11.07'!$AY$3)</f>
        <v>190</v>
      </c>
      <c r="R31" s="4">
        <f>(VLOOKUP('11.07'!Z31,'11.07'!$AM$4:$AO$55,2,FALSE))*IF('11.07'!BC$4="是",'11.07'!$AY$4,'11.07'!$AY$3)</f>
        <v>190</v>
      </c>
      <c r="S31" s="4">
        <f>(VLOOKUP('11.07'!AA31,'11.07'!$AM$4:$AO$55,2,FALSE))*IF('11.07'!BD$4="是",'11.07'!$AY$4,'11.07'!$AY$3)</f>
        <v>190</v>
      </c>
      <c r="T31" s="4">
        <f>(VLOOKUP('11.07'!AB31,'11.07'!$AM$4:$AO$55,2,FALSE))*IF('11.07'!BE$4="是",'11.07'!$AY$4,'11.07'!$AY$3)</f>
        <v>190</v>
      </c>
      <c r="U31" s="4">
        <f>(VLOOKUP('11.07'!AC31,'11.07'!$AM$4:$AO$55,2,FALSE))*IF('11.07'!BF$4="是",'11.07'!$AY$4,'11.07'!$AY$3)</f>
        <v>190</v>
      </c>
      <c r="V31" s="4">
        <f>(VLOOKUP('11.07'!AD31,'11.07'!$AM$4:$AO$55,2,FALSE))*IF('11.07'!BG$4="是",'11.07'!$AY$4,'11.07'!$AY$3)</f>
        <v>190</v>
      </c>
      <c r="W31" s="5">
        <f>(VLOOKUP('11.07'!AE31,'11.07'!$AM$4:$AO$55,2,FALSE))*IF('11.07'!BH$4="是",'11.07'!$AY$4,'11.07'!$AY$3)</f>
        <v>0</v>
      </c>
      <c r="X31" s="5">
        <f>(VLOOKUP('11.07'!AF31,'11.07'!$AM$4:$AO$55,2,FALSE))*IF('11.07'!BI$4="是",'11.07'!$AY$4,'11.07'!$AY$3)</f>
        <v>0</v>
      </c>
    </row>
    <row r="32" spans="1:24">
      <c r="A32" s="4">
        <f>(VLOOKUP('11.07'!I32,'11.07'!$AM$4:$AO$55,2,FALSE))*IF('11.07'!AK$4="是",'11.07'!$AY$4,'11.07'!$AY$3)</f>
        <v>170</v>
      </c>
      <c r="B32" s="4">
        <f>(VLOOKUP('11.07'!J32,'11.07'!$AM$4:$AO$55,2,FALSE))*IF('11.07'!AL$4="是",'11.07'!$AY$4,'11.07'!$AY$3)</f>
        <v>170</v>
      </c>
      <c r="C32" s="4">
        <f>(VLOOKUP('11.07'!K32,'11.07'!$AM$4:$AO$55,2,FALSE))*IF('11.07'!AM$4="是",'11.07'!$AY$4,'11.07'!$AY$3)</f>
        <v>170</v>
      </c>
      <c r="D32" s="4">
        <f>(VLOOKUP('11.07'!L32,'11.07'!$AM$4:$AO$55,2,FALSE))*IF('11.07'!AN$4="是",'11.07'!$AY$4,'11.07'!$AY$3)</f>
        <v>-200</v>
      </c>
      <c r="E32" s="4">
        <f>(VLOOKUP('11.07'!M32,'11.07'!$AM$4:$AO$55,2,FALSE))*IF('11.07'!AO$4="是",'11.07'!$AY$4,'11.07'!$AY$3)</f>
        <v>170</v>
      </c>
      <c r="F32" s="4">
        <f>(VLOOKUP('11.07'!N32,'11.07'!$AM$4:$AO$55,2,FALSE))*IF('11.07'!AQ$4="是",'11.07'!$AY$4,'11.07'!$AY$3)</f>
        <v>170</v>
      </c>
      <c r="G32" s="5">
        <f>(VLOOKUP('11.07'!O32,'11.07'!$AM$4:$AO$55,2,FALSE))*IF('11.07'!AR$4="是",'11.07'!$AY$4,'11.07'!$AY$3)</f>
        <v>50</v>
      </c>
      <c r="H32" s="5">
        <f>(VLOOKUP('11.07'!P32,'11.07'!$AM$4:$AO$55,2,FALSE))*IF('11.07'!AS$4="是",'11.07'!$AY$4,'11.07'!$AY$3)</f>
        <v>0</v>
      </c>
      <c r="I32" s="4">
        <f>(VLOOKUP('11.07'!Q32,'11.07'!$AM$4:$AO$55,2,FALSE))*IF('11.07'!AT$4="是",'11.07'!$AY$4,'11.07'!$AY$3)</f>
        <v>0</v>
      </c>
      <c r="J32" s="4">
        <f>(VLOOKUP('11.07'!R32,'11.07'!$AM$4:$AO$55,2,FALSE))*IF('11.07'!AU$4="是",'11.07'!$AY$4,'11.07'!$AY$3)</f>
        <v>0</v>
      </c>
      <c r="K32" s="4">
        <f>(VLOOKUP('11.07'!S32,'11.07'!$AM$4:$AO$55,2,FALSE))*IF('11.07'!AV$4="是",'11.07'!$AY$4,'11.07'!$AY$3)</f>
        <v>0</v>
      </c>
      <c r="L32" s="4">
        <f>(VLOOKUP('11.07'!T32,'11.07'!$AM$4:$AO$55,2,FALSE))*IF('11.07'!AW$4="是",'11.07'!$AY$4,'11.07'!$AY$3)</f>
        <v>0</v>
      </c>
      <c r="M32" s="4">
        <f>(VLOOKUP('11.07'!U32,'11.07'!$AM$4:$AO$55,2,FALSE))*IF('11.07'!AX$4="是",'11.07'!$AY$4,'11.07'!$AY$3)</f>
        <v>0</v>
      </c>
      <c r="N32" s="4">
        <f>(VLOOKUP('11.07'!V32,'11.07'!$AM$4:$AO$55,2,FALSE))*IF('11.07'!AY$4="是",'11.07'!$AY$4,'11.07'!$AY$3)</f>
        <v>0</v>
      </c>
      <c r="O32" s="5">
        <f>(VLOOKUP('11.07'!W32,'11.07'!$AM$4:$AO$55,2,FALSE))*IF('11.07'!AZ$4="是",'11.07'!$AY$4,'11.07'!$AY$3)</f>
        <v>0</v>
      </c>
      <c r="P32" s="5">
        <f>(VLOOKUP('11.07'!X32,'11.07'!$AM$4:$AO$55,2,FALSE))*IF('11.07'!BA$4="是",'11.07'!$AY$4,'11.07'!$AY$3)</f>
        <v>0</v>
      </c>
      <c r="Q32" s="4">
        <f>(VLOOKUP('11.07'!Y32,'11.07'!$AM$4:$AO$55,2,FALSE))*IF('11.07'!BB$4="是",'11.07'!$AY$4,'11.07'!$AY$3)</f>
        <v>190</v>
      </c>
      <c r="R32" s="4">
        <f>(VLOOKUP('11.07'!Z32,'11.07'!$AM$4:$AO$55,2,FALSE))*IF('11.07'!BC$4="是",'11.07'!$AY$4,'11.07'!$AY$3)</f>
        <v>200</v>
      </c>
      <c r="S32" s="4">
        <f>(VLOOKUP('11.07'!AA32,'11.07'!$AM$4:$AO$55,2,FALSE))*IF('11.07'!BD$4="是",'11.07'!$AY$4,'11.07'!$AY$3)</f>
        <v>200</v>
      </c>
      <c r="T32" s="4">
        <f>(VLOOKUP('11.07'!AB32,'11.07'!$AM$4:$AO$55,2,FALSE))*IF('11.07'!BE$4="是",'11.07'!$AY$4,'11.07'!$AY$3)</f>
        <v>200</v>
      </c>
      <c r="U32" s="4">
        <f>(VLOOKUP('11.07'!AC32,'11.07'!$AM$4:$AO$55,2,FALSE))*IF('11.07'!BF$4="是",'11.07'!$AY$4,'11.07'!$AY$3)</f>
        <v>200</v>
      </c>
      <c r="V32" s="4">
        <f>(VLOOKUP('11.07'!AD32,'11.07'!$AM$4:$AO$55,2,FALSE))*IF('11.07'!BG$4="是",'11.07'!$AY$4,'11.07'!$AY$3)</f>
        <v>200</v>
      </c>
      <c r="W32" s="5">
        <f>(VLOOKUP('11.07'!AE32,'11.07'!$AM$4:$AO$55,2,FALSE))*IF('11.07'!BH$4="是",'11.07'!$AY$4,'11.07'!$AY$3)</f>
        <v>0</v>
      </c>
      <c r="X32" s="5">
        <f>(VLOOKUP('11.07'!AF32,'11.07'!$AM$4:$AO$55,2,FALSE))*IF('11.07'!BI$4="是",'11.07'!$AY$4,'11.07'!$AY$3)</f>
        <v>0</v>
      </c>
    </row>
    <row r="33" spans="1:24">
      <c r="A33" s="4">
        <f>(VLOOKUP('11.07'!I33,'11.07'!$AM$4:$AO$55,2,FALSE))*IF('11.07'!AK$4="是",'11.07'!$AY$4,'11.07'!$AY$3)</f>
        <v>170</v>
      </c>
      <c r="B33" s="4">
        <f>(VLOOKUP('11.07'!J33,'11.07'!$AM$4:$AO$55,2,FALSE))*IF('11.07'!AL$4="是",'11.07'!$AY$4,'11.07'!$AY$3)</f>
        <v>170</v>
      </c>
      <c r="C33" s="4">
        <f>(VLOOKUP('11.07'!K33,'11.07'!$AM$4:$AO$55,2,FALSE))*IF('11.07'!AM$4="是",'11.07'!$AY$4,'11.07'!$AY$3)</f>
        <v>170</v>
      </c>
      <c r="D33" s="4">
        <f>(VLOOKUP('11.07'!L33,'11.07'!$AM$4:$AO$55,2,FALSE))*IF('11.07'!AN$4="是",'11.07'!$AY$4,'11.07'!$AY$3)</f>
        <v>170</v>
      </c>
      <c r="E33" s="4">
        <f>(VLOOKUP('11.07'!M33,'11.07'!$AM$4:$AO$55,2,FALSE))*IF('11.07'!AO$4="是",'11.07'!$AY$4,'11.07'!$AY$3)</f>
        <v>170</v>
      </c>
      <c r="F33" s="4">
        <f>(VLOOKUP('11.07'!N33,'11.07'!$AM$4:$AO$55,2,FALSE))*IF('11.07'!AQ$4="是",'11.07'!$AY$4,'11.07'!$AY$3)</f>
        <v>170</v>
      </c>
      <c r="G33" s="5">
        <f>(VLOOKUP('11.07'!O33,'11.07'!$AM$4:$AO$55,2,FALSE))*IF('11.07'!AR$4="是",'11.07'!$AY$4,'11.07'!$AY$3)</f>
        <v>0</v>
      </c>
      <c r="H33" s="5">
        <f>(VLOOKUP('11.07'!P33,'11.07'!$AM$4:$AO$55,2,FALSE))*IF('11.07'!AS$4="是",'11.07'!$AY$4,'11.07'!$AY$3)</f>
        <v>0</v>
      </c>
      <c r="I33" s="4">
        <f>(VLOOKUP('11.07'!Q33,'11.07'!$AM$4:$AO$55,2,FALSE))*IF('11.07'!AT$4="是",'11.07'!$AY$4,'11.07'!$AY$3)</f>
        <v>0</v>
      </c>
      <c r="J33" s="4">
        <f>(VLOOKUP('11.07'!R33,'11.07'!$AM$4:$AO$55,2,FALSE))*IF('11.07'!AU$4="是",'11.07'!$AY$4,'11.07'!$AY$3)</f>
        <v>0</v>
      </c>
      <c r="K33" s="4">
        <f>(VLOOKUP('11.07'!S33,'11.07'!$AM$4:$AO$55,2,FALSE))*IF('11.07'!AV$4="是",'11.07'!$AY$4,'11.07'!$AY$3)</f>
        <v>0</v>
      </c>
      <c r="L33" s="4">
        <f>(VLOOKUP('11.07'!T33,'11.07'!$AM$4:$AO$55,2,FALSE))*IF('11.07'!AW$4="是",'11.07'!$AY$4,'11.07'!$AY$3)</f>
        <v>0</v>
      </c>
      <c r="M33" s="4">
        <f>(VLOOKUP('11.07'!U33,'11.07'!$AM$4:$AO$55,2,FALSE))*IF('11.07'!AX$4="是",'11.07'!$AY$4,'11.07'!$AY$3)</f>
        <v>0</v>
      </c>
      <c r="N33" s="4">
        <f>(VLOOKUP('11.07'!V33,'11.07'!$AM$4:$AO$55,2,FALSE))*IF('11.07'!AY$4="是",'11.07'!$AY$4,'11.07'!$AY$3)</f>
        <v>0</v>
      </c>
      <c r="O33" s="5">
        <f>(VLOOKUP('11.07'!W33,'11.07'!$AM$4:$AO$55,2,FALSE))*IF('11.07'!AZ$4="是",'11.07'!$AY$4,'11.07'!$AY$3)</f>
        <v>0</v>
      </c>
      <c r="P33" s="5">
        <f>(VLOOKUP('11.07'!X33,'11.07'!$AM$4:$AO$55,2,FALSE))*IF('11.07'!BA$4="是",'11.07'!$AY$4,'11.07'!$AY$3)</f>
        <v>0</v>
      </c>
      <c r="Q33" s="4">
        <f>(VLOOKUP('11.07'!Y33,'11.07'!$AM$4:$AO$55,2,FALSE))*IF('11.07'!BB$4="是",'11.07'!$AY$4,'11.07'!$AY$3)</f>
        <v>200</v>
      </c>
      <c r="R33" s="4">
        <f>(VLOOKUP('11.07'!Z33,'11.07'!$AM$4:$AO$55,2,FALSE))*IF('11.07'!BC$4="是",'11.07'!$AY$4,'11.07'!$AY$3)</f>
        <v>200</v>
      </c>
      <c r="S33" s="4">
        <f>(VLOOKUP('11.07'!AA33,'11.07'!$AM$4:$AO$55,2,FALSE))*IF('11.07'!BD$4="是",'11.07'!$AY$4,'11.07'!$AY$3)</f>
        <v>200</v>
      </c>
      <c r="T33" s="4">
        <f>(VLOOKUP('11.07'!AB33,'11.07'!$AM$4:$AO$55,2,FALSE))*IF('11.07'!BE$4="是",'11.07'!$AY$4,'11.07'!$AY$3)</f>
        <v>200</v>
      </c>
      <c r="U33" s="4">
        <f>(VLOOKUP('11.07'!AC33,'11.07'!$AM$4:$AO$55,2,FALSE))*IF('11.07'!BF$4="是",'11.07'!$AY$4,'11.07'!$AY$3)</f>
        <v>200</v>
      </c>
      <c r="V33" s="4">
        <f>(VLOOKUP('11.07'!AD33,'11.07'!$AM$4:$AO$55,2,FALSE))*IF('11.07'!BG$4="是",'11.07'!$AY$4,'11.07'!$AY$3)</f>
        <v>200</v>
      </c>
      <c r="W33" s="5">
        <f>(VLOOKUP('11.07'!AE33,'11.07'!$AM$4:$AO$55,2,FALSE))*IF('11.07'!BH$4="是",'11.07'!$AY$4,'11.07'!$AY$3)</f>
        <v>0</v>
      </c>
      <c r="X33" s="5">
        <f>(VLOOKUP('11.07'!AF33,'11.07'!$AM$4:$AO$55,2,FALSE))*IF('11.07'!BI$4="是",'11.07'!$AY$4,'11.07'!$AY$3)</f>
        <v>0</v>
      </c>
    </row>
    <row r="34" spans="1:24">
      <c r="A34" s="4">
        <f>(VLOOKUP('11.07'!I34,'11.07'!$AM$4:$AO$55,2,FALSE))*IF('11.07'!AK$4="是",'11.07'!$AY$4,'11.07'!$AY$3)</f>
        <v>180</v>
      </c>
      <c r="B34" s="4">
        <f>(VLOOKUP('11.07'!J34,'11.07'!$AM$4:$AO$55,2,FALSE))*IF('11.07'!AL$4="是",'11.07'!$AY$4,'11.07'!$AY$3)</f>
        <v>180</v>
      </c>
      <c r="C34" s="4">
        <f>(VLOOKUP('11.07'!K34,'11.07'!$AM$4:$AO$55,2,FALSE))*IF('11.07'!AM$4="是",'11.07'!$AY$4,'11.07'!$AY$3)</f>
        <v>180</v>
      </c>
      <c r="D34" s="4">
        <f>(VLOOKUP('11.07'!L34,'11.07'!$AM$4:$AO$55,2,FALSE))*IF('11.07'!AN$4="是",'11.07'!$AY$4,'11.07'!$AY$3)</f>
        <v>180</v>
      </c>
      <c r="E34" s="4">
        <f>(VLOOKUP('11.07'!M34,'11.07'!$AM$4:$AO$55,2,FALSE))*IF('11.07'!AO$4="是",'11.07'!$AY$4,'11.07'!$AY$3)</f>
        <v>180</v>
      </c>
      <c r="F34" s="4">
        <f>(VLOOKUP('11.07'!N34,'11.07'!$AM$4:$AO$55,2,FALSE))*IF('11.07'!AQ$4="是",'11.07'!$AY$4,'11.07'!$AY$3)</f>
        <v>180</v>
      </c>
      <c r="G34" s="5">
        <f>(VLOOKUP('11.07'!O34,'11.07'!$AM$4:$AO$55,2,FALSE))*IF('11.07'!AR$4="是",'11.07'!$AY$4,'11.07'!$AY$3)</f>
        <v>0</v>
      </c>
      <c r="H34" s="5">
        <f>(VLOOKUP('11.07'!P34,'11.07'!$AM$4:$AO$55,2,FALSE))*IF('11.07'!AS$4="是",'11.07'!$AY$4,'11.07'!$AY$3)</f>
        <v>0</v>
      </c>
      <c r="I34" s="4">
        <f>(VLOOKUP('11.07'!Q34,'11.07'!$AM$4:$AO$55,2,FALSE))*IF('11.07'!AT$4="是",'11.07'!$AY$4,'11.07'!$AY$3)</f>
        <v>0</v>
      </c>
      <c r="J34" s="4">
        <f>(VLOOKUP('11.07'!R34,'11.07'!$AM$4:$AO$55,2,FALSE))*IF('11.07'!AU$4="是",'11.07'!$AY$4,'11.07'!$AY$3)</f>
        <v>0</v>
      </c>
      <c r="K34" s="4">
        <f>(VLOOKUP('11.07'!S34,'11.07'!$AM$4:$AO$55,2,FALSE))*IF('11.07'!AV$4="是",'11.07'!$AY$4,'11.07'!$AY$3)</f>
        <v>0</v>
      </c>
      <c r="L34" s="4">
        <f>(VLOOKUP('11.07'!T34,'11.07'!$AM$4:$AO$55,2,FALSE))*IF('11.07'!AW$4="是",'11.07'!$AY$4,'11.07'!$AY$3)</f>
        <v>0</v>
      </c>
      <c r="M34" s="4">
        <f>(VLOOKUP('11.07'!U34,'11.07'!$AM$4:$AO$55,2,FALSE))*IF('11.07'!AX$4="是",'11.07'!$AY$4,'11.07'!$AY$3)</f>
        <v>0</v>
      </c>
      <c r="N34" s="4">
        <f>(VLOOKUP('11.07'!V34,'11.07'!$AM$4:$AO$55,2,FALSE))*IF('11.07'!AY$4="是",'11.07'!$AY$4,'11.07'!$AY$3)</f>
        <v>0</v>
      </c>
      <c r="O34" s="5">
        <f>(VLOOKUP('11.07'!W34,'11.07'!$AM$4:$AO$55,2,FALSE))*IF('11.07'!AZ$4="是",'11.07'!$AY$4,'11.07'!$AY$3)</f>
        <v>0</v>
      </c>
      <c r="P34" s="5">
        <f>(VLOOKUP('11.07'!X34,'11.07'!$AM$4:$AO$55,2,FALSE))*IF('11.07'!BA$4="是",'11.07'!$AY$4,'11.07'!$AY$3)</f>
        <v>0</v>
      </c>
      <c r="Q34" s="4">
        <f>(VLOOKUP('11.07'!Y34,'11.07'!$AM$4:$AO$55,2,FALSE))*IF('11.07'!BB$4="是",'11.07'!$AY$4,'11.07'!$AY$3)</f>
        <v>200</v>
      </c>
      <c r="R34" s="4">
        <f>(VLOOKUP('11.07'!Z34,'11.07'!$AM$4:$AO$55,2,FALSE))*IF('11.07'!BC$4="是",'11.07'!$AY$4,'11.07'!$AY$3)</f>
        <v>200</v>
      </c>
      <c r="S34" s="4">
        <f>(VLOOKUP('11.07'!AA34,'11.07'!$AM$4:$AO$55,2,FALSE))*IF('11.07'!BD$4="是",'11.07'!$AY$4,'11.07'!$AY$3)</f>
        <v>200</v>
      </c>
      <c r="T34" s="4">
        <f>(VLOOKUP('11.07'!AB34,'11.07'!$AM$4:$AO$55,2,FALSE))*IF('11.07'!BE$4="是",'11.07'!$AY$4,'11.07'!$AY$3)</f>
        <v>200</v>
      </c>
      <c r="U34" s="4">
        <f>(VLOOKUP('11.07'!AC34,'11.07'!$AM$4:$AO$55,2,FALSE))*IF('11.07'!BF$4="是",'11.07'!$AY$4,'11.07'!$AY$3)</f>
        <v>200</v>
      </c>
      <c r="V34" s="4">
        <f>(VLOOKUP('11.07'!AD34,'11.07'!$AM$4:$AO$55,2,FALSE))*IF('11.07'!BG$4="是",'11.07'!$AY$4,'11.07'!$AY$3)</f>
        <v>200</v>
      </c>
      <c r="W34" s="5">
        <f>(VLOOKUP('11.07'!AE34,'11.07'!$AM$4:$AO$55,2,FALSE))*IF('11.07'!BH$4="是",'11.07'!$AY$4,'11.07'!$AY$3)</f>
        <v>0</v>
      </c>
      <c r="X34" s="5">
        <f>(VLOOKUP('11.07'!AF34,'11.07'!$AM$4:$AO$55,2,FALSE))*IF('11.07'!BI$4="是",'11.07'!$AY$4,'11.07'!$AY$3)</f>
        <v>0</v>
      </c>
    </row>
    <row r="35" spans="1:24">
      <c r="A35" s="4">
        <f>(VLOOKUP('11.07'!I35,'11.07'!$AM$4:$AO$55,2,FALSE))*IF('11.07'!AK$4="是",'11.07'!$AY$4,'11.07'!$AY$3)</f>
        <v>180</v>
      </c>
      <c r="B35" s="4">
        <f>(VLOOKUP('11.07'!J35,'11.07'!$AM$4:$AO$55,2,FALSE))*IF('11.07'!AL$4="是",'11.07'!$AY$4,'11.07'!$AY$3)</f>
        <v>180</v>
      </c>
      <c r="C35" s="4">
        <f>(VLOOKUP('11.07'!K35,'11.07'!$AM$4:$AO$55,2,FALSE))*IF('11.07'!AM$4="是",'11.07'!$AY$4,'11.07'!$AY$3)</f>
        <v>180</v>
      </c>
      <c r="D35" s="4">
        <f>(VLOOKUP('11.07'!L35,'11.07'!$AM$4:$AO$55,2,FALSE))*IF('11.07'!AN$4="是",'11.07'!$AY$4,'11.07'!$AY$3)</f>
        <v>180</v>
      </c>
      <c r="E35" s="4">
        <f>(VLOOKUP('11.07'!M35,'11.07'!$AM$4:$AO$55,2,FALSE))*IF('11.07'!AO$4="是",'11.07'!$AY$4,'11.07'!$AY$3)</f>
        <v>180</v>
      </c>
      <c r="F35" s="4">
        <f>(VLOOKUP('11.07'!N35,'11.07'!$AM$4:$AO$55,2,FALSE))*IF('11.07'!AQ$4="是",'11.07'!$AY$4,'11.07'!$AY$3)</f>
        <v>170</v>
      </c>
      <c r="G35" s="5">
        <f>(VLOOKUP('11.07'!O35,'11.07'!$AM$4:$AO$55,2,FALSE))*IF('11.07'!AR$4="是",'11.07'!$AY$4,'11.07'!$AY$3)</f>
        <v>0</v>
      </c>
      <c r="H35" s="5">
        <f>(VLOOKUP('11.07'!P35,'11.07'!$AM$4:$AO$55,2,FALSE))*IF('11.07'!AS$4="是",'11.07'!$AY$4,'11.07'!$AY$3)</f>
        <v>0</v>
      </c>
      <c r="I35" s="4">
        <f>(VLOOKUP('11.07'!Q35,'11.07'!$AM$4:$AO$55,2,FALSE))*IF('11.07'!AT$4="是",'11.07'!$AY$4,'11.07'!$AY$3)</f>
        <v>0</v>
      </c>
      <c r="J35" s="4">
        <f>(VLOOKUP('11.07'!R35,'11.07'!$AM$4:$AO$55,2,FALSE))*IF('11.07'!AU$4="是",'11.07'!$AY$4,'11.07'!$AY$3)</f>
        <v>0</v>
      </c>
      <c r="K35" s="4">
        <f>(VLOOKUP('11.07'!S35,'11.07'!$AM$4:$AO$55,2,FALSE))*IF('11.07'!AV$4="是",'11.07'!$AY$4,'11.07'!$AY$3)</f>
        <v>0</v>
      </c>
      <c r="L35" s="4">
        <f>(VLOOKUP('11.07'!T35,'11.07'!$AM$4:$AO$55,2,FALSE))*IF('11.07'!AW$4="是",'11.07'!$AY$4,'11.07'!$AY$3)</f>
        <v>0</v>
      </c>
      <c r="M35" s="4">
        <f>(VLOOKUP('11.07'!U35,'11.07'!$AM$4:$AO$55,2,FALSE))*IF('11.07'!AX$4="是",'11.07'!$AY$4,'11.07'!$AY$3)</f>
        <v>0</v>
      </c>
      <c r="N35" s="4">
        <f>(VLOOKUP('11.07'!V35,'11.07'!$AM$4:$AO$55,2,FALSE))*IF('11.07'!AY$4="是",'11.07'!$AY$4,'11.07'!$AY$3)</f>
        <v>0</v>
      </c>
      <c r="O35" s="5">
        <f>(VLOOKUP('11.07'!W35,'11.07'!$AM$4:$AO$55,2,FALSE))*IF('11.07'!AZ$4="是",'11.07'!$AY$4,'11.07'!$AY$3)</f>
        <v>0</v>
      </c>
      <c r="P35" s="5">
        <f>(VLOOKUP('11.07'!X35,'11.07'!$AM$4:$AO$55,2,FALSE))*IF('11.07'!BA$4="是",'11.07'!$AY$4,'11.07'!$AY$3)</f>
        <v>0</v>
      </c>
      <c r="Q35" s="4">
        <f>(VLOOKUP('11.07'!Y35,'11.07'!$AM$4:$AO$55,2,FALSE))*IF('11.07'!BB$4="是",'11.07'!$AY$4,'11.07'!$AY$3)</f>
        <v>200</v>
      </c>
      <c r="R35" s="4">
        <f>(VLOOKUP('11.07'!Z35,'11.07'!$AM$4:$AO$55,2,FALSE))*IF('11.07'!BC$4="是",'11.07'!$AY$4,'11.07'!$AY$3)</f>
        <v>200</v>
      </c>
      <c r="S35" s="4">
        <f>(VLOOKUP('11.07'!AA35,'11.07'!$AM$4:$AO$55,2,FALSE))*IF('11.07'!BD$4="是",'11.07'!$AY$4,'11.07'!$AY$3)</f>
        <v>200</v>
      </c>
      <c r="T35" s="4">
        <f>(VLOOKUP('11.07'!AB35,'11.07'!$AM$4:$AO$55,2,FALSE))*IF('11.07'!BE$4="是",'11.07'!$AY$4,'11.07'!$AY$3)</f>
        <v>200</v>
      </c>
      <c r="U35" s="4">
        <f>(VLOOKUP('11.07'!AC35,'11.07'!$AM$4:$AO$55,2,FALSE))*IF('11.07'!BF$4="是",'11.07'!$AY$4,'11.07'!$AY$3)</f>
        <v>200</v>
      </c>
      <c r="V35" s="4">
        <f>(VLOOKUP('11.07'!AD35,'11.07'!$AM$4:$AO$55,2,FALSE))*IF('11.07'!BG$4="是",'11.07'!$AY$4,'11.07'!$AY$3)</f>
        <v>200</v>
      </c>
      <c r="W35" s="5">
        <f>(VLOOKUP('11.07'!AE35,'11.07'!$AM$4:$AO$55,2,FALSE))*IF('11.07'!BH$4="是",'11.07'!$AY$4,'11.07'!$AY$3)</f>
        <v>0</v>
      </c>
      <c r="X35" s="5">
        <f>(VLOOKUP('11.07'!AF35,'11.07'!$AM$4:$AO$55,2,FALSE))*IF('11.07'!BI$4="是",'11.07'!$AY$4,'11.07'!$AY$3)</f>
        <v>0</v>
      </c>
    </row>
    <row r="36" spans="1:24">
      <c r="A36" s="4">
        <f>(VLOOKUP('11.07'!I36,'11.07'!$AM$4:$AO$55,2,FALSE))*IF('11.07'!AK$4="是",'11.07'!$AY$4,'11.07'!$AY$3)</f>
        <v>170</v>
      </c>
      <c r="B36" s="4">
        <f>(VLOOKUP('11.07'!J36,'11.07'!$AM$4:$AO$55,2,FALSE))*IF('11.07'!AL$4="是",'11.07'!$AY$4,'11.07'!$AY$3)</f>
        <v>170</v>
      </c>
      <c r="C36" s="4">
        <f>(VLOOKUP('11.07'!K36,'11.07'!$AM$4:$AO$55,2,FALSE))*IF('11.07'!AM$4="是",'11.07'!$AY$4,'11.07'!$AY$3)</f>
        <v>170</v>
      </c>
      <c r="D36" s="4">
        <f>(VLOOKUP('11.07'!L36,'11.07'!$AM$4:$AO$55,2,FALSE))*IF('11.07'!AN$4="是",'11.07'!$AY$4,'11.07'!$AY$3)</f>
        <v>50</v>
      </c>
      <c r="E36" s="4">
        <f>(VLOOKUP('11.07'!M36,'11.07'!$AM$4:$AO$55,2,FALSE))*IF('11.07'!AO$4="是",'11.07'!$AY$4,'11.07'!$AY$3)</f>
        <v>170</v>
      </c>
      <c r="F36" s="4">
        <f>(VLOOKUP('11.07'!N36,'11.07'!$AM$4:$AO$55,2,FALSE))*IF('11.07'!AQ$4="是",'11.07'!$AY$4,'11.07'!$AY$3)</f>
        <v>170</v>
      </c>
      <c r="G36" s="5">
        <f>(VLOOKUP('11.07'!O36,'11.07'!$AM$4:$AO$55,2,FALSE))*IF('11.07'!AR$4="是",'11.07'!$AY$4,'11.07'!$AY$3)</f>
        <v>0</v>
      </c>
      <c r="H36" s="5">
        <f>(VLOOKUP('11.07'!P36,'11.07'!$AM$4:$AO$55,2,FALSE))*IF('11.07'!AS$4="是",'11.07'!$AY$4,'11.07'!$AY$3)</f>
        <v>0</v>
      </c>
      <c r="I36" s="4">
        <f>(VLOOKUP('11.07'!Q36,'11.07'!$AM$4:$AO$55,2,FALSE))*IF('11.07'!AT$4="是",'11.07'!$AY$4,'11.07'!$AY$3)</f>
        <v>0</v>
      </c>
      <c r="J36" s="4">
        <f>(VLOOKUP('11.07'!R36,'11.07'!$AM$4:$AO$55,2,FALSE))*IF('11.07'!AU$4="是",'11.07'!$AY$4,'11.07'!$AY$3)</f>
        <v>0</v>
      </c>
      <c r="K36" s="4">
        <f>(VLOOKUP('11.07'!S36,'11.07'!$AM$4:$AO$55,2,FALSE))*IF('11.07'!AV$4="是",'11.07'!$AY$4,'11.07'!$AY$3)</f>
        <v>0</v>
      </c>
      <c r="L36" s="4">
        <f>(VLOOKUP('11.07'!T36,'11.07'!$AM$4:$AO$55,2,FALSE))*IF('11.07'!AW$4="是",'11.07'!$AY$4,'11.07'!$AY$3)</f>
        <v>0</v>
      </c>
      <c r="M36" s="4">
        <f>(VLOOKUP('11.07'!U36,'11.07'!$AM$4:$AO$55,2,FALSE))*IF('11.07'!AX$4="是",'11.07'!$AY$4,'11.07'!$AY$3)</f>
        <v>0</v>
      </c>
      <c r="N36" s="4">
        <f>(VLOOKUP('11.07'!V36,'11.07'!$AM$4:$AO$55,2,FALSE))*IF('11.07'!AY$4="是",'11.07'!$AY$4,'11.07'!$AY$3)</f>
        <v>0</v>
      </c>
      <c r="O36" s="5">
        <f>(VLOOKUP('11.07'!W36,'11.07'!$AM$4:$AO$55,2,FALSE))*IF('11.07'!AZ$4="是",'11.07'!$AY$4,'11.07'!$AY$3)</f>
        <v>0</v>
      </c>
      <c r="P36" s="5">
        <f>(VLOOKUP('11.07'!X36,'11.07'!$AM$4:$AO$55,2,FALSE))*IF('11.07'!BA$4="是",'11.07'!$AY$4,'11.07'!$AY$3)</f>
        <v>0</v>
      </c>
      <c r="Q36" s="4">
        <f>(VLOOKUP('11.07'!Y36,'11.07'!$AM$4:$AO$55,2,FALSE))*IF('11.07'!BB$4="是",'11.07'!$AY$4,'11.07'!$AY$3)</f>
        <v>200</v>
      </c>
      <c r="R36" s="4">
        <f>(VLOOKUP('11.07'!Z36,'11.07'!$AM$4:$AO$55,2,FALSE))*IF('11.07'!BC$4="是",'11.07'!$AY$4,'11.07'!$AY$3)</f>
        <v>200</v>
      </c>
      <c r="S36" s="4">
        <f>(VLOOKUP('11.07'!AA36,'11.07'!$AM$4:$AO$55,2,FALSE))*IF('11.07'!BD$4="是",'11.07'!$AY$4,'11.07'!$AY$3)</f>
        <v>200</v>
      </c>
      <c r="T36" s="4">
        <f>(VLOOKUP('11.07'!AB36,'11.07'!$AM$4:$AO$55,2,FALSE))*IF('11.07'!BE$4="是",'11.07'!$AY$4,'11.07'!$AY$3)</f>
        <v>200</v>
      </c>
      <c r="U36" s="4">
        <f>(VLOOKUP('11.07'!AC36,'11.07'!$AM$4:$AO$55,2,FALSE))*IF('11.07'!BF$4="是",'11.07'!$AY$4,'11.07'!$AY$3)</f>
        <v>200</v>
      </c>
      <c r="V36" s="4">
        <f>(VLOOKUP('11.07'!AD36,'11.07'!$AM$4:$AO$55,2,FALSE))*IF('11.07'!BG$4="是",'11.07'!$AY$4,'11.07'!$AY$3)</f>
        <v>200</v>
      </c>
      <c r="W36" s="5">
        <f>(VLOOKUP('11.07'!AE36,'11.07'!$AM$4:$AO$55,2,FALSE))*IF('11.07'!BH$4="是",'11.07'!$AY$4,'11.07'!$AY$3)</f>
        <v>0</v>
      </c>
      <c r="X36" s="5">
        <f>(VLOOKUP('11.07'!AF36,'11.07'!$AM$4:$AO$55,2,FALSE))*IF('11.07'!BI$4="是",'11.07'!$AY$4,'11.07'!$AY$3)</f>
        <v>0</v>
      </c>
    </row>
    <row r="37" spans="1:24">
      <c r="A37" s="4">
        <f>(VLOOKUP('11.07'!I37,'11.07'!$AM$4:$AO$55,2,FALSE))*IF('11.07'!AK$4="是",'11.07'!$AY$4,'11.07'!$AY$3)</f>
        <v>180</v>
      </c>
      <c r="B37" s="4">
        <f>(VLOOKUP('11.07'!J37,'11.07'!$AM$4:$AO$55,2,FALSE))*IF('11.07'!AL$4="是",'11.07'!$AY$4,'11.07'!$AY$3)</f>
        <v>180</v>
      </c>
      <c r="C37" s="4">
        <f>(VLOOKUP('11.07'!K37,'11.07'!$AM$4:$AO$55,2,FALSE))*IF('11.07'!AM$4="是",'11.07'!$AY$4,'11.07'!$AY$3)</f>
        <v>180</v>
      </c>
      <c r="D37" s="4">
        <f>(VLOOKUP('11.07'!L37,'11.07'!$AM$4:$AO$55,2,FALSE))*IF('11.07'!AN$4="是",'11.07'!$AY$4,'11.07'!$AY$3)</f>
        <v>180</v>
      </c>
      <c r="E37" s="4">
        <f>(VLOOKUP('11.07'!M37,'11.07'!$AM$4:$AO$55,2,FALSE))*IF('11.07'!AO$4="是",'11.07'!$AY$4,'11.07'!$AY$3)</f>
        <v>180</v>
      </c>
      <c r="F37" s="4">
        <f>(VLOOKUP('11.07'!N37,'11.07'!$AM$4:$AO$55,2,FALSE))*IF('11.07'!AQ$4="是",'11.07'!$AY$4,'11.07'!$AY$3)</f>
        <v>180</v>
      </c>
      <c r="G37" s="5">
        <f>(VLOOKUP('11.07'!O37,'11.07'!$AM$4:$AO$55,2,FALSE))*IF('11.07'!AR$4="是",'11.07'!$AY$4,'11.07'!$AY$3)</f>
        <v>0</v>
      </c>
      <c r="H37" s="5">
        <f>(VLOOKUP('11.07'!P37,'11.07'!$AM$4:$AO$55,2,FALSE))*IF('11.07'!AS$4="是",'11.07'!$AY$4,'11.07'!$AY$3)</f>
        <v>0</v>
      </c>
      <c r="I37" s="4">
        <f>(VLOOKUP('11.07'!Q37,'11.07'!$AM$4:$AO$55,2,FALSE))*IF('11.07'!AT$4="是",'11.07'!$AY$4,'11.07'!$AY$3)</f>
        <v>0</v>
      </c>
      <c r="J37" s="4">
        <f>(VLOOKUP('11.07'!R37,'11.07'!$AM$4:$AO$55,2,FALSE))*IF('11.07'!AU$4="是",'11.07'!$AY$4,'11.07'!$AY$3)</f>
        <v>0</v>
      </c>
      <c r="K37" s="4">
        <f>(VLOOKUP('11.07'!S37,'11.07'!$AM$4:$AO$55,2,FALSE))*IF('11.07'!AV$4="是",'11.07'!$AY$4,'11.07'!$AY$3)</f>
        <v>0</v>
      </c>
      <c r="L37" s="4">
        <f>(VLOOKUP('11.07'!T37,'11.07'!$AM$4:$AO$55,2,FALSE))*IF('11.07'!AW$4="是",'11.07'!$AY$4,'11.07'!$AY$3)</f>
        <v>0</v>
      </c>
      <c r="M37" s="4">
        <f>(VLOOKUP('11.07'!U37,'11.07'!$AM$4:$AO$55,2,FALSE))*IF('11.07'!AX$4="是",'11.07'!$AY$4,'11.07'!$AY$3)</f>
        <v>0</v>
      </c>
      <c r="N37" s="4">
        <f>(VLOOKUP('11.07'!V37,'11.07'!$AM$4:$AO$55,2,FALSE))*IF('11.07'!AY$4="是",'11.07'!$AY$4,'11.07'!$AY$3)</f>
        <v>0</v>
      </c>
      <c r="O37" s="5">
        <f>(VLOOKUP('11.07'!W37,'11.07'!$AM$4:$AO$55,2,FALSE))*IF('11.07'!AZ$4="是",'11.07'!$AY$4,'11.07'!$AY$3)</f>
        <v>0</v>
      </c>
      <c r="P37" s="5">
        <f>(VLOOKUP('11.07'!X37,'11.07'!$AM$4:$AO$55,2,FALSE))*IF('11.07'!BA$4="是",'11.07'!$AY$4,'11.07'!$AY$3)</f>
        <v>0</v>
      </c>
      <c r="Q37" s="4">
        <f>(VLOOKUP('11.07'!Y37,'11.07'!$AM$4:$AO$55,2,FALSE))*IF('11.07'!BB$4="是",'11.07'!$AY$4,'11.07'!$AY$3)</f>
        <v>200</v>
      </c>
      <c r="R37" s="4">
        <f>(VLOOKUP('11.07'!Z37,'11.07'!$AM$4:$AO$55,2,FALSE))*IF('11.07'!BC$4="是",'11.07'!$AY$4,'11.07'!$AY$3)</f>
        <v>200</v>
      </c>
      <c r="S37" s="4">
        <f>(VLOOKUP('11.07'!AA37,'11.07'!$AM$4:$AO$55,2,FALSE))*IF('11.07'!BD$4="是",'11.07'!$AY$4,'11.07'!$AY$3)</f>
        <v>200</v>
      </c>
      <c r="T37" s="4">
        <f>(VLOOKUP('11.07'!AB37,'11.07'!$AM$4:$AO$55,2,FALSE))*IF('11.07'!BE$4="是",'11.07'!$AY$4,'11.07'!$AY$3)</f>
        <v>200</v>
      </c>
      <c r="U37" s="4">
        <f>(VLOOKUP('11.07'!AC37,'11.07'!$AM$4:$AO$55,2,FALSE))*IF('11.07'!BF$4="是",'11.07'!$AY$4,'11.07'!$AY$3)</f>
        <v>200</v>
      </c>
      <c r="V37" s="4">
        <f>(VLOOKUP('11.07'!AD37,'11.07'!$AM$4:$AO$55,2,FALSE))*IF('11.07'!BG$4="是",'11.07'!$AY$4,'11.07'!$AY$3)</f>
        <v>200</v>
      </c>
      <c r="W37" s="5">
        <f>(VLOOKUP('11.07'!AE37,'11.07'!$AM$4:$AO$55,2,FALSE))*IF('11.07'!BH$4="是",'11.07'!$AY$4,'11.07'!$AY$3)</f>
        <v>0</v>
      </c>
      <c r="X37" s="5">
        <f>(VLOOKUP('11.07'!AF37,'11.07'!$AM$4:$AO$55,2,FALSE))*IF('11.07'!BI$4="是",'11.07'!$AY$4,'11.07'!$AY$3)</f>
        <v>0</v>
      </c>
    </row>
    <row r="38" spans="1:24">
      <c r="A38" s="4">
        <f>(VLOOKUP('11.07'!I38,'11.07'!$AM$4:$AO$55,2,FALSE))*IF('11.07'!AK$4="是",'11.07'!$AY$4,'11.07'!$AY$3)</f>
        <v>180</v>
      </c>
      <c r="B38" s="4">
        <f>(VLOOKUP('11.07'!J38,'11.07'!$AM$4:$AO$55,2,FALSE))*IF('11.07'!AL$4="是",'11.07'!$AY$4,'11.07'!$AY$3)</f>
        <v>180</v>
      </c>
      <c r="C38" s="4">
        <f>(VLOOKUP('11.07'!K38,'11.07'!$AM$4:$AO$55,2,FALSE))*IF('11.07'!AM$4="是",'11.07'!$AY$4,'11.07'!$AY$3)</f>
        <v>180</v>
      </c>
      <c r="D38" s="4">
        <f>(VLOOKUP('11.07'!L38,'11.07'!$AM$4:$AO$55,2,FALSE))*IF('11.07'!AN$4="是",'11.07'!$AY$4,'11.07'!$AY$3)</f>
        <v>180</v>
      </c>
      <c r="E38" s="4">
        <f>(VLOOKUP('11.07'!M38,'11.07'!$AM$4:$AO$55,2,FALSE))*IF('11.07'!AO$4="是",'11.07'!$AY$4,'11.07'!$AY$3)</f>
        <v>180</v>
      </c>
      <c r="F38" s="4">
        <f>(VLOOKUP('11.07'!N38,'11.07'!$AM$4:$AO$55,2,FALSE))*IF('11.07'!AQ$4="是",'11.07'!$AY$4,'11.07'!$AY$3)</f>
        <v>50</v>
      </c>
      <c r="G38" s="5">
        <f>(VLOOKUP('11.07'!O38,'11.07'!$AM$4:$AO$55,2,FALSE))*IF('11.07'!AR$4="是",'11.07'!$AY$4,'11.07'!$AY$3)</f>
        <v>0</v>
      </c>
      <c r="H38" s="5">
        <f>(VLOOKUP('11.07'!P38,'11.07'!$AM$4:$AO$55,2,FALSE))*IF('11.07'!AS$4="是",'11.07'!$AY$4,'11.07'!$AY$3)</f>
        <v>0</v>
      </c>
      <c r="I38" s="4">
        <f>(VLOOKUP('11.07'!Q38,'11.07'!$AM$4:$AO$55,2,FALSE))*IF('11.07'!AT$4="是",'11.07'!$AY$4,'11.07'!$AY$3)</f>
        <v>0</v>
      </c>
      <c r="J38" s="4">
        <f>(VLOOKUP('11.07'!R38,'11.07'!$AM$4:$AO$55,2,FALSE))*IF('11.07'!AU$4="是",'11.07'!$AY$4,'11.07'!$AY$3)</f>
        <v>0</v>
      </c>
      <c r="K38" s="4">
        <f>(VLOOKUP('11.07'!S38,'11.07'!$AM$4:$AO$55,2,FALSE))*IF('11.07'!AV$4="是",'11.07'!$AY$4,'11.07'!$AY$3)</f>
        <v>0</v>
      </c>
      <c r="L38" s="4">
        <f>(VLOOKUP('11.07'!T38,'11.07'!$AM$4:$AO$55,2,FALSE))*IF('11.07'!AW$4="是",'11.07'!$AY$4,'11.07'!$AY$3)</f>
        <v>0</v>
      </c>
      <c r="M38" s="4">
        <f>(VLOOKUP('11.07'!U38,'11.07'!$AM$4:$AO$55,2,FALSE))*IF('11.07'!AX$4="是",'11.07'!$AY$4,'11.07'!$AY$3)</f>
        <v>0</v>
      </c>
      <c r="N38" s="4">
        <f>(VLOOKUP('11.07'!V38,'11.07'!$AM$4:$AO$55,2,FALSE))*IF('11.07'!AY$4="是",'11.07'!$AY$4,'11.07'!$AY$3)</f>
        <v>0</v>
      </c>
      <c r="O38" s="5">
        <f>(VLOOKUP('11.07'!W38,'11.07'!$AM$4:$AO$55,2,FALSE))*IF('11.07'!AZ$4="是",'11.07'!$AY$4,'11.07'!$AY$3)</f>
        <v>0</v>
      </c>
      <c r="P38" s="5">
        <f>(VLOOKUP('11.07'!X38,'11.07'!$AM$4:$AO$55,2,FALSE))*IF('11.07'!BA$4="是",'11.07'!$AY$4,'11.07'!$AY$3)</f>
        <v>0</v>
      </c>
      <c r="Q38" s="4">
        <f>(VLOOKUP('11.07'!Y38,'11.07'!$AM$4:$AO$55,2,FALSE))*IF('11.07'!BB$4="是",'11.07'!$AY$4,'11.07'!$AY$3)</f>
        <v>200</v>
      </c>
      <c r="R38" s="4">
        <f>(VLOOKUP('11.07'!Z38,'11.07'!$AM$4:$AO$55,2,FALSE))*IF('11.07'!BC$4="是",'11.07'!$AY$4,'11.07'!$AY$3)</f>
        <v>200</v>
      </c>
      <c r="S38" s="4">
        <f>(VLOOKUP('11.07'!AA38,'11.07'!$AM$4:$AO$55,2,FALSE))*IF('11.07'!BD$4="是",'11.07'!$AY$4,'11.07'!$AY$3)</f>
        <v>200</v>
      </c>
      <c r="T38" s="4">
        <f>(VLOOKUP('11.07'!AB38,'11.07'!$AM$4:$AO$55,2,FALSE))*IF('11.07'!BE$4="是",'11.07'!$AY$4,'11.07'!$AY$3)</f>
        <v>200</v>
      </c>
      <c r="U38" s="4">
        <f>(VLOOKUP('11.07'!AC38,'11.07'!$AM$4:$AO$55,2,FALSE))*IF('11.07'!BF$4="是",'11.07'!$AY$4,'11.07'!$AY$3)</f>
        <v>150</v>
      </c>
      <c r="V38" s="4">
        <f>(VLOOKUP('11.07'!AD38,'11.07'!$AM$4:$AO$55,2,FALSE))*IF('11.07'!BG$4="是",'11.07'!$AY$4,'11.07'!$AY$3)</f>
        <v>200</v>
      </c>
      <c r="W38" s="5">
        <f>(VLOOKUP('11.07'!AE38,'11.07'!$AM$4:$AO$55,2,FALSE))*IF('11.07'!BH$4="是",'11.07'!$AY$4,'11.07'!$AY$3)</f>
        <v>0</v>
      </c>
      <c r="X38" s="5">
        <f>(VLOOKUP('11.07'!AF38,'11.07'!$AM$4:$AO$55,2,FALSE))*IF('11.07'!BI$4="是",'11.07'!$AY$4,'11.07'!$AY$3)</f>
        <v>0</v>
      </c>
    </row>
    <row r="39" spans="1:24">
      <c r="A39" s="4">
        <f>(VLOOKUP('11.07'!I39,'11.07'!$AM$4:$AO$55,2,FALSE))*IF('11.07'!AK$4="是",'11.07'!$AY$4,'11.07'!$AY$3)</f>
        <v>180</v>
      </c>
      <c r="B39" s="4">
        <f>(VLOOKUP('11.07'!J39,'11.07'!$AM$4:$AO$55,2,FALSE))*IF('11.07'!AL$4="是",'11.07'!$AY$4,'11.07'!$AY$3)</f>
        <v>180</v>
      </c>
      <c r="C39" s="4">
        <f>(VLOOKUP('11.07'!K39,'11.07'!$AM$4:$AO$55,2,FALSE))*IF('11.07'!AM$4="是",'11.07'!$AY$4,'11.07'!$AY$3)</f>
        <v>180</v>
      </c>
      <c r="D39" s="4">
        <f>(VLOOKUP('11.07'!L39,'11.07'!$AM$4:$AO$55,2,FALSE))*IF('11.07'!AN$4="是",'11.07'!$AY$4,'11.07'!$AY$3)</f>
        <v>180</v>
      </c>
      <c r="E39" s="4">
        <f>(VLOOKUP('11.07'!M39,'11.07'!$AM$4:$AO$55,2,FALSE))*IF('11.07'!AO$4="是",'11.07'!$AY$4,'11.07'!$AY$3)</f>
        <v>180</v>
      </c>
      <c r="F39" s="4">
        <f>(VLOOKUP('11.07'!N39,'11.07'!$AM$4:$AO$55,2,FALSE))*IF('11.07'!AQ$4="是",'11.07'!$AY$4,'11.07'!$AY$3)</f>
        <v>180</v>
      </c>
      <c r="G39" s="5">
        <f>(VLOOKUP('11.07'!O39,'11.07'!$AM$4:$AO$55,2,FALSE))*IF('11.07'!AR$4="是",'11.07'!$AY$4,'11.07'!$AY$3)</f>
        <v>0</v>
      </c>
      <c r="H39" s="5">
        <f>(VLOOKUP('11.07'!P39,'11.07'!$AM$4:$AO$55,2,FALSE))*IF('11.07'!AS$4="是",'11.07'!$AY$4,'11.07'!$AY$3)</f>
        <v>0</v>
      </c>
      <c r="I39" s="4">
        <f>(VLOOKUP('11.07'!Q39,'11.07'!$AM$4:$AO$55,2,FALSE))*IF('11.07'!AT$4="是",'11.07'!$AY$4,'11.07'!$AY$3)</f>
        <v>0</v>
      </c>
      <c r="J39" s="4">
        <f>(VLOOKUP('11.07'!R39,'11.07'!$AM$4:$AO$55,2,FALSE))*IF('11.07'!AU$4="是",'11.07'!$AY$4,'11.07'!$AY$3)</f>
        <v>0</v>
      </c>
      <c r="K39" s="4">
        <f>(VLOOKUP('11.07'!S39,'11.07'!$AM$4:$AO$55,2,FALSE))*IF('11.07'!AV$4="是",'11.07'!$AY$4,'11.07'!$AY$3)</f>
        <v>0</v>
      </c>
      <c r="L39" s="4">
        <f>(VLOOKUP('11.07'!T39,'11.07'!$AM$4:$AO$55,2,FALSE))*IF('11.07'!AW$4="是",'11.07'!$AY$4,'11.07'!$AY$3)</f>
        <v>0</v>
      </c>
      <c r="M39" s="4">
        <f>(VLOOKUP('11.07'!U39,'11.07'!$AM$4:$AO$55,2,FALSE))*IF('11.07'!AX$4="是",'11.07'!$AY$4,'11.07'!$AY$3)</f>
        <v>0</v>
      </c>
      <c r="N39" s="4">
        <f>(VLOOKUP('11.07'!V39,'11.07'!$AM$4:$AO$55,2,FALSE))*IF('11.07'!AY$4="是",'11.07'!$AY$4,'11.07'!$AY$3)</f>
        <v>0</v>
      </c>
      <c r="O39" s="5">
        <f>(VLOOKUP('11.07'!W39,'11.07'!$AM$4:$AO$55,2,FALSE))*IF('11.07'!AZ$4="是",'11.07'!$AY$4,'11.07'!$AY$3)</f>
        <v>0</v>
      </c>
      <c r="P39" s="5">
        <f>(VLOOKUP('11.07'!X39,'11.07'!$AM$4:$AO$55,2,FALSE))*IF('11.07'!BA$4="是",'11.07'!$AY$4,'11.07'!$AY$3)</f>
        <v>0</v>
      </c>
      <c r="Q39" s="4">
        <f>(VLOOKUP('11.07'!Y39,'11.07'!$AM$4:$AO$55,2,FALSE))*IF('11.07'!BB$4="是",'11.07'!$AY$4,'11.07'!$AY$3)</f>
        <v>200</v>
      </c>
      <c r="R39" s="4">
        <f>(VLOOKUP('11.07'!Z39,'11.07'!$AM$4:$AO$55,2,FALSE))*IF('11.07'!BC$4="是",'11.07'!$AY$4,'11.07'!$AY$3)</f>
        <v>200</v>
      </c>
      <c r="S39" s="4">
        <f>(VLOOKUP('11.07'!AA39,'11.07'!$AM$4:$AO$55,2,FALSE))*IF('11.07'!BD$4="是",'11.07'!$AY$4,'11.07'!$AY$3)</f>
        <v>200</v>
      </c>
      <c r="T39" s="4">
        <f>(VLOOKUP('11.07'!AB39,'11.07'!$AM$4:$AO$55,2,FALSE))*IF('11.07'!BE$4="是",'11.07'!$AY$4,'11.07'!$AY$3)</f>
        <v>200</v>
      </c>
      <c r="U39" s="4">
        <f>(VLOOKUP('11.07'!AC39,'11.07'!$AM$4:$AO$55,2,FALSE))*IF('11.07'!BF$4="是",'11.07'!$AY$4,'11.07'!$AY$3)</f>
        <v>200</v>
      </c>
      <c r="V39" s="4">
        <f>(VLOOKUP('11.07'!AD39,'11.07'!$AM$4:$AO$55,2,FALSE))*IF('11.07'!BG$4="是",'11.07'!$AY$4,'11.07'!$AY$3)</f>
        <v>200</v>
      </c>
      <c r="W39" s="5">
        <f>(VLOOKUP('11.07'!AE39,'11.07'!$AM$4:$AO$55,2,FALSE))*IF('11.07'!BH$4="是",'11.07'!$AY$4,'11.07'!$AY$3)</f>
        <v>0</v>
      </c>
      <c r="X39" s="5">
        <f>(VLOOKUP('11.07'!AF39,'11.07'!$AM$4:$AO$55,2,FALSE))*IF('11.07'!BI$4="是",'11.07'!$AY$4,'11.07'!$AY$3)</f>
        <v>0</v>
      </c>
    </row>
    <row r="40" spans="1:24">
      <c r="A40" s="4">
        <f>(VLOOKUP('11.07'!I40,'11.07'!$AM$4:$AO$55,2,FALSE))*IF('11.07'!AK$4="是",'11.07'!$AY$4,'11.07'!$AY$3)</f>
        <v>180</v>
      </c>
      <c r="B40" s="4">
        <f>(VLOOKUP('11.07'!J40,'11.07'!$AM$4:$AO$55,2,FALSE))*IF('11.07'!AL$4="是",'11.07'!$AY$4,'11.07'!$AY$3)</f>
        <v>180</v>
      </c>
      <c r="C40" s="4">
        <f>(VLOOKUP('11.07'!K40,'11.07'!$AM$4:$AO$55,2,FALSE))*IF('11.07'!AM$4="是",'11.07'!$AY$4,'11.07'!$AY$3)</f>
        <v>180</v>
      </c>
      <c r="D40" s="4">
        <f>(VLOOKUP('11.07'!L40,'11.07'!$AM$4:$AO$55,2,FALSE))*IF('11.07'!AN$4="是",'11.07'!$AY$4,'11.07'!$AY$3)</f>
        <v>180</v>
      </c>
      <c r="E40" s="4">
        <f>(VLOOKUP('11.07'!M40,'11.07'!$AM$4:$AO$55,2,FALSE))*IF('11.07'!AO$4="是",'11.07'!$AY$4,'11.07'!$AY$3)</f>
        <v>180</v>
      </c>
      <c r="F40" s="4">
        <f>(VLOOKUP('11.07'!N40,'11.07'!$AM$4:$AO$55,2,FALSE))*IF('11.07'!AQ$4="是",'11.07'!$AY$4,'11.07'!$AY$3)</f>
        <v>180</v>
      </c>
      <c r="G40" s="5">
        <f>(VLOOKUP('11.07'!O40,'11.07'!$AM$4:$AO$55,2,FALSE))*IF('11.07'!AR$4="是",'11.07'!$AY$4,'11.07'!$AY$3)</f>
        <v>0</v>
      </c>
      <c r="H40" s="5">
        <f>(VLOOKUP('11.07'!P40,'11.07'!$AM$4:$AO$55,2,FALSE))*IF('11.07'!AS$4="是",'11.07'!$AY$4,'11.07'!$AY$3)</f>
        <v>0</v>
      </c>
      <c r="I40" s="4">
        <f>(VLOOKUP('11.07'!Q40,'11.07'!$AM$4:$AO$55,2,FALSE))*IF('11.07'!AT$4="是",'11.07'!$AY$4,'11.07'!$AY$3)</f>
        <v>0</v>
      </c>
      <c r="J40" s="4">
        <f>(VLOOKUP('11.07'!R40,'11.07'!$AM$4:$AO$55,2,FALSE))*IF('11.07'!AU$4="是",'11.07'!$AY$4,'11.07'!$AY$3)</f>
        <v>0</v>
      </c>
      <c r="K40" s="4">
        <f>(VLOOKUP('11.07'!S40,'11.07'!$AM$4:$AO$55,2,FALSE))*IF('11.07'!AV$4="是",'11.07'!$AY$4,'11.07'!$AY$3)</f>
        <v>0</v>
      </c>
      <c r="L40" s="4">
        <f>(VLOOKUP('11.07'!T40,'11.07'!$AM$4:$AO$55,2,FALSE))*IF('11.07'!AW$4="是",'11.07'!$AY$4,'11.07'!$AY$3)</f>
        <v>0</v>
      </c>
      <c r="M40" s="4">
        <f>(VLOOKUP('11.07'!U40,'11.07'!$AM$4:$AO$55,2,FALSE))*IF('11.07'!AX$4="是",'11.07'!$AY$4,'11.07'!$AY$3)</f>
        <v>0</v>
      </c>
      <c r="N40" s="4">
        <f>(VLOOKUP('11.07'!V40,'11.07'!$AM$4:$AO$55,2,FALSE))*IF('11.07'!AY$4="是",'11.07'!$AY$4,'11.07'!$AY$3)</f>
        <v>0</v>
      </c>
      <c r="O40" s="5">
        <f>(VLOOKUP('11.07'!W40,'11.07'!$AM$4:$AO$55,2,FALSE))*IF('11.07'!AZ$4="是",'11.07'!$AY$4,'11.07'!$AY$3)</f>
        <v>0</v>
      </c>
      <c r="P40" s="5">
        <f>(VLOOKUP('11.07'!X40,'11.07'!$AM$4:$AO$55,2,FALSE))*IF('11.07'!BA$4="是",'11.07'!$AY$4,'11.07'!$AY$3)</f>
        <v>0</v>
      </c>
      <c r="Q40" s="4">
        <f>(VLOOKUP('11.07'!Y40,'11.07'!$AM$4:$AO$55,2,FALSE))*IF('11.07'!BB$4="是",'11.07'!$AY$4,'11.07'!$AY$3)</f>
        <v>200</v>
      </c>
      <c r="R40" s="4">
        <f>(VLOOKUP('11.07'!Z40,'11.07'!$AM$4:$AO$55,2,FALSE))*IF('11.07'!BC$4="是",'11.07'!$AY$4,'11.07'!$AY$3)</f>
        <v>200</v>
      </c>
      <c r="S40" s="4">
        <f>(VLOOKUP('11.07'!AA40,'11.07'!$AM$4:$AO$55,2,FALSE))*IF('11.07'!BD$4="是",'11.07'!$AY$4,'11.07'!$AY$3)</f>
        <v>200</v>
      </c>
      <c r="T40" s="4">
        <f>(VLOOKUP('11.07'!AB40,'11.07'!$AM$4:$AO$55,2,FALSE))*IF('11.07'!BE$4="是",'11.07'!$AY$4,'11.07'!$AY$3)</f>
        <v>200</v>
      </c>
      <c r="U40" s="4">
        <f>(VLOOKUP('11.07'!AC40,'11.07'!$AM$4:$AO$55,2,FALSE))*IF('11.07'!BF$4="是",'11.07'!$AY$4,'11.07'!$AY$3)</f>
        <v>200</v>
      </c>
      <c r="V40" s="4">
        <f>(VLOOKUP('11.07'!AD40,'11.07'!$AM$4:$AO$55,2,FALSE))*IF('11.07'!BG$4="是",'11.07'!$AY$4,'11.07'!$AY$3)</f>
        <v>200</v>
      </c>
      <c r="W40" s="5">
        <f>(VLOOKUP('11.07'!AE40,'11.07'!$AM$4:$AO$55,2,FALSE))*IF('11.07'!BH$4="是",'11.07'!$AY$4,'11.07'!$AY$3)</f>
        <v>0</v>
      </c>
      <c r="X40" s="5">
        <f>(VLOOKUP('11.07'!AF40,'11.07'!$AM$4:$AO$55,2,FALSE))*IF('11.07'!BI$4="是",'11.07'!$AY$4,'11.07'!$AY$3)</f>
        <v>0</v>
      </c>
    </row>
    <row r="41" spans="1:24">
      <c r="A41" s="4">
        <f>(VLOOKUP('11.07'!I41,'11.07'!$AM$4:$AO$55,2,FALSE))*IF('11.07'!AK$4="是",'11.07'!$AY$4,'11.07'!$AY$3)</f>
        <v>180</v>
      </c>
      <c r="B41" s="4">
        <f>(VLOOKUP('11.07'!J41,'11.07'!$AM$4:$AO$55,2,FALSE))*IF('11.07'!AL$4="是",'11.07'!$AY$4,'11.07'!$AY$3)</f>
        <v>180</v>
      </c>
      <c r="C41" s="4">
        <f>(VLOOKUP('11.07'!K41,'11.07'!$AM$4:$AO$55,2,FALSE))*IF('11.07'!AM$4="是",'11.07'!$AY$4,'11.07'!$AY$3)</f>
        <v>50</v>
      </c>
      <c r="D41" s="4">
        <f>(VLOOKUP('11.07'!L41,'11.07'!$AM$4:$AO$55,2,FALSE))*IF('11.07'!AN$4="是",'11.07'!$AY$4,'11.07'!$AY$3)</f>
        <v>180</v>
      </c>
      <c r="E41" s="4">
        <f>(VLOOKUP('11.07'!M41,'11.07'!$AM$4:$AO$55,2,FALSE))*IF('11.07'!AO$4="是",'11.07'!$AY$4,'11.07'!$AY$3)</f>
        <v>180</v>
      </c>
      <c r="F41" s="4">
        <f>(VLOOKUP('11.07'!N41,'11.07'!$AM$4:$AO$55,2,FALSE))*IF('11.07'!AQ$4="是",'11.07'!$AY$4,'11.07'!$AY$3)</f>
        <v>180</v>
      </c>
      <c r="G41" s="5">
        <f>(VLOOKUP('11.07'!O41,'11.07'!$AM$4:$AO$55,2,FALSE))*IF('11.07'!AR$4="是",'11.07'!$AY$4,'11.07'!$AY$3)</f>
        <v>0</v>
      </c>
      <c r="H41" s="5">
        <f>(VLOOKUP('11.07'!P41,'11.07'!$AM$4:$AO$55,2,FALSE))*IF('11.07'!AS$4="是",'11.07'!$AY$4,'11.07'!$AY$3)</f>
        <v>0</v>
      </c>
      <c r="I41" s="4">
        <f>(VLOOKUP('11.07'!Q41,'11.07'!$AM$4:$AO$55,2,FALSE))*IF('11.07'!AT$4="是",'11.07'!$AY$4,'11.07'!$AY$3)</f>
        <v>0</v>
      </c>
      <c r="J41" s="4">
        <f>(VLOOKUP('11.07'!R41,'11.07'!$AM$4:$AO$55,2,FALSE))*IF('11.07'!AU$4="是",'11.07'!$AY$4,'11.07'!$AY$3)</f>
        <v>0</v>
      </c>
      <c r="K41" s="4">
        <f>(VLOOKUP('11.07'!S41,'11.07'!$AM$4:$AO$55,2,FALSE))*IF('11.07'!AV$4="是",'11.07'!$AY$4,'11.07'!$AY$3)</f>
        <v>0</v>
      </c>
      <c r="L41" s="4">
        <f>(VLOOKUP('11.07'!T41,'11.07'!$AM$4:$AO$55,2,FALSE))*IF('11.07'!AW$4="是",'11.07'!$AY$4,'11.07'!$AY$3)</f>
        <v>0</v>
      </c>
      <c r="M41" s="4">
        <f>(VLOOKUP('11.07'!U41,'11.07'!$AM$4:$AO$55,2,FALSE))*IF('11.07'!AX$4="是",'11.07'!$AY$4,'11.07'!$AY$3)</f>
        <v>0</v>
      </c>
      <c r="N41" s="4">
        <f>(VLOOKUP('11.07'!V41,'11.07'!$AM$4:$AO$55,2,FALSE))*IF('11.07'!AY$4="是",'11.07'!$AY$4,'11.07'!$AY$3)</f>
        <v>0</v>
      </c>
      <c r="O41" s="5">
        <f>(VLOOKUP('11.07'!W41,'11.07'!$AM$4:$AO$55,2,FALSE))*IF('11.07'!AZ$4="是",'11.07'!$AY$4,'11.07'!$AY$3)</f>
        <v>0</v>
      </c>
      <c r="P41" s="5">
        <f>(VLOOKUP('11.07'!X41,'11.07'!$AM$4:$AO$55,2,FALSE))*IF('11.07'!BA$4="是",'11.07'!$AY$4,'11.07'!$AY$3)</f>
        <v>0</v>
      </c>
      <c r="Q41" s="4">
        <f>(VLOOKUP('11.07'!Y41,'11.07'!$AM$4:$AO$55,2,FALSE))*IF('11.07'!BB$4="是",'11.07'!$AY$4,'11.07'!$AY$3)</f>
        <v>200</v>
      </c>
      <c r="R41" s="4">
        <f>(VLOOKUP('11.07'!Z41,'11.07'!$AM$4:$AO$55,2,FALSE))*IF('11.07'!BC$4="是",'11.07'!$AY$4,'11.07'!$AY$3)</f>
        <v>200</v>
      </c>
      <c r="S41" s="4">
        <f>(VLOOKUP('11.07'!AA41,'11.07'!$AM$4:$AO$55,2,FALSE))*IF('11.07'!BD$4="是",'11.07'!$AY$4,'11.07'!$AY$3)</f>
        <v>200</v>
      </c>
      <c r="T41" s="4">
        <f>(VLOOKUP('11.07'!AB41,'11.07'!$AM$4:$AO$55,2,FALSE))*IF('11.07'!BE$4="是",'11.07'!$AY$4,'11.07'!$AY$3)</f>
        <v>200</v>
      </c>
      <c r="U41" s="4">
        <f>(VLOOKUP('11.07'!AC41,'11.07'!$AM$4:$AO$55,2,FALSE))*IF('11.07'!BF$4="是",'11.07'!$AY$4,'11.07'!$AY$3)</f>
        <v>200</v>
      </c>
      <c r="V41" s="4">
        <f>(VLOOKUP('11.07'!AD41,'11.07'!$AM$4:$AO$55,2,FALSE))*IF('11.07'!BG$4="是",'11.07'!$AY$4,'11.07'!$AY$3)</f>
        <v>200</v>
      </c>
      <c r="W41" s="5">
        <f>(VLOOKUP('11.07'!AE41,'11.07'!$AM$4:$AO$55,2,FALSE))*IF('11.07'!BH$4="是",'11.07'!$AY$4,'11.07'!$AY$3)</f>
        <v>0</v>
      </c>
      <c r="X41" s="5">
        <f>(VLOOKUP('11.07'!AF41,'11.07'!$AM$4:$AO$55,2,FALSE))*IF('11.07'!BI$4="是",'11.07'!$AY$4,'11.07'!$AY$3)</f>
        <v>0</v>
      </c>
    </row>
    <row r="42" spans="1:24">
      <c r="A42" s="4">
        <f>(VLOOKUP('11.07'!I42,'11.07'!$AM$4:$AO$55,2,FALSE))*IF('11.07'!AK$4="是",'11.07'!$AY$4,'11.07'!$AY$3)</f>
        <v>180</v>
      </c>
      <c r="B42" s="4">
        <f>(VLOOKUP('11.07'!J42,'11.07'!$AM$4:$AO$55,2,FALSE))*IF('11.07'!AL$4="是",'11.07'!$AY$4,'11.07'!$AY$3)</f>
        <v>180</v>
      </c>
      <c r="C42" s="4">
        <f>(VLOOKUP('11.07'!K42,'11.07'!$AM$4:$AO$55,2,FALSE))*IF('11.07'!AM$4="是",'11.07'!$AY$4,'11.07'!$AY$3)</f>
        <v>180</v>
      </c>
      <c r="D42" s="4">
        <f>(VLOOKUP('11.07'!L42,'11.07'!$AM$4:$AO$55,2,FALSE))*IF('11.07'!AN$4="是",'11.07'!$AY$4,'11.07'!$AY$3)</f>
        <v>180</v>
      </c>
      <c r="E42" s="4">
        <f>(VLOOKUP('11.07'!M42,'11.07'!$AM$4:$AO$55,2,FALSE))*IF('11.07'!AO$4="是",'11.07'!$AY$4,'11.07'!$AY$3)</f>
        <v>180</v>
      </c>
      <c r="F42" s="4">
        <f>(VLOOKUP('11.07'!N42,'11.07'!$AM$4:$AO$55,2,FALSE))*IF('11.07'!AQ$4="是",'11.07'!$AY$4,'11.07'!$AY$3)</f>
        <v>180</v>
      </c>
      <c r="G42" s="5">
        <f>(VLOOKUP('11.07'!O42,'11.07'!$AM$4:$AO$55,2,FALSE))*IF('11.07'!AR$4="是",'11.07'!$AY$4,'11.07'!$AY$3)</f>
        <v>0</v>
      </c>
      <c r="H42" s="5">
        <f>(VLOOKUP('11.07'!P42,'11.07'!$AM$4:$AO$55,2,FALSE))*IF('11.07'!AS$4="是",'11.07'!$AY$4,'11.07'!$AY$3)</f>
        <v>0</v>
      </c>
      <c r="I42" s="4">
        <f>(VLOOKUP('11.07'!Q42,'11.07'!$AM$4:$AO$55,2,FALSE))*IF('11.07'!AT$4="是",'11.07'!$AY$4,'11.07'!$AY$3)</f>
        <v>0</v>
      </c>
      <c r="J42" s="4">
        <f>(VLOOKUP('11.07'!R42,'11.07'!$AM$4:$AO$55,2,FALSE))*IF('11.07'!AU$4="是",'11.07'!$AY$4,'11.07'!$AY$3)</f>
        <v>0</v>
      </c>
      <c r="K42" s="4">
        <f>(VLOOKUP('11.07'!S42,'11.07'!$AM$4:$AO$55,2,FALSE))*IF('11.07'!AV$4="是",'11.07'!$AY$4,'11.07'!$AY$3)</f>
        <v>0</v>
      </c>
      <c r="L42" s="4">
        <f>(VLOOKUP('11.07'!T42,'11.07'!$AM$4:$AO$55,2,FALSE))*IF('11.07'!AW$4="是",'11.07'!$AY$4,'11.07'!$AY$3)</f>
        <v>0</v>
      </c>
      <c r="M42" s="4">
        <f>(VLOOKUP('11.07'!U42,'11.07'!$AM$4:$AO$55,2,FALSE))*IF('11.07'!AX$4="是",'11.07'!$AY$4,'11.07'!$AY$3)</f>
        <v>0</v>
      </c>
      <c r="N42" s="4">
        <f>(VLOOKUP('11.07'!V42,'11.07'!$AM$4:$AO$55,2,FALSE))*IF('11.07'!AY$4="是",'11.07'!$AY$4,'11.07'!$AY$3)</f>
        <v>0</v>
      </c>
      <c r="O42" s="5">
        <f>(VLOOKUP('11.07'!W42,'11.07'!$AM$4:$AO$55,2,FALSE))*IF('11.07'!AZ$4="是",'11.07'!$AY$4,'11.07'!$AY$3)</f>
        <v>0</v>
      </c>
      <c r="P42" s="5">
        <f>(VLOOKUP('11.07'!X42,'11.07'!$AM$4:$AO$55,2,FALSE))*IF('11.07'!BA$4="是",'11.07'!$AY$4,'11.07'!$AY$3)</f>
        <v>0</v>
      </c>
      <c r="Q42" s="4">
        <f>(VLOOKUP('11.07'!Y42,'11.07'!$AM$4:$AO$55,2,FALSE))*IF('11.07'!BB$4="是",'11.07'!$AY$4,'11.07'!$AY$3)</f>
        <v>200</v>
      </c>
      <c r="R42" s="4">
        <f>(VLOOKUP('11.07'!Z42,'11.07'!$AM$4:$AO$55,2,FALSE))*IF('11.07'!BC$4="是",'11.07'!$AY$4,'11.07'!$AY$3)</f>
        <v>200</v>
      </c>
      <c r="S42" s="4">
        <f>(VLOOKUP('11.07'!AA42,'11.07'!$AM$4:$AO$55,2,FALSE))*IF('11.07'!BD$4="是",'11.07'!$AY$4,'11.07'!$AY$3)</f>
        <v>200</v>
      </c>
      <c r="T42" s="4">
        <f>(VLOOKUP('11.07'!AB42,'11.07'!$AM$4:$AO$55,2,FALSE))*IF('11.07'!BE$4="是",'11.07'!$AY$4,'11.07'!$AY$3)</f>
        <v>200</v>
      </c>
      <c r="U42" s="4">
        <f>(VLOOKUP('11.07'!AC42,'11.07'!$AM$4:$AO$55,2,FALSE))*IF('11.07'!BF$4="是",'11.07'!$AY$4,'11.07'!$AY$3)</f>
        <v>200</v>
      </c>
      <c r="V42" s="4">
        <f>(VLOOKUP('11.07'!AD42,'11.07'!$AM$4:$AO$55,2,FALSE))*IF('11.07'!BG$4="是",'11.07'!$AY$4,'11.07'!$AY$3)</f>
        <v>200</v>
      </c>
      <c r="W42" s="5">
        <f>(VLOOKUP('11.07'!AE42,'11.07'!$AM$4:$AO$55,2,FALSE))*IF('11.07'!BH$4="是",'11.07'!$AY$4,'11.07'!$AY$3)</f>
        <v>0</v>
      </c>
      <c r="X42" s="5">
        <f>(VLOOKUP('11.07'!AF42,'11.07'!$AM$4:$AO$55,2,FALSE))*IF('11.07'!BI$4="是",'11.07'!$AY$4,'11.07'!$AY$3)</f>
        <v>0</v>
      </c>
    </row>
    <row r="43" spans="1:24">
      <c r="A43" s="4">
        <f>(VLOOKUP('11.07'!I43,'11.07'!$AM$4:$AO$55,2,FALSE))*IF('11.07'!AK$4="是",'11.07'!$AY$4,'11.07'!$AY$3)</f>
        <v>180</v>
      </c>
      <c r="B43" s="4">
        <f>(VLOOKUP('11.07'!J43,'11.07'!$AM$4:$AO$55,2,FALSE))*IF('11.07'!AL$4="是",'11.07'!$AY$4,'11.07'!$AY$3)</f>
        <v>180</v>
      </c>
      <c r="C43" s="4">
        <f>(VLOOKUP('11.07'!K43,'11.07'!$AM$4:$AO$55,2,FALSE))*IF('11.07'!AM$4="是",'11.07'!$AY$4,'11.07'!$AY$3)</f>
        <v>180</v>
      </c>
      <c r="D43" s="4">
        <f>(VLOOKUP('11.07'!L43,'11.07'!$AM$4:$AO$55,2,FALSE))*IF('11.07'!AN$4="是",'11.07'!$AY$4,'11.07'!$AY$3)</f>
        <v>180</v>
      </c>
      <c r="E43" s="4">
        <f>(VLOOKUP('11.07'!M43,'11.07'!$AM$4:$AO$55,2,FALSE))*IF('11.07'!AO$4="是",'11.07'!$AY$4,'11.07'!$AY$3)</f>
        <v>180</v>
      </c>
      <c r="F43" s="4">
        <f>(VLOOKUP('11.07'!N43,'11.07'!$AM$4:$AO$55,2,FALSE))*IF('11.07'!AQ$4="是",'11.07'!$AY$4,'11.07'!$AY$3)</f>
        <v>180</v>
      </c>
      <c r="G43" s="5">
        <f>(VLOOKUP('11.07'!O43,'11.07'!$AM$4:$AO$55,2,FALSE))*IF('11.07'!AR$4="是",'11.07'!$AY$4,'11.07'!$AY$3)</f>
        <v>0</v>
      </c>
      <c r="H43" s="5">
        <f>(VLOOKUP('11.07'!P43,'11.07'!$AM$4:$AO$55,2,FALSE))*IF('11.07'!AS$4="是",'11.07'!$AY$4,'11.07'!$AY$3)</f>
        <v>0</v>
      </c>
      <c r="I43" s="4">
        <f>(VLOOKUP('11.07'!Q43,'11.07'!$AM$4:$AO$55,2,FALSE))*IF('11.07'!AT$4="是",'11.07'!$AY$4,'11.07'!$AY$3)</f>
        <v>0</v>
      </c>
      <c r="J43" s="4">
        <f>(VLOOKUP('11.07'!R43,'11.07'!$AM$4:$AO$55,2,FALSE))*IF('11.07'!AU$4="是",'11.07'!$AY$4,'11.07'!$AY$3)</f>
        <v>0</v>
      </c>
      <c r="K43" s="4">
        <f>(VLOOKUP('11.07'!S43,'11.07'!$AM$4:$AO$55,2,FALSE))*IF('11.07'!AV$4="是",'11.07'!$AY$4,'11.07'!$AY$3)</f>
        <v>0</v>
      </c>
      <c r="L43" s="4">
        <f>(VLOOKUP('11.07'!T43,'11.07'!$AM$4:$AO$55,2,FALSE))*IF('11.07'!AW$4="是",'11.07'!$AY$4,'11.07'!$AY$3)</f>
        <v>0</v>
      </c>
      <c r="M43" s="4">
        <f>(VLOOKUP('11.07'!U43,'11.07'!$AM$4:$AO$55,2,FALSE))*IF('11.07'!AX$4="是",'11.07'!$AY$4,'11.07'!$AY$3)</f>
        <v>0</v>
      </c>
      <c r="N43" s="4">
        <f>(VLOOKUP('11.07'!V43,'11.07'!$AM$4:$AO$55,2,FALSE))*IF('11.07'!AY$4="是",'11.07'!$AY$4,'11.07'!$AY$3)</f>
        <v>0</v>
      </c>
      <c r="O43" s="5">
        <f>(VLOOKUP('11.07'!W43,'11.07'!$AM$4:$AO$55,2,FALSE))*IF('11.07'!AZ$4="是",'11.07'!$AY$4,'11.07'!$AY$3)</f>
        <v>0</v>
      </c>
      <c r="P43" s="5">
        <f>(VLOOKUP('11.07'!X43,'11.07'!$AM$4:$AO$55,2,FALSE))*IF('11.07'!BA$4="是",'11.07'!$AY$4,'11.07'!$AY$3)</f>
        <v>0</v>
      </c>
      <c r="Q43" s="4">
        <f>(VLOOKUP('11.07'!Y43,'11.07'!$AM$4:$AO$55,2,FALSE))*IF('11.07'!BB$4="是",'11.07'!$AY$4,'11.07'!$AY$3)</f>
        <v>200</v>
      </c>
      <c r="R43" s="4">
        <f>(VLOOKUP('11.07'!Z43,'11.07'!$AM$4:$AO$55,2,FALSE))*IF('11.07'!BC$4="是",'11.07'!$AY$4,'11.07'!$AY$3)</f>
        <v>200</v>
      </c>
      <c r="S43" s="4">
        <f>(VLOOKUP('11.07'!AA43,'11.07'!$AM$4:$AO$55,2,FALSE))*IF('11.07'!BD$4="是",'11.07'!$AY$4,'11.07'!$AY$3)</f>
        <v>200</v>
      </c>
      <c r="T43" s="4">
        <f>(VLOOKUP('11.07'!AB43,'11.07'!$AM$4:$AO$55,2,FALSE))*IF('11.07'!BE$4="是",'11.07'!$AY$4,'11.07'!$AY$3)</f>
        <v>200</v>
      </c>
      <c r="U43" s="4">
        <f>(VLOOKUP('11.07'!AC43,'11.07'!$AM$4:$AO$55,2,FALSE))*IF('11.07'!BF$4="是",'11.07'!$AY$4,'11.07'!$AY$3)</f>
        <v>200</v>
      </c>
      <c r="V43" s="4">
        <f>(VLOOKUP('11.07'!AD43,'11.07'!$AM$4:$AO$55,2,FALSE))*IF('11.07'!BG$4="是",'11.07'!$AY$4,'11.07'!$AY$3)</f>
        <v>200</v>
      </c>
      <c r="W43" s="5">
        <f>(VLOOKUP('11.07'!AE43,'11.07'!$AM$4:$AO$55,2,FALSE))*IF('11.07'!BH$4="是",'11.07'!$AY$4,'11.07'!$AY$3)</f>
        <v>0</v>
      </c>
      <c r="X43" s="5">
        <f>(VLOOKUP('11.07'!AF43,'11.07'!$AM$4:$AO$55,2,FALSE))*IF('11.07'!BI$4="是",'11.07'!$AY$4,'11.07'!$AY$3)</f>
        <v>0</v>
      </c>
    </row>
    <row r="44" spans="1:24">
      <c r="A44" s="4">
        <f>(VLOOKUP('11.07'!I44,'11.07'!$AM$4:$AO$55,2,FALSE))*IF('11.07'!AK$4="是",'11.07'!$AY$4,'11.07'!$AY$3)</f>
        <v>180</v>
      </c>
      <c r="B44" s="4">
        <f>(VLOOKUP('11.07'!J44,'11.07'!$AM$4:$AO$55,2,FALSE))*IF('11.07'!AL$4="是",'11.07'!$AY$4,'11.07'!$AY$3)</f>
        <v>180</v>
      </c>
      <c r="C44" s="4">
        <f>(VLOOKUP('11.07'!K44,'11.07'!$AM$4:$AO$55,2,FALSE))*IF('11.07'!AM$4="是",'11.07'!$AY$4,'11.07'!$AY$3)</f>
        <v>180</v>
      </c>
      <c r="D44" s="4">
        <f>(VLOOKUP('11.07'!L44,'11.07'!$AM$4:$AO$55,2,FALSE))*IF('11.07'!AN$4="是",'11.07'!$AY$4,'11.07'!$AY$3)</f>
        <v>180</v>
      </c>
      <c r="E44" s="4">
        <f>(VLOOKUP('11.07'!M44,'11.07'!$AM$4:$AO$55,2,FALSE))*IF('11.07'!AO$4="是",'11.07'!$AY$4,'11.07'!$AY$3)</f>
        <v>180</v>
      </c>
      <c r="F44" s="4">
        <f>(VLOOKUP('11.07'!N44,'11.07'!$AM$4:$AO$55,2,FALSE))*IF('11.07'!AQ$4="是",'11.07'!$AY$4,'11.07'!$AY$3)</f>
        <v>180</v>
      </c>
      <c r="G44" s="5">
        <f>(VLOOKUP('11.07'!O44,'11.07'!$AM$4:$AO$55,2,FALSE))*IF('11.07'!AR$4="是",'11.07'!$AY$4,'11.07'!$AY$3)</f>
        <v>0</v>
      </c>
      <c r="H44" s="5">
        <f>(VLOOKUP('11.07'!P44,'11.07'!$AM$4:$AO$55,2,FALSE))*IF('11.07'!AS$4="是",'11.07'!$AY$4,'11.07'!$AY$3)</f>
        <v>0</v>
      </c>
      <c r="I44" s="4">
        <f>(VLOOKUP('11.07'!Q44,'11.07'!$AM$4:$AO$55,2,FALSE))*IF('11.07'!AT$4="是",'11.07'!$AY$4,'11.07'!$AY$3)</f>
        <v>0</v>
      </c>
      <c r="J44" s="4">
        <f>(VLOOKUP('11.07'!R44,'11.07'!$AM$4:$AO$55,2,FALSE))*IF('11.07'!AU$4="是",'11.07'!$AY$4,'11.07'!$AY$3)</f>
        <v>0</v>
      </c>
      <c r="K44" s="4">
        <f>(VLOOKUP('11.07'!S44,'11.07'!$AM$4:$AO$55,2,FALSE))*IF('11.07'!AV$4="是",'11.07'!$AY$4,'11.07'!$AY$3)</f>
        <v>0</v>
      </c>
      <c r="L44" s="4">
        <f>(VLOOKUP('11.07'!T44,'11.07'!$AM$4:$AO$55,2,FALSE))*IF('11.07'!AW$4="是",'11.07'!$AY$4,'11.07'!$AY$3)</f>
        <v>0</v>
      </c>
      <c r="M44" s="4">
        <f>(VLOOKUP('11.07'!U44,'11.07'!$AM$4:$AO$55,2,FALSE))*IF('11.07'!AX$4="是",'11.07'!$AY$4,'11.07'!$AY$3)</f>
        <v>0</v>
      </c>
      <c r="N44" s="4">
        <f>(VLOOKUP('11.07'!V44,'11.07'!$AM$4:$AO$55,2,FALSE))*IF('11.07'!AY$4="是",'11.07'!$AY$4,'11.07'!$AY$3)</f>
        <v>0</v>
      </c>
      <c r="O44" s="5">
        <f>(VLOOKUP('11.07'!W44,'11.07'!$AM$4:$AO$55,2,FALSE))*IF('11.07'!AZ$4="是",'11.07'!$AY$4,'11.07'!$AY$3)</f>
        <v>0</v>
      </c>
      <c r="P44" s="5">
        <f>(VLOOKUP('11.07'!X44,'11.07'!$AM$4:$AO$55,2,FALSE))*IF('11.07'!BA$4="是",'11.07'!$AY$4,'11.07'!$AY$3)</f>
        <v>0</v>
      </c>
      <c r="Q44" s="4">
        <f>(VLOOKUP('11.07'!Y44,'11.07'!$AM$4:$AO$55,2,FALSE))*IF('11.07'!BB$4="是",'11.07'!$AY$4,'11.07'!$AY$3)</f>
        <v>200</v>
      </c>
      <c r="R44" s="4">
        <f>(VLOOKUP('11.07'!Z44,'11.07'!$AM$4:$AO$55,2,FALSE))*IF('11.07'!BC$4="是",'11.07'!$AY$4,'11.07'!$AY$3)</f>
        <v>200</v>
      </c>
      <c r="S44" s="4">
        <f>(VLOOKUP('11.07'!AA44,'11.07'!$AM$4:$AO$55,2,FALSE))*IF('11.07'!BD$4="是",'11.07'!$AY$4,'11.07'!$AY$3)</f>
        <v>200</v>
      </c>
      <c r="T44" s="4">
        <f>(VLOOKUP('11.07'!AB44,'11.07'!$AM$4:$AO$55,2,FALSE))*IF('11.07'!BE$4="是",'11.07'!$AY$4,'11.07'!$AY$3)</f>
        <v>200</v>
      </c>
      <c r="U44" s="4">
        <f>(VLOOKUP('11.07'!AC44,'11.07'!$AM$4:$AO$55,2,FALSE))*IF('11.07'!BF$4="是",'11.07'!$AY$4,'11.07'!$AY$3)</f>
        <v>200</v>
      </c>
      <c r="V44" s="4">
        <f>(VLOOKUP('11.07'!AD44,'11.07'!$AM$4:$AO$55,2,FALSE))*IF('11.07'!BG$4="是",'11.07'!$AY$4,'11.07'!$AY$3)</f>
        <v>0</v>
      </c>
      <c r="W44" s="5">
        <f>(VLOOKUP('11.07'!AE44,'11.07'!$AM$4:$AO$55,2,FALSE))*IF('11.07'!BH$4="是",'11.07'!$AY$4,'11.07'!$AY$3)</f>
        <v>0</v>
      </c>
      <c r="X44" s="5">
        <f>(VLOOKUP('11.07'!AF44,'11.07'!$AM$4:$AO$55,2,FALSE))*IF('11.07'!BI$4="是",'11.07'!$AY$4,'11.07'!$AY$3)</f>
        <v>0</v>
      </c>
    </row>
    <row r="45" spans="1:24">
      <c r="A45" s="4">
        <f>(VLOOKUP('11.07'!I45,'11.07'!$AM$4:$AO$55,2,FALSE))*IF('11.07'!AK$4="是",'11.07'!$AY$4,'11.07'!$AY$3)</f>
        <v>180</v>
      </c>
      <c r="B45" s="4">
        <f>(VLOOKUP('11.07'!J45,'11.07'!$AM$4:$AO$55,2,FALSE))*IF('11.07'!AL$4="是",'11.07'!$AY$4,'11.07'!$AY$3)</f>
        <v>180</v>
      </c>
      <c r="C45" s="4">
        <f>(VLOOKUP('11.07'!K45,'11.07'!$AM$4:$AO$55,2,FALSE))*IF('11.07'!AM$4="是",'11.07'!$AY$4,'11.07'!$AY$3)</f>
        <v>180</v>
      </c>
      <c r="D45" s="4">
        <f>(VLOOKUP('11.07'!L45,'11.07'!$AM$4:$AO$55,2,FALSE))*IF('11.07'!AN$4="是",'11.07'!$AY$4,'11.07'!$AY$3)</f>
        <v>180</v>
      </c>
      <c r="E45" s="4">
        <f>(VLOOKUP('11.07'!M45,'11.07'!$AM$4:$AO$55,2,FALSE))*IF('11.07'!AO$4="是",'11.07'!$AY$4,'11.07'!$AY$3)</f>
        <v>180</v>
      </c>
      <c r="F45" s="4">
        <f>(VLOOKUP('11.07'!N45,'11.07'!$AM$4:$AO$55,2,FALSE))*IF('11.07'!AQ$4="是",'11.07'!$AY$4,'11.07'!$AY$3)</f>
        <v>50</v>
      </c>
      <c r="G45" s="5">
        <f>(VLOOKUP('11.07'!O45,'11.07'!$AM$4:$AO$55,2,FALSE))*IF('11.07'!AR$4="是",'11.07'!$AY$4,'11.07'!$AY$3)</f>
        <v>0</v>
      </c>
      <c r="H45" s="5">
        <f>(VLOOKUP('11.07'!P45,'11.07'!$AM$4:$AO$55,2,FALSE))*IF('11.07'!AS$4="是",'11.07'!$AY$4,'11.07'!$AY$3)</f>
        <v>0</v>
      </c>
      <c r="I45" s="4">
        <f>(VLOOKUP('11.07'!Q45,'11.07'!$AM$4:$AO$55,2,FALSE))*IF('11.07'!AT$4="是",'11.07'!$AY$4,'11.07'!$AY$3)</f>
        <v>0</v>
      </c>
      <c r="J45" s="4">
        <f>(VLOOKUP('11.07'!R45,'11.07'!$AM$4:$AO$55,2,FALSE))*IF('11.07'!AU$4="是",'11.07'!$AY$4,'11.07'!$AY$3)</f>
        <v>0</v>
      </c>
      <c r="K45" s="4">
        <f>(VLOOKUP('11.07'!S45,'11.07'!$AM$4:$AO$55,2,FALSE))*IF('11.07'!AV$4="是",'11.07'!$AY$4,'11.07'!$AY$3)</f>
        <v>0</v>
      </c>
      <c r="L45" s="4">
        <f>(VLOOKUP('11.07'!T45,'11.07'!$AM$4:$AO$55,2,FALSE))*IF('11.07'!AW$4="是",'11.07'!$AY$4,'11.07'!$AY$3)</f>
        <v>0</v>
      </c>
      <c r="M45" s="4">
        <f>(VLOOKUP('11.07'!U45,'11.07'!$AM$4:$AO$55,2,FALSE))*IF('11.07'!AX$4="是",'11.07'!$AY$4,'11.07'!$AY$3)</f>
        <v>0</v>
      </c>
      <c r="N45" s="4">
        <f>(VLOOKUP('11.07'!V45,'11.07'!$AM$4:$AO$55,2,FALSE))*IF('11.07'!AY$4="是",'11.07'!$AY$4,'11.07'!$AY$3)</f>
        <v>0</v>
      </c>
      <c r="O45" s="5">
        <f>(VLOOKUP('11.07'!W45,'11.07'!$AM$4:$AO$55,2,FALSE))*IF('11.07'!AZ$4="是",'11.07'!$AY$4,'11.07'!$AY$3)</f>
        <v>0</v>
      </c>
      <c r="P45" s="5">
        <f>(VLOOKUP('11.07'!X45,'11.07'!$AM$4:$AO$55,2,FALSE))*IF('11.07'!BA$4="是",'11.07'!$AY$4,'11.07'!$AY$3)</f>
        <v>0</v>
      </c>
      <c r="Q45" s="4">
        <f>(VLOOKUP('11.07'!Y45,'11.07'!$AM$4:$AO$55,2,FALSE))*IF('11.07'!BB$4="是",'11.07'!$AY$4,'11.07'!$AY$3)</f>
        <v>250</v>
      </c>
      <c r="R45" s="4">
        <f>(VLOOKUP('11.07'!Z45,'11.07'!$AM$4:$AO$55,2,FALSE))*IF('11.07'!BC$4="是",'11.07'!$AY$4,'11.07'!$AY$3)</f>
        <v>200</v>
      </c>
      <c r="S45" s="4">
        <f>(VLOOKUP('11.07'!AA45,'11.07'!$AM$4:$AO$55,2,FALSE))*IF('11.07'!BD$4="是",'11.07'!$AY$4,'11.07'!$AY$3)</f>
        <v>200</v>
      </c>
      <c r="T45" s="4">
        <f>(VLOOKUP('11.07'!AB45,'11.07'!$AM$4:$AO$55,2,FALSE))*IF('11.07'!BE$4="是",'11.07'!$AY$4,'11.07'!$AY$3)</f>
        <v>200</v>
      </c>
      <c r="U45" s="4">
        <f>(VLOOKUP('11.07'!AC45,'11.07'!$AM$4:$AO$55,2,FALSE))*IF('11.07'!BF$4="是",'11.07'!$AY$4,'11.07'!$AY$3)</f>
        <v>200</v>
      </c>
      <c r="V45" s="4">
        <f>(VLOOKUP('11.07'!AD45,'11.07'!$AM$4:$AO$55,2,FALSE))*IF('11.07'!BG$4="是",'11.07'!$AY$4,'11.07'!$AY$3)</f>
        <v>200</v>
      </c>
      <c r="W45" s="5">
        <f>(VLOOKUP('11.07'!AE45,'11.07'!$AM$4:$AO$55,2,FALSE))*IF('11.07'!BH$4="是",'11.07'!$AY$4,'11.07'!$AY$3)</f>
        <v>0</v>
      </c>
      <c r="X45" s="5">
        <f>(VLOOKUP('11.07'!AF45,'11.07'!$AM$4:$AO$55,2,FALSE))*IF('11.07'!BI$4="是",'11.07'!$AY$4,'11.07'!$AY$3)</f>
        <v>0</v>
      </c>
    </row>
    <row r="46" spans="1:24">
      <c r="A46" s="4">
        <f>(VLOOKUP('11.07'!I46,'11.07'!$AM$4:$AO$55,2,FALSE))*IF('11.07'!AK$4="是",'11.07'!$AY$4,'11.07'!$AY$3)</f>
        <v>180</v>
      </c>
      <c r="B46" s="4">
        <f>(VLOOKUP('11.07'!J46,'11.07'!$AM$4:$AO$55,2,FALSE))*IF('11.07'!AL$4="是",'11.07'!$AY$4,'11.07'!$AY$3)</f>
        <v>180</v>
      </c>
      <c r="C46" s="4">
        <f>(VLOOKUP('11.07'!K46,'11.07'!$AM$4:$AO$55,2,FALSE))*IF('11.07'!AM$4="是",'11.07'!$AY$4,'11.07'!$AY$3)</f>
        <v>-200</v>
      </c>
      <c r="D46" s="4">
        <f>(VLOOKUP('11.07'!L46,'11.07'!$AM$4:$AO$55,2,FALSE))*IF('11.07'!AN$4="是",'11.07'!$AY$4,'11.07'!$AY$3)</f>
        <v>180</v>
      </c>
      <c r="E46" s="4">
        <f>(VLOOKUP('11.07'!M46,'11.07'!$AM$4:$AO$55,2,FALSE))*IF('11.07'!AO$4="是",'11.07'!$AY$4,'11.07'!$AY$3)</f>
        <v>180</v>
      </c>
      <c r="F46" s="4">
        <f>(VLOOKUP('11.07'!N46,'11.07'!$AM$4:$AO$55,2,FALSE))*IF('11.07'!AQ$4="是",'11.07'!$AY$4,'11.07'!$AY$3)</f>
        <v>180</v>
      </c>
      <c r="G46" s="5">
        <f>(VLOOKUP('11.07'!O46,'11.07'!$AM$4:$AO$55,2,FALSE))*IF('11.07'!AR$4="是",'11.07'!$AY$4,'11.07'!$AY$3)</f>
        <v>180</v>
      </c>
      <c r="H46" s="5">
        <f>(VLOOKUP('11.07'!P46,'11.07'!$AM$4:$AO$55,2,FALSE))*IF('11.07'!AS$4="是",'11.07'!$AY$4,'11.07'!$AY$3)</f>
        <v>0</v>
      </c>
      <c r="I46" s="4">
        <f>(VLOOKUP('11.07'!Q46,'11.07'!$AM$4:$AO$55,2,FALSE))*IF('11.07'!AT$4="是",'11.07'!$AY$4,'11.07'!$AY$3)</f>
        <v>0</v>
      </c>
      <c r="J46" s="4">
        <f>(VLOOKUP('11.07'!R46,'11.07'!$AM$4:$AO$55,2,FALSE))*IF('11.07'!AU$4="是",'11.07'!$AY$4,'11.07'!$AY$3)</f>
        <v>0</v>
      </c>
      <c r="K46" s="4">
        <f>(VLOOKUP('11.07'!S46,'11.07'!$AM$4:$AO$55,2,FALSE))*IF('11.07'!AV$4="是",'11.07'!$AY$4,'11.07'!$AY$3)</f>
        <v>0</v>
      </c>
      <c r="L46" s="4">
        <f>(VLOOKUP('11.07'!T46,'11.07'!$AM$4:$AO$55,2,FALSE))*IF('11.07'!AW$4="是",'11.07'!$AY$4,'11.07'!$AY$3)</f>
        <v>0</v>
      </c>
      <c r="M46" s="4">
        <f>(VLOOKUP('11.07'!U46,'11.07'!$AM$4:$AO$55,2,FALSE))*IF('11.07'!AX$4="是",'11.07'!$AY$4,'11.07'!$AY$3)</f>
        <v>0</v>
      </c>
      <c r="N46" s="4">
        <f>(VLOOKUP('11.07'!V46,'11.07'!$AM$4:$AO$55,2,FALSE))*IF('11.07'!AY$4="是",'11.07'!$AY$4,'11.07'!$AY$3)</f>
        <v>0</v>
      </c>
      <c r="O46" s="5">
        <f>(VLOOKUP('11.07'!W46,'11.07'!$AM$4:$AO$55,2,FALSE))*IF('11.07'!AZ$4="是",'11.07'!$AY$4,'11.07'!$AY$3)</f>
        <v>0</v>
      </c>
      <c r="P46" s="5">
        <f>(VLOOKUP('11.07'!X46,'11.07'!$AM$4:$AO$55,2,FALSE))*IF('11.07'!BA$4="是",'11.07'!$AY$4,'11.07'!$AY$3)</f>
        <v>0</v>
      </c>
      <c r="Q46" s="4">
        <f>(VLOOKUP('11.07'!Y46,'11.07'!$AM$4:$AO$55,2,FALSE))*IF('11.07'!BB$4="是",'11.07'!$AY$4,'11.07'!$AY$3)</f>
        <v>200</v>
      </c>
      <c r="R46" s="4">
        <f>(VLOOKUP('11.07'!Z46,'11.07'!$AM$4:$AO$55,2,FALSE))*IF('11.07'!BC$4="是",'11.07'!$AY$4,'11.07'!$AY$3)</f>
        <v>200</v>
      </c>
      <c r="S46" s="4">
        <f>(VLOOKUP('11.07'!AA46,'11.07'!$AM$4:$AO$55,2,FALSE))*IF('11.07'!BD$4="是",'11.07'!$AY$4,'11.07'!$AY$3)</f>
        <v>200</v>
      </c>
      <c r="T46" s="4">
        <f>(VLOOKUP('11.07'!AB46,'11.07'!$AM$4:$AO$55,2,FALSE))*IF('11.07'!BE$4="是",'11.07'!$AY$4,'11.07'!$AY$3)</f>
        <v>200</v>
      </c>
      <c r="U46" s="4">
        <f>(VLOOKUP('11.07'!AC46,'11.07'!$AM$4:$AO$55,2,FALSE))*IF('11.07'!BF$4="是",'11.07'!$AY$4,'11.07'!$AY$3)</f>
        <v>200</v>
      </c>
      <c r="V46" s="4">
        <f>(VLOOKUP('11.07'!AD46,'11.07'!$AM$4:$AO$55,2,FALSE))*IF('11.07'!BG$4="是",'11.07'!$AY$4,'11.07'!$AY$3)</f>
        <v>200</v>
      </c>
      <c r="W46" s="5">
        <f>(VLOOKUP('11.07'!AE46,'11.07'!$AM$4:$AO$55,2,FALSE))*IF('11.07'!BH$4="是",'11.07'!$AY$4,'11.07'!$AY$3)</f>
        <v>0</v>
      </c>
      <c r="X46" s="5">
        <f>(VLOOKUP('11.07'!AF46,'11.07'!$AM$4:$AO$55,2,FALSE))*IF('11.07'!BI$4="是",'11.07'!$AY$4,'11.07'!$AY$3)</f>
        <v>0</v>
      </c>
    </row>
    <row r="47" spans="1:24">
      <c r="A47" s="4">
        <f>(VLOOKUP('11.07'!I47,'11.07'!$AM$4:$AO$55,2,FALSE))*IF('11.07'!AK$4="是",'11.07'!$AY$4,'11.07'!$AY$3)</f>
        <v>180</v>
      </c>
      <c r="B47" s="4">
        <f>(VLOOKUP('11.07'!J47,'11.07'!$AM$4:$AO$55,2,FALSE))*IF('11.07'!AL$4="是",'11.07'!$AY$4,'11.07'!$AY$3)</f>
        <v>180</v>
      </c>
      <c r="C47" s="4">
        <f>(VLOOKUP('11.07'!K47,'11.07'!$AM$4:$AO$55,2,FALSE))*IF('11.07'!AM$4="是",'11.07'!$AY$4,'11.07'!$AY$3)</f>
        <v>180</v>
      </c>
      <c r="D47" s="4">
        <f>(VLOOKUP('11.07'!L47,'11.07'!$AM$4:$AO$55,2,FALSE))*IF('11.07'!AN$4="是",'11.07'!$AY$4,'11.07'!$AY$3)</f>
        <v>180</v>
      </c>
      <c r="E47" s="4">
        <f>(VLOOKUP('11.07'!M47,'11.07'!$AM$4:$AO$55,2,FALSE))*IF('11.07'!AO$4="是",'11.07'!$AY$4,'11.07'!$AY$3)</f>
        <v>180</v>
      </c>
      <c r="F47" s="4">
        <f>(VLOOKUP('11.07'!N47,'11.07'!$AM$4:$AO$55,2,FALSE))*IF('11.07'!AQ$4="是",'11.07'!$AY$4,'11.07'!$AY$3)</f>
        <v>180</v>
      </c>
      <c r="G47" s="5">
        <f>(VLOOKUP('11.07'!O47,'11.07'!$AM$4:$AO$55,2,FALSE))*IF('11.07'!AR$4="是",'11.07'!$AY$4,'11.07'!$AY$3)</f>
        <v>0</v>
      </c>
      <c r="H47" s="5">
        <f>(VLOOKUP('11.07'!P47,'11.07'!$AM$4:$AO$55,2,FALSE))*IF('11.07'!AS$4="是",'11.07'!$AY$4,'11.07'!$AY$3)</f>
        <v>0</v>
      </c>
      <c r="I47" s="4">
        <f>(VLOOKUP('11.07'!Q47,'11.07'!$AM$4:$AO$55,2,FALSE))*IF('11.07'!AT$4="是",'11.07'!$AY$4,'11.07'!$AY$3)</f>
        <v>0</v>
      </c>
      <c r="J47" s="4">
        <f>(VLOOKUP('11.07'!R47,'11.07'!$AM$4:$AO$55,2,FALSE))*IF('11.07'!AU$4="是",'11.07'!$AY$4,'11.07'!$AY$3)</f>
        <v>0</v>
      </c>
      <c r="K47" s="4">
        <f>(VLOOKUP('11.07'!S47,'11.07'!$AM$4:$AO$55,2,FALSE))*IF('11.07'!AV$4="是",'11.07'!$AY$4,'11.07'!$AY$3)</f>
        <v>0</v>
      </c>
      <c r="L47" s="4">
        <f>(VLOOKUP('11.07'!T47,'11.07'!$AM$4:$AO$55,2,FALSE))*IF('11.07'!AW$4="是",'11.07'!$AY$4,'11.07'!$AY$3)</f>
        <v>0</v>
      </c>
      <c r="M47" s="4">
        <f>(VLOOKUP('11.07'!U47,'11.07'!$AM$4:$AO$55,2,FALSE))*IF('11.07'!AX$4="是",'11.07'!$AY$4,'11.07'!$AY$3)</f>
        <v>0</v>
      </c>
      <c r="N47" s="4">
        <f>(VLOOKUP('11.07'!V47,'11.07'!$AM$4:$AO$55,2,FALSE))*IF('11.07'!AY$4="是",'11.07'!$AY$4,'11.07'!$AY$3)</f>
        <v>0</v>
      </c>
      <c r="O47" s="5">
        <f>(VLOOKUP('11.07'!W47,'11.07'!$AM$4:$AO$55,2,FALSE))*IF('11.07'!AZ$4="是",'11.07'!$AY$4,'11.07'!$AY$3)</f>
        <v>0</v>
      </c>
      <c r="P47" s="5">
        <f>(VLOOKUP('11.07'!X47,'11.07'!$AM$4:$AO$55,2,FALSE))*IF('11.07'!BA$4="是",'11.07'!$AY$4,'11.07'!$AY$3)</f>
        <v>0</v>
      </c>
      <c r="Q47" s="4">
        <f>(VLOOKUP('11.07'!Y47,'11.07'!$AM$4:$AO$55,2,FALSE))*IF('11.07'!BB$4="是",'11.07'!$AY$4,'11.07'!$AY$3)</f>
        <v>200</v>
      </c>
      <c r="R47" s="4">
        <f>(VLOOKUP('11.07'!Z47,'11.07'!$AM$4:$AO$55,2,FALSE))*IF('11.07'!BC$4="是",'11.07'!$AY$4,'11.07'!$AY$3)</f>
        <v>200</v>
      </c>
      <c r="S47" s="4">
        <f>(VLOOKUP('11.07'!AA47,'11.07'!$AM$4:$AO$55,2,FALSE))*IF('11.07'!BD$4="是",'11.07'!$AY$4,'11.07'!$AY$3)</f>
        <v>200</v>
      </c>
      <c r="T47" s="4">
        <f>(VLOOKUP('11.07'!AB47,'11.07'!$AM$4:$AO$55,2,FALSE))*IF('11.07'!BE$4="是",'11.07'!$AY$4,'11.07'!$AY$3)</f>
        <v>200</v>
      </c>
      <c r="U47" s="4">
        <f>(VLOOKUP('11.07'!AC47,'11.07'!$AM$4:$AO$55,2,FALSE))*IF('11.07'!BF$4="是",'11.07'!$AY$4,'11.07'!$AY$3)</f>
        <v>200</v>
      </c>
      <c r="V47" s="4">
        <f>(VLOOKUP('11.07'!AD47,'11.07'!$AM$4:$AO$55,2,FALSE))*IF('11.07'!BG$4="是",'11.07'!$AY$4,'11.07'!$AY$3)</f>
        <v>200</v>
      </c>
      <c r="W47" s="5">
        <f>(VLOOKUP('11.07'!AE47,'11.07'!$AM$4:$AO$55,2,FALSE))*IF('11.07'!BH$4="是",'11.07'!$AY$4,'11.07'!$AY$3)</f>
        <v>0</v>
      </c>
      <c r="X47" s="5">
        <f>(VLOOKUP('11.07'!AF47,'11.07'!$AM$4:$AO$55,2,FALSE))*IF('11.07'!BI$4="是",'11.07'!$AY$4,'11.07'!$AY$3)</f>
        <v>0</v>
      </c>
    </row>
    <row r="48" spans="1:24">
      <c r="A48" s="4">
        <f>(VLOOKUP('11.07'!I48,'11.07'!$AM$4:$AO$55,2,FALSE))*IF('11.07'!AK$4="是",'11.07'!$AY$4,'11.07'!$AY$3)</f>
        <v>180</v>
      </c>
      <c r="B48" s="4">
        <f>(VLOOKUP('11.07'!J48,'11.07'!$AM$4:$AO$55,2,FALSE))*IF('11.07'!AL$4="是",'11.07'!$AY$4,'11.07'!$AY$3)</f>
        <v>180</v>
      </c>
      <c r="C48" s="4">
        <f>(VLOOKUP('11.07'!K48,'11.07'!$AM$4:$AO$55,2,FALSE))*IF('11.07'!AM$4="是",'11.07'!$AY$4,'11.07'!$AY$3)</f>
        <v>-200</v>
      </c>
      <c r="D48" s="4">
        <f>(VLOOKUP('11.07'!L48,'11.07'!$AM$4:$AO$55,2,FALSE))*IF('11.07'!AN$4="是",'11.07'!$AY$4,'11.07'!$AY$3)</f>
        <v>180</v>
      </c>
      <c r="E48" s="4">
        <f>(VLOOKUP('11.07'!M48,'11.07'!$AM$4:$AO$55,2,FALSE))*IF('11.07'!AO$4="是",'11.07'!$AY$4,'11.07'!$AY$3)</f>
        <v>180</v>
      </c>
      <c r="F48" s="4">
        <f>(VLOOKUP('11.07'!N48,'11.07'!$AM$4:$AO$55,2,FALSE))*IF('11.07'!AQ$4="是",'11.07'!$AY$4,'11.07'!$AY$3)</f>
        <v>180</v>
      </c>
      <c r="G48" s="5">
        <f>(VLOOKUP('11.07'!O48,'11.07'!$AM$4:$AO$55,2,FALSE))*IF('11.07'!AR$4="是",'11.07'!$AY$4,'11.07'!$AY$3)</f>
        <v>180</v>
      </c>
      <c r="H48" s="5">
        <f>(VLOOKUP('11.07'!P48,'11.07'!$AM$4:$AO$55,2,FALSE))*IF('11.07'!AS$4="是",'11.07'!$AY$4,'11.07'!$AY$3)</f>
        <v>180</v>
      </c>
      <c r="I48" s="4">
        <f>(VLOOKUP('11.07'!Q48,'11.07'!$AM$4:$AO$55,2,FALSE))*IF('11.07'!AT$4="是",'11.07'!$AY$4,'11.07'!$AY$3)</f>
        <v>0</v>
      </c>
      <c r="J48" s="4">
        <f>(VLOOKUP('11.07'!R48,'11.07'!$AM$4:$AO$55,2,FALSE))*IF('11.07'!AU$4="是",'11.07'!$AY$4,'11.07'!$AY$3)</f>
        <v>0</v>
      </c>
      <c r="K48" s="4">
        <f>(VLOOKUP('11.07'!S48,'11.07'!$AM$4:$AO$55,2,FALSE))*IF('11.07'!AV$4="是",'11.07'!$AY$4,'11.07'!$AY$3)</f>
        <v>0</v>
      </c>
      <c r="L48" s="4">
        <f>(VLOOKUP('11.07'!T48,'11.07'!$AM$4:$AO$55,2,FALSE))*IF('11.07'!AW$4="是",'11.07'!$AY$4,'11.07'!$AY$3)</f>
        <v>0</v>
      </c>
      <c r="M48" s="4">
        <f>(VLOOKUP('11.07'!U48,'11.07'!$AM$4:$AO$55,2,FALSE))*IF('11.07'!AX$4="是",'11.07'!$AY$4,'11.07'!$AY$3)</f>
        <v>0</v>
      </c>
      <c r="N48" s="4">
        <f>(VLOOKUP('11.07'!V48,'11.07'!$AM$4:$AO$55,2,FALSE))*IF('11.07'!AY$4="是",'11.07'!$AY$4,'11.07'!$AY$3)</f>
        <v>0</v>
      </c>
      <c r="O48" s="5">
        <f>(VLOOKUP('11.07'!W48,'11.07'!$AM$4:$AO$55,2,FALSE))*IF('11.07'!AZ$4="是",'11.07'!$AY$4,'11.07'!$AY$3)</f>
        <v>0</v>
      </c>
      <c r="P48" s="5">
        <f>(VLOOKUP('11.07'!X48,'11.07'!$AM$4:$AO$55,2,FALSE))*IF('11.07'!BA$4="是",'11.07'!$AY$4,'11.07'!$AY$3)</f>
        <v>0</v>
      </c>
      <c r="Q48" s="4">
        <f>(VLOOKUP('11.07'!Y48,'11.07'!$AM$4:$AO$55,2,FALSE))*IF('11.07'!BB$4="是",'11.07'!$AY$4,'11.07'!$AY$3)</f>
        <v>200</v>
      </c>
      <c r="R48" s="4">
        <f>(VLOOKUP('11.07'!Z48,'11.07'!$AM$4:$AO$55,2,FALSE))*IF('11.07'!BC$4="是",'11.07'!$AY$4,'11.07'!$AY$3)</f>
        <v>200</v>
      </c>
      <c r="S48" s="4">
        <f>(VLOOKUP('11.07'!AA48,'11.07'!$AM$4:$AO$55,2,FALSE))*IF('11.07'!BD$4="是",'11.07'!$AY$4,'11.07'!$AY$3)</f>
        <v>200</v>
      </c>
      <c r="T48" s="4">
        <f>(VLOOKUP('11.07'!AB48,'11.07'!$AM$4:$AO$55,2,FALSE))*IF('11.07'!BE$4="是",'11.07'!$AY$4,'11.07'!$AY$3)</f>
        <v>200</v>
      </c>
      <c r="U48" s="4">
        <f>(VLOOKUP('11.07'!AC48,'11.07'!$AM$4:$AO$55,2,FALSE))*IF('11.07'!BF$4="是",'11.07'!$AY$4,'11.07'!$AY$3)</f>
        <v>200</v>
      </c>
      <c r="V48" s="4">
        <f>(VLOOKUP('11.07'!AD48,'11.07'!$AM$4:$AO$55,2,FALSE))*IF('11.07'!BG$4="是",'11.07'!$AY$4,'11.07'!$AY$3)</f>
        <v>200</v>
      </c>
      <c r="W48" s="5">
        <f>(VLOOKUP('11.07'!AE48,'11.07'!$AM$4:$AO$55,2,FALSE))*IF('11.07'!BH$4="是",'11.07'!$AY$4,'11.07'!$AY$3)</f>
        <v>0</v>
      </c>
      <c r="X48" s="5">
        <f>(VLOOKUP('11.07'!AF48,'11.07'!$AM$4:$AO$55,2,FALSE))*IF('11.07'!BI$4="是",'11.07'!$AY$4,'11.07'!$AY$3)</f>
        <v>0</v>
      </c>
    </row>
    <row r="49" spans="1:24">
      <c r="A49" s="4">
        <f>(VLOOKUP('11.07'!I49,'11.07'!$AM$4:$AO$55,2,FALSE))*IF('11.07'!AK$4="是",'11.07'!$AY$4,'11.07'!$AY$3)</f>
        <v>180</v>
      </c>
      <c r="B49" s="4">
        <f>(VLOOKUP('11.07'!J49,'11.07'!$AM$4:$AO$55,2,FALSE))*IF('11.07'!AL$4="是",'11.07'!$AY$4,'11.07'!$AY$3)</f>
        <v>180</v>
      </c>
      <c r="C49" s="4">
        <f>(VLOOKUP('11.07'!K49,'11.07'!$AM$4:$AO$55,2,FALSE))*IF('11.07'!AM$4="是",'11.07'!$AY$4,'11.07'!$AY$3)</f>
        <v>180</v>
      </c>
      <c r="D49" s="4">
        <f>(VLOOKUP('11.07'!L49,'11.07'!$AM$4:$AO$55,2,FALSE))*IF('11.07'!AN$4="是",'11.07'!$AY$4,'11.07'!$AY$3)</f>
        <v>180</v>
      </c>
      <c r="E49" s="4">
        <f>(VLOOKUP('11.07'!M49,'11.07'!$AM$4:$AO$55,2,FALSE))*IF('11.07'!AO$4="是",'11.07'!$AY$4,'11.07'!$AY$3)</f>
        <v>190</v>
      </c>
      <c r="F49" s="4">
        <f>(VLOOKUP('11.07'!N49,'11.07'!$AM$4:$AO$55,2,FALSE))*IF('11.07'!AQ$4="是",'11.07'!$AY$4,'11.07'!$AY$3)</f>
        <v>190</v>
      </c>
      <c r="G49" s="5">
        <f>(VLOOKUP('11.07'!O49,'11.07'!$AM$4:$AO$55,2,FALSE))*IF('11.07'!AR$4="是",'11.07'!$AY$4,'11.07'!$AY$3)</f>
        <v>0</v>
      </c>
      <c r="H49" s="5">
        <f>(VLOOKUP('11.07'!P49,'11.07'!$AM$4:$AO$55,2,FALSE))*IF('11.07'!AS$4="是",'11.07'!$AY$4,'11.07'!$AY$3)</f>
        <v>0</v>
      </c>
      <c r="I49" s="4">
        <f>(VLOOKUP('11.07'!Q49,'11.07'!$AM$4:$AO$55,2,FALSE))*IF('11.07'!AT$4="是",'11.07'!$AY$4,'11.07'!$AY$3)</f>
        <v>0</v>
      </c>
      <c r="J49" s="4">
        <f>(VLOOKUP('11.07'!R49,'11.07'!$AM$4:$AO$55,2,FALSE))*IF('11.07'!AU$4="是",'11.07'!$AY$4,'11.07'!$AY$3)</f>
        <v>0</v>
      </c>
      <c r="K49" s="4">
        <f>(VLOOKUP('11.07'!S49,'11.07'!$AM$4:$AO$55,2,FALSE))*IF('11.07'!AV$4="是",'11.07'!$AY$4,'11.07'!$AY$3)</f>
        <v>0</v>
      </c>
      <c r="L49" s="4">
        <f>(VLOOKUP('11.07'!T49,'11.07'!$AM$4:$AO$55,2,FALSE))*IF('11.07'!AW$4="是",'11.07'!$AY$4,'11.07'!$AY$3)</f>
        <v>0</v>
      </c>
      <c r="M49" s="4">
        <f>(VLOOKUP('11.07'!U49,'11.07'!$AM$4:$AO$55,2,FALSE))*IF('11.07'!AX$4="是",'11.07'!$AY$4,'11.07'!$AY$3)</f>
        <v>0</v>
      </c>
      <c r="N49" s="4">
        <f>(VLOOKUP('11.07'!V49,'11.07'!$AM$4:$AO$55,2,FALSE))*IF('11.07'!AY$4="是",'11.07'!$AY$4,'11.07'!$AY$3)</f>
        <v>0</v>
      </c>
      <c r="O49" s="5">
        <f>(VLOOKUP('11.07'!W49,'11.07'!$AM$4:$AO$55,2,FALSE))*IF('11.07'!AZ$4="是",'11.07'!$AY$4,'11.07'!$AY$3)</f>
        <v>0</v>
      </c>
      <c r="P49" s="5">
        <f>(VLOOKUP('11.07'!X49,'11.07'!$AM$4:$AO$55,2,FALSE))*IF('11.07'!BA$4="是",'11.07'!$AY$4,'11.07'!$AY$3)</f>
        <v>0</v>
      </c>
      <c r="Q49" s="4">
        <f>(VLOOKUP('11.07'!Y49,'11.07'!$AM$4:$AO$55,2,FALSE))*IF('11.07'!BB$4="是",'11.07'!$AY$4,'11.07'!$AY$3)</f>
        <v>200</v>
      </c>
      <c r="R49" s="4">
        <f>(VLOOKUP('11.07'!Z49,'11.07'!$AM$4:$AO$55,2,FALSE))*IF('11.07'!BC$4="是",'11.07'!$AY$4,'11.07'!$AY$3)</f>
        <v>200</v>
      </c>
      <c r="S49" s="4">
        <f>(VLOOKUP('11.07'!AA49,'11.07'!$AM$4:$AO$55,2,FALSE))*IF('11.07'!BD$4="是",'11.07'!$AY$4,'11.07'!$AY$3)</f>
        <v>-200</v>
      </c>
      <c r="T49" s="4">
        <f>(VLOOKUP('11.07'!AB49,'11.07'!$AM$4:$AO$55,2,FALSE))*IF('11.07'!BE$4="是",'11.07'!$AY$4,'11.07'!$AY$3)</f>
        <v>200</v>
      </c>
      <c r="U49" s="4">
        <f>(VLOOKUP('11.07'!AC49,'11.07'!$AM$4:$AO$55,2,FALSE))*IF('11.07'!BF$4="是",'11.07'!$AY$4,'11.07'!$AY$3)</f>
        <v>200</v>
      </c>
      <c r="V49" s="4">
        <f>(VLOOKUP('11.07'!AD49,'11.07'!$AM$4:$AO$55,2,FALSE))*IF('11.07'!BG$4="是",'11.07'!$AY$4,'11.07'!$AY$3)</f>
        <v>200</v>
      </c>
      <c r="W49" s="5">
        <f>(VLOOKUP('11.07'!AE49,'11.07'!$AM$4:$AO$55,2,FALSE))*IF('11.07'!BH$4="是",'11.07'!$AY$4,'11.07'!$AY$3)</f>
        <v>200</v>
      </c>
      <c r="X49" s="5">
        <f>(VLOOKUP('11.07'!AF49,'11.07'!$AM$4:$AO$55,2,FALSE))*IF('11.07'!BI$4="是",'11.07'!$AY$4,'11.07'!$AY$3)</f>
        <v>0</v>
      </c>
    </row>
    <row r="50" spans="1:24">
      <c r="A50" s="4">
        <f>(VLOOKUP('11.07'!I50,'11.07'!$AM$4:$AO$55,2,FALSE))*IF('11.07'!AK$4="是",'11.07'!$AY$4,'11.07'!$AY$3)</f>
        <v>180</v>
      </c>
      <c r="B50" s="4">
        <f>(VLOOKUP('11.07'!J50,'11.07'!$AM$4:$AO$55,2,FALSE))*IF('11.07'!AL$4="是",'11.07'!$AY$4,'11.07'!$AY$3)</f>
        <v>180</v>
      </c>
      <c r="C50" s="4">
        <f>(VLOOKUP('11.07'!K50,'11.07'!$AM$4:$AO$55,2,FALSE))*IF('11.07'!AM$4="是",'11.07'!$AY$4,'11.07'!$AY$3)</f>
        <v>150</v>
      </c>
      <c r="D50" s="4">
        <f>(VLOOKUP('11.07'!L50,'11.07'!$AM$4:$AO$55,2,FALSE))*IF('11.07'!AN$4="是",'11.07'!$AY$4,'11.07'!$AY$3)</f>
        <v>180</v>
      </c>
      <c r="E50" s="4">
        <f>(VLOOKUP('11.07'!M50,'11.07'!$AM$4:$AO$55,2,FALSE))*IF('11.07'!AO$4="是",'11.07'!$AY$4,'11.07'!$AY$3)</f>
        <v>50</v>
      </c>
      <c r="F50" s="4">
        <f>(VLOOKUP('11.07'!N50,'11.07'!$AM$4:$AO$55,2,FALSE))*IF('11.07'!AQ$4="是",'11.07'!$AY$4,'11.07'!$AY$3)</f>
        <v>180</v>
      </c>
      <c r="G50" s="5">
        <f>(VLOOKUP('11.07'!O50,'11.07'!$AM$4:$AO$55,2,FALSE))*IF('11.07'!AR$4="是",'11.07'!$AY$4,'11.07'!$AY$3)</f>
        <v>0</v>
      </c>
      <c r="H50" s="5">
        <f>(VLOOKUP('11.07'!P50,'11.07'!$AM$4:$AO$55,2,FALSE))*IF('11.07'!AS$4="是",'11.07'!$AY$4,'11.07'!$AY$3)</f>
        <v>0</v>
      </c>
      <c r="I50" s="4">
        <f>(VLOOKUP('11.07'!Q50,'11.07'!$AM$4:$AO$55,2,FALSE))*IF('11.07'!AT$4="是",'11.07'!$AY$4,'11.07'!$AY$3)</f>
        <v>0</v>
      </c>
      <c r="J50" s="4">
        <f>(VLOOKUP('11.07'!R50,'11.07'!$AM$4:$AO$55,2,FALSE))*IF('11.07'!AU$4="是",'11.07'!$AY$4,'11.07'!$AY$3)</f>
        <v>0</v>
      </c>
      <c r="K50" s="4">
        <f>(VLOOKUP('11.07'!S50,'11.07'!$AM$4:$AO$55,2,FALSE))*IF('11.07'!AV$4="是",'11.07'!$AY$4,'11.07'!$AY$3)</f>
        <v>0</v>
      </c>
      <c r="L50" s="4">
        <f>(VLOOKUP('11.07'!T50,'11.07'!$AM$4:$AO$55,2,FALSE))*IF('11.07'!AW$4="是",'11.07'!$AY$4,'11.07'!$AY$3)</f>
        <v>0</v>
      </c>
      <c r="M50" s="4">
        <f>(VLOOKUP('11.07'!U50,'11.07'!$AM$4:$AO$55,2,FALSE))*IF('11.07'!AX$4="是",'11.07'!$AY$4,'11.07'!$AY$3)</f>
        <v>0</v>
      </c>
      <c r="N50" s="4">
        <f>(VLOOKUP('11.07'!V50,'11.07'!$AM$4:$AO$55,2,FALSE))*IF('11.07'!AY$4="是",'11.07'!$AY$4,'11.07'!$AY$3)</f>
        <v>0</v>
      </c>
      <c r="O50" s="5">
        <f>(VLOOKUP('11.07'!W50,'11.07'!$AM$4:$AO$55,2,FALSE))*IF('11.07'!AZ$4="是",'11.07'!$AY$4,'11.07'!$AY$3)</f>
        <v>0</v>
      </c>
      <c r="P50" s="5">
        <f>(VLOOKUP('11.07'!X50,'11.07'!$AM$4:$AO$55,2,FALSE))*IF('11.07'!BA$4="是",'11.07'!$AY$4,'11.07'!$AY$3)</f>
        <v>0</v>
      </c>
      <c r="Q50" s="4">
        <f>(VLOOKUP('11.07'!Y50,'11.07'!$AM$4:$AO$55,2,FALSE))*IF('11.07'!BB$4="是",'11.07'!$AY$4,'11.07'!$AY$3)</f>
        <v>190</v>
      </c>
      <c r="R50" s="4">
        <f>(VLOOKUP('11.07'!Z50,'11.07'!$AM$4:$AO$55,2,FALSE))*IF('11.07'!BC$4="是",'11.07'!$AY$4,'11.07'!$AY$3)</f>
        <v>190</v>
      </c>
      <c r="S50" s="4">
        <f>(VLOOKUP('11.07'!AA50,'11.07'!$AM$4:$AO$55,2,FALSE))*IF('11.07'!BD$4="是",'11.07'!$AY$4,'11.07'!$AY$3)</f>
        <v>190</v>
      </c>
      <c r="T50" s="4">
        <f>(VLOOKUP('11.07'!AB50,'11.07'!$AM$4:$AO$55,2,FALSE))*IF('11.07'!BE$4="是",'11.07'!$AY$4,'11.07'!$AY$3)</f>
        <v>190</v>
      </c>
      <c r="U50" s="4">
        <f>(VLOOKUP('11.07'!AC50,'11.07'!$AM$4:$AO$55,2,FALSE))*IF('11.07'!BF$4="是",'11.07'!$AY$4,'11.07'!$AY$3)</f>
        <v>190</v>
      </c>
      <c r="V50" s="4">
        <f>(VLOOKUP('11.07'!AD50,'11.07'!$AM$4:$AO$55,2,FALSE))*IF('11.07'!BG$4="是",'11.07'!$AY$4,'11.07'!$AY$3)</f>
        <v>190</v>
      </c>
      <c r="W50" s="5">
        <f>(VLOOKUP('11.07'!AE50,'11.07'!$AM$4:$AO$55,2,FALSE))*IF('11.07'!BH$4="是",'11.07'!$AY$4,'11.07'!$AY$3)</f>
        <v>0</v>
      </c>
      <c r="X50" s="5">
        <f>(VLOOKUP('11.07'!AF50,'11.07'!$AM$4:$AO$55,2,FALSE))*IF('11.07'!BI$4="是",'11.07'!$AY$4,'11.07'!$AY$3)</f>
        <v>0</v>
      </c>
    </row>
    <row r="51" spans="1:24">
      <c r="A51" s="4">
        <f>(VLOOKUP('11.07'!I51,'11.07'!$AM$4:$AO$55,2,FALSE))*IF('11.07'!AK$4="是",'11.07'!$AY$4,'11.07'!$AY$3)</f>
        <v>180</v>
      </c>
      <c r="B51" s="4">
        <f>(VLOOKUP('11.07'!J51,'11.07'!$AM$4:$AO$55,2,FALSE))*IF('11.07'!AL$4="是",'11.07'!$AY$4,'11.07'!$AY$3)</f>
        <v>180</v>
      </c>
      <c r="C51" s="4">
        <f>(VLOOKUP('11.07'!K51,'11.07'!$AM$4:$AO$55,2,FALSE))*IF('11.07'!AM$4="是",'11.07'!$AY$4,'11.07'!$AY$3)</f>
        <v>180</v>
      </c>
      <c r="D51" s="4">
        <f>(VLOOKUP('11.07'!L51,'11.07'!$AM$4:$AO$55,2,FALSE))*IF('11.07'!AN$4="是",'11.07'!$AY$4,'11.07'!$AY$3)</f>
        <v>180</v>
      </c>
      <c r="E51" s="4">
        <f>(VLOOKUP('11.07'!M51,'11.07'!$AM$4:$AO$55,2,FALSE))*IF('11.07'!AO$4="是",'11.07'!$AY$4,'11.07'!$AY$3)</f>
        <v>180</v>
      </c>
      <c r="F51" s="4">
        <f>(VLOOKUP('11.07'!N51,'11.07'!$AM$4:$AO$55,2,FALSE))*IF('11.07'!AQ$4="是",'11.07'!$AY$4,'11.07'!$AY$3)</f>
        <v>180</v>
      </c>
      <c r="G51" s="5">
        <f>(VLOOKUP('11.07'!O51,'11.07'!$AM$4:$AO$55,2,FALSE))*IF('11.07'!AR$4="是",'11.07'!$AY$4,'11.07'!$AY$3)</f>
        <v>0</v>
      </c>
      <c r="H51" s="5">
        <f>(VLOOKUP('11.07'!P51,'11.07'!$AM$4:$AO$55,2,FALSE))*IF('11.07'!AS$4="是",'11.07'!$AY$4,'11.07'!$AY$3)</f>
        <v>0</v>
      </c>
      <c r="I51" s="4">
        <f>(VLOOKUP('11.07'!Q51,'11.07'!$AM$4:$AO$55,2,FALSE))*IF('11.07'!AT$4="是",'11.07'!$AY$4,'11.07'!$AY$3)</f>
        <v>0</v>
      </c>
      <c r="J51" s="4">
        <f>(VLOOKUP('11.07'!R51,'11.07'!$AM$4:$AO$55,2,FALSE))*IF('11.07'!AU$4="是",'11.07'!$AY$4,'11.07'!$AY$3)</f>
        <v>0</v>
      </c>
      <c r="K51" s="4">
        <f>(VLOOKUP('11.07'!S51,'11.07'!$AM$4:$AO$55,2,FALSE))*IF('11.07'!AV$4="是",'11.07'!$AY$4,'11.07'!$AY$3)</f>
        <v>0</v>
      </c>
      <c r="L51" s="4">
        <f>(VLOOKUP('11.07'!T51,'11.07'!$AM$4:$AO$55,2,FALSE))*IF('11.07'!AW$4="是",'11.07'!$AY$4,'11.07'!$AY$3)</f>
        <v>0</v>
      </c>
      <c r="M51" s="4">
        <f>(VLOOKUP('11.07'!U51,'11.07'!$AM$4:$AO$55,2,FALSE))*IF('11.07'!AX$4="是",'11.07'!$AY$4,'11.07'!$AY$3)</f>
        <v>0</v>
      </c>
      <c r="N51" s="4">
        <f>(VLOOKUP('11.07'!V51,'11.07'!$AM$4:$AO$55,2,FALSE))*IF('11.07'!AY$4="是",'11.07'!$AY$4,'11.07'!$AY$3)</f>
        <v>0</v>
      </c>
      <c r="O51" s="5">
        <f>(VLOOKUP('11.07'!W51,'11.07'!$AM$4:$AO$55,2,FALSE))*IF('11.07'!AZ$4="是",'11.07'!$AY$4,'11.07'!$AY$3)</f>
        <v>0</v>
      </c>
      <c r="P51" s="5">
        <f>(VLOOKUP('11.07'!X51,'11.07'!$AM$4:$AO$55,2,FALSE))*IF('11.07'!BA$4="是",'11.07'!$AY$4,'11.07'!$AY$3)</f>
        <v>0</v>
      </c>
      <c r="Q51" s="4">
        <f>(VLOOKUP('11.07'!Y51,'11.07'!$AM$4:$AO$55,2,FALSE))*IF('11.07'!BB$4="是",'11.07'!$AY$4,'11.07'!$AY$3)</f>
        <v>190</v>
      </c>
      <c r="R51" s="4">
        <f>(VLOOKUP('11.07'!Z51,'11.07'!$AM$4:$AO$55,2,FALSE))*IF('11.07'!BC$4="是",'11.07'!$AY$4,'11.07'!$AY$3)</f>
        <v>190</v>
      </c>
      <c r="S51" s="4">
        <f>(VLOOKUP('11.07'!AA51,'11.07'!$AM$4:$AO$55,2,FALSE))*IF('11.07'!BD$4="是",'11.07'!$AY$4,'11.07'!$AY$3)</f>
        <v>190</v>
      </c>
      <c r="T51" s="4">
        <f>(VLOOKUP('11.07'!AB51,'11.07'!$AM$4:$AO$55,2,FALSE))*IF('11.07'!BE$4="是",'11.07'!$AY$4,'11.07'!$AY$3)</f>
        <v>190</v>
      </c>
      <c r="U51" s="4">
        <f>(VLOOKUP('11.07'!AC51,'11.07'!$AM$4:$AO$55,2,FALSE))*IF('11.07'!BF$4="是",'11.07'!$AY$4,'11.07'!$AY$3)</f>
        <v>190</v>
      </c>
      <c r="V51" s="4">
        <f>(VLOOKUP('11.07'!AD51,'11.07'!$AM$4:$AO$55,2,FALSE))*IF('11.07'!BG$4="是",'11.07'!$AY$4,'11.07'!$AY$3)</f>
        <v>190</v>
      </c>
      <c r="W51" s="5">
        <f>(VLOOKUP('11.07'!AE51,'11.07'!$AM$4:$AO$55,2,FALSE))*IF('11.07'!BH$4="是",'11.07'!$AY$4,'11.07'!$AY$3)</f>
        <v>0</v>
      </c>
      <c r="X51" s="5">
        <f>(VLOOKUP('11.07'!AF51,'11.07'!$AM$4:$AO$55,2,FALSE))*IF('11.07'!BI$4="是",'11.07'!$AY$4,'11.07'!$AY$3)</f>
        <v>0</v>
      </c>
    </row>
    <row r="52" spans="1:24">
      <c r="A52" s="4">
        <f>(VLOOKUP('11.07'!I52,'11.07'!$AM$4:$AO$55,2,FALSE))*IF('11.07'!AK$4="是",'11.07'!$AY$4,'11.07'!$AY$3)</f>
        <v>180</v>
      </c>
      <c r="B52" s="4">
        <f>(VLOOKUP('11.07'!J52,'11.07'!$AM$4:$AO$55,2,FALSE))*IF('11.07'!AL$4="是",'11.07'!$AY$4,'11.07'!$AY$3)</f>
        <v>180</v>
      </c>
      <c r="C52" s="4">
        <f>(VLOOKUP('11.07'!K52,'11.07'!$AM$4:$AO$55,2,FALSE))*IF('11.07'!AM$4="是",'11.07'!$AY$4,'11.07'!$AY$3)</f>
        <v>180</v>
      </c>
      <c r="D52" s="4">
        <f>(VLOOKUP('11.07'!L52,'11.07'!$AM$4:$AO$55,2,FALSE))*IF('11.07'!AN$4="是",'11.07'!$AY$4,'11.07'!$AY$3)</f>
        <v>180</v>
      </c>
      <c r="E52" s="4">
        <f>(VLOOKUP('11.07'!M52,'11.07'!$AM$4:$AO$55,2,FALSE))*IF('11.07'!AO$4="是",'11.07'!$AY$4,'11.07'!$AY$3)</f>
        <v>180</v>
      </c>
      <c r="F52" s="4">
        <f>(VLOOKUP('11.07'!N52,'11.07'!$AM$4:$AO$55,2,FALSE))*IF('11.07'!AQ$4="是",'11.07'!$AY$4,'11.07'!$AY$3)</f>
        <v>50</v>
      </c>
      <c r="G52" s="5">
        <f>(VLOOKUP('11.07'!O52,'11.07'!$AM$4:$AO$55,2,FALSE))*IF('11.07'!AR$4="是",'11.07'!$AY$4,'11.07'!$AY$3)</f>
        <v>0</v>
      </c>
      <c r="H52" s="5">
        <f>(VLOOKUP('11.07'!P52,'11.07'!$AM$4:$AO$55,2,FALSE))*IF('11.07'!AS$4="是",'11.07'!$AY$4,'11.07'!$AY$3)</f>
        <v>0</v>
      </c>
      <c r="I52" s="4">
        <f>(VLOOKUP('11.07'!Q52,'11.07'!$AM$4:$AO$55,2,FALSE))*IF('11.07'!AT$4="是",'11.07'!$AY$4,'11.07'!$AY$3)</f>
        <v>0</v>
      </c>
      <c r="J52" s="4">
        <f>(VLOOKUP('11.07'!R52,'11.07'!$AM$4:$AO$55,2,FALSE))*IF('11.07'!AU$4="是",'11.07'!$AY$4,'11.07'!$AY$3)</f>
        <v>0</v>
      </c>
      <c r="K52" s="4">
        <f>(VLOOKUP('11.07'!S52,'11.07'!$AM$4:$AO$55,2,FALSE))*IF('11.07'!AV$4="是",'11.07'!$AY$4,'11.07'!$AY$3)</f>
        <v>0</v>
      </c>
      <c r="L52" s="4">
        <f>(VLOOKUP('11.07'!T52,'11.07'!$AM$4:$AO$55,2,FALSE))*IF('11.07'!AW$4="是",'11.07'!$AY$4,'11.07'!$AY$3)</f>
        <v>0</v>
      </c>
      <c r="M52" s="4">
        <f>(VLOOKUP('11.07'!U52,'11.07'!$AM$4:$AO$55,2,FALSE))*IF('11.07'!AX$4="是",'11.07'!$AY$4,'11.07'!$AY$3)</f>
        <v>0</v>
      </c>
      <c r="N52" s="4">
        <f>(VLOOKUP('11.07'!V52,'11.07'!$AM$4:$AO$55,2,FALSE))*IF('11.07'!AY$4="是",'11.07'!$AY$4,'11.07'!$AY$3)</f>
        <v>0</v>
      </c>
      <c r="O52" s="5">
        <f>(VLOOKUP('11.07'!W52,'11.07'!$AM$4:$AO$55,2,FALSE))*IF('11.07'!AZ$4="是",'11.07'!$AY$4,'11.07'!$AY$3)</f>
        <v>0</v>
      </c>
      <c r="P52" s="5">
        <f>(VLOOKUP('11.07'!X52,'11.07'!$AM$4:$AO$55,2,FALSE))*IF('11.07'!BA$4="是",'11.07'!$AY$4,'11.07'!$AY$3)</f>
        <v>0</v>
      </c>
      <c r="Q52" s="4">
        <f>(VLOOKUP('11.07'!Y52,'11.07'!$AM$4:$AO$55,2,FALSE))*IF('11.07'!BB$4="是",'11.07'!$AY$4,'11.07'!$AY$3)</f>
        <v>190</v>
      </c>
      <c r="R52" s="4">
        <f>(VLOOKUP('11.07'!Z52,'11.07'!$AM$4:$AO$55,2,FALSE))*IF('11.07'!BC$4="是",'11.07'!$AY$4,'11.07'!$AY$3)</f>
        <v>190</v>
      </c>
      <c r="S52" s="4">
        <f>(VLOOKUP('11.07'!AA52,'11.07'!$AM$4:$AO$55,2,FALSE))*IF('11.07'!BD$4="是",'11.07'!$AY$4,'11.07'!$AY$3)</f>
        <v>-200</v>
      </c>
      <c r="T52" s="4">
        <f>(VLOOKUP('11.07'!AB52,'11.07'!$AM$4:$AO$55,2,FALSE))*IF('11.07'!BE$4="是",'11.07'!$AY$4,'11.07'!$AY$3)</f>
        <v>190</v>
      </c>
      <c r="U52" s="4">
        <f>(VLOOKUP('11.07'!AC52,'11.07'!$AM$4:$AO$55,2,FALSE))*IF('11.07'!BF$4="是",'11.07'!$AY$4,'11.07'!$AY$3)</f>
        <v>190</v>
      </c>
      <c r="V52" s="4">
        <f>(VLOOKUP('11.07'!AD52,'11.07'!$AM$4:$AO$55,2,FALSE))*IF('11.07'!BG$4="是",'11.07'!$AY$4,'11.07'!$AY$3)</f>
        <v>190</v>
      </c>
      <c r="W52" s="5">
        <f>(VLOOKUP('11.07'!AE52,'11.07'!$AM$4:$AO$55,2,FALSE))*IF('11.07'!BH$4="是",'11.07'!$AY$4,'11.07'!$AY$3)</f>
        <v>190</v>
      </c>
      <c r="X52" s="5">
        <f>(VLOOKUP('11.07'!AF52,'11.07'!$AM$4:$AO$55,2,FALSE))*IF('11.07'!BI$4="是",'11.07'!$AY$4,'11.07'!$AY$3)</f>
        <v>190</v>
      </c>
    </row>
    <row r="53" spans="1:24">
      <c r="A53" s="4">
        <f>(VLOOKUP('11.07'!I53,'11.07'!$AM$4:$AO$55,2,FALSE))*IF('11.07'!AK$4="是",'11.07'!$AY$4,'11.07'!$AY$3)</f>
        <v>180</v>
      </c>
      <c r="B53" s="4">
        <f>(VLOOKUP('11.07'!J53,'11.07'!$AM$4:$AO$55,2,FALSE))*IF('11.07'!AL$4="是",'11.07'!$AY$4,'11.07'!$AY$3)</f>
        <v>190</v>
      </c>
      <c r="C53" s="4">
        <f>(VLOOKUP('11.07'!K53,'11.07'!$AM$4:$AO$55,2,FALSE))*IF('11.07'!AM$4="是",'11.07'!$AY$4,'11.07'!$AY$3)</f>
        <v>190</v>
      </c>
      <c r="D53" s="4">
        <f>(VLOOKUP('11.07'!L53,'11.07'!$AM$4:$AO$55,2,FALSE))*IF('11.07'!AN$4="是",'11.07'!$AY$4,'11.07'!$AY$3)</f>
        <v>190</v>
      </c>
      <c r="E53" s="4">
        <f>(VLOOKUP('11.07'!M53,'11.07'!$AM$4:$AO$55,2,FALSE))*IF('11.07'!AO$4="是",'11.07'!$AY$4,'11.07'!$AY$3)</f>
        <v>190</v>
      </c>
      <c r="F53" s="4">
        <f>(VLOOKUP('11.07'!N53,'11.07'!$AM$4:$AO$55,2,FALSE))*IF('11.07'!AQ$4="是",'11.07'!$AY$4,'11.07'!$AY$3)</f>
        <v>190</v>
      </c>
      <c r="G53" s="5">
        <f>(VLOOKUP('11.07'!O53,'11.07'!$AM$4:$AO$55,2,FALSE))*IF('11.07'!AR$4="是",'11.07'!$AY$4,'11.07'!$AY$3)</f>
        <v>0</v>
      </c>
      <c r="H53" s="5">
        <f>(VLOOKUP('11.07'!P53,'11.07'!$AM$4:$AO$55,2,FALSE))*IF('11.07'!AS$4="是",'11.07'!$AY$4,'11.07'!$AY$3)</f>
        <v>0</v>
      </c>
      <c r="I53" s="4">
        <f>(VLOOKUP('11.07'!Q53,'11.07'!$AM$4:$AO$55,2,FALSE))*IF('11.07'!AT$4="是",'11.07'!$AY$4,'11.07'!$AY$3)</f>
        <v>0</v>
      </c>
      <c r="J53" s="4">
        <f>(VLOOKUP('11.07'!R53,'11.07'!$AM$4:$AO$55,2,FALSE))*IF('11.07'!AU$4="是",'11.07'!$AY$4,'11.07'!$AY$3)</f>
        <v>0</v>
      </c>
      <c r="K53" s="4">
        <f>(VLOOKUP('11.07'!S53,'11.07'!$AM$4:$AO$55,2,FALSE))*IF('11.07'!AV$4="是",'11.07'!$AY$4,'11.07'!$AY$3)</f>
        <v>0</v>
      </c>
      <c r="L53" s="4">
        <f>(VLOOKUP('11.07'!T53,'11.07'!$AM$4:$AO$55,2,FALSE))*IF('11.07'!AW$4="是",'11.07'!$AY$4,'11.07'!$AY$3)</f>
        <v>0</v>
      </c>
      <c r="M53" s="4">
        <f>(VLOOKUP('11.07'!U53,'11.07'!$AM$4:$AO$55,2,FALSE))*IF('11.07'!AX$4="是",'11.07'!$AY$4,'11.07'!$AY$3)</f>
        <v>0</v>
      </c>
      <c r="N53" s="4">
        <f>(VLOOKUP('11.07'!V53,'11.07'!$AM$4:$AO$55,2,FALSE))*IF('11.07'!AY$4="是",'11.07'!$AY$4,'11.07'!$AY$3)</f>
        <v>0</v>
      </c>
      <c r="O53" s="5">
        <f>(VLOOKUP('11.07'!W53,'11.07'!$AM$4:$AO$55,2,FALSE))*IF('11.07'!AZ$4="是",'11.07'!$AY$4,'11.07'!$AY$3)</f>
        <v>0</v>
      </c>
      <c r="P53" s="5">
        <f>(VLOOKUP('11.07'!X53,'11.07'!$AM$4:$AO$55,2,FALSE))*IF('11.07'!BA$4="是",'11.07'!$AY$4,'11.07'!$AY$3)</f>
        <v>0</v>
      </c>
      <c r="Q53" s="4">
        <f>(VLOOKUP('11.07'!Y53,'11.07'!$AM$4:$AO$55,2,FALSE))*IF('11.07'!BB$4="是",'11.07'!$AY$4,'11.07'!$AY$3)</f>
        <v>190</v>
      </c>
      <c r="R53" s="4">
        <f>(VLOOKUP('11.07'!Z53,'11.07'!$AM$4:$AO$55,2,FALSE))*IF('11.07'!BC$4="是",'11.07'!$AY$4,'11.07'!$AY$3)</f>
        <v>190</v>
      </c>
      <c r="S53" s="4">
        <f>(VLOOKUP('11.07'!AA53,'11.07'!$AM$4:$AO$55,2,FALSE))*IF('11.07'!BD$4="是",'11.07'!$AY$4,'11.07'!$AY$3)</f>
        <v>190</v>
      </c>
      <c r="T53" s="4">
        <f>(VLOOKUP('11.07'!AB53,'11.07'!$AM$4:$AO$55,2,FALSE))*IF('11.07'!BE$4="是",'11.07'!$AY$4,'11.07'!$AY$3)</f>
        <v>190</v>
      </c>
      <c r="U53" s="4">
        <f>(VLOOKUP('11.07'!AC53,'11.07'!$AM$4:$AO$55,2,FALSE))*IF('11.07'!BF$4="是",'11.07'!$AY$4,'11.07'!$AY$3)</f>
        <v>190</v>
      </c>
      <c r="V53" s="4">
        <f>(VLOOKUP('11.07'!AD53,'11.07'!$AM$4:$AO$55,2,FALSE))*IF('11.07'!BG$4="是",'11.07'!$AY$4,'11.07'!$AY$3)</f>
        <v>190</v>
      </c>
      <c r="W53" s="5">
        <f>(VLOOKUP('11.07'!AE53,'11.07'!$AM$4:$AO$55,2,FALSE))*IF('11.07'!BH$4="是",'11.07'!$AY$4,'11.07'!$AY$3)</f>
        <v>0</v>
      </c>
      <c r="X53" s="5">
        <f>(VLOOKUP('11.07'!AF53,'11.07'!$AM$4:$AO$55,2,FALSE))*IF('11.07'!BI$4="是",'11.07'!$AY$4,'11.07'!$AY$3)</f>
        <v>0</v>
      </c>
    </row>
    <row r="54" spans="1:24">
      <c r="A54" s="4">
        <f>(VLOOKUP('11.07'!I54,'11.07'!$AM$4:$AO$55,2,FALSE))*IF('11.07'!AK$4="是",'11.07'!$AY$4,'11.07'!$AY$3)</f>
        <v>190</v>
      </c>
      <c r="B54" s="4">
        <f>(VLOOKUP('11.07'!J54,'11.07'!$AM$4:$AO$55,2,FALSE))*IF('11.07'!AL$4="是",'11.07'!$AY$4,'11.07'!$AY$3)</f>
        <v>190</v>
      </c>
      <c r="C54" s="4">
        <f>(VLOOKUP('11.07'!K54,'11.07'!$AM$4:$AO$55,2,FALSE))*IF('11.07'!AM$4="是",'11.07'!$AY$4,'11.07'!$AY$3)</f>
        <v>190</v>
      </c>
      <c r="D54" s="4">
        <f>(VLOOKUP('11.07'!L54,'11.07'!$AM$4:$AO$55,2,FALSE))*IF('11.07'!AN$4="是",'11.07'!$AY$4,'11.07'!$AY$3)</f>
        <v>190</v>
      </c>
      <c r="E54" s="4">
        <f>(VLOOKUP('11.07'!M54,'11.07'!$AM$4:$AO$55,2,FALSE))*IF('11.07'!AO$4="是",'11.07'!$AY$4,'11.07'!$AY$3)</f>
        <v>190</v>
      </c>
      <c r="F54" s="4">
        <f>(VLOOKUP('11.07'!N54,'11.07'!$AM$4:$AO$55,2,FALSE))*IF('11.07'!AQ$4="是",'11.07'!$AY$4,'11.07'!$AY$3)</f>
        <v>190</v>
      </c>
      <c r="G54" s="5">
        <f>(VLOOKUP('11.07'!O54,'11.07'!$AM$4:$AO$55,2,FALSE))*IF('11.07'!AR$4="是",'11.07'!$AY$4,'11.07'!$AY$3)</f>
        <v>0</v>
      </c>
      <c r="H54" s="5">
        <f>(VLOOKUP('11.07'!P54,'11.07'!$AM$4:$AO$55,2,FALSE))*IF('11.07'!AS$4="是",'11.07'!$AY$4,'11.07'!$AY$3)</f>
        <v>0</v>
      </c>
      <c r="I54" s="4">
        <f>(VLOOKUP('11.07'!Q54,'11.07'!$AM$4:$AO$55,2,FALSE))*IF('11.07'!AT$4="是",'11.07'!$AY$4,'11.07'!$AY$3)</f>
        <v>0</v>
      </c>
      <c r="J54" s="4">
        <f>(VLOOKUP('11.07'!R54,'11.07'!$AM$4:$AO$55,2,FALSE))*IF('11.07'!AU$4="是",'11.07'!$AY$4,'11.07'!$AY$3)</f>
        <v>0</v>
      </c>
      <c r="K54" s="4">
        <f>(VLOOKUP('11.07'!S54,'11.07'!$AM$4:$AO$55,2,FALSE))*IF('11.07'!AV$4="是",'11.07'!$AY$4,'11.07'!$AY$3)</f>
        <v>0</v>
      </c>
      <c r="L54" s="4">
        <f>(VLOOKUP('11.07'!T54,'11.07'!$AM$4:$AO$55,2,FALSE))*IF('11.07'!AW$4="是",'11.07'!$AY$4,'11.07'!$AY$3)</f>
        <v>0</v>
      </c>
      <c r="M54" s="4">
        <f>(VLOOKUP('11.07'!U54,'11.07'!$AM$4:$AO$55,2,FALSE))*IF('11.07'!AX$4="是",'11.07'!$AY$4,'11.07'!$AY$3)</f>
        <v>0</v>
      </c>
      <c r="N54" s="4">
        <f>(VLOOKUP('11.07'!V54,'11.07'!$AM$4:$AO$55,2,FALSE))*IF('11.07'!AY$4="是",'11.07'!$AY$4,'11.07'!$AY$3)</f>
        <v>0</v>
      </c>
      <c r="O54" s="5">
        <f>(VLOOKUP('11.07'!W54,'11.07'!$AM$4:$AO$55,2,FALSE))*IF('11.07'!AZ$4="是",'11.07'!$AY$4,'11.07'!$AY$3)</f>
        <v>0</v>
      </c>
      <c r="P54" s="5">
        <f>(VLOOKUP('11.07'!X54,'11.07'!$AM$4:$AO$55,2,FALSE))*IF('11.07'!BA$4="是",'11.07'!$AY$4,'11.07'!$AY$3)</f>
        <v>0</v>
      </c>
      <c r="Q54" s="4">
        <f>(VLOOKUP('11.07'!Y54,'11.07'!$AM$4:$AO$55,2,FALSE))*IF('11.07'!BB$4="是",'11.07'!$AY$4,'11.07'!$AY$3)</f>
        <v>50</v>
      </c>
      <c r="R54" s="4">
        <f>(VLOOKUP('11.07'!Z54,'11.07'!$AM$4:$AO$55,2,FALSE))*IF('11.07'!BC$4="是",'11.07'!$AY$4,'11.07'!$AY$3)</f>
        <v>190</v>
      </c>
      <c r="S54" s="4">
        <f>(VLOOKUP('11.07'!AA54,'11.07'!$AM$4:$AO$55,2,FALSE))*IF('11.07'!BD$4="是",'11.07'!$AY$4,'11.07'!$AY$3)</f>
        <v>190</v>
      </c>
      <c r="T54" s="4">
        <f>(VLOOKUP('11.07'!AB54,'11.07'!$AM$4:$AO$55,2,FALSE))*IF('11.07'!BE$4="是",'11.07'!$AY$4,'11.07'!$AY$3)</f>
        <v>190</v>
      </c>
      <c r="U54" s="4">
        <f>(VLOOKUP('11.07'!AC54,'11.07'!$AM$4:$AO$55,2,FALSE))*IF('11.07'!BF$4="是",'11.07'!$AY$4,'11.07'!$AY$3)</f>
        <v>190</v>
      </c>
      <c r="V54" s="4">
        <f>(VLOOKUP('11.07'!AD54,'11.07'!$AM$4:$AO$55,2,FALSE))*IF('11.07'!BG$4="是",'11.07'!$AY$4,'11.07'!$AY$3)</f>
        <v>190</v>
      </c>
      <c r="W54" s="5">
        <f>(VLOOKUP('11.07'!AE54,'11.07'!$AM$4:$AO$55,2,FALSE))*IF('11.07'!BH$4="是",'11.07'!$AY$4,'11.07'!$AY$3)</f>
        <v>0</v>
      </c>
      <c r="X54" s="5">
        <f>(VLOOKUP('11.07'!AF54,'11.07'!$AM$4:$AO$55,2,FALSE))*IF('11.07'!BI$4="是",'11.07'!$AY$4,'11.07'!$AY$3)</f>
        <v>0</v>
      </c>
    </row>
    <row r="55" spans="1:24">
      <c r="A55" s="4">
        <f>(VLOOKUP('11.07'!I55,'11.07'!$AM$4:$AO$55,2,FALSE))*IF('11.07'!AK$4="是",'11.07'!$AY$4,'11.07'!$AY$3)</f>
        <v>190</v>
      </c>
      <c r="B55" s="4">
        <f>(VLOOKUP('11.07'!J55,'11.07'!$AM$4:$AO$55,2,FALSE))*IF('11.07'!AL$4="是",'11.07'!$AY$4,'11.07'!$AY$3)</f>
        <v>190</v>
      </c>
      <c r="C55" s="4">
        <f>(VLOOKUP('11.07'!K55,'11.07'!$AM$4:$AO$55,2,FALSE))*IF('11.07'!AM$4="是",'11.07'!$AY$4,'11.07'!$AY$3)</f>
        <v>190</v>
      </c>
      <c r="D55" s="4">
        <f>(VLOOKUP('11.07'!L55,'11.07'!$AM$4:$AO$55,2,FALSE))*IF('11.07'!AN$4="是",'11.07'!$AY$4,'11.07'!$AY$3)</f>
        <v>190</v>
      </c>
      <c r="E55" s="4">
        <f>(VLOOKUP('11.07'!M55,'11.07'!$AM$4:$AO$55,2,FALSE))*IF('11.07'!AO$4="是",'11.07'!$AY$4,'11.07'!$AY$3)</f>
        <v>190</v>
      </c>
      <c r="F55" s="4">
        <f>(VLOOKUP('11.07'!N55,'11.07'!$AM$4:$AO$55,2,FALSE))*IF('11.07'!AQ$4="是",'11.07'!$AY$4,'11.07'!$AY$3)</f>
        <v>190</v>
      </c>
      <c r="G55" s="5">
        <f>(VLOOKUP('11.07'!O55,'11.07'!$AM$4:$AO$55,2,FALSE))*IF('11.07'!AR$4="是",'11.07'!$AY$4,'11.07'!$AY$3)</f>
        <v>0</v>
      </c>
      <c r="H55" s="5">
        <f>(VLOOKUP('11.07'!P55,'11.07'!$AM$4:$AO$55,2,FALSE))*IF('11.07'!AS$4="是",'11.07'!$AY$4,'11.07'!$AY$3)</f>
        <v>0</v>
      </c>
      <c r="I55" s="4">
        <f>(VLOOKUP('11.07'!Q55,'11.07'!$AM$4:$AO$55,2,FALSE))*IF('11.07'!AT$4="是",'11.07'!$AY$4,'11.07'!$AY$3)</f>
        <v>0</v>
      </c>
      <c r="J55" s="4">
        <f>(VLOOKUP('11.07'!R55,'11.07'!$AM$4:$AO$55,2,FALSE))*IF('11.07'!AU$4="是",'11.07'!$AY$4,'11.07'!$AY$3)</f>
        <v>0</v>
      </c>
      <c r="K55" s="4">
        <f>(VLOOKUP('11.07'!S55,'11.07'!$AM$4:$AO$55,2,FALSE))*IF('11.07'!AV$4="是",'11.07'!$AY$4,'11.07'!$AY$3)</f>
        <v>0</v>
      </c>
      <c r="L55" s="4">
        <f>(VLOOKUP('11.07'!T55,'11.07'!$AM$4:$AO$55,2,FALSE))*IF('11.07'!AW$4="是",'11.07'!$AY$4,'11.07'!$AY$3)</f>
        <v>0</v>
      </c>
      <c r="M55" s="4">
        <f>(VLOOKUP('11.07'!U55,'11.07'!$AM$4:$AO$55,2,FALSE))*IF('11.07'!AX$4="是",'11.07'!$AY$4,'11.07'!$AY$3)</f>
        <v>0</v>
      </c>
      <c r="N55" s="4">
        <f>(VLOOKUP('11.07'!V55,'11.07'!$AM$4:$AO$55,2,FALSE))*IF('11.07'!AY$4="是",'11.07'!$AY$4,'11.07'!$AY$3)</f>
        <v>0</v>
      </c>
      <c r="O55" s="5">
        <f>(VLOOKUP('11.07'!W55,'11.07'!$AM$4:$AO$55,2,FALSE))*IF('11.07'!AZ$4="是",'11.07'!$AY$4,'11.07'!$AY$3)</f>
        <v>0</v>
      </c>
      <c r="P55" s="5">
        <f>(VLOOKUP('11.07'!X55,'11.07'!$AM$4:$AO$55,2,FALSE))*IF('11.07'!BA$4="是",'11.07'!$AY$4,'11.07'!$AY$3)</f>
        <v>0</v>
      </c>
      <c r="Q55" s="4">
        <f>(VLOOKUP('11.07'!Y55,'11.07'!$AM$4:$AO$55,2,FALSE))*IF('11.07'!BB$4="是",'11.07'!$AY$4,'11.07'!$AY$3)</f>
        <v>190</v>
      </c>
      <c r="R55" s="4">
        <f>(VLOOKUP('11.07'!Z55,'11.07'!$AM$4:$AO$55,2,FALSE))*IF('11.07'!BC$4="是",'11.07'!$AY$4,'11.07'!$AY$3)</f>
        <v>190</v>
      </c>
      <c r="S55" s="4">
        <f>(VLOOKUP('11.07'!AA55,'11.07'!$AM$4:$AO$55,2,FALSE))*IF('11.07'!BD$4="是",'11.07'!$AY$4,'11.07'!$AY$3)</f>
        <v>190</v>
      </c>
      <c r="T55" s="4">
        <f>(VLOOKUP('11.07'!AB55,'11.07'!$AM$4:$AO$55,2,FALSE))*IF('11.07'!BE$4="是",'11.07'!$AY$4,'11.07'!$AY$3)</f>
        <v>150</v>
      </c>
      <c r="U55" s="4">
        <f>(VLOOKUP('11.07'!AC55,'11.07'!$AM$4:$AO$55,2,FALSE))*IF('11.07'!BF$4="是",'11.07'!$AY$4,'11.07'!$AY$3)</f>
        <v>190</v>
      </c>
      <c r="V55" s="4">
        <f>(VLOOKUP('11.07'!AD55,'11.07'!$AM$4:$AO$55,2,FALSE))*IF('11.07'!BG$4="是",'11.07'!$AY$4,'11.07'!$AY$3)</f>
        <v>190</v>
      </c>
      <c r="W55" s="5">
        <f>(VLOOKUP('11.07'!AE55,'11.07'!$AM$4:$AO$55,2,FALSE))*IF('11.07'!BH$4="是",'11.07'!$AY$4,'11.07'!$AY$3)</f>
        <v>0</v>
      </c>
      <c r="X55" s="5">
        <f>(VLOOKUP('11.07'!AF55,'11.07'!$AM$4:$AO$55,2,FALSE))*IF('11.07'!BI$4="是",'11.07'!$AY$4,'11.07'!$AY$3)</f>
        <v>0</v>
      </c>
    </row>
    <row r="56" spans="1:24">
      <c r="A56" s="4">
        <f>(VLOOKUP('11.07'!I56,'11.07'!$AM$4:$AO$55,2,FALSE))*IF('11.07'!AK$4="是",'11.07'!$AY$4,'11.07'!$AY$3)</f>
        <v>190</v>
      </c>
      <c r="B56" s="4">
        <f>(VLOOKUP('11.07'!J56,'11.07'!$AM$4:$AO$55,2,FALSE))*IF('11.07'!AL$4="是",'11.07'!$AY$4,'11.07'!$AY$3)</f>
        <v>190</v>
      </c>
      <c r="C56" s="4">
        <f>(VLOOKUP('11.07'!K56,'11.07'!$AM$4:$AO$55,2,FALSE))*IF('11.07'!AM$4="是",'11.07'!$AY$4,'11.07'!$AY$3)</f>
        <v>190</v>
      </c>
      <c r="D56" s="4">
        <f>(VLOOKUP('11.07'!L56,'11.07'!$AM$4:$AO$55,2,FALSE))*IF('11.07'!AN$4="是",'11.07'!$AY$4,'11.07'!$AY$3)</f>
        <v>190</v>
      </c>
      <c r="E56" s="4">
        <f>(VLOOKUP('11.07'!M56,'11.07'!$AM$4:$AO$55,2,FALSE))*IF('11.07'!AO$4="是",'11.07'!$AY$4,'11.07'!$AY$3)</f>
        <v>190</v>
      </c>
      <c r="F56" s="4">
        <f>(VLOOKUP('11.07'!N56,'11.07'!$AM$4:$AO$55,2,FALSE))*IF('11.07'!AQ$4="是",'11.07'!$AY$4,'11.07'!$AY$3)</f>
        <v>190</v>
      </c>
      <c r="G56" s="5">
        <f>(VLOOKUP('11.07'!O56,'11.07'!$AM$4:$AO$55,2,FALSE))*IF('11.07'!AR$4="是",'11.07'!$AY$4,'11.07'!$AY$3)</f>
        <v>0</v>
      </c>
      <c r="H56" s="5">
        <f>(VLOOKUP('11.07'!P56,'11.07'!$AM$4:$AO$55,2,FALSE))*IF('11.07'!AS$4="是",'11.07'!$AY$4,'11.07'!$AY$3)</f>
        <v>0</v>
      </c>
      <c r="I56" s="4">
        <f>(VLOOKUP('11.07'!Q56,'11.07'!$AM$4:$AO$55,2,FALSE))*IF('11.07'!AT$4="是",'11.07'!$AY$4,'11.07'!$AY$3)</f>
        <v>0</v>
      </c>
      <c r="J56" s="4">
        <f>(VLOOKUP('11.07'!R56,'11.07'!$AM$4:$AO$55,2,FALSE))*IF('11.07'!AU$4="是",'11.07'!$AY$4,'11.07'!$AY$3)</f>
        <v>0</v>
      </c>
      <c r="K56" s="4">
        <f>(VLOOKUP('11.07'!S56,'11.07'!$AM$4:$AO$55,2,FALSE))*IF('11.07'!AV$4="是",'11.07'!$AY$4,'11.07'!$AY$3)</f>
        <v>0</v>
      </c>
      <c r="L56" s="4">
        <f>(VLOOKUP('11.07'!T56,'11.07'!$AM$4:$AO$55,2,FALSE))*IF('11.07'!AW$4="是",'11.07'!$AY$4,'11.07'!$AY$3)</f>
        <v>0</v>
      </c>
      <c r="M56" s="4">
        <f>(VLOOKUP('11.07'!U56,'11.07'!$AM$4:$AO$55,2,FALSE))*IF('11.07'!AX$4="是",'11.07'!$AY$4,'11.07'!$AY$3)</f>
        <v>0</v>
      </c>
      <c r="N56" s="4">
        <f>(VLOOKUP('11.07'!V56,'11.07'!$AM$4:$AO$55,2,FALSE))*IF('11.07'!AY$4="是",'11.07'!$AY$4,'11.07'!$AY$3)</f>
        <v>0</v>
      </c>
      <c r="O56" s="5">
        <f>(VLOOKUP('11.07'!W56,'11.07'!$AM$4:$AO$55,2,FALSE))*IF('11.07'!AZ$4="是",'11.07'!$AY$4,'11.07'!$AY$3)</f>
        <v>0</v>
      </c>
      <c r="P56" s="5">
        <f>(VLOOKUP('11.07'!X56,'11.07'!$AM$4:$AO$55,2,FALSE))*IF('11.07'!BA$4="是",'11.07'!$AY$4,'11.07'!$AY$3)</f>
        <v>0</v>
      </c>
      <c r="Q56" s="4">
        <f>(VLOOKUP('11.07'!Y56,'11.07'!$AM$4:$AO$55,2,FALSE))*IF('11.07'!BB$4="是",'11.07'!$AY$4,'11.07'!$AY$3)</f>
        <v>190</v>
      </c>
      <c r="R56" s="4">
        <f>(VLOOKUP('11.07'!Z56,'11.07'!$AM$4:$AO$55,2,FALSE))*IF('11.07'!BC$4="是",'11.07'!$AY$4,'11.07'!$AY$3)</f>
        <v>190</v>
      </c>
      <c r="S56" s="4">
        <f>(VLOOKUP('11.07'!AA56,'11.07'!$AM$4:$AO$55,2,FALSE))*IF('11.07'!BD$4="是",'11.07'!$AY$4,'11.07'!$AY$3)</f>
        <v>190</v>
      </c>
      <c r="T56" s="4">
        <f>(VLOOKUP('11.07'!AB56,'11.07'!$AM$4:$AO$55,2,FALSE))*IF('11.07'!BE$4="是",'11.07'!$AY$4,'11.07'!$AY$3)</f>
        <v>190</v>
      </c>
      <c r="U56" s="4">
        <f>(VLOOKUP('11.07'!AC56,'11.07'!$AM$4:$AO$55,2,FALSE))*IF('11.07'!BF$4="是",'11.07'!$AY$4,'11.07'!$AY$3)</f>
        <v>190</v>
      </c>
      <c r="V56" s="4">
        <f>(VLOOKUP('11.07'!AD56,'11.07'!$AM$4:$AO$55,2,FALSE))*IF('11.07'!BG$4="是",'11.07'!$AY$4,'11.07'!$AY$3)</f>
        <v>190</v>
      </c>
      <c r="W56" s="5">
        <f>(VLOOKUP('11.07'!AE56,'11.07'!$AM$4:$AO$55,2,FALSE))*IF('11.07'!BH$4="是",'11.07'!$AY$4,'11.07'!$AY$3)</f>
        <v>0</v>
      </c>
      <c r="X56" s="5">
        <f>(VLOOKUP('11.07'!AF56,'11.07'!$AM$4:$AO$55,2,FALSE))*IF('11.07'!BI$4="是",'11.07'!$AY$4,'11.07'!$AY$3)</f>
        <v>0</v>
      </c>
    </row>
    <row r="57" spans="1:24">
      <c r="A57" s="4">
        <f>(VLOOKUP('11.07'!I57,'11.07'!$AM$4:$AO$55,2,FALSE))*IF('11.07'!AK$4="是",'11.07'!$AY$4,'11.07'!$AY$3)</f>
        <v>190</v>
      </c>
      <c r="B57" s="4">
        <f>(VLOOKUP('11.07'!J57,'11.07'!$AM$4:$AO$55,2,FALSE))*IF('11.07'!AL$4="是",'11.07'!$AY$4,'11.07'!$AY$3)</f>
        <v>190</v>
      </c>
      <c r="C57" s="4">
        <f>(VLOOKUP('11.07'!K57,'11.07'!$AM$4:$AO$55,2,FALSE))*IF('11.07'!AM$4="是",'11.07'!$AY$4,'11.07'!$AY$3)</f>
        <v>190</v>
      </c>
      <c r="D57" s="4">
        <f>(VLOOKUP('11.07'!L57,'11.07'!$AM$4:$AO$55,2,FALSE))*IF('11.07'!AN$4="是",'11.07'!$AY$4,'11.07'!$AY$3)</f>
        <v>190</v>
      </c>
      <c r="E57" s="4">
        <f>(VLOOKUP('11.07'!M57,'11.07'!$AM$4:$AO$55,2,FALSE))*IF('11.07'!AO$4="是",'11.07'!$AY$4,'11.07'!$AY$3)</f>
        <v>190</v>
      </c>
      <c r="F57" s="4">
        <f>(VLOOKUP('11.07'!N57,'11.07'!$AM$4:$AO$55,2,FALSE))*IF('11.07'!AQ$4="是",'11.07'!$AY$4,'11.07'!$AY$3)</f>
        <v>190</v>
      </c>
      <c r="G57" s="5">
        <f>(VLOOKUP('11.07'!O57,'11.07'!$AM$4:$AO$55,2,FALSE))*IF('11.07'!AR$4="是",'11.07'!$AY$4,'11.07'!$AY$3)</f>
        <v>0</v>
      </c>
      <c r="H57" s="5">
        <f>(VLOOKUP('11.07'!P57,'11.07'!$AM$4:$AO$55,2,FALSE))*IF('11.07'!AS$4="是",'11.07'!$AY$4,'11.07'!$AY$3)</f>
        <v>0</v>
      </c>
      <c r="I57" s="4">
        <f>(VLOOKUP('11.07'!Q57,'11.07'!$AM$4:$AO$55,2,FALSE))*IF('11.07'!AT$4="是",'11.07'!$AY$4,'11.07'!$AY$3)</f>
        <v>0</v>
      </c>
      <c r="J57" s="4">
        <f>(VLOOKUP('11.07'!R57,'11.07'!$AM$4:$AO$55,2,FALSE))*IF('11.07'!AU$4="是",'11.07'!$AY$4,'11.07'!$AY$3)</f>
        <v>0</v>
      </c>
      <c r="K57" s="4">
        <f>(VLOOKUP('11.07'!S57,'11.07'!$AM$4:$AO$55,2,FALSE))*IF('11.07'!AV$4="是",'11.07'!$AY$4,'11.07'!$AY$3)</f>
        <v>0</v>
      </c>
      <c r="L57" s="4">
        <f>(VLOOKUP('11.07'!T57,'11.07'!$AM$4:$AO$55,2,FALSE))*IF('11.07'!AW$4="是",'11.07'!$AY$4,'11.07'!$AY$3)</f>
        <v>0</v>
      </c>
      <c r="M57" s="4">
        <f>(VLOOKUP('11.07'!U57,'11.07'!$AM$4:$AO$55,2,FALSE))*IF('11.07'!AX$4="是",'11.07'!$AY$4,'11.07'!$AY$3)</f>
        <v>0</v>
      </c>
      <c r="N57" s="4">
        <f>(VLOOKUP('11.07'!V57,'11.07'!$AM$4:$AO$55,2,FALSE))*IF('11.07'!AY$4="是",'11.07'!$AY$4,'11.07'!$AY$3)</f>
        <v>0</v>
      </c>
      <c r="O57" s="5">
        <f>(VLOOKUP('11.07'!W57,'11.07'!$AM$4:$AO$55,2,FALSE))*IF('11.07'!AZ$4="是",'11.07'!$AY$4,'11.07'!$AY$3)</f>
        <v>0</v>
      </c>
      <c r="P57" s="5">
        <f>(VLOOKUP('11.07'!X57,'11.07'!$AM$4:$AO$55,2,FALSE))*IF('11.07'!BA$4="是",'11.07'!$AY$4,'11.07'!$AY$3)</f>
        <v>0</v>
      </c>
      <c r="Q57" s="4">
        <f>(VLOOKUP('11.07'!Y57,'11.07'!$AM$4:$AO$55,2,FALSE))*IF('11.07'!BB$4="是",'11.07'!$AY$4,'11.07'!$AY$3)</f>
        <v>190</v>
      </c>
      <c r="R57" s="4">
        <f>(VLOOKUP('11.07'!Z57,'11.07'!$AM$4:$AO$55,2,FALSE))*IF('11.07'!BC$4="是",'11.07'!$AY$4,'11.07'!$AY$3)</f>
        <v>190</v>
      </c>
      <c r="S57" s="4">
        <f>(VLOOKUP('11.07'!AA57,'11.07'!$AM$4:$AO$55,2,FALSE))*IF('11.07'!BD$4="是",'11.07'!$AY$4,'11.07'!$AY$3)</f>
        <v>190</v>
      </c>
      <c r="T57" s="4">
        <f>(VLOOKUP('11.07'!AB57,'11.07'!$AM$4:$AO$55,2,FALSE))*IF('11.07'!BE$4="是",'11.07'!$AY$4,'11.07'!$AY$3)</f>
        <v>190</v>
      </c>
      <c r="U57" s="4">
        <f>(VLOOKUP('11.07'!AC57,'11.07'!$AM$4:$AO$55,2,FALSE))*IF('11.07'!BF$4="是",'11.07'!$AY$4,'11.07'!$AY$3)</f>
        <v>190</v>
      </c>
      <c r="V57" s="4">
        <f>(VLOOKUP('11.07'!AD57,'11.07'!$AM$4:$AO$55,2,FALSE))*IF('11.07'!BG$4="是",'11.07'!$AY$4,'11.07'!$AY$3)</f>
        <v>190</v>
      </c>
      <c r="W57" s="5">
        <f>(VLOOKUP('11.07'!AE57,'11.07'!$AM$4:$AO$55,2,FALSE))*IF('11.07'!BH$4="是",'11.07'!$AY$4,'11.07'!$AY$3)</f>
        <v>0</v>
      </c>
      <c r="X57" s="5">
        <f>(VLOOKUP('11.07'!AF57,'11.07'!$AM$4:$AO$55,2,FALSE))*IF('11.07'!BI$4="是",'11.07'!$AY$4,'11.07'!$AY$3)</f>
        <v>0</v>
      </c>
    </row>
    <row r="58" spans="1:24">
      <c r="A58" s="4">
        <f>(VLOOKUP('11.07'!I58,'11.07'!$AM$4:$AO$55,2,FALSE))*IF('11.07'!AK$4="是",'11.07'!$AY$4,'11.07'!$AY$3)</f>
        <v>50</v>
      </c>
      <c r="B58" s="4">
        <f>(VLOOKUP('11.07'!J58,'11.07'!$AM$4:$AO$55,2,FALSE))*IF('11.07'!AL$4="是",'11.07'!$AY$4,'11.07'!$AY$3)</f>
        <v>190</v>
      </c>
      <c r="C58" s="4">
        <f>(VLOOKUP('11.07'!K58,'11.07'!$AM$4:$AO$55,2,FALSE))*IF('11.07'!AM$4="是",'11.07'!$AY$4,'11.07'!$AY$3)</f>
        <v>190</v>
      </c>
      <c r="D58" s="4">
        <f>(VLOOKUP('11.07'!L58,'11.07'!$AM$4:$AO$55,2,FALSE))*IF('11.07'!AN$4="是",'11.07'!$AY$4,'11.07'!$AY$3)</f>
        <v>190</v>
      </c>
      <c r="E58" s="4">
        <f>(VLOOKUP('11.07'!M58,'11.07'!$AM$4:$AO$55,2,FALSE))*IF('11.07'!AO$4="是",'11.07'!$AY$4,'11.07'!$AY$3)</f>
        <v>190</v>
      </c>
      <c r="F58" s="4">
        <f>(VLOOKUP('11.07'!N58,'11.07'!$AM$4:$AO$55,2,FALSE))*IF('11.07'!AQ$4="是",'11.07'!$AY$4,'11.07'!$AY$3)</f>
        <v>190</v>
      </c>
      <c r="G58" s="5">
        <f>(VLOOKUP('11.07'!O58,'11.07'!$AM$4:$AO$55,2,FALSE))*IF('11.07'!AR$4="是",'11.07'!$AY$4,'11.07'!$AY$3)</f>
        <v>0</v>
      </c>
      <c r="H58" s="5">
        <f>(VLOOKUP('11.07'!P58,'11.07'!$AM$4:$AO$55,2,FALSE))*IF('11.07'!AS$4="是",'11.07'!$AY$4,'11.07'!$AY$3)</f>
        <v>0</v>
      </c>
      <c r="I58" s="4">
        <f>(VLOOKUP('11.07'!Q58,'11.07'!$AM$4:$AO$55,2,FALSE))*IF('11.07'!AT$4="是",'11.07'!$AY$4,'11.07'!$AY$3)</f>
        <v>0</v>
      </c>
      <c r="J58" s="4">
        <f>(VLOOKUP('11.07'!R58,'11.07'!$AM$4:$AO$55,2,FALSE))*IF('11.07'!AU$4="是",'11.07'!$AY$4,'11.07'!$AY$3)</f>
        <v>0</v>
      </c>
      <c r="K58" s="4">
        <f>(VLOOKUP('11.07'!S58,'11.07'!$AM$4:$AO$55,2,FALSE))*IF('11.07'!AV$4="是",'11.07'!$AY$4,'11.07'!$AY$3)</f>
        <v>0</v>
      </c>
      <c r="L58" s="4">
        <f>(VLOOKUP('11.07'!T58,'11.07'!$AM$4:$AO$55,2,FALSE))*IF('11.07'!AW$4="是",'11.07'!$AY$4,'11.07'!$AY$3)</f>
        <v>0</v>
      </c>
      <c r="M58" s="4">
        <f>(VLOOKUP('11.07'!U58,'11.07'!$AM$4:$AO$55,2,FALSE))*IF('11.07'!AX$4="是",'11.07'!$AY$4,'11.07'!$AY$3)</f>
        <v>0</v>
      </c>
      <c r="N58" s="4">
        <f>(VLOOKUP('11.07'!V58,'11.07'!$AM$4:$AO$55,2,FALSE))*IF('11.07'!AY$4="是",'11.07'!$AY$4,'11.07'!$AY$3)</f>
        <v>0</v>
      </c>
      <c r="O58" s="5">
        <f>(VLOOKUP('11.07'!W58,'11.07'!$AM$4:$AO$55,2,FALSE))*IF('11.07'!AZ$4="是",'11.07'!$AY$4,'11.07'!$AY$3)</f>
        <v>0</v>
      </c>
      <c r="P58" s="5">
        <f>(VLOOKUP('11.07'!X58,'11.07'!$AM$4:$AO$55,2,FALSE))*IF('11.07'!BA$4="是",'11.07'!$AY$4,'11.07'!$AY$3)</f>
        <v>0</v>
      </c>
      <c r="Q58" s="4">
        <f>(VLOOKUP('11.07'!Y58,'11.07'!$AM$4:$AO$55,2,FALSE))*IF('11.07'!BB$4="是",'11.07'!$AY$4,'11.07'!$AY$3)</f>
        <v>190</v>
      </c>
      <c r="R58" s="4">
        <f>(VLOOKUP('11.07'!Z58,'11.07'!$AM$4:$AO$55,2,FALSE))*IF('11.07'!BC$4="是",'11.07'!$AY$4,'11.07'!$AY$3)</f>
        <v>190</v>
      </c>
      <c r="S58" s="4">
        <f>(VLOOKUP('11.07'!AA58,'11.07'!$AM$4:$AO$55,2,FALSE))*IF('11.07'!BD$4="是",'11.07'!$AY$4,'11.07'!$AY$3)</f>
        <v>190</v>
      </c>
      <c r="T58" s="4">
        <f>(VLOOKUP('11.07'!AB58,'11.07'!$AM$4:$AO$55,2,FALSE))*IF('11.07'!BE$4="是",'11.07'!$AY$4,'11.07'!$AY$3)</f>
        <v>190</v>
      </c>
      <c r="U58" s="4">
        <f>(VLOOKUP('11.07'!AC58,'11.07'!$AM$4:$AO$55,2,FALSE))*IF('11.07'!BF$4="是",'11.07'!$AY$4,'11.07'!$AY$3)</f>
        <v>190</v>
      </c>
      <c r="V58" s="4">
        <f>(VLOOKUP('11.07'!AD58,'11.07'!$AM$4:$AO$55,2,FALSE))*IF('11.07'!BG$4="是",'11.07'!$AY$4,'11.07'!$AY$3)</f>
        <v>190</v>
      </c>
      <c r="W58" s="5">
        <f>(VLOOKUP('11.07'!AE58,'11.07'!$AM$4:$AO$55,2,FALSE))*IF('11.07'!BH$4="是",'11.07'!$AY$4,'11.07'!$AY$3)</f>
        <v>0</v>
      </c>
      <c r="X58" s="5">
        <f>(VLOOKUP('11.07'!AF58,'11.07'!$AM$4:$AO$55,2,FALSE))*IF('11.07'!BI$4="是",'11.07'!$AY$4,'11.07'!$AY$3)</f>
        <v>0</v>
      </c>
    </row>
    <row r="59" spans="1:24">
      <c r="A59" s="4">
        <f>(VLOOKUP('11.07'!I59,'11.07'!$AM$4:$AO$55,2,FALSE))*IF('11.07'!AK$4="是",'11.07'!$AY$4,'11.07'!$AY$3)</f>
        <v>190</v>
      </c>
      <c r="B59" s="4">
        <f>(VLOOKUP('11.07'!J59,'11.07'!$AM$4:$AO$55,2,FALSE))*IF('11.07'!AL$4="是",'11.07'!$AY$4,'11.07'!$AY$3)</f>
        <v>190</v>
      </c>
      <c r="C59" s="4">
        <f>(VLOOKUP('11.07'!K59,'11.07'!$AM$4:$AO$55,2,FALSE))*IF('11.07'!AM$4="是",'11.07'!$AY$4,'11.07'!$AY$3)</f>
        <v>190</v>
      </c>
      <c r="D59" s="4">
        <f>(VLOOKUP('11.07'!L59,'11.07'!$AM$4:$AO$55,2,FALSE))*IF('11.07'!AN$4="是",'11.07'!$AY$4,'11.07'!$AY$3)</f>
        <v>190</v>
      </c>
      <c r="E59" s="4">
        <f>(VLOOKUP('11.07'!M59,'11.07'!$AM$4:$AO$55,2,FALSE))*IF('11.07'!AO$4="是",'11.07'!$AY$4,'11.07'!$AY$3)</f>
        <v>190</v>
      </c>
      <c r="F59" s="4">
        <f>(VLOOKUP('11.07'!N59,'11.07'!$AM$4:$AO$55,2,FALSE))*IF('11.07'!AQ$4="是",'11.07'!$AY$4,'11.07'!$AY$3)</f>
        <v>190</v>
      </c>
      <c r="G59" s="5">
        <f>(VLOOKUP('11.07'!O59,'11.07'!$AM$4:$AO$55,2,FALSE))*IF('11.07'!AR$4="是",'11.07'!$AY$4,'11.07'!$AY$3)</f>
        <v>0</v>
      </c>
      <c r="H59" s="5">
        <f>(VLOOKUP('11.07'!P59,'11.07'!$AM$4:$AO$55,2,FALSE))*IF('11.07'!AS$4="是",'11.07'!$AY$4,'11.07'!$AY$3)</f>
        <v>0</v>
      </c>
      <c r="I59" s="4">
        <f>(VLOOKUP('11.07'!Q59,'11.07'!$AM$4:$AO$55,2,FALSE))*IF('11.07'!AT$4="是",'11.07'!$AY$4,'11.07'!$AY$3)</f>
        <v>0</v>
      </c>
      <c r="J59" s="4">
        <f>(VLOOKUP('11.07'!R59,'11.07'!$AM$4:$AO$55,2,FALSE))*IF('11.07'!AU$4="是",'11.07'!$AY$4,'11.07'!$AY$3)</f>
        <v>0</v>
      </c>
      <c r="K59" s="4">
        <f>(VLOOKUP('11.07'!S59,'11.07'!$AM$4:$AO$55,2,FALSE))*IF('11.07'!AV$4="是",'11.07'!$AY$4,'11.07'!$AY$3)</f>
        <v>0</v>
      </c>
      <c r="L59" s="4">
        <f>(VLOOKUP('11.07'!T59,'11.07'!$AM$4:$AO$55,2,FALSE))*IF('11.07'!AW$4="是",'11.07'!$AY$4,'11.07'!$AY$3)</f>
        <v>0</v>
      </c>
      <c r="M59" s="4">
        <f>(VLOOKUP('11.07'!U59,'11.07'!$AM$4:$AO$55,2,FALSE))*IF('11.07'!AX$4="是",'11.07'!$AY$4,'11.07'!$AY$3)</f>
        <v>0</v>
      </c>
      <c r="N59" s="4">
        <f>(VLOOKUP('11.07'!V59,'11.07'!$AM$4:$AO$55,2,FALSE))*IF('11.07'!AY$4="是",'11.07'!$AY$4,'11.07'!$AY$3)</f>
        <v>0</v>
      </c>
      <c r="O59" s="5">
        <f>(VLOOKUP('11.07'!W59,'11.07'!$AM$4:$AO$55,2,FALSE))*IF('11.07'!AZ$4="是",'11.07'!$AY$4,'11.07'!$AY$3)</f>
        <v>0</v>
      </c>
      <c r="P59" s="5">
        <f>(VLOOKUP('11.07'!X59,'11.07'!$AM$4:$AO$55,2,FALSE))*IF('11.07'!BA$4="是",'11.07'!$AY$4,'11.07'!$AY$3)</f>
        <v>0</v>
      </c>
      <c r="Q59" s="4">
        <f>(VLOOKUP('11.07'!Y59,'11.07'!$AM$4:$AO$55,2,FALSE))*IF('11.07'!BB$4="是",'11.07'!$AY$4,'11.07'!$AY$3)</f>
        <v>190</v>
      </c>
      <c r="R59" s="4">
        <f>(VLOOKUP('11.07'!Z59,'11.07'!$AM$4:$AO$55,2,FALSE))*IF('11.07'!BC$4="是",'11.07'!$AY$4,'11.07'!$AY$3)</f>
        <v>190</v>
      </c>
      <c r="S59" s="4">
        <f>(VLOOKUP('11.07'!AA59,'11.07'!$AM$4:$AO$55,2,FALSE))*IF('11.07'!BD$4="是",'11.07'!$AY$4,'11.07'!$AY$3)</f>
        <v>190</v>
      </c>
      <c r="T59" s="4">
        <f>(VLOOKUP('11.07'!AB59,'11.07'!$AM$4:$AO$55,2,FALSE))*IF('11.07'!BE$4="是",'11.07'!$AY$4,'11.07'!$AY$3)</f>
        <v>190</v>
      </c>
      <c r="U59" s="4">
        <f>(VLOOKUP('11.07'!AC59,'11.07'!$AM$4:$AO$55,2,FALSE))*IF('11.07'!BF$4="是",'11.07'!$AY$4,'11.07'!$AY$3)</f>
        <v>190</v>
      </c>
      <c r="V59" s="4">
        <f>(VLOOKUP('11.07'!AD59,'11.07'!$AM$4:$AO$55,2,FALSE))*IF('11.07'!BG$4="是",'11.07'!$AY$4,'11.07'!$AY$3)</f>
        <v>190</v>
      </c>
      <c r="W59" s="5">
        <f>(VLOOKUP('11.07'!AE59,'11.07'!$AM$4:$AO$55,2,FALSE))*IF('11.07'!BH$4="是",'11.07'!$AY$4,'11.07'!$AY$3)</f>
        <v>0</v>
      </c>
      <c r="X59" s="5">
        <f>(VLOOKUP('11.07'!AF59,'11.07'!$AM$4:$AO$55,2,FALSE))*IF('11.07'!BI$4="是",'11.07'!$AY$4,'11.07'!$AY$3)</f>
        <v>0</v>
      </c>
    </row>
    <row r="60" spans="1:24">
      <c r="A60" s="4">
        <f>(VLOOKUP('11.07'!I60,'11.07'!$AM$4:$AO$55,2,FALSE))*IF('11.07'!AK$4="是",'11.07'!$AY$4,'11.07'!$AY$3)</f>
        <v>190</v>
      </c>
      <c r="B60" s="4">
        <f>(VLOOKUP('11.07'!J60,'11.07'!$AM$4:$AO$55,2,FALSE))*IF('11.07'!AL$4="是",'11.07'!$AY$4,'11.07'!$AY$3)</f>
        <v>190</v>
      </c>
      <c r="C60" s="4">
        <f>(VLOOKUP('11.07'!K60,'11.07'!$AM$4:$AO$55,2,FALSE))*IF('11.07'!AM$4="是",'11.07'!$AY$4,'11.07'!$AY$3)</f>
        <v>190</v>
      </c>
      <c r="D60" s="4">
        <f>(VLOOKUP('11.07'!L60,'11.07'!$AM$4:$AO$55,2,FALSE))*IF('11.07'!AN$4="是",'11.07'!$AY$4,'11.07'!$AY$3)</f>
        <v>190</v>
      </c>
      <c r="E60" s="4">
        <f>(VLOOKUP('11.07'!M60,'11.07'!$AM$4:$AO$55,2,FALSE))*IF('11.07'!AO$4="是",'11.07'!$AY$4,'11.07'!$AY$3)</f>
        <v>190</v>
      </c>
      <c r="F60" s="4">
        <f>(VLOOKUP('11.07'!N60,'11.07'!$AM$4:$AO$55,2,FALSE))*IF('11.07'!AQ$4="是",'11.07'!$AY$4,'11.07'!$AY$3)</f>
        <v>190</v>
      </c>
      <c r="G60" s="5">
        <f>(VLOOKUP('11.07'!O60,'11.07'!$AM$4:$AO$55,2,FALSE))*IF('11.07'!AR$4="是",'11.07'!$AY$4,'11.07'!$AY$3)</f>
        <v>0</v>
      </c>
      <c r="H60" s="5">
        <f>(VLOOKUP('11.07'!P60,'11.07'!$AM$4:$AO$55,2,FALSE))*IF('11.07'!AS$4="是",'11.07'!$AY$4,'11.07'!$AY$3)</f>
        <v>0</v>
      </c>
      <c r="I60" s="4">
        <f>(VLOOKUP('11.07'!Q60,'11.07'!$AM$4:$AO$55,2,FALSE))*IF('11.07'!AT$4="是",'11.07'!$AY$4,'11.07'!$AY$3)</f>
        <v>0</v>
      </c>
      <c r="J60" s="4">
        <f>(VLOOKUP('11.07'!R60,'11.07'!$AM$4:$AO$55,2,FALSE))*IF('11.07'!AU$4="是",'11.07'!$AY$4,'11.07'!$AY$3)</f>
        <v>0</v>
      </c>
      <c r="K60" s="4">
        <f>(VLOOKUP('11.07'!S60,'11.07'!$AM$4:$AO$55,2,FALSE))*IF('11.07'!AV$4="是",'11.07'!$AY$4,'11.07'!$AY$3)</f>
        <v>0</v>
      </c>
      <c r="L60" s="4">
        <f>(VLOOKUP('11.07'!T60,'11.07'!$AM$4:$AO$55,2,FALSE))*IF('11.07'!AW$4="是",'11.07'!$AY$4,'11.07'!$AY$3)</f>
        <v>0</v>
      </c>
      <c r="M60" s="4">
        <f>(VLOOKUP('11.07'!U60,'11.07'!$AM$4:$AO$55,2,FALSE))*IF('11.07'!AX$4="是",'11.07'!$AY$4,'11.07'!$AY$3)</f>
        <v>0</v>
      </c>
      <c r="N60" s="4">
        <f>(VLOOKUP('11.07'!V60,'11.07'!$AM$4:$AO$55,2,FALSE))*IF('11.07'!AY$4="是",'11.07'!$AY$4,'11.07'!$AY$3)</f>
        <v>0</v>
      </c>
      <c r="O60" s="5">
        <f>(VLOOKUP('11.07'!W60,'11.07'!$AM$4:$AO$55,2,FALSE))*IF('11.07'!AZ$4="是",'11.07'!$AY$4,'11.07'!$AY$3)</f>
        <v>0</v>
      </c>
      <c r="P60" s="5">
        <f>(VLOOKUP('11.07'!X60,'11.07'!$AM$4:$AO$55,2,FALSE))*IF('11.07'!BA$4="是",'11.07'!$AY$4,'11.07'!$AY$3)</f>
        <v>0</v>
      </c>
      <c r="Q60" s="4">
        <f>(VLOOKUP('11.07'!Y60,'11.07'!$AM$4:$AO$55,2,FALSE))*IF('11.07'!BB$4="是",'11.07'!$AY$4,'11.07'!$AY$3)</f>
        <v>190</v>
      </c>
      <c r="R60" s="4">
        <f>(VLOOKUP('11.07'!Z60,'11.07'!$AM$4:$AO$55,2,FALSE))*IF('11.07'!BC$4="是",'11.07'!$AY$4,'11.07'!$AY$3)</f>
        <v>190</v>
      </c>
      <c r="S60" s="4">
        <f>(VLOOKUP('11.07'!AA60,'11.07'!$AM$4:$AO$55,2,FALSE))*IF('11.07'!BD$4="是",'11.07'!$AY$4,'11.07'!$AY$3)</f>
        <v>190</v>
      </c>
      <c r="T60" s="4">
        <f>(VLOOKUP('11.07'!AB60,'11.07'!$AM$4:$AO$55,2,FALSE))*IF('11.07'!BE$4="是",'11.07'!$AY$4,'11.07'!$AY$3)</f>
        <v>-200</v>
      </c>
      <c r="U60" s="4">
        <f>(VLOOKUP('11.07'!AC60,'11.07'!$AM$4:$AO$55,2,FALSE))*IF('11.07'!BF$4="是",'11.07'!$AY$4,'11.07'!$AY$3)</f>
        <v>190</v>
      </c>
      <c r="V60" s="4">
        <f>(VLOOKUP('11.07'!AD60,'11.07'!$AM$4:$AO$55,2,FALSE))*IF('11.07'!BG$4="是",'11.07'!$AY$4,'11.07'!$AY$3)</f>
        <v>190</v>
      </c>
      <c r="W60" s="5">
        <f>(VLOOKUP('11.07'!AE60,'11.07'!$AM$4:$AO$55,2,FALSE))*IF('11.07'!BH$4="是",'11.07'!$AY$4,'11.07'!$AY$3)</f>
        <v>190</v>
      </c>
      <c r="X60" s="5">
        <f>(VLOOKUP('11.07'!AF60,'11.07'!$AM$4:$AO$55,2,FALSE))*IF('11.07'!BI$4="是",'11.07'!$AY$4,'11.07'!$AY$3)</f>
        <v>0</v>
      </c>
    </row>
    <row r="61" spans="1:24">
      <c r="A61" s="4">
        <f>(VLOOKUP('11.07'!I61,'11.07'!$AM$4:$AO$55,2,FALSE))*IF('11.07'!AK$4="是",'11.07'!$AY$4,'11.07'!$AY$3)</f>
        <v>190</v>
      </c>
      <c r="B61" s="4">
        <f>(VLOOKUP('11.07'!J61,'11.07'!$AM$4:$AO$55,2,FALSE))*IF('11.07'!AL$4="是",'11.07'!$AY$4,'11.07'!$AY$3)</f>
        <v>190</v>
      </c>
      <c r="C61" s="4">
        <f>(VLOOKUP('11.07'!K61,'11.07'!$AM$4:$AO$55,2,FALSE))*IF('11.07'!AM$4="是",'11.07'!$AY$4,'11.07'!$AY$3)</f>
        <v>190</v>
      </c>
      <c r="D61" s="4">
        <f>(VLOOKUP('11.07'!L61,'11.07'!$AM$4:$AO$55,2,FALSE))*IF('11.07'!AN$4="是",'11.07'!$AY$4,'11.07'!$AY$3)</f>
        <v>190</v>
      </c>
      <c r="E61" s="4">
        <f>(VLOOKUP('11.07'!M61,'11.07'!$AM$4:$AO$55,2,FALSE))*IF('11.07'!AO$4="是",'11.07'!$AY$4,'11.07'!$AY$3)</f>
        <v>150</v>
      </c>
      <c r="F61" s="4">
        <f>(VLOOKUP('11.07'!N61,'11.07'!$AM$4:$AO$55,2,FALSE))*IF('11.07'!AQ$4="是",'11.07'!$AY$4,'11.07'!$AY$3)</f>
        <v>190</v>
      </c>
      <c r="G61" s="5">
        <f>(VLOOKUP('11.07'!O61,'11.07'!$AM$4:$AO$55,2,FALSE))*IF('11.07'!AR$4="是",'11.07'!$AY$4,'11.07'!$AY$3)</f>
        <v>0</v>
      </c>
      <c r="H61" s="5">
        <f>(VLOOKUP('11.07'!P61,'11.07'!$AM$4:$AO$55,2,FALSE))*IF('11.07'!AS$4="是",'11.07'!$AY$4,'11.07'!$AY$3)</f>
        <v>0</v>
      </c>
      <c r="I61" s="4">
        <f>(VLOOKUP('11.07'!Q61,'11.07'!$AM$4:$AO$55,2,FALSE))*IF('11.07'!AT$4="是",'11.07'!$AY$4,'11.07'!$AY$3)</f>
        <v>0</v>
      </c>
      <c r="J61" s="4">
        <f>(VLOOKUP('11.07'!R61,'11.07'!$AM$4:$AO$55,2,FALSE))*IF('11.07'!AU$4="是",'11.07'!$AY$4,'11.07'!$AY$3)</f>
        <v>0</v>
      </c>
      <c r="K61" s="4">
        <f>(VLOOKUP('11.07'!S61,'11.07'!$AM$4:$AO$55,2,FALSE))*IF('11.07'!AV$4="是",'11.07'!$AY$4,'11.07'!$AY$3)</f>
        <v>0</v>
      </c>
      <c r="L61" s="4">
        <f>(VLOOKUP('11.07'!T61,'11.07'!$AM$4:$AO$55,2,FALSE))*IF('11.07'!AW$4="是",'11.07'!$AY$4,'11.07'!$AY$3)</f>
        <v>0</v>
      </c>
      <c r="M61" s="4">
        <f>(VLOOKUP('11.07'!U61,'11.07'!$AM$4:$AO$55,2,FALSE))*IF('11.07'!AX$4="是",'11.07'!$AY$4,'11.07'!$AY$3)</f>
        <v>0</v>
      </c>
      <c r="N61" s="4">
        <f>(VLOOKUP('11.07'!V61,'11.07'!$AM$4:$AO$55,2,FALSE))*IF('11.07'!AY$4="是",'11.07'!$AY$4,'11.07'!$AY$3)</f>
        <v>0</v>
      </c>
      <c r="O61" s="5">
        <f>(VLOOKUP('11.07'!W61,'11.07'!$AM$4:$AO$55,2,FALSE))*IF('11.07'!AZ$4="是",'11.07'!$AY$4,'11.07'!$AY$3)</f>
        <v>0</v>
      </c>
      <c r="P61" s="5">
        <f>(VLOOKUP('11.07'!X61,'11.07'!$AM$4:$AO$55,2,FALSE))*IF('11.07'!BA$4="是",'11.07'!$AY$4,'11.07'!$AY$3)</f>
        <v>0</v>
      </c>
      <c r="Q61" s="4">
        <f>(VLOOKUP('11.07'!Y61,'11.07'!$AM$4:$AO$55,2,FALSE))*IF('11.07'!BB$4="是",'11.07'!$AY$4,'11.07'!$AY$3)</f>
        <v>180</v>
      </c>
      <c r="R61" s="4">
        <f>(VLOOKUP('11.07'!Z61,'11.07'!$AM$4:$AO$55,2,FALSE))*IF('11.07'!BC$4="是",'11.07'!$AY$4,'11.07'!$AY$3)</f>
        <v>180</v>
      </c>
      <c r="S61" s="4">
        <f>(VLOOKUP('11.07'!AA61,'11.07'!$AM$4:$AO$55,2,FALSE))*IF('11.07'!BD$4="是",'11.07'!$AY$4,'11.07'!$AY$3)</f>
        <v>180</v>
      </c>
      <c r="T61" s="4">
        <f>(VLOOKUP('11.07'!AB61,'11.07'!$AM$4:$AO$55,2,FALSE))*IF('11.07'!BE$4="是",'11.07'!$AY$4,'11.07'!$AY$3)</f>
        <v>180</v>
      </c>
      <c r="U61" s="4">
        <f>(VLOOKUP('11.07'!AC61,'11.07'!$AM$4:$AO$55,2,FALSE))*IF('11.07'!BF$4="是",'11.07'!$AY$4,'11.07'!$AY$3)</f>
        <v>180</v>
      </c>
      <c r="V61" s="4">
        <f>(VLOOKUP('11.07'!AD61,'11.07'!$AM$4:$AO$55,2,FALSE))*IF('11.07'!BG$4="是",'11.07'!$AY$4,'11.07'!$AY$3)</f>
        <v>50</v>
      </c>
      <c r="W61" s="5">
        <f>(VLOOKUP('11.07'!AE61,'11.07'!$AM$4:$AO$55,2,FALSE))*IF('11.07'!BH$4="是",'11.07'!$AY$4,'11.07'!$AY$3)</f>
        <v>0</v>
      </c>
      <c r="X61" s="5">
        <f>(VLOOKUP('11.07'!AF61,'11.07'!$AM$4:$AO$55,2,FALSE))*IF('11.07'!BI$4="是",'11.07'!$AY$4,'11.07'!$AY$3)</f>
        <v>0</v>
      </c>
    </row>
    <row r="62" spans="1:24">
      <c r="A62" s="4">
        <f>(VLOOKUP('11.07'!I62,'11.07'!$AM$4:$AO$55,2,FALSE))*IF('11.07'!AK$4="是",'11.07'!$AY$4,'11.07'!$AY$3)</f>
        <v>190</v>
      </c>
      <c r="B62" s="4">
        <f>(VLOOKUP('11.07'!J62,'11.07'!$AM$4:$AO$55,2,FALSE))*IF('11.07'!AL$4="是",'11.07'!$AY$4,'11.07'!$AY$3)</f>
        <v>190</v>
      </c>
      <c r="C62" s="4">
        <f>(VLOOKUP('11.07'!K62,'11.07'!$AM$4:$AO$55,2,FALSE))*IF('11.07'!AM$4="是",'11.07'!$AY$4,'11.07'!$AY$3)</f>
        <v>190</v>
      </c>
      <c r="D62" s="4">
        <f>(VLOOKUP('11.07'!L62,'11.07'!$AM$4:$AO$55,2,FALSE))*IF('11.07'!AN$4="是",'11.07'!$AY$4,'11.07'!$AY$3)</f>
        <v>190</v>
      </c>
      <c r="E62" s="4">
        <f>(VLOOKUP('11.07'!M62,'11.07'!$AM$4:$AO$55,2,FALSE))*IF('11.07'!AO$4="是",'11.07'!$AY$4,'11.07'!$AY$3)</f>
        <v>190</v>
      </c>
      <c r="F62" s="4">
        <f>(VLOOKUP('11.07'!N62,'11.07'!$AM$4:$AO$55,2,FALSE))*IF('11.07'!AQ$4="是",'11.07'!$AY$4,'11.07'!$AY$3)</f>
        <v>190</v>
      </c>
      <c r="G62" s="5">
        <f>(VLOOKUP('11.07'!O62,'11.07'!$AM$4:$AO$55,2,FALSE))*IF('11.07'!AR$4="是",'11.07'!$AY$4,'11.07'!$AY$3)</f>
        <v>0</v>
      </c>
      <c r="H62" s="5">
        <f>(VLOOKUP('11.07'!P62,'11.07'!$AM$4:$AO$55,2,FALSE))*IF('11.07'!AS$4="是",'11.07'!$AY$4,'11.07'!$AY$3)</f>
        <v>0</v>
      </c>
      <c r="I62" s="4">
        <f>(VLOOKUP('11.07'!Q62,'11.07'!$AM$4:$AO$55,2,FALSE))*IF('11.07'!AT$4="是",'11.07'!$AY$4,'11.07'!$AY$3)</f>
        <v>0</v>
      </c>
      <c r="J62" s="4">
        <f>(VLOOKUP('11.07'!R62,'11.07'!$AM$4:$AO$55,2,FALSE))*IF('11.07'!AU$4="是",'11.07'!$AY$4,'11.07'!$AY$3)</f>
        <v>0</v>
      </c>
      <c r="K62" s="4">
        <f>(VLOOKUP('11.07'!S62,'11.07'!$AM$4:$AO$55,2,FALSE))*IF('11.07'!AV$4="是",'11.07'!$AY$4,'11.07'!$AY$3)</f>
        <v>0</v>
      </c>
      <c r="L62" s="4">
        <f>(VLOOKUP('11.07'!T62,'11.07'!$AM$4:$AO$55,2,FALSE))*IF('11.07'!AW$4="是",'11.07'!$AY$4,'11.07'!$AY$3)</f>
        <v>0</v>
      </c>
      <c r="M62" s="4">
        <f>(VLOOKUP('11.07'!U62,'11.07'!$AM$4:$AO$55,2,FALSE))*IF('11.07'!AX$4="是",'11.07'!$AY$4,'11.07'!$AY$3)</f>
        <v>0</v>
      </c>
      <c r="N62" s="4">
        <f>(VLOOKUP('11.07'!V62,'11.07'!$AM$4:$AO$55,2,FALSE))*IF('11.07'!AY$4="是",'11.07'!$AY$4,'11.07'!$AY$3)</f>
        <v>0</v>
      </c>
      <c r="O62" s="5">
        <f>(VLOOKUP('11.07'!W62,'11.07'!$AM$4:$AO$55,2,FALSE))*IF('11.07'!AZ$4="是",'11.07'!$AY$4,'11.07'!$AY$3)</f>
        <v>0</v>
      </c>
      <c r="P62" s="5">
        <f>(VLOOKUP('11.07'!X62,'11.07'!$AM$4:$AO$55,2,FALSE))*IF('11.07'!BA$4="是",'11.07'!$AY$4,'11.07'!$AY$3)</f>
        <v>0</v>
      </c>
      <c r="Q62" s="4">
        <f>(VLOOKUP('11.07'!Y62,'11.07'!$AM$4:$AO$55,2,FALSE))*IF('11.07'!BB$4="是",'11.07'!$AY$4,'11.07'!$AY$3)</f>
        <v>180</v>
      </c>
      <c r="R62" s="4">
        <f>(VLOOKUP('11.07'!Z62,'11.07'!$AM$4:$AO$55,2,FALSE))*IF('11.07'!BC$4="是",'11.07'!$AY$4,'11.07'!$AY$3)</f>
        <v>180</v>
      </c>
      <c r="S62" s="4">
        <f>(VLOOKUP('11.07'!AA62,'11.07'!$AM$4:$AO$55,2,FALSE))*IF('11.07'!BD$4="是",'11.07'!$AY$4,'11.07'!$AY$3)</f>
        <v>180</v>
      </c>
      <c r="T62" s="4">
        <f>(VLOOKUP('11.07'!AB62,'11.07'!$AM$4:$AO$55,2,FALSE))*IF('11.07'!BE$4="是",'11.07'!$AY$4,'11.07'!$AY$3)</f>
        <v>180</v>
      </c>
      <c r="U62" s="4">
        <f>(VLOOKUP('11.07'!AC62,'11.07'!$AM$4:$AO$55,2,FALSE))*IF('11.07'!BF$4="是",'11.07'!$AY$4,'11.07'!$AY$3)</f>
        <v>180</v>
      </c>
      <c r="V62" s="4">
        <f>(VLOOKUP('11.07'!AD62,'11.07'!$AM$4:$AO$55,2,FALSE))*IF('11.07'!BG$4="是",'11.07'!$AY$4,'11.07'!$AY$3)</f>
        <v>180</v>
      </c>
      <c r="W62" s="5">
        <f>(VLOOKUP('11.07'!AE62,'11.07'!$AM$4:$AO$55,2,FALSE))*IF('11.07'!BH$4="是",'11.07'!$AY$4,'11.07'!$AY$3)</f>
        <v>0</v>
      </c>
      <c r="X62" s="5">
        <f>(VLOOKUP('11.07'!AF62,'11.07'!$AM$4:$AO$55,2,FALSE))*IF('11.07'!BI$4="是",'11.07'!$AY$4,'11.07'!$AY$3)</f>
        <v>0</v>
      </c>
    </row>
    <row r="63" spans="1:24">
      <c r="A63" s="4">
        <f>(VLOOKUP('11.07'!I63,'11.07'!$AM$4:$AO$55,2,FALSE))*IF('11.07'!AK$4="是",'11.07'!$AY$4,'11.07'!$AY$3)</f>
        <v>190</v>
      </c>
      <c r="B63" s="4">
        <f>(VLOOKUP('11.07'!J63,'11.07'!$AM$4:$AO$55,2,FALSE))*IF('11.07'!AL$4="是",'11.07'!$AY$4,'11.07'!$AY$3)</f>
        <v>190</v>
      </c>
      <c r="C63" s="4">
        <f>(VLOOKUP('11.07'!K63,'11.07'!$AM$4:$AO$55,2,FALSE))*IF('11.07'!AM$4="是",'11.07'!$AY$4,'11.07'!$AY$3)</f>
        <v>190</v>
      </c>
      <c r="D63" s="4">
        <f>(VLOOKUP('11.07'!L63,'11.07'!$AM$4:$AO$55,2,FALSE))*IF('11.07'!AN$4="是",'11.07'!$AY$4,'11.07'!$AY$3)</f>
        <v>190</v>
      </c>
      <c r="E63" s="4">
        <f>(VLOOKUP('11.07'!M63,'11.07'!$AM$4:$AO$55,2,FALSE))*IF('11.07'!AO$4="是",'11.07'!$AY$4,'11.07'!$AY$3)</f>
        <v>190</v>
      </c>
      <c r="F63" s="4">
        <f>(VLOOKUP('11.07'!N63,'11.07'!$AM$4:$AO$55,2,FALSE))*IF('11.07'!AQ$4="是",'11.07'!$AY$4,'11.07'!$AY$3)</f>
        <v>190</v>
      </c>
      <c r="G63" s="5">
        <f>(VLOOKUP('11.07'!O63,'11.07'!$AM$4:$AO$55,2,FALSE))*IF('11.07'!AR$4="是",'11.07'!$AY$4,'11.07'!$AY$3)</f>
        <v>0</v>
      </c>
      <c r="H63" s="5">
        <f>(VLOOKUP('11.07'!P63,'11.07'!$AM$4:$AO$55,2,FALSE))*IF('11.07'!AS$4="是",'11.07'!$AY$4,'11.07'!$AY$3)</f>
        <v>0</v>
      </c>
      <c r="I63" s="4">
        <f>(VLOOKUP('11.07'!Q63,'11.07'!$AM$4:$AO$55,2,FALSE))*IF('11.07'!AT$4="是",'11.07'!$AY$4,'11.07'!$AY$3)</f>
        <v>0</v>
      </c>
      <c r="J63" s="4">
        <f>(VLOOKUP('11.07'!R63,'11.07'!$AM$4:$AO$55,2,FALSE))*IF('11.07'!AU$4="是",'11.07'!$AY$4,'11.07'!$AY$3)</f>
        <v>0</v>
      </c>
      <c r="K63" s="4">
        <f>(VLOOKUP('11.07'!S63,'11.07'!$AM$4:$AO$55,2,FALSE))*IF('11.07'!AV$4="是",'11.07'!$AY$4,'11.07'!$AY$3)</f>
        <v>0</v>
      </c>
      <c r="L63" s="4">
        <f>(VLOOKUP('11.07'!T63,'11.07'!$AM$4:$AO$55,2,FALSE))*IF('11.07'!AW$4="是",'11.07'!$AY$4,'11.07'!$AY$3)</f>
        <v>0</v>
      </c>
      <c r="M63" s="4">
        <f>(VLOOKUP('11.07'!U63,'11.07'!$AM$4:$AO$55,2,FALSE))*IF('11.07'!AX$4="是",'11.07'!$AY$4,'11.07'!$AY$3)</f>
        <v>0</v>
      </c>
      <c r="N63" s="4">
        <f>(VLOOKUP('11.07'!V63,'11.07'!$AM$4:$AO$55,2,FALSE))*IF('11.07'!AY$4="是",'11.07'!$AY$4,'11.07'!$AY$3)</f>
        <v>0</v>
      </c>
      <c r="O63" s="5">
        <f>(VLOOKUP('11.07'!W63,'11.07'!$AM$4:$AO$55,2,FALSE))*IF('11.07'!AZ$4="是",'11.07'!$AY$4,'11.07'!$AY$3)</f>
        <v>0</v>
      </c>
      <c r="P63" s="5">
        <f>(VLOOKUP('11.07'!X63,'11.07'!$AM$4:$AO$55,2,FALSE))*IF('11.07'!BA$4="是",'11.07'!$AY$4,'11.07'!$AY$3)</f>
        <v>0</v>
      </c>
      <c r="Q63" s="4">
        <f>(VLOOKUP('11.07'!Y63,'11.07'!$AM$4:$AO$55,2,FALSE))*IF('11.07'!BB$4="是",'11.07'!$AY$4,'11.07'!$AY$3)</f>
        <v>180</v>
      </c>
      <c r="R63" s="4">
        <f>(VLOOKUP('11.07'!Z63,'11.07'!$AM$4:$AO$55,2,FALSE))*IF('11.07'!BC$4="是",'11.07'!$AY$4,'11.07'!$AY$3)</f>
        <v>180</v>
      </c>
      <c r="S63" s="4">
        <f>(VLOOKUP('11.07'!AA63,'11.07'!$AM$4:$AO$55,2,FALSE))*IF('11.07'!BD$4="是",'11.07'!$AY$4,'11.07'!$AY$3)</f>
        <v>180</v>
      </c>
      <c r="T63" s="4">
        <f>(VLOOKUP('11.07'!AB63,'11.07'!$AM$4:$AO$55,2,FALSE))*IF('11.07'!BE$4="是",'11.07'!$AY$4,'11.07'!$AY$3)</f>
        <v>180</v>
      </c>
      <c r="U63" s="4">
        <f>(VLOOKUP('11.07'!AC63,'11.07'!$AM$4:$AO$55,2,FALSE))*IF('11.07'!BF$4="是",'11.07'!$AY$4,'11.07'!$AY$3)</f>
        <v>180</v>
      </c>
      <c r="V63" s="4">
        <f>(VLOOKUP('11.07'!AD63,'11.07'!$AM$4:$AO$55,2,FALSE))*IF('11.07'!BG$4="是",'11.07'!$AY$4,'11.07'!$AY$3)</f>
        <v>180</v>
      </c>
      <c r="W63" s="5">
        <f>(VLOOKUP('11.07'!AE63,'11.07'!$AM$4:$AO$55,2,FALSE))*IF('11.07'!BH$4="是",'11.07'!$AY$4,'11.07'!$AY$3)</f>
        <v>0</v>
      </c>
      <c r="X63" s="5">
        <f>(VLOOKUP('11.07'!AF63,'11.07'!$AM$4:$AO$55,2,FALSE))*IF('11.07'!BI$4="是",'11.07'!$AY$4,'11.07'!$AY$3)</f>
        <v>0</v>
      </c>
    </row>
    <row r="64" spans="1:24">
      <c r="A64" s="4">
        <f>(VLOOKUP('11.07'!I64,'11.07'!$AM$4:$AO$55,2,FALSE))*IF('11.07'!AK$4="是",'11.07'!$AY$4,'11.07'!$AY$3)</f>
        <v>190</v>
      </c>
      <c r="B64" s="4">
        <f>(VLOOKUP('11.07'!J64,'11.07'!$AM$4:$AO$55,2,FALSE))*IF('11.07'!AL$4="是",'11.07'!$AY$4,'11.07'!$AY$3)</f>
        <v>190</v>
      </c>
      <c r="C64" s="4">
        <f>(VLOOKUP('11.07'!K64,'11.07'!$AM$4:$AO$55,2,FALSE))*IF('11.07'!AM$4="是",'11.07'!$AY$4,'11.07'!$AY$3)</f>
        <v>190</v>
      </c>
      <c r="D64" s="4">
        <f>(VLOOKUP('11.07'!L64,'11.07'!$AM$4:$AO$55,2,FALSE))*IF('11.07'!AN$4="是",'11.07'!$AY$4,'11.07'!$AY$3)</f>
        <v>190</v>
      </c>
      <c r="E64" s="4">
        <f>(VLOOKUP('11.07'!M64,'11.07'!$AM$4:$AO$55,2,FALSE))*IF('11.07'!AO$4="是",'11.07'!$AY$4,'11.07'!$AY$3)</f>
        <v>50</v>
      </c>
      <c r="F64" s="4">
        <f>(VLOOKUP('11.07'!N64,'11.07'!$AM$4:$AO$55,2,FALSE))*IF('11.07'!AQ$4="是",'11.07'!$AY$4,'11.07'!$AY$3)</f>
        <v>190</v>
      </c>
      <c r="G64" s="5">
        <f>(VLOOKUP('11.07'!O64,'11.07'!$AM$4:$AO$55,2,FALSE))*IF('11.07'!AR$4="是",'11.07'!$AY$4,'11.07'!$AY$3)</f>
        <v>0</v>
      </c>
      <c r="H64" s="5">
        <f>(VLOOKUP('11.07'!P64,'11.07'!$AM$4:$AO$55,2,FALSE))*IF('11.07'!AS$4="是",'11.07'!$AY$4,'11.07'!$AY$3)</f>
        <v>0</v>
      </c>
      <c r="I64" s="4">
        <f>(VLOOKUP('11.07'!Q64,'11.07'!$AM$4:$AO$55,2,FALSE))*IF('11.07'!AT$4="是",'11.07'!$AY$4,'11.07'!$AY$3)</f>
        <v>0</v>
      </c>
      <c r="J64" s="4">
        <f>(VLOOKUP('11.07'!R64,'11.07'!$AM$4:$AO$55,2,FALSE))*IF('11.07'!AU$4="是",'11.07'!$AY$4,'11.07'!$AY$3)</f>
        <v>0</v>
      </c>
      <c r="K64" s="4">
        <f>(VLOOKUP('11.07'!S64,'11.07'!$AM$4:$AO$55,2,FALSE))*IF('11.07'!AV$4="是",'11.07'!$AY$4,'11.07'!$AY$3)</f>
        <v>0</v>
      </c>
      <c r="L64" s="4">
        <f>(VLOOKUP('11.07'!T64,'11.07'!$AM$4:$AO$55,2,FALSE))*IF('11.07'!AW$4="是",'11.07'!$AY$4,'11.07'!$AY$3)</f>
        <v>0</v>
      </c>
      <c r="M64" s="4">
        <f>(VLOOKUP('11.07'!U64,'11.07'!$AM$4:$AO$55,2,FALSE))*IF('11.07'!AX$4="是",'11.07'!$AY$4,'11.07'!$AY$3)</f>
        <v>0</v>
      </c>
      <c r="N64" s="4">
        <f>(VLOOKUP('11.07'!V64,'11.07'!$AM$4:$AO$55,2,FALSE))*IF('11.07'!AY$4="是",'11.07'!$AY$4,'11.07'!$AY$3)</f>
        <v>0</v>
      </c>
      <c r="O64" s="5">
        <f>(VLOOKUP('11.07'!W64,'11.07'!$AM$4:$AO$55,2,FALSE))*IF('11.07'!AZ$4="是",'11.07'!$AY$4,'11.07'!$AY$3)</f>
        <v>0</v>
      </c>
      <c r="P64" s="5">
        <f>(VLOOKUP('11.07'!X64,'11.07'!$AM$4:$AO$55,2,FALSE))*IF('11.07'!BA$4="是",'11.07'!$AY$4,'11.07'!$AY$3)</f>
        <v>0</v>
      </c>
      <c r="Q64" s="4">
        <f>(VLOOKUP('11.07'!Y64,'11.07'!$AM$4:$AO$55,2,FALSE))*IF('11.07'!BB$4="是",'11.07'!$AY$4,'11.07'!$AY$3)</f>
        <v>180</v>
      </c>
      <c r="R64" s="4">
        <f>(VLOOKUP('11.07'!Z64,'11.07'!$AM$4:$AO$55,2,FALSE))*IF('11.07'!BC$4="是",'11.07'!$AY$4,'11.07'!$AY$3)</f>
        <v>180</v>
      </c>
      <c r="S64" s="4">
        <f>(VLOOKUP('11.07'!AA64,'11.07'!$AM$4:$AO$55,2,FALSE))*IF('11.07'!BD$4="是",'11.07'!$AY$4,'11.07'!$AY$3)</f>
        <v>180</v>
      </c>
      <c r="T64" s="4">
        <f>(VLOOKUP('11.07'!AB64,'11.07'!$AM$4:$AO$55,2,FALSE))*IF('11.07'!BE$4="是",'11.07'!$AY$4,'11.07'!$AY$3)</f>
        <v>180</v>
      </c>
      <c r="U64" s="4">
        <f>(VLOOKUP('11.07'!AC64,'11.07'!$AM$4:$AO$55,2,FALSE))*IF('11.07'!BF$4="是",'11.07'!$AY$4,'11.07'!$AY$3)</f>
        <v>180</v>
      </c>
      <c r="V64" s="4">
        <f>(VLOOKUP('11.07'!AD64,'11.07'!$AM$4:$AO$55,2,FALSE))*IF('11.07'!BG$4="是",'11.07'!$AY$4,'11.07'!$AY$3)</f>
        <v>180</v>
      </c>
      <c r="W64" s="5">
        <f>(VLOOKUP('11.07'!AE64,'11.07'!$AM$4:$AO$55,2,FALSE))*IF('11.07'!BH$4="是",'11.07'!$AY$4,'11.07'!$AY$3)</f>
        <v>0</v>
      </c>
      <c r="X64" s="5">
        <f>(VLOOKUP('11.07'!AF64,'11.07'!$AM$4:$AO$55,2,FALSE))*IF('11.07'!BI$4="是",'11.07'!$AY$4,'11.07'!$AY$3)</f>
        <v>0</v>
      </c>
    </row>
    <row r="65" spans="1:24">
      <c r="A65" s="4">
        <f>(VLOOKUP('11.07'!I65,'11.07'!$AM$4:$AO$55,2,FALSE))*IF('11.07'!AK$4="是",'11.07'!$AY$4,'11.07'!$AY$3)</f>
        <v>200</v>
      </c>
      <c r="B65" s="4">
        <f>(VLOOKUP('11.07'!J65,'11.07'!$AM$4:$AO$55,2,FALSE))*IF('11.07'!AL$4="是",'11.07'!$AY$4,'11.07'!$AY$3)</f>
        <v>200</v>
      </c>
      <c r="C65" s="4">
        <f>(VLOOKUP('11.07'!K65,'11.07'!$AM$4:$AO$55,2,FALSE))*IF('11.07'!AM$4="是",'11.07'!$AY$4,'11.07'!$AY$3)</f>
        <v>200</v>
      </c>
      <c r="D65" s="4">
        <f>(VLOOKUP('11.07'!L65,'11.07'!$AM$4:$AO$55,2,FALSE))*IF('11.07'!AN$4="是",'11.07'!$AY$4,'11.07'!$AY$3)</f>
        <v>200</v>
      </c>
      <c r="E65" s="4">
        <f>(VLOOKUP('11.07'!M65,'11.07'!$AM$4:$AO$55,2,FALSE))*IF('11.07'!AO$4="是",'11.07'!$AY$4,'11.07'!$AY$3)</f>
        <v>200</v>
      </c>
      <c r="F65" s="4">
        <f>(VLOOKUP('11.07'!N65,'11.07'!$AM$4:$AO$55,2,FALSE))*IF('11.07'!AQ$4="是",'11.07'!$AY$4,'11.07'!$AY$3)</f>
        <v>200</v>
      </c>
      <c r="G65" s="5">
        <f>(VLOOKUP('11.07'!O65,'11.07'!$AM$4:$AO$55,2,FALSE))*IF('11.07'!AR$4="是",'11.07'!$AY$4,'11.07'!$AY$3)</f>
        <v>0</v>
      </c>
      <c r="H65" s="5">
        <f>(VLOOKUP('11.07'!P65,'11.07'!$AM$4:$AO$55,2,FALSE))*IF('11.07'!AS$4="是",'11.07'!$AY$4,'11.07'!$AY$3)</f>
        <v>0</v>
      </c>
      <c r="I65" s="4">
        <f>(VLOOKUP('11.07'!Q65,'11.07'!$AM$4:$AO$55,2,FALSE))*IF('11.07'!AT$4="是",'11.07'!$AY$4,'11.07'!$AY$3)</f>
        <v>0</v>
      </c>
      <c r="J65" s="4">
        <f>(VLOOKUP('11.07'!R65,'11.07'!$AM$4:$AO$55,2,FALSE))*IF('11.07'!AU$4="是",'11.07'!$AY$4,'11.07'!$AY$3)</f>
        <v>0</v>
      </c>
      <c r="K65" s="4">
        <f>(VLOOKUP('11.07'!S65,'11.07'!$AM$4:$AO$55,2,FALSE))*IF('11.07'!AV$4="是",'11.07'!$AY$4,'11.07'!$AY$3)</f>
        <v>0</v>
      </c>
      <c r="L65" s="4">
        <f>(VLOOKUP('11.07'!T65,'11.07'!$AM$4:$AO$55,2,FALSE))*IF('11.07'!AW$4="是",'11.07'!$AY$4,'11.07'!$AY$3)</f>
        <v>0</v>
      </c>
      <c r="M65" s="4">
        <f>(VLOOKUP('11.07'!U65,'11.07'!$AM$4:$AO$55,2,FALSE))*IF('11.07'!AX$4="是",'11.07'!$AY$4,'11.07'!$AY$3)</f>
        <v>0</v>
      </c>
      <c r="N65" s="4">
        <f>(VLOOKUP('11.07'!V65,'11.07'!$AM$4:$AO$55,2,FALSE))*IF('11.07'!AY$4="是",'11.07'!$AY$4,'11.07'!$AY$3)</f>
        <v>0</v>
      </c>
      <c r="O65" s="5">
        <f>(VLOOKUP('11.07'!W65,'11.07'!$AM$4:$AO$55,2,FALSE))*IF('11.07'!AZ$4="是",'11.07'!$AY$4,'11.07'!$AY$3)</f>
        <v>0</v>
      </c>
      <c r="P65" s="5">
        <f>(VLOOKUP('11.07'!X65,'11.07'!$AM$4:$AO$55,2,FALSE))*IF('11.07'!BA$4="是",'11.07'!$AY$4,'11.07'!$AY$3)</f>
        <v>0</v>
      </c>
      <c r="Q65" s="4">
        <f>(VLOOKUP('11.07'!Y65,'11.07'!$AM$4:$AO$55,2,FALSE))*IF('11.07'!BB$4="是",'11.07'!$AY$4,'11.07'!$AY$3)</f>
        <v>180</v>
      </c>
      <c r="R65" s="4">
        <f>(VLOOKUP('11.07'!Z65,'11.07'!$AM$4:$AO$55,2,FALSE))*IF('11.07'!BC$4="是",'11.07'!$AY$4,'11.07'!$AY$3)</f>
        <v>180</v>
      </c>
      <c r="S65" s="4">
        <f>(VLOOKUP('11.07'!AA65,'11.07'!$AM$4:$AO$55,2,FALSE))*IF('11.07'!BD$4="是",'11.07'!$AY$4,'11.07'!$AY$3)</f>
        <v>180</v>
      </c>
      <c r="T65" s="4">
        <f>(VLOOKUP('11.07'!AB65,'11.07'!$AM$4:$AO$55,2,FALSE))*IF('11.07'!BE$4="是",'11.07'!$AY$4,'11.07'!$AY$3)</f>
        <v>50</v>
      </c>
      <c r="U65" s="4">
        <f>(VLOOKUP('11.07'!AC65,'11.07'!$AM$4:$AO$55,2,FALSE))*IF('11.07'!BF$4="是",'11.07'!$AY$4,'11.07'!$AY$3)</f>
        <v>180</v>
      </c>
      <c r="V65" s="4">
        <f>(VLOOKUP('11.07'!AD65,'11.07'!$AM$4:$AO$55,2,FALSE))*IF('11.07'!BG$4="是",'11.07'!$AY$4,'11.07'!$AY$3)</f>
        <v>0</v>
      </c>
      <c r="W65" s="5">
        <f>(VLOOKUP('11.07'!AE65,'11.07'!$AM$4:$AO$55,2,FALSE))*IF('11.07'!BH$4="是",'11.07'!$AY$4,'11.07'!$AY$3)</f>
        <v>0</v>
      </c>
      <c r="X65" s="5">
        <f>(VLOOKUP('11.07'!AF65,'11.07'!$AM$4:$AO$55,2,FALSE))*IF('11.07'!BI$4="是",'11.07'!$AY$4,'11.07'!$AY$3)</f>
        <v>0</v>
      </c>
    </row>
    <row r="66" spans="1:24">
      <c r="A66" s="4">
        <f>(VLOOKUP('11.07'!I66,'11.07'!$AM$4:$AO$55,2,FALSE))*IF('11.07'!AK$4="是",'11.07'!$AY$4,'11.07'!$AY$3)</f>
        <v>200</v>
      </c>
      <c r="B66" s="4">
        <f>(VLOOKUP('11.07'!J66,'11.07'!$AM$4:$AO$55,2,FALSE))*IF('11.07'!AL$4="是",'11.07'!$AY$4,'11.07'!$AY$3)</f>
        <v>200</v>
      </c>
      <c r="C66" s="4">
        <f>(VLOOKUP('11.07'!K66,'11.07'!$AM$4:$AO$55,2,FALSE))*IF('11.07'!AM$4="是",'11.07'!$AY$4,'11.07'!$AY$3)</f>
        <v>200</v>
      </c>
      <c r="D66" s="4">
        <f>(VLOOKUP('11.07'!L66,'11.07'!$AM$4:$AO$55,2,FALSE))*IF('11.07'!AN$4="是",'11.07'!$AY$4,'11.07'!$AY$3)</f>
        <v>200</v>
      </c>
      <c r="E66" s="4">
        <f>(VLOOKUP('11.07'!M66,'11.07'!$AM$4:$AO$55,2,FALSE))*IF('11.07'!AO$4="是",'11.07'!$AY$4,'11.07'!$AY$3)</f>
        <v>0</v>
      </c>
      <c r="F66" s="4">
        <f>(VLOOKUP('11.07'!N66,'11.07'!$AM$4:$AO$55,2,FALSE))*IF('11.07'!AQ$4="是",'11.07'!$AY$4,'11.07'!$AY$3)</f>
        <v>0</v>
      </c>
      <c r="G66" s="5">
        <f>(VLOOKUP('11.07'!O66,'11.07'!$AM$4:$AO$55,2,FALSE))*IF('11.07'!AR$4="是",'11.07'!$AY$4,'11.07'!$AY$3)</f>
        <v>0</v>
      </c>
      <c r="H66" s="5">
        <f>(VLOOKUP('11.07'!P66,'11.07'!$AM$4:$AO$55,2,FALSE))*IF('11.07'!AS$4="是",'11.07'!$AY$4,'11.07'!$AY$3)</f>
        <v>0</v>
      </c>
      <c r="I66" s="4">
        <f>(VLOOKUP('11.07'!Q66,'11.07'!$AM$4:$AO$55,2,FALSE))*IF('11.07'!AT$4="是",'11.07'!$AY$4,'11.07'!$AY$3)</f>
        <v>0</v>
      </c>
      <c r="J66" s="4">
        <f>(VLOOKUP('11.07'!R66,'11.07'!$AM$4:$AO$55,2,FALSE))*IF('11.07'!AU$4="是",'11.07'!$AY$4,'11.07'!$AY$3)</f>
        <v>0</v>
      </c>
      <c r="K66" s="4">
        <f>(VLOOKUP('11.07'!S66,'11.07'!$AM$4:$AO$55,2,FALSE))*IF('11.07'!AV$4="是",'11.07'!$AY$4,'11.07'!$AY$3)</f>
        <v>0</v>
      </c>
      <c r="L66" s="4">
        <f>(VLOOKUP('11.07'!T66,'11.07'!$AM$4:$AO$55,2,FALSE))*IF('11.07'!AW$4="是",'11.07'!$AY$4,'11.07'!$AY$3)</f>
        <v>0</v>
      </c>
      <c r="M66" s="4">
        <f>(VLOOKUP('11.07'!U66,'11.07'!$AM$4:$AO$55,2,FALSE))*IF('11.07'!AX$4="是",'11.07'!$AY$4,'11.07'!$AY$3)</f>
        <v>0</v>
      </c>
      <c r="N66" s="4">
        <f>(VLOOKUP('11.07'!V66,'11.07'!$AM$4:$AO$55,2,FALSE))*IF('11.07'!AY$4="是",'11.07'!$AY$4,'11.07'!$AY$3)</f>
        <v>0</v>
      </c>
      <c r="O66" s="5">
        <f>(VLOOKUP('11.07'!W66,'11.07'!$AM$4:$AO$55,2,FALSE))*IF('11.07'!AZ$4="是",'11.07'!$AY$4,'11.07'!$AY$3)</f>
        <v>0</v>
      </c>
      <c r="P66" s="5">
        <f>(VLOOKUP('11.07'!X66,'11.07'!$AM$4:$AO$55,2,FALSE))*IF('11.07'!BA$4="是",'11.07'!$AY$4,'11.07'!$AY$3)</f>
        <v>0</v>
      </c>
      <c r="Q66" s="4">
        <f>(VLOOKUP('11.07'!Y66,'11.07'!$AM$4:$AO$55,2,FALSE))*IF('11.07'!BB$4="是",'11.07'!$AY$4,'11.07'!$AY$3)</f>
        <v>180</v>
      </c>
      <c r="R66" s="4">
        <f>(VLOOKUP('11.07'!Z66,'11.07'!$AM$4:$AO$55,2,FALSE))*IF('11.07'!BC$4="是",'11.07'!$AY$4,'11.07'!$AY$3)</f>
        <v>180</v>
      </c>
      <c r="S66" s="4">
        <f>(VLOOKUP('11.07'!AA66,'11.07'!$AM$4:$AO$55,2,FALSE))*IF('11.07'!BD$4="是",'11.07'!$AY$4,'11.07'!$AY$3)</f>
        <v>180</v>
      </c>
      <c r="T66" s="4">
        <f>(VLOOKUP('11.07'!AB66,'11.07'!$AM$4:$AO$55,2,FALSE))*IF('11.07'!BE$4="是",'11.07'!$AY$4,'11.07'!$AY$3)</f>
        <v>180</v>
      </c>
      <c r="U66" s="4">
        <f>(VLOOKUP('11.07'!AC66,'11.07'!$AM$4:$AO$55,2,FALSE))*IF('11.07'!BF$4="是",'11.07'!$AY$4,'11.07'!$AY$3)</f>
        <v>180</v>
      </c>
      <c r="V66" s="4">
        <f>(VLOOKUP('11.07'!AD66,'11.07'!$AM$4:$AO$55,2,FALSE))*IF('11.07'!BG$4="是",'11.07'!$AY$4,'11.07'!$AY$3)</f>
        <v>180</v>
      </c>
      <c r="W66" s="5">
        <f>(VLOOKUP('11.07'!AE66,'11.07'!$AM$4:$AO$55,2,FALSE))*IF('11.07'!BH$4="是",'11.07'!$AY$4,'11.07'!$AY$3)</f>
        <v>0</v>
      </c>
      <c r="X66" s="5">
        <f>(VLOOKUP('11.07'!AF66,'11.07'!$AM$4:$AO$55,2,FALSE))*IF('11.07'!BI$4="是",'11.07'!$AY$4,'11.07'!$AY$3)</f>
        <v>0</v>
      </c>
    </row>
    <row r="67" spans="1:24">
      <c r="A67" s="4">
        <f>(VLOOKUP('11.07'!I67,'11.07'!$AM$4:$AO$55,2,FALSE))*IF('11.07'!AK$4="是",'11.07'!$AY$4,'11.07'!$AY$3)</f>
        <v>200</v>
      </c>
      <c r="B67" s="4">
        <f>(VLOOKUP('11.07'!J67,'11.07'!$AM$4:$AO$55,2,FALSE))*IF('11.07'!AL$4="是",'11.07'!$AY$4,'11.07'!$AY$3)</f>
        <v>200</v>
      </c>
      <c r="C67" s="4">
        <f>(VLOOKUP('11.07'!K67,'11.07'!$AM$4:$AO$55,2,FALSE))*IF('11.07'!AM$4="是",'11.07'!$AY$4,'11.07'!$AY$3)</f>
        <v>200</v>
      </c>
      <c r="D67" s="4">
        <f>(VLOOKUP('11.07'!L67,'11.07'!$AM$4:$AO$55,2,FALSE))*IF('11.07'!AN$4="是",'11.07'!$AY$4,'11.07'!$AY$3)</f>
        <v>200</v>
      </c>
      <c r="E67" s="4">
        <f>(VLOOKUP('11.07'!M67,'11.07'!$AM$4:$AO$55,2,FALSE))*IF('11.07'!AO$4="是",'11.07'!$AY$4,'11.07'!$AY$3)</f>
        <v>200</v>
      </c>
      <c r="F67" s="4">
        <f>(VLOOKUP('11.07'!N67,'11.07'!$AM$4:$AO$55,2,FALSE))*IF('11.07'!AQ$4="是",'11.07'!$AY$4,'11.07'!$AY$3)</f>
        <v>0</v>
      </c>
      <c r="G67" s="5">
        <f>(VLOOKUP('11.07'!O67,'11.07'!$AM$4:$AO$55,2,FALSE))*IF('11.07'!AR$4="是",'11.07'!$AY$4,'11.07'!$AY$3)</f>
        <v>0</v>
      </c>
      <c r="H67" s="5">
        <f>(VLOOKUP('11.07'!P67,'11.07'!$AM$4:$AO$55,2,FALSE))*IF('11.07'!AS$4="是",'11.07'!$AY$4,'11.07'!$AY$3)</f>
        <v>0</v>
      </c>
      <c r="I67" s="4">
        <f>(VLOOKUP('11.07'!Q67,'11.07'!$AM$4:$AO$55,2,FALSE))*IF('11.07'!AT$4="是",'11.07'!$AY$4,'11.07'!$AY$3)</f>
        <v>0</v>
      </c>
      <c r="J67" s="4">
        <f>(VLOOKUP('11.07'!R67,'11.07'!$AM$4:$AO$55,2,FALSE))*IF('11.07'!AU$4="是",'11.07'!$AY$4,'11.07'!$AY$3)</f>
        <v>0</v>
      </c>
      <c r="K67" s="4">
        <f>(VLOOKUP('11.07'!S67,'11.07'!$AM$4:$AO$55,2,FALSE))*IF('11.07'!AV$4="是",'11.07'!$AY$4,'11.07'!$AY$3)</f>
        <v>0</v>
      </c>
      <c r="L67" s="4">
        <f>(VLOOKUP('11.07'!T67,'11.07'!$AM$4:$AO$55,2,FALSE))*IF('11.07'!AW$4="是",'11.07'!$AY$4,'11.07'!$AY$3)</f>
        <v>0</v>
      </c>
      <c r="M67" s="4">
        <f>(VLOOKUP('11.07'!U67,'11.07'!$AM$4:$AO$55,2,FALSE))*IF('11.07'!AX$4="是",'11.07'!$AY$4,'11.07'!$AY$3)</f>
        <v>0</v>
      </c>
      <c r="N67" s="4">
        <f>(VLOOKUP('11.07'!V67,'11.07'!$AM$4:$AO$55,2,FALSE))*IF('11.07'!AY$4="是",'11.07'!$AY$4,'11.07'!$AY$3)</f>
        <v>0</v>
      </c>
      <c r="O67" s="5">
        <f>(VLOOKUP('11.07'!W67,'11.07'!$AM$4:$AO$55,2,FALSE))*IF('11.07'!AZ$4="是",'11.07'!$AY$4,'11.07'!$AY$3)</f>
        <v>0</v>
      </c>
      <c r="P67" s="5">
        <f>(VLOOKUP('11.07'!X67,'11.07'!$AM$4:$AO$55,2,FALSE))*IF('11.07'!BA$4="是",'11.07'!$AY$4,'11.07'!$AY$3)</f>
        <v>0</v>
      </c>
      <c r="Q67" s="4">
        <f>(VLOOKUP('11.07'!Y67,'11.07'!$AM$4:$AO$55,2,FALSE))*IF('11.07'!BB$4="是",'11.07'!$AY$4,'11.07'!$AY$3)</f>
        <v>150</v>
      </c>
      <c r="R67" s="4">
        <f>(VLOOKUP('11.07'!Z67,'11.07'!$AM$4:$AO$55,2,FALSE))*IF('11.07'!BC$4="是",'11.07'!$AY$4,'11.07'!$AY$3)</f>
        <v>180</v>
      </c>
      <c r="S67" s="4">
        <f>(VLOOKUP('11.07'!AA67,'11.07'!$AM$4:$AO$55,2,FALSE))*IF('11.07'!BD$4="是",'11.07'!$AY$4,'11.07'!$AY$3)</f>
        <v>180</v>
      </c>
      <c r="T67" s="4">
        <f>(VLOOKUP('11.07'!AB67,'11.07'!$AM$4:$AO$55,2,FALSE))*IF('11.07'!BE$4="是",'11.07'!$AY$4,'11.07'!$AY$3)</f>
        <v>180</v>
      </c>
      <c r="U67" s="4">
        <f>(VLOOKUP('11.07'!AC67,'11.07'!$AM$4:$AO$55,2,FALSE))*IF('11.07'!BF$4="是",'11.07'!$AY$4,'11.07'!$AY$3)</f>
        <v>180</v>
      </c>
      <c r="V67" s="4">
        <f>(VLOOKUP('11.07'!AD67,'11.07'!$AM$4:$AO$55,2,FALSE))*IF('11.07'!BG$4="是",'11.07'!$AY$4,'11.07'!$AY$3)</f>
        <v>180</v>
      </c>
      <c r="W67" s="5">
        <f>(VLOOKUP('11.07'!AE67,'11.07'!$AM$4:$AO$55,2,FALSE))*IF('11.07'!BH$4="是",'11.07'!$AY$4,'11.07'!$AY$3)</f>
        <v>0</v>
      </c>
      <c r="X67" s="5">
        <f>(VLOOKUP('11.07'!AF67,'11.07'!$AM$4:$AO$55,2,FALSE))*IF('11.07'!BI$4="是",'11.07'!$AY$4,'11.07'!$AY$3)</f>
        <v>0</v>
      </c>
    </row>
    <row r="68" spans="1:24">
      <c r="A68" s="4">
        <f>(VLOOKUP('11.07'!I68,'11.07'!$AM$4:$AO$55,2,FALSE))*IF('11.07'!AK$4="是",'11.07'!$AY$4,'11.07'!$AY$3)</f>
        <v>200</v>
      </c>
      <c r="B68" s="4">
        <f>(VLOOKUP('11.07'!J68,'11.07'!$AM$4:$AO$55,2,FALSE))*IF('11.07'!AL$4="是",'11.07'!$AY$4,'11.07'!$AY$3)</f>
        <v>200</v>
      </c>
      <c r="C68" s="4">
        <f>(VLOOKUP('11.07'!K68,'11.07'!$AM$4:$AO$55,2,FALSE))*IF('11.07'!AM$4="是",'11.07'!$AY$4,'11.07'!$AY$3)</f>
        <v>-200</v>
      </c>
      <c r="D68" s="4">
        <f>(VLOOKUP('11.07'!L68,'11.07'!$AM$4:$AO$55,2,FALSE))*IF('11.07'!AN$4="是",'11.07'!$AY$4,'11.07'!$AY$3)</f>
        <v>200</v>
      </c>
      <c r="E68" s="4">
        <f>(VLOOKUP('11.07'!M68,'11.07'!$AM$4:$AO$55,2,FALSE))*IF('11.07'!AO$4="是",'11.07'!$AY$4,'11.07'!$AY$3)</f>
        <v>200</v>
      </c>
      <c r="F68" s="4">
        <f>(VLOOKUP('11.07'!N68,'11.07'!$AM$4:$AO$55,2,FALSE))*IF('11.07'!AQ$4="是",'11.07'!$AY$4,'11.07'!$AY$3)</f>
        <v>0</v>
      </c>
      <c r="G68" s="5">
        <f>(VLOOKUP('11.07'!O68,'11.07'!$AM$4:$AO$55,2,FALSE))*IF('11.07'!AR$4="是",'11.07'!$AY$4,'11.07'!$AY$3)</f>
        <v>0</v>
      </c>
      <c r="H68" s="5">
        <f>(VLOOKUP('11.07'!P68,'11.07'!$AM$4:$AO$55,2,FALSE))*IF('11.07'!AS$4="是",'11.07'!$AY$4,'11.07'!$AY$3)</f>
        <v>0</v>
      </c>
      <c r="I68" s="4">
        <f>(VLOOKUP('11.07'!Q68,'11.07'!$AM$4:$AO$55,2,FALSE))*IF('11.07'!AT$4="是",'11.07'!$AY$4,'11.07'!$AY$3)</f>
        <v>0</v>
      </c>
      <c r="J68" s="4">
        <f>(VLOOKUP('11.07'!R68,'11.07'!$AM$4:$AO$55,2,FALSE))*IF('11.07'!AU$4="是",'11.07'!$AY$4,'11.07'!$AY$3)</f>
        <v>0</v>
      </c>
      <c r="K68" s="4">
        <f>(VLOOKUP('11.07'!S68,'11.07'!$AM$4:$AO$55,2,FALSE))*IF('11.07'!AV$4="是",'11.07'!$AY$4,'11.07'!$AY$3)</f>
        <v>0</v>
      </c>
      <c r="L68" s="4">
        <f>(VLOOKUP('11.07'!T68,'11.07'!$AM$4:$AO$55,2,FALSE))*IF('11.07'!AW$4="是",'11.07'!$AY$4,'11.07'!$AY$3)</f>
        <v>0</v>
      </c>
      <c r="M68" s="4">
        <f>(VLOOKUP('11.07'!U68,'11.07'!$AM$4:$AO$55,2,FALSE))*IF('11.07'!AX$4="是",'11.07'!$AY$4,'11.07'!$AY$3)</f>
        <v>0</v>
      </c>
      <c r="N68" s="4">
        <f>(VLOOKUP('11.07'!V68,'11.07'!$AM$4:$AO$55,2,FALSE))*IF('11.07'!AY$4="是",'11.07'!$AY$4,'11.07'!$AY$3)</f>
        <v>0</v>
      </c>
      <c r="O68" s="5">
        <f>(VLOOKUP('11.07'!W68,'11.07'!$AM$4:$AO$55,2,FALSE))*IF('11.07'!AZ$4="是",'11.07'!$AY$4,'11.07'!$AY$3)</f>
        <v>0</v>
      </c>
      <c r="P68" s="5">
        <f>(VLOOKUP('11.07'!X68,'11.07'!$AM$4:$AO$55,2,FALSE))*IF('11.07'!BA$4="是",'11.07'!$AY$4,'11.07'!$AY$3)</f>
        <v>0</v>
      </c>
      <c r="Q68" s="4">
        <f>(VLOOKUP('11.07'!Y68,'11.07'!$AM$4:$AO$55,2,FALSE))*IF('11.07'!BB$4="是",'11.07'!$AY$4,'11.07'!$AY$3)</f>
        <v>180</v>
      </c>
      <c r="R68" s="4">
        <f>(VLOOKUP('11.07'!Z68,'11.07'!$AM$4:$AO$55,2,FALSE))*IF('11.07'!BC$4="是",'11.07'!$AY$4,'11.07'!$AY$3)</f>
        <v>180</v>
      </c>
      <c r="S68" s="4">
        <f>(VLOOKUP('11.07'!AA68,'11.07'!$AM$4:$AO$55,2,FALSE))*IF('11.07'!BD$4="是",'11.07'!$AY$4,'11.07'!$AY$3)</f>
        <v>180</v>
      </c>
      <c r="T68" s="4">
        <f>(VLOOKUP('11.07'!AB68,'11.07'!$AM$4:$AO$55,2,FALSE))*IF('11.07'!BE$4="是",'11.07'!$AY$4,'11.07'!$AY$3)</f>
        <v>180</v>
      </c>
      <c r="U68" s="4">
        <f>(VLOOKUP('11.07'!AC68,'11.07'!$AM$4:$AO$55,2,FALSE))*IF('11.07'!BF$4="是",'11.07'!$AY$4,'11.07'!$AY$3)</f>
        <v>180</v>
      </c>
      <c r="V68" s="4">
        <f>(VLOOKUP('11.07'!AD68,'11.07'!$AM$4:$AO$55,2,FALSE))*IF('11.07'!BG$4="是",'11.07'!$AY$4,'11.07'!$AY$3)</f>
        <v>180</v>
      </c>
      <c r="W68" s="5">
        <f>(VLOOKUP('11.07'!AE68,'11.07'!$AM$4:$AO$55,2,FALSE))*IF('11.07'!BH$4="是",'11.07'!$AY$4,'11.07'!$AY$3)</f>
        <v>0</v>
      </c>
      <c r="X68" s="5">
        <f>(VLOOKUP('11.07'!AF68,'11.07'!$AM$4:$AO$55,2,FALSE))*IF('11.07'!BI$4="是",'11.07'!$AY$4,'11.07'!$AY$3)</f>
        <v>0</v>
      </c>
    </row>
    <row r="69" spans="1:24">
      <c r="A69" s="4">
        <f>(VLOOKUP('11.07'!I69,'11.07'!$AM$4:$AO$55,2,FALSE))*IF('11.07'!AK$4="是",'11.07'!$AY$4,'11.07'!$AY$3)</f>
        <v>200</v>
      </c>
      <c r="B69" s="4">
        <f>(VLOOKUP('11.07'!J69,'11.07'!$AM$4:$AO$55,2,FALSE))*IF('11.07'!AL$4="是",'11.07'!$AY$4,'11.07'!$AY$3)</f>
        <v>200</v>
      </c>
      <c r="C69" s="4">
        <f>(VLOOKUP('11.07'!K69,'11.07'!$AM$4:$AO$55,2,FALSE))*IF('11.07'!AM$4="是",'11.07'!$AY$4,'11.07'!$AY$3)</f>
        <v>200</v>
      </c>
      <c r="D69" s="4">
        <f>(VLOOKUP('11.07'!L69,'11.07'!$AM$4:$AO$55,2,FALSE))*IF('11.07'!AN$4="是",'11.07'!$AY$4,'11.07'!$AY$3)</f>
        <v>200</v>
      </c>
      <c r="E69" s="4">
        <f>(VLOOKUP('11.07'!M69,'11.07'!$AM$4:$AO$55,2,FALSE))*IF('11.07'!AO$4="是",'11.07'!$AY$4,'11.07'!$AY$3)</f>
        <v>200</v>
      </c>
      <c r="F69" s="4">
        <f>(VLOOKUP('11.07'!N69,'11.07'!$AM$4:$AO$55,2,FALSE))*IF('11.07'!AQ$4="是",'11.07'!$AY$4,'11.07'!$AY$3)</f>
        <v>200</v>
      </c>
      <c r="G69" s="5">
        <f>(VLOOKUP('11.07'!O69,'11.07'!$AM$4:$AO$55,2,FALSE))*IF('11.07'!AR$4="是",'11.07'!$AY$4,'11.07'!$AY$3)</f>
        <v>0</v>
      </c>
      <c r="H69" s="5">
        <f>(VLOOKUP('11.07'!P69,'11.07'!$AM$4:$AO$55,2,FALSE))*IF('11.07'!AS$4="是",'11.07'!$AY$4,'11.07'!$AY$3)</f>
        <v>0</v>
      </c>
      <c r="I69" s="4">
        <f>(VLOOKUP('11.07'!Q69,'11.07'!$AM$4:$AO$55,2,FALSE))*IF('11.07'!AT$4="是",'11.07'!$AY$4,'11.07'!$AY$3)</f>
        <v>0</v>
      </c>
      <c r="J69" s="4">
        <f>(VLOOKUP('11.07'!R69,'11.07'!$AM$4:$AO$55,2,FALSE))*IF('11.07'!AU$4="是",'11.07'!$AY$4,'11.07'!$AY$3)</f>
        <v>0</v>
      </c>
      <c r="K69" s="4">
        <f>(VLOOKUP('11.07'!S69,'11.07'!$AM$4:$AO$55,2,FALSE))*IF('11.07'!AV$4="是",'11.07'!$AY$4,'11.07'!$AY$3)</f>
        <v>0</v>
      </c>
      <c r="L69" s="4">
        <f>(VLOOKUP('11.07'!T69,'11.07'!$AM$4:$AO$55,2,FALSE))*IF('11.07'!AW$4="是",'11.07'!$AY$4,'11.07'!$AY$3)</f>
        <v>0</v>
      </c>
      <c r="M69" s="4">
        <f>(VLOOKUP('11.07'!U69,'11.07'!$AM$4:$AO$55,2,FALSE))*IF('11.07'!AX$4="是",'11.07'!$AY$4,'11.07'!$AY$3)</f>
        <v>0</v>
      </c>
      <c r="N69" s="4">
        <f>(VLOOKUP('11.07'!V69,'11.07'!$AM$4:$AO$55,2,FALSE))*IF('11.07'!AY$4="是",'11.07'!$AY$4,'11.07'!$AY$3)</f>
        <v>0</v>
      </c>
      <c r="O69" s="5">
        <f>(VLOOKUP('11.07'!W69,'11.07'!$AM$4:$AO$55,2,FALSE))*IF('11.07'!AZ$4="是",'11.07'!$AY$4,'11.07'!$AY$3)</f>
        <v>0</v>
      </c>
      <c r="P69" s="5">
        <f>(VLOOKUP('11.07'!X69,'11.07'!$AM$4:$AO$55,2,FALSE))*IF('11.07'!BA$4="是",'11.07'!$AY$4,'11.07'!$AY$3)</f>
        <v>0</v>
      </c>
      <c r="Q69" s="4">
        <f>(VLOOKUP('11.07'!Y69,'11.07'!$AM$4:$AO$55,2,FALSE))*IF('11.07'!BB$4="是",'11.07'!$AY$4,'11.07'!$AY$3)</f>
        <v>180</v>
      </c>
      <c r="R69" s="4">
        <f>(VLOOKUP('11.07'!Z69,'11.07'!$AM$4:$AO$55,2,FALSE))*IF('11.07'!BC$4="是",'11.07'!$AY$4,'11.07'!$AY$3)</f>
        <v>180</v>
      </c>
      <c r="S69" s="4">
        <f>(VLOOKUP('11.07'!AA69,'11.07'!$AM$4:$AO$55,2,FALSE))*IF('11.07'!BD$4="是",'11.07'!$AY$4,'11.07'!$AY$3)</f>
        <v>180</v>
      </c>
      <c r="T69" s="4">
        <f>(VLOOKUP('11.07'!AB69,'11.07'!$AM$4:$AO$55,2,FALSE))*IF('11.07'!BE$4="是",'11.07'!$AY$4,'11.07'!$AY$3)</f>
        <v>180</v>
      </c>
      <c r="U69" s="4">
        <f>(VLOOKUP('11.07'!AC69,'11.07'!$AM$4:$AO$55,2,FALSE))*IF('11.07'!BF$4="是",'11.07'!$AY$4,'11.07'!$AY$3)</f>
        <v>180</v>
      </c>
      <c r="V69" s="4">
        <f>(VLOOKUP('11.07'!AD69,'11.07'!$AM$4:$AO$55,2,FALSE))*IF('11.07'!BG$4="是",'11.07'!$AY$4,'11.07'!$AY$3)</f>
        <v>180</v>
      </c>
      <c r="W69" s="5">
        <f>(VLOOKUP('11.07'!AE69,'11.07'!$AM$4:$AO$55,2,FALSE))*IF('11.07'!BH$4="是",'11.07'!$AY$4,'11.07'!$AY$3)</f>
        <v>0</v>
      </c>
      <c r="X69" s="5">
        <f>(VLOOKUP('11.07'!AF69,'11.07'!$AM$4:$AO$55,2,FALSE))*IF('11.07'!BI$4="是",'11.07'!$AY$4,'11.07'!$AY$3)</f>
        <v>0</v>
      </c>
    </row>
    <row r="70" spans="1:24">
      <c r="A70" s="4">
        <f>(VLOOKUP('11.07'!I70,'11.07'!$AM$4:$AO$55,2,FALSE))*IF('11.07'!AK$4="是",'11.07'!$AY$4,'11.07'!$AY$3)</f>
        <v>200</v>
      </c>
      <c r="B70" s="4">
        <f>(VLOOKUP('11.07'!J70,'11.07'!$AM$4:$AO$55,2,FALSE))*IF('11.07'!AL$4="是",'11.07'!$AY$4,'11.07'!$AY$3)</f>
        <v>200</v>
      </c>
      <c r="C70" s="4">
        <f>(VLOOKUP('11.07'!K70,'11.07'!$AM$4:$AO$55,2,FALSE))*IF('11.07'!AM$4="是",'11.07'!$AY$4,'11.07'!$AY$3)</f>
        <v>200</v>
      </c>
      <c r="D70" s="4">
        <f>(VLOOKUP('11.07'!L70,'11.07'!$AM$4:$AO$55,2,FALSE))*IF('11.07'!AN$4="是",'11.07'!$AY$4,'11.07'!$AY$3)</f>
        <v>200</v>
      </c>
      <c r="E70" s="4">
        <f>(VLOOKUP('11.07'!M70,'11.07'!$AM$4:$AO$55,2,FALSE))*IF('11.07'!AO$4="是",'11.07'!$AY$4,'11.07'!$AY$3)</f>
        <v>200</v>
      </c>
      <c r="F70" s="4">
        <f>(VLOOKUP('11.07'!N70,'11.07'!$AM$4:$AO$55,2,FALSE))*IF('11.07'!AQ$4="是",'11.07'!$AY$4,'11.07'!$AY$3)</f>
        <v>200</v>
      </c>
      <c r="G70" s="5">
        <f>(VLOOKUP('11.07'!O70,'11.07'!$AM$4:$AO$55,2,FALSE))*IF('11.07'!AR$4="是",'11.07'!$AY$4,'11.07'!$AY$3)</f>
        <v>0</v>
      </c>
      <c r="H70" s="5">
        <f>(VLOOKUP('11.07'!P70,'11.07'!$AM$4:$AO$55,2,FALSE))*IF('11.07'!AS$4="是",'11.07'!$AY$4,'11.07'!$AY$3)</f>
        <v>0</v>
      </c>
      <c r="I70" s="4">
        <f>(VLOOKUP('11.07'!Q70,'11.07'!$AM$4:$AO$55,2,FALSE))*IF('11.07'!AT$4="是",'11.07'!$AY$4,'11.07'!$AY$3)</f>
        <v>0</v>
      </c>
      <c r="J70" s="4">
        <f>(VLOOKUP('11.07'!R70,'11.07'!$AM$4:$AO$55,2,FALSE))*IF('11.07'!AU$4="是",'11.07'!$AY$4,'11.07'!$AY$3)</f>
        <v>0</v>
      </c>
      <c r="K70" s="4">
        <f>(VLOOKUP('11.07'!S70,'11.07'!$AM$4:$AO$55,2,FALSE))*IF('11.07'!AV$4="是",'11.07'!$AY$4,'11.07'!$AY$3)</f>
        <v>0</v>
      </c>
      <c r="L70" s="4">
        <f>(VLOOKUP('11.07'!T70,'11.07'!$AM$4:$AO$55,2,FALSE))*IF('11.07'!AW$4="是",'11.07'!$AY$4,'11.07'!$AY$3)</f>
        <v>0</v>
      </c>
      <c r="M70" s="4">
        <f>(VLOOKUP('11.07'!U70,'11.07'!$AM$4:$AO$55,2,FALSE))*IF('11.07'!AX$4="是",'11.07'!$AY$4,'11.07'!$AY$3)</f>
        <v>0</v>
      </c>
      <c r="N70" s="4">
        <f>(VLOOKUP('11.07'!V70,'11.07'!$AM$4:$AO$55,2,FALSE))*IF('11.07'!AY$4="是",'11.07'!$AY$4,'11.07'!$AY$3)</f>
        <v>0</v>
      </c>
      <c r="O70" s="5">
        <f>(VLOOKUP('11.07'!W70,'11.07'!$AM$4:$AO$55,2,FALSE))*IF('11.07'!AZ$4="是",'11.07'!$AY$4,'11.07'!$AY$3)</f>
        <v>0</v>
      </c>
      <c r="P70" s="5">
        <f>(VLOOKUP('11.07'!X70,'11.07'!$AM$4:$AO$55,2,FALSE))*IF('11.07'!BA$4="是",'11.07'!$AY$4,'11.07'!$AY$3)</f>
        <v>0</v>
      </c>
      <c r="Q70" s="4">
        <f>(VLOOKUP('11.07'!Y70,'11.07'!$AM$4:$AO$55,2,FALSE))*IF('11.07'!BB$4="是",'11.07'!$AY$4,'11.07'!$AY$3)</f>
        <v>180</v>
      </c>
      <c r="R70" s="4">
        <f>(VLOOKUP('11.07'!Z70,'11.07'!$AM$4:$AO$55,2,FALSE))*IF('11.07'!BC$4="是",'11.07'!$AY$4,'11.07'!$AY$3)</f>
        <v>180</v>
      </c>
      <c r="S70" s="4">
        <f>(VLOOKUP('11.07'!AA70,'11.07'!$AM$4:$AO$55,2,FALSE))*IF('11.07'!BD$4="是",'11.07'!$AY$4,'11.07'!$AY$3)</f>
        <v>180</v>
      </c>
      <c r="T70" s="4">
        <f>(VLOOKUP('11.07'!AB70,'11.07'!$AM$4:$AO$55,2,FALSE))*IF('11.07'!BE$4="是",'11.07'!$AY$4,'11.07'!$AY$3)</f>
        <v>180</v>
      </c>
      <c r="U70" s="4">
        <f>(VLOOKUP('11.07'!AC70,'11.07'!$AM$4:$AO$55,2,FALSE))*IF('11.07'!BF$4="是",'11.07'!$AY$4,'11.07'!$AY$3)</f>
        <v>180</v>
      </c>
      <c r="V70" s="4">
        <f>(VLOOKUP('11.07'!AD70,'11.07'!$AM$4:$AO$55,2,FALSE))*IF('11.07'!BG$4="是",'11.07'!$AY$4,'11.07'!$AY$3)</f>
        <v>0</v>
      </c>
      <c r="W70" s="5">
        <f>(VLOOKUP('11.07'!AE70,'11.07'!$AM$4:$AO$55,2,FALSE))*IF('11.07'!BH$4="是",'11.07'!$AY$4,'11.07'!$AY$3)</f>
        <v>0</v>
      </c>
      <c r="X70" s="5">
        <f>(VLOOKUP('11.07'!AF70,'11.07'!$AM$4:$AO$55,2,FALSE))*IF('11.07'!BI$4="是",'11.07'!$AY$4,'11.07'!$AY$3)</f>
        <v>0</v>
      </c>
    </row>
    <row r="71" spans="1:24">
      <c r="A71" s="4">
        <f>(VLOOKUP('11.07'!I71,'11.07'!$AM$4:$AO$55,2,FALSE))*IF('11.07'!AK$4="是",'11.07'!$AY$4,'11.07'!$AY$3)</f>
        <v>200</v>
      </c>
      <c r="B71" s="4">
        <f>(VLOOKUP('11.07'!J71,'11.07'!$AM$4:$AO$55,2,FALSE))*IF('11.07'!AL$4="是",'11.07'!$AY$4,'11.07'!$AY$3)</f>
        <v>200</v>
      </c>
      <c r="C71" s="4">
        <f>(VLOOKUP('11.07'!K71,'11.07'!$AM$4:$AO$55,2,FALSE))*IF('11.07'!AM$4="是",'11.07'!$AY$4,'11.07'!$AY$3)</f>
        <v>200</v>
      </c>
      <c r="D71" s="4">
        <f>(VLOOKUP('11.07'!L71,'11.07'!$AM$4:$AO$55,2,FALSE))*IF('11.07'!AN$4="是",'11.07'!$AY$4,'11.07'!$AY$3)</f>
        <v>200</v>
      </c>
      <c r="E71" s="4">
        <f>(VLOOKUP('11.07'!M71,'11.07'!$AM$4:$AO$55,2,FALSE))*IF('11.07'!AO$4="是",'11.07'!$AY$4,'11.07'!$AY$3)</f>
        <v>200</v>
      </c>
      <c r="F71" s="4">
        <f>(VLOOKUP('11.07'!N71,'11.07'!$AM$4:$AO$55,2,FALSE))*IF('11.07'!AQ$4="是",'11.07'!$AY$4,'11.07'!$AY$3)</f>
        <v>0</v>
      </c>
      <c r="G71" s="5">
        <f>(VLOOKUP('11.07'!O71,'11.07'!$AM$4:$AO$55,2,FALSE))*IF('11.07'!AR$4="是",'11.07'!$AY$4,'11.07'!$AY$3)</f>
        <v>0</v>
      </c>
      <c r="H71" s="5">
        <f>(VLOOKUP('11.07'!P71,'11.07'!$AM$4:$AO$55,2,FALSE))*IF('11.07'!AS$4="是",'11.07'!$AY$4,'11.07'!$AY$3)</f>
        <v>0</v>
      </c>
      <c r="I71" s="4">
        <f>(VLOOKUP('11.07'!Q71,'11.07'!$AM$4:$AO$55,2,FALSE))*IF('11.07'!AT$4="是",'11.07'!$AY$4,'11.07'!$AY$3)</f>
        <v>0</v>
      </c>
      <c r="J71" s="4">
        <f>(VLOOKUP('11.07'!R71,'11.07'!$AM$4:$AO$55,2,FALSE))*IF('11.07'!AU$4="是",'11.07'!$AY$4,'11.07'!$AY$3)</f>
        <v>0</v>
      </c>
      <c r="K71" s="4">
        <f>(VLOOKUP('11.07'!S71,'11.07'!$AM$4:$AO$55,2,FALSE))*IF('11.07'!AV$4="是",'11.07'!$AY$4,'11.07'!$AY$3)</f>
        <v>0</v>
      </c>
      <c r="L71" s="4">
        <f>(VLOOKUP('11.07'!T71,'11.07'!$AM$4:$AO$55,2,FALSE))*IF('11.07'!AW$4="是",'11.07'!$AY$4,'11.07'!$AY$3)</f>
        <v>0</v>
      </c>
      <c r="M71" s="4">
        <f>(VLOOKUP('11.07'!U71,'11.07'!$AM$4:$AO$55,2,FALSE))*IF('11.07'!AX$4="是",'11.07'!$AY$4,'11.07'!$AY$3)</f>
        <v>0</v>
      </c>
      <c r="N71" s="4">
        <f>(VLOOKUP('11.07'!V71,'11.07'!$AM$4:$AO$55,2,FALSE))*IF('11.07'!AY$4="是",'11.07'!$AY$4,'11.07'!$AY$3)</f>
        <v>0</v>
      </c>
      <c r="O71" s="5">
        <f>(VLOOKUP('11.07'!W71,'11.07'!$AM$4:$AO$55,2,FALSE))*IF('11.07'!AZ$4="是",'11.07'!$AY$4,'11.07'!$AY$3)</f>
        <v>0</v>
      </c>
      <c r="P71" s="5">
        <f>(VLOOKUP('11.07'!X71,'11.07'!$AM$4:$AO$55,2,FALSE))*IF('11.07'!BA$4="是",'11.07'!$AY$4,'11.07'!$AY$3)</f>
        <v>0</v>
      </c>
      <c r="Q71" s="4">
        <f>(VLOOKUP('11.07'!Y71,'11.07'!$AM$4:$AO$55,2,FALSE))*IF('11.07'!BB$4="是",'11.07'!$AY$4,'11.07'!$AY$3)</f>
        <v>180</v>
      </c>
      <c r="R71" s="4">
        <f>(VLOOKUP('11.07'!Z71,'11.07'!$AM$4:$AO$55,2,FALSE))*IF('11.07'!BC$4="是",'11.07'!$AY$4,'11.07'!$AY$3)</f>
        <v>180</v>
      </c>
      <c r="S71" s="4">
        <f>(VLOOKUP('11.07'!AA71,'11.07'!$AM$4:$AO$55,2,FALSE))*IF('11.07'!BD$4="是",'11.07'!$AY$4,'11.07'!$AY$3)</f>
        <v>180</v>
      </c>
      <c r="T71" s="4">
        <f>(VLOOKUP('11.07'!AB71,'11.07'!$AM$4:$AO$55,2,FALSE))*IF('11.07'!BE$4="是",'11.07'!$AY$4,'11.07'!$AY$3)</f>
        <v>180</v>
      </c>
      <c r="U71" s="4">
        <f>(VLOOKUP('11.07'!AC71,'11.07'!$AM$4:$AO$55,2,FALSE))*IF('11.07'!BF$4="是",'11.07'!$AY$4,'11.07'!$AY$3)</f>
        <v>180</v>
      </c>
      <c r="V71" s="4">
        <f>(VLOOKUP('11.07'!AD71,'11.07'!$AM$4:$AO$55,2,FALSE))*IF('11.07'!BG$4="是",'11.07'!$AY$4,'11.07'!$AY$3)</f>
        <v>0</v>
      </c>
      <c r="W71" s="5">
        <f>(VLOOKUP('11.07'!AE71,'11.07'!$AM$4:$AO$55,2,FALSE))*IF('11.07'!BH$4="是",'11.07'!$AY$4,'11.07'!$AY$3)</f>
        <v>0</v>
      </c>
      <c r="X71" s="5">
        <f>(VLOOKUP('11.07'!AF71,'11.07'!$AM$4:$AO$55,2,FALSE))*IF('11.07'!BI$4="是",'11.07'!$AY$4,'11.07'!$AY$3)</f>
        <v>0</v>
      </c>
    </row>
    <row r="72" spans="1:24">
      <c r="A72" s="4">
        <f>(VLOOKUP('11.07'!I72,'11.07'!$AM$4:$AO$55,2,FALSE))*IF('11.07'!AK$4="是",'11.07'!$AY$4,'11.07'!$AY$3)</f>
        <v>200</v>
      </c>
      <c r="B72" s="4">
        <f>(VLOOKUP('11.07'!J72,'11.07'!$AM$4:$AO$55,2,FALSE))*IF('11.07'!AL$4="是",'11.07'!$AY$4,'11.07'!$AY$3)</f>
        <v>200</v>
      </c>
      <c r="C72" s="4">
        <f>(VLOOKUP('11.07'!K72,'11.07'!$AM$4:$AO$55,2,FALSE))*IF('11.07'!AM$4="是",'11.07'!$AY$4,'11.07'!$AY$3)</f>
        <v>200</v>
      </c>
      <c r="D72" s="4">
        <f>(VLOOKUP('11.07'!L72,'11.07'!$AM$4:$AO$55,2,FALSE))*IF('11.07'!AN$4="是",'11.07'!$AY$4,'11.07'!$AY$3)</f>
        <v>200</v>
      </c>
      <c r="E72" s="4">
        <f>(VLOOKUP('11.07'!M72,'11.07'!$AM$4:$AO$55,2,FALSE))*IF('11.07'!AO$4="是",'11.07'!$AY$4,'11.07'!$AY$3)</f>
        <v>0</v>
      </c>
      <c r="F72" s="4">
        <f>(VLOOKUP('11.07'!N72,'11.07'!$AM$4:$AO$55,2,FALSE))*IF('11.07'!AQ$4="是",'11.07'!$AY$4,'11.07'!$AY$3)</f>
        <v>0</v>
      </c>
      <c r="G72" s="5">
        <f>(VLOOKUP('11.07'!O72,'11.07'!$AM$4:$AO$55,2,FALSE))*IF('11.07'!AR$4="是",'11.07'!$AY$4,'11.07'!$AY$3)</f>
        <v>0</v>
      </c>
      <c r="H72" s="5">
        <f>(VLOOKUP('11.07'!P72,'11.07'!$AM$4:$AO$55,2,FALSE))*IF('11.07'!AS$4="是",'11.07'!$AY$4,'11.07'!$AY$3)</f>
        <v>0</v>
      </c>
      <c r="I72" s="4">
        <f>(VLOOKUP('11.07'!Q72,'11.07'!$AM$4:$AO$55,2,FALSE))*IF('11.07'!AT$4="是",'11.07'!$AY$4,'11.07'!$AY$3)</f>
        <v>0</v>
      </c>
      <c r="J72" s="4">
        <f>(VLOOKUP('11.07'!R72,'11.07'!$AM$4:$AO$55,2,FALSE))*IF('11.07'!AU$4="是",'11.07'!$AY$4,'11.07'!$AY$3)</f>
        <v>0</v>
      </c>
      <c r="K72" s="4">
        <f>(VLOOKUP('11.07'!S72,'11.07'!$AM$4:$AO$55,2,FALSE))*IF('11.07'!AV$4="是",'11.07'!$AY$4,'11.07'!$AY$3)</f>
        <v>0</v>
      </c>
      <c r="L72" s="4">
        <f>(VLOOKUP('11.07'!T72,'11.07'!$AM$4:$AO$55,2,FALSE))*IF('11.07'!AW$4="是",'11.07'!$AY$4,'11.07'!$AY$3)</f>
        <v>0</v>
      </c>
      <c r="M72" s="4">
        <f>(VLOOKUP('11.07'!U72,'11.07'!$AM$4:$AO$55,2,FALSE))*IF('11.07'!AX$4="是",'11.07'!$AY$4,'11.07'!$AY$3)</f>
        <v>0</v>
      </c>
      <c r="N72" s="4">
        <f>(VLOOKUP('11.07'!V72,'11.07'!$AM$4:$AO$55,2,FALSE))*IF('11.07'!AY$4="是",'11.07'!$AY$4,'11.07'!$AY$3)</f>
        <v>0</v>
      </c>
      <c r="O72" s="5">
        <f>(VLOOKUP('11.07'!W72,'11.07'!$AM$4:$AO$55,2,FALSE))*IF('11.07'!AZ$4="是",'11.07'!$AY$4,'11.07'!$AY$3)</f>
        <v>0</v>
      </c>
      <c r="P72" s="5">
        <f>(VLOOKUP('11.07'!X72,'11.07'!$AM$4:$AO$55,2,FALSE))*IF('11.07'!BA$4="是",'11.07'!$AY$4,'11.07'!$AY$3)</f>
        <v>0</v>
      </c>
      <c r="Q72" s="4">
        <f>(VLOOKUP('11.07'!Y72,'11.07'!$AM$4:$AO$55,2,FALSE))*IF('11.07'!BB$4="是",'11.07'!$AY$4,'11.07'!$AY$3)</f>
        <v>180</v>
      </c>
      <c r="R72" s="4">
        <f>(VLOOKUP('11.07'!Z72,'11.07'!$AM$4:$AO$55,2,FALSE))*IF('11.07'!BC$4="是",'11.07'!$AY$4,'11.07'!$AY$3)</f>
        <v>180</v>
      </c>
      <c r="S72" s="4">
        <f>(VLOOKUP('11.07'!AA72,'11.07'!$AM$4:$AO$55,2,FALSE))*IF('11.07'!BD$4="是",'11.07'!$AY$4,'11.07'!$AY$3)</f>
        <v>180</v>
      </c>
      <c r="T72" s="4">
        <f>(VLOOKUP('11.07'!AB72,'11.07'!$AM$4:$AO$55,2,FALSE))*IF('11.07'!BE$4="是",'11.07'!$AY$4,'11.07'!$AY$3)</f>
        <v>180</v>
      </c>
      <c r="U72" s="4">
        <f>(VLOOKUP('11.07'!AC72,'11.07'!$AM$4:$AO$55,2,FALSE))*IF('11.07'!BF$4="是",'11.07'!$AY$4,'11.07'!$AY$3)</f>
        <v>180</v>
      </c>
      <c r="V72" s="4">
        <f>(VLOOKUP('11.07'!AD72,'11.07'!$AM$4:$AO$55,2,FALSE))*IF('11.07'!BG$4="是",'11.07'!$AY$4,'11.07'!$AY$3)</f>
        <v>180</v>
      </c>
      <c r="W72" s="5">
        <f>(VLOOKUP('11.07'!AE72,'11.07'!$AM$4:$AO$55,2,FALSE))*IF('11.07'!BH$4="是",'11.07'!$AY$4,'11.07'!$AY$3)</f>
        <v>0</v>
      </c>
      <c r="X72" s="5">
        <f>(VLOOKUP('11.07'!AF72,'11.07'!$AM$4:$AO$55,2,FALSE))*IF('11.07'!BI$4="是",'11.07'!$AY$4,'11.07'!$AY$3)</f>
        <v>0</v>
      </c>
    </row>
    <row r="73" spans="1:24">
      <c r="A73" s="4">
        <f>(VLOOKUP('11.07'!I73,'11.07'!$AM$4:$AO$55,2,FALSE))*IF('11.07'!AK$4="是",'11.07'!$AY$4,'11.07'!$AY$3)</f>
        <v>200</v>
      </c>
      <c r="B73" s="4">
        <f>(VLOOKUP('11.07'!J73,'11.07'!$AM$4:$AO$55,2,FALSE))*IF('11.07'!AL$4="是",'11.07'!$AY$4,'11.07'!$AY$3)</f>
        <v>200</v>
      </c>
      <c r="C73" s="4">
        <f>(VLOOKUP('11.07'!K73,'11.07'!$AM$4:$AO$55,2,FALSE))*IF('11.07'!AM$4="是",'11.07'!$AY$4,'11.07'!$AY$3)</f>
        <v>200</v>
      </c>
      <c r="D73" s="4">
        <f>(VLOOKUP('11.07'!L73,'11.07'!$AM$4:$AO$55,2,FALSE))*IF('11.07'!AN$4="是",'11.07'!$AY$4,'11.07'!$AY$3)</f>
        <v>200</v>
      </c>
      <c r="E73" s="4">
        <f>(VLOOKUP('11.07'!M73,'11.07'!$AM$4:$AO$55,2,FALSE))*IF('11.07'!AO$4="是",'11.07'!$AY$4,'11.07'!$AY$3)</f>
        <v>200</v>
      </c>
      <c r="F73" s="4">
        <f>(VLOOKUP('11.07'!N73,'11.07'!$AM$4:$AO$55,2,FALSE))*IF('11.07'!AQ$4="是",'11.07'!$AY$4,'11.07'!$AY$3)</f>
        <v>250</v>
      </c>
      <c r="G73" s="5">
        <f>(VLOOKUP('11.07'!O73,'11.07'!$AM$4:$AO$55,2,FALSE))*IF('11.07'!AR$4="是",'11.07'!$AY$4,'11.07'!$AY$3)</f>
        <v>0</v>
      </c>
      <c r="H73" s="5">
        <f>(VLOOKUP('11.07'!P73,'11.07'!$AM$4:$AO$55,2,FALSE))*IF('11.07'!AS$4="是",'11.07'!$AY$4,'11.07'!$AY$3)</f>
        <v>0</v>
      </c>
      <c r="I73" s="4">
        <f>(VLOOKUP('11.07'!Q73,'11.07'!$AM$4:$AO$55,2,FALSE))*IF('11.07'!AT$4="是",'11.07'!$AY$4,'11.07'!$AY$3)</f>
        <v>0</v>
      </c>
      <c r="J73" s="4">
        <f>(VLOOKUP('11.07'!R73,'11.07'!$AM$4:$AO$55,2,FALSE))*IF('11.07'!AU$4="是",'11.07'!$AY$4,'11.07'!$AY$3)</f>
        <v>0</v>
      </c>
      <c r="K73" s="4">
        <f>(VLOOKUP('11.07'!S73,'11.07'!$AM$4:$AO$55,2,FALSE))*IF('11.07'!AV$4="是",'11.07'!$AY$4,'11.07'!$AY$3)</f>
        <v>0</v>
      </c>
      <c r="L73" s="4">
        <f>(VLOOKUP('11.07'!T73,'11.07'!$AM$4:$AO$55,2,FALSE))*IF('11.07'!AW$4="是",'11.07'!$AY$4,'11.07'!$AY$3)</f>
        <v>0</v>
      </c>
      <c r="M73" s="4">
        <f>(VLOOKUP('11.07'!U73,'11.07'!$AM$4:$AO$55,2,FALSE))*IF('11.07'!AX$4="是",'11.07'!$AY$4,'11.07'!$AY$3)</f>
        <v>0</v>
      </c>
      <c r="N73" s="4">
        <f>(VLOOKUP('11.07'!V73,'11.07'!$AM$4:$AO$55,2,FALSE))*IF('11.07'!AY$4="是",'11.07'!$AY$4,'11.07'!$AY$3)</f>
        <v>0</v>
      </c>
      <c r="O73" s="5">
        <f>(VLOOKUP('11.07'!W73,'11.07'!$AM$4:$AO$55,2,FALSE))*IF('11.07'!AZ$4="是",'11.07'!$AY$4,'11.07'!$AY$3)</f>
        <v>0</v>
      </c>
      <c r="P73" s="5">
        <f>(VLOOKUP('11.07'!X73,'11.07'!$AM$4:$AO$55,2,FALSE))*IF('11.07'!BA$4="是",'11.07'!$AY$4,'11.07'!$AY$3)</f>
        <v>0</v>
      </c>
      <c r="Q73" s="4">
        <f>(VLOOKUP('11.07'!Y73,'11.07'!$AM$4:$AO$55,2,FALSE))*IF('11.07'!BB$4="是",'11.07'!$AY$4,'11.07'!$AY$3)</f>
        <v>180</v>
      </c>
      <c r="R73" s="4">
        <f>(VLOOKUP('11.07'!Z73,'11.07'!$AM$4:$AO$55,2,FALSE))*IF('11.07'!BC$4="是",'11.07'!$AY$4,'11.07'!$AY$3)</f>
        <v>180</v>
      </c>
      <c r="S73" s="4">
        <f>(VLOOKUP('11.07'!AA73,'11.07'!$AM$4:$AO$55,2,FALSE))*IF('11.07'!BD$4="是",'11.07'!$AY$4,'11.07'!$AY$3)</f>
        <v>180</v>
      </c>
      <c r="T73" s="4">
        <f>(VLOOKUP('11.07'!AB73,'11.07'!$AM$4:$AO$55,2,FALSE))*IF('11.07'!BE$4="是",'11.07'!$AY$4,'11.07'!$AY$3)</f>
        <v>180</v>
      </c>
      <c r="U73" s="4">
        <f>(VLOOKUP('11.07'!AC73,'11.07'!$AM$4:$AO$55,2,FALSE))*IF('11.07'!BF$4="是",'11.07'!$AY$4,'11.07'!$AY$3)</f>
        <v>180</v>
      </c>
      <c r="V73" s="4">
        <f>(VLOOKUP('11.07'!AD73,'11.07'!$AM$4:$AO$55,2,FALSE))*IF('11.07'!BG$4="是",'11.07'!$AY$4,'11.07'!$AY$3)</f>
        <v>0</v>
      </c>
      <c r="W73" s="5">
        <f>(VLOOKUP('11.07'!AE73,'11.07'!$AM$4:$AO$55,2,FALSE))*IF('11.07'!BH$4="是",'11.07'!$AY$4,'11.07'!$AY$3)</f>
        <v>0</v>
      </c>
      <c r="X73" s="5">
        <f>(VLOOKUP('11.07'!AF73,'11.07'!$AM$4:$AO$55,2,FALSE))*IF('11.07'!BI$4="是",'11.07'!$AY$4,'11.07'!$AY$3)</f>
        <v>0</v>
      </c>
    </row>
    <row r="74" spans="1:24">
      <c r="A74" s="4">
        <f>(VLOOKUP('11.07'!I74,'11.07'!$AM$4:$AO$55,2,FALSE))*IF('11.07'!AK$4="是",'11.07'!$AY$4,'11.07'!$AY$3)</f>
        <v>200</v>
      </c>
      <c r="B74" s="4">
        <f>(VLOOKUP('11.07'!J74,'11.07'!$AM$4:$AO$55,2,FALSE))*IF('11.07'!AL$4="是",'11.07'!$AY$4,'11.07'!$AY$3)</f>
        <v>200</v>
      </c>
      <c r="C74" s="4">
        <f>(VLOOKUP('11.07'!K74,'11.07'!$AM$4:$AO$55,2,FALSE))*IF('11.07'!AM$4="是",'11.07'!$AY$4,'11.07'!$AY$3)</f>
        <v>200</v>
      </c>
      <c r="D74" s="4">
        <f>(VLOOKUP('11.07'!L74,'11.07'!$AM$4:$AO$55,2,FALSE))*IF('11.07'!AN$4="是",'11.07'!$AY$4,'11.07'!$AY$3)</f>
        <v>200</v>
      </c>
      <c r="E74" s="4">
        <f>(VLOOKUP('11.07'!M74,'11.07'!$AM$4:$AO$55,2,FALSE))*IF('11.07'!AO$4="是",'11.07'!$AY$4,'11.07'!$AY$3)</f>
        <v>200</v>
      </c>
      <c r="F74" s="4">
        <f>(VLOOKUP('11.07'!N74,'11.07'!$AM$4:$AO$55,2,FALSE))*IF('11.07'!AQ$4="是",'11.07'!$AY$4,'11.07'!$AY$3)</f>
        <v>200</v>
      </c>
      <c r="G74" s="5">
        <f>(VLOOKUP('11.07'!O74,'11.07'!$AM$4:$AO$55,2,FALSE))*IF('11.07'!AR$4="是",'11.07'!$AY$4,'11.07'!$AY$3)</f>
        <v>0</v>
      </c>
      <c r="H74" s="5">
        <f>(VLOOKUP('11.07'!P74,'11.07'!$AM$4:$AO$55,2,FALSE))*IF('11.07'!AS$4="是",'11.07'!$AY$4,'11.07'!$AY$3)</f>
        <v>0</v>
      </c>
      <c r="I74" s="4">
        <f>(VLOOKUP('11.07'!Q74,'11.07'!$AM$4:$AO$55,2,FALSE))*IF('11.07'!AT$4="是",'11.07'!$AY$4,'11.07'!$AY$3)</f>
        <v>0</v>
      </c>
      <c r="J74" s="4">
        <f>(VLOOKUP('11.07'!R74,'11.07'!$AM$4:$AO$55,2,FALSE))*IF('11.07'!AU$4="是",'11.07'!$AY$4,'11.07'!$AY$3)</f>
        <v>0</v>
      </c>
      <c r="K74" s="4">
        <f>(VLOOKUP('11.07'!S74,'11.07'!$AM$4:$AO$55,2,FALSE))*IF('11.07'!AV$4="是",'11.07'!$AY$4,'11.07'!$AY$3)</f>
        <v>0</v>
      </c>
      <c r="L74" s="4">
        <f>(VLOOKUP('11.07'!T74,'11.07'!$AM$4:$AO$55,2,FALSE))*IF('11.07'!AW$4="是",'11.07'!$AY$4,'11.07'!$AY$3)</f>
        <v>0</v>
      </c>
      <c r="M74" s="4">
        <f>(VLOOKUP('11.07'!U74,'11.07'!$AM$4:$AO$55,2,FALSE))*IF('11.07'!AX$4="是",'11.07'!$AY$4,'11.07'!$AY$3)</f>
        <v>0</v>
      </c>
      <c r="N74" s="4">
        <f>(VLOOKUP('11.07'!V74,'11.07'!$AM$4:$AO$55,2,FALSE))*IF('11.07'!AY$4="是",'11.07'!$AY$4,'11.07'!$AY$3)</f>
        <v>0</v>
      </c>
      <c r="O74" s="5">
        <f>(VLOOKUP('11.07'!W74,'11.07'!$AM$4:$AO$55,2,FALSE))*IF('11.07'!AZ$4="是",'11.07'!$AY$4,'11.07'!$AY$3)</f>
        <v>0</v>
      </c>
      <c r="P74" s="5">
        <f>(VLOOKUP('11.07'!X74,'11.07'!$AM$4:$AO$55,2,FALSE))*IF('11.07'!BA$4="是",'11.07'!$AY$4,'11.07'!$AY$3)</f>
        <v>0</v>
      </c>
      <c r="Q74" s="4">
        <f>(VLOOKUP('11.07'!Y74,'11.07'!$AM$4:$AO$55,2,FALSE))*IF('11.07'!BB$4="是",'11.07'!$AY$4,'11.07'!$AY$3)</f>
        <v>180</v>
      </c>
      <c r="R74" s="4">
        <f>(VLOOKUP('11.07'!Z74,'11.07'!$AM$4:$AO$55,2,FALSE))*IF('11.07'!BC$4="是",'11.07'!$AY$4,'11.07'!$AY$3)</f>
        <v>180</v>
      </c>
      <c r="S74" s="4">
        <f>(VLOOKUP('11.07'!AA74,'11.07'!$AM$4:$AO$55,2,FALSE))*IF('11.07'!BD$4="是",'11.07'!$AY$4,'11.07'!$AY$3)</f>
        <v>180</v>
      </c>
      <c r="T74" s="4">
        <f>(VLOOKUP('11.07'!AB74,'11.07'!$AM$4:$AO$55,2,FALSE))*IF('11.07'!BE$4="是",'11.07'!$AY$4,'11.07'!$AY$3)</f>
        <v>180</v>
      </c>
      <c r="U74" s="4">
        <f>(VLOOKUP('11.07'!AC74,'11.07'!$AM$4:$AO$55,2,FALSE))*IF('11.07'!BF$4="是",'11.07'!$AY$4,'11.07'!$AY$3)</f>
        <v>180</v>
      </c>
      <c r="V74" s="4">
        <f>(VLOOKUP('11.07'!AD74,'11.07'!$AM$4:$AO$55,2,FALSE))*IF('11.07'!BG$4="是",'11.07'!$AY$4,'11.07'!$AY$3)</f>
        <v>0</v>
      </c>
      <c r="W74" s="5">
        <f>(VLOOKUP('11.07'!AE74,'11.07'!$AM$4:$AO$55,2,FALSE))*IF('11.07'!BH$4="是",'11.07'!$AY$4,'11.07'!$AY$3)</f>
        <v>0</v>
      </c>
      <c r="X74" s="5">
        <f>(VLOOKUP('11.07'!AF74,'11.07'!$AM$4:$AO$55,2,FALSE))*IF('11.07'!BI$4="是",'11.07'!$AY$4,'11.07'!$AY$3)</f>
        <v>0</v>
      </c>
    </row>
    <row r="75" spans="1:24">
      <c r="A75" s="4">
        <f>(VLOOKUP('11.07'!I75,'11.07'!$AM$4:$AO$55,2,FALSE))*IF('11.07'!AK$4="是",'11.07'!$AY$4,'11.07'!$AY$3)</f>
        <v>200</v>
      </c>
      <c r="B75" s="4">
        <f>(VLOOKUP('11.07'!J75,'11.07'!$AM$4:$AO$55,2,FALSE))*IF('11.07'!AL$4="是",'11.07'!$AY$4,'11.07'!$AY$3)</f>
        <v>200</v>
      </c>
      <c r="C75" s="4">
        <f>(VLOOKUP('11.07'!K75,'11.07'!$AM$4:$AO$55,2,FALSE))*IF('11.07'!AM$4="是",'11.07'!$AY$4,'11.07'!$AY$3)</f>
        <v>200</v>
      </c>
      <c r="D75" s="4">
        <f>(VLOOKUP('11.07'!L75,'11.07'!$AM$4:$AO$55,2,FALSE))*IF('11.07'!AN$4="是",'11.07'!$AY$4,'11.07'!$AY$3)</f>
        <v>200</v>
      </c>
      <c r="E75" s="4">
        <f>(VLOOKUP('11.07'!M75,'11.07'!$AM$4:$AO$55,2,FALSE))*IF('11.07'!AO$4="是",'11.07'!$AY$4,'11.07'!$AY$3)</f>
        <v>200</v>
      </c>
      <c r="F75" s="4">
        <f>(VLOOKUP('11.07'!N75,'11.07'!$AM$4:$AO$55,2,FALSE))*IF('11.07'!AQ$4="是",'11.07'!$AY$4,'11.07'!$AY$3)</f>
        <v>200</v>
      </c>
      <c r="G75" s="5">
        <f>(VLOOKUP('11.07'!O75,'11.07'!$AM$4:$AO$55,2,FALSE))*IF('11.07'!AR$4="是",'11.07'!$AY$4,'11.07'!$AY$3)</f>
        <v>0</v>
      </c>
      <c r="H75" s="5">
        <f>(VLOOKUP('11.07'!P75,'11.07'!$AM$4:$AO$55,2,FALSE))*IF('11.07'!AS$4="是",'11.07'!$AY$4,'11.07'!$AY$3)</f>
        <v>0</v>
      </c>
      <c r="I75" s="4">
        <f>(VLOOKUP('11.07'!Q75,'11.07'!$AM$4:$AO$55,2,FALSE))*IF('11.07'!AT$4="是",'11.07'!$AY$4,'11.07'!$AY$3)</f>
        <v>0</v>
      </c>
      <c r="J75" s="4">
        <f>(VLOOKUP('11.07'!R75,'11.07'!$AM$4:$AO$55,2,FALSE))*IF('11.07'!AU$4="是",'11.07'!$AY$4,'11.07'!$AY$3)</f>
        <v>0</v>
      </c>
      <c r="K75" s="4">
        <f>(VLOOKUP('11.07'!S75,'11.07'!$AM$4:$AO$55,2,FALSE))*IF('11.07'!AV$4="是",'11.07'!$AY$4,'11.07'!$AY$3)</f>
        <v>0</v>
      </c>
      <c r="L75" s="4">
        <f>(VLOOKUP('11.07'!T75,'11.07'!$AM$4:$AO$55,2,FALSE))*IF('11.07'!AW$4="是",'11.07'!$AY$4,'11.07'!$AY$3)</f>
        <v>0</v>
      </c>
      <c r="M75" s="4">
        <f>(VLOOKUP('11.07'!U75,'11.07'!$AM$4:$AO$55,2,FALSE))*IF('11.07'!AX$4="是",'11.07'!$AY$4,'11.07'!$AY$3)</f>
        <v>0</v>
      </c>
      <c r="N75" s="4">
        <f>(VLOOKUP('11.07'!V75,'11.07'!$AM$4:$AO$55,2,FALSE))*IF('11.07'!AY$4="是",'11.07'!$AY$4,'11.07'!$AY$3)</f>
        <v>0</v>
      </c>
      <c r="O75" s="5">
        <f>(VLOOKUP('11.07'!W75,'11.07'!$AM$4:$AO$55,2,FALSE))*IF('11.07'!AZ$4="是",'11.07'!$AY$4,'11.07'!$AY$3)</f>
        <v>0</v>
      </c>
      <c r="P75" s="5">
        <f>(VLOOKUP('11.07'!X75,'11.07'!$AM$4:$AO$55,2,FALSE))*IF('11.07'!BA$4="是",'11.07'!$AY$4,'11.07'!$AY$3)</f>
        <v>0</v>
      </c>
      <c r="Q75" s="4">
        <f>(VLOOKUP('11.07'!Y75,'11.07'!$AM$4:$AO$55,2,FALSE))*IF('11.07'!BB$4="是",'11.07'!$AY$4,'11.07'!$AY$3)</f>
        <v>180</v>
      </c>
      <c r="R75" s="4">
        <f>(VLOOKUP('11.07'!Z75,'11.07'!$AM$4:$AO$55,2,FALSE))*IF('11.07'!BC$4="是",'11.07'!$AY$4,'11.07'!$AY$3)</f>
        <v>180</v>
      </c>
      <c r="S75" s="4">
        <f>(VLOOKUP('11.07'!AA75,'11.07'!$AM$4:$AO$55,2,FALSE))*IF('11.07'!BD$4="是",'11.07'!$AY$4,'11.07'!$AY$3)</f>
        <v>180</v>
      </c>
      <c r="T75" s="4">
        <f>(VLOOKUP('11.07'!AB75,'11.07'!$AM$4:$AO$55,2,FALSE))*IF('11.07'!BE$4="是",'11.07'!$AY$4,'11.07'!$AY$3)</f>
        <v>180</v>
      </c>
      <c r="U75" s="4">
        <f>(VLOOKUP('11.07'!AC75,'11.07'!$AM$4:$AO$55,2,FALSE))*IF('11.07'!BF$4="是",'11.07'!$AY$4,'11.07'!$AY$3)</f>
        <v>0</v>
      </c>
      <c r="V75" s="4">
        <f>(VLOOKUP('11.07'!AD75,'11.07'!$AM$4:$AO$55,2,FALSE))*IF('11.07'!BG$4="是",'11.07'!$AY$4,'11.07'!$AY$3)</f>
        <v>0</v>
      </c>
      <c r="W75" s="5">
        <f>(VLOOKUP('11.07'!AE75,'11.07'!$AM$4:$AO$55,2,FALSE))*IF('11.07'!BH$4="是",'11.07'!$AY$4,'11.07'!$AY$3)</f>
        <v>0</v>
      </c>
      <c r="X75" s="5">
        <f>(VLOOKUP('11.07'!AF75,'11.07'!$AM$4:$AO$55,2,FALSE))*IF('11.07'!BI$4="是",'11.07'!$AY$4,'11.07'!$AY$3)</f>
        <v>0</v>
      </c>
    </row>
    <row r="76" spans="1:24">
      <c r="A76" s="4">
        <f>(VLOOKUP('11.07'!I76,'11.07'!$AM$4:$AO$55,2,FALSE))*IF('11.07'!AK$4="是",'11.07'!$AY$4,'11.07'!$AY$3)</f>
        <v>200</v>
      </c>
      <c r="B76" s="4">
        <f>(VLOOKUP('11.07'!J76,'11.07'!$AM$4:$AO$55,2,FALSE))*IF('11.07'!AL$4="是",'11.07'!$AY$4,'11.07'!$AY$3)</f>
        <v>200</v>
      </c>
      <c r="C76" s="4">
        <f>(VLOOKUP('11.07'!K76,'11.07'!$AM$4:$AO$55,2,FALSE))*IF('11.07'!AM$4="是",'11.07'!$AY$4,'11.07'!$AY$3)</f>
        <v>200</v>
      </c>
      <c r="D76" s="4">
        <f>(VLOOKUP('11.07'!L76,'11.07'!$AM$4:$AO$55,2,FALSE))*IF('11.07'!AN$4="是",'11.07'!$AY$4,'11.07'!$AY$3)</f>
        <v>200</v>
      </c>
      <c r="E76" s="4">
        <f>(VLOOKUP('11.07'!M76,'11.07'!$AM$4:$AO$55,2,FALSE))*IF('11.07'!AO$4="是",'11.07'!$AY$4,'11.07'!$AY$3)</f>
        <v>0</v>
      </c>
      <c r="F76" s="4">
        <f>(VLOOKUP('11.07'!N76,'11.07'!$AM$4:$AO$55,2,FALSE))*IF('11.07'!AQ$4="是",'11.07'!$AY$4,'11.07'!$AY$3)</f>
        <v>0</v>
      </c>
      <c r="G76" s="5">
        <f>(VLOOKUP('11.07'!O76,'11.07'!$AM$4:$AO$55,2,FALSE))*IF('11.07'!AR$4="是",'11.07'!$AY$4,'11.07'!$AY$3)</f>
        <v>0</v>
      </c>
      <c r="H76" s="5">
        <f>(VLOOKUP('11.07'!P76,'11.07'!$AM$4:$AO$55,2,FALSE))*IF('11.07'!AS$4="是",'11.07'!$AY$4,'11.07'!$AY$3)</f>
        <v>0</v>
      </c>
      <c r="I76" s="4">
        <f>(VLOOKUP('11.07'!Q76,'11.07'!$AM$4:$AO$55,2,FALSE))*IF('11.07'!AT$4="是",'11.07'!$AY$4,'11.07'!$AY$3)</f>
        <v>0</v>
      </c>
      <c r="J76" s="4">
        <f>(VLOOKUP('11.07'!R76,'11.07'!$AM$4:$AO$55,2,FALSE))*IF('11.07'!AU$4="是",'11.07'!$AY$4,'11.07'!$AY$3)</f>
        <v>0</v>
      </c>
      <c r="K76" s="4">
        <f>(VLOOKUP('11.07'!S76,'11.07'!$AM$4:$AO$55,2,FALSE))*IF('11.07'!AV$4="是",'11.07'!$AY$4,'11.07'!$AY$3)</f>
        <v>0</v>
      </c>
      <c r="L76" s="4">
        <f>(VLOOKUP('11.07'!T76,'11.07'!$AM$4:$AO$55,2,FALSE))*IF('11.07'!AW$4="是",'11.07'!$AY$4,'11.07'!$AY$3)</f>
        <v>0</v>
      </c>
      <c r="M76" s="4">
        <f>(VLOOKUP('11.07'!U76,'11.07'!$AM$4:$AO$55,2,FALSE))*IF('11.07'!AX$4="是",'11.07'!$AY$4,'11.07'!$AY$3)</f>
        <v>0</v>
      </c>
      <c r="N76" s="4">
        <f>(VLOOKUP('11.07'!V76,'11.07'!$AM$4:$AO$55,2,FALSE))*IF('11.07'!AY$4="是",'11.07'!$AY$4,'11.07'!$AY$3)</f>
        <v>0</v>
      </c>
      <c r="O76" s="5">
        <f>(VLOOKUP('11.07'!W76,'11.07'!$AM$4:$AO$55,2,FALSE))*IF('11.07'!AZ$4="是",'11.07'!$AY$4,'11.07'!$AY$3)</f>
        <v>0</v>
      </c>
      <c r="P76" s="5">
        <f>(VLOOKUP('11.07'!X76,'11.07'!$AM$4:$AO$55,2,FALSE))*IF('11.07'!BA$4="是",'11.07'!$AY$4,'11.07'!$AY$3)</f>
        <v>0</v>
      </c>
      <c r="Q76" s="4">
        <f>(VLOOKUP('11.07'!Y76,'11.07'!$AM$4:$AO$55,2,FALSE))*IF('11.07'!BB$4="是",'11.07'!$AY$4,'11.07'!$AY$3)</f>
        <v>180</v>
      </c>
      <c r="R76" s="4">
        <f>(VLOOKUP('11.07'!Z76,'11.07'!$AM$4:$AO$55,2,FALSE))*IF('11.07'!BC$4="是",'11.07'!$AY$4,'11.07'!$AY$3)</f>
        <v>180</v>
      </c>
      <c r="S76" s="4">
        <f>(VLOOKUP('11.07'!AA76,'11.07'!$AM$4:$AO$55,2,FALSE))*IF('11.07'!BD$4="是",'11.07'!$AY$4,'11.07'!$AY$3)</f>
        <v>180</v>
      </c>
      <c r="T76" s="4">
        <f>(VLOOKUP('11.07'!AB76,'11.07'!$AM$4:$AO$55,2,FALSE))*IF('11.07'!BE$4="是",'11.07'!$AY$4,'11.07'!$AY$3)</f>
        <v>180</v>
      </c>
      <c r="U76" s="4">
        <f>(VLOOKUP('11.07'!AC76,'11.07'!$AM$4:$AO$55,2,FALSE))*IF('11.07'!BF$4="是",'11.07'!$AY$4,'11.07'!$AY$3)</f>
        <v>180</v>
      </c>
      <c r="V76" s="4">
        <f>(VLOOKUP('11.07'!AD76,'11.07'!$AM$4:$AO$55,2,FALSE))*IF('11.07'!BG$4="是",'11.07'!$AY$4,'11.07'!$AY$3)</f>
        <v>180</v>
      </c>
      <c r="W76" s="5">
        <f>(VLOOKUP('11.07'!AE76,'11.07'!$AM$4:$AO$55,2,FALSE))*IF('11.07'!BH$4="是",'11.07'!$AY$4,'11.07'!$AY$3)</f>
        <v>0</v>
      </c>
      <c r="X76" s="5">
        <f>(VLOOKUP('11.07'!AF76,'11.07'!$AM$4:$AO$55,2,FALSE))*IF('11.07'!BI$4="是",'11.07'!$AY$4,'11.07'!$AY$3)</f>
        <v>0</v>
      </c>
    </row>
    <row r="77" spans="1:24">
      <c r="A77" s="4">
        <f>(VLOOKUP('11.07'!I77,'11.07'!$AM$4:$AO$55,2,FALSE))*IF('11.07'!AK$4="是",'11.07'!$AY$4,'11.07'!$AY$3)</f>
        <v>200</v>
      </c>
      <c r="B77" s="4">
        <f>(VLOOKUP('11.07'!J77,'11.07'!$AM$4:$AO$55,2,FALSE))*IF('11.07'!AL$4="是",'11.07'!$AY$4,'11.07'!$AY$3)</f>
        <v>200</v>
      </c>
      <c r="C77" s="4">
        <f>(VLOOKUP('11.07'!K77,'11.07'!$AM$4:$AO$55,2,FALSE))*IF('11.07'!AM$4="是",'11.07'!$AY$4,'11.07'!$AY$3)</f>
        <v>200</v>
      </c>
      <c r="D77" s="4">
        <f>(VLOOKUP('11.07'!L77,'11.07'!$AM$4:$AO$55,2,FALSE))*IF('11.07'!AN$4="是",'11.07'!$AY$4,'11.07'!$AY$3)</f>
        <v>200</v>
      </c>
      <c r="E77" s="4">
        <f>(VLOOKUP('11.07'!M77,'11.07'!$AM$4:$AO$55,2,FALSE))*IF('11.07'!AO$4="是",'11.07'!$AY$4,'11.07'!$AY$3)</f>
        <v>200</v>
      </c>
      <c r="F77" s="4">
        <f>(VLOOKUP('11.07'!N77,'11.07'!$AM$4:$AO$55,2,FALSE))*IF('11.07'!AQ$4="是",'11.07'!$AY$4,'11.07'!$AY$3)</f>
        <v>0</v>
      </c>
      <c r="G77" s="5">
        <f>(VLOOKUP('11.07'!O77,'11.07'!$AM$4:$AO$55,2,FALSE))*IF('11.07'!AR$4="是",'11.07'!$AY$4,'11.07'!$AY$3)</f>
        <v>0</v>
      </c>
      <c r="H77" s="5">
        <f>(VLOOKUP('11.07'!P77,'11.07'!$AM$4:$AO$55,2,FALSE))*IF('11.07'!AS$4="是",'11.07'!$AY$4,'11.07'!$AY$3)</f>
        <v>0</v>
      </c>
      <c r="I77" s="4">
        <f>(VLOOKUP('11.07'!Q77,'11.07'!$AM$4:$AO$55,2,FALSE))*IF('11.07'!AT$4="是",'11.07'!$AY$4,'11.07'!$AY$3)</f>
        <v>0</v>
      </c>
      <c r="J77" s="4">
        <f>(VLOOKUP('11.07'!R77,'11.07'!$AM$4:$AO$55,2,FALSE))*IF('11.07'!AU$4="是",'11.07'!$AY$4,'11.07'!$AY$3)</f>
        <v>0</v>
      </c>
      <c r="K77" s="4">
        <f>(VLOOKUP('11.07'!S77,'11.07'!$AM$4:$AO$55,2,FALSE))*IF('11.07'!AV$4="是",'11.07'!$AY$4,'11.07'!$AY$3)</f>
        <v>0</v>
      </c>
      <c r="L77" s="4">
        <f>(VLOOKUP('11.07'!T77,'11.07'!$AM$4:$AO$55,2,FALSE))*IF('11.07'!AW$4="是",'11.07'!$AY$4,'11.07'!$AY$3)</f>
        <v>0</v>
      </c>
      <c r="M77" s="4">
        <f>(VLOOKUP('11.07'!U77,'11.07'!$AM$4:$AO$55,2,FALSE))*IF('11.07'!AX$4="是",'11.07'!$AY$4,'11.07'!$AY$3)</f>
        <v>0</v>
      </c>
      <c r="N77" s="4">
        <f>(VLOOKUP('11.07'!V77,'11.07'!$AM$4:$AO$55,2,FALSE))*IF('11.07'!AY$4="是",'11.07'!$AY$4,'11.07'!$AY$3)</f>
        <v>0</v>
      </c>
      <c r="O77" s="5">
        <f>(VLOOKUP('11.07'!W77,'11.07'!$AM$4:$AO$55,2,FALSE))*IF('11.07'!AZ$4="是",'11.07'!$AY$4,'11.07'!$AY$3)</f>
        <v>0</v>
      </c>
      <c r="P77" s="5">
        <f>(VLOOKUP('11.07'!X77,'11.07'!$AM$4:$AO$55,2,FALSE))*IF('11.07'!BA$4="是",'11.07'!$AY$4,'11.07'!$AY$3)</f>
        <v>0</v>
      </c>
      <c r="Q77" s="4">
        <f>(VLOOKUP('11.07'!Y77,'11.07'!$AM$4:$AO$55,2,FALSE))*IF('11.07'!BB$4="是",'11.07'!$AY$4,'11.07'!$AY$3)</f>
        <v>50</v>
      </c>
      <c r="R77" s="4">
        <f>(VLOOKUP('11.07'!Z77,'11.07'!$AM$4:$AO$55,2,FALSE))*IF('11.07'!BC$4="是",'11.07'!$AY$4,'11.07'!$AY$3)</f>
        <v>180</v>
      </c>
      <c r="S77" s="4">
        <f>(VLOOKUP('11.07'!AA77,'11.07'!$AM$4:$AO$55,2,FALSE))*IF('11.07'!BD$4="是",'11.07'!$AY$4,'11.07'!$AY$3)</f>
        <v>180</v>
      </c>
      <c r="T77" s="4">
        <f>(VLOOKUP('11.07'!AB77,'11.07'!$AM$4:$AO$55,2,FALSE))*IF('11.07'!BE$4="是",'11.07'!$AY$4,'11.07'!$AY$3)</f>
        <v>180</v>
      </c>
      <c r="U77" s="4">
        <f>(VLOOKUP('11.07'!AC77,'11.07'!$AM$4:$AO$55,2,FALSE))*IF('11.07'!BF$4="是",'11.07'!$AY$4,'11.07'!$AY$3)</f>
        <v>180</v>
      </c>
      <c r="V77" s="4">
        <f>(VLOOKUP('11.07'!AD77,'11.07'!$AM$4:$AO$55,2,FALSE))*IF('11.07'!BG$4="是",'11.07'!$AY$4,'11.07'!$AY$3)</f>
        <v>180</v>
      </c>
      <c r="W77" s="5">
        <f>(VLOOKUP('11.07'!AE77,'11.07'!$AM$4:$AO$55,2,FALSE))*IF('11.07'!BH$4="是",'11.07'!$AY$4,'11.07'!$AY$3)</f>
        <v>0</v>
      </c>
      <c r="X77" s="5">
        <f>(VLOOKUP('11.07'!AF77,'11.07'!$AM$4:$AO$55,2,FALSE))*IF('11.07'!BI$4="是",'11.07'!$AY$4,'11.07'!$AY$3)</f>
        <v>0</v>
      </c>
    </row>
    <row r="78" spans="1:24">
      <c r="A78" s="4">
        <f>(VLOOKUP('11.07'!I78,'11.07'!$AM$4:$AO$55,2,FALSE))*IF('11.07'!AK$4="是",'11.07'!$AY$4,'11.07'!$AY$3)</f>
        <v>200</v>
      </c>
      <c r="B78" s="4">
        <f>(VLOOKUP('11.07'!J78,'11.07'!$AM$4:$AO$55,2,FALSE))*IF('11.07'!AL$4="是",'11.07'!$AY$4,'11.07'!$AY$3)</f>
        <v>200</v>
      </c>
      <c r="C78" s="4">
        <f>(VLOOKUP('11.07'!K78,'11.07'!$AM$4:$AO$55,2,FALSE))*IF('11.07'!AM$4="是",'11.07'!$AY$4,'11.07'!$AY$3)</f>
        <v>-200</v>
      </c>
      <c r="D78" s="4">
        <f>(VLOOKUP('11.07'!L78,'11.07'!$AM$4:$AO$55,2,FALSE))*IF('11.07'!AN$4="是",'11.07'!$AY$4,'11.07'!$AY$3)</f>
        <v>200</v>
      </c>
      <c r="E78" s="4">
        <f>(VLOOKUP('11.07'!M78,'11.07'!$AM$4:$AO$55,2,FALSE))*IF('11.07'!AO$4="是",'11.07'!$AY$4,'11.07'!$AY$3)</f>
        <v>200</v>
      </c>
      <c r="F78" s="4">
        <f>(VLOOKUP('11.07'!N78,'11.07'!$AM$4:$AO$55,2,FALSE))*IF('11.07'!AQ$4="是",'11.07'!$AY$4,'11.07'!$AY$3)</f>
        <v>0</v>
      </c>
      <c r="G78" s="5">
        <f>(VLOOKUP('11.07'!O78,'11.07'!$AM$4:$AO$55,2,FALSE))*IF('11.07'!AR$4="是",'11.07'!$AY$4,'11.07'!$AY$3)</f>
        <v>0</v>
      </c>
      <c r="H78" s="5">
        <f>(VLOOKUP('11.07'!P78,'11.07'!$AM$4:$AO$55,2,FALSE))*IF('11.07'!AS$4="是",'11.07'!$AY$4,'11.07'!$AY$3)</f>
        <v>0</v>
      </c>
      <c r="I78" s="4">
        <f>(VLOOKUP('11.07'!Q78,'11.07'!$AM$4:$AO$55,2,FALSE))*IF('11.07'!AT$4="是",'11.07'!$AY$4,'11.07'!$AY$3)</f>
        <v>0</v>
      </c>
      <c r="J78" s="4">
        <f>(VLOOKUP('11.07'!R78,'11.07'!$AM$4:$AO$55,2,FALSE))*IF('11.07'!AU$4="是",'11.07'!$AY$4,'11.07'!$AY$3)</f>
        <v>0</v>
      </c>
      <c r="K78" s="4">
        <f>(VLOOKUP('11.07'!S78,'11.07'!$AM$4:$AO$55,2,FALSE))*IF('11.07'!AV$4="是",'11.07'!$AY$4,'11.07'!$AY$3)</f>
        <v>0</v>
      </c>
      <c r="L78" s="4">
        <f>(VLOOKUP('11.07'!T78,'11.07'!$AM$4:$AO$55,2,FALSE))*IF('11.07'!AW$4="是",'11.07'!$AY$4,'11.07'!$AY$3)</f>
        <v>0</v>
      </c>
      <c r="M78" s="4">
        <f>(VLOOKUP('11.07'!U78,'11.07'!$AM$4:$AO$55,2,FALSE))*IF('11.07'!AX$4="是",'11.07'!$AY$4,'11.07'!$AY$3)</f>
        <v>0</v>
      </c>
      <c r="N78" s="4">
        <f>(VLOOKUP('11.07'!V78,'11.07'!$AM$4:$AO$55,2,FALSE))*IF('11.07'!AY$4="是",'11.07'!$AY$4,'11.07'!$AY$3)</f>
        <v>0</v>
      </c>
      <c r="O78" s="5">
        <f>(VLOOKUP('11.07'!W78,'11.07'!$AM$4:$AO$55,2,FALSE))*IF('11.07'!AZ$4="是",'11.07'!$AY$4,'11.07'!$AY$3)</f>
        <v>0</v>
      </c>
      <c r="P78" s="5">
        <f>(VLOOKUP('11.07'!X78,'11.07'!$AM$4:$AO$55,2,FALSE))*IF('11.07'!BA$4="是",'11.07'!$AY$4,'11.07'!$AY$3)</f>
        <v>0</v>
      </c>
      <c r="Q78" s="4">
        <f>(VLOOKUP('11.07'!Y78,'11.07'!$AM$4:$AO$55,2,FALSE))*IF('11.07'!BB$4="是",'11.07'!$AY$4,'11.07'!$AY$3)</f>
        <v>150</v>
      </c>
      <c r="R78" s="4">
        <f>(VLOOKUP('11.07'!Z78,'11.07'!$AM$4:$AO$55,2,FALSE))*IF('11.07'!BC$4="是",'11.07'!$AY$4,'11.07'!$AY$3)</f>
        <v>180</v>
      </c>
      <c r="S78" s="4">
        <f>(VLOOKUP('11.07'!AA78,'11.07'!$AM$4:$AO$55,2,FALSE))*IF('11.07'!BD$4="是",'11.07'!$AY$4,'11.07'!$AY$3)</f>
        <v>180</v>
      </c>
      <c r="T78" s="4">
        <f>(VLOOKUP('11.07'!AB78,'11.07'!$AM$4:$AO$55,2,FALSE))*IF('11.07'!BE$4="是",'11.07'!$AY$4,'11.07'!$AY$3)</f>
        <v>180</v>
      </c>
      <c r="U78" s="4">
        <f>(VLOOKUP('11.07'!AC78,'11.07'!$AM$4:$AO$55,2,FALSE))*IF('11.07'!BF$4="是",'11.07'!$AY$4,'11.07'!$AY$3)</f>
        <v>180</v>
      </c>
      <c r="V78" s="4">
        <f>(VLOOKUP('11.07'!AD78,'11.07'!$AM$4:$AO$55,2,FALSE))*IF('11.07'!BG$4="是",'11.07'!$AY$4,'11.07'!$AY$3)</f>
        <v>180</v>
      </c>
      <c r="W78" s="5">
        <f>(VLOOKUP('11.07'!AE78,'11.07'!$AM$4:$AO$55,2,FALSE))*IF('11.07'!BH$4="是",'11.07'!$AY$4,'11.07'!$AY$3)</f>
        <v>0</v>
      </c>
      <c r="X78" s="5">
        <f>(VLOOKUP('11.07'!AF78,'11.07'!$AM$4:$AO$55,2,FALSE))*IF('11.07'!BI$4="是",'11.07'!$AY$4,'11.07'!$AY$3)</f>
        <v>0</v>
      </c>
    </row>
    <row r="79" spans="1:24">
      <c r="A79" s="4">
        <f>(VLOOKUP('11.07'!I79,'11.07'!$AM$4:$AO$55,2,FALSE))*IF('11.07'!AK$4="是",'11.07'!$AY$4,'11.07'!$AY$3)</f>
        <v>200</v>
      </c>
      <c r="B79" s="4">
        <f>(VLOOKUP('11.07'!J79,'11.07'!$AM$4:$AO$55,2,FALSE))*IF('11.07'!AL$4="是",'11.07'!$AY$4,'11.07'!$AY$3)</f>
        <v>200</v>
      </c>
      <c r="C79" s="4">
        <f>(VLOOKUP('11.07'!K79,'11.07'!$AM$4:$AO$55,2,FALSE))*IF('11.07'!AM$4="是",'11.07'!$AY$4,'11.07'!$AY$3)</f>
        <v>200</v>
      </c>
      <c r="D79" s="4">
        <f>(VLOOKUP('11.07'!L79,'11.07'!$AM$4:$AO$55,2,FALSE))*IF('11.07'!AN$4="是",'11.07'!$AY$4,'11.07'!$AY$3)</f>
        <v>200</v>
      </c>
      <c r="E79" s="4">
        <f>(VLOOKUP('11.07'!M79,'11.07'!$AM$4:$AO$55,2,FALSE))*IF('11.07'!AO$4="是",'11.07'!$AY$4,'11.07'!$AY$3)</f>
        <v>200</v>
      </c>
      <c r="F79" s="4">
        <f>(VLOOKUP('11.07'!N79,'11.07'!$AM$4:$AO$55,2,FALSE))*IF('11.07'!AQ$4="是",'11.07'!$AY$4,'11.07'!$AY$3)</f>
        <v>200</v>
      </c>
      <c r="G79" s="5">
        <f>(VLOOKUP('11.07'!O79,'11.07'!$AM$4:$AO$55,2,FALSE))*IF('11.07'!AR$4="是",'11.07'!$AY$4,'11.07'!$AY$3)</f>
        <v>200</v>
      </c>
      <c r="H79" s="5">
        <f>(VLOOKUP('11.07'!P79,'11.07'!$AM$4:$AO$55,2,FALSE))*IF('11.07'!AS$4="是",'11.07'!$AY$4,'11.07'!$AY$3)</f>
        <v>0</v>
      </c>
      <c r="I79" s="4">
        <f>(VLOOKUP('11.07'!Q79,'11.07'!$AM$4:$AO$55,2,FALSE))*IF('11.07'!AT$4="是",'11.07'!$AY$4,'11.07'!$AY$3)</f>
        <v>0</v>
      </c>
      <c r="J79" s="4">
        <f>(VLOOKUP('11.07'!R79,'11.07'!$AM$4:$AO$55,2,FALSE))*IF('11.07'!AU$4="是",'11.07'!$AY$4,'11.07'!$AY$3)</f>
        <v>0</v>
      </c>
      <c r="K79" s="4">
        <f>(VLOOKUP('11.07'!S79,'11.07'!$AM$4:$AO$55,2,FALSE))*IF('11.07'!AV$4="是",'11.07'!$AY$4,'11.07'!$AY$3)</f>
        <v>0</v>
      </c>
      <c r="L79" s="4">
        <f>(VLOOKUP('11.07'!T79,'11.07'!$AM$4:$AO$55,2,FALSE))*IF('11.07'!AW$4="是",'11.07'!$AY$4,'11.07'!$AY$3)</f>
        <v>0</v>
      </c>
      <c r="M79" s="4">
        <f>(VLOOKUP('11.07'!U79,'11.07'!$AM$4:$AO$55,2,FALSE))*IF('11.07'!AX$4="是",'11.07'!$AY$4,'11.07'!$AY$3)</f>
        <v>0</v>
      </c>
      <c r="N79" s="4">
        <f>(VLOOKUP('11.07'!V79,'11.07'!$AM$4:$AO$55,2,FALSE))*IF('11.07'!AY$4="是",'11.07'!$AY$4,'11.07'!$AY$3)</f>
        <v>0</v>
      </c>
      <c r="O79" s="5">
        <f>(VLOOKUP('11.07'!W79,'11.07'!$AM$4:$AO$55,2,FALSE))*IF('11.07'!AZ$4="是",'11.07'!$AY$4,'11.07'!$AY$3)</f>
        <v>0</v>
      </c>
      <c r="P79" s="5">
        <f>(VLOOKUP('11.07'!X79,'11.07'!$AM$4:$AO$55,2,FALSE))*IF('11.07'!BA$4="是",'11.07'!$AY$4,'11.07'!$AY$3)</f>
        <v>0</v>
      </c>
      <c r="Q79" s="4">
        <f>(VLOOKUP('11.07'!Y79,'11.07'!$AM$4:$AO$55,2,FALSE))*IF('11.07'!BB$4="是",'11.07'!$AY$4,'11.07'!$AY$3)</f>
        <v>180</v>
      </c>
      <c r="R79" s="4">
        <f>(VLOOKUP('11.07'!Z79,'11.07'!$AM$4:$AO$55,2,FALSE))*IF('11.07'!BC$4="是",'11.07'!$AY$4,'11.07'!$AY$3)</f>
        <v>180</v>
      </c>
      <c r="S79" s="4">
        <f>(VLOOKUP('11.07'!AA79,'11.07'!$AM$4:$AO$55,2,FALSE))*IF('11.07'!BD$4="是",'11.07'!$AY$4,'11.07'!$AY$3)</f>
        <v>180</v>
      </c>
      <c r="T79" s="4">
        <f>(VLOOKUP('11.07'!AB79,'11.07'!$AM$4:$AO$55,2,FALSE))*IF('11.07'!BE$4="是",'11.07'!$AY$4,'11.07'!$AY$3)</f>
        <v>180</v>
      </c>
      <c r="U79" s="4">
        <f>(VLOOKUP('11.07'!AC79,'11.07'!$AM$4:$AO$55,2,FALSE))*IF('11.07'!BF$4="是",'11.07'!$AY$4,'11.07'!$AY$3)</f>
        <v>180</v>
      </c>
      <c r="V79" s="4">
        <f>(VLOOKUP('11.07'!AD79,'11.07'!$AM$4:$AO$55,2,FALSE))*IF('11.07'!BG$4="是",'11.07'!$AY$4,'11.07'!$AY$3)</f>
        <v>180</v>
      </c>
      <c r="W79" s="5">
        <f>(VLOOKUP('11.07'!AE79,'11.07'!$AM$4:$AO$55,2,FALSE))*IF('11.07'!BH$4="是",'11.07'!$AY$4,'11.07'!$AY$3)</f>
        <v>0</v>
      </c>
      <c r="X79" s="5">
        <f>(VLOOKUP('11.07'!AF79,'11.07'!$AM$4:$AO$55,2,FALSE))*IF('11.07'!BI$4="是",'11.07'!$AY$4,'11.07'!$AY$3)</f>
        <v>0</v>
      </c>
    </row>
    <row r="80" spans="1:24">
      <c r="A80" s="4">
        <f>(VLOOKUP('11.07'!I80,'11.07'!$AM$4:$AO$55,2,FALSE))*IF('11.07'!AK$4="是",'11.07'!$AY$4,'11.07'!$AY$3)</f>
        <v>200</v>
      </c>
      <c r="B80" s="4">
        <f>(VLOOKUP('11.07'!J80,'11.07'!$AM$4:$AO$55,2,FALSE))*IF('11.07'!AL$4="是",'11.07'!$AY$4,'11.07'!$AY$3)</f>
        <v>200</v>
      </c>
      <c r="C80" s="4">
        <f>(VLOOKUP('11.07'!K80,'11.07'!$AM$4:$AO$55,2,FALSE))*IF('11.07'!AM$4="是",'11.07'!$AY$4,'11.07'!$AY$3)</f>
        <v>200</v>
      </c>
      <c r="D80" s="4">
        <f>(VLOOKUP('11.07'!L80,'11.07'!$AM$4:$AO$55,2,FALSE))*IF('11.07'!AN$4="是",'11.07'!$AY$4,'11.07'!$AY$3)</f>
        <v>200</v>
      </c>
      <c r="E80" s="4">
        <f>(VLOOKUP('11.07'!M80,'11.07'!$AM$4:$AO$55,2,FALSE))*IF('11.07'!AO$4="是",'11.07'!$AY$4,'11.07'!$AY$3)</f>
        <v>200</v>
      </c>
      <c r="F80" s="4">
        <f>(VLOOKUP('11.07'!N80,'11.07'!$AM$4:$AO$55,2,FALSE))*IF('11.07'!AQ$4="是",'11.07'!$AY$4,'11.07'!$AY$3)</f>
        <v>200</v>
      </c>
      <c r="G80" s="5">
        <f>(VLOOKUP('11.07'!O80,'11.07'!$AM$4:$AO$55,2,FALSE))*IF('11.07'!AR$4="是",'11.07'!$AY$4,'11.07'!$AY$3)</f>
        <v>0</v>
      </c>
      <c r="H80" s="5">
        <f>(VLOOKUP('11.07'!P80,'11.07'!$AM$4:$AO$55,2,FALSE))*IF('11.07'!AS$4="是",'11.07'!$AY$4,'11.07'!$AY$3)</f>
        <v>0</v>
      </c>
      <c r="I80" s="4">
        <f>(VLOOKUP('11.07'!Q80,'11.07'!$AM$4:$AO$55,2,FALSE))*IF('11.07'!AT$4="是",'11.07'!$AY$4,'11.07'!$AY$3)</f>
        <v>0</v>
      </c>
      <c r="J80" s="4">
        <f>(VLOOKUP('11.07'!R80,'11.07'!$AM$4:$AO$55,2,FALSE))*IF('11.07'!AU$4="是",'11.07'!$AY$4,'11.07'!$AY$3)</f>
        <v>0</v>
      </c>
      <c r="K80" s="4">
        <f>(VLOOKUP('11.07'!S80,'11.07'!$AM$4:$AO$55,2,FALSE))*IF('11.07'!AV$4="是",'11.07'!$AY$4,'11.07'!$AY$3)</f>
        <v>0</v>
      </c>
      <c r="L80" s="4">
        <f>(VLOOKUP('11.07'!T80,'11.07'!$AM$4:$AO$55,2,FALSE))*IF('11.07'!AW$4="是",'11.07'!$AY$4,'11.07'!$AY$3)</f>
        <v>0</v>
      </c>
      <c r="M80" s="4">
        <f>(VLOOKUP('11.07'!U80,'11.07'!$AM$4:$AO$55,2,FALSE))*IF('11.07'!AX$4="是",'11.07'!$AY$4,'11.07'!$AY$3)</f>
        <v>0</v>
      </c>
      <c r="N80" s="4">
        <f>(VLOOKUP('11.07'!V80,'11.07'!$AM$4:$AO$55,2,FALSE))*IF('11.07'!AY$4="是",'11.07'!$AY$4,'11.07'!$AY$3)</f>
        <v>0</v>
      </c>
      <c r="O80" s="5">
        <f>(VLOOKUP('11.07'!W80,'11.07'!$AM$4:$AO$55,2,FALSE))*IF('11.07'!AZ$4="是",'11.07'!$AY$4,'11.07'!$AY$3)</f>
        <v>0</v>
      </c>
      <c r="P80" s="5">
        <f>(VLOOKUP('11.07'!X80,'11.07'!$AM$4:$AO$55,2,FALSE))*IF('11.07'!BA$4="是",'11.07'!$AY$4,'11.07'!$AY$3)</f>
        <v>0</v>
      </c>
      <c r="Q80" s="4">
        <f>(VLOOKUP('11.07'!Y80,'11.07'!$AM$4:$AO$55,2,FALSE))*IF('11.07'!BB$4="是",'11.07'!$AY$4,'11.07'!$AY$3)</f>
        <v>180</v>
      </c>
      <c r="R80" s="4">
        <f>(VLOOKUP('11.07'!Z80,'11.07'!$AM$4:$AO$55,2,FALSE))*IF('11.07'!BC$4="是",'11.07'!$AY$4,'11.07'!$AY$3)</f>
        <v>50</v>
      </c>
      <c r="S80" s="4">
        <f>(VLOOKUP('11.07'!AA80,'11.07'!$AM$4:$AO$55,2,FALSE))*IF('11.07'!BD$4="是",'11.07'!$AY$4,'11.07'!$AY$3)</f>
        <v>180</v>
      </c>
      <c r="T80" s="4">
        <f>(VLOOKUP('11.07'!AB80,'11.07'!$AM$4:$AO$55,2,FALSE))*IF('11.07'!BE$4="是",'11.07'!$AY$4,'11.07'!$AY$3)</f>
        <v>180</v>
      </c>
      <c r="U80" s="4">
        <f>(VLOOKUP('11.07'!AC80,'11.07'!$AM$4:$AO$55,2,FALSE))*IF('11.07'!BF$4="是",'11.07'!$AY$4,'11.07'!$AY$3)</f>
        <v>180</v>
      </c>
      <c r="V80" s="4">
        <f>(VLOOKUP('11.07'!AD80,'11.07'!$AM$4:$AO$55,2,FALSE))*IF('11.07'!BG$4="是",'11.07'!$AY$4,'11.07'!$AY$3)</f>
        <v>0</v>
      </c>
      <c r="W80" s="5">
        <f>(VLOOKUP('11.07'!AE80,'11.07'!$AM$4:$AO$55,2,FALSE))*IF('11.07'!BH$4="是",'11.07'!$AY$4,'11.07'!$AY$3)</f>
        <v>0</v>
      </c>
      <c r="X80" s="5">
        <f>(VLOOKUP('11.07'!AF80,'11.07'!$AM$4:$AO$55,2,FALSE))*IF('11.07'!BI$4="是",'11.07'!$AY$4,'11.07'!$AY$3)</f>
        <v>0</v>
      </c>
    </row>
    <row r="81" spans="1:24">
      <c r="A81" s="4">
        <f>(VLOOKUP('11.07'!I81,'11.07'!$AM$4:$AO$55,2,FALSE))*IF('11.07'!AK$4="是",'11.07'!$AY$4,'11.07'!$AY$3)</f>
        <v>200</v>
      </c>
      <c r="B81" s="4">
        <f>(VLOOKUP('11.07'!J81,'11.07'!$AM$4:$AO$55,2,FALSE))*IF('11.07'!AL$4="是",'11.07'!$AY$4,'11.07'!$AY$3)</f>
        <v>200</v>
      </c>
      <c r="C81" s="4">
        <f>(VLOOKUP('11.07'!K81,'11.07'!$AM$4:$AO$55,2,FALSE))*IF('11.07'!AM$4="是",'11.07'!$AY$4,'11.07'!$AY$3)</f>
        <v>200</v>
      </c>
      <c r="D81" s="4">
        <f>(VLOOKUP('11.07'!L81,'11.07'!$AM$4:$AO$55,2,FALSE))*IF('11.07'!AN$4="是",'11.07'!$AY$4,'11.07'!$AY$3)</f>
        <v>200</v>
      </c>
      <c r="E81" s="4">
        <f>(VLOOKUP('11.07'!M81,'11.07'!$AM$4:$AO$55,2,FALSE))*IF('11.07'!AO$4="是",'11.07'!$AY$4,'11.07'!$AY$3)</f>
        <v>200</v>
      </c>
      <c r="F81" s="4">
        <f>(VLOOKUP('11.07'!N81,'11.07'!$AM$4:$AO$55,2,FALSE))*IF('11.07'!AQ$4="是",'11.07'!$AY$4,'11.07'!$AY$3)</f>
        <v>200</v>
      </c>
      <c r="G81" s="5">
        <f>(VLOOKUP('11.07'!O81,'11.07'!$AM$4:$AO$55,2,FALSE))*IF('11.07'!AR$4="是",'11.07'!$AY$4,'11.07'!$AY$3)</f>
        <v>0</v>
      </c>
      <c r="H81" s="5">
        <f>(VLOOKUP('11.07'!P81,'11.07'!$AM$4:$AO$55,2,FALSE))*IF('11.07'!AS$4="是",'11.07'!$AY$4,'11.07'!$AY$3)</f>
        <v>0</v>
      </c>
      <c r="I81" s="4">
        <f>(VLOOKUP('11.07'!Q81,'11.07'!$AM$4:$AO$55,2,FALSE))*IF('11.07'!AT$4="是",'11.07'!$AY$4,'11.07'!$AY$3)</f>
        <v>0</v>
      </c>
      <c r="J81" s="4">
        <f>(VLOOKUP('11.07'!R81,'11.07'!$AM$4:$AO$55,2,FALSE))*IF('11.07'!AU$4="是",'11.07'!$AY$4,'11.07'!$AY$3)</f>
        <v>0</v>
      </c>
      <c r="K81" s="4">
        <f>(VLOOKUP('11.07'!S81,'11.07'!$AM$4:$AO$55,2,FALSE))*IF('11.07'!AV$4="是",'11.07'!$AY$4,'11.07'!$AY$3)</f>
        <v>0</v>
      </c>
      <c r="L81" s="4">
        <f>(VLOOKUP('11.07'!T81,'11.07'!$AM$4:$AO$55,2,FALSE))*IF('11.07'!AW$4="是",'11.07'!$AY$4,'11.07'!$AY$3)</f>
        <v>0</v>
      </c>
      <c r="M81" s="4">
        <f>(VLOOKUP('11.07'!U81,'11.07'!$AM$4:$AO$55,2,FALSE))*IF('11.07'!AX$4="是",'11.07'!$AY$4,'11.07'!$AY$3)</f>
        <v>0</v>
      </c>
      <c r="N81" s="4">
        <f>(VLOOKUP('11.07'!V81,'11.07'!$AM$4:$AO$55,2,FALSE))*IF('11.07'!AY$4="是",'11.07'!$AY$4,'11.07'!$AY$3)</f>
        <v>0</v>
      </c>
      <c r="O81" s="5">
        <f>(VLOOKUP('11.07'!W81,'11.07'!$AM$4:$AO$55,2,FALSE))*IF('11.07'!AZ$4="是",'11.07'!$AY$4,'11.07'!$AY$3)</f>
        <v>0</v>
      </c>
      <c r="P81" s="5">
        <f>(VLOOKUP('11.07'!X81,'11.07'!$AM$4:$AO$55,2,FALSE))*IF('11.07'!BA$4="是",'11.07'!$AY$4,'11.07'!$AY$3)</f>
        <v>0</v>
      </c>
      <c r="Q81" s="4">
        <f>(VLOOKUP('11.07'!Y81,'11.07'!$AM$4:$AO$55,2,FALSE))*IF('11.07'!BB$4="是",'11.07'!$AY$4,'11.07'!$AY$3)</f>
        <v>180</v>
      </c>
      <c r="R81" s="4">
        <f>(VLOOKUP('11.07'!Z81,'11.07'!$AM$4:$AO$55,2,FALSE))*IF('11.07'!BC$4="是",'11.07'!$AY$4,'11.07'!$AY$3)</f>
        <v>180</v>
      </c>
      <c r="S81" s="4">
        <f>(VLOOKUP('11.07'!AA81,'11.07'!$AM$4:$AO$55,2,FALSE))*IF('11.07'!BD$4="是",'11.07'!$AY$4,'11.07'!$AY$3)</f>
        <v>180</v>
      </c>
      <c r="T81" s="4">
        <f>(VLOOKUP('11.07'!AB81,'11.07'!$AM$4:$AO$55,2,FALSE))*IF('11.07'!BE$4="是",'11.07'!$AY$4,'11.07'!$AY$3)</f>
        <v>180</v>
      </c>
      <c r="U81" s="4">
        <f>(VLOOKUP('11.07'!AC81,'11.07'!$AM$4:$AO$55,2,FALSE))*IF('11.07'!BF$4="是",'11.07'!$AY$4,'11.07'!$AY$3)</f>
        <v>180</v>
      </c>
      <c r="V81" s="4">
        <f>(VLOOKUP('11.07'!AD81,'11.07'!$AM$4:$AO$55,2,FALSE))*IF('11.07'!BG$4="是",'11.07'!$AY$4,'11.07'!$AY$3)</f>
        <v>0</v>
      </c>
      <c r="W81" s="5">
        <f>(VLOOKUP('11.07'!AE81,'11.07'!$AM$4:$AO$55,2,FALSE))*IF('11.07'!BH$4="是",'11.07'!$AY$4,'11.07'!$AY$3)</f>
        <v>0</v>
      </c>
      <c r="X81" s="5">
        <f>(VLOOKUP('11.07'!AF81,'11.07'!$AM$4:$AO$55,2,FALSE))*IF('11.07'!BI$4="是",'11.07'!$AY$4,'11.07'!$AY$3)</f>
        <v>0</v>
      </c>
    </row>
    <row r="82" spans="1:24">
      <c r="A82" s="4">
        <f>(VLOOKUP('11.07'!I82,'11.07'!$AM$4:$AO$55,2,FALSE))*IF('11.07'!AK$4="是",'11.07'!$AY$4,'11.07'!$AY$3)</f>
        <v>200</v>
      </c>
      <c r="B82" s="4">
        <f>(VLOOKUP('11.07'!J82,'11.07'!$AM$4:$AO$55,2,FALSE))*IF('11.07'!AL$4="是",'11.07'!$AY$4,'11.07'!$AY$3)</f>
        <v>190</v>
      </c>
      <c r="C82" s="4">
        <f>(VLOOKUP('11.07'!K82,'11.07'!$AM$4:$AO$55,2,FALSE))*IF('11.07'!AM$4="是",'11.07'!$AY$4,'11.07'!$AY$3)</f>
        <v>190</v>
      </c>
      <c r="D82" s="4">
        <f>(VLOOKUP('11.07'!L82,'11.07'!$AM$4:$AO$55,2,FALSE))*IF('11.07'!AN$4="是",'11.07'!$AY$4,'11.07'!$AY$3)</f>
        <v>190</v>
      </c>
      <c r="E82" s="4">
        <f>(VLOOKUP('11.07'!M82,'11.07'!$AM$4:$AO$55,2,FALSE))*IF('11.07'!AO$4="是",'11.07'!$AY$4,'11.07'!$AY$3)</f>
        <v>190</v>
      </c>
      <c r="F82" s="4">
        <f>(VLOOKUP('11.07'!N82,'11.07'!$AM$4:$AO$55,2,FALSE))*IF('11.07'!AQ$4="是",'11.07'!$AY$4,'11.07'!$AY$3)</f>
        <v>190</v>
      </c>
      <c r="G82" s="5">
        <f>(VLOOKUP('11.07'!O82,'11.07'!$AM$4:$AO$55,2,FALSE))*IF('11.07'!AR$4="是",'11.07'!$AY$4,'11.07'!$AY$3)</f>
        <v>0</v>
      </c>
      <c r="H82" s="5">
        <f>(VLOOKUP('11.07'!P82,'11.07'!$AM$4:$AO$55,2,FALSE))*IF('11.07'!AS$4="是",'11.07'!$AY$4,'11.07'!$AY$3)</f>
        <v>0</v>
      </c>
      <c r="I82" s="4">
        <f>(VLOOKUP('11.07'!Q82,'11.07'!$AM$4:$AO$55,2,FALSE))*IF('11.07'!AT$4="是",'11.07'!$AY$4,'11.07'!$AY$3)</f>
        <v>0</v>
      </c>
      <c r="J82" s="4">
        <f>(VLOOKUP('11.07'!R82,'11.07'!$AM$4:$AO$55,2,FALSE))*IF('11.07'!AU$4="是",'11.07'!$AY$4,'11.07'!$AY$3)</f>
        <v>0</v>
      </c>
      <c r="K82" s="4">
        <f>(VLOOKUP('11.07'!S82,'11.07'!$AM$4:$AO$55,2,FALSE))*IF('11.07'!AV$4="是",'11.07'!$AY$4,'11.07'!$AY$3)</f>
        <v>0</v>
      </c>
      <c r="L82" s="4">
        <f>(VLOOKUP('11.07'!T82,'11.07'!$AM$4:$AO$55,2,FALSE))*IF('11.07'!AW$4="是",'11.07'!$AY$4,'11.07'!$AY$3)</f>
        <v>0</v>
      </c>
      <c r="M82" s="4">
        <f>(VLOOKUP('11.07'!U82,'11.07'!$AM$4:$AO$55,2,FALSE))*IF('11.07'!AX$4="是",'11.07'!$AY$4,'11.07'!$AY$3)</f>
        <v>0</v>
      </c>
      <c r="N82" s="4">
        <f>(VLOOKUP('11.07'!V82,'11.07'!$AM$4:$AO$55,2,FALSE))*IF('11.07'!AY$4="是",'11.07'!$AY$4,'11.07'!$AY$3)</f>
        <v>0</v>
      </c>
      <c r="O82" s="5">
        <f>(VLOOKUP('11.07'!W82,'11.07'!$AM$4:$AO$55,2,FALSE))*IF('11.07'!AZ$4="是",'11.07'!$AY$4,'11.07'!$AY$3)</f>
        <v>0</v>
      </c>
      <c r="P82" s="5">
        <f>(VLOOKUP('11.07'!X82,'11.07'!$AM$4:$AO$55,2,FALSE))*IF('11.07'!BA$4="是",'11.07'!$AY$4,'11.07'!$AY$3)</f>
        <v>0</v>
      </c>
      <c r="Q82" s="4">
        <f>(VLOOKUP('11.07'!Y82,'11.07'!$AM$4:$AO$55,2,FALSE))*IF('11.07'!BB$4="是",'11.07'!$AY$4,'11.07'!$AY$3)</f>
        <v>180</v>
      </c>
      <c r="R82" s="4">
        <f>(VLOOKUP('11.07'!Z82,'11.07'!$AM$4:$AO$55,2,FALSE))*IF('11.07'!BC$4="是",'11.07'!$AY$4,'11.07'!$AY$3)</f>
        <v>180</v>
      </c>
      <c r="S82" s="4">
        <f>(VLOOKUP('11.07'!AA82,'11.07'!$AM$4:$AO$55,2,FALSE))*IF('11.07'!BD$4="是",'11.07'!$AY$4,'11.07'!$AY$3)</f>
        <v>180</v>
      </c>
      <c r="T82" s="4">
        <f>(VLOOKUP('11.07'!AB82,'11.07'!$AM$4:$AO$55,2,FALSE))*IF('11.07'!BE$4="是",'11.07'!$AY$4,'11.07'!$AY$3)</f>
        <v>180</v>
      </c>
      <c r="U82" s="4">
        <f>(VLOOKUP('11.07'!AC82,'11.07'!$AM$4:$AO$55,2,FALSE))*IF('11.07'!BF$4="是",'11.07'!$AY$4,'11.07'!$AY$3)</f>
        <v>180</v>
      </c>
      <c r="V82" s="4">
        <f>(VLOOKUP('11.07'!AD82,'11.07'!$AM$4:$AO$55,2,FALSE))*IF('11.07'!BG$4="是",'11.07'!$AY$4,'11.07'!$AY$3)</f>
        <v>0</v>
      </c>
      <c r="W82" s="5">
        <f>(VLOOKUP('11.07'!AE82,'11.07'!$AM$4:$AO$55,2,FALSE))*IF('11.07'!BH$4="是",'11.07'!$AY$4,'11.07'!$AY$3)</f>
        <v>0</v>
      </c>
      <c r="X82" s="5">
        <f>(VLOOKUP('11.07'!AF82,'11.07'!$AM$4:$AO$55,2,FALSE))*IF('11.07'!BI$4="是",'11.07'!$AY$4,'11.07'!$AY$3)</f>
        <v>0</v>
      </c>
    </row>
    <row r="83" spans="1:24">
      <c r="A83" s="4">
        <f>(VLOOKUP('11.07'!I83,'11.07'!$AM$4:$AO$55,2,FALSE))*IF('11.07'!AK$4="是",'11.07'!$AY$4,'11.07'!$AY$3)</f>
        <v>190</v>
      </c>
      <c r="B83" s="4">
        <f>(VLOOKUP('11.07'!J83,'11.07'!$AM$4:$AO$55,2,FALSE))*IF('11.07'!AL$4="是",'11.07'!$AY$4,'11.07'!$AY$3)</f>
        <v>190</v>
      </c>
      <c r="C83" s="4">
        <f>(VLOOKUP('11.07'!K83,'11.07'!$AM$4:$AO$55,2,FALSE))*IF('11.07'!AM$4="是",'11.07'!$AY$4,'11.07'!$AY$3)</f>
        <v>190</v>
      </c>
      <c r="D83" s="4">
        <f>(VLOOKUP('11.07'!L83,'11.07'!$AM$4:$AO$55,2,FALSE))*IF('11.07'!AN$4="是",'11.07'!$AY$4,'11.07'!$AY$3)</f>
        <v>190</v>
      </c>
      <c r="E83" s="4">
        <f>(VLOOKUP('11.07'!M83,'11.07'!$AM$4:$AO$55,2,FALSE))*IF('11.07'!AO$4="是",'11.07'!$AY$4,'11.07'!$AY$3)</f>
        <v>150</v>
      </c>
      <c r="F83" s="4">
        <f>(VLOOKUP('11.07'!N83,'11.07'!$AM$4:$AO$55,2,FALSE))*IF('11.07'!AQ$4="是",'11.07'!$AY$4,'11.07'!$AY$3)</f>
        <v>190</v>
      </c>
      <c r="G83" s="5">
        <f>(VLOOKUP('11.07'!O83,'11.07'!$AM$4:$AO$55,2,FALSE))*IF('11.07'!AR$4="是",'11.07'!$AY$4,'11.07'!$AY$3)</f>
        <v>0</v>
      </c>
      <c r="H83" s="5">
        <f>(VLOOKUP('11.07'!P83,'11.07'!$AM$4:$AO$55,2,FALSE))*IF('11.07'!AS$4="是",'11.07'!$AY$4,'11.07'!$AY$3)</f>
        <v>0</v>
      </c>
      <c r="I83" s="4">
        <f>(VLOOKUP('11.07'!Q83,'11.07'!$AM$4:$AO$55,2,FALSE))*IF('11.07'!AT$4="是",'11.07'!$AY$4,'11.07'!$AY$3)</f>
        <v>50</v>
      </c>
      <c r="J83" s="4">
        <f>(VLOOKUP('11.07'!R83,'11.07'!$AM$4:$AO$55,2,FALSE))*IF('11.07'!AU$4="是",'11.07'!$AY$4,'11.07'!$AY$3)</f>
        <v>150</v>
      </c>
      <c r="K83" s="4">
        <f>(VLOOKUP('11.07'!S83,'11.07'!$AM$4:$AO$55,2,FALSE))*IF('11.07'!AV$4="是",'11.07'!$AY$4,'11.07'!$AY$3)</f>
        <v>150</v>
      </c>
      <c r="L83" s="4">
        <f>(VLOOKUP('11.07'!T83,'11.07'!$AM$4:$AO$55,2,FALSE))*IF('11.07'!AW$4="是",'11.07'!$AY$4,'11.07'!$AY$3)</f>
        <v>-200</v>
      </c>
      <c r="M83" s="4">
        <f>(VLOOKUP('11.07'!U83,'11.07'!$AM$4:$AO$55,2,FALSE))*IF('11.07'!AX$4="是",'11.07'!$AY$4,'11.07'!$AY$3)</f>
        <v>0</v>
      </c>
      <c r="N83" s="4">
        <f>(VLOOKUP('11.07'!V83,'11.07'!$AM$4:$AO$55,2,FALSE))*IF('11.07'!AY$4="是",'11.07'!$AY$4,'11.07'!$AY$3)</f>
        <v>0</v>
      </c>
      <c r="O83" s="5">
        <f>(VLOOKUP('11.07'!W83,'11.07'!$AM$4:$AO$55,2,FALSE))*IF('11.07'!AZ$4="是",'11.07'!$AY$4,'11.07'!$AY$3)</f>
        <v>0</v>
      </c>
      <c r="P83" s="5">
        <f>(VLOOKUP('11.07'!X83,'11.07'!$AM$4:$AO$55,2,FALSE))*IF('11.07'!BA$4="是",'11.07'!$AY$4,'11.07'!$AY$3)</f>
        <v>0</v>
      </c>
      <c r="Q83" s="4">
        <f>(VLOOKUP('11.07'!Y83,'11.07'!$AM$4:$AO$55,2,FALSE))*IF('11.07'!BB$4="是",'11.07'!$AY$4,'11.07'!$AY$3)</f>
        <v>180</v>
      </c>
      <c r="R83" s="4">
        <f>(VLOOKUP('11.07'!Z83,'11.07'!$AM$4:$AO$55,2,FALSE))*IF('11.07'!BC$4="是",'11.07'!$AY$4,'11.07'!$AY$3)</f>
        <v>180</v>
      </c>
      <c r="S83" s="4">
        <f>(VLOOKUP('11.07'!AA83,'11.07'!$AM$4:$AO$55,2,FALSE))*IF('11.07'!BD$4="是",'11.07'!$AY$4,'11.07'!$AY$3)</f>
        <v>180</v>
      </c>
      <c r="T83" s="4">
        <f>(VLOOKUP('11.07'!AB83,'11.07'!$AM$4:$AO$55,2,FALSE))*IF('11.07'!BE$4="是",'11.07'!$AY$4,'11.07'!$AY$3)</f>
        <v>180</v>
      </c>
      <c r="U83" s="4">
        <f>(VLOOKUP('11.07'!AC83,'11.07'!$AM$4:$AO$55,2,FALSE))*IF('11.07'!BF$4="是",'11.07'!$AY$4,'11.07'!$AY$3)</f>
        <v>0</v>
      </c>
      <c r="V83" s="4">
        <f>(VLOOKUP('11.07'!AD83,'11.07'!$AM$4:$AO$55,2,FALSE))*IF('11.07'!BG$4="是",'11.07'!$AY$4,'11.07'!$AY$3)</f>
        <v>0</v>
      </c>
      <c r="W83" s="5">
        <f>(VLOOKUP('11.07'!AE83,'11.07'!$AM$4:$AO$55,2,FALSE))*IF('11.07'!BH$4="是",'11.07'!$AY$4,'11.07'!$AY$3)</f>
        <v>0</v>
      </c>
      <c r="X83" s="5">
        <f>(VLOOKUP('11.07'!AF83,'11.07'!$AM$4:$AO$55,2,FALSE))*IF('11.07'!BI$4="是",'11.07'!$AY$4,'11.07'!$AY$3)</f>
        <v>0</v>
      </c>
    </row>
    <row r="84" spans="1:24">
      <c r="A84" s="4">
        <f>(VLOOKUP('11.07'!I84,'11.07'!$AM$4:$AO$55,2,FALSE))*IF('11.07'!AK$4="是",'11.07'!$AY$4,'11.07'!$AY$3)</f>
        <v>190</v>
      </c>
      <c r="B84" s="4">
        <f>(VLOOKUP('11.07'!J84,'11.07'!$AM$4:$AO$55,2,FALSE))*IF('11.07'!AL$4="是",'11.07'!$AY$4,'11.07'!$AY$3)</f>
        <v>190</v>
      </c>
      <c r="C84" s="4">
        <f>(VLOOKUP('11.07'!K84,'11.07'!$AM$4:$AO$55,2,FALSE))*IF('11.07'!AM$4="是",'11.07'!$AY$4,'11.07'!$AY$3)</f>
        <v>190</v>
      </c>
      <c r="D84" s="4">
        <f>(VLOOKUP('11.07'!L84,'11.07'!$AM$4:$AO$55,2,FALSE))*IF('11.07'!AN$4="是",'11.07'!$AY$4,'11.07'!$AY$3)</f>
        <v>190</v>
      </c>
      <c r="E84" s="4">
        <f>(VLOOKUP('11.07'!M84,'11.07'!$AM$4:$AO$55,2,FALSE))*IF('11.07'!AO$4="是",'11.07'!$AY$4,'11.07'!$AY$3)</f>
        <v>190</v>
      </c>
      <c r="F84" s="4">
        <f>(VLOOKUP('11.07'!N84,'11.07'!$AM$4:$AO$55,2,FALSE))*IF('11.07'!AQ$4="是",'11.07'!$AY$4,'11.07'!$AY$3)</f>
        <v>190</v>
      </c>
      <c r="G84" s="5">
        <f>(VLOOKUP('11.07'!O84,'11.07'!$AM$4:$AO$55,2,FALSE))*IF('11.07'!AR$4="是",'11.07'!$AY$4,'11.07'!$AY$3)</f>
        <v>190</v>
      </c>
      <c r="H84" s="5">
        <f>(VLOOKUP('11.07'!P84,'11.07'!$AM$4:$AO$55,2,FALSE))*IF('11.07'!AS$4="是",'11.07'!$AY$4,'11.07'!$AY$3)</f>
        <v>0</v>
      </c>
      <c r="I84" s="4">
        <f>(VLOOKUP('11.07'!Q84,'11.07'!$AM$4:$AO$55,2,FALSE))*IF('11.07'!AT$4="是",'11.07'!$AY$4,'11.07'!$AY$3)</f>
        <v>0</v>
      </c>
      <c r="J84" s="4">
        <f>(VLOOKUP('11.07'!R84,'11.07'!$AM$4:$AO$55,2,FALSE))*IF('11.07'!AU$4="是",'11.07'!$AY$4,'11.07'!$AY$3)</f>
        <v>0</v>
      </c>
      <c r="K84" s="4">
        <f>(VLOOKUP('11.07'!S84,'11.07'!$AM$4:$AO$55,2,FALSE))*IF('11.07'!AV$4="是",'11.07'!$AY$4,'11.07'!$AY$3)</f>
        <v>0</v>
      </c>
      <c r="L84" s="4">
        <f>(VLOOKUP('11.07'!T84,'11.07'!$AM$4:$AO$55,2,FALSE))*IF('11.07'!AW$4="是",'11.07'!$AY$4,'11.07'!$AY$3)</f>
        <v>0</v>
      </c>
      <c r="M84" s="4">
        <f>(VLOOKUP('11.07'!U84,'11.07'!$AM$4:$AO$55,2,FALSE))*IF('11.07'!AX$4="是",'11.07'!$AY$4,'11.07'!$AY$3)</f>
        <v>0</v>
      </c>
      <c r="N84" s="4">
        <f>(VLOOKUP('11.07'!V84,'11.07'!$AM$4:$AO$55,2,FALSE))*IF('11.07'!AY$4="是",'11.07'!$AY$4,'11.07'!$AY$3)</f>
        <v>0</v>
      </c>
      <c r="O84" s="5">
        <f>(VLOOKUP('11.07'!W84,'11.07'!$AM$4:$AO$55,2,FALSE))*IF('11.07'!AZ$4="是",'11.07'!$AY$4,'11.07'!$AY$3)</f>
        <v>0</v>
      </c>
      <c r="P84" s="5">
        <f>(VLOOKUP('11.07'!X84,'11.07'!$AM$4:$AO$55,2,FALSE))*IF('11.07'!BA$4="是",'11.07'!$AY$4,'11.07'!$AY$3)</f>
        <v>0</v>
      </c>
      <c r="Q84" s="4">
        <f>(VLOOKUP('11.07'!Y84,'11.07'!$AM$4:$AO$55,2,FALSE))*IF('11.07'!BB$4="是",'11.07'!$AY$4,'11.07'!$AY$3)</f>
        <v>180</v>
      </c>
      <c r="R84" s="4">
        <f>(VLOOKUP('11.07'!Z84,'11.07'!$AM$4:$AO$55,2,FALSE))*IF('11.07'!BC$4="是",'11.07'!$AY$4,'11.07'!$AY$3)</f>
        <v>180</v>
      </c>
      <c r="S84" s="4">
        <f>(VLOOKUP('11.07'!AA84,'11.07'!$AM$4:$AO$55,2,FALSE))*IF('11.07'!BD$4="是",'11.07'!$AY$4,'11.07'!$AY$3)</f>
        <v>180</v>
      </c>
      <c r="T84" s="4">
        <f>(VLOOKUP('11.07'!AB84,'11.07'!$AM$4:$AO$55,2,FALSE))*IF('11.07'!BE$4="是",'11.07'!$AY$4,'11.07'!$AY$3)</f>
        <v>0</v>
      </c>
      <c r="U84" s="4">
        <f>(VLOOKUP('11.07'!AC84,'11.07'!$AM$4:$AO$55,2,FALSE))*IF('11.07'!BF$4="是",'11.07'!$AY$4,'11.07'!$AY$3)</f>
        <v>0</v>
      </c>
      <c r="V84" s="4">
        <f>(VLOOKUP('11.07'!AD84,'11.07'!$AM$4:$AO$55,2,FALSE))*IF('11.07'!BG$4="是",'11.07'!$AY$4,'11.07'!$AY$3)</f>
        <v>0</v>
      </c>
      <c r="W84" s="5">
        <f>(VLOOKUP('11.07'!AE84,'11.07'!$AM$4:$AO$55,2,FALSE))*IF('11.07'!BH$4="是",'11.07'!$AY$4,'11.07'!$AY$3)</f>
        <v>0</v>
      </c>
      <c r="X84" s="5">
        <f>(VLOOKUP('11.07'!AF84,'11.07'!$AM$4:$AO$55,2,FALSE))*IF('11.07'!BI$4="是",'11.07'!$AY$4,'11.07'!$AY$3)</f>
        <v>0</v>
      </c>
    </row>
    <row r="85" spans="1:24">
      <c r="A85" s="4">
        <f>(VLOOKUP('11.07'!I85,'11.07'!$AM$4:$AO$55,2,FALSE))*IF('11.07'!AK$4="是",'11.07'!$AY$4,'11.07'!$AY$3)</f>
        <v>190</v>
      </c>
      <c r="B85" s="4">
        <f>(VLOOKUP('11.07'!J85,'11.07'!$AM$4:$AO$55,2,FALSE))*IF('11.07'!AL$4="是",'11.07'!$AY$4,'11.07'!$AY$3)</f>
        <v>190</v>
      </c>
      <c r="C85" s="4">
        <f>(VLOOKUP('11.07'!K85,'11.07'!$AM$4:$AO$55,2,FALSE))*IF('11.07'!AM$4="是",'11.07'!$AY$4,'11.07'!$AY$3)</f>
        <v>190</v>
      </c>
      <c r="D85" s="4">
        <f>(VLOOKUP('11.07'!L85,'11.07'!$AM$4:$AO$55,2,FALSE))*IF('11.07'!AN$4="是",'11.07'!$AY$4,'11.07'!$AY$3)</f>
        <v>190</v>
      </c>
      <c r="E85" s="4">
        <f>(VLOOKUP('11.07'!M85,'11.07'!$AM$4:$AO$55,2,FALSE))*IF('11.07'!AO$4="是",'11.07'!$AY$4,'11.07'!$AY$3)</f>
        <v>190</v>
      </c>
      <c r="F85" s="4">
        <f>(VLOOKUP('11.07'!N85,'11.07'!$AM$4:$AO$55,2,FALSE))*IF('11.07'!AQ$4="是",'11.07'!$AY$4,'11.07'!$AY$3)</f>
        <v>0</v>
      </c>
      <c r="G85" s="5">
        <f>(VLOOKUP('11.07'!O85,'11.07'!$AM$4:$AO$55,2,FALSE))*IF('11.07'!AR$4="是",'11.07'!$AY$4,'11.07'!$AY$3)</f>
        <v>0</v>
      </c>
      <c r="H85" s="5">
        <f>(VLOOKUP('11.07'!P85,'11.07'!$AM$4:$AO$55,2,FALSE))*IF('11.07'!AS$4="是",'11.07'!$AY$4,'11.07'!$AY$3)</f>
        <v>0</v>
      </c>
      <c r="I85" s="4">
        <f>(VLOOKUP('11.07'!Q85,'11.07'!$AM$4:$AO$55,2,FALSE))*IF('11.07'!AT$4="是",'11.07'!$AY$4,'11.07'!$AY$3)</f>
        <v>170</v>
      </c>
      <c r="J85" s="4">
        <f>(VLOOKUP('11.07'!R85,'11.07'!$AM$4:$AO$55,2,FALSE))*IF('11.07'!AU$4="是",'11.07'!$AY$4,'11.07'!$AY$3)</f>
        <v>-200</v>
      </c>
      <c r="K85" s="4">
        <f>(VLOOKUP('11.07'!S85,'11.07'!$AM$4:$AO$55,2,FALSE))*IF('11.07'!AV$4="是",'11.07'!$AY$4,'11.07'!$AY$3)</f>
        <v>170</v>
      </c>
      <c r="L85" s="4">
        <f>(VLOOKUP('11.07'!T85,'11.07'!$AM$4:$AO$55,2,FALSE))*IF('11.07'!AW$4="是",'11.07'!$AY$4,'11.07'!$AY$3)</f>
        <v>170</v>
      </c>
      <c r="M85" s="4">
        <f>(VLOOKUP('11.07'!U85,'11.07'!$AM$4:$AO$55,2,FALSE))*IF('11.07'!AX$4="是",'11.07'!$AY$4,'11.07'!$AY$3)</f>
        <v>170</v>
      </c>
      <c r="N85" s="4">
        <f>(VLOOKUP('11.07'!V85,'11.07'!$AM$4:$AO$55,2,FALSE))*IF('11.07'!AY$4="是",'11.07'!$AY$4,'11.07'!$AY$3)</f>
        <v>170</v>
      </c>
      <c r="O85" s="5">
        <f>(VLOOKUP('11.07'!W85,'11.07'!$AM$4:$AO$55,2,FALSE))*IF('11.07'!AZ$4="是",'11.07'!$AY$4,'11.07'!$AY$3)</f>
        <v>50</v>
      </c>
      <c r="P85" s="5">
        <f>(VLOOKUP('11.07'!X85,'11.07'!$AM$4:$AO$55,2,FALSE))*IF('11.07'!BA$4="是",'11.07'!$AY$4,'11.07'!$AY$3)</f>
        <v>0</v>
      </c>
      <c r="Q85" s="4">
        <f>(VLOOKUP('11.07'!Y85,'11.07'!$AM$4:$AO$55,2,FALSE))*IF('11.07'!BB$4="是",'11.07'!$AY$4,'11.07'!$AY$3)</f>
        <v>180</v>
      </c>
      <c r="R85" s="4">
        <f>(VLOOKUP('11.07'!Z85,'11.07'!$AM$4:$AO$55,2,FALSE))*IF('11.07'!BC$4="是",'11.07'!$AY$4,'11.07'!$AY$3)</f>
        <v>190</v>
      </c>
      <c r="S85" s="4">
        <f>(VLOOKUP('11.07'!AA85,'11.07'!$AM$4:$AO$55,2,FALSE))*IF('11.07'!BD$4="是",'11.07'!$AY$4,'11.07'!$AY$3)</f>
        <v>190</v>
      </c>
      <c r="T85" s="4">
        <f>(VLOOKUP('11.07'!AB85,'11.07'!$AM$4:$AO$55,2,FALSE))*IF('11.07'!BE$4="是",'11.07'!$AY$4,'11.07'!$AY$3)</f>
        <v>0</v>
      </c>
      <c r="U85" s="4">
        <f>(VLOOKUP('11.07'!AC85,'11.07'!$AM$4:$AO$55,2,FALSE))*IF('11.07'!BF$4="是",'11.07'!$AY$4,'11.07'!$AY$3)</f>
        <v>0</v>
      </c>
      <c r="V85" s="4">
        <f>(VLOOKUP('11.07'!AD85,'11.07'!$AM$4:$AO$55,2,FALSE))*IF('11.07'!BG$4="是",'11.07'!$AY$4,'11.07'!$AY$3)</f>
        <v>0</v>
      </c>
      <c r="W85" s="5">
        <f>(VLOOKUP('11.07'!AE85,'11.07'!$AM$4:$AO$55,2,FALSE))*IF('11.07'!BH$4="是",'11.07'!$AY$4,'11.07'!$AY$3)</f>
        <v>0</v>
      </c>
      <c r="X85" s="5">
        <f>(VLOOKUP('11.07'!AF85,'11.07'!$AM$4:$AO$55,2,FALSE))*IF('11.07'!BI$4="是",'11.07'!$AY$4,'11.07'!$AY$3)</f>
        <v>0</v>
      </c>
    </row>
    <row r="86" spans="1:24">
      <c r="A86" s="4">
        <f>(VLOOKUP('11.07'!I86,'11.07'!$AM$4:$AO$55,2,FALSE))*IF('11.07'!AK$4="是",'11.07'!$AY$4,'11.07'!$AY$3)</f>
        <v>190</v>
      </c>
      <c r="B86" s="4">
        <f>(VLOOKUP('11.07'!J86,'11.07'!$AM$4:$AO$55,2,FALSE))*IF('11.07'!AL$4="是",'11.07'!$AY$4,'11.07'!$AY$3)</f>
        <v>190</v>
      </c>
      <c r="C86" s="4">
        <f>(VLOOKUP('11.07'!K86,'11.07'!$AM$4:$AO$55,2,FALSE))*IF('11.07'!AM$4="是",'11.07'!$AY$4,'11.07'!$AY$3)</f>
        <v>190</v>
      </c>
      <c r="D86" s="4">
        <f>(VLOOKUP('11.07'!L86,'11.07'!$AM$4:$AO$55,2,FALSE))*IF('11.07'!AN$4="是",'11.07'!$AY$4,'11.07'!$AY$3)</f>
        <v>190</v>
      </c>
      <c r="E86" s="4">
        <f>(VLOOKUP('11.07'!M86,'11.07'!$AM$4:$AO$55,2,FALSE))*IF('11.07'!AO$4="是",'11.07'!$AY$4,'11.07'!$AY$3)</f>
        <v>190</v>
      </c>
      <c r="F86" s="4">
        <f>(VLOOKUP('11.07'!N86,'11.07'!$AM$4:$AO$55,2,FALSE))*IF('11.07'!AQ$4="是",'11.07'!$AY$4,'11.07'!$AY$3)</f>
        <v>190</v>
      </c>
      <c r="G86" s="5">
        <f>(VLOOKUP('11.07'!O86,'11.07'!$AM$4:$AO$55,2,FALSE))*IF('11.07'!AR$4="是",'11.07'!$AY$4,'11.07'!$AY$3)</f>
        <v>0</v>
      </c>
      <c r="H86" s="5">
        <f>(VLOOKUP('11.07'!P86,'11.07'!$AM$4:$AO$55,2,FALSE))*IF('11.07'!AS$4="是",'11.07'!$AY$4,'11.07'!$AY$3)</f>
        <v>0</v>
      </c>
      <c r="I86" s="4">
        <f>(VLOOKUP('11.07'!Q86,'11.07'!$AM$4:$AO$55,2,FALSE))*IF('11.07'!AT$4="是",'11.07'!$AY$4,'11.07'!$AY$3)</f>
        <v>170</v>
      </c>
      <c r="J86" s="4">
        <f>(VLOOKUP('11.07'!R86,'11.07'!$AM$4:$AO$55,2,FALSE))*IF('11.07'!AU$4="是",'11.07'!$AY$4,'11.07'!$AY$3)</f>
        <v>170</v>
      </c>
      <c r="K86" s="4">
        <f>(VLOOKUP('11.07'!S86,'11.07'!$AM$4:$AO$55,2,FALSE))*IF('11.07'!AV$4="是",'11.07'!$AY$4,'11.07'!$AY$3)</f>
        <v>170</v>
      </c>
      <c r="L86" s="4">
        <f>(VLOOKUP('11.07'!T86,'11.07'!$AM$4:$AO$55,2,FALSE))*IF('11.07'!AW$4="是",'11.07'!$AY$4,'11.07'!$AY$3)</f>
        <v>170</v>
      </c>
      <c r="M86" s="4">
        <f>(VLOOKUP('11.07'!U86,'11.07'!$AM$4:$AO$55,2,FALSE))*IF('11.07'!AX$4="是",'11.07'!$AY$4,'11.07'!$AY$3)</f>
        <v>170</v>
      </c>
      <c r="N86" s="4">
        <f>(VLOOKUP('11.07'!V86,'11.07'!$AM$4:$AO$55,2,FALSE))*IF('11.07'!AY$4="是",'11.07'!$AY$4,'11.07'!$AY$3)</f>
        <v>0</v>
      </c>
      <c r="O86" s="5">
        <f>(VLOOKUP('11.07'!W86,'11.07'!$AM$4:$AO$55,2,FALSE))*IF('11.07'!AZ$4="是",'11.07'!$AY$4,'11.07'!$AY$3)</f>
        <v>0</v>
      </c>
      <c r="P86" s="5">
        <f>(VLOOKUP('11.07'!X86,'11.07'!$AM$4:$AO$55,2,FALSE))*IF('11.07'!BA$4="是",'11.07'!$AY$4,'11.07'!$AY$3)</f>
        <v>0</v>
      </c>
      <c r="Q86" s="4">
        <f>(VLOOKUP('11.07'!Y86,'11.07'!$AM$4:$AO$55,2,FALSE))*IF('11.07'!BB$4="是",'11.07'!$AY$4,'11.07'!$AY$3)</f>
        <v>0</v>
      </c>
      <c r="R86" s="4">
        <f>(VLOOKUP('11.07'!Z86,'11.07'!$AM$4:$AO$55,2,FALSE))*IF('11.07'!BC$4="是",'11.07'!$AY$4,'11.07'!$AY$3)</f>
        <v>0</v>
      </c>
      <c r="S86" s="4">
        <f>(VLOOKUP('11.07'!AA86,'11.07'!$AM$4:$AO$55,2,FALSE))*IF('11.07'!BD$4="是",'11.07'!$AY$4,'11.07'!$AY$3)</f>
        <v>0</v>
      </c>
      <c r="T86" s="4">
        <f>(VLOOKUP('11.07'!AB86,'11.07'!$AM$4:$AO$55,2,FALSE))*IF('11.07'!BE$4="是",'11.07'!$AY$4,'11.07'!$AY$3)</f>
        <v>0</v>
      </c>
      <c r="U86" s="4">
        <f>(VLOOKUP('11.07'!AC86,'11.07'!$AM$4:$AO$55,2,FALSE))*IF('11.07'!BF$4="是",'11.07'!$AY$4,'11.07'!$AY$3)</f>
        <v>0</v>
      </c>
      <c r="V86" s="4">
        <f>(VLOOKUP('11.07'!AD86,'11.07'!$AM$4:$AO$55,2,FALSE))*IF('11.07'!BG$4="是",'11.07'!$AY$4,'11.07'!$AY$3)</f>
        <v>0</v>
      </c>
      <c r="W86" s="5">
        <f>(VLOOKUP('11.07'!AE86,'11.07'!$AM$4:$AO$55,2,FALSE))*IF('11.07'!BH$4="是",'11.07'!$AY$4,'11.07'!$AY$3)</f>
        <v>0</v>
      </c>
      <c r="X86" s="5">
        <f>(VLOOKUP('11.07'!AF86,'11.07'!$AM$4:$AO$55,2,FALSE))*IF('11.07'!BI$4="是",'11.07'!$AY$4,'11.07'!$AY$3)</f>
        <v>0</v>
      </c>
    </row>
    <row r="87" spans="1:24">
      <c r="A87" s="4">
        <f>(VLOOKUP('11.07'!I87,'11.07'!$AM$4:$AO$55,2,FALSE))*IF('11.07'!AK$4="是",'11.07'!$AY$4,'11.07'!$AY$3)</f>
        <v>190</v>
      </c>
      <c r="B87" s="4">
        <f>(VLOOKUP('11.07'!J87,'11.07'!$AM$4:$AO$55,2,FALSE))*IF('11.07'!AL$4="是",'11.07'!$AY$4,'11.07'!$AY$3)</f>
        <v>190</v>
      </c>
      <c r="C87" s="4">
        <f>(VLOOKUP('11.07'!K87,'11.07'!$AM$4:$AO$55,2,FALSE))*IF('11.07'!AM$4="是",'11.07'!$AY$4,'11.07'!$AY$3)</f>
        <v>190</v>
      </c>
      <c r="D87" s="4">
        <f>(VLOOKUP('11.07'!L87,'11.07'!$AM$4:$AO$55,2,FALSE))*IF('11.07'!AN$4="是",'11.07'!$AY$4,'11.07'!$AY$3)</f>
        <v>0</v>
      </c>
      <c r="E87" s="4">
        <f>(VLOOKUP('11.07'!M87,'11.07'!$AM$4:$AO$55,2,FALSE))*IF('11.07'!AO$4="是",'11.07'!$AY$4,'11.07'!$AY$3)</f>
        <v>0</v>
      </c>
      <c r="F87" s="4">
        <f>(VLOOKUP('11.07'!N87,'11.07'!$AM$4:$AO$55,2,FALSE))*IF('11.07'!AQ$4="是",'11.07'!$AY$4,'11.07'!$AY$3)</f>
        <v>0</v>
      </c>
      <c r="G87" s="5">
        <f>(VLOOKUP('11.07'!O87,'11.07'!$AM$4:$AO$55,2,FALSE))*IF('11.07'!AR$4="是",'11.07'!$AY$4,'11.07'!$AY$3)</f>
        <v>0</v>
      </c>
      <c r="H87" s="5">
        <f>(VLOOKUP('11.07'!P87,'11.07'!$AM$4:$AO$55,2,FALSE))*IF('11.07'!AS$4="是",'11.07'!$AY$4,'11.07'!$AY$3)</f>
        <v>0</v>
      </c>
      <c r="I87" s="4">
        <f>(VLOOKUP('11.07'!Q87,'11.07'!$AM$4:$AO$55,2,FALSE))*IF('11.07'!AT$4="是",'11.07'!$AY$4,'11.07'!$AY$3)</f>
        <v>50</v>
      </c>
      <c r="J87" s="4">
        <f>(VLOOKUP('11.07'!R87,'11.07'!$AM$4:$AO$55,2,FALSE))*IF('11.07'!AU$4="是",'11.07'!$AY$4,'11.07'!$AY$3)</f>
        <v>170</v>
      </c>
      <c r="K87" s="4">
        <f>(VLOOKUP('11.07'!S87,'11.07'!$AM$4:$AO$55,2,FALSE))*IF('11.07'!AV$4="是",'11.07'!$AY$4,'11.07'!$AY$3)</f>
        <v>170</v>
      </c>
      <c r="L87" s="4">
        <f>(VLOOKUP('11.07'!T87,'11.07'!$AM$4:$AO$55,2,FALSE))*IF('11.07'!AW$4="是",'11.07'!$AY$4,'11.07'!$AY$3)</f>
        <v>160</v>
      </c>
      <c r="M87" s="4">
        <f>(VLOOKUP('11.07'!U87,'11.07'!$AM$4:$AO$55,2,FALSE))*IF('11.07'!AX$4="是",'11.07'!$AY$4,'11.07'!$AY$3)</f>
        <v>160</v>
      </c>
      <c r="N87" s="4">
        <f>(VLOOKUP('11.07'!V87,'11.07'!$AM$4:$AO$55,2,FALSE))*IF('11.07'!AY$4="是",'11.07'!$AY$4,'11.07'!$AY$3)</f>
        <v>160</v>
      </c>
      <c r="O87" s="5">
        <f>(VLOOKUP('11.07'!W87,'11.07'!$AM$4:$AO$55,2,FALSE))*IF('11.07'!AZ$4="是",'11.07'!$AY$4,'11.07'!$AY$3)</f>
        <v>0</v>
      </c>
      <c r="P87" s="5">
        <f>(VLOOKUP('11.07'!X87,'11.07'!$AM$4:$AO$55,2,FALSE))*IF('11.07'!BA$4="是",'11.07'!$AY$4,'11.07'!$AY$3)</f>
        <v>0</v>
      </c>
      <c r="Q87" s="4">
        <f>(VLOOKUP('11.07'!Y87,'11.07'!$AM$4:$AO$55,2,FALSE))*IF('11.07'!BB$4="是",'11.07'!$AY$4,'11.07'!$AY$3)</f>
        <v>190</v>
      </c>
      <c r="R87" s="4">
        <f>(VLOOKUP('11.07'!Z87,'11.07'!$AM$4:$AO$55,2,FALSE))*IF('11.07'!BC$4="是",'11.07'!$AY$4,'11.07'!$AY$3)</f>
        <v>-200</v>
      </c>
      <c r="S87" s="4">
        <f>(VLOOKUP('11.07'!AA87,'11.07'!$AM$4:$AO$55,2,FALSE))*IF('11.07'!BD$4="是",'11.07'!$AY$4,'11.07'!$AY$3)</f>
        <v>190</v>
      </c>
      <c r="T87" s="4">
        <f>(VLOOKUP('11.07'!AB87,'11.07'!$AM$4:$AO$55,2,FALSE))*IF('11.07'!BE$4="是",'11.07'!$AY$4,'11.07'!$AY$3)</f>
        <v>50</v>
      </c>
      <c r="U87" s="4">
        <f>(VLOOKUP('11.07'!AC87,'11.07'!$AM$4:$AO$55,2,FALSE))*IF('11.07'!BF$4="是",'11.07'!$AY$4,'11.07'!$AY$3)</f>
        <v>190</v>
      </c>
      <c r="V87" s="4">
        <f>(VLOOKUP('11.07'!AD87,'11.07'!$AM$4:$AO$55,2,FALSE))*IF('11.07'!BG$4="是",'11.07'!$AY$4,'11.07'!$AY$3)</f>
        <v>0</v>
      </c>
      <c r="W87" s="5">
        <f>(VLOOKUP('11.07'!AE87,'11.07'!$AM$4:$AO$55,2,FALSE))*IF('11.07'!BH$4="是",'11.07'!$AY$4,'11.07'!$AY$3)</f>
        <v>0</v>
      </c>
      <c r="X87" s="5">
        <f>(VLOOKUP('11.07'!AF87,'11.07'!$AM$4:$AO$55,2,FALSE))*IF('11.07'!BI$4="是",'11.07'!$AY$4,'11.07'!$AY$3)</f>
        <v>0</v>
      </c>
    </row>
    <row r="88" spans="1:24">
      <c r="A88" s="4">
        <f>(VLOOKUP('11.07'!I88,'11.07'!$AM$4:$AO$55,2,FALSE))*IF('11.07'!AK$4="是",'11.07'!$AY$4,'11.07'!$AY$3)</f>
        <v>0</v>
      </c>
      <c r="B88" s="4">
        <f>(VLOOKUP('11.07'!J88,'11.07'!$AM$4:$AO$55,2,FALSE))*IF('11.07'!AL$4="是",'11.07'!$AY$4,'11.07'!$AY$3)</f>
        <v>0</v>
      </c>
      <c r="C88" s="4">
        <f>(VLOOKUP('11.07'!K88,'11.07'!$AM$4:$AO$55,2,FALSE))*IF('11.07'!AM$4="是",'11.07'!$AY$4,'11.07'!$AY$3)</f>
        <v>0</v>
      </c>
      <c r="D88" s="4">
        <f>(VLOOKUP('11.07'!L88,'11.07'!$AM$4:$AO$55,2,FALSE))*IF('11.07'!AN$4="是",'11.07'!$AY$4,'11.07'!$AY$3)</f>
        <v>0</v>
      </c>
      <c r="E88" s="4">
        <f>(VLOOKUP('11.07'!M88,'11.07'!$AM$4:$AO$55,2,FALSE))*IF('11.07'!AO$4="是",'11.07'!$AY$4,'11.07'!$AY$3)</f>
        <v>0</v>
      </c>
      <c r="F88" s="4">
        <f>(VLOOKUP('11.07'!N88,'11.07'!$AM$4:$AO$55,2,FALSE))*IF('11.07'!AQ$4="是",'11.07'!$AY$4,'11.07'!$AY$3)</f>
        <v>0</v>
      </c>
      <c r="G88" s="5">
        <f>(VLOOKUP('11.07'!O88,'11.07'!$AM$4:$AO$55,2,FALSE))*IF('11.07'!AR$4="是",'11.07'!$AY$4,'11.07'!$AY$3)</f>
        <v>0</v>
      </c>
      <c r="H88" s="5">
        <f>(VLOOKUP('11.07'!P88,'11.07'!$AM$4:$AO$55,2,FALSE))*IF('11.07'!AS$4="是",'11.07'!$AY$4,'11.07'!$AY$3)</f>
        <v>0</v>
      </c>
      <c r="I88" s="4">
        <f>(VLOOKUP('11.07'!Q88,'11.07'!$AM$4:$AO$55,2,FALSE))*IF('11.07'!AT$4="是",'11.07'!$AY$4,'11.07'!$AY$3)</f>
        <v>150</v>
      </c>
      <c r="J88" s="4">
        <f>(VLOOKUP('11.07'!R88,'11.07'!$AM$4:$AO$55,2,FALSE))*IF('11.07'!AU$4="是",'11.07'!$AY$4,'11.07'!$AY$3)</f>
        <v>160</v>
      </c>
      <c r="K88" s="4">
        <f>(VLOOKUP('11.07'!S88,'11.07'!$AM$4:$AO$55,2,FALSE))*IF('11.07'!AV$4="是",'11.07'!$AY$4,'11.07'!$AY$3)</f>
        <v>50</v>
      </c>
      <c r="L88" s="4">
        <f>(VLOOKUP('11.07'!T88,'11.07'!$AM$4:$AO$55,2,FALSE))*IF('11.07'!AW$4="是",'11.07'!$AY$4,'11.07'!$AY$3)</f>
        <v>160</v>
      </c>
      <c r="M88" s="4">
        <f>(VLOOKUP('11.07'!U88,'11.07'!$AM$4:$AO$55,2,FALSE))*IF('11.07'!AX$4="是",'11.07'!$AY$4,'11.07'!$AY$3)</f>
        <v>160</v>
      </c>
      <c r="N88" s="4">
        <f>(VLOOKUP('11.07'!V88,'11.07'!$AM$4:$AO$55,2,FALSE))*IF('11.07'!AY$4="是",'11.07'!$AY$4,'11.07'!$AY$3)</f>
        <v>0</v>
      </c>
      <c r="O88" s="5">
        <f>(VLOOKUP('11.07'!W88,'11.07'!$AM$4:$AO$55,2,FALSE))*IF('11.07'!AZ$4="是",'11.07'!$AY$4,'11.07'!$AY$3)</f>
        <v>0</v>
      </c>
      <c r="P88" s="5">
        <f>(VLOOKUP('11.07'!X88,'11.07'!$AM$4:$AO$55,2,FALSE))*IF('11.07'!BA$4="是",'11.07'!$AY$4,'11.07'!$AY$3)</f>
        <v>0</v>
      </c>
      <c r="Q88" s="4">
        <f>(VLOOKUP('11.07'!Y88,'11.07'!$AM$4:$AO$55,2,FALSE))*IF('11.07'!BB$4="是",'11.07'!$AY$4,'11.07'!$AY$3)</f>
        <v>190</v>
      </c>
      <c r="R88" s="4">
        <f>(VLOOKUP('11.07'!Z88,'11.07'!$AM$4:$AO$55,2,FALSE))*IF('11.07'!BC$4="是",'11.07'!$AY$4,'11.07'!$AY$3)</f>
        <v>190</v>
      </c>
      <c r="S88" s="4">
        <f>(VLOOKUP('11.07'!AA88,'11.07'!$AM$4:$AO$55,2,FALSE))*IF('11.07'!BD$4="是",'11.07'!$AY$4,'11.07'!$AY$3)</f>
        <v>190</v>
      </c>
      <c r="T88" s="4">
        <f>(VLOOKUP('11.07'!AB88,'11.07'!$AM$4:$AO$55,2,FALSE))*IF('11.07'!BE$4="是",'11.07'!$AY$4,'11.07'!$AY$3)</f>
        <v>190</v>
      </c>
      <c r="U88" s="4">
        <f>(VLOOKUP('11.07'!AC88,'11.07'!$AM$4:$AO$55,2,FALSE))*IF('11.07'!BF$4="是",'11.07'!$AY$4,'11.07'!$AY$3)</f>
        <v>190</v>
      </c>
      <c r="V88" s="4">
        <f>(VLOOKUP('11.07'!AD88,'11.07'!$AM$4:$AO$55,2,FALSE))*IF('11.07'!BG$4="是",'11.07'!$AY$4,'11.07'!$AY$3)</f>
        <v>190</v>
      </c>
      <c r="W88" s="5">
        <f>(VLOOKUP('11.07'!AE88,'11.07'!$AM$4:$AO$55,2,FALSE))*IF('11.07'!BH$4="是",'11.07'!$AY$4,'11.07'!$AY$3)</f>
        <v>0</v>
      </c>
      <c r="X88" s="5">
        <f>(VLOOKUP('11.07'!AF88,'11.07'!$AM$4:$AO$55,2,FALSE))*IF('11.07'!BI$4="是",'11.07'!$AY$4,'11.07'!$AY$3)</f>
        <v>0</v>
      </c>
    </row>
    <row r="89" spans="1:24">
      <c r="A89" s="4">
        <f>(VLOOKUP('11.07'!I89,'11.07'!$AM$4:$AO$55,2,FALSE))*IF('11.07'!AK$4="是",'11.07'!$AY$4,'11.07'!$AY$3)</f>
        <v>190</v>
      </c>
      <c r="B89" s="4">
        <f>(VLOOKUP('11.07'!J89,'11.07'!$AM$4:$AO$55,2,FALSE))*IF('11.07'!AL$4="是",'11.07'!$AY$4,'11.07'!$AY$3)</f>
        <v>190</v>
      </c>
      <c r="C89" s="4">
        <f>(VLOOKUP('11.07'!K89,'11.07'!$AM$4:$AO$55,2,FALSE))*IF('11.07'!AM$4="是",'11.07'!$AY$4,'11.07'!$AY$3)</f>
        <v>50</v>
      </c>
      <c r="D89" s="4">
        <f>(VLOOKUP('11.07'!L89,'11.07'!$AM$4:$AO$55,2,FALSE))*IF('11.07'!AN$4="是",'11.07'!$AY$4,'11.07'!$AY$3)</f>
        <v>190</v>
      </c>
      <c r="E89" s="4">
        <f>(VLOOKUP('11.07'!M89,'11.07'!$AM$4:$AO$55,2,FALSE))*IF('11.07'!AO$4="是",'11.07'!$AY$4,'11.07'!$AY$3)</f>
        <v>190</v>
      </c>
      <c r="F89" s="4">
        <f>(VLOOKUP('11.07'!N89,'11.07'!$AM$4:$AO$55,2,FALSE))*IF('11.07'!AQ$4="是",'11.07'!$AY$4,'11.07'!$AY$3)</f>
        <v>190</v>
      </c>
      <c r="G89" s="5">
        <f>(VLOOKUP('11.07'!O89,'11.07'!$AM$4:$AO$55,2,FALSE))*IF('11.07'!AR$4="是",'11.07'!$AY$4,'11.07'!$AY$3)</f>
        <v>190</v>
      </c>
      <c r="H89" s="5">
        <f>(VLOOKUP('11.07'!P89,'11.07'!$AM$4:$AO$55,2,FALSE))*IF('11.07'!AS$4="是",'11.07'!$AY$4,'11.07'!$AY$3)</f>
        <v>0</v>
      </c>
      <c r="I89" s="4">
        <f>(VLOOKUP('11.07'!Q89,'11.07'!$AM$4:$AO$55,2,FALSE))*IF('11.07'!AT$4="是",'11.07'!$AY$4,'11.07'!$AY$3)</f>
        <v>160</v>
      </c>
      <c r="J89" s="4">
        <f>(VLOOKUP('11.07'!R89,'11.07'!$AM$4:$AO$55,2,FALSE))*IF('11.07'!AU$4="是",'11.07'!$AY$4,'11.07'!$AY$3)</f>
        <v>160</v>
      </c>
      <c r="K89" s="4">
        <f>(VLOOKUP('11.07'!S89,'11.07'!$AM$4:$AO$55,2,FALSE))*IF('11.07'!AV$4="是",'11.07'!$AY$4,'11.07'!$AY$3)</f>
        <v>50</v>
      </c>
      <c r="L89" s="4">
        <f>(VLOOKUP('11.07'!T89,'11.07'!$AM$4:$AO$55,2,FALSE))*IF('11.07'!AW$4="是",'11.07'!$AY$4,'11.07'!$AY$3)</f>
        <v>0</v>
      </c>
      <c r="M89" s="4">
        <f>(VLOOKUP('11.07'!U89,'11.07'!$AM$4:$AO$55,2,FALSE))*IF('11.07'!AX$4="是",'11.07'!$AY$4,'11.07'!$AY$3)</f>
        <v>0</v>
      </c>
      <c r="N89" s="4">
        <f>(VLOOKUP('11.07'!V89,'11.07'!$AM$4:$AO$55,2,FALSE))*IF('11.07'!AY$4="是",'11.07'!$AY$4,'11.07'!$AY$3)</f>
        <v>0</v>
      </c>
      <c r="O89" s="5">
        <f>(VLOOKUP('11.07'!W89,'11.07'!$AM$4:$AO$55,2,FALSE))*IF('11.07'!AZ$4="是",'11.07'!$AY$4,'11.07'!$AY$3)</f>
        <v>0</v>
      </c>
      <c r="P89" s="5">
        <f>(VLOOKUP('11.07'!X89,'11.07'!$AM$4:$AO$55,2,FALSE))*IF('11.07'!BA$4="是",'11.07'!$AY$4,'11.07'!$AY$3)</f>
        <v>0</v>
      </c>
      <c r="Q89" s="4">
        <f>(VLOOKUP('11.07'!Y89,'11.07'!$AM$4:$AO$55,2,FALSE))*IF('11.07'!BB$4="是",'11.07'!$AY$4,'11.07'!$AY$3)</f>
        <v>190</v>
      </c>
      <c r="R89" s="4">
        <f>(VLOOKUP('11.07'!Z89,'11.07'!$AM$4:$AO$55,2,FALSE))*IF('11.07'!BC$4="是",'11.07'!$AY$4,'11.07'!$AY$3)</f>
        <v>190</v>
      </c>
      <c r="S89" s="4">
        <f>(VLOOKUP('11.07'!AA89,'11.07'!$AM$4:$AO$55,2,FALSE))*IF('11.07'!BD$4="是",'11.07'!$AY$4,'11.07'!$AY$3)</f>
        <v>190</v>
      </c>
      <c r="T89" s="4">
        <f>(VLOOKUP('11.07'!AB89,'11.07'!$AM$4:$AO$55,2,FALSE))*IF('11.07'!BE$4="是",'11.07'!$AY$4,'11.07'!$AY$3)</f>
        <v>0</v>
      </c>
      <c r="U89" s="4">
        <f>(VLOOKUP('11.07'!AC89,'11.07'!$AM$4:$AO$55,2,FALSE))*IF('11.07'!BF$4="是",'11.07'!$AY$4,'11.07'!$AY$3)</f>
        <v>0</v>
      </c>
      <c r="V89" s="4">
        <f>(VLOOKUP('11.07'!AD89,'11.07'!$AM$4:$AO$55,2,FALSE))*IF('11.07'!BG$4="是",'11.07'!$AY$4,'11.07'!$AY$3)</f>
        <v>0</v>
      </c>
      <c r="W89" s="5">
        <f>(VLOOKUP('11.07'!AE89,'11.07'!$AM$4:$AO$55,2,FALSE))*IF('11.07'!BH$4="是",'11.07'!$AY$4,'11.07'!$AY$3)</f>
        <v>0</v>
      </c>
      <c r="X89" s="5">
        <f>(VLOOKUP('11.07'!AF89,'11.07'!$AM$4:$AO$55,2,FALSE))*IF('11.07'!BI$4="是",'11.07'!$AY$4,'11.07'!$AY$3)</f>
        <v>0</v>
      </c>
    </row>
    <row r="90" spans="1:24">
      <c r="A90" s="4">
        <f>(VLOOKUP('11.07'!I90,'11.07'!$AM$4:$AO$55,2,FALSE))*IF('11.07'!AK$4="是",'11.07'!$AY$4,'11.07'!$AY$3)</f>
        <v>190</v>
      </c>
      <c r="B90" s="4">
        <f>(VLOOKUP('11.07'!J90,'11.07'!$AM$4:$AO$55,2,FALSE))*IF('11.07'!AL$4="是",'11.07'!$AY$4,'11.07'!$AY$3)</f>
        <v>190</v>
      </c>
      <c r="C90" s="4">
        <f>(VLOOKUP('11.07'!K90,'11.07'!$AM$4:$AO$55,2,FALSE))*IF('11.07'!AM$4="是",'11.07'!$AY$4,'11.07'!$AY$3)</f>
        <v>190</v>
      </c>
      <c r="D90" s="4">
        <f>(VLOOKUP('11.07'!L90,'11.07'!$AM$4:$AO$55,2,FALSE))*IF('11.07'!AN$4="是",'11.07'!$AY$4,'11.07'!$AY$3)</f>
        <v>190</v>
      </c>
      <c r="E90" s="4">
        <f>(VLOOKUP('11.07'!M90,'11.07'!$AM$4:$AO$55,2,FALSE))*IF('11.07'!AO$4="是",'11.07'!$AY$4,'11.07'!$AY$3)</f>
        <v>190</v>
      </c>
      <c r="F90" s="4">
        <f>(VLOOKUP('11.07'!N90,'11.07'!$AM$4:$AO$55,2,FALSE))*IF('11.07'!AQ$4="是",'11.07'!$AY$4,'11.07'!$AY$3)</f>
        <v>-200</v>
      </c>
      <c r="G90" s="5">
        <f>(VLOOKUP('11.07'!O90,'11.07'!$AM$4:$AO$55,2,FALSE))*IF('11.07'!AR$4="是",'11.07'!$AY$4,'11.07'!$AY$3)</f>
        <v>0</v>
      </c>
      <c r="H90" s="5">
        <f>(VLOOKUP('11.07'!P90,'11.07'!$AM$4:$AO$55,2,FALSE))*IF('11.07'!AS$4="是",'11.07'!$AY$4,'11.07'!$AY$3)</f>
        <v>0</v>
      </c>
      <c r="I90" s="4">
        <f>(VLOOKUP('11.07'!Q90,'11.07'!$AM$4:$AO$55,2,FALSE))*IF('11.07'!AT$4="是",'11.07'!$AY$4,'11.07'!$AY$3)</f>
        <v>160</v>
      </c>
      <c r="J90" s="4">
        <f>(VLOOKUP('11.07'!R90,'11.07'!$AM$4:$AO$55,2,FALSE))*IF('11.07'!AU$4="是",'11.07'!$AY$4,'11.07'!$AY$3)</f>
        <v>160</v>
      </c>
      <c r="K90" s="4">
        <f>(VLOOKUP('11.07'!S90,'11.07'!$AM$4:$AO$55,2,FALSE))*IF('11.07'!AV$4="是",'11.07'!$AY$4,'11.07'!$AY$3)</f>
        <v>160</v>
      </c>
      <c r="L90" s="4">
        <f>(VLOOKUP('11.07'!T90,'11.07'!$AM$4:$AO$55,2,FALSE))*IF('11.07'!AW$4="是",'11.07'!$AY$4,'11.07'!$AY$3)</f>
        <v>50</v>
      </c>
      <c r="M90" s="4">
        <f>(VLOOKUP('11.07'!U90,'11.07'!$AM$4:$AO$55,2,FALSE))*IF('11.07'!AX$4="是",'11.07'!$AY$4,'11.07'!$AY$3)</f>
        <v>160</v>
      </c>
      <c r="N90" s="4">
        <f>(VLOOKUP('11.07'!V90,'11.07'!$AM$4:$AO$55,2,FALSE))*IF('11.07'!AY$4="是",'11.07'!$AY$4,'11.07'!$AY$3)</f>
        <v>160</v>
      </c>
      <c r="O90" s="5">
        <f>(VLOOKUP('11.07'!W90,'11.07'!$AM$4:$AO$55,2,FALSE))*IF('11.07'!AZ$4="是",'11.07'!$AY$4,'11.07'!$AY$3)</f>
        <v>0</v>
      </c>
      <c r="P90" s="5">
        <f>(VLOOKUP('11.07'!X90,'11.07'!$AM$4:$AO$55,2,FALSE))*IF('11.07'!BA$4="是",'11.07'!$AY$4,'11.07'!$AY$3)</f>
        <v>0</v>
      </c>
      <c r="Q90" s="4">
        <f>(VLOOKUP('11.07'!Y90,'11.07'!$AM$4:$AO$55,2,FALSE))*IF('11.07'!BB$4="是",'11.07'!$AY$4,'11.07'!$AY$3)</f>
        <v>190</v>
      </c>
      <c r="R90" s="4">
        <f>(VLOOKUP('11.07'!Z90,'11.07'!$AM$4:$AO$55,2,FALSE))*IF('11.07'!BC$4="是",'11.07'!$AY$4,'11.07'!$AY$3)</f>
        <v>190</v>
      </c>
      <c r="S90" s="4">
        <f>(VLOOKUP('11.07'!AA90,'11.07'!$AM$4:$AO$55,2,FALSE))*IF('11.07'!BD$4="是",'11.07'!$AY$4,'11.07'!$AY$3)</f>
        <v>0</v>
      </c>
      <c r="T90" s="4">
        <f>(VLOOKUP('11.07'!AB90,'11.07'!$AM$4:$AO$55,2,FALSE))*IF('11.07'!BE$4="是",'11.07'!$AY$4,'11.07'!$AY$3)</f>
        <v>0</v>
      </c>
      <c r="U90" s="4">
        <f>(VLOOKUP('11.07'!AC90,'11.07'!$AM$4:$AO$55,2,FALSE))*IF('11.07'!BF$4="是",'11.07'!$AY$4,'11.07'!$AY$3)</f>
        <v>0</v>
      </c>
      <c r="V90" s="4">
        <f>(VLOOKUP('11.07'!AD90,'11.07'!$AM$4:$AO$55,2,FALSE))*IF('11.07'!BG$4="是",'11.07'!$AY$4,'11.07'!$AY$3)</f>
        <v>0</v>
      </c>
      <c r="W90" s="5">
        <f>(VLOOKUP('11.07'!AE90,'11.07'!$AM$4:$AO$55,2,FALSE))*IF('11.07'!BH$4="是",'11.07'!$AY$4,'11.07'!$AY$3)</f>
        <v>0</v>
      </c>
      <c r="X90" s="5">
        <f>(VLOOKUP('11.07'!AF90,'11.07'!$AM$4:$AO$55,2,FALSE))*IF('11.07'!BI$4="是",'11.07'!$AY$4,'11.07'!$AY$3)</f>
        <v>0</v>
      </c>
    </row>
    <row r="91" spans="1:24">
      <c r="A91" s="4">
        <f>(VLOOKUP('11.07'!I91,'11.07'!$AM$4:$AO$55,2,FALSE))*IF('11.07'!AK$4="是",'11.07'!$AY$4,'11.07'!$AY$3)</f>
        <v>190</v>
      </c>
      <c r="B91" s="4">
        <f>(VLOOKUP('11.07'!J91,'11.07'!$AM$4:$AO$55,2,FALSE))*IF('11.07'!AL$4="是",'11.07'!$AY$4,'11.07'!$AY$3)</f>
        <v>190</v>
      </c>
      <c r="C91" s="4">
        <f>(VLOOKUP('11.07'!K91,'11.07'!$AM$4:$AO$55,2,FALSE))*IF('11.07'!AM$4="是",'11.07'!$AY$4,'11.07'!$AY$3)</f>
        <v>190</v>
      </c>
      <c r="D91" s="4">
        <f>(VLOOKUP('11.07'!L91,'11.07'!$AM$4:$AO$55,2,FALSE))*IF('11.07'!AN$4="是",'11.07'!$AY$4,'11.07'!$AY$3)</f>
        <v>190</v>
      </c>
      <c r="E91" s="4">
        <f>(VLOOKUP('11.07'!M91,'11.07'!$AM$4:$AO$55,2,FALSE))*IF('11.07'!AO$4="是",'11.07'!$AY$4,'11.07'!$AY$3)</f>
        <v>190</v>
      </c>
      <c r="F91" s="4">
        <f>(VLOOKUP('11.07'!N91,'11.07'!$AM$4:$AO$55,2,FALSE))*IF('11.07'!AQ$4="是",'11.07'!$AY$4,'11.07'!$AY$3)</f>
        <v>190</v>
      </c>
      <c r="G91" s="5">
        <f>(VLOOKUP('11.07'!O91,'11.07'!$AM$4:$AO$55,2,FALSE))*IF('11.07'!AR$4="是",'11.07'!$AY$4,'11.07'!$AY$3)</f>
        <v>0</v>
      </c>
      <c r="H91" s="5">
        <f>(VLOOKUP('11.07'!P91,'11.07'!$AM$4:$AO$55,2,FALSE))*IF('11.07'!AS$4="是",'11.07'!$AY$4,'11.07'!$AY$3)</f>
        <v>0</v>
      </c>
      <c r="I91" s="4">
        <f>(VLOOKUP('11.07'!Q91,'11.07'!$AM$4:$AO$55,2,FALSE))*IF('11.07'!AT$4="是",'11.07'!$AY$4,'11.07'!$AY$3)</f>
        <v>160</v>
      </c>
      <c r="J91" s="4">
        <f>(VLOOKUP('11.07'!R91,'11.07'!$AM$4:$AO$55,2,FALSE))*IF('11.07'!AU$4="是",'11.07'!$AY$4,'11.07'!$AY$3)</f>
        <v>50</v>
      </c>
      <c r="K91" s="4">
        <f>(VLOOKUP('11.07'!S91,'11.07'!$AM$4:$AO$55,2,FALSE))*IF('11.07'!AV$4="是",'11.07'!$AY$4,'11.07'!$AY$3)</f>
        <v>-200</v>
      </c>
      <c r="L91" s="4">
        <f>(VLOOKUP('11.07'!T91,'11.07'!$AM$4:$AO$55,2,FALSE))*IF('11.07'!AW$4="是",'11.07'!$AY$4,'11.07'!$AY$3)</f>
        <v>0</v>
      </c>
      <c r="M91" s="4">
        <f>(VLOOKUP('11.07'!U91,'11.07'!$AM$4:$AO$55,2,FALSE))*IF('11.07'!AX$4="是",'11.07'!$AY$4,'11.07'!$AY$3)</f>
        <v>0</v>
      </c>
      <c r="N91" s="4">
        <f>(VLOOKUP('11.07'!V91,'11.07'!$AM$4:$AO$55,2,FALSE))*IF('11.07'!AY$4="是",'11.07'!$AY$4,'11.07'!$AY$3)</f>
        <v>0</v>
      </c>
      <c r="O91" s="5">
        <f>(VLOOKUP('11.07'!W91,'11.07'!$AM$4:$AO$55,2,FALSE))*IF('11.07'!AZ$4="是",'11.07'!$AY$4,'11.07'!$AY$3)</f>
        <v>0</v>
      </c>
      <c r="P91" s="5">
        <f>(VLOOKUP('11.07'!X91,'11.07'!$AM$4:$AO$55,2,FALSE))*IF('11.07'!BA$4="是",'11.07'!$AY$4,'11.07'!$AY$3)</f>
        <v>0</v>
      </c>
      <c r="Q91" s="4">
        <f>(VLOOKUP('11.07'!Y91,'11.07'!$AM$4:$AO$55,2,FALSE))*IF('11.07'!BB$4="是",'11.07'!$AY$4,'11.07'!$AY$3)</f>
        <v>190</v>
      </c>
      <c r="R91" s="4">
        <f>(VLOOKUP('11.07'!Z91,'11.07'!$AM$4:$AO$55,2,FALSE))*IF('11.07'!BC$4="是",'11.07'!$AY$4,'11.07'!$AY$3)</f>
        <v>190</v>
      </c>
      <c r="S91" s="4">
        <f>(VLOOKUP('11.07'!AA91,'11.07'!$AM$4:$AO$55,2,FALSE))*IF('11.07'!BD$4="是",'11.07'!$AY$4,'11.07'!$AY$3)</f>
        <v>190</v>
      </c>
      <c r="T91" s="4">
        <f>(VLOOKUP('11.07'!AB91,'11.07'!$AM$4:$AO$55,2,FALSE))*IF('11.07'!BE$4="是",'11.07'!$AY$4,'11.07'!$AY$3)</f>
        <v>190</v>
      </c>
      <c r="U91" s="4">
        <f>(VLOOKUP('11.07'!AC91,'11.07'!$AM$4:$AO$55,2,FALSE))*IF('11.07'!BF$4="是",'11.07'!$AY$4,'11.07'!$AY$3)</f>
        <v>0</v>
      </c>
      <c r="V91" s="4">
        <f>(VLOOKUP('11.07'!AD91,'11.07'!$AM$4:$AO$55,2,FALSE))*IF('11.07'!BG$4="是",'11.07'!$AY$4,'11.07'!$AY$3)</f>
        <v>0</v>
      </c>
      <c r="W91" s="5">
        <f>(VLOOKUP('11.07'!AE91,'11.07'!$AM$4:$AO$55,2,FALSE))*IF('11.07'!BH$4="是",'11.07'!$AY$4,'11.07'!$AY$3)</f>
        <v>0</v>
      </c>
      <c r="X91" s="5">
        <f>(VLOOKUP('11.07'!AF91,'11.07'!$AM$4:$AO$55,2,FALSE))*IF('11.07'!BI$4="是",'11.07'!$AY$4,'11.07'!$AY$3)</f>
        <v>0</v>
      </c>
    </row>
    <row r="92" spans="1:24">
      <c r="A92" s="4">
        <f>(VLOOKUP('11.07'!I92,'11.07'!$AM$4:$AO$55,2,FALSE))*IF('11.07'!AK$4="是",'11.07'!$AY$4,'11.07'!$AY$3)</f>
        <v>190</v>
      </c>
      <c r="B92" s="4">
        <f>(VLOOKUP('11.07'!J92,'11.07'!$AM$4:$AO$55,2,FALSE))*IF('11.07'!AL$4="是",'11.07'!$AY$4,'11.07'!$AY$3)</f>
        <v>190</v>
      </c>
      <c r="C92" s="4">
        <f>(VLOOKUP('11.07'!K92,'11.07'!$AM$4:$AO$55,2,FALSE))*IF('11.07'!AM$4="是",'11.07'!$AY$4,'11.07'!$AY$3)</f>
        <v>190</v>
      </c>
      <c r="D92" s="4">
        <f>(VLOOKUP('11.07'!L92,'11.07'!$AM$4:$AO$55,2,FALSE))*IF('11.07'!AN$4="是",'11.07'!$AY$4,'11.07'!$AY$3)</f>
        <v>190</v>
      </c>
      <c r="E92" s="4">
        <f>(VLOOKUP('11.07'!M92,'11.07'!$AM$4:$AO$55,2,FALSE))*IF('11.07'!AO$4="是",'11.07'!$AY$4,'11.07'!$AY$3)</f>
        <v>190</v>
      </c>
      <c r="F92" s="4">
        <f>(VLOOKUP('11.07'!N92,'11.07'!$AM$4:$AO$55,2,FALSE))*IF('11.07'!AQ$4="是",'11.07'!$AY$4,'11.07'!$AY$3)</f>
        <v>190</v>
      </c>
      <c r="G92" s="5">
        <f>(VLOOKUP('11.07'!O92,'11.07'!$AM$4:$AO$55,2,FALSE))*IF('11.07'!AR$4="是",'11.07'!$AY$4,'11.07'!$AY$3)</f>
        <v>0</v>
      </c>
      <c r="H92" s="5">
        <f>(VLOOKUP('11.07'!P92,'11.07'!$AM$4:$AO$55,2,FALSE))*IF('11.07'!AS$4="是",'11.07'!$AY$4,'11.07'!$AY$3)</f>
        <v>0</v>
      </c>
      <c r="I92" s="4">
        <f>(VLOOKUP('11.07'!Q92,'11.07'!$AM$4:$AO$55,2,FALSE))*IF('11.07'!AT$4="是",'11.07'!$AY$4,'11.07'!$AY$3)</f>
        <v>0</v>
      </c>
      <c r="J92" s="4">
        <f>(VLOOKUP('11.07'!R92,'11.07'!$AM$4:$AO$55,2,FALSE))*IF('11.07'!AU$4="是",'11.07'!$AY$4,'11.07'!$AY$3)</f>
        <v>0</v>
      </c>
      <c r="K92" s="4">
        <f>(VLOOKUP('11.07'!S92,'11.07'!$AM$4:$AO$55,2,FALSE))*IF('11.07'!AV$4="是",'11.07'!$AY$4,'11.07'!$AY$3)</f>
        <v>0</v>
      </c>
      <c r="L92" s="4">
        <f>(VLOOKUP('11.07'!T92,'11.07'!$AM$4:$AO$55,2,FALSE))*IF('11.07'!AW$4="是",'11.07'!$AY$4,'11.07'!$AY$3)</f>
        <v>0</v>
      </c>
      <c r="M92" s="4">
        <f>(VLOOKUP('11.07'!U92,'11.07'!$AM$4:$AO$55,2,FALSE))*IF('11.07'!AX$4="是",'11.07'!$AY$4,'11.07'!$AY$3)</f>
        <v>0</v>
      </c>
      <c r="N92" s="4">
        <f>(VLOOKUP('11.07'!V92,'11.07'!$AM$4:$AO$55,2,FALSE))*IF('11.07'!AY$4="是",'11.07'!$AY$4,'11.07'!$AY$3)</f>
        <v>0</v>
      </c>
      <c r="O92" s="5">
        <f>(VLOOKUP('11.07'!W92,'11.07'!$AM$4:$AO$55,2,FALSE))*IF('11.07'!AZ$4="是",'11.07'!$AY$4,'11.07'!$AY$3)</f>
        <v>0</v>
      </c>
      <c r="P92" s="5">
        <f>(VLOOKUP('11.07'!X92,'11.07'!$AM$4:$AO$55,2,FALSE))*IF('11.07'!BA$4="是",'11.07'!$AY$4,'11.07'!$AY$3)</f>
        <v>0</v>
      </c>
      <c r="Q92" s="4">
        <f>(VLOOKUP('11.07'!Y92,'11.07'!$AM$4:$AO$55,2,FALSE))*IF('11.07'!BB$4="是",'11.07'!$AY$4,'11.07'!$AY$3)</f>
        <v>190</v>
      </c>
      <c r="R92" s="4">
        <f>(VLOOKUP('11.07'!Z92,'11.07'!$AM$4:$AO$55,2,FALSE))*IF('11.07'!BC$4="是",'11.07'!$AY$4,'11.07'!$AY$3)</f>
        <v>190</v>
      </c>
      <c r="S92" s="4">
        <f>(VLOOKUP('11.07'!AA92,'11.07'!$AM$4:$AO$55,2,FALSE))*IF('11.07'!BD$4="是",'11.07'!$AY$4,'11.07'!$AY$3)</f>
        <v>190</v>
      </c>
      <c r="T92" s="4">
        <f>(VLOOKUP('11.07'!AB92,'11.07'!$AM$4:$AO$55,2,FALSE))*IF('11.07'!BE$4="是",'11.07'!$AY$4,'11.07'!$AY$3)</f>
        <v>250</v>
      </c>
      <c r="U92" s="4">
        <f>(VLOOKUP('11.07'!AC92,'11.07'!$AM$4:$AO$55,2,FALSE))*IF('11.07'!BF$4="是",'11.07'!$AY$4,'11.07'!$AY$3)</f>
        <v>0</v>
      </c>
      <c r="V92" s="4">
        <f>(VLOOKUP('11.07'!AD92,'11.07'!$AM$4:$AO$55,2,FALSE))*IF('11.07'!BG$4="是",'11.07'!$AY$4,'11.07'!$AY$3)</f>
        <v>0</v>
      </c>
      <c r="W92" s="5">
        <f>(VLOOKUP('11.07'!AE92,'11.07'!$AM$4:$AO$55,2,FALSE))*IF('11.07'!BH$4="是",'11.07'!$AY$4,'11.07'!$AY$3)</f>
        <v>0</v>
      </c>
      <c r="X92" s="5">
        <f>(VLOOKUP('11.07'!AF92,'11.07'!$AM$4:$AO$55,2,FALSE))*IF('11.07'!BI$4="是",'11.07'!$AY$4,'11.07'!$AY$3)</f>
        <v>0</v>
      </c>
    </row>
    <row r="93" spans="1:24">
      <c r="A93" s="4">
        <f>(VLOOKUP('11.07'!I93,'11.07'!$AM$4:$AO$55,2,FALSE))*IF('11.07'!AK$4="是",'11.07'!$AY$4,'11.07'!$AY$3)</f>
        <v>190</v>
      </c>
      <c r="B93" s="4">
        <f>(VLOOKUP('11.07'!J93,'11.07'!$AM$4:$AO$55,2,FALSE))*IF('11.07'!AL$4="是",'11.07'!$AY$4,'11.07'!$AY$3)</f>
        <v>190</v>
      </c>
      <c r="C93" s="4">
        <f>(VLOOKUP('11.07'!K93,'11.07'!$AM$4:$AO$55,2,FALSE))*IF('11.07'!AM$4="是",'11.07'!$AY$4,'11.07'!$AY$3)</f>
        <v>190</v>
      </c>
      <c r="D93" s="4">
        <f>(VLOOKUP('11.07'!L93,'11.07'!$AM$4:$AO$55,2,FALSE))*IF('11.07'!AN$4="是",'11.07'!$AY$4,'11.07'!$AY$3)</f>
        <v>190</v>
      </c>
      <c r="E93" s="4">
        <f>(VLOOKUP('11.07'!M93,'11.07'!$AM$4:$AO$55,2,FALSE))*IF('11.07'!AO$4="是",'11.07'!$AY$4,'11.07'!$AY$3)</f>
        <v>250</v>
      </c>
      <c r="F93" s="4">
        <f>(VLOOKUP('11.07'!N93,'11.07'!$AM$4:$AO$55,2,FALSE))*IF('11.07'!AQ$4="是",'11.07'!$AY$4,'11.07'!$AY$3)</f>
        <v>160</v>
      </c>
      <c r="G93" s="5">
        <f>(VLOOKUP('11.07'!O93,'11.07'!$AM$4:$AO$55,2,FALSE))*IF('11.07'!AR$4="是",'11.07'!$AY$4,'11.07'!$AY$3)</f>
        <v>160</v>
      </c>
      <c r="H93" s="5">
        <f>(VLOOKUP('11.07'!P93,'11.07'!$AM$4:$AO$55,2,FALSE))*IF('11.07'!AS$4="是",'11.07'!$AY$4,'11.07'!$AY$3)</f>
        <v>150</v>
      </c>
      <c r="I93" s="4">
        <f>(VLOOKUP('11.07'!Q93,'11.07'!$AM$4:$AO$55,2,FALSE))*IF('11.07'!AT$4="是",'11.07'!$AY$4,'11.07'!$AY$3)</f>
        <v>50</v>
      </c>
      <c r="J93" s="4">
        <f>(VLOOKUP('11.07'!R93,'11.07'!$AM$4:$AO$55,2,FALSE))*IF('11.07'!AU$4="是",'11.07'!$AY$4,'11.07'!$AY$3)</f>
        <v>160</v>
      </c>
      <c r="K93" s="4">
        <f>(VLOOKUP('11.07'!S93,'11.07'!$AM$4:$AO$55,2,FALSE))*IF('11.07'!AV$4="是",'11.07'!$AY$4,'11.07'!$AY$3)</f>
        <v>160</v>
      </c>
      <c r="L93" s="4">
        <f>(VLOOKUP('11.07'!T93,'11.07'!$AM$4:$AO$55,2,FALSE))*IF('11.07'!AW$4="是",'11.07'!$AY$4,'11.07'!$AY$3)</f>
        <v>160</v>
      </c>
      <c r="M93" s="4">
        <f>(VLOOKUP('11.07'!U93,'11.07'!$AM$4:$AO$55,2,FALSE))*IF('11.07'!AX$4="是",'11.07'!$AY$4,'11.07'!$AY$3)</f>
        <v>160</v>
      </c>
      <c r="N93" s="4">
        <f>(VLOOKUP('11.07'!V93,'11.07'!$AM$4:$AO$55,2,FALSE))*IF('11.07'!AY$4="是",'11.07'!$AY$4,'11.07'!$AY$3)</f>
        <v>50</v>
      </c>
      <c r="O93" s="5">
        <f>(VLOOKUP('11.07'!W93,'11.07'!$AM$4:$AO$55,2,FALSE))*IF('11.07'!AZ$4="是",'11.07'!$AY$4,'11.07'!$AY$3)</f>
        <v>0</v>
      </c>
      <c r="P93" s="5">
        <f>(VLOOKUP('11.07'!X93,'11.07'!$AM$4:$AO$55,2,FALSE))*IF('11.07'!BA$4="是",'11.07'!$AY$4,'11.07'!$AY$3)</f>
        <v>0</v>
      </c>
      <c r="Q93" s="4">
        <f>(VLOOKUP('11.07'!Y93,'11.07'!$AM$4:$AO$55,2,FALSE))*IF('11.07'!BB$4="是",'11.07'!$AY$4,'11.07'!$AY$3)</f>
        <v>0</v>
      </c>
      <c r="R93" s="4">
        <f>(VLOOKUP('11.07'!Z93,'11.07'!$AM$4:$AO$55,2,FALSE))*IF('11.07'!BC$4="是",'11.07'!$AY$4,'11.07'!$AY$3)</f>
        <v>0</v>
      </c>
      <c r="S93" s="4">
        <f>(VLOOKUP('11.07'!AA93,'11.07'!$AM$4:$AO$55,2,FALSE))*IF('11.07'!BD$4="是",'11.07'!$AY$4,'11.07'!$AY$3)</f>
        <v>0</v>
      </c>
      <c r="T93" s="4">
        <f>(VLOOKUP('11.07'!AB93,'11.07'!$AM$4:$AO$55,2,FALSE))*IF('11.07'!BE$4="是",'11.07'!$AY$4,'11.07'!$AY$3)</f>
        <v>0</v>
      </c>
      <c r="U93" s="4">
        <f>(VLOOKUP('11.07'!AC93,'11.07'!$AM$4:$AO$55,2,FALSE))*IF('11.07'!BF$4="是",'11.07'!$AY$4,'11.07'!$AY$3)</f>
        <v>0</v>
      </c>
      <c r="V93" s="4">
        <f>(VLOOKUP('11.07'!AD93,'11.07'!$AM$4:$AO$55,2,FALSE))*IF('11.07'!BG$4="是",'11.07'!$AY$4,'11.07'!$AY$3)</f>
        <v>0</v>
      </c>
      <c r="W93" s="5">
        <f>(VLOOKUP('11.07'!AE93,'11.07'!$AM$4:$AO$55,2,FALSE))*IF('11.07'!BH$4="是",'11.07'!$AY$4,'11.07'!$AY$3)</f>
        <v>0</v>
      </c>
      <c r="X93" s="5">
        <f>(VLOOKUP('11.07'!AF93,'11.07'!$AM$4:$AO$55,2,FALSE))*IF('11.07'!BI$4="是",'11.07'!$AY$4,'11.07'!$AY$3)</f>
        <v>0</v>
      </c>
    </row>
    <row r="94" spans="1:24">
      <c r="A94" s="4">
        <f>(VLOOKUP('11.07'!I94,'11.07'!$AM$4:$AO$55,2,FALSE))*IF('11.07'!AK$4="是",'11.07'!$AY$4,'11.07'!$AY$3)</f>
        <v>160</v>
      </c>
      <c r="B94" s="4">
        <f>(VLOOKUP('11.07'!J94,'11.07'!$AM$4:$AO$55,2,FALSE))*IF('11.07'!AL$4="是",'11.07'!$AY$4,'11.07'!$AY$3)</f>
        <v>160</v>
      </c>
      <c r="C94" s="4">
        <f>(VLOOKUP('11.07'!K94,'11.07'!$AM$4:$AO$55,2,FALSE))*IF('11.07'!AM$4="是",'11.07'!$AY$4,'11.07'!$AY$3)</f>
        <v>50</v>
      </c>
      <c r="D94" s="4">
        <f>(VLOOKUP('11.07'!L94,'11.07'!$AM$4:$AO$55,2,FALSE))*IF('11.07'!AN$4="是",'11.07'!$AY$4,'11.07'!$AY$3)</f>
        <v>0</v>
      </c>
      <c r="E94" s="4">
        <f>(VLOOKUP('11.07'!M94,'11.07'!$AM$4:$AO$55,2,FALSE))*IF('11.07'!AO$4="是",'11.07'!$AY$4,'11.07'!$AY$3)</f>
        <v>0</v>
      </c>
      <c r="F94" s="4">
        <f>(VLOOKUP('11.07'!N94,'11.07'!$AM$4:$AO$55,2,FALSE))*IF('11.07'!AQ$4="是",'11.07'!$AY$4,'11.07'!$AY$3)</f>
        <v>0</v>
      </c>
      <c r="G94" s="5">
        <f>(VLOOKUP('11.07'!O94,'11.07'!$AM$4:$AO$55,2,FALSE))*IF('11.07'!AR$4="是",'11.07'!$AY$4,'11.07'!$AY$3)</f>
        <v>0</v>
      </c>
      <c r="H94" s="5">
        <f>(VLOOKUP('11.07'!P94,'11.07'!$AM$4:$AO$55,2,FALSE))*IF('11.07'!AS$4="是",'11.07'!$AY$4,'11.07'!$AY$3)</f>
        <v>0</v>
      </c>
      <c r="I94" s="4">
        <f>(VLOOKUP('11.07'!Q94,'11.07'!$AM$4:$AO$55,2,FALSE))*IF('11.07'!AT$4="是",'11.07'!$AY$4,'11.07'!$AY$3)</f>
        <v>160</v>
      </c>
      <c r="J94" s="4">
        <f>(VLOOKUP('11.07'!R94,'11.07'!$AM$4:$AO$55,2,FALSE))*IF('11.07'!AU$4="是",'11.07'!$AY$4,'11.07'!$AY$3)</f>
        <v>160</v>
      </c>
      <c r="K94" s="4">
        <f>(VLOOKUP('11.07'!S94,'11.07'!$AM$4:$AO$55,2,FALSE))*IF('11.07'!AV$4="是",'11.07'!$AY$4,'11.07'!$AY$3)</f>
        <v>160</v>
      </c>
      <c r="L94" s="4">
        <f>(VLOOKUP('11.07'!T94,'11.07'!$AM$4:$AO$55,2,FALSE))*IF('11.07'!AW$4="是",'11.07'!$AY$4,'11.07'!$AY$3)</f>
        <v>160</v>
      </c>
      <c r="M94" s="4">
        <f>(VLOOKUP('11.07'!U94,'11.07'!$AM$4:$AO$55,2,FALSE))*IF('11.07'!AX$4="是",'11.07'!$AY$4,'11.07'!$AY$3)</f>
        <v>50</v>
      </c>
      <c r="N94" s="4">
        <f>(VLOOKUP('11.07'!V94,'11.07'!$AM$4:$AO$55,2,FALSE))*IF('11.07'!AY$4="是",'11.07'!$AY$4,'11.07'!$AY$3)</f>
        <v>0</v>
      </c>
      <c r="O94" s="5">
        <f>(VLOOKUP('11.07'!W94,'11.07'!$AM$4:$AO$55,2,FALSE))*IF('11.07'!AZ$4="是",'11.07'!$AY$4,'11.07'!$AY$3)</f>
        <v>0</v>
      </c>
      <c r="P94" s="5">
        <f>(VLOOKUP('11.07'!X94,'11.07'!$AM$4:$AO$55,2,FALSE))*IF('11.07'!BA$4="是",'11.07'!$AY$4,'11.07'!$AY$3)</f>
        <v>0</v>
      </c>
      <c r="Q94" s="4">
        <f>(VLOOKUP('11.07'!Y94,'11.07'!$AM$4:$AO$55,2,FALSE))*IF('11.07'!BB$4="是",'11.07'!$AY$4,'11.07'!$AY$3)</f>
        <v>160</v>
      </c>
      <c r="R94" s="4">
        <f>(VLOOKUP('11.07'!Z94,'11.07'!$AM$4:$AO$55,2,FALSE))*IF('11.07'!BC$4="是",'11.07'!$AY$4,'11.07'!$AY$3)</f>
        <v>160</v>
      </c>
      <c r="S94" s="4">
        <f>(VLOOKUP('11.07'!AA94,'11.07'!$AM$4:$AO$55,2,FALSE))*IF('11.07'!BD$4="是",'11.07'!$AY$4,'11.07'!$AY$3)</f>
        <v>160</v>
      </c>
      <c r="T94" s="4">
        <f>(VLOOKUP('11.07'!AB94,'11.07'!$AM$4:$AO$55,2,FALSE))*IF('11.07'!BE$4="是",'11.07'!$AY$4,'11.07'!$AY$3)</f>
        <v>50</v>
      </c>
      <c r="U94" s="4">
        <f>(VLOOKUP('11.07'!AC94,'11.07'!$AM$4:$AO$55,2,FALSE))*IF('11.07'!BF$4="是",'11.07'!$AY$4,'11.07'!$AY$3)</f>
        <v>160</v>
      </c>
      <c r="V94" s="4">
        <f>(VLOOKUP('11.07'!AD94,'11.07'!$AM$4:$AO$55,2,FALSE))*IF('11.07'!BG$4="是",'11.07'!$AY$4,'11.07'!$AY$3)</f>
        <v>160</v>
      </c>
      <c r="W94" s="5">
        <f>(VLOOKUP('11.07'!AE94,'11.07'!$AM$4:$AO$55,2,FALSE))*IF('11.07'!BH$4="是",'11.07'!$AY$4,'11.07'!$AY$3)</f>
        <v>160</v>
      </c>
      <c r="X94" s="5">
        <f>(VLOOKUP('11.07'!AF94,'11.07'!$AM$4:$AO$55,2,FALSE))*IF('11.07'!BI$4="是",'11.07'!$AY$4,'11.07'!$AY$3)</f>
        <v>50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6" t="s">
        <v>60</v>
      </c>
      <c r="B2" s="147"/>
      <c r="C2" s="1" t="s">
        <v>3</v>
      </c>
      <c r="D2" s="1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" t="s">
        <v>3</v>
      </c>
      <c r="L2" s="6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9">
        <f>COUNTIF(Q4:X94,"&lt;&gt;空")</f>
        <v>728</v>
      </c>
      <c r="U2" s="144" t="s">
        <v>4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(VLOOKUP('11.07'!I4,'11.07'!$AM$4:$AO$55,3,FALSE))</f>
        <v>35</v>
      </c>
      <c r="B4" s="4">
        <f>(VLOOKUP('11.07'!J4,'11.07'!$AM$4:$AO$55,3,FALSE))</f>
        <v>35</v>
      </c>
      <c r="C4" s="4">
        <f>(VLOOKUP('11.07'!K4,'11.07'!$AM$4:$AO$55,3,FALSE))</f>
        <v>35</v>
      </c>
      <c r="D4" s="4">
        <f>(VLOOKUP('11.07'!L4,'11.07'!$AM$4:$AO$55,3,FALSE))</f>
        <v>0</v>
      </c>
      <c r="E4" s="4">
        <f>(VLOOKUP('11.07'!M4,'11.07'!$AM$4:$AO$55,3,FALSE))</f>
        <v>0</v>
      </c>
      <c r="F4" s="4">
        <f>(VLOOKUP('11.07'!N4,'11.07'!$AM$4:$AO$55,3,FALSE))</f>
        <v>0</v>
      </c>
      <c r="G4" s="5">
        <f>(VLOOKUP('11.07'!O4,'11.07'!$AM$4:$AO$55,3,FALSE))</f>
        <v>0</v>
      </c>
      <c r="H4" s="5">
        <f>(VLOOKUP('11.07'!P4,'11.07'!$AM$4:$AO$55,3,FALSE))</f>
        <v>0</v>
      </c>
      <c r="I4" s="4">
        <f>(VLOOKUP('11.07'!Q4,'11.07'!$AM$4:$AO$55,3,FALSE))</f>
        <v>35</v>
      </c>
      <c r="J4" s="4">
        <f>(VLOOKUP('11.07'!R4,'11.07'!$AM$4:$AO$55,3,FALSE))</f>
        <v>35</v>
      </c>
      <c r="K4" s="4">
        <f>(VLOOKUP('11.07'!S4,'11.07'!$AM$4:$AO$55,3,FALSE))</f>
        <v>0</v>
      </c>
      <c r="L4" s="4">
        <f>(VLOOKUP('11.07'!T4,'11.07'!$AM$4:$AO$55,3,FALSE))</f>
        <v>0</v>
      </c>
      <c r="M4" s="4">
        <f>(VLOOKUP('11.07'!U4,'11.07'!$AM$4:$AO$55,3,FALSE))</f>
        <v>0</v>
      </c>
      <c r="N4" s="4">
        <f>(VLOOKUP('11.07'!V4,'11.07'!$AM$4:$AO$55,3,FALSE))</f>
        <v>0</v>
      </c>
      <c r="O4" s="5">
        <f>(VLOOKUP('11.07'!W4,'11.07'!$AM$4:$AO$55,3,FALSE))</f>
        <v>0</v>
      </c>
      <c r="P4" s="5">
        <f>(VLOOKUP('11.07'!X4,'11.07'!$AM$4:$AO$55,3,FALSE))</f>
        <v>0</v>
      </c>
      <c r="Q4" s="4">
        <f>(VLOOKUP('11.07'!Y4,'11.07'!$AM$4:$AO$55,3,FALSE))</f>
        <v>35</v>
      </c>
      <c r="R4" s="4">
        <f>(VLOOKUP('11.07'!Z4,'11.07'!$AM$4:$AO$55,3,FALSE))</f>
        <v>35</v>
      </c>
      <c r="S4" s="4">
        <f>(VLOOKUP('11.07'!AA4,'11.07'!$AM$4:$AO$55,3,FALSE))</f>
        <v>35</v>
      </c>
      <c r="T4" s="4">
        <f>(VLOOKUP('11.07'!AB4,'11.07'!$AM$4:$AO$55,3,FALSE))</f>
        <v>35</v>
      </c>
      <c r="U4" s="4">
        <f>(VLOOKUP('11.07'!AC4,'11.07'!$AM$4:$AO$55,3,FALSE))</f>
        <v>35</v>
      </c>
      <c r="V4" s="4">
        <f>(VLOOKUP('11.07'!AD4,'11.07'!$AM$4:$AO$55,3,FALSE))</f>
        <v>30</v>
      </c>
      <c r="W4" s="5">
        <f>(VLOOKUP('11.07'!AE4,'11.07'!$AM$4:$AO$55,3,FALSE))</f>
        <v>0</v>
      </c>
      <c r="X4" s="5">
        <f>(VLOOKUP('11.07'!AF4,'11.07'!$AM$4:$AO$55,3,FALSE))</f>
        <v>0</v>
      </c>
    </row>
    <row r="5" spans="1:24">
      <c r="A5" s="4">
        <f>(VLOOKUP('11.07'!I5,'11.07'!$AM$4:$AO$55,3,FALSE))</f>
        <v>0</v>
      </c>
      <c r="B5" s="4">
        <f>(VLOOKUP('11.07'!J5,'11.07'!$AM$4:$AO$55,3,FALSE))</f>
        <v>0</v>
      </c>
      <c r="C5" s="4">
        <f>(VLOOKUP('11.07'!K5,'11.07'!$AM$4:$AO$55,3,FALSE))</f>
        <v>0</v>
      </c>
      <c r="D5" s="4">
        <f>(VLOOKUP('11.07'!L5,'11.07'!$AM$4:$AO$55,3,FALSE))</f>
        <v>0</v>
      </c>
      <c r="E5" s="4">
        <f>(VLOOKUP('11.07'!M5,'11.07'!$AM$4:$AO$55,3,FALSE))</f>
        <v>0</v>
      </c>
      <c r="F5" s="4">
        <f>(VLOOKUP('11.07'!N5,'11.07'!$AM$4:$AO$55,3,FALSE))</f>
        <v>0</v>
      </c>
      <c r="G5" s="5">
        <f>(VLOOKUP('11.07'!O5,'11.07'!$AM$4:$AO$55,3,FALSE))</f>
        <v>0</v>
      </c>
      <c r="H5" s="5">
        <f>(VLOOKUP('11.07'!P5,'11.07'!$AM$4:$AO$55,3,FALSE))</f>
        <v>0</v>
      </c>
      <c r="I5" s="4">
        <f>(VLOOKUP('11.07'!Q5,'11.07'!$AM$4:$AO$55,3,FALSE))</f>
        <v>0</v>
      </c>
      <c r="J5" s="4">
        <f>(VLOOKUP('11.07'!R5,'11.07'!$AM$4:$AO$55,3,FALSE))</f>
        <v>0</v>
      </c>
      <c r="K5" s="4">
        <f>(VLOOKUP('11.07'!S5,'11.07'!$AM$4:$AO$55,3,FALSE))</f>
        <v>0</v>
      </c>
      <c r="L5" s="4">
        <f>(VLOOKUP('11.07'!T5,'11.07'!$AM$4:$AO$55,3,FALSE))</f>
        <v>0</v>
      </c>
      <c r="M5" s="4">
        <f>(VLOOKUP('11.07'!U5,'11.07'!$AM$4:$AO$55,3,FALSE))</f>
        <v>0</v>
      </c>
      <c r="N5" s="4">
        <f>(VLOOKUP('11.07'!V5,'11.07'!$AM$4:$AO$55,3,FALSE))</f>
        <v>0</v>
      </c>
      <c r="O5" s="5">
        <f>(VLOOKUP('11.07'!W5,'11.07'!$AM$4:$AO$55,3,FALSE))</f>
        <v>0</v>
      </c>
      <c r="P5" s="5">
        <f>(VLOOKUP('11.07'!X5,'11.07'!$AM$4:$AO$55,3,FALSE))</f>
        <v>0</v>
      </c>
      <c r="Q5" s="4">
        <f>(VLOOKUP('11.07'!Y5,'11.07'!$AM$4:$AO$55,3,FALSE))</f>
        <v>35</v>
      </c>
      <c r="R5" s="4">
        <f>(VLOOKUP('11.07'!Z5,'11.07'!$AM$4:$AO$55,3,FALSE))</f>
        <v>35</v>
      </c>
      <c r="S5" s="4">
        <f>(VLOOKUP('11.07'!AA5,'11.07'!$AM$4:$AO$55,3,FALSE))</f>
        <v>35</v>
      </c>
      <c r="T5" s="4">
        <f>(VLOOKUP('11.07'!AB5,'11.07'!$AM$4:$AO$55,3,FALSE))</f>
        <v>0</v>
      </c>
      <c r="U5" s="4">
        <f>(VLOOKUP('11.07'!AC5,'11.07'!$AM$4:$AO$55,3,FALSE))</f>
        <v>40</v>
      </c>
      <c r="V5" s="4">
        <f>(VLOOKUP('11.07'!AD5,'11.07'!$AM$4:$AO$55,3,FALSE))</f>
        <v>40</v>
      </c>
      <c r="W5" s="5">
        <f>(VLOOKUP('11.07'!AE5,'11.07'!$AM$4:$AO$55,3,FALSE))</f>
        <v>40</v>
      </c>
      <c r="X5" s="5">
        <f>(VLOOKUP('11.07'!AF5,'11.07'!$AM$4:$AO$55,3,FALSE))</f>
        <v>40</v>
      </c>
    </row>
    <row r="6" spans="1:24">
      <c r="A6" s="4">
        <f>(VLOOKUP('11.07'!I6,'11.07'!$AM$4:$AO$55,3,FALSE))</f>
        <v>0</v>
      </c>
      <c r="B6" s="4">
        <f>(VLOOKUP('11.07'!J6,'11.07'!$AM$4:$AO$55,3,FALSE))</f>
        <v>0</v>
      </c>
      <c r="C6" s="4">
        <f>(VLOOKUP('11.07'!K6,'11.07'!$AM$4:$AO$55,3,FALSE))</f>
        <v>0</v>
      </c>
      <c r="D6" s="4">
        <f>(VLOOKUP('11.07'!L6,'11.07'!$AM$4:$AO$55,3,FALSE))</f>
        <v>0</v>
      </c>
      <c r="E6" s="4">
        <f>(VLOOKUP('11.07'!M6,'11.07'!$AM$4:$AO$55,3,FALSE))</f>
        <v>0</v>
      </c>
      <c r="F6" s="4">
        <f>(VLOOKUP('11.07'!N6,'11.07'!$AM$4:$AO$55,3,FALSE))</f>
        <v>0</v>
      </c>
      <c r="G6" s="5">
        <f>(VLOOKUP('11.07'!O6,'11.07'!$AM$4:$AO$55,3,FALSE))</f>
        <v>0</v>
      </c>
      <c r="H6" s="5">
        <f>(VLOOKUP('11.07'!P6,'11.07'!$AM$4:$AO$55,3,FALSE))</f>
        <v>0</v>
      </c>
      <c r="I6" s="4">
        <f>(VLOOKUP('11.07'!Q6,'11.07'!$AM$4:$AO$55,3,FALSE))</f>
        <v>0</v>
      </c>
      <c r="J6" s="4">
        <f>(VLOOKUP('11.07'!R6,'11.07'!$AM$4:$AO$55,3,FALSE))</f>
        <v>0</v>
      </c>
      <c r="K6" s="4">
        <f>(VLOOKUP('11.07'!S6,'11.07'!$AM$4:$AO$55,3,FALSE))</f>
        <v>0</v>
      </c>
      <c r="L6" s="4">
        <f>(VLOOKUP('11.07'!T6,'11.07'!$AM$4:$AO$55,3,FALSE))</f>
        <v>0</v>
      </c>
      <c r="M6" s="4">
        <f>(VLOOKUP('11.07'!U6,'11.07'!$AM$4:$AO$55,3,FALSE))</f>
        <v>0</v>
      </c>
      <c r="N6" s="4">
        <f>(VLOOKUP('11.07'!V6,'11.07'!$AM$4:$AO$55,3,FALSE))</f>
        <v>0</v>
      </c>
      <c r="O6" s="5">
        <f>(VLOOKUP('11.07'!W6,'11.07'!$AM$4:$AO$55,3,FALSE))</f>
        <v>0</v>
      </c>
      <c r="P6" s="5">
        <f>(VLOOKUP('11.07'!X6,'11.07'!$AM$4:$AO$55,3,FALSE))</f>
        <v>0</v>
      </c>
      <c r="Q6" s="4">
        <f>(VLOOKUP('11.07'!Y6,'11.07'!$AM$4:$AO$55,3,FALSE))</f>
        <v>30</v>
      </c>
      <c r="R6" s="4">
        <f>(VLOOKUP('11.07'!Z6,'11.07'!$AM$4:$AO$55,3,FALSE))</f>
        <v>40</v>
      </c>
      <c r="S6" s="4">
        <f>(VLOOKUP('11.07'!AA6,'11.07'!$AM$4:$AO$55,3,FALSE))</f>
        <v>40</v>
      </c>
      <c r="T6" s="4">
        <f>(VLOOKUP('11.07'!AB6,'11.07'!$AM$4:$AO$55,3,FALSE))</f>
        <v>40</v>
      </c>
      <c r="U6" s="4">
        <f>(VLOOKUP('11.07'!AC6,'11.07'!$AM$4:$AO$55,3,FALSE))</f>
        <v>45</v>
      </c>
      <c r="V6" s="4">
        <f>(VLOOKUP('11.07'!AD6,'11.07'!$AM$4:$AO$55,3,FALSE))</f>
        <v>45</v>
      </c>
      <c r="W6" s="5">
        <f>(VLOOKUP('11.07'!AE6,'11.07'!$AM$4:$AO$55,3,FALSE))</f>
        <v>0</v>
      </c>
      <c r="X6" s="5">
        <f>(VLOOKUP('11.07'!AF6,'11.07'!$AM$4:$AO$55,3,FALSE))</f>
        <v>0</v>
      </c>
    </row>
    <row r="7" spans="1:24">
      <c r="A7" s="4">
        <f>(VLOOKUP('11.07'!I7,'11.07'!$AM$4:$AO$55,3,FALSE))</f>
        <v>30</v>
      </c>
      <c r="B7" s="4">
        <f>(VLOOKUP('11.07'!J7,'11.07'!$AM$4:$AO$55,3,FALSE))</f>
        <v>45</v>
      </c>
      <c r="C7" s="4">
        <f>(VLOOKUP('11.07'!K7,'11.07'!$AM$4:$AO$55,3,FALSE))</f>
        <v>45</v>
      </c>
      <c r="D7" s="4">
        <f>(VLOOKUP('11.07'!L7,'11.07'!$AM$4:$AO$55,3,FALSE))</f>
        <v>45</v>
      </c>
      <c r="E7" s="4">
        <f>(VLOOKUP('11.07'!M7,'11.07'!$AM$4:$AO$55,3,FALSE))</f>
        <v>45</v>
      </c>
      <c r="F7" s="4">
        <f>(VLOOKUP('11.07'!N7,'11.07'!$AM$4:$AO$55,3,FALSE))</f>
        <v>45</v>
      </c>
      <c r="G7" s="5">
        <f>(VLOOKUP('11.07'!O7,'11.07'!$AM$4:$AO$55,3,FALSE))</f>
        <v>45</v>
      </c>
      <c r="H7" s="5">
        <f>(VLOOKUP('11.07'!P7,'11.07'!$AM$4:$AO$55,3,FALSE))</f>
        <v>0</v>
      </c>
      <c r="I7" s="4">
        <f>(VLOOKUP('11.07'!Q7,'11.07'!$AM$4:$AO$55,3,FALSE))</f>
        <v>0</v>
      </c>
      <c r="J7" s="4">
        <f>(VLOOKUP('11.07'!R7,'11.07'!$AM$4:$AO$55,3,FALSE))</f>
        <v>0</v>
      </c>
      <c r="K7" s="4">
        <f>(VLOOKUP('11.07'!S7,'11.07'!$AM$4:$AO$55,3,FALSE))</f>
        <v>0</v>
      </c>
      <c r="L7" s="4">
        <f>(VLOOKUP('11.07'!T7,'11.07'!$AM$4:$AO$55,3,FALSE))</f>
        <v>0</v>
      </c>
      <c r="M7" s="4">
        <f>(VLOOKUP('11.07'!U7,'11.07'!$AM$4:$AO$55,3,FALSE))</f>
        <v>0</v>
      </c>
      <c r="N7" s="4">
        <f>(VLOOKUP('11.07'!V7,'11.07'!$AM$4:$AO$55,3,FALSE))</f>
        <v>0</v>
      </c>
      <c r="O7" s="5">
        <f>(VLOOKUP('11.07'!W7,'11.07'!$AM$4:$AO$55,3,FALSE))</f>
        <v>0</v>
      </c>
      <c r="P7" s="5">
        <f>(VLOOKUP('11.07'!X7,'11.07'!$AM$4:$AO$55,3,FALSE))</f>
        <v>0</v>
      </c>
      <c r="Q7" s="4">
        <f>(VLOOKUP('11.07'!Y7,'11.07'!$AM$4:$AO$55,3,FALSE))</f>
        <v>45</v>
      </c>
      <c r="R7" s="4">
        <f>(VLOOKUP('11.07'!Z7,'11.07'!$AM$4:$AO$55,3,FALSE))</f>
        <v>30</v>
      </c>
      <c r="S7" s="4">
        <f>(VLOOKUP('11.07'!AA7,'11.07'!$AM$4:$AO$55,3,FALSE))</f>
        <v>45</v>
      </c>
      <c r="T7" s="4">
        <f>(VLOOKUP('11.07'!AB7,'11.07'!$AM$4:$AO$55,3,FALSE))</f>
        <v>300</v>
      </c>
      <c r="U7" s="4">
        <f>(VLOOKUP('11.07'!AC7,'11.07'!$AM$4:$AO$55,3,FALSE))</f>
        <v>45</v>
      </c>
      <c r="V7" s="4">
        <f>(VLOOKUP('11.07'!AD7,'11.07'!$AM$4:$AO$55,3,FALSE))</f>
        <v>45</v>
      </c>
      <c r="W7" s="5">
        <f>(VLOOKUP('11.07'!AE7,'11.07'!$AM$4:$AO$55,3,FALSE))</f>
        <v>0</v>
      </c>
      <c r="X7" s="5">
        <f>(VLOOKUP('11.07'!AF7,'11.07'!$AM$4:$AO$55,3,FALSE))</f>
        <v>0</v>
      </c>
    </row>
    <row r="8" spans="1:24">
      <c r="A8" s="4">
        <f>(VLOOKUP('11.07'!I8,'11.07'!$AM$4:$AO$55,3,FALSE))</f>
        <v>300</v>
      </c>
      <c r="B8" s="4">
        <f>(VLOOKUP('11.07'!J8,'11.07'!$AM$4:$AO$55,3,FALSE))</f>
        <v>45</v>
      </c>
      <c r="C8" s="4">
        <f>(VLOOKUP('11.07'!K8,'11.07'!$AM$4:$AO$55,3,FALSE))</f>
        <v>45</v>
      </c>
      <c r="D8" s="4">
        <f>(VLOOKUP('11.07'!L8,'11.07'!$AM$4:$AO$55,3,FALSE))</f>
        <v>50</v>
      </c>
      <c r="E8" s="4">
        <f>(VLOOKUP('11.07'!M8,'11.07'!$AM$4:$AO$55,3,FALSE))</f>
        <v>50</v>
      </c>
      <c r="F8" s="4">
        <f>(VLOOKUP('11.07'!N8,'11.07'!$AM$4:$AO$55,3,FALSE))</f>
        <v>45</v>
      </c>
      <c r="G8" s="5">
        <f>(VLOOKUP('11.07'!O8,'11.07'!$AM$4:$AO$55,3,FALSE))</f>
        <v>0</v>
      </c>
      <c r="H8" s="5">
        <f>(VLOOKUP('11.07'!P8,'11.07'!$AM$4:$AO$55,3,FALSE))</f>
        <v>0</v>
      </c>
      <c r="I8" s="4">
        <f>(VLOOKUP('11.07'!Q8,'11.07'!$AM$4:$AO$55,3,FALSE))</f>
        <v>0</v>
      </c>
      <c r="J8" s="4">
        <f>(VLOOKUP('11.07'!R8,'11.07'!$AM$4:$AO$55,3,FALSE))</f>
        <v>0</v>
      </c>
      <c r="K8" s="4">
        <f>(VLOOKUP('11.07'!S8,'11.07'!$AM$4:$AO$55,3,FALSE))</f>
        <v>0</v>
      </c>
      <c r="L8" s="4">
        <f>(VLOOKUP('11.07'!T8,'11.07'!$AM$4:$AO$55,3,FALSE))</f>
        <v>0</v>
      </c>
      <c r="M8" s="4">
        <f>(VLOOKUP('11.07'!U8,'11.07'!$AM$4:$AO$55,3,FALSE))</f>
        <v>0</v>
      </c>
      <c r="N8" s="4">
        <f>(VLOOKUP('11.07'!V8,'11.07'!$AM$4:$AO$55,3,FALSE))</f>
        <v>0</v>
      </c>
      <c r="O8" s="5">
        <f>(VLOOKUP('11.07'!W8,'11.07'!$AM$4:$AO$55,3,FALSE))</f>
        <v>0</v>
      </c>
      <c r="P8" s="5">
        <f>(VLOOKUP('11.07'!X8,'11.07'!$AM$4:$AO$55,3,FALSE))</f>
        <v>0</v>
      </c>
      <c r="Q8" s="4">
        <f>(VLOOKUP('11.07'!Y8,'11.07'!$AM$4:$AO$55,3,FALSE))</f>
        <v>45</v>
      </c>
      <c r="R8" s="4">
        <f>(VLOOKUP('11.07'!Z8,'11.07'!$AM$4:$AO$55,3,FALSE))</f>
        <v>45</v>
      </c>
      <c r="S8" s="4">
        <f>(VLOOKUP('11.07'!AA8,'11.07'!$AM$4:$AO$55,3,FALSE))</f>
        <v>45</v>
      </c>
      <c r="T8" s="4">
        <f>(VLOOKUP('11.07'!AB8,'11.07'!$AM$4:$AO$55,3,FALSE))</f>
        <v>30</v>
      </c>
      <c r="U8" s="4">
        <f>(VLOOKUP('11.07'!AC8,'11.07'!$AM$4:$AO$55,3,FALSE))</f>
        <v>45</v>
      </c>
      <c r="V8" s="4">
        <f>(VLOOKUP('11.07'!AD8,'11.07'!$AM$4:$AO$55,3,FALSE))</f>
        <v>45</v>
      </c>
      <c r="W8" s="5">
        <f>(VLOOKUP('11.07'!AE8,'11.07'!$AM$4:$AO$55,3,FALSE))</f>
        <v>0</v>
      </c>
      <c r="X8" s="5">
        <f>(VLOOKUP('11.07'!AF8,'11.07'!$AM$4:$AO$55,3,FALSE))</f>
        <v>0</v>
      </c>
    </row>
    <row r="9" spans="1:24">
      <c r="A9" s="4">
        <f>(VLOOKUP('11.07'!I9,'11.07'!$AM$4:$AO$55,3,FALSE))</f>
        <v>45</v>
      </c>
      <c r="B9" s="4">
        <f>(VLOOKUP('11.07'!J9,'11.07'!$AM$4:$AO$55,3,FALSE))</f>
        <v>45</v>
      </c>
      <c r="C9" s="4">
        <f>(VLOOKUP('11.07'!K9,'11.07'!$AM$4:$AO$55,3,FALSE))</f>
        <v>45</v>
      </c>
      <c r="D9" s="4">
        <f>(VLOOKUP('11.07'!L9,'11.07'!$AM$4:$AO$55,3,FALSE))</f>
        <v>45</v>
      </c>
      <c r="E9" s="4">
        <f>(VLOOKUP('11.07'!M9,'11.07'!$AM$4:$AO$55,3,FALSE))</f>
        <v>45</v>
      </c>
      <c r="F9" s="4">
        <f>(VLOOKUP('11.07'!N9,'11.07'!$AM$4:$AO$55,3,FALSE))</f>
        <v>45</v>
      </c>
      <c r="G9" s="5">
        <f>(VLOOKUP('11.07'!O9,'11.07'!$AM$4:$AO$55,3,FALSE))</f>
        <v>0</v>
      </c>
      <c r="H9" s="5">
        <f>(VLOOKUP('11.07'!P9,'11.07'!$AM$4:$AO$55,3,FALSE))</f>
        <v>0</v>
      </c>
      <c r="I9" s="4">
        <f>(VLOOKUP('11.07'!Q9,'11.07'!$AM$4:$AO$55,3,FALSE))</f>
        <v>0</v>
      </c>
      <c r="J9" s="4">
        <f>(VLOOKUP('11.07'!R9,'11.07'!$AM$4:$AO$55,3,FALSE))</f>
        <v>0</v>
      </c>
      <c r="K9" s="4">
        <f>(VLOOKUP('11.07'!S9,'11.07'!$AM$4:$AO$55,3,FALSE))</f>
        <v>0</v>
      </c>
      <c r="L9" s="4">
        <f>(VLOOKUP('11.07'!T9,'11.07'!$AM$4:$AO$55,3,FALSE))</f>
        <v>0</v>
      </c>
      <c r="M9" s="4">
        <f>(VLOOKUP('11.07'!U9,'11.07'!$AM$4:$AO$55,3,FALSE))</f>
        <v>0</v>
      </c>
      <c r="N9" s="4">
        <f>(VLOOKUP('11.07'!V9,'11.07'!$AM$4:$AO$55,3,FALSE))</f>
        <v>0</v>
      </c>
      <c r="O9" s="5">
        <f>(VLOOKUP('11.07'!W9,'11.07'!$AM$4:$AO$55,3,FALSE))</f>
        <v>0</v>
      </c>
      <c r="P9" s="5">
        <f>(VLOOKUP('11.07'!X9,'11.07'!$AM$4:$AO$55,3,FALSE))</f>
        <v>0</v>
      </c>
      <c r="Q9" s="4">
        <f>(VLOOKUP('11.07'!Y9,'11.07'!$AM$4:$AO$55,3,FALSE))</f>
        <v>45</v>
      </c>
      <c r="R9" s="4">
        <f>(VLOOKUP('11.07'!Z9,'11.07'!$AM$4:$AO$55,3,FALSE))</f>
        <v>45</v>
      </c>
      <c r="S9" s="4">
        <f>(VLOOKUP('11.07'!AA9,'11.07'!$AM$4:$AO$55,3,FALSE))</f>
        <v>45</v>
      </c>
      <c r="T9" s="4">
        <f>(VLOOKUP('11.07'!AB9,'11.07'!$AM$4:$AO$55,3,FALSE))</f>
        <v>45</v>
      </c>
      <c r="U9" s="4">
        <f>(VLOOKUP('11.07'!AC9,'11.07'!$AM$4:$AO$55,3,FALSE))</f>
        <v>45</v>
      </c>
      <c r="V9" s="4">
        <f>(VLOOKUP('11.07'!AD9,'11.07'!$AM$4:$AO$55,3,FALSE))</f>
        <v>300</v>
      </c>
      <c r="W9" s="5">
        <f>(VLOOKUP('11.07'!AE9,'11.07'!$AM$4:$AO$55,3,FALSE))</f>
        <v>0</v>
      </c>
      <c r="X9" s="5">
        <f>(VLOOKUP('11.07'!AF9,'11.07'!$AM$4:$AO$55,3,FALSE))</f>
        <v>0</v>
      </c>
    </row>
    <row r="10" spans="1:24">
      <c r="A10" s="4">
        <f>(VLOOKUP('11.07'!I10,'11.07'!$AM$4:$AO$55,3,FALSE))</f>
        <v>45</v>
      </c>
      <c r="B10" s="4">
        <f>(VLOOKUP('11.07'!J10,'11.07'!$AM$4:$AO$55,3,FALSE))</f>
        <v>45</v>
      </c>
      <c r="C10" s="4">
        <f>(VLOOKUP('11.07'!K10,'11.07'!$AM$4:$AO$55,3,FALSE))</f>
        <v>45</v>
      </c>
      <c r="D10" s="4">
        <f>(VLOOKUP('11.07'!L10,'11.07'!$AM$4:$AO$55,3,FALSE))</f>
        <v>45</v>
      </c>
      <c r="E10" s="4">
        <f>(VLOOKUP('11.07'!M10,'11.07'!$AM$4:$AO$55,3,FALSE))</f>
        <v>45</v>
      </c>
      <c r="F10" s="4">
        <f>(VLOOKUP('11.07'!N10,'11.07'!$AM$4:$AO$55,3,FALSE))</f>
        <v>45</v>
      </c>
      <c r="G10" s="5">
        <f>(VLOOKUP('11.07'!O10,'11.07'!$AM$4:$AO$55,3,FALSE))</f>
        <v>45</v>
      </c>
      <c r="H10" s="5">
        <f>(VLOOKUP('11.07'!P10,'11.07'!$AM$4:$AO$55,3,FALSE))</f>
        <v>0</v>
      </c>
      <c r="I10" s="4">
        <f>(VLOOKUP('11.07'!Q10,'11.07'!$AM$4:$AO$55,3,FALSE))</f>
        <v>0</v>
      </c>
      <c r="J10" s="4">
        <f>(VLOOKUP('11.07'!R10,'11.07'!$AM$4:$AO$55,3,FALSE))</f>
        <v>0</v>
      </c>
      <c r="K10" s="4">
        <f>(VLOOKUP('11.07'!S10,'11.07'!$AM$4:$AO$55,3,FALSE))</f>
        <v>0</v>
      </c>
      <c r="L10" s="4">
        <f>(VLOOKUP('11.07'!T10,'11.07'!$AM$4:$AO$55,3,FALSE))</f>
        <v>0</v>
      </c>
      <c r="M10" s="4">
        <f>(VLOOKUP('11.07'!U10,'11.07'!$AM$4:$AO$55,3,FALSE))</f>
        <v>0</v>
      </c>
      <c r="N10" s="4">
        <f>(VLOOKUP('11.07'!V10,'11.07'!$AM$4:$AO$55,3,FALSE))</f>
        <v>0</v>
      </c>
      <c r="O10" s="5">
        <f>(VLOOKUP('11.07'!W10,'11.07'!$AM$4:$AO$55,3,FALSE))</f>
        <v>0</v>
      </c>
      <c r="P10" s="5">
        <f>(VLOOKUP('11.07'!X10,'11.07'!$AM$4:$AO$55,3,FALSE))</f>
        <v>0</v>
      </c>
      <c r="Q10" s="4">
        <f>(VLOOKUP('11.07'!Y10,'11.07'!$AM$4:$AO$55,3,FALSE))</f>
        <v>45</v>
      </c>
      <c r="R10" s="4">
        <f>(VLOOKUP('11.07'!Z10,'11.07'!$AM$4:$AO$55,3,FALSE))</f>
        <v>45</v>
      </c>
      <c r="S10" s="4">
        <f>(VLOOKUP('11.07'!AA10,'11.07'!$AM$4:$AO$55,3,FALSE))</f>
        <v>45</v>
      </c>
      <c r="T10" s="4">
        <f>(VLOOKUP('11.07'!AB10,'11.07'!$AM$4:$AO$55,3,FALSE))</f>
        <v>45</v>
      </c>
      <c r="U10" s="4">
        <f>(VLOOKUP('11.07'!AC10,'11.07'!$AM$4:$AO$55,3,FALSE))</f>
        <v>45</v>
      </c>
      <c r="V10" s="4">
        <f>(VLOOKUP('11.07'!AD10,'11.07'!$AM$4:$AO$55,3,FALSE))</f>
        <v>45</v>
      </c>
      <c r="W10" s="5">
        <f>(VLOOKUP('11.07'!AE10,'11.07'!$AM$4:$AO$55,3,FALSE))</f>
        <v>0</v>
      </c>
      <c r="X10" s="5">
        <f>(VLOOKUP('11.07'!AF10,'11.07'!$AM$4:$AO$55,3,FALSE))</f>
        <v>0</v>
      </c>
    </row>
    <row r="11" spans="1:24">
      <c r="A11" s="4">
        <f>(VLOOKUP('11.07'!I11,'11.07'!$AM$4:$AO$55,3,FALSE))</f>
        <v>0</v>
      </c>
      <c r="B11" s="4">
        <f>(VLOOKUP('11.07'!J11,'11.07'!$AM$4:$AO$55,3,FALSE))</f>
        <v>0</v>
      </c>
      <c r="C11" s="4">
        <f>(VLOOKUP('11.07'!K11,'11.07'!$AM$4:$AO$55,3,FALSE))</f>
        <v>0</v>
      </c>
      <c r="D11" s="4">
        <f>(VLOOKUP('11.07'!L11,'11.07'!$AM$4:$AO$55,3,FALSE))</f>
        <v>0</v>
      </c>
      <c r="E11" s="4">
        <f>(VLOOKUP('11.07'!M11,'11.07'!$AM$4:$AO$55,3,FALSE))</f>
        <v>0</v>
      </c>
      <c r="F11" s="4">
        <f>(VLOOKUP('11.07'!N11,'11.07'!$AM$4:$AO$55,3,FALSE))</f>
        <v>0</v>
      </c>
      <c r="G11" s="5">
        <f>(VLOOKUP('11.07'!O11,'11.07'!$AM$4:$AO$55,3,FALSE))</f>
        <v>0</v>
      </c>
      <c r="H11" s="5">
        <f>(VLOOKUP('11.07'!P11,'11.07'!$AM$4:$AO$55,3,FALSE))</f>
        <v>0</v>
      </c>
      <c r="I11" s="4">
        <f>(VLOOKUP('11.07'!Q11,'11.07'!$AM$4:$AO$55,3,FALSE))</f>
        <v>0</v>
      </c>
      <c r="J11" s="4">
        <f>(VLOOKUP('11.07'!R11,'11.07'!$AM$4:$AO$55,3,FALSE))</f>
        <v>0</v>
      </c>
      <c r="K11" s="4">
        <f>(VLOOKUP('11.07'!S11,'11.07'!$AM$4:$AO$55,3,FALSE))</f>
        <v>0</v>
      </c>
      <c r="L11" s="4">
        <f>(VLOOKUP('11.07'!T11,'11.07'!$AM$4:$AO$55,3,FALSE))</f>
        <v>0</v>
      </c>
      <c r="M11" s="4">
        <f>(VLOOKUP('11.07'!U11,'11.07'!$AM$4:$AO$55,3,FALSE))</f>
        <v>0</v>
      </c>
      <c r="N11" s="4">
        <f>(VLOOKUP('11.07'!V11,'11.07'!$AM$4:$AO$55,3,FALSE))</f>
        <v>0</v>
      </c>
      <c r="O11" s="5">
        <f>(VLOOKUP('11.07'!W11,'11.07'!$AM$4:$AO$55,3,FALSE))</f>
        <v>0</v>
      </c>
      <c r="P11" s="5">
        <f>(VLOOKUP('11.07'!X11,'11.07'!$AM$4:$AO$55,3,FALSE))</f>
        <v>0</v>
      </c>
      <c r="Q11" s="4">
        <f>(VLOOKUP('11.07'!Y11,'11.07'!$AM$4:$AO$55,3,FALSE))</f>
        <v>30</v>
      </c>
      <c r="R11" s="4">
        <f>(VLOOKUP('11.07'!Z11,'11.07'!$AM$4:$AO$55,3,FALSE))</f>
        <v>45</v>
      </c>
      <c r="S11" s="4">
        <f>(VLOOKUP('11.07'!AA11,'11.07'!$AM$4:$AO$55,3,FALSE))</f>
        <v>45</v>
      </c>
      <c r="T11" s="4">
        <f>(VLOOKUP('11.07'!AB11,'11.07'!$AM$4:$AO$55,3,FALSE))</f>
        <v>45</v>
      </c>
      <c r="U11" s="4">
        <f>(VLOOKUP('11.07'!AC11,'11.07'!$AM$4:$AO$55,3,FALSE))</f>
        <v>45</v>
      </c>
      <c r="V11" s="4">
        <f>(VLOOKUP('11.07'!AD11,'11.07'!$AM$4:$AO$55,3,FALSE))</f>
        <v>45</v>
      </c>
      <c r="W11" s="5">
        <f>(VLOOKUP('11.07'!AE11,'11.07'!$AM$4:$AO$55,3,FALSE))</f>
        <v>0</v>
      </c>
      <c r="X11" s="5">
        <f>(VLOOKUP('11.07'!AF11,'11.07'!$AM$4:$AO$55,3,FALSE))</f>
        <v>0</v>
      </c>
    </row>
    <row r="12" spans="1:24">
      <c r="A12" s="4">
        <f>(VLOOKUP('11.07'!I12,'11.07'!$AM$4:$AO$55,3,FALSE))</f>
        <v>45</v>
      </c>
      <c r="B12" s="4">
        <f>(VLOOKUP('11.07'!J12,'11.07'!$AM$4:$AO$55,3,FALSE))</f>
        <v>45</v>
      </c>
      <c r="C12" s="4">
        <f>(VLOOKUP('11.07'!K12,'11.07'!$AM$4:$AO$55,3,FALSE))</f>
        <v>45</v>
      </c>
      <c r="D12" s="4">
        <f>(VLOOKUP('11.07'!L12,'11.07'!$AM$4:$AO$55,3,FALSE))</f>
        <v>45</v>
      </c>
      <c r="E12" s="4">
        <f>(VLOOKUP('11.07'!M12,'11.07'!$AM$4:$AO$55,3,FALSE))</f>
        <v>45</v>
      </c>
      <c r="F12" s="4">
        <f>(VLOOKUP('11.07'!N12,'11.07'!$AM$4:$AO$55,3,FALSE))</f>
        <v>45</v>
      </c>
      <c r="G12" s="5">
        <f>(VLOOKUP('11.07'!O12,'11.07'!$AM$4:$AO$55,3,FALSE))</f>
        <v>0</v>
      </c>
      <c r="H12" s="5">
        <f>(VLOOKUP('11.07'!P12,'11.07'!$AM$4:$AO$55,3,FALSE))</f>
        <v>0</v>
      </c>
      <c r="I12" s="4">
        <f>(VLOOKUP('11.07'!Q12,'11.07'!$AM$4:$AO$55,3,FALSE))</f>
        <v>0</v>
      </c>
      <c r="J12" s="4">
        <f>(VLOOKUP('11.07'!R12,'11.07'!$AM$4:$AO$55,3,FALSE))</f>
        <v>0</v>
      </c>
      <c r="K12" s="4">
        <f>(VLOOKUP('11.07'!S12,'11.07'!$AM$4:$AO$55,3,FALSE))</f>
        <v>0</v>
      </c>
      <c r="L12" s="4">
        <f>(VLOOKUP('11.07'!T12,'11.07'!$AM$4:$AO$55,3,FALSE))</f>
        <v>0</v>
      </c>
      <c r="M12" s="4">
        <f>(VLOOKUP('11.07'!U12,'11.07'!$AM$4:$AO$55,3,FALSE))</f>
        <v>0</v>
      </c>
      <c r="N12" s="4">
        <f>(VLOOKUP('11.07'!V12,'11.07'!$AM$4:$AO$55,3,FALSE))</f>
        <v>0</v>
      </c>
      <c r="O12" s="5">
        <f>(VLOOKUP('11.07'!W12,'11.07'!$AM$4:$AO$55,3,FALSE))</f>
        <v>0</v>
      </c>
      <c r="P12" s="5">
        <f>(VLOOKUP('11.07'!X12,'11.07'!$AM$4:$AO$55,3,FALSE))</f>
        <v>0</v>
      </c>
      <c r="Q12" s="4">
        <f>(VLOOKUP('11.07'!Y12,'11.07'!$AM$4:$AO$55,3,FALSE))</f>
        <v>45</v>
      </c>
      <c r="R12" s="4">
        <f>(VLOOKUP('11.07'!Z12,'11.07'!$AM$4:$AO$55,3,FALSE))</f>
        <v>45</v>
      </c>
      <c r="S12" s="4">
        <f>(VLOOKUP('11.07'!AA12,'11.07'!$AM$4:$AO$55,3,FALSE))</f>
        <v>45</v>
      </c>
      <c r="T12" s="4">
        <f>(VLOOKUP('11.07'!AB12,'11.07'!$AM$4:$AO$55,3,FALSE))</f>
        <v>45</v>
      </c>
      <c r="U12" s="4">
        <f>(VLOOKUP('11.07'!AC12,'11.07'!$AM$4:$AO$55,3,FALSE))</f>
        <v>45</v>
      </c>
      <c r="V12" s="4">
        <f>(VLOOKUP('11.07'!AD12,'11.07'!$AM$4:$AO$55,3,FALSE))</f>
        <v>45</v>
      </c>
      <c r="W12" s="5">
        <f>(VLOOKUP('11.07'!AE12,'11.07'!$AM$4:$AO$55,3,FALSE))</f>
        <v>0</v>
      </c>
      <c r="X12" s="5">
        <f>(VLOOKUP('11.07'!AF12,'11.07'!$AM$4:$AO$55,3,FALSE))</f>
        <v>0</v>
      </c>
    </row>
    <row r="13" spans="1:24">
      <c r="A13" s="4">
        <f>(VLOOKUP('11.07'!I13,'11.07'!$AM$4:$AO$55,3,FALSE))</f>
        <v>45</v>
      </c>
      <c r="B13" s="4">
        <f>(VLOOKUP('11.07'!J13,'11.07'!$AM$4:$AO$55,3,FALSE))</f>
        <v>45</v>
      </c>
      <c r="C13" s="4">
        <f>(VLOOKUP('11.07'!K13,'11.07'!$AM$4:$AO$55,3,FALSE))</f>
        <v>45</v>
      </c>
      <c r="D13" s="4">
        <f>(VLOOKUP('11.07'!L13,'11.07'!$AM$4:$AO$55,3,FALSE))</f>
        <v>45</v>
      </c>
      <c r="E13" s="4">
        <f>(VLOOKUP('11.07'!M13,'11.07'!$AM$4:$AO$55,3,FALSE))</f>
        <v>45</v>
      </c>
      <c r="F13" s="4">
        <f>(VLOOKUP('11.07'!N13,'11.07'!$AM$4:$AO$55,3,FALSE))</f>
        <v>45</v>
      </c>
      <c r="G13" s="5">
        <f>(VLOOKUP('11.07'!O13,'11.07'!$AM$4:$AO$55,3,FALSE))</f>
        <v>0</v>
      </c>
      <c r="H13" s="5">
        <f>(VLOOKUP('11.07'!P13,'11.07'!$AM$4:$AO$55,3,FALSE))</f>
        <v>0</v>
      </c>
      <c r="I13" s="4">
        <f>(VLOOKUP('11.07'!Q13,'11.07'!$AM$4:$AO$55,3,FALSE))</f>
        <v>0</v>
      </c>
      <c r="J13" s="4">
        <f>(VLOOKUP('11.07'!R13,'11.07'!$AM$4:$AO$55,3,FALSE))</f>
        <v>0</v>
      </c>
      <c r="K13" s="4">
        <f>(VLOOKUP('11.07'!S13,'11.07'!$AM$4:$AO$55,3,FALSE))</f>
        <v>0</v>
      </c>
      <c r="L13" s="4">
        <f>(VLOOKUP('11.07'!T13,'11.07'!$AM$4:$AO$55,3,FALSE))</f>
        <v>0</v>
      </c>
      <c r="M13" s="4">
        <f>(VLOOKUP('11.07'!U13,'11.07'!$AM$4:$AO$55,3,FALSE))</f>
        <v>0</v>
      </c>
      <c r="N13" s="4">
        <f>(VLOOKUP('11.07'!V13,'11.07'!$AM$4:$AO$55,3,FALSE))</f>
        <v>0</v>
      </c>
      <c r="O13" s="5">
        <f>(VLOOKUP('11.07'!W13,'11.07'!$AM$4:$AO$55,3,FALSE))</f>
        <v>0</v>
      </c>
      <c r="P13" s="5">
        <f>(VLOOKUP('11.07'!X13,'11.07'!$AM$4:$AO$55,3,FALSE))</f>
        <v>0</v>
      </c>
      <c r="Q13" s="4">
        <f>(VLOOKUP('11.07'!Y13,'11.07'!$AM$4:$AO$55,3,FALSE))</f>
        <v>45</v>
      </c>
      <c r="R13" s="4">
        <f>(VLOOKUP('11.07'!Z13,'11.07'!$AM$4:$AO$55,3,FALSE))</f>
        <v>45</v>
      </c>
      <c r="S13" s="4">
        <f>(VLOOKUP('11.07'!AA13,'11.07'!$AM$4:$AO$55,3,FALSE))</f>
        <v>45</v>
      </c>
      <c r="T13" s="4">
        <f>(VLOOKUP('11.07'!AB13,'11.07'!$AM$4:$AO$55,3,FALSE))</f>
        <v>45</v>
      </c>
      <c r="U13" s="4">
        <f>(VLOOKUP('11.07'!AC13,'11.07'!$AM$4:$AO$55,3,FALSE))</f>
        <v>45</v>
      </c>
      <c r="V13" s="4">
        <f>(VLOOKUP('11.07'!AD13,'11.07'!$AM$4:$AO$55,3,FALSE))</f>
        <v>45</v>
      </c>
      <c r="W13" s="5">
        <f>(VLOOKUP('11.07'!AE13,'11.07'!$AM$4:$AO$55,3,FALSE))</f>
        <v>0</v>
      </c>
      <c r="X13" s="5">
        <f>(VLOOKUP('11.07'!AF13,'11.07'!$AM$4:$AO$55,3,FALSE))</f>
        <v>0</v>
      </c>
    </row>
    <row r="14" spans="1:24">
      <c r="A14" s="4">
        <f>(VLOOKUP('11.07'!I14,'11.07'!$AM$4:$AO$55,3,FALSE))</f>
        <v>45</v>
      </c>
      <c r="B14" s="4">
        <f>(VLOOKUP('11.07'!J14,'11.07'!$AM$4:$AO$55,3,FALSE))</f>
        <v>45</v>
      </c>
      <c r="C14" s="4">
        <f>(VLOOKUP('11.07'!K14,'11.07'!$AM$4:$AO$55,3,FALSE))</f>
        <v>45</v>
      </c>
      <c r="D14" s="4">
        <f>(VLOOKUP('11.07'!L14,'11.07'!$AM$4:$AO$55,3,FALSE))</f>
        <v>45</v>
      </c>
      <c r="E14" s="4">
        <f>(VLOOKUP('11.07'!M14,'11.07'!$AM$4:$AO$55,3,FALSE))</f>
        <v>45</v>
      </c>
      <c r="F14" s="4">
        <f>(VLOOKUP('11.07'!N14,'11.07'!$AM$4:$AO$55,3,FALSE))</f>
        <v>45</v>
      </c>
      <c r="G14" s="5">
        <f>(VLOOKUP('11.07'!O14,'11.07'!$AM$4:$AO$55,3,FALSE))</f>
        <v>0</v>
      </c>
      <c r="H14" s="5">
        <f>(VLOOKUP('11.07'!P14,'11.07'!$AM$4:$AO$55,3,FALSE))</f>
        <v>0</v>
      </c>
      <c r="I14" s="4">
        <f>(VLOOKUP('11.07'!Q14,'11.07'!$AM$4:$AO$55,3,FALSE))</f>
        <v>0</v>
      </c>
      <c r="J14" s="4">
        <f>(VLOOKUP('11.07'!R14,'11.07'!$AM$4:$AO$55,3,FALSE))</f>
        <v>0</v>
      </c>
      <c r="K14" s="4">
        <f>(VLOOKUP('11.07'!S14,'11.07'!$AM$4:$AO$55,3,FALSE))</f>
        <v>0</v>
      </c>
      <c r="L14" s="4">
        <f>(VLOOKUP('11.07'!T14,'11.07'!$AM$4:$AO$55,3,FALSE))</f>
        <v>0</v>
      </c>
      <c r="M14" s="4">
        <f>(VLOOKUP('11.07'!U14,'11.07'!$AM$4:$AO$55,3,FALSE))</f>
        <v>0</v>
      </c>
      <c r="N14" s="4">
        <f>(VLOOKUP('11.07'!V14,'11.07'!$AM$4:$AO$55,3,FALSE))</f>
        <v>0</v>
      </c>
      <c r="O14" s="5">
        <f>(VLOOKUP('11.07'!W14,'11.07'!$AM$4:$AO$55,3,FALSE))</f>
        <v>0</v>
      </c>
      <c r="P14" s="5">
        <f>(VLOOKUP('11.07'!X14,'11.07'!$AM$4:$AO$55,3,FALSE))</f>
        <v>0</v>
      </c>
      <c r="Q14" s="4">
        <f>(VLOOKUP('11.07'!Y14,'11.07'!$AM$4:$AO$55,3,FALSE))</f>
        <v>45</v>
      </c>
      <c r="R14" s="4">
        <f>(VLOOKUP('11.07'!Z14,'11.07'!$AM$4:$AO$55,3,FALSE))</f>
        <v>45</v>
      </c>
      <c r="S14" s="4">
        <f>(VLOOKUP('11.07'!AA14,'11.07'!$AM$4:$AO$55,3,FALSE))</f>
        <v>45</v>
      </c>
      <c r="T14" s="4">
        <f>(VLOOKUP('11.07'!AB14,'11.07'!$AM$4:$AO$55,3,FALSE))</f>
        <v>45</v>
      </c>
      <c r="U14" s="4">
        <f>(VLOOKUP('11.07'!AC14,'11.07'!$AM$4:$AO$55,3,FALSE))</f>
        <v>30</v>
      </c>
      <c r="V14" s="4">
        <f>(VLOOKUP('11.07'!AD14,'11.07'!$AM$4:$AO$55,3,FALSE))</f>
        <v>45</v>
      </c>
      <c r="W14" s="5">
        <f>(VLOOKUP('11.07'!AE14,'11.07'!$AM$4:$AO$55,3,FALSE))</f>
        <v>0</v>
      </c>
      <c r="X14" s="5">
        <f>(VLOOKUP('11.07'!AF14,'11.07'!$AM$4:$AO$55,3,FALSE))</f>
        <v>0</v>
      </c>
    </row>
    <row r="15" spans="1:24">
      <c r="A15" s="4">
        <f>(VLOOKUP('11.07'!I15,'11.07'!$AM$4:$AO$55,3,FALSE))</f>
        <v>45</v>
      </c>
      <c r="B15" s="4">
        <f>(VLOOKUP('11.07'!J15,'11.07'!$AM$4:$AO$55,3,FALSE))</f>
        <v>45</v>
      </c>
      <c r="C15" s="4">
        <f>(VLOOKUP('11.07'!K15,'11.07'!$AM$4:$AO$55,3,FALSE))</f>
        <v>45</v>
      </c>
      <c r="D15" s="4">
        <f>(VLOOKUP('11.07'!L15,'11.07'!$AM$4:$AO$55,3,FALSE))</f>
        <v>45</v>
      </c>
      <c r="E15" s="4">
        <f>(VLOOKUP('11.07'!M15,'11.07'!$AM$4:$AO$55,3,FALSE))</f>
        <v>45</v>
      </c>
      <c r="F15" s="4">
        <f>(VLOOKUP('11.07'!N15,'11.07'!$AM$4:$AO$55,3,FALSE))</f>
        <v>45</v>
      </c>
      <c r="G15" s="5">
        <f>(VLOOKUP('11.07'!O15,'11.07'!$AM$4:$AO$55,3,FALSE))</f>
        <v>0</v>
      </c>
      <c r="H15" s="5">
        <f>(VLOOKUP('11.07'!P15,'11.07'!$AM$4:$AO$55,3,FALSE))</f>
        <v>0</v>
      </c>
      <c r="I15" s="4">
        <f>(VLOOKUP('11.07'!Q15,'11.07'!$AM$4:$AO$55,3,FALSE))</f>
        <v>0</v>
      </c>
      <c r="J15" s="4">
        <f>(VLOOKUP('11.07'!R15,'11.07'!$AM$4:$AO$55,3,FALSE))</f>
        <v>0</v>
      </c>
      <c r="K15" s="4">
        <f>(VLOOKUP('11.07'!S15,'11.07'!$AM$4:$AO$55,3,FALSE))</f>
        <v>0</v>
      </c>
      <c r="L15" s="4">
        <f>(VLOOKUP('11.07'!T15,'11.07'!$AM$4:$AO$55,3,FALSE))</f>
        <v>0</v>
      </c>
      <c r="M15" s="4">
        <f>(VLOOKUP('11.07'!U15,'11.07'!$AM$4:$AO$55,3,FALSE))</f>
        <v>0</v>
      </c>
      <c r="N15" s="4">
        <f>(VLOOKUP('11.07'!V15,'11.07'!$AM$4:$AO$55,3,FALSE))</f>
        <v>0</v>
      </c>
      <c r="O15" s="5">
        <f>(VLOOKUP('11.07'!W15,'11.07'!$AM$4:$AO$55,3,FALSE))</f>
        <v>0</v>
      </c>
      <c r="P15" s="5">
        <f>(VLOOKUP('11.07'!X15,'11.07'!$AM$4:$AO$55,3,FALSE))</f>
        <v>0</v>
      </c>
      <c r="Q15" s="4">
        <f>(VLOOKUP('11.07'!Y15,'11.07'!$AM$4:$AO$55,3,FALSE))</f>
        <v>45</v>
      </c>
      <c r="R15" s="4">
        <f>(VLOOKUP('11.07'!Z15,'11.07'!$AM$4:$AO$55,3,FALSE))</f>
        <v>45</v>
      </c>
      <c r="S15" s="4">
        <f>(VLOOKUP('11.07'!AA15,'11.07'!$AM$4:$AO$55,3,FALSE))</f>
        <v>45</v>
      </c>
      <c r="T15" s="4">
        <f>(VLOOKUP('11.07'!AB15,'11.07'!$AM$4:$AO$55,3,FALSE))</f>
        <v>45</v>
      </c>
      <c r="U15" s="4">
        <f>(VLOOKUP('11.07'!AC15,'11.07'!$AM$4:$AO$55,3,FALSE))</f>
        <v>45</v>
      </c>
      <c r="V15" s="4">
        <f>(VLOOKUP('11.07'!AD15,'11.07'!$AM$4:$AO$55,3,FALSE))</f>
        <v>45</v>
      </c>
      <c r="W15" s="5">
        <f>(VLOOKUP('11.07'!AE15,'11.07'!$AM$4:$AO$55,3,FALSE))</f>
        <v>0</v>
      </c>
      <c r="X15" s="5">
        <f>(VLOOKUP('11.07'!AF15,'11.07'!$AM$4:$AO$55,3,FALSE))</f>
        <v>0</v>
      </c>
    </row>
    <row r="16" spans="1:24">
      <c r="A16" s="4">
        <f>(VLOOKUP('11.07'!I16,'11.07'!$AM$4:$AO$55,3,FALSE))</f>
        <v>45</v>
      </c>
      <c r="B16" s="4">
        <f>(VLOOKUP('11.07'!J16,'11.07'!$AM$4:$AO$55,3,FALSE))</f>
        <v>45</v>
      </c>
      <c r="C16" s="4">
        <f>(VLOOKUP('11.07'!K16,'11.07'!$AM$4:$AO$55,3,FALSE))</f>
        <v>45</v>
      </c>
      <c r="D16" s="4">
        <f>(VLOOKUP('11.07'!L16,'11.07'!$AM$4:$AO$55,3,FALSE))</f>
        <v>45</v>
      </c>
      <c r="E16" s="4">
        <f>(VLOOKUP('11.07'!M16,'11.07'!$AM$4:$AO$55,3,FALSE))</f>
        <v>45</v>
      </c>
      <c r="F16" s="4">
        <f>(VLOOKUP('11.07'!N16,'11.07'!$AM$4:$AO$55,3,FALSE))</f>
        <v>45</v>
      </c>
      <c r="G16" s="5">
        <f>(VLOOKUP('11.07'!O16,'11.07'!$AM$4:$AO$55,3,FALSE))</f>
        <v>0</v>
      </c>
      <c r="H16" s="5">
        <f>(VLOOKUP('11.07'!P16,'11.07'!$AM$4:$AO$55,3,FALSE))</f>
        <v>0</v>
      </c>
      <c r="I16" s="4">
        <f>(VLOOKUP('11.07'!Q16,'11.07'!$AM$4:$AO$55,3,FALSE))</f>
        <v>0</v>
      </c>
      <c r="J16" s="4">
        <f>(VLOOKUP('11.07'!R16,'11.07'!$AM$4:$AO$55,3,FALSE))</f>
        <v>0</v>
      </c>
      <c r="K16" s="4">
        <f>(VLOOKUP('11.07'!S16,'11.07'!$AM$4:$AO$55,3,FALSE))</f>
        <v>0</v>
      </c>
      <c r="L16" s="4">
        <f>(VLOOKUP('11.07'!T16,'11.07'!$AM$4:$AO$55,3,FALSE))</f>
        <v>0</v>
      </c>
      <c r="M16" s="4">
        <f>(VLOOKUP('11.07'!U16,'11.07'!$AM$4:$AO$55,3,FALSE))</f>
        <v>0</v>
      </c>
      <c r="N16" s="4">
        <f>(VLOOKUP('11.07'!V16,'11.07'!$AM$4:$AO$55,3,FALSE))</f>
        <v>0</v>
      </c>
      <c r="O16" s="5">
        <f>(VLOOKUP('11.07'!W16,'11.07'!$AM$4:$AO$55,3,FALSE))</f>
        <v>0</v>
      </c>
      <c r="P16" s="5">
        <f>(VLOOKUP('11.07'!X16,'11.07'!$AM$4:$AO$55,3,FALSE))</f>
        <v>0</v>
      </c>
      <c r="Q16" s="4">
        <f>(VLOOKUP('11.07'!Y16,'11.07'!$AM$4:$AO$55,3,FALSE))</f>
        <v>45</v>
      </c>
      <c r="R16" s="4">
        <f>(VLOOKUP('11.07'!Z16,'11.07'!$AM$4:$AO$55,3,FALSE))</f>
        <v>45</v>
      </c>
      <c r="S16" s="4">
        <f>(VLOOKUP('11.07'!AA16,'11.07'!$AM$4:$AO$55,3,FALSE))</f>
        <v>45</v>
      </c>
      <c r="T16" s="4">
        <f>(VLOOKUP('11.07'!AB16,'11.07'!$AM$4:$AO$55,3,FALSE))</f>
        <v>45</v>
      </c>
      <c r="U16" s="4">
        <f>(VLOOKUP('11.07'!AC16,'11.07'!$AM$4:$AO$55,3,FALSE))</f>
        <v>45</v>
      </c>
      <c r="V16" s="4">
        <f>(VLOOKUP('11.07'!AD16,'11.07'!$AM$4:$AO$55,3,FALSE))</f>
        <v>45</v>
      </c>
      <c r="W16" s="5">
        <f>(VLOOKUP('11.07'!AE16,'11.07'!$AM$4:$AO$55,3,FALSE))</f>
        <v>0</v>
      </c>
      <c r="X16" s="5">
        <f>(VLOOKUP('11.07'!AF16,'11.07'!$AM$4:$AO$55,3,FALSE))</f>
        <v>0</v>
      </c>
    </row>
    <row r="17" spans="1:24">
      <c r="A17" s="4">
        <f>(VLOOKUP('11.07'!I17,'11.07'!$AM$4:$AO$55,3,FALSE))</f>
        <v>45</v>
      </c>
      <c r="B17" s="4">
        <f>(VLOOKUP('11.07'!J17,'11.07'!$AM$4:$AO$55,3,FALSE))</f>
        <v>45</v>
      </c>
      <c r="C17" s="4">
        <f>(VLOOKUP('11.07'!K17,'11.07'!$AM$4:$AO$55,3,FALSE))</f>
        <v>45</v>
      </c>
      <c r="D17" s="4">
        <f>(VLOOKUP('11.07'!L17,'11.07'!$AM$4:$AO$55,3,FALSE))</f>
        <v>45</v>
      </c>
      <c r="E17" s="4">
        <f>(VLOOKUP('11.07'!M17,'11.07'!$AM$4:$AO$55,3,FALSE))</f>
        <v>45</v>
      </c>
      <c r="F17" s="4">
        <f>(VLOOKUP('11.07'!N17,'11.07'!$AM$4:$AO$55,3,FALSE))</f>
        <v>45</v>
      </c>
      <c r="G17" s="5">
        <f>(VLOOKUP('11.07'!O17,'11.07'!$AM$4:$AO$55,3,FALSE))</f>
        <v>0</v>
      </c>
      <c r="H17" s="5">
        <f>(VLOOKUP('11.07'!P17,'11.07'!$AM$4:$AO$55,3,FALSE))</f>
        <v>0</v>
      </c>
      <c r="I17" s="4">
        <f>(VLOOKUP('11.07'!Q17,'11.07'!$AM$4:$AO$55,3,FALSE))</f>
        <v>0</v>
      </c>
      <c r="J17" s="4">
        <f>(VLOOKUP('11.07'!R17,'11.07'!$AM$4:$AO$55,3,FALSE))</f>
        <v>0</v>
      </c>
      <c r="K17" s="4">
        <f>(VLOOKUP('11.07'!S17,'11.07'!$AM$4:$AO$55,3,FALSE))</f>
        <v>0</v>
      </c>
      <c r="L17" s="4">
        <f>(VLOOKUP('11.07'!T17,'11.07'!$AM$4:$AO$55,3,FALSE))</f>
        <v>0</v>
      </c>
      <c r="M17" s="4">
        <f>(VLOOKUP('11.07'!U17,'11.07'!$AM$4:$AO$55,3,FALSE))</f>
        <v>0</v>
      </c>
      <c r="N17" s="4">
        <f>(VLOOKUP('11.07'!V17,'11.07'!$AM$4:$AO$55,3,FALSE))</f>
        <v>0</v>
      </c>
      <c r="O17" s="5">
        <f>(VLOOKUP('11.07'!W17,'11.07'!$AM$4:$AO$55,3,FALSE))</f>
        <v>0</v>
      </c>
      <c r="P17" s="5">
        <f>(VLOOKUP('11.07'!X17,'11.07'!$AM$4:$AO$55,3,FALSE))</f>
        <v>0</v>
      </c>
      <c r="Q17" s="4">
        <f>(VLOOKUP('11.07'!Y17,'11.07'!$AM$4:$AO$55,3,FALSE))</f>
        <v>45</v>
      </c>
      <c r="R17" s="4">
        <f>(VLOOKUP('11.07'!Z17,'11.07'!$AM$4:$AO$55,3,FALSE))</f>
        <v>45</v>
      </c>
      <c r="S17" s="4">
        <f>(VLOOKUP('11.07'!AA17,'11.07'!$AM$4:$AO$55,3,FALSE))</f>
        <v>45</v>
      </c>
      <c r="T17" s="4">
        <f>(VLOOKUP('11.07'!AB17,'11.07'!$AM$4:$AO$55,3,FALSE))</f>
        <v>45</v>
      </c>
      <c r="U17" s="4">
        <f>(VLOOKUP('11.07'!AC17,'11.07'!$AM$4:$AO$55,3,FALSE))</f>
        <v>45</v>
      </c>
      <c r="V17" s="4">
        <f>(VLOOKUP('11.07'!AD17,'11.07'!$AM$4:$AO$55,3,FALSE))</f>
        <v>45</v>
      </c>
      <c r="W17" s="5">
        <f>(VLOOKUP('11.07'!AE17,'11.07'!$AM$4:$AO$55,3,FALSE))</f>
        <v>0</v>
      </c>
      <c r="X17" s="5">
        <f>(VLOOKUP('11.07'!AF17,'11.07'!$AM$4:$AO$55,3,FALSE))</f>
        <v>0</v>
      </c>
    </row>
    <row r="18" spans="1:24">
      <c r="A18" s="4">
        <f>(VLOOKUP('11.07'!I18,'11.07'!$AM$4:$AO$55,3,FALSE))</f>
        <v>45</v>
      </c>
      <c r="B18" s="4">
        <f>(VLOOKUP('11.07'!J18,'11.07'!$AM$4:$AO$55,3,FALSE))</f>
        <v>45</v>
      </c>
      <c r="C18" s="4">
        <f>(VLOOKUP('11.07'!K18,'11.07'!$AM$4:$AO$55,3,FALSE))</f>
        <v>45</v>
      </c>
      <c r="D18" s="4">
        <f>(VLOOKUP('11.07'!L18,'11.07'!$AM$4:$AO$55,3,FALSE))</f>
        <v>45</v>
      </c>
      <c r="E18" s="4">
        <f>(VLOOKUP('11.07'!M18,'11.07'!$AM$4:$AO$55,3,FALSE))</f>
        <v>45</v>
      </c>
      <c r="F18" s="4">
        <f>(VLOOKUP('11.07'!N18,'11.07'!$AM$4:$AO$55,3,FALSE))</f>
        <v>45</v>
      </c>
      <c r="G18" s="5">
        <f>(VLOOKUP('11.07'!O18,'11.07'!$AM$4:$AO$55,3,FALSE))</f>
        <v>0</v>
      </c>
      <c r="H18" s="5">
        <f>(VLOOKUP('11.07'!P18,'11.07'!$AM$4:$AO$55,3,FALSE))</f>
        <v>0</v>
      </c>
      <c r="I18" s="4">
        <f>(VLOOKUP('11.07'!Q18,'11.07'!$AM$4:$AO$55,3,FALSE))</f>
        <v>0</v>
      </c>
      <c r="J18" s="4">
        <f>(VLOOKUP('11.07'!R18,'11.07'!$AM$4:$AO$55,3,FALSE))</f>
        <v>0</v>
      </c>
      <c r="K18" s="4">
        <f>(VLOOKUP('11.07'!S18,'11.07'!$AM$4:$AO$55,3,FALSE))</f>
        <v>0</v>
      </c>
      <c r="L18" s="4">
        <f>(VLOOKUP('11.07'!T18,'11.07'!$AM$4:$AO$55,3,FALSE))</f>
        <v>0</v>
      </c>
      <c r="M18" s="4">
        <f>(VLOOKUP('11.07'!U18,'11.07'!$AM$4:$AO$55,3,FALSE))</f>
        <v>0</v>
      </c>
      <c r="N18" s="4">
        <f>(VLOOKUP('11.07'!V18,'11.07'!$AM$4:$AO$55,3,FALSE))</f>
        <v>0</v>
      </c>
      <c r="O18" s="5">
        <f>(VLOOKUP('11.07'!W18,'11.07'!$AM$4:$AO$55,3,FALSE))</f>
        <v>0</v>
      </c>
      <c r="P18" s="5">
        <f>(VLOOKUP('11.07'!X18,'11.07'!$AM$4:$AO$55,3,FALSE))</f>
        <v>0</v>
      </c>
      <c r="Q18" s="4">
        <f>(VLOOKUP('11.07'!Y18,'11.07'!$AM$4:$AO$55,3,FALSE))</f>
        <v>45</v>
      </c>
      <c r="R18" s="4">
        <f>(VLOOKUP('11.07'!Z18,'11.07'!$AM$4:$AO$55,3,FALSE))</f>
        <v>45</v>
      </c>
      <c r="S18" s="4">
        <f>(VLOOKUP('11.07'!AA18,'11.07'!$AM$4:$AO$55,3,FALSE))</f>
        <v>45</v>
      </c>
      <c r="T18" s="4">
        <f>(VLOOKUP('11.07'!AB18,'11.07'!$AM$4:$AO$55,3,FALSE))</f>
        <v>45</v>
      </c>
      <c r="U18" s="4">
        <f>(VLOOKUP('11.07'!AC18,'11.07'!$AM$4:$AO$55,3,FALSE))</f>
        <v>45</v>
      </c>
      <c r="V18" s="4">
        <f>(VLOOKUP('11.07'!AD18,'11.07'!$AM$4:$AO$55,3,FALSE))</f>
        <v>45</v>
      </c>
      <c r="W18" s="5">
        <f>(VLOOKUP('11.07'!AE18,'11.07'!$AM$4:$AO$55,3,FALSE))</f>
        <v>0</v>
      </c>
      <c r="X18" s="5">
        <f>(VLOOKUP('11.07'!AF18,'11.07'!$AM$4:$AO$55,3,FALSE))</f>
        <v>0</v>
      </c>
    </row>
    <row r="19" spans="1:24">
      <c r="A19" s="4">
        <f>(VLOOKUP('11.07'!I19,'11.07'!$AM$4:$AO$55,3,FALSE))</f>
        <v>45</v>
      </c>
      <c r="B19" s="4">
        <f>(VLOOKUP('11.07'!J19,'11.07'!$AM$4:$AO$55,3,FALSE))</f>
        <v>45</v>
      </c>
      <c r="C19" s="4">
        <f>(VLOOKUP('11.07'!K19,'11.07'!$AM$4:$AO$55,3,FALSE))</f>
        <v>45</v>
      </c>
      <c r="D19" s="4">
        <f>(VLOOKUP('11.07'!L19,'11.07'!$AM$4:$AO$55,3,FALSE))</f>
        <v>45</v>
      </c>
      <c r="E19" s="4">
        <f>(VLOOKUP('11.07'!M19,'11.07'!$AM$4:$AO$55,3,FALSE))</f>
        <v>45</v>
      </c>
      <c r="F19" s="4">
        <f>(VLOOKUP('11.07'!N19,'11.07'!$AM$4:$AO$55,3,FALSE))</f>
        <v>45</v>
      </c>
      <c r="G19" s="5">
        <f>(VLOOKUP('11.07'!O19,'11.07'!$AM$4:$AO$55,3,FALSE))</f>
        <v>0</v>
      </c>
      <c r="H19" s="5">
        <f>(VLOOKUP('11.07'!P19,'11.07'!$AM$4:$AO$55,3,FALSE))</f>
        <v>0</v>
      </c>
      <c r="I19" s="4">
        <f>(VLOOKUP('11.07'!Q19,'11.07'!$AM$4:$AO$55,3,FALSE))</f>
        <v>0</v>
      </c>
      <c r="J19" s="4">
        <f>(VLOOKUP('11.07'!R19,'11.07'!$AM$4:$AO$55,3,FALSE))</f>
        <v>0</v>
      </c>
      <c r="K19" s="4">
        <f>(VLOOKUP('11.07'!S19,'11.07'!$AM$4:$AO$55,3,FALSE))</f>
        <v>0</v>
      </c>
      <c r="L19" s="4">
        <f>(VLOOKUP('11.07'!T19,'11.07'!$AM$4:$AO$55,3,FALSE))</f>
        <v>0</v>
      </c>
      <c r="M19" s="4">
        <f>(VLOOKUP('11.07'!U19,'11.07'!$AM$4:$AO$55,3,FALSE))</f>
        <v>0</v>
      </c>
      <c r="N19" s="4">
        <f>(VLOOKUP('11.07'!V19,'11.07'!$AM$4:$AO$55,3,FALSE))</f>
        <v>0</v>
      </c>
      <c r="O19" s="5">
        <f>(VLOOKUP('11.07'!W19,'11.07'!$AM$4:$AO$55,3,FALSE))</f>
        <v>0</v>
      </c>
      <c r="P19" s="5">
        <f>(VLOOKUP('11.07'!X19,'11.07'!$AM$4:$AO$55,3,FALSE))</f>
        <v>0</v>
      </c>
      <c r="Q19" s="4">
        <f>(VLOOKUP('11.07'!Y19,'11.07'!$AM$4:$AO$55,3,FALSE))</f>
        <v>45</v>
      </c>
      <c r="R19" s="4">
        <f>(VLOOKUP('11.07'!Z19,'11.07'!$AM$4:$AO$55,3,FALSE))</f>
        <v>30</v>
      </c>
      <c r="S19" s="4">
        <f>(VLOOKUP('11.07'!AA19,'11.07'!$AM$4:$AO$55,3,FALSE))</f>
        <v>45</v>
      </c>
      <c r="T19" s="4">
        <f>(VLOOKUP('11.07'!AB19,'11.07'!$AM$4:$AO$55,3,FALSE))</f>
        <v>45</v>
      </c>
      <c r="U19" s="4">
        <f>(VLOOKUP('11.07'!AC19,'11.07'!$AM$4:$AO$55,3,FALSE))</f>
        <v>45</v>
      </c>
      <c r="V19" s="4">
        <f>(VLOOKUP('11.07'!AD19,'11.07'!$AM$4:$AO$55,3,FALSE))</f>
        <v>45</v>
      </c>
      <c r="W19" s="5">
        <f>(VLOOKUP('11.07'!AE19,'11.07'!$AM$4:$AO$55,3,FALSE))</f>
        <v>0</v>
      </c>
      <c r="X19" s="5">
        <f>(VLOOKUP('11.07'!AF19,'11.07'!$AM$4:$AO$55,3,FALSE))</f>
        <v>0</v>
      </c>
    </row>
    <row r="20" spans="1:24">
      <c r="A20" s="4">
        <f>(VLOOKUP('11.07'!I20,'11.07'!$AM$4:$AO$55,3,FALSE))</f>
        <v>45</v>
      </c>
      <c r="B20" s="4">
        <f>(VLOOKUP('11.07'!J20,'11.07'!$AM$4:$AO$55,3,FALSE))</f>
        <v>45</v>
      </c>
      <c r="C20" s="4">
        <f>(VLOOKUP('11.07'!K20,'11.07'!$AM$4:$AO$55,3,FALSE))</f>
        <v>45</v>
      </c>
      <c r="D20" s="4">
        <f>(VLOOKUP('11.07'!L20,'11.07'!$AM$4:$AO$55,3,FALSE))</f>
        <v>45</v>
      </c>
      <c r="E20" s="4">
        <f>(VLOOKUP('11.07'!M20,'11.07'!$AM$4:$AO$55,3,FALSE))</f>
        <v>45</v>
      </c>
      <c r="F20" s="4">
        <f>(VLOOKUP('11.07'!N20,'11.07'!$AM$4:$AO$55,3,FALSE))</f>
        <v>45</v>
      </c>
      <c r="G20" s="5">
        <f>(VLOOKUP('11.07'!O20,'11.07'!$AM$4:$AO$55,3,FALSE))</f>
        <v>0</v>
      </c>
      <c r="H20" s="5">
        <f>(VLOOKUP('11.07'!P20,'11.07'!$AM$4:$AO$55,3,FALSE))</f>
        <v>0</v>
      </c>
      <c r="I20" s="4">
        <f>(VLOOKUP('11.07'!Q20,'11.07'!$AM$4:$AO$55,3,FALSE))</f>
        <v>0</v>
      </c>
      <c r="J20" s="4">
        <f>(VLOOKUP('11.07'!R20,'11.07'!$AM$4:$AO$55,3,FALSE))</f>
        <v>0</v>
      </c>
      <c r="K20" s="4">
        <f>(VLOOKUP('11.07'!S20,'11.07'!$AM$4:$AO$55,3,FALSE))</f>
        <v>0</v>
      </c>
      <c r="L20" s="4">
        <f>(VLOOKUP('11.07'!T20,'11.07'!$AM$4:$AO$55,3,FALSE))</f>
        <v>0</v>
      </c>
      <c r="M20" s="4">
        <f>(VLOOKUP('11.07'!U20,'11.07'!$AM$4:$AO$55,3,FALSE))</f>
        <v>0</v>
      </c>
      <c r="N20" s="4">
        <f>(VLOOKUP('11.07'!V20,'11.07'!$AM$4:$AO$55,3,FALSE))</f>
        <v>0</v>
      </c>
      <c r="O20" s="5">
        <f>(VLOOKUP('11.07'!W20,'11.07'!$AM$4:$AO$55,3,FALSE))</f>
        <v>0</v>
      </c>
      <c r="P20" s="5">
        <f>(VLOOKUP('11.07'!X20,'11.07'!$AM$4:$AO$55,3,FALSE))</f>
        <v>0</v>
      </c>
      <c r="Q20" s="4">
        <f>(VLOOKUP('11.07'!Y20,'11.07'!$AM$4:$AO$55,3,FALSE))</f>
        <v>45</v>
      </c>
      <c r="R20" s="4">
        <f>(VLOOKUP('11.07'!Z20,'11.07'!$AM$4:$AO$55,3,FALSE))</f>
        <v>45</v>
      </c>
      <c r="S20" s="4">
        <f>(VLOOKUP('11.07'!AA20,'11.07'!$AM$4:$AO$55,3,FALSE))</f>
        <v>45</v>
      </c>
      <c r="T20" s="4">
        <f>(VLOOKUP('11.07'!AB20,'11.07'!$AM$4:$AO$55,3,FALSE))</f>
        <v>45</v>
      </c>
      <c r="U20" s="4">
        <f>(VLOOKUP('11.07'!AC20,'11.07'!$AM$4:$AO$55,3,FALSE))</f>
        <v>45</v>
      </c>
      <c r="V20" s="4">
        <f>(VLOOKUP('11.07'!AD20,'11.07'!$AM$4:$AO$55,3,FALSE))</f>
        <v>45</v>
      </c>
      <c r="W20" s="5">
        <f>(VLOOKUP('11.07'!AE20,'11.07'!$AM$4:$AO$55,3,FALSE))</f>
        <v>0</v>
      </c>
      <c r="X20" s="5">
        <f>(VLOOKUP('11.07'!AF20,'11.07'!$AM$4:$AO$55,3,FALSE))</f>
        <v>0</v>
      </c>
    </row>
    <row r="21" spans="1:24">
      <c r="A21" s="4">
        <f>(VLOOKUP('11.07'!I21,'11.07'!$AM$4:$AO$55,3,FALSE))</f>
        <v>45</v>
      </c>
      <c r="B21" s="4">
        <f>(VLOOKUP('11.07'!J21,'11.07'!$AM$4:$AO$55,3,FALSE))</f>
        <v>45</v>
      </c>
      <c r="C21" s="4">
        <f>(VLOOKUP('11.07'!K21,'11.07'!$AM$4:$AO$55,3,FALSE))</f>
        <v>45</v>
      </c>
      <c r="D21" s="4">
        <f>(VLOOKUP('11.07'!L21,'11.07'!$AM$4:$AO$55,3,FALSE))</f>
        <v>45</v>
      </c>
      <c r="E21" s="4">
        <f>(VLOOKUP('11.07'!M21,'11.07'!$AM$4:$AO$55,3,FALSE))</f>
        <v>45</v>
      </c>
      <c r="F21" s="4">
        <f>(VLOOKUP('11.07'!N21,'11.07'!$AM$4:$AO$55,3,FALSE))</f>
        <v>45</v>
      </c>
      <c r="G21" s="5">
        <f>(VLOOKUP('11.07'!O21,'11.07'!$AM$4:$AO$55,3,FALSE))</f>
        <v>0</v>
      </c>
      <c r="H21" s="5">
        <f>(VLOOKUP('11.07'!P21,'11.07'!$AM$4:$AO$55,3,FALSE))</f>
        <v>0</v>
      </c>
      <c r="I21" s="4">
        <f>(VLOOKUP('11.07'!Q21,'11.07'!$AM$4:$AO$55,3,FALSE))</f>
        <v>0</v>
      </c>
      <c r="J21" s="4">
        <f>(VLOOKUP('11.07'!R21,'11.07'!$AM$4:$AO$55,3,FALSE))</f>
        <v>0</v>
      </c>
      <c r="K21" s="4">
        <f>(VLOOKUP('11.07'!S21,'11.07'!$AM$4:$AO$55,3,FALSE))</f>
        <v>0</v>
      </c>
      <c r="L21" s="4">
        <f>(VLOOKUP('11.07'!T21,'11.07'!$AM$4:$AO$55,3,FALSE))</f>
        <v>0</v>
      </c>
      <c r="M21" s="4">
        <f>(VLOOKUP('11.07'!U21,'11.07'!$AM$4:$AO$55,3,FALSE))</f>
        <v>0</v>
      </c>
      <c r="N21" s="4">
        <f>(VLOOKUP('11.07'!V21,'11.07'!$AM$4:$AO$55,3,FALSE))</f>
        <v>0</v>
      </c>
      <c r="O21" s="5">
        <f>(VLOOKUP('11.07'!W21,'11.07'!$AM$4:$AO$55,3,FALSE))</f>
        <v>0</v>
      </c>
      <c r="P21" s="5">
        <f>(VLOOKUP('11.07'!X21,'11.07'!$AM$4:$AO$55,3,FALSE))</f>
        <v>0</v>
      </c>
      <c r="Q21" s="4">
        <f>(VLOOKUP('11.07'!Y21,'11.07'!$AM$4:$AO$55,3,FALSE))</f>
        <v>45</v>
      </c>
      <c r="R21" s="4">
        <f>(VLOOKUP('11.07'!Z21,'11.07'!$AM$4:$AO$55,3,FALSE))</f>
        <v>45</v>
      </c>
      <c r="S21" s="4">
        <f>(VLOOKUP('11.07'!AA21,'11.07'!$AM$4:$AO$55,3,FALSE))</f>
        <v>45</v>
      </c>
      <c r="T21" s="4">
        <f>(VLOOKUP('11.07'!AB21,'11.07'!$AM$4:$AO$55,3,FALSE))</f>
        <v>45</v>
      </c>
      <c r="U21" s="4">
        <f>(VLOOKUP('11.07'!AC21,'11.07'!$AM$4:$AO$55,3,FALSE))</f>
        <v>45</v>
      </c>
      <c r="V21" s="4">
        <f>(VLOOKUP('11.07'!AD21,'11.07'!$AM$4:$AO$55,3,FALSE))</f>
        <v>45</v>
      </c>
      <c r="W21" s="5">
        <f>(VLOOKUP('11.07'!AE21,'11.07'!$AM$4:$AO$55,3,FALSE))</f>
        <v>0</v>
      </c>
      <c r="X21" s="5">
        <f>(VLOOKUP('11.07'!AF21,'11.07'!$AM$4:$AO$55,3,FALSE))</f>
        <v>0</v>
      </c>
    </row>
    <row r="22" spans="1:24">
      <c r="A22" s="4">
        <f>(VLOOKUP('11.07'!I22,'11.07'!$AM$4:$AO$55,3,FALSE))</f>
        <v>45</v>
      </c>
      <c r="B22" s="4">
        <f>(VLOOKUP('11.07'!J22,'11.07'!$AM$4:$AO$55,3,FALSE))</f>
        <v>45</v>
      </c>
      <c r="C22" s="4">
        <f>(VLOOKUP('11.07'!K22,'11.07'!$AM$4:$AO$55,3,FALSE))</f>
        <v>45</v>
      </c>
      <c r="D22" s="4">
        <f>(VLOOKUP('11.07'!L22,'11.07'!$AM$4:$AO$55,3,FALSE))</f>
        <v>45</v>
      </c>
      <c r="E22" s="4">
        <f>(VLOOKUP('11.07'!M22,'11.07'!$AM$4:$AO$55,3,FALSE))</f>
        <v>45</v>
      </c>
      <c r="F22" s="4">
        <f>(VLOOKUP('11.07'!N22,'11.07'!$AM$4:$AO$55,3,FALSE))</f>
        <v>45</v>
      </c>
      <c r="G22" s="5">
        <f>(VLOOKUP('11.07'!O22,'11.07'!$AM$4:$AO$55,3,FALSE))</f>
        <v>0</v>
      </c>
      <c r="H22" s="5">
        <f>(VLOOKUP('11.07'!P22,'11.07'!$AM$4:$AO$55,3,FALSE))</f>
        <v>0</v>
      </c>
      <c r="I22" s="4">
        <f>(VLOOKUP('11.07'!Q22,'11.07'!$AM$4:$AO$55,3,FALSE))</f>
        <v>0</v>
      </c>
      <c r="J22" s="4">
        <f>(VLOOKUP('11.07'!R22,'11.07'!$AM$4:$AO$55,3,FALSE))</f>
        <v>0</v>
      </c>
      <c r="K22" s="4">
        <f>(VLOOKUP('11.07'!S22,'11.07'!$AM$4:$AO$55,3,FALSE))</f>
        <v>0</v>
      </c>
      <c r="L22" s="4">
        <f>(VLOOKUP('11.07'!T22,'11.07'!$AM$4:$AO$55,3,FALSE))</f>
        <v>0</v>
      </c>
      <c r="M22" s="4">
        <f>(VLOOKUP('11.07'!U22,'11.07'!$AM$4:$AO$55,3,FALSE))</f>
        <v>0</v>
      </c>
      <c r="N22" s="4">
        <f>(VLOOKUP('11.07'!V22,'11.07'!$AM$4:$AO$55,3,FALSE))</f>
        <v>0</v>
      </c>
      <c r="O22" s="5">
        <f>(VLOOKUP('11.07'!W22,'11.07'!$AM$4:$AO$55,3,FALSE))</f>
        <v>0</v>
      </c>
      <c r="P22" s="5">
        <f>(VLOOKUP('11.07'!X22,'11.07'!$AM$4:$AO$55,3,FALSE))</f>
        <v>0</v>
      </c>
      <c r="Q22" s="4">
        <f>(VLOOKUP('11.07'!Y22,'11.07'!$AM$4:$AO$55,3,FALSE))</f>
        <v>50</v>
      </c>
      <c r="R22" s="4">
        <f>(VLOOKUP('11.07'!Z22,'11.07'!$AM$4:$AO$55,3,FALSE))</f>
        <v>45</v>
      </c>
      <c r="S22" s="4">
        <f>(VLOOKUP('11.07'!AA22,'11.07'!$AM$4:$AO$55,3,FALSE))</f>
        <v>45</v>
      </c>
      <c r="T22" s="4">
        <f>(VLOOKUP('11.07'!AB22,'11.07'!$AM$4:$AO$55,3,FALSE))</f>
        <v>50</v>
      </c>
      <c r="U22" s="4">
        <f>(VLOOKUP('11.07'!AC22,'11.07'!$AM$4:$AO$55,3,FALSE))</f>
        <v>50</v>
      </c>
      <c r="V22" s="4">
        <f>(VLOOKUP('11.07'!AD22,'11.07'!$AM$4:$AO$55,3,FALSE))</f>
        <v>50</v>
      </c>
      <c r="W22" s="5">
        <f>(VLOOKUP('11.07'!AE22,'11.07'!$AM$4:$AO$55,3,FALSE))</f>
        <v>0</v>
      </c>
      <c r="X22" s="5">
        <f>(VLOOKUP('11.07'!AF22,'11.07'!$AM$4:$AO$55,3,FALSE))</f>
        <v>50</v>
      </c>
    </row>
    <row r="23" spans="1:24">
      <c r="A23" s="4">
        <f>(VLOOKUP('11.07'!I23,'11.07'!$AM$4:$AO$55,3,FALSE))</f>
        <v>45</v>
      </c>
      <c r="B23" s="4">
        <f>(VLOOKUP('11.07'!J23,'11.07'!$AM$4:$AO$55,3,FALSE))</f>
        <v>45</v>
      </c>
      <c r="C23" s="4">
        <f>(VLOOKUP('11.07'!K23,'11.07'!$AM$4:$AO$55,3,FALSE))</f>
        <v>45</v>
      </c>
      <c r="D23" s="4">
        <f>(VLOOKUP('11.07'!L23,'11.07'!$AM$4:$AO$55,3,FALSE))</f>
        <v>45</v>
      </c>
      <c r="E23" s="4">
        <f>(VLOOKUP('11.07'!M23,'11.07'!$AM$4:$AO$55,3,FALSE))</f>
        <v>45</v>
      </c>
      <c r="F23" s="4">
        <f>(VLOOKUP('11.07'!N23,'11.07'!$AM$4:$AO$55,3,FALSE))</f>
        <v>45</v>
      </c>
      <c r="G23" s="5">
        <f>(VLOOKUP('11.07'!O23,'11.07'!$AM$4:$AO$55,3,FALSE))</f>
        <v>0</v>
      </c>
      <c r="H23" s="5">
        <f>(VLOOKUP('11.07'!P23,'11.07'!$AM$4:$AO$55,3,FALSE))</f>
        <v>0</v>
      </c>
      <c r="I23" s="4">
        <f>(VLOOKUP('11.07'!Q23,'11.07'!$AM$4:$AO$55,3,FALSE))</f>
        <v>0</v>
      </c>
      <c r="J23" s="4">
        <f>(VLOOKUP('11.07'!R23,'11.07'!$AM$4:$AO$55,3,FALSE))</f>
        <v>0</v>
      </c>
      <c r="K23" s="4">
        <f>(VLOOKUP('11.07'!S23,'11.07'!$AM$4:$AO$55,3,FALSE))</f>
        <v>0</v>
      </c>
      <c r="L23" s="4">
        <f>(VLOOKUP('11.07'!T23,'11.07'!$AM$4:$AO$55,3,FALSE))</f>
        <v>0</v>
      </c>
      <c r="M23" s="4">
        <f>(VLOOKUP('11.07'!U23,'11.07'!$AM$4:$AO$55,3,FALSE))</f>
        <v>0</v>
      </c>
      <c r="N23" s="4">
        <f>(VLOOKUP('11.07'!V23,'11.07'!$AM$4:$AO$55,3,FALSE))</f>
        <v>0</v>
      </c>
      <c r="O23" s="5">
        <f>(VLOOKUP('11.07'!W23,'11.07'!$AM$4:$AO$55,3,FALSE))</f>
        <v>0</v>
      </c>
      <c r="P23" s="5">
        <f>(VLOOKUP('11.07'!X23,'11.07'!$AM$4:$AO$55,3,FALSE))</f>
        <v>0</v>
      </c>
      <c r="Q23" s="4">
        <f>(VLOOKUP('11.07'!Y23,'11.07'!$AM$4:$AO$55,3,FALSE))</f>
        <v>50</v>
      </c>
      <c r="R23" s="4">
        <f>(VLOOKUP('11.07'!Z23,'11.07'!$AM$4:$AO$55,3,FALSE))</f>
        <v>50</v>
      </c>
      <c r="S23" s="4">
        <f>(VLOOKUP('11.07'!AA23,'11.07'!$AM$4:$AO$55,3,FALSE))</f>
        <v>50</v>
      </c>
      <c r="T23" s="4">
        <f>(VLOOKUP('11.07'!AB23,'11.07'!$AM$4:$AO$55,3,FALSE))</f>
        <v>50</v>
      </c>
      <c r="U23" s="4">
        <f>(VLOOKUP('11.07'!AC23,'11.07'!$AM$4:$AO$55,3,FALSE))</f>
        <v>50</v>
      </c>
      <c r="V23" s="4">
        <f>(VLOOKUP('11.07'!AD23,'11.07'!$AM$4:$AO$55,3,FALSE))</f>
        <v>50</v>
      </c>
      <c r="W23" s="5">
        <f>(VLOOKUP('11.07'!AE23,'11.07'!$AM$4:$AO$55,3,FALSE))</f>
        <v>0</v>
      </c>
      <c r="X23" s="5">
        <f>(VLOOKUP('11.07'!AF23,'11.07'!$AM$4:$AO$55,3,FALSE))</f>
        <v>0</v>
      </c>
    </row>
    <row r="24" spans="1:24">
      <c r="A24" s="4">
        <f>(VLOOKUP('11.07'!I24,'11.07'!$AM$4:$AO$55,3,FALSE))</f>
        <v>45</v>
      </c>
      <c r="B24" s="4">
        <f>(VLOOKUP('11.07'!J24,'11.07'!$AM$4:$AO$55,3,FALSE))</f>
        <v>45</v>
      </c>
      <c r="C24" s="4">
        <f>(VLOOKUP('11.07'!K24,'11.07'!$AM$4:$AO$55,3,FALSE))</f>
        <v>45</v>
      </c>
      <c r="D24" s="4">
        <f>(VLOOKUP('11.07'!L24,'11.07'!$AM$4:$AO$55,3,FALSE))</f>
        <v>45</v>
      </c>
      <c r="E24" s="4">
        <f>(VLOOKUP('11.07'!M24,'11.07'!$AM$4:$AO$55,3,FALSE))</f>
        <v>45</v>
      </c>
      <c r="F24" s="4">
        <f>(VLOOKUP('11.07'!N24,'11.07'!$AM$4:$AO$55,3,FALSE))</f>
        <v>45</v>
      </c>
      <c r="G24" s="5">
        <f>(VLOOKUP('11.07'!O24,'11.07'!$AM$4:$AO$55,3,FALSE))</f>
        <v>0</v>
      </c>
      <c r="H24" s="5">
        <f>(VLOOKUP('11.07'!P24,'11.07'!$AM$4:$AO$55,3,FALSE))</f>
        <v>0</v>
      </c>
      <c r="I24" s="4">
        <f>(VLOOKUP('11.07'!Q24,'11.07'!$AM$4:$AO$55,3,FALSE))</f>
        <v>0</v>
      </c>
      <c r="J24" s="4">
        <f>(VLOOKUP('11.07'!R24,'11.07'!$AM$4:$AO$55,3,FALSE))</f>
        <v>0</v>
      </c>
      <c r="K24" s="4">
        <f>(VLOOKUP('11.07'!S24,'11.07'!$AM$4:$AO$55,3,FALSE))</f>
        <v>0</v>
      </c>
      <c r="L24" s="4">
        <f>(VLOOKUP('11.07'!T24,'11.07'!$AM$4:$AO$55,3,FALSE))</f>
        <v>0</v>
      </c>
      <c r="M24" s="4">
        <f>(VLOOKUP('11.07'!U24,'11.07'!$AM$4:$AO$55,3,FALSE))</f>
        <v>0</v>
      </c>
      <c r="N24" s="4">
        <f>(VLOOKUP('11.07'!V24,'11.07'!$AM$4:$AO$55,3,FALSE))</f>
        <v>0</v>
      </c>
      <c r="O24" s="5">
        <f>(VLOOKUP('11.07'!W24,'11.07'!$AM$4:$AO$55,3,FALSE))</f>
        <v>0</v>
      </c>
      <c r="P24" s="5">
        <f>(VLOOKUP('11.07'!X24,'11.07'!$AM$4:$AO$55,3,FALSE))</f>
        <v>0</v>
      </c>
      <c r="Q24" s="4">
        <f>(VLOOKUP('11.07'!Y24,'11.07'!$AM$4:$AO$55,3,FALSE))</f>
        <v>50</v>
      </c>
      <c r="R24" s="4">
        <f>(VLOOKUP('11.07'!Z24,'11.07'!$AM$4:$AO$55,3,FALSE))</f>
        <v>50</v>
      </c>
      <c r="S24" s="4">
        <f>(VLOOKUP('11.07'!AA24,'11.07'!$AM$4:$AO$55,3,FALSE))</f>
        <v>50</v>
      </c>
      <c r="T24" s="4">
        <f>(VLOOKUP('11.07'!AB24,'11.07'!$AM$4:$AO$55,3,FALSE))</f>
        <v>50</v>
      </c>
      <c r="U24" s="4">
        <f>(VLOOKUP('11.07'!AC24,'11.07'!$AM$4:$AO$55,3,FALSE))</f>
        <v>50</v>
      </c>
      <c r="V24" s="4">
        <f>(VLOOKUP('11.07'!AD24,'11.07'!$AM$4:$AO$55,3,FALSE))</f>
        <v>50</v>
      </c>
      <c r="W24" s="5">
        <f>(VLOOKUP('11.07'!AE24,'11.07'!$AM$4:$AO$55,3,FALSE))</f>
        <v>0</v>
      </c>
      <c r="X24" s="5">
        <f>(VLOOKUP('11.07'!AF24,'11.07'!$AM$4:$AO$55,3,FALSE))</f>
        <v>0</v>
      </c>
    </row>
    <row r="25" spans="1:24">
      <c r="A25" s="4">
        <f>(VLOOKUP('11.07'!I25,'11.07'!$AM$4:$AO$55,3,FALSE))</f>
        <v>45</v>
      </c>
      <c r="B25" s="4">
        <f>(VLOOKUP('11.07'!J25,'11.07'!$AM$4:$AO$55,3,FALSE))</f>
        <v>45</v>
      </c>
      <c r="C25" s="4">
        <f>(VLOOKUP('11.07'!K25,'11.07'!$AM$4:$AO$55,3,FALSE))</f>
        <v>45</v>
      </c>
      <c r="D25" s="4">
        <f>(VLOOKUP('11.07'!L25,'11.07'!$AM$4:$AO$55,3,FALSE))</f>
        <v>45</v>
      </c>
      <c r="E25" s="4">
        <f>(VLOOKUP('11.07'!M25,'11.07'!$AM$4:$AO$55,3,FALSE))</f>
        <v>45</v>
      </c>
      <c r="F25" s="4">
        <f>(VLOOKUP('11.07'!N25,'11.07'!$AM$4:$AO$55,3,FALSE))</f>
        <v>45</v>
      </c>
      <c r="G25" s="5">
        <f>(VLOOKUP('11.07'!O25,'11.07'!$AM$4:$AO$55,3,FALSE))</f>
        <v>0</v>
      </c>
      <c r="H25" s="5">
        <f>(VLOOKUP('11.07'!P25,'11.07'!$AM$4:$AO$55,3,FALSE))</f>
        <v>0</v>
      </c>
      <c r="I25" s="4">
        <f>(VLOOKUP('11.07'!Q25,'11.07'!$AM$4:$AO$55,3,FALSE))</f>
        <v>0</v>
      </c>
      <c r="J25" s="4">
        <f>(VLOOKUP('11.07'!R25,'11.07'!$AM$4:$AO$55,3,FALSE))</f>
        <v>0</v>
      </c>
      <c r="K25" s="4">
        <f>(VLOOKUP('11.07'!S25,'11.07'!$AM$4:$AO$55,3,FALSE))</f>
        <v>0</v>
      </c>
      <c r="L25" s="4">
        <f>(VLOOKUP('11.07'!T25,'11.07'!$AM$4:$AO$55,3,FALSE))</f>
        <v>0</v>
      </c>
      <c r="M25" s="4">
        <f>(VLOOKUP('11.07'!U25,'11.07'!$AM$4:$AO$55,3,FALSE))</f>
        <v>0</v>
      </c>
      <c r="N25" s="4">
        <f>(VLOOKUP('11.07'!V25,'11.07'!$AM$4:$AO$55,3,FALSE))</f>
        <v>0</v>
      </c>
      <c r="O25" s="5">
        <f>(VLOOKUP('11.07'!W25,'11.07'!$AM$4:$AO$55,3,FALSE))</f>
        <v>0</v>
      </c>
      <c r="P25" s="5">
        <f>(VLOOKUP('11.07'!X25,'11.07'!$AM$4:$AO$55,3,FALSE))</f>
        <v>0</v>
      </c>
      <c r="Q25" s="4">
        <f>(VLOOKUP('11.07'!Y25,'11.07'!$AM$4:$AO$55,3,FALSE))</f>
        <v>50</v>
      </c>
      <c r="R25" s="4">
        <f>(VLOOKUP('11.07'!Z25,'11.07'!$AM$4:$AO$55,3,FALSE))</f>
        <v>50</v>
      </c>
      <c r="S25" s="4">
        <f>(VLOOKUP('11.07'!AA25,'11.07'!$AM$4:$AO$55,3,FALSE))</f>
        <v>50</v>
      </c>
      <c r="T25" s="4">
        <f>(VLOOKUP('11.07'!AB25,'11.07'!$AM$4:$AO$55,3,FALSE))</f>
        <v>50</v>
      </c>
      <c r="U25" s="4">
        <f>(VLOOKUP('11.07'!AC25,'11.07'!$AM$4:$AO$55,3,FALSE))</f>
        <v>50</v>
      </c>
      <c r="V25" s="4">
        <f>(VLOOKUP('11.07'!AD25,'11.07'!$AM$4:$AO$55,3,FALSE))</f>
        <v>50</v>
      </c>
      <c r="W25" s="5">
        <f>(VLOOKUP('11.07'!AE25,'11.07'!$AM$4:$AO$55,3,FALSE))</f>
        <v>0</v>
      </c>
      <c r="X25" s="5">
        <f>(VLOOKUP('11.07'!AF25,'11.07'!$AM$4:$AO$55,3,FALSE))</f>
        <v>0</v>
      </c>
    </row>
    <row r="26" spans="1:24">
      <c r="A26" s="4">
        <f>(VLOOKUP('11.07'!I26,'11.07'!$AM$4:$AO$55,3,FALSE))</f>
        <v>45</v>
      </c>
      <c r="B26" s="4">
        <f>(VLOOKUP('11.07'!J26,'11.07'!$AM$4:$AO$55,3,FALSE))</f>
        <v>45</v>
      </c>
      <c r="C26" s="4">
        <f>(VLOOKUP('11.07'!K26,'11.07'!$AM$4:$AO$55,3,FALSE))</f>
        <v>30</v>
      </c>
      <c r="D26" s="4">
        <f>(VLOOKUP('11.07'!L26,'11.07'!$AM$4:$AO$55,3,FALSE))</f>
        <v>45</v>
      </c>
      <c r="E26" s="4">
        <f>(VLOOKUP('11.07'!M26,'11.07'!$AM$4:$AO$55,3,FALSE))</f>
        <v>45</v>
      </c>
      <c r="F26" s="4">
        <f>(VLOOKUP('11.07'!N26,'11.07'!$AM$4:$AO$55,3,FALSE))</f>
        <v>45</v>
      </c>
      <c r="G26" s="5">
        <f>(VLOOKUP('11.07'!O26,'11.07'!$AM$4:$AO$55,3,FALSE))</f>
        <v>0</v>
      </c>
      <c r="H26" s="5">
        <f>(VLOOKUP('11.07'!P26,'11.07'!$AM$4:$AO$55,3,FALSE))</f>
        <v>0</v>
      </c>
      <c r="I26" s="4">
        <f>(VLOOKUP('11.07'!Q26,'11.07'!$AM$4:$AO$55,3,FALSE))</f>
        <v>0</v>
      </c>
      <c r="J26" s="4">
        <f>(VLOOKUP('11.07'!R26,'11.07'!$AM$4:$AO$55,3,FALSE))</f>
        <v>0</v>
      </c>
      <c r="K26" s="4">
        <f>(VLOOKUP('11.07'!S26,'11.07'!$AM$4:$AO$55,3,FALSE))</f>
        <v>0</v>
      </c>
      <c r="L26" s="4">
        <f>(VLOOKUP('11.07'!T26,'11.07'!$AM$4:$AO$55,3,FALSE))</f>
        <v>0</v>
      </c>
      <c r="M26" s="4">
        <f>(VLOOKUP('11.07'!U26,'11.07'!$AM$4:$AO$55,3,FALSE))</f>
        <v>0</v>
      </c>
      <c r="N26" s="4">
        <f>(VLOOKUP('11.07'!V26,'11.07'!$AM$4:$AO$55,3,FALSE))</f>
        <v>0</v>
      </c>
      <c r="O26" s="5">
        <f>(VLOOKUP('11.07'!W26,'11.07'!$AM$4:$AO$55,3,FALSE))</f>
        <v>0</v>
      </c>
      <c r="P26" s="5">
        <f>(VLOOKUP('11.07'!X26,'11.07'!$AM$4:$AO$55,3,FALSE))</f>
        <v>0</v>
      </c>
      <c r="Q26" s="4">
        <f>(VLOOKUP('11.07'!Y26,'11.07'!$AM$4:$AO$55,3,FALSE))</f>
        <v>50</v>
      </c>
      <c r="R26" s="4">
        <f>(VLOOKUP('11.07'!Z26,'11.07'!$AM$4:$AO$55,3,FALSE))</f>
        <v>50</v>
      </c>
      <c r="S26" s="4">
        <f>(VLOOKUP('11.07'!AA26,'11.07'!$AM$4:$AO$55,3,FALSE))</f>
        <v>50</v>
      </c>
      <c r="T26" s="4">
        <f>(VLOOKUP('11.07'!AB26,'11.07'!$AM$4:$AO$55,3,FALSE))</f>
        <v>50</v>
      </c>
      <c r="U26" s="4">
        <f>(VLOOKUP('11.07'!AC26,'11.07'!$AM$4:$AO$55,3,FALSE))</f>
        <v>50</v>
      </c>
      <c r="V26" s="4">
        <f>(VLOOKUP('11.07'!AD26,'11.07'!$AM$4:$AO$55,3,FALSE))</f>
        <v>50</v>
      </c>
      <c r="W26" s="5">
        <f>(VLOOKUP('11.07'!AE26,'11.07'!$AM$4:$AO$55,3,FALSE))</f>
        <v>0</v>
      </c>
      <c r="X26" s="5">
        <f>(VLOOKUP('11.07'!AF26,'11.07'!$AM$4:$AO$55,3,FALSE))</f>
        <v>0</v>
      </c>
    </row>
    <row r="27" spans="1:24">
      <c r="A27" s="4">
        <f>(VLOOKUP('11.07'!I27,'11.07'!$AM$4:$AO$55,3,FALSE))</f>
        <v>45</v>
      </c>
      <c r="B27" s="4">
        <f>(VLOOKUP('11.07'!J27,'11.07'!$AM$4:$AO$55,3,FALSE))</f>
        <v>45</v>
      </c>
      <c r="C27" s="4">
        <f>(VLOOKUP('11.07'!K27,'11.07'!$AM$4:$AO$55,3,FALSE))</f>
        <v>45</v>
      </c>
      <c r="D27" s="4">
        <f>(VLOOKUP('11.07'!L27,'11.07'!$AM$4:$AO$55,3,FALSE))</f>
        <v>45</v>
      </c>
      <c r="E27" s="4">
        <f>(VLOOKUP('11.07'!M27,'11.07'!$AM$4:$AO$55,3,FALSE))</f>
        <v>45</v>
      </c>
      <c r="F27" s="4">
        <f>(VLOOKUP('11.07'!N27,'11.07'!$AM$4:$AO$55,3,FALSE))</f>
        <v>45</v>
      </c>
      <c r="G27" s="5">
        <f>(VLOOKUP('11.07'!O27,'11.07'!$AM$4:$AO$55,3,FALSE))</f>
        <v>0</v>
      </c>
      <c r="H27" s="5">
        <f>(VLOOKUP('11.07'!P27,'11.07'!$AM$4:$AO$55,3,FALSE))</f>
        <v>0</v>
      </c>
      <c r="I27" s="4">
        <f>(VLOOKUP('11.07'!Q27,'11.07'!$AM$4:$AO$55,3,FALSE))</f>
        <v>0</v>
      </c>
      <c r="J27" s="4">
        <f>(VLOOKUP('11.07'!R27,'11.07'!$AM$4:$AO$55,3,FALSE))</f>
        <v>0</v>
      </c>
      <c r="K27" s="4">
        <f>(VLOOKUP('11.07'!S27,'11.07'!$AM$4:$AO$55,3,FALSE))</f>
        <v>0</v>
      </c>
      <c r="L27" s="4">
        <f>(VLOOKUP('11.07'!T27,'11.07'!$AM$4:$AO$55,3,FALSE))</f>
        <v>0</v>
      </c>
      <c r="M27" s="4">
        <f>(VLOOKUP('11.07'!U27,'11.07'!$AM$4:$AO$55,3,FALSE))</f>
        <v>0</v>
      </c>
      <c r="N27" s="4">
        <f>(VLOOKUP('11.07'!V27,'11.07'!$AM$4:$AO$55,3,FALSE))</f>
        <v>0</v>
      </c>
      <c r="O27" s="5">
        <f>(VLOOKUP('11.07'!W27,'11.07'!$AM$4:$AO$55,3,FALSE))</f>
        <v>0</v>
      </c>
      <c r="P27" s="5">
        <f>(VLOOKUP('11.07'!X27,'11.07'!$AM$4:$AO$55,3,FALSE))</f>
        <v>0</v>
      </c>
      <c r="Q27" s="4">
        <f>(VLOOKUP('11.07'!Y27,'11.07'!$AM$4:$AO$55,3,FALSE))</f>
        <v>50</v>
      </c>
      <c r="R27" s="4">
        <f>(VLOOKUP('11.07'!Z27,'11.07'!$AM$4:$AO$55,3,FALSE))</f>
        <v>50</v>
      </c>
      <c r="S27" s="4">
        <f>(VLOOKUP('11.07'!AA27,'11.07'!$AM$4:$AO$55,3,FALSE))</f>
        <v>50</v>
      </c>
      <c r="T27" s="4">
        <f>(VLOOKUP('11.07'!AB27,'11.07'!$AM$4:$AO$55,3,FALSE))</f>
        <v>50</v>
      </c>
      <c r="U27" s="4">
        <f>(VLOOKUP('11.07'!AC27,'11.07'!$AM$4:$AO$55,3,FALSE))</f>
        <v>50</v>
      </c>
      <c r="V27" s="4">
        <f>(VLOOKUP('11.07'!AD27,'11.07'!$AM$4:$AO$55,3,FALSE))</f>
        <v>50</v>
      </c>
      <c r="W27" s="5">
        <f>(VLOOKUP('11.07'!AE27,'11.07'!$AM$4:$AO$55,3,FALSE))</f>
        <v>0</v>
      </c>
      <c r="X27" s="5">
        <f>(VLOOKUP('11.07'!AF27,'11.07'!$AM$4:$AO$55,3,FALSE))</f>
        <v>0</v>
      </c>
    </row>
    <row r="28" spans="1:24">
      <c r="A28" s="4">
        <f>(VLOOKUP('11.07'!I28,'11.07'!$AM$4:$AO$55,3,FALSE))</f>
        <v>45</v>
      </c>
      <c r="B28" s="4">
        <f>(VLOOKUP('11.07'!J28,'11.07'!$AM$4:$AO$55,3,FALSE))</f>
        <v>45</v>
      </c>
      <c r="C28" s="4">
        <f>(VLOOKUP('11.07'!K28,'11.07'!$AM$4:$AO$55,3,FALSE))</f>
        <v>45</v>
      </c>
      <c r="D28" s="4">
        <f>(VLOOKUP('11.07'!L28,'11.07'!$AM$4:$AO$55,3,FALSE))</f>
        <v>45</v>
      </c>
      <c r="E28" s="4">
        <f>(VLOOKUP('11.07'!M28,'11.07'!$AM$4:$AO$55,3,FALSE))</f>
        <v>45</v>
      </c>
      <c r="F28" s="4">
        <f>(VLOOKUP('11.07'!N28,'11.07'!$AM$4:$AO$55,3,FALSE))</f>
        <v>30</v>
      </c>
      <c r="G28" s="5">
        <f>(VLOOKUP('11.07'!O28,'11.07'!$AM$4:$AO$55,3,FALSE))</f>
        <v>0</v>
      </c>
      <c r="H28" s="5">
        <f>(VLOOKUP('11.07'!P28,'11.07'!$AM$4:$AO$55,3,FALSE))</f>
        <v>0</v>
      </c>
      <c r="I28" s="4">
        <f>(VLOOKUP('11.07'!Q28,'11.07'!$AM$4:$AO$55,3,FALSE))</f>
        <v>0</v>
      </c>
      <c r="J28" s="4">
        <f>(VLOOKUP('11.07'!R28,'11.07'!$AM$4:$AO$55,3,FALSE))</f>
        <v>0</v>
      </c>
      <c r="K28" s="4">
        <f>(VLOOKUP('11.07'!S28,'11.07'!$AM$4:$AO$55,3,FALSE))</f>
        <v>0</v>
      </c>
      <c r="L28" s="4">
        <f>(VLOOKUP('11.07'!T28,'11.07'!$AM$4:$AO$55,3,FALSE))</f>
        <v>0</v>
      </c>
      <c r="M28" s="4">
        <f>(VLOOKUP('11.07'!U28,'11.07'!$AM$4:$AO$55,3,FALSE))</f>
        <v>0</v>
      </c>
      <c r="N28" s="4">
        <f>(VLOOKUP('11.07'!V28,'11.07'!$AM$4:$AO$55,3,FALSE))</f>
        <v>0</v>
      </c>
      <c r="O28" s="5">
        <f>(VLOOKUP('11.07'!W28,'11.07'!$AM$4:$AO$55,3,FALSE))</f>
        <v>0</v>
      </c>
      <c r="P28" s="5">
        <f>(VLOOKUP('11.07'!X28,'11.07'!$AM$4:$AO$55,3,FALSE))</f>
        <v>0</v>
      </c>
      <c r="Q28" s="4">
        <f>(VLOOKUP('11.07'!Y28,'11.07'!$AM$4:$AO$55,3,FALSE))</f>
        <v>50</v>
      </c>
      <c r="R28" s="4">
        <f>(VLOOKUP('11.07'!Z28,'11.07'!$AM$4:$AO$55,3,FALSE))</f>
        <v>50</v>
      </c>
      <c r="S28" s="4">
        <f>(VLOOKUP('11.07'!AA28,'11.07'!$AM$4:$AO$55,3,FALSE))</f>
        <v>50</v>
      </c>
      <c r="T28" s="4">
        <f>(VLOOKUP('11.07'!AB28,'11.07'!$AM$4:$AO$55,3,FALSE))</f>
        <v>50</v>
      </c>
      <c r="U28" s="4">
        <f>(VLOOKUP('11.07'!AC28,'11.07'!$AM$4:$AO$55,3,FALSE))</f>
        <v>50</v>
      </c>
      <c r="V28" s="4">
        <f>(VLOOKUP('11.07'!AD28,'11.07'!$AM$4:$AO$55,3,FALSE))</f>
        <v>55</v>
      </c>
      <c r="W28" s="5">
        <f>(VLOOKUP('11.07'!AE28,'11.07'!$AM$4:$AO$55,3,FALSE))</f>
        <v>0</v>
      </c>
      <c r="X28" s="5">
        <f>(VLOOKUP('11.07'!AF28,'11.07'!$AM$4:$AO$55,3,FALSE))</f>
        <v>0</v>
      </c>
    </row>
    <row r="29" spans="1:24">
      <c r="A29" s="4">
        <f>(VLOOKUP('11.07'!I29,'11.07'!$AM$4:$AO$55,3,FALSE))</f>
        <v>45</v>
      </c>
      <c r="B29" s="4">
        <f>(VLOOKUP('11.07'!J29,'11.07'!$AM$4:$AO$55,3,FALSE))</f>
        <v>45</v>
      </c>
      <c r="C29" s="4">
        <f>(VLOOKUP('11.07'!K29,'11.07'!$AM$4:$AO$55,3,FALSE))</f>
        <v>45</v>
      </c>
      <c r="D29" s="4">
        <f>(VLOOKUP('11.07'!L29,'11.07'!$AM$4:$AO$55,3,FALSE))</f>
        <v>45</v>
      </c>
      <c r="E29" s="4">
        <f>(VLOOKUP('11.07'!M29,'11.07'!$AM$4:$AO$55,3,FALSE))</f>
        <v>45</v>
      </c>
      <c r="F29" s="4">
        <f>(VLOOKUP('11.07'!N29,'11.07'!$AM$4:$AO$55,3,FALSE))</f>
        <v>45</v>
      </c>
      <c r="G29" s="5">
        <f>(VLOOKUP('11.07'!O29,'11.07'!$AM$4:$AO$55,3,FALSE))</f>
        <v>0</v>
      </c>
      <c r="H29" s="5">
        <f>(VLOOKUP('11.07'!P29,'11.07'!$AM$4:$AO$55,3,FALSE))</f>
        <v>0</v>
      </c>
      <c r="I29" s="4">
        <f>(VLOOKUP('11.07'!Q29,'11.07'!$AM$4:$AO$55,3,FALSE))</f>
        <v>0</v>
      </c>
      <c r="J29" s="4">
        <f>(VLOOKUP('11.07'!R29,'11.07'!$AM$4:$AO$55,3,FALSE))</f>
        <v>0</v>
      </c>
      <c r="K29" s="4">
        <f>(VLOOKUP('11.07'!S29,'11.07'!$AM$4:$AO$55,3,FALSE))</f>
        <v>0</v>
      </c>
      <c r="L29" s="4">
        <f>(VLOOKUP('11.07'!T29,'11.07'!$AM$4:$AO$55,3,FALSE))</f>
        <v>0</v>
      </c>
      <c r="M29" s="4">
        <f>(VLOOKUP('11.07'!U29,'11.07'!$AM$4:$AO$55,3,FALSE))</f>
        <v>0</v>
      </c>
      <c r="N29" s="4">
        <f>(VLOOKUP('11.07'!V29,'11.07'!$AM$4:$AO$55,3,FALSE))</f>
        <v>0</v>
      </c>
      <c r="O29" s="5">
        <f>(VLOOKUP('11.07'!W29,'11.07'!$AM$4:$AO$55,3,FALSE))</f>
        <v>0</v>
      </c>
      <c r="P29" s="5">
        <f>(VLOOKUP('11.07'!X29,'11.07'!$AM$4:$AO$55,3,FALSE))</f>
        <v>0</v>
      </c>
      <c r="Q29" s="4">
        <f>(VLOOKUP('11.07'!Y29,'11.07'!$AM$4:$AO$55,3,FALSE))</f>
        <v>55</v>
      </c>
      <c r="R29" s="4">
        <f>(VLOOKUP('11.07'!Z29,'11.07'!$AM$4:$AO$55,3,FALSE))</f>
        <v>55</v>
      </c>
      <c r="S29" s="4">
        <f>(VLOOKUP('11.07'!AA29,'11.07'!$AM$4:$AO$55,3,FALSE))</f>
        <v>55</v>
      </c>
      <c r="T29" s="4">
        <f>(VLOOKUP('11.07'!AB29,'11.07'!$AM$4:$AO$55,3,FALSE))</f>
        <v>55</v>
      </c>
      <c r="U29" s="4">
        <f>(VLOOKUP('11.07'!AC29,'11.07'!$AM$4:$AO$55,3,FALSE))</f>
        <v>55</v>
      </c>
      <c r="V29" s="4">
        <f>(VLOOKUP('11.07'!AD29,'11.07'!$AM$4:$AO$55,3,FALSE))</f>
        <v>55</v>
      </c>
      <c r="W29" s="5">
        <f>(VLOOKUP('11.07'!AE29,'11.07'!$AM$4:$AO$55,3,FALSE))</f>
        <v>0</v>
      </c>
      <c r="X29" s="5">
        <f>(VLOOKUP('11.07'!AF29,'11.07'!$AM$4:$AO$55,3,FALSE))</f>
        <v>0</v>
      </c>
    </row>
    <row r="30" spans="1:24">
      <c r="A30" s="4">
        <f>(VLOOKUP('11.07'!I30,'11.07'!$AM$4:$AO$55,3,FALSE))</f>
        <v>45</v>
      </c>
      <c r="B30" s="4">
        <f>(VLOOKUP('11.07'!J30,'11.07'!$AM$4:$AO$55,3,FALSE))</f>
        <v>45</v>
      </c>
      <c r="C30" s="4">
        <f>(VLOOKUP('11.07'!K30,'11.07'!$AM$4:$AO$55,3,FALSE))</f>
        <v>45</v>
      </c>
      <c r="D30" s="4">
        <f>(VLOOKUP('11.07'!L30,'11.07'!$AM$4:$AO$55,3,FALSE))</f>
        <v>45</v>
      </c>
      <c r="E30" s="4">
        <f>(VLOOKUP('11.07'!M30,'11.07'!$AM$4:$AO$55,3,FALSE))</f>
        <v>45</v>
      </c>
      <c r="F30" s="4">
        <f>(VLOOKUP('11.07'!N30,'11.07'!$AM$4:$AO$55,3,FALSE))</f>
        <v>45</v>
      </c>
      <c r="G30" s="5">
        <f>(VLOOKUP('11.07'!O30,'11.07'!$AM$4:$AO$55,3,FALSE))</f>
        <v>0</v>
      </c>
      <c r="H30" s="5">
        <f>(VLOOKUP('11.07'!P30,'11.07'!$AM$4:$AO$55,3,FALSE))</f>
        <v>0</v>
      </c>
      <c r="I30" s="4">
        <f>(VLOOKUP('11.07'!Q30,'11.07'!$AM$4:$AO$55,3,FALSE))</f>
        <v>0</v>
      </c>
      <c r="J30" s="4">
        <f>(VLOOKUP('11.07'!R30,'11.07'!$AM$4:$AO$55,3,FALSE))</f>
        <v>0</v>
      </c>
      <c r="K30" s="4">
        <f>(VLOOKUP('11.07'!S30,'11.07'!$AM$4:$AO$55,3,FALSE))</f>
        <v>0</v>
      </c>
      <c r="L30" s="4">
        <f>(VLOOKUP('11.07'!T30,'11.07'!$AM$4:$AO$55,3,FALSE))</f>
        <v>0</v>
      </c>
      <c r="M30" s="4">
        <f>(VLOOKUP('11.07'!U30,'11.07'!$AM$4:$AO$55,3,FALSE))</f>
        <v>0</v>
      </c>
      <c r="N30" s="4">
        <f>(VLOOKUP('11.07'!V30,'11.07'!$AM$4:$AO$55,3,FALSE))</f>
        <v>0</v>
      </c>
      <c r="O30" s="5">
        <f>(VLOOKUP('11.07'!W30,'11.07'!$AM$4:$AO$55,3,FALSE))</f>
        <v>0</v>
      </c>
      <c r="P30" s="5">
        <f>(VLOOKUP('11.07'!X30,'11.07'!$AM$4:$AO$55,3,FALSE))</f>
        <v>0</v>
      </c>
      <c r="Q30" s="4">
        <f>(VLOOKUP('11.07'!Y30,'11.07'!$AM$4:$AO$55,3,FALSE))</f>
        <v>30</v>
      </c>
      <c r="R30" s="4">
        <f>(VLOOKUP('11.07'!Z30,'11.07'!$AM$4:$AO$55,3,FALSE))</f>
        <v>55</v>
      </c>
      <c r="S30" s="4">
        <f>(VLOOKUP('11.07'!AA30,'11.07'!$AM$4:$AO$55,3,FALSE))</f>
        <v>55</v>
      </c>
      <c r="T30" s="4">
        <f>(VLOOKUP('11.07'!AB30,'11.07'!$AM$4:$AO$55,3,FALSE))</f>
        <v>55</v>
      </c>
      <c r="U30" s="4">
        <f>(VLOOKUP('11.07'!AC30,'11.07'!$AM$4:$AO$55,3,FALSE))</f>
        <v>55</v>
      </c>
      <c r="V30" s="4">
        <f>(VLOOKUP('11.07'!AD30,'11.07'!$AM$4:$AO$55,3,FALSE))</f>
        <v>55</v>
      </c>
      <c r="W30" s="5">
        <f>(VLOOKUP('11.07'!AE30,'11.07'!$AM$4:$AO$55,3,FALSE))</f>
        <v>0</v>
      </c>
      <c r="X30" s="5">
        <f>(VLOOKUP('11.07'!AF30,'11.07'!$AM$4:$AO$55,3,FALSE))</f>
        <v>0</v>
      </c>
    </row>
    <row r="31" spans="1:24">
      <c r="A31" s="4">
        <f>(VLOOKUP('11.07'!I31,'11.07'!$AM$4:$AO$55,3,FALSE))</f>
        <v>45</v>
      </c>
      <c r="B31" s="4">
        <f>(VLOOKUP('11.07'!J31,'11.07'!$AM$4:$AO$55,3,FALSE))</f>
        <v>45</v>
      </c>
      <c r="C31" s="4">
        <f>(VLOOKUP('11.07'!K31,'11.07'!$AM$4:$AO$55,3,FALSE))</f>
        <v>45</v>
      </c>
      <c r="D31" s="4">
        <f>(VLOOKUP('11.07'!L31,'11.07'!$AM$4:$AO$55,3,FALSE))</f>
        <v>45</v>
      </c>
      <c r="E31" s="4">
        <f>(VLOOKUP('11.07'!M31,'11.07'!$AM$4:$AO$55,3,FALSE))</f>
        <v>45</v>
      </c>
      <c r="F31" s="4">
        <f>(VLOOKUP('11.07'!N31,'11.07'!$AM$4:$AO$55,3,FALSE))</f>
        <v>30</v>
      </c>
      <c r="G31" s="5">
        <f>(VLOOKUP('11.07'!O31,'11.07'!$AM$4:$AO$55,3,FALSE))</f>
        <v>0</v>
      </c>
      <c r="H31" s="5">
        <f>(VLOOKUP('11.07'!P31,'11.07'!$AM$4:$AO$55,3,FALSE))</f>
        <v>0</v>
      </c>
      <c r="I31" s="4">
        <f>(VLOOKUP('11.07'!Q31,'11.07'!$AM$4:$AO$55,3,FALSE))</f>
        <v>0</v>
      </c>
      <c r="J31" s="4">
        <f>(VLOOKUP('11.07'!R31,'11.07'!$AM$4:$AO$55,3,FALSE))</f>
        <v>0</v>
      </c>
      <c r="K31" s="4">
        <f>(VLOOKUP('11.07'!S31,'11.07'!$AM$4:$AO$55,3,FALSE))</f>
        <v>0</v>
      </c>
      <c r="L31" s="4">
        <f>(VLOOKUP('11.07'!T31,'11.07'!$AM$4:$AO$55,3,FALSE))</f>
        <v>0</v>
      </c>
      <c r="M31" s="4">
        <f>(VLOOKUP('11.07'!U31,'11.07'!$AM$4:$AO$55,3,FALSE))</f>
        <v>0</v>
      </c>
      <c r="N31" s="4">
        <f>(VLOOKUP('11.07'!V31,'11.07'!$AM$4:$AO$55,3,FALSE))</f>
        <v>0</v>
      </c>
      <c r="O31" s="5">
        <f>(VLOOKUP('11.07'!W31,'11.07'!$AM$4:$AO$55,3,FALSE))</f>
        <v>0</v>
      </c>
      <c r="P31" s="5">
        <f>(VLOOKUP('11.07'!X31,'11.07'!$AM$4:$AO$55,3,FALSE))</f>
        <v>0</v>
      </c>
      <c r="Q31" s="4">
        <f>(VLOOKUP('11.07'!Y31,'11.07'!$AM$4:$AO$55,3,FALSE))</f>
        <v>55</v>
      </c>
      <c r="R31" s="4">
        <f>(VLOOKUP('11.07'!Z31,'11.07'!$AM$4:$AO$55,3,FALSE))</f>
        <v>55</v>
      </c>
      <c r="S31" s="4">
        <f>(VLOOKUP('11.07'!AA31,'11.07'!$AM$4:$AO$55,3,FALSE))</f>
        <v>55</v>
      </c>
      <c r="T31" s="4">
        <f>(VLOOKUP('11.07'!AB31,'11.07'!$AM$4:$AO$55,3,FALSE))</f>
        <v>55</v>
      </c>
      <c r="U31" s="4">
        <f>(VLOOKUP('11.07'!AC31,'11.07'!$AM$4:$AO$55,3,FALSE))</f>
        <v>55</v>
      </c>
      <c r="V31" s="4">
        <f>(VLOOKUP('11.07'!AD31,'11.07'!$AM$4:$AO$55,3,FALSE))</f>
        <v>55</v>
      </c>
      <c r="W31" s="5">
        <f>(VLOOKUP('11.07'!AE31,'11.07'!$AM$4:$AO$55,3,FALSE))</f>
        <v>0</v>
      </c>
      <c r="X31" s="5">
        <f>(VLOOKUP('11.07'!AF31,'11.07'!$AM$4:$AO$55,3,FALSE))</f>
        <v>0</v>
      </c>
    </row>
    <row r="32" spans="1:24">
      <c r="A32" s="4">
        <f>(VLOOKUP('11.07'!I32,'11.07'!$AM$4:$AO$55,3,FALSE))</f>
        <v>45</v>
      </c>
      <c r="B32" s="4">
        <f>(VLOOKUP('11.07'!J32,'11.07'!$AM$4:$AO$55,3,FALSE))</f>
        <v>45</v>
      </c>
      <c r="C32" s="4">
        <f>(VLOOKUP('11.07'!K32,'11.07'!$AM$4:$AO$55,3,FALSE))</f>
        <v>45</v>
      </c>
      <c r="D32" s="4">
        <f>(VLOOKUP('11.07'!L32,'11.07'!$AM$4:$AO$55,3,FALSE))</f>
        <v>0</v>
      </c>
      <c r="E32" s="4">
        <f>(VLOOKUP('11.07'!M32,'11.07'!$AM$4:$AO$55,3,FALSE))</f>
        <v>45</v>
      </c>
      <c r="F32" s="4">
        <f>(VLOOKUP('11.07'!N32,'11.07'!$AM$4:$AO$55,3,FALSE))</f>
        <v>45</v>
      </c>
      <c r="G32" s="5">
        <f>(VLOOKUP('11.07'!O32,'11.07'!$AM$4:$AO$55,3,FALSE))</f>
        <v>30</v>
      </c>
      <c r="H32" s="5">
        <f>(VLOOKUP('11.07'!P32,'11.07'!$AM$4:$AO$55,3,FALSE))</f>
        <v>0</v>
      </c>
      <c r="I32" s="4">
        <f>(VLOOKUP('11.07'!Q32,'11.07'!$AM$4:$AO$55,3,FALSE))</f>
        <v>0</v>
      </c>
      <c r="J32" s="4">
        <f>(VLOOKUP('11.07'!R32,'11.07'!$AM$4:$AO$55,3,FALSE))</f>
        <v>0</v>
      </c>
      <c r="K32" s="4">
        <f>(VLOOKUP('11.07'!S32,'11.07'!$AM$4:$AO$55,3,FALSE))</f>
        <v>0</v>
      </c>
      <c r="L32" s="4">
        <f>(VLOOKUP('11.07'!T32,'11.07'!$AM$4:$AO$55,3,FALSE))</f>
        <v>0</v>
      </c>
      <c r="M32" s="4">
        <f>(VLOOKUP('11.07'!U32,'11.07'!$AM$4:$AO$55,3,FALSE))</f>
        <v>0</v>
      </c>
      <c r="N32" s="4">
        <f>(VLOOKUP('11.07'!V32,'11.07'!$AM$4:$AO$55,3,FALSE))</f>
        <v>0</v>
      </c>
      <c r="O32" s="5">
        <f>(VLOOKUP('11.07'!W32,'11.07'!$AM$4:$AO$55,3,FALSE))</f>
        <v>0</v>
      </c>
      <c r="P32" s="5">
        <f>(VLOOKUP('11.07'!X32,'11.07'!$AM$4:$AO$55,3,FALSE))</f>
        <v>0</v>
      </c>
      <c r="Q32" s="4">
        <f>(VLOOKUP('11.07'!Y32,'11.07'!$AM$4:$AO$55,3,FALSE))</f>
        <v>55</v>
      </c>
      <c r="R32" s="4">
        <f>(VLOOKUP('11.07'!Z32,'11.07'!$AM$4:$AO$55,3,FALSE))</f>
        <v>60</v>
      </c>
      <c r="S32" s="4">
        <f>(VLOOKUP('11.07'!AA32,'11.07'!$AM$4:$AO$55,3,FALSE))</f>
        <v>60</v>
      </c>
      <c r="T32" s="4">
        <f>(VLOOKUP('11.07'!AB32,'11.07'!$AM$4:$AO$55,3,FALSE))</f>
        <v>60</v>
      </c>
      <c r="U32" s="4">
        <f>(VLOOKUP('11.07'!AC32,'11.07'!$AM$4:$AO$55,3,FALSE))</f>
        <v>60</v>
      </c>
      <c r="V32" s="4">
        <f>(VLOOKUP('11.07'!AD32,'11.07'!$AM$4:$AO$55,3,FALSE))</f>
        <v>60</v>
      </c>
      <c r="W32" s="5">
        <f>(VLOOKUP('11.07'!AE32,'11.07'!$AM$4:$AO$55,3,FALSE))</f>
        <v>0</v>
      </c>
      <c r="X32" s="5">
        <f>(VLOOKUP('11.07'!AF32,'11.07'!$AM$4:$AO$55,3,FALSE))</f>
        <v>0</v>
      </c>
    </row>
    <row r="33" spans="1:24">
      <c r="A33" s="4">
        <f>(VLOOKUP('11.07'!I33,'11.07'!$AM$4:$AO$55,3,FALSE))</f>
        <v>45</v>
      </c>
      <c r="B33" s="4">
        <f>(VLOOKUP('11.07'!J33,'11.07'!$AM$4:$AO$55,3,FALSE))</f>
        <v>45</v>
      </c>
      <c r="C33" s="4">
        <f>(VLOOKUP('11.07'!K33,'11.07'!$AM$4:$AO$55,3,FALSE))</f>
        <v>45</v>
      </c>
      <c r="D33" s="4">
        <f>(VLOOKUP('11.07'!L33,'11.07'!$AM$4:$AO$55,3,FALSE))</f>
        <v>45</v>
      </c>
      <c r="E33" s="4">
        <f>(VLOOKUP('11.07'!M33,'11.07'!$AM$4:$AO$55,3,FALSE))</f>
        <v>45</v>
      </c>
      <c r="F33" s="4">
        <f>(VLOOKUP('11.07'!N33,'11.07'!$AM$4:$AO$55,3,FALSE))</f>
        <v>45</v>
      </c>
      <c r="G33" s="5">
        <f>(VLOOKUP('11.07'!O33,'11.07'!$AM$4:$AO$55,3,FALSE))</f>
        <v>0</v>
      </c>
      <c r="H33" s="5">
        <f>(VLOOKUP('11.07'!P33,'11.07'!$AM$4:$AO$55,3,FALSE))</f>
        <v>0</v>
      </c>
      <c r="I33" s="4">
        <f>(VLOOKUP('11.07'!Q33,'11.07'!$AM$4:$AO$55,3,FALSE))</f>
        <v>0</v>
      </c>
      <c r="J33" s="4">
        <f>(VLOOKUP('11.07'!R33,'11.07'!$AM$4:$AO$55,3,FALSE))</f>
        <v>0</v>
      </c>
      <c r="K33" s="4">
        <f>(VLOOKUP('11.07'!S33,'11.07'!$AM$4:$AO$55,3,FALSE))</f>
        <v>0</v>
      </c>
      <c r="L33" s="4">
        <f>(VLOOKUP('11.07'!T33,'11.07'!$AM$4:$AO$55,3,FALSE))</f>
        <v>0</v>
      </c>
      <c r="M33" s="4">
        <f>(VLOOKUP('11.07'!U33,'11.07'!$AM$4:$AO$55,3,FALSE))</f>
        <v>0</v>
      </c>
      <c r="N33" s="4">
        <f>(VLOOKUP('11.07'!V33,'11.07'!$AM$4:$AO$55,3,FALSE))</f>
        <v>0</v>
      </c>
      <c r="O33" s="5">
        <f>(VLOOKUP('11.07'!W33,'11.07'!$AM$4:$AO$55,3,FALSE))</f>
        <v>0</v>
      </c>
      <c r="P33" s="5">
        <f>(VLOOKUP('11.07'!X33,'11.07'!$AM$4:$AO$55,3,FALSE))</f>
        <v>0</v>
      </c>
      <c r="Q33" s="4">
        <f>(VLOOKUP('11.07'!Y33,'11.07'!$AM$4:$AO$55,3,FALSE))</f>
        <v>60</v>
      </c>
      <c r="R33" s="4">
        <f>(VLOOKUP('11.07'!Z33,'11.07'!$AM$4:$AO$55,3,FALSE))</f>
        <v>60</v>
      </c>
      <c r="S33" s="4">
        <f>(VLOOKUP('11.07'!AA33,'11.07'!$AM$4:$AO$55,3,FALSE))</f>
        <v>60</v>
      </c>
      <c r="T33" s="4">
        <f>(VLOOKUP('11.07'!AB33,'11.07'!$AM$4:$AO$55,3,FALSE))</f>
        <v>60</v>
      </c>
      <c r="U33" s="4">
        <f>(VLOOKUP('11.07'!AC33,'11.07'!$AM$4:$AO$55,3,FALSE))</f>
        <v>60</v>
      </c>
      <c r="V33" s="4">
        <f>(VLOOKUP('11.07'!AD33,'11.07'!$AM$4:$AO$55,3,FALSE))</f>
        <v>60</v>
      </c>
      <c r="W33" s="5">
        <f>(VLOOKUP('11.07'!AE33,'11.07'!$AM$4:$AO$55,3,FALSE))</f>
        <v>0</v>
      </c>
      <c r="X33" s="5">
        <f>(VLOOKUP('11.07'!AF33,'11.07'!$AM$4:$AO$55,3,FALSE))</f>
        <v>0</v>
      </c>
    </row>
    <row r="34" spans="1:24">
      <c r="A34" s="4">
        <f>(VLOOKUP('11.07'!I34,'11.07'!$AM$4:$AO$55,3,FALSE))</f>
        <v>50</v>
      </c>
      <c r="B34" s="4">
        <f>(VLOOKUP('11.07'!J34,'11.07'!$AM$4:$AO$55,3,FALSE))</f>
        <v>50</v>
      </c>
      <c r="C34" s="4">
        <f>(VLOOKUP('11.07'!K34,'11.07'!$AM$4:$AO$55,3,FALSE))</f>
        <v>50</v>
      </c>
      <c r="D34" s="4">
        <f>(VLOOKUP('11.07'!L34,'11.07'!$AM$4:$AO$55,3,FALSE))</f>
        <v>50</v>
      </c>
      <c r="E34" s="4">
        <f>(VLOOKUP('11.07'!M34,'11.07'!$AM$4:$AO$55,3,FALSE))</f>
        <v>50</v>
      </c>
      <c r="F34" s="4">
        <f>(VLOOKUP('11.07'!N34,'11.07'!$AM$4:$AO$55,3,FALSE))</f>
        <v>50</v>
      </c>
      <c r="G34" s="5">
        <f>(VLOOKUP('11.07'!O34,'11.07'!$AM$4:$AO$55,3,FALSE))</f>
        <v>0</v>
      </c>
      <c r="H34" s="5">
        <f>(VLOOKUP('11.07'!P34,'11.07'!$AM$4:$AO$55,3,FALSE))</f>
        <v>0</v>
      </c>
      <c r="I34" s="4">
        <f>(VLOOKUP('11.07'!Q34,'11.07'!$AM$4:$AO$55,3,FALSE))</f>
        <v>0</v>
      </c>
      <c r="J34" s="4">
        <f>(VLOOKUP('11.07'!R34,'11.07'!$AM$4:$AO$55,3,FALSE))</f>
        <v>0</v>
      </c>
      <c r="K34" s="4">
        <f>(VLOOKUP('11.07'!S34,'11.07'!$AM$4:$AO$55,3,FALSE))</f>
        <v>0</v>
      </c>
      <c r="L34" s="4">
        <f>(VLOOKUP('11.07'!T34,'11.07'!$AM$4:$AO$55,3,FALSE))</f>
        <v>0</v>
      </c>
      <c r="M34" s="4">
        <f>(VLOOKUP('11.07'!U34,'11.07'!$AM$4:$AO$55,3,FALSE))</f>
        <v>0</v>
      </c>
      <c r="N34" s="4">
        <f>(VLOOKUP('11.07'!V34,'11.07'!$AM$4:$AO$55,3,FALSE))</f>
        <v>0</v>
      </c>
      <c r="O34" s="5">
        <f>(VLOOKUP('11.07'!W34,'11.07'!$AM$4:$AO$55,3,FALSE))</f>
        <v>0</v>
      </c>
      <c r="P34" s="5">
        <f>(VLOOKUP('11.07'!X34,'11.07'!$AM$4:$AO$55,3,FALSE))</f>
        <v>0</v>
      </c>
      <c r="Q34" s="4">
        <f>(VLOOKUP('11.07'!Y34,'11.07'!$AM$4:$AO$55,3,FALSE))</f>
        <v>60</v>
      </c>
      <c r="R34" s="4">
        <f>(VLOOKUP('11.07'!Z34,'11.07'!$AM$4:$AO$55,3,FALSE))</f>
        <v>60</v>
      </c>
      <c r="S34" s="4">
        <f>(VLOOKUP('11.07'!AA34,'11.07'!$AM$4:$AO$55,3,FALSE))</f>
        <v>60</v>
      </c>
      <c r="T34" s="4">
        <f>(VLOOKUP('11.07'!AB34,'11.07'!$AM$4:$AO$55,3,FALSE))</f>
        <v>60</v>
      </c>
      <c r="U34" s="4">
        <f>(VLOOKUP('11.07'!AC34,'11.07'!$AM$4:$AO$55,3,FALSE))</f>
        <v>60</v>
      </c>
      <c r="V34" s="4">
        <f>(VLOOKUP('11.07'!AD34,'11.07'!$AM$4:$AO$55,3,FALSE))</f>
        <v>60</v>
      </c>
      <c r="W34" s="5">
        <f>(VLOOKUP('11.07'!AE34,'11.07'!$AM$4:$AO$55,3,FALSE))</f>
        <v>0</v>
      </c>
      <c r="X34" s="5">
        <f>(VLOOKUP('11.07'!AF34,'11.07'!$AM$4:$AO$55,3,FALSE))</f>
        <v>0</v>
      </c>
    </row>
    <row r="35" spans="1:24">
      <c r="A35" s="4">
        <f>(VLOOKUP('11.07'!I35,'11.07'!$AM$4:$AO$55,3,FALSE))</f>
        <v>50</v>
      </c>
      <c r="B35" s="4">
        <f>(VLOOKUP('11.07'!J35,'11.07'!$AM$4:$AO$55,3,FALSE))</f>
        <v>50</v>
      </c>
      <c r="C35" s="4">
        <f>(VLOOKUP('11.07'!K35,'11.07'!$AM$4:$AO$55,3,FALSE))</f>
        <v>50</v>
      </c>
      <c r="D35" s="4">
        <f>(VLOOKUP('11.07'!L35,'11.07'!$AM$4:$AO$55,3,FALSE))</f>
        <v>50</v>
      </c>
      <c r="E35" s="4">
        <f>(VLOOKUP('11.07'!M35,'11.07'!$AM$4:$AO$55,3,FALSE))</f>
        <v>50</v>
      </c>
      <c r="F35" s="4">
        <f>(VLOOKUP('11.07'!N35,'11.07'!$AM$4:$AO$55,3,FALSE))</f>
        <v>45</v>
      </c>
      <c r="G35" s="5">
        <f>(VLOOKUP('11.07'!O35,'11.07'!$AM$4:$AO$55,3,FALSE))</f>
        <v>0</v>
      </c>
      <c r="H35" s="5">
        <f>(VLOOKUP('11.07'!P35,'11.07'!$AM$4:$AO$55,3,FALSE))</f>
        <v>0</v>
      </c>
      <c r="I35" s="4">
        <f>(VLOOKUP('11.07'!Q35,'11.07'!$AM$4:$AO$55,3,FALSE))</f>
        <v>0</v>
      </c>
      <c r="J35" s="4">
        <f>(VLOOKUP('11.07'!R35,'11.07'!$AM$4:$AO$55,3,FALSE))</f>
        <v>0</v>
      </c>
      <c r="K35" s="4">
        <f>(VLOOKUP('11.07'!S35,'11.07'!$AM$4:$AO$55,3,FALSE))</f>
        <v>0</v>
      </c>
      <c r="L35" s="4">
        <f>(VLOOKUP('11.07'!T35,'11.07'!$AM$4:$AO$55,3,FALSE))</f>
        <v>0</v>
      </c>
      <c r="M35" s="4">
        <f>(VLOOKUP('11.07'!U35,'11.07'!$AM$4:$AO$55,3,FALSE))</f>
        <v>0</v>
      </c>
      <c r="N35" s="4">
        <f>(VLOOKUP('11.07'!V35,'11.07'!$AM$4:$AO$55,3,FALSE))</f>
        <v>0</v>
      </c>
      <c r="O35" s="5">
        <f>(VLOOKUP('11.07'!W35,'11.07'!$AM$4:$AO$55,3,FALSE))</f>
        <v>0</v>
      </c>
      <c r="P35" s="5">
        <f>(VLOOKUP('11.07'!X35,'11.07'!$AM$4:$AO$55,3,FALSE))</f>
        <v>0</v>
      </c>
      <c r="Q35" s="4">
        <f>(VLOOKUP('11.07'!Y35,'11.07'!$AM$4:$AO$55,3,FALSE))</f>
        <v>60</v>
      </c>
      <c r="R35" s="4">
        <f>(VLOOKUP('11.07'!Z35,'11.07'!$AM$4:$AO$55,3,FALSE))</f>
        <v>60</v>
      </c>
      <c r="S35" s="4">
        <f>(VLOOKUP('11.07'!AA35,'11.07'!$AM$4:$AO$55,3,FALSE))</f>
        <v>60</v>
      </c>
      <c r="T35" s="4">
        <f>(VLOOKUP('11.07'!AB35,'11.07'!$AM$4:$AO$55,3,FALSE))</f>
        <v>60</v>
      </c>
      <c r="U35" s="4">
        <f>(VLOOKUP('11.07'!AC35,'11.07'!$AM$4:$AO$55,3,FALSE))</f>
        <v>60</v>
      </c>
      <c r="V35" s="4">
        <f>(VLOOKUP('11.07'!AD35,'11.07'!$AM$4:$AO$55,3,FALSE))</f>
        <v>60</v>
      </c>
      <c r="W35" s="5">
        <f>(VLOOKUP('11.07'!AE35,'11.07'!$AM$4:$AO$55,3,FALSE))</f>
        <v>0</v>
      </c>
      <c r="X35" s="5">
        <f>(VLOOKUP('11.07'!AF35,'11.07'!$AM$4:$AO$55,3,FALSE))</f>
        <v>0</v>
      </c>
    </row>
    <row r="36" spans="1:24">
      <c r="A36" s="4">
        <f>(VLOOKUP('11.07'!I36,'11.07'!$AM$4:$AO$55,3,FALSE))</f>
        <v>45</v>
      </c>
      <c r="B36" s="4">
        <f>(VLOOKUP('11.07'!J36,'11.07'!$AM$4:$AO$55,3,FALSE))</f>
        <v>45</v>
      </c>
      <c r="C36" s="4">
        <f>(VLOOKUP('11.07'!K36,'11.07'!$AM$4:$AO$55,3,FALSE))</f>
        <v>45</v>
      </c>
      <c r="D36" s="4">
        <f>(VLOOKUP('11.07'!L36,'11.07'!$AM$4:$AO$55,3,FALSE))</f>
        <v>30</v>
      </c>
      <c r="E36" s="4">
        <f>(VLOOKUP('11.07'!M36,'11.07'!$AM$4:$AO$55,3,FALSE))</f>
        <v>45</v>
      </c>
      <c r="F36" s="4">
        <f>(VLOOKUP('11.07'!N36,'11.07'!$AM$4:$AO$55,3,FALSE))</f>
        <v>45</v>
      </c>
      <c r="G36" s="5">
        <f>(VLOOKUP('11.07'!O36,'11.07'!$AM$4:$AO$55,3,FALSE))</f>
        <v>0</v>
      </c>
      <c r="H36" s="5">
        <f>(VLOOKUP('11.07'!P36,'11.07'!$AM$4:$AO$55,3,FALSE))</f>
        <v>0</v>
      </c>
      <c r="I36" s="4">
        <f>(VLOOKUP('11.07'!Q36,'11.07'!$AM$4:$AO$55,3,FALSE))</f>
        <v>0</v>
      </c>
      <c r="J36" s="4">
        <f>(VLOOKUP('11.07'!R36,'11.07'!$AM$4:$AO$55,3,FALSE))</f>
        <v>0</v>
      </c>
      <c r="K36" s="4">
        <f>(VLOOKUP('11.07'!S36,'11.07'!$AM$4:$AO$55,3,FALSE))</f>
        <v>0</v>
      </c>
      <c r="L36" s="4">
        <f>(VLOOKUP('11.07'!T36,'11.07'!$AM$4:$AO$55,3,FALSE))</f>
        <v>0</v>
      </c>
      <c r="M36" s="4">
        <f>(VLOOKUP('11.07'!U36,'11.07'!$AM$4:$AO$55,3,FALSE))</f>
        <v>0</v>
      </c>
      <c r="N36" s="4">
        <f>(VLOOKUP('11.07'!V36,'11.07'!$AM$4:$AO$55,3,FALSE))</f>
        <v>0</v>
      </c>
      <c r="O36" s="5">
        <f>(VLOOKUP('11.07'!W36,'11.07'!$AM$4:$AO$55,3,FALSE))</f>
        <v>0</v>
      </c>
      <c r="P36" s="5">
        <f>(VLOOKUP('11.07'!X36,'11.07'!$AM$4:$AO$55,3,FALSE))</f>
        <v>0</v>
      </c>
      <c r="Q36" s="4">
        <f>(VLOOKUP('11.07'!Y36,'11.07'!$AM$4:$AO$55,3,FALSE))</f>
        <v>60</v>
      </c>
      <c r="R36" s="4">
        <f>(VLOOKUP('11.07'!Z36,'11.07'!$AM$4:$AO$55,3,FALSE))</f>
        <v>60</v>
      </c>
      <c r="S36" s="4">
        <f>(VLOOKUP('11.07'!AA36,'11.07'!$AM$4:$AO$55,3,FALSE))</f>
        <v>60</v>
      </c>
      <c r="T36" s="4">
        <f>(VLOOKUP('11.07'!AB36,'11.07'!$AM$4:$AO$55,3,FALSE))</f>
        <v>60</v>
      </c>
      <c r="U36" s="4">
        <f>(VLOOKUP('11.07'!AC36,'11.07'!$AM$4:$AO$55,3,FALSE))</f>
        <v>60</v>
      </c>
      <c r="V36" s="4">
        <f>(VLOOKUP('11.07'!AD36,'11.07'!$AM$4:$AO$55,3,FALSE))</f>
        <v>60</v>
      </c>
      <c r="W36" s="5">
        <f>(VLOOKUP('11.07'!AE36,'11.07'!$AM$4:$AO$55,3,FALSE))</f>
        <v>0</v>
      </c>
      <c r="X36" s="5">
        <f>(VLOOKUP('11.07'!AF36,'11.07'!$AM$4:$AO$55,3,FALSE))</f>
        <v>0</v>
      </c>
    </row>
    <row r="37" spans="1:24">
      <c r="A37" s="4">
        <f>(VLOOKUP('11.07'!I37,'11.07'!$AM$4:$AO$55,3,FALSE))</f>
        <v>50</v>
      </c>
      <c r="B37" s="4">
        <f>(VLOOKUP('11.07'!J37,'11.07'!$AM$4:$AO$55,3,FALSE))</f>
        <v>50</v>
      </c>
      <c r="C37" s="4">
        <f>(VLOOKUP('11.07'!K37,'11.07'!$AM$4:$AO$55,3,FALSE))</f>
        <v>50</v>
      </c>
      <c r="D37" s="4">
        <f>(VLOOKUP('11.07'!L37,'11.07'!$AM$4:$AO$55,3,FALSE))</f>
        <v>50</v>
      </c>
      <c r="E37" s="4">
        <f>(VLOOKUP('11.07'!M37,'11.07'!$AM$4:$AO$55,3,FALSE))</f>
        <v>50</v>
      </c>
      <c r="F37" s="4">
        <f>(VLOOKUP('11.07'!N37,'11.07'!$AM$4:$AO$55,3,FALSE))</f>
        <v>50</v>
      </c>
      <c r="G37" s="5">
        <f>(VLOOKUP('11.07'!O37,'11.07'!$AM$4:$AO$55,3,FALSE))</f>
        <v>0</v>
      </c>
      <c r="H37" s="5">
        <f>(VLOOKUP('11.07'!P37,'11.07'!$AM$4:$AO$55,3,FALSE))</f>
        <v>0</v>
      </c>
      <c r="I37" s="4">
        <f>(VLOOKUP('11.07'!Q37,'11.07'!$AM$4:$AO$55,3,FALSE))</f>
        <v>0</v>
      </c>
      <c r="J37" s="4">
        <f>(VLOOKUP('11.07'!R37,'11.07'!$AM$4:$AO$55,3,FALSE))</f>
        <v>0</v>
      </c>
      <c r="K37" s="4">
        <f>(VLOOKUP('11.07'!S37,'11.07'!$AM$4:$AO$55,3,FALSE))</f>
        <v>0</v>
      </c>
      <c r="L37" s="4">
        <f>(VLOOKUP('11.07'!T37,'11.07'!$AM$4:$AO$55,3,FALSE))</f>
        <v>0</v>
      </c>
      <c r="M37" s="4">
        <f>(VLOOKUP('11.07'!U37,'11.07'!$AM$4:$AO$55,3,FALSE))</f>
        <v>0</v>
      </c>
      <c r="N37" s="4">
        <f>(VLOOKUP('11.07'!V37,'11.07'!$AM$4:$AO$55,3,FALSE))</f>
        <v>0</v>
      </c>
      <c r="O37" s="5">
        <f>(VLOOKUP('11.07'!W37,'11.07'!$AM$4:$AO$55,3,FALSE))</f>
        <v>0</v>
      </c>
      <c r="P37" s="5">
        <f>(VLOOKUP('11.07'!X37,'11.07'!$AM$4:$AO$55,3,FALSE))</f>
        <v>0</v>
      </c>
      <c r="Q37" s="4">
        <f>(VLOOKUP('11.07'!Y37,'11.07'!$AM$4:$AO$55,3,FALSE))</f>
        <v>60</v>
      </c>
      <c r="R37" s="4">
        <f>(VLOOKUP('11.07'!Z37,'11.07'!$AM$4:$AO$55,3,FALSE))</f>
        <v>60</v>
      </c>
      <c r="S37" s="4">
        <f>(VLOOKUP('11.07'!AA37,'11.07'!$AM$4:$AO$55,3,FALSE))</f>
        <v>60</v>
      </c>
      <c r="T37" s="4">
        <f>(VLOOKUP('11.07'!AB37,'11.07'!$AM$4:$AO$55,3,FALSE))</f>
        <v>60</v>
      </c>
      <c r="U37" s="4">
        <f>(VLOOKUP('11.07'!AC37,'11.07'!$AM$4:$AO$55,3,FALSE))</f>
        <v>60</v>
      </c>
      <c r="V37" s="4">
        <f>(VLOOKUP('11.07'!AD37,'11.07'!$AM$4:$AO$55,3,FALSE))</f>
        <v>60</v>
      </c>
      <c r="W37" s="5">
        <f>(VLOOKUP('11.07'!AE37,'11.07'!$AM$4:$AO$55,3,FALSE))</f>
        <v>0</v>
      </c>
      <c r="X37" s="5">
        <f>(VLOOKUP('11.07'!AF37,'11.07'!$AM$4:$AO$55,3,FALSE))</f>
        <v>0</v>
      </c>
    </row>
    <row r="38" spans="1:24">
      <c r="A38" s="4">
        <f>(VLOOKUP('11.07'!I38,'11.07'!$AM$4:$AO$55,3,FALSE))</f>
        <v>50</v>
      </c>
      <c r="B38" s="4">
        <f>(VLOOKUP('11.07'!J38,'11.07'!$AM$4:$AO$55,3,FALSE))</f>
        <v>50</v>
      </c>
      <c r="C38" s="4">
        <f>(VLOOKUP('11.07'!K38,'11.07'!$AM$4:$AO$55,3,FALSE))</f>
        <v>50</v>
      </c>
      <c r="D38" s="4">
        <f>(VLOOKUP('11.07'!L38,'11.07'!$AM$4:$AO$55,3,FALSE))</f>
        <v>50</v>
      </c>
      <c r="E38" s="4">
        <f>(VLOOKUP('11.07'!M38,'11.07'!$AM$4:$AO$55,3,FALSE))</f>
        <v>50</v>
      </c>
      <c r="F38" s="4">
        <f>(VLOOKUP('11.07'!N38,'11.07'!$AM$4:$AO$55,3,FALSE))</f>
        <v>30</v>
      </c>
      <c r="G38" s="5">
        <f>(VLOOKUP('11.07'!O38,'11.07'!$AM$4:$AO$55,3,FALSE))</f>
        <v>0</v>
      </c>
      <c r="H38" s="5">
        <f>(VLOOKUP('11.07'!P38,'11.07'!$AM$4:$AO$55,3,FALSE))</f>
        <v>0</v>
      </c>
      <c r="I38" s="4">
        <f>(VLOOKUP('11.07'!Q38,'11.07'!$AM$4:$AO$55,3,FALSE))</f>
        <v>0</v>
      </c>
      <c r="J38" s="4">
        <f>(VLOOKUP('11.07'!R38,'11.07'!$AM$4:$AO$55,3,FALSE))</f>
        <v>0</v>
      </c>
      <c r="K38" s="4">
        <f>(VLOOKUP('11.07'!S38,'11.07'!$AM$4:$AO$55,3,FALSE))</f>
        <v>0</v>
      </c>
      <c r="L38" s="4">
        <f>(VLOOKUP('11.07'!T38,'11.07'!$AM$4:$AO$55,3,FALSE))</f>
        <v>0</v>
      </c>
      <c r="M38" s="4">
        <f>(VLOOKUP('11.07'!U38,'11.07'!$AM$4:$AO$55,3,FALSE))</f>
        <v>0</v>
      </c>
      <c r="N38" s="4">
        <f>(VLOOKUP('11.07'!V38,'11.07'!$AM$4:$AO$55,3,FALSE))</f>
        <v>0</v>
      </c>
      <c r="O38" s="5">
        <f>(VLOOKUP('11.07'!W38,'11.07'!$AM$4:$AO$55,3,FALSE))</f>
        <v>0</v>
      </c>
      <c r="P38" s="5">
        <f>(VLOOKUP('11.07'!X38,'11.07'!$AM$4:$AO$55,3,FALSE))</f>
        <v>0</v>
      </c>
      <c r="Q38" s="4">
        <f>(VLOOKUP('11.07'!Y38,'11.07'!$AM$4:$AO$55,3,FALSE))</f>
        <v>60</v>
      </c>
      <c r="R38" s="4">
        <f>(VLOOKUP('11.07'!Z38,'11.07'!$AM$4:$AO$55,3,FALSE))</f>
        <v>60</v>
      </c>
      <c r="S38" s="4">
        <f>(VLOOKUP('11.07'!AA38,'11.07'!$AM$4:$AO$55,3,FALSE))</f>
        <v>60</v>
      </c>
      <c r="T38" s="4">
        <f>(VLOOKUP('11.07'!AB38,'11.07'!$AM$4:$AO$55,3,FALSE))</f>
        <v>60</v>
      </c>
      <c r="U38" s="4">
        <f>(VLOOKUP('11.07'!AC38,'11.07'!$AM$4:$AO$55,3,FALSE))</f>
        <v>60</v>
      </c>
      <c r="V38" s="4">
        <f>(VLOOKUP('11.07'!AD38,'11.07'!$AM$4:$AO$55,3,FALSE))</f>
        <v>60</v>
      </c>
      <c r="W38" s="5">
        <f>(VLOOKUP('11.07'!AE38,'11.07'!$AM$4:$AO$55,3,FALSE))</f>
        <v>0</v>
      </c>
      <c r="X38" s="5">
        <f>(VLOOKUP('11.07'!AF38,'11.07'!$AM$4:$AO$55,3,FALSE))</f>
        <v>0</v>
      </c>
    </row>
    <row r="39" spans="1:24">
      <c r="A39" s="4">
        <f>(VLOOKUP('11.07'!I39,'11.07'!$AM$4:$AO$55,3,FALSE))</f>
        <v>50</v>
      </c>
      <c r="B39" s="4">
        <f>(VLOOKUP('11.07'!J39,'11.07'!$AM$4:$AO$55,3,FALSE))</f>
        <v>50</v>
      </c>
      <c r="C39" s="4">
        <f>(VLOOKUP('11.07'!K39,'11.07'!$AM$4:$AO$55,3,FALSE))</f>
        <v>50</v>
      </c>
      <c r="D39" s="4">
        <f>(VLOOKUP('11.07'!L39,'11.07'!$AM$4:$AO$55,3,FALSE))</f>
        <v>50</v>
      </c>
      <c r="E39" s="4">
        <f>(VLOOKUP('11.07'!M39,'11.07'!$AM$4:$AO$55,3,FALSE))</f>
        <v>50</v>
      </c>
      <c r="F39" s="4">
        <f>(VLOOKUP('11.07'!N39,'11.07'!$AM$4:$AO$55,3,FALSE))</f>
        <v>50</v>
      </c>
      <c r="G39" s="5">
        <f>(VLOOKUP('11.07'!O39,'11.07'!$AM$4:$AO$55,3,FALSE))</f>
        <v>0</v>
      </c>
      <c r="H39" s="5">
        <f>(VLOOKUP('11.07'!P39,'11.07'!$AM$4:$AO$55,3,FALSE))</f>
        <v>0</v>
      </c>
      <c r="I39" s="4">
        <f>(VLOOKUP('11.07'!Q39,'11.07'!$AM$4:$AO$55,3,FALSE))</f>
        <v>0</v>
      </c>
      <c r="J39" s="4">
        <f>(VLOOKUP('11.07'!R39,'11.07'!$AM$4:$AO$55,3,FALSE))</f>
        <v>0</v>
      </c>
      <c r="K39" s="4">
        <f>(VLOOKUP('11.07'!S39,'11.07'!$AM$4:$AO$55,3,FALSE))</f>
        <v>0</v>
      </c>
      <c r="L39" s="4">
        <f>(VLOOKUP('11.07'!T39,'11.07'!$AM$4:$AO$55,3,FALSE))</f>
        <v>0</v>
      </c>
      <c r="M39" s="4">
        <f>(VLOOKUP('11.07'!U39,'11.07'!$AM$4:$AO$55,3,FALSE))</f>
        <v>0</v>
      </c>
      <c r="N39" s="4">
        <f>(VLOOKUP('11.07'!V39,'11.07'!$AM$4:$AO$55,3,FALSE))</f>
        <v>0</v>
      </c>
      <c r="O39" s="5">
        <f>(VLOOKUP('11.07'!W39,'11.07'!$AM$4:$AO$55,3,FALSE))</f>
        <v>0</v>
      </c>
      <c r="P39" s="5">
        <f>(VLOOKUP('11.07'!X39,'11.07'!$AM$4:$AO$55,3,FALSE))</f>
        <v>0</v>
      </c>
      <c r="Q39" s="4">
        <f>(VLOOKUP('11.07'!Y39,'11.07'!$AM$4:$AO$55,3,FALSE))</f>
        <v>60</v>
      </c>
      <c r="R39" s="4">
        <f>(VLOOKUP('11.07'!Z39,'11.07'!$AM$4:$AO$55,3,FALSE))</f>
        <v>60</v>
      </c>
      <c r="S39" s="4">
        <f>(VLOOKUP('11.07'!AA39,'11.07'!$AM$4:$AO$55,3,FALSE))</f>
        <v>60</v>
      </c>
      <c r="T39" s="4">
        <f>(VLOOKUP('11.07'!AB39,'11.07'!$AM$4:$AO$55,3,FALSE))</f>
        <v>60</v>
      </c>
      <c r="U39" s="4">
        <f>(VLOOKUP('11.07'!AC39,'11.07'!$AM$4:$AO$55,3,FALSE))</f>
        <v>60</v>
      </c>
      <c r="V39" s="4">
        <f>(VLOOKUP('11.07'!AD39,'11.07'!$AM$4:$AO$55,3,FALSE))</f>
        <v>60</v>
      </c>
      <c r="W39" s="5">
        <f>(VLOOKUP('11.07'!AE39,'11.07'!$AM$4:$AO$55,3,FALSE))</f>
        <v>0</v>
      </c>
      <c r="X39" s="5">
        <f>(VLOOKUP('11.07'!AF39,'11.07'!$AM$4:$AO$55,3,FALSE))</f>
        <v>0</v>
      </c>
    </row>
    <row r="40" spans="1:24">
      <c r="A40" s="4">
        <f>(VLOOKUP('11.07'!I40,'11.07'!$AM$4:$AO$55,3,FALSE))</f>
        <v>50</v>
      </c>
      <c r="B40" s="4">
        <f>(VLOOKUP('11.07'!J40,'11.07'!$AM$4:$AO$55,3,FALSE))</f>
        <v>50</v>
      </c>
      <c r="C40" s="4">
        <f>(VLOOKUP('11.07'!K40,'11.07'!$AM$4:$AO$55,3,FALSE))</f>
        <v>50</v>
      </c>
      <c r="D40" s="4">
        <f>(VLOOKUP('11.07'!L40,'11.07'!$AM$4:$AO$55,3,FALSE))</f>
        <v>50</v>
      </c>
      <c r="E40" s="4">
        <f>(VLOOKUP('11.07'!M40,'11.07'!$AM$4:$AO$55,3,FALSE))</f>
        <v>50</v>
      </c>
      <c r="F40" s="4">
        <f>(VLOOKUP('11.07'!N40,'11.07'!$AM$4:$AO$55,3,FALSE))</f>
        <v>50</v>
      </c>
      <c r="G40" s="5">
        <f>(VLOOKUP('11.07'!O40,'11.07'!$AM$4:$AO$55,3,FALSE))</f>
        <v>0</v>
      </c>
      <c r="H40" s="5">
        <f>(VLOOKUP('11.07'!P40,'11.07'!$AM$4:$AO$55,3,FALSE))</f>
        <v>0</v>
      </c>
      <c r="I40" s="4">
        <f>(VLOOKUP('11.07'!Q40,'11.07'!$AM$4:$AO$55,3,FALSE))</f>
        <v>0</v>
      </c>
      <c r="J40" s="4">
        <f>(VLOOKUP('11.07'!R40,'11.07'!$AM$4:$AO$55,3,FALSE))</f>
        <v>0</v>
      </c>
      <c r="K40" s="4">
        <f>(VLOOKUP('11.07'!S40,'11.07'!$AM$4:$AO$55,3,FALSE))</f>
        <v>0</v>
      </c>
      <c r="L40" s="4">
        <f>(VLOOKUP('11.07'!T40,'11.07'!$AM$4:$AO$55,3,FALSE))</f>
        <v>0</v>
      </c>
      <c r="M40" s="4">
        <f>(VLOOKUP('11.07'!U40,'11.07'!$AM$4:$AO$55,3,FALSE))</f>
        <v>0</v>
      </c>
      <c r="N40" s="4">
        <f>(VLOOKUP('11.07'!V40,'11.07'!$AM$4:$AO$55,3,FALSE))</f>
        <v>0</v>
      </c>
      <c r="O40" s="5">
        <f>(VLOOKUP('11.07'!W40,'11.07'!$AM$4:$AO$55,3,FALSE))</f>
        <v>0</v>
      </c>
      <c r="P40" s="5">
        <f>(VLOOKUP('11.07'!X40,'11.07'!$AM$4:$AO$55,3,FALSE))</f>
        <v>0</v>
      </c>
      <c r="Q40" s="4">
        <f>(VLOOKUP('11.07'!Y40,'11.07'!$AM$4:$AO$55,3,FALSE))</f>
        <v>60</v>
      </c>
      <c r="R40" s="4">
        <f>(VLOOKUP('11.07'!Z40,'11.07'!$AM$4:$AO$55,3,FALSE))</f>
        <v>60</v>
      </c>
      <c r="S40" s="4">
        <f>(VLOOKUP('11.07'!AA40,'11.07'!$AM$4:$AO$55,3,FALSE))</f>
        <v>60</v>
      </c>
      <c r="T40" s="4">
        <f>(VLOOKUP('11.07'!AB40,'11.07'!$AM$4:$AO$55,3,FALSE))</f>
        <v>60</v>
      </c>
      <c r="U40" s="4">
        <f>(VLOOKUP('11.07'!AC40,'11.07'!$AM$4:$AO$55,3,FALSE))</f>
        <v>60</v>
      </c>
      <c r="V40" s="4">
        <f>(VLOOKUP('11.07'!AD40,'11.07'!$AM$4:$AO$55,3,FALSE))</f>
        <v>60</v>
      </c>
      <c r="W40" s="5">
        <f>(VLOOKUP('11.07'!AE40,'11.07'!$AM$4:$AO$55,3,FALSE))</f>
        <v>0</v>
      </c>
      <c r="X40" s="5">
        <f>(VLOOKUP('11.07'!AF40,'11.07'!$AM$4:$AO$55,3,FALSE))</f>
        <v>0</v>
      </c>
    </row>
    <row r="41" spans="1:24">
      <c r="A41" s="4">
        <f>(VLOOKUP('11.07'!I41,'11.07'!$AM$4:$AO$55,3,FALSE))</f>
        <v>50</v>
      </c>
      <c r="B41" s="4">
        <f>(VLOOKUP('11.07'!J41,'11.07'!$AM$4:$AO$55,3,FALSE))</f>
        <v>50</v>
      </c>
      <c r="C41" s="4">
        <f>(VLOOKUP('11.07'!K41,'11.07'!$AM$4:$AO$55,3,FALSE))</f>
        <v>30</v>
      </c>
      <c r="D41" s="4">
        <f>(VLOOKUP('11.07'!L41,'11.07'!$AM$4:$AO$55,3,FALSE))</f>
        <v>50</v>
      </c>
      <c r="E41" s="4">
        <f>(VLOOKUP('11.07'!M41,'11.07'!$AM$4:$AO$55,3,FALSE))</f>
        <v>50</v>
      </c>
      <c r="F41" s="4">
        <f>(VLOOKUP('11.07'!N41,'11.07'!$AM$4:$AO$55,3,FALSE))</f>
        <v>50</v>
      </c>
      <c r="G41" s="5">
        <f>(VLOOKUP('11.07'!O41,'11.07'!$AM$4:$AO$55,3,FALSE))</f>
        <v>0</v>
      </c>
      <c r="H41" s="5">
        <f>(VLOOKUP('11.07'!P41,'11.07'!$AM$4:$AO$55,3,FALSE))</f>
        <v>0</v>
      </c>
      <c r="I41" s="4">
        <f>(VLOOKUP('11.07'!Q41,'11.07'!$AM$4:$AO$55,3,FALSE))</f>
        <v>0</v>
      </c>
      <c r="J41" s="4">
        <f>(VLOOKUP('11.07'!R41,'11.07'!$AM$4:$AO$55,3,FALSE))</f>
        <v>0</v>
      </c>
      <c r="K41" s="4">
        <f>(VLOOKUP('11.07'!S41,'11.07'!$AM$4:$AO$55,3,FALSE))</f>
        <v>0</v>
      </c>
      <c r="L41" s="4">
        <f>(VLOOKUP('11.07'!T41,'11.07'!$AM$4:$AO$55,3,FALSE))</f>
        <v>0</v>
      </c>
      <c r="M41" s="4">
        <f>(VLOOKUP('11.07'!U41,'11.07'!$AM$4:$AO$55,3,FALSE))</f>
        <v>0</v>
      </c>
      <c r="N41" s="4">
        <f>(VLOOKUP('11.07'!V41,'11.07'!$AM$4:$AO$55,3,FALSE))</f>
        <v>0</v>
      </c>
      <c r="O41" s="5">
        <f>(VLOOKUP('11.07'!W41,'11.07'!$AM$4:$AO$55,3,FALSE))</f>
        <v>0</v>
      </c>
      <c r="P41" s="5">
        <f>(VLOOKUP('11.07'!X41,'11.07'!$AM$4:$AO$55,3,FALSE))</f>
        <v>0</v>
      </c>
      <c r="Q41" s="4">
        <f>(VLOOKUP('11.07'!Y41,'11.07'!$AM$4:$AO$55,3,FALSE))</f>
        <v>60</v>
      </c>
      <c r="R41" s="4">
        <f>(VLOOKUP('11.07'!Z41,'11.07'!$AM$4:$AO$55,3,FALSE))</f>
        <v>60</v>
      </c>
      <c r="S41" s="4">
        <f>(VLOOKUP('11.07'!AA41,'11.07'!$AM$4:$AO$55,3,FALSE))</f>
        <v>60</v>
      </c>
      <c r="T41" s="4">
        <f>(VLOOKUP('11.07'!AB41,'11.07'!$AM$4:$AO$55,3,FALSE))</f>
        <v>60</v>
      </c>
      <c r="U41" s="4">
        <f>(VLOOKUP('11.07'!AC41,'11.07'!$AM$4:$AO$55,3,FALSE))</f>
        <v>60</v>
      </c>
      <c r="V41" s="4">
        <f>(VLOOKUP('11.07'!AD41,'11.07'!$AM$4:$AO$55,3,FALSE))</f>
        <v>60</v>
      </c>
      <c r="W41" s="5">
        <f>(VLOOKUP('11.07'!AE41,'11.07'!$AM$4:$AO$55,3,FALSE))</f>
        <v>0</v>
      </c>
      <c r="X41" s="5">
        <f>(VLOOKUP('11.07'!AF41,'11.07'!$AM$4:$AO$55,3,FALSE))</f>
        <v>0</v>
      </c>
    </row>
    <row r="42" spans="1:24">
      <c r="A42" s="4">
        <f>(VLOOKUP('11.07'!I42,'11.07'!$AM$4:$AO$55,3,FALSE))</f>
        <v>50</v>
      </c>
      <c r="B42" s="4">
        <f>(VLOOKUP('11.07'!J42,'11.07'!$AM$4:$AO$55,3,FALSE))</f>
        <v>50</v>
      </c>
      <c r="C42" s="4">
        <f>(VLOOKUP('11.07'!K42,'11.07'!$AM$4:$AO$55,3,FALSE))</f>
        <v>50</v>
      </c>
      <c r="D42" s="4">
        <f>(VLOOKUP('11.07'!L42,'11.07'!$AM$4:$AO$55,3,FALSE))</f>
        <v>50</v>
      </c>
      <c r="E42" s="4">
        <f>(VLOOKUP('11.07'!M42,'11.07'!$AM$4:$AO$55,3,FALSE))</f>
        <v>50</v>
      </c>
      <c r="F42" s="4">
        <f>(VLOOKUP('11.07'!N42,'11.07'!$AM$4:$AO$55,3,FALSE))</f>
        <v>50</v>
      </c>
      <c r="G42" s="5">
        <f>(VLOOKUP('11.07'!O42,'11.07'!$AM$4:$AO$55,3,FALSE))</f>
        <v>0</v>
      </c>
      <c r="H42" s="5">
        <f>(VLOOKUP('11.07'!P42,'11.07'!$AM$4:$AO$55,3,FALSE))</f>
        <v>0</v>
      </c>
      <c r="I42" s="4">
        <f>(VLOOKUP('11.07'!Q42,'11.07'!$AM$4:$AO$55,3,FALSE))</f>
        <v>0</v>
      </c>
      <c r="J42" s="4">
        <f>(VLOOKUP('11.07'!R42,'11.07'!$AM$4:$AO$55,3,FALSE))</f>
        <v>0</v>
      </c>
      <c r="K42" s="4">
        <f>(VLOOKUP('11.07'!S42,'11.07'!$AM$4:$AO$55,3,FALSE))</f>
        <v>0</v>
      </c>
      <c r="L42" s="4">
        <f>(VLOOKUP('11.07'!T42,'11.07'!$AM$4:$AO$55,3,FALSE))</f>
        <v>0</v>
      </c>
      <c r="M42" s="4">
        <f>(VLOOKUP('11.07'!U42,'11.07'!$AM$4:$AO$55,3,FALSE))</f>
        <v>0</v>
      </c>
      <c r="N42" s="4">
        <f>(VLOOKUP('11.07'!V42,'11.07'!$AM$4:$AO$55,3,FALSE))</f>
        <v>0</v>
      </c>
      <c r="O42" s="5">
        <f>(VLOOKUP('11.07'!W42,'11.07'!$AM$4:$AO$55,3,FALSE))</f>
        <v>0</v>
      </c>
      <c r="P42" s="5">
        <f>(VLOOKUP('11.07'!X42,'11.07'!$AM$4:$AO$55,3,FALSE))</f>
        <v>0</v>
      </c>
      <c r="Q42" s="4">
        <f>(VLOOKUP('11.07'!Y42,'11.07'!$AM$4:$AO$55,3,FALSE))</f>
        <v>60</v>
      </c>
      <c r="R42" s="4">
        <f>(VLOOKUP('11.07'!Z42,'11.07'!$AM$4:$AO$55,3,FALSE))</f>
        <v>60</v>
      </c>
      <c r="S42" s="4">
        <f>(VLOOKUP('11.07'!AA42,'11.07'!$AM$4:$AO$55,3,FALSE))</f>
        <v>60</v>
      </c>
      <c r="T42" s="4">
        <f>(VLOOKUP('11.07'!AB42,'11.07'!$AM$4:$AO$55,3,FALSE))</f>
        <v>60</v>
      </c>
      <c r="U42" s="4">
        <f>(VLOOKUP('11.07'!AC42,'11.07'!$AM$4:$AO$55,3,FALSE))</f>
        <v>60</v>
      </c>
      <c r="V42" s="4">
        <f>(VLOOKUP('11.07'!AD42,'11.07'!$AM$4:$AO$55,3,FALSE))</f>
        <v>60</v>
      </c>
      <c r="W42" s="5">
        <f>(VLOOKUP('11.07'!AE42,'11.07'!$AM$4:$AO$55,3,FALSE))</f>
        <v>0</v>
      </c>
      <c r="X42" s="5">
        <f>(VLOOKUP('11.07'!AF42,'11.07'!$AM$4:$AO$55,3,FALSE))</f>
        <v>0</v>
      </c>
    </row>
    <row r="43" spans="1:24">
      <c r="A43" s="4">
        <f>(VLOOKUP('11.07'!I43,'11.07'!$AM$4:$AO$55,3,FALSE))</f>
        <v>50</v>
      </c>
      <c r="B43" s="4">
        <f>(VLOOKUP('11.07'!J43,'11.07'!$AM$4:$AO$55,3,FALSE))</f>
        <v>50</v>
      </c>
      <c r="C43" s="4">
        <f>(VLOOKUP('11.07'!K43,'11.07'!$AM$4:$AO$55,3,FALSE))</f>
        <v>50</v>
      </c>
      <c r="D43" s="4">
        <f>(VLOOKUP('11.07'!L43,'11.07'!$AM$4:$AO$55,3,FALSE))</f>
        <v>50</v>
      </c>
      <c r="E43" s="4">
        <f>(VLOOKUP('11.07'!M43,'11.07'!$AM$4:$AO$55,3,FALSE))</f>
        <v>50</v>
      </c>
      <c r="F43" s="4">
        <f>(VLOOKUP('11.07'!N43,'11.07'!$AM$4:$AO$55,3,FALSE))</f>
        <v>50</v>
      </c>
      <c r="G43" s="5">
        <f>(VLOOKUP('11.07'!O43,'11.07'!$AM$4:$AO$55,3,FALSE))</f>
        <v>0</v>
      </c>
      <c r="H43" s="5">
        <f>(VLOOKUP('11.07'!P43,'11.07'!$AM$4:$AO$55,3,FALSE))</f>
        <v>0</v>
      </c>
      <c r="I43" s="4">
        <f>(VLOOKUP('11.07'!Q43,'11.07'!$AM$4:$AO$55,3,FALSE))</f>
        <v>0</v>
      </c>
      <c r="J43" s="4">
        <f>(VLOOKUP('11.07'!R43,'11.07'!$AM$4:$AO$55,3,FALSE))</f>
        <v>0</v>
      </c>
      <c r="K43" s="4">
        <f>(VLOOKUP('11.07'!S43,'11.07'!$AM$4:$AO$55,3,FALSE))</f>
        <v>0</v>
      </c>
      <c r="L43" s="4">
        <f>(VLOOKUP('11.07'!T43,'11.07'!$AM$4:$AO$55,3,FALSE))</f>
        <v>0</v>
      </c>
      <c r="M43" s="4">
        <f>(VLOOKUP('11.07'!U43,'11.07'!$AM$4:$AO$55,3,FALSE))</f>
        <v>0</v>
      </c>
      <c r="N43" s="4">
        <f>(VLOOKUP('11.07'!V43,'11.07'!$AM$4:$AO$55,3,FALSE))</f>
        <v>0</v>
      </c>
      <c r="O43" s="5">
        <f>(VLOOKUP('11.07'!W43,'11.07'!$AM$4:$AO$55,3,FALSE))</f>
        <v>0</v>
      </c>
      <c r="P43" s="5">
        <f>(VLOOKUP('11.07'!X43,'11.07'!$AM$4:$AO$55,3,FALSE))</f>
        <v>0</v>
      </c>
      <c r="Q43" s="4">
        <f>(VLOOKUP('11.07'!Y43,'11.07'!$AM$4:$AO$55,3,FALSE))</f>
        <v>60</v>
      </c>
      <c r="R43" s="4">
        <f>(VLOOKUP('11.07'!Z43,'11.07'!$AM$4:$AO$55,3,FALSE))</f>
        <v>60</v>
      </c>
      <c r="S43" s="4">
        <f>(VLOOKUP('11.07'!AA43,'11.07'!$AM$4:$AO$55,3,FALSE))</f>
        <v>60</v>
      </c>
      <c r="T43" s="4">
        <f>(VLOOKUP('11.07'!AB43,'11.07'!$AM$4:$AO$55,3,FALSE))</f>
        <v>60</v>
      </c>
      <c r="U43" s="4">
        <f>(VLOOKUP('11.07'!AC43,'11.07'!$AM$4:$AO$55,3,FALSE))</f>
        <v>60</v>
      </c>
      <c r="V43" s="4">
        <f>(VLOOKUP('11.07'!AD43,'11.07'!$AM$4:$AO$55,3,FALSE))</f>
        <v>60</v>
      </c>
      <c r="W43" s="5">
        <f>(VLOOKUP('11.07'!AE43,'11.07'!$AM$4:$AO$55,3,FALSE))</f>
        <v>0</v>
      </c>
      <c r="X43" s="5">
        <f>(VLOOKUP('11.07'!AF43,'11.07'!$AM$4:$AO$55,3,FALSE))</f>
        <v>0</v>
      </c>
    </row>
    <row r="44" spans="1:24">
      <c r="A44" s="4">
        <f>(VLOOKUP('11.07'!I44,'11.07'!$AM$4:$AO$55,3,FALSE))</f>
        <v>50</v>
      </c>
      <c r="B44" s="4">
        <f>(VLOOKUP('11.07'!J44,'11.07'!$AM$4:$AO$55,3,FALSE))</f>
        <v>50</v>
      </c>
      <c r="C44" s="4">
        <f>(VLOOKUP('11.07'!K44,'11.07'!$AM$4:$AO$55,3,FALSE))</f>
        <v>50</v>
      </c>
      <c r="D44" s="4">
        <f>(VLOOKUP('11.07'!L44,'11.07'!$AM$4:$AO$55,3,FALSE))</f>
        <v>50</v>
      </c>
      <c r="E44" s="4">
        <f>(VLOOKUP('11.07'!M44,'11.07'!$AM$4:$AO$55,3,FALSE))</f>
        <v>50</v>
      </c>
      <c r="F44" s="4">
        <f>(VLOOKUP('11.07'!N44,'11.07'!$AM$4:$AO$55,3,FALSE))</f>
        <v>50</v>
      </c>
      <c r="G44" s="5">
        <f>(VLOOKUP('11.07'!O44,'11.07'!$AM$4:$AO$55,3,FALSE))</f>
        <v>0</v>
      </c>
      <c r="H44" s="5">
        <f>(VLOOKUP('11.07'!P44,'11.07'!$AM$4:$AO$55,3,FALSE))</f>
        <v>0</v>
      </c>
      <c r="I44" s="4">
        <f>(VLOOKUP('11.07'!Q44,'11.07'!$AM$4:$AO$55,3,FALSE))</f>
        <v>0</v>
      </c>
      <c r="J44" s="4">
        <f>(VLOOKUP('11.07'!R44,'11.07'!$AM$4:$AO$55,3,FALSE))</f>
        <v>0</v>
      </c>
      <c r="K44" s="4">
        <f>(VLOOKUP('11.07'!S44,'11.07'!$AM$4:$AO$55,3,FALSE))</f>
        <v>0</v>
      </c>
      <c r="L44" s="4">
        <f>(VLOOKUP('11.07'!T44,'11.07'!$AM$4:$AO$55,3,FALSE))</f>
        <v>0</v>
      </c>
      <c r="M44" s="4">
        <f>(VLOOKUP('11.07'!U44,'11.07'!$AM$4:$AO$55,3,FALSE))</f>
        <v>0</v>
      </c>
      <c r="N44" s="4">
        <f>(VLOOKUP('11.07'!V44,'11.07'!$AM$4:$AO$55,3,FALSE))</f>
        <v>0</v>
      </c>
      <c r="O44" s="5">
        <f>(VLOOKUP('11.07'!W44,'11.07'!$AM$4:$AO$55,3,FALSE))</f>
        <v>0</v>
      </c>
      <c r="P44" s="5">
        <f>(VLOOKUP('11.07'!X44,'11.07'!$AM$4:$AO$55,3,FALSE))</f>
        <v>0</v>
      </c>
      <c r="Q44" s="4">
        <f>(VLOOKUP('11.07'!Y44,'11.07'!$AM$4:$AO$55,3,FALSE))</f>
        <v>60</v>
      </c>
      <c r="R44" s="4">
        <f>(VLOOKUP('11.07'!Z44,'11.07'!$AM$4:$AO$55,3,FALSE))</f>
        <v>60</v>
      </c>
      <c r="S44" s="4">
        <f>(VLOOKUP('11.07'!AA44,'11.07'!$AM$4:$AO$55,3,FALSE))</f>
        <v>60</v>
      </c>
      <c r="T44" s="4">
        <f>(VLOOKUP('11.07'!AB44,'11.07'!$AM$4:$AO$55,3,FALSE))</f>
        <v>60</v>
      </c>
      <c r="U44" s="4">
        <f>(VLOOKUP('11.07'!AC44,'11.07'!$AM$4:$AO$55,3,FALSE))</f>
        <v>60</v>
      </c>
      <c r="V44" s="4">
        <f>(VLOOKUP('11.07'!AD44,'11.07'!$AM$4:$AO$55,3,FALSE))</f>
        <v>0</v>
      </c>
      <c r="W44" s="5">
        <f>(VLOOKUP('11.07'!AE44,'11.07'!$AM$4:$AO$55,3,FALSE))</f>
        <v>0</v>
      </c>
      <c r="X44" s="5">
        <f>(VLOOKUP('11.07'!AF44,'11.07'!$AM$4:$AO$55,3,FALSE))</f>
        <v>0</v>
      </c>
    </row>
    <row r="45" spans="1:24">
      <c r="A45" s="4">
        <f>(VLOOKUP('11.07'!I45,'11.07'!$AM$4:$AO$55,3,FALSE))</f>
        <v>50</v>
      </c>
      <c r="B45" s="4">
        <f>(VLOOKUP('11.07'!J45,'11.07'!$AM$4:$AO$55,3,FALSE))</f>
        <v>50</v>
      </c>
      <c r="C45" s="4">
        <f>(VLOOKUP('11.07'!K45,'11.07'!$AM$4:$AO$55,3,FALSE))</f>
        <v>50</v>
      </c>
      <c r="D45" s="4">
        <f>(VLOOKUP('11.07'!L45,'11.07'!$AM$4:$AO$55,3,FALSE))</f>
        <v>50</v>
      </c>
      <c r="E45" s="4">
        <f>(VLOOKUP('11.07'!M45,'11.07'!$AM$4:$AO$55,3,FALSE))</f>
        <v>50</v>
      </c>
      <c r="F45" s="4">
        <f>(VLOOKUP('11.07'!N45,'11.07'!$AM$4:$AO$55,3,FALSE))</f>
        <v>30</v>
      </c>
      <c r="G45" s="5">
        <f>(VLOOKUP('11.07'!O45,'11.07'!$AM$4:$AO$55,3,FALSE))</f>
        <v>0</v>
      </c>
      <c r="H45" s="5">
        <f>(VLOOKUP('11.07'!P45,'11.07'!$AM$4:$AO$55,3,FALSE))</f>
        <v>0</v>
      </c>
      <c r="I45" s="4">
        <f>(VLOOKUP('11.07'!Q45,'11.07'!$AM$4:$AO$55,3,FALSE))</f>
        <v>0</v>
      </c>
      <c r="J45" s="4">
        <f>(VLOOKUP('11.07'!R45,'11.07'!$AM$4:$AO$55,3,FALSE))</f>
        <v>0</v>
      </c>
      <c r="K45" s="4">
        <f>(VLOOKUP('11.07'!S45,'11.07'!$AM$4:$AO$55,3,FALSE))</f>
        <v>0</v>
      </c>
      <c r="L45" s="4">
        <f>(VLOOKUP('11.07'!T45,'11.07'!$AM$4:$AO$55,3,FALSE))</f>
        <v>0</v>
      </c>
      <c r="M45" s="4">
        <f>(VLOOKUP('11.07'!U45,'11.07'!$AM$4:$AO$55,3,FALSE))</f>
        <v>0</v>
      </c>
      <c r="N45" s="4">
        <f>(VLOOKUP('11.07'!V45,'11.07'!$AM$4:$AO$55,3,FALSE))</f>
        <v>0</v>
      </c>
      <c r="O45" s="5">
        <f>(VLOOKUP('11.07'!W45,'11.07'!$AM$4:$AO$55,3,FALSE))</f>
        <v>0</v>
      </c>
      <c r="P45" s="5">
        <f>(VLOOKUP('11.07'!X45,'11.07'!$AM$4:$AO$55,3,FALSE))</f>
        <v>0</v>
      </c>
      <c r="Q45" s="4">
        <f>(VLOOKUP('11.07'!Y45,'11.07'!$AM$4:$AO$55,3,FALSE))</f>
        <v>1000</v>
      </c>
      <c r="R45" s="4">
        <f>(VLOOKUP('11.07'!Z45,'11.07'!$AM$4:$AO$55,3,FALSE))</f>
        <v>60</v>
      </c>
      <c r="S45" s="4">
        <f>(VLOOKUP('11.07'!AA45,'11.07'!$AM$4:$AO$55,3,FALSE))</f>
        <v>60</v>
      </c>
      <c r="T45" s="4">
        <f>(VLOOKUP('11.07'!AB45,'11.07'!$AM$4:$AO$55,3,FALSE))</f>
        <v>60</v>
      </c>
      <c r="U45" s="4">
        <f>(VLOOKUP('11.07'!AC45,'11.07'!$AM$4:$AO$55,3,FALSE))</f>
        <v>60</v>
      </c>
      <c r="V45" s="4">
        <f>(VLOOKUP('11.07'!AD45,'11.07'!$AM$4:$AO$55,3,FALSE))</f>
        <v>60</v>
      </c>
      <c r="W45" s="5">
        <f>(VLOOKUP('11.07'!AE45,'11.07'!$AM$4:$AO$55,3,FALSE))</f>
        <v>0</v>
      </c>
      <c r="X45" s="5">
        <f>(VLOOKUP('11.07'!AF45,'11.07'!$AM$4:$AO$55,3,FALSE))</f>
        <v>0</v>
      </c>
    </row>
    <row r="46" spans="1:24">
      <c r="A46" s="4">
        <f>(VLOOKUP('11.07'!I46,'11.07'!$AM$4:$AO$55,3,FALSE))</f>
        <v>50</v>
      </c>
      <c r="B46" s="4">
        <f>(VLOOKUP('11.07'!J46,'11.07'!$AM$4:$AO$55,3,FALSE))</f>
        <v>50</v>
      </c>
      <c r="C46" s="4">
        <f>(VLOOKUP('11.07'!K46,'11.07'!$AM$4:$AO$55,3,FALSE))</f>
        <v>0</v>
      </c>
      <c r="D46" s="4">
        <f>(VLOOKUP('11.07'!L46,'11.07'!$AM$4:$AO$55,3,FALSE))</f>
        <v>50</v>
      </c>
      <c r="E46" s="4">
        <f>(VLOOKUP('11.07'!M46,'11.07'!$AM$4:$AO$55,3,FALSE))</f>
        <v>50</v>
      </c>
      <c r="F46" s="4">
        <f>(VLOOKUP('11.07'!N46,'11.07'!$AM$4:$AO$55,3,FALSE))</f>
        <v>50</v>
      </c>
      <c r="G46" s="5">
        <f>(VLOOKUP('11.07'!O46,'11.07'!$AM$4:$AO$55,3,FALSE))</f>
        <v>50</v>
      </c>
      <c r="H46" s="5">
        <f>(VLOOKUP('11.07'!P46,'11.07'!$AM$4:$AO$55,3,FALSE))</f>
        <v>0</v>
      </c>
      <c r="I46" s="4">
        <f>(VLOOKUP('11.07'!Q46,'11.07'!$AM$4:$AO$55,3,FALSE))</f>
        <v>0</v>
      </c>
      <c r="J46" s="4">
        <f>(VLOOKUP('11.07'!R46,'11.07'!$AM$4:$AO$55,3,FALSE))</f>
        <v>0</v>
      </c>
      <c r="K46" s="4">
        <f>(VLOOKUP('11.07'!S46,'11.07'!$AM$4:$AO$55,3,FALSE))</f>
        <v>0</v>
      </c>
      <c r="L46" s="4">
        <f>(VLOOKUP('11.07'!T46,'11.07'!$AM$4:$AO$55,3,FALSE))</f>
        <v>0</v>
      </c>
      <c r="M46" s="4">
        <f>(VLOOKUP('11.07'!U46,'11.07'!$AM$4:$AO$55,3,FALSE))</f>
        <v>0</v>
      </c>
      <c r="N46" s="4">
        <f>(VLOOKUP('11.07'!V46,'11.07'!$AM$4:$AO$55,3,FALSE))</f>
        <v>0</v>
      </c>
      <c r="O46" s="5">
        <f>(VLOOKUP('11.07'!W46,'11.07'!$AM$4:$AO$55,3,FALSE))</f>
        <v>0</v>
      </c>
      <c r="P46" s="5">
        <f>(VLOOKUP('11.07'!X46,'11.07'!$AM$4:$AO$55,3,FALSE))</f>
        <v>0</v>
      </c>
      <c r="Q46" s="4">
        <f>(VLOOKUP('11.07'!Y46,'11.07'!$AM$4:$AO$55,3,FALSE))</f>
        <v>60</v>
      </c>
      <c r="R46" s="4">
        <f>(VLOOKUP('11.07'!Z46,'11.07'!$AM$4:$AO$55,3,FALSE))</f>
        <v>60</v>
      </c>
      <c r="S46" s="4">
        <f>(VLOOKUP('11.07'!AA46,'11.07'!$AM$4:$AO$55,3,FALSE))</f>
        <v>60</v>
      </c>
      <c r="T46" s="4">
        <f>(VLOOKUP('11.07'!AB46,'11.07'!$AM$4:$AO$55,3,FALSE))</f>
        <v>60</v>
      </c>
      <c r="U46" s="4">
        <f>(VLOOKUP('11.07'!AC46,'11.07'!$AM$4:$AO$55,3,FALSE))</f>
        <v>60</v>
      </c>
      <c r="V46" s="4">
        <f>(VLOOKUP('11.07'!AD46,'11.07'!$AM$4:$AO$55,3,FALSE))</f>
        <v>60</v>
      </c>
      <c r="W46" s="5">
        <f>(VLOOKUP('11.07'!AE46,'11.07'!$AM$4:$AO$55,3,FALSE))</f>
        <v>0</v>
      </c>
      <c r="X46" s="5">
        <f>(VLOOKUP('11.07'!AF46,'11.07'!$AM$4:$AO$55,3,FALSE))</f>
        <v>0</v>
      </c>
    </row>
    <row r="47" spans="1:24">
      <c r="A47" s="4">
        <f>(VLOOKUP('11.07'!I47,'11.07'!$AM$4:$AO$55,3,FALSE))</f>
        <v>50</v>
      </c>
      <c r="B47" s="4">
        <f>(VLOOKUP('11.07'!J47,'11.07'!$AM$4:$AO$55,3,FALSE))</f>
        <v>50</v>
      </c>
      <c r="C47" s="4">
        <f>(VLOOKUP('11.07'!K47,'11.07'!$AM$4:$AO$55,3,FALSE))</f>
        <v>50</v>
      </c>
      <c r="D47" s="4">
        <f>(VLOOKUP('11.07'!L47,'11.07'!$AM$4:$AO$55,3,FALSE))</f>
        <v>50</v>
      </c>
      <c r="E47" s="4">
        <f>(VLOOKUP('11.07'!M47,'11.07'!$AM$4:$AO$55,3,FALSE))</f>
        <v>50</v>
      </c>
      <c r="F47" s="4">
        <f>(VLOOKUP('11.07'!N47,'11.07'!$AM$4:$AO$55,3,FALSE))</f>
        <v>50</v>
      </c>
      <c r="G47" s="5">
        <f>(VLOOKUP('11.07'!O47,'11.07'!$AM$4:$AO$55,3,FALSE))</f>
        <v>0</v>
      </c>
      <c r="H47" s="5">
        <f>(VLOOKUP('11.07'!P47,'11.07'!$AM$4:$AO$55,3,FALSE))</f>
        <v>0</v>
      </c>
      <c r="I47" s="4">
        <f>(VLOOKUP('11.07'!Q47,'11.07'!$AM$4:$AO$55,3,FALSE))</f>
        <v>0</v>
      </c>
      <c r="J47" s="4">
        <f>(VLOOKUP('11.07'!R47,'11.07'!$AM$4:$AO$55,3,FALSE))</f>
        <v>0</v>
      </c>
      <c r="K47" s="4">
        <f>(VLOOKUP('11.07'!S47,'11.07'!$AM$4:$AO$55,3,FALSE))</f>
        <v>0</v>
      </c>
      <c r="L47" s="4">
        <f>(VLOOKUP('11.07'!T47,'11.07'!$AM$4:$AO$55,3,FALSE))</f>
        <v>0</v>
      </c>
      <c r="M47" s="4">
        <f>(VLOOKUP('11.07'!U47,'11.07'!$AM$4:$AO$55,3,FALSE))</f>
        <v>0</v>
      </c>
      <c r="N47" s="4">
        <f>(VLOOKUP('11.07'!V47,'11.07'!$AM$4:$AO$55,3,FALSE))</f>
        <v>0</v>
      </c>
      <c r="O47" s="5">
        <f>(VLOOKUP('11.07'!W47,'11.07'!$AM$4:$AO$55,3,FALSE))</f>
        <v>0</v>
      </c>
      <c r="P47" s="5">
        <f>(VLOOKUP('11.07'!X47,'11.07'!$AM$4:$AO$55,3,FALSE))</f>
        <v>0</v>
      </c>
      <c r="Q47" s="4">
        <f>(VLOOKUP('11.07'!Y47,'11.07'!$AM$4:$AO$55,3,FALSE))</f>
        <v>60</v>
      </c>
      <c r="R47" s="4">
        <f>(VLOOKUP('11.07'!Z47,'11.07'!$AM$4:$AO$55,3,FALSE))</f>
        <v>60</v>
      </c>
      <c r="S47" s="4">
        <f>(VLOOKUP('11.07'!AA47,'11.07'!$AM$4:$AO$55,3,FALSE))</f>
        <v>60</v>
      </c>
      <c r="T47" s="4">
        <f>(VLOOKUP('11.07'!AB47,'11.07'!$AM$4:$AO$55,3,FALSE))</f>
        <v>60</v>
      </c>
      <c r="U47" s="4">
        <f>(VLOOKUP('11.07'!AC47,'11.07'!$AM$4:$AO$55,3,FALSE))</f>
        <v>60</v>
      </c>
      <c r="V47" s="4">
        <f>(VLOOKUP('11.07'!AD47,'11.07'!$AM$4:$AO$55,3,FALSE))</f>
        <v>60</v>
      </c>
      <c r="W47" s="5">
        <f>(VLOOKUP('11.07'!AE47,'11.07'!$AM$4:$AO$55,3,FALSE))</f>
        <v>0</v>
      </c>
      <c r="X47" s="5">
        <f>(VLOOKUP('11.07'!AF47,'11.07'!$AM$4:$AO$55,3,FALSE))</f>
        <v>0</v>
      </c>
    </row>
    <row r="48" spans="1:24">
      <c r="A48" s="4">
        <f>(VLOOKUP('11.07'!I48,'11.07'!$AM$4:$AO$55,3,FALSE))</f>
        <v>50</v>
      </c>
      <c r="B48" s="4">
        <f>(VLOOKUP('11.07'!J48,'11.07'!$AM$4:$AO$55,3,FALSE))</f>
        <v>50</v>
      </c>
      <c r="C48" s="4">
        <f>(VLOOKUP('11.07'!K48,'11.07'!$AM$4:$AO$55,3,FALSE))</f>
        <v>0</v>
      </c>
      <c r="D48" s="4">
        <f>(VLOOKUP('11.07'!L48,'11.07'!$AM$4:$AO$55,3,FALSE))</f>
        <v>50</v>
      </c>
      <c r="E48" s="4">
        <f>(VLOOKUP('11.07'!M48,'11.07'!$AM$4:$AO$55,3,FALSE))</f>
        <v>50</v>
      </c>
      <c r="F48" s="4">
        <f>(VLOOKUP('11.07'!N48,'11.07'!$AM$4:$AO$55,3,FALSE))</f>
        <v>50</v>
      </c>
      <c r="G48" s="5">
        <f>(VLOOKUP('11.07'!O48,'11.07'!$AM$4:$AO$55,3,FALSE))</f>
        <v>50</v>
      </c>
      <c r="H48" s="5">
        <f>(VLOOKUP('11.07'!P48,'11.07'!$AM$4:$AO$55,3,FALSE))</f>
        <v>50</v>
      </c>
      <c r="I48" s="4">
        <f>(VLOOKUP('11.07'!Q48,'11.07'!$AM$4:$AO$55,3,FALSE))</f>
        <v>0</v>
      </c>
      <c r="J48" s="4">
        <f>(VLOOKUP('11.07'!R48,'11.07'!$AM$4:$AO$55,3,FALSE))</f>
        <v>0</v>
      </c>
      <c r="K48" s="4">
        <f>(VLOOKUP('11.07'!S48,'11.07'!$AM$4:$AO$55,3,FALSE))</f>
        <v>0</v>
      </c>
      <c r="L48" s="4">
        <f>(VLOOKUP('11.07'!T48,'11.07'!$AM$4:$AO$55,3,FALSE))</f>
        <v>0</v>
      </c>
      <c r="M48" s="4">
        <f>(VLOOKUP('11.07'!U48,'11.07'!$AM$4:$AO$55,3,FALSE))</f>
        <v>0</v>
      </c>
      <c r="N48" s="4">
        <f>(VLOOKUP('11.07'!V48,'11.07'!$AM$4:$AO$55,3,FALSE))</f>
        <v>0</v>
      </c>
      <c r="O48" s="5">
        <f>(VLOOKUP('11.07'!W48,'11.07'!$AM$4:$AO$55,3,FALSE))</f>
        <v>0</v>
      </c>
      <c r="P48" s="5">
        <f>(VLOOKUP('11.07'!X48,'11.07'!$AM$4:$AO$55,3,FALSE))</f>
        <v>0</v>
      </c>
      <c r="Q48" s="4">
        <f>(VLOOKUP('11.07'!Y48,'11.07'!$AM$4:$AO$55,3,FALSE))</f>
        <v>60</v>
      </c>
      <c r="R48" s="4">
        <f>(VLOOKUP('11.07'!Z48,'11.07'!$AM$4:$AO$55,3,FALSE))</f>
        <v>60</v>
      </c>
      <c r="S48" s="4">
        <f>(VLOOKUP('11.07'!AA48,'11.07'!$AM$4:$AO$55,3,FALSE))</f>
        <v>60</v>
      </c>
      <c r="T48" s="4">
        <f>(VLOOKUP('11.07'!AB48,'11.07'!$AM$4:$AO$55,3,FALSE))</f>
        <v>60</v>
      </c>
      <c r="U48" s="4">
        <f>(VLOOKUP('11.07'!AC48,'11.07'!$AM$4:$AO$55,3,FALSE))</f>
        <v>60</v>
      </c>
      <c r="V48" s="4">
        <f>(VLOOKUP('11.07'!AD48,'11.07'!$AM$4:$AO$55,3,FALSE))</f>
        <v>60</v>
      </c>
      <c r="W48" s="5">
        <f>(VLOOKUP('11.07'!AE48,'11.07'!$AM$4:$AO$55,3,FALSE))</f>
        <v>0</v>
      </c>
      <c r="X48" s="5">
        <f>(VLOOKUP('11.07'!AF48,'11.07'!$AM$4:$AO$55,3,FALSE))</f>
        <v>0</v>
      </c>
    </row>
    <row r="49" spans="1:24">
      <c r="A49" s="4">
        <f>(VLOOKUP('11.07'!I49,'11.07'!$AM$4:$AO$55,3,FALSE))</f>
        <v>50</v>
      </c>
      <c r="B49" s="4">
        <f>(VLOOKUP('11.07'!J49,'11.07'!$AM$4:$AO$55,3,FALSE))</f>
        <v>50</v>
      </c>
      <c r="C49" s="4">
        <f>(VLOOKUP('11.07'!K49,'11.07'!$AM$4:$AO$55,3,FALSE))</f>
        <v>50</v>
      </c>
      <c r="D49" s="4">
        <f>(VLOOKUP('11.07'!L49,'11.07'!$AM$4:$AO$55,3,FALSE))</f>
        <v>50</v>
      </c>
      <c r="E49" s="4">
        <f>(VLOOKUP('11.07'!M49,'11.07'!$AM$4:$AO$55,3,FALSE))</f>
        <v>55</v>
      </c>
      <c r="F49" s="4">
        <f>(VLOOKUP('11.07'!N49,'11.07'!$AM$4:$AO$55,3,FALSE))</f>
        <v>55</v>
      </c>
      <c r="G49" s="5">
        <f>(VLOOKUP('11.07'!O49,'11.07'!$AM$4:$AO$55,3,FALSE))</f>
        <v>0</v>
      </c>
      <c r="H49" s="5">
        <f>(VLOOKUP('11.07'!P49,'11.07'!$AM$4:$AO$55,3,FALSE))</f>
        <v>0</v>
      </c>
      <c r="I49" s="4">
        <f>(VLOOKUP('11.07'!Q49,'11.07'!$AM$4:$AO$55,3,FALSE))</f>
        <v>0</v>
      </c>
      <c r="J49" s="4">
        <f>(VLOOKUP('11.07'!R49,'11.07'!$AM$4:$AO$55,3,FALSE))</f>
        <v>0</v>
      </c>
      <c r="K49" s="4">
        <f>(VLOOKUP('11.07'!S49,'11.07'!$AM$4:$AO$55,3,FALSE))</f>
        <v>0</v>
      </c>
      <c r="L49" s="4">
        <f>(VLOOKUP('11.07'!T49,'11.07'!$AM$4:$AO$55,3,FALSE))</f>
        <v>0</v>
      </c>
      <c r="M49" s="4">
        <f>(VLOOKUP('11.07'!U49,'11.07'!$AM$4:$AO$55,3,FALSE))</f>
        <v>0</v>
      </c>
      <c r="N49" s="4">
        <f>(VLOOKUP('11.07'!V49,'11.07'!$AM$4:$AO$55,3,FALSE))</f>
        <v>0</v>
      </c>
      <c r="O49" s="5">
        <f>(VLOOKUP('11.07'!W49,'11.07'!$AM$4:$AO$55,3,FALSE))</f>
        <v>0</v>
      </c>
      <c r="P49" s="5">
        <f>(VLOOKUP('11.07'!X49,'11.07'!$AM$4:$AO$55,3,FALSE))</f>
        <v>0</v>
      </c>
      <c r="Q49" s="4">
        <f>(VLOOKUP('11.07'!Y49,'11.07'!$AM$4:$AO$55,3,FALSE))</f>
        <v>60</v>
      </c>
      <c r="R49" s="4">
        <f>(VLOOKUP('11.07'!Z49,'11.07'!$AM$4:$AO$55,3,FALSE))</f>
        <v>60</v>
      </c>
      <c r="S49" s="4">
        <f>(VLOOKUP('11.07'!AA49,'11.07'!$AM$4:$AO$55,3,FALSE))</f>
        <v>0</v>
      </c>
      <c r="T49" s="4">
        <f>(VLOOKUP('11.07'!AB49,'11.07'!$AM$4:$AO$55,3,FALSE))</f>
        <v>60</v>
      </c>
      <c r="U49" s="4">
        <f>(VLOOKUP('11.07'!AC49,'11.07'!$AM$4:$AO$55,3,FALSE))</f>
        <v>60</v>
      </c>
      <c r="V49" s="4">
        <f>(VLOOKUP('11.07'!AD49,'11.07'!$AM$4:$AO$55,3,FALSE))</f>
        <v>60</v>
      </c>
      <c r="W49" s="5">
        <f>(VLOOKUP('11.07'!AE49,'11.07'!$AM$4:$AO$55,3,FALSE))</f>
        <v>60</v>
      </c>
      <c r="X49" s="5">
        <f>(VLOOKUP('11.07'!AF49,'11.07'!$AM$4:$AO$55,3,FALSE))</f>
        <v>0</v>
      </c>
    </row>
    <row r="50" spans="1:24">
      <c r="A50" s="4">
        <f>(VLOOKUP('11.07'!I50,'11.07'!$AM$4:$AO$55,3,FALSE))</f>
        <v>50</v>
      </c>
      <c r="B50" s="4">
        <f>(VLOOKUP('11.07'!J50,'11.07'!$AM$4:$AO$55,3,FALSE))</f>
        <v>50</v>
      </c>
      <c r="C50" s="4">
        <f>(VLOOKUP('11.07'!K50,'11.07'!$AM$4:$AO$55,3,FALSE))</f>
        <v>50</v>
      </c>
      <c r="D50" s="4">
        <f>(VLOOKUP('11.07'!L50,'11.07'!$AM$4:$AO$55,3,FALSE))</f>
        <v>50</v>
      </c>
      <c r="E50" s="4">
        <f>(VLOOKUP('11.07'!M50,'11.07'!$AM$4:$AO$55,3,FALSE))</f>
        <v>30</v>
      </c>
      <c r="F50" s="4">
        <f>(VLOOKUP('11.07'!N50,'11.07'!$AM$4:$AO$55,3,FALSE))</f>
        <v>50</v>
      </c>
      <c r="G50" s="5">
        <f>(VLOOKUP('11.07'!O50,'11.07'!$AM$4:$AO$55,3,FALSE))</f>
        <v>0</v>
      </c>
      <c r="H50" s="5">
        <f>(VLOOKUP('11.07'!P50,'11.07'!$AM$4:$AO$55,3,FALSE))</f>
        <v>0</v>
      </c>
      <c r="I50" s="4">
        <f>(VLOOKUP('11.07'!Q50,'11.07'!$AM$4:$AO$55,3,FALSE))</f>
        <v>0</v>
      </c>
      <c r="J50" s="4">
        <f>(VLOOKUP('11.07'!R50,'11.07'!$AM$4:$AO$55,3,FALSE))</f>
        <v>0</v>
      </c>
      <c r="K50" s="4">
        <f>(VLOOKUP('11.07'!S50,'11.07'!$AM$4:$AO$55,3,FALSE))</f>
        <v>0</v>
      </c>
      <c r="L50" s="4">
        <f>(VLOOKUP('11.07'!T50,'11.07'!$AM$4:$AO$55,3,FALSE))</f>
        <v>0</v>
      </c>
      <c r="M50" s="4">
        <f>(VLOOKUP('11.07'!U50,'11.07'!$AM$4:$AO$55,3,FALSE))</f>
        <v>0</v>
      </c>
      <c r="N50" s="4">
        <f>(VLOOKUP('11.07'!V50,'11.07'!$AM$4:$AO$55,3,FALSE))</f>
        <v>0</v>
      </c>
      <c r="O50" s="5">
        <f>(VLOOKUP('11.07'!W50,'11.07'!$AM$4:$AO$55,3,FALSE))</f>
        <v>0</v>
      </c>
      <c r="P50" s="5">
        <f>(VLOOKUP('11.07'!X50,'11.07'!$AM$4:$AO$55,3,FALSE))</f>
        <v>0</v>
      </c>
      <c r="Q50" s="4">
        <f>(VLOOKUP('11.07'!Y50,'11.07'!$AM$4:$AO$55,3,FALSE))</f>
        <v>55</v>
      </c>
      <c r="R50" s="4">
        <f>(VLOOKUP('11.07'!Z50,'11.07'!$AM$4:$AO$55,3,FALSE))</f>
        <v>55</v>
      </c>
      <c r="S50" s="4">
        <f>(VLOOKUP('11.07'!AA50,'11.07'!$AM$4:$AO$55,3,FALSE))</f>
        <v>55</v>
      </c>
      <c r="T50" s="4">
        <f>(VLOOKUP('11.07'!AB50,'11.07'!$AM$4:$AO$55,3,FALSE))</f>
        <v>55</v>
      </c>
      <c r="U50" s="4">
        <f>(VLOOKUP('11.07'!AC50,'11.07'!$AM$4:$AO$55,3,FALSE))</f>
        <v>55</v>
      </c>
      <c r="V50" s="4">
        <f>(VLOOKUP('11.07'!AD50,'11.07'!$AM$4:$AO$55,3,FALSE))</f>
        <v>55</v>
      </c>
      <c r="W50" s="5">
        <f>(VLOOKUP('11.07'!AE50,'11.07'!$AM$4:$AO$55,3,FALSE))</f>
        <v>0</v>
      </c>
      <c r="X50" s="5">
        <f>(VLOOKUP('11.07'!AF50,'11.07'!$AM$4:$AO$55,3,FALSE))</f>
        <v>0</v>
      </c>
    </row>
    <row r="51" spans="1:24">
      <c r="A51" s="4">
        <f>(VLOOKUP('11.07'!I51,'11.07'!$AM$4:$AO$55,3,FALSE))</f>
        <v>50</v>
      </c>
      <c r="B51" s="4">
        <f>(VLOOKUP('11.07'!J51,'11.07'!$AM$4:$AO$55,3,FALSE))</f>
        <v>50</v>
      </c>
      <c r="C51" s="4">
        <f>(VLOOKUP('11.07'!K51,'11.07'!$AM$4:$AO$55,3,FALSE))</f>
        <v>50</v>
      </c>
      <c r="D51" s="4">
        <f>(VLOOKUP('11.07'!L51,'11.07'!$AM$4:$AO$55,3,FALSE))</f>
        <v>50</v>
      </c>
      <c r="E51" s="4">
        <f>(VLOOKUP('11.07'!M51,'11.07'!$AM$4:$AO$55,3,FALSE))</f>
        <v>50</v>
      </c>
      <c r="F51" s="4">
        <f>(VLOOKUP('11.07'!N51,'11.07'!$AM$4:$AO$55,3,FALSE))</f>
        <v>50</v>
      </c>
      <c r="G51" s="5">
        <f>(VLOOKUP('11.07'!O51,'11.07'!$AM$4:$AO$55,3,FALSE))</f>
        <v>0</v>
      </c>
      <c r="H51" s="5">
        <f>(VLOOKUP('11.07'!P51,'11.07'!$AM$4:$AO$55,3,FALSE))</f>
        <v>0</v>
      </c>
      <c r="I51" s="4">
        <f>(VLOOKUP('11.07'!Q51,'11.07'!$AM$4:$AO$55,3,FALSE))</f>
        <v>0</v>
      </c>
      <c r="J51" s="4">
        <f>(VLOOKUP('11.07'!R51,'11.07'!$AM$4:$AO$55,3,FALSE))</f>
        <v>0</v>
      </c>
      <c r="K51" s="4">
        <f>(VLOOKUP('11.07'!S51,'11.07'!$AM$4:$AO$55,3,FALSE))</f>
        <v>0</v>
      </c>
      <c r="L51" s="4">
        <f>(VLOOKUP('11.07'!T51,'11.07'!$AM$4:$AO$55,3,FALSE))</f>
        <v>0</v>
      </c>
      <c r="M51" s="4">
        <f>(VLOOKUP('11.07'!U51,'11.07'!$AM$4:$AO$55,3,FALSE))</f>
        <v>0</v>
      </c>
      <c r="N51" s="4">
        <f>(VLOOKUP('11.07'!V51,'11.07'!$AM$4:$AO$55,3,FALSE))</f>
        <v>0</v>
      </c>
      <c r="O51" s="5">
        <f>(VLOOKUP('11.07'!W51,'11.07'!$AM$4:$AO$55,3,FALSE))</f>
        <v>0</v>
      </c>
      <c r="P51" s="5">
        <f>(VLOOKUP('11.07'!X51,'11.07'!$AM$4:$AO$55,3,FALSE))</f>
        <v>0</v>
      </c>
      <c r="Q51" s="4">
        <f>(VLOOKUP('11.07'!Y51,'11.07'!$AM$4:$AO$55,3,FALSE))</f>
        <v>55</v>
      </c>
      <c r="R51" s="4">
        <f>(VLOOKUP('11.07'!Z51,'11.07'!$AM$4:$AO$55,3,FALSE))</f>
        <v>55</v>
      </c>
      <c r="S51" s="4">
        <f>(VLOOKUP('11.07'!AA51,'11.07'!$AM$4:$AO$55,3,FALSE))</f>
        <v>55</v>
      </c>
      <c r="T51" s="4">
        <f>(VLOOKUP('11.07'!AB51,'11.07'!$AM$4:$AO$55,3,FALSE))</f>
        <v>55</v>
      </c>
      <c r="U51" s="4">
        <f>(VLOOKUP('11.07'!AC51,'11.07'!$AM$4:$AO$55,3,FALSE))</f>
        <v>55</v>
      </c>
      <c r="V51" s="4">
        <f>(VLOOKUP('11.07'!AD51,'11.07'!$AM$4:$AO$55,3,FALSE))</f>
        <v>55</v>
      </c>
      <c r="W51" s="5">
        <f>(VLOOKUP('11.07'!AE51,'11.07'!$AM$4:$AO$55,3,FALSE))</f>
        <v>0</v>
      </c>
      <c r="X51" s="5">
        <f>(VLOOKUP('11.07'!AF51,'11.07'!$AM$4:$AO$55,3,FALSE))</f>
        <v>0</v>
      </c>
    </row>
    <row r="52" spans="1:24">
      <c r="A52" s="4">
        <f>(VLOOKUP('11.07'!I52,'11.07'!$AM$4:$AO$55,3,FALSE))</f>
        <v>50</v>
      </c>
      <c r="B52" s="4">
        <f>(VLOOKUP('11.07'!J52,'11.07'!$AM$4:$AO$55,3,FALSE))</f>
        <v>50</v>
      </c>
      <c r="C52" s="4">
        <f>(VLOOKUP('11.07'!K52,'11.07'!$AM$4:$AO$55,3,FALSE))</f>
        <v>50</v>
      </c>
      <c r="D52" s="4">
        <f>(VLOOKUP('11.07'!L52,'11.07'!$AM$4:$AO$55,3,FALSE))</f>
        <v>50</v>
      </c>
      <c r="E52" s="4">
        <f>(VLOOKUP('11.07'!M52,'11.07'!$AM$4:$AO$55,3,FALSE))</f>
        <v>50</v>
      </c>
      <c r="F52" s="4">
        <f>(VLOOKUP('11.07'!N52,'11.07'!$AM$4:$AO$55,3,FALSE))</f>
        <v>30</v>
      </c>
      <c r="G52" s="5">
        <f>(VLOOKUP('11.07'!O52,'11.07'!$AM$4:$AO$55,3,FALSE))</f>
        <v>0</v>
      </c>
      <c r="H52" s="5">
        <f>(VLOOKUP('11.07'!P52,'11.07'!$AM$4:$AO$55,3,FALSE))</f>
        <v>0</v>
      </c>
      <c r="I52" s="4">
        <f>(VLOOKUP('11.07'!Q52,'11.07'!$AM$4:$AO$55,3,FALSE))</f>
        <v>0</v>
      </c>
      <c r="J52" s="4">
        <f>(VLOOKUP('11.07'!R52,'11.07'!$AM$4:$AO$55,3,FALSE))</f>
        <v>0</v>
      </c>
      <c r="K52" s="4">
        <f>(VLOOKUP('11.07'!S52,'11.07'!$AM$4:$AO$55,3,FALSE))</f>
        <v>0</v>
      </c>
      <c r="L52" s="4">
        <f>(VLOOKUP('11.07'!T52,'11.07'!$AM$4:$AO$55,3,FALSE))</f>
        <v>0</v>
      </c>
      <c r="M52" s="4">
        <f>(VLOOKUP('11.07'!U52,'11.07'!$AM$4:$AO$55,3,FALSE))</f>
        <v>0</v>
      </c>
      <c r="N52" s="4">
        <f>(VLOOKUP('11.07'!V52,'11.07'!$AM$4:$AO$55,3,FALSE))</f>
        <v>0</v>
      </c>
      <c r="O52" s="5">
        <f>(VLOOKUP('11.07'!W52,'11.07'!$AM$4:$AO$55,3,FALSE))</f>
        <v>0</v>
      </c>
      <c r="P52" s="5">
        <f>(VLOOKUP('11.07'!X52,'11.07'!$AM$4:$AO$55,3,FALSE))</f>
        <v>0</v>
      </c>
      <c r="Q52" s="4">
        <f>(VLOOKUP('11.07'!Y52,'11.07'!$AM$4:$AO$55,3,FALSE))</f>
        <v>55</v>
      </c>
      <c r="R52" s="4">
        <f>(VLOOKUP('11.07'!Z52,'11.07'!$AM$4:$AO$55,3,FALSE))</f>
        <v>55</v>
      </c>
      <c r="S52" s="4">
        <f>(VLOOKUP('11.07'!AA52,'11.07'!$AM$4:$AO$55,3,FALSE))</f>
        <v>0</v>
      </c>
      <c r="T52" s="4">
        <f>(VLOOKUP('11.07'!AB52,'11.07'!$AM$4:$AO$55,3,FALSE))</f>
        <v>55</v>
      </c>
      <c r="U52" s="4">
        <f>(VLOOKUP('11.07'!AC52,'11.07'!$AM$4:$AO$55,3,FALSE))</f>
        <v>55</v>
      </c>
      <c r="V52" s="4">
        <f>(VLOOKUP('11.07'!AD52,'11.07'!$AM$4:$AO$55,3,FALSE))</f>
        <v>55</v>
      </c>
      <c r="W52" s="5">
        <f>(VLOOKUP('11.07'!AE52,'11.07'!$AM$4:$AO$55,3,FALSE))</f>
        <v>55</v>
      </c>
      <c r="X52" s="5">
        <f>(VLOOKUP('11.07'!AF52,'11.07'!$AM$4:$AO$55,3,FALSE))</f>
        <v>55</v>
      </c>
    </row>
    <row r="53" spans="1:24">
      <c r="A53" s="4">
        <f>(VLOOKUP('11.07'!I53,'11.07'!$AM$4:$AO$55,3,FALSE))</f>
        <v>50</v>
      </c>
      <c r="B53" s="4">
        <f>(VLOOKUP('11.07'!J53,'11.07'!$AM$4:$AO$55,3,FALSE))</f>
        <v>55</v>
      </c>
      <c r="C53" s="4">
        <f>(VLOOKUP('11.07'!K53,'11.07'!$AM$4:$AO$55,3,FALSE))</f>
        <v>55</v>
      </c>
      <c r="D53" s="4">
        <f>(VLOOKUP('11.07'!L53,'11.07'!$AM$4:$AO$55,3,FALSE))</f>
        <v>55</v>
      </c>
      <c r="E53" s="4">
        <f>(VLOOKUP('11.07'!M53,'11.07'!$AM$4:$AO$55,3,FALSE))</f>
        <v>55</v>
      </c>
      <c r="F53" s="4">
        <f>(VLOOKUP('11.07'!N53,'11.07'!$AM$4:$AO$55,3,FALSE))</f>
        <v>55</v>
      </c>
      <c r="G53" s="5">
        <f>(VLOOKUP('11.07'!O53,'11.07'!$AM$4:$AO$55,3,FALSE))</f>
        <v>0</v>
      </c>
      <c r="H53" s="5">
        <f>(VLOOKUP('11.07'!P53,'11.07'!$AM$4:$AO$55,3,FALSE))</f>
        <v>0</v>
      </c>
      <c r="I53" s="4">
        <f>(VLOOKUP('11.07'!Q53,'11.07'!$AM$4:$AO$55,3,FALSE))</f>
        <v>0</v>
      </c>
      <c r="J53" s="4">
        <f>(VLOOKUP('11.07'!R53,'11.07'!$AM$4:$AO$55,3,FALSE))</f>
        <v>0</v>
      </c>
      <c r="K53" s="4">
        <f>(VLOOKUP('11.07'!S53,'11.07'!$AM$4:$AO$55,3,FALSE))</f>
        <v>0</v>
      </c>
      <c r="L53" s="4">
        <f>(VLOOKUP('11.07'!T53,'11.07'!$AM$4:$AO$55,3,FALSE))</f>
        <v>0</v>
      </c>
      <c r="M53" s="4">
        <f>(VLOOKUP('11.07'!U53,'11.07'!$AM$4:$AO$55,3,FALSE))</f>
        <v>0</v>
      </c>
      <c r="N53" s="4">
        <f>(VLOOKUP('11.07'!V53,'11.07'!$AM$4:$AO$55,3,FALSE))</f>
        <v>0</v>
      </c>
      <c r="O53" s="5">
        <f>(VLOOKUP('11.07'!W53,'11.07'!$AM$4:$AO$55,3,FALSE))</f>
        <v>0</v>
      </c>
      <c r="P53" s="5">
        <f>(VLOOKUP('11.07'!X53,'11.07'!$AM$4:$AO$55,3,FALSE))</f>
        <v>0</v>
      </c>
      <c r="Q53" s="4">
        <f>(VLOOKUP('11.07'!Y53,'11.07'!$AM$4:$AO$55,3,FALSE))</f>
        <v>55</v>
      </c>
      <c r="R53" s="4">
        <f>(VLOOKUP('11.07'!Z53,'11.07'!$AM$4:$AO$55,3,FALSE))</f>
        <v>55</v>
      </c>
      <c r="S53" s="4">
        <f>(VLOOKUP('11.07'!AA53,'11.07'!$AM$4:$AO$55,3,FALSE))</f>
        <v>55</v>
      </c>
      <c r="T53" s="4">
        <f>(VLOOKUP('11.07'!AB53,'11.07'!$AM$4:$AO$55,3,FALSE))</f>
        <v>55</v>
      </c>
      <c r="U53" s="4">
        <f>(VLOOKUP('11.07'!AC53,'11.07'!$AM$4:$AO$55,3,FALSE))</f>
        <v>55</v>
      </c>
      <c r="V53" s="4">
        <f>(VLOOKUP('11.07'!AD53,'11.07'!$AM$4:$AO$55,3,FALSE))</f>
        <v>55</v>
      </c>
      <c r="W53" s="5">
        <f>(VLOOKUP('11.07'!AE53,'11.07'!$AM$4:$AO$55,3,FALSE))</f>
        <v>0</v>
      </c>
      <c r="X53" s="5">
        <f>(VLOOKUP('11.07'!AF53,'11.07'!$AM$4:$AO$55,3,FALSE))</f>
        <v>0</v>
      </c>
    </row>
    <row r="54" spans="1:24">
      <c r="A54" s="4">
        <f>(VLOOKUP('11.07'!I54,'11.07'!$AM$4:$AO$55,3,FALSE))</f>
        <v>55</v>
      </c>
      <c r="B54" s="4">
        <f>(VLOOKUP('11.07'!J54,'11.07'!$AM$4:$AO$55,3,FALSE))</f>
        <v>55</v>
      </c>
      <c r="C54" s="4">
        <f>(VLOOKUP('11.07'!K54,'11.07'!$AM$4:$AO$55,3,FALSE))</f>
        <v>55</v>
      </c>
      <c r="D54" s="4">
        <f>(VLOOKUP('11.07'!L54,'11.07'!$AM$4:$AO$55,3,FALSE))</f>
        <v>55</v>
      </c>
      <c r="E54" s="4">
        <f>(VLOOKUP('11.07'!M54,'11.07'!$AM$4:$AO$55,3,FALSE))</f>
        <v>55</v>
      </c>
      <c r="F54" s="4">
        <f>(VLOOKUP('11.07'!N54,'11.07'!$AM$4:$AO$55,3,FALSE))</f>
        <v>55</v>
      </c>
      <c r="G54" s="5">
        <f>(VLOOKUP('11.07'!O54,'11.07'!$AM$4:$AO$55,3,FALSE))</f>
        <v>0</v>
      </c>
      <c r="H54" s="5">
        <f>(VLOOKUP('11.07'!P54,'11.07'!$AM$4:$AO$55,3,FALSE))</f>
        <v>0</v>
      </c>
      <c r="I54" s="4">
        <f>(VLOOKUP('11.07'!Q54,'11.07'!$AM$4:$AO$55,3,FALSE))</f>
        <v>0</v>
      </c>
      <c r="J54" s="4">
        <f>(VLOOKUP('11.07'!R54,'11.07'!$AM$4:$AO$55,3,FALSE))</f>
        <v>0</v>
      </c>
      <c r="K54" s="4">
        <f>(VLOOKUP('11.07'!S54,'11.07'!$AM$4:$AO$55,3,FALSE))</f>
        <v>0</v>
      </c>
      <c r="L54" s="4">
        <f>(VLOOKUP('11.07'!T54,'11.07'!$AM$4:$AO$55,3,FALSE))</f>
        <v>0</v>
      </c>
      <c r="M54" s="4">
        <f>(VLOOKUP('11.07'!U54,'11.07'!$AM$4:$AO$55,3,FALSE))</f>
        <v>0</v>
      </c>
      <c r="N54" s="4">
        <f>(VLOOKUP('11.07'!V54,'11.07'!$AM$4:$AO$55,3,FALSE))</f>
        <v>0</v>
      </c>
      <c r="O54" s="5">
        <f>(VLOOKUP('11.07'!W54,'11.07'!$AM$4:$AO$55,3,FALSE))</f>
        <v>0</v>
      </c>
      <c r="P54" s="5">
        <f>(VLOOKUP('11.07'!X54,'11.07'!$AM$4:$AO$55,3,FALSE))</f>
        <v>0</v>
      </c>
      <c r="Q54" s="4">
        <f>(VLOOKUP('11.07'!Y54,'11.07'!$AM$4:$AO$55,3,FALSE))</f>
        <v>30</v>
      </c>
      <c r="R54" s="4">
        <f>(VLOOKUP('11.07'!Z54,'11.07'!$AM$4:$AO$55,3,FALSE))</f>
        <v>55</v>
      </c>
      <c r="S54" s="4">
        <f>(VLOOKUP('11.07'!AA54,'11.07'!$AM$4:$AO$55,3,FALSE))</f>
        <v>55</v>
      </c>
      <c r="T54" s="4">
        <f>(VLOOKUP('11.07'!AB54,'11.07'!$AM$4:$AO$55,3,FALSE))</f>
        <v>55</v>
      </c>
      <c r="U54" s="4">
        <f>(VLOOKUP('11.07'!AC54,'11.07'!$AM$4:$AO$55,3,FALSE))</f>
        <v>55</v>
      </c>
      <c r="V54" s="4">
        <f>(VLOOKUP('11.07'!AD54,'11.07'!$AM$4:$AO$55,3,FALSE))</f>
        <v>55</v>
      </c>
      <c r="W54" s="5">
        <f>(VLOOKUP('11.07'!AE54,'11.07'!$AM$4:$AO$55,3,FALSE))</f>
        <v>0</v>
      </c>
      <c r="X54" s="5">
        <f>(VLOOKUP('11.07'!AF54,'11.07'!$AM$4:$AO$55,3,FALSE))</f>
        <v>0</v>
      </c>
    </row>
    <row r="55" spans="1:24">
      <c r="A55" s="4">
        <f>(VLOOKUP('11.07'!I55,'11.07'!$AM$4:$AO$55,3,FALSE))</f>
        <v>55</v>
      </c>
      <c r="B55" s="4">
        <f>(VLOOKUP('11.07'!J55,'11.07'!$AM$4:$AO$55,3,FALSE))</f>
        <v>55</v>
      </c>
      <c r="C55" s="4">
        <f>(VLOOKUP('11.07'!K55,'11.07'!$AM$4:$AO$55,3,FALSE))</f>
        <v>55</v>
      </c>
      <c r="D55" s="4">
        <f>(VLOOKUP('11.07'!L55,'11.07'!$AM$4:$AO$55,3,FALSE))</f>
        <v>55</v>
      </c>
      <c r="E55" s="4">
        <f>(VLOOKUP('11.07'!M55,'11.07'!$AM$4:$AO$55,3,FALSE))</f>
        <v>55</v>
      </c>
      <c r="F55" s="4">
        <f>(VLOOKUP('11.07'!N55,'11.07'!$AM$4:$AO$55,3,FALSE))</f>
        <v>55</v>
      </c>
      <c r="G55" s="5">
        <f>(VLOOKUP('11.07'!O55,'11.07'!$AM$4:$AO$55,3,FALSE))</f>
        <v>0</v>
      </c>
      <c r="H55" s="5">
        <f>(VLOOKUP('11.07'!P55,'11.07'!$AM$4:$AO$55,3,FALSE))</f>
        <v>0</v>
      </c>
      <c r="I55" s="4">
        <f>(VLOOKUP('11.07'!Q55,'11.07'!$AM$4:$AO$55,3,FALSE))</f>
        <v>0</v>
      </c>
      <c r="J55" s="4">
        <f>(VLOOKUP('11.07'!R55,'11.07'!$AM$4:$AO$55,3,FALSE))</f>
        <v>0</v>
      </c>
      <c r="K55" s="4">
        <f>(VLOOKUP('11.07'!S55,'11.07'!$AM$4:$AO$55,3,FALSE))</f>
        <v>0</v>
      </c>
      <c r="L55" s="4">
        <f>(VLOOKUP('11.07'!T55,'11.07'!$AM$4:$AO$55,3,FALSE))</f>
        <v>0</v>
      </c>
      <c r="M55" s="4">
        <f>(VLOOKUP('11.07'!U55,'11.07'!$AM$4:$AO$55,3,FALSE))</f>
        <v>0</v>
      </c>
      <c r="N55" s="4">
        <f>(VLOOKUP('11.07'!V55,'11.07'!$AM$4:$AO$55,3,FALSE))</f>
        <v>0</v>
      </c>
      <c r="O55" s="5">
        <f>(VLOOKUP('11.07'!W55,'11.07'!$AM$4:$AO$55,3,FALSE))</f>
        <v>0</v>
      </c>
      <c r="P55" s="5">
        <f>(VLOOKUP('11.07'!X55,'11.07'!$AM$4:$AO$55,3,FALSE))</f>
        <v>0</v>
      </c>
      <c r="Q55" s="4">
        <f>(VLOOKUP('11.07'!Y55,'11.07'!$AM$4:$AO$55,3,FALSE))</f>
        <v>55</v>
      </c>
      <c r="R55" s="4">
        <f>(VLOOKUP('11.07'!Z55,'11.07'!$AM$4:$AO$55,3,FALSE))</f>
        <v>55</v>
      </c>
      <c r="S55" s="4">
        <f>(VLOOKUP('11.07'!AA55,'11.07'!$AM$4:$AO$55,3,FALSE))</f>
        <v>55</v>
      </c>
      <c r="T55" s="4">
        <f>(VLOOKUP('11.07'!AB55,'11.07'!$AM$4:$AO$55,3,FALSE))</f>
        <v>55</v>
      </c>
      <c r="U55" s="4">
        <f>(VLOOKUP('11.07'!AC55,'11.07'!$AM$4:$AO$55,3,FALSE))</f>
        <v>55</v>
      </c>
      <c r="V55" s="4">
        <f>(VLOOKUP('11.07'!AD55,'11.07'!$AM$4:$AO$55,3,FALSE))</f>
        <v>55</v>
      </c>
      <c r="W55" s="5">
        <f>(VLOOKUP('11.07'!AE55,'11.07'!$AM$4:$AO$55,3,FALSE))</f>
        <v>0</v>
      </c>
      <c r="X55" s="5">
        <f>(VLOOKUP('11.07'!AF55,'11.07'!$AM$4:$AO$55,3,FALSE))</f>
        <v>0</v>
      </c>
    </row>
    <row r="56" spans="1:24">
      <c r="A56" s="4">
        <f>(VLOOKUP('11.07'!I56,'11.07'!$AM$4:$AO$55,3,FALSE))</f>
        <v>55</v>
      </c>
      <c r="B56" s="4">
        <f>(VLOOKUP('11.07'!J56,'11.07'!$AM$4:$AO$55,3,FALSE))</f>
        <v>55</v>
      </c>
      <c r="C56" s="4">
        <f>(VLOOKUP('11.07'!K56,'11.07'!$AM$4:$AO$55,3,FALSE))</f>
        <v>55</v>
      </c>
      <c r="D56" s="4">
        <f>(VLOOKUP('11.07'!L56,'11.07'!$AM$4:$AO$55,3,FALSE))</f>
        <v>55</v>
      </c>
      <c r="E56" s="4">
        <f>(VLOOKUP('11.07'!M56,'11.07'!$AM$4:$AO$55,3,FALSE))</f>
        <v>55</v>
      </c>
      <c r="F56" s="4">
        <f>(VLOOKUP('11.07'!N56,'11.07'!$AM$4:$AO$55,3,FALSE))</f>
        <v>55</v>
      </c>
      <c r="G56" s="5">
        <f>(VLOOKUP('11.07'!O56,'11.07'!$AM$4:$AO$55,3,FALSE))</f>
        <v>0</v>
      </c>
      <c r="H56" s="5">
        <f>(VLOOKUP('11.07'!P56,'11.07'!$AM$4:$AO$55,3,FALSE))</f>
        <v>0</v>
      </c>
      <c r="I56" s="4">
        <f>(VLOOKUP('11.07'!Q56,'11.07'!$AM$4:$AO$55,3,FALSE))</f>
        <v>0</v>
      </c>
      <c r="J56" s="4">
        <f>(VLOOKUP('11.07'!R56,'11.07'!$AM$4:$AO$55,3,FALSE))</f>
        <v>0</v>
      </c>
      <c r="K56" s="4">
        <f>(VLOOKUP('11.07'!S56,'11.07'!$AM$4:$AO$55,3,FALSE))</f>
        <v>0</v>
      </c>
      <c r="L56" s="4">
        <f>(VLOOKUP('11.07'!T56,'11.07'!$AM$4:$AO$55,3,FALSE))</f>
        <v>0</v>
      </c>
      <c r="M56" s="4">
        <f>(VLOOKUP('11.07'!U56,'11.07'!$AM$4:$AO$55,3,FALSE))</f>
        <v>0</v>
      </c>
      <c r="N56" s="4">
        <f>(VLOOKUP('11.07'!V56,'11.07'!$AM$4:$AO$55,3,FALSE))</f>
        <v>0</v>
      </c>
      <c r="O56" s="5">
        <f>(VLOOKUP('11.07'!W56,'11.07'!$AM$4:$AO$55,3,FALSE))</f>
        <v>0</v>
      </c>
      <c r="P56" s="5">
        <f>(VLOOKUP('11.07'!X56,'11.07'!$AM$4:$AO$55,3,FALSE))</f>
        <v>0</v>
      </c>
      <c r="Q56" s="4">
        <f>(VLOOKUP('11.07'!Y56,'11.07'!$AM$4:$AO$55,3,FALSE))</f>
        <v>55</v>
      </c>
      <c r="R56" s="4">
        <f>(VLOOKUP('11.07'!Z56,'11.07'!$AM$4:$AO$55,3,FALSE))</f>
        <v>55</v>
      </c>
      <c r="S56" s="4">
        <f>(VLOOKUP('11.07'!AA56,'11.07'!$AM$4:$AO$55,3,FALSE))</f>
        <v>55</v>
      </c>
      <c r="T56" s="4">
        <f>(VLOOKUP('11.07'!AB56,'11.07'!$AM$4:$AO$55,3,FALSE))</f>
        <v>55</v>
      </c>
      <c r="U56" s="4">
        <f>(VLOOKUP('11.07'!AC56,'11.07'!$AM$4:$AO$55,3,FALSE))</f>
        <v>55</v>
      </c>
      <c r="V56" s="4">
        <f>(VLOOKUP('11.07'!AD56,'11.07'!$AM$4:$AO$55,3,FALSE))</f>
        <v>55</v>
      </c>
      <c r="W56" s="5">
        <f>(VLOOKUP('11.07'!AE56,'11.07'!$AM$4:$AO$55,3,FALSE))</f>
        <v>0</v>
      </c>
      <c r="X56" s="5">
        <f>(VLOOKUP('11.07'!AF56,'11.07'!$AM$4:$AO$55,3,FALSE))</f>
        <v>0</v>
      </c>
    </row>
    <row r="57" spans="1:24">
      <c r="A57" s="4">
        <f>(VLOOKUP('11.07'!I57,'11.07'!$AM$4:$AO$55,3,FALSE))</f>
        <v>55</v>
      </c>
      <c r="B57" s="4">
        <f>(VLOOKUP('11.07'!J57,'11.07'!$AM$4:$AO$55,3,FALSE))</f>
        <v>55</v>
      </c>
      <c r="C57" s="4">
        <f>(VLOOKUP('11.07'!K57,'11.07'!$AM$4:$AO$55,3,FALSE))</f>
        <v>55</v>
      </c>
      <c r="D57" s="4">
        <f>(VLOOKUP('11.07'!L57,'11.07'!$AM$4:$AO$55,3,FALSE))</f>
        <v>55</v>
      </c>
      <c r="E57" s="4">
        <f>(VLOOKUP('11.07'!M57,'11.07'!$AM$4:$AO$55,3,FALSE))</f>
        <v>55</v>
      </c>
      <c r="F57" s="4">
        <f>(VLOOKUP('11.07'!N57,'11.07'!$AM$4:$AO$55,3,FALSE))</f>
        <v>55</v>
      </c>
      <c r="G57" s="5">
        <f>(VLOOKUP('11.07'!O57,'11.07'!$AM$4:$AO$55,3,FALSE))</f>
        <v>0</v>
      </c>
      <c r="H57" s="5">
        <f>(VLOOKUP('11.07'!P57,'11.07'!$AM$4:$AO$55,3,FALSE))</f>
        <v>0</v>
      </c>
      <c r="I57" s="4">
        <f>(VLOOKUP('11.07'!Q57,'11.07'!$AM$4:$AO$55,3,FALSE))</f>
        <v>0</v>
      </c>
      <c r="J57" s="4">
        <f>(VLOOKUP('11.07'!R57,'11.07'!$AM$4:$AO$55,3,FALSE))</f>
        <v>0</v>
      </c>
      <c r="K57" s="4">
        <f>(VLOOKUP('11.07'!S57,'11.07'!$AM$4:$AO$55,3,FALSE))</f>
        <v>0</v>
      </c>
      <c r="L57" s="4">
        <f>(VLOOKUP('11.07'!T57,'11.07'!$AM$4:$AO$55,3,FALSE))</f>
        <v>0</v>
      </c>
      <c r="M57" s="4">
        <f>(VLOOKUP('11.07'!U57,'11.07'!$AM$4:$AO$55,3,FALSE))</f>
        <v>0</v>
      </c>
      <c r="N57" s="4">
        <f>(VLOOKUP('11.07'!V57,'11.07'!$AM$4:$AO$55,3,FALSE))</f>
        <v>0</v>
      </c>
      <c r="O57" s="5">
        <f>(VLOOKUP('11.07'!W57,'11.07'!$AM$4:$AO$55,3,FALSE))</f>
        <v>0</v>
      </c>
      <c r="P57" s="5">
        <f>(VLOOKUP('11.07'!X57,'11.07'!$AM$4:$AO$55,3,FALSE))</f>
        <v>0</v>
      </c>
      <c r="Q57" s="4">
        <f>(VLOOKUP('11.07'!Y57,'11.07'!$AM$4:$AO$55,3,FALSE))</f>
        <v>55</v>
      </c>
      <c r="R57" s="4">
        <f>(VLOOKUP('11.07'!Z57,'11.07'!$AM$4:$AO$55,3,FALSE))</f>
        <v>55</v>
      </c>
      <c r="S57" s="4">
        <f>(VLOOKUP('11.07'!AA57,'11.07'!$AM$4:$AO$55,3,FALSE))</f>
        <v>55</v>
      </c>
      <c r="T57" s="4">
        <f>(VLOOKUP('11.07'!AB57,'11.07'!$AM$4:$AO$55,3,FALSE))</f>
        <v>55</v>
      </c>
      <c r="U57" s="4">
        <f>(VLOOKUP('11.07'!AC57,'11.07'!$AM$4:$AO$55,3,FALSE))</f>
        <v>55</v>
      </c>
      <c r="V57" s="4">
        <f>(VLOOKUP('11.07'!AD57,'11.07'!$AM$4:$AO$55,3,FALSE))</f>
        <v>55</v>
      </c>
      <c r="W57" s="5">
        <f>(VLOOKUP('11.07'!AE57,'11.07'!$AM$4:$AO$55,3,FALSE))</f>
        <v>0</v>
      </c>
      <c r="X57" s="5">
        <f>(VLOOKUP('11.07'!AF57,'11.07'!$AM$4:$AO$55,3,FALSE))</f>
        <v>0</v>
      </c>
    </row>
    <row r="58" spans="1:24">
      <c r="A58" s="4">
        <f>(VLOOKUP('11.07'!I58,'11.07'!$AM$4:$AO$55,3,FALSE))</f>
        <v>30</v>
      </c>
      <c r="B58" s="4">
        <f>(VLOOKUP('11.07'!J58,'11.07'!$AM$4:$AO$55,3,FALSE))</f>
        <v>55</v>
      </c>
      <c r="C58" s="4">
        <f>(VLOOKUP('11.07'!K58,'11.07'!$AM$4:$AO$55,3,FALSE))</f>
        <v>55</v>
      </c>
      <c r="D58" s="4">
        <f>(VLOOKUP('11.07'!L58,'11.07'!$AM$4:$AO$55,3,FALSE))</f>
        <v>55</v>
      </c>
      <c r="E58" s="4">
        <f>(VLOOKUP('11.07'!M58,'11.07'!$AM$4:$AO$55,3,FALSE))</f>
        <v>55</v>
      </c>
      <c r="F58" s="4">
        <f>(VLOOKUP('11.07'!N58,'11.07'!$AM$4:$AO$55,3,FALSE))</f>
        <v>55</v>
      </c>
      <c r="G58" s="5">
        <f>(VLOOKUP('11.07'!O58,'11.07'!$AM$4:$AO$55,3,FALSE))</f>
        <v>0</v>
      </c>
      <c r="H58" s="5">
        <f>(VLOOKUP('11.07'!P58,'11.07'!$AM$4:$AO$55,3,FALSE))</f>
        <v>0</v>
      </c>
      <c r="I58" s="4">
        <f>(VLOOKUP('11.07'!Q58,'11.07'!$AM$4:$AO$55,3,FALSE))</f>
        <v>0</v>
      </c>
      <c r="J58" s="4">
        <f>(VLOOKUP('11.07'!R58,'11.07'!$AM$4:$AO$55,3,FALSE))</f>
        <v>0</v>
      </c>
      <c r="K58" s="4">
        <f>(VLOOKUP('11.07'!S58,'11.07'!$AM$4:$AO$55,3,FALSE))</f>
        <v>0</v>
      </c>
      <c r="L58" s="4">
        <f>(VLOOKUP('11.07'!T58,'11.07'!$AM$4:$AO$55,3,FALSE))</f>
        <v>0</v>
      </c>
      <c r="M58" s="4">
        <f>(VLOOKUP('11.07'!U58,'11.07'!$AM$4:$AO$55,3,FALSE))</f>
        <v>0</v>
      </c>
      <c r="N58" s="4">
        <f>(VLOOKUP('11.07'!V58,'11.07'!$AM$4:$AO$55,3,FALSE))</f>
        <v>0</v>
      </c>
      <c r="O58" s="5">
        <f>(VLOOKUP('11.07'!W58,'11.07'!$AM$4:$AO$55,3,FALSE))</f>
        <v>0</v>
      </c>
      <c r="P58" s="5">
        <f>(VLOOKUP('11.07'!X58,'11.07'!$AM$4:$AO$55,3,FALSE))</f>
        <v>0</v>
      </c>
      <c r="Q58" s="4">
        <f>(VLOOKUP('11.07'!Y58,'11.07'!$AM$4:$AO$55,3,FALSE))</f>
        <v>55</v>
      </c>
      <c r="R58" s="4">
        <f>(VLOOKUP('11.07'!Z58,'11.07'!$AM$4:$AO$55,3,FALSE))</f>
        <v>55</v>
      </c>
      <c r="S58" s="4">
        <f>(VLOOKUP('11.07'!AA58,'11.07'!$AM$4:$AO$55,3,FALSE))</f>
        <v>55</v>
      </c>
      <c r="T58" s="4">
        <f>(VLOOKUP('11.07'!AB58,'11.07'!$AM$4:$AO$55,3,FALSE))</f>
        <v>55</v>
      </c>
      <c r="U58" s="4">
        <f>(VLOOKUP('11.07'!AC58,'11.07'!$AM$4:$AO$55,3,FALSE))</f>
        <v>55</v>
      </c>
      <c r="V58" s="4">
        <f>(VLOOKUP('11.07'!AD58,'11.07'!$AM$4:$AO$55,3,FALSE))</f>
        <v>55</v>
      </c>
      <c r="W58" s="5">
        <f>(VLOOKUP('11.07'!AE58,'11.07'!$AM$4:$AO$55,3,FALSE))</f>
        <v>0</v>
      </c>
      <c r="X58" s="5">
        <f>(VLOOKUP('11.07'!AF58,'11.07'!$AM$4:$AO$55,3,FALSE))</f>
        <v>0</v>
      </c>
    </row>
    <row r="59" spans="1:24">
      <c r="A59" s="4">
        <f>(VLOOKUP('11.07'!I59,'11.07'!$AM$4:$AO$55,3,FALSE))</f>
        <v>55</v>
      </c>
      <c r="B59" s="4">
        <f>(VLOOKUP('11.07'!J59,'11.07'!$AM$4:$AO$55,3,FALSE))</f>
        <v>55</v>
      </c>
      <c r="C59" s="4">
        <f>(VLOOKUP('11.07'!K59,'11.07'!$AM$4:$AO$55,3,FALSE))</f>
        <v>55</v>
      </c>
      <c r="D59" s="4">
        <f>(VLOOKUP('11.07'!L59,'11.07'!$AM$4:$AO$55,3,FALSE))</f>
        <v>55</v>
      </c>
      <c r="E59" s="4">
        <f>(VLOOKUP('11.07'!M59,'11.07'!$AM$4:$AO$55,3,FALSE))</f>
        <v>55</v>
      </c>
      <c r="F59" s="4">
        <f>(VLOOKUP('11.07'!N59,'11.07'!$AM$4:$AO$55,3,FALSE))</f>
        <v>55</v>
      </c>
      <c r="G59" s="5">
        <f>(VLOOKUP('11.07'!O59,'11.07'!$AM$4:$AO$55,3,FALSE))</f>
        <v>0</v>
      </c>
      <c r="H59" s="5">
        <f>(VLOOKUP('11.07'!P59,'11.07'!$AM$4:$AO$55,3,FALSE))</f>
        <v>0</v>
      </c>
      <c r="I59" s="4">
        <f>(VLOOKUP('11.07'!Q59,'11.07'!$AM$4:$AO$55,3,FALSE))</f>
        <v>0</v>
      </c>
      <c r="J59" s="4">
        <f>(VLOOKUP('11.07'!R59,'11.07'!$AM$4:$AO$55,3,FALSE))</f>
        <v>0</v>
      </c>
      <c r="K59" s="4">
        <f>(VLOOKUP('11.07'!S59,'11.07'!$AM$4:$AO$55,3,FALSE))</f>
        <v>0</v>
      </c>
      <c r="L59" s="4">
        <f>(VLOOKUP('11.07'!T59,'11.07'!$AM$4:$AO$55,3,FALSE))</f>
        <v>0</v>
      </c>
      <c r="M59" s="4">
        <f>(VLOOKUP('11.07'!U59,'11.07'!$AM$4:$AO$55,3,FALSE))</f>
        <v>0</v>
      </c>
      <c r="N59" s="4">
        <f>(VLOOKUP('11.07'!V59,'11.07'!$AM$4:$AO$55,3,FALSE))</f>
        <v>0</v>
      </c>
      <c r="O59" s="5">
        <f>(VLOOKUP('11.07'!W59,'11.07'!$AM$4:$AO$55,3,FALSE))</f>
        <v>0</v>
      </c>
      <c r="P59" s="5">
        <f>(VLOOKUP('11.07'!X59,'11.07'!$AM$4:$AO$55,3,FALSE))</f>
        <v>0</v>
      </c>
      <c r="Q59" s="4">
        <f>(VLOOKUP('11.07'!Y59,'11.07'!$AM$4:$AO$55,3,FALSE))</f>
        <v>55</v>
      </c>
      <c r="R59" s="4">
        <f>(VLOOKUP('11.07'!Z59,'11.07'!$AM$4:$AO$55,3,FALSE))</f>
        <v>55</v>
      </c>
      <c r="S59" s="4">
        <f>(VLOOKUP('11.07'!AA59,'11.07'!$AM$4:$AO$55,3,FALSE))</f>
        <v>55</v>
      </c>
      <c r="T59" s="4">
        <f>(VLOOKUP('11.07'!AB59,'11.07'!$AM$4:$AO$55,3,FALSE))</f>
        <v>55</v>
      </c>
      <c r="U59" s="4">
        <f>(VLOOKUP('11.07'!AC59,'11.07'!$AM$4:$AO$55,3,FALSE))</f>
        <v>55</v>
      </c>
      <c r="V59" s="4">
        <f>(VLOOKUP('11.07'!AD59,'11.07'!$AM$4:$AO$55,3,FALSE))</f>
        <v>55</v>
      </c>
      <c r="W59" s="5">
        <f>(VLOOKUP('11.07'!AE59,'11.07'!$AM$4:$AO$55,3,FALSE))</f>
        <v>0</v>
      </c>
      <c r="X59" s="5">
        <f>(VLOOKUP('11.07'!AF59,'11.07'!$AM$4:$AO$55,3,FALSE))</f>
        <v>0</v>
      </c>
    </row>
    <row r="60" spans="1:24">
      <c r="A60" s="4">
        <f>(VLOOKUP('11.07'!I60,'11.07'!$AM$4:$AO$55,3,FALSE))</f>
        <v>55</v>
      </c>
      <c r="B60" s="4">
        <f>(VLOOKUP('11.07'!J60,'11.07'!$AM$4:$AO$55,3,FALSE))</f>
        <v>55</v>
      </c>
      <c r="C60" s="4">
        <f>(VLOOKUP('11.07'!K60,'11.07'!$AM$4:$AO$55,3,FALSE))</f>
        <v>55</v>
      </c>
      <c r="D60" s="4">
        <f>(VLOOKUP('11.07'!L60,'11.07'!$AM$4:$AO$55,3,FALSE))</f>
        <v>55</v>
      </c>
      <c r="E60" s="4">
        <f>(VLOOKUP('11.07'!M60,'11.07'!$AM$4:$AO$55,3,FALSE))</f>
        <v>55</v>
      </c>
      <c r="F60" s="4">
        <f>(VLOOKUP('11.07'!N60,'11.07'!$AM$4:$AO$55,3,FALSE))</f>
        <v>55</v>
      </c>
      <c r="G60" s="5">
        <f>(VLOOKUP('11.07'!O60,'11.07'!$AM$4:$AO$55,3,FALSE))</f>
        <v>0</v>
      </c>
      <c r="H60" s="5">
        <f>(VLOOKUP('11.07'!P60,'11.07'!$AM$4:$AO$55,3,FALSE))</f>
        <v>0</v>
      </c>
      <c r="I60" s="4">
        <f>(VLOOKUP('11.07'!Q60,'11.07'!$AM$4:$AO$55,3,FALSE))</f>
        <v>0</v>
      </c>
      <c r="J60" s="4">
        <f>(VLOOKUP('11.07'!R60,'11.07'!$AM$4:$AO$55,3,FALSE))</f>
        <v>0</v>
      </c>
      <c r="K60" s="4">
        <f>(VLOOKUP('11.07'!S60,'11.07'!$AM$4:$AO$55,3,FALSE))</f>
        <v>0</v>
      </c>
      <c r="L60" s="4">
        <f>(VLOOKUP('11.07'!T60,'11.07'!$AM$4:$AO$55,3,FALSE))</f>
        <v>0</v>
      </c>
      <c r="M60" s="4">
        <f>(VLOOKUP('11.07'!U60,'11.07'!$AM$4:$AO$55,3,FALSE))</f>
        <v>0</v>
      </c>
      <c r="N60" s="4">
        <f>(VLOOKUP('11.07'!V60,'11.07'!$AM$4:$AO$55,3,FALSE))</f>
        <v>0</v>
      </c>
      <c r="O60" s="5">
        <f>(VLOOKUP('11.07'!W60,'11.07'!$AM$4:$AO$55,3,FALSE))</f>
        <v>0</v>
      </c>
      <c r="P60" s="5">
        <f>(VLOOKUP('11.07'!X60,'11.07'!$AM$4:$AO$55,3,FALSE))</f>
        <v>0</v>
      </c>
      <c r="Q60" s="4">
        <f>(VLOOKUP('11.07'!Y60,'11.07'!$AM$4:$AO$55,3,FALSE))</f>
        <v>55</v>
      </c>
      <c r="R60" s="4">
        <f>(VLOOKUP('11.07'!Z60,'11.07'!$AM$4:$AO$55,3,FALSE))</f>
        <v>55</v>
      </c>
      <c r="S60" s="4">
        <f>(VLOOKUP('11.07'!AA60,'11.07'!$AM$4:$AO$55,3,FALSE))</f>
        <v>55</v>
      </c>
      <c r="T60" s="4">
        <f>(VLOOKUP('11.07'!AB60,'11.07'!$AM$4:$AO$55,3,FALSE))</f>
        <v>0</v>
      </c>
      <c r="U60" s="4">
        <f>(VLOOKUP('11.07'!AC60,'11.07'!$AM$4:$AO$55,3,FALSE))</f>
        <v>55</v>
      </c>
      <c r="V60" s="4">
        <f>(VLOOKUP('11.07'!AD60,'11.07'!$AM$4:$AO$55,3,FALSE))</f>
        <v>55</v>
      </c>
      <c r="W60" s="5">
        <f>(VLOOKUP('11.07'!AE60,'11.07'!$AM$4:$AO$55,3,FALSE))</f>
        <v>55</v>
      </c>
      <c r="X60" s="5">
        <f>(VLOOKUP('11.07'!AF60,'11.07'!$AM$4:$AO$55,3,FALSE))</f>
        <v>0</v>
      </c>
    </row>
    <row r="61" spans="1:24">
      <c r="A61" s="4">
        <f>(VLOOKUP('11.07'!I61,'11.07'!$AM$4:$AO$55,3,FALSE))</f>
        <v>55</v>
      </c>
      <c r="B61" s="4">
        <f>(VLOOKUP('11.07'!J61,'11.07'!$AM$4:$AO$55,3,FALSE))</f>
        <v>55</v>
      </c>
      <c r="C61" s="4">
        <f>(VLOOKUP('11.07'!K61,'11.07'!$AM$4:$AO$55,3,FALSE))</f>
        <v>55</v>
      </c>
      <c r="D61" s="4">
        <f>(VLOOKUP('11.07'!L61,'11.07'!$AM$4:$AO$55,3,FALSE))</f>
        <v>55</v>
      </c>
      <c r="E61" s="4">
        <f>(VLOOKUP('11.07'!M61,'11.07'!$AM$4:$AO$55,3,FALSE))</f>
        <v>55</v>
      </c>
      <c r="F61" s="4">
        <f>(VLOOKUP('11.07'!N61,'11.07'!$AM$4:$AO$55,3,FALSE))</f>
        <v>55</v>
      </c>
      <c r="G61" s="5">
        <f>(VLOOKUP('11.07'!O61,'11.07'!$AM$4:$AO$55,3,FALSE))</f>
        <v>0</v>
      </c>
      <c r="H61" s="5">
        <f>(VLOOKUP('11.07'!P61,'11.07'!$AM$4:$AO$55,3,FALSE))</f>
        <v>0</v>
      </c>
      <c r="I61" s="4">
        <f>(VLOOKUP('11.07'!Q61,'11.07'!$AM$4:$AO$55,3,FALSE))</f>
        <v>0</v>
      </c>
      <c r="J61" s="4">
        <f>(VLOOKUP('11.07'!R61,'11.07'!$AM$4:$AO$55,3,FALSE))</f>
        <v>0</v>
      </c>
      <c r="K61" s="4">
        <f>(VLOOKUP('11.07'!S61,'11.07'!$AM$4:$AO$55,3,FALSE))</f>
        <v>0</v>
      </c>
      <c r="L61" s="4">
        <f>(VLOOKUP('11.07'!T61,'11.07'!$AM$4:$AO$55,3,FALSE))</f>
        <v>0</v>
      </c>
      <c r="M61" s="4">
        <f>(VLOOKUP('11.07'!U61,'11.07'!$AM$4:$AO$55,3,FALSE))</f>
        <v>0</v>
      </c>
      <c r="N61" s="4">
        <f>(VLOOKUP('11.07'!V61,'11.07'!$AM$4:$AO$55,3,FALSE))</f>
        <v>0</v>
      </c>
      <c r="O61" s="5">
        <f>(VLOOKUP('11.07'!W61,'11.07'!$AM$4:$AO$55,3,FALSE))</f>
        <v>0</v>
      </c>
      <c r="P61" s="5">
        <f>(VLOOKUP('11.07'!X61,'11.07'!$AM$4:$AO$55,3,FALSE))</f>
        <v>0</v>
      </c>
      <c r="Q61" s="4">
        <f>(VLOOKUP('11.07'!Y61,'11.07'!$AM$4:$AO$55,3,FALSE))</f>
        <v>50</v>
      </c>
      <c r="R61" s="4">
        <f>(VLOOKUP('11.07'!Z61,'11.07'!$AM$4:$AO$55,3,FALSE))</f>
        <v>50</v>
      </c>
      <c r="S61" s="4">
        <f>(VLOOKUP('11.07'!AA61,'11.07'!$AM$4:$AO$55,3,FALSE))</f>
        <v>50</v>
      </c>
      <c r="T61" s="4">
        <f>(VLOOKUP('11.07'!AB61,'11.07'!$AM$4:$AO$55,3,FALSE))</f>
        <v>50</v>
      </c>
      <c r="U61" s="4">
        <f>(VLOOKUP('11.07'!AC61,'11.07'!$AM$4:$AO$55,3,FALSE))</f>
        <v>50</v>
      </c>
      <c r="V61" s="4">
        <f>(VLOOKUP('11.07'!AD61,'11.07'!$AM$4:$AO$55,3,FALSE))</f>
        <v>30</v>
      </c>
      <c r="W61" s="5">
        <f>(VLOOKUP('11.07'!AE61,'11.07'!$AM$4:$AO$55,3,FALSE))</f>
        <v>0</v>
      </c>
      <c r="X61" s="5">
        <f>(VLOOKUP('11.07'!AF61,'11.07'!$AM$4:$AO$55,3,FALSE))</f>
        <v>0</v>
      </c>
    </row>
    <row r="62" spans="1:24">
      <c r="A62" s="4">
        <f>(VLOOKUP('11.07'!I62,'11.07'!$AM$4:$AO$55,3,FALSE))</f>
        <v>55</v>
      </c>
      <c r="B62" s="4">
        <f>(VLOOKUP('11.07'!J62,'11.07'!$AM$4:$AO$55,3,FALSE))</f>
        <v>55</v>
      </c>
      <c r="C62" s="4">
        <f>(VLOOKUP('11.07'!K62,'11.07'!$AM$4:$AO$55,3,FALSE))</f>
        <v>55</v>
      </c>
      <c r="D62" s="4">
        <f>(VLOOKUP('11.07'!L62,'11.07'!$AM$4:$AO$55,3,FALSE))</f>
        <v>55</v>
      </c>
      <c r="E62" s="4">
        <f>(VLOOKUP('11.07'!M62,'11.07'!$AM$4:$AO$55,3,FALSE))</f>
        <v>55</v>
      </c>
      <c r="F62" s="4">
        <f>(VLOOKUP('11.07'!N62,'11.07'!$AM$4:$AO$55,3,FALSE))</f>
        <v>55</v>
      </c>
      <c r="G62" s="5">
        <f>(VLOOKUP('11.07'!O62,'11.07'!$AM$4:$AO$55,3,FALSE))</f>
        <v>0</v>
      </c>
      <c r="H62" s="5">
        <f>(VLOOKUP('11.07'!P62,'11.07'!$AM$4:$AO$55,3,FALSE))</f>
        <v>0</v>
      </c>
      <c r="I62" s="4">
        <f>(VLOOKUP('11.07'!Q62,'11.07'!$AM$4:$AO$55,3,FALSE))</f>
        <v>0</v>
      </c>
      <c r="J62" s="4">
        <f>(VLOOKUP('11.07'!R62,'11.07'!$AM$4:$AO$55,3,FALSE))</f>
        <v>0</v>
      </c>
      <c r="K62" s="4">
        <f>(VLOOKUP('11.07'!S62,'11.07'!$AM$4:$AO$55,3,FALSE))</f>
        <v>0</v>
      </c>
      <c r="L62" s="4">
        <f>(VLOOKUP('11.07'!T62,'11.07'!$AM$4:$AO$55,3,FALSE))</f>
        <v>0</v>
      </c>
      <c r="M62" s="4">
        <f>(VLOOKUP('11.07'!U62,'11.07'!$AM$4:$AO$55,3,FALSE))</f>
        <v>0</v>
      </c>
      <c r="N62" s="4">
        <f>(VLOOKUP('11.07'!V62,'11.07'!$AM$4:$AO$55,3,FALSE))</f>
        <v>0</v>
      </c>
      <c r="O62" s="5">
        <f>(VLOOKUP('11.07'!W62,'11.07'!$AM$4:$AO$55,3,FALSE))</f>
        <v>0</v>
      </c>
      <c r="P62" s="5">
        <f>(VLOOKUP('11.07'!X62,'11.07'!$AM$4:$AO$55,3,FALSE))</f>
        <v>0</v>
      </c>
      <c r="Q62" s="4">
        <f>(VLOOKUP('11.07'!Y62,'11.07'!$AM$4:$AO$55,3,FALSE))</f>
        <v>50</v>
      </c>
      <c r="R62" s="4">
        <f>(VLOOKUP('11.07'!Z62,'11.07'!$AM$4:$AO$55,3,FALSE))</f>
        <v>50</v>
      </c>
      <c r="S62" s="4">
        <f>(VLOOKUP('11.07'!AA62,'11.07'!$AM$4:$AO$55,3,FALSE))</f>
        <v>50</v>
      </c>
      <c r="T62" s="4">
        <f>(VLOOKUP('11.07'!AB62,'11.07'!$AM$4:$AO$55,3,FALSE))</f>
        <v>50</v>
      </c>
      <c r="U62" s="4">
        <f>(VLOOKUP('11.07'!AC62,'11.07'!$AM$4:$AO$55,3,FALSE))</f>
        <v>50</v>
      </c>
      <c r="V62" s="4">
        <f>(VLOOKUP('11.07'!AD62,'11.07'!$AM$4:$AO$55,3,FALSE))</f>
        <v>50</v>
      </c>
      <c r="W62" s="5">
        <f>(VLOOKUP('11.07'!AE62,'11.07'!$AM$4:$AO$55,3,FALSE))</f>
        <v>0</v>
      </c>
      <c r="X62" s="5">
        <f>(VLOOKUP('11.07'!AF62,'11.07'!$AM$4:$AO$55,3,FALSE))</f>
        <v>0</v>
      </c>
    </row>
    <row r="63" spans="1:24">
      <c r="A63" s="4">
        <f>(VLOOKUP('11.07'!I63,'11.07'!$AM$4:$AO$55,3,FALSE))</f>
        <v>55</v>
      </c>
      <c r="B63" s="4">
        <f>(VLOOKUP('11.07'!J63,'11.07'!$AM$4:$AO$55,3,FALSE))</f>
        <v>55</v>
      </c>
      <c r="C63" s="4">
        <f>(VLOOKUP('11.07'!K63,'11.07'!$AM$4:$AO$55,3,FALSE))</f>
        <v>55</v>
      </c>
      <c r="D63" s="4">
        <f>(VLOOKUP('11.07'!L63,'11.07'!$AM$4:$AO$55,3,FALSE))</f>
        <v>55</v>
      </c>
      <c r="E63" s="4">
        <f>(VLOOKUP('11.07'!M63,'11.07'!$AM$4:$AO$55,3,FALSE))</f>
        <v>55</v>
      </c>
      <c r="F63" s="4">
        <f>(VLOOKUP('11.07'!N63,'11.07'!$AM$4:$AO$55,3,FALSE))</f>
        <v>55</v>
      </c>
      <c r="G63" s="5">
        <f>(VLOOKUP('11.07'!O63,'11.07'!$AM$4:$AO$55,3,FALSE))</f>
        <v>0</v>
      </c>
      <c r="H63" s="5">
        <f>(VLOOKUP('11.07'!P63,'11.07'!$AM$4:$AO$55,3,FALSE))</f>
        <v>0</v>
      </c>
      <c r="I63" s="4">
        <f>(VLOOKUP('11.07'!Q63,'11.07'!$AM$4:$AO$55,3,FALSE))</f>
        <v>0</v>
      </c>
      <c r="J63" s="4">
        <f>(VLOOKUP('11.07'!R63,'11.07'!$AM$4:$AO$55,3,FALSE))</f>
        <v>0</v>
      </c>
      <c r="K63" s="4">
        <f>(VLOOKUP('11.07'!S63,'11.07'!$AM$4:$AO$55,3,FALSE))</f>
        <v>0</v>
      </c>
      <c r="L63" s="4">
        <f>(VLOOKUP('11.07'!T63,'11.07'!$AM$4:$AO$55,3,FALSE))</f>
        <v>0</v>
      </c>
      <c r="M63" s="4">
        <f>(VLOOKUP('11.07'!U63,'11.07'!$AM$4:$AO$55,3,FALSE))</f>
        <v>0</v>
      </c>
      <c r="N63" s="4">
        <f>(VLOOKUP('11.07'!V63,'11.07'!$AM$4:$AO$55,3,FALSE))</f>
        <v>0</v>
      </c>
      <c r="O63" s="5">
        <f>(VLOOKUP('11.07'!W63,'11.07'!$AM$4:$AO$55,3,FALSE))</f>
        <v>0</v>
      </c>
      <c r="P63" s="5">
        <f>(VLOOKUP('11.07'!X63,'11.07'!$AM$4:$AO$55,3,FALSE))</f>
        <v>0</v>
      </c>
      <c r="Q63" s="4">
        <f>(VLOOKUP('11.07'!Y63,'11.07'!$AM$4:$AO$55,3,FALSE))</f>
        <v>50</v>
      </c>
      <c r="R63" s="4">
        <f>(VLOOKUP('11.07'!Z63,'11.07'!$AM$4:$AO$55,3,FALSE))</f>
        <v>50</v>
      </c>
      <c r="S63" s="4">
        <f>(VLOOKUP('11.07'!AA63,'11.07'!$AM$4:$AO$55,3,FALSE))</f>
        <v>50</v>
      </c>
      <c r="T63" s="4">
        <f>(VLOOKUP('11.07'!AB63,'11.07'!$AM$4:$AO$55,3,FALSE))</f>
        <v>50</v>
      </c>
      <c r="U63" s="4">
        <f>(VLOOKUP('11.07'!AC63,'11.07'!$AM$4:$AO$55,3,FALSE))</f>
        <v>50</v>
      </c>
      <c r="V63" s="4">
        <f>(VLOOKUP('11.07'!AD63,'11.07'!$AM$4:$AO$55,3,FALSE))</f>
        <v>50</v>
      </c>
      <c r="W63" s="5">
        <f>(VLOOKUP('11.07'!AE63,'11.07'!$AM$4:$AO$55,3,FALSE))</f>
        <v>0</v>
      </c>
      <c r="X63" s="5">
        <f>(VLOOKUP('11.07'!AF63,'11.07'!$AM$4:$AO$55,3,FALSE))</f>
        <v>0</v>
      </c>
    </row>
    <row r="64" spans="1:24">
      <c r="A64" s="4">
        <f>(VLOOKUP('11.07'!I64,'11.07'!$AM$4:$AO$55,3,FALSE))</f>
        <v>55</v>
      </c>
      <c r="B64" s="4">
        <f>(VLOOKUP('11.07'!J64,'11.07'!$AM$4:$AO$55,3,FALSE))</f>
        <v>55</v>
      </c>
      <c r="C64" s="4">
        <f>(VLOOKUP('11.07'!K64,'11.07'!$AM$4:$AO$55,3,FALSE))</f>
        <v>55</v>
      </c>
      <c r="D64" s="4">
        <f>(VLOOKUP('11.07'!L64,'11.07'!$AM$4:$AO$55,3,FALSE))</f>
        <v>55</v>
      </c>
      <c r="E64" s="4">
        <f>(VLOOKUP('11.07'!M64,'11.07'!$AM$4:$AO$55,3,FALSE))</f>
        <v>30</v>
      </c>
      <c r="F64" s="4">
        <f>(VLOOKUP('11.07'!N64,'11.07'!$AM$4:$AO$55,3,FALSE))</f>
        <v>55</v>
      </c>
      <c r="G64" s="5">
        <f>(VLOOKUP('11.07'!O64,'11.07'!$AM$4:$AO$55,3,FALSE))</f>
        <v>0</v>
      </c>
      <c r="H64" s="5">
        <f>(VLOOKUP('11.07'!P64,'11.07'!$AM$4:$AO$55,3,FALSE))</f>
        <v>0</v>
      </c>
      <c r="I64" s="4">
        <f>(VLOOKUP('11.07'!Q64,'11.07'!$AM$4:$AO$55,3,FALSE))</f>
        <v>0</v>
      </c>
      <c r="J64" s="4">
        <f>(VLOOKUP('11.07'!R64,'11.07'!$AM$4:$AO$55,3,FALSE))</f>
        <v>0</v>
      </c>
      <c r="K64" s="4">
        <f>(VLOOKUP('11.07'!S64,'11.07'!$AM$4:$AO$55,3,FALSE))</f>
        <v>0</v>
      </c>
      <c r="L64" s="4">
        <f>(VLOOKUP('11.07'!T64,'11.07'!$AM$4:$AO$55,3,FALSE))</f>
        <v>0</v>
      </c>
      <c r="M64" s="4">
        <f>(VLOOKUP('11.07'!U64,'11.07'!$AM$4:$AO$55,3,FALSE))</f>
        <v>0</v>
      </c>
      <c r="N64" s="4">
        <f>(VLOOKUP('11.07'!V64,'11.07'!$AM$4:$AO$55,3,FALSE))</f>
        <v>0</v>
      </c>
      <c r="O64" s="5">
        <f>(VLOOKUP('11.07'!W64,'11.07'!$AM$4:$AO$55,3,FALSE))</f>
        <v>0</v>
      </c>
      <c r="P64" s="5">
        <f>(VLOOKUP('11.07'!X64,'11.07'!$AM$4:$AO$55,3,FALSE))</f>
        <v>0</v>
      </c>
      <c r="Q64" s="4">
        <f>(VLOOKUP('11.07'!Y64,'11.07'!$AM$4:$AO$55,3,FALSE))</f>
        <v>50</v>
      </c>
      <c r="R64" s="4">
        <f>(VLOOKUP('11.07'!Z64,'11.07'!$AM$4:$AO$55,3,FALSE))</f>
        <v>50</v>
      </c>
      <c r="S64" s="4">
        <f>(VLOOKUP('11.07'!AA64,'11.07'!$AM$4:$AO$55,3,FALSE))</f>
        <v>50</v>
      </c>
      <c r="T64" s="4">
        <f>(VLOOKUP('11.07'!AB64,'11.07'!$AM$4:$AO$55,3,FALSE))</f>
        <v>50</v>
      </c>
      <c r="U64" s="4">
        <f>(VLOOKUP('11.07'!AC64,'11.07'!$AM$4:$AO$55,3,FALSE))</f>
        <v>50</v>
      </c>
      <c r="V64" s="4">
        <f>(VLOOKUP('11.07'!AD64,'11.07'!$AM$4:$AO$55,3,FALSE))</f>
        <v>50</v>
      </c>
      <c r="W64" s="5">
        <f>(VLOOKUP('11.07'!AE64,'11.07'!$AM$4:$AO$55,3,FALSE))</f>
        <v>0</v>
      </c>
      <c r="X64" s="5">
        <f>(VLOOKUP('11.07'!AF64,'11.07'!$AM$4:$AO$55,3,FALSE))</f>
        <v>0</v>
      </c>
    </row>
    <row r="65" spans="1:24">
      <c r="A65" s="4">
        <f>(VLOOKUP('11.07'!I65,'11.07'!$AM$4:$AO$55,3,FALSE))</f>
        <v>60</v>
      </c>
      <c r="B65" s="4">
        <f>(VLOOKUP('11.07'!J65,'11.07'!$AM$4:$AO$55,3,FALSE))</f>
        <v>60</v>
      </c>
      <c r="C65" s="4">
        <f>(VLOOKUP('11.07'!K65,'11.07'!$AM$4:$AO$55,3,FALSE))</f>
        <v>60</v>
      </c>
      <c r="D65" s="4">
        <f>(VLOOKUP('11.07'!L65,'11.07'!$AM$4:$AO$55,3,FALSE))</f>
        <v>60</v>
      </c>
      <c r="E65" s="4">
        <f>(VLOOKUP('11.07'!M65,'11.07'!$AM$4:$AO$55,3,FALSE))</f>
        <v>60</v>
      </c>
      <c r="F65" s="4">
        <f>(VLOOKUP('11.07'!N65,'11.07'!$AM$4:$AO$55,3,FALSE))</f>
        <v>60</v>
      </c>
      <c r="G65" s="5">
        <f>(VLOOKUP('11.07'!O65,'11.07'!$AM$4:$AO$55,3,FALSE))</f>
        <v>0</v>
      </c>
      <c r="H65" s="5">
        <f>(VLOOKUP('11.07'!P65,'11.07'!$AM$4:$AO$55,3,FALSE))</f>
        <v>0</v>
      </c>
      <c r="I65" s="4">
        <f>(VLOOKUP('11.07'!Q65,'11.07'!$AM$4:$AO$55,3,FALSE))</f>
        <v>0</v>
      </c>
      <c r="J65" s="4">
        <f>(VLOOKUP('11.07'!R65,'11.07'!$AM$4:$AO$55,3,FALSE))</f>
        <v>0</v>
      </c>
      <c r="K65" s="4">
        <f>(VLOOKUP('11.07'!S65,'11.07'!$AM$4:$AO$55,3,FALSE))</f>
        <v>0</v>
      </c>
      <c r="L65" s="4">
        <f>(VLOOKUP('11.07'!T65,'11.07'!$AM$4:$AO$55,3,FALSE))</f>
        <v>0</v>
      </c>
      <c r="M65" s="4">
        <f>(VLOOKUP('11.07'!U65,'11.07'!$AM$4:$AO$55,3,FALSE))</f>
        <v>0</v>
      </c>
      <c r="N65" s="4">
        <f>(VLOOKUP('11.07'!V65,'11.07'!$AM$4:$AO$55,3,FALSE))</f>
        <v>0</v>
      </c>
      <c r="O65" s="5">
        <f>(VLOOKUP('11.07'!W65,'11.07'!$AM$4:$AO$55,3,FALSE))</f>
        <v>0</v>
      </c>
      <c r="P65" s="5">
        <f>(VLOOKUP('11.07'!X65,'11.07'!$AM$4:$AO$55,3,FALSE))</f>
        <v>0</v>
      </c>
      <c r="Q65" s="4">
        <f>(VLOOKUP('11.07'!Y65,'11.07'!$AM$4:$AO$55,3,FALSE))</f>
        <v>50</v>
      </c>
      <c r="R65" s="4">
        <f>(VLOOKUP('11.07'!Z65,'11.07'!$AM$4:$AO$55,3,FALSE))</f>
        <v>50</v>
      </c>
      <c r="S65" s="4">
        <f>(VLOOKUP('11.07'!AA65,'11.07'!$AM$4:$AO$55,3,FALSE))</f>
        <v>50</v>
      </c>
      <c r="T65" s="4">
        <f>(VLOOKUP('11.07'!AB65,'11.07'!$AM$4:$AO$55,3,FALSE))</f>
        <v>30</v>
      </c>
      <c r="U65" s="4">
        <f>(VLOOKUP('11.07'!AC65,'11.07'!$AM$4:$AO$55,3,FALSE))</f>
        <v>50</v>
      </c>
      <c r="V65" s="4">
        <f>(VLOOKUP('11.07'!AD65,'11.07'!$AM$4:$AO$55,3,FALSE))</f>
        <v>0</v>
      </c>
      <c r="W65" s="5">
        <f>(VLOOKUP('11.07'!AE65,'11.07'!$AM$4:$AO$55,3,FALSE))</f>
        <v>0</v>
      </c>
      <c r="X65" s="5">
        <f>(VLOOKUP('11.07'!AF65,'11.07'!$AM$4:$AO$55,3,FALSE))</f>
        <v>0</v>
      </c>
    </row>
    <row r="66" spans="1:24">
      <c r="A66" s="4">
        <f>(VLOOKUP('11.07'!I66,'11.07'!$AM$4:$AO$55,3,FALSE))</f>
        <v>60</v>
      </c>
      <c r="B66" s="4">
        <f>(VLOOKUP('11.07'!J66,'11.07'!$AM$4:$AO$55,3,FALSE))</f>
        <v>60</v>
      </c>
      <c r="C66" s="4">
        <f>(VLOOKUP('11.07'!K66,'11.07'!$AM$4:$AO$55,3,FALSE))</f>
        <v>60</v>
      </c>
      <c r="D66" s="4">
        <f>(VLOOKUP('11.07'!L66,'11.07'!$AM$4:$AO$55,3,FALSE))</f>
        <v>60</v>
      </c>
      <c r="E66" s="4">
        <f>(VLOOKUP('11.07'!M66,'11.07'!$AM$4:$AO$55,3,FALSE))</f>
        <v>0</v>
      </c>
      <c r="F66" s="4">
        <f>(VLOOKUP('11.07'!N66,'11.07'!$AM$4:$AO$55,3,FALSE))</f>
        <v>0</v>
      </c>
      <c r="G66" s="5">
        <f>(VLOOKUP('11.07'!O66,'11.07'!$AM$4:$AO$55,3,FALSE))</f>
        <v>0</v>
      </c>
      <c r="H66" s="5">
        <f>(VLOOKUP('11.07'!P66,'11.07'!$AM$4:$AO$55,3,FALSE))</f>
        <v>0</v>
      </c>
      <c r="I66" s="4">
        <f>(VLOOKUP('11.07'!Q66,'11.07'!$AM$4:$AO$55,3,FALSE))</f>
        <v>0</v>
      </c>
      <c r="J66" s="4">
        <f>(VLOOKUP('11.07'!R66,'11.07'!$AM$4:$AO$55,3,FALSE))</f>
        <v>0</v>
      </c>
      <c r="K66" s="4">
        <f>(VLOOKUP('11.07'!S66,'11.07'!$AM$4:$AO$55,3,FALSE))</f>
        <v>0</v>
      </c>
      <c r="L66" s="4">
        <f>(VLOOKUP('11.07'!T66,'11.07'!$AM$4:$AO$55,3,FALSE))</f>
        <v>0</v>
      </c>
      <c r="M66" s="4">
        <f>(VLOOKUP('11.07'!U66,'11.07'!$AM$4:$AO$55,3,FALSE))</f>
        <v>0</v>
      </c>
      <c r="N66" s="4">
        <f>(VLOOKUP('11.07'!V66,'11.07'!$AM$4:$AO$55,3,FALSE))</f>
        <v>0</v>
      </c>
      <c r="O66" s="5">
        <f>(VLOOKUP('11.07'!W66,'11.07'!$AM$4:$AO$55,3,FALSE))</f>
        <v>0</v>
      </c>
      <c r="P66" s="5">
        <f>(VLOOKUP('11.07'!X66,'11.07'!$AM$4:$AO$55,3,FALSE))</f>
        <v>0</v>
      </c>
      <c r="Q66" s="4">
        <f>(VLOOKUP('11.07'!Y66,'11.07'!$AM$4:$AO$55,3,FALSE))</f>
        <v>50</v>
      </c>
      <c r="R66" s="4">
        <f>(VLOOKUP('11.07'!Z66,'11.07'!$AM$4:$AO$55,3,FALSE))</f>
        <v>50</v>
      </c>
      <c r="S66" s="4">
        <f>(VLOOKUP('11.07'!AA66,'11.07'!$AM$4:$AO$55,3,FALSE))</f>
        <v>50</v>
      </c>
      <c r="T66" s="4">
        <f>(VLOOKUP('11.07'!AB66,'11.07'!$AM$4:$AO$55,3,FALSE))</f>
        <v>50</v>
      </c>
      <c r="U66" s="4">
        <f>(VLOOKUP('11.07'!AC66,'11.07'!$AM$4:$AO$55,3,FALSE))</f>
        <v>50</v>
      </c>
      <c r="V66" s="4">
        <f>(VLOOKUP('11.07'!AD66,'11.07'!$AM$4:$AO$55,3,FALSE))</f>
        <v>50</v>
      </c>
      <c r="W66" s="5">
        <f>(VLOOKUP('11.07'!AE66,'11.07'!$AM$4:$AO$55,3,FALSE))</f>
        <v>0</v>
      </c>
      <c r="X66" s="5">
        <f>(VLOOKUP('11.07'!AF66,'11.07'!$AM$4:$AO$55,3,FALSE))</f>
        <v>0</v>
      </c>
    </row>
    <row r="67" spans="1:24">
      <c r="A67" s="4">
        <f>(VLOOKUP('11.07'!I67,'11.07'!$AM$4:$AO$55,3,FALSE))</f>
        <v>60</v>
      </c>
      <c r="B67" s="4">
        <f>(VLOOKUP('11.07'!J67,'11.07'!$AM$4:$AO$55,3,FALSE))</f>
        <v>60</v>
      </c>
      <c r="C67" s="4">
        <f>(VLOOKUP('11.07'!K67,'11.07'!$AM$4:$AO$55,3,FALSE))</f>
        <v>60</v>
      </c>
      <c r="D67" s="4">
        <f>(VLOOKUP('11.07'!L67,'11.07'!$AM$4:$AO$55,3,FALSE))</f>
        <v>60</v>
      </c>
      <c r="E67" s="4">
        <f>(VLOOKUP('11.07'!M67,'11.07'!$AM$4:$AO$55,3,FALSE))</f>
        <v>60</v>
      </c>
      <c r="F67" s="4">
        <f>(VLOOKUP('11.07'!N67,'11.07'!$AM$4:$AO$55,3,FALSE))</f>
        <v>0</v>
      </c>
      <c r="G67" s="5">
        <f>(VLOOKUP('11.07'!O67,'11.07'!$AM$4:$AO$55,3,FALSE))</f>
        <v>0</v>
      </c>
      <c r="H67" s="5">
        <f>(VLOOKUP('11.07'!P67,'11.07'!$AM$4:$AO$55,3,FALSE))</f>
        <v>0</v>
      </c>
      <c r="I67" s="4">
        <f>(VLOOKUP('11.07'!Q67,'11.07'!$AM$4:$AO$55,3,FALSE))</f>
        <v>0</v>
      </c>
      <c r="J67" s="4">
        <f>(VLOOKUP('11.07'!R67,'11.07'!$AM$4:$AO$55,3,FALSE))</f>
        <v>0</v>
      </c>
      <c r="K67" s="4">
        <f>(VLOOKUP('11.07'!S67,'11.07'!$AM$4:$AO$55,3,FALSE))</f>
        <v>0</v>
      </c>
      <c r="L67" s="4">
        <f>(VLOOKUP('11.07'!T67,'11.07'!$AM$4:$AO$55,3,FALSE))</f>
        <v>0</v>
      </c>
      <c r="M67" s="4">
        <f>(VLOOKUP('11.07'!U67,'11.07'!$AM$4:$AO$55,3,FALSE))</f>
        <v>0</v>
      </c>
      <c r="N67" s="4">
        <f>(VLOOKUP('11.07'!V67,'11.07'!$AM$4:$AO$55,3,FALSE))</f>
        <v>0</v>
      </c>
      <c r="O67" s="5">
        <f>(VLOOKUP('11.07'!W67,'11.07'!$AM$4:$AO$55,3,FALSE))</f>
        <v>0</v>
      </c>
      <c r="P67" s="5">
        <f>(VLOOKUP('11.07'!X67,'11.07'!$AM$4:$AO$55,3,FALSE))</f>
        <v>0</v>
      </c>
      <c r="Q67" s="4">
        <f>(VLOOKUP('11.07'!Y67,'11.07'!$AM$4:$AO$55,3,FALSE))</f>
        <v>50</v>
      </c>
      <c r="R67" s="4">
        <f>(VLOOKUP('11.07'!Z67,'11.07'!$AM$4:$AO$55,3,FALSE))</f>
        <v>50</v>
      </c>
      <c r="S67" s="4">
        <f>(VLOOKUP('11.07'!AA67,'11.07'!$AM$4:$AO$55,3,FALSE))</f>
        <v>50</v>
      </c>
      <c r="T67" s="4">
        <f>(VLOOKUP('11.07'!AB67,'11.07'!$AM$4:$AO$55,3,FALSE))</f>
        <v>50</v>
      </c>
      <c r="U67" s="4">
        <f>(VLOOKUP('11.07'!AC67,'11.07'!$AM$4:$AO$55,3,FALSE))</f>
        <v>50</v>
      </c>
      <c r="V67" s="4">
        <f>(VLOOKUP('11.07'!AD67,'11.07'!$AM$4:$AO$55,3,FALSE))</f>
        <v>50</v>
      </c>
      <c r="W67" s="5">
        <f>(VLOOKUP('11.07'!AE67,'11.07'!$AM$4:$AO$55,3,FALSE))</f>
        <v>0</v>
      </c>
      <c r="X67" s="5">
        <f>(VLOOKUP('11.07'!AF67,'11.07'!$AM$4:$AO$55,3,FALSE))</f>
        <v>0</v>
      </c>
    </row>
    <row r="68" spans="1:24">
      <c r="A68" s="4">
        <f>(VLOOKUP('11.07'!I68,'11.07'!$AM$4:$AO$55,3,FALSE))</f>
        <v>60</v>
      </c>
      <c r="B68" s="4">
        <f>(VLOOKUP('11.07'!J68,'11.07'!$AM$4:$AO$55,3,FALSE))</f>
        <v>60</v>
      </c>
      <c r="C68" s="4">
        <f>(VLOOKUP('11.07'!K68,'11.07'!$AM$4:$AO$55,3,FALSE))</f>
        <v>0</v>
      </c>
      <c r="D68" s="4">
        <f>(VLOOKUP('11.07'!L68,'11.07'!$AM$4:$AO$55,3,FALSE))</f>
        <v>60</v>
      </c>
      <c r="E68" s="4">
        <f>(VLOOKUP('11.07'!M68,'11.07'!$AM$4:$AO$55,3,FALSE))</f>
        <v>60</v>
      </c>
      <c r="F68" s="4">
        <f>(VLOOKUP('11.07'!N68,'11.07'!$AM$4:$AO$55,3,FALSE))</f>
        <v>0</v>
      </c>
      <c r="G68" s="5">
        <f>(VLOOKUP('11.07'!O68,'11.07'!$AM$4:$AO$55,3,FALSE))</f>
        <v>0</v>
      </c>
      <c r="H68" s="5">
        <f>(VLOOKUP('11.07'!P68,'11.07'!$AM$4:$AO$55,3,FALSE))</f>
        <v>0</v>
      </c>
      <c r="I68" s="4">
        <f>(VLOOKUP('11.07'!Q68,'11.07'!$AM$4:$AO$55,3,FALSE))</f>
        <v>0</v>
      </c>
      <c r="J68" s="4">
        <f>(VLOOKUP('11.07'!R68,'11.07'!$AM$4:$AO$55,3,FALSE))</f>
        <v>0</v>
      </c>
      <c r="K68" s="4">
        <f>(VLOOKUP('11.07'!S68,'11.07'!$AM$4:$AO$55,3,FALSE))</f>
        <v>0</v>
      </c>
      <c r="L68" s="4">
        <f>(VLOOKUP('11.07'!T68,'11.07'!$AM$4:$AO$55,3,FALSE))</f>
        <v>0</v>
      </c>
      <c r="M68" s="4">
        <f>(VLOOKUP('11.07'!U68,'11.07'!$AM$4:$AO$55,3,FALSE))</f>
        <v>0</v>
      </c>
      <c r="N68" s="4">
        <f>(VLOOKUP('11.07'!V68,'11.07'!$AM$4:$AO$55,3,FALSE))</f>
        <v>0</v>
      </c>
      <c r="O68" s="5">
        <f>(VLOOKUP('11.07'!W68,'11.07'!$AM$4:$AO$55,3,FALSE))</f>
        <v>0</v>
      </c>
      <c r="P68" s="5">
        <f>(VLOOKUP('11.07'!X68,'11.07'!$AM$4:$AO$55,3,FALSE))</f>
        <v>0</v>
      </c>
      <c r="Q68" s="4">
        <f>(VLOOKUP('11.07'!Y68,'11.07'!$AM$4:$AO$55,3,FALSE))</f>
        <v>50</v>
      </c>
      <c r="R68" s="4">
        <f>(VLOOKUP('11.07'!Z68,'11.07'!$AM$4:$AO$55,3,FALSE))</f>
        <v>50</v>
      </c>
      <c r="S68" s="4">
        <f>(VLOOKUP('11.07'!AA68,'11.07'!$AM$4:$AO$55,3,FALSE))</f>
        <v>50</v>
      </c>
      <c r="T68" s="4">
        <f>(VLOOKUP('11.07'!AB68,'11.07'!$AM$4:$AO$55,3,FALSE))</f>
        <v>50</v>
      </c>
      <c r="U68" s="4">
        <f>(VLOOKUP('11.07'!AC68,'11.07'!$AM$4:$AO$55,3,FALSE))</f>
        <v>50</v>
      </c>
      <c r="V68" s="4">
        <f>(VLOOKUP('11.07'!AD68,'11.07'!$AM$4:$AO$55,3,FALSE))</f>
        <v>50</v>
      </c>
      <c r="W68" s="5">
        <f>(VLOOKUP('11.07'!AE68,'11.07'!$AM$4:$AO$55,3,FALSE))</f>
        <v>0</v>
      </c>
      <c r="X68" s="5">
        <f>(VLOOKUP('11.07'!AF68,'11.07'!$AM$4:$AO$55,3,FALSE))</f>
        <v>0</v>
      </c>
    </row>
    <row r="69" spans="1:24">
      <c r="A69" s="4">
        <f>(VLOOKUP('11.07'!I69,'11.07'!$AM$4:$AO$55,3,FALSE))</f>
        <v>60</v>
      </c>
      <c r="B69" s="4">
        <f>(VLOOKUP('11.07'!J69,'11.07'!$AM$4:$AO$55,3,FALSE))</f>
        <v>60</v>
      </c>
      <c r="C69" s="4">
        <f>(VLOOKUP('11.07'!K69,'11.07'!$AM$4:$AO$55,3,FALSE))</f>
        <v>60</v>
      </c>
      <c r="D69" s="4">
        <f>(VLOOKUP('11.07'!L69,'11.07'!$AM$4:$AO$55,3,FALSE))</f>
        <v>60</v>
      </c>
      <c r="E69" s="4">
        <f>(VLOOKUP('11.07'!M69,'11.07'!$AM$4:$AO$55,3,FALSE))</f>
        <v>60</v>
      </c>
      <c r="F69" s="4">
        <f>(VLOOKUP('11.07'!N69,'11.07'!$AM$4:$AO$55,3,FALSE))</f>
        <v>60</v>
      </c>
      <c r="G69" s="5">
        <f>(VLOOKUP('11.07'!O69,'11.07'!$AM$4:$AO$55,3,FALSE))</f>
        <v>0</v>
      </c>
      <c r="H69" s="5">
        <f>(VLOOKUP('11.07'!P69,'11.07'!$AM$4:$AO$55,3,FALSE))</f>
        <v>0</v>
      </c>
      <c r="I69" s="4">
        <f>(VLOOKUP('11.07'!Q69,'11.07'!$AM$4:$AO$55,3,FALSE))</f>
        <v>0</v>
      </c>
      <c r="J69" s="4">
        <f>(VLOOKUP('11.07'!R69,'11.07'!$AM$4:$AO$55,3,FALSE))</f>
        <v>0</v>
      </c>
      <c r="K69" s="4">
        <f>(VLOOKUP('11.07'!S69,'11.07'!$AM$4:$AO$55,3,FALSE))</f>
        <v>0</v>
      </c>
      <c r="L69" s="4">
        <f>(VLOOKUP('11.07'!T69,'11.07'!$AM$4:$AO$55,3,FALSE))</f>
        <v>0</v>
      </c>
      <c r="M69" s="4">
        <f>(VLOOKUP('11.07'!U69,'11.07'!$AM$4:$AO$55,3,FALSE))</f>
        <v>0</v>
      </c>
      <c r="N69" s="4">
        <f>(VLOOKUP('11.07'!V69,'11.07'!$AM$4:$AO$55,3,FALSE))</f>
        <v>0</v>
      </c>
      <c r="O69" s="5">
        <f>(VLOOKUP('11.07'!W69,'11.07'!$AM$4:$AO$55,3,FALSE))</f>
        <v>0</v>
      </c>
      <c r="P69" s="5">
        <f>(VLOOKUP('11.07'!X69,'11.07'!$AM$4:$AO$55,3,FALSE))</f>
        <v>0</v>
      </c>
      <c r="Q69" s="4">
        <f>(VLOOKUP('11.07'!Y69,'11.07'!$AM$4:$AO$55,3,FALSE))</f>
        <v>50</v>
      </c>
      <c r="R69" s="4">
        <f>(VLOOKUP('11.07'!Z69,'11.07'!$AM$4:$AO$55,3,FALSE))</f>
        <v>50</v>
      </c>
      <c r="S69" s="4">
        <f>(VLOOKUP('11.07'!AA69,'11.07'!$AM$4:$AO$55,3,FALSE))</f>
        <v>50</v>
      </c>
      <c r="T69" s="4">
        <f>(VLOOKUP('11.07'!AB69,'11.07'!$AM$4:$AO$55,3,FALSE))</f>
        <v>50</v>
      </c>
      <c r="U69" s="4">
        <f>(VLOOKUP('11.07'!AC69,'11.07'!$AM$4:$AO$55,3,FALSE))</f>
        <v>50</v>
      </c>
      <c r="V69" s="4">
        <f>(VLOOKUP('11.07'!AD69,'11.07'!$AM$4:$AO$55,3,FALSE))</f>
        <v>50</v>
      </c>
      <c r="W69" s="5">
        <f>(VLOOKUP('11.07'!AE69,'11.07'!$AM$4:$AO$55,3,FALSE))</f>
        <v>0</v>
      </c>
      <c r="X69" s="5">
        <f>(VLOOKUP('11.07'!AF69,'11.07'!$AM$4:$AO$55,3,FALSE))</f>
        <v>0</v>
      </c>
    </row>
    <row r="70" spans="1:24">
      <c r="A70" s="4">
        <f>(VLOOKUP('11.07'!I70,'11.07'!$AM$4:$AO$55,3,FALSE))</f>
        <v>60</v>
      </c>
      <c r="B70" s="4">
        <f>(VLOOKUP('11.07'!J70,'11.07'!$AM$4:$AO$55,3,FALSE))</f>
        <v>60</v>
      </c>
      <c r="C70" s="4">
        <f>(VLOOKUP('11.07'!K70,'11.07'!$AM$4:$AO$55,3,FALSE))</f>
        <v>60</v>
      </c>
      <c r="D70" s="4">
        <f>(VLOOKUP('11.07'!L70,'11.07'!$AM$4:$AO$55,3,FALSE))</f>
        <v>60</v>
      </c>
      <c r="E70" s="4">
        <f>(VLOOKUP('11.07'!M70,'11.07'!$AM$4:$AO$55,3,FALSE))</f>
        <v>60</v>
      </c>
      <c r="F70" s="4">
        <f>(VLOOKUP('11.07'!N70,'11.07'!$AM$4:$AO$55,3,FALSE))</f>
        <v>60</v>
      </c>
      <c r="G70" s="5">
        <f>(VLOOKUP('11.07'!O70,'11.07'!$AM$4:$AO$55,3,FALSE))</f>
        <v>0</v>
      </c>
      <c r="H70" s="5">
        <f>(VLOOKUP('11.07'!P70,'11.07'!$AM$4:$AO$55,3,FALSE))</f>
        <v>0</v>
      </c>
      <c r="I70" s="4">
        <f>(VLOOKUP('11.07'!Q70,'11.07'!$AM$4:$AO$55,3,FALSE))</f>
        <v>0</v>
      </c>
      <c r="J70" s="4">
        <f>(VLOOKUP('11.07'!R70,'11.07'!$AM$4:$AO$55,3,FALSE))</f>
        <v>0</v>
      </c>
      <c r="K70" s="4">
        <f>(VLOOKUP('11.07'!S70,'11.07'!$AM$4:$AO$55,3,FALSE))</f>
        <v>0</v>
      </c>
      <c r="L70" s="4">
        <f>(VLOOKUP('11.07'!T70,'11.07'!$AM$4:$AO$55,3,FALSE))</f>
        <v>0</v>
      </c>
      <c r="M70" s="4">
        <f>(VLOOKUP('11.07'!U70,'11.07'!$AM$4:$AO$55,3,FALSE))</f>
        <v>0</v>
      </c>
      <c r="N70" s="4">
        <f>(VLOOKUP('11.07'!V70,'11.07'!$AM$4:$AO$55,3,FALSE))</f>
        <v>0</v>
      </c>
      <c r="O70" s="5">
        <f>(VLOOKUP('11.07'!W70,'11.07'!$AM$4:$AO$55,3,FALSE))</f>
        <v>0</v>
      </c>
      <c r="P70" s="5">
        <f>(VLOOKUP('11.07'!X70,'11.07'!$AM$4:$AO$55,3,FALSE))</f>
        <v>0</v>
      </c>
      <c r="Q70" s="4">
        <f>(VLOOKUP('11.07'!Y70,'11.07'!$AM$4:$AO$55,3,FALSE))</f>
        <v>50</v>
      </c>
      <c r="R70" s="4">
        <f>(VLOOKUP('11.07'!Z70,'11.07'!$AM$4:$AO$55,3,FALSE))</f>
        <v>50</v>
      </c>
      <c r="S70" s="4">
        <f>(VLOOKUP('11.07'!AA70,'11.07'!$AM$4:$AO$55,3,FALSE))</f>
        <v>50</v>
      </c>
      <c r="T70" s="4">
        <f>(VLOOKUP('11.07'!AB70,'11.07'!$AM$4:$AO$55,3,FALSE))</f>
        <v>50</v>
      </c>
      <c r="U70" s="4">
        <f>(VLOOKUP('11.07'!AC70,'11.07'!$AM$4:$AO$55,3,FALSE))</f>
        <v>50</v>
      </c>
      <c r="V70" s="4">
        <f>(VLOOKUP('11.07'!AD70,'11.07'!$AM$4:$AO$55,3,FALSE))</f>
        <v>0</v>
      </c>
      <c r="W70" s="5">
        <f>(VLOOKUP('11.07'!AE70,'11.07'!$AM$4:$AO$55,3,FALSE))</f>
        <v>0</v>
      </c>
      <c r="X70" s="5">
        <f>(VLOOKUP('11.07'!AF70,'11.07'!$AM$4:$AO$55,3,FALSE))</f>
        <v>0</v>
      </c>
    </row>
    <row r="71" spans="1:24">
      <c r="A71" s="4">
        <f>(VLOOKUP('11.07'!I71,'11.07'!$AM$4:$AO$55,3,FALSE))</f>
        <v>60</v>
      </c>
      <c r="B71" s="4">
        <f>(VLOOKUP('11.07'!J71,'11.07'!$AM$4:$AO$55,3,FALSE))</f>
        <v>60</v>
      </c>
      <c r="C71" s="4">
        <f>(VLOOKUP('11.07'!K71,'11.07'!$AM$4:$AO$55,3,FALSE))</f>
        <v>60</v>
      </c>
      <c r="D71" s="4">
        <f>(VLOOKUP('11.07'!L71,'11.07'!$AM$4:$AO$55,3,FALSE))</f>
        <v>60</v>
      </c>
      <c r="E71" s="4">
        <f>(VLOOKUP('11.07'!M71,'11.07'!$AM$4:$AO$55,3,FALSE))</f>
        <v>60</v>
      </c>
      <c r="F71" s="4">
        <f>(VLOOKUP('11.07'!N71,'11.07'!$AM$4:$AO$55,3,FALSE))</f>
        <v>0</v>
      </c>
      <c r="G71" s="5">
        <f>(VLOOKUP('11.07'!O71,'11.07'!$AM$4:$AO$55,3,FALSE))</f>
        <v>0</v>
      </c>
      <c r="H71" s="5">
        <f>(VLOOKUP('11.07'!P71,'11.07'!$AM$4:$AO$55,3,FALSE))</f>
        <v>0</v>
      </c>
      <c r="I71" s="4">
        <f>(VLOOKUP('11.07'!Q71,'11.07'!$AM$4:$AO$55,3,FALSE))</f>
        <v>0</v>
      </c>
      <c r="J71" s="4">
        <f>(VLOOKUP('11.07'!R71,'11.07'!$AM$4:$AO$55,3,FALSE))</f>
        <v>0</v>
      </c>
      <c r="K71" s="4">
        <f>(VLOOKUP('11.07'!S71,'11.07'!$AM$4:$AO$55,3,FALSE))</f>
        <v>0</v>
      </c>
      <c r="L71" s="4">
        <f>(VLOOKUP('11.07'!T71,'11.07'!$AM$4:$AO$55,3,FALSE))</f>
        <v>0</v>
      </c>
      <c r="M71" s="4">
        <f>(VLOOKUP('11.07'!U71,'11.07'!$AM$4:$AO$55,3,FALSE))</f>
        <v>0</v>
      </c>
      <c r="N71" s="4">
        <f>(VLOOKUP('11.07'!V71,'11.07'!$AM$4:$AO$55,3,FALSE))</f>
        <v>0</v>
      </c>
      <c r="O71" s="5">
        <f>(VLOOKUP('11.07'!W71,'11.07'!$AM$4:$AO$55,3,FALSE))</f>
        <v>0</v>
      </c>
      <c r="P71" s="5">
        <f>(VLOOKUP('11.07'!X71,'11.07'!$AM$4:$AO$55,3,FALSE))</f>
        <v>0</v>
      </c>
      <c r="Q71" s="4">
        <f>(VLOOKUP('11.07'!Y71,'11.07'!$AM$4:$AO$55,3,FALSE))</f>
        <v>50</v>
      </c>
      <c r="R71" s="4">
        <f>(VLOOKUP('11.07'!Z71,'11.07'!$AM$4:$AO$55,3,FALSE))</f>
        <v>50</v>
      </c>
      <c r="S71" s="4">
        <f>(VLOOKUP('11.07'!AA71,'11.07'!$AM$4:$AO$55,3,FALSE))</f>
        <v>50</v>
      </c>
      <c r="T71" s="4">
        <f>(VLOOKUP('11.07'!AB71,'11.07'!$AM$4:$AO$55,3,FALSE))</f>
        <v>50</v>
      </c>
      <c r="U71" s="4">
        <f>(VLOOKUP('11.07'!AC71,'11.07'!$AM$4:$AO$55,3,FALSE))</f>
        <v>50</v>
      </c>
      <c r="V71" s="4">
        <f>(VLOOKUP('11.07'!AD71,'11.07'!$AM$4:$AO$55,3,FALSE))</f>
        <v>0</v>
      </c>
      <c r="W71" s="5">
        <f>(VLOOKUP('11.07'!AE71,'11.07'!$AM$4:$AO$55,3,FALSE))</f>
        <v>0</v>
      </c>
      <c r="X71" s="5">
        <f>(VLOOKUP('11.07'!AF71,'11.07'!$AM$4:$AO$55,3,FALSE))</f>
        <v>0</v>
      </c>
    </row>
    <row r="72" spans="1:24">
      <c r="A72" s="4">
        <f>(VLOOKUP('11.07'!I72,'11.07'!$AM$4:$AO$55,3,FALSE))</f>
        <v>60</v>
      </c>
      <c r="B72" s="4">
        <f>(VLOOKUP('11.07'!J72,'11.07'!$AM$4:$AO$55,3,FALSE))</f>
        <v>60</v>
      </c>
      <c r="C72" s="4">
        <f>(VLOOKUP('11.07'!K72,'11.07'!$AM$4:$AO$55,3,FALSE))</f>
        <v>60</v>
      </c>
      <c r="D72" s="4">
        <f>(VLOOKUP('11.07'!L72,'11.07'!$AM$4:$AO$55,3,FALSE))</f>
        <v>60</v>
      </c>
      <c r="E72" s="4">
        <f>(VLOOKUP('11.07'!M72,'11.07'!$AM$4:$AO$55,3,FALSE))</f>
        <v>0</v>
      </c>
      <c r="F72" s="4">
        <f>(VLOOKUP('11.07'!N72,'11.07'!$AM$4:$AO$55,3,FALSE))</f>
        <v>0</v>
      </c>
      <c r="G72" s="5">
        <f>(VLOOKUP('11.07'!O72,'11.07'!$AM$4:$AO$55,3,FALSE))</f>
        <v>0</v>
      </c>
      <c r="H72" s="5">
        <f>(VLOOKUP('11.07'!P72,'11.07'!$AM$4:$AO$55,3,FALSE))</f>
        <v>0</v>
      </c>
      <c r="I72" s="4">
        <f>(VLOOKUP('11.07'!Q72,'11.07'!$AM$4:$AO$55,3,FALSE))</f>
        <v>0</v>
      </c>
      <c r="J72" s="4">
        <f>(VLOOKUP('11.07'!R72,'11.07'!$AM$4:$AO$55,3,FALSE))</f>
        <v>0</v>
      </c>
      <c r="K72" s="4">
        <f>(VLOOKUP('11.07'!S72,'11.07'!$AM$4:$AO$55,3,FALSE))</f>
        <v>0</v>
      </c>
      <c r="L72" s="4">
        <f>(VLOOKUP('11.07'!T72,'11.07'!$AM$4:$AO$55,3,FALSE))</f>
        <v>0</v>
      </c>
      <c r="M72" s="4">
        <f>(VLOOKUP('11.07'!U72,'11.07'!$AM$4:$AO$55,3,FALSE))</f>
        <v>0</v>
      </c>
      <c r="N72" s="4">
        <f>(VLOOKUP('11.07'!V72,'11.07'!$AM$4:$AO$55,3,FALSE))</f>
        <v>0</v>
      </c>
      <c r="O72" s="5">
        <f>(VLOOKUP('11.07'!W72,'11.07'!$AM$4:$AO$55,3,FALSE))</f>
        <v>0</v>
      </c>
      <c r="P72" s="5">
        <f>(VLOOKUP('11.07'!X72,'11.07'!$AM$4:$AO$55,3,FALSE))</f>
        <v>0</v>
      </c>
      <c r="Q72" s="4">
        <f>(VLOOKUP('11.07'!Y72,'11.07'!$AM$4:$AO$55,3,FALSE))</f>
        <v>50</v>
      </c>
      <c r="R72" s="4">
        <f>(VLOOKUP('11.07'!Z72,'11.07'!$AM$4:$AO$55,3,FALSE))</f>
        <v>50</v>
      </c>
      <c r="S72" s="4">
        <f>(VLOOKUP('11.07'!AA72,'11.07'!$AM$4:$AO$55,3,FALSE))</f>
        <v>50</v>
      </c>
      <c r="T72" s="4">
        <f>(VLOOKUP('11.07'!AB72,'11.07'!$AM$4:$AO$55,3,FALSE))</f>
        <v>50</v>
      </c>
      <c r="U72" s="4">
        <f>(VLOOKUP('11.07'!AC72,'11.07'!$AM$4:$AO$55,3,FALSE))</f>
        <v>50</v>
      </c>
      <c r="V72" s="4">
        <f>(VLOOKUP('11.07'!AD72,'11.07'!$AM$4:$AO$55,3,FALSE))</f>
        <v>50</v>
      </c>
      <c r="W72" s="5">
        <f>(VLOOKUP('11.07'!AE72,'11.07'!$AM$4:$AO$55,3,FALSE))</f>
        <v>0</v>
      </c>
      <c r="X72" s="5">
        <f>(VLOOKUP('11.07'!AF72,'11.07'!$AM$4:$AO$55,3,FALSE))</f>
        <v>0</v>
      </c>
    </row>
    <row r="73" spans="1:24">
      <c r="A73" s="4">
        <f>(VLOOKUP('11.07'!I73,'11.07'!$AM$4:$AO$55,3,FALSE))</f>
        <v>60</v>
      </c>
      <c r="B73" s="4">
        <f>(VLOOKUP('11.07'!J73,'11.07'!$AM$4:$AO$55,3,FALSE))</f>
        <v>60</v>
      </c>
      <c r="C73" s="4">
        <f>(VLOOKUP('11.07'!K73,'11.07'!$AM$4:$AO$55,3,FALSE))</f>
        <v>60</v>
      </c>
      <c r="D73" s="4">
        <f>(VLOOKUP('11.07'!L73,'11.07'!$AM$4:$AO$55,3,FALSE))</f>
        <v>60</v>
      </c>
      <c r="E73" s="4">
        <f>(VLOOKUP('11.07'!M73,'11.07'!$AM$4:$AO$55,3,FALSE))</f>
        <v>60</v>
      </c>
      <c r="F73" s="4">
        <f>(VLOOKUP('11.07'!N73,'11.07'!$AM$4:$AO$55,3,FALSE))</f>
        <v>1000</v>
      </c>
      <c r="G73" s="5">
        <f>(VLOOKUP('11.07'!O73,'11.07'!$AM$4:$AO$55,3,FALSE))</f>
        <v>0</v>
      </c>
      <c r="H73" s="5">
        <f>(VLOOKUP('11.07'!P73,'11.07'!$AM$4:$AO$55,3,FALSE))</f>
        <v>0</v>
      </c>
      <c r="I73" s="4">
        <f>(VLOOKUP('11.07'!Q73,'11.07'!$AM$4:$AO$55,3,FALSE))</f>
        <v>0</v>
      </c>
      <c r="J73" s="4">
        <f>(VLOOKUP('11.07'!R73,'11.07'!$AM$4:$AO$55,3,FALSE))</f>
        <v>0</v>
      </c>
      <c r="K73" s="4">
        <f>(VLOOKUP('11.07'!S73,'11.07'!$AM$4:$AO$55,3,FALSE))</f>
        <v>0</v>
      </c>
      <c r="L73" s="4">
        <f>(VLOOKUP('11.07'!T73,'11.07'!$AM$4:$AO$55,3,FALSE))</f>
        <v>0</v>
      </c>
      <c r="M73" s="4">
        <f>(VLOOKUP('11.07'!U73,'11.07'!$AM$4:$AO$55,3,FALSE))</f>
        <v>0</v>
      </c>
      <c r="N73" s="4">
        <f>(VLOOKUP('11.07'!V73,'11.07'!$AM$4:$AO$55,3,FALSE))</f>
        <v>0</v>
      </c>
      <c r="O73" s="5">
        <f>(VLOOKUP('11.07'!W73,'11.07'!$AM$4:$AO$55,3,FALSE))</f>
        <v>0</v>
      </c>
      <c r="P73" s="5">
        <f>(VLOOKUP('11.07'!X73,'11.07'!$AM$4:$AO$55,3,FALSE))</f>
        <v>0</v>
      </c>
      <c r="Q73" s="4">
        <f>(VLOOKUP('11.07'!Y73,'11.07'!$AM$4:$AO$55,3,FALSE))</f>
        <v>50</v>
      </c>
      <c r="R73" s="4">
        <f>(VLOOKUP('11.07'!Z73,'11.07'!$AM$4:$AO$55,3,FALSE))</f>
        <v>50</v>
      </c>
      <c r="S73" s="4">
        <f>(VLOOKUP('11.07'!AA73,'11.07'!$AM$4:$AO$55,3,FALSE))</f>
        <v>50</v>
      </c>
      <c r="T73" s="4">
        <f>(VLOOKUP('11.07'!AB73,'11.07'!$AM$4:$AO$55,3,FALSE))</f>
        <v>50</v>
      </c>
      <c r="U73" s="4">
        <f>(VLOOKUP('11.07'!AC73,'11.07'!$AM$4:$AO$55,3,FALSE))</f>
        <v>50</v>
      </c>
      <c r="V73" s="4">
        <f>(VLOOKUP('11.07'!AD73,'11.07'!$AM$4:$AO$55,3,FALSE))</f>
        <v>0</v>
      </c>
      <c r="W73" s="5">
        <f>(VLOOKUP('11.07'!AE73,'11.07'!$AM$4:$AO$55,3,FALSE))</f>
        <v>0</v>
      </c>
      <c r="X73" s="5">
        <f>(VLOOKUP('11.07'!AF73,'11.07'!$AM$4:$AO$55,3,FALSE))</f>
        <v>0</v>
      </c>
    </row>
    <row r="74" spans="1:24">
      <c r="A74" s="4">
        <f>(VLOOKUP('11.07'!I74,'11.07'!$AM$4:$AO$55,3,FALSE))</f>
        <v>60</v>
      </c>
      <c r="B74" s="4">
        <f>(VLOOKUP('11.07'!J74,'11.07'!$AM$4:$AO$55,3,FALSE))</f>
        <v>60</v>
      </c>
      <c r="C74" s="4">
        <f>(VLOOKUP('11.07'!K74,'11.07'!$AM$4:$AO$55,3,FALSE))</f>
        <v>60</v>
      </c>
      <c r="D74" s="4">
        <f>(VLOOKUP('11.07'!L74,'11.07'!$AM$4:$AO$55,3,FALSE))</f>
        <v>60</v>
      </c>
      <c r="E74" s="4">
        <f>(VLOOKUP('11.07'!M74,'11.07'!$AM$4:$AO$55,3,FALSE))</f>
        <v>60</v>
      </c>
      <c r="F74" s="4">
        <f>(VLOOKUP('11.07'!N74,'11.07'!$AM$4:$AO$55,3,FALSE))</f>
        <v>60</v>
      </c>
      <c r="G74" s="5">
        <f>(VLOOKUP('11.07'!O74,'11.07'!$AM$4:$AO$55,3,FALSE))</f>
        <v>0</v>
      </c>
      <c r="H74" s="5">
        <f>(VLOOKUP('11.07'!P74,'11.07'!$AM$4:$AO$55,3,FALSE))</f>
        <v>0</v>
      </c>
      <c r="I74" s="4">
        <f>(VLOOKUP('11.07'!Q74,'11.07'!$AM$4:$AO$55,3,FALSE))</f>
        <v>0</v>
      </c>
      <c r="J74" s="4">
        <f>(VLOOKUP('11.07'!R74,'11.07'!$AM$4:$AO$55,3,FALSE))</f>
        <v>0</v>
      </c>
      <c r="K74" s="4">
        <f>(VLOOKUP('11.07'!S74,'11.07'!$AM$4:$AO$55,3,FALSE))</f>
        <v>0</v>
      </c>
      <c r="L74" s="4">
        <f>(VLOOKUP('11.07'!T74,'11.07'!$AM$4:$AO$55,3,FALSE))</f>
        <v>0</v>
      </c>
      <c r="M74" s="4">
        <f>(VLOOKUP('11.07'!U74,'11.07'!$AM$4:$AO$55,3,FALSE))</f>
        <v>0</v>
      </c>
      <c r="N74" s="4">
        <f>(VLOOKUP('11.07'!V74,'11.07'!$AM$4:$AO$55,3,FALSE))</f>
        <v>0</v>
      </c>
      <c r="O74" s="5">
        <f>(VLOOKUP('11.07'!W74,'11.07'!$AM$4:$AO$55,3,FALSE))</f>
        <v>0</v>
      </c>
      <c r="P74" s="5">
        <f>(VLOOKUP('11.07'!X74,'11.07'!$AM$4:$AO$55,3,FALSE))</f>
        <v>0</v>
      </c>
      <c r="Q74" s="4">
        <f>(VLOOKUP('11.07'!Y74,'11.07'!$AM$4:$AO$55,3,FALSE))</f>
        <v>50</v>
      </c>
      <c r="R74" s="4">
        <f>(VLOOKUP('11.07'!Z74,'11.07'!$AM$4:$AO$55,3,FALSE))</f>
        <v>50</v>
      </c>
      <c r="S74" s="4">
        <f>(VLOOKUP('11.07'!AA74,'11.07'!$AM$4:$AO$55,3,FALSE))</f>
        <v>50</v>
      </c>
      <c r="T74" s="4">
        <f>(VLOOKUP('11.07'!AB74,'11.07'!$AM$4:$AO$55,3,FALSE))</f>
        <v>50</v>
      </c>
      <c r="U74" s="4">
        <f>(VLOOKUP('11.07'!AC74,'11.07'!$AM$4:$AO$55,3,FALSE))</f>
        <v>50</v>
      </c>
      <c r="V74" s="4">
        <f>(VLOOKUP('11.07'!AD74,'11.07'!$AM$4:$AO$55,3,FALSE))</f>
        <v>0</v>
      </c>
      <c r="W74" s="5">
        <f>(VLOOKUP('11.07'!AE74,'11.07'!$AM$4:$AO$55,3,FALSE))</f>
        <v>0</v>
      </c>
      <c r="X74" s="5">
        <f>(VLOOKUP('11.07'!AF74,'11.07'!$AM$4:$AO$55,3,FALSE))</f>
        <v>0</v>
      </c>
    </row>
    <row r="75" spans="1:24">
      <c r="A75" s="4">
        <f>(VLOOKUP('11.07'!I75,'11.07'!$AM$4:$AO$55,3,FALSE))</f>
        <v>60</v>
      </c>
      <c r="B75" s="4">
        <f>(VLOOKUP('11.07'!J75,'11.07'!$AM$4:$AO$55,3,FALSE))</f>
        <v>60</v>
      </c>
      <c r="C75" s="4">
        <f>(VLOOKUP('11.07'!K75,'11.07'!$AM$4:$AO$55,3,FALSE))</f>
        <v>60</v>
      </c>
      <c r="D75" s="4">
        <f>(VLOOKUP('11.07'!L75,'11.07'!$AM$4:$AO$55,3,FALSE))</f>
        <v>60</v>
      </c>
      <c r="E75" s="4">
        <f>(VLOOKUP('11.07'!M75,'11.07'!$AM$4:$AO$55,3,FALSE))</f>
        <v>60</v>
      </c>
      <c r="F75" s="4">
        <f>(VLOOKUP('11.07'!N75,'11.07'!$AM$4:$AO$55,3,FALSE))</f>
        <v>60</v>
      </c>
      <c r="G75" s="5">
        <f>(VLOOKUP('11.07'!O75,'11.07'!$AM$4:$AO$55,3,FALSE))</f>
        <v>0</v>
      </c>
      <c r="H75" s="5">
        <f>(VLOOKUP('11.07'!P75,'11.07'!$AM$4:$AO$55,3,FALSE))</f>
        <v>0</v>
      </c>
      <c r="I75" s="4">
        <f>(VLOOKUP('11.07'!Q75,'11.07'!$AM$4:$AO$55,3,FALSE))</f>
        <v>0</v>
      </c>
      <c r="J75" s="4">
        <f>(VLOOKUP('11.07'!R75,'11.07'!$AM$4:$AO$55,3,FALSE))</f>
        <v>0</v>
      </c>
      <c r="K75" s="4">
        <f>(VLOOKUP('11.07'!S75,'11.07'!$AM$4:$AO$55,3,FALSE))</f>
        <v>0</v>
      </c>
      <c r="L75" s="4">
        <f>(VLOOKUP('11.07'!T75,'11.07'!$AM$4:$AO$55,3,FALSE))</f>
        <v>0</v>
      </c>
      <c r="M75" s="4">
        <f>(VLOOKUP('11.07'!U75,'11.07'!$AM$4:$AO$55,3,FALSE))</f>
        <v>0</v>
      </c>
      <c r="N75" s="4">
        <f>(VLOOKUP('11.07'!V75,'11.07'!$AM$4:$AO$55,3,FALSE))</f>
        <v>0</v>
      </c>
      <c r="O75" s="5">
        <f>(VLOOKUP('11.07'!W75,'11.07'!$AM$4:$AO$55,3,FALSE))</f>
        <v>0</v>
      </c>
      <c r="P75" s="5">
        <f>(VLOOKUP('11.07'!X75,'11.07'!$AM$4:$AO$55,3,FALSE))</f>
        <v>0</v>
      </c>
      <c r="Q75" s="4">
        <f>(VLOOKUP('11.07'!Y75,'11.07'!$AM$4:$AO$55,3,FALSE))</f>
        <v>50</v>
      </c>
      <c r="R75" s="4">
        <f>(VLOOKUP('11.07'!Z75,'11.07'!$AM$4:$AO$55,3,FALSE))</f>
        <v>50</v>
      </c>
      <c r="S75" s="4">
        <f>(VLOOKUP('11.07'!AA75,'11.07'!$AM$4:$AO$55,3,FALSE))</f>
        <v>50</v>
      </c>
      <c r="T75" s="4">
        <f>(VLOOKUP('11.07'!AB75,'11.07'!$AM$4:$AO$55,3,FALSE))</f>
        <v>50</v>
      </c>
      <c r="U75" s="4">
        <f>(VLOOKUP('11.07'!AC75,'11.07'!$AM$4:$AO$55,3,FALSE))</f>
        <v>0</v>
      </c>
      <c r="V75" s="4">
        <f>(VLOOKUP('11.07'!AD75,'11.07'!$AM$4:$AO$55,3,FALSE))</f>
        <v>0</v>
      </c>
      <c r="W75" s="5">
        <f>(VLOOKUP('11.07'!AE75,'11.07'!$AM$4:$AO$55,3,FALSE))</f>
        <v>0</v>
      </c>
      <c r="X75" s="5">
        <f>(VLOOKUP('11.07'!AF75,'11.07'!$AM$4:$AO$55,3,FALSE))</f>
        <v>0</v>
      </c>
    </row>
    <row r="76" spans="1:24">
      <c r="A76" s="4">
        <f>(VLOOKUP('11.07'!I76,'11.07'!$AM$4:$AO$55,3,FALSE))</f>
        <v>60</v>
      </c>
      <c r="B76" s="4">
        <f>(VLOOKUP('11.07'!J76,'11.07'!$AM$4:$AO$55,3,FALSE))</f>
        <v>60</v>
      </c>
      <c r="C76" s="4">
        <f>(VLOOKUP('11.07'!K76,'11.07'!$AM$4:$AO$55,3,FALSE))</f>
        <v>60</v>
      </c>
      <c r="D76" s="4">
        <f>(VLOOKUP('11.07'!L76,'11.07'!$AM$4:$AO$55,3,FALSE))</f>
        <v>60</v>
      </c>
      <c r="E76" s="4">
        <f>(VLOOKUP('11.07'!M76,'11.07'!$AM$4:$AO$55,3,FALSE))</f>
        <v>0</v>
      </c>
      <c r="F76" s="4">
        <f>(VLOOKUP('11.07'!N76,'11.07'!$AM$4:$AO$55,3,FALSE))</f>
        <v>0</v>
      </c>
      <c r="G76" s="5">
        <f>(VLOOKUP('11.07'!O76,'11.07'!$AM$4:$AO$55,3,FALSE))</f>
        <v>0</v>
      </c>
      <c r="H76" s="5">
        <f>(VLOOKUP('11.07'!P76,'11.07'!$AM$4:$AO$55,3,FALSE))</f>
        <v>0</v>
      </c>
      <c r="I76" s="4">
        <f>(VLOOKUP('11.07'!Q76,'11.07'!$AM$4:$AO$55,3,FALSE))</f>
        <v>0</v>
      </c>
      <c r="J76" s="4">
        <f>(VLOOKUP('11.07'!R76,'11.07'!$AM$4:$AO$55,3,FALSE))</f>
        <v>0</v>
      </c>
      <c r="K76" s="4">
        <f>(VLOOKUP('11.07'!S76,'11.07'!$AM$4:$AO$55,3,FALSE))</f>
        <v>0</v>
      </c>
      <c r="L76" s="4">
        <f>(VLOOKUP('11.07'!T76,'11.07'!$AM$4:$AO$55,3,FALSE))</f>
        <v>0</v>
      </c>
      <c r="M76" s="4">
        <f>(VLOOKUP('11.07'!U76,'11.07'!$AM$4:$AO$55,3,FALSE))</f>
        <v>0</v>
      </c>
      <c r="N76" s="4">
        <f>(VLOOKUP('11.07'!V76,'11.07'!$AM$4:$AO$55,3,FALSE))</f>
        <v>0</v>
      </c>
      <c r="O76" s="5">
        <f>(VLOOKUP('11.07'!W76,'11.07'!$AM$4:$AO$55,3,FALSE))</f>
        <v>0</v>
      </c>
      <c r="P76" s="5">
        <f>(VLOOKUP('11.07'!X76,'11.07'!$AM$4:$AO$55,3,FALSE))</f>
        <v>0</v>
      </c>
      <c r="Q76" s="4">
        <f>(VLOOKUP('11.07'!Y76,'11.07'!$AM$4:$AO$55,3,FALSE))</f>
        <v>50</v>
      </c>
      <c r="R76" s="4">
        <f>(VLOOKUP('11.07'!Z76,'11.07'!$AM$4:$AO$55,3,FALSE))</f>
        <v>50</v>
      </c>
      <c r="S76" s="4">
        <f>(VLOOKUP('11.07'!AA76,'11.07'!$AM$4:$AO$55,3,FALSE))</f>
        <v>50</v>
      </c>
      <c r="T76" s="4">
        <f>(VLOOKUP('11.07'!AB76,'11.07'!$AM$4:$AO$55,3,FALSE))</f>
        <v>50</v>
      </c>
      <c r="U76" s="4">
        <f>(VLOOKUP('11.07'!AC76,'11.07'!$AM$4:$AO$55,3,FALSE))</f>
        <v>50</v>
      </c>
      <c r="V76" s="4">
        <f>(VLOOKUP('11.07'!AD76,'11.07'!$AM$4:$AO$55,3,FALSE))</f>
        <v>50</v>
      </c>
      <c r="W76" s="5">
        <f>(VLOOKUP('11.07'!AE76,'11.07'!$AM$4:$AO$55,3,FALSE))</f>
        <v>0</v>
      </c>
      <c r="X76" s="5">
        <f>(VLOOKUP('11.07'!AF76,'11.07'!$AM$4:$AO$55,3,FALSE))</f>
        <v>0</v>
      </c>
    </row>
    <row r="77" spans="1:24">
      <c r="A77" s="4">
        <f>(VLOOKUP('11.07'!I77,'11.07'!$AM$4:$AO$55,3,FALSE))</f>
        <v>60</v>
      </c>
      <c r="B77" s="4">
        <f>(VLOOKUP('11.07'!J77,'11.07'!$AM$4:$AO$55,3,FALSE))</f>
        <v>60</v>
      </c>
      <c r="C77" s="4">
        <f>(VLOOKUP('11.07'!K77,'11.07'!$AM$4:$AO$55,3,FALSE))</f>
        <v>60</v>
      </c>
      <c r="D77" s="4">
        <f>(VLOOKUP('11.07'!L77,'11.07'!$AM$4:$AO$55,3,FALSE))</f>
        <v>60</v>
      </c>
      <c r="E77" s="4">
        <f>(VLOOKUP('11.07'!M77,'11.07'!$AM$4:$AO$55,3,FALSE))</f>
        <v>60</v>
      </c>
      <c r="F77" s="4">
        <f>(VLOOKUP('11.07'!N77,'11.07'!$AM$4:$AO$55,3,FALSE))</f>
        <v>0</v>
      </c>
      <c r="G77" s="5">
        <f>(VLOOKUP('11.07'!O77,'11.07'!$AM$4:$AO$55,3,FALSE))</f>
        <v>0</v>
      </c>
      <c r="H77" s="5">
        <f>(VLOOKUP('11.07'!P77,'11.07'!$AM$4:$AO$55,3,FALSE))</f>
        <v>0</v>
      </c>
      <c r="I77" s="4">
        <f>(VLOOKUP('11.07'!Q77,'11.07'!$AM$4:$AO$55,3,FALSE))</f>
        <v>0</v>
      </c>
      <c r="J77" s="4">
        <f>(VLOOKUP('11.07'!R77,'11.07'!$AM$4:$AO$55,3,FALSE))</f>
        <v>0</v>
      </c>
      <c r="K77" s="4">
        <f>(VLOOKUP('11.07'!S77,'11.07'!$AM$4:$AO$55,3,FALSE))</f>
        <v>0</v>
      </c>
      <c r="L77" s="4">
        <f>(VLOOKUP('11.07'!T77,'11.07'!$AM$4:$AO$55,3,FALSE))</f>
        <v>0</v>
      </c>
      <c r="M77" s="4">
        <f>(VLOOKUP('11.07'!U77,'11.07'!$AM$4:$AO$55,3,FALSE))</f>
        <v>0</v>
      </c>
      <c r="N77" s="4">
        <f>(VLOOKUP('11.07'!V77,'11.07'!$AM$4:$AO$55,3,FALSE))</f>
        <v>0</v>
      </c>
      <c r="O77" s="5">
        <f>(VLOOKUP('11.07'!W77,'11.07'!$AM$4:$AO$55,3,FALSE))</f>
        <v>0</v>
      </c>
      <c r="P77" s="5">
        <f>(VLOOKUP('11.07'!X77,'11.07'!$AM$4:$AO$55,3,FALSE))</f>
        <v>0</v>
      </c>
      <c r="Q77" s="4">
        <f>(VLOOKUP('11.07'!Y77,'11.07'!$AM$4:$AO$55,3,FALSE))</f>
        <v>30</v>
      </c>
      <c r="R77" s="4">
        <f>(VLOOKUP('11.07'!Z77,'11.07'!$AM$4:$AO$55,3,FALSE))</f>
        <v>50</v>
      </c>
      <c r="S77" s="4">
        <f>(VLOOKUP('11.07'!AA77,'11.07'!$AM$4:$AO$55,3,FALSE))</f>
        <v>50</v>
      </c>
      <c r="T77" s="4">
        <f>(VLOOKUP('11.07'!AB77,'11.07'!$AM$4:$AO$55,3,FALSE))</f>
        <v>50</v>
      </c>
      <c r="U77" s="4">
        <f>(VLOOKUP('11.07'!AC77,'11.07'!$AM$4:$AO$55,3,FALSE))</f>
        <v>50</v>
      </c>
      <c r="V77" s="4">
        <f>(VLOOKUP('11.07'!AD77,'11.07'!$AM$4:$AO$55,3,FALSE))</f>
        <v>50</v>
      </c>
      <c r="W77" s="5">
        <f>(VLOOKUP('11.07'!AE77,'11.07'!$AM$4:$AO$55,3,FALSE))</f>
        <v>0</v>
      </c>
      <c r="X77" s="5">
        <f>(VLOOKUP('11.07'!AF77,'11.07'!$AM$4:$AO$55,3,FALSE))</f>
        <v>0</v>
      </c>
    </row>
    <row r="78" spans="1:24">
      <c r="A78" s="4">
        <f>(VLOOKUP('11.07'!I78,'11.07'!$AM$4:$AO$55,3,FALSE))</f>
        <v>60</v>
      </c>
      <c r="B78" s="4">
        <f>(VLOOKUP('11.07'!J78,'11.07'!$AM$4:$AO$55,3,FALSE))</f>
        <v>60</v>
      </c>
      <c r="C78" s="4">
        <f>(VLOOKUP('11.07'!K78,'11.07'!$AM$4:$AO$55,3,FALSE))</f>
        <v>0</v>
      </c>
      <c r="D78" s="4">
        <f>(VLOOKUP('11.07'!L78,'11.07'!$AM$4:$AO$55,3,FALSE))</f>
        <v>60</v>
      </c>
      <c r="E78" s="4">
        <f>(VLOOKUP('11.07'!M78,'11.07'!$AM$4:$AO$55,3,FALSE))</f>
        <v>60</v>
      </c>
      <c r="F78" s="4">
        <f>(VLOOKUP('11.07'!N78,'11.07'!$AM$4:$AO$55,3,FALSE))</f>
        <v>0</v>
      </c>
      <c r="G78" s="5">
        <f>(VLOOKUP('11.07'!O78,'11.07'!$AM$4:$AO$55,3,FALSE))</f>
        <v>0</v>
      </c>
      <c r="H78" s="5">
        <f>(VLOOKUP('11.07'!P78,'11.07'!$AM$4:$AO$55,3,FALSE))</f>
        <v>0</v>
      </c>
      <c r="I78" s="4">
        <f>(VLOOKUP('11.07'!Q78,'11.07'!$AM$4:$AO$55,3,FALSE))</f>
        <v>0</v>
      </c>
      <c r="J78" s="4">
        <f>(VLOOKUP('11.07'!R78,'11.07'!$AM$4:$AO$55,3,FALSE))</f>
        <v>0</v>
      </c>
      <c r="K78" s="4">
        <f>(VLOOKUP('11.07'!S78,'11.07'!$AM$4:$AO$55,3,FALSE))</f>
        <v>0</v>
      </c>
      <c r="L78" s="4">
        <f>(VLOOKUP('11.07'!T78,'11.07'!$AM$4:$AO$55,3,FALSE))</f>
        <v>0</v>
      </c>
      <c r="M78" s="4">
        <f>(VLOOKUP('11.07'!U78,'11.07'!$AM$4:$AO$55,3,FALSE))</f>
        <v>0</v>
      </c>
      <c r="N78" s="4">
        <f>(VLOOKUP('11.07'!V78,'11.07'!$AM$4:$AO$55,3,FALSE))</f>
        <v>0</v>
      </c>
      <c r="O78" s="5">
        <f>(VLOOKUP('11.07'!W78,'11.07'!$AM$4:$AO$55,3,FALSE))</f>
        <v>0</v>
      </c>
      <c r="P78" s="5">
        <f>(VLOOKUP('11.07'!X78,'11.07'!$AM$4:$AO$55,3,FALSE))</f>
        <v>0</v>
      </c>
      <c r="Q78" s="4">
        <f>(VLOOKUP('11.07'!Y78,'11.07'!$AM$4:$AO$55,3,FALSE))</f>
        <v>50</v>
      </c>
      <c r="R78" s="4">
        <f>(VLOOKUP('11.07'!Z78,'11.07'!$AM$4:$AO$55,3,FALSE))</f>
        <v>50</v>
      </c>
      <c r="S78" s="4">
        <f>(VLOOKUP('11.07'!AA78,'11.07'!$AM$4:$AO$55,3,FALSE))</f>
        <v>50</v>
      </c>
      <c r="T78" s="4">
        <f>(VLOOKUP('11.07'!AB78,'11.07'!$AM$4:$AO$55,3,FALSE))</f>
        <v>50</v>
      </c>
      <c r="U78" s="4">
        <f>(VLOOKUP('11.07'!AC78,'11.07'!$AM$4:$AO$55,3,FALSE))</f>
        <v>50</v>
      </c>
      <c r="V78" s="4">
        <f>(VLOOKUP('11.07'!AD78,'11.07'!$AM$4:$AO$55,3,FALSE))</f>
        <v>50</v>
      </c>
      <c r="W78" s="5">
        <f>(VLOOKUP('11.07'!AE78,'11.07'!$AM$4:$AO$55,3,FALSE))</f>
        <v>0</v>
      </c>
      <c r="X78" s="5">
        <f>(VLOOKUP('11.07'!AF78,'11.07'!$AM$4:$AO$55,3,FALSE))</f>
        <v>0</v>
      </c>
    </row>
    <row r="79" spans="1:24">
      <c r="A79" s="4">
        <f>(VLOOKUP('11.07'!I79,'11.07'!$AM$4:$AO$55,3,FALSE))</f>
        <v>60</v>
      </c>
      <c r="B79" s="4">
        <f>(VLOOKUP('11.07'!J79,'11.07'!$AM$4:$AO$55,3,FALSE))</f>
        <v>60</v>
      </c>
      <c r="C79" s="4">
        <f>(VLOOKUP('11.07'!K79,'11.07'!$AM$4:$AO$55,3,FALSE))</f>
        <v>60</v>
      </c>
      <c r="D79" s="4">
        <f>(VLOOKUP('11.07'!L79,'11.07'!$AM$4:$AO$55,3,FALSE))</f>
        <v>60</v>
      </c>
      <c r="E79" s="4">
        <f>(VLOOKUP('11.07'!M79,'11.07'!$AM$4:$AO$55,3,FALSE))</f>
        <v>60</v>
      </c>
      <c r="F79" s="4">
        <f>(VLOOKUP('11.07'!N79,'11.07'!$AM$4:$AO$55,3,FALSE))</f>
        <v>60</v>
      </c>
      <c r="G79" s="5">
        <f>(VLOOKUP('11.07'!O79,'11.07'!$AM$4:$AO$55,3,FALSE))</f>
        <v>60</v>
      </c>
      <c r="H79" s="5">
        <f>(VLOOKUP('11.07'!P79,'11.07'!$AM$4:$AO$55,3,FALSE))</f>
        <v>0</v>
      </c>
      <c r="I79" s="4">
        <f>(VLOOKUP('11.07'!Q79,'11.07'!$AM$4:$AO$55,3,FALSE))</f>
        <v>0</v>
      </c>
      <c r="J79" s="4">
        <f>(VLOOKUP('11.07'!R79,'11.07'!$AM$4:$AO$55,3,FALSE))</f>
        <v>0</v>
      </c>
      <c r="K79" s="4">
        <f>(VLOOKUP('11.07'!S79,'11.07'!$AM$4:$AO$55,3,FALSE))</f>
        <v>0</v>
      </c>
      <c r="L79" s="4">
        <f>(VLOOKUP('11.07'!T79,'11.07'!$AM$4:$AO$55,3,FALSE))</f>
        <v>0</v>
      </c>
      <c r="M79" s="4">
        <f>(VLOOKUP('11.07'!U79,'11.07'!$AM$4:$AO$55,3,FALSE))</f>
        <v>0</v>
      </c>
      <c r="N79" s="4">
        <f>(VLOOKUP('11.07'!V79,'11.07'!$AM$4:$AO$55,3,FALSE))</f>
        <v>0</v>
      </c>
      <c r="O79" s="5">
        <f>(VLOOKUP('11.07'!W79,'11.07'!$AM$4:$AO$55,3,FALSE))</f>
        <v>0</v>
      </c>
      <c r="P79" s="5">
        <f>(VLOOKUP('11.07'!X79,'11.07'!$AM$4:$AO$55,3,FALSE))</f>
        <v>0</v>
      </c>
      <c r="Q79" s="4">
        <f>(VLOOKUP('11.07'!Y79,'11.07'!$AM$4:$AO$55,3,FALSE))</f>
        <v>50</v>
      </c>
      <c r="R79" s="4">
        <f>(VLOOKUP('11.07'!Z79,'11.07'!$AM$4:$AO$55,3,FALSE))</f>
        <v>50</v>
      </c>
      <c r="S79" s="4">
        <f>(VLOOKUP('11.07'!AA79,'11.07'!$AM$4:$AO$55,3,FALSE))</f>
        <v>50</v>
      </c>
      <c r="T79" s="4">
        <f>(VLOOKUP('11.07'!AB79,'11.07'!$AM$4:$AO$55,3,FALSE))</f>
        <v>50</v>
      </c>
      <c r="U79" s="4">
        <f>(VLOOKUP('11.07'!AC79,'11.07'!$AM$4:$AO$55,3,FALSE))</f>
        <v>50</v>
      </c>
      <c r="V79" s="4">
        <f>(VLOOKUP('11.07'!AD79,'11.07'!$AM$4:$AO$55,3,FALSE))</f>
        <v>50</v>
      </c>
      <c r="W79" s="5">
        <f>(VLOOKUP('11.07'!AE79,'11.07'!$AM$4:$AO$55,3,FALSE))</f>
        <v>0</v>
      </c>
      <c r="X79" s="5">
        <f>(VLOOKUP('11.07'!AF79,'11.07'!$AM$4:$AO$55,3,FALSE))</f>
        <v>0</v>
      </c>
    </row>
    <row r="80" spans="1:24">
      <c r="A80" s="4">
        <f>(VLOOKUP('11.07'!I80,'11.07'!$AM$4:$AO$55,3,FALSE))</f>
        <v>60</v>
      </c>
      <c r="B80" s="4">
        <f>(VLOOKUP('11.07'!J80,'11.07'!$AM$4:$AO$55,3,FALSE))</f>
        <v>60</v>
      </c>
      <c r="C80" s="4">
        <f>(VLOOKUP('11.07'!K80,'11.07'!$AM$4:$AO$55,3,FALSE))</f>
        <v>60</v>
      </c>
      <c r="D80" s="4">
        <f>(VLOOKUP('11.07'!L80,'11.07'!$AM$4:$AO$55,3,FALSE))</f>
        <v>60</v>
      </c>
      <c r="E80" s="4">
        <f>(VLOOKUP('11.07'!M80,'11.07'!$AM$4:$AO$55,3,FALSE))</f>
        <v>60</v>
      </c>
      <c r="F80" s="4">
        <f>(VLOOKUP('11.07'!N80,'11.07'!$AM$4:$AO$55,3,FALSE))</f>
        <v>60</v>
      </c>
      <c r="G80" s="5">
        <f>(VLOOKUP('11.07'!O80,'11.07'!$AM$4:$AO$55,3,FALSE))</f>
        <v>0</v>
      </c>
      <c r="H80" s="5">
        <f>(VLOOKUP('11.07'!P80,'11.07'!$AM$4:$AO$55,3,FALSE))</f>
        <v>0</v>
      </c>
      <c r="I80" s="4">
        <f>(VLOOKUP('11.07'!Q80,'11.07'!$AM$4:$AO$55,3,FALSE))</f>
        <v>0</v>
      </c>
      <c r="J80" s="4">
        <f>(VLOOKUP('11.07'!R80,'11.07'!$AM$4:$AO$55,3,FALSE))</f>
        <v>0</v>
      </c>
      <c r="K80" s="4">
        <f>(VLOOKUP('11.07'!S80,'11.07'!$AM$4:$AO$55,3,FALSE))</f>
        <v>0</v>
      </c>
      <c r="L80" s="4">
        <f>(VLOOKUP('11.07'!T80,'11.07'!$AM$4:$AO$55,3,FALSE))</f>
        <v>0</v>
      </c>
      <c r="M80" s="4">
        <f>(VLOOKUP('11.07'!U80,'11.07'!$AM$4:$AO$55,3,FALSE))</f>
        <v>0</v>
      </c>
      <c r="N80" s="4">
        <f>(VLOOKUP('11.07'!V80,'11.07'!$AM$4:$AO$55,3,FALSE))</f>
        <v>0</v>
      </c>
      <c r="O80" s="5">
        <f>(VLOOKUP('11.07'!W80,'11.07'!$AM$4:$AO$55,3,FALSE))</f>
        <v>0</v>
      </c>
      <c r="P80" s="5">
        <f>(VLOOKUP('11.07'!X80,'11.07'!$AM$4:$AO$55,3,FALSE))</f>
        <v>0</v>
      </c>
      <c r="Q80" s="4">
        <f>(VLOOKUP('11.07'!Y80,'11.07'!$AM$4:$AO$55,3,FALSE))</f>
        <v>50</v>
      </c>
      <c r="R80" s="4">
        <f>(VLOOKUP('11.07'!Z80,'11.07'!$AM$4:$AO$55,3,FALSE))</f>
        <v>30</v>
      </c>
      <c r="S80" s="4">
        <f>(VLOOKUP('11.07'!AA80,'11.07'!$AM$4:$AO$55,3,FALSE))</f>
        <v>50</v>
      </c>
      <c r="T80" s="4">
        <f>(VLOOKUP('11.07'!AB80,'11.07'!$AM$4:$AO$55,3,FALSE))</f>
        <v>50</v>
      </c>
      <c r="U80" s="4">
        <f>(VLOOKUP('11.07'!AC80,'11.07'!$AM$4:$AO$55,3,FALSE))</f>
        <v>50</v>
      </c>
      <c r="V80" s="4">
        <f>(VLOOKUP('11.07'!AD80,'11.07'!$AM$4:$AO$55,3,FALSE))</f>
        <v>0</v>
      </c>
      <c r="W80" s="5">
        <f>(VLOOKUP('11.07'!AE80,'11.07'!$AM$4:$AO$55,3,FALSE))</f>
        <v>0</v>
      </c>
      <c r="X80" s="5">
        <f>(VLOOKUP('11.07'!AF80,'11.07'!$AM$4:$AO$55,3,FALSE))</f>
        <v>0</v>
      </c>
    </row>
    <row r="81" spans="1:24">
      <c r="A81" s="4">
        <f>(VLOOKUP('11.07'!I81,'11.07'!$AM$4:$AO$55,3,FALSE))</f>
        <v>60</v>
      </c>
      <c r="B81" s="4">
        <f>(VLOOKUP('11.07'!J81,'11.07'!$AM$4:$AO$55,3,FALSE))</f>
        <v>60</v>
      </c>
      <c r="C81" s="4">
        <f>(VLOOKUP('11.07'!K81,'11.07'!$AM$4:$AO$55,3,FALSE))</f>
        <v>60</v>
      </c>
      <c r="D81" s="4">
        <f>(VLOOKUP('11.07'!L81,'11.07'!$AM$4:$AO$55,3,FALSE))</f>
        <v>60</v>
      </c>
      <c r="E81" s="4">
        <f>(VLOOKUP('11.07'!M81,'11.07'!$AM$4:$AO$55,3,FALSE))</f>
        <v>60</v>
      </c>
      <c r="F81" s="4">
        <f>(VLOOKUP('11.07'!N81,'11.07'!$AM$4:$AO$55,3,FALSE))</f>
        <v>60</v>
      </c>
      <c r="G81" s="5">
        <f>(VLOOKUP('11.07'!O81,'11.07'!$AM$4:$AO$55,3,FALSE))</f>
        <v>0</v>
      </c>
      <c r="H81" s="5">
        <f>(VLOOKUP('11.07'!P81,'11.07'!$AM$4:$AO$55,3,FALSE))</f>
        <v>0</v>
      </c>
      <c r="I81" s="4">
        <f>(VLOOKUP('11.07'!Q81,'11.07'!$AM$4:$AO$55,3,FALSE))</f>
        <v>0</v>
      </c>
      <c r="J81" s="4">
        <f>(VLOOKUP('11.07'!R81,'11.07'!$AM$4:$AO$55,3,FALSE))</f>
        <v>0</v>
      </c>
      <c r="K81" s="4">
        <f>(VLOOKUP('11.07'!S81,'11.07'!$AM$4:$AO$55,3,FALSE))</f>
        <v>0</v>
      </c>
      <c r="L81" s="4">
        <f>(VLOOKUP('11.07'!T81,'11.07'!$AM$4:$AO$55,3,FALSE))</f>
        <v>0</v>
      </c>
      <c r="M81" s="4">
        <f>(VLOOKUP('11.07'!U81,'11.07'!$AM$4:$AO$55,3,FALSE))</f>
        <v>0</v>
      </c>
      <c r="N81" s="4">
        <f>(VLOOKUP('11.07'!V81,'11.07'!$AM$4:$AO$55,3,FALSE))</f>
        <v>0</v>
      </c>
      <c r="O81" s="5">
        <f>(VLOOKUP('11.07'!W81,'11.07'!$AM$4:$AO$55,3,FALSE))</f>
        <v>0</v>
      </c>
      <c r="P81" s="5">
        <f>(VLOOKUP('11.07'!X81,'11.07'!$AM$4:$AO$55,3,FALSE))</f>
        <v>0</v>
      </c>
      <c r="Q81" s="4">
        <f>(VLOOKUP('11.07'!Y81,'11.07'!$AM$4:$AO$55,3,FALSE))</f>
        <v>50</v>
      </c>
      <c r="R81" s="4">
        <f>(VLOOKUP('11.07'!Z81,'11.07'!$AM$4:$AO$55,3,FALSE))</f>
        <v>50</v>
      </c>
      <c r="S81" s="4">
        <f>(VLOOKUP('11.07'!AA81,'11.07'!$AM$4:$AO$55,3,FALSE))</f>
        <v>50</v>
      </c>
      <c r="T81" s="4">
        <f>(VLOOKUP('11.07'!AB81,'11.07'!$AM$4:$AO$55,3,FALSE))</f>
        <v>50</v>
      </c>
      <c r="U81" s="4">
        <f>(VLOOKUP('11.07'!AC81,'11.07'!$AM$4:$AO$55,3,FALSE))</f>
        <v>50</v>
      </c>
      <c r="V81" s="4">
        <f>(VLOOKUP('11.07'!AD81,'11.07'!$AM$4:$AO$55,3,FALSE))</f>
        <v>0</v>
      </c>
      <c r="W81" s="5">
        <f>(VLOOKUP('11.07'!AE81,'11.07'!$AM$4:$AO$55,3,FALSE))</f>
        <v>0</v>
      </c>
      <c r="X81" s="5">
        <f>(VLOOKUP('11.07'!AF81,'11.07'!$AM$4:$AO$55,3,FALSE))</f>
        <v>0</v>
      </c>
    </row>
    <row r="82" spans="1:24">
      <c r="A82" s="4">
        <f>(VLOOKUP('11.07'!I82,'11.07'!$AM$4:$AO$55,3,FALSE))</f>
        <v>60</v>
      </c>
      <c r="B82" s="4">
        <f>(VLOOKUP('11.07'!J82,'11.07'!$AM$4:$AO$55,3,FALSE))</f>
        <v>55</v>
      </c>
      <c r="C82" s="4">
        <f>(VLOOKUP('11.07'!K82,'11.07'!$AM$4:$AO$55,3,FALSE))</f>
        <v>55</v>
      </c>
      <c r="D82" s="4">
        <f>(VLOOKUP('11.07'!L82,'11.07'!$AM$4:$AO$55,3,FALSE))</f>
        <v>55</v>
      </c>
      <c r="E82" s="4">
        <f>(VLOOKUP('11.07'!M82,'11.07'!$AM$4:$AO$55,3,FALSE))</f>
        <v>55</v>
      </c>
      <c r="F82" s="4">
        <f>(VLOOKUP('11.07'!N82,'11.07'!$AM$4:$AO$55,3,FALSE))</f>
        <v>55</v>
      </c>
      <c r="G82" s="5">
        <f>(VLOOKUP('11.07'!O82,'11.07'!$AM$4:$AO$55,3,FALSE))</f>
        <v>0</v>
      </c>
      <c r="H82" s="5">
        <f>(VLOOKUP('11.07'!P82,'11.07'!$AM$4:$AO$55,3,FALSE))</f>
        <v>0</v>
      </c>
      <c r="I82" s="4">
        <f>(VLOOKUP('11.07'!Q82,'11.07'!$AM$4:$AO$55,3,FALSE))</f>
        <v>0</v>
      </c>
      <c r="J82" s="4">
        <f>(VLOOKUP('11.07'!R82,'11.07'!$AM$4:$AO$55,3,FALSE))</f>
        <v>0</v>
      </c>
      <c r="K82" s="4">
        <f>(VLOOKUP('11.07'!S82,'11.07'!$AM$4:$AO$55,3,FALSE))</f>
        <v>0</v>
      </c>
      <c r="L82" s="4">
        <f>(VLOOKUP('11.07'!T82,'11.07'!$AM$4:$AO$55,3,FALSE))</f>
        <v>0</v>
      </c>
      <c r="M82" s="4">
        <f>(VLOOKUP('11.07'!U82,'11.07'!$AM$4:$AO$55,3,FALSE))</f>
        <v>0</v>
      </c>
      <c r="N82" s="4">
        <f>(VLOOKUP('11.07'!V82,'11.07'!$AM$4:$AO$55,3,FALSE))</f>
        <v>0</v>
      </c>
      <c r="O82" s="5">
        <f>(VLOOKUP('11.07'!W82,'11.07'!$AM$4:$AO$55,3,FALSE))</f>
        <v>0</v>
      </c>
      <c r="P82" s="5">
        <f>(VLOOKUP('11.07'!X82,'11.07'!$AM$4:$AO$55,3,FALSE))</f>
        <v>0</v>
      </c>
      <c r="Q82" s="4">
        <f>(VLOOKUP('11.07'!Y82,'11.07'!$AM$4:$AO$55,3,FALSE))</f>
        <v>50</v>
      </c>
      <c r="R82" s="4">
        <f>(VLOOKUP('11.07'!Z82,'11.07'!$AM$4:$AO$55,3,FALSE))</f>
        <v>50</v>
      </c>
      <c r="S82" s="4">
        <f>(VLOOKUP('11.07'!AA82,'11.07'!$AM$4:$AO$55,3,FALSE))</f>
        <v>50</v>
      </c>
      <c r="T82" s="4">
        <f>(VLOOKUP('11.07'!AB82,'11.07'!$AM$4:$AO$55,3,FALSE))</f>
        <v>50</v>
      </c>
      <c r="U82" s="4">
        <f>(VLOOKUP('11.07'!AC82,'11.07'!$AM$4:$AO$55,3,FALSE))</f>
        <v>50</v>
      </c>
      <c r="V82" s="4">
        <f>(VLOOKUP('11.07'!AD82,'11.07'!$AM$4:$AO$55,3,FALSE))</f>
        <v>0</v>
      </c>
      <c r="W82" s="5">
        <f>(VLOOKUP('11.07'!AE82,'11.07'!$AM$4:$AO$55,3,FALSE))</f>
        <v>0</v>
      </c>
      <c r="X82" s="5">
        <f>(VLOOKUP('11.07'!AF82,'11.07'!$AM$4:$AO$55,3,FALSE))</f>
        <v>0</v>
      </c>
    </row>
    <row r="83" spans="1:24">
      <c r="A83" s="4">
        <f>(VLOOKUP('11.07'!I83,'11.07'!$AM$4:$AO$55,3,FALSE))</f>
        <v>55</v>
      </c>
      <c r="B83" s="4">
        <f>(VLOOKUP('11.07'!J83,'11.07'!$AM$4:$AO$55,3,FALSE))</f>
        <v>55</v>
      </c>
      <c r="C83" s="4">
        <f>(VLOOKUP('11.07'!K83,'11.07'!$AM$4:$AO$55,3,FALSE))</f>
        <v>55</v>
      </c>
      <c r="D83" s="4">
        <f>(VLOOKUP('11.07'!L83,'11.07'!$AM$4:$AO$55,3,FALSE))</f>
        <v>55</v>
      </c>
      <c r="E83" s="4">
        <f>(VLOOKUP('11.07'!M83,'11.07'!$AM$4:$AO$55,3,FALSE))</f>
        <v>55</v>
      </c>
      <c r="F83" s="4">
        <f>(VLOOKUP('11.07'!N83,'11.07'!$AM$4:$AO$55,3,FALSE))</f>
        <v>55</v>
      </c>
      <c r="G83" s="5">
        <f>(VLOOKUP('11.07'!O83,'11.07'!$AM$4:$AO$55,3,FALSE))</f>
        <v>0</v>
      </c>
      <c r="H83" s="5">
        <f>(VLOOKUP('11.07'!P83,'11.07'!$AM$4:$AO$55,3,FALSE))</f>
        <v>0</v>
      </c>
      <c r="I83" s="4">
        <f>(VLOOKUP('11.07'!Q83,'11.07'!$AM$4:$AO$55,3,FALSE))</f>
        <v>30</v>
      </c>
      <c r="J83" s="4">
        <f>(VLOOKUP('11.07'!R83,'11.07'!$AM$4:$AO$55,3,FALSE))</f>
        <v>35</v>
      </c>
      <c r="K83" s="4">
        <f>(VLOOKUP('11.07'!S83,'11.07'!$AM$4:$AO$55,3,FALSE))</f>
        <v>35</v>
      </c>
      <c r="L83" s="4">
        <f>(VLOOKUP('11.07'!T83,'11.07'!$AM$4:$AO$55,3,FALSE))</f>
        <v>0</v>
      </c>
      <c r="M83" s="4">
        <f>(VLOOKUP('11.07'!U83,'11.07'!$AM$4:$AO$55,3,FALSE))</f>
        <v>0</v>
      </c>
      <c r="N83" s="4">
        <f>(VLOOKUP('11.07'!V83,'11.07'!$AM$4:$AO$55,3,FALSE))</f>
        <v>0</v>
      </c>
      <c r="O83" s="5">
        <f>(VLOOKUP('11.07'!W83,'11.07'!$AM$4:$AO$55,3,FALSE))</f>
        <v>0</v>
      </c>
      <c r="P83" s="5">
        <f>(VLOOKUP('11.07'!X83,'11.07'!$AM$4:$AO$55,3,FALSE))</f>
        <v>0</v>
      </c>
      <c r="Q83" s="4">
        <f>(VLOOKUP('11.07'!Y83,'11.07'!$AM$4:$AO$55,3,FALSE))</f>
        <v>50</v>
      </c>
      <c r="R83" s="4">
        <f>(VLOOKUP('11.07'!Z83,'11.07'!$AM$4:$AO$55,3,FALSE))</f>
        <v>50</v>
      </c>
      <c r="S83" s="4">
        <f>(VLOOKUP('11.07'!AA83,'11.07'!$AM$4:$AO$55,3,FALSE))</f>
        <v>50</v>
      </c>
      <c r="T83" s="4">
        <f>(VLOOKUP('11.07'!AB83,'11.07'!$AM$4:$AO$55,3,FALSE))</f>
        <v>50</v>
      </c>
      <c r="U83" s="4">
        <f>(VLOOKUP('11.07'!AC83,'11.07'!$AM$4:$AO$55,3,FALSE))</f>
        <v>0</v>
      </c>
      <c r="V83" s="4">
        <f>(VLOOKUP('11.07'!AD83,'11.07'!$AM$4:$AO$55,3,FALSE))</f>
        <v>0</v>
      </c>
      <c r="W83" s="5">
        <f>(VLOOKUP('11.07'!AE83,'11.07'!$AM$4:$AO$55,3,FALSE))</f>
        <v>0</v>
      </c>
      <c r="X83" s="5">
        <f>(VLOOKUP('11.07'!AF83,'11.07'!$AM$4:$AO$55,3,FALSE))</f>
        <v>0</v>
      </c>
    </row>
    <row r="84" spans="1:24">
      <c r="A84" s="4">
        <f>(VLOOKUP('11.07'!I84,'11.07'!$AM$4:$AO$55,3,FALSE))</f>
        <v>55</v>
      </c>
      <c r="B84" s="4">
        <f>(VLOOKUP('11.07'!J84,'11.07'!$AM$4:$AO$55,3,FALSE))</f>
        <v>55</v>
      </c>
      <c r="C84" s="4">
        <f>(VLOOKUP('11.07'!K84,'11.07'!$AM$4:$AO$55,3,FALSE))</f>
        <v>55</v>
      </c>
      <c r="D84" s="4">
        <f>(VLOOKUP('11.07'!L84,'11.07'!$AM$4:$AO$55,3,FALSE))</f>
        <v>55</v>
      </c>
      <c r="E84" s="4">
        <f>(VLOOKUP('11.07'!M84,'11.07'!$AM$4:$AO$55,3,FALSE))</f>
        <v>55</v>
      </c>
      <c r="F84" s="4">
        <f>(VLOOKUP('11.07'!N84,'11.07'!$AM$4:$AO$55,3,FALSE))</f>
        <v>55</v>
      </c>
      <c r="G84" s="5">
        <f>(VLOOKUP('11.07'!O84,'11.07'!$AM$4:$AO$55,3,FALSE))</f>
        <v>55</v>
      </c>
      <c r="H84" s="5">
        <f>(VLOOKUP('11.07'!P84,'11.07'!$AM$4:$AO$55,3,FALSE))</f>
        <v>0</v>
      </c>
      <c r="I84" s="4">
        <f>(VLOOKUP('11.07'!Q84,'11.07'!$AM$4:$AO$55,3,FALSE))</f>
        <v>0</v>
      </c>
      <c r="J84" s="4">
        <f>(VLOOKUP('11.07'!R84,'11.07'!$AM$4:$AO$55,3,FALSE))</f>
        <v>0</v>
      </c>
      <c r="K84" s="4">
        <f>(VLOOKUP('11.07'!S84,'11.07'!$AM$4:$AO$55,3,FALSE))</f>
        <v>0</v>
      </c>
      <c r="L84" s="4">
        <f>(VLOOKUP('11.07'!T84,'11.07'!$AM$4:$AO$55,3,FALSE))</f>
        <v>0</v>
      </c>
      <c r="M84" s="4">
        <f>(VLOOKUP('11.07'!U84,'11.07'!$AM$4:$AO$55,3,FALSE))</f>
        <v>0</v>
      </c>
      <c r="N84" s="4">
        <f>(VLOOKUP('11.07'!V84,'11.07'!$AM$4:$AO$55,3,FALSE))</f>
        <v>0</v>
      </c>
      <c r="O84" s="5">
        <f>(VLOOKUP('11.07'!W84,'11.07'!$AM$4:$AO$55,3,FALSE))</f>
        <v>0</v>
      </c>
      <c r="P84" s="5">
        <f>(VLOOKUP('11.07'!X84,'11.07'!$AM$4:$AO$55,3,FALSE))</f>
        <v>0</v>
      </c>
      <c r="Q84" s="4">
        <f>(VLOOKUP('11.07'!Y84,'11.07'!$AM$4:$AO$55,3,FALSE))</f>
        <v>50</v>
      </c>
      <c r="R84" s="4">
        <f>(VLOOKUP('11.07'!Z84,'11.07'!$AM$4:$AO$55,3,FALSE))</f>
        <v>50</v>
      </c>
      <c r="S84" s="4">
        <f>(VLOOKUP('11.07'!AA84,'11.07'!$AM$4:$AO$55,3,FALSE))</f>
        <v>50</v>
      </c>
      <c r="T84" s="4">
        <f>(VLOOKUP('11.07'!AB84,'11.07'!$AM$4:$AO$55,3,FALSE))</f>
        <v>0</v>
      </c>
      <c r="U84" s="4">
        <f>(VLOOKUP('11.07'!AC84,'11.07'!$AM$4:$AO$55,3,FALSE))</f>
        <v>0</v>
      </c>
      <c r="V84" s="4">
        <f>(VLOOKUP('11.07'!AD84,'11.07'!$AM$4:$AO$55,3,FALSE))</f>
        <v>0</v>
      </c>
      <c r="W84" s="5">
        <f>(VLOOKUP('11.07'!AE84,'11.07'!$AM$4:$AO$55,3,FALSE))</f>
        <v>0</v>
      </c>
      <c r="X84" s="5">
        <f>(VLOOKUP('11.07'!AF84,'11.07'!$AM$4:$AO$55,3,FALSE))</f>
        <v>0</v>
      </c>
    </row>
    <row r="85" spans="1:24">
      <c r="A85" s="4">
        <f>(VLOOKUP('11.07'!I85,'11.07'!$AM$4:$AO$55,3,FALSE))</f>
        <v>55</v>
      </c>
      <c r="B85" s="4">
        <f>(VLOOKUP('11.07'!J85,'11.07'!$AM$4:$AO$55,3,FALSE))</f>
        <v>55</v>
      </c>
      <c r="C85" s="4">
        <f>(VLOOKUP('11.07'!K85,'11.07'!$AM$4:$AO$55,3,FALSE))</f>
        <v>55</v>
      </c>
      <c r="D85" s="4">
        <f>(VLOOKUP('11.07'!L85,'11.07'!$AM$4:$AO$55,3,FALSE))</f>
        <v>55</v>
      </c>
      <c r="E85" s="4">
        <f>(VLOOKUP('11.07'!M85,'11.07'!$AM$4:$AO$55,3,FALSE))</f>
        <v>55</v>
      </c>
      <c r="F85" s="4">
        <f>(VLOOKUP('11.07'!N85,'11.07'!$AM$4:$AO$55,3,FALSE))</f>
        <v>0</v>
      </c>
      <c r="G85" s="5">
        <f>(VLOOKUP('11.07'!O85,'11.07'!$AM$4:$AO$55,3,FALSE))</f>
        <v>0</v>
      </c>
      <c r="H85" s="5">
        <f>(VLOOKUP('11.07'!P85,'11.07'!$AM$4:$AO$55,3,FALSE))</f>
        <v>0</v>
      </c>
      <c r="I85" s="4">
        <f>(VLOOKUP('11.07'!Q85,'11.07'!$AM$4:$AO$55,3,FALSE))</f>
        <v>45</v>
      </c>
      <c r="J85" s="4">
        <f>(VLOOKUP('11.07'!R85,'11.07'!$AM$4:$AO$55,3,FALSE))</f>
        <v>0</v>
      </c>
      <c r="K85" s="4">
        <f>(VLOOKUP('11.07'!S85,'11.07'!$AM$4:$AO$55,3,FALSE))</f>
        <v>45</v>
      </c>
      <c r="L85" s="4">
        <f>(VLOOKUP('11.07'!T85,'11.07'!$AM$4:$AO$55,3,FALSE))</f>
        <v>45</v>
      </c>
      <c r="M85" s="4">
        <f>(VLOOKUP('11.07'!U85,'11.07'!$AM$4:$AO$55,3,FALSE))</f>
        <v>45</v>
      </c>
      <c r="N85" s="4">
        <f>(VLOOKUP('11.07'!V85,'11.07'!$AM$4:$AO$55,3,FALSE))</f>
        <v>45</v>
      </c>
      <c r="O85" s="5">
        <f>(VLOOKUP('11.07'!W85,'11.07'!$AM$4:$AO$55,3,FALSE))</f>
        <v>30</v>
      </c>
      <c r="P85" s="5">
        <f>(VLOOKUP('11.07'!X85,'11.07'!$AM$4:$AO$55,3,FALSE))</f>
        <v>0</v>
      </c>
      <c r="Q85" s="4">
        <f>(VLOOKUP('11.07'!Y85,'11.07'!$AM$4:$AO$55,3,FALSE))</f>
        <v>50</v>
      </c>
      <c r="R85" s="4">
        <f>(VLOOKUP('11.07'!Z85,'11.07'!$AM$4:$AO$55,3,FALSE))</f>
        <v>55</v>
      </c>
      <c r="S85" s="4">
        <f>(VLOOKUP('11.07'!AA85,'11.07'!$AM$4:$AO$55,3,FALSE))</f>
        <v>55</v>
      </c>
      <c r="T85" s="4">
        <f>(VLOOKUP('11.07'!AB85,'11.07'!$AM$4:$AO$55,3,FALSE))</f>
        <v>0</v>
      </c>
      <c r="U85" s="4">
        <f>(VLOOKUP('11.07'!AC85,'11.07'!$AM$4:$AO$55,3,FALSE))</f>
        <v>0</v>
      </c>
      <c r="V85" s="4">
        <f>(VLOOKUP('11.07'!AD85,'11.07'!$AM$4:$AO$55,3,FALSE))</f>
        <v>0</v>
      </c>
      <c r="W85" s="5">
        <f>(VLOOKUP('11.07'!AE85,'11.07'!$AM$4:$AO$55,3,FALSE))</f>
        <v>0</v>
      </c>
      <c r="X85" s="5">
        <f>(VLOOKUP('11.07'!AF85,'11.07'!$AM$4:$AO$55,3,FALSE))</f>
        <v>0</v>
      </c>
    </row>
    <row r="86" spans="1:24">
      <c r="A86" s="4">
        <f>(VLOOKUP('11.07'!I86,'11.07'!$AM$4:$AO$55,3,FALSE))</f>
        <v>55</v>
      </c>
      <c r="B86" s="4">
        <f>(VLOOKUP('11.07'!J86,'11.07'!$AM$4:$AO$55,3,FALSE))</f>
        <v>55</v>
      </c>
      <c r="C86" s="4">
        <f>(VLOOKUP('11.07'!K86,'11.07'!$AM$4:$AO$55,3,FALSE))</f>
        <v>55</v>
      </c>
      <c r="D86" s="4">
        <f>(VLOOKUP('11.07'!L86,'11.07'!$AM$4:$AO$55,3,FALSE))</f>
        <v>55</v>
      </c>
      <c r="E86" s="4">
        <f>(VLOOKUP('11.07'!M86,'11.07'!$AM$4:$AO$55,3,FALSE))</f>
        <v>55</v>
      </c>
      <c r="F86" s="4">
        <f>(VLOOKUP('11.07'!N86,'11.07'!$AM$4:$AO$55,3,FALSE))</f>
        <v>55</v>
      </c>
      <c r="G86" s="5">
        <f>(VLOOKUP('11.07'!O86,'11.07'!$AM$4:$AO$55,3,FALSE))</f>
        <v>0</v>
      </c>
      <c r="H86" s="5">
        <f>(VLOOKUP('11.07'!P86,'11.07'!$AM$4:$AO$55,3,FALSE))</f>
        <v>0</v>
      </c>
      <c r="I86" s="4">
        <f>(VLOOKUP('11.07'!Q86,'11.07'!$AM$4:$AO$55,3,FALSE))</f>
        <v>45</v>
      </c>
      <c r="J86" s="4">
        <f>(VLOOKUP('11.07'!R86,'11.07'!$AM$4:$AO$55,3,FALSE))</f>
        <v>45</v>
      </c>
      <c r="K86" s="4">
        <f>(VLOOKUP('11.07'!S86,'11.07'!$AM$4:$AO$55,3,FALSE))</f>
        <v>45</v>
      </c>
      <c r="L86" s="4">
        <f>(VLOOKUP('11.07'!T86,'11.07'!$AM$4:$AO$55,3,FALSE))</f>
        <v>45</v>
      </c>
      <c r="M86" s="4">
        <f>(VLOOKUP('11.07'!U86,'11.07'!$AM$4:$AO$55,3,FALSE))</f>
        <v>45</v>
      </c>
      <c r="N86" s="4">
        <f>(VLOOKUP('11.07'!V86,'11.07'!$AM$4:$AO$55,3,FALSE))</f>
        <v>0</v>
      </c>
      <c r="O86" s="5">
        <f>(VLOOKUP('11.07'!W86,'11.07'!$AM$4:$AO$55,3,FALSE))</f>
        <v>0</v>
      </c>
      <c r="P86" s="5">
        <f>(VLOOKUP('11.07'!X86,'11.07'!$AM$4:$AO$55,3,FALSE))</f>
        <v>0</v>
      </c>
      <c r="Q86" s="4">
        <f>(VLOOKUP('11.07'!Y86,'11.07'!$AM$4:$AO$55,3,FALSE))</f>
        <v>0</v>
      </c>
      <c r="R86" s="4">
        <f>(VLOOKUP('11.07'!Z86,'11.07'!$AM$4:$AO$55,3,FALSE))</f>
        <v>0</v>
      </c>
      <c r="S86" s="4">
        <f>(VLOOKUP('11.07'!AA86,'11.07'!$AM$4:$AO$55,3,FALSE))</f>
        <v>0</v>
      </c>
      <c r="T86" s="4">
        <f>(VLOOKUP('11.07'!AB86,'11.07'!$AM$4:$AO$55,3,FALSE))</f>
        <v>0</v>
      </c>
      <c r="U86" s="4">
        <f>(VLOOKUP('11.07'!AC86,'11.07'!$AM$4:$AO$55,3,FALSE))</f>
        <v>0</v>
      </c>
      <c r="V86" s="4">
        <f>(VLOOKUP('11.07'!AD86,'11.07'!$AM$4:$AO$55,3,FALSE))</f>
        <v>0</v>
      </c>
      <c r="W86" s="5">
        <f>(VLOOKUP('11.07'!AE86,'11.07'!$AM$4:$AO$55,3,FALSE))</f>
        <v>0</v>
      </c>
      <c r="X86" s="5">
        <f>(VLOOKUP('11.07'!AF86,'11.07'!$AM$4:$AO$55,3,FALSE))</f>
        <v>0</v>
      </c>
    </row>
    <row r="87" spans="1:24">
      <c r="A87" s="4">
        <f>(VLOOKUP('11.07'!I87,'11.07'!$AM$4:$AO$55,3,FALSE))</f>
        <v>55</v>
      </c>
      <c r="B87" s="4">
        <f>(VLOOKUP('11.07'!J87,'11.07'!$AM$4:$AO$55,3,FALSE))</f>
        <v>55</v>
      </c>
      <c r="C87" s="4">
        <f>(VLOOKUP('11.07'!K87,'11.07'!$AM$4:$AO$55,3,FALSE))</f>
        <v>55</v>
      </c>
      <c r="D87" s="4">
        <f>(VLOOKUP('11.07'!L87,'11.07'!$AM$4:$AO$55,3,FALSE))</f>
        <v>0</v>
      </c>
      <c r="E87" s="4">
        <f>(VLOOKUP('11.07'!M87,'11.07'!$AM$4:$AO$55,3,FALSE))</f>
        <v>0</v>
      </c>
      <c r="F87" s="4">
        <f>(VLOOKUP('11.07'!N87,'11.07'!$AM$4:$AO$55,3,FALSE))</f>
        <v>0</v>
      </c>
      <c r="G87" s="5">
        <f>(VLOOKUP('11.07'!O87,'11.07'!$AM$4:$AO$55,3,FALSE))</f>
        <v>0</v>
      </c>
      <c r="H87" s="5">
        <f>(VLOOKUP('11.07'!P87,'11.07'!$AM$4:$AO$55,3,FALSE))</f>
        <v>0</v>
      </c>
      <c r="I87" s="4">
        <f>(VLOOKUP('11.07'!Q87,'11.07'!$AM$4:$AO$55,3,FALSE))</f>
        <v>30</v>
      </c>
      <c r="J87" s="4">
        <f>(VLOOKUP('11.07'!R87,'11.07'!$AM$4:$AO$55,3,FALSE))</f>
        <v>45</v>
      </c>
      <c r="K87" s="4">
        <f>(VLOOKUP('11.07'!S87,'11.07'!$AM$4:$AO$55,3,FALSE))</f>
        <v>45</v>
      </c>
      <c r="L87" s="4">
        <f>(VLOOKUP('11.07'!T87,'11.07'!$AM$4:$AO$55,3,FALSE))</f>
        <v>40</v>
      </c>
      <c r="M87" s="4">
        <f>(VLOOKUP('11.07'!U87,'11.07'!$AM$4:$AO$55,3,FALSE))</f>
        <v>40</v>
      </c>
      <c r="N87" s="4">
        <f>(VLOOKUP('11.07'!V87,'11.07'!$AM$4:$AO$55,3,FALSE))</f>
        <v>40</v>
      </c>
      <c r="O87" s="5">
        <f>(VLOOKUP('11.07'!W87,'11.07'!$AM$4:$AO$55,3,FALSE))</f>
        <v>0</v>
      </c>
      <c r="P87" s="5">
        <f>(VLOOKUP('11.07'!X87,'11.07'!$AM$4:$AO$55,3,FALSE))</f>
        <v>0</v>
      </c>
      <c r="Q87" s="4">
        <f>(VLOOKUP('11.07'!Y87,'11.07'!$AM$4:$AO$55,3,FALSE))</f>
        <v>55</v>
      </c>
      <c r="R87" s="4">
        <f>(VLOOKUP('11.07'!Z87,'11.07'!$AM$4:$AO$55,3,FALSE))</f>
        <v>0</v>
      </c>
      <c r="S87" s="4">
        <f>(VLOOKUP('11.07'!AA87,'11.07'!$AM$4:$AO$55,3,FALSE))</f>
        <v>55</v>
      </c>
      <c r="T87" s="4">
        <f>(VLOOKUP('11.07'!AB87,'11.07'!$AM$4:$AO$55,3,FALSE))</f>
        <v>520</v>
      </c>
      <c r="U87" s="4">
        <f>(VLOOKUP('11.07'!AC87,'11.07'!$AM$4:$AO$55,3,FALSE))</f>
        <v>55</v>
      </c>
      <c r="V87" s="4">
        <f>(VLOOKUP('11.07'!AD87,'11.07'!$AM$4:$AO$55,3,FALSE))</f>
        <v>0</v>
      </c>
      <c r="W87" s="5">
        <f>(VLOOKUP('11.07'!AE87,'11.07'!$AM$4:$AO$55,3,FALSE))</f>
        <v>0</v>
      </c>
      <c r="X87" s="5">
        <f>(VLOOKUP('11.07'!AF87,'11.07'!$AM$4:$AO$55,3,FALSE))</f>
        <v>0</v>
      </c>
    </row>
    <row r="88" spans="1:24">
      <c r="A88" s="4">
        <f>(VLOOKUP('11.07'!I88,'11.07'!$AM$4:$AO$55,3,FALSE))</f>
        <v>0</v>
      </c>
      <c r="B88" s="4">
        <f>(VLOOKUP('11.07'!J88,'11.07'!$AM$4:$AO$55,3,FALSE))</f>
        <v>0</v>
      </c>
      <c r="C88" s="4">
        <f>(VLOOKUP('11.07'!K88,'11.07'!$AM$4:$AO$55,3,FALSE))</f>
        <v>0</v>
      </c>
      <c r="D88" s="4">
        <f>(VLOOKUP('11.07'!L88,'11.07'!$AM$4:$AO$55,3,FALSE))</f>
        <v>0</v>
      </c>
      <c r="E88" s="4">
        <f>(VLOOKUP('11.07'!M88,'11.07'!$AM$4:$AO$55,3,FALSE))</f>
        <v>0</v>
      </c>
      <c r="F88" s="4">
        <f>(VLOOKUP('11.07'!N88,'11.07'!$AM$4:$AO$55,3,FALSE))</f>
        <v>0</v>
      </c>
      <c r="G88" s="5">
        <f>(VLOOKUP('11.07'!O88,'11.07'!$AM$4:$AO$55,3,FALSE))</f>
        <v>0</v>
      </c>
      <c r="H88" s="5">
        <f>(VLOOKUP('11.07'!P88,'11.07'!$AM$4:$AO$55,3,FALSE))</f>
        <v>0</v>
      </c>
      <c r="I88" s="4">
        <f>(VLOOKUP('11.07'!Q88,'11.07'!$AM$4:$AO$55,3,FALSE))</f>
        <v>40</v>
      </c>
      <c r="J88" s="4">
        <f>(VLOOKUP('11.07'!R88,'11.07'!$AM$4:$AO$55,3,FALSE))</f>
        <v>40</v>
      </c>
      <c r="K88" s="4">
        <f>(VLOOKUP('11.07'!S88,'11.07'!$AM$4:$AO$55,3,FALSE))</f>
        <v>30</v>
      </c>
      <c r="L88" s="4">
        <f>(VLOOKUP('11.07'!T88,'11.07'!$AM$4:$AO$55,3,FALSE))</f>
        <v>40</v>
      </c>
      <c r="M88" s="4">
        <f>(VLOOKUP('11.07'!U88,'11.07'!$AM$4:$AO$55,3,FALSE))</f>
        <v>40</v>
      </c>
      <c r="N88" s="4">
        <f>(VLOOKUP('11.07'!V88,'11.07'!$AM$4:$AO$55,3,FALSE))</f>
        <v>0</v>
      </c>
      <c r="O88" s="5">
        <f>(VLOOKUP('11.07'!W88,'11.07'!$AM$4:$AO$55,3,FALSE))</f>
        <v>0</v>
      </c>
      <c r="P88" s="5">
        <f>(VLOOKUP('11.07'!X88,'11.07'!$AM$4:$AO$55,3,FALSE))</f>
        <v>0</v>
      </c>
      <c r="Q88" s="4">
        <f>(VLOOKUP('11.07'!Y88,'11.07'!$AM$4:$AO$55,3,FALSE))</f>
        <v>55</v>
      </c>
      <c r="R88" s="4">
        <f>(VLOOKUP('11.07'!Z88,'11.07'!$AM$4:$AO$55,3,FALSE))</f>
        <v>55</v>
      </c>
      <c r="S88" s="4">
        <f>(VLOOKUP('11.07'!AA88,'11.07'!$AM$4:$AO$55,3,FALSE))</f>
        <v>55</v>
      </c>
      <c r="T88" s="4">
        <f>(VLOOKUP('11.07'!AB88,'11.07'!$AM$4:$AO$55,3,FALSE))</f>
        <v>55</v>
      </c>
      <c r="U88" s="4">
        <f>(VLOOKUP('11.07'!AC88,'11.07'!$AM$4:$AO$55,3,FALSE))</f>
        <v>55</v>
      </c>
      <c r="V88" s="4">
        <f>(VLOOKUP('11.07'!AD88,'11.07'!$AM$4:$AO$55,3,FALSE))</f>
        <v>55</v>
      </c>
      <c r="W88" s="5">
        <f>(VLOOKUP('11.07'!AE88,'11.07'!$AM$4:$AO$55,3,FALSE))</f>
        <v>0</v>
      </c>
      <c r="X88" s="5">
        <f>(VLOOKUP('11.07'!AF88,'11.07'!$AM$4:$AO$55,3,FALSE))</f>
        <v>0</v>
      </c>
    </row>
    <row r="89" spans="1:24">
      <c r="A89" s="4">
        <f>(VLOOKUP('11.07'!I89,'11.07'!$AM$4:$AO$55,3,FALSE))</f>
        <v>55</v>
      </c>
      <c r="B89" s="4">
        <f>(VLOOKUP('11.07'!J89,'11.07'!$AM$4:$AO$55,3,FALSE))</f>
        <v>55</v>
      </c>
      <c r="C89" s="4">
        <f>(VLOOKUP('11.07'!K89,'11.07'!$AM$4:$AO$55,3,FALSE))</f>
        <v>520</v>
      </c>
      <c r="D89" s="4">
        <f>(VLOOKUP('11.07'!L89,'11.07'!$AM$4:$AO$55,3,FALSE))</f>
        <v>55</v>
      </c>
      <c r="E89" s="4">
        <f>(VLOOKUP('11.07'!M89,'11.07'!$AM$4:$AO$55,3,FALSE))</f>
        <v>55</v>
      </c>
      <c r="F89" s="4">
        <f>(VLOOKUP('11.07'!N89,'11.07'!$AM$4:$AO$55,3,FALSE))</f>
        <v>55</v>
      </c>
      <c r="G89" s="5">
        <f>(VLOOKUP('11.07'!O89,'11.07'!$AM$4:$AO$55,3,FALSE))</f>
        <v>55</v>
      </c>
      <c r="H89" s="5">
        <f>(VLOOKUP('11.07'!P89,'11.07'!$AM$4:$AO$55,3,FALSE))</f>
        <v>0</v>
      </c>
      <c r="I89" s="4">
        <f>(VLOOKUP('11.07'!Q89,'11.07'!$AM$4:$AO$55,3,FALSE))</f>
        <v>40</v>
      </c>
      <c r="J89" s="4">
        <f>(VLOOKUP('11.07'!R89,'11.07'!$AM$4:$AO$55,3,FALSE))</f>
        <v>40</v>
      </c>
      <c r="K89" s="4">
        <f>(VLOOKUP('11.07'!S89,'11.07'!$AM$4:$AO$55,3,FALSE))</f>
        <v>30</v>
      </c>
      <c r="L89" s="4">
        <f>(VLOOKUP('11.07'!T89,'11.07'!$AM$4:$AO$55,3,FALSE))</f>
        <v>0</v>
      </c>
      <c r="M89" s="4">
        <f>(VLOOKUP('11.07'!U89,'11.07'!$AM$4:$AO$55,3,FALSE))</f>
        <v>0</v>
      </c>
      <c r="N89" s="4">
        <f>(VLOOKUP('11.07'!V89,'11.07'!$AM$4:$AO$55,3,FALSE))</f>
        <v>0</v>
      </c>
      <c r="O89" s="5">
        <f>(VLOOKUP('11.07'!W89,'11.07'!$AM$4:$AO$55,3,FALSE))</f>
        <v>0</v>
      </c>
      <c r="P89" s="5">
        <f>(VLOOKUP('11.07'!X89,'11.07'!$AM$4:$AO$55,3,FALSE))</f>
        <v>0</v>
      </c>
      <c r="Q89" s="4">
        <f>(VLOOKUP('11.07'!Y89,'11.07'!$AM$4:$AO$55,3,FALSE))</f>
        <v>55</v>
      </c>
      <c r="R89" s="4">
        <f>(VLOOKUP('11.07'!Z89,'11.07'!$AM$4:$AO$55,3,FALSE))</f>
        <v>55</v>
      </c>
      <c r="S89" s="4">
        <f>(VLOOKUP('11.07'!AA89,'11.07'!$AM$4:$AO$55,3,FALSE))</f>
        <v>55</v>
      </c>
      <c r="T89" s="4">
        <f>(VLOOKUP('11.07'!AB89,'11.07'!$AM$4:$AO$55,3,FALSE))</f>
        <v>0</v>
      </c>
      <c r="U89" s="4">
        <f>(VLOOKUP('11.07'!AC89,'11.07'!$AM$4:$AO$55,3,FALSE))</f>
        <v>0</v>
      </c>
      <c r="V89" s="4">
        <f>(VLOOKUP('11.07'!AD89,'11.07'!$AM$4:$AO$55,3,FALSE))</f>
        <v>0</v>
      </c>
      <c r="W89" s="5">
        <f>(VLOOKUP('11.07'!AE89,'11.07'!$AM$4:$AO$55,3,FALSE))</f>
        <v>0</v>
      </c>
      <c r="X89" s="5">
        <f>(VLOOKUP('11.07'!AF89,'11.07'!$AM$4:$AO$55,3,FALSE))</f>
        <v>0</v>
      </c>
    </row>
    <row r="90" spans="1:24">
      <c r="A90" s="4">
        <f>(VLOOKUP('11.07'!I90,'11.07'!$AM$4:$AO$55,3,FALSE))</f>
        <v>55</v>
      </c>
      <c r="B90" s="4">
        <f>(VLOOKUP('11.07'!J90,'11.07'!$AM$4:$AO$55,3,FALSE))</f>
        <v>55</v>
      </c>
      <c r="C90" s="4">
        <f>(VLOOKUP('11.07'!K90,'11.07'!$AM$4:$AO$55,3,FALSE))</f>
        <v>55</v>
      </c>
      <c r="D90" s="4">
        <f>(VLOOKUP('11.07'!L90,'11.07'!$AM$4:$AO$55,3,FALSE))</f>
        <v>55</v>
      </c>
      <c r="E90" s="4">
        <f>(VLOOKUP('11.07'!M90,'11.07'!$AM$4:$AO$55,3,FALSE))</f>
        <v>55</v>
      </c>
      <c r="F90" s="4">
        <f>(VLOOKUP('11.07'!N90,'11.07'!$AM$4:$AO$55,3,FALSE))</f>
        <v>0</v>
      </c>
      <c r="G90" s="5">
        <f>(VLOOKUP('11.07'!O90,'11.07'!$AM$4:$AO$55,3,FALSE))</f>
        <v>0</v>
      </c>
      <c r="H90" s="5">
        <f>(VLOOKUP('11.07'!P90,'11.07'!$AM$4:$AO$55,3,FALSE))</f>
        <v>0</v>
      </c>
      <c r="I90" s="4">
        <f>(VLOOKUP('11.07'!Q90,'11.07'!$AM$4:$AO$55,3,FALSE))</f>
        <v>40</v>
      </c>
      <c r="J90" s="4">
        <f>(VLOOKUP('11.07'!R90,'11.07'!$AM$4:$AO$55,3,FALSE))</f>
        <v>40</v>
      </c>
      <c r="K90" s="4">
        <f>(VLOOKUP('11.07'!S90,'11.07'!$AM$4:$AO$55,3,FALSE))</f>
        <v>40</v>
      </c>
      <c r="L90" s="4">
        <f>(VLOOKUP('11.07'!T90,'11.07'!$AM$4:$AO$55,3,FALSE))</f>
        <v>30</v>
      </c>
      <c r="M90" s="4">
        <f>(VLOOKUP('11.07'!U90,'11.07'!$AM$4:$AO$55,3,FALSE))</f>
        <v>40</v>
      </c>
      <c r="N90" s="4">
        <f>(VLOOKUP('11.07'!V90,'11.07'!$AM$4:$AO$55,3,FALSE))</f>
        <v>40</v>
      </c>
      <c r="O90" s="5">
        <f>(VLOOKUP('11.07'!W90,'11.07'!$AM$4:$AO$55,3,FALSE))</f>
        <v>0</v>
      </c>
      <c r="P90" s="5">
        <f>(VLOOKUP('11.07'!X90,'11.07'!$AM$4:$AO$55,3,FALSE))</f>
        <v>0</v>
      </c>
      <c r="Q90" s="4">
        <f>(VLOOKUP('11.07'!Y90,'11.07'!$AM$4:$AO$55,3,FALSE))</f>
        <v>55</v>
      </c>
      <c r="R90" s="4">
        <f>(VLOOKUP('11.07'!Z90,'11.07'!$AM$4:$AO$55,3,FALSE))</f>
        <v>55</v>
      </c>
      <c r="S90" s="4">
        <f>(VLOOKUP('11.07'!AA90,'11.07'!$AM$4:$AO$55,3,FALSE))</f>
        <v>0</v>
      </c>
      <c r="T90" s="4">
        <f>(VLOOKUP('11.07'!AB90,'11.07'!$AM$4:$AO$55,3,FALSE))</f>
        <v>0</v>
      </c>
      <c r="U90" s="4">
        <f>(VLOOKUP('11.07'!AC90,'11.07'!$AM$4:$AO$55,3,FALSE))</f>
        <v>0</v>
      </c>
      <c r="V90" s="4">
        <f>(VLOOKUP('11.07'!AD90,'11.07'!$AM$4:$AO$55,3,FALSE))</f>
        <v>0</v>
      </c>
      <c r="W90" s="5">
        <f>(VLOOKUP('11.07'!AE90,'11.07'!$AM$4:$AO$55,3,FALSE))</f>
        <v>0</v>
      </c>
      <c r="X90" s="5">
        <f>(VLOOKUP('11.07'!AF90,'11.07'!$AM$4:$AO$55,3,FALSE))</f>
        <v>0</v>
      </c>
    </row>
    <row r="91" spans="1:24">
      <c r="A91" s="4">
        <f>(VLOOKUP('11.07'!I91,'11.07'!$AM$4:$AO$55,3,FALSE))</f>
        <v>55</v>
      </c>
      <c r="B91" s="4">
        <f>(VLOOKUP('11.07'!J91,'11.07'!$AM$4:$AO$55,3,FALSE))</f>
        <v>55</v>
      </c>
      <c r="C91" s="4">
        <f>(VLOOKUP('11.07'!K91,'11.07'!$AM$4:$AO$55,3,FALSE))</f>
        <v>55</v>
      </c>
      <c r="D91" s="4">
        <f>(VLOOKUP('11.07'!L91,'11.07'!$AM$4:$AO$55,3,FALSE))</f>
        <v>55</v>
      </c>
      <c r="E91" s="4">
        <f>(VLOOKUP('11.07'!M91,'11.07'!$AM$4:$AO$55,3,FALSE))</f>
        <v>55</v>
      </c>
      <c r="F91" s="4">
        <f>(VLOOKUP('11.07'!N91,'11.07'!$AM$4:$AO$55,3,FALSE))</f>
        <v>55</v>
      </c>
      <c r="G91" s="5">
        <f>(VLOOKUP('11.07'!O91,'11.07'!$AM$4:$AO$55,3,FALSE))</f>
        <v>0</v>
      </c>
      <c r="H91" s="5">
        <f>(VLOOKUP('11.07'!P91,'11.07'!$AM$4:$AO$55,3,FALSE))</f>
        <v>0</v>
      </c>
      <c r="I91" s="4">
        <f>(VLOOKUP('11.07'!Q91,'11.07'!$AM$4:$AO$55,3,FALSE))</f>
        <v>40</v>
      </c>
      <c r="J91" s="4">
        <f>(VLOOKUP('11.07'!R91,'11.07'!$AM$4:$AO$55,3,FALSE))</f>
        <v>30</v>
      </c>
      <c r="K91" s="4">
        <f>(VLOOKUP('11.07'!S91,'11.07'!$AM$4:$AO$55,3,FALSE))</f>
        <v>0</v>
      </c>
      <c r="L91" s="4">
        <f>(VLOOKUP('11.07'!T91,'11.07'!$AM$4:$AO$55,3,FALSE))</f>
        <v>0</v>
      </c>
      <c r="M91" s="4">
        <f>(VLOOKUP('11.07'!U91,'11.07'!$AM$4:$AO$55,3,FALSE))</f>
        <v>0</v>
      </c>
      <c r="N91" s="4">
        <f>(VLOOKUP('11.07'!V91,'11.07'!$AM$4:$AO$55,3,FALSE))</f>
        <v>0</v>
      </c>
      <c r="O91" s="5">
        <f>(VLOOKUP('11.07'!W91,'11.07'!$AM$4:$AO$55,3,FALSE))</f>
        <v>0</v>
      </c>
      <c r="P91" s="5">
        <f>(VLOOKUP('11.07'!X91,'11.07'!$AM$4:$AO$55,3,FALSE))</f>
        <v>0</v>
      </c>
      <c r="Q91" s="4">
        <f>(VLOOKUP('11.07'!Y91,'11.07'!$AM$4:$AO$55,3,FALSE))</f>
        <v>55</v>
      </c>
      <c r="R91" s="4">
        <f>(VLOOKUP('11.07'!Z91,'11.07'!$AM$4:$AO$55,3,FALSE))</f>
        <v>55</v>
      </c>
      <c r="S91" s="4">
        <f>(VLOOKUP('11.07'!AA91,'11.07'!$AM$4:$AO$55,3,FALSE))</f>
        <v>55</v>
      </c>
      <c r="T91" s="4">
        <f>(VLOOKUP('11.07'!AB91,'11.07'!$AM$4:$AO$55,3,FALSE))</f>
        <v>55</v>
      </c>
      <c r="U91" s="4">
        <f>(VLOOKUP('11.07'!AC91,'11.07'!$AM$4:$AO$55,3,FALSE))</f>
        <v>0</v>
      </c>
      <c r="V91" s="4">
        <f>(VLOOKUP('11.07'!AD91,'11.07'!$AM$4:$AO$55,3,FALSE))</f>
        <v>0</v>
      </c>
      <c r="W91" s="5">
        <f>(VLOOKUP('11.07'!AE91,'11.07'!$AM$4:$AO$55,3,FALSE))</f>
        <v>0</v>
      </c>
      <c r="X91" s="5">
        <f>(VLOOKUP('11.07'!AF91,'11.07'!$AM$4:$AO$55,3,FALSE))</f>
        <v>0</v>
      </c>
    </row>
    <row r="92" spans="1:24">
      <c r="A92" s="4">
        <f>(VLOOKUP('11.07'!I92,'11.07'!$AM$4:$AO$55,3,FALSE))</f>
        <v>55</v>
      </c>
      <c r="B92" s="4">
        <f>(VLOOKUP('11.07'!J92,'11.07'!$AM$4:$AO$55,3,FALSE))</f>
        <v>55</v>
      </c>
      <c r="C92" s="4">
        <f>(VLOOKUP('11.07'!K92,'11.07'!$AM$4:$AO$55,3,FALSE))</f>
        <v>55</v>
      </c>
      <c r="D92" s="4">
        <f>(VLOOKUP('11.07'!L92,'11.07'!$AM$4:$AO$55,3,FALSE))</f>
        <v>55</v>
      </c>
      <c r="E92" s="4">
        <f>(VLOOKUP('11.07'!M92,'11.07'!$AM$4:$AO$55,3,FALSE))</f>
        <v>55</v>
      </c>
      <c r="F92" s="4">
        <f>(VLOOKUP('11.07'!N92,'11.07'!$AM$4:$AO$55,3,FALSE))</f>
        <v>55</v>
      </c>
      <c r="G92" s="5">
        <f>(VLOOKUP('11.07'!O92,'11.07'!$AM$4:$AO$55,3,FALSE))</f>
        <v>0</v>
      </c>
      <c r="H92" s="5">
        <f>(VLOOKUP('11.07'!P92,'11.07'!$AM$4:$AO$55,3,FALSE))</f>
        <v>0</v>
      </c>
      <c r="I92" s="4">
        <f>(VLOOKUP('11.07'!Q92,'11.07'!$AM$4:$AO$55,3,FALSE))</f>
        <v>0</v>
      </c>
      <c r="J92" s="4">
        <f>(VLOOKUP('11.07'!R92,'11.07'!$AM$4:$AO$55,3,FALSE))</f>
        <v>0</v>
      </c>
      <c r="K92" s="4">
        <f>(VLOOKUP('11.07'!S92,'11.07'!$AM$4:$AO$55,3,FALSE))</f>
        <v>0</v>
      </c>
      <c r="L92" s="4">
        <f>(VLOOKUP('11.07'!T92,'11.07'!$AM$4:$AO$55,3,FALSE))</f>
        <v>0</v>
      </c>
      <c r="M92" s="4">
        <f>(VLOOKUP('11.07'!U92,'11.07'!$AM$4:$AO$55,3,FALSE))</f>
        <v>0</v>
      </c>
      <c r="N92" s="4">
        <f>(VLOOKUP('11.07'!V92,'11.07'!$AM$4:$AO$55,3,FALSE))</f>
        <v>0</v>
      </c>
      <c r="O92" s="5">
        <f>(VLOOKUP('11.07'!W92,'11.07'!$AM$4:$AO$55,3,FALSE))</f>
        <v>0</v>
      </c>
      <c r="P92" s="5">
        <f>(VLOOKUP('11.07'!X92,'11.07'!$AM$4:$AO$55,3,FALSE))</f>
        <v>0</v>
      </c>
      <c r="Q92" s="4">
        <f>(VLOOKUP('11.07'!Y92,'11.07'!$AM$4:$AO$55,3,FALSE))</f>
        <v>55</v>
      </c>
      <c r="R92" s="4">
        <f>(VLOOKUP('11.07'!Z92,'11.07'!$AM$4:$AO$55,3,FALSE))</f>
        <v>55</v>
      </c>
      <c r="S92" s="4">
        <f>(VLOOKUP('11.07'!AA92,'11.07'!$AM$4:$AO$55,3,FALSE))</f>
        <v>55</v>
      </c>
      <c r="T92" s="4">
        <f>(VLOOKUP('11.07'!AB92,'11.07'!$AM$4:$AO$55,3,FALSE))</f>
        <v>500</v>
      </c>
      <c r="U92" s="4">
        <f>(VLOOKUP('11.07'!AC92,'11.07'!$AM$4:$AO$55,3,FALSE))</f>
        <v>0</v>
      </c>
      <c r="V92" s="4">
        <f>(VLOOKUP('11.07'!AD92,'11.07'!$AM$4:$AO$55,3,FALSE))</f>
        <v>0</v>
      </c>
      <c r="W92" s="5">
        <f>(VLOOKUP('11.07'!AE92,'11.07'!$AM$4:$AO$55,3,FALSE))</f>
        <v>0</v>
      </c>
      <c r="X92" s="5">
        <f>(VLOOKUP('11.07'!AF92,'11.07'!$AM$4:$AO$55,3,FALSE))</f>
        <v>0</v>
      </c>
    </row>
    <row r="93" spans="1:24">
      <c r="A93" s="4">
        <f>(VLOOKUP('11.07'!I93,'11.07'!$AM$4:$AO$55,3,FALSE))</f>
        <v>55</v>
      </c>
      <c r="B93" s="4">
        <f>(VLOOKUP('11.07'!J93,'11.07'!$AM$4:$AO$55,3,FALSE))</f>
        <v>55</v>
      </c>
      <c r="C93" s="4">
        <f>(VLOOKUP('11.07'!K93,'11.07'!$AM$4:$AO$55,3,FALSE))</f>
        <v>55</v>
      </c>
      <c r="D93" s="4">
        <f>(VLOOKUP('11.07'!L93,'11.07'!$AM$4:$AO$55,3,FALSE))</f>
        <v>55</v>
      </c>
      <c r="E93" s="4">
        <f>(VLOOKUP('11.07'!M93,'11.07'!$AM$4:$AO$55,3,FALSE))</f>
        <v>500</v>
      </c>
      <c r="F93" s="4">
        <f>(VLOOKUP('11.07'!N93,'11.07'!$AM$4:$AO$55,3,FALSE))</f>
        <v>40</v>
      </c>
      <c r="G93" s="5">
        <f>(VLOOKUP('11.07'!O93,'11.07'!$AM$4:$AO$55,3,FALSE))</f>
        <v>40</v>
      </c>
      <c r="H93" s="5">
        <f>(VLOOKUP('11.07'!P93,'11.07'!$AM$4:$AO$55,3,FALSE))</f>
        <v>40</v>
      </c>
      <c r="I93" s="4">
        <f>(VLOOKUP('11.07'!Q93,'11.07'!$AM$4:$AO$55,3,FALSE))</f>
        <v>520</v>
      </c>
      <c r="J93" s="4">
        <f>(VLOOKUP('11.07'!R93,'11.07'!$AM$4:$AO$55,3,FALSE))</f>
        <v>40</v>
      </c>
      <c r="K93" s="4">
        <f>(VLOOKUP('11.07'!S93,'11.07'!$AM$4:$AO$55,3,FALSE))</f>
        <v>40</v>
      </c>
      <c r="L93" s="4">
        <f>(VLOOKUP('11.07'!T93,'11.07'!$AM$4:$AO$55,3,FALSE))</f>
        <v>40</v>
      </c>
      <c r="M93" s="4">
        <f>(VLOOKUP('11.07'!U93,'11.07'!$AM$4:$AO$55,3,FALSE))</f>
        <v>40</v>
      </c>
      <c r="N93" s="4">
        <f>(VLOOKUP('11.07'!V93,'11.07'!$AM$4:$AO$55,3,FALSE))</f>
        <v>30</v>
      </c>
      <c r="O93" s="5">
        <f>(VLOOKUP('11.07'!W93,'11.07'!$AM$4:$AO$55,3,FALSE))</f>
        <v>0</v>
      </c>
      <c r="P93" s="5">
        <f>(VLOOKUP('11.07'!X93,'11.07'!$AM$4:$AO$55,3,FALSE))</f>
        <v>0</v>
      </c>
      <c r="Q93" s="4">
        <f>(VLOOKUP('11.07'!Y93,'11.07'!$AM$4:$AO$55,3,FALSE))</f>
        <v>0</v>
      </c>
      <c r="R93" s="4">
        <f>(VLOOKUP('11.07'!Z93,'11.07'!$AM$4:$AO$55,3,FALSE))</f>
        <v>0</v>
      </c>
      <c r="S93" s="4">
        <f>(VLOOKUP('11.07'!AA93,'11.07'!$AM$4:$AO$55,3,FALSE))</f>
        <v>0</v>
      </c>
      <c r="T93" s="4">
        <f>(VLOOKUP('11.07'!AB93,'11.07'!$AM$4:$AO$55,3,FALSE))</f>
        <v>0</v>
      </c>
      <c r="U93" s="4">
        <f>(VLOOKUP('11.07'!AC93,'11.07'!$AM$4:$AO$55,3,FALSE))</f>
        <v>0</v>
      </c>
      <c r="V93" s="4">
        <f>(VLOOKUP('11.07'!AD93,'11.07'!$AM$4:$AO$55,3,FALSE))</f>
        <v>0</v>
      </c>
      <c r="W93" s="5">
        <f>(VLOOKUP('11.07'!AE93,'11.07'!$AM$4:$AO$55,3,FALSE))</f>
        <v>0</v>
      </c>
      <c r="X93" s="5">
        <f>(VLOOKUP('11.07'!AF93,'11.07'!$AM$4:$AO$55,3,FALSE))</f>
        <v>0</v>
      </c>
    </row>
    <row r="94" spans="1:24">
      <c r="A94" s="4">
        <f>(VLOOKUP('11.07'!I94,'11.07'!$AM$4:$AO$55,3,FALSE))</f>
        <v>40</v>
      </c>
      <c r="B94" s="4">
        <f>(VLOOKUP('11.07'!J94,'11.07'!$AM$4:$AO$55,3,FALSE))</f>
        <v>40</v>
      </c>
      <c r="C94" s="4">
        <f>(VLOOKUP('11.07'!K94,'11.07'!$AM$4:$AO$55,3,FALSE))</f>
        <v>30</v>
      </c>
      <c r="D94" s="4">
        <f>(VLOOKUP('11.07'!L94,'11.07'!$AM$4:$AO$55,3,FALSE))</f>
        <v>0</v>
      </c>
      <c r="E94" s="4">
        <f>(VLOOKUP('11.07'!M94,'11.07'!$AM$4:$AO$55,3,FALSE))</f>
        <v>0</v>
      </c>
      <c r="F94" s="4">
        <f>(VLOOKUP('11.07'!N94,'11.07'!$AM$4:$AO$55,3,FALSE))</f>
        <v>0</v>
      </c>
      <c r="G94" s="5">
        <f>(VLOOKUP('11.07'!O94,'11.07'!$AM$4:$AO$55,3,FALSE))</f>
        <v>0</v>
      </c>
      <c r="H94" s="5">
        <f>(VLOOKUP('11.07'!P94,'11.07'!$AM$4:$AO$55,3,FALSE))</f>
        <v>0</v>
      </c>
      <c r="I94" s="4">
        <f>(VLOOKUP('11.07'!Q94,'11.07'!$AM$4:$AO$55,3,FALSE))</f>
        <v>40</v>
      </c>
      <c r="J94" s="4">
        <f>(VLOOKUP('11.07'!R94,'11.07'!$AM$4:$AO$55,3,FALSE))</f>
        <v>40</v>
      </c>
      <c r="K94" s="4">
        <f>(VLOOKUP('11.07'!S94,'11.07'!$AM$4:$AO$55,3,FALSE))</f>
        <v>40</v>
      </c>
      <c r="L94" s="4">
        <f>(VLOOKUP('11.07'!T94,'11.07'!$AM$4:$AO$55,3,FALSE))</f>
        <v>40</v>
      </c>
      <c r="M94" s="4">
        <f>(VLOOKUP('11.07'!U94,'11.07'!$AM$4:$AO$55,3,FALSE))</f>
        <v>30</v>
      </c>
      <c r="N94" s="4">
        <f>(VLOOKUP('11.07'!V94,'11.07'!$AM$4:$AO$55,3,FALSE))</f>
        <v>0</v>
      </c>
      <c r="O94" s="5">
        <f>(VLOOKUP('11.07'!W94,'11.07'!$AM$4:$AO$55,3,FALSE))</f>
        <v>0</v>
      </c>
      <c r="P94" s="5">
        <f>(VLOOKUP('11.07'!X94,'11.07'!$AM$4:$AO$55,3,FALSE))</f>
        <v>0</v>
      </c>
      <c r="Q94" s="4">
        <f>(VLOOKUP('11.07'!Y94,'11.07'!$AM$4:$AO$55,3,FALSE))</f>
        <v>40</v>
      </c>
      <c r="R94" s="4">
        <f>(VLOOKUP('11.07'!Z94,'11.07'!$AM$4:$AO$55,3,FALSE))</f>
        <v>40</v>
      </c>
      <c r="S94" s="4">
        <f>(VLOOKUP('11.07'!AA94,'11.07'!$AM$4:$AO$55,3,FALSE))</f>
        <v>40</v>
      </c>
      <c r="T94" s="4">
        <f>(VLOOKUP('11.07'!AB94,'11.07'!$AM$4:$AO$55,3,FALSE))</f>
        <v>30</v>
      </c>
      <c r="U94" s="4">
        <f>(VLOOKUP('11.07'!AC94,'11.07'!$AM$4:$AO$55,3,FALSE))</f>
        <v>40</v>
      </c>
      <c r="V94" s="4">
        <f>(VLOOKUP('11.07'!AD94,'11.07'!$AM$4:$AO$55,3,FALSE))</f>
        <v>40</v>
      </c>
      <c r="W94" s="5">
        <f>(VLOOKUP('11.07'!AE94,'11.07'!$AM$4:$AO$55,3,FALSE))</f>
        <v>40</v>
      </c>
      <c r="X94" s="5">
        <f>(VLOOKUP('11.07'!AF94,'11.07'!$AM$4:$AO$55,3,FALSE))</f>
        <v>30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46" t="s">
        <v>60</v>
      </c>
      <c r="B2" s="147"/>
      <c r="C2" s="62" t="s">
        <v>3</v>
      </c>
      <c r="D2" s="62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3" t="s">
        <v>3</v>
      </c>
      <c r="L2" s="63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64">
        <f>COUNTIF(Q4:X94,"&lt;&gt;空")</f>
        <v>728</v>
      </c>
      <c r="U2" s="144" t="s">
        <v>4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(VLOOKUP('11.07'!I4,'11.07'!$AM$4:$AP$55,4,FALSE))</f>
        <v>44.222109392472248</v>
      </c>
      <c r="B4" s="4">
        <f>(VLOOKUP('11.07'!J4,'11.07'!$AM$4:$AP$55,4,FALSE))</f>
        <v>44.222109392472248</v>
      </c>
      <c r="C4" s="4">
        <f>(VLOOKUP('11.07'!K4,'11.07'!$AM$4:$AP$55,4,FALSE))</f>
        <v>44.222109392472248</v>
      </c>
      <c r="D4" s="4">
        <f>(VLOOKUP('11.07'!L4,'11.07'!$AM$4:$AP$55,4,FALSE))</f>
        <v>0</v>
      </c>
      <c r="E4" s="4">
        <f>(VLOOKUP('11.07'!M4,'11.07'!$AM$4:$AP$55,4,FALSE))</f>
        <v>0</v>
      </c>
      <c r="F4" s="4">
        <f>(VLOOKUP('11.07'!N4,'11.07'!$AM$4:$AP$55,4,FALSE))</f>
        <v>0</v>
      </c>
      <c r="G4" s="4">
        <f>(VLOOKUP('11.07'!O4,'11.07'!$AM$4:$AP$55,4,FALSE))</f>
        <v>0</v>
      </c>
      <c r="H4" s="4">
        <f>(VLOOKUP('11.07'!P4,'11.07'!$AM$4:$AP$55,4,FALSE))</f>
        <v>0</v>
      </c>
      <c r="I4" s="4">
        <f>(VLOOKUP('11.07'!Q4,'11.07'!$AM$4:$AP$55,4,FALSE))</f>
        <v>44.222109392472248</v>
      </c>
      <c r="J4" s="4">
        <f>(VLOOKUP('11.07'!R4,'11.07'!$AM$4:$AP$55,4,FALSE))</f>
        <v>44.222109392472248</v>
      </c>
      <c r="K4" s="4">
        <f>(VLOOKUP('11.07'!S4,'11.07'!$AM$4:$AP$55,4,FALSE))</f>
        <v>0</v>
      </c>
      <c r="L4" s="4">
        <f>(VLOOKUP('11.07'!T4,'11.07'!$AM$4:$AP$55,4,FALSE))</f>
        <v>0</v>
      </c>
      <c r="M4" s="4">
        <f>(VLOOKUP('11.07'!U4,'11.07'!$AM$4:$AP$55,4,FALSE))</f>
        <v>0</v>
      </c>
      <c r="N4" s="4">
        <f>(VLOOKUP('11.07'!V4,'11.07'!$AM$4:$AP$55,4,FALSE))</f>
        <v>0</v>
      </c>
      <c r="O4" s="4">
        <f>(VLOOKUP('11.07'!W4,'11.07'!$AM$4:$AP$55,4,FALSE))</f>
        <v>0</v>
      </c>
      <c r="P4" s="4">
        <f>(VLOOKUP('11.07'!X4,'11.07'!$AM$4:$AP$55,4,FALSE))</f>
        <v>0</v>
      </c>
      <c r="Q4" s="4">
        <f>(VLOOKUP('11.07'!Y4,'11.07'!$AM$4:$AP$55,4,FALSE))</f>
        <v>44.222109392472248</v>
      </c>
      <c r="R4" s="4">
        <f>(VLOOKUP('11.07'!Z4,'11.07'!$AM$4:$AP$55,4,FALSE))</f>
        <v>44.222109392472248</v>
      </c>
      <c r="S4" s="4">
        <f>(VLOOKUP('11.07'!AA4,'11.07'!$AM$4:$AP$55,4,FALSE))</f>
        <v>44.222109392472248</v>
      </c>
      <c r="T4" s="4">
        <f>(VLOOKUP('11.07'!AB4,'11.07'!$AM$4:$AP$55,4,FALSE))</f>
        <v>44.222109392472248</v>
      </c>
      <c r="U4" s="4">
        <f>(VLOOKUP('11.07'!AC4,'11.07'!$AM$4:$AP$55,4,FALSE))</f>
        <v>44.222109392472248</v>
      </c>
      <c r="V4" s="4">
        <f>(VLOOKUP('11.07'!AD4,'11.07'!$AM$4:$AP$55,4,FALSE))</f>
        <v>10</v>
      </c>
      <c r="W4" s="4">
        <f>(VLOOKUP('11.07'!AE4,'11.07'!$AM$4:$AP$55,4,FALSE))</f>
        <v>0</v>
      </c>
      <c r="X4" s="4">
        <f>(VLOOKUP('11.07'!AF4,'11.07'!$AM$4:$AP$55,4,FALSE))</f>
        <v>0</v>
      </c>
    </row>
    <row r="5" spans="1:24">
      <c r="A5" s="4">
        <f>(VLOOKUP('11.07'!I5,'11.07'!$AM$4:$AP$55,4,FALSE))</f>
        <v>0</v>
      </c>
      <c r="B5" s="4">
        <f>(VLOOKUP('11.07'!J5,'11.07'!$AM$4:$AP$55,4,FALSE))</f>
        <v>0</v>
      </c>
      <c r="C5" s="4">
        <f>(VLOOKUP('11.07'!K5,'11.07'!$AM$4:$AP$55,4,FALSE))</f>
        <v>0</v>
      </c>
      <c r="D5" s="4">
        <f>(VLOOKUP('11.07'!L5,'11.07'!$AM$4:$AP$55,4,FALSE))</f>
        <v>0</v>
      </c>
      <c r="E5" s="4">
        <f>(VLOOKUP('11.07'!M5,'11.07'!$AM$4:$AP$55,4,FALSE))</f>
        <v>0</v>
      </c>
      <c r="F5" s="4">
        <f>(VLOOKUP('11.07'!N5,'11.07'!$AM$4:$AP$55,4,FALSE))</f>
        <v>0</v>
      </c>
      <c r="G5" s="4">
        <f>(VLOOKUP('11.07'!O5,'11.07'!$AM$4:$AP$55,4,FALSE))</f>
        <v>0</v>
      </c>
      <c r="H5" s="4">
        <f>(VLOOKUP('11.07'!P5,'11.07'!$AM$4:$AP$55,4,FALSE))</f>
        <v>0</v>
      </c>
      <c r="I5" s="4">
        <f>(VLOOKUP('11.07'!Q5,'11.07'!$AM$4:$AP$55,4,FALSE))</f>
        <v>0</v>
      </c>
      <c r="J5" s="4">
        <f>(VLOOKUP('11.07'!R5,'11.07'!$AM$4:$AP$55,4,FALSE))</f>
        <v>0</v>
      </c>
      <c r="K5" s="4">
        <f>(VLOOKUP('11.07'!S5,'11.07'!$AM$4:$AP$55,4,FALSE))</f>
        <v>0</v>
      </c>
      <c r="L5" s="4">
        <f>(VLOOKUP('11.07'!T5,'11.07'!$AM$4:$AP$55,4,FALSE))</f>
        <v>0</v>
      </c>
      <c r="M5" s="4">
        <f>(VLOOKUP('11.07'!U5,'11.07'!$AM$4:$AP$55,4,FALSE))</f>
        <v>0</v>
      </c>
      <c r="N5" s="4">
        <f>(VLOOKUP('11.07'!V5,'11.07'!$AM$4:$AP$55,4,FALSE))</f>
        <v>0</v>
      </c>
      <c r="O5" s="4">
        <f>(VLOOKUP('11.07'!W5,'11.07'!$AM$4:$AP$55,4,FALSE))</f>
        <v>0</v>
      </c>
      <c r="P5" s="4">
        <f>(VLOOKUP('11.07'!X5,'11.07'!$AM$4:$AP$55,4,FALSE))</f>
        <v>0</v>
      </c>
      <c r="Q5" s="4">
        <f>(VLOOKUP('11.07'!Y5,'11.07'!$AM$4:$AP$55,4,FALSE))</f>
        <v>44.222109392472248</v>
      </c>
      <c r="R5" s="4">
        <f>(VLOOKUP('11.07'!Z5,'11.07'!$AM$4:$AP$55,4,FALSE))</f>
        <v>44.222109392472248</v>
      </c>
      <c r="S5" s="4">
        <f>(VLOOKUP('11.07'!AA5,'11.07'!$AM$4:$AP$55,4,FALSE))</f>
        <v>44.222109392472248</v>
      </c>
      <c r="T5" s="4">
        <f>(VLOOKUP('11.07'!AB5,'11.07'!$AM$4:$AP$55,4,FALSE))</f>
        <v>10</v>
      </c>
      <c r="U5" s="4">
        <f>(VLOOKUP('11.07'!AC5,'11.07'!$AM$4:$AP$55,4,FALSE))</f>
        <v>39.110982162825422</v>
      </c>
      <c r="V5" s="4">
        <f>(VLOOKUP('11.07'!AD5,'11.07'!$AM$4:$AP$55,4,FALSE))</f>
        <v>39.110982162825422</v>
      </c>
      <c r="W5" s="4">
        <f>(VLOOKUP('11.07'!AE5,'11.07'!$AM$4:$AP$55,4,FALSE))</f>
        <v>39.110982162825422</v>
      </c>
      <c r="X5" s="4">
        <f>(VLOOKUP('11.07'!AF5,'11.07'!$AM$4:$AP$55,4,FALSE))</f>
        <v>39.110982162825422</v>
      </c>
    </row>
    <row r="6" spans="1:24">
      <c r="A6" s="4">
        <f>(VLOOKUP('11.07'!I6,'11.07'!$AM$4:$AP$55,4,FALSE))</f>
        <v>0</v>
      </c>
      <c r="B6" s="4">
        <f>(VLOOKUP('11.07'!J6,'11.07'!$AM$4:$AP$55,4,FALSE))</f>
        <v>0</v>
      </c>
      <c r="C6" s="4">
        <f>(VLOOKUP('11.07'!K6,'11.07'!$AM$4:$AP$55,4,FALSE))</f>
        <v>0</v>
      </c>
      <c r="D6" s="4">
        <f>(VLOOKUP('11.07'!L6,'11.07'!$AM$4:$AP$55,4,FALSE))</f>
        <v>0</v>
      </c>
      <c r="E6" s="4">
        <f>(VLOOKUP('11.07'!M6,'11.07'!$AM$4:$AP$55,4,FALSE))</f>
        <v>0</v>
      </c>
      <c r="F6" s="4">
        <f>(VLOOKUP('11.07'!N6,'11.07'!$AM$4:$AP$55,4,FALSE))</f>
        <v>0</v>
      </c>
      <c r="G6" s="4">
        <f>(VLOOKUP('11.07'!O6,'11.07'!$AM$4:$AP$55,4,FALSE))</f>
        <v>0</v>
      </c>
      <c r="H6" s="4">
        <f>(VLOOKUP('11.07'!P6,'11.07'!$AM$4:$AP$55,4,FALSE))</f>
        <v>0</v>
      </c>
      <c r="I6" s="4">
        <f>(VLOOKUP('11.07'!Q6,'11.07'!$AM$4:$AP$55,4,FALSE))</f>
        <v>0</v>
      </c>
      <c r="J6" s="4">
        <f>(VLOOKUP('11.07'!R6,'11.07'!$AM$4:$AP$55,4,FALSE))</f>
        <v>0</v>
      </c>
      <c r="K6" s="4">
        <f>(VLOOKUP('11.07'!S6,'11.07'!$AM$4:$AP$55,4,FALSE))</f>
        <v>0</v>
      </c>
      <c r="L6" s="4">
        <f>(VLOOKUP('11.07'!T6,'11.07'!$AM$4:$AP$55,4,FALSE))</f>
        <v>0</v>
      </c>
      <c r="M6" s="4">
        <f>(VLOOKUP('11.07'!U6,'11.07'!$AM$4:$AP$55,4,FALSE))</f>
        <v>0</v>
      </c>
      <c r="N6" s="4">
        <f>(VLOOKUP('11.07'!V6,'11.07'!$AM$4:$AP$55,4,FALSE))</f>
        <v>0</v>
      </c>
      <c r="O6" s="4">
        <f>(VLOOKUP('11.07'!W6,'11.07'!$AM$4:$AP$55,4,FALSE))</f>
        <v>0</v>
      </c>
      <c r="P6" s="4">
        <f>(VLOOKUP('11.07'!X6,'11.07'!$AM$4:$AP$55,4,FALSE))</f>
        <v>0</v>
      </c>
      <c r="Q6" s="4">
        <f>(VLOOKUP('11.07'!Y6,'11.07'!$AM$4:$AP$55,4,FALSE))</f>
        <v>10</v>
      </c>
      <c r="R6" s="4">
        <f>(VLOOKUP('11.07'!Z6,'11.07'!$AM$4:$AP$55,4,FALSE))</f>
        <v>39.110982162825422</v>
      </c>
      <c r="S6" s="4">
        <f>(VLOOKUP('11.07'!AA6,'11.07'!$AM$4:$AP$55,4,FALSE))</f>
        <v>39.110982162825422</v>
      </c>
      <c r="T6" s="4">
        <f>(VLOOKUP('11.07'!AB6,'11.07'!$AM$4:$AP$55,4,FALSE))</f>
        <v>39.110982162825422</v>
      </c>
      <c r="U6" s="4">
        <f>(VLOOKUP('11.07'!AC6,'11.07'!$AM$4:$AP$55,4,FALSE))</f>
        <v>34</v>
      </c>
      <c r="V6" s="4">
        <f>(VLOOKUP('11.07'!AD6,'11.07'!$AM$4:$AP$55,4,FALSE))</f>
        <v>0</v>
      </c>
      <c r="W6" s="4">
        <f>(VLOOKUP('11.07'!AE6,'11.07'!$AM$4:$AP$55,4,FALSE))</f>
        <v>0</v>
      </c>
      <c r="X6" s="4">
        <f>(VLOOKUP('11.07'!AF6,'11.07'!$AM$4:$AP$55,4,FALSE))</f>
        <v>0</v>
      </c>
    </row>
    <row r="7" spans="1:24">
      <c r="A7" s="4">
        <f>(VLOOKUP('11.07'!I7,'11.07'!$AM$4:$AP$55,4,FALSE))</f>
        <v>10</v>
      </c>
      <c r="B7" s="4">
        <f>(VLOOKUP('11.07'!J7,'11.07'!$AM$4:$AP$55,4,FALSE))</f>
        <v>34</v>
      </c>
      <c r="C7" s="4">
        <f>(VLOOKUP('11.07'!K7,'11.07'!$AM$4:$AP$55,4,FALSE))</f>
        <v>34</v>
      </c>
      <c r="D7" s="4">
        <f>(VLOOKUP('11.07'!L7,'11.07'!$AM$4:$AP$55,4,FALSE))</f>
        <v>34</v>
      </c>
      <c r="E7" s="4">
        <f>(VLOOKUP('11.07'!M7,'11.07'!$AM$4:$AP$55,4,FALSE))</f>
        <v>34</v>
      </c>
      <c r="F7" s="4">
        <f>(VLOOKUP('11.07'!N7,'11.07'!$AM$4:$AP$55,4,FALSE))</f>
        <v>34</v>
      </c>
      <c r="G7" s="4">
        <f>(VLOOKUP('11.07'!O7,'11.07'!$AM$4:$AP$55,4,FALSE))</f>
        <v>34</v>
      </c>
      <c r="H7" s="4">
        <f>(VLOOKUP('11.07'!P7,'11.07'!$AM$4:$AP$55,4,FALSE))</f>
        <v>0</v>
      </c>
      <c r="I7" s="4">
        <f>(VLOOKUP('11.07'!Q7,'11.07'!$AM$4:$AP$55,4,FALSE))</f>
        <v>0</v>
      </c>
      <c r="J7" s="4">
        <f>(VLOOKUP('11.07'!R7,'11.07'!$AM$4:$AP$55,4,FALSE))</f>
        <v>0</v>
      </c>
      <c r="K7" s="4">
        <f>(VLOOKUP('11.07'!S7,'11.07'!$AM$4:$AP$55,4,FALSE))</f>
        <v>0</v>
      </c>
      <c r="L7" s="4">
        <f>(VLOOKUP('11.07'!T7,'11.07'!$AM$4:$AP$55,4,FALSE))</f>
        <v>0</v>
      </c>
      <c r="M7" s="4">
        <f>(VLOOKUP('11.07'!U7,'11.07'!$AM$4:$AP$55,4,FALSE))</f>
        <v>0</v>
      </c>
      <c r="N7" s="4">
        <f>(VLOOKUP('11.07'!V7,'11.07'!$AM$4:$AP$55,4,FALSE))</f>
        <v>0</v>
      </c>
      <c r="O7" s="4">
        <f>(VLOOKUP('11.07'!W7,'11.07'!$AM$4:$AP$55,4,FALSE))</f>
        <v>0</v>
      </c>
      <c r="P7" s="4">
        <f>(VLOOKUP('11.07'!X7,'11.07'!$AM$4:$AP$55,4,FALSE))</f>
        <v>0</v>
      </c>
      <c r="Q7" s="4">
        <f>(VLOOKUP('11.07'!Y7,'11.07'!$AM$4:$AP$55,4,FALSE))</f>
        <v>34</v>
      </c>
      <c r="R7" s="4">
        <f>(VLOOKUP('11.07'!Z7,'11.07'!$AM$4:$AP$55,4,FALSE))</f>
        <v>10</v>
      </c>
      <c r="S7" s="4">
        <f>(VLOOKUP('11.07'!AA7,'11.07'!$AM$4:$AP$55,4,FALSE))</f>
        <v>34</v>
      </c>
      <c r="T7" s="4">
        <f>(VLOOKUP('11.07'!AB7,'11.07'!$AM$4:$AP$55,4,FALSE))</f>
        <v>0</v>
      </c>
      <c r="U7" s="4">
        <f>(VLOOKUP('11.07'!AC7,'11.07'!$AM$4:$AP$55,4,FALSE))</f>
        <v>34</v>
      </c>
      <c r="V7" s="4">
        <f>(VLOOKUP('11.07'!AD7,'11.07'!$AM$4:$AP$55,4,FALSE))</f>
        <v>34</v>
      </c>
      <c r="W7" s="4">
        <f>(VLOOKUP('11.07'!AE7,'11.07'!$AM$4:$AP$55,4,FALSE))</f>
        <v>0</v>
      </c>
      <c r="X7" s="4">
        <f>(VLOOKUP('11.07'!AF7,'11.07'!$AM$4:$AP$55,4,FALSE))</f>
        <v>0</v>
      </c>
    </row>
    <row r="8" spans="1:24">
      <c r="A8" s="4">
        <f>(VLOOKUP('11.07'!I8,'11.07'!$AM$4:$AP$55,4,FALSE))</f>
        <v>0</v>
      </c>
      <c r="B8" s="4">
        <f>(VLOOKUP('11.07'!J8,'11.07'!$AM$4:$AP$55,4,FALSE))</f>
        <v>34</v>
      </c>
      <c r="C8" s="4">
        <f>(VLOOKUP('11.07'!K8,'11.07'!$AM$4:$AP$55,4,FALSE))</f>
        <v>34</v>
      </c>
      <c r="D8" s="4">
        <f>(VLOOKUP('11.07'!L8,'11.07'!$AM$4:$AP$55,4,FALSE))</f>
        <v>36</v>
      </c>
      <c r="E8" s="4">
        <f>(VLOOKUP('11.07'!M8,'11.07'!$AM$4:$AP$55,4,FALSE))</f>
        <v>36</v>
      </c>
      <c r="F8" s="4">
        <f>(VLOOKUP('11.07'!N8,'11.07'!$AM$4:$AP$55,4,FALSE))</f>
        <v>34</v>
      </c>
      <c r="G8" s="4">
        <f>(VLOOKUP('11.07'!O8,'11.07'!$AM$4:$AP$55,4,FALSE))</f>
        <v>0</v>
      </c>
      <c r="H8" s="4">
        <f>(VLOOKUP('11.07'!P8,'11.07'!$AM$4:$AP$55,4,FALSE))</f>
        <v>0</v>
      </c>
      <c r="I8" s="4">
        <f>(VLOOKUP('11.07'!Q8,'11.07'!$AM$4:$AP$55,4,FALSE))</f>
        <v>0</v>
      </c>
      <c r="J8" s="4">
        <f>(VLOOKUP('11.07'!R8,'11.07'!$AM$4:$AP$55,4,FALSE))</f>
        <v>0</v>
      </c>
      <c r="K8" s="4">
        <f>(VLOOKUP('11.07'!S8,'11.07'!$AM$4:$AP$55,4,FALSE))</f>
        <v>0</v>
      </c>
      <c r="L8" s="4">
        <f>(VLOOKUP('11.07'!T8,'11.07'!$AM$4:$AP$55,4,FALSE))</f>
        <v>0</v>
      </c>
      <c r="M8" s="4">
        <f>(VLOOKUP('11.07'!U8,'11.07'!$AM$4:$AP$55,4,FALSE))</f>
        <v>0</v>
      </c>
      <c r="N8" s="4">
        <f>(VLOOKUP('11.07'!V8,'11.07'!$AM$4:$AP$55,4,FALSE))</f>
        <v>0</v>
      </c>
      <c r="O8" s="4">
        <f>(VLOOKUP('11.07'!W8,'11.07'!$AM$4:$AP$55,4,FALSE))</f>
        <v>0</v>
      </c>
      <c r="P8" s="4">
        <f>(VLOOKUP('11.07'!X8,'11.07'!$AM$4:$AP$55,4,FALSE))</f>
        <v>0</v>
      </c>
      <c r="Q8" s="4">
        <f>(VLOOKUP('11.07'!Y8,'11.07'!$AM$4:$AP$55,4,FALSE))</f>
        <v>13.999854933178597</v>
      </c>
      <c r="R8" s="4">
        <f>(VLOOKUP('11.07'!Z8,'11.07'!$AM$4:$AP$55,4,FALSE))</f>
        <v>34</v>
      </c>
      <c r="S8" s="4">
        <f>(VLOOKUP('11.07'!AA8,'11.07'!$AM$4:$AP$55,4,FALSE))</f>
        <v>34</v>
      </c>
      <c r="T8" s="4">
        <f>(VLOOKUP('11.07'!AB8,'11.07'!$AM$4:$AP$55,4,FALSE))</f>
        <v>10</v>
      </c>
      <c r="U8" s="4">
        <f>(VLOOKUP('11.07'!AC8,'11.07'!$AM$4:$AP$55,4,FALSE))</f>
        <v>34</v>
      </c>
      <c r="V8" s="4">
        <f>(VLOOKUP('11.07'!AD8,'11.07'!$AM$4:$AP$55,4,FALSE))</f>
        <v>34</v>
      </c>
      <c r="W8" s="4">
        <f>(VLOOKUP('11.07'!AE8,'11.07'!$AM$4:$AP$55,4,FALSE))</f>
        <v>0</v>
      </c>
      <c r="X8" s="4">
        <f>(VLOOKUP('11.07'!AF8,'11.07'!$AM$4:$AP$55,4,FALSE))</f>
        <v>0</v>
      </c>
    </row>
    <row r="9" spans="1:24">
      <c r="A9" s="4">
        <f>(VLOOKUP('11.07'!I9,'11.07'!$AM$4:$AP$55,4,FALSE))</f>
        <v>13.999854933178597</v>
      </c>
      <c r="B9" s="4">
        <f>(VLOOKUP('11.07'!J9,'11.07'!$AM$4:$AP$55,4,FALSE))</f>
        <v>34</v>
      </c>
      <c r="C9" s="4">
        <f>(VLOOKUP('11.07'!K9,'11.07'!$AM$4:$AP$55,4,FALSE))</f>
        <v>34</v>
      </c>
      <c r="D9" s="4">
        <f>(VLOOKUP('11.07'!L9,'11.07'!$AM$4:$AP$55,4,FALSE))</f>
        <v>0</v>
      </c>
      <c r="E9" s="4">
        <f>(VLOOKUP('11.07'!M9,'11.07'!$AM$4:$AP$55,4,FALSE))</f>
        <v>34</v>
      </c>
      <c r="F9" s="4">
        <f>(VLOOKUP('11.07'!N9,'11.07'!$AM$4:$AP$55,4,FALSE))</f>
        <v>34</v>
      </c>
      <c r="G9" s="4">
        <f>(VLOOKUP('11.07'!O9,'11.07'!$AM$4:$AP$55,4,FALSE))</f>
        <v>0</v>
      </c>
      <c r="H9" s="4">
        <f>(VLOOKUP('11.07'!P9,'11.07'!$AM$4:$AP$55,4,FALSE))</f>
        <v>0</v>
      </c>
      <c r="I9" s="4">
        <f>(VLOOKUP('11.07'!Q9,'11.07'!$AM$4:$AP$55,4,FALSE))</f>
        <v>0</v>
      </c>
      <c r="J9" s="4">
        <f>(VLOOKUP('11.07'!R9,'11.07'!$AM$4:$AP$55,4,FALSE))</f>
        <v>0</v>
      </c>
      <c r="K9" s="4">
        <f>(VLOOKUP('11.07'!S9,'11.07'!$AM$4:$AP$55,4,FALSE))</f>
        <v>0</v>
      </c>
      <c r="L9" s="4">
        <f>(VLOOKUP('11.07'!T9,'11.07'!$AM$4:$AP$55,4,FALSE))</f>
        <v>0</v>
      </c>
      <c r="M9" s="4">
        <f>(VLOOKUP('11.07'!U9,'11.07'!$AM$4:$AP$55,4,FALSE))</f>
        <v>0</v>
      </c>
      <c r="N9" s="4">
        <f>(VLOOKUP('11.07'!V9,'11.07'!$AM$4:$AP$55,4,FALSE))</f>
        <v>0</v>
      </c>
      <c r="O9" s="4">
        <f>(VLOOKUP('11.07'!W9,'11.07'!$AM$4:$AP$55,4,FALSE))</f>
        <v>0</v>
      </c>
      <c r="P9" s="4">
        <f>(VLOOKUP('11.07'!X9,'11.07'!$AM$4:$AP$55,4,FALSE))</f>
        <v>0</v>
      </c>
      <c r="Q9" s="4">
        <f>(VLOOKUP('11.07'!Y9,'11.07'!$AM$4:$AP$55,4,FALSE))</f>
        <v>34</v>
      </c>
      <c r="R9" s="4">
        <f>(VLOOKUP('11.07'!Z9,'11.07'!$AM$4:$AP$55,4,FALSE))</f>
        <v>0</v>
      </c>
      <c r="S9" s="4">
        <f>(VLOOKUP('11.07'!AA9,'11.07'!$AM$4:$AP$55,4,FALSE))</f>
        <v>34</v>
      </c>
      <c r="T9" s="4">
        <f>(VLOOKUP('11.07'!AB9,'11.07'!$AM$4:$AP$55,4,FALSE))</f>
        <v>34</v>
      </c>
      <c r="U9" s="4">
        <f>(VLOOKUP('11.07'!AC9,'11.07'!$AM$4:$AP$55,4,FALSE))</f>
        <v>34</v>
      </c>
      <c r="V9" s="4">
        <f>(VLOOKUP('11.07'!AD9,'11.07'!$AM$4:$AP$55,4,FALSE))</f>
        <v>0</v>
      </c>
      <c r="W9" s="4">
        <f>(VLOOKUP('11.07'!AE9,'11.07'!$AM$4:$AP$55,4,FALSE))</f>
        <v>0</v>
      </c>
      <c r="X9" s="4">
        <f>(VLOOKUP('11.07'!AF9,'11.07'!$AM$4:$AP$55,4,FALSE))</f>
        <v>0</v>
      </c>
    </row>
    <row r="10" spans="1:24">
      <c r="A10" s="4">
        <f>(VLOOKUP('11.07'!I10,'11.07'!$AM$4:$AP$55,4,FALSE))</f>
        <v>34</v>
      </c>
      <c r="B10" s="4">
        <f>(VLOOKUP('11.07'!J10,'11.07'!$AM$4:$AP$55,4,FALSE))</f>
        <v>34</v>
      </c>
      <c r="C10" s="4">
        <f>(VLOOKUP('11.07'!K10,'11.07'!$AM$4:$AP$55,4,FALSE))</f>
        <v>34</v>
      </c>
      <c r="D10" s="4">
        <f>(VLOOKUP('11.07'!L10,'11.07'!$AM$4:$AP$55,4,FALSE))</f>
        <v>34</v>
      </c>
      <c r="E10" s="4">
        <f>(VLOOKUP('11.07'!M10,'11.07'!$AM$4:$AP$55,4,FALSE))</f>
        <v>34</v>
      </c>
      <c r="F10" s="4">
        <f>(VLOOKUP('11.07'!N10,'11.07'!$AM$4:$AP$55,4,FALSE))</f>
        <v>34</v>
      </c>
      <c r="G10" s="4">
        <f>(VLOOKUP('11.07'!O10,'11.07'!$AM$4:$AP$55,4,FALSE))</f>
        <v>0</v>
      </c>
      <c r="H10" s="4">
        <f>(VLOOKUP('11.07'!P10,'11.07'!$AM$4:$AP$55,4,FALSE))</f>
        <v>0</v>
      </c>
      <c r="I10" s="4">
        <f>(VLOOKUP('11.07'!Q10,'11.07'!$AM$4:$AP$55,4,FALSE))</f>
        <v>0</v>
      </c>
      <c r="J10" s="4">
        <f>(VLOOKUP('11.07'!R10,'11.07'!$AM$4:$AP$55,4,FALSE))</f>
        <v>0</v>
      </c>
      <c r="K10" s="4">
        <f>(VLOOKUP('11.07'!S10,'11.07'!$AM$4:$AP$55,4,FALSE))</f>
        <v>0</v>
      </c>
      <c r="L10" s="4">
        <f>(VLOOKUP('11.07'!T10,'11.07'!$AM$4:$AP$55,4,FALSE))</f>
        <v>0</v>
      </c>
      <c r="M10" s="4">
        <f>(VLOOKUP('11.07'!U10,'11.07'!$AM$4:$AP$55,4,FALSE))</f>
        <v>0</v>
      </c>
      <c r="N10" s="4">
        <f>(VLOOKUP('11.07'!V10,'11.07'!$AM$4:$AP$55,4,FALSE))</f>
        <v>0</v>
      </c>
      <c r="O10" s="4">
        <f>(VLOOKUP('11.07'!W10,'11.07'!$AM$4:$AP$55,4,FALSE))</f>
        <v>0</v>
      </c>
      <c r="P10" s="4">
        <f>(VLOOKUP('11.07'!X10,'11.07'!$AM$4:$AP$55,4,FALSE))</f>
        <v>0</v>
      </c>
      <c r="Q10" s="4">
        <f>(VLOOKUP('11.07'!Y10,'11.07'!$AM$4:$AP$55,4,FALSE))</f>
        <v>34</v>
      </c>
      <c r="R10" s="4">
        <f>(VLOOKUP('11.07'!Z10,'11.07'!$AM$4:$AP$55,4,FALSE))</f>
        <v>34</v>
      </c>
      <c r="S10" s="4">
        <f>(VLOOKUP('11.07'!AA10,'11.07'!$AM$4:$AP$55,4,FALSE))</f>
        <v>34</v>
      </c>
      <c r="T10" s="4">
        <f>(VLOOKUP('11.07'!AB10,'11.07'!$AM$4:$AP$55,4,FALSE))</f>
        <v>34</v>
      </c>
      <c r="U10" s="4">
        <f>(VLOOKUP('11.07'!AC10,'11.07'!$AM$4:$AP$55,4,FALSE))</f>
        <v>34</v>
      </c>
      <c r="V10" s="4">
        <f>(VLOOKUP('11.07'!AD10,'11.07'!$AM$4:$AP$55,4,FALSE))</f>
        <v>34</v>
      </c>
      <c r="W10" s="4">
        <f>(VLOOKUP('11.07'!AE10,'11.07'!$AM$4:$AP$55,4,FALSE))</f>
        <v>0</v>
      </c>
      <c r="X10" s="4">
        <f>(VLOOKUP('11.07'!AF10,'11.07'!$AM$4:$AP$55,4,FALSE))</f>
        <v>0</v>
      </c>
    </row>
    <row r="11" spans="1:24">
      <c r="A11" s="4">
        <f>(VLOOKUP('11.07'!I11,'11.07'!$AM$4:$AP$55,4,FALSE))</f>
        <v>0</v>
      </c>
      <c r="B11" s="4">
        <f>(VLOOKUP('11.07'!J11,'11.07'!$AM$4:$AP$55,4,FALSE))</f>
        <v>0</v>
      </c>
      <c r="C11" s="4">
        <f>(VLOOKUP('11.07'!K11,'11.07'!$AM$4:$AP$55,4,FALSE))</f>
        <v>0</v>
      </c>
      <c r="D11" s="4">
        <f>(VLOOKUP('11.07'!L11,'11.07'!$AM$4:$AP$55,4,FALSE))</f>
        <v>0</v>
      </c>
      <c r="E11" s="4">
        <f>(VLOOKUP('11.07'!M11,'11.07'!$AM$4:$AP$55,4,FALSE))</f>
        <v>0</v>
      </c>
      <c r="F11" s="4">
        <f>(VLOOKUP('11.07'!N11,'11.07'!$AM$4:$AP$55,4,FALSE))</f>
        <v>0</v>
      </c>
      <c r="G11" s="4">
        <f>(VLOOKUP('11.07'!O11,'11.07'!$AM$4:$AP$55,4,FALSE))</f>
        <v>0</v>
      </c>
      <c r="H11" s="4">
        <f>(VLOOKUP('11.07'!P11,'11.07'!$AM$4:$AP$55,4,FALSE))</f>
        <v>0</v>
      </c>
      <c r="I11" s="4">
        <f>(VLOOKUP('11.07'!Q11,'11.07'!$AM$4:$AP$55,4,FALSE))</f>
        <v>0</v>
      </c>
      <c r="J11" s="4">
        <f>(VLOOKUP('11.07'!R11,'11.07'!$AM$4:$AP$55,4,FALSE))</f>
        <v>0</v>
      </c>
      <c r="K11" s="4">
        <f>(VLOOKUP('11.07'!S11,'11.07'!$AM$4:$AP$55,4,FALSE))</f>
        <v>0</v>
      </c>
      <c r="L11" s="4">
        <f>(VLOOKUP('11.07'!T11,'11.07'!$AM$4:$AP$55,4,FALSE))</f>
        <v>0</v>
      </c>
      <c r="M11" s="4">
        <f>(VLOOKUP('11.07'!U11,'11.07'!$AM$4:$AP$55,4,FALSE))</f>
        <v>0</v>
      </c>
      <c r="N11" s="4">
        <f>(VLOOKUP('11.07'!V11,'11.07'!$AM$4:$AP$55,4,FALSE))</f>
        <v>0</v>
      </c>
      <c r="O11" s="4">
        <f>(VLOOKUP('11.07'!W11,'11.07'!$AM$4:$AP$55,4,FALSE))</f>
        <v>0</v>
      </c>
      <c r="P11" s="4">
        <f>(VLOOKUP('11.07'!X11,'11.07'!$AM$4:$AP$55,4,FALSE))</f>
        <v>0</v>
      </c>
      <c r="Q11" s="4">
        <f>(VLOOKUP('11.07'!Y11,'11.07'!$AM$4:$AP$55,4,FALSE))</f>
        <v>10</v>
      </c>
      <c r="R11" s="4">
        <f>(VLOOKUP('11.07'!Z11,'11.07'!$AM$4:$AP$55,4,FALSE))</f>
        <v>34</v>
      </c>
      <c r="S11" s="4">
        <f>(VLOOKUP('11.07'!AA11,'11.07'!$AM$4:$AP$55,4,FALSE))</f>
        <v>34</v>
      </c>
      <c r="T11" s="4">
        <f>(VLOOKUP('11.07'!AB11,'11.07'!$AM$4:$AP$55,4,FALSE))</f>
        <v>34</v>
      </c>
      <c r="U11" s="4">
        <f>(VLOOKUP('11.07'!AC11,'11.07'!$AM$4:$AP$55,4,FALSE))</f>
        <v>34</v>
      </c>
      <c r="V11" s="4">
        <f>(VLOOKUP('11.07'!AD11,'11.07'!$AM$4:$AP$55,4,FALSE))</f>
        <v>0</v>
      </c>
      <c r="W11" s="4">
        <f>(VLOOKUP('11.07'!AE11,'11.07'!$AM$4:$AP$55,4,FALSE))</f>
        <v>0</v>
      </c>
      <c r="X11" s="4">
        <f>(VLOOKUP('11.07'!AF11,'11.07'!$AM$4:$AP$55,4,FALSE))</f>
        <v>0</v>
      </c>
    </row>
    <row r="12" spans="1:24">
      <c r="A12" s="4">
        <f>(VLOOKUP('11.07'!I12,'11.07'!$AM$4:$AP$55,4,FALSE))</f>
        <v>34</v>
      </c>
      <c r="B12" s="4">
        <f>(VLOOKUP('11.07'!J12,'11.07'!$AM$4:$AP$55,4,FALSE))</f>
        <v>34</v>
      </c>
      <c r="C12" s="4">
        <f>(VLOOKUP('11.07'!K12,'11.07'!$AM$4:$AP$55,4,FALSE))</f>
        <v>34</v>
      </c>
      <c r="D12" s="4">
        <f>(VLOOKUP('11.07'!L12,'11.07'!$AM$4:$AP$55,4,FALSE))</f>
        <v>34</v>
      </c>
      <c r="E12" s="4">
        <f>(VLOOKUP('11.07'!M12,'11.07'!$AM$4:$AP$55,4,FALSE))</f>
        <v>34</v>
      </c>
      <c r="F12" s="4">
        <f>(VLOOKUP('11.07'!N12,'11.07'!$AM$4:$AP$55,4,FALSE))</f>
        <v>34</v>
      </c>
      <c r="G12" s="4">
        <f>(VLOOKUP('11.07'!O12,'11.07'!$AM$4:$AP$55,4,FALSE))</f>
        <v>0</v>
      </c>
      <c r="H12" s="4">
        <f>(VLOOKUP('11.07'!P12,'11.07'!$AM$4:$AP$55,4,FALSE))</f>
        <v>0</v>
      </c>
      <c r="I12" s="4">
        <f>(VLOOKUP('11.07'!Q12,'11.07'!$AM$4:$AP$55,4,FALSE))</f>
        <v>0</v>
      </c>
      <c r="J12" s="4">
        <f>(VLOOKUP('11.07'!R12,'11.07'!$AM$4:$AP$55,4,FALSE))</f>
        <v>0</v>
      </c>
      <c r="K12" s="4">
        <f>(VLOOKUP('11.07'!S12,'11.07'!$AM$4:$AP$55,4,FALSE))</f>
        <v>0</v>
      </c>
      <c r="L12" s="4">
        <f>(VLOOKUP('11.07'!T12,'11.07'!$AM$4:$AP$55,4,FALSE))</f>
        <v>0</v>
      </c>
      <c r="M12" s="4">
        <f>(VLOOKUP('11.07'!U12,'11.07'!$AM$4:$AP$55,4,FALSE))</f>
        <v>0</v>
      </c>
      <c r="N12" s="4">
        <f>(VLOOKUP('11.07'!V12,'11.07'!$AM$4:$AP$55,4,FALSE))</f>
        <v>0</v>
      </c>
      <c r="O12" s="4">
        <f>(VLOOKUP('11.07'!W12,'11.07'!$AM$4:$AP$55,4,FALSE))</f>
        <v>0</v>
      </c>
      <c r="P12" s="4">
        <f>(VLOOKUP('11.07'!X12,'11.07'!$AM$4:$AP$55,4,FALSE))</f>
        <v>0</v>
      </c>
      <c r="Q12" s="4">
        <f>(VLOOKUP('11.07'!Y12,'11.07'!$AM$4:$AP$55,4,FALSE))</f>
        <v>34</v>
      </c>
      <c r="R12" s="4">
        <f>(VLOOKUP('11.07'!Z12,'11.07'!$AM$4:$AP$55,4,FALSE))</f>
        <v>34</v>
      </c>
      <c r="S12" s="4">
        <f>(VLOOKUP('11.07'!AA12,'11.07'!$AM$4:$AP$55,4,FALSE))</f>
        <v>34</v>
      </c>
      <c r="T12" s="4">
        <f>(VLOOKUP('11.07'!AB12,'11.07'!$AM$4:$AP$55,4,FALSE))</f>
        <v>34</v>
      </c>
      <c r="U12" s="4">
        <f>(VLOOKUP('11.07'!AC12,'11.07'!$AM$4:$AP$55,4,FALSE))</f>
        <v>34</v>
      </c>
      <c r="V12" s="4">
        <f>(VLOOKUP('11.07'!AD12,'11.07'!$AM$4:$AP$55,4,FALSE))</f>
        <v>34</v>
      </c>
      <c r="W12" s="4">
        <f>(VLOOKUP('11.07'!AE12,'11.07'!$AM$4:$AP$55,4,FALSE))</f>
        <v>0</v>
      </c>
      <c r="X12" s="4">
        <f>(VLOOKUP('11.07'!AF12,'11.07'!$AM$4:$AP$55,4,FALSE))</f>
        <v>0</v>
      </c>
    </row>
    <row r="13" spans="1:24">
      <c r="A13" s="4">
        <f>(VLOOKUP('11.07'!I13,'11.07'!$AM$4:$AP$55,4,FALSE))</f>
        <v>34</v>
      </c>
      <c r="B13" s="4">
        <f>(VLOOKUP('11.07'!J13,'11.07'!$AM$4:$AP$55,4,FALSE))</f>
        <v>13.999854933178597</v>
      </c>
      <c r="C13" s="4">
        <f>(VLOOKUP('11.07'!K13,'11.07'!$AM$4:$AP$55,4,FALSE))</f>
        <v>34</v>
      </c>
      <c r="D13" s="4">
        <f>(VLOOKUP('11.07'!L13,'11.07'!$AM$4:$AP$55,4,FALSE))</f>
        <v>34</v>
      </c>
      <c r="E13" s="4">
        <f>(VLOOKUP('11.07'!M13,'11.07'!$AM$4:$AP$55,4,FALSE))</f>
        <v>34</v>
      </c>
      <c r="F13" s="4">
        <f>(VLOOKUP('11.07'!N13,'11.07'!$AM$4:$AP$55,4,FALSE))</f>
        <v>34</v>
      </c>
      <c r="G13" s="4">
        <f>(VLOOKUP('11.07'!O13,'11.07'!$AM$4:$AP$55,4,FALSE))</f>
        <v>0</v>
      </c>
      <c r="H13" s="4">
        <f>(VLOOKUP('11.07'!P13,'11.07'!$AM$4:$AP$55,4,FALSE))</f>
        <v>0</v>
      </c>
      <c r="I13" s="4">
        <f>(VLOOKUP('11.07'!Q13,'11.07'!$AM$4:$AP$55,4,FALSE))</f>
        <v>0</v>
      </c>
      <c r="J13" s="4">
        <f>(VLOOKUP('11.07'!R13,'11.07'!$AM$4:$AP$55,4,FALSE))</f>
        <v>0</v>
      </c>
      <c r="K13" s="4">
        <f>(VLOOKUP('11.07'!S13,'11.07'!$AM$4:$AP$55,4,FALSE))</f>
        <v>0</v>
      </c>
      <c r="L13" s="4">
        <f>(VLOOKUP('11.07'!T13,'11.07'!$AM$4:$AP$55,4,FALSE))</f>
        <v>0</v>
      </c>
      <c r="M13" s="4">
        <f>(VLOOKUP('11.07'!U13,'11.07'!$AM$4:$AP$55,4,FALSE))</f>
        <v>0</v>
      </c>
      <c r="N13" s="4">
        <f>(VLOOKUP('11.07'!V13,'11.07'!$AM$4:$AP$55,4,FALSE))</f>
        <v>0</v>
      </c>
      <c r="O13" s="4">
        <f>(VLOOKUP('11.07'!W13,'11.07'!$AM$4:$AP$55,4,FALSE))</f>
        <v>0</v>
      </c>
      <c r="P13" s="4">
        <f>(VLOOKUP('11.07'!X13,'11.07'!$AM$4:$AP$55,4,FALSE))</f>
        <v>0</v>
      </c>
      <c r="Q13" s="4">
        <f>(VLOOKUP('11.07'!Y13,'11.07'!$AM$4:$AP$55,4,FALSE))</f>
        <v>34</v>
      </c>
      <c r="R13" s="4">
        <f>(VLOOKUP('11.07'!Z13,'11.07'!$AM$4:$AP$55,4,FALSE))</f>
        <v>34</v>
      </c>
      <c r="S13" s="4">
        <f>(VLOOKUP('11.07'!AA13,'11.07'!$AM$4:$AP$55,4,FALSE))</f>
        <v>34</v>
      </c>
      <c r="T13" s="4">
        <f>(VLOOKUP('11.07'!AB13,'11.07'!$AM$4:$AP$55,4,FALSE))</f>
        <v>34</v>
      </c>
      <c r="U13" s="4">
        <f>(VLOOKUP('11.07'!AC13,'11.07'!$AM$4:$AP$55,4,FALSE))</f>
        <v>34</v>
      </c>
      <c r="V13" s="4">
        <f>(VLOOKUP('11.07'!AD13,'11.07'!$AM$4:$AP$55,4,FALSE))</f>
        <v>34</v>
      </c>
      <c r="W13" s="4">
        <f>(VLOOKUP('11.07'!AE13,'11.07'!$AM$4:$AP$55,4,FALSE))</f>
        <v>0</v>
      </c>
      <c r="X13" s="4">
        <f>(VLOOKUP('11.07'!AF13,'11.07'!$AM$4:$AP$55,4,FALSE))</f>
        <v>0</v>
      </c>
    </row>
    <row r="14" spans="1:24">
      <c r="A14" s="4">
        <f>(VLOOKUP('11.07'!I14,'11.07'!$AM$4:$AP$55,4,FALSE))</f>
        <v>34</v>
      </c>
      <c r="B14" s="4">
        <f>(VLOOKUP('11.07'!J14,'11.07'!$AM$4:$AP$55,4,FALSE))</f>
        <v>34</v>
      </c>
      <c r="C14" s="4">
        <f>(VLOOKUP('11.07'!K14,'11.07'!$AM$4:$AP$55,4,FALSE))</f>
        <v>34</v>
      </c>
      <c r="D14" s="4">
        <f>(VLOOKUP('11.07'!L14,'11.07'!$AM$4:$AP$55,4,FALSE))</f>
        <v>34</v>
      </c>
      <c r="E14" s="4">
        <f>(VLOOKUP('11.07'!M14,'11.07'!$AM$4:$AP$55,4,FALSE))</f>
        <v>34</v>
      </c>
      <c r="F14" s="4">
        <f>(VLOOKUP('11.07'!N14,'11.07'!$AM$4:$AP$55,4,FALSE))</f>
        <v>34</v>
      </c>
      <c r="G14" s="4">
        <f>(VLOOKUP('11.07'!O14,'11.07'!$AM$4:$AP$55,4,FALSE))</f>
        <v>0</v>
      </c>
      <c r="H14" s="4">
        <f>(VLOOKUP('11.07'!P14,'11.07'!$AM$4:$AP$55,4,FALSE))</f>
        <v>0</v>
      </c>
      <c r="I14" s="4">
        <f>(VLOOKUP('11.07'!Q14,'11.07'!$AM$4:$AP$55,4,FALSE))</f>
        <v>0</v>
      </c>
      <c r="J14" s="4">
        <f>(VLOOKUP('11.07'!R14,'11.07'!$AM$4:$AP$55,4,FALSE))</f>
        <v>0</v>
      </c>
      <c r="K14" s="4">
        <f>(VLOOKUP('11.07'!S14,'11.07'!$AM$4:$AP$55,4,FALSE))</f>
        <v>0</v>
      </c>
      <c r="L14" s="4">
        <f>(VLOOKUP('11.07'!T14,'11.07'!$AM$4:$AP$55,4,FALSE))</f>
        <v>0</v>
      </c>
      <c r="M14" s="4">
        <f>(VLOOKUP('11.07'!U14,'11.07'!$AM$4:$AP$55,4,FALSE))</f>
        <v>0</v>
      </c>
      <c r="N14" s="4">
        <f>(VLOOKUP('11.07'!V14,'11.07'!$AM$4:$AP$55,4,FALSE))</f>
        <v>0</v>
      </c>
      <c r="O14" s="4">
        <f>(VLOOKUP('11.07'!W14,'11.07'!$AM$4:$AP$55,4,FALSE))</f>
        <v>0</v>
      </c>
      <c r="P14" s="4">
        <f>(VLOOKUP('11.07'!X14,'11.07'!$AM$4:$AP$55,4,FALSE))</f>
        <v>0</v>
      </c>
      <c r="Q14" s="4">
        <f>(VLOOKUP('11.07'!Y14,'11.07'!$AM$4:$AP$55,4,FALSE))</f>
        <v>34</v>
      </c>
      <c r="R14" s="4">
        <f>(VLOOKUP('11.07'!Z14,'11.07'!$AM$4:$AP$55,4,FALSE))</f>
        <v>34</v>
      </c>
      <c r="S14" s="4">
        <f>(VLOOKUP('11.07'!AA14,'11.07'!$AM$4:$AP$55,4,FALSE))</f>
        <v>34</v>
      </c>
      <c r="T14" s="4">
        <f>(VLOOKUP('11.07'!AB14,'11.07'!$AM$4:$AP$55,4,FALSE))</f>
        <v>34</v>
      </c>
      <c r="U14" s="4">
        <f>(VLOOKUP('11.07'!AC14,'11.07'!$AM$4:$AP$55,4,FALSE))</f>
        <v>10</v>
      </c>
      <c r="V14" s="4">
        <f>(VLOOKUP('11.07'!AD14,'11.07'!$AM$4:$AP$55,4,FALSE))</f>
        <v>34</v>
      </c>
      <c r="W14" s="4">
        <f>(VLOOKUP('11.07'!AE14,'11.07'!$AM$4:$AP$55,4,FALSE))</f>
        <v>0</v>
      </c>
      <c r="X14" s="4">
        <f>(VLOOKUP('11.07'!AF14,'11.07'!$AM$4:$AP$55,4,FALSE))</f>
        <v>0</v>
      </c>
    </row>
    <row r="15" spans="1:24">
      <c r="A15" s="4">
        <f>(VLOOKUP('11.07'!I15,'11.07'!$AM$4:$AP$55,4,FALSE))</f>
        <v>34</v>
      </c>
      <c r="B15" s="4">
        <f>(VLOOKUP('11.07'!J15,'11.07'!$AM$4:$AP$55,4,FALSE))</f>
        <v>34</v>
      </c>
      <c r="C15" s="4">
        <f>(VLOOKUP('11.07'!K15,'11.07'!$AM$4:$AP$55,4,FALSE))</f>
        <v>34</v>
      </c>
      <c r="D15" s="4">
        <f>(VLOOKUP('11.07'!L15,'11.07'!$AM$4:$AP$55,4,FALSE))</f>
        <v>34</v>
      </c>
      <c r="E15" s="4">
        <f>(VLOOKUP('11.07'!M15,'11.07'!$AM$4:$AP$55,4,FALSE))</f>
        <v>34</v>
      </c>
      <c r="F15" s="4">
        <f>(VLOOKUP('11.07'!N15,'11.07'!$AM$4:$AP$55,4,FALSE))</f>
        <v>34</v>
      </c>
      <c r="G15" s="4">
        <f>(VLOOKUP('11.07'!O15,'11.07'!$AM$4:$AP$55,4,FALSE))</f>
        <v>0</v>
      </c>
      <c r="H15" s="4">
        <f>(VLOOKUP('11.07'!P15,'11.07'!$AM$4:$AP$55,4,FALSE))</f>
        <v>0</v>
      </c>
      <c r="I15" s="4">
        <f>(VLOOKUP('11.07'!Q15,'11.07'!$AM$4:$AP$55,4,FALSE))</f>
        <v>0</v>
      </c>
      <c r="J15" s="4">
        <f>(VLOOKUP('11.07'!R15,'11.07'!$AM$4:$AP$55,4,FALSE))</f>
        <v>0</v>
      </c>
      <c r="K15" s="4">
        <f>(VLOOKUP('11.07'!S15,'11.07'!$AM$4:$AP$55,4,FALSE))</f>
        <v>0</v>
      </c>
      <c r="L15" s="4">
        <f>(VLOOKUP('11.07'!T15,'11.07'!$AM$4:$AP$55,4,FALSE))</f>
        <v>0</v>
      </c>
      <c r="M15" s="4">
        <f>(VLOOKUP('11.07'!U15,'11.07'!$AM$4:$AP$55,4,FALSE))</f>
        <v>0</v>
      </c>
      <c r="N15" s="4">
        <f>(VLOOKUP('11.07'!V15,'11.07'!$AM$4:$AP$55,4,FALSE))</f>
        <v>0</v>
      </c>
      <c r="O15" s="4">
        <f>(VLOOKUP('11.07'!W15,'11.07'!$AM$4:$AP$55,4,FALSE))</f>
        <v>0</v>
      </c>
      <c r="P15" s="4">
        <f>(VLOOKUP('11.07'!X15,'11.07'!$AM$4:$AP$55,4,FALSE))</f>
        <v>0</v>
      </c>
      <c r="Q15" s="4">
        <f>(VLOOKUP('11.07'!Y15,'11.07'!$AM$4:$AP$55,4,FALSE))</f>
        <v>34</v>
      </c>
      <c r="R15" s="4">
        <f>(VLOOKUP('11.07'!Z15,'11.07'!$AM$4:$AP$55,4,FALSE))</f>
        <v>34</v>
      </c>
      <c r="S15" s="4">
        <f>(VLOOKUP('11.07'!AA15,'11.07'!$AM$4:$AP$55,4,FALSE))</f>
        <v>34</v>
      </c>
      <c r="T15" s="4">
        <f>(VLOOKUP('11.07'!AB15,'11.07'!$AM$4:$AP$55,4,FALSE))</f>
        <v>34</v>
      </c>
      <c r="U15" s="4">
        <f>(VLOOKUP('11.07'!AC15,'11.07'!$AM$4:$AP$55,4,FALSE))</f>
        <v>34</v>
      </c>
      <c r="V15" s="4">
        <f>(VLOOKUP('11.07'!AD15,'11.07'!$AM$4:$AP$55,4,FALSE))</f>
        <v>34</v>
      </c>
      <c r="W15" s="4">
        <f>(VLOOKUP('11.07'!AE15,'11.07'!$AM$4:$AP$55,4,FALSE))</f>
        <v>0</v>
      </c>
      <c r="X15" s="4">
        <f>(VLOOKUP('11.07'!AF15,'11.07'!$AM$4:$AP$55,4,FALSE))</f>
        <v>0</v>
      </c>
    </row>
    <row r="16" spans="1:24">
      <c r="A16" s="4">
        <f>(VLOOKUP('11.07'!I16,'11.07'!$AM$4:$AP$55,4,FALSE))</f>
        <v>34</v>
      </c>
      <c r="B16" s="4">
        <f>(VLOOKUP('11.07'!J16,'11.07'!$AM$4:$AP$55,4,FALSE))</f>
        <v>34</v>
      </c>
      <c r="C16" s="4">
        <f>(VLOOKUP('11.07'!K16,'11.07'!$AM$4:$AP$55,4,FALSE))</f>
        <v>34</v>
      </c>
      <c r="D16" s="4">
        <f>(VLOOKUP('11.07'!L16,'11.07'!$AM$4:$AP$55,4,FALSE))</f>
        <v>34</v>
      </c>
      <c r="E16" s="4">
        <f>(VLOOKUP('11.07'!M16,'11.07'!$AM$4:$AP$55,4,FALSE))</f>
        <v>34</v>
      </c>
      <c r="F16" s="4">
        <f>(VLOOKUP('11.07'!N16,'11.07'!$AM$4:$AP$55,4,FALSE))</f>
        <v>34</v>
      </c>
      <c r="G16" s="4">
        <f>(VLOOKUP('11.07'!O16,'11.07'!$AM$4:$AP$55,4,FALSE))</f>
        <v>0</v>
      </c>
      <c r="H16" s="4">
        <f>(VLOOKUP('11.07'!P16,'11.07'!$AM$4:$AP$55,4,FALSE))</f>
        <v>0</v>
      </c>
      <c r="I16" s="4">
        <f>(VLOOKUP('11.07'!Q16,'11.07'!$AM$4:$AP$55,4,FALSE))</f>
        <v>0</v>
      </c>
      <c r="J16" s="4">
        <f>(VLOOKUP('11.07'!R16,'11.07'!$AM$4:$AP$55,4,FALSE))</f>
        <v>0</v>
      </c>
      <c r="K16" s="4">
        <f>(VLOOKUP('11.07'!S16,'11.07'!$AM$4:$AP$55,4,FALSE))</f>
        <v>0</v>
      </c>
      <c r="L16" s="4">
        <f>(VLOOKUP('11.07'!T16,'11.07'!$AM$4:$AP$55,4,FALSE))</f>
        <v>0</v>
      </c>
      <c r="M16" s="4">
        <f>(VLOOKUP('11.07'!U16,'11.07'!$AM$4:$AP$55,4,FALSE))</f>
        <v>0</v>
      </c>
      <c r="N16" s="4">
        <f>(VLOOKUP('11.07'!V16,'11.07'!$AM$4:$AP$55,4,FALSE))</f>
        <v>0</v>
      </c>
      <c r="O16" s="4">
        <f>(VLOOKUP('11.07'!W16,'11.07'!$AM$4:$AP$55,4,FALSE))</f>
        <v>0</v>
      </c>
      <c r="P16" s="4">
        <f>(VLOOKUP('11.07'!X16,'11.07'!$AM$4:$AP$55,4,FALSE))</f>
        <v>0</v>
      </c>
      <c r="Q16" s="4">
        <f>(VLOOKUP('11.07'!Y16,'11.07'!$AM$4:$AP$55,4,FALSE))</f>
        <v>34</v>
      </c>
      <c r="R16" s="4">
        <f>(VLOOKUP('11.07'!Z16,'11.07'!$AM$4:$AP$55,4,FALSE))</f>
        <v>34</v>
      </c>
      <c r="S16" s="4">
        <f>(VLOOKUP('11.07'!AA16,'11.07'!$AM$4:$AP$55,4,FALSE))</f>
        <v>34</v>
      </c>
      <c r="T16" s="4">
        <f>(VLOOKUP('11.07'!AB16,'11.07'!$AM$4:$AP$55,4,FALSE))</f>
        <v>34</v>
      </c>
      <c r="U16" s="4">
        <f>(VLOOKUP('11.07'!AC16,'11.07'!$AM$4:$AP$55,4,FALSE))</f>
        <v>34</v>
      </c>
      <c r="V16" s="4">
        <f>(VLOOKUP('11.07'!AD16,'11.07'!$AM$4:$AP$55,4,FALSE))</f>
        <v>34</v>
      </c>
      <c r="W16" s="4">
        <f>(VLOOKUP('11.07'!AE16,'11.07'!$AM$4:$AP$55,4,FALSE))</f>
        <v>0</v>
      </c>
      <c r="X16" s="4">
        <f>(VLOOKUP('11.07'!AF16,'11.07'!$AM$4:$AP$55,4,FALSE))</f>
        <v>0</v>
      </c>
    </row>
    <row r="17" spans="1:24">
      <c r="A17" s="4">
        <f>(VLOOKUP('11.07'!I17,'11.07'!$AM$4:$AP$55,4,FALSE))</f>
        <v>34</v>
      </c>
      <c r="B17" s="4">
        <f>(VLOOKUP('11.07'!J17,'11.07'!$AM$4:$AP$55,4,FALSE))</f>
        <v>34</v>
      </c>
      <c r="C17" s="4">
        <f>(VLOOKUP('11.07'!K17,'11.07'!$AM$4:$AP$55,4,FALSE))</f>
        <v>34</v>
      </c>
      <c r="D17" s="4">
        <f>(VLOOKUP('11.07'!L17,'11.07'!$AM$4:$AP$55,4,FALSE))</f>
        <v>13.999854933178597</v>
      </c>
      <c r="E17" s="4">
        <f>(VLOOKUP('11.07'!M17,'11.07'!$AM$4:$AP$55,4,FALSE))</f>
        <v>34</v>
      </c>
      <c r="F17" s="4">
        <f>(VLOOKUP('11.07'!N17,'11.07'!$AM$4:$AP$55,4,FALSE))</f>
        <v>34</v>
      </c>
      <c r="G17" s="4">
        <f>(VLOOKUP('11.07'!O17,'11.07'!$AM$4:$AP$55,4,FALSE))</f>
        <v>0</v>
      </c>
      <c r="H17" s="4">
        <f>(VLOOKUP('11.07'!P17,'11.07'!$AM$4:$AP$55,4,FALSE))</f>
        <v>0</v>
      </c>
      <c r="I17" s="4">
        <f>(VLOOKUP('11.07'!Q17,'11.07'!$AM$4:$AP$55,4,FALSE))</f>
        <v>0</v>
      </c>
      <c r="J17" s="4">
        <f>(VLOOKUP('11.07'!R17,'11.07'!$AM$4:$AP$55,4,FALSE))</f>
        <v>0</v>
      </c>
      <c r="K17" s="4">
        <f>(VLOOKUP('11.07'!S17,'11.07'!$AM$4:$AP$55,4,FALSE))</f>
        <v>0</v>
      </c>
      <c r="L17" s="4">
        <f>(VLOOKUP('11.07'!T17,'11.07'!$AM$4:$AP$55,4,FALSE))</f>
        <v>0</v>
      </c>
      <c r="M17" s="4">
        <f>(VLOOKUP('11.07'!U17,'11.07'!$AM$4:$AP$55,4,FALSE))</f>
        <v>0</v>
      </c>
      <c r="N17" s="4">
        <f>(VLOOKUP('11.07'!V17,'11.07'!$AM$4:$AP$55,4,FALSE))</f>
        <v>0</v>
      </c>
      <c r="O17" s="4">
        <f>(VLOOKUP('11.07'!W17,'11.07'!$AM$4:$AP$55,4,FALSE))</f>
        <v>0</v>
      </c>
      <c r="P17" s="4">
        <f>(VLOOKUP('11.07'!X17,'11.07'!$AM$4:$AP$55,4,FALSE))</f>
        <v>0</v>
      </c>
      <c r="Q17" s="4">
        <f>(VLOOKUP('11.07'!Y17,'11.07'!$AM$4:$AP$55,4,FALSE))</f>
        <v>34</v>
      </c>
      <c r="R17" s="4">
        <f>(VLOOKUP('11.07'!Z17,'11.07'!$AM$4:$AP$55,4,FALSE))</f>
        <v>34</v>
      </c>
      <c r="S17" s="4">
        <f>(VLOOKUP('11.07'!AA17,'11.07'!$AM$4:$AP$55,4,FALSE))</f>
        <v>34</v>
      </c>
      <c r="T17" s="4">
        <f>(VLOOKUP('11.07'!AB17,'11.07'!$AM$4:$AP$55,4,FALSE))</f>
        <v>34</v>
      </c>
      <c r="U17" s="4">
        <f>(VLOOKUP('11.07'!AC17,'11.07'!$AM$4:$AP$55,4,FALSE))</f>
        <v>13.999854933178597</v>
      </c>
      <c r="V17" s="4">
        <f>(VLOOKUP('11.07'!AD17,'11.07'!$AM$4:$AP$55,4,FALSE))</f>
        <v>34</v>
      </c>
      <c r="W17" s="4">
        <f>(VLOOKUP('11.07'!AE17,'11.07'!$AM$4:$AP$55,4,FALSE))</f>
        <v>0</v>
      </c>
      <c r="X17" s="4">
        <f>(VLOOKUP('11.07'!AF17,'11.07'!$AM$4:$AP$55,4,FALSE))</f>
        <v>0</v>
      </c>
    </row>
    <row r="18" spans="1:24">
      <c r="A18" s="4">
        <f>(VLOOKUP('11.07'!I18,'11.07'!$AM$4:$AP$55,4,FALSE))</f>
        <v>34</v>
      </c>
      <c r="B18" s="4">
        <f>(VLOOKUP('11.07'!J18,'11.07'!$AM$4:$AP$55,4,FALSE))</f>
        <v>34</v>
      </c>
      <c r="C18" s="4">
        <f>(VLOOKUP('11.07'!K18,'11.07'!$AM$4:$AP$55,4,FALSE))</f>
        <v>34</v>
      </c>
      <c r="D18" s="4">
        <f>(VLOOKUP('11.07'!L18,'11.07'!$AM$4:$AP$55,4,FALSE))</f>
        <v>34</v>
      </c>
      <c r="E18" s="4">
        <f>(VLOOKUP('11.07'!M18,'11.07'!$AM$4:$AP$55,4,FALSE))</f>
        <v>34</v>
      </c>
      <c r="F18" s="4">
        <f>(VLOOKUP('11.07'!N18,'11.07'!$AM$4:$AP$55,4,FALSE))</f>
        <v>34</v>
      </c>
      <c r="G18" s="4">
        <f>(VLOOKUP('11.07'!O18,'11.07'!$AM$4:$AP$55,4,FALSE))</f>
        <v>0</v>
      </c>
      <c r="H18" s="4">
        <f>(VLOOKUP('11.07'!P18,'11.07'!$AM$4:$AP$55,4,FALSE))</f>
        <v>0</v>
      </c>
      <c r="I18" s="4">
        <f>(VLOOKUP('11.07'!Q18,'11.07'!$AM$4:$AP$55,4,FALSE))</f>
        <v>0</v>
      </c>
      <c r="J18" s="4">
        <f>(VLOOKUP('11.07'!R18,'11.07'!$AM$4:$AP$55,4,FALSE))</f>
        <v>0</v>
      </c>
      <c r="K18" s="4">
        <f>(VLOOKUP('11.07'!S18,'11.07'!$AM$4:$AP$55,4,FALSE))</f>
        <v>0</v>
      </c>
      <c r="L18" s="4">
        <f>(VLOOKUP('11.07'!T18,'11.07'!$AM$4:$AP$55,4,FALSE))</f>
        <v>0</v>
      </c>
      <c r="M18" s="4">
        <f>(VLOOKUP('11.07'!U18,'11.07'!$AM$4:$AP$55,4,FALSE))</f>
        <v>0</v>
      </c>
      <c r="N18" s="4">
        <f>(VLOOKUP('11.07'!V18,'11.07'!$AM$4:$AP$55,4,FALSE))</f>
        <v>0</v>
      </c>
      <c r="O18" s="4">
        <f>(VLOOKUP('11.07'!W18,'11.07'!$AM$4:$AP$55,4,FALSE))</f>
        <v>0</v>
      </c>
      <c r="P18" s="4">
        <f>(VLOOKUP('11.07'!X18,'11.07'!$AM$4:$AP$55,4,FALSE))</f>
        <v>0</v>
      </c>
      <c r="Q18" s="4">
        <f>(VLOOKUP('11.07'!Y18,'11.07'!$AM$4:$AP$55,4,FALSE))</f>
        <v>34</v>
      </c>
      <c r="R18" s="4">
        <f>(VLOOKUP('11.07'!Z18,'11.07'!$AM$4:$AP$55,4,FALSE))</f>
        <v>34</v>
      </c>
      <c r="S18" s="4">
        <f>(VLOOKUP('11.07'!AA18,'11.07'!$AM$4:$AP$55,4,FALSE))</f>
        <v>34</v>
      </c>
      <c r="T18" s="4">
        <f>(VLOOKUP('11.07'!AB18,'11.07'!$AM$4:$AP$55,4,FALSE))</f>
        <v>34</v>
      </c>
      <c r="U18" s="4">
        <f>(VLOOKUP('11.07'!AC18,'11.07'!$AM$4:$AP$55,4,FALSE))</f>
        <v>34</v>
      </c>
      <c r="V18" s="4">
        <f>(VLOOKUP('11.07'!AD18,'11.07'!$AM$4:$AP$55,4,FALSE))</f>
        <v>34</v>
      </c>
      <c r="W18" s="4">
        <f>(VLOOKUP('11.07'!AE18,'11.07'!$AM$4:$AP$55,4,FALSE))</f>
        <v>0</v>
      </c>
      <c r="X18" s="4">
        <f>(VLOOKUP('11.07'!AF18,'11.07'!$AM$4:$AP$55,4,FALSE))</f>
        <v>0</v>
      </c>
    </row>
    <row r="19" spans="1:24">
      <c r="A19" s="4">
        <f>(VLOOKUP('11.07'!I19,'11.07'!$AM$4:$AP$55,4,FALSE))</f>
        <v>34</v>
      </c>
      <c r="B19" s="4">
        <f>(VLOOKUP('11.07'!J19,'11.07'!$AM$4:$AP$55,4,FALSE))</f>
        <v>34</v>
      </c>
      <c r="C19" s="4">
        <f>(VLOOKUP('11.07'!K19,'11.07'!$AM$4:$AP$55,4,FALSE))</f>
        <v>34</v>
      </c>
      <c r="D19" s="4">
        <f>(VLOOKUP('11.07'!L19,'11.07'!$AM$4:$AP$55,4,FALSE))</f>
        <v>34</v>
      </c>
      <c r="E19" s="4">
        <f>(VLOOKUP('11.07'!M19,'11.07'!$AM$4:$AP$55,4,FALSE))</f>
        <v>34</v>
      </c>
      <c r="F19" s="4">
        <f>(VLOOKUP('11.07'!N19,'11.07'!$AM$4:$AP$55,4,FALSE))</f>
        <v>34</v>
      </c>
      <c r="G19" s="4">
        <f>(VLOOKUP('11.07'!O19,'11.07'!$AM$4:$AP$55,4,FALSE))</f>
        <v>0</v>
      </c>
      <c r="H19" s="4">
        <f>(VLOOKUP('11.07'!P19,'11.07'!$AM$4:$AP$55,4,FALSE))</f>
        <v>0</v>
      </c>
      <c r="I19" s="4">
        <f>(VLOOKUP('11.07'!Q19,'11.07'!$AM$4:$AP$55,4,FALSE))</f>
        <v>0</v>
      </c>
      <c r="J19" s="4">
        <f>(VLOOKUP('11.07'!R19,'11.07'!$AM$4:$AP$55,4,FALSE))</f>
        <v>0</v>
      </c>
      <c r="K19" s="4">
        <f>(VLOOKUP('11.07'!S19,'11.07'!$AM$4:$AP$55,4,FALSE))</f>
        <v>0</v>
      </c>
      <c r="L19" s="4">
        <f>(VLOOKUP('11.07'!T19,'11.07'!$AM$4:$AP$55,4,FALSE))</f>
        <v>0</v>
      </c>
      <c r="M19" s="4">
        <f>(VLOOKUP('11.07'!U19,'11.07'!$AM$4:$AP$55,4,FALSE))</f>
        <v>0</v>
      </c>
      <c r="N19" s="4">
        <f>(VLOOKUP('11.07'!V19,'11.07'!$AM$4:$AP$55,4,FALSE))</f>
        <v>0</v>
      </c>
      <c r="O19" s="4">
        <f>(VLOOKUP('11.07'!W19,'11.07'!$AM$4:$AP$55,4,FALSE))</f>
        <v>0</v>
      </c>
      <c r="P19" s="4">
        <f>(VLOOKUP('11.07'!X19,'11.07'!$AM$4:$AP$55,4,FALSE))</f>
        <v>0</v>
      </c>
      <c r="Q19" s="4">
        <f>(VLOOKUP('11.07'!Y19,'11.07'!$AM$4:$AP$55,4,FALSE))</f>
        <v>34</v>
      </c>
      <c r="R19" s="4">
        <f>(VLOOKUP('11.07'!Z19,'11.07'!$AM$4:$AP$55,4,FALSE))</f>
        <v>10</v>
      </c>
      <c r="S19" s="4">
        <f>(VLOOKUP('11.07'!AA19,'11.07'!$AM$4:$AP$55,4,FALSE))</f>
        <v>34</v>
      </c>
      <c r="T19" s="4">
        <f>(VLOOKUP('11.07'!AB19,'11.07'!$AM$4:$AP$55,4,FALSE))</f>
        <v>34</v>
      </c>
      <c r="U19" s="4">
        <f>(VLOOKUP('11.07'!AC19,'11.07'!$AM$4:$AP$55,4,FALSE))</f>
        <v>34</v>
      </c>
      <c r="V19" s="4">
        <f>(VLOOKUP('11.07'!AD19,'11.07'!$AM$4:$AP$55,4,FALSE))</f>
        <v>34</v>
      </c>
      <c r="W19" s="4">
        <f>(VLOOKUP('11.07'!AE19,'11.07'!$AM$4:$AP$55,4,FALSE))</f>
        <v>0</v>
      </c>
      <c r="X19" s="4">
        <f>(VLOOKUP('11.07'!AF19,'11.07'!$AM$4:$AP$55,4,FALSE))</f>
        <v>0</v>
      </c>
    </row>
    <row r="20" spans="1:24">
      <c r="A20" s="4">
        <f>(VLOOKUP('11.07'!I20,'11.07'!$AM$4:$AP$55,4,FALSE))</f>
        <v>34</v>
      </c>
      <c r="B20" s="4">
        <f>(VLOOKUP('11.07'!J20,'11.07'!$AM$4:$AP$55,4,FALSE))</f>
        <v>34</v>
      </c>
      <c r="C20" s="4">
        <f>(VLOOKUP('11.07'!K20,'11.07'!$AM$4:$AP$55,4,FALSE))</f>
        <v>34</v>
      </c>
      <c r="D20" s="4">
        <f>(VLOOKUP('11.07'!L20,'11.07'!$AM$4:$AP$55,4,FALSE))</f>
        <v>34</v>
      </c>
      <c r="E20" s="4">
        <f>(VLOOKUP('11.07'!M20,'11.07'!$AM$4:$AP$55,4,FALSE))</f>
        <v>34</v>
      </c>
      <c r="F20" s="4">
        <f>(VLOOKUP('11.07'!N20,'11.07'!$AM$4:$AP$55,4,FALSE))</f>
        <v>34</v>
      </c>
      <c r="G20" s="4">
        <f>(VLOOKUP('11.07'!O20,'11.07'!$AM$4:$AP$55,4,FALSE))</f>
        <v>0</v>
      </c>
      <c r="H20" s="4">
        <f>(VLOOKUP('11.07'!P20,'11.07'!$AM$4:$AP$55,4,FALSE))</f>
        <v>0</v>
      </c>
      <c r="I20" s="4">
        <f>(VLOOKUP('11.07'!Q20,'11.07'!$AM$4:$AP$55,4,FALSE))</f>
        <v>0</v>
      </c>
      <c r="J20" s="4">
        <f>(VLOOKUP('11.07'!R20,'11.07'!$AM$4:$AP$55,4,FALSE))</f>
        <v>0</v>
      </c>
      <c r="K20" s="4">
        <f>(VLOOKUP('11.07'!S20,'11.07'!$AM$4:$AP$55,4,FALSE))</f>
        <v>0</v>
      </c>
      <c r="L20" s="4">
        <f>(VLOOKUP('11.07'!T20,'11.07'!$AM$4:$AP$55,4,FALSE))</f>
        <v>0</v>
      </c>
      <c r="M20" s="4">
        <f>(VLOOKUP('11.07'!U20,'11.07'!$AM$4:$AP$55,4,FALSE))</f>
        <v>0</v>
      </c>
      <c r="N20" s="4">
        <f>(VLOOKUP('11.07'!V20,'11.07'!$AM$4:$AP$55,4,FALSE))</f>
        <v>0</v>
      </c>
      <c r="O20" s="4">
        <f>(VLOOKUP('11.07'!W20,'11.07'!$AM$4:$AP$55,4,FALSE))</f>
        <v>0</v>
      </c>
      <c r="P20" s="4">
        <f>(VLOOKUP('11.07'!X20,'11.07'!$AM$4:$AP$55,4,FALSE))</f>
        <v>0</v>
      </c>
      <c r="Q20" s="4">
        <f>(VLOOKUP('11.07'!Y20,'11.07'!$AM$4:$AP$55,4,FALSE))</f>
        <v>34</v>
      </c>
      <c r="R20" s="4">
        <f>(VLOOKUP('11.07'!Z20,'11.07'!$AM$4:$AP$55,4,FALSE))</f>
        <v>34</v>
      </c>
      <c r="S20" s="4">
        <f>(VLOOKUP('11.07'!AA20,'11.07'!$AM$4:$AP$55,4,FALSE))</f>
        <v>34</v>
      </c>
      <c r="T20" s="4">
        <f>(VLOOKUP('11.07'!AB20,'11.07'!$AM$4:$AP$55,4,FALSE))</f>
        <v>34</v>
      </c>
      <c r="U20" s="4">
        <f>(VLOOKUP('11.07'!AC20,'11.07'!$AM$4:$AP$55,4,FALSE))</f>
        <v>34</v>
      </c>
      <c r="V20" s="4">
        <f>(VLOOKUP('11.07'!AD20,'11.07'!$AM$4:$AP$55,4,FALSE))</f>
        <v>34</v>
      </c>
      <c r="W20" s="4">
        <f>(VLOOKUP('11.07'!AE20,'11.07'!$AM$4:$AP$55,4,FALSE))</f>
        <v>0</v>
      </c>
      <c r="X20" s="4">
        <f>(VLOOKUP('11.07'!AF20,'11.07'!$AM$4:$AP$55,4,FALSE))</f>
        <v>0</v>
      </c>
    </row>
    <row r="21" spans="1:24">
      <c r="A21" s="4">
        <f>(VLOOKUP('11.07'!I21,'11.07'!$AM$4:$AP$55,4,FALSE))</f>
        <v>34</v>
      </c>
      <c r="B21" s="4">
        <f>(VLOOKUP('11.07'!J21,'11.07'!$AM$4:$AP$55,4,FALSE))</f>
        <v>34</v>
      </c>
      <c r="C21" s="4">
        <f>(VLOOKUP('11.07'!K21,'11.07'!$AM$4:$AP$55,4,FALSE))</f>
        <v>34</v>
      </c>
      <c r="D21" s="4">
        <f>(VLOOKUP('11.07'!L21,'11.07'!$AM$4:$AP$55,4,FALSE))</f>
        <v>34</v>
      </c>
      <c r="E21" s="4">
        <f>(VLOOKUP('11.07'!M21,'11.07'!$AM$4:$AP$55,4,FALSE))</f>
        <v>34</v>
      </c>
      <c r="F21" s="4">
        <f>(VLOOKUP('11.07'!N21,'11.07'!$AM$4:$AP$55,4,FALSE))</f>
        <v>34</v>
      </c>
      <c r="G21" s="4">
        <f>(VLOOKUP('11.07'!O21,'11.07'!$AM$4:$AP$55,4,FALSE))</f>
        <v>0</v>
      </c>
      <c r="H21" s="4">
        <f>(VLOOKUP('11.07'!P21,'11.07'!$AM$4:$AP$55,4,FALSE))</f>
        <v>0</v>
      </c>
      <c r="I21" s="4">
        <f>(VLOOKUP('11.07'!Q21,'11.07'!$AM$4:$AP$55,4,FALSE))</f>
        <v>0</v>
      </c>
      <c r="J21" s="4">
        <f>(VLOOKUP('11.07'!R21,'11.07'!$AM$4:$AP$55,4,FALSE))</f>
        <v>0</v>
      </c>
      <c r="K21" s="4">
        <f>(VLOOKUP('11.07'!S21,'11.07'!$AM$4:$AP$55,4,FALSE))</f>
        <v>0</v>
      </c>
      <c r="L21" s="4">
        <f>(VLOOKUP('11.07'!T21,'11.07'!$AM$4:$AP$55,4,FALSE))</f>
        <v>0</v>
      </c>
      <c r="M21" s="4">
        <f>(VLOOKUP('11.07'!U21,'11.07'!$AM$4:$AP$55,4,FALSE))</f>
        <v>0</v>
      </c>
      <c r="N21" s="4">
        <f>(VLOOKUP('11.07'!V21,'11.07'!$AM$4:$AP$55,4,FALSE))</f>
        <v>0</v>
      </c>
      <c r="O21" s="4">
        <f>(VLOOKUP('11.07'!W21,'11.07'!$AM$4:$AP$55,4,FALSE))</f>
        <v>0</v>
      </c>
      <c r="P21" s="4">
        <f>(VLOOKUP('11.07'!X21,'11.07'!$AM$4:$AP$55,4,FALSE))</f>
        <v>0</v>
      </c>
      <c r="Q21" s="4">
        <f>(VLOOKUP('11.07'!Y21,'11.07'!$AM$4:$AP$55,4,FALSE))</f>
        <v>34</v>
      </c>
      <c r="R21" s="4">
        <f>(VLOOKUP('11.07'!Z21,'11.07'!$AM$4:$AP$55,4,FALSE))</f>
        <v>34</v>
      </c>
      <c r="S21" s="4">
        <f>(VLOOKUP('11.07'!AA21,'11.07'!$AM$4:$AP$55,4,FALSE))</f>
        <v>34</v>
      </c>
      <c r="T21" s="4">
        <f>(VLOOKUP('11.07'!AB21,'11.07'!$AM$4:$AP$55,4,FALSE))</f>
        <v>34</v>
      </c>
      <c r="U21" s="4">
        <f>(VLOOKUP('11.07'!AC21,'11.07'!$AM$4:$AP$55,4,FALSE))</f>
        <v>34</v>
      </c>
      <c r="V21" s="4">
        <f>(VLOOKUP('11.07'!AD21,'11.07'!$AM$4:$AP$55,4,FALSE))</f>
        <v>34</v>
      </c>
      <c r="W21" s="4">
        <f>(VLOOKUP('11.07'!AE21,'11.07'!$AM$4:$AP$55,4,FALSE))</f>
        <v>0</v>
      </c>
      <c r="X21" s="4">
        <f>(VLOOKUP('11.07'!AF21,'11.07'!$AM$4:$AP$55,4,FALSE))</f>
        <v>0</v>
      </c>
    </row>
    <row r="22" spans="1:24">
      <c r="A22" s="4">
        <f>(VLOOKUP('11.07'!I22,'11.07'!$AM$4:$AP$55,4,FALSE))</f>
        <v>34</v>
      </c>
      <c r="B22" s="4">
        <f>(VLOOKUP('11.07'!J22,'11.07'!$AM$4:$AP$55,4,FALSE))</f>
        <v>34</v>
      </c>
      <c r="C22" s="4">
        <f>(VLOOKUP('11.07'!K22,'11.07'!$AM$4:$AP$55,4,FALSE))</f>
        <v>34</v>
      </c>
      <c r="D22" s="4">
        <f>(VLOOKUP('11.07'!L22,'11.07'!$AM$4:$AP$55,4,FALSE))</f>
        <v>34</v>
      </c>
      <c r="E22" s="4">
        <f>(VLOOKUP('11.07'!M22,'11.07'!$AM$4:$AP$55,4,FALSE))</f>
        <v>34</v>
      </c>
      <c r="F22" s="4">
        <f>(VLOOKUP('11.07'!N22,'11.07'!$AM$4:$AP$55,4,FALSE))</f>
        <v>34</v>
      </c>
      <c r="G22" s="4">
        <f>(VLOOKUP('11.07'!O22,'11.07'!$AM$4:$AP$55,4,FALSE))</f>
        <v>0</v>
      </c>
      <c r="H22" s="4">
        <f>(VLOOKUP('11.07'!P22,'11.07'!$AM$4:$AP$55,4,FALSE))</f>
        <v>0</v>
      </c>
      <c r="I22" s="4">
        <f>(VLOOKUP('11.07'!Q22,'11.07'!$AM$4:$AP$55,4,FALSE))</f>
        <v>0</v>
      </c>
      <c r="J22" s="4">
        <f>(VLOOKUP('11.07'!R22,'11.07'!$AM$4:$AP$55,4,FALSE))</f>
        <v>0</v>
      </c>
      <c r="K22" s="4">
        <f>(VLOOKUP('11.07'!S22,'11.07'!$AM$4:$AP$55,4,FALSE))</f>
        <v>0</v>
      </c>
      <c r="L22" s="4">
        <f>(VLOOKUP('11.07'!T22,'11.07'!$AM$4:$AP$55,4,FALSE))</f>
        <v>0</v>
      </c>
      <c r="M22" s="4">
        <f>(VLOOKUP('11.07'!U22,'11.07'!$AM$4:$AP$55,4,FALSE))</f>
        <v>0</v>
      </c>
      <c r="N22" s="4">
        <f>(VLOOKUP('11.07'!V22,'11.07'!$AM$4:$AP$55,4,FALSE))</f>
        <v>0</v>
      </c>
      <c r="O22" s="4">
        <f>(VLOOKUP('11.07'!W22,'11.07'!$AM$4:$AP$55,4,FALSE))</f>
        <v>0</v>
      </c>
      <c r="P22" s="4">
        <f>(VLOOKUP('11.07'!X22,'11.07'!$AM$4:$AP$55,4,FALSE))</f>
        <v>0</v>
      </c>
      <c r="Q22" s="4">
        <f>(VLOOKUP('11.07'!Y22,'11.07'!$AM$4:$AP$55,4,FALSE))</f>
        <v>36</v>
      </c>
      <c r="R22" s="4">
        <f>(VLOOKUP('11.07'!Z22,'11.07'!$AM$4:$AP$55,4,FALSE))</f>
        <v>34</v>
      </c>
      <c r="S22" s="4">
        <f>(VLOOKUP('11.07'!AA22,'11.07'!$AM$4:$AP$55,4,FALSE))</f>
        <v>13.999854933178597</v>
      </c>
      <c r="T22" s="4">
        <f>(VLOOKUP('11.07'!AB22,'11.07'!$AM$4:$AP$55,4,FALSE))</f>
        <v>36</v>
      </c>
      <c r="U22" s="4">
        <f>(VLOOKUP('11.07'!AC22,'11.07'!$AM$4:$AP$55,4,FALSE))</f>
        <v>36</v>
      </c>
      <c r="V22" s="4">
        <f>(VLOOKUP('11.07'!AD22,'11.07'!$AM$4:$AP$55,4,FALSE))</f>
        <v>36</v>
      </c>
      <c r="W22" s="4">
        <f>(VLOOKUP('11.07'!AE22,'11.07'!$AM$4:$AP$55,4,FALSE))</f>
        <v>0</v>
      </c>
      <c r="X22" s="4">
        <f>(VLOOKUP('11.07'!AF22,'11.07'!$AM$4:$AP$55,4,FALSE))</f>
        <v>36</v>
      </c>
    </row>
    <row r="23" spans="1:24">
      <c r="A23" s="4">
        <f>(VLOOKUP('11.07'!I23,'11.07'!$AM$4:$AP$55,4,FALSE))</f>
        <v>34</v>
      </c>
      <c r="B23" s="4">
        <f>(VLOOKUP('11.07'!J23,'11.07'!$AM$4:$AP$55,4,FALSE))</f>
        <v>34</v>
      </c>
      <c r="C23" s="4">
        <f>(VLOOKUP('11.07'!K23,'11.07'!$AM$4:$AP$55,4,FALSE))</f>
        <v>34</v>
      </c>
      <c r="D23" s="4">
        <f>(VLOOKUP('11.07'!L23,'11.07'!$AM$4:$AP$55,4,FALSE))</f>
        <v>34</v>
      </c>
      <c r="E23" s="4">
        <f>(VLOOKUP('11.07'!M23,'11.07'!$AM$4:$AP$55,4,FALSE))</f>
        <v>34</v>
      </c>
      <c r="F23" s="4">
        <f>(VLOOKUP('11.07'!N23,'11.07'!$AM$4:$AP$55,4,FALSE))</f>
        <v>34</v>
      </c>
      <c r="G23" s="4">
        <f>(VLOOKUP('11.07'!O23,'11.07'!$AM$4:$AP$55,4,FALSE))</f>
        <v>0</v>
      </c>
      <c r="H23" s="4">
        <f>(VLOOKUP('11.07'!P23,'11.07'!$AM$4:$AP$55,4,FALSE))</f>
        <v>0</v>
      </c>
      <c r="I23" s="4">
        <f>(VLOOKUP('11.07'!Q23,'11.07'!$AM$4:$AP$55,4,FALSE))</f>
        <v>0</v>
      </c>
      <c r="J23" s="4">
        <f>(VLOOKUP('11.07'!R23,'11.07'!$AM$4:$AP$55,4,FALSE))</f>
        <v>0</v>
      </c>
      <c r="K23" s="4">
        <f>(VLOOKUP('11.07'!S23,'11.07'!$AM$4:$AP$55,4,FALSE))</f>
        <v>0</v>
      </c>
      <c r="L23" s="4">
        <f>(VLOOKUP('11.07'!T23,'11.07'!$AM$4:$AP$55,4,FALSE))</f>
        <v>0</v>
      </c>
      <c r="M23" s="4">
        <f>(VLOOKUP('11.07'!U23,'11.07'!$AM$4:$AP$55,4,FALSE))</f>
        <v>0</v>
      </c>
      <c r="N23" s="4">
        <f>(VLOOKUP('11.07'!V23,'11.07'!$AM$4:$AP$55,4,FALSE))</f>
        <v>0</v>
      </c>
      <c r="O23" s="4">
        <f>(VLOOKUP('11.07'!W23,'11.07'!$AM$4:$AP$55,4,FALSE))</f>
        <v>0</v>
      </c>
      <c r="P23" s="4">
        <f>(VLOOKUP('11.07'!X23,'11.07'!$AM$4:$AP$55,4,FALSE))</f>
        <v>0</v>
      </c>
      <c r="Q23" s="4">
        <f>(VLOOKUP('11.07'!Y23,'11.07'!$AM$4:$AP$55,4,FALSE))</f>
        <v>36</v>
      </c>
      <c r="R23" s="4">
        <f>(VLOOKUP('11.07'!Z23,'11.07'!$AM$4:$AP$55,4,FALSE))</f>
        <v>36</v>
      </c>
      <c r="S23" s="4">
        <f>(VLOOKUP('11.07'!AA23,'11.07'!$AM$4:$AP$55,4,FALSE))</f>
        <v>36</v>
      </c>
      <c r="T23" s="4">
        <f>(VLOOKUP('11.07'!AB23,'11.07'!$AM$4:$AP$55,4,FALSE))</f>
        <v>36</v>
      </c>
      <c r="U23" s="4">
        <f>(VLOOKUP('11.07'!AC23,'11.07'!$AM$4:$AP$55,4,FALSE))</f>
        <v>36</v>
      </c>
      <c r="V23" s="4">
        <f>(VLOOKUP('11.07'!AD23,'11.07'!$AM$4:$AP$55,4,FALSE))</f>
        <v>36</v>
      </c>
      <c r="W23" s="4">
        <f>(VLOOKUP('11.07'!AE23,'11.07'!$AM$4:$AP$55,4,FALSE))</f>
        <v>0</v>
      </c>
      <c r="X23" s="4">
        <f>(VLOOKUP('11.07'!AF23,'11.07'!$AM$4:$AP$55,4,FALSE))</f>
        <v>0</v>
      </c>
    </row>
    <row r="24" spans="1:24">
      <c r="A24" s="4">
        <f>(VLOOKUP('11.07'!I24,'11.07'!$AM$4:$AP$55,4,FALSE))</f>
        <v>34</v>
      </c>
      <c r="B24" s="4">
        <f>(VLOOKUP('11.07'!J24,'11.07'!$AM$4:$AP$55,4,FALSE))</f>
        <v>34</v>
      </c>
      <c r="C24" s="4">
        <f>(VLOOKUP('11.07'!K24,'11.07'!$AM$4:$AP$55,4,FALSE))</f>
        <v>34</v>
      </c>
      <c r="D24" s="4">
        <f>(VLOOKUP('11.07'!L24,'11.07'!$AM$4:$AP$55,4,FALSE))</f>
        <v>34</v>
      </c>
      <c r="E24" s="4">
        <f>(VLOOKUP('11.07'!M24,'11.07'!$AM$4:$AP$55,4,FALSE))</f>
        <v>34</v>
      </c>
      <c r="F24" s="4">
        <f>(VLOOKUP('11.07'!N24,'11.07'!$AM$4:$AP$55,4,FALSE))</f>
        <v>34</v>
      </c>
      <c r="G24" s="4">
        <f>(VLOOKUP('11.07'!O24,'11.07'!$AM$4:$AP$55,4,FALSE))</f>
        <v>0</v>
      </c>
      <c r="H24" s="4">
        <f>(VLOOKUP('11.07'!P24,'11.07'!$AM$4:$AP$55,4,FALSE))</f>
        <v>0</v>
      </c>
      <c r="I24" s="4">
        <f>(VLOOKUP('11.07'!Q24,'11.07'!$AM$4:$AP$55,4,FALSE))</f>
        <v>0</v>
      </c>
      <c r="J24" s="4">
        <f>(VLOOKUP('11.07'!R24,'11.07'!$AM$4:$AP$55,4,FALSE))</f>
        <v>0</v>
      </c>
      <c r="K24" s="4">
        <f>(VLOOKUP('11.07'!S24,'11.07'!$AM$4:$AP$55,4,FALSE))</f>
        <v>0</v>
      </c>
      <c r="L24" s="4">
        <f>(VLOOKUP('11.07'!T24,'11.07'!$AM$4:$AP$55,4,FALSE))</f>
        <v>0</v>
      </c>
      <c r="M24" s="4">
        <f>(VLOOKUP('11.07'!U24,'11.07'!$AM$4:$AP$55,4,FALSE))</f>
        <v>0</v>
      </c>
      <c r="N24" s="4">
        <f>(VLOOKUP('11.07'!V24,'11.07'!$AM$4:$AP$55,4,FALSE))</f>
        <v>0</v>
      </c>
      <c r="O24" s="4">
        <f>(VLOOKUP('11.07'!W24,'11.07'!$AM$4:$AP$55,4,FALSE))</f>
        <v>0</v>
      </c>
      <c r="P24" s="4">
        <f>(VLOOKUP('11.07'!X24,'11.07'!$AM$4:$AP$55,4,FALSE))</f>
        <v>0</v>
      </c>
      <c r="Q24" s="4">
        <f>(VLOOKUP('11.07'!Y24,'11.07'!$AM$4:$AP$55,4,FALSE))</f>
        <v>36</v>
      </c>
      <c r="R24" s="4">
        <f>(VLOOKUP('11.07'!Z24,'11.07'!$AM$4:$AP$55,4,FALSE))</f>
        <v>36</v>
      </c>
      <c r="S24" s="4">
        <f>(VLOOKUP('11.07'!AA24,'11.07'!$AM$4:$AP$55,4,FALSE))</f>
        <v>36</v>
      </c>
      <c r="T24" s="4">
        <f>(VLOOKUP('11.07'!AB24,'11.07'!$AM$4:$AP$55,4,FALSE))</f>
        <v>36</v>
      </c>
      <c r="U24" s="4">
        <f>(VLOOKUP('11.07'!AC24,'11.07'!$AM$4:$AP$55,4,FALSE))</f>
        <v>36</v>
      </c>
      <c r="V24" s="4">
        <f>(VLOOKUP('11.07'!AD24,'11.07'!$AM$4:$AP$55,4,FALSE))</f>
        <v>36</v>
      </c>
      <c r="W24" s="4">
        <f>(VLOOKUP('11.07'!AE24,'11.07'!$AM$4:$AP$55,4,FALSE))</f>
        <v>0</v>
      </c>
      <c r="X24" s="4">
        <f>(VLOOKUP('11.07'!AF24,'11.07'!$AM$4:$AP$55,4,FALSE))</f>
        <v>0</v>
      </c>
    </row>
    <row r="25" spans="1:24">
      <c r="A25" s="4">
        <f>(VLOOKUP('11.07'!I25,'11.07'!$AM$4:$AP$55,4,FALSE))</f>
        <v>34</v>
      </c>
      <c r="B25" s="4">
        <f>(VLOOKUP('11.07'!J25,'11.07'!$AM$4:$AP$55,4,FALSE))</f>
        <v>34</v>
      </c>
      <c r="C25" s="4">
        <f>(VLOOKUP('11.07'!K25,'11.07'!$AM$4:$AP$55,4,FALSE))</f>
        <v>34</v>
      </c>
      <c r="D25" s="4">
        <f>(VLOOKUP('11.07'!L25,'11.07'!$AM$4:$AP$55,4,FALSE))</f>
        <v>34</v>
      </c>
      <c r="E25" s="4">
        <f>(VLOOKUP('11.07'!M25,'11.07'!$AM$4:$AP$55,4,FALSE))</f>
        <v>34</v>
      </c>
      <c r="F25" s="4">
        <f>(VLOOKUP('11.07'!N25,'11.07'!$AM$4:$AP$55,4,FALSE))</f>
        <v>34</v>
      </c>
      <c r="G25" s="4">
        <f>(VLOOKUP('11.07'!O25,'11.07'!$AM$4:$AP$55,4,FALSE))</f>
        <v>0</v>
      </c>
      <c r="H25" s="4">
        <f>(VLOOKUP('11.07'!P25,'11.07'!$AM$4:$AP$55,4,FALSE))</f>
        <v>0</v>
      </c>
      <c r="I25" s="4">
        <f>(VLOOKUP('11.07'!Q25,'11.07'!$AM$4:$AP$55,4,FALSE))</f>
        <v>0</v>
      </c>
      <c r="J25" s="4">
        <f>(VLOOKUP('11.07'!R25,'11.07'!$AM$4:$AP$55,4,FALSE))</f>
        <v>0</v>
      </c>
      <c r="K25" s="4">
        <f>(VLOOKUP('11.07'!S25,'11.07'!$AM$4:$AP$55,4,FALSE))</f>
        <v>0</v>
      </c>
      <c r="L25" s="4">
        <f>(VLOOKUP('11.07'!T25,'11.07'!$AM$4:$AP$55,4,FALSE))</f>
        <v>0</v>
      </c>
      <c r="M25" s="4">
        <f>(VLOOKUP('11.07'!U25,'11.07'!$AM$4:$AP$55,4,FALSE))</f>
        <v>0</v>
      </c>
      <c r="N25" s="4">
        <f>(VLOOKUP('11.07'!V25,'11.07'!$AM$4:$AP$55,4,FALSE))</f>
        <v>0</v>
      </c>
      <c r="O25" s="4">
        <f>(VLOOKUP('11.07'!W25,'11.07'!$AM$4:$AP$55,4,FALSE))</f>
        <v>0</v>
      </c>
      <c r="P25" s="4">
        <f>(VLOOKUP('11.07'!X25,'11.07'!$AM$4:$AP$55,4,FALSE))</f>
        <v>0</v>
      </c>
      <c r="Q25" s="4">
        <f>(VLOOKUP('11.07'!Y25,'11.07'!$AM$4:$AP$55,4,FALSE))</f>
        <v>36</v>
      </c>
      <c r="R25" s="4">
        <f>(VLOOKUP('11.07'!Z25,'11.07'!$AM$4:$AP$55,4,FALSE))</f>
        <v>36</v>
      </c>
      <c r="S25" s="4">
        <f>(VLOOKUP('11.07'!AA25,'11.07'!$AM$4:$AP$55,4,FALSE))</f>
        <v>36</v>
      </c>
      <c r="T25" s="4">
        <f>(VLOOKUP('11.07'!AB25,'11.07'!$AM$4:$AP$55,4,FALSE))</f>
        <v>36</v>
      </c>
      <c r="U25" s="4">
        <f>(VLOOKUP('11.07'!AC25,'11.07'!$AM$4:$AP$55,4,FALSE))</f>
        <v>36</v>
      </c>
      <c r="V25" s="4">
        <f>(VLOOKUP('11.07'!AD25,'11.07'!$AM$4:$AP$55,4,FALSE))</f>
        <v>36</v>
      </c>
      <c r="W25" s="4">
        <f>(VLOOKUP('11.07'!AE25,'11.07'!$AM$4:$AP$55,4,FALSE))</f>
        <v>0</v>
      </c>
      <c r="X25" s="4">
        <f>(VLOOKUP('11.07'!AF25,'11.07'!$AM$4:$AP$55,4,FALSE))</f>
        <v>0</v>
      </c>
    </row>
    <row r="26" spans="1:24">
      <c r="A26" s="4">
        <f>(VLOOKUP('11.07'!I26,'11.07'!$AM$4:$AP$55,4,FALSE))</f>
        <v>34</v>
      </c>
      <c r="B26" s="4">
        <f>(VLOOKUP('11.07'!J26,'11.07'!$AM$4:$AP$55,4,FALSE))</f>
        <v>34</v>
      </c>
      <c r="C26" s="4">
        <f>(VLOOKUP('11.07'!K26,'11.07'!$AM$4:$AP$55,4,FALSE))</f>
        <v>10</v>
      </c>
      <c r="D26" s="4">
        <f>(VLOOKUP('11.07'!L26,'11.07'!$AM$4:$AP$55,4,FALSE))</f>
        <v>34</v>
      </c>
      <c r="E26" s="4">
        <f>(VLOOKUP('11.07'!M26,'11.07'!$AM$4:$AP$55,4,FALSE))</f>
        <v>34</v>
      </c>
      <c r="F26" s="4">
        <f>(VLOOKUP('11.07'!N26,'11.07'!$AM$4:$AP$55,4,FALSE))</f>
        <v>34</v>
      </c>
      <c r="G26" s="4">
        <f>(VLOOKUP('11.07'!O26,'11.07'!$AM$4:$AP$55,4,FALSE))</f>
        <v>0</v>
      </c>
      <c r="H26" s="4">
        <f>(VLOOKUP('11.07'!P26,'11.07'!$AM$4:$AP$55,4,FALSE))</f>
        <v>0</v>
      </c>
      <c r="I26" s="4">
        <f>(VLOOKUP('11.07'!Q26,'11.07'!$AM$4:$AP$55,4,FALSE))</f>
        <v>0</v>
      </c>
      <c r="J26" s="4">
        <f>(VLOOKUP('11.07'!R26,'11.07'!$AM$4:$AP$55,4,FALSE))</f>
        <v>0</v>
      </c>
      <c r="K26" s="4">
        <f>(VLOOKUP('11.07'!S26,'11.07'!$AM$4:$AP$55,4,FALSE))</f>
        <v>0</v>
      </c>
      <c r="L26" s="4">
        <f>(VLOOKUP('11.07'!T26,'11.07'!$AM$4:$AP$55,4,FALSE))</f>
        <v>0</v>
      </c>
      <c r="M26" s="4">
        <f>(VLOOKUP('11.07'!U26,'11.07'!$AM$4:$AP$55,4,FALSE))</f>
        <v>0</v>
      </c>
      <c r="N26" s="4">
        <f>(VLOOKUP('11.07'!V26,'11.07'!$AM$4:$AP$55,4,FALSE))</f>
        <v>0</v>
      </c>
      <c r="O26" s="4">
        <f>(VLOOKUP('11.07'!W26,'11.07'!$AM$4:$AP$55,4,FALSE))</f>
        <v>0</v>
      </c>
      <c r="P26" s="4">
        <f>(VLOOKUP('11.07'!X26,'11.07'!$AM$4:$AP$55,4,FALSE))</f>
        <v>0</v>
      </c>
      <c r="Q26" s="4">
        <f>(VLOOKUP('11.07'!Y26,'11.07'!$AM$4:$AP$55,4,FALSE))</f>
        <v>36</v>
      </c>
      <c r="R26" s="4">
        <f>(VLOOKUP('11.07'!Z26,'11.07'!$AM$4:$AP$55,4,FALSE))</f>
        <v>36</v>
      </c>
      <c r="S26" s="4">
        <f>(VLOOKUP('11.07'!AA26,'11.07'!$AM$4:$AP$55,4,FALSE))</f>
        <v>36</v>
      </c>
      <c r="T26" s="4">
        <f>(VLOOKUP('11.07'!AB26,'11.07'!$AM$4:$AP$55,4,FALSE))</f>
        <v>36</v>
      </c>
      <c r="U26" s="4">
        <f>(VLOOKUP('11.07'!AC26,'11.07'!$AM$4:$AP$55,4,FALSE))</f>
        <v>36</v>
      </c>
      <c r="V26" s="4">
        <f>(VLOOKUP('11.07'!AD26,'11.07'!$AM$4:$AP$55,4,FALSE))</f>
        <v>36</v>
      </c>
      <c r="W26" s="4">
        <f>(VLOOKUP('11.07'!AE26,'11.07'!$AM$4:$AP$55,4,FALSE))</f>
        <v>0</v>
      </c>
      <c r="X26" s="4">
        <f>(VLOOKUP('11.07'!AF26,'11.07'!$AM$4:$AP$55,4,FALSE))</f>
        <v>0</v>
      </c>
    </row>
    <row r="27" spans="1:24">
      <c r="A27" s="4">
        <f>(VLOOKUP('11.07'!I27,'11.07'!$AM$4:$AP$55,4,FALSE))</f>
        <v>34</v>
      </c>
      <c r="B27" s="4">
        <f>(VLOOKUP('11.07'!J27,'11.07'!$AM$4:$AP$55,4,FALSE))</f>
        <v>34</v>
      </c>
      <c r="C27" s="4">
        <f>(VLOOKUP('11.07'!K27,'11.07'!$AM$4:$AP$55,4,FALSE))</f>
        <v>34</v>
      </c>
      <c r="D27" s="4">
        <f>(VLOOKUP('11.07'!L27,'11.07'!$AM$4:$AP$55,4,FALSE))</f>
        <v>34</v>
      </c>
      <c r="E27" s="4">
        <f>(VLOOKUP('11.07'!M27,'11.07'!$AM$4:$AP$55,4,FALSE))</f>
        <v>34</v>
      </c>
      <c r="F27" s="4">
        <f>(VLOOKUP('11.07'!N27,'11.07'!$AM$4:$AP$55,4,FALSE))</f>
        <v>34</v>
      </c>
      <c r="G27" s="4">
        <f>(VLOOKUP('11.07'!O27,'11.07'!$AM$4:$AP$55,4,FALSE))</f>
        <v>0</v>
      </c>
      <c r="H27" s="4">
        <f>(VLOOKUP('11.07'!P27,'11.07'!$AM$4:$AP$55,4,FALSE))</f>
        <v>0</v>
      </c>
      <c r="I27" s="4">
        <f>(VLOOKUP('11.07'!Q27,'11.07'!$AM$4:$AP$55,4,FALSE))</f>
        <v>0</v>
      </c>
      <c r="J27" s="4">
        <f>(VLOOKUP('11.07'!R27,'11.07'!$AM$4:$AP$55,4,FALSE))</f>
        <v>0</v>
      </c>
      <c r="K27" s="4">
        <f>(VLOOKUP('11.07'!S27,'11.07'!$AM$4:$AP$55,4,FALSE))</f>
        <v>0</v>
      </c>
      <c r="L27" s="4">
        <f>(VLOOKUP('11.07'!T27,'11.07'!$AM$4:$AP$55,4,FALSE))</f>
        <v>0</v>
      </c>
      <c r="M27" s="4">
        <f>(VLOOKUP('11.07'!U27,'11.07'!$AM$4:$AP$55,4,FALSE))</f>
        <v>0</v>
      </c>
      <c r="N27" s="4">
        <f>(VLOOKUP('11.07'!V27,'11.07'!$AM$4:$AP$55,4,FALSE))</f>
        <v>0</v>
      </c>
      <c r="O27" s="4">
        <f>(VLOOKUP('11.07'!W27,'11.07'!$AM$4:$AP$55,4,FALSE))</f>
        <v>0</v>
      </c>
      <c r="P27" s="4">
        <f>(VLOOKUP('11.07'!X27,'11.07'!$AM$4:$AP$55,4,FALSE))</f>
        <v>0</v>
      </c>
      <c r="Q27" s="4">
        <f>(VLOOKUP('11.07'!Y27,'11.07'!$AM$4:$AP$55,4,FALSE))</f>
        <v>36</v>
      </c>
      <c r="R27" s="4">
        <f>(VLOOKUP('11.07'!Z27,'11.07'!$AM$4:$AP$55,4,FALSE))</f>
        <v>36</v>
      </c>
      <c r="S27" s="4">
        <f>(VLOOKUP('11.07'!AA27,'11.07'!$AM$4:$AP$55,4,FALSE))</f>
        <v>36</v>
      </c>
      <c r="T27" s="4">
        <f>(VLOOKUP('11.07'!AB27,'11.07'!$AM$4:$AP$55,4,FALSE))</f>
        <v>36</v>
      </c>
      <c r="U27" s="4">
        <f>(VLOOKUP('11.07'!AC27,'11.07'!$AM$4:$AP$55,4,FALSE))</f>
        <v>36</v>
      </c>
      <c r="V27" s="4">
        <f>(VLOOKUP('11.07'!AD27,'11.07'!$AM$4:$AP$55,4,FALSE))</f>
        <v>36</v>
      </c>
      <c r="W27" s="4">
        <f>(VLOOKUP('11.07'!AE27,'11.07'!$AM$4:$AP$55,4,FALSE))</f>
        <v>0</v>
      </c>
      <c r="X27" s="4">
        <f>(VLOOKUP('11.07'!AF27,'11.07'!$AM$4:$AP$55,4,FALSE))</f>
        <v>0</v>
      </c>
    </row>
    <row r="28" spans="1:24">
      <c r="A28" s="4">
        <f>(VLOOKUP('11.07'!I28,'11.07'!$AM$4:$AP$55,4,FALSE))</f>
        <v>34</v>
      </c>
      <c r="B28" s="4">
        <f>(VLOOKUP('11.07'!J28,'11.07'!$AM$4:$AP$55,4,FALSE))</f>
        <v>34</v>
      </c>
      <c r="C28" s="4">
        <f>(VLOOKUP('11.07'!K28,'11.07'!$AM$4:$AP$55,4,FALSE))</f>
        <v>34</v>
      </c>
      <c r="D28" s="4">
        <f>(VLOOKUP('11.07'!L28,'11.07'!$AM$4:$AP$55,4,FALSE))</f>
        <v>34</v>
      </c>
      <c r="E28" s="4">
        <f>(VLOOKUP('11.07'!M28,'11.07'!$AM$4:$AP$55,4,FALSE))</f>
        <v>34</v>
      </c>
      <c r="F28" s="4">
        <f>(VLOOKUP('11.07'!N28,'11.07'!$AM$4:$AP$55,4,FALSE))</f>
        <v>10</v>
      </c>
      <c r="G28" s="4">
        <f>(VLOOKUP('11.07'!O28,'11.07'!$AM$4:$AP$55,4,FALSE))</f>
        <v>0</v>
      </c>
      <c r="H28" s="4">
        <f>(VLOOKUP('11.07'!P28,'11.07'!$AM$4:$AP$55,4,FALSE))</f>
        <v>0</v>
      </c>
      <c r="I28" s="4">
        <f>(VLOOKUP('11.07'!Q28,'11.07'!$AM$4:$AP$55,4,FALSE))</f>
        <v>0</v>
      </c>
      <c r="J28" s="4">
        <f>(VLOOKUP('11.07'!R28,'11.07'!$AM$4:$AP$55,4,FALSE))</f>
        <v>0</v>
      </c>
      <c r="K28" s="4">
        <f>(VLOOKUP('11.07'!S28,'11.07'!$AM$4:$AP$55,4,FALSE))</f>
        <v>0</v>
      </c>
      <c r="L28" s="4">
        <f>(VLOOKUP('11.07'!T28,'11.07'!$AM$4:$AP$55,4,FALSE))</f>
        <v>0</v>
      </c>
      <c r="M28" s="4">
        <f>(VLOOKUP('11.07'!U28,'11.07'!$AM$4:$AP$55,4,FALSE))</f>
        <v>0</v>
      </c>
      <c r="N28" s="4">
        <f>(VLOOKUP('11.07'!V28,'11.07'!$AM$4:$AP$55,4,FALSE))</f>
        <v>0</v>
      </c>
      <c r="O28" s="4">
        <f>(VLOOKUP('11.07'!W28,'11.07'!$AM$4:$AP$55,4,FALSE))</f>
        <v>0</v>
      </c>
      <c r="P28" s="4">
        <f>(VLOOKUP('11.07'!X28,'11.07'!$AM$4:$AP$55,4,FALSE))</f>
        <v>0</v>
      </c>
      <c r="Q28" s="4">
        <f>(VLOOKUP('11.07'!Y28,'11.07'!$AM$4:$AP$55,4,FALSE))</f>
        <v>36</v>
      </c>
      <c r="R28" s="4">
        <f>(VLOOKUP('11.07'!Z28,'11.07'!$AM$4:$AP$55,4,FALSE))</f>
        <v>36</v>
      </c>
      <c r="S28" s="4">
        <f>(VLOOKUP('11.07'!AA28,'11.07'!$AM$4:$AP$55,4,FALSE))</f>
        <v>36</v>
      </c>
      <c r="T28" s="4">
        <f>(VLOOKUP('11.07'!AB28,'11.07'!$AM$4:$AP$55,4,FALSE))</f>
        <v>36</v>
      </c>
      <c r="U28" s="4">
        <f>(VLOOKUP('11.07'!AC28,'11.07'!$AM$4:$AP$55,4,FALSE))</f>
        <v>36</v>
      </c>
      <c r="V28" s="4">
        <f>(VLOOKUP('11.07'!AD28,'11.07'!$AM$4:$AP$55,4,FALSE))</f>
        <v>38</v>
      </c>
      <c r="W28" s="4">
        <f>(VLOOKUP('11.07'!AE28,'11.07'!$AM$4:$AP$55,4,FALSE))</f>
        <v>0</v>
      </c>
      <c r="X28" s="4">
        <f>(VLOOKUP('11.07'!AF28,'11.07'!$AM$4:$AP$55,4,FALSE))</f>
        <v>0</v>
      </c>
    </row>
    <row r="29" spans="1:24">
      <c r="A29" s="4">
        <f>(VLOOKUP('11.07'!I29,'11.07'!$AM$4:$AP$55,4,FALSE))</f>
        <v>34</v>
      </c>
      <c r="B29" s="4">
        <f>(VLOOKUP('11.07'!J29,'11.07'!$AM$4:$AP$55,4,FALSE))</f>
        <v>34</v>
      </c>
      <c r="C29" s="4">
        <f>(VLOOKUP('11.07'!K29,'11.07'!$AM$4:$AP$55,4,FALSE))</f>
        <v>34</v>
      </c>
      <c r="D29" s="4">
        <f>(VLOOKUP('11.07'!L29,'11.07'!$AM$4:$AP$55,4,FALSE))</f>
        <v>34</v>
      </c>
      <c r="E29" s="4">
        <f>(VLOOKUP('11.07'!M29,'11.07'!$AM$4:$AP$55,4,FALSE))</f>
        <v>34</v>
      </c>
      <c r="F29" s="4">
        <f>(VLOOKUP('11.07'!N29,'11.07'!$AM$4:$AP$55,4,FALSE))</f>
        <v>34</v>
      </c>
      <c r="G29" s="4">
        <f>(VLOOKUP('11.07'!O29,'11.07'!$AM$4:$AP$55,4,FALSE))</f>
        <v>0</v>
      </c>
      <c r="H29" s="4">
        <f>(VLOOKUP('11.07'!P29,'11.07'!$AM$4:$AP$55,4,FALSE))</f>
        <v>0</v>
      </c>
      <c r="I29" s="4">
        <f>(VLOOKUP('11.07'!Q29,'11.07'!$AM$4:$AP$55,4,FALSE))</f>
        <v>0</v>
      </c>
      <c r="J29" s="4">
        <f>(VLOOKUP('11.07'!R29,'11.07'!$AM$4:$AP$55,4,FALSE))</f>
        <v>0</v>
      </c>
      <c r="K29" s="4">
        <f>(VLOOKUP('11.07'!S29,'11.07'!$AM$4:$AP$55,4,FALSE))</f>
        <v>0</v>
      </c>
      <c r="L29" s="4">
        <f>(VLOOKUP('11.07'!T29,'11.07'!$AM$4:$AP$55,4,FALSE))</f>
        <v>0</v>
      </c>
      <c r="M29" s="4">
        <f>(VLOOKUP('11.07'!U29,'11.07'!$AM$4:$AP$55,4,FALSE))</f>
        <v>0</v>
      </c>
      <c r="N29" s="4">
        <f>(VLOOKUP('11.07'!V29,'11.07'!$AM$4:$AP$55,4,FALSE))</f>
        <v>0</v>
      </c>
      <c r="O29" s="4">
        <f>(VLOOKUP('11.07'!W29,'11.07'!$AM$4:$AP$55,4,FALSE))</f>
        <v>0</v>
      </c>
      <c r="P29" s="4">
        <f>(VLOOKUP('11.07'!X29,'11.07'!$AM$4:$AP$55,4,FALSE))</f>
        <v>0</v>
      </c>
      <c r="Q29" s="4">
        <f>(VLOOKUP('11.07'!Y29,'11.07'!$AM$4:$AP$55,4,FALSE))</f>
        <v>38</v>
      </c>
      <c r="R29" s="4">
        <f>(VLOOKUP('11.07'!Z29,'11.07'!$AM$4:$AP$55,4,FALSE))</f>
        <v>38</v>
      </c>
      <c r="S29" s="4">
        <f>(VLOOKUP('11.07'!AA29,'11.07'!$AM$4:$AP$55,4,FALSE))</f>
        <v>38</v>
      </c>
      <c r="T29" s="4">
        <f>(VLOOKUP('11.07'!AB29,'11.07'!$AM$4:$AP$55,4,FALSE))</f>
        <v>38</v>
      </c>
      <c r="U29" s="4">
        <f>(VLOOKUP('11.07'!AC29,'11.07'!$AM$4:$AP$55,4,FALSE))</f>
        <v>38</v>
      </c>
      <c r="V29" s="4">
        <f>(VLOOKUP('11.07'!AD29,'11.07'!$AM$4:$AP$55,4,FALSE))</f>
        <v>38</v>
      </c>
      <c r="W29" s="4">
        <f>(VLOOKUP('11.07'!AE29,'11.07'!$AM$4:$AP$55,4,FALSE))</f>
        <v>0</v>
      </c>
      <c r="X29" s="4">
        <f>(VLOOKUP('11.07'!AF29,'11.07'!$AM$4:$AP$55,4,FALSE))</f>
        <v>0</v>
      </c>
    </row>
    <row r="30" spans="1:24">
      <c r="A30" s="4">
        <f>(VLOOKUP('11.07'!I30,'11.07'!$AM$4:$AP$55,4,FALSE))</f>
        <v>34</v>
      </c>
      <c r="B30" s="4">
        <f>(VLOOKUP('11.07'!J30,'11.07'!$AM$4:$AP$55,4,FALSE))</f>
        <v>34</v>
      </c>
      <c r="C30" s="4">
        <f>(VLOOKUP('11.07'!K30,'11.07'!$AM$4:$AP$55,4,FALSE))</f>
        <v>34</v>
      </c>
      <c r="D30" s="4">
        <f>(VLOOKUP('11.07'!L30,'11.07'!$AM$4:$AP$55,4,FALSE))</f>
        <v>34</v>
      </c>
      <c r="E30" s="4">
        <f>(VLOOKUP('11.07'!M30,'11.07'!$AM$4:$AP$55,4,FALSE))</f>
        <v>34</v>
      </c>
      <c r="F30" s="4">
        <f>(VLOOKUP('11.07'!N30,'11.07'!$AM$4:$AP$55,4,FALSE))</f>
        <v>34</v>
      </c>
      <c r="G30" s="4">
        <f>(VLOOKUP('11.07'!O30,'11.07'!$AM$4:$AP$55,4,FALSE))</f>
        <v>0</v>
      </c>
      <c r="H30" s="4">
        <f>(VLOOKUP('11.07'!P30,'11.07'!$AM$4:$AP$55,4,FALSE))</f>
        <v>0</v>
      </c>
      <c r="I30" s="4">
        <f>(VLOOKUP('11.07'!Q30,'11.07'!$AM$4:$AP$55,4,FALSE))</f>
        <v>0</v>
      </c>
      <c r="J30" s="4">
        <f>(VLOOKUP('11.07'!R30,'11.07'!$AM$4:$AP$55,4,FALSE))</f>
        <v>0</v>
      </c>
      <c r="K30" s="4">
        <f>(VLOOKUP('11.07'!S30,'11.07'!$AM$4:$AP$55,4,FALSE))</f>
        <v>0</v>
      </c>
      <c r="L30" s="4">
        <f>(VLOOKUP('11.07'!T30,'11.07'!$AM$4:$AP$55,4,FALSE))</f>
        <v>0</v>
      </c>
      <c r="M30" s="4">
        <f>(VLOOKUP('11.07'!U30,'11.07'!$AM$4:$AP$55,4,FALSE))</f>
        <v>0</v>
      </c>
      <c r="N30" s="4">
        <f>(VLOOKUP('11.07'!V30,'11.07'!$AM$4:$AP$55,4,FALSE))</f>
        <v>0</v>
      </c>
      <c r="O30" s="4">
        <f>(VLOOKUP('11.07'!W30,'11.07'!$AM$4:$AP$55,4,FALSE))</f>
        <v>0</v>
      </c>
      <c r="P30" s="4">
        <f>(VLOOKUP('11.07'!X30,'11.07'!$AM$4:$AP$55,4,FALSE))</f>
        <v>0</v>
      </c>
      <c r="Q30" s="4">
        <f>(VLOOKUP('11.07'!Y30,'11.07'!$AM$4:$AP$55,4,FALSE))</f>
        <v>10</v>
      </c>
      <c r="R30" s="4">
        <f>(VLOOKUP('11.07'!Z30,'11.07'!$AM$4:$AP$55,4,FALSE))</f>
        <v>38</v>
      </c>
      <c r="S30" s="4">
        <f>(VLOOKUP('11.07'!AA30,'11.07'!$AM$4:$AP$55,4,FALSE))</f>
        <v>38</v>
      </c>
      <c r="T30" s="4">
        <f>(VLOOKUP('11.07'!AB30,'11.07'!$AM$4:$AP$55,4,FALSE))</f>
        <v>38</v>
      </c>
      <c r="U30" s="4">
        <f>(VLOOKUP('11.07'!AC30,'11.07'!$AM$4:$AP$55,4,FALSE))</f>
        <v>38</v>
      </c>
      <c r="V30" s="4">
        <f>(VLOOKUP('11.07'!AD30,'11.07'!$AM$4:$AP$55,4,FALSE))</f>
        <v>38</v>
      </c>
      <c r="W30" s="4">
        <f>(VLOOKUP('11.07'!AE30,'11.07'!$AM$4:$AP$55,4,FALSE))</f>
        <v>0</v>
      </c>
      <c r="X30" s="4">
        <f>(VLOOKUP('11.07'!AF30,'11.07'!$AM$4:$AP$55,4,FALSE))</f>
        <v>0</v>
      </c>
    </row>
    <row r="31" spans="1:24">
      <c r="A31" s="4">
        <f>(VLOOKUP('11.07'!I31,'11.07'!$AM$4:$AP$55,4,FALSE))</f>
        <v>34</v>
      </c>
      <c r="B31" s="4">
        <f>(VLOOKUP('11.07'!J31,'11.07'!$AM$4:$AP$55,4,FALSE))</f>
        <v>34</v>
      </c>
      <c r="C31" s="4">
        <f>(VLOOKUP('11.07'!K31,'11.07'!$AM$4:$AP$55,4,FALSE))</f>
        <v>34</v>
      </c>
      <c r="D31" s="4">
        <f>(VLOOKUP('11.07'!L31,'11.07'!$AM$4:$AP$55,4,FALSE))</f>
        <v>34</v>
      </c>
      <c r="E31" s="4">
        <f>(VLOOKUP('11.07'!M31,'11.07'!$AM$4:$AP$55,4,FALSE))</f>
        <v>34</v>
      </c>
      <c r="F31" s="4">
        <f>(VLOOKUP('11.07'!N31,'11.07'!$AM$4:$AP$55,4,FALSE))</f>
        <v>10</v>
      </c>
      <c r="G31" s="4">
        <f>(VLOOKUP('11.07'!O31,'11.07'!$AM$4:$AP$55,4,FALSE))</f>
        <v>0</v>
      </c>
      <c r="H31" s="4">
        <f>(VLOOKUP('11.07'!P31,'11.07'!$AM$4:$AP$55,4,FALSE))</f>
        <v>0</v>
      </c>
      <c r="I31" s="4">
        <f>(VLOOKUP('11.07'!Q31,'11.07'!$AM$4:$AP$55,4,FALSE))</f>
        <v>0</v>
      </c>
      <c r="J31" s="4">
        <f>(VLOOKUP('11.07'!R31,'11.07'!$AM$4:$AP$55,4,FALSE))</f>
        <v>0</v>
      </c>
      <c r="K31" s="4">
        <f>(VLOOKUP('11.07'!S31,'11.07'!$AM$4:$AP$55,4,FALSE))</f>
        <v>0</v>
      </c>
      <c r="L31" s="4">
        <f>(VLOOKUP('11.07'!T31,'11.07'!$AM$4:$AP$55,4,FALSE))</f>
        <v>0</v>
      </c>
      <c r="M31" s="4">
        <f>(VLOOKUP('11.07'!U31,'11.07'!$AM$4:$AP$55,4,FALSE))</f>
        <v>0</v>
      </c>
      <c r="N31" s="4">
        <f>(VLOOKUP('11.07'!V31,'11.07'!$AM$4:$AP$55,4,FALSE))</f>
        <v>0</v>
      </c>
      <c r="O31" s="4">
        <f>(VLOOKUP('11.07'!W31,'11.07'!$AM$4:$AP$55,4,FALSE))</f>
        <v>0</v>
      </c>
      <c r="P31" s="4">
        <f>(VLOOKUP('11.07'!X31,'11.07'!$AM$4:$AP$55,4,FALSE))</f>
        <v>0</v>
      </c>
      <c r="Q31" s="4">
        <f>(VLOOKUP('11.07'!Y31,'11.07'!$AM$4:$AP$55,4,FALSE))</f>
        <v>38</v>
      </c>
      <c r="R31" s="4">
        <f>(VLOOKUP('11.07'!Z31,'11.07'!$AM$4:$AP$55,4,FALSE))</f>
        <v>38</v>
      </c>
      <c r="S31" s="4">
        <f>(VLOOKUP('11.07'!AA31,'11.07'!$AM$4:$AP$55,4,FALSE))</f>
        <v>38</v>
      </c>
      <c r="T31" s="4">
        <f>(VLOOKUP('11.07'!AB31,'11.07'!$AM$4:$AP$55,4,FALSE))</f>
        <v>38</v>
      </c>
      <c r="U31" s="4">
        <f>(VLOOKUP('11.07'!AC31,'11.07'!$AM$4:$AP$55,4,FALSE))</f>
        <v>38</v>
      </c>
      <c r="V31" s="4">
        <f>(VLOOKUP('11.07'!AD31,'11.07'!$AM$4:$AP$55,4,FALSE))</f>
        <v>38</v>
      </c>
      <c r="W31" s="4">
        <f>(VLOOKUP('11.07'!AE31,'11.07'!$AM$4:$AP$55,4,FALSE))</f>
        <v>0</v>
      </c>
      <c r="X31" s="4">
        <f>(VLOOKUP('11.07'!AF31,'11.07'!$AM$4:$AP$55,4,FALSE))</f>
        <v>0</v>
      </c>
    </row>
    <row r="32" spans="1:24">
      <c r="A32" s="4">
        <f>(VLOOKUP('11.07'!I32,'11.07'!$AM$4:$AP$55,4,FALSE))</f>
        <v>34</v>
      </c>
      <c r="B32" s="4">
        <f>(VLOOKUP('11.07'!J32,'11.07'!$AM$4:$AP$55,4,FALSE))</f>
        <v>34</v>
      </c>
      <c r="C32" s="4">
        <f>(VLOOKUP('11.07'!K32,'11.07'!$AM$4:$AP$55,4,FALSE))</f>
        <v>34</v>
      </c>
      <c r="D32" s="4">
        <f>(VLOOKUP('11.07'!L32,'11.07'!$AM$4:$AP$55,4,FALSE))</f>
        <v>0</v>
      </c>
      <c r="E32" s="4">
        <f>(VLOOKUP('11.07'!M32,'11.07'!$AM$4:$AP$55,4,FALSE))</f>
        <v>34</v>
      </c>
      <c r="F32" s="4">
        <f>(VLOOKUP('11.07'!N32,'11.07'!$AM$4:$AP$55,4,FALSE))</f>
        <v>34</v>
      </c>
      <c r="G32" s="4">
        <f>(VLOOKUP('11.07'!O32,'11.07'!$AM$4:$AP$55,4,FALSE))</f>
        <v>10</v>
      </c>
      <c r="H32" s="4">
        <f>(VLOOKUP('11.07'!P32,'11.07'!$AM$4:$AP$55,4,FALSE))</f>
        <v>0</v>
      </c>
      <c r="I32" s="4">
        <f>(VLOOKUP('11.07'!Q32,'11.07'!$AM$4:$AP$55,4,FALSE))</f>
        <v>0</v>
      </c>
      <c r="J32" s="4">
        <f>(VLOOKUP('11.07'!R32,'11.07'!$AM$4:$AP$55,4,FALSE))</f>
        <v>0</v>
      </c>
      <c r="K32" s="4">
        <f>(VLOOKUP('11.07'!S32,'11.07'!$AM$4:$AP$55,4,FALSE))</f>
        <v>0</v>
      </c>
      <c r="L32" s="4">
        <f>(VLOOKUP('11.07'!T32,'11.07'!$AM$4:$AP$55,4,FALSE))</f>
        <v>0</v>
      </c>
      <c r="M32" s="4">
        <f>(VLOOKUP('11.07'!U32,'11.07'!$AM$4:$AP$55,4,FALSE))</f>
        <v>0</v>
      </c>
      <c r="N32" s="4">
        <f>(VLOOKUP('11.07'!V32,'11.07'!$AM$4:$AP$55,4,FALSE))</f>
        <v>0</v>
      </c>
      <c r="O32" s="4">
        <f>(VLOOKUP('11.07'!W32,'11.07'!$AM$4:$AP$55,4,FALSE))</f>
        <v>0</v>
      </c>
      <c r="P32" s="4">
        <f>(VLOOKUP('11.07'!X32,'11.07'!$AM$4:$AP$55,4,FALSE))</f>
        <v>0</v>
      </c>
      <c r="Q32" s="4">
        <f>(VLOOKUP('11.07'!Y32,'11.07'!$AM$4:$AP$55,4,FALSE))</f>
        <v>38</v>
      </c>
      <c r="R32" s="4">
        <f>(VLOOKUP('11.07'!Z32,'11.07'!$AM$4:$AP$55,4,FALSE))</f>
        <v>0</v>
      </c>
      <c r="S32" s="4">
        <f>(VLOOKUP('11.07'!AA32,'11.07'!$AM$4:$AP$55,4,FALSE))</f>
        <v>0</v>
      </c>
      <c r="T32" s="4">
        <f>(VLOOKUP('11.07'!AB32,'11.07'!$AM$4:$AP$55,4,FALSE))</f>
        <v>0</v>
      </c>
      <c r="U32" s="4">
        <f>(VLOOKUP('11.07'!AC32,'11.07'!$AM$4:$AP$55,4,FALSE))</f>
        <v>0</v>
      </c>
      <c r="V32" s="4">
        <f>(VLOOKUP('11.07'!AD32,'11.07'!$AM$4:$AP$55,4,FALSE))</f>
        <v>0</v>
      </c>
      <c r="W32" s="4">
        <f>(VLOOKUP('11.07'!AE32,'11.07'!$AM$4:$AP$55,4,FALSE))</f>
        <v>0</v>
      </c>
      <c r="X32" s="4">
        <f>(VLOOKUP('11.07'!AF32,'11.07'!$AM$4:$AP$55,4,FALSE))</f>
        <v>0</v>
      </c>
    </row>
    <row r="33" spans="1:24">
      <c r="A33" s="4">
        <f>(VLOOKUP('11.07'!I33,'11.07'!$AM$4:$AP$55,4,FALSE))</f>
        <v>34</v>
      </c>
      <c r="B33" s="4">
        <f>(VLOOKUP('11.07'!J33,'11.07'!$AM$4:$AP$55,4,FALSE))</f>
        <v>34</v>
      </c>
      <c r="C33" s="4">
        <f>(VLOOKUP('11.07'!K33,'11.07'!$AM$4:$AP$55,4,FALSE))</f>
        <v>34</v>
      </c>
      <c r="D33" s="4">
        <f>(VLOOKUP('11.07'!L33,'11.07'!$AM$4:$AP$55,4,FALSE))</f>
        <v>34</v>
      </c>
      <c r="E33" s="4">
        <f>(VLOOKUP('11.07'!M33,'11.07'!$AM$4:$AP$55,4,FALSE))</f>
        <v>34</v>
      </c>
      <c r="F33" s="4">
        <f>(VLOOKUP('11.07'!N33,'11.07'!$AM$4:$AP$55,4,FALSE))</f>
        <v>34</v>
      </c>
      <c r="G33" s="4">
        <f>(VLOOKUP('11.07'!O33,'11.07'!$AM$4:$AP$55,4,FALSE))</f>
        <v>0</v>
      </c>
      <c r="H33" s="4">
        <f>(VLOOKUP('11.07'!P33,'11.07'!$AM$4:$AP$55,4,FALSE))</f>
        <v>0</v>
      </c>
      <c r="I33" s="4">
        <f>(VLOOKUP('11.07'!Q33,'11.07'!$AM$4:$AP$55,4,FALSE))</f>
        <v>0</v>
      </c>
      <c r="J33" s="4">
        <f>(VLOOKUP('11.07'!R33,'11.07'!$AM$4:$AP$55,4,FALSE))</f>
        <v>0</v>
      </c>
      <c r="K33" s="4">
        <f>(VLOOKUP('11.07'!S33,'11.07'!$AM$4:$AP$55,4,FALSE))</f>
        <v>0</v>
      </c>
      <c r="L33" s="4">
        <f>(VLOOKUP('11.07'!T33,'11.07'!$AM$4:$AP$55,4,FALSE))</f>
        <v>0</v>
      </c>
      <c r="M33" s="4">
        <f>(VLOOKUP('11.07'!U33,'11.07'!$AM$4:$AP$55,4,FALSE))</f>
        <v>0</v>
      </c>
      <c r="N33" s="4">
        <f>(VLOOKUP('11.07'!V33,'11.07'!$AM$4:$AP$55,4,FALSE))</f>
        <v>0</v>
      </c>
      <c r="O33" s="4">
        <f>(VLOOKUP('11.07'!W33,'11.07'!$AM$4:$AP$55,4,FALSE))</f>
        <v>0</v>
      </c>
      <c r="P33" s="4">
        <f>(VLOOKUP('11.07'!X33,'11.07'!$AM$4:$AP$55,4,FALSE))</f>
        <v>0</v>
      </c>
      <c r="Q33" s="4">
        <f>(VLOOKUP('11.07'!Y33,'11.07'!$AM$4:$AP$55,4,FALSE))</f>
        <v>0</v>
      </c>
      <c r="R33" s="4">
        <f>(VLOOKUP('11.07'!Z33,'11.07'!$AM$4:$AP$55,4,FALSE))</f>
        <v>0</v>
      </c>
      <c r="S33" s="4">
        <f>(VLOOKUP('11.07'!AA33,'11.07'!$AM$4:$AP$55,4,FALSE))</f>
        <v>0</v>
      </c>
      <c r="T33" s="4">
        <f>(VLOOKUP('11.07'!AB33,'11.07'!$AM$4:$AP$55,4,FALSE))</f>
        <v>0</v>
      </c>
      <c r="U33" s="4">
        <f>(VLOOKUP('11.07'!AC33,'11.07'!$AM$4:$AP$55,4,FALSE))</f>
        <v>0</v>
      </c>
      <c r="V33" s="4">
        <f>(VLOOKUP('11.07'!AD33,'11.07'!$AM$4:$AP$55,4,FALSE))</f>
        <v>0</v>
      </c>
      <c r="W33" s="4">
        <f>(VLOOKUP('11.07'!AE33,'11.07'!$AM$4:$AP$55,4,FALSE))</f>
        <v>0</v>
      </c>
      <c r="X33" s="4">
        <f>(VLOOKUP('11.07'!AF33,'11.07'!$AM$4:$AP$55,4,FALSE))</f>
        <v>0</v>
      </c>
    </row>
    <row r="34" spans="1:24">
      <c r="A34" s="4">
        <f>(VLOOKUP('11.07'!I34,'11.07'!$AM$4:$AP$55,4,FALSE))</f>
        <v>36</v>
      </c>
      <c r="B34" s="4">
        <f>(VLOOKUP('11.07'!J34,'11.07'!$AM$4:$AP$55,4,FALSE))</f>
        <v>36</v>
      </c>
      <c r="C34" s="4">
        <f>(VLOOKUP('11.07'!K34,'11.07'!$AM$4:$AP$55,4,FALSE))</f>
        <v>36</v>
      </c>
      <c r="D34" s="4">
        <f>(VLOOKUP('11.07'!L34,'11.07'!$AM$4:$AP$55,4,FALSE))</f>
        <v>36</v>
      </c>
      <c r="E34" s="4">
        <f>(VLOOKUP('11.07'!M34,'11.07'!$AM$4:$AP$55,4,FALSE))</f>
        <v>36</v>
      </c>
      <c r="F34" s="4">
        <f>(VLOOKUP('11.07'!N34,'11.07'!$AM$4:$AP$55,4,FALSE))</f>
        <v>36</v>
      </c>
      <c r="G34" s="4">
        <f>(VLOOKUP('11.07'!O34,'11.07'!$AM$4:$AP$55,4,FALSE))</f>
        <v>0</v>
      </c>
      <c r="H34" s="4">
        <f>(VLOOKUP('11.07'!P34,'11.07'!$AM$4:$AP$55,4,FALSE))</f>
        <v>0</v>
      </c>
      <c r="I34" s="4">
        <f>(VLOOKUP('11.07'!Q34,'11.07'!$AM$4:$AP$55,4,FALSE))</f>
        <v>0</v>
      </c>
      <c r="J34" s="4">
        <f>(VLOOKUP('11.07'!R34,'11.07'!$AM$4:$AP$55,4,FALSE))</f>
        <v>0</v>
      </c>
      <c r="K34" s="4">
        <f>(VLOOKUP('11.07'!S34,'11.07'!$AM$4:$AP$55,4,FALSE))</f>
        <v>0</v>
      </c>
      <c r="L34" s="4">
        <f>(VLOOKUP('11.07'!T34,'11.07'!$AM$4:$AP$55,4,FALSE))</f>
        <v>0</v>
      </c>
      <c r="M34" s="4">
        <f>(VLOOKUP('11.07'!U34,'11.07'!$AM$4:$AP$55,4,FALSE))</f>
        <v>0</v>
      </c>
      <c r="N34" s="4">
        <f>(VLOOKUP('11.07'!V34,'11.07'!$AM$4:$AP$55,4,FALSE))</f>
        <v>0</v>
      </c>
      <c r="O34" s="4">
        <f>(VLOOKUP('11.07'!W34,'11.07'!$AM$4:$AP$55,4,FALSE))</f>
        <v>0</v>
      </c>
      <c r="P34" s="4">
        <f>(VLOOKUP('11.07'!X34,'11.07'!$AM$4:$AP$55,4,FALSE))</f>
        <v>0</v>
      </c>
      <c r="Q34" s="4">
        <f>(VLOOKUP('11.07'!Y34,'11.07'!$AM$4:$AP$55,4,FALSE))</f>
        <v>0</v>
      </c>
      <c r="R34" s="4">
        <f>(VLOOKUP('11.07'!Z34,'11.07'!$AM$4:$AP$55,4,FALSE))</f>
        <v>0</v>
      </c>
      <c r="S34" s="4">
        <f>(VLOOKUP('11.07'!AA34,'11.07'!$AM$4:$AP$55,4,FALSE))</f>
        <v>0</v>
      </c>
      <c r="T34" s="4">
        <f>(VLOOKUP('11.07'!AB34,'11.07'!$AM$4:$AP$55,4,FALSE))</f>
        <v>0</v>
      </c>
      <c r="U34" s="4">
        <f>(VLOOKUP('11.07'!AC34,'11.07'!$AM$4:$AP$55,4,FALSE))</f>
        <v>0</v>
      </c>
      <c r="V34" s="4">
        <f>(VLOOKUP('11.07'!AD34,'11.07'!$AM$4:$AP$55,4,FALSE))</f>
        <v>0</v>
      </c>
      <c r="W34" s="4">
        <f>(VLOOKUP('11.07'!AE34,'11.07'!$AM$4:$AP$55,4,FALSE))</f>
        <v>0</v>
      </c>
      <c r="X34" s="4">
        <f>(VLOOKUP('11.07'!AF34,'11.07'!$AM$4:$AP$55,4,FALSE))</f>
        <v>0</v>
      </c>
    </row>
    <row r="35" spans="1:24">
      <c r="A35" s="4">
        <f>(VLOOKUP('11.07'!I35,'11.07'!$AM$4:$AP$55,4,FALSE))</f>
        <v>36</v>
      </c>
      <c r="B35" s="4">
        <f>(VLOOKUP('11.07'!J35,'11.07'!$AM$4:$AP$55,4,FALSE))</f>
        <v>36</v>
      </c>
      <c r="C35" s="4">
        <f>(VLOOKUP('11.07'!K35,'11.07'!$AM$4:$AP$55,4,FALSE))</f>
        <v>36</v>
      </c>
      <c r="D35" s="4">
        <f>(VLOOKUP('11.07'!L35,'11.07'!$AM$4:$AP$55,4,FALSE))</f>
        <v>36</v>
      </c>
      <c r="E35" s="4">
        <f>(VLOOKUP('11.07'!M35,'11.07'!$AM$4:$AP$55,4,FALSE))</f>
        <v>36</v>
      </c>
      <c r="F35" s="4">
        <f>(VLOOKUP('11.07'!N35,'11.07'!$AM$4:$AP$55,4,FALSE))</f>
        <v>34</v>
      </c>
      <c r="G35" s="4">
        <f>(VLOOKUP('11.07'!O35,'11.07'!$AM$4:$AP$55,4,FALSE))</f>
        <v>0</v>
      </c>
      <c r="H35" s="4">
        <f>(VLOOKUP('11.07'!P35,'11.07'!$AM$4:$AP$55,4,FALSE))</f>
        <v>0</v>
      </c>
      <c r="I35" s="4">
        <f>(VLOOKUP('11.07'!Q35,'11.07'!$AM$4:$AP$55,4,FALSE))</f>
        <v>0</v>
      </c>
      <c r="J35" s="4">
        <f>(VLOOKUP('11.07'!R35,'11.07'!$AM$4:$AP$55,4,FALSE))</f>
        <v>0</v>
      </c>
      <c r="K35" s="4">
        <f>(VLOOKUP('11.07'!S35,'11.07'!$AM$4:$AP$55,4,FALSE))</f>
        <v>0</v>
      </c>
      <c r="L35" s="4">
        <f>(VLOOKUP('11.07'!T35,'11.07'!$AM$4:$AP$55,4,FALSE))</f>
        <v>0</v>
      </c>
      <c r="M35" s="4">
        <f>(VLOOKUP('11.07'!U35,'11.07'!$AM$4:$AP$55,4,FALSE))</f>
        <v>0</v>
      </c>
      <c r="N35" s="4">
        <f>(VLOOKUP('11.07'!V35,'11.07'!$AM$4:$AP$55,4,FALSE))</f>
        <v>0</v>
      </c>
      <c r="O35" s="4">
        <f>(VLOOKUP('11.07'!W35,'11.07'!$AM$4:$AP$55,4,FALSE))</f>
        <v>0</v>
      </c>
      <c r="P35" s="4">
        <f>(VLOOKUP('11.07'!X35,'11.07'!$AM$4:$AP$55,4,FALSE))</f>
        <v>0</v>
      </c>
      <c r="Q35" s="4">
        <f>(VLOOKUP('11.07'!Y35,'11.07'!$AM$4:$AP$55,4,FALSE))</f>
        <v>0</v>
      </c>
      <c r="R35" s="4">
        <f>(VLOOKUP('11.07'!Z35,'11.07'!$AM$4:$AP$55,4,FALSE))</f>
        <v>0</v>
      </c>
      <c r="S35" s="4">
        <f>(VLOOKUP('11.07'!AA35,'11.07'!$AM$4:$AP$55,4,FALSE))</f>
        <v>0</v>
      </c>
      <c r="T35" s="4">
        <f>(VLOOKUP('11.07'!AB35,'11.07'!$AM$4:$AP$55,4,FALSE))</f>
        <v>0</v>
      </c>
      <c r="U35" s="4">
        <f>(VLOOKUP('11.07'!AC35,'11.07'!$AM$4:$AP$55,4,FALSE))</f>
        <v>0</v>
      </c>
      <c r="V35" s="4">
        <f>(VLOOKUP('11.07'!AD35,'11.07'!$AM$4:$AP$55,4,FALSE))</f>
        <v>0</v>
      </c>
      <c r="W35" s="4">
        <f>(VLOOKUP('11.07'!AE35,'11.07'!$AM$4:$AP$55,4,FALSE))</f>
        <v>0</v>
      </c>
      <c r="X35" s="4">
        <f>(VLOOKUP('11.07'!AF35,'11.07'!$AM$4:$AP$55,4,FALSE))</f>
        <v>0</v>
      </c>
    </row>
    <row r="36" spans="1:24">
      <c r="A36" s="4">
        <f>(VLOOKUP('11.07'!I36,'11.07'!$AM$4:$AP$55,4,FALSE))</f>
        <v>34</v>
      </c>
      <c r="B36" s="4">
        <f>(VLOOKUP('11.07'!J36,'11.07'!$AM$4:$AP$55,4,FALSE))</f>
        <v>34</v>
      </c>
      <c r="C36" s="4">
        <f>(VLOOKUP('11.07'!K36,'11.07'!$AM$4:$AP$55,4,FALSE))</f>
        <v>34</v>
      </c>
      <c r="D36" s="4">
        <f>(VLOOKUP('11.07'!L36,'11.07'!$AM$4:$AP$55,4,FALSE))</f>
        <v>10</v>
      </c>
      <c r="E36" s="4">
        <f>(VLOOKUP('11.07'!M36,'11.07'!$AM$4:$AP$55,4,FALSE))</f>
        <v>34</v>
      </c>
      <c r="F36" s="4">
        <f>(VLOOKUP('11.07'!N36,'11.07'!$AM$4:$AP$55,4,FALSE))</f>
        <v>34</v>
      </c>
      <c r="G36" s="4">
        <f>(VLOOKUP('11.07'!O36,'11.07'!$AM$4:$AP$55,4,FALSE))</f>
        <v>0</v>
      </c>
      <c r="H36" s="4">
        <f>(VLOOKUP('11.07'!P36,'11.07'!$AM$4:$AP$55,4,FALSE))</f>
        <v>0</v>
      </c>
      <c r="I36" s="4">
        <f>(VLOOKUP('11.07'!Q36,'11.07'!$AM$4:$AP$55,4,FALSE))</f>
        <v>0</v>
      </c>
      <c r="J36" s="4">
        <f>(VLOOKUP('11.07'!R36,'11.07'!$AM$4:$AP$55,4,FALSE))</f>
        <v>0</v>
      </c>
      <c r="K36" s="4">
        <f>(VLOOKUP('11.07'!S36,'11.07'!$AM$4:$AP$55,4,FALSE))</f>
        <v>0</v>
      </c>
      <c r="L36" s="4">
        <f>(VLOOKUP('11.07'!T36,'11.07'!$AM$4:$AP$55,4,FALSE))</f>
        <v>0</v>
      </c>
      <c r="M36" s="4">
        <f>(VLOOKUP('11.07'!U36,'11.07'!$AM$4:$AP$55,4,FALSE))</f>
        <v>0</v>
      </c>
      <c r="N36" s="4">
        <f>(VLOOKUP('11.07'!V36,'11.07'!$AM$4:$AP$55,4,FALSE))</f>
        <v>0</v>
      </c>
      <c r="O36" s="4">
        <f>(VLOOKUP('11.07'!W36,'11.07'!$AM$4:$AP$55,4,FALSE))</f>
        <v>0</v>
      </c>
      <c r="P36" s="4">
        <f>(VLOOKUP('11.07'!X36,'11.07'!$AM$4:$AP$55,4,FALSE))</f>
        <v>0</v>
      </c>
      <c r="Q36" s="4">
        <f>(VLOOKUP('11.07'!Y36,'11.07'!$AM$4:$AP$55,4,FALSE))</f>
        <v>0</v>
      </c>
      <c r="R36" s="4">
        <f>(VLOOKUP('11.07'!Z36,'11.07'!$AM$4:$AP$55,4,FALSE))</f>
        <v>0</v>
      </c>
      <c r="S36" s="4">
        <f>(VLOOKUP('11.07'!AA36,'11.07'!$AM$4:$AP$55,4,FALSE))</f>
        <v>0</v>
      </c>
      <c r="T36" s="4">
        <f>(VLOOKUP('11.07'!AB36,'11.07'!$AM$4:$AP$55,4,FALSE))</f>
        <v>0</v>
      </c>
      <c r="U36" s="4">
        <f>(VLOOKUP('11.07'!AC36,'11.07'!$AM$4:$AP$55,4,FALSE))</f>
        <v>0</v>
      </c>
      <c r="V36" s="4">
        <f>(VLOOKUP('11.07'!AD36,'11.07'!$AM$4:$AP$55,4,FALSE))</f>
        <v>0</v>
      </c>
      <c r="W36" s="4">
        <f>(VLOOKUP('11.07'!AE36,'11.07'!$AM$4:$AP$55,4,FALSE))</f>
        <v>0</v>
      </c>
      <c r="X36" s="4">
        <f>(VLOOKUP('11.07'!AF36,'11.07'!$AM$4:$AP$55,4,FALSE))</f>
        <v>0</v>
      </c>
    </row>
    <row r="37" spans="1:24">
      <c r="A37" s="4">
        <f>(VLOOKUP('11.07'!I37,'11.07'!$AM$4:$AP$55,4,FALSE))</f>
        <v>36</v>
      </c>
      <c r="B37" s="4">
        <f>(VLOOKUP('11.07'!J37,'11.07'!$AM$4:$AP$55,4,FALSE))</f>
        <v>36</v>
      </c>
      <c r="C37" s="4">
        <f>(VLOOKUP('11.07'!K37,'11.07'!$AM$4:$AP$55,4,FALSE))</f>
        <v>36</v>
      </c>
      <c r="D37" s="4">
        <f>(VLOOKUP('11.07'!L37,'11.07'!$AM$4:$AP$55,4,FALSE))</f>
        <v>36</v>
      </c>
      <c r="E37" s="4">
        <f>(VLOOKUP('11.07'!M37,'11.07'!$AM$4:$AP$55,4,FALSE))</f>
        <v>36</v>
      </c>
      <c r="F37" s="4">
        <f>(VLOOKUP('11.07'!N37,'11.07'!$AM$4:$AP$55,4,FALSE))</f>
        <v>36</v>
      </c>
      <c r="G37" s="4">
        <f>(VLOOKUP('11.07'!O37,'11.07'!$AM$4:$AP$55,4,FALSE))</f>
        <v>0</v>
      </c>
      <c r="H37" s="4">
        <f>(VLOOKUP('11.07'!P37,'11.07'!$AM$4:$AP$55,4,FALSE))</f>
        <v>0</v>
      </c>
      <c r="I37" s="4">
        <f>(VLOOKUP('11.07'!Q37,'11.07'!$AM$4:$AP$55,4,FALSE))</f>
        <v>0</v>
      </c>
      <c r="J37" s="4">
        <f>(VLOOKUP('11.07'!R37,'11.07'!$AM$4:$AP$55,4,FALSE))</f>
        <v>0</v>
      </c>
      <c r="K37" s="4">
        <f>(VLOOKUP('11.07'!S37,'11.07'!$AM$4:$AP$55,4,FALSE))</f>
        <v>0</v>
      </c>
      <c r="L37" s="4">
        <f>(VLOOKUP('11.07'!T37,'11.07'!$AM$4:$AP$55,4,FALSE))</f>
        <v>0</v>
      </c>
      <c r="M37" s="4">
        <f>(VLOOKUP('11.07'!U37,'11.07'!$AM$4:$AP$55,4,FALSE))</f>
        <v>0</v>
      </c>
      <c r="N37" s="4">
        <f>(VLOOKUP('11.07'!V37,'11.07'!$AM$4:$AP$55,4,FALSE))</f>
        <v>0</v>
      </c>
      <c r="O37" s="4">
        <f>(VLOOKUP('11.07'!W37,'11.07'!$AM$4:$AP$55,4,FALSE))</f>
        <v>0</v>
      </c>
      <c r="P37" s="4">
        <f>(VLOOKUP('11.07'!X37,'11.07'!$AM$4:$AP$55,4,FALSE))</f>
        <v>0</v>
      </c>
      <c r="Q37" s="4">
        <f>(VLOOKUP('11.07'!Y37,'11.07'!$AM$4:$AP$55,4,FALSE))</f>
        <v>0</v>
      </c>
      <c r="R37" s="4">
        <f>(VLOOKUP('11.07'!Z37,'11.07'!$AM$4:$AP$55,4,FALSE))</f>
        <v>0</v>
      </c>
      <c r="S37" s="4">
        <f>(VLOOKUP('11.07'!AA37,'11.07'!$AM$4:$AP$55,4,FALSE))</f>
        <v>0</v>
      </c>
      <c r="T37" s="4">
        <f>(VLOOKUP('11.07'!AB37,'11.07'!$AM$4:$AP$55,4,FALSE))</f>
        <v>0</v>
      </c>
      <c r="U37" s="4">
        <f>(VLOOKUP('11.07'!AC37,'11.07'!$AM$4:$AP$55,4,FALSE))</f>
        <v>0</v>
      </c>
      <c r="V37" s="4">
        <f>(VLOOKUP('11.07'!AD37,'11.07'!$AM$4:$AP$55,4,FALSE))</f>
        <v>0</v>
      </c>
      <c r="W37" s="4">
        <f>(VLOOKUP('11.07'!AE37,'11.07'!$AM$4:$AP$55,4,FALSE))</f>
        <v>0</v>
      </c>
      <c r="X37" s="4">
        <f>(VLOOKUP('11.07'!AF37,'11.07'!$AM$4:$AP$55,4,FALSE))</f>
        <v>0</v>
      </c>
    </row>
    <row r="38" spans="1:24">
      <c r="A38" s="4">
        <f>(VLOOKUP('11.07'!I38,'11.07'!$AM$4:$AP$55,4,FALSE))</f>
        <v>36</v>
      </c>
      <c r="B38" s="4">
        <f>(VLOOKUP('11.07'!J38,'11.07'!$AM$4:$AP$55,4,FALSE))</f>
        <v>36</v>
      </c>
      <c r="C38" s="4">
        <f>(VLOOKUP('11.07'!K38,'11.07'!$AM$4:$AP$55,4,FALSE))</f>
        <v>36</v>
      </c>
      <c r="D38" s="4">
        <f>(VLOOKUP('11.07'!L38,'11.07'!$AM$4:$AP$55,4,FALSE))</f>
        <v>36</v>
      </c>
      <c r="E38" s="4">
        <f>(VLOOKUP('11.07'!M38,'11.07'!$AM$4:$AP$55,4,FALSE))</f>
        <v>36</v>
      </c>
      <c r="F38" s="4">
        <f>(VLOOKUP('11.07'!N38,'11.07'!$AM$4:$AP$55,4,FALSE))</f>
        <v>10</v>
      </c>
      <c r="G38" s="4">
        <f>(VLOOKUP('11.07'!O38,'11.07'!$AM$4:$AP$55,4,FALSE))</f>
        <v>0</v>
      </c>
      <c r="H38" s="4">
        <f>(VLOOKUP('11.07'!P38,'11.07'!$AM$4:$AP$55,4,FALSE))</f>
        <v>0</v>
      </c>
      <c r="I38" s="4">
        <f>(VLOOKUP('11.07'!Q38,'11.07'!$AM$4:$AP$55,4,FALSE))</f>
        <v>0</v>
      </c>
      <c r="J38" s="4">
        <f>(VLOOKUP('11.07'!R38,'11.07'!$AM$4:$AP$55,4,FALSE))</f>
        <v>0</v>
      </c>
      <c r="K38" s="4">
        <f>(VLOOKUP('11.07'!S38,'11.07'!$AM$4:$AP$55,4,FALSE))</f>
        <v>0</v>
      </c>
      <c r="L38" s="4">
        <f>(VLOOKUP('11.07'!T38,'11.07'!$AM$4:$AP$55,4,FALSE))</f>
        <v>0</v>
      </c>
      <c r="M38" s="4">
        <f>(VLOOKUP('11.07'!U38,'11.07'!$AM$4:$AP$55,4,FALSE))</f>
        <v>0</v>
      </c>
      <c r="N38" s="4">
        <f>(VLOOKUP('11.07'!V38,'11.07'!$AM$4:$AP$55,4,FALSE))</f>
        <v>0</v>
      </c>
      <c r="O38" s="4">
        <f>(VLOOKUP('11.07'!W38,'11.07'!$AM$4:$AP$55,4,FALSE))</f>
        <v>0</v>
      </c>
      <c r="P38" s="4">
        <f>(VLOOKUP('11.07'!X38,'11.07'!$AM$4:$AP$55,4,FALSE))</f>
        <v>0</v>
      </c>
      <c r="Q38" s="4">
        <f>(VLOOKUP('11.07'!Y38,'11.07'!$AM$4:$AP$55,4,FALSE))</f>
        <v>0</v>
      </c>
      <c r="R38" s="4">
        <f>(VLOOKUP('11.07'!Z38,'11.07'!$AM$4:$AP$55,4,FALSE))</f>
        <v>0</v>
      </c>
      <c r="S38" s="4">
        <f>(VLOOKUP('11.07'!AA38,'11.07'!$AM$4:$AP$55,4,FALSE))</f>
        <v>0</v>
      </c>
      <c r="T38" s="4">
        <f>(VLOOKUP('11.07'!AB38,'11.07'!$AM$4:$AP$55,4,FALSE))</f>
        <v>0</v>
      </c>
      <c r="U38" s="4">
        <f>(VLOOKUP('11.07'!AC38,'11.07'!$AM$4:$AP$55,4,FALSE))</f>
        <v>0</v>
      </c>
      <c r="V38" s="4">
        <f>(VLOOKUP('11.07'!AD38,'11.07'!$AM$4:$AP$55,4,FALSE))</f>
        <v>0</v>
      </c>
      <c r="W38" s="4">
        <f>(VLOOKUP('11.07'!AE38,'11.07'!$AM$4:$AP$55,4,FALSE))</f>
        <v>0</v>
      </c>
      <c r="X38" s="4">
        <f>(VLOOKUP('11.07'!AF38,'11.07'!$AM$4:$AP$55,4,FALSE))</f>
        <v>0</v>
      </c>
    </row>
    <row r="39" spans="1:24">
      <c r="A39" s="4">
        <f>(VLOOKUP('11.07'!I39,'11.07'!$AM$4:$AP$55,4,FALSE))</f>
        <v>36</v>
      </c>
      <c r="B39" s="4">
        <f>(VLOOKUP('11.07'!J39,'11.07'!$AM$4:$AP$55,4,FALSE))</f>
        <v>36</v>
      </c>
      <c r="C39" s="4">
        <f>(VLOOKUP('11.07'!K39,'11.07'!$AM$4:$AP$55,4,FALSE))</f>
        <v>36</v>
      </c>
      <c r="D39" s="4">
        <f>(VLOOKUP('11.07'!L39,'11.07'!$AM$4:$AP$55,4,FALSE))</f>
        <v>36</v>
      </c>
      <c r="E39" s="4">
        <f>(VLOOKUP('11.07'!M39,'11.07'!$AM$4:$AP$55,4,FALSE))</f>
        <v>36</v>
      </c>
      <c r="F39" s="4">
        <f>(VLOOKUP('11.07'!N39,'11.07'!$AM$4:$AP$55,4,FALSE))</f>
        <v>36</v>
      </c>
      <c r="G39" s="4">
        <f>(VLOOKUP('11.07'!O39,'11.07'!$AM$4:$AP$55,4,FALSE))</f>
        <v>0</v>
      </c>
      <c r="H39" s="4">
        <f>(VLOOKUP('11.07'!P39,'11.07'!$AM$4:$AP$55,4,FALSE))</f>
        <v>0</v>
      </c>
      <c r="I39" s="4">
        <f>(VLOOKUP('11.07'!Q39,'11.07'!$AM$4:$AP$55,4,FALSE))</f>
        <v>0</v>
      </c>
      <c r="J39" s="4">
        <f>(VLOOKUP('11.07'!R39,'11.07'!$AM$4:$AP$55,4,FALSE))</f>
        <v>0</v>
      </c>
      <c r="K39" s="4">
        <f>(VLOOKUP('11.07'!S39,'11.07'!$AM$4:$AP$55,4,FALSE))</f>
        <v>0</v>
      </c>
      <c r="L39" s="4">
        <f>(VLOOKUP('11.07'!T39,'11.07'!$AM$4:$AP$55,4,FALSE))</f>
        <v>0</v>
      </c>
      <c r="M39" s="4">
        <f>(VLOOKUP('11.07'!U39,'11.07'!$AM$4:$AP$55,4,FALSE))</f>
        <v>0</v>
      </c>
      <c r="N39" s="4">
        <f>(VLOOKUP('11.07'!V39,'11.07'!$AM$4:$AP$55,4,FALSE))</f>
        <v>0</v>
      </c>
      <c r="O39" s="4">
        <f>(VLOOKUP('11.07'!W39,'11.07'!$AM$4:$AP$55,4,FALSE))</f>
        <v>0</v>
      </c>
      <c r="P39" s="4">
        <f>(VLOOKUP('11.07'!X39,'11.07'!$AM$4:$AP$55,4,FALSE))</f>
        <v>0</v>
      </c>
      <c r="Q39" s="4">
        <f>(VLOOKUP('11.07'!Y39,'11.07'!$AM$4:$AP$55,4,FALSE))</f>
        <v>0</v>
      </c>
      <c r="R39" s="4">
        <f>(VLOOKUP('11.07'!Z39,'11.07'!$AM$4:$AP$55,4,FALSE))</f>
        <v>0</v>
      </c>
      <c r="S39" s="4">
        <f>(VLOOKUP('11.07'!AA39,'11.07'!$AM$4:$AP$55,4,FALSE))</f>
        <v>0</v>
      </c>
      <c r="T39" s="4">
        <f>(VLOOKUP('11.07'!AB39,'11.07'!$AM$4:$AP$55,4,FALSE))</f>
        <v>0</v>
      </c>
      <c r="U39" s="4">
        <f>(VLOOKUP('11.07'!AC39,'11.07'!$AM$4:$AP$55,4,FALSE))</f>
        <v>0</v>
      </c>
      <c r="V39" s="4">
        <f>(VLOOKUP('11.07'!AD39,'11.07'!$AM$4:$AP$55,4,FALSE))</f>
        <v>0</v>
      </c>
      <c r="W39" s="4">
        <f>(VLOOKUP('11.07'!AE39,'11.07'!$AM$4:$AP$55,4,FALSE))</f>
        <v>0</v>
      </c>
      <c r="X39" s="4">
        <f>(VLOOKUP('11.07'!AF39,'11.07'!$AM$4:$AP$55,4,FALSE))</f>
        <v>0</v>
      </c>
    </row>
    <row r="40" spans="1:24">
      <c r="A40" s="4">
        <f>(VLOOKUP('11.07'!I40,'11.07'!$AM$4:$AP$55,4,FALSE))</f>
        <v>36</v>
      </c>
      <c r="B40" s="4">
        <f>(VLOOKUP('11.07'!J40,'11.07'!$AM$4:$AP$55,4,FALSE))</f>
        <v>36</v>
      </c>
      <c r="C40" s="4">
        <f>(VLOOKUP('11.07'!K40,'11.07'!$AM$4:$AP$55,4,FALSE))</f>
        <v>36</v>
      </c>
      <c r="D40" s="4">
        <f>(VLOOKUP('11.07'!L40,'11.07'!$AM$4:$AP$55,4,FALSE))</f>
        <v>36</v>
      </c>
      <c r="E40" s="4">
        <f>(VLOOKUP('11.07'!M40,'11.07'!$AM$4:$AP$55,4,FALSE))</f>
        <v>36</v>
      </c>
      <c r="F40" s="4">
        <f>(VLOOKUP('11.07'!N40,'11.07'!$AM$4:$AP$55,4,FALSE))</f>
        <v>36</v>
      </c>
      <c r="G40" s="4">
        <f>(VLOOKUP('11.07'!O40,'11.07'!$AM$4:$AP$55,4,FALSE))</f>
        <v>0</v>
      </c>
      <c r="H40" s="4">
        <f>(VLOOKUP('11.07'!P40,'11.07'!$AM$4:$AP$55,4,FALSE))</f>
        <v>0</v>
      </c>
      <c r="I40" s="4">
        <f>(VLOOKUP('11.07'!Q40,'11.07'!$AM$4:$AP$55,4,FALSE))</f>
        <v>0</v>
      </c>
      <c r="J40" s="4">
        <f>(VLOOKUP('11.07'!R40,'11.07'!$AM$4:$AP$55,4,FALSE))</f>
        <v>0</v>
      </c>
      <c r="K40" s="4">
        <f>(VLOOKUP('11.07'!S40,'11.07'!$AM$4:$AP$55,4,FALSE))</f>
        <v>0</v>
      </c>
      <c r="L40" s="4">
        <f>(VLOOKUP('11.07'!T40,'11.07'!$AM$4:$AP$55,4,FALSE))</f>
        <v>0</v>
      </c>
      <c r="M40" s="4">
        <f>(VLOOKUP('11.07'!U40,'11.07'!$AM$4:$AP$55,4,FALSE))</f>
        <v>0</v>
      </c>
      <c r="N40" s="4">
        <f>(VLOOKUP('11.07'!V40,'11.07'!$AM$4:$AP$55,4,FALSE))</f>
        <v>0</v>
      </c>
      <c r="O40" s="4">
        <f>(VLOOKUP('11.07'!W40,'11.07'!$AM$4:$AP$55,4,FALSE))</f>
        <v>0</v>
      </c>
      <c r="P40" s="4">
        <f>(VLOOKUP('11.07'!X40,'11.07'!$AM$4:$AP$55,4,FALSE))</f>
        <v>0</v>
      </c>
      <c r="Q40" s="4">
        <f>(VLOOKUP('11.07'!Y40,'11.07'!$AM$4:$AP$55,4,FALSE))</f>
        <v>0</v>
      </c>
      <c r="R40" s="4">
        <f>(VLOOKUP('11.07'!Z40,'11.07'!$AM$4:$AP$55,4,FALSE))</f>
        <v>0</v>
      </c>
      <c r="S40" s="4">
        <f>(VLOOKUP('11.07'!AA40,'11.07'!$AM$4:$AP$55,4,FALSE))</f>
        <v>0</v>
      </c>
      <c r="T40" s="4">
        <f>(VLOOKUP('11.07'!AB40,'11.07'!$AM$4:$AP$55,4,FALSE))</f>
        <v>0</v>
      </c>
      <c r="U40" s="4">
        <f>(VLOOKUP('11.07'!AC40,'11.07'!$AM$4:$AP$55,4,FALSE))</f>
        <v>0</v>
      </c>
      <c r="V40" s="4">
        <f>(VLOOKUP('11.07'!AD40,'11.07'!$AM$4:$AP$55,4,FALSE))</f>
        <v>0</v>
      </c>
      <c r="W40" s="4">
        <f>(VLOOKUP('11.07'!AE40,'11.07'!$AM$4:$AP$55,4,FALSE))</f>
        <v>0</v>
      </c>
      <c r="X40" s="4">
        <f>(VLOOKUP('11.07'!AF40,'11.07'!$AM$4:$AP$55,4,FALSE))</f>
        <v>0</v>
      </c>
    </row>
    <row r="41" spans="1:24">
      <c r="A41" s="4">
        <f>(VLOOKUP('11.07'!I41,'11.07'!$AM$4:$AP$55,4,FALSE))</f>
        <v>36</v>
      </c>
      <c r="B41" s="4">
        <f>(VLOOKUP('11.07'!J41,'11.07'!$AM$4:$AP$55,4,FALSE))</f>
        <v>36</v>
      </c>
      <c r="C41" s="4">
        <f>(VLOOKUP('11.07'!K41,'11.07'!$AM$4:$AP$55,4,FALSE))</f>
        <v>10</v>
      </c>
      <c r="D41" s="4">
        <f>(VLOOKUP('11.07'!L41,'11.07'!$AM$4:$AP$55,4,FALSE))</f>
        <v>36</v>
      </c>
      <c r="E41" s="4">
        <f>(VLOOKUP('11.07'!M41,'11.07'!$AM$4:$AP$55,4,FALSE))</f>
        <v>36</v>
      </c>
      <c r="F41" s="4">
        <f>(VLOOKUP('11.07'!N41,'11.07'!$AM$4:$AP$55,4,FALSE))</f>
        <v>36</v>
      </c>
      <c r="G41" s="4">
        <f>(VLOOKUP('11.07'!O41,'11.07'!$AM$4:$AP$55,4,FALSE))</f>
        <v>0</v>
      </c>
      <c r="H41" s="4">
        <f>(VLOOKUP('11.07'!P41,'11.07'!$AM$4:$AP$55,4,FALSE))</f>
        <v>0</v>
      </c>
      <c r="I41" s="4">
        <f>(VLOOKUP('11.07'!Q41,'11.07'!$AM$4:$AP$55,4,FALSE))</f>
        <v>0</v>
      </c>
      <c r="J41" s="4">
        <f>(VLOOKUP('11.07'!R41,'11.07'!$AM$4:$AP$55,4,FALSE))</f>
        <v>0</v>
      </c>
      <c r="K41" s="4">
        <f>(VLOOKUP('11.07'!S41,'11.07'!$AM$4:$AP$55,4,FALSE))</f>
        <v>0</v>
      </c>
      <c r="L41" s="4">
        <f>(VLOOKUP('11.07'!T41,'11.07'!$AM$4:$AP$55,4,FALSE))</f>
        <v>0</v>
      </c>
      <c r="M41" s="4">
        <f>(VLOOKUP('11.07'!U41,'11.07'!$AM$4:$AP$55,4,FALSE))</f>
        <v>0</v>
      </c>
      <c r="N41" s="4">
        <f>(VLOOKUP('11.07'!V41,'11.07'!$AM$4:$AP$55,4,FALSE))</f>
        <v>0</v>
      </c>
      <c r="O41" s="4">
        <f>(VLOOKUP('11.07'!W41,'11.07'!$AM$4:$AP$55,4,FALSE))</f>
        <v>0</v>
      </c>
      <c r="P41" s="4">
        <f>(VLOOKUP('11.07'!X41,'11.07'!$AM$4:$AP$55,4,FALSE))</f>
        <v>0</v>
      </c>
      <c r="Q41" s="4">
        <f>(VLOOKUP('11.07'!Y41,'11.07'!$AM$4:$AP$55,4,FALSE))</f>
        <v>0</v>
      </c>
      <c r="R41" s="4">
        <f>(VLOOKUP('11.07'!Z41,'11.07'!$AM$4:$AP$55,4,FALSE))</f>
        <v>0</v>
      </c>
      <c r="S41" s="4">
        <f>(VLOOKUP('11.07'!AA41,'11.07'!$AM$4:$AP$55,4,FALSE))</f>
        <v>0</v>
      </c>
      <c r="T41" s="4">
        <f>(VLOOKUP('11.07'!AB41,'11.07'!$AM$4:$AP$55,4,FALSE))</f>
        <v>0</v>
      </c>
      <c r="U41" s="4">
        <f>(VLOOKUP('11.07'!AC41,'11.07'!$AM$4:$AP$55,4,FALSE))</f>
        <v>0</v>
      </c>
      <c r="V41" s="4">
        <f>(VLOOKUP('11.07'!AD41,'11.07'!$AM$4:$AP$55,4,FALSE))</f>
        <v>0</v>
      </c>
      <c r="W41" s="4">
        <f>(VLOOKUP('11.07'!AE41,'11.07'!$AM$4:$AP$55,4,FALSE))</f>
        <v>0</v>
      </c>
      <c r="X41" s="4">
        <f>(VLOOKUP('11.07'!AF41,'11.07'!$AM$4:$AP$55,4,FALSE))</f>
        <v>0</v>
      </c>
    </row>
    <row r="42" spans="1:24">
      <c r="A42" s="4">
        <f>(VLOOKUP('11.07'!I42,'11.07'!$AM$4:$AP$55,4,FALSE))</f>
        <v>36</v>
      </c>
      <c r="B42" s="4">
        <f>(VLOOKUP('11.07'!J42,'11.07'!$AM$4:$AP$55,4,FALSE))</f>
        <v>36</v>
      </c>
      <c r="C42" s="4">
        <f>(VLOOKUP('11.07'!K42,'11.07'!$AM$4:$AP$55,4,FALSE))</f>
        <v>36</v>
      </c>
      <c r="D42" s="4">
        <f>(VLOOKUP('11.07'!L42,'11.07'!$AM$4:$AP$55,4,FALSE))</f>
        <v>36</v>
      </c>
      <c r="E42" s="4">
        <f>(VLOOKUP('11.07'!M42,'11.07'!$AM$4:$AP$55,4,FALSE))</f>
        <v>36</v>
      </c>
      <c r="F42" s="4">
        <f>(VLOOKUP('11.07'!N42,'11.07'!$AM$4:$AP$55,4,FALSE))</f>
        <v>36</v>
      </c>
      <c r="G42" s="4">
        <f>(VLOOKUP('11.07'!O42,'11.07'!$AM$4:$AP$55,4,FALSE))</f>
        <v>0</v>
      </c>
      <c r="H42" s="4">
        <f>(VLOOKUP('11.07'!P42,'11.07'!$AM$4:$AP$55,4,FALSE))</f>
        <v>0</v>
      </c>
      <c r="I42" s="4">
        <f>(VLOOKUP('11.07'!Q42,'11.07'!$AM$4:$AP$55,4,FALSE))</f>
        <v>0</v>
      </c>
      <c r="J42" s="4">
        <f>(VLOOKUP('11.07'!R42,'11.07'!$AM$4:$AP$55,4,FALSE))</f>
        <v>0</v>
      </c>
      <c r="K42" s="4">
        <f>(VLOOKUP('11.07'!S42,'11.07'!$AM$4:$AP$55,4,FALSE))</f>
        <v>0</v>
      </c>
      <c r="L42" s="4">
        <f>(VLOOKUP('11.07'!T42,'11.07'!$AM$4:$AP$55,4,FALSE))</f>
        <v>0</v>
      </c>
      <c r="M42" s="4">
        <f>(VLOOKUP('11.07'!U42,'11.07'!$AM$4:$AP$55,4,FALSE))</f>
        <v>0</v>
      </c>
      <c r="N42" s="4">
        <f>(VLOOKUP('11.07'!V42,'11.07'!$AM$4:$AP$55,4,FALSE))</f>
        <v>0</v>
      </c>
      <c r="O42" s="4">
        <f>(VLOOKUP('11.07'!W42,'11.07'!$AM$4:$AP$55,4,FALSE))</f>
        <v>0</v>
      </c>
      <c r="P42" s="4">
        <f>(VLOOKUP('11.07'!X42,'11.07'!$AM$4:$AP$55,4,FALSE))</f>
        <v>0</v>
      </c>
      <c r="Q42" s="4">
        <f>(VLOOKUP('11.07'!Y42,'11.07'!$AM$4:$AP$55,4,FALSE))</f>
        <v>0</v>
      </c>
      <c r="R42" s="4">
        <f>(VLOOKUP('11.07'!Z42,'11.07'!$AM$4:$AP$55,4,FALSE))</f>
        <v>0</v>
      </c>
      <c r="S42" s="4">
        <f>(VLOOKUP('11.07'!AA42,'11.07'!$AM$4:$AP$55,4,FALSE))</f>
        <v>0</v>
      </c>
      <c r="T42" s="4">
        <f>(VLOOKUP('11.07'!AB42,'11.07'!$AM$4:$AP$55,4,FALSE))</f>
        <v>0</v>
      </c>
      <c r="U42" s="4">
        <f>(VLOOKUP('11.07'!AC42,'11.07'!$AM$4:$AP$55,4,FALSE))</f>
        <v>0</v>
      </c>
      <c r="V42" s="4">
        <f>(VLOOKUP('11.07'!AD42,'11.07'!$AM$4:$AP$55,4,FALSE))</f>
        <v>0</v>
      </c>
      <c r="W42" s="4">
        <f>(VLOOKUP('11.07'!AE42,'11.07'!$AM$4:$AP$55,4,FALSE))</f>
        <v>0</v>
      </c>
      <c r="X42" s="4">
        <f>(VLOOKUP('11.07'!AF42,'11.07'!$AM$4:$AP$55,4,FALSE))</f>
        <v>0</v>
      </c>
    </row>
    <row r="43" spans="1:24">
      <c r="A43" s="4">
        <f>(VLOOKUP('11.07'!I43,'11.07'!$AM$4:$AP$55,4,FALSE))</f>
        <v>36</v>
      </c>
      <c r="B43" s="4">
        <f>(VLOOKUP('11.07'!J43,'11.07'!$AM$4:$AP$55,4,FALSE))</f>
        <v>36</v>
      </c>
      <c r="C43" s="4">
        <f>(VLOOKUP('11.07'!K43,'11.07'!$AM$4:$AP$55,4,FALSE))</f>
        <v>36</v>
      </c>
      <c r="D43" s="4">
        <f>(VLOOKUP('11.07'!L43,'11.07'!$AM$4:$AP$55,4,FALSE))</f>
        <v>36</v>
      </c>
      <c r="E43" s="4">
        <f>(VLOOKUP('11.07'!M43,'11.07'!$AM$4:$AP$55,4,FALSE))</f>
        <v>36</v>
      </c>
      <c r="F43" s="4">
        <f>(VLOOKUP('11.07'!N43,'11.07'!$AM$4:$AP$55,4,FALSE))</f>
        <v>36</v>
      </c>
      <c r="G43" s="4">
        <f>(VLOOKUP('11.07'!O43,'11.07'!$AM$4:$AP$55,4,FALSE))</f>
        <v>0</v>
      </c>
      <c r="H43" s="4">
        <f>(VLOOKUP('11.07'!P43,'11.07'!$AM$4:$AP$55,4,FALSE))</f>
        <v>0</v>
      </c>
      <c r="I43" s="4">
        <f>(VLOOKUP('11.07'!Q43,'11.07'!$AM$4:$AP$55,4,FALSE))</f>
        <v>0</v>
      </c>
      <c r="J43" s="4">
        <f>(VLOOKUP('11.07'!R43,'11.07'!$AM$4:$AP$55,4,FALSE))</f>
        <v>0</v>
      </c>
      <c r="K43" s="4">
        <f>(VLOOKUP('11.07'!S43,'11.07'!$AM$4:$AP$55,4,FALSE))</f>
        <v>0</v>
      </c>
      <c r="L43" s="4">
        <f>(VLOOKUP('11.07'!T43,'11.07'!$AM$4:$AP$55,4,FALSE))</f>
        <v>0</v>
      </c>
      <c r="M43" s="4">
        <f>(VLOOKUP('11.07'!U43,'11.07'!$AM$4:$AP$55,4,FALSE))</f>
        <v>0</v>
      </c>
      <c r="N43" s="4">
        <f>(VLOOKUP('11.07'!V43,'11.07'!$AM$4:$AP$55,4,FALSE))</f>
        <v>0</v>
      </c>
      <c r="O43" s="4">
        <f>(VLOOKUP('11.07'!W43,'11.07'!$AM$4:$AP$55,4,FALSE))</f>
        <v>0</v>
      </c>
      <c r="P43" s="4">
        <f>(VLOOKUP('11.07'!X43,'11.07'!$AM$4:$AP$55,4,FALSE))</f>
        <v>0</v>
      </c>
      <c r="Q43" s="4">
        <f>(VLOOKUP('11.07'!Y43,'11.07'!$AM$4:$AP$55,4,FALSE))</f>
        <v>0</v>
      </c>
      <c r="R43" s="4">
        <f>(VLOOKUP('11.07'!Z43,'11.07'!$AM$4:$AP$55,4,FALSE))</f>
        <v>0</v>
      </c>
      <c r="S43" s="4">
        <f>(VLOOKUP('11.07'!AA43,'11.07'!$AM$4:$AP$55,4,FALSE))</f>
        <v>0</v>
      </c>
      <c r="T43" s="4">
        <f>(VLOOKUP('11.07'!AB43,'11.07'!$AM$4:$AP$55,4,FALSE))</f>
        <v>0</v>
      </c>
      <c r="U43" s="4">
        <f>(VLOOKUP('11.07'!AC43,'11.07'!$AM$4:$AP$55,4,FALSE))</f>
        <v>0</v>
      </c>
      <c r="V43" s="4">
        <f>(VLOOKUP('11.07'!AD43,'11.07'!$AM$4:$AP$55,4,FALSE))</f>
        <v>0</v>
      </c>
      <c r="W43" s="4">
        <f>(VLOOKUP('11.07'!AE43,'11.07'!$AM$4:$AP$55,4,FALSE))</f>
        <v>0</v>
      </c>
      <c r="X43" s="4">
        <f>(VLOOKUP('11.07'!AF43,'11.07'!$AM$4:$AP$55,4,FALSE))</f>
        <v>0</v>
      </c>
    </row>
    <row r="44" spans="1:24">
      <c r="A44" s="4">
        <f>(VLOOKUP('11.07'!I44,'11.07'!$AM$4:$AP$55,4,FALSE))</f>
        <v>36</v>
      </c>
      <c r="B44" s="4">
        <f>(VLOOKUP('11.07'!J44,'11.07'!$AM$4:$AP$55,4,FALSE))</f>
        <v>36</v>
      </c>
      <c r="C44" s="4">
        <f>(VLOOKUP('11.07'!K44,'11.07'!$AM$4:$AP$55,4,FALSE))</f>
        <v>36</v>
      </c>
      <c r="D44" s="4">
        <f>(VLOOKUP('11.07'!L44,'11.07'!$AM$4:$AP$55,4,FALSE))</f>
        <v>36</v>
      </c>
      <c r="E44" s="4">
        <f>(VLOOKUP('11.07'!M44,'11.07'!$AM$4:$AP$55,4,FALSE))</f>
        <v>36</v>
      </c>
      <c r="F44" s="4">
        <f>(VLOOKUP('11.07'!N44,'11.07'!$AM$4:$AP$55,4,FALSE))</f>
        <v>36</v>
      </c>
      <c r="G44" s="4">
        <f>(VLOOKUP('11.07'!O44,'11.07'!$AM$4:$AP$55,4,FALSE))</f>
        <v>0</v>
      </c>
      <c r="H44" s="4">
        <f>(VLOOKUP('11.07'!P44,'11.07'!$AM$4:$AP$55,4,FALSE))</f>
        <v>0</v>
      </c>
      <c r="I44" s="4">
        <f>(VLOOKUP('11.07'!Q44,'11.07'!$AM$4:$AP$55,4,FALSE))</f>
        <v>0</v>
      </c>
      <c r="J44" s="4">
        <f>(VLOOKUP('11.07'!R44,'11.07'!$AM$4:$AP$55,4,FALSE))</f>
        <v>0</v>
      </c>
      <c r="K44" s="4">
        <f>(VLOOKUP('11.07'!S44,'11.07'!$AM$4:$AP$55,4,FALSE))</f>
        <v>0</v>
      </c>
      <c r="L44" s="4">
        <f>(VLOOKUP('11.07'!T44,'11.07'!$AM$4:$AP$55,4,FALSE))</f>
        <v>0</v>
      </c>
      <c r="M44" s="4">
        <f>(VLOOKUP('11.07'!U44,'11.07'!$AM$4:$AP$55,4,FALSE))</f>
        <v>0</v>
      </c>
      <c r="N44" s="4">
        <f>(VLOOKUP('11.07'!V44,'11.07'!$AM$4:$AP$55,4,FALSE))</f>
        <v>0</v>
      </c>
      <c r="O44" s="4">
        <f>(VLOOKUP('11.07'!W44,'11.07'!$AM$4:$AP$55,4,FALSE))</f>
        <v>0</v>
      </c>
      <c r="P44" s="4">
        <f>(VLOOKUP('11.07'!X44,'11.07'!$AM$4:$AP$55,4,FALSE))</f>
        <v>0</v>
      </c>
      <c r="Q44" s="4">
        <f>(VLOOKUP('11.07'!Y44,'11.07'!$AM$4:$AP$55,4,FALSE))</f>
        <v>0</v>
      </c>
      <c r="R44" s="4">
        <f>(VLOOKUP('11.07'!Z44,'11.07'!$AM$4:$AP$55,4,FALSE))</f>
        <v>0</v>
      </c>
      <c r="S44" s="4">
        <f>(VLOOKUP('11.07'!AA44,'11.07'!$AM$4:$AP$55,4,FALSE))</f>
        <v>0</v>
      </c>
      <c r="T44" s="4">
        <f>(VLOOKUP('11.07'!AB44,'11.07'!$AM$4:$AP$55,4,FALSE))</f>
        <v>0</v>
      </c>
      <c r="U44" s="4">
        <f>(VLOOKUP('11.07'!AC44,'11.07'!$AM$4:$AP$55,4,FALSE))</f>
        <v>0</v>
      </c>
      <c r="V44" s="4">
        <f>(VLOOKUP('11.07'!AD44,'11.07'!$AM$4:$AP$55,4,FALSE))</f>
        <v>0</v>
      </c>
      <c r="W44" s="4">
        <f>(VLOOKUP('11.07'!AE44,'11.07'!$AM$4:$AP$55,4,FALSE))</f>
        <v>0</v>
      </c>
      <c r="X44" s="4">
        <f>(VLOOKUP('11.07'!AF44,'11.07'!$AM$4:$AP$55,4,FALSE))</f>
        <v>0</v>
      </c>
    </row>
    <row r="45" spans="1:24">
      <c r="A45" s="4">
        <f>(VLOOKUP('11.07'!I45,'11.07'!$AM$4:$AP$55,4,FALSE))</f>
        <v>36</v>
      </c>
      <c r="B45" s="4">
        <f>(VLOOKUP('11.07'!J45,'11.07'!$AM$4:$AP$55,4,FALSE))</f>
        <v>36</v>
      </c>
      <c r="C45" s="4">
        <f>(VLOOKUP('11.07'!K45,'11.07'!$AM$4:$AP$55,4,FALSE))</f>
        <v>36</v>
      </c>
      <c r="D45" s="4">
        <f>(VLOOKUP('11.07'!L45,'11.07'!$AM$4:$AP$55,4,FALSE))</f>
        <v>36</v>
      </c>
      <c r="E45" s="4">
        <f>(VLOOKUP('11.07'!M45,'11.07'!$AM$4:$AP$55,4,FALSE))</f>
        <v>36</v>
      </c>
      <c r="F45" s="4">
        <f>(VLOOKUP('11.07'!N45,'11.07'!$AM$4:$AP$55,4,FALSE))</f>
        <v>10</v>
      </c>
      <c r="G45" s="4">
        <f>(VLOOKUP('11.07'!O45,'11.07'!$AM$4:$AP$55,4,FALSE))</f>
        <v>0</v>
      </c>
      <c r="H45" s="4">
        <f>(VLOOKUP('11.07'!P45,'11.07'!$AM$4:$AP$55,4,FALSE))</f>
        <v>0</v>
      </c>
      <c r="I45" s="4">
        <f>(VLOOKUP('11.07'!Q45,'11.07'!$AM$4:$AP$55,4,FALSE))</f>
        <v>0</v>
      </c>
      <c r="J45" s="4">
        <f>(VLOOKUP('11.07'!R45,'11.07'!$AM$4:$AP$55,4,FALSE))</f>
        <v>0</v>
      </c>
      <c r="K45" s="4">
        <f>(VLOOKUP('11.07'!S45,'11.07'!$AM$4:$AP$55,4,FALSE))</f>
        <v>0</v>
      </c>
      <c r="L45" s="4">
        <f>(VLOOKUP('11.07'!T45,'11.07'!$AM$4:$AP$55,4,FALSE))</f>
        <v>0</v>
      </c>
      <c r="M45" s="4">
        <f>(VLOOKUP('11.07'!U45,'11.07'!$AM$4:$AP$55,4,FALSE))</f>
        <v>0</v>
      </c>
      <c r="N45" s="4">
        <f>(VLOOKUP('11.07'!V45,'11.07'!$AM$4:$AP$55,4,FALSE))</f>
        <v>0</v>
      </c>
      <c r="O45" s="4">
        <f>(VLOOKUP('11.07'!W45,'11.07'!$AM$4:$AP$55,4,FALSE))</f>
        <v>0</v>
      </c>
      <c r="P45" s="4">
        <f>(VLOOKUP('11.07'!X45,'11.07'!$AM$4:$AP$55,4,FALSE))</f>
        <v>0</v>
      </c>
      <c r="Q45" s="4">
        <f>(VLOOKUP('11.07'!Y45,'11.07'!$AM$4:$AP$55,4,FALSE))</f>
        <v>0</v>
      </c>
      <c r="R45" s="4">
        <f>(VLOOKUP('11.07'!Z45,'11.07'!$AM$4:$AP$55,4,FALSE))</f>
        <v>0</v>
      </c>
      <c r="S45" s="4">
        <f>(VLOOKUP('11.07'!AA45,'11.07'!$AM$4:$AP$55,4,FALSE))</f>
        <v>0</v>
      </c>
      <c r="T45" s="4">
        <f>(VLOOKUP('11.07'!AB45,'11.07'!$AM$4:$AP$55,4,FALSE))</f>
        <v>0</v>
      </c>
      <c r="U45" s="4">
        <f>(VLOOKUP('11.07'!AC45,'11.07'!$AM$4:$AP$55,4,FALSE))</f>
        <v>0</v>
      </c>
      <c r="V45" s="4">
        <f>(VLOOKUP('11.07'!AD45,'11.07'!$AM$4:$AP$55,4,FALSE))</f>
        <v>0</v>
      </c>
      <c r="W45" s="4">
        <f>(VLOOKUP('11.07'!AE45,'11.07'!$AM$4:$AP$55,4,FALSE))</f>
        <v>0</v>
      </c>
      <c r="X45" s="4">
        <f>(VLOOKUP('11.07'!AF45,'11.07'!$AM$4:$AP$55,4,FALSE))</f>
        <v>0</v>
      </c>
    </row>
    <row r="46" spans="1:24">
      <c r="A46" s="4">
        <f>(VLOOKUP('11.07'!I46,'11.07'!$AM$4:$AP$55,4,FALSE))</f>
        <v>36</v>
      </c>
      <c r="B46" s="4">
        <f>(VLOOKUP('11.07'!J46,'11.07'!$AM$4:$AP$55,4,FALSE))</f>
        <v>36</v>
      </c>
      <c r="C46" s="4">
        <f>(VLOOKUP('11.07'!K46,'11.07'!$AM$4:$AP$55,4,FALSE))</f>
        <v>0</v>
      </c>
      <c r="D46" s="4">
        <f>(VLOOKUP('11.07'!L46,'11.07'!$AM$4:$AP$55,4,FALSE))</f>
        <v>36</v>
      </c>
      <c r="E46" s="4">
        <f>(VLOOKUP('11.07'!M46,'11.07'!$AM$4:$AP$55,4,FALSE))</f>
        <v>36</v>
      </c>
      <c r="F46" s="4">
        <f>(VLOOKUP('11.07'!N46,'11.07'!$AM$4:$AP$55,4,FALSE))</f>
        <v>36</v>
      </c>
      <c r="G46" s="4">
        <f>(VLOOKUP('11.07'!O46,'11.07'!$AM$4:$AP$55,4,FALSE))</f>
        <v>36</v>
      </c>
      <c r="H46" s="4">
        <f>(VLOOKUP('11.07'!P46,'11.07'!$AM$4:$AP$55,4,FALSE))</f>
        <v>0</v>
      </c>
      <c r="I46" s="4">
        <f>(VLOOKUP('11.07'!Q46,'11.07'!$AM$4:$AP$55,4,FALSE))</f>
        <v>0</v>
      </c>
      <c r="J46" s="4">
        <f>(VLOOKUP('11.07'!R46,'11.07'!$AM$4:$AP$55,4,FALSE))</f>
        <v>0</v>
      </c>
      <c r="K46" s="4">
        <f>(VLOOKUP('11.07'!S46,'11.07'!$AM$4:$AP$55,4,FALSE))</f>
        <v>0</v>
      </c>
      <c r="L46" s="4">
        <f>(VLOOKUP('11.07'!T46,'11.07'!$AM$4:$AP$55,4,FALSE))</f>
        <v>0</v>
      </c>
      <c r="M46" s="4">
        <f>(VLOOKUP('11.07'!U46,'11.07'!$AM$4:$AP$55,4,FALSE))</f>
        <v>0</v>
      </c>
      <c r="N46" s="4">
        <f>(VLOOKUP('11.07'!V46,'11.07'!$AM$4:$AP$55,4,FALSE))</f>
        <v>0</v>
      </c>
      <c r="O46" s="4">
        <f>(VLOOKUP('11.07'!W46,'11.07'!$AM$4:$AP$55,4,FALSE))</f>
        <v>0</v>
      </c>
      <c r="P46" s="4">
        <f>(VLOOKUP('11.07'!X46,'11.07'!$AM$4:$AP$55,4,FALSE))</f>
        <v>0</v>
      </c>
      <c r="Q46" s="4">
        <f>(VLOOKUP('11.07'!Y46,'11.07'!$AM$4:$AP$55,4,FALSE))</f>
        <v>0</v>
      </c>
      <c r="R46" s="4">
        <f>(VLOOKUP('11.07'!Z46,'11.07'!$AM$4:$AP$55,4,FALSE))</f>
        <v>0</v>
      </c>
      <c r="S46" s="4">
        <f>(VLOOKUP('11.07'!AA46,'11.07'!$AM$4:$AP$55,4,FALSE))</f>
        <v>0</v>
      </c>
      <c r="T46" s="4">
        <f>(VLOOKUP('11.07'!AB46,'11.07'!$AM$4:$AP$55,4,FALSE))</f>
        <v>0</v>
      </c>
      <c r="U46" s="4">
        <f>(VLOOKUP('11.07'!AC46,'11.07'!$AM$4:$AP$55,4,FALSE))</f>
        <v>0</v>
      </c>
      <c r="V46" s="4">
        <f>(VLOOKUP('11.07'!AD46,'11.07'!$AM$4:$AP$55,4,FALSE))</f>
        <v>0</v>
      </c>
      <c r="W46" s="4">
        <f>(VLOOKUP('11.07'!AE46,'11.07'!$AM$4:$AP$55,4,FALSE))</f>
        <v>0</v>
      </c>
      <c r="X46" s="4">
        <f>(VLOOKUP('11.07'!AF46,'11.07'!$AM$4:$AP$55,4,FALSE))</f>
        <v>0</v>
      </c>
    </row>
    <row r="47" spans="1:24">
      <c r="A47" s="4">
        <f>(VLOOKUP('11.07'!I47,'11.07'!$AM$4:$AP$55,4,FALSE))</f>
        <v>36</v>
      </c>
      <c r="B47" s="4">
        <f>(VLOOKUP('11.07'!J47,'11.07'!$AM$4:$AP$55,4,FALSE))</f>
        <v>36</v>
      </c>
      <c r="C47" s="4">
        <f>(VLOOKUP('11.07'!K47,'11.07'!$AM$4:$AP$55,4,FALSE))</f>
        <v>36</v>
      </c>
      <c r="D47" s="4">
        <f>(VLOOKUP('11.07'!L47,'11.07'!$AM$4:$AP$55,4,FALSE))</f>
        <v>36</v>
      </c>
      <c r="E47" s="4">
        <f>(VLOOKUP('11.07'!M47,'11.07'!$AM$4:$AP$55,4,FALSE))</f>
        <v>36</v>
      </c>
      <c r="F47" s="4">
        <f>(VLOOKUP('11.07'!N47,'11.07'!$AM$4:$AP$55,4,FALSE))</f>
        <v>36</v>
      </c>
      <c r="G47" s="4">
        <f>(VLOOKUP('11.07'!O47,'11.07'!$AM$4:$AP$55,4,FALSE))</f>
        <v>0</v>
      </c>
      <c r="H47" s="4">
        <f>(VLOOKUP('11.07'!P47,'11.07'!$AM$4:$AP$55,4,FALSE))</f>
        <v>0</v>
      </c>
      <c r="I47" s="4">
        <f>(VLOOKUP('11.07'!Q47,'11.07'!$AM$4:$AP$55,4,FALSE))</f>
        <v>0</v>
      </c>
      <c r="J47" s="4">
        <f>(VLOOKUP('11.07'!R47,'11.07'!$AM$4:$AP$55,4,FALSE))</f>
        <v>0</v>
      </c>
      <c r="K47" s="4">
        <f>(VLOOKUP('11.07'!S47,'11.07'!$AM$4:$AP$55,4,FALSE))</f>
        <v>0</v>
      </c>
      <c r="L47" s="4">
        <f>(VLOOKUP('11.07'!T47,'11.07'!$AM$4:$AP$55,4,FALSE))</f>
        <v>0</v>
      </c>
      <c r="M47" s="4">
        <f>(VLOOKUP('11.07'!U47,'11.07'!$AM$4:$AP$55,4,FALSE))</f>
        <v>0</v>
      </c>
      <c r="N47" s="4">
        <f>(VLOOKUP('11.07'!V47,'11.07'!$AM$4:$AP$55,4,FALSE))</f>
        <v>0</v>
      </c>
      <c r="O47" s="4">
        <f>(VLOOKUP('11.07'!W47,'11.07'!$AM$4:$AP$55,4,FALSE))</f>
        <v>0</v>
      </c>
      <c r="P47" s="4">
        <f>(VLOOKUP('11.07'!X47,'11.07'!$AM$4:$AP$55,4,FALSE))</f>
        <v>0</v>
      </c>
      <c r="Q47" s="4">
        <f>(VLOOKUP('11.07'!Y47,'11.07'!$AM$4:$AP$55,4,FALSE))</f>
        <v>0</v>
      </c>
      <c r="R47" s="4">
        <f>(VLOOKUP('11.07'!Z47,'11.07'!$AM$4:$AP$55,4,FALSE))</f>
        <v>0</v>
      </c>
      <c r="S47" s="4">
        <f>(VLOOKUP('11.07'!AA47,'11.07'!$AM$4:$AP$55,4,FALSE))</f>
        <v>0</v>
      </c>
      <c r="T47" s="4">
        <f>(VLOOKUP('11.07'!AB47,'11.07'!$AM$4:$AP$55,4,FALSE))</f>
        <v>0</v>
      </c>
      <c r="U47" s="4">
        <f>(VLOOKUP('11.07'!AC47,'11.07'!$AM$4:$AP$55,4,FALSE))</f>
        <v>0</v>
      </c>
      <c r="V47" s="4">
        <f>(VLOOKUP('11.07'!AD47,'11.07'!$AM$4:$AP$55,4,FALSE))</f>
        <v>0</v>
      </c>
      <c r="W47" s="4">
        <f>(VLOOKUP('11.07'!AE47,'11.07'!$AM$4:$AP$55,4,FALSE))</f>
        <v>0</v>
      </c>
      <c r="X47" s="4">
        <f>(VLOOKUP('11.07'!AF47,'11.07'!$AM$4:$AP$55,4,FALSE))</f>
        <v>0</v>
      </c>
    </row>
    <row r="48" spans="1:24">
      <c r="A48" s="4">
        <f>(VLOOKUP('11.07'!I48,'11.07'!$AM$4:$AP$55,4,FALSE))</f>
        <v>36</v>
      </c>
      <c r="B48" s="4">
        <f>(VLOOKUP('11.07'!J48,'11.07'!$AM$4:$AP$55,4,FALSE))</f>
        <v>36</v>
      </c>
      <c r="C48" s="4">
        <f>(VLOOKUP('11.07'!K48,'11.07'!$AM$4:$AP$55,4,FALSE))</f>
        <v>0</v>
      </c>
      <c r="D48" s="4">
        <f>(VLOOKUP('11.07'!L48,'11.07'!$AM$4:$AP$55,4,FALSE))</f>
        <v>36</v>
      </c>
      <c r="E48" s="4">
        <f>(VLOOKUP('11.07'!M48,'11.07'!$AM$4:$AP$55,4,FALSE))</f>
        <v>36</v>
      </c>
      <c r="F48" s="4">
        <f>(VLOOKUP('11.07'!N48,'11.07'!$AM$4:$AP$55,4,FALSE))</f>
        <v>36</v>
      </c>
      <c r="G48" s="4">
        <f>(VLOOKUP('11.07'!O48,'11.07'!$AM$4:$AP$55,4,FALSE))</f>
        <v>36</v>
      </c>
      <c r="H48" s="4">
        <f>(VLOOKUP('11.07'!P48,'11.07'!$AM$4:$AP$55,4,FALSE))</f>
        <v>36</v>
      </c>
      <c r="I48" s="4">
        <f>(VLOOKUP('11.07'!Q48,'11.07'!$AM$4:$AP$55,4,FALSE))</f>
        <v>0</v>
      </c>
      <c r="J48" s="4">
        <f>(VLOOKUP('11.07'!R48,'11.07'!$AM$4:$AP$55,4,FALSE))</f>
        <v>0</v>
      </c>
      <c r="K48" s="4">
        <f>(VLOOKUP('11.07'!S48,'11.07'!$AM$4:$AP$55,4,FALSE))</f>
        <v>0</v>
      </c>
      <c r="L48" s="4">
        <f>(VLOOKUP('11.07'!T48,'11.07'!$AM$4:$AP$55,4,FALSE))</f>
        <v>0</v>
      </c>
      <c r="M48" s="4">
        <f>(VLOOKUP('11.07'!U48,'11.07'!$AM$4:$AP$55,4,FALSE))</f>
        <v>0</v>
      </c>
      <c r="N48" s="4">
        <f>(VLOOKUP('11.07'!V48,'11.07'!$AM$4:$AP$55,4,FALSE))</f>
        <v>0</v>
      </c>
      <c r="O48" s="4">
        <f>(VLOOKUP('11.07'!W48,'11.07'!$AM$4:$AP$55,4,FALSE))</f>
        <v>0</v>
      </c>
      <c r="P48" s="4">
        <f>(VLOOKUP('11.07'!X48,'11.07'!$AM$4:$AP$55,4,FALSE))</f>
        <v>0</v>
      </c>
      <c r="Q48" s="4">
        <f>(VLOOKUP('11.07'!Y48,'11.07'!$AM$4:$AP$55,4,FALSE))</f>
        <v>0</v>
      </c>
      <c r="R48" s="4">
        <f>(VLOOKUP('11.07'!Z48,'11.07'!$AM$4:$AP$55,4,FALSE))</f>
        <v>0</v>
      </c>
      <c r="S48" s="4">
        <f>(VLOOKUP('11.07'!AA48,'11.07'!$AM$4:$AP$55,4,FALSE))</f>
        <v>0</v>
      </c>
      <c r="T48" s="4">
        <f>(VLOOKUP('11.07'!AB48,'11.07'!$AM$4:$AP$55,4,FALSE))</f>
        <v>0</v>
      </c>
      <c r="U48" s="4">
        <f>(VLOOKUP('11.07'!AC48,'11.07'!$AM$4:$AP$55,4,FALSE))</f>
        <v>0</v>
      </c>
      <c r="V48" s="4">
        <f>(VLOOKUP('11.07'!AD48,'11.07'!$AM$4:$AP$55,4,FALSE))</f>
        <v>0</v>
      </c>
      <c r="W48" s="4">
        <f>(VLOOKUP('11.07'!AE48,'11.07'!$AM$4:$AP$55,4,FALSE))</f>
        <v>0</v>
      </c>
      <c r="X48" s="4">
        <f>(VLOOKUP('11.07'!AF48,'11.07'!$AM$4:$AP$55,4,FALSE))</f>
        <v>0</v>
      </c>
    </row>
    <row r="49" spans="1:24">
      <c r="A49" s="4">
        <f>(VLOOKUP('11.07'!I49,'11.07'!$AM$4:$AP$55,4,FALSE))</f>
        <v>36</v>
      </c>
      <c r="B49" s="4">
        <f>(VLOOKUP('11.07'!J49,'11.07'!$AM$4:$AP$55,4,FALSE))</f>
        <v>36</v>
      </c>
      <c r="C49" s="4">
        <f>(VLOOKUP('11.07'!K49,'11.07'!$AM$4:$AP$55,4,FALSE))</f>
        <v>36</v>
      </c>
      <c r="D49" s="4">
        <f>(VLOOKUP('11.07'!L49,'11.07'!$AM$4:$AP$55,4,FALSE))</f>
        <v>36</v>
      </c>
      <c r="E49" s="4">
        <f>(VLOOKUP('11.07'!M49,'11.07'!$AM$4:$AP$55,4,FALSE))</f>
        <v>38</v>
      </c>
      <c r="F49" s="4">
        <f>(VLOOKUP('11.07'!N49,'11.07'!$AM$4:$AP$55,4,FALSE))</f>
        <v>38</v>
      </c>
      <c r="G49" s="4">
        <f>(VLOOKUP('11.07'!O49,'11.07'!$AM$4:$AP$55,4,FALSE))</f>
        <v>0</v>
      </c>
      <c r="H49" s="4">
        <f>(VLOOKUP('11.07'!P49,'11.07'!$AM$4:$AP$55,4,FALSE))</f>
        <v>0</v>
      </c>
      <c r="I49" s="4">
        <f>(VLOOKUP('11.07'!Q49,'11.07'!$AM$4:$AP$55,4,FALSE))</f>
        <v>0</v>
      </c>
      <c r="J49" s="4">
        <f>(VLOOKUP('11.07'!R49,'11.07'!$AM$4:$AP$55,4,FALSE))</f>
        <v>0</v>
      </c>
      <c r="K49" s="4">
        <f>(VLOOKUP('11.07'!S49,'11.07'!$AM$4:$AP$55,4,FALSE))</f>
        <v>0</v>
      </c>
      <c r="L49" s="4">
        <f>(VLOOKUP('11.07'!T49,'11.07'!$AM$4:$AP$55,4,FALSE))</f>
        <v>0</v>
      </c>
      <c r="M49" s="4">
        <f>(VLOOKUP('11.07'!U49,'11.07'!$AM$4:$AP$55,4,FALSE))</f>
        <v>0</v>
      </c>
      <c r="N49" s="4">
        <f>(VLOOKUP('11.07'!V49,'11.07'!$AM$4:$AP$55,4,FALSE))</f>
        <v>0</v>
      </c>
      <c r="O49" s="4">
        <f>(VLOOKUP('11.07'!W49,'11.07'!$AM$4:$AP$55,4,FALSE))</f>
        <v>0</v>
      </c>
      <c r="P49" s="4">
        <f>(VLOOKUP('11.07'!X49,'11.07'!$AM$4:$AP$55,4,FALSE))</f>
        <v>0</v>
      </c>
      <c r="Q49" s="4">
        <f>(VLOOKUP('11.07'!Y49,'11.07'!$AM$4:$AP$55,4,FALSE))</f>
        <v>0</v>
      </c>
      <c r="R49" s="4">
        <f>(VLOOKUP('11.07'!Z49,'11.07'!$AM$4:$AP$55,4,FALSE))</f>
        <v>0</v>
      </c>
      <c r="S49" s="4">
        <f>(VLOOKUP('11.07'!AA49,'11.07'!$AM$4:$AP$55,4,FALSE))</f>
        <v>0</v>
      </c>
      <c r="T49" s="4">
        <f>(VLOOKUP('11.07'!AB49,'11.07'!$AM$4:$AP$55,4,FALSE))</f>
        <v>0</v>
      </c>
      <c r="U49" s="4">
        <f>(VLOOKUP('11.07'!AC49,'11.07'!$AM$4:$AP$55,4,FALSE))</f>
        <v>0</v>
      </c>
      <c r="V49" s="4">
        <f>(VLOOKUP('11.07'!AD49,'11.07'!$AM$4:$AP$55,4,FALSE))</f>
        <v>0</v>
      </c>
      <c r="W49" s="4">
        <f>(VLOOKUP('11.07'!AE49,'11.07'!$AM$4:$AP$55,4,FALSE))</f>
        <v>0</v>
      </c>
      <c r="X49" s="4">
        <f>(VLOOKUP('11.07'!AF49,'11.07'!$AM$4:$AP$55,4,FALSE))</f>
        <v>0</v>
      </c>
    </row>
    <row r="50" spans="1:24">
      <c r="A50" s="4">
        <f>(VLOOKUP('11.07'!I50,'11.07'!$AM$4:$AP$55,4,FALSE))</f>
        <v>36</v>
      </c>
      <c r="B50" s="4">
        <f>(VLOOKUP('11.07'!J50,'11.07'!$AM$4:$AP$55,4,FALSE))</f>
        <v>36</v>
      </c>
      <c r="C50" s="4">
        <f>(VLOOKUP('11.07'!K50,'11.07'!$AM$4:$AP$55,4,FALSE))</f>
        <v>0</v>
      </c>
      <c r="D50" s="4">
        <f>(VLOOKUP('11.07'!L50,'11.07'!$AM$4:$AP$55,4,FALSE))</f>
        <v>36</v>
      </c>
      <c r="E50" s="4">
        <f>(VLOOKUP('11.07'!M50,'11.07'!$AM$4:$AP$55,4,FALSE))</f>
        <v>10</v>
      </c>
      <c r="F50" s="4">
        <f>(VLOOKUP('11.07'!N50,'11.07'!$AM$4:$AP$55,4,FALSE))</f>
        <v>36</v>
      </c>
      <c r="G50" s="4">
        <f>(VLOOKUP('11.07'!O50,'11.07'!$AM$4:$AP$55,4,FALSE))</f>
        <v>0</v>
      </c>
      <c r="H50" s="4">
        <f>(VLOOKUP('11.07'!P50,'11.07'!$AM$4:$AP$55,4,FALSE))</f>
        <v>0</v>
      </c>
      <c r="I50" s="4">
        <f>(VLOOKUP('11.07'!Q50,'11.07'!$AM$4:$AP$55,4,FALSE))</f>
        <v>0</v>
      </c>
      <c r="J50" s="4">
        <f>(VLOOKUP('11.07'!R50,'11.07'!$AM$4:$AP$55,4,FALSE))</f>
        <v>0</v>
      </c>
      <c r="K50" s="4">
        <f>(VLOOKUP('11.07'!S50,'11.07'!$AM$4:$AP$55,4,FALSE))</f>
        <v>0</v>
      </c>
      <c r="L50" s="4">
        <f>(VLOOKUP('11.07'!T50,'11.07'!$AM$4:$AP$55,4,FALSE))</f>
        <v>0</v>
      </c>
      <c r="M50" s="4">
        <f>(VLOOKUP('11.07'!U50,'11.07'!$AM$4:$AP$55,4,FALSE))</f>
        <v>0</v>
      </c>
      <c r="N50" s="4">
        <f>(VLOOKUP('11.07'!V50,'11.07'!$AM$4:$AP$55,4,FALSE))</f>
        <v>0</v>
      </c>
      <c r="O50" s="4">
        <f>(VLOOKUP('11.07'!W50,'11.07'!$AM$4:$AP$55,4,FALSE))</f>
        <v>0</v>
      </c>
      <c r="P50" s="4">
        <f>(VLOOKUP('11.07'!X50,'11.07'!$AM$4:$AP$55,4,FALSE))</f>
        <v>0</v>
      </c>
      <c r="Q50" s="4">
        <f>(VLOOKUP('11.07'!Y50,'11.07'!$AM$4:$AP$55,4,FALSE))</f>
        <v>38</v>
      </c>
      <c r="R50" s="4">
        <f>(VLOOKUP('11.07'!Z50,'11.07'!$AM$4:$AP$55,4,FALSE))</f>
        <v>38</v>
      </c>
      <c r="S50" s="4">
        <f>(VLOOKUP('11.07'!AA50,'11.07'!$AM$4:$AP$55,4,FALSE))</f>
        <v>38</v>
      </c>
      <c r="T50" s="4">
        <f>(VLOOKUP('11.07'!AB50,'11.07'!$AM$4:$AP$55,4,FALSE))</f>
        <v>38</v>
      </c>
      <c r="U50" s="4">
        <f>(VLOOKUP('11.07'!AC50,'11.07'!$AM$4:$AP$55,4,FALSE))</f>
        <v>38</v>
      </c>
      <c r="V50" s="4">
        <f>(VLOOKUP('11.07'!AD50,'11.07'!$AM$4:$AP$55,4,FALSE))</f>
        <v>38</v>
      </c>
      <c r="W50" s="4">
        <f>(VLOOKUP('11.07'!AE50,'11.07'!$AM$4:$AP$55,4,FALSE))</f>
        <v>0</v>
      </c>
      <c r="X50" s="4">
        <f>(VLOOKUP('11.07'!AF50,'11.07'!$AM$4:$AP$55,4,FALSE))</f>
        <v>0</v>
      </c>
    </row>
    <row r="51" spans="1:24">
      <c r="A51" s="4">
        <f>(VLOOKUP('11.07'!I51,'11.07'!$AM$4:$AP$55,4,FALSE))</f>
        <v>36</v>
      </c>
      <c r="B51" s="4">
        <f>(VLOOKUP('11.07'!J51,'11.07'!$AM$4:$AP$55,4,FALSE))</f>
        <v>36</v>
      </c>
      <c r="C51" s="4">
        <f>(VLOOKUP('11.07'!K51,'11.07'!$AM$4:$AP$55,4,FALSE))</f>
        <v>36</v>
      </c>
      <c r="D51" s="4">
        <f>(VLOOKUP('11.07'!L51,'11.07'!$AM$4:$AP$55,4,FALSE))</f>
        <v>36</v>
      </c>
      <c r="E51" s="4">
        <f>(VLOOKUP('11.07'!M51,'11.07'!$AM$4:$AP$55,4,FALSE))</f>
        <v>36</v>
      </c>
      <c r="F51" s="4">
        <f>(VLOOKUP('11.07'!N51,'11.07'!$AM$4:$AP$55,4,FALSE))</f>
        <v>36</v>
      </c>
      <c r="G51" s="4">
        <f>(VLOOKUP('11.07'!O51,'11.07'!$AM$4:$AP$55,4,FALSE))</f>
        <v>0</v>
      </c>
      <c r="H51" s="4">
        <f>(VLOOKUP('11.07'!P51,'11.07'!$AM$4:$AP$55,4,FALSE))</f>
        <v>0</v>
      </c>
      <c r="I51" s="4">
        <f>(VLOOKUP('11.07'!Q51,'11.07'!$AM$4:$AP$55,4,FALSE))</f>
        <v>0</v>
      </c>
      <c r="J51" s="4">
        <f>(VLOOKUP('11.07'!R51,'11.07'!$AM$4:$AP$55,4,FALSE))</f>
        <v>0</v>
      </c>
      <c r="K51" s="4">
        <f>(VLOOKUP('11.07'!S51,'11.07'!$AM$4:$AP$55,4,FALSE))</f>
        <v>0</v>
      </c>
      <c r="L51" s="4">
        <f>(VLOOKUP('11.07'!T51,'11.07'!$AM$4:$AP$55,4,FALSE))</f>
        <v>0</v>
      </c>
      <c r="M51" s="4">
        <f>(VLOOKUP('11.07'!U51,'11.07'!$AM$4:$AP$55,4,FALSE))</f>
        <v>0</v>
      </c>
      <c r="N51" s="4">
        <f>(VLOOKUP('11.07'!V51,'11.07'!$AM$4:$AP$55,4,FALSE))</f>
        <v>0</v>
      </c>
      <c r="O51" s="4">
        <f>(VLOOKUP('11.07'!W51,'11.07'!$AM$4:$AP$55,4,FALSE))</f>
        <v>0</v>
      </c>
      <c r="P51" s="4">
        <f>(VLOOKUP('11.07'!X51,'11.07'!$AM$4:$AP$55,4,FALSE))</f>
        <v>0</v>
      </c>
      <c r="Q51" s="4">
        <f>(VLOOKUP('11.07'!Y51,'11.07'!$AM$4:$AP$55,4,FALSE))</f>
        <v>38</v>
      </c>
      <c r="R51" s="4">
        <f>(VLOOKUP('11.07'!Z51,'11.07'!$AM$4:$AP$55,4,FALSE))</f>
        <v>38</v>
      </c>
      <c r="S51" s="4">
        <f>(VLOOKUP('11.07'!AA51,'11.07'!$AM$4:$AP$55,4,FALSE))</f>
        <v>38</v>
      </c>
      <c r="T51" s="4">
        <f>(VLOOKUP('11.07'!AB51,'11.07'!$AM$4:$AP$55,4,FALSE))</f>
        <v>38</v>
      </c>
      <c r="U51" s="4">
        <f>(VLOOKUP('11.07'!AC51,'11.07'!$AM$4:$AP$55,4,FALSE))</f>
        <v>38</v>
      </c>
      <c r="V51" s="4">
        <f>(VLOOKUP('11.07'!AD51,'11.07'!$AM$4:$AP$55,4,FALSE))</f>
        <v>38</v>
      </c>
      <c r="W51" s="4">
        <f>(VLOOKUP('11.07'!AE51,'11.07'!$AM$4:$AP$55,4,FALSE))</f>
        <v>0</v>
      </c>
      <c r="X51" s="4">
        <f>(VLOOKUP('11.07'!AF51,'11.07'!$AM$4:$AP$55,4,FALSE))</f>
        <v>0</v>
      </c>
    </row>
    <row r="52" spans="1:24">
      <c r="A52" s="4">
        <f>(VLOOKUP('11.07'!I52,'11.07'!$AM$4:$AP$55,4,FALSE))</f>
        <v>36</v>
      </c>
      <c r="B52" s="4">
        <f>(VLOOKUP('11.07'!J52,'11.07'!$AM$4:$AP$55,4,FALSE))</f>
        <v>36</v>
      </c>
      <c r="C52" s="4">
        <f>(VLOOKUP('11.07'!K52,'11.07'!$AM$4:$AP$55,4,FALSE))</f>
        <v>36</v>
      </c>
      <c r="D52" s="4">
        <f>(VLOOKUP('11.07'!L52,'11.07'!$AM$4:$AP$55,4,FALSE))</f>
        <v>36</v>
      </c>
      <c r="E52" s="4">
        <f>(VLOOKUP('11.07'!M52,'11.07'!$AM$4:$AP$55,4,FALSE))</f>
        <v>36</v>
      </c>
      <c r="F52" s="4">
        <f>(VLOOKUP('11.07'!N52,'11.07'!$AM$4:$AP$55,4,FALSE))</f>
        <v>10</v>
      </c>
      <c r="G52" s="4">
        <f>(VLOOKUP('11.07'!O52,'11.07'!$AM$4:$AP$55,4,FALSE))</f>
        <v>0</v>
      </c>
      <c r="H52" s="4">
        <f>(VLOOKUP('11.07'!P52,'11.07'!$AM$4:$AP$55,4,FALSE))</f>
        <v>0</v>
      </c>
      <c r="I52" s="4">
        <f>(VLOOKUP('11.07'!Q52,'11.07'!$AM$4:$AP$55,4,FALSE))</f>
        <v>0</v>
      </c>
      <c r="J52" s="4">
        <f>(VLOOKUP('11.07'!R52,'11.07'!$AM$4:$AP$55,4,FALSE))</f>
        <v>0</v>
      </c>
      <c r="K52" s="4">
        <f>(VLOOKUP('11.07'!S52,'11.07'!$AM$4:$AP$55,4,FALSE))</f>
        <v>0</v>
      </c>
      <c r="L52" s="4">
        <f>(VLOOKUP('11.07'!T52,'11.07'!$AM$4:$AP$55,4,FALSE))</f>
        <v>0</v>
      </c>
      <c r="M52" s="4">
        <f>(VLOOKUP('11.07'!U52,'11.07'!$AM$4:$AP$55,4,FALSE))</f>
        <v>0</v>
      </c>
      <c r="N52" s="4">
        <f>(VLOOKUP('11.07'!V52,'11.07'!$AM$4:$AP$55,4,FALSE))</f>
        <v>0</v>
      </c>
      <c r="O52" s="4">
        <f>(VLOOKUP('11.07'!W52,'11.07'!$AM$4:$AP$55,4,FALSE))</f>
        <v>0</v>
      </c>
      <c r="P52" s="4">
        <f>(VLOOKUP('11.07'!X52,'11.07'!$AM$4:$AP$55,4,FALSE))</f>
        <v>0</v>
      </c>
      <c r="Q52" s="4">
        <f>(VLOOKUP('11.07'!Y52,'11.07'!$AM$4:$AP$55,4,FALSE))</f>
        <v>38</v>
      </c>
      <c r="R52" s="4">
        <f>(VLOOKUP('11.07'!Z52,'11.07'!$AM$4:$AP$55,4,FALSE))</f>
        <v>38</v>
      </c>
      <c r="S52" s="4">
        <f>(VLOOKUP('11.07'!AA52,'11.07'!$AM$4:$AP$55,4,FALSE))</f>
        <v>0</v>
      </c>
      <c r="T52" s="4">
        <f>(VLOOKUP('11.07'!AB52,'11.07'!$AM$4:$AP$55,4,FALSE))</f>
        <v>38</v>
      </c>
      <c r="U52" s="4">
        <f>(VLOOKUP('11.07'!AC52,'11.07'!$AM$4:$AP$55,4,FALSE))</f>
        <v>38</v>
      </c>
      <c r="V52" s="4">
        <f>(VLOOKUP('11.07'!AD52,'11.07'!$AM$4:$AP$55,4,FALSE))</f>
        <v>38</v>
      </c>
      <c r="W52" s="4">
        <f>(VLOOKUP('11.07'!AE52,'11.07'!$AM$4:$AP$55,4,FALSE))</f>
        <v>38</v>
      </c>
      <c r="X52" s="4">
        <f>(VLOOKUP('11.07'!AF52,'11.07'!$AM$4:$AP$55,4,FALSE))</f>
        <v>38</v>
      </c>
    </row>
    <row r="53" spans="1:24">
      <c r="A53" s="4">
        <f>(VLOOKUP('11.07'!I53,'11.07'!$AM$4:$AP$55,4,FALSE))</f>
        <v>36</v>
      </c>
      <c r="B53" s="4">
        <f>(VLOOKUP('11.07'!J53,'11.07'!$AM$4:$AP$55,4,FALSE))</f>
        <v>38</v>
      </c>
      <c r="C53" s="4">
        <f>(VLOOKUP('11.07'!K53,'11.07'!$AM$4:$AP$55,4,FALSE))</f>
        <v>38</v>
      </c>
      <c r="D53" s="4">
        <f>(VLOOKUP('11.07'!L53,'11.07'!$AM$4:$AP$55,4,FALSE))</f>
        <v>38</v>
      </c>
      <c r="E53" s="4">
        <f>(VLOOKUP('11.07'!M53,'11.07'!$AM$4:$AP$55,4,FALSE))</f>
        <v>38</v>
      </c>
      <c r="F53" s="4">
        <f>(VLOOKUP('11.07'!N53,'11.07'!$AM$4:$AP$55,4,FALSE))</f>
        <v>38</v>
      </c>
      <c r="G53" s="4">
        <f>(VLOOKUP('11.07'!O53,'11.07'!$AM$4:$AP$55,4,FALSE))</f>
        <v>0</v>
      </c>
      <c r="H53" s="4">
        <f>(VLOOKUP('11.07'!P53,'11.07'!$AM$4:$AP$55,4,FALSE))</f>
        <v>0</v>
      </c>
      <c r="I53" s="4">
        <f>(VLOOKUP('11.07'!Q53,'11.07'!$AM$4:$AP$55,4,FALSE))</f>
        <v>0</v>
      </c>
      <c r="J53" s="4">
        <f>(VLOOKUP('11.07'!R53,'11.07'!$AM$4:$AP$55,4,FALSE))</f>
        <v>0</v>
      </c>
      <c r="K53" s="4">
        <f>(VLOOKUP('11.07'!S53,'11.07'!$AM$4:$AP$55,4,FALSE))</f>
        <v>0</v>
      </c>
      <c r="L53" s="4">
        <f>(VLOOKUP('11.07'!T53,'11.07'!$AM$4:$AP$55,4,FALSE))</f>
        <v>0</v>
      </c>
      <c r="M53" s="4">
        <f>(VLOOKUP('11.07'!U53,'11.07'!$AM$4:$AP$55,4,FALSE))</f>
        <v>0</v>
      </c>
      <c r="N53" s="4">
        <f>(VLOOKUP('11.07'!V53,'11.07'!$AM$4:$AP$55,4,FALSE))</f>
        <v>0</v>
      </c>
      <c r="O53" s="4">
        <f>(VLOOKUP('11.07'!W53,'11.07'!$AM$4:$AP$55,4,FALSE))</f>
        <v>0</v>
      </c>
      <c r="P53" s="4">
        <f>(VLOOKUP('11.07'!X53,'11.07'!$AM$4:$AP$55,4,FALSE))</f>
        <v>0</v>
      </c>
      <c r="Q53" s="4">
        <f>(VLOOKUP('11.07'!Y53,'11.07'!$AM$4:$AP$55,4,FALSE))</f>
        <v>38</v>
      </c>
      <c r="R53" s="4">
        <f>(VLOOKUP('11.07'!Z53,'11.07'!$AM$4:$AP$55,4,FALSE))</f>
        <v>38</v>
      </c>
      <c r="S53" s="4">
        <f>(VLOOKUP('11.07'!AA53,'11.07'!$AM$4:$AP$55,4,FALSE))</f>
        <v>38</v>
      </c>
      <c r="T53" s="4">
        <f>(VLOOKUP('11.07'!AB53,'11.07'!$AM$4:$AP$55,4,FALSE))</f>
        <v>38</v>
      </c>
      <c r="U53" s="4">
        <f>(VLOOKUP('11.07'!AC53,'11.07'!$AM$4:$AP$55,4,FALSE))</f>
        <v>38</v>
      </c>
      <c r="V53" s="4">
        <f>(VLOOKUP('11.07'!AD53,'11.07'!$AM$4:$AP$55,4,FALSE))</f>
        <v>38</v>
      </c>
      <c r="W53" s="4">
        <f>(VLOOKUP('11.07'!AE53,'11.07'!$AM$4:$AP$55,4,FALSE))</f>
        <v>0</v>
      </c>
      <c r="X53" s="4">
        <f>(VLOOKUP('11.07'!AF53,'11.07'!$AM$4:$AP$55,4,FALSE))</f>
        <v>0</v>
      </c>
    </row>
    <row r="54" spans="1:24">
      <c r="A54" s="4">
        <f>(VLOOKUP('11.07'!I54,'11.07'!$AM$4:$AP$55,4,FALSE))</f>
        <v>38</v>
      </c>
      <c r="B54" s="4">
        <f>(VLOOKUP('11.07'!J54,'11.07'!$AM$4:$AP$55,4,FALSE))</f>
        <v>38</v>
      </c>
      <c r="C54" s="4">
        <f>(VLOOKUP('11.07'!K54,'11.07'!$AM$4:$AP$55,4,FALSE))</f>
        <v>38</v>
      </c>
      <c r="D54" s="4">
        <f>(VLOOKUP('11.07'!L54,'11.07'!$AM$4:$AP$55,4,FALSE))</f>
        <v>38</v>
      </c>
      <c r="E54" s="4">
        <f>(VLOOKUP('11.07'!M54,'11.07'!$AM$4:$AP$55,4,FALSE))</f>
        <v>38</v>
      </c>
      <c r="F54" s="4">
        <f>(VLOOKUP('11.07'!N54,'11.07'!$AM$4:$AP$55,4,FALSE))</f>
        <v>38</v>
      </c>
      <c r="G54" s="4">
        <f>(VLOOKUP('11.07'!O54,'11.07'!$AM$4:$AP$55,4,FALSE))</f>
        <v>0</v>
      </c>
      <c r="H54" s="4">
        <f>(VLOOKUP('11.07'!P54,'11.07'!$AM$4:$AP$55,4,FALSE))</f>
        <v>0</v>
      </c>
      <c r="I54" s="4">
        <f>(VLOOKUP('11.07'!Q54,'11.07'!$AM$4:$AP$55,4,FALSE))</f>
        <v>0</v>
      </c>
      <c r="J54" s="4">
        <f>(VLOOKUP('11.07'!R54,'11.07'!$AM$4:$AP$55,4,FALSE))</f>
        <v>0</v>
      </c>
      <c r="K54" s="4">
        <f>(VLOOKUP('11.07'!S54,'11.07'!$AM$4:$AP$55,4,FALSE))</f>
        <v>0</v>
      </c>
      <c r="L54" s="4">
        <f>(VLOOKUP('11.07'!T54,'11.07'!$AM$4:$AP$55,4,FALSE))</f>
        <v>0</v>
      </c>
      <c r="M54" s="4">
        <f>(VLOOKUP('11.07'!U54,'11.07'!$AM$4:$AP$55,4,FALSE))</f>
        <v>0</v>
      </c>
      <c r="N54" s="4">
        <f>(VLOOKUP('11.07'!V54,'11.07'!$AM$4:$AP$55,4,FALSE))</f>
        <v>0</v>
      </c>
      <c r="O54" s="4">
        <f>(VLOOKUP('11.07'!W54,'11.07'!$AM$4:$AP$55,4,FALSE))</f>
        <v>0</v>
      </c>
      <c r="P54" s="4">
        <f>(VLOOKUP('11.07'!X54,'11.07'!$AM$4:$AP$55,4,FALSE))</f>
        <v>0</v>
      </c>
      <c r="Q54" s="4">
        <f>(VLOOKUP('11.07'!Y54,'11.07'!$AM$4:$AP$55,4,FALSE))</f>
        <v>10</v>
      </c>
      <c r="R54" s="4">
        <f>(VLOOKUP('11.07'!Z54,'11.07'!$AM$4:$AP$55,4,FALSE))</f>
        <v>38</v>
      </c>
      <c r="S54" s="4">
        <f>(VLOOKUP('11.07'!AA54,'11.07'!$AM$4:$AP$55,4,FALSE))</f>
        <v>38</v>
      </c>
      <c r="T54" s="4">
        <f>(VLOOKUP('11.07'!AB54,'11.07'!$AM$4:$AP$55,4,FALSE))</f>
        <v>38</v>
      </c>
      <c r="U54" s="4">
        <f>(VLOOKUP('11.07'!AC54,'11.07'!$AM$4:$AP$55,4,FALSE))</f>
        <v>38</v>
      </c>
      <c r="V54" s="4">
        <f>(VLOOKUP('11.07'!AD54,'11.07'!$AM$4:$AP$55,4,FALSE))</f>
        <v>38</v>
      </c>
      <c r="W54" s="4">
        <f>(VLOOKUP('11.07'!AE54,'11.07'!$AM$4:$AP$55,4,FALSE))</f>
        <v>0</v>
      </c>
      <c r="X54" s="4">
        <f>(VLOOKUP('11.07'!AF54,'11.07'!$AM$4:$AP$55,4,FALSE))</f>
        <v>0</v>
      </c>
    </row>
    <row r="55" spans="1:24">
      <c r="A55" s="4">
        <f>(VLOOKUP('11.07'!I55,'11.07'!$AM$4:$AP$55,4,FALSE))</f>
        <v>38</v>
      </c>
      <c r="B55" s="4">
        <f>(VLOOKUP('11.07'!J55,'11.07'!$AM$4:$AP$55,4,FALSE))</f>
        <v>38</v>
      </c>
      <c r="C55" s="4">
        <f>(VLOOKUP('11.07'!K55,'11.07'!$AM$4:$AP$55,4,FALSE))</f>
        <v>38</v>
      </c>
      <c r="D55" s="4">
        <f>(VLOOKUP('11.07'!L55,'11.07'!$AM$4:$AP$55,4,FALSE))</f>
        <v>38</v>
      </c>
      <c r="E55" s="4">
        <f>(VLOOKUP('11.07'!M55,'11.07'!$AM$4:$AP$55,4,FALSE))</f>
        <v>38</v>
      </c>
      <c r="F55" s="4">
        <f>(VLOOKUP('11.07'!N55,'11.07'!$AM$4:$AP$55,4,FALSE))</f>
        <v>38</v>
      </c>
      <c r="G55" s="4">
        <f>(VLOOKUP('11.07'!O55,'11.07'!$AM$4:$AP$55,4,FALSE))</f>
        <v>0</v>
      </c>
      <c r="H55" s="4">
        <f>(VLOOKUP('11.07'!P55,'11.07'!$AM$4:$AP$55,4,FALSE))</f>
        <v>0</v>
      </c>
      <c r="I55" s="4">
        <f>(VLOOKUP('11.07'!Q55,'11.07'!$AM$4:$AP$55,4,FALSE))</f>
        <v>0</v>
      </c>
      <c r="J55" s="4">
        <f>(VLOOKUP('11.07'!R55,'11.07'!$AM$4:$AP$55,4,FALSE))</f>
        <v>0</v>
      </c>
      <c r="K55" s="4">
        <f>(VLOOKUP('11.07'!S55,'11.07'!$AM$4:$AP$55,4,FALSE))</f>
        <v>0</v>
      </c>
      <c r="L55" s="4">
        <f>(VLOOKUP('11.07'!T55,'11.07'!$AM$4:$AP$55,4,FALSE))</f>
        <v>0</v>
      </c>
      <c r="M55" s="4">
        <f>(VLOOKUP('11.07'!U55,'11.07'!$AM$4:$AP$55,4,FALSE))</f>
        <v>0</v>
      </c>
      <c r="N55" s="4">
        <f>(VLOOKUP('11.07'!V55,'11.07'!$AM$4:$AP$55,4,FALSE))</f>
        <v>0</v>
      </c>
      <c r="O55" s="4">
        <f>(VLOOKUP('11.07'!W55,'11.07'!$AM$4:$AP$55,4,FALSE))</f>
        <v>0</v>
      </c>
      <c r="P55" s="4">
        <f>(VLOOKUP('11.07'!X55,'11.07'!$AM$4:$AP$55,4,FALSE))</f>
        <v>0</v>
      </c>
      <c r="Q55" s="4">
        <f>(VLOOKUP('11.07'!Y55,'11.07'!$AM$4:$AP$55,4,FALSE))</f>
        <v>38</v>
      </c>
      <c r="R55" s="4">
        <f>(VLOOKUP('11.07'!Z55,'11.07'!$AM$4:$AP$55,4,FALSE))</f>
        <v>38</v>
      </c>
      <c r="S55" s="4">
        <f>(VLOOKUP('11.07'!AA55,'11.07'!$AM$4:$AP$55,4,FALSE))</f>
        <v>38</v>
      </c>
      <c r="T55" s="4">
        <f>(VLOOKUP('11.07'!AB55,'11.07'!$AM$4:$AP$55,4,FALSE))</f>
        <v>0</v>
      </c>
      <c r="U55" s="4">
        <f>(VLOOKUP('11.07'!AC55,'11.07'!$AM$4:$AP$55,4,FALSE))</f>
        <v>38</v>
      </c>
      <c r="V55" s="4">
        <f>(VLOOKUP('11.07'!AD55,'11.07'!$AM$4:$AP$55,4,FALSE))</f>
        <v>38</v>
      </c>
      <c r="W55" s="4">
        <f>(VLOOKUP('11.07'!AE55,'11.07'!$AM$4:$AP$55,4,FALSE))</f>
        <v>0</v>
      </c>
      <c r="X55" s="4">
        <f>(VLOOKUP('11.07'!AF55,'11.07'!$AM$4:$AP$55,4,FALSE))</f>
        <v>0</v>
      </c>
    </row>
    <row r="56" spans="1:24">
      <c r="A56" s="4">
        <f>(VLOOKUP('11.07'!I56,'11.07'!$AM$4:$AP$55,4,FALSE))</f>
        <v>38</v>
      </c>
      <c r="B56" s="4">
        <f>(VLOOKUP('11.07'!J56,'11.07'!$AM$4:$AP$55,4,FALSE))</f>
        <v>38</v>
      </c>
      <c r="C56" s="4">
        <f>(VLOOKUP('11.07'!K56,'11.07'!$AM$4:$AP$55,4,FALSE))</f>
        <v>38</v>
      </c>
      <c r="D56" s="4">
        <f>(VLOOKUP('11.07'!L56,'11.07'!$AM$4:$AP$55,4,FALSE))</f>
        <v>38</v>
      </c>
      <c r="E56" s="4">
        <f>(VLOOKUP('11.07'!M56,'11.07'!$AM$4:$AP$55,4,FALSE))</f>
        <v>38</v>
      </c>
      <c r="F56" s="4">
        <f>(VLOOKUP('11.07'!N56,'11.07'!$AM$4:$AP$55,4,FALSE))</f>
        <v>38</v>
      </c>
      <c r="G56" s="4">
        <f>(VLOOKUP('11.07'!O56,'11.07'!$AM$4:$AP$55,4,FALSE))</f>
        <v>0</v>
      </c>
      <c r="H56" s="4">
        <f>(VLOOKUP('11.07'!P56,'11.07'!$AM$4:$AP$55,4,FALSE))</f>
        <v>0</v>
      </c>
      <c r="I56" s="4">
        <f>(VLOOKUP('11.07'!Q56,'11.07'!$AM$4:$AP$55,4,FALSE))</f>
        <v>0</v>
      </c>
      <c r="J56" s="4">
        <f>(VLOOKUP('11.07'!R56,'11.07'!$AM$4:$AP$55,4,FALSE))</f>
        <v>0</v>
      </c>
      <c r="K56" s="4">
        <f>(VLOOKUP('11.07'!S56,'11.07'!$AM$4:$AP$55,4,FALSE))</f>
        <v>0</v>
      </c>
      <c r="L56" s="4">
        <f>(VLOOKUP('11.07'!T56,'11.07'!$AM$4:$AP$55,4,FALSE))</f>
        <v>0</v>
      </c>
      <c r="M56" s="4">
        <f>(VLOOKUP('11.07'!U56,'11.07'!$AM$4:$AP$55,4,FALSE))</f>
        <v>0</v>
      </c>
      <c r="N56" s="4">
        <f>(VLOOKUP('11.07'!V56,'11.07'!$AM$4:$AP$55,4,FALSE))</f>
        <v>0</v>
      </c>
      <c r="O56" s="4">
        <f>(VLOOKUP('11.07'!W56,'11.07'!$AM$4:$AP$55,4,FALSE))</f>
        <v>0</v>
      </c>
      <c r="P56" s="4">
        <f>(VLOOKUP('11.07'!X56,'11.07'!$AM$4:$AP$55,4,FALSE))</f>
        <v>0</v>
      </c>
      <c r="Q56" s="4">
        <f>(VLOOKUP('11.07'!Y56,'11.07'!$AM$4:$AP$55,4,FALSE))</f>
        <v>38</v>
      </c>
      <c r="R56" s="4">
        <f>(VLOOKUP('11.07'!Z56,'11.07'!$AM$4:$AP$55,4,FALSE))</f>
        <v>38</v>
      </c>
      <c r="S56" s="4">
        <f>(VLOOKUP('11.07'!AA56,'11.07'!$AM$4:$AP$55,4,FALSE))</f>
        <v>38</v>
      </c>
      <c r="T56" s="4">
        <f>(VLOOKUP('11.07'!AB56,'11.07'!$AM$4:$AP$55,4,FALSE))</f>
        <v>38</v>
      </c>
      <c r="U56" s="4">
        <f>(VLOOKUP('11.07'!AC56,'11.07'!$AM$4:$AP$55,4,FALSE))</f>
        <v>38</v>
      </c>
      <c r="V56" s="4">
        <f>(VLOOKUP('11.07'!AD56,'11.07'!$AM$4:$AP$55,4,FALSE))</f>
        <v>38</v>
      </c>
      <c r="W56" s="4">
        <f>(VLOOKUP('11.07'!AE56,'11.07'!$AM$4:$AP$55,4,FALSE))</f>
        <v>0</v>
      </c>
      <c r="X56" s="4">
        <f>(VLOOKUP('11.07'!AF56,'11.07'!$AM$4:$AP$55,4,FALSE))</f>
        <v>0</v>
      </c>
    </row>
    <row r="57" spans="1:24">
      <c r="A57" s="4">
        <f>(VLOOKUP('11.07'!I57,'11.07'!$AM$4:$AP$55,4,FALSE))</f>
        <v>38</v>
      </c>
      <c r="B57" s="4">
        <f>(VLOOKUP('11.07'!J57,'11.07'!$AM$4:$AP$55,4,FALSE))</f>
        <v>38</v>
      </c>
      <c r="C57" s="4">
        <f>(VLOOKUP('11.07'!K57,'11.07'!$AM$4:$AP$55,4,FALSE))</f>
        <v>38</v>
      </c>
      <c r="D57" s="4">
        <f>(VLOOKUP('11.07'!L57,'11.07'!$AM$4:$AP$55,4,FALSE))</f>
        <v>38</v>
      </c>
      <c r="E57" s="4">
        <f>(VLOOKUP('11.07'!M57,'11.07'!$AM$4:$AP$55,4,FALSE))</f>
        <v>38</v>
      </c>
      <c r="F57" s="4">
        <f>(VLOOKUP('11.07'!N57,'11.07'!$AM$4:$AP$55,4,FALSE))</f>
        <v>38</v>
      </c>
      <c r="G57" s="4">
        <f>(VLOOKUP('11.07'!O57,'11.07'!$AM$4:$AP$55,4,FALSE))</f>
        <v>0</v>
      </c>
      <c r="H57" s="4">
        <f>(VLOOKUP('11.07'!P57,'11.07'!$AM$4:$AP$55,4,FALSE))</f>
        <v>0</v>
      </c>
      <c r="I57" s="4">
        <f>(VLOOKUP('11.07'!Q57,'11.07'!$AM$4:$AP$55,4,FALSE))</f>
        <v>0</v>
      </c>
      <c r="J57" s="4">
        <f>(VLOOKUP('11.07'!R57,'11.07'!$AM$4:$AP$55,4,FALSE))</f>
        <v>0</v>
      </c>
      <c r="K57" s="4">
        <f>(VLOOKUP('11.07'!S57,'11.07'!$AM$4:$AP$55,4,FALSE))</f>
        <v>0</v>
      </c>
      <c r="L57" s="4">
        <f>(VLOOKUP('11.07'!T57,'11.07'!$AM$4:$AP$55,4,FALSE))</f>
        <v>0</v>
      </c>
      <c r="M57" s="4">
        <f>(VLOOKUP('11.07'!U57,'11.07'!$AM$4:$AP$55,4,FALSE))</f>
        <v>0</v>
      </c>
      <c r="N57" s="4">
        <f>(VLOOKUP('11.07'!V57,'11.07'!$AM$4:$AP$55,4,FALSE))</f>
        <v>0</v>
      </c>
      <c r="O57" s="4">
        <f>(VLOOKUP('11.07'!W57,'11.07'!$AM$4:$AP$55,4,FALSE))</f>
        <v>0</v>
      </c>
      <c r="P57" s="4">
        <f>(VLOOKUP('11.07'!X57,'11.07'!$AM$4:$AP$55,4,FALSE))</f>
        <v>0</v>
      </c>
      <c r="Q57" s="4">
        <f>(VLOOKUP('11.07'!Y57,'11.07'!$AM$4:$AP$55,4,FALSE))</f>
        <v>38</v>
      </c>
      <c r="R57" s="4">
        <f>(VLOOKUP('11.07'!Z57,'11.07'!$AM$4:$AP$55,4,FALSE))</f>
        <v>38</v>
      </c>
      <c r="S57" s="4">
        <f>(VLOOKUP('11.07'!AA57,'11.07'!$AM$4:$AP$55,4,FALSE))</f>
        <v>38</v>
      </c>
      <c r="T57" s="4">
        <f>(VLOOKUP('11.07'!AB57,'11.07'!$AM$4:$AP$55,4,FALSE))</f>
        <v>38</v>
      </c>
      <c r="U57" s="4">
        <f>(VLOOKUP('11.07'!AC57,'11.07'!$AM$4:$AP$55,4,FALSE))</f>
        <v>38</v>
      </c>
      <c r="V57" s="4">
        <f>(VLOOKUP('11.07'!AD57,'11.07'!$AM$4:$AP$55,4,FALSE))</f>
        <v>38</v>
      </c>
      <c r="W57" s="4">
        <f>(VLOOKUP('11.07'!AE57,'11.07'!$AM$4:$AP$55,4,FALSE))</f>
        <v>0</v>
      </c>
      <c r="X57" s="4">
        <f>(VLOOKUP('11.07'!AF57,'11.07'!$AM$4:$AP$55,4,FALSE))</f>
        <v>0</v>
      </c>
    </row>
    <row r="58" spans="1:24">
      <c r="A58" s="4">
        <f>(VLOOKUP('11.07'!I58,'11.07'!$AM$4:$AP$55,4,FALSE))</f>
        <v>10</v>
      </c>
      <c r="B58" s="4">
        <f>(VLOOKUP('11.07'!J58,'11.07'!$AM$4:$AP$55,4,FALSE))</f>
        <v>38</v>
      </c>
      <c r="C58" s="4">
        <f>(VLOOKUP('11.07'!K58,'11.07'!$AM$4:$AP$55,4,FALSE))</f>
        <v>38</v>
      </c>
      <c r="D58" s="4">
        <f>(VLOOKUP('11.07'!L58,'11.07'!$AM$4:$AP$55,4,FALSE))</f>
        <v>38</v>
      </c>
      <c r="E58" s="4">
        <f>(VLOOKUP('11.07'!M58,'11.07'!$AM$4:$AP$55,4,FALSE))</f>
        <v>38</v>
      </c>
      <c r="F58" s="4">
        <f>(VLOOKUP('11.07'!N58,'11.07'!$AM$4:$AP$55,4,FALSE))</f>
        <v>38</v>
      </c>
      <c r="G58" s="4">
        <f>(VLOOKUP('11.07'!O58,'11.07'!$AM$4:$AP$55,4,FALSE))</f>
        <v>0</v>
      </c>
      <c r="H58" s="4">
        <f>(VLOOKUP('11.07'!P58,'11.07'!$AM$4:$AP$55,4,FALSE))</f>
        <v>0</v>
      </c>
      <c r="I58" s="4">
        <f>(VLOOKUP('11.07'!Q58,'11.07'!$AM$4:$AP$55,4,FALSE))</f>
        <v>0</v>
      </c>
      <c r="J58" s="4">
        <f>(VLOOKUP('11.07'!R58,'11.07'!$AM$4:$AP$55,4,FALSE))</f>
        <v>0</v>
      </c>
      <c r="K58" s="4">
        <f>(VLOOKUP('11.07'!S58,'11.07'!$AM$4:$AP$55,4,FALSE))</f>
        <v>0</v>
      </c>
      <c r="L58" s="4">
        <f>(VLOOKUP('11.07'!T58,'11.07'!$AM$4:$AP$55,4,FALSE))</f>
        <v>0</v>
      </c>
      <c r="M58" s="4">
        <f>(VLOOKUP('11.07'!U58,'11.07'!$AM$4:$AP$55,4,FALSE))</f>
        <v>0</v>
      </c>
      <c r="N58" s="4">
        <f>(VLOOKUP('11.07'!V58,'11.07'!$AM$4:$AP$55,4,FALSE))</f>
        <v>0</v>
      </c>
      <c r="O58" s="4">
        <f>(VLOOKUP('11.07'!W58,'11.07'!$AM$4:$AP$55,4,FALSE))</f>
        <v>0</v>
      </c>
      <c r="P58" s="4">
        <f>(VLOOKUP('11.07'!X58,'11.07'!$AM$4:$AP$55,4,FALSE))</f>
        <v>0</v>
      </c>
      <c r="Q58" s="4">
        <f>(VLOOKUP('11.07'!Y58,'11.07'!$AM$4:$AP$55,4,FALSE))</f>
        <v>38</v>
      </c>
      <c r="R58" s="4">
        <f>(VLOOKUP('11.07'!Z58,'11.07'!$AM$4:$AP$55,4,FALSE))</f>
        <v>38</v>
      </c>
      <c r="S58" s="4">
        <f>(VLOOKUP('11.07'!AA58,'11.07'!$AM$4:$AP$55,4,FALSE))</f>
        <v>38</v>
      </c>
      <c r="T58" s="4">
        <f>(VLOOKUP('11.07'!AB58,'11.07'!$AM$4:$AP$55,4,FALSE))</f>
        <v>38</v>
      </c>
      <c r="U58" s="4">
        <f>(VLOOKUP('11.07'!AC58,'11.07'!$AM$4:$AP$55,4,FALSE))</f>
        <v>38</v>
      </c>
      <c r="V58" s="4">
        <f>(VLOOKUP('11.07'!AD58,'11.07'!$AM$4:$AP$55,4,FALSE))</f>
        <v>38</v>
      </c>
      <c r="W58" s="4">
        <f>(VLOOKUP('11.07'!AE58,'11.07'!$AM$4:$AP$55,4,FALSE))</f>
        <v>0</v>
      </c>
      <c r="X58" s="4">
        <f>(VLOOKUP('11.07'!AF58,'11.07'!$AM$4:$AP$55,4,FALSE))</f>
        <v>0</v>
      </c>
    </row>
    <row r="59" spans="1:24">
      <c r="A59" s="4">
        <f>(VLOOKUP('11.07'!I59,'11.07'!$AM$4:$AP$55,4,FALSE))</f>
        <v>38</v>
      </c>
      <c r="B59" s="4">
        <f>(VLOOKUP('11.07'!J59,'11.07'!$AM$4:$AP$55,4,FALSE))</f>
        <v>38</v>
      </c>
      <c r="C59" s="4">
        <f>(VLOOKUP('11.07'!K59,'11.07'!$AM$4:$AP$55,4,FALSE))</f>
        <v>38</v>
      </c>
      <c r="D59" s="4">
        <f>(VLOOKUP('11.07'!L59,'11.07'!$AM$4:$AP$55,4,FALSE))</f>
        <v>38</v>
      </c>
      <c r="E59" s="4">
        <f>(VLOOKUP('11.07'!M59,'11.07'!$AM$4:$AP$55,4,FALSE))</f>
        <v>38</v>
      </c>
      <c r="F59" s="4">
        <f>(VLOOKUP('11.07'!N59,'11.07'!$AM$4:$AP$55,4,FALSE))</f>
        <v>38</v>
      </c>
      <c r="G59" s="4">
        <f>(VLOOKUP('11.07'!O59,'11.07'!$AM$4:$AP$55,4,FALSE))</f>
        <v>0</v>
      </c>
      <c r="H59" s="4">
        <f>(VLOOKUP('11.07'!P59,'11.07'!$AM$4:$AP$55,4,FALSE))</f>
        <v>0</v>
      </c>
      <c r="I59" s="4">
        <f>(VLOOKUP('11.07'!Q59,'11.07'!$AM$4:$AP$55,4,FALSE))</f>
        <v>0</v>
      </c>
      <c r="J59" s="4">
        <f>(VLOOKUP('11.07'!R59,'11.07'!$AM$4:$AP$55,4,FALSE))</f>
        <v>0</v>
      </c>
      <c r="K59" s="4">
        <f>(VLOOKUP('11.07'!S59,'11.07'!$AM$4:$AP$55,4,FALSE))</f>
        <v>0</v>
      </c>
      <c r="L59" s="4">
        <f>(VLOOKUP('11.07'!T59,'11.07'!$AM$4:$AP$55,4,FALSE))</f>
        <v>0</v>
      </c>
      <c r="M59" s="4">
        <f>(VLOOKUP('11.07'!U59,'11.07'!$AM$4:$AP$55,4,FALSE))</f>
        <v>0</v>
      </c>
      <c r="N59" s="4">
        <f>(VLOOKUP('11.07'!V59,'11.07'!$AM$4:$AP$55,4,FALSE))</f>
        <v>0</v>
      </c>
      <c r="O59" s="4">
        <f>(VLOOKUP('11.07'!W59,'11.07'!$AM$4:$AP$55,4,FALSE))</f>
        <v>0</v>
      </c>
      <c r="P59" s="4">
        <f>(VLOOKUP('11.07'!X59,'11.07'!$AM$4:$AP$55,4,FALSE))</f>
        <v>0</v>
      </c>
      <c r="Q59" s="4">
        <f>(VLOOKUP('11.07'!Y59,'11.07'!$AM$4:$AP$55,4,FALSE))</f>
        <v>38</v>
      </c>
      <c r="R59" s="4">
        <f>(VLOOKUP('11.07'!Z59,'11.07'!$AM$4:$AP$55,4,FALSE))</f>
        <v>38</v>
      </c>
      <c r="S59" s="4">
        <f>(VLOOKUP('11.07'!AA59,'11.07'!$AM$4:$AP$55,4,FALSE))</f>
        <v>38</v>
      </c>
      <c r="T59" s="4">
        <f>(VLOOKUP('11.07'!AB59,'11.07'!$AM$4:$AP$55,4,FALSE))</f>
        <v>38</v>
      </c>
      <c r="U59" s="4">
        <f>(VLOOKUP('11.07'!AC59,'11.07'!$AM$4:$AP$55,4,FALSE))</f>
        <v>38</v>
      </c>
      <c r="V59" s="4">
        <f>(VLOOKUP('11.07'!AD59,'11.07'!$AM$4:$AP$55,4,FALSE))</f>
        <v>38</v>
      </c>
      <c r="W59" s="4">
        <f>(VLOOKUP('11.07'!AE59,'11.07'!$AM$4:$AP$55,4,FALSE))</f>
        <v>0</v>
      </c>
      <c r="X59" s="4">
        <f>(VLOOKUP('11.07'!AF59,'11.07'!$AM$4:$AP$55,4,FALSE))</f>
        <v>0</v>
      </c>
    </row>
    <row r="60" spans="1:24">
      <c r="A60" s="4">
        <f>(VLOOKUP('11.07'!I60,'11.07'!$AM$4:$AP$55,4,FALSE))</f>
        <v>38</v>
      </c>
      <c r="B60" s="4">
        <f>(VLOOKUP('11.07'!J60,'11.07'!$AM$4:$AP$55,4,FALSE))</f>
        <v>38</v>
      </c>
      <c r="C60" s="4">
        <f>(VLOOKUP('11.07'!K60,'11.07'!$AM$4:$AP$55,4,FALSE))</f>
        <v>38</v>
      </c>
      <c r="D60" s="4">
        <f>(VLOOKUP('11.07'!L60,'11.07'!$AM$4:$AP$55,4,FALSE))</f>
        <v>38</v>
      </c>
      <c r="E60" s="4">
        <f>(VLOOKUP('11.07'!M60,'11.07'!$AM$4:$AP$55,4,FALSE))</f>
        <v>38</v>
      </c>
      <c r="F60" s="4">
        <f>(VLOOKUP('11.07'!N60,'11.07'!$AM$4:$AP$55,4,FALSE))</f>
        <v>38</v>
      </c>
      <c r="G60" s="4">
        <f>(VLOOKUP('11.07'!O60,'11.07'!$AM$4:$AP$55,4,FALSE))</f>
        <v>0</v>
      </c>
      <c r="H60" s="4">
        <f>(VLOOKUP('11.07'!P60,'11.07'!$AM$4:$AP$55,4,FALSE))</f>
        <v>0</v>
      </c>
      <c r="I60" s="4">
        <f>(VLOOKUP('11.07'!Q60,'11.07'!$AM$4:$AP$55,4,FALSE))</f>
        <v>0</v>
      </c>
      <c r="J60" s="4">
        <f>(VLOOKUP('11.07'!R60,'11.07'!$AM$4:$AP$55,4,FALSE))</f>
        <v>0</v>
      </c>
      <c r="K60" s="4">
        <f>(VLOOKUP('11.07'!S60,'11.07'!$AM$4:$AP$55,4,FALSE))</f>
        <v>0</v>
      </c>
      <c r="L60" s="4">
        <f>(VLOOKUP('11.07'!T60,'11.07'!$AM$4:$AP$55,4,FALSE))</f>
        <v>0</v>
      </c>
      <c r="M60" s="4">
        <f>(VLOOKUP('11.07'!U60,'11.07'!$AM$4:$AP$55,4,FALSE))</f>
        <v>0</v>
      </c>
      <c r="N60" s="4">
        <f>(VLOOKUP('11.07'!V60,'11.07'!$AM$4:$AP$55,4,FALSE))</f>
        <v>0</v>
      </c>
      <c r="O60" s="4">
        <f>(VLOOKUP('11.07'!W60,'11.07'!$AM$4:$AP$55,4,FALSE))</f>
        <v>0</v>
      </c>
      <c r="P60" s="4">
        <f>(VLOOKUP('11.07'!X60,'11.07'!$AM$4:$AP$55,4,FALSE))</f>
        <v>0</v>
      </c>
      <c r="Q60" s="4">
        <f>(VLOOKUP('11.07'!Y60,'11.07'!$AM$4:$AP$55,4,FALSE))</f>
        <v>38</v>
      </c>
      <c r="R60" s="4">
        <f>(VLOOKUP('11.07'!Z60,'11.07'!$AM$4:$AP$55,4,FALSE))</f>
        <v>38</v>
      </c>
      <c r="S60" s="4">
        <f>(VLOOKUP('11.07'!AA60,'11.07'!$AM$4:$AP$55,4,FALSE))</f>
        <v>38</v>
      </c>
      <c r="T60" s="4">
        <f>(VLOOKUP('11.07'!AB60,'11.07'!$AM$4:$AP$55,4,FALSE))</f>
        <v>0</v>
      </c>
      <c r="U60" s="4">
        <f>(VLOOKUP('11.07'!AC60,'11.07'!$AM$4:$AP$55,4,FALSE))</f>
        <v>38</v>
      </c>
      <c r="V60" s="4">
        <f>(VLOOKUP('11.07'!AD60,'11.07'!$AM$4:$AP$55,4,FALSE))</f>
        <v>38</v>
      </c>
      <c r="W60" s="4">
        <f>(VLOOKUP('11.07'!AE60,'11.07'!$AM$4:$AP$55,4,FALSE))</f>
        <v>38</v>
      </c>
      <c r="X60" s="4">
        <f>(VLOOKUP('11.07'!AF60,'11.07'!$AM$4:$AP$55,4,FALSE))</f>
        <v>0</v>
      </c>
    </row>
    <row r="61" spans="1:24">
      <c r="A61" s="4">
        <f>(VLOOKUP('11.07'!I61,'11.07'!$AM$4:$AP$55,4,FALSE))</f>
        <v>38</v>
      </c>
      <c r="B61" s="4">
        <f>(VLOOKUP('11.07'!J61,'11.07'!$AM$4:$AP$55,4,FALSE))</f>
        <v>38</v>
      </c>
      <c r="C61" s="4">
        <f>(VLOOKUP('11.07'!K61,'11.07'!$AM$4:$AP$55,4,FALSE))</f>
        <v>38</v>
      </c>
      <c r="D61" s="4">
        <f>(VLOOKUP('11.07'!L61,'11.07'!$AM$4:$AP$55,4,FALSE))</f>
        <v>38</v>
      </c>
      <c r="E61" s="4">
        <f>(VLOOKUP('11.07'!M61,'11.07'!$AM$4:$AP$55,4,FALSE))</f>
        <v>0</v>
      </c>
      <c r="F61" s="4">
        <f>(VLOOKUP('11.07'!N61,'11.07'!$AM$4:$AP$55,4,FALSE))</f>
        <v>38</v>
      </c>
      <c r="G61" s="4">
        <f>(VLOOKUP('11.07'!O61,'11.07'!$AM$4:$AP$55,4,FALSE))</f>
        <v>0</v>
      </c>
      <c r="H61" s="4">
        <f>(VLOOKUP('11.07'!P61,'11.07'!$AM$4:$AP$55,4,FALSE))</f>
        <v>0</v>
      </c>
      <c r="I61" s="4">
        <f>(VLOOKUP('11.07'!Q61,'11.07'!$AM$4:$AP$55,4,FALSE))</f>
        <v>0</v>
      </c>
      <c r="J61" s="4">
        <f>(VLOOKUP('11.07'!R61,'11.07'!$AM$4:$AP$55,4,FALSE))</f>
        <v>0</v>
      </c>
      <c r="K61" s="4">
        <f>(VLOOKUP('11.07'!S61,'11.07'!$AM$4:$AP$55,4,FALSE))</f>
        <v>0</v>
      </c>
      <c r="L61" s="4">
        <f>(VLOOKUP('11.07'!T61,'11.07'!$AM$4:$AP$55,4,FALSE))</f>
        <v>0</v>
      </c>
      <c r="M61" s="4">
        <f>(VLOOKUP('11.07'!U61,'11.07'!$AM$4:$AP$55,4,FALSE))</f>
        <v>0</v>
      </c>
      <c r="N61" s="4">
        <f>(VLOOKUP('11.07'!V61,'11.07'!$AM$4:$AP$55,4,FALSE))</f>
        <v>0</v>
      </c>
      <c r="O61" s="4">
        <f>(VLOOKUP('11.07'!W61,'11.07'!$AM$4:$AP$55,4,FALSE))</f>
        <v>0</v>
      </c>
      <c r="P61" s="4">
        <f>(VLOOKUP('11.07'!X61,'11.07'!$AM$4:$AP$55,4,FALSE))</f>
        <v>0</v>
      </c>
      <c r="Q61" s="4">
        <f>(VLOOKUP('11.07'!Y61,'11.07'!$AM$4:$AP$55,4,FALSE))</f>
        <v>36</v>
      </c>
      <c r="R61" s="4">
        <f>(VLOOKUP('11.07'!Z61,'11.07'!$AM$4:$AP$55,4,FALSE))</f>
        <v>36</v>
      </c>
      <c r="S61" s="4">
        <f>(VLOOKUP('11.07'!AA61,'11.07'!$AM$4:$AP$55,4,FALSE))</f>
        <v>36</v>
      </c>
      <c r="T61" s="4">
        <f>(VLOOKUP('11.07'!AB61,'11.07'!$AM$4:$AP$55,4,FALSE))</f>
        <v>36</v>
      </c>
      <c r="U61" s="4">
        <f>(VLOOKUP('11.07'!AC61,'11.07'!$AM$4:$AP$55,4,FALSE))</f>
        <v>36</v>
      </c>
      <c r="V61" s="4">
        <f>(VLOOKUP('11.07'!AD61,'11.07'!$AM$4:$AP$55,4,FALSE))</f>
        <v>10</v>
      </c>
      <c r="W61" s="4">
        <f>(VLOOKUP('11.07'!AE61,'11.07'!$AM$4:$AP$55,4,FALSE))</f>
        <v>0</v>
      </c>
      <c r="X61" s="4">
        <f>(VLOOKUP('11.07'!AF61,'11.07'!$AM$4:$AP$55,4,FALSE))</f>
        <v>0</v>
      </c>
    </row>
    <row r="62" spans="1:24">
      <c r="A62" s="4">
        <f>(VLOOKUP('11.07'!I62,'11.07'!$AM$4:$AP$55,4,FALSE))</f>
        <v>38</v>
      </c>
      <c r="B62" s="4">
        <f>(VLOOKUP('11.07'!J62,'11.07'!$AM$4:$AP$55,4,FALSE))</f>
        <v>38</v>
      </c>
      <c r="C62" s="4">
        <f>(VLOOKUP('11.07'!K62,'11.07'!$AM$4:$AP$55,4,FALSE))</f>
        <v>38</v>
      </c>
      <c r="D62" s="4">
        <f>(VLOOKUP('11.07'!L62,'11.07'!$AM$4:$AP$55,4,FALSE))</f>
        <v>38</v>
      </c>
      <c r="E62" s="4">
        <f>(VLOOKUP('11.07'!M62,'11.07'!$AM$4:$AP$55,4,FALSE))</f>
        <v>38</v>
      </c>
      <c r="F62" s="4">
        <f>(VLOOKUP('11.07'!N62,'11.07'!$AM$4:$AP$55,4,FALSE))</f>
        <v>38</v>
      </c>
      <c r="G62" s="4">
        <f>(VLOOKUP('11.07'!O62,'11.07'!$AM$4:$AP$55,4,FALSE))</f>
        <v>0</v>
      </c>
      <c r="H62" s="4">
        <f>(VLOOKUP('11.07'!P62,'11.07'!$AM$4:$AP$55,4,FALSE))</f>
        <v>0</v>
      </c>
      <c r="I62" s="4">
        <f>(VLOOKUP('11.07'!Q62,'11.07'!$AM$4:$AP$55,4,FALSE))</f>
        <v>0</v>
      </c>
      <c r="J62" s="4">
        <f>(VLOOKUP('11.07'!R62,'11.07'!$AM$4:$AP$55,4,FALSE))</f>
        <v>0</v>
      </c>
      <c r="K62" s="4">
        <f>(VLOOKUP('11.07'!S62,'11.07'!$AM$4:$AP$55,4,FALSE))</f>
        <v>0</v>
      </c>
      <c r="L62" s="4">
        <f>(VLOOKUP('11.07'!T62,'11.07'!$AM$4:$AP$55,4,FALSE))</f>
        <v>0</v>
      </c>
      <c r="M62" s="4">
        <f>(VLOOKUP('11.07'!U62,'11.07'!$AM$4:$AP$55,4,FALSE))</f>
        <v>0</v>
      </c>
      <c r="N62" s="4">
        <f>(VLOOKUP('11.07'!V62,'11.07'!$AM$4:$AP$55,4,FALSE))</f>
        <v>0</v>
      </c>
      <c r="O62" s="4">
        <f>(VLOOKUP('11.07'!W62,'11.07'!$AM$4:$AP$55,4,FALSE))</f>
        <v>0</v>
      </c>
      <c r="P62" s="4">
        <f>(VLOOKUP('11.07'!X62,'11.07'!$AM$4:$AP$55,4,FALSE))</f>
        <v>0</v>
      </c>
      <c r="Q62" s="4">
        <f>(VLOOKUP('11.07'!Y62,'11.07'!$AM$4:$AP$55,4,FALSE))</f>
        <v>36</v>
      </c>
      <c r="R62" s="4">
        <f>(VLOOKUP('11.07'!Z62,'11.07'!$AM$4:$AP$55,4,FALSE))</f>
        <v>36</v>
      </c>
      <c r="S62" s="4">
        <f>(VLOOKUP('11.07'!AA62,'11.07'!$AM$4:$AP$55,4,FALSE))</f>
        <v>36</v>
      </c>
      <c r="T62" s="4">
        <f>(VLOOKUP('11.07'!AB62,'11.07'!$AM$4:$AP$55,4,FALSE))</f>
        <v>36</v>
      </c>
      <c r="U62" s="4">
        <f>(VLOOKUP('11.07'!AC62,'11.07'!$AM$4:$AP$55,4,FALSE))</f>
        <v>36</v>
      </c>
      <c r="V62" s="4">
        <f>(VLOOKUP('11.07'!AD62,'11.07'!$AM$4:$AP$55,4,FALSE))</f>
        <v>36</v>
      </c>
      <c r="W62" s="4">
        <f>(VLOOKUP('11.07'!AE62,'11.07'!$AM$4:$AP$55,4,FALSE))</f>
        <v>0</v>
      </c>
      <c r="X62" s="4">
        <f>(VLOOKUP('11.07'!AF62,'11.07'!$AM$4:$AP$55,4,FALSE))</f>
        <v>0</v>
      </c>
    </row>
    <row r="63" spans="1:24">
      <c r="A63" s="4">
        <f>(VLOOKUP('11.07'!I63,'11.07'!$AM$4:$AP$55,4,FALSE))</f>
        <v>38</v>
      </c>
      <c r="B63" s="4">
        <f>(VLOOKUP('11.07'!J63,'11.07'!$AM$4:$AP$55,4,FALSE))</f>
        <v>38</v>
      </c>
      <c r="C63" s="4">
        <f>(VLOOKUP('11.07'!K63,'11.07'!$AM$4:$AP$55,4,FALSE))</f>
        <v>38</v>
      </c>
      <c r="D63" s="4">
        <f>(VLOOKUP('11.07'!L63,'11.07'!$AM$4:$AP$55,4,FALSE))</f>
        <v>38</v>
      </c>
      <c r="E63" s="4">
        <f>(VLOOKUP('11.07'!M63,'11.07'!$AM$4:$AP$55,4,FALSE))</f>
        <v>38</v>
      </c>
      <c r="F63" s="4">
        <f>(VLOOKUP('11.07'!N63,'11.07'!$AM$4:$AP$55,4,FALSE))</f>
        <v>38</v>
      </c>
      <c r="G63" s="4">
        <f>(VLOOKUP('11.07'!O63,'11.07'!$AM$4:$AP$55,4,FALSE))</f>
        <v>0</v>
      </c>
      <c r="H63" s="4">
        <f>(VLOOKUP('11.07'!P63,'11.07'!$AM$4:$AP$55,4,FALSE))</f>
        <v>0</v>
      </c>
      <c r="I63" s="4">
        <f>(VLOOKUP('11.07'!Q63,'11.07'!$AM$4:$AP$55,4,FALSE))</f>
        <v>0</v>
      </c>
      <c r="J63" s="4">
        <f>(VLOOKUP('11.07'!R63,'11.07'!$AM$4:$AP$55,4,FALSE))</f>
        <v>0</v>
      </c>
      <c r="K63" s="4">
        <f>(VLOOKUP('11.07'!S63,'11.07'!$AM$4:$AP$55,4,FALSE))</f>
        <v>0</v>
      </c>
      <c r="L63" s="4">
        <f>(VLOOKUP('11.07'!T63,'11.07'!$AM$4:$AP$55,4,FALSE))</f>
        <v>0</v>
      </c>
      <c r="M63" s="4">
        <f>(VLOOKUP('11.07'!U63,'11.07'!$AM$4:$AP$55,4,FALSE))</f>
        <v>0</v>
      </c>
      <c r="N63" s="4">
        <f>(VLOOKUP('11.07'!V63,'11.07'!$AM$4:$AP$55,4,FALSE))</f>
        <v>0</v>
      </c>
      <c r="O63" s="4">
        <f>(VLOOKUP('11.07'!W63,'11.07'!$AM$4:$AP$55,4,FALSE))</f>
        <v>0</v>
      </c>
      <c r="P63" s="4">
        <f>(VLOOKUP('11.07'!X63,'11.07'!$AM$4:$AP$55,4,FALSE))</f>
        <v>0</v>
      </c>
      <c r="Q63" s="4">
        <f>(VLOOKUP('11.07'!Y63,'11.07'!$AM$4:$AP$55,4,FALSE))</f>
        <v>36</v>
      </c>
      <c r="R63" s="4">
        <f>(VLOOKUP('11.07'!Z63,'11.07'!$AM$4:$AP$55,4,FALSE))</f>
        <v>36</v>
      </c>
      <c r="S63" s="4">
        <f>(VLOOKUP('11.07'!AA63,'11.07'!$AM$4:$AP$55,4,FALSE))</f>
        <v>36</v>
      </c>
      <c r="T63" s="4">
        <f>(VLOOKUP('11.07'!AB63,'11.07'!$AM$4:$AP$55,4,FALSE))</f>
        <v>36</v>
      </c>
      <c r="U63" s="4">
        <f>(VLOOKUP('11.07'!AC63,'11.07'!$AM$4:$AP$55,4,FALSE))</f>
        <v>36</v>
      </c>
      <c r="V63" s="4">
        <f>(VLOOKUP('11.07'!AD63,'11.07'!$AM$4:$AP$55,4,FALSE))</f>
        <v>36</v>
      </c>
      <c r="W63" s="4">
        <f>(VLOOKUP('11.07'!AE63,'11.07'!$AM$4:$AP$55,4,FALSE))</f>
        <v>0</v>
      </c>
      <c r="X63" s="4">
        <f>(VLOOKUP('11.07'!AF63,'11.07'!$AM$4:$AP$55,4,FALSE))</f>
        <v>0</v>
      </c>
    </row>
    <row r="64" spans="1:24">
      <c r="A64" s="4">
        <f>(VLOOKUP('11.07'!I64,'11.07'!$AM$4:$AP$55,4,FALSE))</f>
        <v>38</v>
      </c>
      <c r="B64" s="4">
        <f>(VLOOKUP('11.07'!J64,'11.07'!$AM$4:$AP$55,4,FALSE))</f>
        <v>38</v>
      </c>
      <c r="C64" s="4">
        <f>(VLOOKUP('11.07'!K64,'11.07'!$AM$4:$AP$55,4,FALSE))</f>
        <v>38</v>
      </c>
      <c r="D64" s="4">
        <f>(VLOOKUP('11.07'!L64,'11.07'!$AM$4:$AP$55,4,FALSE))</f>
        <v>38</v>
      </c>
      <c r="E64" s="4">
        <f>(VLOOKUP('11.07'!M64,'11.07'!$AM$4:$AP$55,4,FALSE))</f>
        <v>10</v>
      </c>
      <c r="F64" s="4">
        <f>(VLOOKUP('11.07'!N64,'11.07'!$AM$4:$AP$55,4,FALSE))</f>
        <v>38</v>
      </c>
      <c r="G64" s="4">
        <f>(VLOOKUP('11.07'!O64,'11.07'!$AM$4:$AP$55,4,FALSE))</f>
        <v>0</v>
      </c>
      <c r="H64" s="4">
        <f>(VLOOKUP('11.07'!P64,'11.07'!$AM$4:$AP$55,4,FALSE))</f>
        <v>0</v>
      </c>
      <c r="I64" s="4">
        <f>(VLOOKUP('11.07'!Q64,'11.07'!$AM$4:$AP$55,4,FALSE))</f>
        <v>0</v>
      </c>
      <c r="J64" s="4">
        <f>(VLOOKUP('11.07'!R64,'11.07'!$AM$4:$AP$55,4,FALSE))</f>
        <v>0</v>
      </c>
      <c r="K64" s="4">
        <f>(VLOOKUP('11.07'!S64,'11.07'!$AM$4:$AP$55,4,FALSE))</f>
        <v>0</v>
      </c>
      <c r="L64" s="4">
        <f>(VLOOKUP('11.07'!T64,'11.07'!$AM$4:$AP$55,4,FALSE))</f>
        <v>0</v>
      </c>
      <c r="M64" s="4">
        <f>(VLOOKUP('11.07'!U64,'11.07'!$AM$4:$AP$55,4,FALSE))</f>
        <v>0</v>
      </c>
      <c r="N64" s="4">
        <f>(VLOOKUP('11.07'!V64,'11.07'!$AM$4:$AP$55,4,FALSE))</f>
        <v>0</v>
      </c>
      <c r="O64" s="4">
        <f>(VLOOKUP('11.07'!W64,'11.07'!$AM$4:$AP$55,4,FALSE))</f>
        <v>0</v>
      </c>
      <c r="P64" s="4">
        <f>(VLOOKUP('11.07'!X64,'11.07'!$AM$4:$AP$55,4,FALSE))</f>
        <v>0</v>
      </c>
      <c r="Q64" s="4">
        <f>(VLOOKUP('11.07'!Y64,'11.07'!$AM$4:$AP$55,4,FALSE))</f>
        <v>36</v>
      </c>
      <c r="R64" s="4">
        <f>(VLOOKUP('11.07'!Z64,'11.07'!$AM$4:$AP$55,4,FALSE))</f>
        <v>36</v>
      </c>
      <c r="S64" s="4">
        <f>(VLOOKUP('11.07'!AA64,'11.07'!$AM$4:$AP$55,4,FALSE))</f>
        <v>36</v>
      </c>
      <c r="T64" s="4">
        <f>(VLOOKUP('11.07'!AB64,'11.07'!$AM$4:$AP$55,4,FALSE))</f>
        <v>36</v>
      </c>
      <c r="U64" s="4">
        <f>(VLOOKUP('11.07'!AC64,'11.07'!$AM$4:$AP$55,4,FALSE))</f>
        <v>36</v>
      </c>
      <c r="V64" s="4">
        <f>(VLOOKUP('11.07'!AD64,'11.07'!$AM$4:$AP$55,4,FALSE))</f>
        <v>36</v>
      </c>
      <c r="W64" s="4">
        <f>(VLOOKUP('11.07'!AE64,'11.07'!$AM$4:$AP$55,4,FALSE))</f>
        <v>0</v>
      </c>
      <c r="X64" s="4">
        <f>(VLOOKUP('11.07'!AF64,'11.07'!$AM$4:$AP$55,4,FALSE))</f>
        <v>0</v>
      </c>
    </row>
    <row r="65" spans="1:24">
      <c r="A65" s="4">
        <f>(VLOOKUP('11.07'!I65,'11.07'!$AM$4:$AP$55,4,FALSE))</f>
        <v>0</v>
      </c>
      <c r="B65" s="4">
        <f>(VLOOKUP('11.07'!J65,'11.07'!$AM$4:$AP$55,4,FALSE))</f>
        <v>0</v>
      </c>
      <c r="C65" s="4">
        <f>(VLOOKUP('11.07'!K65,'11.07'!$AM$4:$AP$55,4,FALSE))</f>
        <v>0</v>
      </c>
      <c r="D65" s="4">
        <f>(VLOOKUP('11.07'!L65,'11.07'!$AM$4:$AP$55,4,FALSE))</f>
        <v>0</v>
      </c>
      <c r="E65" s="4">
        <f>(VLOOKUP('11.07'!M65,'11.07'!$AM$4:$AP$55,4,FALSE))</f>
        <v>0</v>
      </c>
      <c r="F65" s="4">
        <f>(VLOOKUP('11.07'!N65,'11.07'!$AM$4:$AP$55,4,FALSE))</f>
        <v>0</v>
      </c>
      <c r="G65" s="4">
        <f>(VLOOKUP('11.07'!O65,'11.07'!$AM$4:$AP$55,4,FALSE))</f>
        <v>0</v>
      </c>
      <c r="H65" s="4">
        <f>(VLOOKUP('11.07'!P65,'11.07'!$AM$4:$AP$55,4,FALSE))</f>
        <v>0</v>
      </c>
      <c r="I65" s="4">
        <f>(VLOOKUP('11.07'!Q65,'11.07'!$AM$4:$AP$55,4,FALSE))</f>
        <v>0</v>
      </c>
      <c r="J65" s="4">
        <f>(VLOOKUP('11.07'!R65,'11.07'!$AM$4:$AP$55,4,FALSE))</f>
        <v>0</v>
      </c>
      <c r="K65" s="4">
        <f>(VLOOKUP('11.07'!S65,'11.07'!$AM$4:$AP$55,4,FALSE))</f>
        <v>0</v>
      </c>
      <c r="L65" s="4">
        <f>(VLOOKUP('11.07'!T65,'11.07'!$AM$4:$AP$55,4,FALSE))</f>
        <v>0</v>
      </c>
      <c r="M65" s="4">
        <f>(VLOOKUP('11.07'!U65,'11.07'!$AM$4:$AP$55,4,FALSE))</f>
        <v>0</v>
      </c>
      <c r="N65" s="4">
        <f>(VLOOKUP('11.07'!V65,'11.07'!$AM$4:$AP$55,4,FALSE))</f>
        <v>0</v>
      </c>
      <c r="O65" s="4">
        <f>(VLOOKUP('11.07'!W65,'11.07'!$AM$4:$AP$55,4,FALSE))</f>
        <v>0</v>
      </c>
      <c r="P65" s="4">
        <f>(VLOOKUP('11.07'!X65,'11.07'!$AM$4:$AP$55,4,FALSE))</f>
        <v>0</v>
      </c>
      <c r="Q65" s="4">
        <f>(VLOOKUP('11.07'!Y65,'11.07'!$AM$4:$AP$55,4,FALSE))</f>
        <v>36</v>
      </c>
      <c r="R65" s="4">
        <f>(VLOOKUP('11.07'!Z65,'11.07'!$AM$4:$AP$55,4,FALSE))</f>
        <v>36</v>
      </c>
      <c r="S65" s="4">
        <f>(VLOOKUP('11.07'!AA65,'11.07'!$AM$4:$AP$55,4,FALSE))</f>
        <v>36</v>
      </c>
      <c r="T65" s="4">
        <f>(VLOOKUP('11.07'!AB65,'11.07'!$AM$4:$AP$55,4,FALSE))</f>
        <v>10</v>
      </c>
      <c r="U65" s="4">
        <f>(VLOOKUP('11.07'!AC65,'11.07'!$AM$4:$AP$55,4,FALSE))</f>
        <v>36</v>
      </c>
      <c r="V65" s="4">
        <f>(VLOOKUP('11.07'!AD65,'11.07'!$AM$4:$AP$55,4,FALSE))</f>
        <v>0</v>
      </c>
      <c r="W65" s="4">
        <f>(VLOOKUP('11.07'!AE65,'11.07'!$AM$4:$AP$55,4,FALSE))</f>
        <v>0</v>
      </c>
      <c r="X65" s="4">
        <f>(VLOOKUP('11.07'!AF65,'11.07'!$AM$4:$AP$55,4,FALSE))</f>
        <v>0</v>
      </c>
    </row>
    <row r="66" spans="1:24">
      <c r="A66" s="4">
        <f>(VLOOKUP('11.07'!I66,'11.07'!$AM$4:$AP$55,4,FALSE))</f>
        <v>0</v>
      </c>
      <c r="B66" s="4">
        <f>(VLOOKUP('11.07'!J66,'11.07'!$AM$4:$AP$55,4,FALSE))</f>
        <v>0</v>
      </c>
      <c r="C66" s="4">
        <f>(VLOOKUP('11.07'!K66,'11.07'!$AM$4:$AP$55,4,FALSE))</f>
        <v>0</v>
      </c>
      <c r="D66" s="4">
        <f>(VLOOKUP('11.07'!L66,'11.07'!$AM$4:$AP$55,4,FALSE))</f>
        <v>0</v>
      </c>
      <c r="E66" s="4">
        <f>(VLOOKUP('11.07'!M66,'11.07'!$AM$4:$AP$55,4,FALSE))</f>
        <v>0</v>
      </c>
      <c r="F66" s="4">
        <f>(VLOOKUP('11.07'!N66,'11.07'!$AM$4:$AP$55,4,FALSE))</f>
        <v>0</v>
      </c>
      <c r="G66" s="4">
        <f>(VLOOKUP('11.07'!O66,'11.07'!$AM$4:$AP$55,4,FALSE))</f>
        <v>0</v>
      </c>
      <c r="H66" s="4">
        <f>(VLOOKUP('11.07'!P66,'11.07'!$AM$4:$AP$55,4,FALSE))</f>
        <v>0</v>
      </c>
      <c r="I66" s="4">
        <f>(VLOOKUP('11.07'!Q66,'11.07'!$AM$4:$AP$55,4,FALSE))</f>
        <v>0</v>
      </c>
      <c r="J66" s="4">
        <f>(VLOOKUP('11.07'!R66,'11.07'!$AM$4:$AP$55,4,FALSE))</f>
        <v>0</v>
      </c>
      <c r="K66" s="4">
        <f>(VLOOKUP('11.07'!S66,'11.07'!$AM$4:$AP$55,4,FALSE))</f>
        <v>0</v>
      </c>
      <c r="L66" s="4">
        <f>(VLOOKUP('11.07'!T66,'11.07'!$AM$4:$AP$55,4,FALSE))</f>
        <v>0</v>
      </c>
      <c r="M66" s="4">
        <f>(VLOOKUP('11.07'!U66,'11.07'!$AM$4:$AP$55,4,FALSE))</f>
        <v>0</v>
      </c>
      <c r="N66" s="4">
        <f>(VLOOKUP('11.07'!V66,'11.07'!$AM$4:$AP$55,4,FALSE))</f>
        <v>0</v>
      </c>
      <c r="O66" s="4">
        <f>(VLOOKUP('11.07'!W66,'11.07'!$AM$4:$AP$55,4,FALSE))</f>
        <v>0</v>
      </c>
      <c r="P66" s="4">
        <f>(VLOOKUP('11.07'!X66,'11.07'!$AM$4:$AP$55,4,FALSE))</f>
        <v>0</v>
      </c>
      <c r="Q66" s="4">
        <f>(VLOOKUP('11.07'!Y66,'11.07'!$AM$4:$AP$55,4,FALSE))</f>
        <v>36</v>
      </c>
      <c r="R66" s="4">
        <f>(VLOOKUP('11.07'!Z66,'11.07'!$AM$4:$AP$55,4,FALSE))</f>
        <v>36</v>
      </c>
      <c r="S66" s="4">
        <f>(VLOOKUP('11.07'!AA66,'11.07'!$AM$4:$AP$55,4,FALSE))</f>
        <v>36</v>
      </c>
      <c r="T66" s="4">
        <f>(VLOOKUP('11.07'!AB66,'11.07'!$AM$4:$AP$55,4,FALSE))</f>
        <v>36</v>
      </c>
      <c r="U66" s="4">
        <f>(VLOOKUP('11.07'!AC66,'11.07'!$AM$4:$AP$55,4,FALSE))</f>
        <v>36</v>
      </c>
      <c r="V66" s="4">
        <f>(VLOOKUP('11.07'!AD66,'11.07'!$AM$4:$AP$55,4,FALSE))</f>
        <v>36</v>
      </c>
      <c r="W66" s="4">
        <f>(VLOOKUP('11.07'!AE66,'11.07'!$AM$4:$AP$55,4,FALSE))</f>
        <v>0</v>
      </c>
      <c r="X66" s="4">
        <f>(VLOOKUP('11.07'!AF66,'11.07'!$AM$4:$AP$55,4,FALSE))</f>
        <v>0</v>
      </c>
    </row>
    <row r="67" spans="1:24">
      <c r="A67" s="4">
        <f>(VLOOKUP('11.07'!I67,'11.07'!$AM$4:$AP$55,4,FALSE))</f>
        <v>0</v>
      </c>
      <c r="B67" s="4">
        <f>(VLOOKUP('11.07'!J67,'11.07'!$AM$4:$AP$55,4,FALSE))</f>
        <v>0</v>
      </c>
      <c r="C67" s="4">
        <f>(VLOOKUP('11.07'!K67,'11.07'!$AM$4:$AP$55,4,FALSE))</f>
        <v>0</v>
      </c>
      <c r="D67" s="4">
        <f>(VLOOKUP('11.07'!L67,'11.07'!$AM$4:$AP$55,4,FALSE))</f>
        <v>0</v>
      </c>
      <c r="E67" s="4">
        <f>(VLOOKUP('11.07'!M67,'11.07'!$AM$4:$AP$55,4,FALSE))</f>
        <v>0</v>
      </c>
      <c r="F67" s="4">
        <f>(VLOOKUP('11.07'!N67,'11.07'!$AM$4:$AP$55,4,FALSE))</f>
        <v>0</v>
      </c>
      <c r="G67" s="4">
        <f>(VLOOKUP('11.07'!O67,'11.07'!$AM$4:$AP$55,4,FALSE))</f>
        <v>0</v>
      </c>
      <c r="H67" s="4">
        <f>(VLOOKUP('11.07'!P67,'11.07'!$AM$4:$AP$55,4,FALSE))</f>
        <v>0</v>
      </c>
      <c r="I67" s="4">
        <f>(VLOOKUP('11.07'!Q67,'11.07'!$AM$4:$AP$55,4,FALSE))</f>
        <v>0</v>
      </c>
      <c r="J67" s="4">
        <f>(VLOOKUP('11.07'!R67,'11.07'!$AM$4:$AP$55,4,FALSE))</f>
        <v>0</v>
      </c>
      <c r="K67" s="4">
        <f>(VLOOKUP('11.07'!S67,'11.07'!$AM$4:$AP$55,4,FALSE))</f>
        <v>0</v>
      </c>
      <c r="L67" s="4">
        <f>(VLOOKUP('11.07'!T67,'11.07'!$AM$4:$AP$55,4,FALSE))</f>
        <v>0</v>
      </c>
      <c r="M67" s="4">
        <f>(VLOOKUP('11.07'!U67,'11.07'!$AM$4:$AP$55,4,FALSE))</f>
        <v>0</v>
      </c>
      <c r="N67" s="4">
        <f>(VLOOKUP('11.07'!V67,'11.07'!$AM$4:$AP$55,4,FALSE))</f>
        <v>0</v>
      </c>
      <c r="O67" s="4">
        <f>(VLOOKUP('11.07'!W67,'11.07'!$AM$4:$AP$55,4,FALSE))</f>
        <v>0</v>
      </c>
      <c r="P67" s="4">
        <f>(VLOOKUP('11.07'!X67,'11.07'!$AM$4:$AP$55,4,FALSE))</f>
        <v>0</v>
      </c>
      <c r="Q67" s="4">
        <f>(VLOOKUP('11.07'!Y67,'11.07'!$AM$4:$AP$55,4,FALSE))</f>
        <v>0</v>
      </c>
      <c r="R67" s="4">
        <f>(VLOOKUP('11.07'!Z67,'11.07'!$AM$4:$AP$55,4,FALSE))</f>
        <v>36</v>
      </c>
      <c r="S67" s="4">
        <f>(VLOOKUP('11.07'!AA67,'11.07'!$AM$4:$AP$55,4,FALSE))</f>
        <v>36</v>
      </c>
      <c r="T67" s="4">
        <f>(VLOOKUP('11.07'!AB67,'11.07'!$AM$4:$AP$55,4,FALSE))</f>
        <v>36</v>
      </c>
      <c r="U67" s="4">
        <f>(VLOOKUP('11.07'!AC67,'11.07'!$AM$4:$AP$55,4,FALSE))</f>
        <v>36</v>
      </c>
      <c r="V67" s="4">
        <f>(VLOOKUP('11.07'!AD67,'11.07'!$AM$4:$AP$55,4,FALSE))</f>
        <v>36</v>
      </c>
      <c r="W67" s="4">
        <f>(VLOOKUP('11.07'!AE67,'11.07'!$AM$4:$AP$55,4,FALSE))</f>
        <v>0</v>
      </c>
      <c r="X67" s="4">
        <f>(VLOOKUP('11.07'!AF67,'11.07'!$AM$4:$AP$55,4,FALSE))</f>
        <v>0</v>
      </c>
    </row>
    <row r="68" spans="1:24">
      <c r="A68" s="4">
        <f>(VLOOKUP('11.07'!I68,'11.07'!$AM$4:$AP$55,4,FALSE))</f>
        <v>0</v>
      </c>
      <c r="B68" s="4">
        <f>(VLOOKUP('11.07'!J68,'11.07'!$AM$4:$AP$55,4,FALSE))</f>
        <v>0</v>
      </c>
      <c r="C68" s="4">
        <f>(VLOOKUP('11.07'!K68,'11.07'!$AM$4:$AP$55,4,FALSE))</f>
        <v>0</v>
      </c>
      <c r="D68" s="4">
        <f>(VLOOKUP('11.07'!L68,'11.07'!$AM$4:$AP$55,4,FALSE))</f>
        <v>0</v>
      </c>
      <c r="E68" s="4">
        <f>(VLOOKUP('11.07'!M68,'11.07'!$AM$4:$AP$55,4,FALSE))</f>
        <v>0</v>
      </c>
      <c r="F68" s="4">
        <f>(VLOOKUP('11.07'!N68,'11.07'!$AM$4:$AP$55,4,FALSE))</f>
        <v>0</v>
      </c>
      <c r="G68" s="4">
        <f>(VLOOKUP('11.07'!O68,'11.07'!$AM$4:$AP$55,4,FALSE))</f>
        <v>0</v>
      </c>
      <c r="H68" s="4">
        <f>(VLOOKUP('11.07'!P68,'11.07'!$AM$4:$AP$55,4,FALSE))</f>
        <v>0</v>
      </c>
      <c r="I68" s="4">
        <f>(VLOOKUP('11.07'!Q68,'11.07'!$AM$4:$AP$55,4,FALSE))</f>
        <v>0</v>
      </c>
      <c r="J68" s="4">
        <f>(VLOOKUP('11.07'!R68,'11.07'!$AM$4:$AP$55,4,FALSE))</f>
        <v>0</v>
      </c>
      <c r="K68" s="4">
        <f>(VLOOKUP('11.07'!S68,'11.07'!$AM$4:$AP$55,4,FALSE))</f>
        <v>0</v>
      </c>
      <c r="L68" s="4">
        <f>(VLOOKUP('11.07'!T68,'11.07'!$AM$4:$AP$55,4,FALSE))</f>
        <v>0</v>
      </c>
      <c r="M68" s="4">
        <f>(VLOOKUP('11.07'!U68,'11.07'!$AM$4:$AP$55,4,FALSE))</f>
        <v>0</v>
      </c>
      <c r="N68" s="4">
        <f>(VLOOKUP('11.07'!V68,'11.07'!$AM$4:$AP$55,4,FALSE))</f>
        <v>0</v>
      </c>
      <c r="O68" s="4">
        <f>(VLOOKUP('11.07'!W68,'11.07'!$AM$4:$AP$55,4,FALSE))</f>
        <v>0</v>
      </c>
      <c r="P68" s="4">
        <f>(VLOOKUP('11.07'!X68,'11.07'!$AM$4:$AP$55,4,FALSE))</f>
        <v>0</v>
      </c>
      <c r="Q68" s="4">
        <f>(VLOOKUP('11.07'!Y68,'11.07'!$AM$4:$AP$55,4,FALSE))</f>
        <v>36</v>
      </c>
      <c r="R68" s="4">
        <f>(VLOOKUP('11.07'!Z68,'11.07'!$AM$4:$AP$55,4,FALSE))</f>
        <v>36</v>
      </c>
      <c r="S68" s="4">
        <f>(VLOOKUP('11.07'!AA68,'11.07'!$AM$4:$AP$55,4,FALSE))</f>
        <v>36</v>
      </c>
      <c r="T68" s="4">
        <f>(VLOOKUP('11.07'!AB68,'11.07'!$AM$4:$AP$55,4,FALSE))</f>
        <v>36</v>
      </c>
      <c r="U68" s="4">
        <f>(VLOOKUP('11.07'!AC68,'11.07'!$AM$4:$AP$55,4,FALSE))</f>
        <v>36</v>
      </c>
      <c r="V68" s="4">
        <f>(VLOOKUP('11.07'!AD68,'11.07'!$AM$4:$AP$55,4,FALSE))</f>
        <v>36</v>
      </c>
      <c r="W68" s="4">
        <f>(VLOOKUP('11.07'!AE68,'11.07'!$AM$4:$AP$55,4,FALSE))</f>
        <v>0</v>
      </c>
      <c r="X68" s="4">
        <f>(VLOOKUP('11.07'!AF68,'11.07'!$AM$4:$AP$55,4,FALSE))</f>
        <v>0</v>
      </c>
    </row>
    <row r="69" spans="1:24">
      <c r="A69" s="4">
        <f>(VLOOKUP('11.07'!I69,'11.07'!$AM$4:$AP$55,4,FALSE))</f>
        <v>0</v>
      </c>
      <c r="B69" s="4">
        <f>(VLOOKUP('11.07'!J69,'11.07'!$AM$4:$AP$55,4,FALSE))</f>
        <v>0</v>
      </c>
      <c r="C69" s="4">
        <f>(VLOOKUP('11.07'!K69,'11.07'!$AM$4:$AP$55,4,FALSE))</f>
        <v>0</v>
      </c>
      <c r="D69" s="4">
        <f>(VLOOKUP('11.07'!L69,'11.07'!$AM$4:$AP$55,4,FALSE))</f>
        <v>0</v>
      </c>
      <c r="E69" s="4">
        <f>(VLOOKUP('11.07'!M69,'11.07'!$AM$4:$AP$55,4,FALSE))</f>
        <v>0</v>
      </c>
      <c r="F69" s="4">
        <f>(VLOOKUP('11.07'!N69,'11.07'!$AM$4:$AP$55,4,FALSE))</f>
        <v>0</v>
      </c>
      <c r="G69" s="4">
        <f>(VLOOKUP('11.07'!O69,'11.07'!$AM$4:$AP$55,4,FALSE))</f>
        <v>0</v>
      </c>
      <c r="H69" s="4">
        <f>(VLOOKUP('11.07'!P69,'11.07'!$AM$4:$AP$55,4,FALSE))</f>
        <v>0</v>
      </c>
      <c r="I69" s="4">
        <f>(VLOOKUP('11.07'!Q69,'11.07'!$AM$4:$AP$55,4,FALSE))</f>
        <v>0</v>
      </c>
      <c r="J69" s="4">
        <f>(VLOOKUP('11.07'!R69,'11.07'!$AM$4:$AP$55,4,FALSE))</f>
        <v>0</v>
      </c>
      <c r="K69" s="4">
        <f>(VLOOKUP('11.07'!S69,'11.07'!$AM$4:$AP$55,4,FALSE))</f>
        <v>0</v>
      </c>
      <c r="L69" s="4">
        <f>(VLOOKUP('11.07'!T69,'11.07'!$AM$4:$AP$55,4,FALSE))</f>
        <v>0</v>
      </c>
      <c r="M69" s="4">
        <f>(VLOOKUP('11.07'!U69,'11.07'!$AM$4:$AP$55,4,FALSE))</f>
        <v>0</v>
      </c>
      <c r="N69" s="4">
        <f>(VLOOKUP('11.07'!V69,'11.07'!$AM$4:$AP$55,4,FALSE))</f>
        <v>0</v>
      </c>
      <c r="O69" s="4">
        <f>(VLOOKUP('11.07'!W69,'11.07'!$AM$4:$AP$55,4,FALSE))</f>
        <v>0</v>
      </c>
      <c r="P69" s="4">
        <f>(VLOOKUP('11.07'!X69,'11.07'!$AM$4:$AP$55,4,FALSE))</f>
        <v>0</v>
      </c>
      <c r="Q69" s="4">
        <f>(VLOOKUP('11.07'!Y69,'11.07'!$AM$4:$AP$55,4,FALSE))</f>
        <v>36</v>
      </c>
      <c r="R69" s="4">
        <f>(VLOOKUP('11.07'!Z69,'11.07'!$AM$4:$AP$55,4,FALSE))</f>
        <v>36</v>
      </c>
      <c r="S69" s="4">
        <f>(VLOOKUP('11.07'!AA69,'11.07'!$AM$4:$AP$55,4,FALSE))</f>
        <v>36</v>
      </c>
      <c r="T69" s="4">
        <f>(VLOOKUP('11.07'!AB69,'11.07'!$AM$4:$AP$55,4,FALSE))</f>
        <v>36</v>
      </c>
      <c r="U69" s="4">
        <f>(VLOOKUP('11.07'!AC69,'11.07'!$AM$4:$AP$55,4,FALSE))</f>
        <v>36</v>
      </c>
      <c r="V69" s="4">
        <f>(VLOOKUP('11.07'!AD69,'11.07'!$AM$4:$AP$55,4,FALSE))</f>
        <v>36</v>
      </c>
      <c r="W69" s="4">
        <f>(VLOOKUP('11.07'!AE69,'11.07'!$AM$4:$AP$55,4,FALSE))</f>
        <v>0</v>
      </c>
      <c r="X69" s="4">
        <f>(VLOOKUP('11.07'!AF69,'11.07'!$AM$4:$AP$55,4,FALSE))</f>
        <v>0</v>
      </c>
    </row>
    <row r="70" spans="1:24">
      <c r="A70" s="4">
        <f>(VLOOKUP('11.07'!I70,'11.07'!$AM$4:$AP$55,4,FALSE))</f>
        <v>0</v>
      </c>
      <c r="B70" s="4">
        <f>(VLOOKUP('11.07'!J70,'11.07'!$AM$4:$AP$55,4,FALSE))</f>
        <v>0</v>
      </c>
      <c r="C70" s="4">
        <f>(VLOOKUP('11.07'!K70,'11.07'!$AM$4:$AP$55,4,FALSE))</f>
        <v>0</v>
      </c>
      <c r="D70" s="4">
        <f>(VLOOKUP('11.07'!L70,'11.07'!$AM$4:$AP$55,4,FALSE))</f>
        <v>0</v>
      </c>
      <c r="E70" s="4">
        <f>(VLOOKUP('11.07'!M70,'11.07'!$AM$4:$AP$55,4,FALSE))</f>
        <v>0</v>
      </c>
      <c r="F70" s="4">
        <f>(VLOOKUP('11.07'!N70,'11.07'!$AM$4:$AP$55,4,FALSE))</f>
        <v>0</v>
      </c>
      <c r="G70" s="4">
        <f>(VLOOKUP('11.07'!O70,'11.07'!$AM$4:$AP$55,4,FALSE))</f>
        <v>0</v>
      </c>
      <c r="H70" s="4">
        <f>(VLOOKUP('11.07'!P70,'11.07'!$AM$4:$AP$55,4,FALSE))</f>
        <v>0</v>
      </c>
      <c r="I70" s="4">
        <f>(VLOOKUP('11.07'!Q70,'11.07'!$AM$4:$AP$55,4,FALSE))</f>
        <v>0</v>
      </c>
      <c r="J70" s="4">
        <f>(VLOOKUP('11.07'!R70,'11.07'!$AM$4:$AP$55,4,FALSE))</f>
        <v>0</v>
      </c>
      <c r="K70" s="4">
        <f>(VLOOKUP('11.07'!S70,'11.07'!$AM$4:$AP$55,4,FALSE))</f>
        <v>0</v>
      </c>
      <c r="L70" s="4">
        <f>(VLOOKUP('11.07'!T70,'11.07'!$AM$4:$AP$55,4,FALSE))</f>
        <v>0</v>
      </c>
      <c r="M70" s="4">
        <f>(VLOOKUP('11.07'!U70,'11.07'!$AM$4:$AP$55,4,FALSE))</f>
        <v>0</v>
      </c>
      <c r="N70" s="4">
        <f>(VLOOKUP('11.07'!V70,'11.07'!$AM$4:$AP$55,4,FALSE))</f>
        <v>0</v>
      </c>
      <c r="O70" s="4">
        <f>(VLOOKUP('11.07'!W70,'11.07'!$AM$4:$AP$55,4,FALSE))</f>
        <v>0</v>
      </c>
      <c r="P70" s="4">
        <f>(VLOOKUP('11.07'!X70,'11.07'!$AM$4:$AP$55,4,FALSE))</f>
        <v>0</v>
      </c>
      <c r="Q70" s="4">
        <f>(VLOOKUP('11.07'!Y70,'11.07'!$AM$4:$AP$55,4,FALSE))</f>
        <v>36</v>
      </c>
      <c r="R70" s="4">
        <f>(VLOOKUP('11.07'!Z70,'11.07'!$AM$4:$AP$55,4,FALSE))</f>
        <v>36</v>
      </c>
      <c r="S70" s="4">
        <f>(VLOOKUP('11.07'!AA70,'11.07'!$AM$4:$AP$55,4,FALSE))</f>
        <v>36</v>
      </c>
      <c r="T70" s="4">
        <f>(VLOOKUP('11.07'!AB70,'11.07'!$AM$4:$AP$55,4,FALSE))</f>
        <v>36</v>
      </c>
      <c r="U70" s="4">
        <f>(VLOOKUP('11.07'!AC70,'11.07'!$AM$4:$AP$55,4,FALSE))</f>
        <v>36</v>
      </c>
      <c r="V70" s="4">
        <f>(VLOOKUP('11.07'!AD70,'11.07'!$AM$4:$AP$55,4,FALSE))</f>
        <v>0</v>
      </c>
      <c r="W70" s="4">
        <f>(VLOOKUP('11.07'!AE70,'11.07'!$AM$4:$AP$55,4,FALSE))</f>
        <v>0</v>
      </c>
      <c r="X70" s="4">
        <f>(VLOOKUP('11.07'!AF70,'11.07'!$AM$4:$AP$55,4,FALSE))</f>
        <v>0</v>
      </c>
    </row>
    <row r="71" spans="1:24">
      <c r="A71" s="4">
        <f>(VLOOKUP('11.07'!I71,'11.07'!$AM$4:$AP$55,4,FALSE))</f>
        <v>0</v>
      </c>
      <c r="B71" s="4">
        <f>(VLOOKUP('11.07'!J71,'11.07'!$AM$4:$AP$55,4,FALSE))</f>
        <v>0</v>
      </c>
      <c r="C71" s="4">
        <f>(VLOOKUP('11.07'!K71,'11.07'!$AM$4:$AP$55,4,FALSE))</f>
        <v>0</v>
      </c>
      <c r="D71" s="4">
        <f>(VLOOKUP('11.07'!L71,'11.07'!$AM$4:$AP$55,4,FALSE))</f>
        <v>0</v>
      </c>
      <c r="E71" s="4">
        <f>(VLOOKUP('11.07'!M71,'11.07'!$AM$4:$AP$55,4,FALSE))</f>
        <v>0</v>
      </c>
      <c r="F71" s="4">
        <f>(VLOOKUP('11.07'!N71,'11.07'!$AM$4:$AP$55,4,FALSE))</f>
        <v>0</v>
      </c>
      <c r="G71" s="4">
        <f>(VLOOKUP('11.07'!O71,'11.07'!$AM$4:$AP$55,4,FALSE))</f>
        <v>0</v>
      </c>
      <c r="H71" s="4">
        <f>(VLOOKUP('11.07'!P71,'11.07'!$AM$4:$AP$55,4,FALSE))</f>
        <v>0</v>
      </c>
      <c r="I71" s="4">
        <f>(VLOOKUP('11.07'!Q71,'11.07'!$AM$4:$AP$55,4,FALSE))</f>
        <v>0</v>
      </c>
      <c r="J71" s="4">
        <f>(VLOOKUP('11.07'!R71,'11.07'!$AM$4:$AP$55,4,FALSE))</f>
        <v>0</v>
      </c>
      <c r="K71" s="4">
        <f>(VLOOKUP('11.07'!S71,'11.07'!$AM$4:$AP$55,4,FALSE))</f>
        <v>0</v>
      </c>
      <c r="L71" s="4">
        <f>(VLOOKUP('11.07'!T71,'11.07'!$AM$4:$AP$55,4,FALSE))</f>
        <v>0</v>
      </c>
      <c r="M71" s="4">
        <f>(VLOOKUP('11.07'!U71,'11.07'!$AM$4:$AP$55,4,FALSE))</f>
        <v>0</v>
      </c>
      <c r="N71" s="4">
        <f>(VLOOKUP('11.07'!V71,'11.07'!$AM$4:$AP$55,4,FALSE))</f>
        <v>0</v>
      </c>
      <c r="O71" s="4">
        <f>(VLOOKUP('11.07'!W71,'11.07'!$AM$4:$AP$55,4,FALSE))</f>
        <v>0</v>
      </c>
      <c r="P71" s="4">
        <f>(VLOOKUP('11.07'!X71,'11.07'!$AM$4:$AP$55,4,FALSE))</f>
        <v>0</v>
      </c>
      <c r="Q71" s="4">
        <f>(VLOOKUP('11.07'!Y71,'11.07'!$AM$4:$AP$55,4,FALSE))</f>
        <v>36</v>
      </c>
      <c r="R71" s="4">
        <f>(VLOOKUP('11.07'!Z71,'11.07'!$AM$4:$AP$55,4,FALSE))</f>
        <v>36</v>
      </c>
      <c r="S71" s="4">
        <f>(VLOOKUP('11.07'!AA71,'11.07'!$AM$4:$AP$55,4,FALSE))</f>
        <v>36</v>
      </c>
      <c r="T71" s="4">
        <f>(VLOOKUP('11.07'!AB71,'11.07'!$AM$4:$AP$55,4,FALSE))</f>
        <v>36</v>
      </c>
      <c r="U71" s="4">
        <f>(VLOOKUP('11.07'!AC71,'11.07'!$AM$4:$AP$55,4,FALSE))</f>
        <v>36</v>
      </c>
      <c r="V71" s="4">
        <f>(VLOOKUP('11.07'!AD71,'11.07'!$AM$4:$AP$55,4,FALSE))</f>
        <v>0</v>
      </c>
      <c r="W71" s="4">
        <f>(VLOOKUP('11.07'!AE71,'11.07'!$AM$4:$AP$55,4,FALSE))</f>
        <v>0</v>
      </c>
      <c r="X71" s="4">
        <f>(VLOOKUP('11.07'!AF71,'11.07'!$AM$4:$AP$55,4,FALSE))</f>
        <v>0</v>
      </c>
    </row>
    <row r="72" spans="1:24">
      <c r="A72" s="4">
        <f>(VLOOKUP('11.07'!I72,'11.07'!$AM$4:$AP$55,4,FALSE))</f>
        <v>0</v>
      </c>
      <c r="B72" s="4">
        <f>(VLOOKUP('11.07'!J72,'11.07'!$AM$4:$AP$55,4,FALSE))</f>
        <v>0</v>
      </c>
      <c r="C72" s="4">
        <f>(VLOOKUP('11.07'!K72,'11.07'!$AM$4:$AP$55,4,FALSE))</f>
        <v>0</v>
      </c>
      <c r="D72" s="4">
        <f>(VLOOKUP('11.07'!L72,'11.07'!$AM$4:$AP$55,4,FALSE))</f>
        <v>0</v>
      </c>
      <c r="E72" s="4">
        <f>(VLOOKUP('11.07'!M72,'11.07'!$AM$4:$AP$55,4,FALSE))</f>
        <v>0</v>
      </c>
      <c r="F72" s="4">
        <f>(VLOOKUP('11.07'!N72,'11.07'!$AM$4:$AP$55,4,FALSE))</f>
        <v>0</v>
      </c>
      <c r="G72" s="4">
        <f>(VLOOKUP('11.07'!O72,'11.07'!$AM$4:$AP$55,4,FALSE))</f>
        <v>0</v>
      </c>
      <c r="H72" s="4">
        <f>(VLOOKUP('11.07'!P72,'11.07'!$AM$4:$AP$55,4,FALSE))</f>
        <v>0</v>
      </c>
      <c r="I72" s="4">
        <f>(VLOOKUP('11.07'!Q72,'11.07'!$AM$4:$AP$55,4,FALSE))</f>
        <v>0</v>
      </c>
      <c r="J72" s="4">
        <f>(VLOOKUP('11.07'!R72,'11.07'!$AM$4:$AP$55,4,FALSE))</f>
        <v>0</v>
      </c>
      <c r="K72" s="4">
        <f>(VLOOKUP('11.07'!S72,'11.07'!$AM$4:$AP$55,4,FALSE))</f>
        <v>0</v>
      </c>
      <c r="L72" s="4">
        <f>(VLOOKUP('11.07'!T72,'11.07'!$AM$4:$AP$55,4,FALSE))</f>
        <v>0</v>
      </c>
      <c r="M72" s="4">
        <f>(VLOOKUP('11.07'!U72,'11.07'!$AM$4:$AP$55,4,FALSE))</f>
        <v>0</v>
      </c>
      <c r="N72" s="4">
        <f>(VLOOKUP('11.07'!V72,'11.07'!$AM$4:$AP$55,4,FALSE))</f>
        <v>0</v>
      </c>
      <c r="O72" s="4">
        <f>(VLOOKUP('11.07'!W72,'11.07'!$AM$4:$AP$55,4,FALSE))</f>
        <v>0</v>
      </c>
      <c r="P72" s="4">
        <f>(VLOOKUP('11.07'!X72,'11.07'!$AM$4:$AP$55,4,FALSE))</f>
        <v>0</v>
      </c>
      <c r="Q72" s="4">
        <f>(VLOOKUP('11.07'!Y72,'11.07'!$AM$4:$AP$55,4,FALSE))</f>
        <v>36</v>
      </c>
      <c r="R72" s="4">
        <f>(VLOOKUP('11.07'!Z72,'11.07'!$AM$4:$AP$55,4,FALSE))</f>
        <v>36</v>
      </c>
      <c r="S72" s="4">
        <f>(VLOOKUP('11.07'!AA72,'11.07'!$AM$4:$AP$55,4,FALSE))</f>
        <v>36</v>
      </c>
      <c r="T72" s="4">
        <f>(VLOOKUP('11.07'!AB72,'11.07'!$AM$4:$AP$55,4,FALSE))</f>
        <v>36</v>
      </c>
      <c r="U72" s="4">
        <f>(VLOOKUP('11.07'!AC72,'11.07'!$AM$4:$AP$55,4,FALSE))</f>
        <v>36</v>
      </c>
      <c r="V72" s="4">
        <f>(VLOOKUP('11.07'!AD72,'11.07'!$AM$4:$AP$55,4,FALSE))</f>
        <v>36</v>
      </c>
      <c r="W72" s="4">
        <f>(VLOOKUP('11.07'!AE72,'11.07'!$AM$4:$AP$55,4,FALSE))</f>
        <v>0</v>
      </c>
      <c r="X72" s="4">
        <f>(VLOOKUP('11.07'!AF72,'11.07'!$AM$4:$AP$55,4,FALSE))</f>
        <v>0</v>
      </c>
    </row>
    <row r="73" spans="1:24">
      <c r="A73" s="4">
        <f>(VLOOKUP('11.07'!I73,'11.07'!$AM$4:$AP$55,4,FALSE))</f>
        <v>0</v>
      </c>
      <c r="B73" s="4">
        <f>(VLOOKUP('11.07'!J73,'11.07'!$AM$4:$AP$55,4,FALSE))</f>
        <v>0</v>
      </c>
      <c r="C73" s="4">
        <f>(VLOOKUP('11.07'!K73,'11.07'!$AM$4:$AP$55,4,FALSE))</f>
        <v>0</v>
      </c>
      <c r="D73" s="4">
        <f>(VLOOKUP('11.07'!L73,'11.07'!$AM$4:$AP$55,4,FALSE))</f>
        <v>0</v>
      </c>
      <c r="E73" s="4">
        <f>(VLOOKUP('11.07'!M73,'11.07'!$AM$4:$AP$55,4,FALSE))</f>
        <v>0</v>
      </c>
      <c r="F73" s="4">
        <f>(VLOOKUP('11.07'!N73,'11.07'!$AM$4:$AP$55,4,FALSE))</f>
        <v>0</v>
      </c>
      <c r="G73" s="4">
        <f>(VLOOKUP('11.07'!O73,'11.07'!$AM$4:$AP$55,4,FALSE))</f>
        <v>0</v>
      </c>
      <c r="H73" s="4">
        <f>(VLOOKUP('11.07'!P73,'11.07'!$AM$4:$AP$55,4,FALSE))</f>
        <v>0</v>
      </c>
      <c r="I73" s="4">
        <f>(VLOOKUP('11.07'!Q73,'11.07'!$AM$4:$AP$55,4,FALSE))</f>
        <v>0</v>
      </c>
      <c r="J73" s="4">
        <f>(VLOOKUP('11.07'!R73,'11.07'!$AM$4:$AP$55,4,FALSE))</f>
        <v>0</v>
      </c>
      <c r="K73" s="4">
        <f>(VLOOKUP('11.07'!S73,'11.07'!$AM$4:$AP$55,4,FALSE))</f>
        <v>0</v>
      </c>
      <c r="L73" s="4">
        <f>(VLOOKUP('11.07'!T73,'11.07'!$AM$4:$AP$55,4,FALSE))</f>
        <v>0</v>
      </c>
      <c r="M73" s="4">
        <f>(VLOOKUP('11.07'!U73,'11.07'!$AM$4:$AP$55,4,FALSE))</f>
        <v>0</v>
      </c>
      <c r="N73" s="4">
        <f>(VLOOKUP('11.07'!V73,'11.07'!$AM$4:$AP$55,4,FALSE))</f>
        <v>0</v>
      </c>
      <c r="O73" s="4">
        <f>(VLOOKUP('11.07'!W73,'11.07'!$AM$4:$AP$55,4,FALSE))</f>
        <v>0</v>
      </c>
      <c r="P73" s="4">
        <f>(VLOOKUP('11.07'!X73,'11.07'!$AM$4:$AP$55,4,FALSE))</f>
        <v>0</v>
      </c>
      <c r="Q73" s="4">
        <f>(VLOOKUP('11.07'!Y73,'11.07'!$AM$4:$AP$55,4,FALSE))</f>
        <v>36</v>
      </c>
      <c r="R73" s="4">
        <f>(VLOOKUP('11.07'!Z73,'11.07'!$AM$4:$AP$55,4,FALSE))</f>
        <v>36</v>
      </c>
      <c r="S73" s="4">
        <f>(VLOOKUP('11.07'!AA73,'11.07'!$AM$4:$AP$55,4,FALSE))</f>
        <v>36</v>
      </c>
      <c r="T73" s="4">
        <f>(VLOOKUP('11.07'!AB73,'11.07'!$AM$4:$AP$55,4,FALSE))</f>
        <v>36</v>
      </c>
      <c r="U73" s="4">
        <f>(VLOOKUP('11.07'!AC73,'11.07'!$AM$4:$AP$55,4,FALSE))</f>
        <v>36</v>
      </c>
      <c r="V73" s="4">
        <f>(VLOOKUP('11.07'!AD73,'11.07'!$AM$4:$AP$55,4,FALSE))</f>
        <v>0</v>
      </c>
      <c r="W73" s="4">
        <f>(VLOOKUP('11.07'!AE73,'11.07'!$AM$4:$AP$55,4,FALSE))</f>
        <v>0</v>
      </c>
      <c r="X73" s="4">
        <f>(VLOOKUP('11.07'!AF73,'11.07'!$AM$4:$AP$55,4,FALSE))</f>
        <v>0</v>
      </c>
    </row>
    <row r="74" spans="1:24">
      <c r="A74" s="4">
        <f>(VLOOKUP('11.07'!I74,'11.07'!$AM$4:$AP$55,4,FALSE))</f>
        <v>0</v>
      </c>
      <c r="B74" s="4">
        <f>(VLOOKUP('11.07'!J74,'11.07'!$AM$4:$AP$55,4,FALSE))</f>
        <v>0</v>
      </c>
      <c r="C74" s="4">
        <f>(VLOOKUP('11.07'!K74,'11.07'!$AM$4:$AP$55,4,FALSE))</f>
        <v>0</v>
      </c>
      <c r="D74" s="4">
        <f>(VLOOKUP('11.07'!L74,'11.07'!$AM$4:$AP$55,4,FALSE))</f>
        <v>0</v>
      </c>
      <c r="E74" s="4">
        <f>(VLOOKUP('11.07'!M74,'11.07'!$AM$4:$AP$55,4,FALSE))</f>
        <v>0</v>
      </c>
      <c r="F74" s="4">
        <f>(VLOOKUP('11.07'!N74,'11.07'!$AM$4:$AP$55,4,FALSE))</f>
        <v>0</v>
      </c>
      <c r="G74" s="4">
        <f>(VLOOKUP('11.07'!O74,'11.07'!$AM$4:$AP$55,4,FALSE))</f>
        <v>0</v>
      </c>
      <c r="H74" s="4">
        <f>(VLOOKUP('11.07'!P74,'11.07'!$AM$4:$AP$55,4,FALSE))</f>
        <v>0</v>
      </c>
      <c r="I74" s="4">
        <f>(VLOOKUP('11.07'!Q74,'11.07'!$AM$4:$AP$55,4,FALSE))</f>
        <v>0</v>
      </c>
      <c r="J74" s="4">
        <f>(VLOOKUP('11.07'!R74,'11.07'!$AM$4:$AP$55,4,FALSE))</f>
        <v>0</v>
      </c>
      <c r="K74" s="4">
        <f>(VLOOKUP('11.07'!S74,'11.07'!$AM$4:$AP$55,4,FALSE))</f>
        <v>0</v>
      </c>
      <c r="L74" s="4">
        <f>(VLOOKUP('11.07'!T74,'11.07'!$AM$4:$AP$55,4,FALSE))</f>
        <v>0</v>
      </c>
      <c r="M74" s="4">
        <f>(VLOOKUP('11.07'!U74,'11.07'!$AM$4:$AP$55,4,FALSE))</f>
        <v>0</v>
      </c>
      <c r="N74" s="4">
        <f>(VLOOKUP('11.07'!V74,'11.07'!$AM$4:$AP$55,4,FALSE))</f>
        <v>0</v>
      </c>
      <c r="O74" s="4">
        <f>(VLOOKUP('11.07'!W74,'11.07'!$AM$4:$AP$55,4,FALSE))</f>
        <v>0</v>
      </c>
      <c r="P74" s="4">
        <f>(VLOOKUP('11.07'!X74,'11.07'!$AM$4:$AP$55,4,FALSE))</f>
        <v>0</v>
      </c>
      <c r="Q74" s="4">
        <f>(VLOOKUP('11.07'!Y74,'11.07'!$AM$4:$AP$55,4,FALSE))</f>
        <v>36</v>
      </c>
      <c r="R74" s="4">
        <f>(VLOOKUP('11.07'!Z74,'11.07'!$AM$4:$AP$55,4,FALSE))</f>
        <v>36</v>
      </c>
      <c r="S74" s="4">
        <f>(VLOOKUP('11.07'!AA74,'11.07'!$AM$4:$AP$55,4,FALSE))</f>
        <v>36</v>
      </c>
      <c r="T74" s="4">
        <f>(VLOOKUP('11.07'!AB74,'11.07'!$AM$4:$AP$55,4,FALSE))</f>
        <v>36</v>
      </c>
      <c r="U74" s="4">
        <f>(VLOOKUP('11.07'!AC74,'11.07'!$AM$4:$AP$55,4,FALSE))</f>
        <v>36</v>
      </c>
      <c r="V74" s="4">
        <f>(VLOOKUP('11.07'!AD74,'11.07'!$AM$4:$AP$55,4,FALSE))</f>
        <v>0</v>
      </c>
      <c r="W74" s="4">
        <f>(VLOOKUP('11.07'!AE74,'11.07'!$AM$4:$AP$55,4,FALSE))</f>
        <v>0</v>
      </c>
      <c r="X74" s="4">
        <f>(VLOOKUP('11.07'!AF74,'11.07'!$AM$4:$AP$55,4,FALSE))</f>
        <v>0</v>
      </c>
    </row>
    <row r="75" spans="1:24">
      <c r="A75" s="4">
        <f>(VLOOKUP('11.07'!I75,'11.07'!$AM$4:$AP$55,4,FALSE))</f>
        <v>0</v>
      </c>
      <c r="B75" s="4">
        <f>(VLOOKUP('11.07'!J75,'11.07'!$AM$4:$AP$55,4,FALSE))</f>
        <v>0</v>
      </c>
      <c r="C75" s="4">
        <f>(VLOOKUP('11.07'!K75,'11.07'!$AM$4:$AP$55,4,FALSE))</f>
        <v>0</v>
      </c>
      <c r="D75" s="4">
        <f>(VLOOKUP('11.07'!L75,'11.07'!$AM$4:$AP$55,4,FALSE))</f>
        <v>0</v>
      </c>
      <c r="E75" s="4">
        <f>(VLOOKUP('11.07'!M75,'11.07'!$AM$4:$AP$55,4,FALSE))</f>
        <v>0</v>
      </c>
      <c r="F75" s="4">
        <f>(VLOOKUP('11.07'!N75,'11.07'!$AM$4:$AP$55,4,FALSE))</f>
        <v>0</v>
      </c>
      <c r="G75" s="4">
        <f>(VLOOKUP('11.07'!O75,'11.07'!$AM$4:$AP$55,4,FALSE))</f>
        <v>0</v>
      </c>
      <c r="H75" s="4">
        <f>(VLOOKUP('11.07'!P75,'11.07'!$AM$4:$AP$55,4,FALSE))</f>
        <v>0</v>
      </c>
      <c r="I75" s="4">
        <f>(VLOOKUP('11.07'!Q75,'11.07'!$AM$4:$AP$55,4,FALSE))</f>
        <v>0</v>
      </c>
      <c r="J75" s="4">
        <f>(VLOOKUP('11.07'!R75,'11.07'!$AM$4:$AP$55,4,FALSE))</f>
        <v>0</v>
      </c>
      <c r="K75" s="4">
        <f>(VLOOKUP('11.07'!S75,'11.07'!$AM$4:$AP$55,4,FALSE))</f>
        <v>0</v>
      </c>
      <c r="L75" s="4">
        <f>(VLOOKUP('11.07'!T75,'11.07'!$AM$4:$AP$55,4,FALSE))</f>
        <v>0</v>
      </c>
      <c r="M75" s="4">
        <f>(VLOOKUP('11.07'!U75,'11.07'!$AM$4:$AP$55,4,FALSE))</f>
        <v>0</v>
      </c>
      <c r="N75" s="4">
        <f>(VLOOKUP('11.07'!V75,'11.07'!$AM$4:$AP$55,4,FALSE))</f>
        <v>0</v>
      </c>
      <c r="O75" s="4">
        <f>(VLOOKUP('11.07'!W75,'11.07'!$AM$4:$AP$55,4,FALSE))</f>
        <v>0</v>
      </c>
      <c r="P75" s="4">
        <f>(VLOOKUP('11.07'!X75,'11.07'!$AM$4:$AP$55,4,FALSE))</f>
        <v>0</v>
      </c>
      <c r="Q75" s="4">
        <f>(VLOOKUP('11.07'!Y75,'11.07'!$AM$4:$AP$55,4,FALSE))</f>
        <v>36</v>
      </c>
      <c r="R75" s="4">
        <f>(VLOOKUP('11.07'!Z75,'11.07'!$AM$4:$AP$55,4,FALSE))</f>
        <v>36</v>
      </c>
      <c r="S75" s="4">
        <f>(VLOOKUP('11.07'!AA75,'11.07'!$AM$4:$AP$55,4,FALSE))</f>
        <v>36</v>
      </c>
      <c r="T75" s="4">
        <f>(VLOOKUP('11.07'!AB75,'11.07'!$AM$4:$AP$55,4,FALSE))</f>
        <v>36</v>
      </c>
      <c r="U75" s="4">
        <f>(VLOOKUP('11.07'!AC75,'11.07'!$AM$4:$AP$55,4,FALSE))</f>
        <v>0</v>
      </c>
      <c r="V75" s="4">
        <f>(VLOOKUP('11.07'!AD75,'11.07'!$AM$4:$AP$55,4,FALSE))</f>
        <v>0</v>
      </c>
      <c r="W75" s="4">
        <f>(VLOOKUP('11.07'!AE75,'11.07'!$AM$4:$AP$55,4,FALSE))</f>
        <v>0</v>
      </c>
      <c r="X75" s="4">
        <f>(VLOOKUP('11.07'!AF75,'11.07'!$AM$4:$AP$55,4,FALSE))</f>
        <v>0</v>
      </c>
    </row>
    <row r="76" spans="1:24">
      <c r="A76" s="4">
        <f>(VLOOKUP('11.07'!I76,'11.07'!$AM$4:$AP$55,4,FALSE))</f>
        <v>0</v>
      </c>
      <c r="B76" s="4">
        <f>(VLOOKUP('11.07'!J76,'11.07'!$AM$4:$AP$55,4,FALSE))</f>
        <v>0</v>
      </c>
      <c r="C76" s="4">
        <f>(VLOOKUP('11.07'!K76,'11.07'!$AM$4:$AP$55,4,FALSE))</f>
        <v>0</v>
      </c>
      <c r="D76" s="4">
        <f>(VLOOKUP('11.07'!L76,'11.07'!$AM$4:$AP$55,4,FALSE))</f>
        <v>0</v>
      </c>
      <c r="E76" s="4">
        <f>(VLOOKUP('11.07'!M76,'11.07'!$AM$4:$AP$55,4,FALSE))</f>
        <v>0</v>
      </c>
      <c r="F76" s="4">
        <f>(VLOOKUP('11.07'!N76,'11.07'!$AM$4:$AP$55,4,FALSE))</f>
        <v>0</v>
      </c>
      <c r="G76" s="4">
        <f>(VLOOKUP('11.07'!O76,'11.07'!$AM$4:$AP$55,4,FALSE))</f>
        <v>0</v>
      </c>
      <c r="H76" s="4">
        <f>(VLOOKUP('11.07'!P76,'11.07'!$AM$4:$AP$55,4,FALSE))</f>
        <v>0</v>
      </c>
      <c r="I76" s="4">
        <f>(VLOOKUP('11.07'!Q76,'11.07'!$AM$4:$AP$55,4,FALSE))</f>
        <v>0</v>
      </c>
      <c r="J76" s="4">
        <f>(VLOOKUP('11.07'!R76,'11.07'!$AM$4:$AP$55,4,FALSE))</f>
        <v>0</v>
      </c>
      <c r="K76" s="4">
        <f>(VLOOKUP('11.07'!S76,'11.07'!$AM$4:$AP$55,4,FALSE))</f>
        <v>0</v>
      </c>
      <c r="L76" s="4">
        <f>(VLOOKUP('11.07'!T76,'11.07'!$AM$4:$AP$55,4,FALSE))</f>
        <v>0</v>
      </c>
      <c r="M76" s="4">
        <f>(VLOOKUP('11.07'!U76,'11.07'!$AM$4:$AP$55,4,FALSE))</f>
        <v>0</v>
      </c>
      <c r="N76" s="4">
        <f>(VLOOKUP('11.07'!V76,'11.07'!$AM$4:$AP$55,4,FALSE))</f>
        <v>0</v>
      </c>
      <c r="O76" s="4">
        <f>(VLOOKUP('11.07'!W76,'11.07'!$AM$4:$AP$55,4,FALSE))</f>
        <v>0</v>
      </c>
      <c r="P76" s="4">
        <f>(VLOOKUP('11.07'!X76,'11.07'!$AM$4:$AP$55,4,FALSE))</f>
        <v>0</v>
      </c>
      <c r="Q76" s="4">
        <f>(VLOOKUP('11.07'!Y76,'11.07'!$AM$4:$AP$55,4,FALSE))</f>
        <v>36</v>
      </c>
      <c r="R76" s="4">
        <f>(VLOOKUP('11.07'!Z76,'11.07'!$AM$4:$AP$55,4,FALSE))</f>
        <v>36</v>
      </c>
      <c r="S76" s="4">
        <f>(VLOOKUP('11.07'!AA76,'11.07'!$AM$4:$AP$55,4,FALSE))</f>
        <v>36</v>
      </c>
      <c r="T76" s="4">
        <f>(VLOOKUP('11.07'!AB76,'11.07'!$AM$4:$AP$55,4,FALSE))</f>
        <v>36</v>
      </c>
      <c r="U76" s="4">
        <f>(VLOOKUP('11.07'!AC76,'11.07'!$AM$4:$AP$55,4,FALSE))</f>
        <v>36</v>
      </c>
      <c r="V76" s="4">
        <f>(VLOOKUP('11.07'!AD76,'11.07'!$AM$4:$AP$55,4,FALSE))</f>
        <v>36</v>
      </c>
      <c r="W76" s="4">
        <f>(VLOOKUP('11.07'!AE76,'11.07'!$AM$4:$AP$55,4,FALSE))</f>
        <v>0</v>
      </c>
      <c r="X76" s="4">
        <f>(VLOOKUP('11.07'!AF76,'11.07'!$AM$4:$AP$55,4,FALSE))</f>
        <v>0</v>
      </c>
    </row>
    <row r="77" spans="1:24">
      <c r="A77" s="4">
        <f>(VLOOKUP('11.07'!I77,'11.07'!$AM$4:$AP$55,4,FALSE))</f>
        <v>0</v>
      </c>
      <c r="B77" s="4">
        <f>(VLOOKUP('11.07'!J77,'11.07'!$AM$4:$AP$55,4,FALSE))</f>
        <v>0</v>
      </c>
      <c r="C77" s="4">
        <f>(VLOOKUP('11.07'!K77,'11.07'!$AM$4:$AP$55,4,FALSE))</f>
        <v>0</v>
      </c>
      <c r="D77" s="4">
        <f>(VLOOKUP('11.07'!L77,'11.07'!$AM$4:$AP$55,4,FALSE))</f>
        <v>0</v>
      </c>
      <c r="E77" s="4">
        <f>(VLOOKUP('11.07'!M77,'11.07'!$AM$4:$AP$55,4,FALSE))</f>
        <v>0</v>
      </c>
      <c r="F77" s="4">
        <f>(VLOOKUP('11.07'!N77,'11.07'!$AM$4:$AP$55,4,FALSE))</f>
        <v>0</v>
      </c>
      <c r="G77" s="4">
        <f>(VLOOKUP('11.07'!O77,'11.07'!$AM$4:$AP$55,4,FALSE))</f>
        <v>0</v>
      </c>
      <c r="H77" s="4">
        <f>(VLOOKUP('11.07'!P77,'11.07'!$AM$4:$AP$55,4,FALSE))</f>
        <v>0</v>
      </c>
      <c r="I77" s="4">
        <f>(VLOOKUP('11.07'!Q77,'11.07'!$AM$4:$AP$55,4,FALSE))</f>
        <v>0</v>
      </c>
      <c r="J77" s="4">
        <f>(VLOOKUP('11.07'!R77,'11.07'!$AM$4:$AP$55,4,FALSE))</f>
        <v>0</v>
      </c>
      <c r="K77" s="4">
        <f>(VLOOKUP('11.07'!S77,'11.07'!$AM$4:$AP$55,4,FALSE))</f>
        <v>0</v>
      </c>
      <c r="L77" s="4">
        <f>(VLOOKUP('11.07'!T77,'11.07'!$AM$4:$AP$55,4,FALSE))</f>
        <v>0</v>
      </c>
      <c r="M77" s="4">
        <f>(VLOOKUP('11.07'!U77,'11.07'!$AM$4:$AP$55,4,FALSE))</f>
        <v>0</v>
      </c>
      <c r="N77" s="4">
        <f>(VLOOKUP('11.07'!V77,'11.07'!$AM$4:$AP$55,4,FALSE))</f>
        <v>0</v>
      </c>
      <c r="O77" s="4">
        <f>(VLOOKUP('11.07'!W77,'11.07'!$AM$4:$AP$55,4,FALSE))</f>
        <v>0</v>
      </c>
      <c r="P77" s="4">
        <f>(VLOOKUP('11.07'!X77,'11.07'!$AM$4:$AP$55,4,FALSE))</f>
        <v>0</v>
      </c>
      <c r="Q77" s="4">
        <f>(VLOOKUP('11.07'!Y77,'11.07'!$AM$4:$AP$55,4,FALSE))</f>
        <v>10</v>
      </c>
      <c r="R77" s="4">
        <f>(VLOOKUP('11.07'!Z77,'11.07'!$AM$4:$AP$55,4,FALSE))</f>
        <v>36</v>
      </c>
      <c r="S77" s="4">
        <f>(VLOOKUP('11.07'!AA77,'11.07'!$AM$4:$AP$55,4,FALSE))</f>
        <v>36</v>
      </c>
      <c r="T77" s="4">
        <f>(VLOOKUP('11.07'!AB77,'11.07'!$AM$4:$AP$55,4,FALSE))</f>
        <v>36</v>
      </c>
      <c r="U77" s="4">
        <f>(VLOOKUP('11.07'!AC77,'11.07'!$AM$4:$AP$55,4,FALSE))</f>
        <v>36</v>
      </c>
      <c r="V77" s="4">
        <f>(VLOOKUP('11.07'!AD77,'11.07'!$AM$4:$AP$55,4,FALSE))</f>
        <v>36</v>
      </c>
      <c r="W77" s="4">
        <f>(VLOOKUP('11.07'!AE77,'11.07'!$AM$4:$AP$55,4,FALSE))</f>
        <v>0</v>
      </c>
      <c r="X77" s="4">
        <f>(VLOOKUP('11.07'!AF77,'11.07'!$AM$4:$AP$55,4,FALSE))</f>
        <v>0</v>
      </c>
    </row>
    <row r="78" spans="1:24">
      <c r="A78" s="4">
        <f>(VLOOKUP('11.07'!I78,'11.07'!$AM$4:$AP$55,4,FALSE))</f>
        <v>0</v>
      </c>
      <c r="B78" s="4">
        <f>(VLOOKUP('11.07'!J78,'11.07'!$AM$4:$AP$55,4,FALSE))</f>
        <v>0</v>
      </c>
      <c r="C78" s="4">
        <f>(VLOOKUP('11.07'!K78,'11.07'!$AM$4:$AP$55,4,FALSE))</f>
        <v>0</v>
      </c>
      <c r="D78" s="4">
        <f>(VLOOKUP('11.07'!L78,'11.07'!$AM$4:$AP$55,4,FALSE))</f>
        <v>0</v>
      </c>
      <c r="E78" s="4">
        <f>(VLOOKUP('11.07'!M78,'11.07'!$AM$4:$AP$55,4,FALSE))</f>
        <v>0</v>
      </c>
      <c r="F78" s="4">
        <f>(VLOOKUP('11.07'!N78,'11.07'!$AM$4:$AP$55,4,FALSE))</f>
        <v>0</v>
      </c>
      <c r="G78" s="4">
        <f>(VLOOKUP('11.07'!O78,'11.07'!$AM$4:$AP$55,4,FALSE))</f>
        <v>0</v>
      </c>
      <c r="H78" s="4">
        <f>(VLOOKUP('11.07'!P78,'11.07'!$AM$4:$AP$55,4,FALSE))</f>
        <v>0</v>
      </c>
      <c r="I78" s="4">
        <f>(VLOOKUP('11.07'!Q78,'11.07'!$AM$4:$AP$55,4,FALSE))</f>
        <v>0</v>
      </c>
      <c r="J78" s="4">
        <f>(VLOOKUP('11.07'!R78,'11.07'!$AM$4:$AP$55,4,FALSE))</f>
        <v>0</v>
      </c>
      <c r="K78" s="4">
        <f>(VLOOKUP('11.07'!S78,'11.07'!$AM$4:$AP$55,4,FALSE))</f>
        <v>0</v>
      </c>
      <c r="L78" s="4">
        <f>(VLOOKUP('11.07'!T78,'11.07'!$AM$4:$AP$55,4,FALSE))</f>
        <v>0</v>
      </c>
      <c r="M78" s="4">
        <f>(VLOOKUP('11.07'!U78,'11.07'!$AM$4:$AP$55,4,FALSE))</f>
        <v>0</v>
      </c>
      <c r="N78" s="4">
        <f>(VLOOKUP('11.07'!V78,'11.07'!$AM$4:$AP$55,4,FALSE))</f>
        <v>0</v>
      </c>
      <c r="O78" s="4">
        <f>(VLOOKUP('11.07'!W78,'11.07'!$AM$4:$AP$55,4,FALSE))</f>
        <v>0</v>
      </c>
      <c r="P78" s="4">
        <f>(VLOOKUP('11.07'!X78,'11.07'!$AM$4:$AP$55,4,FALSE))</f>
        <v>0</v>
      </c>
      <c r="Q78" s="4">
        <f>(VLOOKUP('11.07'!Y78,'11.07'!$AM$4:$AP$55,4,FALSE))</f>
        <v>0</v>
      </c>
      <c r="R78" s="4">
        <f>(VLOOKUP('11.07'!Z78,'11.07'!$AM$4:$AP$55,4,FALSE))</f>
        <v>36</v>
      </c>
      <c r="S78" s="4">
        <f>(VLOOKUP('11.07'!AA78,'11.07'!$AM$4:$AP$55,4,FALSE))</f>
        <v>36</v>
      </c>
      <c r="T78" s="4">
        <f>(VLOOKUP('11.07'!AB78,'11.07'!$AM$4:$AP$55,4,FALSE))</f>
        <v>36</v>
      </c>
      <c r="U78" s="4">
        <f>(VLOOKUP('11.07'!AC78,'11.07'!$AM$4:$AP$55,4,FALSE))</f>
        <v>36</v>
      </c>
      <c r="V78" s="4">
        <f>(VLOOKUP('11.07'!AD78,'11.07'!$AM$4:$AP$55,4,FALSE))</f>
        <v>36</v>
      </c>
      <c r="W78" s="4">
        <f>(VLOOKUP('11.07'!AE78,'11.07'!$AM$4:$AP$55,4,FALSE))</f>
        <v>0</v>
      </c>
      <c r="X78" s="4">
        <f>(VLOOKUP('11.07'!AF78,'11.07'!$AM$4:$AP$55,4,FALSE))</f>
        <v>0</v>
      </c>
    </row>
    <row r="79" spans="1:24">
      <c r="A79" s="4">
        <f>(VLOOKUP('11.07'!I79,'11.07'!$AM$4:$AP$55,4,FALSE))</f>
        <v>0</v>
      </c>
      <c r="B79" s="4">
        <f>(VLOOKUP('11.07'!J79,'11.07'!$AM$4:$AP$55,4,FALSE))</f>
        <v>0</v>
      </c>
      <c r="C79" s="4">
        <f>(VLOOKUP('11.07'!K79,'11.07'!$AM$4:$AP$55,4,FALSE))</f>
        <v>0</v>
      </c>
      <c r="D79" s="4">
        <f>(VLOOKUP('11.07'!L79,'11.07'!$AM$4:$AP$55,4,FALSE))</f>
        <v>0</v>
      </c>
      <c r="E79" s="4">
        <f>(VLOOKUP('11.07'!M79,'11.07'!$AM$4:$AP$55,4,FALSE))</f>
        <v>0</v>
      </c>
      <c r="F79" s="4">
        <f>(VLOOKUP('11.07'!N79,'11.07'!$AM$4:$AP$55,4,FALSE))</f>
        <v>0</v>
      </c>
      <c r="G79" s="4">
        <f>(VLOOKUP('11.07'!O79,'11.07'!$AM$4:$AP$55,4,FALSE))</f>
        <v>0</v>
      </c>
      <c r="H79" s="4">
        <f>(VLOOKUP('11.07'!P79,'11.07'!$AM$4:$AP$55,4,FALSE))</f>
        <v>0</v>
      </c>
      <c r="I79" s="4">
        <f>(VLOOKUP('11.07'!Q79,'11.07'!$AM$4:$AP$55,4,FALSE))</f>
        <v>0</v>
      </c>
      <c r="J79" s="4">
        <f>(VLOOKUP('11.07'!R79,'11.07'!$AM$4:$AP$55,4,FALSE))</f>
        <v>0</v>
      </c>
      <c r="K79" s="4">
        <f>(VLOOKUP('11.07'!S79,'11.07'!$AM$4:$AP$55,4,FALSE))</f>
        <v>0</v>
      </c>
      <c r="L79" s="4">
        <f>(VLOOKUP('11.07'!T79,'11.07'!$AM$4:$AP$55,4,FALSE))</f>
        <v>0</v>
      </c>
      <c r="M79" s="4">
        <f>(VLOOKUP('11.07'!U79,'11.07'!$AM$4:$AP$55,4,FALSE))</f>
        <v>0</v>
      </c>
      <c r="N79" s="4">
        <f>(VLOOKUP('11.07'!V79,'11.07'!$AM$4:$AP$55,4,FALSE))</f>
        <v>0</v>
      </c>
      <c r="O79" s="4">
        <f>(VLOOKUP('11.07'!W79,'11.07'!$AM$4:$AP$55,4,FALSE))</f>
        <v>0</v>
      </c>
      <c r="P79" s="4">
        <f>(VLOOKUP('11.07'!X79,'11.07'!$AM$4:$AP$55,4,FALSE))</f>
        <v>0</v>
      </c>
      <c r="Q79" s="4">
        <f>(VLOOKUP('11.07'!Y79,'11.07'!$AM$4:$AP$55,4,FALSE))</f>
        <v>36</v>
      </c>
      <c r="R79" s="4">
        <f>(VLOOKUP('11.07'!Z79,'11.07'!$AM$4:$AP$55,4,FALSE))</f>
        <v>36</v>
      </c>
      <c r="S79" s="4">
        <f>(VLOOKUP('11.07'!AA79,'11.07'!$AM$4:$AP$55,4,FALSE))</f>
        <v>36</v>
      </c>
      <c r="T79" s="4">
        <f>(VLOOKUP('11.07'!AB79,'11.07'!$AM$4:$AP$55,4,FALSE))</f>
        <v>36</v>
      </c>
      <c r="U79" s="4">
        <f>(VLOOKUP('11.07'!AC79,'11.07'!$AM$4:$AP$55,4,FALSE))</f>
        <v>36</v>
      </c>
      <c r="V79" s="4">
        <f>(VLOOKUP('11.07'!AD79,'11.07'!$AM$4:$AP$55,4,FALSE))</f>
        <v>36</v>
      </c>
      <c r="W79" s="4">
        <f>(VLOOKUP('11.07'!AE79,'11.07'!$AM$4:$AP$55,4,FALSE))</f>
        <v>0</v>
      </c>
      <c r="X79" s="4">
        <f>(VLOOKUP('11.07'!AF79,'11.07'!$AM$4:$AP$55,4,FALSE))</f>
        <v>0</v>
      </c>
    </row>
    <row r="80" spans="1:24">
      <c r="A80" s="4">
        <f>(VLOOKUP('11.07'!I80,'11.07'!$AM$4:$AP$55,4,FALSE))</f>
        <v>0</v>
      </c>
      <c r="B80" s="4">
        <f>(VLOOKUP('11.07'!J80,'11.07'!$AM$4:$AP$55,4,FALSE))</f>
        <v>0</v>
      </c>
      <c r="C80" s="4">
        <f>(VLOOKUP('11.07'!K80,'11.07'!$AM$4:$AP$55,4,FALSE))</f>
        <v>0</v>
      </c>
      <c r="D80" s="4">
        <f>(VLOOKUP('11.07'!L80,'11.07'!$AM$4:$AP$55,4,FALSE))</f>
        <v>0</v>
      </c>
      <c r="E80" s="4">
        <f>(VLOOKUP('11.07'!M80,'11.07'!$AM$4:$AP$55,4,FALSE))</f>
        <v>0</v>
      </c>
      <c r="F80" s="4">
        <f>(VLOOKUP('11.07'!N80,'11.07'!$AM$4:$AP$55,4,FALSE))</f>
        <v>0</v>
      </c>
      <c r="G80" s="4">
        <f>(VLOOKUP('11.07'!O80,'11.07'!$AM$4:$AP$55,4,FALSE))</f>
        <v>0</v>
      </c>
      <c r="H80" s="4">
        <f>(VLOOKUP('11.07'!P80,'11.07'!$AM$4:$AP$55,4,FALSE))</f>
        <v>0</v>
      </c>
      <c r="I80" s="4">
        <f>(VLOOKUP('11.07'!Q80,'11.07'!$AM$4:$AP$55,4,FALSE))</f>
        <v>0</v>
      </c>
      <c r="J80" s="4">
        <f>(VLOOKUP('11.07'!R80,'11.07'!$AM$4:$AP$55,4,FALSE))</f>
        <v>0</v>
      </c>
      <c r="K80" s="4">
        <f>(VLOOKUP('11.07'!S80,'11.07'!$AM$4:$AP$55,4,FALSE))</f>
        <v>0</v>
      </c>
      <c r="L80" s="4">
        <f>(VLOOKUP('11.07'!T80,'11.07'!$AM$4:$AP$55,4,FALSE))</f>
        <v>0</v>
      </c>
      <c r="M80" s="4">
        <f>(VLOOKUP('11.07'!U80,'11.07'!$AM$4:$AP$55,4,FALSE))</f>
        <v>0</v>
      </c>
      <c r="N80" s="4">
        <f>(VLOOKUP('11.07'!V80,'11.07'!$AM$4:$AP$55,4,FALSE))</f>
        <v>0</v>
      </c>
      <c r="O80" s="4">
        <f>(VLOOKUP('11.07'!W80,'11.07'!$AM$4:$AP$55,4,FALSE))</f>
        <v>0</v>
      </c>
      <c r="P80" s="4">
        <f>(VLOOKUP('11.07'!X80,'11.07'!$AM$4:$AP$55,4,FALSE))</f>
        <v>0</v>
      </c>
      <c r="Q80" s="4">
        <f>(VLOOKUP('11.07'!Y80,'11.07'!$AM$4:$AP$55,4,FALSE))</f>
        <v>36</v>
      </c>
      <c r="R80" s="4">
        <f>(VLOOKUP('11.07'!Z80,'11.07'!$AM$4:$AP$55,4,FALSE))</f>
        <v>10</v>
      </c>
      <c r="S80" s="4">
        <f>(VLOOKUP('11.07'!AA80,'11.07'!$AM$4:$AP$55,4,FALSE))</f>
        <v>36</v>
      </c>
      <c r="T80" s="4">
        <f>(VLOOKUP('11.07'!AB80,'11.07'!$AM$4:$AP$55,4,FALSE))</f>
        <v>36</v>
      </c>
      <c r="U80" s="4">
        <f>(VLOOKUP('11.07'!AC80,'11.07'!$AM$4:$AP$55,4,FALSE))</f>
        <v>36</v>
      </c>
      <c r="V80" s="4">
        <f>(VLOOKUP('11.07'!AD80,'11.07'!$AM$4:$AP$55,4,FALSE))</f>
        <v>0</v>
      </c>
      <c r="W80" s="4">
        <f>(VLOOKUP('11.07'!AE80,'11.07'!$AM$4:$AP$55,4,FALSE))</f>
        <v>0</v>
      </c>
      <c r="X80" s="4">
        <f>(VLOOKUP('11.07'!AF80,'11.07'!$AM$4:$AP$55,4,FALSE))</f>
        <v>0</v>
      </c>
    </row>
    <row r="81" spans="1:24">
      <c r="A81" s="4">
        <f>(VLOOKUP('11.07'!I81,'11.07'!$AM$4:$AP$55,4,FALSE))</f>
        <v>0</v>
      </c>
      <c r="B81" s="4">
        <f>(VLOOKUP('11.07'!J81,'11.07'!$AM$4:$AP$55,4,FALSE))</f>
        <v>0</v>
      </c>
      <c r="C81" s="4">
        <f>(VLOOKUP('11.07'!K81,'11.07'!$AM$4:$AP$55,4,FALSE))</f>
        <v>0</v>
      </c>
      <c r="D81" s="4">
        <f>(VLOOKUP('11.07'!L81,'11.07'!$AM$4:$AP$55,4,FALSE))</f>
        <v>0</v>
      </c>
      <c r="E81" s="4">
        <f>(VLOOKUP('11.07'!M81,'11.07'!$AM$4:$AP$55,4,FALSE))</f>
        <v>0</v>
      </c>
      <c r="F81" s="4">
        <f>(VLOOKUP('11.07'!N81,'11.07'!$AM$4:$AP$55,4,FALSE))</f>
        <v>0</v>
      </c>
      <c r="G81" s="4">
        <f>(VLOOKUP('11.07'!O81,'11.07'!$AM$4:$AP$55,4,FALSE))</f>
        <v>0</v>
      </c>
      <c r="H81" s="4">
        <f>(VLOOKUP('11.07'!P81,'11.07'!$AM$4:$AP$55,4,FALSE))</f>
        <v>0</v>
      </c>
      <c r="I81" s="4">
        <f>(VLOOKUP('11.07'!Q81,'11.07'!$AM$4:$AP$55,4,FALSE))</f>
        <v>0</v>
      </c>
      <c r="J81" s="4">
        <f>(VLOOKUP('11.07'!R81,'11.07'!$AM$4:$AP$55,4,FALSE))</f>
        <v>0</v>
      </c>
      <c r="K81" s="4">
        <f>(VLOOKUP('11.07'!S81,'11.07'!$AM$4:$AP$55,4,FALSE))</f>
        <v>0</v>
      </c>
      <c r="L81" s="4">
        <f>(VLOOKUP('11.07'!T81,'11.07'!$AM$4:$AP$55,4,FALSE))</f>
        <v>0</v>
      </c>
      <c r="M81" s="4">
        <f>(VLOOKUP('11.07'!U81,'11.07'!$AM$4:$AP$55,4,FALSE))</f>
        <v>0</v>
      </c>
      <c r="N81" s="4">
        <f>(VLOOKUP('11.07'!V81,'11.07'!$AM$4:$AP$55,4,FALSE))</f>
        <v>0</v>
      </c>
      <c r="O81" s="4">
        <f>(VLOOKUP('11.07'!W81,'11.07'!$AM$4:$AP$55,4,FALSE))</f>
        <v>0</v>
      </c>
      <c r="P81" s="4">
        <f>(VLOOKUP('11.07'!X81,'11.07'!$AM$4:$AP$55,4,FALSE))</f>
        <v>0</v>
      </c>
      <c r="Q81" s="4">
        <f>(VLOOKUP('11.07'!Y81,'11.07'!$AM$4:$AP$55,4,FALSE))</f>
        <v>36</v>
      </c>
      <c r="R81" s="4">
        <f>(VLOOKUP('11.07'!Z81,'11.07'!$AM$4:$AP$55,4,FALSE))</f>
        <v>36</v>
      </c>
      <c r="S81" s="4">
        <f>(VLOOKUP('11.07'!AA81,'11.07'!$AM$4:$AP$55,4,FALSE))</f>
        <v>36</v>
      </c>
      <c r="T81" s="4">
        <f>(VLOOKUP('11.07'!AB81,'11.07'!$AM$4:$AP$55,4,FALSE))</f>
        <v>36</v>
      </c>
      <c r="U81" s="4">
        <f>(VLOOKUP('11.07'!AC81,'11.07'!$AM$4:$AP$55,4,FALSE))</f>
        <v>36</v>
      </c>
      <c r="V81" s="4">
        <f>(VLOOKUP('11.07'!AD81,'11.07'!$AM$4:$AP$55,4,FALSE))</f>
        <v>0</v>
      </c>
      <c r="W81" s="4">
        <f>(VLOOKUP('11.07'!AE81,'11.07'!$AM$4:$AP$55,4,FALSE))</f>
        <v>0</v>
      </c>
      <c r="X81" s="4">
        <f>(VLOOKUP('11.07'!AF81,'11.07'!$AM$4:$AP$55,4,FALSE))</f>
        <v>0</v>
      </c>
    </row>
    <row r="82" spans="1:24">
      <c r="A82" s="4">
        <f>(VLOOKUP('11.07'!I82,'11.07'!$AM$4:$AP$55,4,FALSE))</f>
        <v>0</v>
      </c>
      <c r="B82" s="4">
        <f>(VLOOKUP('11.07'!J82,'11.07'!$AM$4:$AP$55,4,FALSE))</f>
        <v>38</v>
      </c>
      <c r="C82" s="4">
        <f>(VLOOKUP('11.07'!K82,'11.07'!$AM$4:$AP$55,4,FALSE))</f>
        <v>38</v>
      </c>
      <c r="D82" s="4">
        <f>(VLOOKUP('11.07'!L82,'11.07'!$AM$4:$AP$55,4,FALSE))</f>
        <v>38</v>
      </c>
      <c r="E82" s="4">
        <f>(VLOOKUP('11.07'!M82,'11.07'!$AM$4:$AP$55,4,FALSE))</f>
        <v>38</v>
      </c>
      <c r="F82" s="4">
        <f>(VLOOKUP('11.07'!N82,'11.07'!$AM$4:$AP$55,4,FALSE))</f>
        <v>38</v>
      </c>
      <c r="G82" s="4">
        <f>(VLOOKUP('11.07'!O82,'11.07'!$AM$4:$AP$55,4,FALSE))</f>
        <v>0</v>
      </c>
      <c r="H82" s="4">
        <f>(VLOOKUP('11.07'!P82,'11.07'!$AM$4:$AP$55,4,FALSE))</f>
        <v>0</v>
      </c>
      <c r="I82" s="4">
        <f>(VLOOKUP('11.07'!Q82,'11.07'!$AM$4:$AP$55,4,FALSE))</f>
        <v>0</v>
      </c>
      <c r="J82" s="4">
        <f>(VLOOKUP('11.07'!R82,'11.07'!$AM$4:$AP$55,4,FALSE))</f>
        <v>0</v>
      </c>
      <c r="K82" s="4">
        <f>(VLOOKUP('11.07'!S82,'11.07'!$AM$4:$AP$55,4,FALSE))</f>
        <v>0</v>
      </c>
      <c r="L82" s="4">
        <f>(VLOOKUP('11.07'!T82,'11.07'!$AM$4:$AP$55,4,FALSE))</f>
        <v>0</v>
      </c>
      <c r="M82" s="4">
        <f>(VLOOKUP('11.07'!U82,'11.07'!$AM$4:$AP$55,4,FALSE))</f>
        <v>0</v>
      </c>
      <c r="N82" s="4">
        <f>(VLOOKUP('11.07'!V82,'11.07'!$AM$4:$AP$55,4,FALSE))</f>
        <v>0</v>
      </c>
      <c r="O82" s="4">
        <f>(VLOOKUP('11.07'!W82,'11.07'!$AM$4:$AP$55,4,FALSE))</f>
        <v>0</v>
      </c>
      <c r="P82" s="4">
        <f>(VLOOKUP('11.07'!X82,'11.07'!$AM$4:$AP$55,4,FALSE))</f>
        <v>0</v>
      </c>
      <c r="Q82" s="4">
        <f>(VLOOKUP('11.07'!Y82,'11.07'!$AM$4:$AP$55,4,FALSE))</f>
        <v>36</v>
      </c>
      <c r="R82" s="4">
        <f>(VLOOKUP('11.07'!Z82,'11.07'!$AM$4:$AP$55,4,FALSE))</f>
        <v>36</v>
      </c>
      <c r="S82" s="4">
        <f>(VLOOKUP('11.07'!AA82,'11.07'!$AM$4:$AP$55,4,FALSE))</f>
        <v>36</v>
      </c>
      <c r="T82" s="4">
        <f>(VLOOKUP('11.07'!AB82,'11.07'!$AM$4:$AP$55,4,FALSE))</f>
        <v>36</v>
      </c>
      <c r="U82" s="4">
        <f>(VLOOKUP('11.07'!AC82,'11.07'!$AM$4:$AP$55,4,FALSE))</f>
        <v>36</v>
      </c>
      <c r="V82" s="4">
        <f>(VLOOKUP('11.07'!AD82,'11.07'!$AM$4:$AP$55,4,FALSE))</f>
        <v>0</v>
      </c>
      <c r="W82" s="4">
        <f>(VLOOKUP('11.07'!AE82,'11.07'!$AM$4:$AP$55,4,FALSE))</f>
        <v>0</v>
      </c>
      <c r="X82" s="4">
        <f>(VLOOKUP('11.07'!AF82,'11.07'!$AM$4:$AP$55,4,FALSE))</f>
        <v>0</v>
      </c>
    </row>
    <row r="83" spans="1:24">
      <c r="A83" s="4">
        <f>(VLOOKUP('11.07'!I83,'11.07'!$AM$4:$AP$55,4,FALSE))</f>
        <v>38</v>
      </c>
      <c r="B83" s="4">
        <f>(VLOOKUP('11.07'!J83,'11.07'!$AM$4:$AP$55,4,FALSE))</f>
        <v>38</v>
      </c>
      <c r="C83" s="4">
        <f>(VLOOKUP('11.07'!K83,'11.07'!$AM$4:$AP$55,4,FALSE))</f>
        <v>38</v>
      </c>
      <c r="D83" s="4">
        <f>(VLOOKUP('11.07'!L83,'11.07'!$AM$4:$AP$55,4,FALSE))</f>
        <v>38</v>
      </c>
      <c r="E83" s="4">
        <f>(VLOOKUP('11.07'!M83,'11.07'!$AM$4:$AP$55,4,FALSE))</f>
        <v>0</v>
      </c>
      <c r="F83" s="4">
        <f>(VLOOKUP('11.07'!N83,'11.07'!$AM$4:$AP$55,4,FALSE))</f>
        <v>38</v>
      </c>
      <c r="G83" s="4">
        <f>(VLOOKUP('11.07'!O83,'11.07'!$AM$4:$AP$55,4,FALSE))</f>
        <v>0</v>
      </c>
      <c r="H83" s="4">
        <f>(VLOOKUP('11.07'!P83,'11.07'!$AM$4:$AP$55,4,FALSE))</f>
        <v>0</v>
      </c>
      <c r="I83" s="4">
        <f>(VLOOKUP('11.07'!Q83,'11.07'!$AM$4:$AP$55,4,FALSE))</f>
        <v>10</v>
      </c>
      <c r="J83" s="4">
        <f>(VLOOKUP('11.07'!R83,'11.07'!$AM$4:$AP$55,4,FALSE))</f>
        <v>44.222109392472248</v>
      </c>
      <c r="K83" s="4">
        <f>(VLOOKUP('11.07'!S83,'11.07'!$AM$4:$AP$55,4,FALSE))</f>
        <v>44.222109392472248</v>
      </c>
      <c r="L83" s="4">
        <f>(VLOOKUP('11.07'!T83,'11.07'!$AM$4:$AP$55,4,FALSE))</f>
        <v>0</v>
      </c>
      <c r="M83" s="4">
        <f>(VLOOKUP('11.07'!U83,'11.07'!$AM$4:$AP$55,4,FALSE))</f>
        <v>0</v>
      </c>
      <c r="N83" s="4">
        <f>(VLOOKUP('11.07'!V83,'11.07'!$AM$4:$AP$55,4,FALSE))</f>
        <v>0</v>
      </c>
      <c r="O83" s="4">
        <f>(VLOOKUP('11.07'!W83,'11.07'!$AM$4:$AP$55,4,FALSE))</f>
        <v>0</v>
      </c>
      <c r="P83" s="4">
        <f>(VLOOKUP('11.07'!X83,'11.07'!$AM$4:$AP$55,4,FALSE))</f>
        <v>0</v>
      </c>
      <c r="Q83" s="4">
        <f>(VLOOKUP('11.07'!Y83,'11.07'!$AM$4:$AP$55,4,FALSE))</f>
        <v>36</v>
      </c>
      <c r="R83" s="4">
        <f>(VLOOKUP('11.07'!Z83,'11.07'!$AM$4:$AP$55,4,FALSE))</f>
        <v>36</v>
      </c>
      <c r="S83" s="4">
        <f>(VLOOKUP('11.07'!AA83,'11.07'!$AM$4:$AP$55,4,FALSE))</f>
        <v>36</v>
      </c>
      <c r="T83" s="4">
        <f>(VLOOKUP('11.07'!AB83,'11.07'!$AM$4:$AP$55,4,FALSE))</f>
        <v>36</v>
      </c>
      <c r="U83" s="4">
        <f>(VLOOKUP('11.07'!AC83,'11.07'!$AM$4:$AP$55,4,FALSE))</f>
        <v>0</v>
      </c>
      <c r="V83" s="4">
        <f>(VLOOKUP('11.07'!AD83,'11.07'!$AM$4:$AP$55,4,FALSE))</f>
        <v>0</v>
      </c>
      <c r="W83" s="4">
        <f>(VLOOKUP('11.07'!AE83,'11.07'!$AM$4:$AP$55,4,FALSE))</f>
        <v>0</v>
      </c>
      <c r="X83" s="4">
        <f>(VLOOKUP('11.07'!AF83,'11.07'!$AM$4:$AP$55,4,FALSE))</f>
        <v>0</v>
      </c>
    </row>
    <row r="84" spans="1:24">
      <c r="A84" s="4">
        <f>(VLOOKUP('11.07'!I84,'11.07'!$AM$4:$AP$55,4,FALSE))</f>
        <v>38</v>
      </c>
      <c r="B84" s="4">
        <f>(VLOOKUP('11.07'!J84,'11.07'!$AM$4:$AP$55,4,FALSE))</f>
        <v>38</v>
      </c>
      <c r="C84" s="4">
        <f>(VLOOKUP('11.07'!K84,'11.07'!$AM$4:$AP$55,4,FALSE))</f>
        <v>38</v>
      </c>
      <c r="D84" s="4">
        <f>(VLOOKUP('11.07'!L84,'11.07'!$AM$4:$AP$55,4,FALSE))</f>
        <v>38</v>
      </c>
      <c r="E84" s="4">
        <f>(VLOOKUP('11.07'!M84,'11.07'!$AM$4:$AP$55,4,FALSE))</f>
        <v>38</v>
      </c>
      <c r="F84" s="4">
        <f>(VLOOKUP('11.07'!N84,'11.07'!$AM$4:$AP$55,4,FALSE))</f>
        <v>38</v>
      </c>
      <c r="G84" s="4">
        <f>(VLOOKUP('11.07'!O84,'11.07'!$AM$4:$AP$55,4,FALSE))</f>
        <v>38</v>
      </c>
      <c r="H84" s="4">
        <f>(VLOOKUP('11.07'!P84,'11.07'!$AM$4:$AP$55,4,FALSE))</f>
        <v>0</v>
      </c>
      <c r="I84" s="4">
        <f>(VLOOKUP('11.07'!Q84,'11.07'!$AM$4:$AP$55,4,FALSE))</f>
        <v>0</v>
      </c>
      <c r="J84" s="4">
        <f>(VLOOKUP('11.07'!R84,'11.07'!$AM$4:$AP$55,4,FALSE))</f>
        <v>0</v>
      </c>
      <c r="K84" s="4">
        <f>(VLOOKUP('11.07'!S84,'11.07'!$AM$4:$AP$55,4,FALSE))</f>
        <v>0</v>
      </c>
      <c r="L84" s="4">
        <f>(VLOOKUP('11.07'!T84,'11.07'!$AM$4:$AP$55,4,FALSE))</f>
        <v>0</v>
      </c>
      <c r="M84" s="4">
        <f>(VLOOKUP('11.07'!U84,'11.07'!$AM$4:$AP$55,4,FALSE))</f>
        <v>0</v>
      </c>
      <c r="N84" s="4">
        <f>(VLOOKUP('11.07'!V84,'11.07'!$AM$4:$AP$55,4,FALSE))</f>
        <v>0</v>
      </c>
      <c r="O84" s="4">
        <f>(VLOOKUP('11.07'!W84,'11.07'!$AM$4:$AP$55,4,FALSE))</f>
        <v>0</v>
      </c>
      <c r="P84" s="4">
        <f>(VLOOKUP('11.07'!X84,'11.07'!$AM$4:$AP$55,4,FALSE))</f>
        <v>0</v>
      </c>
      <c r="Q84" s="4">
        <f>(VLOOKUP('11.07'!Y84,'11.07'!$AM$4:$AP$55,4,FALSE))</f>
        <v>36</v>
      </c>
      <c r="R84" s="4">
        <f>(VLOOKUP('11.07'!Z84,'11.07'!$AM$4:$AP$55,4,FALSE))</f>
        <v>36</v>
      </c>
      <c r="S84" s="4">
        <f>(VLOOKUP('11.07'!AA84,'11.07'!$AM$4:$AP$55,4,FALSE))</f>
        <v>36</v>
      </c>
      <c r="T84" s="4">
        <f>(VLOOKUP('11.07'!AB84,'11.07'!$AM$4:$AP$55,4,FALSE))</f>
        <v>0</v>
      </c>
      <c r="U84" s="4">
        <f>(VLOOKUP('11.07'!AC84,'11.07'!$AM$4:$AP$55,4,FALSE))</f>
        <v>0</v>
      </c>
      <c r="V84" s="4">
        <f>(VLOOKUP('11.07'!AD84,'11.07'!$AM$4:$AP$55,4,FALSE))</f>
        <v>0</v>
      </c>
      <c r="W84" s="4">
        <f>(VLOOKUP('11.07'!AE84,'11.07'!$AM$4:$AP$55,4,FALSE))</f>
        <v>0</v>
      </c>
      <c r="X84" s="4">
        <f>(VLOOKUP('11.07'!AF84,'11.07'!$AM$4:$AP$55,4,FALSE))</f>
        <v>0</v>
      </c>
    </row>
    <row r="85" spans="1:24">
      <c r="A85" s="4">
        <f>(VLOOKUP('11.07'!I85,'11.07'!$AM$4:$AP$55,4,FALSE))</f>
        <v>38</v>
      </c>
      <c r="B85" s="4">
        <f>(VLOOKUP('11.07'!J85,'11.07'!$AM$4:$AP$55,4,FALSE))</f>
        <v>38</v>
      </c>
      <c r="C85" s="4">
        <f>(VLOOKUP('11.07'!K85,'11.07'!$AM$4:$AP$55,4,FALSE))</f>
        <v>38</v>
      </c>
      <c r="D85" s="4">
        <f>(VLOOKUP('11.07'!L85,'11.07'!$AM$4:$AP$55,4,FALSE))</f>
        <v>38</v>
      </c>
      <c r="E85" s="4">
        <f>(VLOOKUP('11.07'!M85,'11.07'!$AM$4:$AP$55,4,FALSE))</f>
        <v>38</v>
      </c>
      <c r="F85" s="4">
        <f>(VLOOKUP('11.07'!N85,'11.07'!$AM$4:$AP$55,4,FALSE))</f>
        <v>0</v>
      </c>
      <c r="G85" s="4">
        <f>(VLOOKUP('11.07'!O85,'11.07'!$AM$4:$AP$55,4,FALSE))</f>
        <v>0</v>
      </c>
      <c r="H85" s="4">
        <f>(VLOOKUP('11.07'!P85,'11.07'!$AM$4:$AP$55,4,FALSE))</f>
        <v>0</v>
      </c>
      <c r="I85" s="4">
        <f>(VLOOKUP('11.07'!Q85,'11.07'!$AM$4:$AP$55,4,FALSE))</f>
        <v>34</v>
      </c>
      <c r="J85" s="4">
        <f>(VLOOKUP('11.07'!R85,'11.07'!$AM$4:$AP$55,4,FALSE))</f>
        <v>0</v>
      </c>
      <c r="K85" s="4">
        <f>(VLOOKUP('11.07'!S85,'11.07'!$AM$4:$AP$55,4,FALSE))</f>
        <v>34</v>
      </c>
      <c r="L85" s="4">
        <f>(VLOOKUP('11.07'!T85,'11.07'!$AM$4:$AP$55,4,FALSE))</f>
        <v>34</v>
      </c>
      <c r="M85" s="4">
        <f>(VLOOKUP('11.07'!U85,'11.07'!$AM$4:$AP$55,4,FALSE))</f>
        <v>34</v>
      </c>
      <c r="N85" s="4">
        <f>(VLOOKUP('11.07'!V85,'11.07'!$AM$4:$AP$55,4,FALSE))</f>
        <v>34</v>
      </c>
      <c r="O85" s="4">
        <f>(VLOOKUP('11.07'!W85,'11.07'!$AM$4:$AP$55,4,FALSE))</f>
        <v>10</v>
      </c>
      <c r="P85" s="4">
        <f>(VLOOKUP('11.07'!X85,'11.07'!$AM$4:$AP$55,4,FALSE))</f>
        <v>0</v>
      </c>
      <c r="Q85" s="4">
        <f>(VLOOKUP('11.07'!Y85,'11.07'!$AM$4:$AP$55,4,FALSE))</f>
        <v>36</v>
      </c>
      <c r="R85" s="4">
        <f>(VLOOKUP('11.07'!Z85,'11.07'!$AM$4:$AP$55,4,FALSE))</f>
        <v>38</v>
      </c>
      <c r="S85" s="4">
        <f>(VLOOKUP('11.07'!AA85,'11.07'!$AM$4:$AP$55,4,FALSE))</f>
        <v>38</v>
      </c>
      <c r="T85" s="4">
        <f>(VLOOKUP('11.07'!AB85,'11.07'!$AM$4:$AP$55,4,FALSE))</f>
        <v>0</v>
      </c>
      <c r="U85" s="4">
        <f>(VLOOKUP('11.07'!AC85,'11.07'!$AM$4:$AP$55,4,FALSE))</f>
        <v>0</v>
      </c>
      <c r="V85" s="4">
        <f>(VLOOKUP('11.07'!AD85,'11.07'!$AM$4:$AP$55,4,FALSE))</f>
        <v>0</v>
      </c>
      <c r="W85" s="4">
        <f>(VLOOKUP('11.07'!AE85,'11.07'!$AM$4:$AP$55,4,FALSE))</f>
        <v>0</v>
      </c>
      <c r="X85" s="4">
        <f>(VLOOKUP('11.07'!AF85,'11.07'!$AM$4:$AP$55,4,FALSE))</f>
        <v>0</v>
      </c>
    </row>
    <row r="86" spans="1:24">
      <c r="A86" s="4">
        <f>(VLOOKUP('11.07'!I86,'11.07'!$AM$4:$AP$55,4,FALSE))</f>
        <v>38</v>
      </c>
      <c r="B86" s="4">
        <f>(VLOOKUP('11.07'!J86,'11.07'!$AM$4:$AP$55,4,FALSE))</f>
        <v>38</v>
      </c>
      <c r="C86" s="4">
        <f>(VLOOKUP('11.07'!K86,'11.07'!$AM$4:$AP$55,4,FALSE))</f>
        <v>38</v>
      </c>
      <c r="D86" s="4">
        <f>(VLOOKUP('11.07'!L86,'11.07'!$AM$4:$AP$55,4,FALSE))</f>
        <v>38</v>
      </c>
      <c r="E86" s="4">
        <f>(VLOOKUP('11.07'!M86,'11.07'!$AM$4:$AP$55,4,FALSE))</f>
        <v>38</v>
      </c>
      <c r="F86" s="4">
        <f>(VLOOKUP('11.07'!N86,'11.07'!$AM$4:$AP$55,4,FALSE))</f>
        <v>38</v>
      </c>
      <c r="G86" s="4">
        <f>(VLOOKUP('11.07'!O86,'11.07'!$AM$4:$AP$55,4,FALSE))</f>
        <v>0</v>
      </c>
      <c r="H86" s="4">
        <f>(VLOOKUP('11.07'!P86,'11.07'!$AM$4:$AP$55,4,FALSE))</f>
        <v>0</v>
      </c>
      <c r="I86" s="4">
        <f>(VLOOKUP('11.07'!Q86,'11.07'!$AM$4:$AP$55,4,FALSE))</f>
        <v>34</v>
      </c>
      <c r="J86" s="4">
        <f>(VLOOKUP('11.07'!R86,'11.07'!$AM$4:$AP$55,4,FALSE))</f>
        <v>34</v>
      </c>
      <c r="K86" s="4">
        <f>(VLOOKUP('11.07'!S86,'11.07'!$AM$4:$AP$55,4,FALSE))</f>
        <v>34</v>
      </c>
      <c r="L86" s="4">
        <f>(VLOOKUP('11.07'!T86,'11.07'!$AM$4:$AP$55,4,FALSE))</f>
        <v>34</v>
      </c>
      <c r="M86" s="4">
        <f>(VLOOKUP('11.07'!U86,'11.07'!$AM$4:$AP$55,4,FALSE))</f>
        <v>34</v>
      </c>
      <c r="N86" s="4">
        <f>(VLOOKUP('11.07'!V86,'11.07'!$AM$4:$AP$55,4,FALSE))</f>
        <v>0</v>
      </c>
      <c r="O86" s="4">
        <f>(VLOOKUP('11.07'!W86,'11.07'!$AM$4:$AP$55,4,FALSE))</f>
        <v>0</v>
      </c>
      <c r="P86" s="4">
        <f>(VLOOKUP('11.07'!X86,'11.07'!$AM$4:$AP$55,4,FALSE))</f>
        <v>0</v>
      </c>
      <c r="Q86" s="4">
        <f>(VLOOKUP('11.07'!Y86,'11.07'!$AM$4:$AP$55,4,FALSE))</f>
        <v>0</v>
      </c>
      <c r="R86" s="4">
        <f>(VLOOKUP('11.07'!Z86,'11.07'!$AM$4:$AP$55,4,FALSE))</f>
        <v>0</v>
      </c>
      <c r="S86" s="4">
        <f>(VLOOKUP('11.07'!AA86,'11.07'!$AM$4:$AP$55,4,FALSE))</f>
        <v>0</v>
      </c>
      <c r="T86" s="4">
        <f>(VLOOKUP('11.07'!AB86,'11.07'!$AM$4:$AP$55,4,FALSE))</f>
        <v>0</v>
      </c>
      <c r="U86" s="4">
        <f>(VLOOKUP('11.07'!AC86,'11.07'!$AM$4:$AP$55,4,FALSE))</f>
        <v>0</v>
      </c>
      <c r="V86" s="4">
        <f>(VLOOKUP('11.07'!AD86,'11.07'!$AM$4:$AP$55,4,FALSE))</f>
        <v>0</v>
      </c>
      <c r="W86" s="4">
        <f>(VLOOKUP('11.07'!AE86,'11.07'!$AM$4:$AP$55,4,FALSE))</f>
        <v>0</v>
      </c>
      <c r="X86" s="4">
        <f>(VLOOKUP('11.07'!AF86,'11.07'!$AM$4:$AP$55,4,FALSE))</f>
        <v>0</v>
      </c>
    </row>
    <row r="87" spans="1:24">
      <c r="A87" s="4">
        <f>(VLOOKUP('11.07'!I87,'11.07'!$AM$4:$AP$55,4,FALSE))</f>
        <v>38</v>
      </c>
      <c r="B87" s="4">
        <f>(VLOOKUP('11.07'!J87,'11.07'!$AM$4:$AP$55,4,FALSE))</f>
        <v>38</v>
      </c>
      <c r="C87" s="4">
        <f>(VLOOKUP('11.07'!K87,'11.07'!$AM$4:$AP$55,4,FALSE))</f>
        <v>38</v>
      </c>
      <c r="D87" s="4">
        <f>(VLOOKUP('11.07'!L87,'11.07'!$AM$4:$AP$55,4,FALSE))</f>
        <v>0</v>
      </c>
      <c r="E87" s="4">
        <f>(VLOOKUP('11.07'!M87,'11.07'!$AM$4:$AP$55,4,FALSE))</f>
        <v>0</v>
      </c>
      <c r="F87" s="4">
        <f>(VLOOKUP('11.07'!N87,'11.07'!$AM$4:$AP$55,4,FALSE))</f>
        <v>0</v>
      </c>
      <c r="G87" s="4">
        <f>(VLOOKUP('11.07'!O87,'11.07'!$AM$4:$AP$55,4,FALSE))</f>
        <v>0</v>
      </c>
      <c r="H87" s="4">
        <f>(VLOOKUP('11.07'!P87,'11.07'!$AM$4:$AP$55,4,FALSE))</f>
        <v>0</v>
      </c>
      <c r="I87" s="4">
        <f>(VLOOKUP('11.07'!Q87,'11.07'!$AM$4:$AP$55,4,FALSE))</f>
        <v>10</v>
      </c>
      <c r="J87" s="4">
        <f>(VLOOKUP('11.07'!R87,'11.07'!$AM$4:$AP$55,4,FALSE))</f>
        <v>34</v>
      </c>
      <c r="K87" s="4">
        <f>(VLOOKUP('11.07'!S87,'11.07'!$AM$4:$AP$55,4,FALSE))</f>
        <v>34</v>
      </c>
      <c r="L87" s="4">
        <f>(VLOOKUP('11.07'!T87,'11.07'!$AM$4:$AP$55,4,FALSE))</f>
        <v>39.110982162825422</v>
      </c>
      <c r="M87" s="4">
        <f>(VLOOKUP('11.07'!U87,'11.07'!$AM$4:$AP$55,4,FALSE))</f>
        <v>39.110982162825422</v>
      </c>
      <c r="N87" s="4">
        <f>(VLOOKUP('11.07'!V87,'11.07'!$AM$4:$AP$55,4,FALSE))</f>
        <v>39.110982162825422</v>
      </c>
      <c r="O87" s="4">
        <f>(VLOOKUP('11.07'!W87,'11.07'!$AM$4:$AP$55,4,FALSE))</f>
        <v>0</v>
      </c>
      <c r="P87" s="4">
        <f>(VLOOKUP('11.07'!X87,'11.07'!$AM$4:$AP$55,4,FALSE))</f>
        <v>0</v>
      </c>
      <c r="Q87" s="4">
        <f>(VLOOKUP('11.07'!Y87,'11.07'!$AM$4:$AP$55,4,FALSE))</f>
        <v>38</v>
      </c>
      <c r="R87" s="4">
        <f>(VLOOKUP('11.07'!Z87,'11.07'!$AM$4:$AP$55,4,FALSE))</f>
        <v>0</v>
      </c>
      <c r="S87" s="4">
        <f>(VLOOKUP('11.07'!AA87,'11.07'!$AM$4:$AP$55,4,FALSE))</f>
        <v>38</v>
      </c>
      <c r="T87" s="4">
        <f>(VLOOKUP('11.07'!AB87,'11.07'!$AM$4:$AP$55,4,FALSE))</f>
        <v>0</v>
      </c>
      <c r="U87" s="4">
        <f>(VLOOKUP('11.07'!AC87,'11.07'!$AM$4:$AP$55,4,FALSE))</f>
        <v>38</v>
      </c>
      <c r="V87" s="4">
        <f>(VLOOKUP('11.07'!AD87,'11.07'!$AM$4:$AP$55,4,FALSE))</f>
        <v>0</v>
      </c>
      <c r="W87" s="4">
        <f>(VLOOKUP('11.07'!AE87,'11.07'!$AM$4:$AP$55,4,FALSE))</f>
        <v>0</v>
      </c>
      <c r="X87" s="4">
        <f>(VLOOKUP('11.07'!AF87,'11.07'!$AM$4:$AP$55,4,FALSE))</f>
        <v>0</v>
      </c>
    </row>
    <row r="88" spans="1:24">
      <c r="A88" s="4">
        <f>(VLOOKUP('11.07'!I88,'11.07'!$AM$4:$AP$55,4,FALSE))</f>
        <v>0</v>
      </c>
      <c r="B88" s="4">
        <f>(VLOOKUP('11.07'!J88,'11.07'!$AM$4:$AP$55,4,FALSE))</f>
        <v>0</v>
      </c>
      <c r="C88" s="4">
        <f>(VLOOKUP('11.07'!K88,'11.07'!$AM$4:$AP$55,4,FALSE))</f>
        <v>0</v>
      </c>
      <c r="D88" s="4">
        <f>(VLOOKUP('11.07'!L88,'11.07'!$AM$4:$AP$55,4,FALSE))</f>
        <v>0</v>
      </c>
      <c r="E88" s="4">
        <f>(VLOOKUP('11.07'!M88,'11.07'!$AM$4:$AP$55,4,FALSE))</f>
        <v>0</v>
      </c>
      <c r="F88" s="4">
        <f>(VLOOKUP('11.07'!N88,'11.07'!$AM$4:$AP$55,4,FALSE))</f>
        <v>0</v>
      </c>
      <c r="G88" s="4">
        <f>(VLOOKUP('11.07'!O88,'11.07'!$AM$4:$AP$55,4,FALSE))</f>
        <v>0</v>
      </c>
      <c r="H88" s="4">
        <f>(VLOOKUP('11.07'!P88,'11.07'!$AM$4:$AP$55,4,FALSE))</f>
        <v>0</v>
      </c>
      <c r="I88" s="4">
        <f>(VLOOKUP('11.07'!Q88,'11.07'!$AM$4:$AP$55,4,FALSE))</f>
        <v>29.110982162825422</v>
      </c>
      <c r="J88" s="4">
        <f>(VLOOKUP('11.07'!R88,'11.07'!$AM$4:$AP$55,4,FALSE))</f>
        <v>39.110982162825422</v>
      </c>
      <c r="K88" s="4">
        <f>(VLOOKUP('11.07'!S88,'11.07'!$AM$4:$AP$55,4,FALSE))</f>
        <v>10</v>
      </c>
      <c r="L88" s="4">
        <f>(VLOOKUP('11.07'!T88,'11.07'!$AM$4:$AP$55,4,FALSE))</f>
        <v>39.110982162825422</v>
      </c>
      <c r="M88" s="4">
        <f>(VLOOKUP('11.07'!U88,'11.07'!$AM$4:$AP$55,4,FALSE))</f>
        <v>39.110982162825422</v>
      </c>
      <c r="N88" s="4">
        <f>(VLOOKUP('11.07'!V88,'11.07'!$AM$4:$AP$55,4,FALSE))</f>
        <v>0</v>
      </c>
      <c r="O88" s="4">
        <f>(VLOOKUP('11.07'!W88,'11.07'!$AM$4:$AP$55,4,FALSE))</f>
        <v>0</v>
      </c>
      <c r="P88" s="4">
        <f>(VLOOKUP('11.07'!X88,'11.07'!$AM$4:$AP$55,4,FALSE))</f>
        <v>0</v>
      </c>
      <c r="Q88" s="4">
        <f>(VLOOKUP('11.07'!Y88,'11.07'!$AM$4:$AP$55,4,FALSE))</f>
        <v>38</v>
      </c>
      <c r="R88" s="4">
        <f>(VLOOKUP('11.07'!Z88,'11.07'!$AM$4:$AP$55,4,FALSE))</f>
        <v>38</v>
      </c>
      <c r="S88" s="4">
        <f>(VLOOKUP('11.07'!AA88,'11.07'!$AM$4:$AP$55,4,FALSE))</f>
        <v>38</v>
      </c>
      <c r="T88" s="4">
        <f>(VLOOKUP('11.07'!AB88,'11.07'!$AM$4:$AP$55,4,FALSE))</f>
        <v>38</v>
      </c>
      <c r="U88" s="4">
        <f>(VLOOKUP('11.07'!AC88,'11.07'!$AM$4:$AP$55,4,FALSE))</f>
        <v>38</v>
      </c>
      <c r="V88" s="4">
        <f>(VLOOKUP('11.07'!AD88,'11.07'!$AM$4:$AP$55,4,FALSE))</f>
        <v>38</v>
      </c>
      <c r="W88" s="4">
        <f>(VLOOKUP('11.07'!AE88,'11.07'!$AM$4:$AP$55,4,FALSE))</f>
        <v>0</v>
      </c>
      <c r="X88" s="4">
        <f>(VLOOKUP('11.07'!AF88,'11.07'!$AM$4:$AP$55,4,FALSE))</f>
        <v>0</v>
      </c>
    </row>
    <row r="89" spans="1:24">
      <c r="A89" s="4">
        <f>(VLOOKUP('11.07'!I89,'11.07'!$AM$4:$AP$55,4,FALSE))</f>
        <v>38</v>
      </c>
      <c r="B89" s="4">
        <f>(VLOOKUP('11.07'!J89,'11.07'!$AM$4:$AP$55,4,FALSE))</f>
        <v>38</v>
      </c>
      <c r="C89" s="4">
        <f>(VLOOKUP('11.07'!K89,'11.07'!$AM$4:$AP$55,4,FALSE))</f>
        <v>0</v>
      </c>
      <c r="D89" s="4">
        <f>(VLOOKUP('11.07'!L89,'11.07'!$AM$4:$AP$55,4,FALSE))</f>
        <v>38</v>
      </c>
      <c r="E89" s="4">
        <f>(VLOOKUP('11.07'!M89,'11.07'!$AM$4:$AP$55,4,FALSE))</f>
        <v>38</v>
      </c>
      <c r="F89" s="4">
        <f>(VLOOKUP('11.07'!N89,'11.07'!$AM$4:$AP$55,4,FALSE))</f>
        <v>38</v>
      </c>
      <c r="G89" s="4">
        <f>(VLOOKUP('11.07'!O89,'11.07'!$AM$4:$AP$55,4,FALSE))</f>
        <v>38</v>
      </c>
      <c r="H89" s="4">
        <f>(VLOOKUP('11.07'!P89,'11.07'!$AM$4:$AP$55,4,FALSE))</f>
        <v>0</v>
      </c>
      <c r="I89" s="4">
        <f>(VLOOKUP('11.07'!Q89,'11.07'!$AM$4:$AP$55,4,FALSE))</f>
        <v>39.110982162825422</v>
      </c>
      <c r="J89" s="4">
        <f>(VLOOKUP('11.07'!R89,'11.07'!$AM$4:$AP$55,4,FALSE))</f>
        <v>39.110982162825422</v>
      </c>
      <c r="K89" s="4">
        <f>(VLOOKUP('11.07'!S89,'11.07'!$AM$4:$AP$55,4,FALSE))</f>
        <v>10</v>
      </c>
      <c r="L89" s="4">
        <f>(VLOOKUP('11.07'!T89,'11.07'!$AM$4:$AP$55,4,FALSE))</f>
        <v>0</v>
      </c>
      <c r="M89" s="4">
        <f>(VLOOKUP('11.07'!U89,'11.07'!$AM$4:$AP$55,4,FALSE))</f>
        <v>0</v>
      </c>
      <c r="N89" s="4">
        <f>(VLOOKUP('11.07'!V89,'11.07'!$AM$4:$AP$55,4,FALSE))</f>
        <v>0</v>
      </c>
      <c r="O89" s="4">
        <f>(VLOOKUP('11.07'!W89,'11.07'!$AM$4:$AP$55,4,FALSE))</f>
        <v>0</v>
      </c>
      <c r="P89" s="4">
        <f>(VLOOKUP('11.07'!X89,'11.07'!$AM$4:$AP$55,4,FALSE))</f>
        <v>0</v>
      </c>
      <c r="Q89" s="4">
        <f>(VLOOKUP('11.07'!Y89,'11.07'!$AM$4:$AP$55,4,FALSE))</f>
        <v>38</v>
      </c>
      <c r="R89" s="4">
        <f>(VLOOKUP('11.07'!Z89,'11.07'!$AM$4:$AP$55,4,FALSE))</f>
        <v>38</v>
      </c>
      <c r="S89" s="4">
        <f>(VLOOKUP('11.07'!AA89,'11.07'!$AM$4:$AP$55,4,FALSE))</f>
        <v>38</v>
      </c>
      <c r="T89" s="4">
        <f>(VLOOKUP('11.07'!AB89,'11.07'!$AM$4:$AP$55,4,FALSE))</f>
        <v>0</v>
      </c>
      <c r="U89" s="4">
        <f>(VLOOKUP('11.07'!AC89,'11.07'!$AM$4:$AP$55,4,FALSE))</f>
        <v>0</v>
      </c>
      <c r="V89" s="4">
        <f>(VLOOKUP('11.07'!AD89,'11.07'!$AM$4:$AP$55,4,FALSE))</f>
        <v>0</v>
      </c>
      <c r="W89" s="4">
        <f>(VLOOKUP('11.07'!AE89,'11.07'!$AM$4:$AP$55,4,FALSE))</f>
        <v>0</v>
      </c>
      <c r="X89" s="4">
        <f>(VLOOKUP('11.07'!AF89,'11.07'!$AM$4:$AP$55,4,FALSE))</f>
        <v>0</v>
      </c>
    </row>
    <row r="90" spans="1:24">
      <c r="A90" s="4">
        <f>(VLOOKUP('11.07'!I90,'11.07'!$AM$4:$AP$55,4,FALSE))</f>
        <v>38</v>
      </c>
      <c r="B90" s="4">
        <f>(VLOOKUP('11.07'!J90,'11.07'!$AM$4:$AP$55,4,FALSE))</f>
        <v>38</v>
      </c>
      <c r="C90" s="4">
        <f>(VLOOKUP('11.07'!K90,'11.07'!$AM$4:$AP$55,4,FALSE))</f>
        <v>38</v>
      </c>
      <c r="D90" s="4">
        <f>(VLOOKUP('11.07'!L90,'11.07'!$AM$4:$AP$55,4,FALSE))</f>
        <v>38</v>
      </c>
      <c r="E90" s="4">
        <f>(VLOOKUP('11.07'!M90,'11.07'!$AM$4:$AP$55,4,FALSE))</f>
        <v>38</v>
      </c>
      <c r="F90" s="4">
        <f>(VLOOKUP('11.07'!N90,'11.07'!$AM$4:$AP$55,4,FALSE))</f>
        <v>0</v>
      </c>
      <c r="G90" s="4">
        <f>(VLOOKUP('11.07'!O90,'11.07'!$AM$4:$AP$55,4,FALSE))</f>
        <v>0</v>
      </c>
      <c r="H90" s="4">
        <f>(VLOOKUP('11.07'!P90,'11.07'!$AM$4:$AP$55,4,FALSE))</f>
        <v>0</v>
      </c>
      <c r="I90" s="4">
        <f>(VLOOKUP('11.07'!Q90,'11.07'!$AM$4:$AP$55,4,FALSE))</f>
        <v>39.110982162825422</v>
      </c>
      <c r="J90" s="4">
        <f>(VLOOKUP('11.07'!R90,'11.07'!$AM$4:$AP$55,4,FALSE))</f>
        <v>39.110982162825422</v>
      </c>
      <c r="K90" s="4">
        <f>(VLOOKUP('11.07'!S90,'11.07'!$AM$4:$AP$55,4,FALSE))</f>
        <v>39.110982162825422</v>
      </c>
      <c r="L90" s="4">
        <f>(VLOOKUP('11.07'!T90,'11.07'!$AM$4:$AP$55,4,FALSE))</f>
        <v>10</v>
      </c>
      <c r="M90" s="4">
        <f>(VLOOKUP('11.07'!U90,'11.07'!$AM$4:$AP$55,4,FALSE))</f>
        <v>39.110982162825422</v>
      </c>
      <c r="N90" s="4">
        <f>(VLOOKUP('11.07'!V90,'11.07'!$AM$4:$AP$55,4,FALSE))</f>
        <v>39.110982162825422</v>
      </c>
      <c r="O90" s="4">
        <f>(VLOOKUP('11.07'!W90,'11.07'!$AM$4:$AP$55,4,FALSE))</f>
        <v>0</v>
      </c>
      <c r="P90" s="4">
        <f>(VLOOKUP('11.07'!X90,'11.07'!$AM$4:$AP$55,4,FALSE))</f>
        <v>0</v>
      </c>
      <c r="Q90" s="4">
        <f>(VLOOKUP('11.07'!Y90,'11.07'!$AM$4:$AP$55,4,FALSE))</f>
        <v>38</v>
      </c>
      <c r="R90" s="4">
        <f>(VLOOKUP('11.07'!Z90,'11.07'!$AM$4:$AP$55,4,FALSE))</f>
        <v>38</v>
      </c>
      <c r="S90" s="4">
        <f>(VLOOKUP('11.07'!AA90,'11.07'!$AM$4:$AP$55,4,FALSE))</f>
        <v>0</v>
      </c>
      <c r="T90" s="4">
        <f>(VLOOKUP('11.07'!AB90,'11.07'!$AM$4:$AP$55,4,FALSE))</f>
        <v>0</v>
      </c>
      <c r="U90" s="4">
        <f>(VLOOKUP('11.07'!AC90,'11.07'!$AM$4:$AP$55,4,FALSE))</f>
        <v>0</v>
      </c>
      <c r="V90" s="4">
        <f>(VLOOKUP('11.07'!AD90,'11.07'!$AM$4:$AP$55,4,FALSE))</f>
        <v>0</v>
      </c>
      <c r="W90" s="4">
        <f>(VLOOKUP('11.07'!AE90,'11.07'!$AM$4:$AP$55,4,FALSE))</f>
        <v>0</v>
      </c>
      <c r="X90" s="4">
        <f>(VLOOKUP('11.07'!AF90,'11.07'!$AM$4:$AP$55,4,FALSE))</f>
        <v>0</v>
      </c>
    </row>
    <row r="91" spans="1:24">
      <c r="A91" s="4">
        <f>(VLOOKUP('11.07'!I91,'11.07'!$AM$4:$AP$55,4,FALSE))</f>
        <v>38</v>
      </c>
      <c r="B91" s="4">
        <f>(VLOOKUP('11.07'!J91,'11.07'!$AM$4:$AP$55,4,FALSE))</f>
        <v>38</v>
      </c>
      <c r="C91" s="4">
        <f>(VLOOKUP('11.07'!K91,'11.07'!$AM$4:$AP$55,4,FALSE))</f>
        <v>38</v>
      </c>
      <c r="D91" s="4">
        <f>(VLOOKUP('11.07'!L91,'11.07'!$AM$4:$AP$55,4,FALSE))</f>
        <v>38</v>
      </c>
      <c r="E91" s="4">
        <f>(VLOOKUP('11.07'!M91,'11.07'!$AM$4:$AP$55,4,FALSE))</f>
        <v>38</v>
      </c>
      <c r="F91" s="4">
        <f>(VLOOKUP('11.07'!N91,'11.07'!$AM$4:$AP$55,4,FALSE))</f>
        <v>38</v>
      </c>
      <c r="G91" s="4">
        <f>(VLOOKUP('11.07'!O91,'11.07'!$AM$4:$AP$55,4,FALSE))</f>
        <v>0</v>
      </c>
      <c r="H91" s="4">
        <f>(VLOOKUP('11.07'!P91,'11.07'!$AM$4:$AP$55,4,FALSE))</f>
        <v>0</v>
      </c>
      <c r="I91" s="4">
        <f>(VLOOKUP('11.07'!Q91,'11.07'!$AM$4:$AP$55,4,FALSE))</f>
        <v>39.110982162825422</v>
      </c>
      <c r="J91" s="4">
        <f>(VLOOKUP('11.07'!R91,'11.07'!$AM$4:$AP$55,4,FALSE))</f>
        <v>10</v>
      </c>
      <c r="K91" s="4">
        <f>(VLOOKUP('11.07'!S91,'11.07'!$AM$4:$AP$55,4,FALSE))</f>
        <v>0</v>
      </c>
      <c r="L91" s="4">
        <f>(VLOOKUP('11.07'!T91,'11.07'!$AM$4:$AP$55,4,FALSE))</f>
        <v>0</v>
      </c>
      <c r="M91" s="4">
        <f>(VLOOKUP('11.07'!U91,'11.07'!$AM$4:$AP$55,4,FALSE))</f>
        <v>0</v>
      </c>
      <c r="N91" s="4">
        <f>(VLOOKUP('11.07'!V91,'11.07'!$AM$4:$AP$55,4,FALSE))</f>
        <v>0</v>
      </c>
      <c r="O91" s="4">
        <f>(VLOOKUP('11.07'!W91,'11.07'!$AM$4:$AP$55,4,FALSE))</f>
        <v>0</v>
      </c>
      <c r="P91" s="4">
        <f>(VLOOKUP('11.07'!X91,'11.07'!$AM$4:$AP$55,4,FALSE))</f>
        <v>0</v>
      </c>
      <c r="Q91" s="4">
        <f>(VLOOKUP('11.07'!Y91,'11.07'!$AM$4:$AP$55,4,FALSE))</f>
        <v>38</v>
      </c>
      <c r="R91" s="4">
        <f>(VLOOKUP('11.07'!Z91,'11.07'!$AM$4:$AP$55,4,FALSE))</f>
        <v>38</v>
      </c>
      <c r="S91" s="4">
        <f>(VLOOKUP('11.07'!AA91,'11.07'!$AM$4:$AP$55,4,FALSE))</f>
        <v>38</v>
      </c>
      <c r="T91" s="4">
        <f>(VLOOKUP('11.07'!AB91,'11.07'!$AM$4:$AP$55,4,FALSE))</f>
        <v>38</v>
      </c>
      <c r="U91" s="4">
        <f>(VLOOKUP('11.07'!AC91,'11.07'!$AM$4:$AP$55,4,FALSE))</f>
        <v>0</v>
      </c>
      <c r="V91" s="4">
        <f>(VLOOKUP('11.07'!AD91,'11.07'!$AM$4:$AP$55,4,FALSE))</f>
        <v>0</v>
      </c>
      <c r="W91" s="4">
        <f>(VLOOKUP('11.07'!AE91,'11.07'!$AM$4:$AP$55,4,FALSE))</f>
        <v>0</v>
      </c>
      <c r="X91" s="4">
        <f>(VLOOKUP('11.07'!AF91,'11.07'!$AM$4:$AP$55,4,FALSE))</f>
        <v>0</v>
      </c>
    </row>
    <row r="92" spans="1:24">
      <c r="A92" s="4">
        <f>(VLOOKUP('11.07'!I92,'11.07'!$AM$4:$AP$55,4,FALSE))</f>
        <v>38</v>
      </c>
      <c r="B92" s="4">
        <f>(VLOOKUP('11.07'!J92,'11.07'!$AM$4:$AP$55,4,FALSE))</f>
        <v>38</v>
      </c>
      <c r="C92" s="4">
        <f>(VLOOKUP('11.07'!K92,'11.07'!$AM$4:$AP$55,4,FALSE))</f>
        <v>38</v>
      </c>
      <c r="D92" s="4">
        <f>(VLOOKUP('11.07'!L92,'11.07'!$AM$4:$AP$55,4,FALSE))</f>
        <v>38</v>
      </c>
      <c r="E92" s="4">
        <f>(VLOOKUP('11.07'!M92,'11.07'!$AM$4:$AP$55,4,FALSE))</f>
        <v>38</v>
      </c>
      <c r="F92" s="4">
        <f>(VLOOKUP('11.07'!N92,'11.07'!$AM$4:$AP$55,4,FALSE))</f>
        <v>38</v>
      </c>
      <c r="G92" s="4">
        <f>(VLOOKUP('11.07'!O92,'11.07'!$AM$4:$AP$55,4,FALSE))</f>
        <v>0</v>
      </c>
      <c r="H92" s="4">
        <f>(VLOOKUP('11.07'!P92,'11.07'!$AM$4:$AP$55,4,FALSE))</f>
        <v>0</v>
      </c>
      <c r="I92" s="4">
        <f>(VLOOKUP('11.07'!Q92,'11.07'!$AM$4:$AP$55,4,FALSE))</f>
        <v>0</v>
      </c>
      <c r="J92" s="4">
        <f>(VLOOKUP('11.07'!R92,'11.07'!$AM$4:$AP$55,4,FALSE))</f>
        <v>0</v>
      </c>
      <c r="K92" s="4">
        <f>(VLOOKUP('11.07'!S92,'11.07'!$AM$4:$AP$55,4,FALSE))</f>
        <v>0</v>
      </c>
      <c r="L92" s="4">
        <f>(VLOOKUP('11.07'!T92,'11.07'!$AM$4:$AP$55,4,FALSE))</f>
        <v>0</v>
      </c>
      <c r="M92" s="4">
        <f>(VLOOKUP('11.07'!U92,'11.07'!$AM$4:$AP$55,4,FALSE))</f>
        <v>0</v>
      </c>
      <c r="N92" s="4">
        <f>(VLOOKUP('11.07'!V92,'11.07'!$AM$4:$AP$55,4,FALSE))</f>
        <v>0</v>
      </c>
      <c r="O92" s="4">
        <f>(VLOOKUP('11.07'!W92,'11.07'!$AM$4:$AP$55,4,FALSE))</f>
        <v>0</v>
      </c>
      <c r="P92" s="4">
        <f>(VLOOKUP('11.07'!X92,'11.07'!$AM$4:$AP$55,4,FALSE))</f>
        <v>0</v>
      </c>
      <c r="Q92" s="4">
        <f>(VLOOKUP('11.07'!Y92,'11.07'!$AM$4:$AP$55,4,FALSE))</f>
        <v>38</v>
      </c>
      <c r="R92" s="4">
        <f>(VLOOKUP('11.07'!Z92,'11.07'!$AM$4:$AP$55,4,FALSE))</f>
        <v>38</v>
      </c>
      <c r="S92" s="4">
        <f>(VLOOKUP('11.07'!AA92,'11.07'!$AM$4:$AP$55,4,FALSE))</f>
        <v>38</v>
      </c>
      <c r="T92" s="4">
        <f>(VLOOKUP('11.07'!AB92,'11.07'!$AM$4:$AP$55,4,FALSE))</f>
        <v>0</v>
      </c>
      <c r="U92" s="4">
        <f>(VLOOKUP('11.07'!AC92,'11.07'!$AM$4:$AP$55,4,FALSE))</f>
        <v>0</v>
      </c>
      <c r="V92" s="4">
        <f>(VLOOKUP('11.07'!AD92,'11.07'!$AM$4:$AP$55,4,FALSE))</f>
        <v>0</v>
      </c>
      <c r="W92" s="4">
        <f>(VLOOKUP('11.07'!AE92,'11.07'!$AM$4:$AP$55,4,FALSE))</f>
        <v>0</v>
      </c>
      <c r="X92" s="4">
        <f>(VLOOKUP('11.07'!AF92,'11.07'!$AM$4:$AP$55,4,FALSE))</f>
        <v>0</v>
      </c>
    </row>
    <row r="93" spans="1:24">
      <c r="A93" s="4">
        <f>(VLOOKUP('11.07'!I93,'11.07'!$AM$4:$AP$55,4,FALSE))</f>
        <v>38</v>
      </c>
      <c r="B93" s="4">
        <f>(VLOOKUP('11.07'!J93,'11.07'!$AM$4:$AP$55,4,FALSE))</f>
        <v>38</v>
      </c>
      <c r="C93" s="4">
        <f>(VLOOKUP('11.07'!K93,'11.07'!$AM$4:$AP$55,4,FALSE))</f>
        <v>38</v>
      </c>
      <c r="D93" s="4">
        <f>(VLOOKUP('11.07'!L93,'11.07'!$AM$4:$AP$55,4,FALSE))</f>
        <v>38</v>
      </c>
      <c r="E93" s="4">
        <f>(VLOOKUP('11.07'!M93,'11.07'!$AM$4:$AP$55,4,FALSE))</f>
        <v>0</v>
      </c>
      <c r="F93" s="4">
        <f>(VLOOKUP('11.07'!N93,'11.07'!$AM$4:$AP$55,4,FALSE))</f>
        <v>39.110982162825422</v>
      </c>
      <c r="G93" s="4">
        <f>(VLOOKUP('11.07'!O93,'11.07'!$AM$4:$AP$55,4,FALSE))</f>
        <v>39.110982162825422</v>
      </c>
      <c r="H93" s="4">
        <f>(VLOOKUP('11.07'!P93,'11.07'!$AM$4:$AP$55,4,FALSE))</f>
        <v>29.110982162825422</v>
      </c>
      <c r="I93" s="4">
        <f>(VLOOKUP('11.07'!Q93,'11.07'!$AM$4:$AP$55,4,FALSE))</f>
        <v>0</v>
      </c>
      <c r="J93" s="4">
        <f>(VLOOKUP('11.07'!R93,'11.07'!$AM$4:$AP$55,4,FALSE))</f>
        <v>39.110982162825422</v>
      </c>
      <c r="K93" s="4">
        <f>(VLOOKUP('11.07'!S93,'11.07'!$AM$4:$AP$55,4,FALSE))</f>
        <v>39.110982162825422</v>
      </c>
      <c r="L93" s="4">
        <f>(VLOOKUP('11.07'!T93,'11.07'!$AM$4:$AP$55,4,FALSE))</f>
        <v>39.110982162825422</v>
      </c>
      <c r="M93" s="4">
        <f>(VLOOKUP('11.07'!U93,'11.07'!$AM$4:$AP$55,4,FALSE))</f>
        <v>39.110982162825422</v>
      </c>
      <c r="N93" s="4">
        <f>(VLOOKUP('11.07'!V93,'11.07'!$AM$4:$AP$55,4,FALSE))</f>
        <v>10</v>
      </c>
      <c r="O93" s="4">
        <f>(VLOOKUP('11.07'!W93,'11.07'!$AM$4:$AP$55,4,FALSE))</f>
        <v>0</v>
      </c>
      <c r="P93" s="4">
        <f>(VLOOKUP('11.07'!X93,'11.07'!$AM$4:$AP$55,4,FALSE))</f>
        <v>0</v>
      </c>
      <c r="Q93" s="4">
        <f>(VLOOKUP('11.07'!Y93,'11.07'!$AM$4:$AP$55,4,FALSE))</f>
        <v>0</v>
      </c>
      <c r="R93" s="4">
        <f>(VLOOKUP('11.07'!Z93,'11.07'!$AM$4:$AP$55,4,FALSE))</f>
        <v>0</v>
      </c>
      <c r="S93" s="4">
        <f>(VLOOKUP('11.07'!AA93,'11.07'!$AM$4:$AP$55,4,FALSE))</f>
        <v>0</v>
      </c>
      <c r="T93" s="4">
        <f>(VLOOKUP('11.07'!AB93,'11.07'!$AM$4:$AP$55,4,FALSE))</f>
        <v>0</v>
      </c>
      <c r="U93" s="4">
        <f>(VLOOKUP('11.07'!AC93,'11.07'!$AM$4:$AP$55,4,FALSE))</f>
        <v>0</v>
      </c>
      <c r="V93" s="4">
        <f>(VLOOKUP('11.07'!AD93,'11.07'!$AM$4:$AP$55,4,FALSE))</f>
        <v>0</v>
      </c>
      <c r="W93" s="4">
        <f>(VLOOKUP('11.07'!AE93,'11.07'!$AM$4:$AP$55,4,FALSE))</f>
        <v>0</v>
      </c>
      <c r="X93" s="4">
        <f>(VLOOKUP('11.07'!AF93,'11.07'!$AM$4:$AP$55,4,FALSE))</f>
        <v>0</v>
      </c>
    </row>
    <row r="94" spans="1:24">
      <c r="A94" s="4">
        <f>(VLOOKUP('11.07'!I94,'11.07'!$AM$4:$AP$55,4,FALSE))</f>
        <v>39.110982162825422</v>
      </c>
      <c r="B94" s="4">
        <f>(VLOOKUP('11.07'!J94,'11.07'!$AM$4:$AP$55,4,FALSE))</f>
        <v>39.110982162825422</v>
      </c>
      <c r="C94" s="4">
        <f>(VLOOKUP('11.07'!K94,'11.07'!$AM$4:$AP$55,4,FALSE))</f>
        <v>10</v>
      </c>
      <c r="D94" s="4">
        <f>(VLOOKUP('11.07'!L94,'11.07'!$AM$4:$AP$55,4,FALSE))</f>
        <v>0</v>
      </c>
      <c r="E94" s="4">
        <f>(VLOOKUP('11.07'!M94,'11.07'!$AM$4:$AP$55,4,FALSE))</f>
        <v>0</v>
      </c>
      <c r="F94" s="4">
        <f>(VLOOKUP('11.07'!N94,'11.07'!$AM$4:$AP$55,4,FALSE))</f>
        <v>0</v>
      </c>
      <c r="G94" s="4">
        <f>(VLOOKUP('11.07'!O94,'11.07'!$AM$4:$AP$55,4,FALSE))</f>
        <v>0</v>
      </c>
      <c r="H94" s="4">
        <f>(VLOOKUP('11.07'!P94,'11.07'!$AM$4:$AP$55,4,FALSE))</f>
        <v>0</v>
      </c>
      <c r="I94" s="4">
        <f>(VLOOKUP('11.07'!Q94,'11.07'!$AM$4:$AP$55,4,FALSE))</f>
        <v>39.110982162825422</v>
      </c>
      <c r="J94" s="4">
        <f>(VLOOKUP('11.07'!R94,'11.07'!$AM$4:$AP$55,4,FALSE))</f>
        <v>39.110982162825422</v>
      </c>
      <c r="K94" s="4">
        <f>(VLOOKUP('11.07'!S94,'11.07'!$AM$4:$AP$55,4,FALSE))</f>
        <v>39.110982162825422</v>
      </c>
      <c r="L94" s="4">
        <f>(VLOOKUP('11.07'!T94,'11.07'!$AM$4:$AP$55,4,FALSE))</f>
        <v>39.110982162825422</v>
      </c>
      <c r="M94" s="4">
        <f>(VLOOKUP('11.07'!U94,'11.07'!$AM$4:$AP$55,4,FALSE))</f>
        <v>10</v>
      </c>
      <c r="N94" s="4">
        <f>(VLOOKUP('11.07'!V94,'11.07'!$AM$4:$AP$55,4,FALSE))</f>
        <v>0</v>
      </c>
      <c r="O94" s="4">
        <f>(VLOOKUP('11.07'!W94,'11.07'!$AM$4:$AP$55,4,FALSE))</f>
        <v>0</v>
      </c>
      <c r="P94" s="4">
        <f>(VLOOKUP('11.07'!X94,'11.07'!$AM$4:$AP$55,4,FALSE))</f>
        <v>0</v>
      </c>
      <c r="Q94" s="4">
        <f>(VLOOKUP('11.07'!Y94,'11.07'!$AM$4:$AP$55,4,FALSE))</f>
        <v>39.110982162825422</v>
      </c>
      <c r="R94" s="4">
        <f>(VLOOKUP('11.07'!Z94,'11.07'!$AM$4:$AP$55,4,FALSE))</f>
        <v>39.110982162825422</v>
      </c>
      <c r="S94" s="4">
        <f>(VLOOKUP('11.07'!AA94,'11.07'!$AM$4:$AP$55,4,FALSE))</f>
        <v>39.110982162825422</v>
      </c>
      <c r="T94" s="4">
        <f>(VLOOKUP('11.07'!AB94,'11.07'!$AM$4:$AP$55,4,FALSE))</f>
        <v>10</v>
      </c>
      <c r="U94" s="4">
        <f>(VLOOKUP('11.07'!AC94,'11.07'!$AM$4:$AP$55,4,FALSE))</f>
        <v>39.110982162825422</v>
      </c>
      <c r="V94" s="4">
        <f>(VLOOKUP('11.07'!AD94,'11.07'!$AM$4:$AP$55,4,FALSE))</f>
        <v>39.110982162825422</v>
      </c>
      <c r="W94" s="4">
        <f>(VLOOKUP('11.07'!AE94,'11.07'!$AM$4:$AP$55,4,FALSE))</f>
        <v>39.110982162825422</v>
      </c>
      <c r="X94" s="4">
        <f>(VLOOKUP('11.07'!AF94,'11.07'!$AM$4:$AP$55,4,FALSE))</f>
        <v>10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2023-06-14T21:49:37Z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