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5\"/>
    </mc:Choice>
  </mc:AlternateContent>
  <xr:revisionPtr revIDLastSave="0" documentId="13_ncr:1_{71C71E58-58AD-413C-A70E-CC42D9EE78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r:id="rId3"/>
    <sheet name="经验" sheetId="15" r:id="rId4"/>
    <sheet name="亏损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0" i="12" l="1"/>
  <c r="AS51" i="12"/>
  <c r="AS52" i="12"/>
  <c r="AS53" i="12"/>
  <c r="AS54" i="12"/>
  <c r="A94" i="14"/>
  <c r="B94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A95" i="14"/>
  <c r="B95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A96" i="14"/>
  <c r="B96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A97" i="14"/>
  <c r="B97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A98" i="14"/>
  <c r="B98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A99" i="14"/>
  <c r="B99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A100" i="14"/>
  <c r="B100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AM94" i="12"/>
  <c r="AN94" i="12"/>
  <c r="AM95" i="12"/>
  <c r="AM96" i="12" s="1"/>
  <c r="AM97" i="12" s="1"/>
  <c r="AM98" i="12" s="1"/>
  <c r="AM99" i="12" s="1"/>
  <c r="AM100" i="12" s="1"/>
  <c r="AN95" i="12"/>
  <c r="AN96" i="12"/>
  <c r="AN97" i="12" s="1"/>
  <c r="AN98" i="12" s="1"/>
  <c r="AN99" i="12" s="1"/>
  <c r="AN100" i="12" s="1"/>
  <c r="AG94" i="12"/>
  <c r="AG95" i="12"/>
  <c r="AG96" i="12"/>
  <c r="AG97" i="12"/>
  <c r="AG98" i="12"/>
  <c r="AG99" i="12"/>
  <c r="AG100" i="12"/>
  <c r="F94" i="12"/>
  <c r="F95" i="12"/>
  <c r="F96" i="12"/>
  <c r="F97" i="12"/>
  <c r="F98" i="12"/>
  <c r="F99" i="12"/>
  <c r="F100" i="12"/>
  <c r="AG4" i="12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S5" i="12"/>
  <c r="AT5" i="12"/>
  <c r="AU5" i="12"/>
  <c r="AS6" i="12"/>
  <c r="AT6" i="12"/>
  <c r="AU6" i="12"/>
  <c r="AS7" i="12"/>
  <c r="AT7" i="12"/>
  <c r="AU7" i="12"/>
  <c r="AS8" i="12"/>
  <c r="AT8" i="12"/>
  <c r="AU8" i="12"/>
  <c r="AS9" i="12"/>
  <c r="AT9" i="12"/>
  <c r="AU9" i="12"/>
  <c r="AS10" i="12"/>
  <c r="AT10" i="12"/>
  <c r="AU10" i="12"/>
  <c r="AS11" i="12"/>
  <c r="AT11" i="12"/>
  <c r="AU11" i="12"/>
  <c r="AS12" i="12"/>
  <c r="AT12" i="12"/>
  <c r="AU12" i="12"/>
  <c r="AS13" i="12"/>
  <c r="AT13" i="12"/>
  <c r="AU13" i="12"/>
  <c r="AS14" i="12"/>
  <c r="AT14" i="12"/>
  <c r="AU14" i="12"/>
  <c r="AS15" i="12"/>
  <c r="AT15" i="12"/>
  <c r="AU15" i="12"/>
  <c r="AS16" i="12"/>
  <c r="AT16" i="12"/>
  <c r="AU16" i="12"/>
  <c r="AS17" i="12"/>
  <c r="AT17" i="12"/>
  <c r="AU17" i="12"/>
  <c r="AS18" i="12"/>
  <c r="AT18" i="12"/>
  <c r="AU18" i="12"/>
  <c r="AS19" i="12"/>
  <c r="AT19" i="12"/>
  <c r="AU19" i="12"/>
  <c r="AS20" i="12"/>
  <c r="AT20" i="12"/>
  <c r="AU20" i="12"/>
  <c r="AS21" i="12"/>
  <c r="AT21" i="12"/>
  <c r="AU21" i="12"/>
  <c r="AS22" i="12"/>
  <c r="AT22" i="12"/>
  <c r="AU22" i="12"/>
  <c r="AS23" i="12"/>
  <c r="AT23" i="12"/>
  <c r="AU23" i="12"/>
  <c r="AS24" i="12"/>
  <c r="AT24" i="12"/>
  <c r="AU24" i="12"/>
  <c r="AS25" i="12"/>
  <c r="AT25" i="12"/>
  <c r="AU25" i="12"/>
  <c r="AS26" i="12"/>
  <c r="AT26" i="12"/>
  <c r="AU26" i="12"/>
  <c r="AS27" i="12"/>
  <c r="AT27" i="12"/>
  <c r="AU27" i="12"/>
  <c r="AS29" i="12"/>
  <c r="AT29" i="12"/>
  <c r="AU29" i="12"/>
  <c r="AU4" i="12"/>
  <c r="AT4" i="12"/>
  <c r="AS4" i="12"/>
  <c r="D100" i="12" l="1"/>
  <c r="D96" i="12"/>
  <c r="D95" i="12"/>
  <c r="D94" i="12"/>
  <c r="D97" i="12"/>
  <c r="D99" i="12"/>
  <c r="D98" i="12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T54" i="12"/>
  <c r="AR54" i="12"/>
  <c r="AQ54" i="12"/>
  <c r="AT53" i="12"/>
  <c r="AR53" i="12"/>
  <c r="AQ53" i="12"/>
  <c r="AT52" i="12"/>
  <c r="AR52" i="12"/>
  <c r="AQ52" i="12"/>
  <c r="AT51" i="12"/>
  <c r="AR51" i="12"/>
  <c r="AQ51" i="12"/>
  <c r="BA50" i="12"/>
  <c r="AX50" i="12"/>
  <c r="AT50" i="12"/>
  <c r="AR50" i="12"/>
  <c r="AQ50" i="12"/>
  <c r="AZ29" i="12"/>
  <c r="AY29" i="12"/>
  <c r="AX29" i="12"/>
  <c r="AV29" i="12"/>
  <c r="AQ44" i="12" s="1"/>
  <c r="AZ28" i="12"/>
  <c r="AY28" i="12"/>
  <c r="AX28" i="12"/>
  <c r="AV28" i="12"/>
  <c r="BD28" i="12" s="1"/>
  <c r="AZ27" i="12"/>
  <c r="AY27" i="12"/>
  <c r="AX27" i="12"/>
  <c r="AV27" i="12"/>
  <c r="BD27" i="12" s="1"/>
  <c r="AZ26" i="12"/>
  <c r="AY26" i="12"/>
  <c r="AX26" i="12"/>
  <c r="AV26" i="12"/>
  <c r="BD26" i="12" s="1"/>
  <c r="AZ25" i="12"/>
  <c r="AY25" i="12"/>
  <c r="AX25" i="12"/>
  <c r="AV25" i="12"/>
  <c r="BD25" i="12" s="1"/>
  <c r="AZ24" i="12"/>
  <c r="AY24" i="12"/>
  <c r="AX24" i="12"/>
  <c r="AV24" i="12"/>
  <c r="BD24" i="12" s="1"/>
  <c r="AZ23" i="12"/>
  <c r="AY23" i="12"/>
  <c r="AX23" i="12"/>
  <c r="AV23" i="12"/>
  <c r="BD23" i="12" s="1"/>
  <c r="AZ22" i="12"/>
  <c r="AY22" i="12"/>
  <c r="AX22" i="12"/>
  <c r="AV22" i="12"/>
  <c r="BD22" i="12" s="1"/>
  <c r="AZ21" i="12"/>
  <c r="AY21" i="12"/>
  <c r="AX21" i="12"/>
  <c r="AV21" i="12"/>
  <c r="BD21" i="12" s="1"/>
  <c r="AZ20" i="12"/>
  <c r="AY20" i="12"/>
  <c r="AX20" i="12"/>
  <c r="AV20" i="12"/>
  <c r="BD20" i="12" s="1"/>
  <c r="AZ19" i="12"/>
  <c r="AY19" i="12"/>
  <c r="AX19" i="12"/>
  <c r="AV19" i="12"/>
  <c r="BD19" i="12" s="1"/>
  <c r="AZ18" i="12"/>
  <c r="AY18" i="12"/>
  <c r="AX18" i="12"/>
  <c r="AV18" i="12"/>
  <c r="BD18" i="12" s="1"/>
  <c r="AZ17" i="12"/>
  <c r="AY17" i="12"/>
  <c r="AX17" i="12"/>
  <c r="AV17" i="12"/>
  <c r="AQ37" i="12" s="1"/>
  <c r="AZ16" i="12"/>
  <c r="AY16" i="12"/>
  <c r="AX16" i="12"/>
  <c r="AV16" i="12"/>
  <c r="BD16" i="12" s="1"/>
  <c r="AZ15" i="12"/>
  <c r="AY15" i="12"/>
  <c r="AX15" i="12"/>
  <c r="AV15" i="12"/>
  <c r="BD15" i="12" s="1"/>
  <c r="AZ14" i="12"/>
  <c r="AY14" i="12"/>
  <c r="AX14" i="12"/>
  <c r="AV14" i="12"/>
  <c r="AQ41" i="12" s="1"/>
  <c r="AZ13" i="12"/>
  <c r="AY13" i="12"/>
  <c r="AX13" i="12"/>
  <c r="AV13" i="12"/>
  <c r="BD13" i="12" s="1"/>
  <c r="AZ12" i="12"/>
  <c r="AY12" i="12"/>
  <c r="AX12" i="12"/>
  <c r="AV12" i="12"/>
  <c r="AZ11" i="12"/>
  <c r="AY11" i="12"/>
  <c r="AX11" i="12"/>
  <c r="AV11" i="12"/>
  <c r="AZ10" i="12"/>
  <c r="AY10" i="12"/>
  <c r="AX10" i="12"/>
  <c r="AV10" i="12"/>
  <c r="BD10" i="12" s="1"/>
  <c r="AZ9" i="12"/>
  <c r="AY9" i="12"/>
  <c r="AX9" i="12"/>
  <c r="AV9" i="12"/>
  <c r="AQ36" i="12" s="1"/>
  <c r="AZ8" i="12"/>
  <c r="AY8" i="12"/>
  <c r="AX8" i="12"/>
  <c r="AV8" i="12"/>
  <c r="AQ35" i="12" s="1"/>
  <c r="AZ7" i="12"/>
  <c r="AY7" i="12"/>
  <c r="AX7" i="12"/>
  <c r="AV7" i="12"/>
  <c r="BD7" i="12" s="1"/>
  <c r="AZ6" i="12"/>
  <c r="AY6" i="12"/>
  <c r="AX6" i="12"/>
  <c r="AV6" i="12"/>
  <c r="AQ33" i="12" s="1"/>
  <c r="AR33" i="12" s="1"/>
  <c r="AZ5" i="12"/>
  <c r="AY5" i="12"/>
  <c r="AX5" i="12"/>
  <c r="AV5" i="12"/>
  <c r="BD5" i="12" s="1"/>
  <c r="AM5" i="12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5" i="12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L94" i="12" s="1"/>
  <c r="AL95" i="12" s="1"/>
  <c r="AL96" i="12" s="1"/>
  <c r="AL97" i="12" s="1"/>
  <c r="AL98" i="12" s="1"/>
  <c r="AL99" i="12" s="1"/>
  <c r="AL100" i="12" s="1"/>
  <c r="AZ4" i="12"/>
  <c r="AY4" i="12"/>
  <c r="AX4" i="12"/>
  <c r="AV4" i="12"/>
  <c r="BD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L4" i="12"/>
  <c r="AJ2" i="12"/>
  <c r="AI2" i="12"/>
  <c r="AH2" i="12"/>
  <c r="AB2" i="12"/>
  <c r="T2" i="12"/>
  <c r="L2" i="12"/>
  <c r="A1" i="12"/>
  <c r="AQ38" i="12" l="1"/>
  <c r="AR38" i="12" s="1"/>
  <c r="AG2" i="12"/>
  <c r="BD12" i="12"/>
  <c r="AQ39" i="12"/>
  <c r="AS39" i="12" s="1"/>
  <c r="BD11" i="12"/>
  <c r="AT55" i="12"/>
  <c r="F35" i="12"/>
  <c r="F42" i="12"/>
  <c r="F49" i="12"/>
  <c r="F56" i="12"/>
  <c r="F70" i="12"/>
  <c r="F91" i="12"/>
  <c r="F22" i="12"/>
  <c r="F14" i="12"/>
  <c r="F21" i="12"/>
  <c r="F28" i="12"/>
  <c r="F63" i="12"/>
  <c r="F77" i="12"/>
  <c r="F84" i="12"/>
  <c r="F69" i="12"/>
  <c r="F83" i="12"/>
  <c r="AQ43" i="12"/>
  <c r="AR43" i="12" s="1"/>
  <c r="AQ42" i="12"/>
  <c r="AR42" i="12" s="1"/>
  <c r="L2" i="15"/>
  <c r="F5" i="12"/>
  <c r="F7" i="12"/>
  <c r="F9" i="12"/>
  <c r="F10" i="12"/>
  <c r="F11" i="12"/>
  <c r="F12" i="12"/>
  <c r="F16" i="12"/>
  <c r="F17" i="12"/>
  <c r="F18" i="12"/>
  <c r="F20" i="12"/>
  <c r="F23" i="12"/>
  <c r="F24" i="12"/>
  <c r="F25" i="12"/>
  <c r="F27" i="12"/>
  <c r="F30" i="12"/>
  <c r="F31" i="12"/>
  <c r="F32" i="12"/>
  <c r="F34" i="12"/>
  <c r="F37" i="12"/>
  <c r="F38" i="12"/>
  <c r="F40" i="12"/>
  <c r="F44" i="12"/>
  <c r="F45" i="12"/>
  <c r="F46" i="12"/>
  <c r="F51" i="12"/>
  <c r="F52" i="12"/>
  <c r="F53" i="12"/>
  <c r="F58" i="12"/>
  <c r="F59" i="12"/>
  <c r="F60" i="12"/>
  <c r="F61" i="12"/>
  <c r="F65" i="12"/>
  <c r="F66" i="12"/>
  <c r="F67" i="12"/>
  <c r="F72" i="12"/>
  <c r="F73" i="12"/>
  <c r="F74" i="12"/>
  <c r="F75" i="12"/>
  <c r="F79" i="12"/>
  <c r="F80" i="12"/>
  <c r="F81" i="12"/>
  <c r="F86" i="12"/>
  <c r="F87" i="12"/>
  <c r="F88" i="12"/>
  <c r="F89" i="12"/>
  <c r="F93" i="12"/>
  <c r="F8" i="12"/>
  <c r="F15" i="12"/>
  <c r="F29" i="12"/>
  <c r="F36" i="12"/>
  <c r="F43" i="12"/>
  <c r="F50" i="12"/>
  <c r="F57" i="12"/>
  <c r="F64" i="12"/>
  <c r="F71" i="12"/>
  <c r="F78" i="12"/>
  <c r="F85" i="12"/>
  <c r="F92" i="12"/>
  <c r="D40" i="12"/>
  <c r="D5" i="12"/>
  <c r="D19" i="12"/>
  <c r="D26" i="12"/>
  <c r="F6" i="12"/>
  <c r="F13" i="12"/>
  <c r="F41" i="12"/>
  <c r="F48" i="12"/>
  <c r="F55" i="12"/>
  <c r="F62" i="12"/>
  <c r="F76" i="12"/>
  <c r="F90" i="12"/>
  <c r="BD6" i="12"/>
  <c r="D32" i="12"/>
  <c r="F19" i="12"/>
  <c r="F33" i="12"/>
  <c r="F47" i="12"/>
  <c r="F54" i="12"/>
  <c r="F68" i="12"/>
  <c r="F82" i="12"/>
  <c r="T2" i="15"/>
  <c r="AQ45" i="12"/>
  <c r="AR45" i="12" s="1"/>
  <c r="D12" i="12"/>
  <c r="D2" i="15"/>
  <c r="F39" i="12"/>
  <c r="F26" i="12"/>
  <c r="D45" i="12"/>
  <c r="F4" i="12"/>
  <c r="AQ40" i="12"/>
  <c r="AS40" i="12" s="1"/>
  <c r="AS36" i="12"/>
  <c r="AR36" i="12"/>
  <c r="AR44" i="12"/>
  <c r="AS44" i="12"/>
  <c r="AS37" i="12"/>
  <c r="AR37" i="12"/>
  <c r="AR41" i="12"/>
  <c r="AS41" i="12"/>
  <c r="AS35" i="12"/>
  <c r="AR35" i="12"/>
  <c r="D14" i="12"/>
  <c r="D34" i="12"/>
  <c r="D80" i="12"/>
  <c r="D91" i="12"/>
  <c r="BD9" i="12"/>
  <c r="BD29" i="12"/>
  <c r="D47" i="12"/>
  <c r="D68" i="12"/>
  <c r="D18" i="12"/>
  <c r="BD17" i="12"/>
  <c r="AQ34" i="12"/>
  <c r="D10" i="12"/>
  <c r="D17" i="12"/>
  <c r="D24" i="12"/>
  <c r="D31" i="12"/>
  <c r="D52" i="12"/>
  <c r="D7" i="12"/>
  <c r="AS33" i="12"/>
  <c r="D25" i="12"/>
  <c r="D30" i="12"/>
  <c r="D41" i="12"/>
  <c r="D76" i="12"/>
  <c r="D61" i="12"/>
  <c r="D39" i="12"/>
  <c r="D88" i="12"/>
  <c r="D37" i="12"/>
  <c r="D58" i="12"/>
  <c r="D65" i="12"/>
  <c r="D72" i="12"/>
  <c r="D79" i="12"/>
  <c r="D86" i="12"/>
  <c r="D93" i="12"/>
  <c r="T2" i="14"/>
  <c r="D21" i="12"/>
  <c r="D44" i="12"/>
  <c r="D63" i="12"/>
  <c r="D84" i="12"/>
  <c r="D89" i="12"/>
  <c r="D74" i="12"/>
  <c r="D13" i="12"/>
  <c r="D35" i="12"/>
  <c r="D70" i="12"/>
  <c r="D28" i="12"/>
  <c r="D49" i="12"/>
  <c r="D69" i="12"/>
  <c r="D16" i="12"/>
  <c r="D43" i="12"/>
  <c r="D59" i="12"/>
  <c r="D83" i="12"/>
  <c r="D33" i="12"/>
  <c r="D54" i="12"/>
  <c r="D11" i="12"/>
  <c r="D9" i="12"/>
  <c r="D48" i="12"/>
  <c r="D62" i="12"/>
  <c r="D81" i="12"/>
  <c r="BD8" i="12"/>
  <c r="D23" i="12"/>
  <c r="D36" i="12"/>
  <c r="D51" i="12"/>
  <c r="D90" i="12"/>
  <c r="D75" i="12"/>
  <c r="D15" i="12"/>
  <c r="D64" i="12"/>
  <c r="D78" i="12"/>
  <c r="D20" i="12"/>
  <c r="D27" i="12"/>
  <c r="D53" i="12"/>
  <c r="D77" i="12"/>
  <c r="D4" i="12"/>
  <c r="D50" i="12"/>
  <c r="D71" i="12"/>
  <c r="D6" i="12"/>
  <c r="D42" i="12"/>
  <c r="D55" i="12"/>
  <c r="D73" i="12"/>
  <c r="D2" i="14"/>
  <c r="D82" i="12"/>
  <c r="D60" i="12"/>
  <c r="D8" i="12"/>
  <c r="D29" i="12"/>
  <c r="D57" i="12"/>
  <c r="D85" i="12"/>
  <c r="D38" i="12"/>
  <c r="D56" i="12"/>
  <c r="D66" i="12"/>
  <c r="D87" i="12"/>
  <c r="L2" i="14"/>
  <c r="BD14" i="12"/>
  <c r="D46" i="12"/>
  <c r="D67" i="12"/>
  <c r="D22" i="12"/>
  <c r="D92" i="12"/>
  <c r="AZ2" i="12"/>
  <c r="AV2" i="12"/>
  <c r="D2" i="17"/>
  <c r="T2" i="17"/>
  <c r="L2" i="17"/>
  <c r="G4" i="12" l="1"/>
  <c r="G92" i="12"/>
  <c r="G98" i="12"/>
  <c r="G99" i="12"/>
  <c r="G100" i="12"/>
  <c r="G94" i="12"/>
  <c r="G95" i="12"/>
  <c r="G97" i="12"/>
  <c r="G96" i="12"/>
  <c r="E96" i="12"/>
  <c r="E97" i="12"/>
  <c r="E100" i="12"/>
  <c r="E99" i="12"/>
  <c r="E94" i="12"/>
  <c r="E95" i="12"/>
  <c r="E98" i="12"/>
  <c r="AS42" i="12"/>
  <c r="E6" i="12"/>
  <c r="E5" i="12"/>
  <c r="AS43" i="12"/>
  <c r="AR40" i="12"/>
  <c r="AQ46" i="12"/>
  <c r="AS38" i="12"/>
  <c r="AS45" i="12"/>
  <c r="G27" i="12"/>
  <c r="G19" i="12"/>
  <c r="G5" i="12"/>
  <c r="G6" i="12"/>
  <c r="G54" i="12"/>
  <c r="F2" i="12"/>
  <c r="G40" i="12"/>
  <c r="G16" i="12"/>
  <c r="G14" i="12"/>
  <c r="G80" i="12"/>
  <c r="G36" i="12"/>
  <c r="G59" i="12"/>
  <c r="G73" i="12"/>
  <c r="G31" i="12"/>
  <c r="BD30" i="12"/>
  <c r="G60" i="12"/>
  <c r="G12" i="12"/>
  <c r="G17" i="12"/>
  <c r="G63" i="12"/>
  <c r="G26" i="12"/>
  <c r="E66" i="12"/>
  <c r="G37" i="12"/>
  <c r="G35" i="12"/>
  <c r="G45" i="12"/>
  <c r="G55" i="12"/>
  <c r="G84" i="12"/>
  <c r="G90" i="12"/>
  <c r="G53" i="12"/>
  <c r="G20" i="12"/>
  <c r="G21" i="12"/>
  <c r="G79" i="12"/>
  <c r="G9" i="12"/>
  <c r="G38" i="12"/>
  <c r="G69" i="12"/>
  <c r="G51" i="12"/>
  <c r="G46" i="12"/>
  <c r="G25" i="12"/>
  <c r="G64" i="12"/>
  <c r="G39" i="12"/>
  <c r="G85" i="12"/>
  <c r="G24" i="12"/>
  <c r="E47" i="12"/>
  <c r="G49" i="12"/>
  <c r="E17" i="12"/>
  <c r="G65" i="12"/>
  <c r="G93" i="12"/>
  <c r="G72" i="12"/>
  <c r="E48" i="12"/>
  <c r="G67" i="12"/>
  <c r="E15" i="12"/>
  <c r="G81" i="12"/>
  <c r="G33" i="12"/>
  <c r="G86" i="12"/>
  <c r="E35" i="12"/>
  <c r="G30" i="12"/>
  <c r="G78" i="12"/>
  <c r="G89" i="12"/>
  <c r="G50" i="12"/>
  <c r="G61" i="12"/>
  <c r="G58" i="12"/>
  <c r="G74" i="12"/>
  <c r="E90" i="12"/>
  <c r="G8" i="12"/>
  <c r="G32" i="12"/>
  <c r="G29" i="12"/>
  <c r="G52" i="12"/>
  <c r="G47" i="12"/>
  <c r="G68" i="12"/>
  <c r="E71" i="12"/>
  <c r="G13" i="12"/>
  <c r="G70" i="12"/>
  <c r="G44" i="12"/>
  <c r="G88" i="12"/>
  <c r="G77" i="12"/>
  <c r="G18" i="12"/>
  <c r="G91" i="12"/>
  <c r="G42" i="12"/>
  <c r="G34" i="12"/>
  <c r="G11" i="12"/>
  <c r="G10" i="12"/>
  <c r="G75" i="12"/>
  <c r="G76" i="12"/>
  <c r="G22" i="12"/>
  <c r="G57" i="12"/>
  <c r="G48" i="12"/>
  <c r="G71" i="12"/>
  <c r="G56" i="12"/>
  <c r="AR39" i="12"/>
  <c r="G23" i="12"/>
  <c r="G7" i="12"/>
  <c r="G82" i="12"/>
  <c r="G41" i="12"/>
  <c r="G83" i="12"/>
  <c r="G15" i="12"/>
  <c r="G87" i="12"/>
  <c r="G62" i="12"/>
  <c r="G66" i="12"/>
  <c r="G28" i="12"/>
  <c r="G43" i="12"/>
  <c r="E78" i="12"/>
  <c r="E20" i="12"/>
  <c r="E9" i="12"/>
  <c r="E87" i="12"/>
  <c r="E86" i="12"/>
  <c r="E81" i="12"/>
  <c r="E68" i="12"/>
  <c r="E75" i="12"/>
  <c r="E29" i="12"/>
  <c r="E43" i="12"/>
  <c r="E32" i="12"/>
  <c r="E72" i="12"/>
  <c r="E39" i="12"/>
  <c r="E24" i="12"/>
  <c r="E93" i="12"/>
  <c r="E45" i="12"/>
  <c r="E7" i="12"/>
  <c r="E59" i="12"/>
  <c r="E83" i="12"/>
  <c r="E23" i="12"/>
  <c r="E36" i="12"/>
  <c r="E44" i="12"/>
  <c r="E92" i="12"/>
  <c r="E65" i="12"/>
  <c r="E79" i="12"/>
  <c r="E52" i="12"/>
  <c r="E61" i="12"/>
  <c r="E89" i="12"/>
  <c r="E53" i="12"/>
  <c r="E10" i="12"/>
  <c r="E21" i="12"/>
  <c r="E55" i="12"/>
  <c r="E56" i="12"/>
  <c r="E60" i="12"/>
  <c r="E77" i="12"/>
  <c r="E4" i="12"/>
  <c r="E11" i="12"/>
  <c r="E31" i="12"/>
  <c r="E8" i="12"/>
  <c r="E46" i="12"/>
  <c r="E84" i="12"/>
  <c r="E80" i="12"/>
  <c r="E28" i="12"/>
  <c r="E30" i="12"/>
  <c r="E41" i="12"/>
  <c r="E13" i="12"/>
  <c r="E82" i="12"/>
  <c r="E25" i="12"/>
  <c r="E73" i="12"/>
  <c r="E37" i="12"/>
  <c r="E85" i="12"/>
  <c r="E22" i="12"/>
  <c r="E40" i="12"/>
  <c r="E42" i="12"/>
  <c r="E74" i="12"/>
  <c r="E14" i="12"/>
  <c r="E38" i="12"/>
  <c r="E62" i="12"/>
  <c r="E69" i="12"/>
  <c r="E49" i="12"/>
  <c r="E26" i="12"/>
  <c r="AS34" i="12"/>
  <c r="AR34" i="12"/>
  <c r="E67" i="12"/>
  <c r="E58" i="12"/>
  <c r="E19" i="12"/>
  <c r="E91" i="12"/>
  <c r="E16" i="12"/>
  <c r="E34" i="12"/>
  <c r="E50" i="12"/>
  <c r="E51" i="12"/>
  <c r="E63" i="12"/>
  <c r="E88" i="12"/>
  <c r="E27" i="12"/>
  <c r="E54" i="12"/>
  <c r="E18" i="12"/>
  <c r="E12" i="12"/>
  <c r="E57" i="12"/>
  <c r="E70" i="12"/>
  <c r="E76" i="12"/>
  <c r="E64" i="12"/>
  <c r="E33" i="12"/>
  <c r="E101" i="12" l="1"/>
  <c r="AS46" i="12"/>
  <c r="AS47" i="12" s="1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E1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实际富裕2</t>
        </r>
      </text>
    </comment>
  </commentList>
</comments>
</file>

<file path=xl/sharedStrings.xml><?xml version="1.0" encoding="utf-8"?>
<sst xmlns="http://schemas.openxmlformats.org/spreadsheetml/2006/main" count="2582" uniqueCount="101">
  <si>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</si>
  <si>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</si>
  <si>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</si>
  <si>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</si>
  <si>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</si>
  <si>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</si>
  <si>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</si>
  <si>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</si>
  <si>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</si>
  <si>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</si>
  <si>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</si>
  <si>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</si>
  <si>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</si>
  <si>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</si>
  <si>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</si>
  <si>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</si>
  <si>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</si>
  <si>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</si>
  <si>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</si>
  <si>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</si>
  <si>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</si>
  <si>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</si>
  <si>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</si>
  <si>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</si>
  <si>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</si>
  <si>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</si>
  <si>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</si>
  <si>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</si>
  <si>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</si>
  <si>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</si>
  <si>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</si>
  <si>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</si>
  <si>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</si>
  <si>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</si>
  <si>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</si>
  <si>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</si>
  <si>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</si>
  <si>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</si>
  <si>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</si>
  <si>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</si>
  <si>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</si>
  <si>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</si>
  <si>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草1</t>
  </si>
  <si>
    <t>2级</t>
  </si>
  <si>
    <t>否</t>
  </si>
  <si>
    <t>八卦后</t>
  </si>
  <si>
    <t>草2</t>
  </si>
  <si>
    <t>Note：开完八卦当天可能需要手动计算粮草</t>
  </si>
  <si>
    <t>历练</t>
  </si>
  <si>
    <t>营地</t>
  </si>
  <si>
    <t>3级</t>
  </si>
  <si>
    <t>4级</t>
  </si>
  <si>
    <t>大卦</t>
  </si>
  <si>
    <t>3级卦</t>
  </si>
  <si>
    <t>5级</t>
  </si>
  <si>
    <t>6级</t>
  </si>
  <si>
    <t>草5</t>
  </si>
  <si>
    <t>是</t>
  </si>
  <si>
    <t>草3</t>
  </si>
  <si>
    <t>草4</t>
  </si>
  <si>
    <t>草6</t>
  </si>
  <si>
    <t>遗迹</t>
  </si>
  <si>
    <t>巨卦</t>
  </si>
  <si>
    <t>大boss</t>
  </si>
  <si>
    <t>中boss</t>
  </si>
  <si>
    <t>4级卦</t>
  </si>
  <si>
    <t>塔1</t>
  </si>
  <si>
    <t>塔2</t>
  </si>
  <si>
    <t>塔3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</si>
  <si>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</si>
  <si>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</si>
  <si>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</si>
  <si>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</si>
  <si>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</si>
  <si>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</si>
  <si>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</si>
  <si>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</si>
  <si>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</si>
  <si>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</si>
  <si>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</si>
  <si>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</si>
  <si>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</si>
  <si>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</si>
  <si>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</si>
  <si>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</si>
  <si>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</si>
  <si>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</si>
  <si>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</si>
  <si>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</si>
  <si>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</si>
  <si>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</si>
  <si>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</si>
  <si>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</si>
  <si>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</si>
  <si>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</si>
  <si>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</si>
  <si>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</si>
  <si>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</si>
  <si>
    <t>兵粮buff</t>
  </si>
  <si>
    <t>战勋buff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</si>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</sst>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gray0625">
        <bgColor theme="8" tint="0.79995117038483843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/>
    <xf numFmtId="0" fontId="13" fillId="0" borderId="0" applyBorder="0"/>
  </cellStyleXfs>
  <cellXfs count="13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ill="1" applyBorder="1"/>
    <xf numFmtId="0" fontId="0" fillId="9" borderId="8" xfId="0" applyFill="1" applyBorder="1" applyAlignment="1">
      <alignment vertical="top"/>
    </xf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1" fillId="23" borderId="8" xfId="0" applyFont="1" applyFill="1" applyBorder="1"/>
    <xf numFmtId="0" fontId="1" fillId="24" borderId="8" xfId="0" applyFont="1" applyFill="1" applyBorder="1"/>
    <xf numFmtId="0" fontId="0" fillId="11" borderId="8" xfId="0" applyFill="1" applyBorder="1" applyAlignment="1">
      <alignment vertical="top"/>
    </xf>
    <xf numFmtId="0" fontId="0" fillId="25" borderId="8" xfId="0" applyFill="1" applyBorder="1" applyAlignment="1">
      <alignment vertical="top"/>
    </xf>
    <xf numFmtId="0" fontId="0" fillId="19" borderId="8" xfId="0" applyFill="1" applyBorder="1"/>
    <xf numFmtId="0" fontId="1" fillId="17" borderId="8" xfId="0" applyFont="1" applyFill="1" applyBorder="1"/>
    <xf numFmtId="0" fontId="0" fillId="26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1" fillId="26" borderId="8" xfId="0" applyFont="1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7" borderId="8" xfId="0" applyFont="1" applyFill="1" applyBorder="1"/>
    <xf numFmtId="0" fontId="1" fillId="0" borderId="8" xfId="0" applyFont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ill="1"/>
    <xf numFmtId="0" fontId="0" fillId="5" borderId="0" xfId="0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0" fillId="0" borderId="18" xfId="1" applyFont="1" applyBorder="1"/>
    <xf numFmtId="0" fontId="12" fillId="0" borderId="0" xfId="0" applyFont="1"/>
    <xf numFmtId="0" fontId="14" fillId="6" borderId="0" xfId="0" applyFont="1" applyFill="1"/>
    <xf numFmtId="14" fontId="14" fillId="7" borderId="0" xfId="0" applyNumberFormat="1" applyFont="1" applyFill="1"/>
    <xf numFmtId="0" fontId="14" fillId="8" borderId="0" xfId="1" applyFont="1" applyFill="1"/>
    <xf numFmtId="14" fontId="14" fillId="30" borderId="0" xfId="0" applyNumberFormat="1" applyFont="1" applyFill="1"/>
    <xf numFmtId="0" fontId="14" fillId="6" borderId="0" xfId="1" applyFont="1" applyFill="1"/>
    <xf numFmtId="0" fontId="0" fillId="17" borderId="8" xfId="0" applyFill="1" applyBorder="1"/>
    <xf numFmtId="0" fontId="0" fillId="31" borderId="8" xfId="0" applyFill="1" applyBorder="1"/>
    <xf numFmtId="0" fontId="0" fillId="32" borderId="8" xfId="0" applyFill="1" applyBorder="1"/>
    <xf numFmtId="0" fontId="0" fillId="0" borderId="8" xfId="0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3" borderId="0" xfId="0" applyFill="1"/>
  </cellXfs>
  <cellStyles count="2">
    <cellStyle name="Normal" xfId="0" builtinId="0"/>
    <cellStyle name="Normal 2" xfId="1" xr:uid="{00000000-0005-0000-0000-000000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101"/>
  <sheetViews>
    <sheetView tabSelected="1" zoomScale="115" zoomScaleNormal="115" workbookViewId="0">
      <pane xSplit="2" ySplit="3" topLeftCell="C16" activePane="bottomRight" state="frozen"/>
      <selection pane="topRight"/>
      <selection pane="bottomLeft"/>
      <selection pane="bottomRight" activeCell="E17" sqref="E17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08">
        <f ca="1">(_xlfn.DAYS(TODAY(),A4)+2)/((_xlfn.DAYS(A93,A4))+1)</f>
        <v>-1.1111111111111112E-2</v>
      </c>
      <c r="B1" s="109"/>
      <c r="C1" s="109"/>
      <c r="D1" s="109"/>
      <c r="E1" s="109"/>
      <c r="F1" s="109"/>
      <c r="G1" s="109"/>
      <c r="H1" s="110"/>
      <c r="I1" s="111" t="s">
        <v>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3"/>
      <c r="AH1" s="19"/>
      <c r="AI1" s="19"/>
      <c r="AJ1" s="19"/>
      <c r="AO1" s="106"/>
      <c r="AP1" s="106"/>
      <c r="AQ1" s="106"/>
      <c r="AR1" s="20"/>
    </row>
    <row r="2" spans="1:57" ht="16.350000000000001" customHeight="1">
      <c r="B2" s="21"/>
      <c r="C2" s="22"/>
      <c r="D2" s="114" t="s">
        <v>1</v>
      </c>
      <c r="E2" s="115"/>
      <c r="F2" s="116">
        <f>SUM(F4:F93)+SUM(H4:H93)</f>
        <v>7000</v>
      </c>
      <c r="G2" s="116"/>
      <c r="H2" s="117"/>
      <c r="I2" s="118" t="s">
        <v>2</v>
      </c>
      <c r="J2" s="119"/>
      <c r="K2" s="23" t="s">
        <v>3</v>
      </c>
      <c r="L2" s="23">
        <f>COUNTIF(I4:P93,"&lt;&gt;空")</f>
        <v>0</v>
      </c>
      <c r="M2" s="119" t="s">
        <v>4</v>
      </c>
      <c r="N2" s="119"/>
      <c r="O2" s="119"/>
      <c r="P2" s="120"/>
      <c r="Q2" s="121" t="s">
        <v>5</v>
      </c>
      <c r="R2" s="122"/>
      <c r="S2" s="24" t="s">
        <v>3</v>
      </c>
      <c r="T2" s="24">
        <f>COUNTIF(Q4:X93,"&lt;&gt;空")</f>
        <v>0</v>
      </c>
      <c r="U2" s="122" t="s">
        <v>4</v>
      </c>
      <c r="V2" s="122"/>
      <c r="W2" s="122"/>
      <c r="X2" s="123"/>
      <c r="Y2" s="124" t="s">
        <v>6</v>
      </c>
      <c r="Z2" s="125"/>
      <c r="AA2" s="26" t="s">
        <v>7</v>
      </c>
      <c r="AB2" s="25">
        <f>COUNTIF(Y4:AF93,"&lt;&gt;空")</f>
        <v>0</v>
      </c>
      <c r="AC2" s="125" t="s">
        <v>4</v>
      </c>
      <c r="AD2" s="125"/>
      <c r="AE2" s="125"/>
      <c r="AF2" s="126"/>
      <c r="AG2" s="27">
        <f t="shared" ref="AG2:AJ2" si="0">SUM(AG4:AG93)</f>
        <v>0</v>
      </c>
      <c r="AH2" s="27">
        <f t="shared" si="0"/>
        <v>0</v>
      </c>
      <c r="AI2" s="27">
        <f t="shared" si="0"/>
        <v>0</v>
      </c>
      <c r="AJ2" s="28">
        <f t="shared" si="0"/>
        <v>0</v>
      </c>
      <c r="AK2" s="103" t="s">
        <v>8</v>
      </c>
      <c r="AO2" s="107"/>
      <c r="AP2" s="107"/>
      <c r="AQ2" s="107"/>
      <c r="AR2" s="20"/>
      <c r="AU2" t="s">
        <v>9</v>
      </c>
      <c r="AV2">
        <f>SUM(AV4:AV29)</f>
        <v>0</v>
      </c>
      <c r="AW2" t="s">
        <v>10</v>
      </c>
      <c r="AX2">
        <f>AR47</f>
        <v>10800</v>
      </c>
      <c r="AY2" t="s">
        <v>11</v>
      </c>
      <c r="AZ2">
        <f>SUM(AX4:AZ29)+7000</f>
        <v>7000</v>
      </c>
      <c r="BA2" s="29"/>
      <c r="BB2" s="30" t="s">
        <v>12</v>
      </c>
    </row>
    <row r="3" spans="1:57" ht="31.5" customHeight="1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35">
        <v>1</v>
      </c>
      <c r="J3" s="36">
        <v>2</v>
      </c>
      <c r="K3" s="36">
        <v>3</v>
      </c>
      <c r="L3" s="36">
        <v>4</v>
      </c>
      <c r="M3" s="36">
        <v>5</v>
      </c>
      <c r="N3" s="36">
        <v>6</v>
      </c>
      <c r="O3" s="36">
        <v>7</v>
      </c>
      <c r="P3" s="36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39">
        <v>1</v>
      </c>
      <c r="Z3" s="40">
        <v>2</v>
      </c>
      <c r="AA3" s="40">
        <v>3</v>
      </c>
      <c r="AB3" s="40">
        <v>4</v>
      </c>
      <c r="AC3" s="40">
        <v>5</v>
      </c>
      <c r="AD3" s="40">
        <v>6</v>
      </c>
      <c r="AE3" s="40">
        <v>7</v>
      </c>
      <c r="AF3" s="41">
        <v>8</v>
      </c>
      <c r="AG3" s="42" t="s">
        <v>20</v>
      </c>
      <c r="AH3" s="43" t="s">
        <v>21</v>
      </c>
      <c r="AI3" s="44" t="s">
        <v>22</v>
      </c>
      <c r="AJ3" s="45" t="s">
        <v>23</v>
      </c>
      <c r="AK3" s="104"/>
      <c r="AL3" s="46" t="s">
        <v>24</v>
      </c>
      <c r="AM3" s="47" t="s">
        <v>25</v>
      </c>
      <c r="AN3" s="48" t="s">
        <v>26</v>
      </c>
      <c r="AO3" s="14" t="s">
        <v>27</v>
      </c>
      <c r="AP3" s="14" t="s">
        <v>28</v>
      </c>
      <c r="AQ3" s="14" t="s">
        <v>29</v>
      </c>
      <c r="AR3" s="14" t="s">
        <v>30</v>
      </c>
      <c r="AS3" s="49" t="s">
        <v>31</v>
      </c>
      <c r="AT3" s="50" t="s">
        <v>32</v>
      </c>
      <c r="AU3" s="51" t="s">
        <v>33</v>
      </c>
      <c r="AV3" s="52" t="s">
        <v>9</v>
      </c>
      <c r="AW3" s="52"/>
      <c r="AX3" s="49" t="s">
        <v>34</v>
      </c>
      <c r="AY3" s="50" t="s">
        <v>35</v>
      </c>
      <c r="AZ3" s="51" t="s">
        <v>36</v>
      </c>
      <c r="BA3" s="53" t="s">
        <v>37</v>
      </c>
      <c r="BB3" s="54">
        <v>1</v>
      </c>
      <c r="BD3" t="s">
        <v>38</v>
      </c>
    </row>
    <row r="4" spans="1:57" s="18" customFormat="1">
      <c r="A4" s="95">
        <v>46276</v>
      </c>
      <c r="B4" s="55">
        <v>800</v>
      </c>
      <c r="C4" s="56">
        <v>6000</v>
      </c>
      <c r="D4" s="55">
        <f>(SUM(粮草!A4:X4)+AG4*10*IF(AK4="是",$BB$4,$BB$3))</f>
        <v>0</v>
      </c>
      <c r="E4" s="57">
        <f>SUM($B$4:B4)+SUM($C$4:C4)-SUM($D$4:D4)</f>
        <v>6800</v>
      </c>
      <c r="F4" s="55">
        <f>SUM(经验!A4:X4)</f>
        <v>0</v>
      </c>
      <c r="G4" s="55">
        <f>SUM($F$4:F4)+SUM($H$4:H4)</f>
        <v>500</v>
      </c>
      <c r="H4" s="55">
        <v>500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s="60" t="s">
        <v>41</v>
      </c>
      <c r="P4" s="60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s="60" t="s">
        <v>41</v>
      </c>
      <c r="X4" s="60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60" t="s">
        <v>41</v>
      </c>
      <c r="AF4" s="60" t="s">
        <v>41</v>
      </c>
      <c r="AG4" s="62">
        <f>AH4+AI4+AJ4</f>
        <v>0</v>
      </c>
      <c r="AH4" s="62"/>
      <c r="AI4" s="62"/>
      <c r="AJ4" s="62"/>
      <c r="AK4" s="63" t="s">
        <v>44</v>
      </c>
      <c r="AL4" s="64">
        <f>6-COUNTIF(I4:P4,"&lt;&gt;空")+COUNTIF(I4:P4,"塔1")*5</f>
        <v>6</v>
      </c>
      <c r="AM4" s="64">
        <f>6-COUNTIF(Q4:X4,"&lt;&gt;空")+COUNTIF(Q4:X4,"塔1")*5</f>
        <v>6</v>
      </c>
      <c r="AN4" s="64">
        <f>6-COUNTIF(Y4:AF4,"&lt;&gt;空")+COUNTIF(Y4:AF4,"塔1")*5</f>
        <v>6</v>
      </c>
      <c r="AO4" s="58" t="s">
        <v>39</v>
      </c>
      <c r="AP4" s="14">
        <v>150</v>
      </c>
      <c r="AQ4" s="14">
        <v>35</v>
      </c>
      <c r="AR4" s="65">
        <v>44.222109392472198</v>
      </c>
      <c r="AS4" s="65">
        <f>COUNTIF($I$4:$P93,AO4)</f>
        <v>0</v>
      </c>
      <c r="AT4" s="65">
        <f>COUNTIF($Q$4:$X$93,AO4)</f>
        <v>0</v>
      </c>
      <c r="AU4" s="65">
        <f>COUNTIF($Y$4:$AF$93,AO4)</f>
        <v>0</v>
      </c>
      <c r="AV4" s="66">
        <f>AS4+AT4+AU4</f>
        <v>0</v>
      </c>
      <c r="AW4" s="67">
        <v>16</v>
      </c>
      <c r="AX4" s="67">
        <f t="shared" ref="AX4:AX29" si="1">AS4*$AQ4</f>
        <v>0</v>
      </c>
      <c r="AY4" s="67">
        <f t="shared" ref="AY4:AZ19" si="2">AT4*$AQ4</f>
        <v>0</v>
      </c>
      <c r="AZ4" s="67">
        <f t="shared" si="2"/>
        <v>0</v>
      </c>
      <c r="BA4" s="68" t="s">
        <v>45</v>
      </c>
      <c r="BB4" s="69">
        <v>0.8</v>
      </c>
      <c r="BD4" s="67">
        <f>AR4*AV4</f>
        <v>0</v>
      </c>
    </row>
    <row r="5" spans="1:57" s="18" customFormat="1">
      <c r="A5" s="95">
        <v>46277</v>
      </c>
      <c r="B5" s="55">
        <v>1600</v>
      </c>
      <c r="C5" s="56"/>
      <c r="D5" s="55">
        <f>(SUM(粮草!A5:X5)+AG5*10*IF(AK5="是",$BB$4,$BB$3))</f>
        <v>0</v>
      </c>
      <c r="E5" s="57">
        <f>SUM($B$4:B5)+SUM($C$4:C5)-SUM($D$4:D5)</f>
        <v>8400</v>
      </c>
      <c r="F5" s="55">
        <f>SUM(经验!A5:X5)</f>
        <v>0</v>
      </c>
      <c r="G5" s="55">
        <f>SUM($F$4:F5)+SUM($H$4:H5)</f>
        <v>500</v>
      </c>
      <c r="H5" s="55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60" t="s">
        <v>41</v>
      </c>
      <c r="P5" s="60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s="60" t="s">
        <v>41</v>
      </c>
      <c r="X5" s="60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s="60" t="s">
        <v>41</v>
      </c>
      <c r="AF5" s="60" t="s">
        <v>41</v>
      </c>
      <c r="AG5" s="62">
        <f t="shared" ref="AG5:AG66" si="3">AH5+AI5+AJ5</f>
        <v>0</v>
      </c>
      <c r="AH5" s="62"/>
      <c r="AI5" s="62"/>
      <c r="AJ5" s="62"/>
      <c r="AK5" s="63" t="s">
        <v>44</v>
      </c>
      <c r="AL5" s="64">
        <f>MIN(AL4+6,18)-COUNTIF(I5:P5,"&lt;&gt;空")+COUNTIF(I5:P5,"历练")+COUNTIF(I5:P5,"营地")*2+COUNTIF(I5:P5,"塔1")*5</f>
        <v>12</v>
      </c>
      <c r="AM5" s="64">
        <f>MIN(AM4+6,18)-COUNTIF(Q5:X5,"&lt;&gt;空")+COUNTIF(Q5:X5,"历练")+COUNTIF(Q5:X5,"营地")*2+COUNTIF(Q5:X5,"塔1")*5</f>
        <v>12</v>
      </c>
      <c r="AN5" s="64">
        <f>MIN(AN4+6,18)-COUNTIF(Y5:AF5,"&lt;&gt;空")+COUNTIF(Y5:AF5,"历练")+COUNTIF(Y5:AF5,"营地")*2+COUNTIF(Y5:AF5,"塔1")*5</f>
        <v>12</v>
      </c>
      <c r="AO5" s="61" t="s">
        <v>43</v>
      </c>
      <c r="AP5" s="14">
        <v>160</v>
      </c>
      <c r="AQ5" s="14">
        <v>40</v>
      </c>
      <c r="AR5" s="65">
        <v>39.110982162825401</v>
      </c>
      <c r="AS5" s="65">
        <f>COUNTIF($I$4:$P94,AO5)</f>
        <v>0</v>
      </c>
      <c r="AT5" s="65">
        <f t="shared" ref="AT5:AT29" si="4">COUNTIF($Q$4:$X$93,AO5)</f>
        <v>0</v>
      </c>
      <c r="AU5" s="65">
        <f t="shared" ref="AU5:AU29" si="5">COUNTIF($Y$4:$AF$93,AO5)</f>
        <v>0</v>
      </c>
      <c r="AV5" s="66">
        <f t="shared" ref="AV5:AV26" si="6">AS5+AT5+AU5</f>
        <v>0</v>
      </c>
      <c r="AW5" s="67">
        <v>28</v>
      </c>
      <c r="AX5" s="67">
        <f t="shared" si="1"/>
        <v>0</v>
      </c>
      <c r="AY5" s="67">
        <f t="shared" si="2"/>
        <v>0</v>
      </c>
      <c r="AZ5" s="67">
        <f t="shared" si="2"/>
        <v>0</v>
      </c>
      <c r="BA5" s="105" t="s">
        <v>47</v>
      </c>
      <c r="BB5" s="105"/>
      <c r="BD5" s="67">
        <f t="shared" ref="BD5:BD29" si="7">AR5*AV5</f>
        <v>0</v>
      </c>
    </row>
    <row r="6" spans="1:57" s="18" customFormat="1">
      <c r="A6" s="95">
        <v>46278</v>
      </c>
      <c r="B6" s="55">
        <v>1600</v>
      </c>
      <c r="C6" s="56"/>
      <c r="D6" s="55">
        <f>(SUM(粮草!A6:X6)+AG6*10*IF(AK6="是",$BB$4,$BB$3))</f>
        <v>0</v>
      </c>
      <c r="E6" s="57">
        <f>SUM($B$4:B6)+SUM($C$4:C6)-SUM($D$4:D6)</f>
        <v>10000</v>
      </c>
      <c r="F6" s="55">
        <f>SUM(经验!A6:X6)</f>
        <v>0</v>
      </c>
      <c r="G6" s="55">
        <f>SUM($F$4:F6)+SUM($H$4:H6)</f>
        <v>500</v>
      </c>
      <c r="H6" s="55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60" t="s">
        <v>41</v>
      </c>
      <c r="P6" s="60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s="60" t="s">
        <v>41</v>
      </c>
      <c r="X6" s="60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s="60" t="s">
        <v>41</v>
      </c>
      <c r="AF6" s="60" t="s">
        <v>41</v>
      </c>
      <c r="AG6" s="62">
        <f t="shared" si="3"/>
        <v>0</v>
      </c>
      <c r="AH6" s="62"/>
      <c r="AI6" s="62"/>
      <c r="AJ6" s="62"/>
      <c r="AK6" s="63" t="s">
        <v>44</v>
      </c>
      <c r="AL6" s="64">
        <f t="shared" ref="AL6:AL69" si="8">MIN(AL5+6,18)-COUNTIF(I6:P6,"&lt;&gt;空")+COUNTIF(I6:P6,"历练")+COUNTIF(I6:P6,"营地")*2+COUNTIF(I6:P6,"塔1")*5</f>
        <v>18</v>
      </c>
      <c r="AM6" s="64">
        <f t="shared" ref="AM6:AM69" si="9">MIN(AM5+6,18)-COUNTIF(Q6:X6,"&lt;&gt;空")+COUNTIF(Q6:X6,"历练")+COUNTIF(Q6:X6,"营地")*2+COUNTIF(Q6:X6,"塔1")*5</f>
        <v>18</v>
      </c>
      <c r="AN6" s="64">
        <f t="shared" ref="AN6:AN30" si="10">MIN(AN5+6,18)-COUNTIF(Y6:AF6,"&lt;&gt;空")+COUNTIF(Y6:AF6,"历练")+COUNTIF(Y6:AF6,"营地")*2+COUNTIF(Y6:AF6,"塔1")*5</f>
        <v>18</v>
      </c>
      <c r="AO6" s="72" t="s">
        <v>50</v>
      </c>
      <c r="AP6" s="14">
        <v>170</v>
      </c>
      <c r="AQ6" s="14">
        <v>45</v>
      </c>
      <c r="AR6" s="65">
        <v>34</v>
      </c>
      <c r="AS6" s="65">
        <f>COUNTIF($I$4:$P95,AO6)</f>
        <v>0</v>
      </c>
      <c r="AT6" s="65">
        <f t="shared" si="4"/>
        <v>0</v>
      </c>
      <c r="AU6" s="65">
        <f t="shared" si="5"/>
        <v>0</v>
      </c>
      <c r="AV6" s="66">
        <f t="shared" si="6"/>
        <v>0</v>
      </c>
      <c r="AW6" s="67">
        <v>54</v>
      </c>
      <c r="AX6" s="67">
        <f t="shared" si="1"/>
        <v>0</v>
      </c>
      <c r="AY6" s="67">
        <f t="shared" si="2"/>
        <v>0</v>
      </c>
      <c r="AZ6" s="67">
        <f t="shared" si="2"/>
        <v>0</v>
      </c>
      <c r="BA6" s="106"/>
      <c r="BB6" s="106"/>
      <c r="BD6" s="67">
        <f t="shared" si="7"/>
        <v>0</v>
      </c>
    </row>
    <row r="7" spans="1:57">
      <c r="A7" s="95">
        <v>46279</v>
      </c>
      <c r="B7" s="67">
        <v>1600</v>
      </c>
      <c r="C7" s="67"/>
      <c r="D7" s="55">
        <f>(SUM(粮草!A7:X7)+AG7*10*IF(AK7="是",$BB$4,$BB$3))</f>
        <v>0</v>
      </c>
      <c r="E7" s="57">
        <f>SUM($B$4:B7)+SUM($C$4:C7)-SUM($D$4:D7)</f>
        <v>11600</v>
      </c>
      <c r="F7" s="55">
        <f>SUM(经验!A7:X7)</f>
        <v>0</v>
      </c>
      <c r="G7" s="55">
        <f>SUM($F$4:F7)+SUM($H$4:H7)</f>
        <v>700</v>
      </c>
      <c r="H7" s="67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60" t="s">
        <v>41</v>
      </c>
      <c r="P7" s="60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s="60" t="s">
        <v>41</v>
      </c>
      <c r="X7" s="60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s="60" t="s">
        <v>41</v>
      </c>
      <c r="AF7" s="60" t="s">
        <v>41</v>
      </c>
      <c r="AG7" s="62">
        <f t="shared" si="3"/>
        <v>0</v>
      </c>
      <c r="AH7" s="62"/>
      <c r="AI7" s="62"/>
      <c r="AJ7" s="62"/>
      <c r="AK7" s="63" t="s">
        <v>44</v>
      </c>
      <c r="AL7" s="64">
        <f t="shared" si="8"/>
        <v>18</v>
      </c>
      <c r="AM7" s="64">
        <f t="shared" si="9"/>
        <v>18</v>
      </c>
      <c r="AN7" s="64">
        <f t="shared" si="10"/>
        <v>18</v>
      </c>
      <c r="AO7" s="73" t="s">
        <v>51</v>
      </c>
      <c r="AP7" s="14">
        <v>180</v>
      </c>
      <c r="AQ7" s="14">
        <v>50</v>
      </c>
      <c r="AR7" s="14">
        <v>36</v>
      </c>
      <c r="AS7" s="65">
        <f>COUNTIF($I$4:$P96,AO7)</f>
        <v>0</v>
      </c>
      <c r="AT7" s="65">
        <f t="shared" si="4"/>
        <v>0</v>
      </c>
      <c r="AU7" s="65">
        <f t="shared" si="5"/>
        <v>0</v>
      </c>
      <c r="AV7" s="74">
        <f t="shared" si="6"/>
        <v>0</v>
      </c>
      <c r="AW7">
        <v>22</v>
      </c>
      <c r="AX7">
        <f t="shared" si="1"/>
        <v>0</v>
      </c>
      <c r="AY7">
        <f t="shared" si="2"/>
        <v>0</v>
      </c>
      <c r="AZ7">
        <f t="shared" si="2"/>
        <v>0</v>
      </c>
      <c r="BA7" s="106"/>
      <c r="BB7" s="106"/>
      <c r="BD7" s="67">
        <f t="shared" si="7"/>
        <v>0</v>
      </c>
      <c r="BE7" s="18"/>
    </row>
    <row r="8" spans="1:57">
      <c r="A8" s="95">
        <v>46280</v>
      </c>
      <c r="B8" s="67">
        <v>1600</v>
      </c>
      <c r="C8" s="67"/>
      <c r="D8" s="55">
        <f>(SUM(粮草!A8:X8)+AG8*10*IF(AK8="是",$BB$4,$BB$3))</f>
        <v>0</v>
      </c>
      <c r="E8" s="57">
        <f>SUM($B$4:B8)+SUM($C$4:C8)-SUM($D$4:D8)</f>
        <v>13200</v>
      </c>
      <c r="F8" s="55">
        <f>SUM(经验!A8:X8)</f>
        <v>0</v>
      </c>
      <c r="G8" s="55">
        <f>SUM($F$4:F8)+SUM($H$4:H8)</f>
        <v>1000</v>
      </c>
      <c r="H8" s="67">
        <v>300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60" t="s">
        <v>41</v>
      </c>
      <c r="P8" s="60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s="60" t="s">
        <v>41</v>
      </c>
      <c r="X8" s="60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s="60" t="s">
        <v>41</v>
      </c>
      <c r="AF8" s="60" t="s">
        <v>41</v>
      </c>
      <c r="AG8" s="62">
        <f t="shared" si="3"/>
        <v>0</v>
      </c>
      <c r="AH8" s="62"/>
      <c r="AI8" s="62"/>
      <c r="AJ8" s="62"/>
      <c r="AK8" s="63" t="s">
        <v>44</v>
      </c>
      <c r="AL8" s="64">
        <f t="shared" si="8"/>
        <v>18</v>
      </c>
      <c r="AM8" s="64">
        <f t="shared" si="9"/>
        <v>18</v>
      </c>
      <c r="AN8" s="64">
        <f t="shared" si="10"/>
        <v>18</v>
      </c>
      <c r="AO8" s="76" t="s">
        <v>54</v>
      </c>
      <c r="AP8" s="14">
        <v>190</v>
      </c>
      <c r="AQ8" s="14">
        <v>55</v>
      </c>
      <c r="AR8" s="14">
        <v>38</v>
      </c>
      <c r="AS8" s="65">
        <f>COUNTIF($I$4:$P97,AO8)</f>
        <v>0</v>
      </c>
      <c r="AT8" s="65">
        <f t="shared" si="4"/>
        <v>0</v>
      </c>
      <c r="AU8" s="65">
        <f t="shared" si="5"/>
        <v>0</v>
      </c>
      <c r="AV8" s="74">
        <f t="shared" si="6"/>
        <v>0</v>
      </c>
      <c r="AW8">
        <v>49</v>
      </c>
      <c r="AX8">
        <f t="shared" si="1"/>
        <v>0</v>
      </c>
      <c r="AY8">
        <f t="shared" si="2"/>
        <v>0</v>
      </c>
      <c r="AZ8">
        <f t="shared" si="2"/>
        <v>0</v>
      </c>
      <c r="BA8" s="106"/>
      <c r="BB8" s="106"/>
      <c r="BD8" s="67">
        <f t="shared" si="7"/>
        <v>0</v>
      </c>
      <c r="BE8" s="18"/>
    </row>
    <row r="9" spans="1:57">
      <c r="A9" s="95">
        <v>46281</v>
      </c>
      <c r="B9" s="67">
        <v>1600</v>
      </c>
      <c r="C9" s="67"/>
      <c r="D9" s="55">
        <f>(SUM(粮草!A9:X9)+AG9*10*IF(AK9="是",$BB$4,$BB$3))</f>
        <v>0</v>
      </c>
      <c r="E9" s="57">
        <f>SUM($B$4:B9)+SUM($C$4:C9)-SUM($D$4:D9)</f>
        <v>14800</v>
      </c>
      <c r="F9" s="55">
        <f>SUM(经验!A9:X9)</f>
        <v>0</v>
      </c>
      <c r="G9" s="55">
        <f>SUM($F$4:F9)+SUM($H$4:H9)</f>
        <v>1000</v>
      </c>
      <c r="H9" s="67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60" t="s">
        <v>41</v>
      </c>
      <c r="P9" s="60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s="60" t="s">
        <v>41</v>
      </c>
      <c r="X9" s="60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s="60" t="s">
        <v>41</v>
      </c>
      <c r="AF9" s="60" t="s">
        <v>41</v>
      </c>
      <c r="AG9" s="62">
        <f t="shared" si="3"/>
        <v>0</v>
      </c>
      <c r="AH9" s="62"/>
      <c r="AI9" s="62"/>
      <c r="AJ9" s="62"/>
      <c r="AK9" s="63" t="s">
        <v>44</v>
      </c>
      <c r="AL9" s="64">
        <f t="shared" si="8"/>
        <v>18</v>
      </c>
      <c r="AM9" s="64">
        <f t="shared" si="9"/>
        <v>18</v>
      </c>
      <c r="AN9" s="64">
        <f t="shared" si="10"/>
        <v>18</v>
      </c>
      <c r="AO9" s="77" t="s">
        <v>55</v>
      </c>
      <c r="AP9" s="14">
        <v>200</v>
      </c>
      <c r="AQ9" s="14">
        <v>60</v>
      </c>
      <c r="AR9" s="14">
        <v>40</v>
      </c>
      <c r="AS9" s="65">
        <f>COUNTIF($I$4:$P98,AO9)</f>
        <v>0</v>
      </c>
      <c r="AT9" s="65">
        <f t="shared" si="4"/>
        <v>0</v>
      </c>
      <c r="AU9" s="65">
        <f t="shared" si="5"/>
        <v>0</v>
      </c>
      <c r="AV9" s="74">
        <f t="shared" si="6"/>
        <v>0</v>
      </c>
      <c r="AW9">
        <v>51</v>
      </c>
      <c r="AX9">
        <f t="shared" si="1"/>
        <v>0</v>
      </c>
      <c r="AY9">
        <f t="shared" si="2"/>
        <v>0</v>
      </c>
      <c r="AZ9">
        <f t="shared" si="2"/>
        <v>0</v>
      </c>
      <c r="BD9" s="67">
        <f t="shared" si="7"/>
        <v>0</v>
      </c>
      <c r="BE9" s="18"/>
    </row>
    <row r="10" spans="1:57">
      <c r="A10" s="95">
        <v>46282</v>
      </c>
      <c r="B10" s="67">
        <v>1600</v>
      </c>
      <c r="C10" s="67"/>
      <c r="D10" s="55">
        <f>(SUM(粮草!A10:X10)+AG10*10*IF(AK10="是",$BB$4,$BB$3))</f>
        <v>0</v>
      </c>
      <c r="E10" s="57">
        <f>SUM($B$4:B10)+SUM($C$4:C10)-SUM($D$4:D10)</f>
        <v>16400</v>
      </c>
      <c r="F10" s="55">
        <f>SUM(经验!A10:X10)</f>
        <v>0</v>
      </c>
      <c r="G10" s="55">
        <f>SUM($F$4:F10)+SUM($H$4:H10)</f>
        <v>1000</v>
      </c>
      <c r="H10" s="67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60" t="s">
        <v>41</v>
      </c>
      <c r="P10" s="6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s="60" t="s">
        <v>41</v>
      </c>
      <c r="X10" s="6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s="60" t="s">
        <v>41</v>
      </c>
      <c r="AF10" s="60" t="s">
        <v>41</v>
      </c>
      <c r="AG10" s="62">
        <f t="shared" si="3"/>
        <v>0</v>
      </c>
      <c r="AH10" s="62"/>
      <c r="AI10" s="62"/>
      <c r="AJ10" s="62"/>
      <c r="AK10" s="63" t="s">
        <v>44</v>
      </c>
      <c r="AL10" s="64">
        <f t="shared" si="8"/>
        <v>18</v>
      </c>
      <c r="AM10" s="64">
        <f t="shared" si="9"/>
        <v>18</v>
      </c>
      <c r="AN10" s="64">
        <f t="shared" si="10"/>
        <v>18</v>
      </c>
      <c r="AO10" s="15" t="s">
        <v>42</v>
      </c>
      <c r="AP10" s="14">
        <v>150</v>
      </c>
      <c r="AQ10" s="14">
        <v>35</v>
      </c>
      <c r="AR10" s="14">
        <v>44.222109392472198</v>
      </c>
      <c r="AS10" s="65">
        <f>COUNTIF($I$4:$P99,AO10)</f>
        <v>0</v>
      </c>
      <c r="AT10" s="65">
        <f t="shared" si="4"/>
        <v>0</v>
      </c>
      <c r="AU10" s="65">
        <f t="shared" si="5"/>
        <v>0</v>
      </c>
      <c r="AV10" s="74">
        <f t="shared" si="6"/>
        <v>0</v>
      </c>
      <c r="AW10">
        <v>0</v>
      </c>
      <c r="AX10">
        <f t="shared" si="1"/>
        <v>0</v>
      </c>
      <c r="AY10">
        <f t="shared" si="2"/>
        <v>0</v>
      </c>
      <c r="AZ10">
        <f t="shared" si="2"/>
        <v>0</v>
      </c>
      <c r="BD10" s="67">
        <f t="shared" si="7"/>
        <v>0</v>
      </c>
      <c r="BE10" s="18"/>
    </row>
    <row r="11" spans="1:57">
      <c r="A11" s="95">
        <v>46283</v>
      </c>
      <c r="B11" s="67">
        <v>1600</v>
      </c>
      <c r="C11" s="67"/>
      <c r="D11" s="55">
        <f>(SUM(粮草!A11:X11)+AG11*10*IF(AK11="是",$BB$4,$BB$3))</f>
        <v>0</v>
      </c>
      <c r="E11" s="57">
        <f>SUM($B$4:B11)+SUM($C$4:C11)-SUM($D$4:D11)</f>
        <v>18000</v>
      </c>
      <c r="F11" s="55">
        <f>SUM(经验!A11:X11)</f>
        <v>0</v>
      </c>
      <c r="G11" s="55">
        <f>SUM($F$4:F11)+SUM($H$4:H11)</f>
        <v>1000</v>
      </c>
      <c r="H11" s="67">
        <v>0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s="60" t="s">
        <v>41</v>
      </c>
      <c r="P11" s="60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s="60" t="s">
        <v>41</v>
      </c>
      <c r="X11" s="60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s="60" t="s">
        <v>41</v>
      </c>
      <c r="AF11" s="60" t="s">
        <v>41</v>
      </c>
      <c r="AG11" s="62">
        <f t="shared" si="3"/>
        <v>0</v>
      </c>
      <c r="AH11" s="62"/>
      <c r="AI11" s="62"/>
      <c r="AJ11" s="62"/>
      <c r="AK11" s="80" t="s">
        <v>57</v>
      </c>
      <c r="AL11" s="64">
        <f t="shared" si="8"/>
        <v>18</v>
      </c>
      <c r="AM11" s="64">
        <f t="shared" si="9"/>
        <v>18</v>
      </c>
      <c r="AN11" s="64">
        <f t="shared" si="10"/>
        <v>18</v>
      </c>
      <c r="AO11" s="16" t="s">
        <v>46</v>
      </c>
      <c r="AP11" s="14">
        <v>150</v>
      </c>
      <c r="AQ11" s="14">
        <v>40</v>
      </c>
      <c r="AR11" s="14">
        <v>29.110982162825401</v>
      </c>
      <c r="AS11" s="65">
        <f>COUNTIF($I$4:$P100,AO11)</f>
        <v>0</v>
      </c>
      <c r="AT11" s="65">
        <f t="shared" si="4"/>
        <v>0</v>
      </c>
      <c r="AU11" s="65">
        <f t="shared" si="5"/>
        <v>0</v>
      </c>
      <c r="AV11" s="74">
        <f t="shared" si="6"/>
        <v>0</v>
      </c>
      <c r="AW11">
        <v>10</v>
      </c>
      <c r="AX11">
        <f t="shared" si="1"/>
        <v>0</v>
      </c>
      <c r="AY11">
        <f t="shared" si="2"/>
        <v>0</v>
      </c>
      <c r="AZ11">
        <f t="shared" si="2"/>
        <v>0</v>
      </c>
      <c r="BD11" s="67">
        <f t="shared" si="7"/>
        <v>0</v>
      </c>
      <c r="BE11" s="18"/>
    </row>
    <row r="12" spans="1:57">
      <c r="A12" s="95">
        <v>46284</v>
      </c>
      <c r="B12" s="67">
        <v>1600</v>
      </c>
      <c r="C12" s="67"/>
      <c r="D12" s="55">
        <f>(SUM(粮草!A12:X12)+AG12*10*IF(AK12="是",$BB$4,$BB$3))</f>
        <v>0</v>
      </c>
      <c r="E12" s="57">
        <f>SUM($B$4:B12)+SUM($C$4:C12)-SUM($D$4:D12)</f>
        <v>19600</v>
      </c>
      <c r="F12" s="55">
        <f>SUM(经验!A12:X12)</f>
        <v>0</v>
      </c>
      <c r="G12" s="55">
        <f>SUM($F$4:F12)+SUM($H$4:H12)</f>
        <v>1000</v>
      </c>
      <c r="H12" s="67">
        <v>0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s="60" t="s">
        <v>41</v>
      </c>
      <c r="P12" s="60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s="60" t="s">
        <v>41</v>
      </c>
      <c r="X12" s="60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s="60" t="s">
        <v>41</v>
      </c>
      <c r="AF12" s="60" t="s">
        <v>41</v>
      </c>
      <c r="AG12" s="62">
        <f t="shared" si="3"/>
        <v>0</v>
      </c>
      <c r="AH12" s="62"/>
      <c r="AI12" s="79"/>
      <c r="AJ12" s="62"/>
      <c r="AK12" s="80" t="s">
        <v>57</v>
      </c>
      <c r="AL12" s="64">
        <f t="shared" si="8"/>
        <v>18</v>
      </c>
      <c r="AM12" s="64">
        <f t="shared" si="9"/>
        <v>18</v>
      </c>
      <c r="AN12" s="64">
        <f t="shared" si="10"/>
        <v>18</v>
      </c>
      <c r="AO12" s="17" t="s">
        <v>58</v>
      </c>
      <c r="AP12" s="14">
        <v>150</v>
      </c>
      <c r="AQ12" s="14">
        <v>45</v>
      </c>
      <c r="AR12" s="14">
        <v>13.9998549331786</v>
      </c>
      <c r="AS12" s="65">
        <f>COUNTIF($I$4:$P101,AO12)</f>
        <v>0</v>
      </c>
      <c r="AT12" s="65">
        <f t="shared" si="4"/>
        <v>0</v>
      </c>
      <c r="AU12" s="65">
        <f t="shared" si="5"/>
        <v>0</v>
      </c>
      <c r="AV12" s="74">
        <f t="shared" si="6"/>
        <v>0</v>
      </c>
      <c r="AW12">
        <v>0</v>
      </c>
      <c r="AX12">
        <f t="shared" si="1"/>
        <v>0</v>
      </c>
      <c r="AY12">
        <f t="shared" si="2"/>
        <v>0</v>
      </c>
      <c r="AZ12">
        <f t="shared" si="2"/>
        <v>0</v>
      </c>
      <c r="BD12" s="67">
        <f t="shared" si="7"/>
        <v>0</v>
      </c>
      <c r="BE12" s="18"/>
    </row>
    <row r="13" spans="1:57">
      <c r="A13" s="95">
        <v>46285</v>
      </c>
      <c r="B13" s="67">
        <v>1600</v>
      </c>
      <c r="C13" s="67"/>
      <c r="D13" s="55">
        <f>(SUM(粮草!A13:X13)+AG13*10*IF(AK13="是",$BB$4,$BB$3))</f>
        <v>0</v>
      </c>
      <c r="E13" s="57">
        <f>SUM($B$4:B13)+SUM($C$4:C13)-SUM($D$4:D13)</f>
        <v>21200</v>
      </c>
      <c r="F13" s="55">
        <f>SUM(经验!A13:X13)</f>
        <v>0</v>
      </c>
      <c r="G13" s="55">
        <f>SUM($F$4:F13)+SUM($H$4:H13)</f>
        <v>1000</v>
      </c>
      <c r="H13" s="67">
        <v>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s="60" t="s">
        <v>41</v>
      </c>
      <c r="P13" s="60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s="60" t="s">
        <v>41</v>
      </c>
      <c r="X13" s="60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s="60" t="s">
        <v>41</v>
      </c>
      <c r="AF13" s="60" t="s">
        <v>41</v>
      </c>
      <c r="AG13" s="62">
        <f t="shared" si="3"/>
        <v>0</v>
      </c>
      <c r="AH13" s="79"/>
      <c r="AI13" s="79"/>
      <c r="AJ13" s="79"/>
      <c r="AK13" s="80" t="s">
        <v>57</v>
      </c>
      <c r="AL13" s="64">
        <f t="shared" si="8"/>
        <v>18</v>
      </c>
      <c r="AM13" s="64">
        <f t="shared" si="9"/>
        <v>18</v>
      </c>
      <c r="AN13" s="64">
        <f t="shared" si="10"/>
        <v>18</v>
      </c>
      <c r="AO13" s="81" t="s">
        <v>59</v>
      </c>
      <c r="AP13" s="14">
        <v>150</v>
      </c>
      <c r="AQ13" s="14">
        <v>50</v>
      </c>
      <c r="AR13" s="14"/>
      <c r="AS13" s="65">
        <f>COUNTIF($I$4:$P102,AO13)</f>
        <v>0</v>
      </c>
      <c r="AT13" s="65">
        <f t="shared" si="4"/>
        <v>0</v>
      </c>
      <c r="AU13" s="65">
        <f t="shared" si="5"/>
        <v>0</v>
      </c>
      <c r="AV13" s="74">
        <f t="shared" si="6"/>
        <v>0</v>
      </c>
      <c r="AW13">
        <v>0</v>
      </c>
      <c r="AX13">
        <f t="shared" si="1"/>
        <v>0</v>
      </c>
      <c r="AY13">
        <f t="shared" si="2"/>
        <v>0</v>
      </c>
      <c r="AZ13">
        <f t="shared" si="2"/>
        <v>0</v>
      </c>
      <c r="BD13" s="67">
        <f t="shared" si="7"/>
        <v>0</v>
      </c>
      <c r="BE13" s="18"/>
    </row>
    <row r="14" spans="1:57">
      <c r="A14" s="95">
        <v>46286</v>
      </c>
      <c r="B14" s="55">
        <v>1600</v>
      </c>
      <c r="C14" s="56"/>
      <c r="D14" s="55">
        <f>(SUM(粮草!A14:X14)+AG14*10*IF(AK14="是",$BB$4,$BB$3))</f>
        <v>0</v>
      </c>
      <c r="E14" s="57">
        <f>SUM($B$4:B14)+SUM($C$4:C14)-SUM($D$4:D14)</f>
        <v>22800</v>
      </c>
      <c r="F14" s="55">
        <f>SUM(经验!A14:X14)</f>
        <v>0</v>
      </c>
      <c r="G14" s="55">
        <f>SUM($F$4:F14)+SUM($H$4:H14)</f>
        <v>1300</v>
      </c>
      <c r="H14" s="55">
        <v>300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s="60" t="s">
        <v>41</v>
      </c>
      <c r="P14" s="60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s="60" t="s">
        <v>41</v>
      </c>
      <c r="X14" s="60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s="60" t="s">
        <v>41</v>
      </c>
      <c r="AF14" s="60" t="s">
        <v>41</v>
      </c>
      <c r="AG14" s="62">
        <f t="shared" si="3"/>
        <v>0</v>
      </c>
      <c r="AH14" s="79"/>
      <c r="AI14" s="79"/>
      <c r="AJ14" s="79"/>
      <c r="AK14" s="80" t="s">
        <v>57</v>
      </c>
      <c r="AL14" s="64">
        <f t="shared" si="8"/>
        <v>18</v>
      </c>
      <c r="AM14" s="64">
        <f t="shared" si="9"/>
        <v>18</v>
      </c>
      <c r="AN14" s="64">
        <f t="shared" si="10"/>
        <v>18</v>
      </c>
      <c r="AO14" s="78" t="s">
        <v>56</v>
      </c>
      <c r="AP14" s="14">
        <v>150</v>
      </c>
      <c r="AQ14" s="14">
        <v>55</v>
      </c>
      <c r="AR14" s="14"/>
      <c r="AS14" s="65">
        <f>COUNTIF($I$4:$P103,AO14)</f>
        <v>0</v>
      </c>
      <c r="AT14" s="65">
        <f t="shared" si="4"/>
        <v>0</v>
      </c>
      <c r="AU14" s="65">
        <f t="shared" si="5"/>
        <v>0</v>
      </c>
      <c r="AV14" s="74">
        <f t="shared" si="6"/>
        <v>0</v>
      </c>
      <c r="AW14">
        <v>2</v>
      </c>
      <c r="AX14">
        <f t="shared" si="1"/>
        <v>0</v>
      </c>
      <c r="AY14">
        <f t="shared" si="2"/>
        <v>0</v>
      </c>
      <c r="AZ14">
        <f t="shared" si="2"/>
        <v>0</v>
      </c>
      <c r="BD14" s="67">
        <f t="shared" si="7"/>
        <v>0</v>
      </c>
      <c r="BE14" s="18"/>
    </row>
    <row r="15" spans="1:57">
      <c r="A15" s="95">
        <v>46287</v>
      </c>
      <c r="B15" s="55">
        <v>1600</v>
      </c>
      <c r="C15" s="56"/>
      <c r="D15" s="55">
        <f>(SUM(粮草!A15:X15)+AG15*10*IF(AK15="是",$BB$4,$BB$3))</f>
        <v>0</v>
      </c>
      <c r="E15" s="57">
        <f>SUM($B$4:B15)+SUM($C$4:C15)-SUM($D$4:D15)</f>
        <v>24400</v>
      </c>
      <c r="F15" s="55">
        <f>SUM(经验!A15:X15)</f>
        <v>0</v>
      </c>
      <c r="G15" s="55">
        <f>SUM($F$4:F15)+SUM($H$4:H15)</f>
        <v>1300</v>
      </c>
      <c r="H15" s="55">
        <v>0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s="60" t="s">
        <v>41</v>
      </c>
      <c r="P15" s="60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s="60" t="s">
        <v>41</v>
      </c>
      <c r="X15" s="60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s="60" t="s">
        <v>41</v>
      </c>
      <c r="AF15" s="60" t="s">
        <v>41</v>
      </c>
      <c r="AG15" s="62">
        <f t="shared" si="3"/>
        <v>0</v>
      </c>
      <c r="AH15" s="79"/>
      <c r="AI15" s="79"/>
      <c r="AJ15" s="79"/>
      <c r="AK15" s="80" t="s">
        <v>57</v>
      </c>
      <c r="AL15" s="64">
        <f t="shared" si="8"/>
        <v>18</v>
      </c>
      <c r="AM15" s="64">
        <f t="shared" si="9"/>
        <v>18</v>
      </c>
      <c r="AN15" s="64">
        <f t="shared" si="10"/>
        <v>18</v>
      </c>
      <c r="AO15" s="82" t="s">
        <v>60</v>
      </c>
      <c r="AP15" s="14">
        <v>150</v>
      </c>
      <c r="AQ15" s="14">
        <v>60</v>
      </c>
      <c r="AR15" s="14"/>
      <c r="AS15" s="65">
        <f>COUNTIF($I$4:$P104,AO15)</f>
        <v>0</v>
      </c>
      <c r="AT15" s="65">
        <f t="shared" si="4"/>
        <v>0</v>
      </c>
      <c r="AU15" s="65">
        <f t="shared" si="5"/>
        <v>0</v>
      </c>
      <c r="AV15" s="74">
        <f t="shared" si="6"/>
        <v>0</v>
      </c>
      <c r="AW15">
        <v>0</v>
      </c>
      <c r="AX15">
        <f t="shared" si="1"/>
        <v>0</v>
      </c>
      <c r="AY15">
        <f t="shared" si="2"/>
        <v>0</v>
      </c>
      <c r="AZ15">
        <f t="shared" si="2"/>
        <v>0</v>
      </c>
      <c r="BD15" s="67">
        <f t="shared" si="7"/>
        <v>0</v>
      </c>
      <c r="BE15" s="18"/>
    </row>
    <row r="16" spans="1:57">
      <c r="A16" s="95">
        <v>46288</v>
      </c>
      <c r="B16" s="55">
        <v>1600</v>
      </c>
      <c r="C16" s="56"/>
      <c r="D16" s="55">
        <f>(SUM(粮草!A16:X16)+AG16*10*IF(AK16="是",$BB$4,$BB$3))</f>
        <v>0</v>
      </c>
      <c r="E16" s="57">
        <f>SUM($B$4:B16)+SUM($C$4:C16)-SUM($D$4:D16)</f>
        <v>26000</v>
      </c>
      <c r="F16" s="55">
        <f>SUM(经验!A16:X16)</f>
        <v>0</v>
      </c>
      <c r="G16" s="55">
        <f>SUM($F$4:F16)+SUM($H$4:H16)</f>
        <v>1500</v>
      </c>
      <c r="H16" s="55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60" t="s">
        <v>41</v>
      </c>
      <c r="P16" s="60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s="60" t="s">
        <v>41</v>
      </c>
      <c r="X16" s="60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s="60" t="s">
        <v>41</v>
      </c>
      <c r="AF16" s="60" t="s">
        <v>41</v>
      </c>
      <c r="AG16" s="62">
        <f t="shared" si="3"/>
        <v>0</v>
      </c>
      <c r="AH16" s="79"/>
      <c r="AI16" s="79"/>
      <c r="AJ16" s="79"/>
      <c r="AK16" s="80" t="s">
        <v>57</v>
      </c>
      <c r="AL16" s="64">
        <f t="shared" si="8"/>
        <v>18</v>
      </c>
      <c r="AM16" s="64">
        <f t="shared" si="9"/>
        <v>18</v>
      </c>
      <c r="AN16" s="64">
        <f t="shared" si="10"/>
        <v>18</v>
      </c>
      <c r="AO16" s="83" t="s">
        <v>61</v>
      </c>
      <c r="AP16" s="14">
        <v>150</v>
      </c>
      <c r="AQ16" s="14">
        <v>40</v>
      </c>
      <c r="AR16" s="14">
        <v>29.110982162825401</v>
      </c>
      <c r="AS16" s="65">
        <f>COUNTIF($I$4:$P105,AO16)</f>
        <v>0</v>
      </c>
      <c r="AT16" s="65">
        <f t="shared" si="4"/>
        <v>0</v>
      </c>
      <c r="AU16" s="65">
        <f t="shared" si="5"/>
        <v>0</v>
      </c>
      <c r="AV16" s="74">
        <f t="shared" si="6"/>
        <v>0</v>
      </c>
      <c r="AW16">
        <v>0</v>
      </c>
      <c r="AX16">
        <f t="shared" si="1"/>
        <v>0</v>
      </c>
      <c r="AY16">
        <f t="shared" si="2"/>
        <v>0</v>
      </c>
      <c r="AZ16">
        <f t="shared" si="2"/>
        <v>0</v>
      </c>
      <c r="BD16" s="67">
        <f t="shared" si="7"/>
        <v>0</v>
      </c>
      <c r="BE16" s="18"/>
    </row>
    <row r="17" spans="1:57">
      <c r="A17" s="95">
        <v>46289</v>
      </c>
      <c r="B17" s="55">
        <v>1600</v>
      </c>
      <c r="C17" s="56"/>
      <c r="D17" s="55">
        <f>(SUM(粮草!A17:X17)+AG17*10*IF(AK17="是",$BB$4,$BB$3))</f>
        <v>0</v>
      </c>
      <c r="E17" s="57">
        <f>SUM($B$4:B17)+SUM($C$4:C17)-SUM($D$4:D17)</f>
        <v>27600</v>
      </c>
      <c r="F17" s="55">
        <f>SUM(经验!A17:X17)</f>
        <v>0</v>
      </c>
      <c r="G17" s="55">
        <f>SUM($F$4:F17)+SUM($H$4:H17)</f>
        <v>1500</v>
      </c>
      <c r="H17" s="55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60" t="s">
        <v>41</v>
      </c>
      <c r="P17" s="60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s="60" t="s">
        <v>41</v>
      </c>
      <c r="X17" s="60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s="60" t="s">
        <v>41</v>
      </c>
      <c r="AF17" s="60" t="s">
        <v>41</v>
      </c>
      <c r="AG17" s="62">
        <f t="shared" si="3"/>
        <v>0</v>
      </c>
      <c r="AH17" s="79"/>
      <c r="AI17" s="79"/>
      <c r="AJ17" s="79"/>
      <c r="AK17" s="80" t="s">
        <v>57</v>
      </c>
      <c r="AL17" s="64">
        <f t="shared" si="8"/>
        <v>18</v>
      </c>
      <c r="AM17" s="64">
        <f t="shared" si="9"/>
        <v>18</v>
      </c>
      <c r="AN17" s="64">
        <f t="shared" si="10"/>
        <v>18</v>
      </c>
      <c r="AO17" s="59" t="s">
        <v>40</v>
      </c>
      <c r="AP17" s="14">
        <v>50</v>
      </c>
      <c r="AQ17" s="14">
        <v>30</v>
      </c>
      <c r="AR17" s="14">
        <v>10</v>
      </c>
      <c r="AS17" s="65">
        <f>COUNTIF($I$4:$P106,AO17)</f>
        <v>0</v>
      </c>
      <c r="AT17" s="65">
        <f t="shared" si="4"/>
        <v>0</v>
      </c>
      <c r="AU17" s="65">
        <f t="shared" si="5"/>
        <v>0</v>
      </c>
      <c r="AV17" s="74">
        <f t="shared" si="6"/>
        <v>0</v>
      </c>
      <c r="AW17">
        <v>18</v>
      </c>
      <c r="AX17">
        <f t="shared" si="1"/>
        <v>0</v>
      </c>
      <c r="AY17">
        <f t="shared" si="2"/>
        <v>0</v>
      </c>
      <c r="AZ17">
        <f t="shared" si="2"/>
        <v>0</v>
      </c>
      <c r="BD17" s="67">
        <f t="shared" si="7"/>
        <v>0</v>
      </c>
      <c r="BE17" s="18"/>
    </row>
    <row r="18" spans="1:57">
      <c r="A18" s="97">
        <v>46290</v>
      </c>
      <c r="B18" s="55">
        <v>1600</v>
      </c>
      <c r="C18" s="56"/>
      <c r="D18" s="55">
        <f>(SUM(粮草!A18:X18)+AG18*10*IF(AK18="是",$BB$4,$BB$3))</f>
        <v>0</v>
      </c>
      <c r="E18" s="57">
        <f>SUM($B$4:B18)+SUM($C$4:C18)-SUM($D$4:D18)</f>
        <v>29200</v>
      </c>
      <c r="F18" s="55">
        <f>SUM(经验!A18:X18)</f>
        <v>0</v>
      </c>
      <c r="G18" s="55">
        <f>SUM($F$4:F18)+SUM($H$4:H18)</f>
        <v>1500</v>
      </c>
      <c r="H18" s="55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60" t="s">
        <v>41</v>
      </c>
      <c r="P18" s="60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s="60" t="s">
        <v>41</v>
      </c>
      <c r="X18" s="60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s="60" t="s">
        <v>41</v>
      </c>
      <c r="AF18" s="60" t="s">
        <v>41</v>
      </c>
      <c r="AG18" s="62">
        <f t="shared" si="3"/>
        <v>0</v>
      </c>
      <c r="AH18" s="79"/>
      <c r="AI18" s="79"/>
      <c r="AJ18" s="79"/>
      <c r="AK18" s="80" t="s">
        <v>57</v>
      </c>
      <c r="AL18" s="64">
        <f t="shared" si="8"/>
        <v>18</v>
      </c>
      <c r="AM18" s="64">
        <f t="shared" si="9"/>
        <v>18</v>
      </c>
      <c r="AN18" s="64">
        <f t="shared" si="10"/>
        <v>18</v>
      </c>
      <c r="AO18" s="71" t="s">
        <v>49</v>
      </c>
      <c r="AP18" s="14">
        <v>-150</v>
      </c>
      <c r="AQ18" s="14">
        <v>0</v>
      </c>
      <c r="AR18" s="14">
        <v>10</v>
      </c>
      <c r="AS18" s="65">
        <f>COUNTIF($I$4:$P107,AO18)</f>
        <v>0</v>
      </c>
      <c r="AT18" s="65">
        <f t="shared" si="4"/>
        <v>0</v>
      </c>
      <c r="AU18" s="65">
        <f t="shared" si="5"/>
        <v>0</v>
      </c>
      <c r="AV18" s="74">
        <f t="shared" si="6"/>
        <v>0</v>
      </c>
      <c r="AW18">
        <v>15</v>
      </c>
      <c r="AX18">
        <f t="shared" si="1"/>
        <v>0</v>
      </c>
      <c r="AY18">
        <f t="shared" si="2"/>
        <v>0</v>
      </c>
      <c r="AZ18">
        <f t="shared" si="2"/>
        <v>0</v>
      </c>
      <c r="BD18" s="67">
        <f t="shared" si="7"/>
        <v>0</v>
      </c>
      <c r="BE18" s="18"/>
    </row>
    <row r="19" spans="1:57">
      <c r="A19" s="97">
        <v>46291</v>
      </c>
      <c r="B19" s="55">
        <v>1600</v>
      </c>
      <c r="C19" s="56"/>
      <c r="D19" s="55">
        <f>(SUM(粮草!A19:X19)+AG19*10*IF(AK19="是",$BB$4,$BB$3))</f>
        <v>0</v>
      </c>
      <c r="E19" s="57">
        <f>SUM($B$4:B19)+SUM($C$4:C19)-SUM($D$4:D19)</f>
        <v>30800</v>
      </c>
      <c r="F19" s="55">
        <f>SUM(经验!A19:X19)</f>
        <v>0</v>
      </c>
      <c r="G19" s="55">
        <f>SUM($F$4:F19)+SUM($H$4:H19)</f>
        <v>1500</v>
      </c>
      <c r="H19" s="55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60" t="s">
        <v>41</v>
      </c>
      <c r="P19" s="60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s="60" t="s">
        <v>41</v>
      </c>
      <c r="X19" s="60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s="60" t="s">
        <v>41</v>
      </c>
      <c r="AF19" s="60" t="s">
        <v>41</v>
      </c>
      <c r="AG19" s="62">
        <f t="shared" si="3"/>
        <v>0</v>
      </c>
      <c r="AH19" s="79"/>
      <c r="AI19" s="79"/>
      <c r="AJ19" s="79"/>
      <c r="AK19" s="80" t="s">
        <v>57</v>
      </c>
      <c r="AL19" s="64">
        <f t="shared" si="8"/>
        <v>18</v>
      </c>
      <c r="AM19" s="64">
        <f t="shared" si="9"/>
        <v>18</v>
      </c>
      <c r="AN19" s="64">
        <f t="shared" si="10"/>
        <v>18</v>
      </c>
      <c r="AO19" s="75" t="s">
        <v>52</v>
      </c>
      <c r="AP19" s="14">
        <v>250</v>
      </c>
      <c r="AQ19" s="14">
        <v>300</v>
      </c>
      <c r="AR19" s="14"/>
      <c r="AS19" s="65">
        <f>COUNTIF($I$4:$P108,AO19)</f>
        <v>0</v>
      </c>
      <c r="AT19" s="65">
        <f t="shared" si="4"/>
        <v>0</v>
      </c>
      <c r="AU19" s="65">
        <f t="shared" si="5"/>
        <v>0</v>
      </c>
      <c r="AV19" s="74">
        <f t="shared" si="6"/>
        <v>0</v>
      </c>
      <c r="AW19">
        <v>3</v>
      </c>
      <c r="AX19">
        <f t="shared" si="1"/>
        <v>0</v>
      </c>
      <c r="AY19">
        <f t="shared" si="2"/>
        <v>0</v>
      </c>
      <c r="AZ19">
        <f t="shared" si="2"/>
        <v>0</v>
      </c>
      <c r="BD19" s="67">
        <f t="shared" si="7"/>
        <v>0</v>
      </c>
      <c r="BE19" s="18"/>
    </row>
    <row r="20" spans="1:57">
      <c r="A20" s="97">
        <v>46292</v>
      </c>
      <c r="B20" s="55">
        <v>1600</v>
      </c>
      <c r="C20" s="56"/>
      <c r="D20" s="55">
        <f>(SUM(粮草!A20:X20)+AG20*10*IF(AK20="是",$BB$4,$BB$3))</f>
        <v>0</v>
      </c>
      <c r="E20" s="57">
        <f>SUM($B$4:B20)+SUM($C$4:C20)-SUM($D$4:D20)</f>
        <v>32400</v>
      </c>
      <c r="F20" s="55">
        <f>SUM(经验!A20:X20)</f>
        <v>0</v>
      </c>
      <c r="G20" s="55">
        <f>SUM($F$4:F20)+SUM($H$4:H20)</f>
        <v>1500</v>
      </c>
      <c r="H20" s="55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60" t="s">
        <v>41</v>
      </c>
      <c r="P20" s="6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s="60" t="s">
        <v>41</v>
      </c>
      <c r="X20" s="6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s="60" t="s">
        <v>41</v>
      </c>
      <c r="AF20" s="60" t="s">
        <v>41</v>
      </c>
      <c r="AG20" s="62">
        <f t="shared" si="3"/>
        <v>0</v>
      </c>
      <c r="AH20" s="79"/>
      <c r="AI20" s="79"/>
      <c r="AJ20" s="79"/>
      <c r="AK20" s="80" t="s">
        <v>57</v>
      </c>
      <c r="AL20" s="64">
        <f t="shared" si="8"/>
        <v>18</v>
      </c>
      <c r="AM20" s="64">
        <f t="shared" si="9"/>
        <v>18</v>
      </c>
      <c r="AN20" s="64">
        <f t="shared" si="10"/>
        <v>18</v>
      </c>
      <c r="AO20" s="75" t="s">
        <v>53</v>
      </c>
      <c r="AP20" s="14">
        <v>170</v>
      </c>
      <c r="AQ20" s="14">
        <v>45</v>
      </c>
      <c r="AR20" s="14"/>
      <c r="AS20" s="65">
        <f>COUNTIF($I$4:$P109,AO20)</f>
        <v>0</v>
      </c>
      <c r="AT20" s="65">
        <f t="shared" si="4"/>
        <v>0</v>
      </c>
      <c r="AU20" s="65">
        <f t="shared" si="5"/>
        <v>0</v>
      </c>
      <c r="AV20" s="74">
        <f t="shared" si="6"/>
        <v>0</v>
      </c>
      <c r="AW20">
        <v>5</v>
      </c>
      <c r="AX20">
        <f t="shared" si="1"/>
        <v>0</v>
      </c>
      <c r="AY20">
        <f t="shared" ref="AY20:AY29" si="11">AT20*$AQ20</f>
        <v>0</v>
      </c>
      <c r="AZ20">
        <f t="shared" ref="AZ20:AZ29" si="12">AU20*$AQ20</f>
        <v>0</v>
      </c>
      <c r="BD20" s="67">
        <f t="shared" si="7"/>
        <v>0</v>
      </c>
      <c r="BE20" s="18"/>
    </row>
    <row r="21" spans="1:57">
      <c r="A21" s="97">
        <v>46293</v>
      </c>
      <c r="B21" s="67">
        <v>1600</v>
      </c>
      <c r="C21" s="67"/>
      <c r="D21" s="55">
        <f>(SUM(粮草!A21:X21)+AG21*10*IF(AK21="是",$BB$4,$BB$3))</f>
        <v>0</v>
      </c>
      <c r="E21" s="57">
        <f>SUM($B$4:B21)+SUM($C$4:C21)-SUM($D$4:D21)</f>
        <v>34000</v>
      </c>
      <c r="F21" s="55">
        <f>SUM(经验!A21:X21)</f>
        <v>0</v>
      </c>
      <c r="G21" s="55">
        <f>SUM($F$4:F21)+SUM($H$4:H21)</f>
        <v>1700</v>
      </c>
      <c r="H21" s="67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60" t="s">
        <v>41</v>
      </c>
      <c r="P21" s="60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s="60" t="s">
        <v>41</v>
      </c>
      <c r="X21" s="60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s="60" t="s">
        <v>41</v>
      </c>
      <c r="AF21" s="60" t="s">
        <v>41</v>
      </c>
      <c r="AG21" s="62">
        <f t="shared" si="3"/>
        <v>0</v>
      </c>
      <c r="AH21" s="79"/>
      <c r="AI21" s="79"/>
      <c r="AJ21" s="79"/>
      <c r="AK21" s="80" t="s">
        <v>57</v>
      </c>
      <c r="AL21" s="64">
        <f t="shared" si="8"/>
        <v>18</v>
      </c>
      <c r="AM21" s="64">
        <f t="shared" si="9"/>
        <v>18</v>
      </c>
      <c r="AN21" s="64">
        <f t="shared" si="10"/>
        <v>18</v>
      </c>
      <c r="AO21" s="84" t="s">
        <v>62</v>
      </c>
      <c r="AP21" s="14">
        <v>250</v>
      </c>
      <c r="AQ21" s="14">
        <v>400</v>
      </c>
      <c r="AR21" s="14"/>
      <c r="AS21" s="65">
        <f>COUNTIF($I$4:$P110,AO21)</f>
        <v>0</v>
      </c>
      <c r="AT21" s="65">
        <f t="shared" si="4"/>
        <v>0</v>
      </c>
      <c r="AU21" s="65">
        <f t="shared" si="5"/>
        <v>0</v>
      </c>
      <c r="AV21" s="74">
        <f t="shared" si="6"/>
        <v>0</v>
      </c>
      <c r="AW21">
        <v>0</v>
      </c>
      <c r="AX21">
        <f t="shared" si="1"/>
        <v>0</v>
      </c>
      <c r="AY21">
        <f t="shared" si="11"/>
        <v>0</v>
      </c>
      <c r="AZ21">
        <f t="shared" si="12"/>
        <v>0</v>
      </c>
      <c r="BD21" s="67">
        <f t="shared" si="7"/>
        <v>0</v>
      </c>
      <c r="BE21" s="18"/>
    </row>
    <row r="22" spans="1:57">
      <c r="A22" s="97">
        <v>46294</v>
      </c>
      <c r="B22" s="67">
        <v>1600</v>
      </c>
      <c r="C22" s="67"/>
      <c r="D22" s="55">
        <f>(SUM(粮草!A22:X22)+AG22*10*IF(AK22="是",$BB$4,$BB$3))</f>
        <v>0</v>
      </c>
      <c r="E22" s="57">
        <f>SUM($B$4:B22)+SUM($C$4:C22)-SUM($D$4:D22)</f>
        <v>35600</v>
      </c>
      <c r="F22" s="55">
        <f>SUM(经验!A22:X22)</f>
        <v>0</v>
      </c>
      <c r="G22" s="55">
        <f>SUM($F$4:F22)+SUM($H$4:H22)</f>
        <v>1800</v>
      </c>
      <c r="H22" s="67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60" t="s">
        <v>41</v>
      </c>
      <c r="P22" s="60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s="60" t="s">
        <v>41</v>
      </c>
      <c r="X22" s="60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s="60" t="s">
        <v>41</v>
      </c>
      <c r="AF22" s="60" t="s">
        <v>41</v>
      </c>
      <c r="AG22" s="62">
        <f t="shared" si="3"/>
        <v>0</v>
      </c>
      <c r="AH22" s="79"/>
      <c r="AI22" s="79"/>
      <c r="AJ22" s="79"/>
      <c r="AK22" s="80" t="s">
        <v>57</v>
      </c>
      <c r="AL22" s="64">
        <f t="shared" si="8"/>
        <v>18</v>
      </c>
      <c r="AM22" s="64">
        <f t="shared" si="9"/>
        <v>18</v>
      </c>
      <c r="AN22" s="64">
        <f t="shared" si="10"/>
        <v>18</v>
      </c>
      <c r="AO22" s="85" t="s">
        <v>63</v>
      </c>
      <c r="AP22" s="14">
        <v>250</v>
      </c>
      <c r="AQ22" s="14">
        <v>1000</v>
      </c>
      <c r="AR22" s="14">
        <v>60</v>
      </c>
      <c r="AS22" s="65">
        <f>COUNTIF($I$4:$P111,AO22)</f>
        <v>0</v>
      </c>
      <c r="AT22" s="65">
        <f t="shared" si="4"/>
        <v>0</v>
      </c>
      <c r="AU22" s="65">
        <f t="shared" si="5"/>
        <v>0</v>
      </c>
      <c r="AV22" s="74">
        <f t="shared" si="6"/>
        <v>0</v>
      </c>
      <c r="AW22">
        <v>0</v>
      </c>
      <c r="AX22">
        <f t="shared" si="1"/>
        <v>0</v>
      </c>
      <c r="AY22">
        <f t="shared" si="11"/>
        <v>0</v>
      </c>
      <c r="AZ22">
        <f t="shared" si="12"/>
        <v>0</v>
      </c>
      <c r="BD22" s="67">
        <f t="shared" si="7"/>
        <v>0</v>
      </c>
      <c r="BE22" s="18"/>
    </row>
    <row r="23" spans="1:57">
      <c r="A23" s="97">
        <v>46295</v>
      </c>
      <c r="B23" s="67">
        <v>1600</v>
      </c>
      <c r="C23" s="67"/>
      <c r="D23" s="55">
        <f>(SUM(粮草!A23:X23)+AG23*10*IF(AK23="是",$BB$4,$BB$3))</f>
        <v>0</v>
      </c>
      <c r="E23" s="57">
        <f>SUM($B$4:B23)+SUM($C$4:C23)-SUM($D$4:D23)</f>
        <v>37200</v>
      </c>
      <c r="F23" s="55">
        <f>SUM(经验!A23:X23)</f>
        <v>0</v>
      </c>
      <c r="G23" s="55">
        <f>SUM($F$4:F23)+SUM($H$4:H23)</f>
        <v>2000</v>
      </c>
      <c r="H23" s="67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0" t="s">
        <v>41</v>
      </c>
      <c r="P23" s="60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s="60" t="s">
        <v>41</v>
      </c>
      <c r="X23" s="60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s="60" t="s">
        <v>41</v>
      </c>
      <c r="AF23" s="60" t="s">
        <v>41</v>
      </c>
      <c r="AG23" s="62">
        <f t="shared" si="3"/>
        <v>0</v>
      </c>
      <c r="AH23" s="79"/>
      <c r="AI23" s="79"/>
      <c r="AJ23" s="79"/>
      <c r="AK23" s="80" t="s">
        <v>57</v>
      </c>
      <c r="AL23" s="64">
        <f t="shared" si="8"/>
        <v>18</v>
      </c>
      <c r="AM23" s="64">
        <f t="shared" si="9"/>
        <v>18</v>
      </c>
      <c r="AN23" s="64">
        <f t="shared" si="10"/>
        <v>18</v>
      </c>
      <c r="AO23" s="86" t="s">
        <v>64</v>
      </c>
      <c r="AP23" s="14">
        <v>250</v>
      </c>
      <c r="AQ23" s="14">
        <v>500</v>
      </c>
      <c r="AR23" s="14"/>
      <c r="AS23" s="65">
        <f>COUNTIF($I$4:$P112,AO23)</f>
        <v>0</v>
      </c>
      <c r="AT23" s="65">
        <f t="shared" si="4"/>
        <v>0</v>
      </c>
      <c r="AU23" s="65">
        <f t="shared" si="5"/>
        <v>0</v>
      </c>
      <c r="AV23" s="74">
        <f t="shared" si="6"/>
        <v>0</v>
      </c>
      <c r="AW23">
        <v>0</v>
      </c>
      <c r="AX23">
        <f t="shared" si="1"/>
        <v>0</v>
      </c>
      <c r="AY23">
        <f t="shared" si="11"/>
        <v>0</v>
      </c>
      <c r="AZ23">
        <f t="shared" si="12"/>
        <v>0</v>
      </c>
      <c r="BD23" s="67">
        <f t="shared" si="7"/>
        <v>0</v>
      </c>
      <c r="BE23" s="18"/>
    </row>
    <row r="24" spans="1:57">
      <c r="A24" s="97">
        <v>46296</v>
      </c>
      <c r="B24" s="67">
        <v>1600</v>
      </c>
      <c r="C24" s="67"/>
      <c r="D24" s="55">
        <f>(SUM(粮草!A24:X24)+AG24*10*IF(AK24="是",$BB$4,$BB$3))</f>
        <v>0</v>
      </c>
      <c r="E24" s="57">
        <f>SUM($B$4:B24)+SUM($C$4:C24)-SUM($D$4:D24)</f>
        <v>38800</v>
      </c>
      <c r="F24" s="55">
        <f>SUM(经验!A24:X24)</f>
        <v>0</v>
      </c>
      <c r="G24" s="55">
        <f>SUM($F$4:F24)+SUM($H$4:H24)</f>
        <v>2000</v>
      </c>
      <c r="H24" s="67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60" t="s">
        <v>41</v>
      </c>
      <c r="P24" s="60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s="60" t="s">
        <v>41</v>
      </c>
      <c r="X24" s="60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s="60" t="s">
        <v>41</v>
      </c>
      <c r="AF24" s="60" t="s">
        <v>41</v>
      </c>
      <c r="AG24" s="62">
        <f t="shared" si="3"/>
        <v>0</v>
      </c>
      <c r="AH24" s="79"/>
      <c r="AI24" s="79"/>
      <c r="AJ24" s="79"/>
      <c r="AK24" s="80" t="s">
        <v>57</v>
      </c>
      <c r="AL24" s="64">
        <f t="shared" si="8"/>
        <v>18</v>
      </c>
      <c r="AM24" s="64">
        <f t="shared" si="9"/>
        <v>18</v>
      </c>
      <c r="AN24" s="64">
        <f t="shared" si="10"/>
        <v>18</v>
      </c>
      <c r="AO24" s="84" t="s">
        <v>65</v>
      </c>
      <c r="AP24" s="14">
        <v>180</v>
      </c>
      <c r="AQ24" s="14">
        <v>50</v>
      </c>
      <c r="AR24" s="14">
        <v>39.110982162825401</v>
      </c>
      <c r="AS24" s="65">
        <f>COUNTIF($I$4:$P113,AO24)</f>
        <v>0</v>
      </c>
      <c r="AT24" s="65">
        <f t="shared" si="4"/>
        <v>0</v>
      </c>
      <c r="AU24" s="65">
        <f t="shared" si="5"/>
        <v>0</v>
      </c>
      <c r="AV24" s="74">
        <f t="shared" si="6"/>
        <v>0</v>
      </c>
      <c r="AW24">
        <v>0</v>
      </c>
      <c r="AX24">
        <f t="shared" si="1"/>
        <v>0</v>
      </c>
      <c r="AY24">
        <f t="shared" si="11"/>
        <v>0</v>
      </c>
      <c r="AZ24">
        <f t="shared" si="12"/>
        <v>0</v>
      </c>
      <c r="BD24" s="67">
        <f t="shared" si="7"/>
        <v>0</v>
      </c>
      <c r="BE24" s="18"/>
    </row>
    <row r="25" spans="1:57">
      <c r="A25" s="97">
        <v>46297</v>
      </c>
      <c r="B25" s="67">
        <v>1600</v>
      </c>
      <c r="C25" s="67"/>
      <c r="D25" s="55">
        <f>(SUM(粮草!A25:X25)+AG25*10*IF(AK25="是",$BB$4,$BB$3))</f>
        <v>0</v>
      </c>
      <c r="E25" s="57">
        <f>SUM($B$4:B25)+SUM($C$4:C25)-SUM($D$4:D25)</f>
        <v>40400</v>
      </c>
      <c r="F25" s="55">
        <f>SUM(经验!A25:X25)</f>
        <v>0</v>
      </c>
      <c r="G25" s="55">
        <f>SUM($F$4:F25)+SUM($H$4:H25)</f>
        <v>2000</v>
      </c>
      <c r="H25" s="67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60" t="s">
        <v>41</v>
      </c>
      <c r="P25" s="60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60" t="s">
        <v>41</v>
      </c>
      <c r="X25" s="60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60" t="s">
        <v>41</v>
      </c>
      <c r="AF25" s="60" t="s">
        <v>41</v>
      </c>
      <c r="AG25" s="62">
        <f t="shared" si="3"/>
        <v>0</v>
      </c>
      <c r="AH25" s="79"/>
      <c r="AI25" s="79"/>
      <c r="AJ25" s="79"/>
      <c r="AK25" s="80" t="s">
        <v>57</v>
      </c>
      <c r="AL25" s="64">
        <f t="shared" si="8"/>
        <v>18</v>
      </c>
      <c r="AM25" s="64">
        <f t="shared" si="9"/>
        <v>18</v>
      </c>
      <c r="AN25" s="64">
        <f t="shared" si="10"/>
        <v>18</v>
      </c>
      <c r="AO25" s="15" t="s">
        <v>66</v>
      </c>
      <c r="AP25" s="14">
        <v>150</v>
      </c>
      <c r="AQ25" s="14">
        <v>35</v>
      </c>
      <c r="AR25" s="14">
        <v>44.222109392472198</v>
      </c>
      <c r="AS25" s="65">
        <f>COUNTIF($I$4:$P114,AO25)</f>
        <v>0</v>
      </c>
      <c r="AT25" s="65">
        <f t="shared" si="4"/>
        <v>0</v>
      </c>
      <c r="AU25" s="65">
        <f t="shared" si="5"/>
        <v>0</v>
      </c>
      <c r="AV25" s="74">
        <f t="shared" si="6"/>
        <v>0</v>
      </c>
      <c r="AW25">
        <v>1</v>
      </c>
      <c r="AX25">
        <f t="shared" si="1"/>
        <v>0</v>
      </c>
      <c r="AY25">
        <f t="shared" si="11"/>
        <v>0</v>
      </c>
      <c r="AZ25">
        <f t="shared" si="12"/>
        <v>0</v>
      </c>
      <c r="BD25" s="67">
        <f t="shared" si="7"/>
        <v>0</v>
      </c>
      <c r="BE25" s="18"/>
    </row>
    <row r="26" spans="1:57">
      <c r="A26" s="97">
        <v>46298</v>
      </c>
      <c r="B26" s="67">
        <v>1600</v>
      </c>
      <c r="C26" s="67"/>
      <c r="D26" s="55">
        <f>(SUM(粮草!A26:X26)+AG26*10*IF(AK26="是",$BB$4,$BB$3))</f>
        <v>0</v>
      </c>
      <c r="E26" s="57">
        <f>SUM($B$4:B26)+SUM($C$4:C26)-SUM($D$4:D26)</f>
        <v>42000</v>
      </c>
      <c r="F26" s="55">
        <f>SUM(经验!A26:X26)</f>
        <v>0</v>
      </c>
      <c r="G26" s="55">
        <f>SUM($F$4:F26)+SUM($H$4:H26)</f>
        <v>2000</v>
      </c>
      <c r="H26" s="67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60" t="s">
        <v>41</v>
      </c>
      <c r="P26" s="60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60" t="s">
        <v>41</v>
      </c>
      <c r="X26" s="60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60" t="s">
        <v>41</v>
      </c>
      <c r="AF26" s="60" t="s">
        <v>41</v>
      </c>
      <c r="AG26" s="62">
        <f t="shared" si="3"/>
        <v>0</v>
      </c>
      <c r="AH26" s="79"/>
      <c r="AI26" s="79"/>
      <c r="AJ26" s="79"/>
      <c r="AK26" s="80" t="s">
        <v>57</v>
      </c>
      <c r="AL26" s="64">
        <f t="shared" si="8"/>
        <v>18</v>
      </c>
      <c r="AM26" s="64">
        <f t="shared" si="9"/>
        <v>18</v>
      </c>
      <c r="AN26" s="64">
        <f t="shared" si="10"/>
        <v>18</v>
      </c>
      <c r="AO26" s="16" t="s">
        <v>67</v>
      </c>
      <c r="AP26" s="14">
        <v>150</v>
      </c>
      <c r="AQ26" s="14">
        <v>40</v>
      </c>
      <c r="AR26" s="14">
        <v>29.110982162825401</v>
      </c>
      <c r="AS26" s="65">
        <f>COUNTIF($I$4:$P115,AO26)</f>
        <v>0</v>
      </c>
      <c r="AT26" s="65">
        <f t="shared" si="4"/>
        <v>0</v>
      </c>
      <c r="AU26" s="65">
        <f t="shared" si="5"/>
        <v>0</v>
      </c>
      <c r="AV26" s="74">
        <f t="shared" si="6"/>
        <v>0</v>
      </c>
      <c r="AW26">
        <v>1</v>
      </c>
      <c r="AX26">
        <f t="shared" si="1"/>
        <v>0</v>
      </c>
      <c r="AY26">
        <f t="shared" si="11"/>
        <v>0</v>
      </c>
      <c r="AZ26">
        <f t="shared" si="12"/>
        <v>0</v>
      </c>
      <c r="BD26" s="67">
        <f t="shared" si="7"/>
        <v>0</v>
      </c>
      <c r="BE26" s="18"/>
    </row>
    <row r="27" spans="1:57">
      <c r="A27" s="97">
        <v>46299</v>
      </c>
      <c r="B27" s="67">
        <v>1600</v>
      </c>
      <c r="C27" s="67"/>
      <c r="D27" s="55">
        <f>(SUM(粮草!A27:X27)+AG27*10*IF(AK27="是",$BB$4,$BB$3))</f>
        <v>0</v>
      </c>
      <c r="E27" s="57">
        <f>SUM($B$4:B27)+SUM($C$4:C27)-SUM($D$4:D27)</f>
        <v>43600</v>
      </c>
      <c r="F27" s="55">
        <f>SUM(经验!A27:X27)</f>
        <v>0</v>
      </c>
      <c r="G27" s="55">
        <f>SUM($F$4:F27)+SUM($H$4:H27)</f>
        <v>2000</v>
      </c>
      <c r="H27" s="67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60" t="s">
        <v>41</v>
      </c>
      <c r="P27" s="60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s="60" t="s">
        <v>41</v>
      </c>
      <c r="X27" s="60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60" t="s">
        <v>41</v>
      </c>
      <c r="AF27" s="60" t="s">
        <v>41</v>
      </c>
      <c r="AG27" s="62">
        <f t="shared" si="3"/>
        <v>0</v>
      </c>
      <c r="AH27" s="79"/>
      <c r="AI27" s="79"/>
      <c r="AJ27" s="79"/>
      <c r="AK27" s="80" t="s">
        <v>57</v>
      </c>
      <c r="AL27" s="64">
        <f t="shared" si="8"/>
        <v>18</v>
      </c>
      <c r="AM27" s="64">
        <f t="shared" si="9"/>
        <v>18</v>
      </c>
      <c r="AN27" s="64">
        <f t="shared" si="10"/>
        <v>18</v>
      </c>
      <c r="AO27" s="17" t="s">
        <v>68</v>
      </c>
      <c r="AP27" s="14">
        <v>150</v>
      </c>
      <c r="AQ27" s="14">
        <v>45</v>
      </c>
      <c r="AR27" s="14">
        <v>13.9998549331786</v>
      </c>
      <c r="AS27" s="65">
        <f>COUNTIF($I$4:$P116,AO27)</f>
        <v>0</v>
      </c>
      <c r="AT27" s="65">
        <f t="shared" si="4"/>
        <v>0</v>
      </c>
      <c r="AU27" s="65">
        <f t="shared" si="5"/>
        <v>0</v>
      </c>
      <c r="AV27" s="74">
        <f t="shared" ref="AV27:AV29" si="13">AS27+AT27+AU27</f>
        <v>0</v>
      </c>
      <c r="AW27">
        <v>0</v>
      </c>
      <c r="AX27">
        <f t="shared" si="1"/>
        <v>0</v>
      </c>
      <c r="AY27">
        <f t="shared" si="11"/>
        <v>0</v>
      </c>
      <c r="AZ27">
        <f t="shared" si="12"/>
        <v>0</v>
      </c>
      <c r="BD27" s="67">
        <f t="shared" si="7"/>
        <v>0</v>
      </c>
      <c r="BE27" s="18"/>
    </row>
    <row r="28" spans="1:57">
      <c r="A28" s="95">
        <v>46300</v>
      </c>
      <c r="B28" s="55">
        <v>1600</v>
      </c>
      <c r="C28" s="56"/>
      <c r="D28" s="55">
        <f>(SUM(粮草!A28:X28)+AG28*10*IF(AK28="是",$BB$4,$BB$3))</f>
        <v>0</v>
      </c>
      <c r="E28" s="57">
        <f>SUM($B$4:B28)+SUM($C$4:C28)-SUM($D$4:D28)</f>
        <v>45200</v>
      </c>
      <c r="F28" s="55">
        <f>SUM(经验!A28:X28)</f>
        <v>0</v>
      </c>
      <c r="G28" s="55">
        <f>SUM($F$4:F28)+SUM($H$4:H28)</f>
        <v>2200</v>
      </c>
      <c r="H28" s="55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60" t="s">
        <v>41</v>
      </c>
      <c r="P28" s="60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s="60" t="s">
        <v>41</v>
      </c>
      <c r="X28" s="60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60" t="s">
        <v>41</v>
      </c>
      <c r="AF28" s="60" t="s">
        <v>41</v>
      </c>
      <c r="AG28" s="62">
        <f t="shared" si="3"/>
        <v>0</v>
      </c>
      <c r="AH28" s="79"/>
      <c r="AI28" s="79"/>
      <c r="AJ28" s="79"/>
      <c r="AK28" s="80" t="s">
        <v>57</v>
      </c>
      <c r="AL28" s="64">
        <f t="shared" si="8"/>
        <v>18</v>
      </c>
      <c r="AM28" s="64">
        <f t="shared" si="9"/>
        <v>18</v>
      </c>
      <c r="AN28" s="64">
        <f t="shared" si="10"/>
        <v>18</v>
      </c>
      <c r="AO28" s="84" t="s">
        <v>41</v>
      </c>
      <c r="AP28" s="14">
        <v>0</v>
      </c>
      <c r="AQ28" s="14">
        <v>0</v>
      </c>
      <c r="AR28" s="14"/>
      <c r="AS28">
        <v>0</v>
      </c>
      <c r="AT28">
        <v>0</v>
      </c>
      <c r="AU28">
        <v>0</v>
      </c>
      <c r="AV28" s="74">
        <f t="shared" si="13"/>
        <v>0</v>
      </c>
      <c r="AW28">
        <v>0</v>
      </c>
      <c r="AX28">
        <f t="shared" si="1"/>
        <v>0</v>
      </c>
      <c r="AY28">
        <f t="shared" si="11"/>
        <v>0</v>
      </c>
      <c r="AZ28">
        <f t="shared" si="12"/>
        <v>0</v>
      </c>
      <c r="BD28" s="67">
        <f t="shared" si="7"/>
        <v>0</v>
      </c>
      <c r="BE28" s="18"/>
    </row>
    <row r="29" spans="1:57">
      <c r="A29" s="95">
        <v>46301</v>
      </c>
      <c r="B29" s="55">
        <v>1600</v>
      </c>
      <c r="C29" s="56"/>
      <c r="D29" s="55">
        <f>(SUM(粮草!A29:X29)+AG29*10*IF(AK29="是",$BB$4,$BB$3))</f>
        <v>0</v>
      </c>
      <c r="E29" s="57">
        <f>SUM($B$4:B29)+SUM($C$4:C29)-SUM($D$4:D29)</f>
        <v>46800</v>
      </c>
      <c r="F29" s="55">
        <f>SUM(经验!A29:X29)</f>
        <v>0</v>
      </c>
      <c r="G29" s="55">
        <f>SUM($F$4:F29)+SUM($H$4:H29)</f>
        <v>2300</v>
      </c>
      <c r="H29" s="55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60" t="s">
        <v>41</v>
      </c>
      <c r="P29" s="60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s="60" t="s">
        <v>41</v>
      </c>
      <c r="X29" s="60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60" t="s">
        <v>41</v>
      </c>
      <c r="AF29" s="60" t="s">
        <v>41</v>
      </c>
      <c r="AG29" s="62">
        <f t="shared" si="3"/>
        <v>0</v>
      </c>
      <c r="AH29" s="79"/>
      <c r="AI29" s="79"/>
      <c r="AJ29" s="79"/>
      <c r="AK29" s="80" t="s">
        <v>57</v>
      </c>
      <c r="AL29" s="64">
        <f t="shared" si="8"/>
        <v>18</v>
      </c>
      <c r="AM29" s="64">
        <f t="shared" si="9"/>
        <v>18</v>
      </c>
      <c r="AN29" s="64">
        <f t="shared" si="10"/>
        <v>18</v>
      </c>
      <c r="AO29" s="70" t="s">
        <v>48</v>
      </c>
      <c r="AP29" s="14">
        <v>50</v>
      </c>
      <c r="AQ29" s="14">
        <v>520</v>
      </c>
      <c r="AR29" s="14"/>
      <c r="AS29" s="65">
        <f>COUNTIF($I$4:$P118,AO29)</f>
        <v>0</v>
      </c>
      <c r="AT29" s="65">
        <f t="shared" si="4"/>
        <v>0</v>
      </c>
      <c r="AU29" s="65">
        <f t="shared" si="5"/>
        <v>0</v>
      </c>
      <c r="AV29" s="74">
        <f t="shared" si="13"/>
        <v>0</v>
      </c>
      <c r="AW29">
        <v>1</v>
      </c>
      <c r="AX29">
        <f t="shared" si="1"/>
        <v>0</v>
      </c>
      <c r="AY29">
        <f t="shared" si="11"/>
        <v>0</v>
      </c>
      <c r="AZ29">
        <f t="shared" si="12"/>
        <v>0</v>
      </c>
      <c r="BD29" s="67">
        <f t="shared" si="7"/>
        <v>0</v>
      </c>
      <c r="BE29" s="18"/>
    </row>
    <row r="30" spans="1:57">
      <c r="A30" s="95">
        <v>46302</v>
      </c>
      <c r="B30" s="55">
        <v>1600</v>
      </c>
      <c r="C30" s="56"/>
      <c r="D30" s="55">
        <f>(SUM(粮草!A30:X30)+AG30*10*IF(AK30="是",$BB$4,$BB$3))</f>
        <v>0</v>
      </c>
      <c r="E30" s="57">
        <f>SUM($B$4:B30)+SUM($C$4:C30)-SUM($D$4:D30)</f>
        <v>48400</v>
      </c>
      <c r="F30" s="55">
        <f>SUM(经验!A30:X30)</f>
        <v>0</v>
      </c>
      <c r="G30" s="55">
        <f>SUM($F$4:F30)+SUM($H$4:H30)</f>
        <v>2500</v>
      </c>
      <c r="H30" s="55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60" t="s">
        <v>41</v>
      </c>
      <c r="P30" s="6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s="60" t="s">
        <v>41</v>
      </c>
      <c r="X30" s="6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s="60" t="s">
        <v>41</v>
      </c>
      <c r="AF30" s="60" t="s">
        <v>41</v>
      </c>
      <c r="AG30" s="62">
        <f t="shared" si="3"/>
        <v>0</v>
      </c>
      <c r="AH30" s="79"/>
      <c r="AI30" s="79"/>
      <c r="AJ30" s="79"/>
      <c r="AK30" s="80" t="s">
        <v>57</v>
      </c>
      <c r="AL30" s="64">
        <f t="shared" si="8"/>
        <v>18</v>
      </c>
      <c r="AM30" s="64">
        <f t="shared" si="9"/>
        <v>18</v>
      </c>
      <c r="AN30" s="64">
        <f t="shared" si="10"/>
        <v>18</v>
      </c>
      <c r="AO30" s="14"/>
      <c r="AP30" s="14"/>
      <c r="AQ30" s="14"/>
      <c r="BD30" s="67">
        <f>SUM(BD4:BD29)+AG2*10</f>
        <v>0</v>
      </c>
      <c r="BE30" s="18"/>
    </row>
    <row r="31" spans="1:57">
      <c r="A31" s="95">
        <v>46303</v>
      </c>
      <c r="B31" s="55">
        <v>1600</v>
      </c>
      <c r="C31" s="56"/>
      <c r="D31" s="55">
        <f>(SUM(粮草!A31:X31)+AG31*10*IF(AK31="是",$BB$4,$BB$3))</f>
        <v>0</v>
      </c>
      <c r="E31" s="57">
        <f>SUM($B$4:B31)+SUM($C$4:C31)-SUM($D$4:D31)</f>
        <v>50000</v>
      </c>
      <c r="F31" s="55">
        <f>SUM(经验!A31:X31)</f>
        <v>0</v>
      </c>
      <c r="G31" s="55">
        <f>SUM($F$4:F31)+SUM($H$4:H31)</f>
        <v>2500</v>
      </c>
      <c r="H31" s="55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60" t="s">
        <v>41</v>
      </c>
      <c r="P31" s="60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60" t="s">
        <v>41</v>
      </c>
      <c r="X31" s="60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s="60" t="s">
        <v>41</v>
      </c>
      <c r="AF31" s="60" t="s">
        <v>41</v>
      </c>
      <c r="AG31" s="62">
        <f t="shared" si="3"/>
        <v>0</v>
      </c>
      <c r="AH31" s="79"/>
      <c r="AI31" s="79"/>
      <c r="AJ31" s="79"/>
      <c r="AK31" s="80" t="s">
        <v>57</v>
      </c>
      <c r="AL31" s="64">
        <f t="shared" si="8"/>
        <v>18</v>
      </c>
      <c r="AM31" s="64">
        <f t="shared" si="9"/>
        <v>18</v>
      </c>
      <c r="AN31" s="64">
        <f t="shared" ref="AN31:AN62" si="14">MIN(AN30+6,18)-COUNTIF(Y31:AF31,"&lt;&gt;空")+COUNTIF(Y31:AF31,"历练")+COUNTIF(Y31:AF31,"营地")*2+COUNTIF(Y31:AF31,"塔1")*5</f>
        <v>18</v>
      </c>
      <c r="AO31" s="14"/>
      <c r="AP31" s="14"/>
      <c r="AQ31" s="14"/>
      <c r="BE31" s="18"/>
    </row>
    <row r="32" spans="1:57">
      <c r="A32" s="95">
        <v>46304</v>
      </c>
      <c r="B32" s="55">
        <v>1600</v>
      </c>
      <c r="C32" s="56"/>
      <c r="D32" s="55">
        <f>(SUM(粮草!A32:X32)+AG32*10*IF(AK32="是",$BB$4,$BB$3))</f>
        <v>0</v>
      </c>
      <c r="E32" s="57">
        <f>SUM($B$4:B32)+SUM($C$4:C32)-SUM($D$4:D32)</f>
        <v>51600</v>
      </c>
      <c r="F32" s="55">
        <f>SUM(经验!A32:X32)</f>
        <v>0</v>
      </c>
      <c r="G32" s="55">
        <f>SUM($F$4:F32)+SUM($H$4:H32)</f>
        <v>2500</v>
      </c>
      <c r="H32" s="55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60" t="s">
        <v>41</v>
      </c>
      <c r="P32" s="60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s="60" t="s">
        <v>41</v>
      </c>
      <c r="X32" s="60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60" t="s">
        <v>41</v>
      </c>
      <c r="AF32" s="60" t="s">
        <v>41</v>
      </c>
      <c r="AG32" s="62">
        <f t="shared" si="3"/>
        <v>0</v>
      </c>
      <c r="AH32" s="79"/>
      <c r="AI32" s="79"/>
      <c r="AJ32" s="79"/>
      <c r="AK32" s="80" t="s">
        <v>57</v>
      </c>
      <c r="AL32" s="64">
        <f t="shared" si="8"/>
        <v>18</v>
      </c>
      <c r="AM32" s="64">
        <f t="shared" si="9"/>
        <v>18</v>
      </c>
      <c r="AN32" s="64">
        <f t="shared" si="14"/>
        <v>18</v>
      </c>
      <c r="AO32" s="14" t="s">
        <v>69</v>
      </c>
      <c r="AP32" s="14" t="s">
        <v>70</v>
      </c>
      <c r="AQ32" s="14" t="s">
        <v>71</v>
      </c>
      <c r="AR32" t="s">
        <v>28</v>
      </c>
      <c r="AS32" t="s">
        <v>72</v>
      </c>
      <c r="AU32" s="100" t="s">
        <v>98</v>
      </c>
      <c r="AV32">
        <v>796</v>
      </c>
      <c r="BE32" s="18"/>
    </row>
    <row r="33" spans="1:57">
      <c r="A33" s="95">
        <v>46305</v>
      </c>
      <c r="B33" s="55">
        <v>1600</v>
      </c>
      <c r="C33" s="56"/>
      <c r="D33" s="55">
        <f>(SUM(粮草!A33:X33)+AG33*10*IF(AK33="是",$BB$4,$BB$3))</f>
        <v>0</v>
      </c>
      <c r="E33" s="57">
        <f>SUM($B$4:B33)+SUM($C$4:C33)-SUM($D$4:D33)</f>
        <v>53200</v>
      </c>
      <c r="F33" s="55">
        <f>SUM(经验!A33:X33)</f>
        <v>0</v>
      </c>
      <c r="G33" s="55">
        <f>SUM($F$4:F33)+SUM($H$4:H33)</f>
        <v>2500</v>
      </c>
      <c r="H33" s="55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60" t="s">
        <v>41</v>
      </c>
      <c r="P33" s="60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s="60" t="s">
        <v>41</v>
      </c>
      <c r="X33" s="60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s="60" t="s">
        <v>41</v>
      </c>
      <c r="AF33" s="60" t="s">
        <v>41</v>
      </c>
      <c r="AG33" s="62">
        <f t="shared" si="3"/>
        <v>0</v>
      </c>
      <c r="AH33" s="79"/>
      <c r="AI33" s="79"/>
      <c r="AJ33" s="79"/>
      <c r="AK33" s="80" t="s">
        <v>57</v>
      </c>
      <c r="AL33" s="64">
        <f t="shared" si="8"/>
        <v>18</v>
      </c>
      <c r="AM33" s="64">
        <f t="shared" si="9"/>
        <v>18</v>
      </c>
      <c r="AN33" s="64">
        <f t="shared" si="14"/>
        <v>18</v>
      </c>
      <c r="AO33" s="72" t="s">
        <v>50</v>
      </c>
      <c r="AP33" s="14">
        <v>193</v>
      </c>
      <c r="AQ33" s="14">
        <f t="shared" ref="AQ33:AQ36" si="15">AP33-AV6</f>
        <v>193</v>
      </c>
      <c r="AR33">
        <f t="shared" ref="AR33:AR36" si="16">AQ33*AP6*0.8</f>
        <v>26248</v>
      </c>
      <c r="AS33">
        <f t="shared" ref="AS33:AS38" si="17">AQ33*AQ6</f>
        <v>8685</v>
      </c>
      <c r="AU33" s="101" t="s">
        <v>99</v>
      </c>
      <c r="AV33">
        <v>2286</v>
      </c>
      <c r="BE33" s="18"/>
    </row>
    <row r="34" spans="1:57">
      <c r="A34" s="95">
        <v>46306</v>
      </c>
      <c r="B34" s="55">
        <v>1600</v>
      </c>
      <c r="C34" s="56"/>
      <c r="D34" s="55">
        <f>(SUM(粮草!A34:X34)+AG34*10*IF(AK34="是",$BB$4,$BB$3))</f>
        <v>0</v>
      </c>
      <c r="E34" s="57">
        <f>SUM($B$4:B34)+SUM($C$4:C34)-SUM($D$4:D34)</f>
        <v>54800</v>
      </c>
      <c r="F34" s="55">
        <f>SUM(经验!A34:X34)</f>
        <v>0</v>
      </c>
      <c r="G34" s="55">
        <f>SUM($F$4:F34)+SUM($H$4:H34)</f>
        <v>2500</v>
      </c>
      <c r="H34" s="55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60" t="s">
        <v>41</v>
      </c>
      <c r="P34" s="60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s="60" t="s">
        <v>41</v>
      </c>
      <c r="X34" s="60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s="60" t="s">
        <v>41</v>
      </c>
      <c r="AF34" s="60" t="s">
        <v>41</v>
      </c>
      <c r="AG34" s="62">
        <f t="shared" si="3"/>
        <v>0</v>
      </c>
      <c r="AH34" s="79"/>
      <c r="AI34" s="79"/>
      <c r="AJ34" s="79"/>
      <c r="AK34" s="80" t="s">
        <v>57</v>
      </c>
      <c r="AL34" s="64">
        <f t="shared" si="8"/>
        <v>18</v>
      </c>
      <c r="AM34" s="64">
        <f t="shared" si="9"/>
        <v>18</v>
      </c>
      <c r="AN34" s="64">
        <f t="shared" si="14"/>
        <v>18</v>
      </c>
      <c r="AO34" s="73" t="s">
        <v>51</v>
      </c>
      <c r="AP34" s="14">
        <v>266</v>
      </c>
      <c r="AQ34" s="14">
        <f t="shared" si="15"/>
        <v>266</v>
      </c>
      <c r="AR34">
        <f t="shared" si="16"/>
        <v>38304</v>
      </c>
      <c r="AS34">
        <f t="shared" si="17"/>
        <v>13300</v>
      </c>
      <c r="BE34" s="18"/>
    </row>
    <row r="35" spans="1:57">
      <c r="A35" s="95">
        <v>46307</v>
      </c>
      <c r="B35" s="67">
        <v>1600</v>
      </c>
      <c r="C35" s="67"/>
      <c r="D35" s="55">
        <f>(SUM(粮草!A35:X35)+AG35*10*IF(AK35="是",$BB$4,$BB$3))</f>
        <v>0</v>
      </c>
      <c r="E35" s="57">
        <f>SUM($B$4:B35)+SUM($C$4:C35)-SUM($D$4:D35)</f>
        <v>56400</v>
      </c>
      <c r="F35" s="55">
        <f>SUM(经验!A35:X35)</f>
        <v>0</v>
      </c>
      <c r="G35" s="55">
        <f>SUM($F$4:F35)+SUM($H$4:H35)</f>
        <v>2700</v>
      </c>
      <c r="H35" s="67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60" t="s">
        <v>41</v>
      </c>
      <c r="P35" s="60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s="60" t="s">
        <v>41</v>
      </c>
      <c r="X35" s="60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60" t="s">
        <v>41</v>
      </c>
      <c r="AF35" s="60" t="s">
        <v>41</v>
      </c>
      <c r="AG35" s="62">
        <f t="shared" si="3"/>
        <v>0</v>
      </c>
      <c r="AH35" s="79"/>
      <c r="AI35" s="79"/>
      <c r="AJ35" s="79"/>
      <c r="AK35" s="80" t="s">
        <v>57</v>
      </c>
      <c r="AL35" s="64">
        <f t="shared" si="8"/>
        <v>18</v>
      </c>
      <c r="AM35" s="64">
        <f t="shared" si="9"/>
        <v>18</v>
      </c>
      <c r="AN35" s="64">
        <f t="shared" si="14"/>
        <v>18</v>
      </c>
      <c r="AO35" s="76" t="s">
        <v>54</v>
      </c>
      <c r="AP35" s="14">
        <v>219</v>
      </c>
      <c r="AQ35" s="14">
        <f t="shared" si="15"/>
        <v>219</v>
      </c>
      <c r="AR35">
        <f t="shared" si="16"/>
        <v>33288</v>
      </c>
      <c r="AS35">
        <f t="shared" ref="AS35:AS42" si="18">AQ35*AQ8</f>
        <v>12045</v>
      </c>
      <c r="BE35" s="18"/>
    </row>
    <row r="36" spans="1:57">
      <c r="A36" s="95">
        <v>46308</v>
      </c>
      <c r="B36" s="67">
        <v>1600</v>
      </c>
      <c r="C36" s="67"/>
      <c r="D36" s="55">
        <f>(SUM(粮草!A36:X36)+AG36*10*IF(AK36="是",$BB$4,$BB$3))</f>
        <v>0</v>
      </c>
      <c r="E36" s="57">
        <f>SUM($B$4:B36)+SUM($C$4:C36)-SUM($D$4:D36)</f>
        <v>58000</v>
      </c>
      <c r="F36" s="55">
        <f>SUM(经验!A36:X36)</f>
        <v>0</v>
      </c>
      <c r="G36" s="55">
        <f>SUM($F$4:F36)+SUM($H$4:H36)</f>
        <v>2800</v>
      </c>
      <c r="H36" s="67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60" t="s">
        <v>41</v>
      </c>
      <c r="P36" s="60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60" t="s">
        <v>41</v>
      </c>
      <c r="X36" s="60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s="60" t="s">
        <v>41</v>
      </c>
      <c r="AF36" s="60" t="s">
        <v>41</v>
      </c>
      <c r="AG36" s="62">
        <f t="shared" si="3"/>
        <v>0</v>
      </c>
      <c r="AH36" s="79"/>
      <c r="AI36" s="79"/>
      <c r="AJ36" s="79"/>
      <c r="AK36" s="80" t="s">
        <v>57</v>
      </c>
      <c r="AL36" s="64">
        <f t="shared" si="8"/>
        <v>18</v>
      </c>
      <c r="AM36" s="64">
        <f t="shared" si="9"/>
        <v>18</v>
      </c>
      <c r="AN36" s="64">
        <f t="shared" si="14"/>
        <v>18</v>
      </c>
      <c r="AO36" s="77" t="s">
        <v>55</v>
      </c>
      <c r="AP36" s="14">
        <v>197</v>
      </c>
      <c r="AQ36" s="14">
        <f t="shared" si="15"/>
        <v>197</v>
      </c>
      <c r="AR36">
        <f t="shared" si="16"/>
        <v>31520</v>
      </c>
      <c r="AS36">
        <f t="shared" si="18"/>
        <v>11820</v>
      </c>
      <c r="BE36" s="18"/>
    </row>
    <row r="37" spans="1:57">
      <c r="A37" s="95">
        <v>46309</v>
      </c>
      <c r="B37" s="67">
        <v>1600</v>
      </c>
      <c r="C37" s="67"/>
      <c r="D37" s="55">
        <f>(SUM(粮草!A37:X37)+AG37*10*IF(AK37="是",$BB$4,$BB$3))</f>
        <v>0</v>
      </c>
      <c r="E37" s="57">
        <f>SUM($B$4:B37)+SUM($C$4:C37)-SUM($D$4:D37)</f>
        <v>59600</v>
      </c>
      <c r="F37" s="55">
        <f>SUM(经验!A37:X37)</f>
        <v>0</v>
      </c>
      <c r="G37" s="55">
        <f>SUM($F$4:F37)+SUM($H$4:H37)</f>
        <v>3000</v>
      </c>
      <c r="H37" s="67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60" t="s">
        <v>41</v>
      </c>
      <c r="P37" s="60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s="60" t="s">
        <v>41</v>
      </c>
      <c r="X37" s="60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s="60" t="s">
        <v>41</v>
      </c>
      <c r="AF37" s="60" t="s">
        <v>41</v>
      </c>
      <c r="AG37" s="62">
        <f t="shared" si="3"/>
        <v>0</v>
      </c>
      <c r="AH37" s="79"/>
      <c r="AI37" s="79"/>
      <c r="AJ37" s="79"/>
      <c r="AK37" s="80" t="s">
        <v>57</v>
      </c>
      <c r="AL37" s="64">
        <f t="shared" si="8"/>
        <v>18</v>
      </c>
      <c r="AM37" s="64">
        <f t="shared" si="9"/>
        <v>18</v>
      </c>
      <c r="AN37" s="64">
        <f t="shared" si="14"/>
        <v>18</v>
      </c>
      <c r="AO37" s="59" t="s">
        <v>40</v>
      </c>
      <c r="AP37" s="14">
        <v>38</v>
      </c>
      <c r="AQ37" s="14">
        <f>AP37-AV17</f>
        <v>38</v>
      </c>
      <c r="AR37">
        <f>AQ37*AP17*0.8</f>
        <v>1520</v>
      </c>
      <c r="AS37">
        <f>AQ37*AQ17</f>
        <v>1140</v>
      </c>
      <c r="BE37" s="18"/>
    </row>
    <row r="38" spans="1:57">
      <c r="A38" s="95">
        <v>46310</v>
      </c>
      <c r="B38" s="67">
        <v>1600</v>
      </c>
      <c r="C38" s="67"/>
      <c r="D38" s="55">
        <f>(SUM(粮草!A38:X38)+AG38*10*IF(AK38="是",$BB$4,$BB$3))</f>
        <v>0</v>
      </c>
      <c r="E38" s="57">
        <f>SUM($B$4:B38)+SUM($C$4:C38)-SUM($D$4:D38)</f>
        <v>61200</v>
      </c>
      <c r="F38" s="55">
        <f>SUM(经验!A38:X38)</f>
        <v>0</v>
      </c>
      <c r="G38" s="55">
        <f>SUM($F$4:F38)+SUM($H$4:H38)</f>
        <v>3000</v>
      </c>
      <c r="H38" s="67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60" t="s">
        <v>41</v>
      </c>
      <c r="P38" s="60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s="60" t="s">
        <v>41</v>
      </c>
      <c r="X38" s="60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60" t="s">
        <v>41</v>
      </c>
      <c r="AF38" s="60" t="s">
        <v>41</v>
      </c>
      <c r="AG38" s="62">
        <f t="shared" si="3"/>
        <v>0</v>
      </c>
      <c r="AH38" s="79"/>
      <c r="AI38" s="79"/>
      <c r="AJ38" s="79"/>
      <c r="AK38" s="80" t="s">
        <v>57</v>
      </c>
      <c r="AL38" s="64">
        <f t="shared" si="8"/>
        <v>18</v>
      </c>
      <c r="AM38" s="64">
        <f t="shared" si="9"/>
        <v>18</v>
      </c>
      <c r="AN38" s="64">
        <f t="shared" si="14"/>
        <v>18</v>
      </c>
      <c r="AO38" s="16" t="s">
        <v>67</v>
      </c>
      <c r="AP38" s="14">
        <v>42</v>
      </c>
      <c r="AQ38" s="14">
        <f>AP38-AV11-AV26</f>
        <v>42</v>
      </c>
      <c r="AR38">
        <f t="shared" ref="AR38:AR42" si="19">AQ38*AP11*0.8</f>
        <v>5040</v>
      </c>
      <c r="AS38">
        <f t="shared" si="17"/>
        <v>1680</v>
      </c>
      <c r="BE38" s="18"/>
    </row>
    <row r="39" spans="1:57">
      <c r="A39" s="95">
        <v>46311</v>
      </c>
      <c r="B39" s="67">
        <v>1600</v>
      </c>
      <c r="C39" s="67"/>
      <c r="D39" s="55">
        <f>(SUM(粮草!A39:X39)+AG39*10*IF(AK39="是",$BB$4,$BB$3))</f>
        <v>0</v>
      </c>
      <c r="E39" s="57">
        <f>SUM($B$4:B39)+SUM($C$4:C39)-SUM($D$4:D39)</f>
        <v>62800</v>
      </c>
      <c r="F39" s="55">
        <f>SUM(经验!A39:X39)</f>
        <v>0</v>
      </c>
      <c r="G39" s="55">
        <f>SUM($F$4:F39)+SUM($H$4:H39)</f>
        <v>3000</v>
      </c>
      <c r="H39" s="67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60" t="s">
        <v>41</v>
      </c>
      <c r="P39" s="60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s="60" t="s">
        <v>41</v>
      </c>
      <c r="X39" s="60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60" t="s">
        <v>41</v>
      </c>
      <c r="AF39" s="60" t="s">
        <v>41</v>
      </c>
      <c r="AG39" s="62">
        <f t="shared" ref="AG39:AG49" si="20">AH39+AI39+AJ39</f>
        <v>0</v>
      </c>
      <c r="AH39" s="79"/>
      <c r="AI39" s="79"/>
      <c r="AJ39" s="79"/>
      <c r="AK39" s="80" t="s">
        <v>57</v>
      </c>
      <c r="AL39" s="64">
        <f t="shared" si="8"/>
        <v>18</v>
      </c>
      <c r="AM39" s="64">
        <f t="shared" si="9"/>
        <v>18</v>
      </c>
      <c r="AN39" s="64">
        <f t="shared" si="14"/>
        <v>18</v>
      </c>
      <c r="AO39" s="17" t="s">
        <v>68</v>
      </c>
      <c r="AP39" s="87">
        <v>6</v>
      </c>
      <c r="AQ39" s="14">
        <f>AP39-AV12-AV27</f>
        <v>6</v>
      </c>
      <c r="AR39">
        <f t="shared" si="19"/>
        <v>720</v>
      </c>
      <c r="AS39">
        <f t="shared" si="18"/>
        <v>270</v>
      </c>
      <c r="BE39" s="18"/>
    </row>
    <row r="40" spans="1:57">
      <c r="A40" s="95">
        <v>46312</v>
      </c>
      <c r="B40" s="67">
        <v>1600</v>
      </c>
      <c r="C40" s="67"/>
      <c r="D40" s="55">
        <f>(SUM(粮草!A40:X40)+AG40*10*IF(AK40="是",$BB$4,$BB$3))</f>
        <v>0</v>
      </c>
      <c r="E40" s="57">
        <f>SUM($B$4:B40)+SUM($C$4:C40)-SUM($D$4:D40)</f>
        <v>64400</v>
      </c>
      <c r="F40" s="55">
        <f>SUM(经验!A40:X40)</f>
        <v>0</v>
      </c>
      <c r="G40" s="55">
        <f>SUM($F$4:F40)+SUM($H$4:H40)</f>
        <v>3000</v>
      </c>
      <c r="H40" s="67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60" t="s">
        <v>41</v>
      </c>
      <c r="P40" s="6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60" t="s">
        <v>41</v>
      </c>
      <c r="X40" s="6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60" t="s">
        <v>41</v>
      </c>
      <c r="AF40" s="60" t="s">
        <v>41</v>
      </c>
      <c r="AG40" s="62">
        <f t="shared" si="20"/>
        <v>0</v>
      </c>
      <c r="AH40" s="79"/>
      <c r="AI40" s="79"/>
      <c r="AJ40" s="79"/>
      <c r="AK40" s="80" t="s">
        <v>57</v>
      </c>
      <c r="AL40" s="64">
        <f t="shared" si="8"/>
        <v>18</v>
      </c>
      <c r="AM40" s="64">
        <f t="shared" si="9"/>
        <v>18</v>
      </c>
      <c r="AN40" s="64">
        <f t="shared" si="14"/>
        <v>18</v>
      </c>
      <c r="AO40" s="81" t="s">
        <v>73</v>
      </c>
      <c r="AP40" s="87">
        <v>3</v>
      </c>
      <c r="AQ40" s="14">
        <f t="shared" ref="AQ40:AQ42" si="21">AP40-AV13</f>
        <v>3</v>
      </c>
      <c r="AR40">
        <f t="shared" si="19"/>
        <v>360</v>
      </c>
      <c r="AS40">
        <f t="shared" si="18"/>
        <v>150</v>
      </c>
      <c r="BE40" s="18"/>
    </row>
    <row r="41" spans="1:57">
      <c r="A41" s="95">
        <v>46313</v>
      </c>
      <c r="B41" s="67">
        <v>1600</v>
      </c>
      <c r="C41" s="67"/>
      <c r="D41" s="55">
        <f>(SUM(粮草!A41:X41)+AG41*10*IF(AK41="是",$BB$4,$BB$3))</f>
        <v>0</v>
      </c>
      <c r="E41" s="57">
        <f>SUM($B$4:B41)+SUM($C$4:C41)-SUM($D$4:D41)</f>
        <v>66000</v>
      </c>
      <c r="F41" s="55">
        <f>SUM(经验!A41:X41)</f>
        <v>0</v>
      </c>
      <c r="G41" s="55">
        <f>SUM($F$4:F41)+SUM($H$4:H41)</f>
        <v>3000</v>
      </c>
      <c r="H41" s="67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60" t="s">
        <v>41</v>
      </c>
      <c r="P41" s="60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s="60" t="s">
        <v>41</v>
      </c>
      <c r="X41" s="60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60" t="s">
        <v>41</v>
      </c>
      <c r="AF41" s="60" t="s">
        <v>41</v>
      </c>
      <c r="AG41" s="62">
        <f t="shared" si="20"/>
        <v>0</v>
      </c>
      <c r="AH41" s="79"/>
      <c r="AI41" s="79"/>
      <c r="AJ41" s="79"/>
      <c r="AK41" s="80" t="s">
        <v>57</v>
      </c>
      <c r="AL41" s="64">
        <f t="shared" si="8"/>
        <v>18</v>
      </c>
      <c r="AM41" s="64">
        <f t="shared" si="9"/>
        <v>18</v>
      </c>
      <c r="AN41" s="64">
        <f t="shared" si="14"/>
        <v>18</v>
      </c>
      <c r="AO41" s="78" t="s">
        <v>74</v>
      </c>
      <c r="AP41" s="87">
        <v>3</v>
      </c>
      <c r="AQ41" s="14">
        <f t="shared" si="21"/>
        <v>3</v>
      </c>
      <c r="AR41">
        <f t="shared" si="19"/>
        <v>360</v>
      </c>
      <c r="AS41">
        <f t="shared" si="18"/>
        <v>165</v>
      </c>
      <c r="BE41" s="18"/>
    </row>
    <row r="42" spans="1:57">
      <c r="A42" s="95">
        <v>46314</v>
      </c>
      <c r="B42" s="55">
        <v>1600</v>
      </c>
      <c r="C42" s="56"/>
      <c r="D42" s="55">
        <f>(SUM(粮草!A42:X42)+AG42*10*IF(AK42="是",$BB$4,$BB$3))</f>
        <v>0</v>
      </c>
      <c r="E42" s="57">
        <f>SUM($B$4:B42)+SUM($C$4:C42)-SUM($D$4:D42)</f>
        <v>67600</v>
      </c>
      <c r="F42" s="55">
        <f>SUM(经验!A42:X42)</f>
        <v>0</v>
      </c>
      <c r="G42" s="55">
        <f>SUM($F$4:F42)+SUM($H$4:H42)</f>
        <v>3300</v>
      </c>
      <c r="H42" s="55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60" t="s">
        <v>41</v>
      </c>
      <c r="P42" s="60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60" t="s">
        <v>41</v>
      </c>
      <c r="X42" s="60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60" t="s">
        <v>41</v>
      </c>
      <c r="AF42" s="60" t="s">
        <v>41</v>
      </c>
      <c r="AG42" s="62">
        <f t="shared" si="20"/>
        <v>0</v>
      </c>
      <c r="AH42" s="79"/>
      <c r="AI42" s="79"/>
      <c r="AJ42" s="79"/>
      <c r="AK42" s="80" t="s">
        <v>57</v>
      </c>
      <c r="AL42" s="64">
        <f t="shared" si="8"/>
        <v>18</v>
      </c>
      <c r="AM42" s="64">
        <f t="shared" si="9"/>
        <v>18</v>
      </c>
      <c r="AN42" s="64">
        <f t="shared" si="14"/>
        <v>18</v>
      </c>
      <c r="AO42" s="82" t="s">
        <v>75</v>
      </c>
      <c r="AP42" s="87">
        <v>1</v>
      </c>
      <c r="AQ42" s="14">
        <f t="shared" si="21"/>
        <v>1</v>
      </c>
      <c r="AR42">
        <f t="shared" si="19"/>
        <v>120</v>
      </c>
      <c r="AS42">
        <f t="shared" si="18"/>
        <v>60</v>
      </c>
      <c r="BE42" s="18"/>
    </row>
    <row r="43" spans="1:57">
      <c r="A43" s="95">
        <v>46315</v>
      </c>
      <c r="B43" s="55">
        <v>1600</v>
      </c>
      <c r="C43" s="56"/>
      <c r="D43" s="55">
        <f>(SUM(粮草!A43:X43)+AG43*10*IF(AK43="是",$BB$4,$BB$3))</f>
        <v>0</v>
      </c>
      <c r="E43" s="57">
        <f>SUM($B$4:B43)+SUM($C$4:C43)-SUM($D$4:D43)</f>
        <v>69200</v>
      </c>
      <c r="F43" s="55">
        <f>SUM(经验!A43:X43)</f>
        <v>0</v>
      </c>
      <c r="G43" s="55">
        <f>SUM($F$4:F43)+SUM($H$4:H43)</f>
        <v>3300</v>
      </c>
      <c r="H43" s="55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60" t="s">
        <v>41</v>
      </c>
      <c r="P43" s="60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60" t="s">
        <v>41</v>
      </c>
      <c r="X43" s="60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60" t="s">
        <v>41</v>
      </c>
      <c r="AF43" s="60" t="s">
        <v>41</v>
      </c>
      <c r="AG43" s="62">
        <f t="shared" si="20"/>
        <v>0</v>
      </c>
      <c r="AH43" s="79"/>
      <c r="AI43" s="79"/>
      <c r="AJ43" s="79"/>
      <c r="AK43" s="80" t="s">
        <v>57</v>
      </c>
      <c r="AL43" s="64">
        <f t="shared" si="8"/>
        <v>18</v>
      </c>
      <c r="AM43" s="64">
        <f t="shared" si="9"/>
        <v>18</v>
      </c>
      <c r="AN43" s="64">
        <f t="shared" si="14"/>
        <v>18</v>
      </c>
      <c r="AO43" s="86" t="s">
        <v>64</v>
      </c>
      <c r="AP43" s="87">
        <v>2</v>
      </c>
      <c r="AQ43" s="87">
        <f>AP43-AV23</f>
        <v>2</v>
      </c>
      <c r="AR43">
        <f>AQ43*AP23*0.8</f>
        <v>400</v>
      </c>
      <c r="AS43">
        <f>AQ43*AQ23</f>
        <v>1000</v>
      </c>
      <c r="BE43" s="18"/>
    </row>
    <row r="44" spans="1:57">
      <c r="A44" s="95">
        <v>46316</v>
      </c>
      <c r="B44" s="55">
        <v>1600</v>
      </c>
      <c r="C44" s="56"/>
      <c r="D44" s="55">
        <f>(SUM(粮草!A44:X44)+AG44*10*IF(AK44="是",$BB$4,$BB$3))</f>
        <v>0</v>
      </c>
      <c r="E44" s="57">
        <f>SUM($B$4:B44)+SUM($C$4:C44)-SUM($D$4:D44)</f>
        <v>70800</v>
      </c>
      <c r="F44" s="55">
        <f>SUM(经验!A44:X44)</f>
        <v>0</v>
      </c>
      <c r="G44" s="55">
        <f>SUM($F$4:F44)+SUM($H$4:H44)</f>
        <v>3500</v>
      </c>
      <c r="H44" s="55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60" t="s">
        <v>41</v>
      </c>
      <c r="P44" s="60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60" t="s">
        <v>41</v>
      </c>
      <c r="X44" s="60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60" t="s">
        <v>41</v>
      </c>
      <c r="AF44" s="60" t="s">
        <v>41</v>
      </c>
      <c r="AG44" s="62">
        <f t="shared" si="20"/>
        <v>0</v>
      </c>
      <c r="AH44" s="79"/>
      <c r="AI44" s="79"/>
      <c r="AJ44" s="79"/>
      <c r="AK44" s="80" t="s">
        <v>57</v>
      </c>
      <c r="AL44" s="64">
        <f t="shared" si="8"/>
        <v>18</v>
      </c>
      <c r="AM44" s="64">
        <f t="shared" si="9"/>
        <v>18</v>
      </c>
      <c r="AN44" s="64">
        <f t="shared" si="14"/>
        <v>18</v>
      </c>
      <c r="AO44" s="70" t="s">
        <v>48</v>
      </c>
      <c r="AP44" s="87">
        <v>3</v>
      </c>
      <c r="AQ44">
        <f>AP44-AV29</f>
        <v>3</v>
      </c>
      <c r="AR44">
        <f>AQ44*AP29*0.8</f>
        <v>120</v>
      </c>
      <c r="AS44">
        <f>AQ44*AQ29</f>
        <v>1560</v>
      </c>
      <c r="BE44" s="18"/>
    </row>
    <row r="45" spans="1:57">
      <c r="A45" s="95">
        <v>46317</v>
      </c>
      <c r="B45" s="55">
        <v>1600</v>
      </c>
      <c r="C45" s="56"/>
      <c r="D45" s="55">
        <f>(SUM(粮草!A45:X45)+AG45*10*IF(AK45="是",$BB$4,$BB$3))</f>
        <v>0</v>
      </c>
      <c r="E45" s="57">
        <f>SUM($B$4:B45)+SUM($C$4:C45)-SUM($D$4:D45)</f>
        <v>72400</v>
      </c>
      <c r="F45" s="55">
        <f>SUM(经验!A45:X45)</f>
        <v>0</v>
      </c>
      <c r="G45" s="55">
        <f>SUM($F$4:F45)+SUM($H$4:H45)</f>
        <v>3500</v>
      </c>
      <c r="H45" s="55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60" t="s">
        <v>41</v>
      </c>
      <c r="P45" s="60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60" t="s">
        <v>41</v>
      </c>
      <c r="X45" s="60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60" t="s">
        <v>41</v>
      </c>
      <c r="AF45" s="60" t="s">
        <v>41</v>
      </c>
      <c r="AG45" s="62">
        <f t="shared" si="20"/>
        <v>0</v>
      </c>
      <c r="AH45" s="79"/>
      <c r="AI45" s="79"/>
      <c r="AJ45" s="79"/>
      <c r="AK45" s="80" t="s">
        <v>57</v>
      </c>
      <c r="AL45" s="64">
        <f t="shared" si="8"/>
        <v>18</v>
      </c>
      <c r="AM45" s="64">
        <f t="shared" si="9"/>
        <v>18</v>
      </c>
      <c r="AN45" s="64">
        <f t="shared" si="14"/>
        <v>18</v>
      </c>
      <c r="AO45" s="85" t="s">
        <v>63</v>
      </c>
      <c r="AP45" s="87">
        <v>2</v>
      </c>
      <c r="AQ45">
        <f>AP45-AV22</f>
        <v>2</v>
      </c>
      <c r="AR45">
        <f>AQ45*AP22*0.8</f>
        <v>400</v>
      </c>
      <c r="AS45">
        <f>AQ45*AQ22</f>
        <v>2000</v>
      </c>
      <c r="BE45" s="18"/>
    </row>
    <row r="46" spans="1:57">
      <c r="A46" s="97">
        <v>46318</v>
      </c>
      <c r="B46" s="55">
        <v>1600</v>
      </c>
      <c r="C46" s="56"/>
      <c r="D46" s="55">
        <f>(SUM(粮草!A46:X46)+AG46*10*IF(AK46="是",$BB$4,$BB$3))</f>
        <v>0</v>
      </c>
      <c r="E46" s="57">
        <f>SUM($B$4:B46)+SUM($C$4:C46)-SUM($D$4:D46)</f>
        <v>74000</v>
      </c>
      <c r="F46" s="55">
        <f>SUM(经验!A46:X46)</f>
        <v>0</v>
      </c>
      <c r="G46" s="55">
        <f>SUM($F$4:F46)+SUM($H$4:H46)</f>
        <v>3500</v>
      </c>
      <c r="H46" s="55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60" t="s">
        <v>41</v>
      </c>
      <c r="P46" s="60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60" t="s">
        <v>41</v>
      </c>
      <c r="X46" s="60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s="60" t="s">
        <v>41</v>
      </c>
      <c r="AF46" s="60" t="s">
        <v>41</v>
      </c>
      <c r="AG46" s="62">
        <f t="shared" si="20"/>
        <v>0</v>
      </c>
      <c r="AH46" s="79"/>
      <c r="AI46" s="79"/>
      <c r="AJ46" s="79"/>
      <c r="AK46" s="80" t="s">
        <v>57</v>
      </c>
      <c r="AL46" s="64">
        <f t="shared" si="8"/>
        <v>18</v>
      </c>
      <c r="AM46" s="64">
        <f t="shared" si="9"/>
        <v>18</v>
      </c>
      <c r="AN46" s="64">
        <f t="shared" si="14"/>
        <v>18</v>
      </c>
      <c r="AO46" t="s">
        <v>76</v>
      </c>
      <c r="AQ46">
        <f>SUM(AQ33:AQ43)</f>
        <v>970</v>
      </c>
      <c r="AR46">
        <f>SUM(AR33:AR45)</f>
        <v>138400</v>
      </c>
      <c r="AS46">
        <f>SUM(AS33:AS45)</f>
        <v>53875</v>
      </c>
      <c r="BE46" s="18"/>
    </row>
    <row r="47" spans="1:57">
      <c r="A47" s="97">
        <v>46319</v>
      </c>
      <c r="B47" s="55">
        <v>1600</v>
      </c>
      <c r="C47" s="56"/>
      <c r="D47" s="55">
        <f>(SUM(粮草!A47:X47)+AG47*10*IF(AK47="是",$BB$4,$BB$3))</f>
        <v>0</v>
      </c>
      <c r="E47" s="57">
        <f>SUM($B$4:B47)+SUM($C$4:C47)-SUM($D$4:D47)</f>
        <v>75600</v>
      </c>
      <c r="F47" s="55">
        <f>SUM(经验!A47:X47)</f>
        <v>0</v>
      </c>
      <c r="G47" s="55">
        <f>SUM($F$4:F47)+SUM($H$4:H47)</f>
        <v>3500</v>
      </c>
      <c r="H47" s="55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60" t="s">
        <v>41</v>
      </c>
      <c r="P47" s="60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60" t="s">
        <v>41</v>
      </c>
      <c r="X47" s="60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s="60" t="s">
        <v>41</v>
      </c>
      <c r="AF47" s="60" t="s">
        <v>41</v>
      </c>
      <c r="AG47" s="62">
        <f t="shared" si="20"/>
        <v>0</v>
      </c>
      <c r="AH47" s="79"/>
      <c r="AI47" s="79"/>
      <c r="AJ47" s="79"/>
      <c r="AK47" s="80" t="s">
        <v>57</v>
      </c>
      <c r="AL47" s="64">
        <f t="shared" si="8"/>
        <v>18</v>
      </c>
      <c r="AM47" s="64">
        <f t="shared" si="9"/>
        <v>18</v>
      </c>
      <c r="AN47" s="64">
        <f t="shared" si="14"/>
        <v>18</v>
      </c>
      <c r="AQ47" s="88" t="s">
        <v>77</v>
      </c>
      <c r="AR47" s="88">
        <f>E93-AR46</f>
        <v>10800</v>
      </c>
      <c r="AS47" s="88">
        <f>AS46+G93+AV33</f>
        <v>63161</v>
      </c>
      <c r="BE47" s="18"/>
    </row>
    <row r="48" spans="1:57">
      <c r="A48" s="97">
        <v>46320</v>
      </c>
      <c r="B48" s="55">
        <v>1600</v>
      </c>
      <c r="C48" s="56"/>
      <c r="D48" s="55">
        <f>(SUM(粮草!A48:X48)+AG48*10*IF(AK48="是",$BB$4,$BB$3))</f>
        <v>0</v>
      </c>
      <c r="E48" s="57">
        <f>SUM($B$4:B48)+SUM($C$4:C48)-SUM($D$4:D48)</f>
        <v>77200</v>
      </c>
      <c r="F48" s="55">
        <f>SUM(经验!A48:X48)</f>
        <v>0</v>
      </c>
      <c r="G48" s="55">
        <f>SUM($F$4:F48)+SUM($H$4:H48)</f>
        <v>3500</v>
      </c>
      <c r="H48" s="55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60" t="s">
        <v>41</v>
      </c>
      <c r="P48" s="60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60" t="s">
        <v>41</v>
      </c>
      <c r="X48" s="60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s="60" t="s">
        <v>41</v>
      </c>
      <c r="AF48" s="60" t="s">
        <v>41</v>
      </c>
      <c r="AG48" s="62">
        <f t="shared" si="20"/>
        <v>0</v>
      </c>
      <c r="AH48" s="79"/>
      <c r="AI48" s="79"/>
      <c r="AJ48" s="79"/>
      <c r="AK48" s="80" t="s">
        <v>57</v>
      </c>
      <c r="AL48" s="64">
        <f t="shared" si="8"/>
        <v>18</v>
      </c>
      <c r="AM48" s="64">
        <f t="shared" si="9"/>
        <v>18</v>
      </c>
      <c r="AN48" s="64">
        <f t="shared" si="14"/>
        <v>18</v>
      </c>
      <c r="AO48" s="14"/>
      <c r="AP48" s="14"/>
      <c r="AQ48" s="102" t="s">
        <v>78</v>
      </c>
      <c r="AR48" s="102"/>
      <c r="AS48" s="14"/>
      <c r="AT48" s="14"/>
      <c r="BE48" s="18"/>
    </row>
    <row r="49" spans="1:57">
      <c r="A49" s="97">
        <v>46321</v>
      </c>
      <c r="B49" s="67">
        <v>1600</v>
      </c>
      <c r="C49" s="67"/>
      <c r="D49" s="55">
        <f>(SUM(粮草!A49:X49)+AG49*10*IF(AK49="是",$BB$4,$BB$3))</f>
        <v>0</v>
      </c>
      <c r="E49" s="57">
        <f>SUM($B$4:B49)+SUM($C$4:C49)-SUM($D$4:D49)</f>
        <v>78800</v>
      </c>
      <c r="F49" s="55">
        <f>SUM(经验!A49:X49)</f>
        <v>0</v>
      </c>
      <c r="G49" s="55">
        <f>SUM($F$4:F49)+SUM($H$4:H49)</f>
        <v>3700</v>
      </c>
      <c r="H49" s="67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60" t="s">
        <v>41</v>
      </c>
      <c r="P49" s="60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s="60" t="s">
        <v>41</v>
      </c>
      <c r="X49" s="60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s="60" t="s">
        <v>41</v>
      </c>
      <c r="AF49" s="60" t="s">
        <v>41</v>
      </c>
      <c r="AG49" s="62">
        <f t="shared" si="20"/>
        <v>0</v>
      </c>
      <c r="AH49" s="79"/>
      <c r="AI49" s="79"/>
      <c r="AJ49" s="79"/>
      <c r="AK49" s="80" t="s">
        <v>57</v>
      </c>
      <c r="AL49" s="64">
        <f t="shared" si="8"/>
        <v>18</v>
      </c>
      <c r="AM49" s="64">
        <f t="shared" si="9"/>
        <v>18</v>
      </c>
      <c r="AN49" s="64">
        <f t="shared" si="14"/>
        <v>18</v>
      </c>
      <c r="AO49" s="14" t="s">
        <v>79</v>
      </c>
      <c r="AP49" s="14" t="s">
        <v>80</v>
      </c>
      <c r="AQ49" s="14" t="s">
        <v>37</v>
      </c>
      <c r="AR49" s="14" t="s">
        <v>45</v>
      </c>
      <c r="AS49" s="14" t="s">
        <v>81</v>
      </c>
      <c r="AT49" s="14"/>
      <c r="BE49" s="18"/>
    </row>
    <row r="50" spans="1:57">
      <c r="A50" s="97">
        <v>46322</v>
      </c>
      <c r="B50" s="67">
        <v>1600</v>
      </c>
      <c r="C50" s="67"/>
      <c r="D50" s="55">
        <f>(SUM(粮草!A50:X50)+AG50*10*IF(AK50="是",$BB$4,$BB$3))</f>
        <v>0</v>
      </c>
      <c r="E50" s="57">
        <f>SUM($B$4:B50)+SUM($C$4:C50)-SUM($D$4:D50)</f>
        <v>80400</v>
      </c>
      <c r="F50" s="55">
        <f>SUM(经验!A50:X50)</f>
        <v>0</v>
      </c>
      <c r="G50" s="55">
        <f>SUM($F$4:F50)+SUM($H$4:H50)</f>
        <v>3800</v>
      </c>
      <c r="H50" s="67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60" t="s">
        <v>41</v>
      </c>
      <c r="P50" s="6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s="60" t="s">
        <v>41</v>
      </c>
      <c r="X50" s="6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s="60" t="s">
        <v>41</v>
      </c>
      <c r="AF50" s="60" t="s">
        <v>41</v>
      </c>
      <c r="AG50" s="62">
        <f t="shared" si="3"/>
        <v>0</v>
      </c>
      <c r="AH50" s="79"/>
      <c r="AI50" s="79"/>
      <c r="AJ50" s="79"/>
      <c r="AK50" s="80" t="s">
        <v>57</v>
      </c>
      <c r="AL50" s="64">
        <f t="shared" si="8"/>
        <v>18</v>
      </c>
      <c r="AM50" s="64">
        <f t="shared" si="9"/>
        <v>18</v>
      </c>
      <c r="AN50" s="64">
        <f t="shared" si="14"/>
        <v>18</v>
      </c>
      <c r="AO50" s="14">
        <v>1</v>
      </c>
      <c r="AP50" s="14">
        <v>300</v>
      </c>
      <c r="AQ50" s="14">
        <f t="shared" ref="AQ50:AQ54" si="22">AP50-50</f>
        <v>250</v>
      </c>
      <c r="AR50" s="14">
        <f t="shared" ref="AR50:AR54" si="23">AP50-40</f>
        <v>260</v>
      </c>
      <c r="AS50" s="99">
        <f>COUNTIF(I4:AF17,$AO$18)</f>
        <v>0</v>
      </c>
      <c r="AT50" s="14">
        <f>AP50*AS50</f>
        <v>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8"/>
    </row>
    <row r="51" spans="1:57">
      <c r="A51" s="97">
        <v>46323</v>
      </c>
      <c r="B51" s="67">
        <v>1600</v>
      </c>
      <c r="C51" s="67"/>
      <c r="D51" s="55">
        <f>(SUM(粮草!A51:X51)+AG51*10*IF(AK51="是",$BB$4,$BB$3))</f>
        <v>0</v>
      </c>
      <c r="E51" s="57">
        <f>SUM($B$4:B51)+SUM($C$4:C51)-SUM($D$4:D51)</f>
        <v>82000</v>
      </c>
      <c r="F51" s="55">
        <f>SUM(经验!A51:X51)</f>
        <v>0</v>
      </c>
      <c r="G51" s="55">
        <f>SUM($F$4:F51)+SUM($H$4:H51)</f>
        <v>4000</v>
      </c>
      <c r="H51" s="67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60" t="s">
        <v>41</v>
      </c>
      <c r="P51" s="60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60" t="s">
        <v>41</v>
      </c>
      <c r="X51" s="60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s="60" t="s">
        <v>41</v>
      </c>
      <c r="AF51" s="60" t="s">
        <v>41</v>
      </c>
      <c r="AG51" s="62">
        <f t="shared" si="3"/>
        <v>0</v>
      </c>
      <c r="AH51" s="79"/>
      <c r="AI51" s="79"/>
      <c r="AJ51" s="79"/>
      <c r="AK51" s="80" t="s">
        <v>57</v>
      </c>
      <c r="AL51" s="64">
        <f t="shared" si="8"/>
        <v>18</v>
      </c>
      <c r="AM51" s="64">
        <f t="shared" si="9"/>
        <v>18</v>
      </c>
      <c r="AN51" s="64">
        <f t="shared" si="14"/>
        <v>18</v>
      </c>
      <c r="AO51" s="14">
        <v>2</v>
      </c>
      <c r="AP51" s="14">
        <v>250</v>
      </c>
      <c r="AQ51" s="14">
        <f t="shared" si="22"/>
        <v>200</v>
      </c>
      <c r="AR51" s="14">
        <f t="shared" si="23"/>
        <v>210</v>
      </c>
      <c r="AS51" s="99">
        <f>COUNTIF(I18:AF27,$AO$18)</f>
        <v>0</v>
      </c>
      <c r="AT51" s="14">
        <f t="shared" ref="AT51:AT54" si="24">AP51*AS51</f>
        <v>0</v>
      </c>
      <c r="AV51">
        <v>1</v>
      </c>
      <c r="AW51">
        <v>160</v>
      </c>
      <c r="BE51" s="18"/>
    </row>
    <row r="52" spans="1:57">
      <c r="A52" s="97">
        <v>46324</v>
      </c>
      <c r="B52" s="67">
        <v>1600</v>
      </c>
      <c r="C52" s="67"/>
      <c r="D52" s="55">
        <f>(SUM(粮草!A52:X52)+AG52*10*IF(AK52="是",$BB$4,$BB$3))</f>
        <v>0</v>
      </c>
      <c r="E52" s="57">
        <f>SUM($B$4:B52)+SUM($C$4:C52)-SUM($D$4:D52)</f>
        <v>83600</v>
      </c>
      <c r="F52" s="55">
        <f>SUM(经验!A52:X52)</f>
        <v>0</v>
      </c>
      <c r="G52" s="55">
        <f>SUM($F$4:F52)+SUM($H$4:H52)</f>
        <v>4000</v>
      </c>
      <c r="H52" s="67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60" t="s">
        <v>41</v>
      </c>
      <c r="P52" s="60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s="60" t="s">
        <v>41</v>
      </c>
      <c r="X52" s="60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s="60" t="s">
        <v>41</v>
      </c>
      <c r="AF52" s="60" t="s">
        <v>41</v>
      </c>
      <c r="AG52" s="62">
        <f t="shared" si="3"/>
        <v>0</v>
      </c>
      <c r="AH52" s="79"/>
      <c r="AI52" s="79"/>
      <c r="AJ52" s="79"/>
      <c r="AK52" s="80" t="s">
        <v>57</v>
      </c>
      <c r="AL52" s="64">
        <f t="shared" si="8"/>
        <v>18</v>
      </c>
      <c r="AM52" s="64">
        <f t="shared" si="9"/>
        <v>18</v>
      </c>
      <c r="AN52" s="64">
        <f t="shared" si="14"/>
        <v>18</v>
      </c>
      <c r="AO52" s="14">
        <v>3</v>
      </c>
      <c r="AP52" s="14">
        <v>200</v>
      </c>
      <c r="AQ52" s="14">
        <f t="shared" si="22"/>
        <v>150</v>
      </c>
      <c r="AR52" s="14">
        <f t="shared" si="23"/>
        <v>160</v>
      </c>
      <c r="AS52" s="99">
        <f>COUNTIF(I28:AF45,$AO$18)</f>
        <v>0</v>
      </c>
      <c r="AT52" s="14">
        <f t="shared" si="24"/>
        <v>0</v>
      </c>
      <c r="BE52" s="18"/>
    </row>
    <row r="53" spans="1:57">
      <c r="A53" s="97">
        <v>46325</v>
      </c>
      <c r="B53" s="67">
        <v>1600</v>
      </c>
      <c r="C53" s="67"/>
      <c r="D53" s="55">
        <f>(SUM(粮草!A53:X53)+AG53*10*IF(AK53="是",$BB$4,$BB$3))</f>
        <v>0</v>
      </c>
      <c r="E53" s="57">
        <f>SUM($B$4:B53)+SUM($C$4:C53)-SUM($D$4:D53)</f>
        <v>85200</v>
      </c>
      <c r="F53" s="55">
        <f>SUM(经验!A53:X53)</f>
        <v>0</v>
      </c>
      <c r="G53" s="55">
        <f>SUM($F$4:F53)+SUM($H$4:H53)</f>
        <v>4000</v>
      </c>
      <c r="H53" s="67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60" t="s">
        <v>41</v>
      </c>
      <c r="P53" s="60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s="60" t="s">
        <v>41</v>
      </c>
      <c r="X53" s="60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s="60" t="s">
        <v>41</v>
      </c>
      <c r="AF53" s="60" t="s">
        <v>41</v>
      </c>
      <c r="AG53" s="62">
        <f t="shared" si="3"/>
        <v>0</v>
      </c>
      <c r="AH53" s="79"/>
      <c r="AI53" s="79"/>
      <c r="AJ53" s="79"/>
      <c r="AK53" s="80" t="s">
        <v>57</v>
      </c>
      <c r="AL53" s="64">
        <f t="shared" si="8"/>
        <v>18</v>
      </c>
      <c r="AM53" s="64">
        <f t="shared" si="9"/>
        <v>18</v>
      </c>
      <c r="AN53" s="64">
        <f t="shared" si="14"/>
        <v>18</v>
      </c>
      <c r="AO53" s="14">
        <v>4</v>
      </c>
      <c r="AP53" s="14">
        <v>150</v>
      </c>
      <c r="AQ53" s="14">
        <f t="shared" si="22"/>
        <v>100</v>
      </c>
      <c r="AR53" s="14">
        <f t="shared" si="23"/>
        <v>110</v>
      </c>
      <c r="AS53" s="99">
        <f>COUNTIF(I46:AF66,$AO$18)</f>
        <v>0</v>
      </c>
      <c r="AT53" s="14">
        <f t="shared" si="24"/>
        <v>0</v>
      </c>
      <c r="BE53" s="18"/>
    </row>
    <row r="54" spans="1:57">
      <c r="A54" s="97">
        <v>46326</v>
      </c>
      <c r="B54" s="67">
        <v>1600</v>
      </c>
      <c r="C54" s="67"/>
      <c r="D54" s="55">
        <f>(SUM(粮草!A54:X54)+AG54*10*IF(AK54="是",$BB$4,$BB$3))</f>
        <v>0</v>
      </c>
      <c r="E54" s="57">
        <f>SUM($B$4:B54)+SUM($C$4:C54)-SUM($D$4:D54)</f>
        <v>86800</v>
      </c>
      <c r="F54" s="55">
        <f>SUM(经验!A54:X54)</f>
        <v>0</v>
      </c>
      <c r="G54" s="55">
        <f>SUM($F$4:F54)+SUM($H$4:H54)</f>
        <v>4000</v>
      </c>
      <c r="H54" s="67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60" t="s">
        <v>41</v>
      </c>
      <c r="P54" s="60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s="60" t="s">
        <v>41</v>
      </c>
      <c r="X54" s="60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s="60" t="s">
        <v>41</v>
      </c>
      <c r="AF54" s="60" t="s">
        <v>41</v>
      </c>
      <c r="AG54" s="62">
        <f t="shared" si="3"/>
        <v>0</v>
      </c>
      <c r="AH54" s="79"/>
      <c r="AI54" s="79"/>
      <c r="AJ54" s="79"/>
      <c r="AK54" s="80" t="s">
        <v>57</v>
      </c>
      <c r="AL54" s="64">
        <f t="shared" si="8"/>
        <v>18</v>
      </c>
      <c r="AM54" s="64">
        <f t="shared" si="9"/>
        <v>18</v>
      </c>
      <c r="AN54" s="64">
        <f t="shared" si="14"/>
        <v>18</v>
      </c>
      <c r="AO54" s="14">
        <v>5</v>
      </c>
      <c r="AP54" s="14">
        <v>100</v>
      </c>
      <c r="AQ54" s="14">
        <f t="shared" si="22"/>
        <v>50</v>
      </c>
      <c r="AR54" s="14">
        <f t="shared" si="23"/>
        <v>60</v>
      </c>
      <c r="AS54" s="99">
        <f>COUNTIF(I67:AF100,$AO$18)</f>
        <v>0</v>
      </c>
      <c r="AT54" s="14">
        <f t="shared" si="24"/>
        <v>0</v>
      </c>
      <c r="BE54" s="18"/>
    </row>
    <row r="55" spans="1:57">
      <c r="A55" s="97">
        <v>46327</v>
      </c>
      <c r="B55" s="67">
        <v>1600</v>
      </c>
      <c r="C55" s="67"/>
      <c r="D55" s="55">
        <f>(SUM(粮草!A55:X55)+AG55*10*IF(AK55="是",$BB$4,$BB$3))</f>
        <v>0</v>
      </c>
      <c r="E55" s="57">
        <f>SUM($B$4:B55)+SUM($C$4:C55)-SUM($D$4:D55)</f>
        <v>88400</v>
      </c>
      <c r="F55" s="55">
        <f>SUM(经验!A55:X55)</f>
        <v>0</v>
      </c>
      <c r="G55" s="55">
        <f>SUM($F$4:F55)+SUM($H$4:H55)</f>
        <v>4000</v>
      </c>
      <c r="H55" s="67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60" t="s">
        <v>41</v>
      </c>
      <c r="P55" s="60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s="60" t="s">
        <v>41</v>
      </c>
      <c r="X55" s="60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s="60" t="s">
        <v>41</v>
      </c>
      <c r="AF55" s="60" t="s">
        <v>41</v>
      </c>
      <c r="AG55" s="62">
        <f t="shared" si="3"/>
        <v>0</v>
      </c>
      <c r="AH55" s="79"/>
      <c r="AI55" s="79"/>
      <c r="AJ55" s="79"/>
      <c r="AK55" s="80" t="s">
        <v>57</v>
      </c>
      <c r="AL55" s="64">
        <f t="shared" si="8"/>
        <v>18</v>
      </c>
      <c r="AM55" s="64">
        <f t="shared" si="9"/>
        <v>18</v>
      </c>
      <c r="AN55" s="64">
        <f t="shared" si="14"/>
        <v>18</v>
      </c>
      <c r="AO55" s="14"/>
      <c r="AP55" s="14"/>
      <c r="AQ55" s="14"/>
      <c r="AR55" s="14"/>
      <c r="AS55" s="14"/>
      <c r="AT55" s="14">
        <f>SUM(AT50:AT54)</f>
        <v>0</v>
      </c>
      <c r="BE55" s="18"/>
    </row>
    <row r="56" spans="1:57">
      <c r="A56" s="97">
        <v>46328</v>
      </c>
      <c r="B56" s="55">
        <v>1600</v>
      </c>
      <c r="C56" s="56"/>
      <c r="D56" s="55">
        <f>(SUM(粮草!A56:X56)+AG56*10*IF(AK56="是",$BB$4,$BB$3))</f>
        <v>0</v>
      </c>
      <c r="E56" s="57">
        <f>SUM($B$4:B56)+SUM($C$4:C56)-SUM($D$4:D56)</f>
        <v>90000</v>
      </c>
      <c r="F56" s="55">
        <f>SUM(经验!A56:X56)</f>
        <v>0</v>
      </c>
      <c r="G56" s="55">
        <f>SUM($F$4:F56)+SUM($H$4:H56)</f>
        <v>4300</v>
      </c>
      <c r="H56" s="55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60" t="s">
        <v>41</v>
      </c>
      <c r="P56" s="60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s="60" t="s">
        <v>41</v>
      </c>
      <c r="X56" s="60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60" t="s">
        <v>41</v>
      </c>
      <c r="AF56" s="60" t="s">
        <v>41</v>
      </c>
      <c r="AG56" s="62">
        <f t="shared" si="3"/>
        <v>0</v>
      </c>
      <c r="AH56" s="79"/>
      <c r="AI56" s="79"/>
      <c r="AJ56" s="79"/>
      <c r="AK56" s="80" t="s">
        <v>57</v>
      </c>
      <c r="AL56" s="64">
        <f t="shared" si="8"/>
        <v>18</v>
      </c>
      <c r="AM56" s="64">
        <f t="shared" si="9"/>
        <v>18</v>
      </c>
      <c r="AN56" s="64">
        <f t="shared" si="14"/>
        <v>18</v>
      </c>
      <c r="BE56" s="18"/>
    </row>
    <row r="57" spans="1:57">
      <c r="A57" s="97">
        <v>46329</v>
      </c>
      <c r="B57" s="55">
        <v>1600</v>
      </c>
      <c r="C57" s="56"/>
      <c r="D57" s="55">
        <f>(SUM(粮草!A57:X57)+AG57*10*IF(AK57="是",$BB$4,$BB$3))</f>
        <v>0</v>
      </c>
      <c r="E57" s="57">
        <f>SUM($B$4:B57)+SUM($C$4:C57)-SUM($D$4:D57)</f>
        <v>91600</v>
      </c>
      <c r="F57" s="55">
        <f>SUM(经验!A57:X57)</f>
        <v>0</v>
      </c>
      <c r="G57" s="55">
        <f>SUM($F$4:F57)+SUM($H$4:H57)</f>
        <v>4300</v>
      </c>
      <c r="H57" s="55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60" t="s">
        <v>41</v>
      </c>
      <c r="P57" s="60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s="60" t="s">
        <v>41</v>
      </c>
      <c r="X57" s="60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60" t="s">
        <v>41</v>
      </c>
      <c r="AF57" s="60" t="s">
        <v>41</v>
      </c>
      <c r="AG57" s="62">
        <f t="shared" si="3"/>
        <v>0</v>
      </c>
      <c r="AH57" s="79"/>
      <c r="AI57" s="79"/>
      <c r="AJ57" s="79"/>
      <c r="AK57" s="80" t="s">
        <v>57</v>
      </c>
      <c r="AL57" s="64">
        <f t="shared" si="8"/>
        <v>18</v>
      </c>
      <c r="AM57" s="64">
        <f t="shared" si="9"/>
        <v>18</v>
      </c>
      <c r="AN57" s="64">
        <f t="shared" si="14"/>
        <v>18</v>
      </c>
      <c r="BE57" s="18"/>
    </row>
    <row r="58" spans="1:57">
      <c r="A58" s="97">
        <v>46330</v>
      </c>
      <c r="B58" s="55">
        <v>1600</v>
      </c>
      <c r="C58" s="56"/>
      <c r="D58" s="55">
        <f>(SUM(粮草!A58:X58)+AG58*10*IF(AK58="是",$BB$4,$BB$3))</f>
        <v>0</v>
      </c>
      <c r="E58" s="57">
        <f>SUM($B$4:B58)+SUM($C$4:C58)-SUM($D$4:D58)</f>
        <v>93200</v>
      </c>
      <c r="F58" s="55">
        <f>SUM(经验!A58:X58)</f>
        <v>0</v>
      </c>
      <c r="G58" s="55">
        <f>SUM($F$4:F58)+SUM($H$4:H58)</f>
        <v>4500</v>
      </c>
      <c r="H58" s="55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60" t="s">
        <v>41</v>
      </c>
      <c r="P58" s="60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60" t="s">
        <v>41</v>
      </c>
      <c r="X58" s="60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60" t="s">
        <v>41</v>
      </c>
      <c r="AF58" s="60" t="s">
        <v>41</v>
      </c>
      <c r="AG58" s="62">
        <f t="shared" si="3"/>
        <v>0</v>
      </c>
      <c r="AH58" s="79"/>
      <c r="AI58" s="79"/>
      <c r="AJ58" s="79"/>
      <c r="AK58" s="80" t="s">
        <v>57</v>
      </c>
      <c r="AL58" s="64">
        <f t="shared" si="8"/>
        <v>18</v>
      </c>
      <c r="AM58" s="64">
        <f t="shared" si="9"/>
        <v>18</v>
      </c>
      <c r="AN58" s="64">
        <f t="shared" si="14"/>
        <v>18</v>
      </c>
      <c r="BE58" s="18"/>
    </row>
    <row r="59" spans="1:57">
      <c r="A59" s="97">
        <v>46331</v>
      </c>
      <c r="B59" s="55">
        <v>1600</v>
      </c>
      <c r="C59" s="56"/>
      <c r="D59" s="55">
        <f>(SUM(粮草!A59:X59)+AG59*10*IF(AK59="是",$BB$4,$BB$3))</f>
        <v>0</v>
      </c>
      <c r="E59" s="57">
        <f>SUM($B$4:B59)+SUM($C$4:C59)-SUM($D$4:D59)</f>
        <v>94800</v>
      </c>
      <c r="F59" s="55">
        <f>SUM(经验!A59:X59)</f>
        <v>0</v>
      </c>
      <c r="G59" s="55">
        <f>SUM($F$4:F59)+SUM($H$4:H59)</f>
        <v>4500</v>
      </c>
      <c r="H59" s="55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60" t="s">
        <v>41</v>
      </c>
      <c r="P59" s="60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s="60" t="s">
        <v>41</v>
      </c>
      <c r="X59" s="60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60" t="s">
        <v>41</v>
      </c>
      <c r="AF59" s="60" t="s">
        <v>41</v>
      </c>
      <c r="AG59" s="62">
        <f t="shared" si="3"/>
        <v>0</v>
      </c>
      <c r="AH59" s="79"/>
      <c r="AI59" s="79"/>
      <c r="AJ59" s="79"/>
      <c r="AK59" s="80" t="s">
        <v>57</v>
      </c>
      <c r="AL59" s="64">
        <f t="shared" si="8"/>
        <v>18</v>
      </c>
      <c r="AM59" s="64">
        <f t="shared" si="9"/>
        <v>18</v>
      </c>
      <c r="AN59" s="64">
        <f t="shared" si="14"/>
        <v>18</v>
      </c>
      <c r="BE59" s="18"/>
    </row>
    <row r="60" spans="1:57">
      <c r="A60" s="97">
        <v>46332</v>
      </c>
      <c r="B60" s="55">
        <v>1600</v>
      </c>
      <c r="C60" s="56"/>
      <c r="D60" s="55">
        <f>(SUM(粮草!A60:X60)+AG60*10*IF(AK60="是",$BB$4,$BB$3))</f>
        <v>0</v>
      </c>
      <c r="E60" s="57">
        <f>SUM($B$4:B60)+SUM($C$4:C60)-SUM($D$4:D60)</f>
        <v>96400</v>
      </c>
      <c r="F60" s="55">
        <f>SUM(经验!A60:X60)</f>
        <v>0</v>
      </c>
      <c r="G60" s="55">
        <f>SUM($F$4:F60)+SUM($H$4:H60)</f>
        <v>4500</v>
      </c>
      <c r="H60" s="55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60" t="s">
        <v>41</v>
      </c>
      <c r="P60" s="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s="60" t="s">
        <v>41</v>
      </c>
      <c r="X60" s="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60" t="s">
        <v>41</v>
      </c>
      <c r="AF60" s="60" t="s">
        <v>41</v>
      </c>
      <c r="AG60" s="62">
        <f t="shared" si="3"/>
        <v>0</v>
      </c>
      <c r="AH60" s="79"/>
      <c r="AI60" s="79"/>
      <c r="AJ60" s="79"/>
      <c r="AK60" s="80" t="s">
        <v>57</v>
      </c>
      <c r="AL60" s="64">
        <f t="shared" si="8"/>
        <v>18</v>
      </c>
      <c r="AM60" s="64">
        <f t="shared" si="9"/>
        <v>18</v>
      </c>
      <c r="AN60" s="64">
        <f t="shared" si="14"/>
        <v>18</v>
      </c>
      <c r="BE60" s="18"/>
    </row>
    <row r="61" spans="1:57">
      <c r="A61" s="97">
        <v>46333</v>
      </c>
      <c r="B61" s="55">
        <v>1600</v>
      </c>
      <c r="C61" s="56"/>
      <c r="D61" s="55">
        <f>(SUM(粮草!A61:X61)+AG61*10*IF(AK61="是",$BB$4,$BB$3))</f>
        <v>0</v>
      </c>
      <c r="E61" s="57">
        <f>SUM($B$4:B61)+SUM($C$4:C61)-SUM($D$4:D61)</f>
        <v>98000</v>
      </c>
      <c r="F61" s="55">
        <f>SUM(经验!A61:X61)</f>
        <v>0</v>
      </c>
      <c r="G61" s="55">
        <f>SUM($F$4:F61)+SUM($H$4:H61)</f>
        <v>4500</v>
      </c>
      <c r="H61" s="55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60" t="s">
        <v>41</v>
      </c>
      <c r="P61" s="60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s="60" t="s">
        <v>41</v>
      </c>
      <c r="X61" s="60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60" t="s">
        <v>41</v>
      </c>
      <c r="AF61" s="60" t="s">
        <v>41</v>
      </c>
      <c r="AG61" s="62">
        <f t="shared" si="3"/>
        <v>0</v>
      </c>
      <c r="AH61" s="79"/>
      <c r="AI61" s="79"/>
      <c r="AJ61" s="79"/>
      <c r="AK61" s="80" t="s">
        <v>57</v>
      </c>
      <c r="AL61" s="64">
        <f t="shared" si="8"/>
        <v>18</v>
      </c>
      <c r="AM61" s="64">
        <f t="shared" si="9"/>
        <v>18</v>
      </c>
      <c r="AN61" s="64">
        <f t="shared" si="14"/>
        <v>18</v>
      </c>
      <c r="BE61" s="18"/>
    </row>
    <row r="62" spans="1:57">
      <c r="A62" s="97">
        <v>46334</v>
      </c>
      <c r="B62" s="55">
        <v>1600</v>
      </c>
      <c r="C62" s="56"/>
      <c r="D62" s="55">
        <f>(SUM(粮草!A62:X62)+AG62*10*IF(AK62="是",$BB$4,$BB$3))</f>
        <v>0</v>
      </c>
      <c r="E62" s="57">
        <f>SUM($B$4:B62)+SUM($C$4:C62)-SUM($D$4:D62)</f>
        <v>99600</v>
      </c>
      <c r="F62" s="55">
        <f>SUM(经验!A62:X62)</f>
        <v>0</v>
      </c>
      <c r="G62" s="55">
        <f>SUM($F$4:F62)+SUM($H$4:H62)</f>
        <v>4500</v>
      </c>
      <c r="H62" s="55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60" t="s">
        <v>41</v>
      </c>
      <c r="P62" s="60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s="60" t="s">
        <v>41</v>
      </c>
      <c r="X62" s="60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60" t="s">
        <v>41</v>
      </c>
      <c r="AF62" s="60" t="s">
        <v>41</v>
      </c>
      <c r="AG62" s="62">
        <f t="shared" ref="AG62:AG64" si="25">AH62+AI62+AJ62</f>
        <v>0</v>
      </c>
      <c r="AH62" s="79"/>
      <c r="AI62" s="79"/>
      <c r="AJ62" s="79"/>
      <c r="AK62" s="80" t="s">
        <v>57</v>
      </c>
      <c r="AL62" s="64">
        <f t="shared" si="8"/>
        <v>18</v>
      </c>
      <c r="AM62" s="64">
        <f t="shared" si="9"/>
        <v>18</v>
      </c>
      <c r="AN62" s="64">
        <f t="shared" si="14"/>
        <v>18</v>
      </c>
      <c r="BE62" s="18"/>
    </row>
    <row r="63" spans="1:57">
      <c r="A63" s="97">
        <v>46335</v>
      </c>
      <c r="B63" s="67">
        <v>1600</v>
      </c>
      <c r="C63" s="67"/>
      <c r="D63" s="55">
        <f>(SUM(粮草!A63:X63)+AG63*10*IF(AK63="是",$BB$4,$BB$3))</f>
        <v>0</v>
      </c>
      <c r="E63" s="57">
        <f>SUM($B$4:B63)+SUM($C$4:C63)-SUM($D$4:D63)</f>
        <v>101200</v>
      </c>
      <c r="F63" s="55">
        <f>SUM(经验!A63:X63)</f>
        <v>0</v>
      </c>
      <c r="G63" s="55">
        <f>SUM($F$4:F63)+SUM($H$4:H63)</f>
        <v>4800</v>
      </c>
      <c r="H63" s="67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60" t="s">
        <v>41</v>
      </c>
      <c r="P63" s="60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s="60" t="s">
        <v>41</v>
      </c>
      <c r="X63" s="60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s="60" t="s">
        <v>41</v>
      </c>
      <c r="AF63" s="60" t="s">
        <v>41</v>
      </c>
      <c r="AG63" s="62">
        <f t="shared" si="25"/>
        <v>0</v>
      </c>
      <c r="AH63" s="79"/>
      <c r="AI63" s="79"/>
      <c r="AJ63" s="79"/>
      <c r="AK63" s="80" t="s">
        <v>57</v>
      </c>
      <c r="AL63" s="64">
        <f t="shared" si="8"/>
        <v>18</v>
      </c>
      <c r="AM63" s="64">
        <f t="shared" si="9"/>
        <v>18</v>
      </c>
      <c r="AN63" s="64">
        <f t="shared" ref="AN63:AN83" si="26">MIN(AN62+6,18)-COUNTIF(Y63:AF63,"&lt;&gt;空")+COUNTIF(Y63:AF63,"历练")+COUNTIF(Y63:AF63,"营地")*2+COUNTIF(Y63:AF63,"塔1")*5</f>
        <v>18</v>
      </c>
      <c r="BE63" s="18"/>
    </row>
    <row r="64" spans="1:57">
      <c r="A64" s="97">
        <v>46336</v>
      </c>
      <c r="B64" s="67">
        <v>1600</v>
      </c>
      <c r="C64" s="67"/>
      <c r="D64" s="55">
        <f>(SUM(粮草!A64:X64)+AG64*10*IF(AK64="是",$BB$4,$BB$3))</f>
        <v>0</v>
      </c>
      <c r="E64" s="57">
        <f>SUM($B$4:B64)+SUM($C$4:C64)-SUM($D$4:D64)</f>
        <v>102800</v>
      </c>
      <c r="F64" s="55">
        <f>SUM(经验!A64:X64)</f>
        <v>0</v>
      </c>
      <c r="G64" s="55">
        <f>SUM($F$4:F64)+SUM($H$4:H64)</f>
        <v>4800</v>
      </c>
      <c r="H64" s="67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60" t="s">
        <v>41</v>
      </c>
      <c r="P64" s="60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s="60" t="s">
        <v>41</v>
      </c>
      <c r="X64" s="60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60" t="s">
        <v>41</v>
      </c>
      <c r="AF64" s="60" t="s">
        <v>41</v>
      </c>
      <c r="AG64" s="62">
        <f t="shared" si="25"/>
        <v>0</v>
      </c>
      <c r="AH64" s="79"/>
      <c r="AI64" s="79"/>
      <c r="AJ64" s="79"/>
      <c r="AK64" s="80" t="s">
        <v>57</v>
      </c>
      <c r="AL64" s="64">
        <f t="shared" si="8"/>
        <v>18</v>
      </c>
      <c r="AM64" s="64">
        <f t="shared" si="9"/>
        <v>18</v>
      </c>
      <c r="AN64" s="64">
        <f t="shared" si="26"/>
        <v>18</v>
      </c>
      <c r="BE64" s="18"/>
    </row>
    <row r="65" spans="1:57">
      <c r="A65" s="97">
        <v>46337</v>
      </c>
      <c r="B65" s="67">
        <v>1600</v>
      </c>
      <c r="C65" s="67"/>
      <c r="D65" s="55">
        <f>(SUM(粮草!A65:X65)+AG65*10*IF(AK65="是",$BB$4,$BB$3))</f>
        <v>0</v>
      </c>
      <c r="E65" s="57">
        <f>SUM($B$4:B65)+SUM($C$4:C65)-SUM($D$4:D65)</f>
        <v>104400</v>
      </c>
      <c r="F65" s="55">
        <f>SUM(经验!A65:X65)</f>
        <v>0</v>
      </c>
      <c r="G65" s="55">
        <f>SUM($F$4:F65)+SUM($H$4:H65)</f>
        <v>5000</v>
      </c>
      <c r="H65" s="67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60" t="s">
        <v>41</v>
      </c>
      <c r="P65" s="60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s="60" t="s">
        <v>41</v>
      </c>
      <c r="X65" s="60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s="60" t="s">
        <v>41</v>
      </c>
      <c r="AF65" s="60" t="s">
        <v>41</v>
      </c>
      <c r="AG65" s="62">
        <f t="shared" si="3"/>
        <v>0</v>
      </c>
      <c r="AH65" s="79"/>
      <c r="AI65" s="79"/>
      <c r="AJ65" s="79"/>
      <c r="AK65" s="80" t="s">
        <v>57</v>
      </c>
      <c r="AL65" s="64">
        <f t="shared" si="8"/>
        <v>18</v>
      </c>
      <c r="AM65" s="64">
        <f t="shared" si="9"/>
        <v>18</v>
      </c>
      <c r="AN65" s="64">
        <f t="shared" si="26"/>
        <v>18</v>
      </c>
      <c r="BE65" s="18"/>
    </row>
    <row r="66" spans="1:57">
      <c r="A66" s="97">
        <v>46338</v>
      </c>
      <c r="B66" s="67">
        <v>1600</v>
      </c>
      <c r="C66" s="67"/>
      <c r="D66" s="55">
        <f>(SUM(粮草!A66:X66)+AG66*10*IF(AK66="是",$BB$4,$BB$3))</f>
        <v>0</v>
      </c>
      <c r="E66" s="57">
        <f>SUM($B$4:B66)+SUM($C$4:C66)-SUM($D$4:D66)</f>
        <v>106000</v>
      </c>
      <c r="F66" s="55">
        <f>SUM(经验!A66:X66)</f>
        <v>0</v>
      </c>
      <c r="G66" s="55">
        <f>SUM($F$4:F66)+SUM($H$4:H66)</f>
        <v>5000</v>
      </c>
      <c r="H66" s="67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60" t="s">
        <v>41</v>
      </c>
      <c r="P66" s="60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60" t="s">
        <v>41</v>
      </c>
      <c r="X66" s="60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s="60" t="s">
        <v>41</v>
      </c>
      <c r="AF66" s="60" t="s">
        <v>41</v>
      </c>
      <c r="AG66" s="62">
        <f t="shared" si="3"/>
        <v>0</v>
      </c>
      <c r="AH66" s="79"/>
      <c r="AI66" s="79"/>
      <c r="AJ66" s="79"/>
      <c r="AK66" s="80" t="s">
        <v>57</v>
      </c>
      <c r="AL66" s="64">
        <f t="shared" si="8"/>
        <v>18</v>
      </c>
      <c r="AM66" s="64">
        <f t="shared" si="9"/>
        <v>18</v>
      </c>
      <c r="AN66" s="64">
        <f t="shared" si="26"/>
        <v>18</v>
      </c>
      <c r="BE66" s="18"/>
    </row>
    <row r="67" spans="1:57">
      <c r="A67" s="95">
        <v>46339</v>
      </c>
      <c r="B67" s="67">
        <v>1600</v>
      </c>
      <c r="C67" s="67"/>
      <c r="D67" s="55">
        <f>(SUM(粮草!A67:X67)+AG67*10*IF(AK67="是",$BB$4,$BB$3))</f>
        <v>0</v>
      </c>
      <c r="E67" s="57">
        <f>SUM($B$4:B67)+SUM($C$4:C67)-SUM($D$4:D67)</f>
        <v>107600</v>
      </c>
      <c r="F67" s="55">
        <f>SUM(经验!A67:X67)</f>
        <v>0</v>
      </c>
      <c r="G67" s="55">
        <f>SUM($F$4:F67)+SUM($H$4:H67)</f>
        <v>5000</v>
      </c>
      <c r="H67" s="67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60" t="s">
        <v>41</v>
      </c>
      <c r="P67" s="60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s="60" t="s">
        <v>41</v>
      </c>
      <c r="X67" s="60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s="60" t="s">
        <v>41</v>
      </c>
      <c r="AF67" s="60" t="s">
        <v>41</v>
      </c>
      <c r="AG67" s="62">
        <f t="shared" ref="AG67:AG69" si="27">AH67+AI67+AJ67</f>
        <v>0</v>
      </c>
      <c r="AH67" s="79"/>
      <c r="AI67" s="79"/>
      <c r="AJ67" s="79"/>
      <c r="AK67" s="80" t="s">
        <v>57</v>
      </c>
      <c r="AL67" s="64">
        <f t="shared" si="8"/>
        <v>18</v>
      </c>
      <c r="AM67" s="64">
        <f t="shared" si="9"/>
        <v>18</v>
      </c>
      <c r="AN67" s="64">
        <f t="shared" si="26"/>
        <v>18</v>
      </c>
      <c r="BE67" s="18"/>
    </row>
    <row r="68" spans="1:57">
      <c r="A68" s="95">
        <v>46340</v>
      </c>
      <c r="B68" s="67">
        <v>1600</v>
      </c>
      <c r="C68" s="67"/>
      <c r="D68" s="55">
        <f>(SUM(粮草!A68:X68)+AG68*10*IF(AK68="是",$BB$4,$BB$3))</f>
        <v>0</v>
      </c>
      <c r="E68" s="57">
        <f>SUM($B$4:B68)+SUM($C$4:C68)-SUM($D$4:D68)</f>
        <v>109200</v>
      </c>
      <c r="F68" s="55">
        <f>SUM(经验!A68:X68)</f>
        <v>0</v>
      </c>
      <c r="G68" s="55">
        <f>SUM($F$4:F68)+SUM($H$4:H68)</f>
        <v>5000</v>
      </c>
      <c r="H68" s="67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60" t="s">
        <v>41</v>
      </c>
      <c r="P68" s="60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s="60" t="s">
        <v>41</v>
      </c>
      <c r="X68" s="60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s="60" t="s">
        <v>41</v>
      </c>
      <c r="AF68" s="60" t="s">
        <v>41</v>
      </c>
      <c r="AG68" s="62">
        <f t="shared" si="27"/>
        <v>0</v>
      </c>
      <c r="AH68" s="79"/>
      <c r="AI68" s="79"/>
      <c r="AJ68" s="79"/>
      <c r="AK68" s="80" t="s">
        <v>57</v>
      </c>
      <c r="AL68" s="64">
        <f t="shared" si="8"/>
        <v>18</v>
      </c>
      <c r="AM68" s="64">
        <f t="shared" si="9"/>
        <v>18</v>
      </c>
      <c r="AN68" s="64">
        <f t="shared" si="26"/>
        <v>18</v>
      </c>
      <c r="BE68" s="18"/>
    </row>
    <row r="69" spans="1:57">
      <c r="A69" s="95">
        <v>46341</v>
      </c>
      <c r="B69" s="67">
        <v>1600</v>
      </c>
      <c r="C69" s="67"/>
      <c r="D69" s="55">
        <f>(SUM(粮草!A69:X69)+AG69*10*IF(AK69="是",$BB$4,$BB$3))</f>
        <v>0</v>
      </c>
      <c r="E69" s="57">
        <f>SUM($B$4:B69)+SUM($C$4:C69)-SUM($D$4:D69)</f>
        <v>110800</v>
      </c>
      <c r="F69" s="55">
        <f>SUM(经验!A69:X69)</f>
        <v>0</v>
      </c>
      <c r="G69" s="55">
        <f>SUM($F$4:F69)+SUM($H$4:H69)</f>
        <v>5000</v>
      </c>
      <c r="H69" s="67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60" t="s">
        <v>41</v>
      </c>
      <c r="P69" s="60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s="60" t="s">
        <v>41</v>
      </c>
      <c r="X69" s="60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s="60" t="s">
        <v>41</v>
      </c>
      <c r="AF69" s="60" t="s">
        <v>41</v>
      </c>
      <c r="AG69" s="62">
        <f t="shared" si="27"/>
        <v>0</v>
      </c>
      <c r="AH69" s="79"/>
      <c r="AI69" s="79"/>
      <c r="AJ69" s="79"/>
      <c r="AK69" s="80" t="s">
        <v>57</v>
      </c>
      <c r="AL69" s="64">
        <f t="shared" si="8"/>
        <v>18</v>
      </c>
      <c r="AM69" s="64">
        <f t="shared" si="9"/>
        <v>18</v>
      </c>
      <c r="AN69" s="64">
        <f t="shared" si="26"/>
        <v>18</v>
      </c>
      <c r="BE69" s="18"/>
    </row>
    <row r="70" spans="1:57">
      <c r="A70" s="95">
        <v>46342</v>
      </c>
      <c r="B70" s="55">
        <v>1600</v>
      </c>
      <c r="C70" s="56"/>
      <c r="D70" s="55">
        <f>(SUM(粮草!A70:X70)+AG70*10*IF(AK70="是",$BB$4,$BB$3))</f>
        <v>0</v>
      </c>
      <c r="E70" s="57">
        <f>SUM($B$4:B70)+SUM($C$4:C70)-SUM($D$4:D70)</f>
        <v>112400</v>
      </c>
      <c r="F70" s="55">
        <f>SUM(经验!A70:X70)</f>
        <v>0</v>
      </c>
      <c r="G70" s="55">
        <f>SUM($F$4:F70)+SUM($H$4:H70)</f>
        <v>5300</v>
      </c>
      <c r="H70" s="55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60" t="s">
        <v>41</v>
      </c>
      <c r="P70" s="6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s="60" t="s">
        <v>41</v>
      </c>
      <c r="X70" s="6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s="60" t="s">
        <v>41</v>
      </c>
      <c r="AF70" s="60" t="s">
        <v>41</v>
      </c>
      <c r="AG70" s="62">
        <f t="shared" ref="AG70:AG93" si="28">AH70+AI70+AJ70</f>
        <v>0</v>
      </c>
      <c r="AH70" s="79"/>
      <c r="AI70" s="79"/>
      <c r="AJ70" s="79"/>
      <c r="AK70" s="80" t="s">
        <v>57</v>
      </c>
      <c r="AL70" s="64">
        <f t="shared" ref="AL70:AL93" si="29">MIN(AL69+6,18)-COUNTIF(I70:P70,"&lt;&gt;空")+COUNTIF(I70:P70,"历练")+COUNTIF(I70:P70,"营地")*2+COUNTIF(I70:P70,"塔1")*5</f>
        <v>18</v>
      </c>
      <c r="AM70" s="64">
        <f t="shared" ref="AM70:AM93" si="30">MIN(AM69+6,18)-COUNTIF(Q70:X70,"&lt;&gt;空")+COUNTIF(Q70:X70,"历练")+COUNTIF(Q70:X70,"营地")*2+COUNTIF(Q70:X70,"塔1")*5</f>
        <v>18</v>
      </c>
      <c r="AN70" s="64">
        <f t="shared" si="26"/>
        <v>18</v>
      </c>
      <c r="BE70" s="18"/>
    </row>
    <row r="71" spans="1:57">
      <c r="A71" s="95">
        <v>46343</v>
      </c>
      <c r="B71" s="55">
        <v>1600</v>
      </c>
      <c r="C71" s="56"/>
      <c r="D71" s="55">
        <f>(SUM(粮草!A71:X71)+AG71*10*IF(AK71="是",$BB$4,$BB$3))</f>
        <v>0</v>
      </c>
      <c r="E71" s="57">
        <f>SUM($B$4:B71)+SUM($C$4:C71)-SUM($D$4:D71)</f>
        <v>114000</v>
      </c>
      <c r="F71" s="55">
        <f>SUM(经验!A71:X71)</f>
        <v>0</v>
      </c>
      <c r="G71" s="55">
        <f>SUM($F$4:F71)+SUM($H$4:H71)</f>
        <v>5300</v>
      </c>
      <c r="H71" s="55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60" t="s">
        <v>41</v>
      </c>
      <c r="P71" s="60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s="60" t="s">
        <v>41</v>
      </c>
      <c r="X71" s="60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s="60" t="s">
        <v>41</v>
      </c>
      <c r="AF71" s="60" t="s">
        <v>41</v>
      </c>
      <c r="AG71" s="62">
        <f t="shared" ref="AG71" si="31">AH71+AI71+AJ71</f>
        <v>0</v>
      </c>
      <c r="AH71" s="79"/>
      <c r="AI71" s="79"/>
      <c r="AJ71" s="79"/>
      <c r="AK71" s="80" t="s">
        <v>57</v>
      </c>
      <c r="AL71" s="64">
        <f t="shared" si="29"/>
        <v>18</v>
      </c>
      <c r="AM71" s="64">
        <f t="shared" si="30"/>
        <v>18</v>
      </c>
      <c r="AN71" s="64">
        <f t="shared" si="26"/>
        <v>18</v>
      </c>
      <c r="BE71" s="18"/>
    </row>
    <row r="72" spans="1:57">
      <c r="A72" s="95">
        <v>46344</v>
      </c>
      <c r="B72" s="55">
        <v>1600</v>
      </c>
      <c r="C72" s="56"/>
      <c r="D72" s="55">
        <f>(SUM(粮草!A72:X72)+AG72*10*IF(AK72="是",$BB$4,$BB$3))</f>
        <v>0</v>
      </c>
      <c r="E72" s="57">
        <f>SUM($B$4:B72)+SUM($C$4:C72)-SUM($D$4:D72)</f>
        <v>115600</v>
      </c>
      <c r="F72" s="55">
        <f>SUM(经验!A72:X72)</f>
        <v>0</v>
      </c>
      <c r="G72" s="55">
        <f>SUM($F$4:F72)+SUM($H$4:H72)</f>
        <v>5500</v>
      </c>
      <c r="H72" s="55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60" t="s">
        <v>41</v>
      </c>
      <c r="P72" s="60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s="60" t="s">
        <v>41</v>
      </c>
      <c r="X72" s="60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s="60" t="s">
        <v>41</v>
      </c>
      <c r="AF72" s="60" t="s">
        <v>41</v>
      </c>
      <c r="AG72" s="62">
        <f t="shared" si="28"/>
        <v>0</v>
      </c>
      <c r="AH72" s="79"/>
      <c r="AI72" s="79"/>
      <c r="AJ72" s="79"/>
      <c r="AK72" s="80" t="s">
        <v>57</v>
      </c>
      <c r="AL72" s="64">
        <f t="shared" si="29"/>
        <v>18</v>
      </c>
      <c r="AM72" s="64">
        <f t="shared" si="30"/>
        <v>18</v>
      </c>
      <c r="AN72" s="64">
        <f t="shared" si="26"/>
        <v>18</v>
      </c>
      <c r="BE72" s="18"/>
    </row>
    <row r="73" spans="1:57">
      <c r="A73" s="95">
        <v>46345</v>
      </c>
      <c r="B73" s="55">
        <v>1600</v>
      </c>
      <c r="C73" s="56"/>
      <c r="D73" s="55">
        <f>(SUM(粮草!A73:X73)+AG73*10*IF(AK73="是",$BB$4,$BB$3))</f>
        <v>0</v>
      </c>
      <c r="E73" s="57">
        <f>SUM($B$4:B73)+SUM($C$4:C73)-SUM($D$4:D73)</f>
        <v>117200</v>
      </c>
      <c r="F73" s="55">
        <f>SUM(经验!A73:X73)</f>
        <v>0</v>
      </c>
      <c r="G73" s="55">
        <f>SUM($F$4:F73)+SUM($H$4:H73)</f>
        <v>5500</v>
      </c>
      <c r="H73" s="55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60" t="s">
        <v>41</v>
      </c>
      <c r="P73" s="60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s="60" t="s">
        <v>41</v>
      </c>
      <c r="X73" s="60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s="60" t="s">
        <v>41</v>
      </c>
      <c r="AF73" s="60" t="s">
        <v>41</v>
      </c>
      <c r="AG73" s="62">
        <f t="shared" ref="AG73:AG74" si="32">AH73+AI73+AJ73</f>
        <v>0</v>
      </c>
      <c r="AH73" s="79"/>
      <c r="AI73" s="79"/>
      <c r="AJ73" s="79"/>
      <c r="AK73" s="80" t="s">
        <v>57</v>
      </c>
      <c r="AL73" s="64">
        <f t="shared" si="29"/>
        <v>18</v>
      </c>
      <c r="AM73" s="64">
        <f t="shared" si="30"/>
        <v>18</v>
      </c>
      <c r="AN73" s="64">
        <f t="shared" si="26"/>
        <v>18</v>
      </c>
      <c r="BE73" s="18"/>
    </row>
    <row r="74" spans="1:57">
      <c r="A74" s="95">
        <v>46346</v>
      </c>
      <c r="B74" s="55">
        <v>1600</v>
      </c>
      <c r="C74" s="56"/>
      <c r="D74" s="55">
        <f>(SUM(粮草!A74:X74)+AG74*10*IF(AK74="是",$BB$4,$BB$3))</f>
        <v>0</v>
      </c>
      <c r="E74" s="57">
        <f>SUM($B$4:B74)+SUM($C$4:C74)-SUM($D$4:D74)</f>
        <v>118800</v>
      </c>
      <c r="F74" s="55">
        <f>SUM(经验!A74:X74)</f>
        <v>0</v>
      </c>
      <c r="G74" s="55">
        <f>SUM($F$4:F74)+SUM($H$4:H74)</f>
        <v>5500</v>
      </c>
      <c r="H74" s="55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60" t="s">
        <v>41</v>
      </c>
      <c r="P74" s="60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s="60" t="s">
        <v>41</v>
      </c>
      <c r="X74" s="60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s="60" t="s">
        <v>41</v>
      </c>
      <c r="AF74" s="60" t="s">
        <v>41</v>
      </c>
      <c r="AG74" s="62">
        <f t="shared" si="32"/>
        <v>0</v>
      </c>
      <c r="AH74" s="79"/>
      <c r="AI74" s="79"/>
      <c r="AJ74" s="79"/>
      <c r="AK74" s="80" t="s">
        <v>57</v>
      </c>
      <c r="AL74" s="64">
        <f t="shared" si="29"/>
        <v>18</v>
      </c>
      <c r="AM74" s="64">
        <f t="shared" si="30"/>
        <v>18</v>
      </c>
      <c r="AN74" s="64">
        <f t="shared" si="26"/>
        <v>18</v>
      </c>
      <c r="BE74" s="18"/>
    </row>
    <row r="75" spans="1:57">
      <c r="A75" s="95">
        <v>46347</v>
      </c>
      <c r="B75" s="55">
        <v>1600</v>
      </c>
      <c r="C75" s="56"/>
      <c r="D75" s="55">
        <f>(SUM(粮草!A75:X75)+AG75*10*IF(AK75="是",$BB$4,$BB$3))</f>
        <v>0</v>
      </c>
      <c r="E75" s="57">
        <f>SUM($B$4:B75)+SUM($C$4:C75)-SUM($D$4:D75)</f>
        <v>120400</v>
      </c>
      <c r="F75" s="55">
        <f>SUM(经验!A75:X75)</f>
        <v>0</v>
      </c>
      <c r="G75" s="55">
        <f>SUM($F$4:F75)+SUM($H$4:H75)</f>
        <v>5500</v>
      </c>
      <c r="H75" s="55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60" t="s">
        <v>41</v>
      </c>
      <c r="P75" s="60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s="60" t="s">
        <v>41</v>
      </c>
      <c r="X75" s="60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s="60" t="s">
        <v>41</v>
      </c>
      <c r="AF75" s="60" t="s">
        <v>41</v>
      </c>
      <c r="AG75" s="62">
        <f t="shared" si="28"/>
        <v>0</v>
      </c>
      <c r="AH75" s="79"/>
      <c r="AI75" s="79"/>
      <c r="AJ75" s="79"/>
      <c r="AK75" s="80" t="s">
        <v>57</v>
      </c>
      <c r="AL75" s="64">
        <f t="shared" si="29"/>
        <v>18</v>
      </c>
      <c r="AM75" s="64">
        <f t="shared" si="30"/>
        <v>18</v>
      </c>
      <c r="AN75" s="64">
        <f t="shared" si="26"/>
        <v>18</v>
      </c>
      <c r="BE75" s="18"/>
    </row>
    <row r="76" spans="1:57">
      <c r="A76" s="95">
        <v>46348</v>
      </c>
      <c r="B76" s="55">
        <v>1600</v>
      </c>
      <c r="C76" s="56"/>
      <c r="D76" s="55">
        <f>(SUM(粮草!A76:X76)+AG76*10*IF(AK76="是",$BB$4,$BB$3))</f>
        <v>0</v>
      </c>
      <c r="E76" s="57">
        <f>SUM($B$4:B76)+SUM($C$4:C76)-SUM($D$4:D76)</f>
        <v>122000</v>
      </c>
      <c r="F76" s="55">
        <f>SUM(经验!A76:X76)</f>
        <v>0</v>
      </c>
      <c r="G76" s="55">
        <f>SUM($F$4:F76)+SUM($H$4:H76)</f>
        <v>5500</v>
      </c>
      <c r="H76" s="55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60" t="s">
        <v>41</v>
      </c>
      <c r="P76" s="60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s="60" t="s">
        <v>41</v>
      </c>
      <c r="X76" s="60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s="60" t="s">
        <v>41</v>
      </c>
      <c r="AF76" s="60" t="s">
        <v>41</v>
      </c>
      <c r="AG76" s="62">
        <f t="shared" ref="AG76" si="33">AH76+AI76+AJ76</f>
        <v>0</v>
      </c>
      <c r="AH76" s="79"/>
      <c r="AI76" s="79"/>
      <c r="AJ76" s="79"/>
      <c r="AK76" s="80" t="s">
        <v>57</v>
      </c>
      <c r="AL76" s="64">
        <f t="shared" si="29"/>
        <v>18</v>
      </c>
      <c r="AM76" s="64">
        <f t="shared" si="30"/>
        <v>18</v>
      </c>
      <c r="AN76" s="64">
        <f t="shared" si="26"/>
        <v>18</v>
      </c>
      <c r="BE76" s="18"/>
    </row>
    <row r="77" spans="1:57">
      <c r="A77" s="95">
        <v>46349</v>
      </c>
      <c r="B77" s="67">
        <v>1600</v>
      </c>
      <c r="C77" s="67"/>
      <c r="D77" s="55">
        <f>(SUM(粮草!A77:X77)+AG77*10*IF(AK77="是",$BB$4,$BB$3))</f>
        <v>0</v>
      </c>
      <c r="E77" s="57">
        <f>SUM($B$4:B77)+SUM($C$4:C77)-SUM($D$4:D77)</f>
        <v>123600</v>
      </c>
      <c r="F77" s="55">
        <f>SUM(经验!A77:X77)</f>
        <v>0</v>
      </c>
      <c r="G77" s="55">
        <f>SUM($F$4:F77)+SUM($H$4:H77)</f>
        <v>5800</v>
      </c>
      <c r="H77" s="67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60" t="s">
        <v>41</v>
      </c>
      <c r="P77" s="60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s="60" t="s">
        <v>41</v>
      </c>
      <c r="X77" s="60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s="60" t="s">
        <v>41</v>
      </c>
      <c r="AF77" s="60" t="s">
        <v>41</v>
      </c>
      <c r="AG77" s="62">
        <f t="shared" ref="AG77:AG78" si="34">AH77+AI77+AJ77</f>
        <v>0</v>
      </c>
      <c r="AH77" s="79"/>
      <c r="AI77" s="79"/>
      <c r="AJ77" s="79"/>
      <c r="AK77" s="80" t="s">
        <v>57</v>
      </c>
      <c r="AL77" s="64">
        <f t="shared" si="29"/>
        <v>18</v>
      </c>
      <c r="AM77" s="64">
        <f t="shared" si="30"/>
        <v>18</v>
      </c>
      <c r="AN77" s="64">
        <f t="shared" si="26"/>
        <v>18</v>
      </c>
      <c r="BE77" s="18"/>
    </row>
    <row r="78" spans="1:57">
      <c r="A78" s="95">
        <v>46350</v>
      </c>
      <c r="B78" s="67">
        <v>1600</v>
      </c>
      <c r="C78" s="67"/>
      <c r="D78" s="55">
        <f>(SUM(粮草!A78:X78)+AG78*10*IF(AK78="是",$BB$4,$BB$3))</f>
        <v>0</v>
      </c>
      <c r="E78" s="57">
        <f>SUM($B$4:B78)+SUM($C$4:C78)-SUM($D$4:D78)</f>
        <v>125200</v>
      </c>
      <c r="F78" s="55">
        <f>SUM(经验!A78:X78)</f>
        <v>0</v>
      </c>
      <c r="G78" s="55">
        <f>SUM($F$4:F78)+SUM($H$4:H78)</f>
        <v>5800</v>
      </c>
      <c r="H78" s="67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60" t="s">
        <v>41</v>
      </c>
      <c r="P78" s="60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60" t="s">
        <v>41</v>
      </c>
      <c r="X78" s="60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s="60" t="s">
        <v>41</v>
      </c>
      <c r="AF78" s="60" t="s">
        <v>41</v>
      </c>
      <c r="AG78" s="62">
        <f t="shared" si="34"/>
        <v>0</v>
      </c>
      <c r="AH78" s="79"/>
      <c r="AI78" s="79"/>
      <c r="AJ78" s="79"/>
      <c r="AK78" s="80" t="s">
        <v>57</v>
      </c>
      <c r="AL78" s="64">
        <f t="shared" si="29"/>
        <v>18</v>
      </c>
      <c r="AM78" s="64">
        <f t="shared" si="30"/>
        <v>18</v>
      </c>
      <c r="AN78" s="64">
        <f t="shared" si="26"/>
        <v>18</v>
      </c>
      <c r="BE78" s="18"/>
    </row>
    <row r="79" spans="1:57">
      <c r="A79" s="95">
        <v>46351</v>
      </c>
      <c r="B79" s="67">
        <v>1600</v>
      </c>
      <c r="C79" s="67"/>
      <c r="D79" s="55">
        <f>(SUM(粮草!A79:X79)+AG79*10*IF(AK79="是",$BB$4,$BB$3))</f>
        <v>0</v>
      </c>
      <c r="E79" s="57">
        <f>SUM($B$4:B79)+SUM($C$4:C79)-SUM($D$4:D79)</f>
        <v>126800</v>
      </c>
      <c r="F79" s="55">
        <f>SUM(经验!A79:X79)</f>
        <v>0</v>
      </c>
      <c r="G79" s="55">
        <f>SUM($F$4:F79)+SUM($H$4:H79)</f>
        <v>6000</v>
      </c>
      <c r="H79" s="67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60" t="s">
        <v>41</v>
      </c>
      <c r="P79" s="60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60" t="s">
        <v>41</v>
      </c>
      <c r="X79" s="60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s="60" t="s">
        <v>41</v>
      </c>
      <c r="AF79" s="60" t="s">
        <v>41</v>
      </c>
      <c r="AG79" s="62">
        <f t="shared" ref="AG79" si="35">AH79+AI79+AJ79</f>
        <v>0</v>
      </c>
      <c r="AH79" s="79"/>
      <c r="AI79" s="79"/>
      <c r="AJ79" s="79"/>
      <c r="AK79" s="80" t="s">
        <v>57</v>
      </c>
      <c r="AL79" s="64">
        <f t="shared" si="29"/>
        <v>18</v>
      </c>
      <c r="AM79" s="64">
        <f t="shared" si="30"/>
        <v>18</v>
      </c>
      <c r="AN79" s="64">
        <f t="shared" si="26"/>
        <v>18</v>
      </c>
      <c r="BE79" s="18"/>
    </row>
    <row r="80" spans="1:57">
      <c r="A80" s="95">
        <v>46352</v>
      </c>
      <c r="B80" s="67">
        <v>1600</v>
      </c>
      <c r="C80" s="67"/>
      <c r="D80" s="55">
        <f>(SUM(粮草!A80:X80)+AG80*10*IF(AK80="是",$BB$4,$BB$3))</f>
        <v>0</v>
      </c>
      <c r="E80" s="57">
        <f>SUM($B$4:B80)+SUM($C$4:C80)-SUM($D$4:D80)</f>
        <v>128400</v>
      </c>
      <c r="F80" s="55">
        <f>SUM(经验!A80:X80)</f>
        <v>0</v>
      </c>
      <c r="G80" s="55">
        <f>SUM($F$4:F80)+SUM($H$4:H80)</f>
        <v>6000</v>
      </c>
      <c r="H80" s="67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60" t="s">
        <v>41</v>
      </c>
      <c r="P80" s="6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60" t="s">
        <v>41</v>
      </c>
      <c r="X80" s="6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s="60" t="s">
        <v>41</v>
      </c>
      <c r="AF80" s="60" t="s">
        <v>41</v>
      </c>
      <c r="AG80" s="62">
        <f t="shared" si="28"/>
        <v>0</v>
      </c>
      <c r="AH80" s="79"/>
      <c r="AI80" s="79"/>
      <c r="AJ80" s="79"/>
      <c r="AK80" s="80" t="s">
        <v>57</v>
      </c>
      <c r="AL80" s="64">
        <f t="shared" si="29"/>
        <v>18</v>
      </c>
      <c r="AM80" s="64">
        <f t="shared" si="30"/>
        <v>18</v>
      </c>
      <c r="AN80" s="64">
        <f t="shared" si="26"/>
        <v>18</v>
      </c>
      <c r="BE80" s="18"/>
    </row>
    <row r="81" spans="1:57">
      <c r="A81" s="95">
        <v>46353</v>
      </c>
      <c r="B81" s="67">
        <v>1600</v>
      </c>
      <c r="C81" s="67"/>
      <c r="D81" s="55">
        <f>(SUM(粮草!A81:X81)+AG81*10*IF(AK81="是",$BB$4,$BB$3))</f>
        <v>0</v>
      </c>
      <c r="E81" s="57">
        <f>SUM($B$4:B81)+SUM($C$4:C81)-SUM($D$4:D81)</f>
        <v>130000</v>
      </c>
      <c r="F81" s="55">
        <f>SUM(经验!A81:X81)</f>
        <v>0</v>
      </c>
      <c r="G81" s="55">
        <f>SUM($F$4:F81)+SUM($H$4:H81)</f>
        <v>6000</v>
      </c>
      <c r="H81" s="67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60" t="s">
        <v>41</v>
      </c>
      <c r="P81" s="60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60" t="s">
        <v>41</v>
      </c>
      <c r="X81" s="60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s="60" t="s">
        <v>41</v>
      </c>
      <c r="AF81" s="60" t="s">
        <v>41</v>
      </c>
      <c r="AG81" s="62">
        <f t="shared" si="28"/>
        <v>0</v>
      </c>
      <c r="AH81" s="79"/>
      <c r="AI81" s="79"/>
      <c r="AJ81" s="79"/>
      <c r="AK81" s="80" t="s">
        <v>57</v>
      </c>
      <c r="AL81" s="64">
        <f t="shared" si="29"/>
        <v>18</v>
      </c>
      <c r="AM81" s="64">
        <f t="shared" si="30"/>
        <v>18</v>
      </c>
      <c r="AN81" s="64">
        <f t="shared" si="26"/>
        <v>18</v>
      </c>
      <c r="BE81" s="18"/>
    </row>
    <row r="82" spans="1:57">
      <c r="A82" s="95">
        <v>46354</v>
      </c>
      <c r="B82" s="67">
        <v>1600</v>
      </c>
      <c r="C82" s="67"/>
      <c r="D82" s="55">
        <f>(SUM(粮草!A82:X82)+AG82*10*IF(AK82="是",$BB$4,$BB$3))</f>
        <v>0</v>
      </c>
      <c r="E82" s="57">
        <f>SUM($B$4:B82)+SUM($C$4:C82)-SUM($D$4:D82)</f>
        <v>131600</v>
      </c>
      <c r="F82" s="55">
        <f>SUM(经验!A82:X82)</f>
        <v>0</v>
      </c>
      <c r="G82" s="55">
        <f>SUM($F$4:F82)+SUM($H$4:H82)</f>
        <v>6000</v>
      </c>
      <c r="H82" s="67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60" t="s">
        <v>41</v>
      </c>
      <c r="P82" s="60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60" t="s">
        <v>41</v>
      </c>
      <c r="X82" s="60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s="60" t="s">
        <v>41</v>
      </c>
      <c r="AF82" s="60" t="s">
        <v>41</v>
      </c>
      <c r="AG82" s="62">
        <f t="shared" si="28"/>
        <v>0</v>
      </c>
      <c r="AH82" s="79"/>
      <c r="AI82" s="79"/>
      <c r="AJ82" s="79"/>
      <c r="AK82" s="80" t="s">
        <v>57</v>
      </c>
      <c r="AL82" s="64">
        <f t="shared" si="29"/>
        <v>18</v>
      </c>
      <c r="AM82" s="64">
        <f t="shared" si="30"/>
        <v>18</v>
      </c>
      <c r="AN82" s="64">
        <f t="shared" si="26"/>
        <v>18</v>
      </c>
      <c r="BE82" s="18"/>
    </row>
    <row r="83" spans="1:57">
      <c r="A83" s="95">
        <v>46355</v>
      </c>
      <c r="B83" s="67">
        <v>1600</v>
      </c>
      <c r="C83" s="67"/>
      <c r="D83" s="55">
        <f>(SUM(粮草!A83:X83)+AG83*10*IF(AK83="是",$BB$4,$BB$3))</f>
        <v>0</v>
      </c>
      <c r="E83" s="57">
        <f>SUM($B$4:B83)+SUM($C$4:C83)-SUM($D$4:D83)</f>
        <v>133200</v>
      </c>
      <c r="F83" s="55">
        <f>SUM(经验!A83:X83)</f>
        <v>0</v>
      </c>
      <c r="G83" s="55">
        <f>SUM($F$4:F83)+SUM($H$4:H83)</f>
        <v>6000</v>
      </c>
      <c r="H83" s="67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60" t="s">
        <v>41</v>
      </c>
      <c r="P83" s="60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60" t="s">
        <v>41</v>
      </c>
      <c r="X83" s="60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60" t="s">
        <v>41</v>
      </c>
      <c r="AF83" s="60" t="s">
        <v>41</v>
      </c>
      <c r="AG83" s="62">
        <f t="shared" si="28"/>
        <v>0</v>
      </c>
      <c r="AH83" s="79"/>
      <c r="AI83" s="79"/>
      <c r="AJ83" s="79"/>
      <c r="AK83" s="80" t="s">
        <v>57</v>
      </c>
      <c r="AL83" s="64">
        <f t="shared" si="29"/>
        <v>18</v>
      </c>
      <c r="AM83" s="64">
        <f t="shared" si="30"/>
        <v>18</v>
      </c>
      <c r="AN83" s="64">
        <f t="shared" si="26"/>
        <v>18</v>
      </c>
      <c r="BE83" s="18"/>
    </row>
    <row r="84" spans="1:57">
      <c r="A84" s="95">
        <v>46356</v>
      </c>
      <c r="B84" s="55">
        <v>1600</v>
      </c>
      <c r="C84" s="56"/>
      <c r="D84" s="55">
        <f>(SUM(粮草!A84:X84)+AG84*10*IF(AK84="是",$BB$4,$BB$3))</f>
        <v>0</v>
      </c>
      <c r="E84" s="57">
        <f>SUM($B$4:B84)+SUM($C$4:C84)-SUM($D$4:D84)</f>
        <v>134800</v>
      </c>
      <c r="F84" s="55">
        <f>SUM(经验!A84:X84)</f>
        <v>0</v>
      </c>
      <c r="G84" s="55">
        <f>SUM($F$4:F84)+SUM($H$4:H84)</f>
        <v>6200</v>
      </c>
      <c r="H84" s="55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60" t="s">
        <v>41</v>
      </c>
      <c r="P84" s="60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s="60" t="s">
        <v>41</v>
      </c>
      <c r="X84" s="60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s="60" t="s">
        <v>41</v>
      </c>
      <c r="AF84" s="60" t="s">
        <v>41</v>
      </c>
      <c r="AG84" s="62">
        <f t="shared" si="28"/>
        <v>0</v>
      </c>
      <c r="AH84" s="79"/>
      <c r="AI84" s="79"/>
      <c r="AJ84" s="79"/>
      <c r="AK84" s="80" t="s">
        <v>57</v>
      </c>
      <c r="AL84" s="64">
        <f t="shared" si="29"/>
        <v>18</v>
      </c>
      <c r="AM84" s="64">
        <f t="shared" si="30"/>
        <v>18</v>
      </c>
      <c r="AN84" s="64">
        <f t="shared" ref="AN84:AN93" si="36">MIN(AN83+6,18)-COUNTIF(Y84:AF84,"&lt;&gt;空")+COUNTIF(Y84:AF84,"历练")+COUNTIF(Y84:AF84,"营地")*2+COUNTIF(Y84:AF84,"塔1")*5</f>
        <v>18</v>
      </c>
      <c r="BE84" s="18"/>
    </row>
    <row r="85" spans="1:57">
      <c r="A85" s="95">
        <v>46357</v>
      </c>
      <c r="B85" s="55">
        <v>1600</v>
      </c>
      <c r="C85" s="56"/>
      <c r="D85" s="55">
        <f>(SUM(粮草!A85:X85)+AG85*10*IF(AK85="是",$BB$4,$BB$3))</f>
        <v>0</v>
      </c>
      <c r="E85" s="57">
        <f>SUM($B$4:B85)+SUM($C$4:C85)-SUM($D$4:D85)</f>
        <v>136400</v>
      </c>
      <c r="F85" s="55">
        <f>SUM(经验!A85:X85)</f>
        <v>0</v>
      </c>
      <c r="G85" s="55">
        <f>SUM($F$4:F85)+SUM($H$4:H85)</f>
        <v>6200</v>
      </c>
      <c r="H85" s="55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60" t="s">
        <v>41</v>
      </c>
      <c r="P85" s="60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s="60" t="s">
        <v>41</v>
      </c>
      <c r="X85" s="60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60" t="s">
        <v>41</v>
      </c>
      <c r="AF85" s="60" t="s">
        <v>41</v>
      </c>
      <c r="AG85" s="62">
        <f t="shared" si="28"/>
        <v>0</v>
      </c>
      <c r="AH85" s="79"/>
      <c r="AI85" s="79"/>
      <c r="AJ85" s="79"/>
      <c r="AK85" s="80" t="s">
        <v>57</v>
      </c>
      <c r="AL85" s="64">
        <f t="shared" si="29"/>
        <v>18</v>
      </c>
      <c r="AM85" s="64">
        <f t="shared" si="30"/>
        <v>18</v>
      </c>
      <c r="AN85" s="64">
        <f t="shared" si="36"/>
        <v>18</v>
      </c>
      <c r="BE85" s="18"/>
    </row>
    <row r="86" spans="1:57">
      <c r="A86" s="95">
        <v>46358</v>
      </c>
      <c r="B86" s="55">
        <v>1600</v>
      </c>
      <c r="C86" s="56"/>
      <c r="D86" s="55">
        <f>(SUM(粮草!A86:X86)+AG86*10*IF(AK86="是",$BB$4,$BB$3))</f>
        <v>0</v>
      </c>
      <c r="E86" s="57">
        <f>SUM($B$4:B86)+SUM($C$4:C86)-SUM($D$4:D86)</f>
        <v>138000</v>
      </c>
      <c r="F86" s="55">
        <f>SUM(经验!A86:X86)</f>
        <v>0</v>
      </c>
      <c r="G86" s="55">
        <f>SUM($F$4:F86)+SUM($H$4:H86)</f>
        <v>6500</v>
      </c>
      <c r="H86" s="55">
        <v>300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s="60" t="s">
        <v>41</v>
      </c>
      <c r="P86" s="60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s="60" t="s">
        <v>41</v>
      </c>
      <c r="X86" s="60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60" t="s">
        <v>41</v>
      </c>
      <c r="AF86" s="60" t="s">
        <v>41</v>
      </c>
      <c r="AG86" s="62">
        <f t="shared" si="28"/>
        <v>0</v>
      </c>
      <c r="AH86" s="79"/>
      <c r="AI86" s="79"/>
      <c r="AJ86" s="79"/>
      <c r="AK86" s="80" t="s">
        <v>57</v>
      </c>
      <c r="AL86" s="64">
        <f t="shared" si="29"/>
        <v>18</v>
      </c>
      <c r="AM86" s="64">
        <f t="shared" si="30"/>
        <v>18</v>
      </c>
      <c r="AN86" s="64">
        <f t="shared" si="36"/>
        <v>18</v>
      </c>
      <c r="BE86" s="18"/>
    </row>
    <row r="87" spans="1:57">
      <c r="A87" s="95">
        <v>46359</v>
      </c>
      <c r="B87" s="55">
        <v>1600</v>
      </c>
      <c r="C87" s="56"/>
      <c r="D87" s="55">
        <f>(SUM(粮草!A87:X87)+AG87*10*IF(AK87="是",$BB$4,$BB$3))</f>
        <v>0</v>
      </c>
      <c r="E87" s="57">
        <f>SUM($B$4:B87)+SUM($C$4:C87)-SUM($D$4:D87)</f>
        <v>139600</v>
      </c>
      <c r="F87" s="55">
        <f>SUM(经验!A87:X87)</f>
        <v>0</v>
      </c>
      <c r="G87" s="55">
        <f>SUM($F$4:F87)+SUM($H$4:H87)</f>
        <v>6500</v>
      </c>
      <c r="H87" s="55">
        <v>0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s="60" t="s">
        <v>41</v>
      </c>
      <c r="P87" s="60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60" t="s">
        <v>41</v>
      </c>
      <c r="X87" s="60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60" t="s">
        <v>41</v>
      </c>
      <c r="AF87" s="60" t="s">
        <v>41</v>
      </c>
      <c r="AG87" s="62">
        <f t="shared" si="28"/>
        <v>0</v>
      </c>
      <c r="AH87" s="79"/>
      <c r="AI87" s="79"/>
      <c r="AJ87" s="79"/>
      <c r="AK87" s="80" t="s">
        <v>57</v>
      </c>
      <c r="AL87" s="64">
        <f t="shared" si="29"/>
        <v>18</v>
      </c>
      <c r="AM87" s="64">
        <f t="shared" si="30"/>
        <v>18</v>
      </c>
      <c r="AN87" s="64">
        <f t="shared" si="36"/>
        <v>18</v>
      </c>
      <c r="BE87" s="18"/>
    </row>
    <row r="88" spans="1:57">
      <c r="A88" s="95">
        <v>46360</v>
      </c>
      <c r="B88" s="55">
        <v>1600</v>
      </c>
      <c r="C88" s="56"/>
      <c r="D88" s="55">
        <f>(SUM(粮草!A88:X88)+AG88*10*IF(AK88="是",$BB$4,$BB$3))</f>
        <v>0</v>
      </c>
      <c r="E88" s="57">
        <f>SUM($B$4:B88)+SUM($C$4:C88)-SUM($D$4:D88)</f>
        <v>141200</v>
      </c>
      <c r="F88" s="55">
        <f>SUM(经验!A88:X88)</f>
        <v>0</v>
      </c>
      <c r="G88" s="55">
        <f>SUM($F$4:F88)+SUM($H$4:H88)</f>
        <v>6500</v>
      </c>
      <c r="H88" s="55">
        <v>0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s="60" t="s">
        <v>41</v>
      </c>
      <c r="P88" s="60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s="60" t="s">
        <v>41</v>
      </c>
      <c r="X88" s="60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60" t="s">
        <v>41</v>
      </c>
      <c r="AF88" s="60" t="s">
        <v>41</v>
      </c>
      <c r="AG88" s="62">
        <f t="shared" si="28"/>
        <v>0</v>
      </c>
      <c r="AH88" s="79"/>
      <c r="AI88" s="79"/>
      <c r="AJ88" s="79"/>
      <c r="AK88" s="80" t="s">
        <v>57</v>
      </c>
      <c r="AL88" s="64">
        <f t="shared" si="29"/>
        <v>18</v>
      </c>
      <c r="AM88" s="64">
        <f t="shared" si="30"/>
        <v>18</v>
      </c>
      <c r="AN88" s="64">
        <f t="shared" si="36"/>
        <v>18</v>
      </c>
      <c r="BE88" s="18"/>
    </row>
    <row r="89" spans="1:57">
      <c r="A89" s="95">
        <v>46361</v>
      </c>
      <c r="B89" s="55">
        <v>1600</v>
      </c>
      <c r="C89" s="56"/>
      <c r="D89" s="55">
        <f>(SUM(粮草!A89:X89)+AG89*10*IF(AK89="是",$BB$4,$BB$3))</f>
        <v>0</v>
      </c>
      <c r="E89" s="57">
        <f>SUM($B$4:B89)+SUM($C$4:C89)-SUM($D$4:D89)</f>
        <v>142800</v>
      </c>
      <c r="F89" s="55">
        <f>SUM(经验!A89:X89)</f>
        <v>0</v>
      </c>
      <c r="G89" s="55">
        <f>SUM($F$4:F89)+SUM($H$4:H89)</f>
        <v>6500</v>
      </c>
      <c r="H89" s="55">
        <v>0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s="60" t="s">
        <v>41</v>
      </c>
      <c r="P89" s="60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60" t="s">
        <v>41</v>
      </c>
      <c r="X89" s="60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60" t="s">
        <v>41</v>
      </c>
      <c r="AF89" s="60" t="s">
        <v>41</v>
      </c>
      <c r="AG89" s="62">
        <f t="shared" si="28"/>
        <v>0</v>
      </c>
      <c r="AH89" s="79"/>
      <c r="AI89" s="79"/>
      <c r="AJ89" s="79"/>
      <c r="AK89" s="80" t="s">
        <v>57</v>
      </c>
      <c r="AL89" s="64">
        <f t="shared" si="29"/>
        <v>18</v>
      </c>
      <c r="AM89" s="64">
        <f t="shared" si="30"/>
        <v>18</v>
      </c>
      <c r="AN89" s="64">
        <f t="shared" si="36"/>
        <v>18</v>
      </c>
      <c r="BE89" s="18"/>
    </row>
    <row r="90" spans="1:57">
      <c r="A90" s="95">
        <v>46362</v>
      </c>
      <c r="B90" s="55">
        <v>1600</v>
      </c>
      <c r="C90" s="56"/>
      <c r="D90" s="55">
        <f>(SUM(粮草!A90:X90)+AG90*10*IF(AK90="是",$BB$4,$BB$3))</f>
        <v>0</v>
      </c>
      <c r="E90" s="57">
        <f>SUM($B$4:B90)+SUM($C$4:C90)-SUM($D$4:D90)</f>
        <v>144400</v>
      </c>
      <c r="F90" s="55">
        <f>SUM(经验!A90:X90)</f>
        <v>0</v>
      </c>
      <c r="G90" s="55">
        <f>SUM($F$4:F90)+SUM($H$4:H90)</f>
        <v>6500</v>
      </c>
      <c r="H90" s="55">
        <v>0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s="60" t="s">
        <v>41</v>
      </c>
      <c r="P90" s="6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s="60" t="s">
        <v>41</v>
      </c>
      <c r="X90" s="6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60" t="s">
        <v>41</v>
      </c>
      <c r="AF90" s="60" t="s">
        <v>41</v>
      </c>
      <c r="AG90" s="62">
        <f t="shared" si="28"/>
        <v>0</v>
      </c>
      <c r="AH90" s="79"/>
      <c r="AI90" s="79"/>
      <c r="AJ90" s="79"/>
      <c r="AK90" s="80" t="s">
        <v>57</v>
      </c>
      <c r="AL90" s="64">
        <f t="shared" si="29"/>
        <v>18</v>
      </c>
      <c r="AM90" s="64">
        <f t="shared" si="30"/>
        <v>18</v>
      </c>
      <c r="AN90" s="64">
        <f t="shared" si="36"/>
        <v>18</v>
      </c>
      <c r="BE90" s="18"/>
    </row>
    <row r="91" spans="1:57">
      <c r="A91" s="95">
        <v>46363</v>
      </c>
      <c r="B91" s="67">
        <v>1600</v>
      </c>
      <c r="C91" s="67"/>
      <c r="D91" s="55">
        <f>(SUM(粮草!A91:X91)+AG91*10*IF(AK91="是",$BB$4,$BB$3))</f>
        <v>0</v>
      </c>
      <c r="E91" s="57">
        <f>SUM($B$4:B91)+SUM($C$4:C91)-SUM($D$4:D91)</f>
        <v>146000</v>
      </c>
      <c r="F91" s="55">
        <f>SUM(经验!A91:X91)</f>
        <v>0</v>
      </c>
      <c r="G91" s="55">
        <f>SUM($F$4:F91)+SUM($H$4:H91)</f>
        <v>6700</v>
      </c>
      <c r="H91" s="67">
        <v>200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s="60" t="s">
        <v>41</v>
      </c>
      <c r="P91" s="60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60" t="s">
        <v>41</v>
      </c>
      <c r="X91" s="60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s="60" t="s">
        <v>41</v>
      </c>
      <c r="AF91" s="60" t="s">
        <v>41</v>
      </c>
      <c r="AG91" s="62">
        <f t="shared" si="28"/>
        <v>0</v>
      </c>
      <c r="AH91" s="79"/>
      <c r="AI91" s="79"/>
      <c r="AJ91" s="79"/>
      <c r="AK91" s="80" t="s">
        <v>57</v>
      </c>
      <c r="AL91" s="64">
        <f t="shared" si="29"/>
        <v>18</v>
      </c>
      <c r="AM91" s="64">
        <f t="shared" si="30"/>
        <v>18</v>
      </c>
      <c r="AN91" s="64">
        <f t="shared" si="36"/>
        <v>18</v>
      </c>
      <c r="BE91" s="18"/>
    </row>
    <row r="92" spans="1:57">
      <c r="A92" s="95">
        <v>46364</v>
      </c>
      <c r="B92" s="67">
        <v>1600</v>
      </c>
      <c r="C92" s="67"/>
      <c r="D92" s="55">
        <f>(SUM(粮草!A92:X92)+AG92*10*IF(AK92="是",$BB$4,$BB$3))</f>
        <v>0</v>
      </c>
      <c r="E92" s="57">
        <f>SUM($B$4:B92)+SUM($C$4:C92)-SUM($D$4:D92)</f>
        <v>147600</v>
      </c>
      <c r="F92" s="55">
        <f>SUM(经验!A92:X92)</f>
        <v>0</v>
      </c>
      <c r="G92" s="55">
        <f>SUM($F$4:F92)+SUM($H$4:H92)</f>
        <v>6800</v>
      </c>
      <c r="H92" s="67">
        <v>100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s="60" t="s">
        <v>41</v>
      </c>
      <c r="P92" s="60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s="60" t="s">
        <v>41</v>
      </c>
      <c r="X92" s="60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60" t="s">
        <v>41</v>
      </c>
      <c r="AF92" s="60" t="s">
        <v>41</v>
      </c>
      <c r="AG92" s="62">
        <f t="shared" si="28"/>
        <v>0</v>
      </c>
      <c r="AH92" s="79"/>
      <c r="AI92" s="79"/>
      <c r="AJ92" s="79"/>
      <c r="AK92" s="80" t="s">
        <v>57</v>
      </c>
      <c r="AL92" s="64">
        <f t="shared" si="29"/>
        <v>18</v>
      </c>
      <c r="AM92" s="64">
        <f t="shared" si="30"/>
        <v>18</v>
      </c>
      <c r="AN92" s="64">
        <f t="shared" si="36"/>
        <v>18</v>
      </c>
      <c r="BE92" s="18"/>
    </row>
    <row r="93" spans="1:57">
      <c r="A93" s="95">
        <v>46365</v>
      </c>
      <c r="B93">
        <v>1600</v>
      </c>
      <c r="D93" s="55">
        <f>(SUM(粮草!A93:X93)+AG93*10*IF(AK93="是",$BB$4,$BB$3))</f>
        <v>0</v>
      </c>
      <c r="E93" s="57">
        <f>SUM($B$4:B93)+SUM($C$4:C93)-SUM($D$4:D93)</f>
        <v>149200</v>
      </c>
      <c r="F93" s="55">
        <f>SUM(经验!A93:X93)</f>
        <v>0</v>
      </c>
      <c r="G93" s="89">
        <f>SUM($F$4:F93)+SUM($H$4:H93)</f>
        <v>7000</v>
      </c>
      <c r="H93">
        <v>200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60" t="s">
        <v>41</v>
      </c>
      <c r="P93" s="60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s="60" t="s">
        <v>41</v>
      </c>
      <c r="X93" s="60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60" t="s">
        <v>41</v>
      </c>
      <c r="AF93" s="60" t="s">
        <v>41</v>
      </c>
      <c r="AG93" s="90">
        <f t="shared" si="28"/>
        <v>0</v>
      </c>
      <c r="AH93" s="91"/>
      <c r="AI93" s="91"/>
      <c r="AJ93" s="91"/>
      <c r="AK93" s="92" t="s">
        <v>57</v>
      </c>
      <c r="AL93" s="64">
        <f t="shared" si="29"/>
        <v>18</v>
      </c>
      <c r="AM93" s="64">
        <f t="shared" si="30"/>
        <v>18</v>
      </c>
      <c r="AN93" s="64">
        <f t="shared" si="36"/>
        <v>18</v>
      </c>
      <c r="BE93" s="18"/>
    </row>
    <row r="94" spans="1:57">
      <c r="A94" s="95">
        <v>46366</v>
      </c>
      <c r="B94">
        <v>1600</v>
      </c>
      <c r="D94" s="55">
        <f>(SUM(粮草!A94:X94)+AG94*10*IF(AK94="是",$BB$4,$BB$3))</f>
        <v>0</v>
      </c>
      <c r="E94" s="57">
        <f>SUM($B$4:B94)+SUM($C$4:C94)-SUM($D$4:D94)</f>
        <v>150800</v>
      </c>
      <c r="F94" s="55">
        <f>SUM(经验!A94:X94)</f>
        <v>0</v>
      </c>
      <c r="G94" s="89">
        <f>SUM($F$4:F94)+SUM($H$4:H94)</f>
        <v>7000</v>
      </c>
      <c r="H94">
        <v>0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  <c r="N94" t="s">
        <v>41</v>
      </c>
      <c r="O94" s="60" t="s">
        <v>41</v>
      </c>
      <c r="P94" s="60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s="60" t="s">
        <v>41</v>
      </c>
      <c r="X94" s="60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s="60" t="s">
        <v>41</v>
      </c>
      <c r="AF94" s="60" t="s">
        <v>41</v>
      </c>
      <c r="AG94" s="90">
        <f t="shared" ref="AG94:AG100" si="37">AH94+AI94+AJ94</f>
        <v>0</v>
      </c>
      <c r="AH94" s="91"/>
      <c r="AI94" s="91"/>
      <c r="AJ94" s="91"/>
      <c r="AK94" s="92" t="s">
        <v>57</v>
      </c>
      <c r="AL94" s="64">
        <f t="shared" ref="AL94:AL101" si="38">MIN(AL93+6,18)-COUNTIF(I94:P94,"&lt;&gt;空")+COUNTIF(I94:P94,"历练")+COUNTIF(I94:P94,"营地")*2+COUNTIF(I94:P94,"塔1")*5</f>
        <v>18</v>
      </c>
      <c r="AM94" s="64">
        <f t="shared" ref="AM94:AM101" si="39">MIN(AM93+6,18)-COUNTIF(Q94:X94,"&lt;&gt;空")+COUNTIF(Q94:X94,"历练")+COUNTIF(Q94:X94,"营地")*2+COUNTIF(Q94:X94,"塔1")*5</f>
        <v>18</v>
      </c>
      <c r="AN94" s="64">
        <f t="shared" ref="AN94:AN101" si="40">MIN(AN93+6,18)-COUNTIF(Y94:AF94,"&lt;&gt;空")+COUNTIF(Y94:AF94,"历练")+COUNTIF(Y94:AF94,"营地")*2+COUNTIF(Y94:AF94,"塔1")*5</f>
        <v>18</v>
      </c>
    </row>
    <row r="95" spans="1:57">
      <c r="A95" s="95">
        <v>46367</v>
      </c>
      <c r="B95">
        <v>1600</v>
      </c>
      <c r="D95" s="55">
        <f>(SUM(粮草!A95:X95)+AG95*10*IF(AK95="是",$BB$4,$BB$3))</f>
        <v>0</v>
      </c>
      <c r="E95" s="57">
        <f>SUM($B$4:B95)+SUM($C$4:C95)-SUM($D$4:D95)</f>
        <v>152400</v>
      </c>
      <c r="F95" s="55">
        <f>SUM(经验!A95:X95)</f>
        <v>0</v>
      </c>
      <c r="G95" s="89">
        <f>SUM($F$4:F95)+SUM($H$4:H95)</f>
        <v>7000</v>
      </c>
      <c r="H95">
        <v>0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s="60" t="s">
        <v>41</v>
      </c>
      <c r="P95" s="60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s="60" t="s">
        <v>41</v>
      </c>
      <c r="X95" s="60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s="60" t="s">
        <v>41</v>
      </c>
      <c r="AF95" s="60" t="s">
        <v>41</v>
      </c>
      <c r="AG95" s="90">
        <f t="shared" si="37"/>
        <v>0</v>
      </c>
      <c r="AH95" s="91"/>
      <c r="AI95" s="91"/>
      <c r="AJ95" s="91"/>
      <c r="AK95" s="92" t="s">
        <v>57</v>
      </c>
      <c r="AL95" s="64">
        <f t="shared" si="38"/>
        <v>18</v>
      </c>
      <c r="AM95" s="64">
        <f t="shared" si="39"/>
        <v>18</v>
      </c>
      <c r="AN95" s="64">
        <f t="shared" si="40"/>
        <v>18</v>
      </c>
    </row>
    <row r="96" spans="1:57">
      <c r="A96" s="95">
        <v>46368</v>
      </c>
      <c r="B96">
        <v>1600</v>
      </c>
      <c r="D96" s="55">
        <f>(SUM(粮草!A96:X96)+AG96*10*IF(AK96="是",$BB$4,$BB$3))</f>
        <v>0</v>
      </c>
      <c r="E96" s="57">
        <f>SUM($B$4:B96)+SUM($C$4:C96)-SUM($D$4:D96)</f>
        <v>154000</v>
      </c>
      <c r="F96" s="55">
        <f>SUM(经验!A96:X96)</f>
        <v>0</v>
      </c>
      <c r="G96" s="89">
        <f>SUM($F$4:F96)+SUM($H$4:H96)</f>
        <v>7000</v>
      </c>
      <c r="H96">
        <v>0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s="60" t="s">
        <v>41</v>
      </c>
      <c r="P96" s="60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s="60" t="s">
        <v>41</v>
      </c>
      <c r="X96" s="60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s="60" t="s">
        <v>41</v>
      </c>
      <c r="AF96" s="60" t="s">
        <v>41</v>
      </c>
      <c r="AG96" s="90">
        <f t="shared" si="37"/>
        <v>0</v>
      </c>
      <c r="AH96" s="91"/>
      <c r="AI96" s="91"/>
      <c r="AJ96" s="91"/>
      <c r="AK96" s="92" t="s">
        <v>57</v>
      </c>
      <c r="AL96" s="64">
        <f t="shared" si="38"/>
        <v>18</v>
      </c>
      <c r="AM96" s="64">
        <f t="shared" si="39"/>
        <v>18</v>
      </c>
      <c r="AN96" s="64">
        <f t="shared" si="40"/>
        <v>18</v>
      </c>
    </row>
    <row r="97" spans="1:40">
      <c r="A97" s="95">
        <v>46369</v>
      </c>
      <c r="B97">
        <v>1600</v>
      </c>
      <c r="D97" s="55">
        <f>(SUM(粮草!A97:X97)+AG97*10*IF(AK97="是",$BB$4,$BB$3))</f>
        <v>0</v>
      </c>
      <c r="E97" s="57">
        <f>SUM($B$4:B97)+SUM($C$4:C97)-SUM($D$4:D97)</f>
        <v>155600</v>
      </c>
      <c r="F97" s="55">
        <f>SUM(经验!A97:X97)</f>
        <v>0</v>
      </c>
      <c r="G97" s="89">
        <f>SUM($F$4:F97)+SUM($H$4:H97)</f>
        <v>7000</v>
      </c>
      <c r="H97">
        <v>0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s="60" t="s">
        <v>41</v>
      </c>
      <c r="P97" s="60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s="60" t="s">
        <v>41</v>
      </c>
      <c r="X97" s="60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s="60" t="s">
        <v>41</v>
      </c>
      <c r="AF97" s="60" t="s">
        <v>41</v>
      </c>
      <c r="AG97" s="90">
        <f t="shared" si="37"/>
        <v>0</v>
      </c>
      <c r="AH97" s="91"/>
      <c r="AI97" s="91"/>
      <c r="AJ97" s="91"/>
      <c r="AK97" s="92" t="s">
        <v>57</v>
      </c>
      <c r="AL97" s="64">
        <f t="shared" si="38"/>
        <v>18</v>
      </c>
      <c r="AM97" s="64">
        <f t="shared" si="39"/>
        <v>18</v>
      </c>
      <c r="AN97" s="64">
        <f t="shared" si="40"/>
        <v>18</v>
      </c>
    </row>
    <row r="98" spans="1:40">
      <c r="A98" s="95">
        <v>46370</v>
      </c>
      <c r="B98" s="138">
        <v>1600</v>
      </c>
      <c r="D98" s="55">
        <f>(SUM(粮草!A98:X98)+AG98*10*IF(AK98="是",$BB$4,$BB$3))</f>
        <v>0</v>
      </c>
      <c r="E98" s="57">
        <f>SUM($B$4:B98)+SUM($C$4:C98)-SUM($D$4:D98)</f>
        <v>157200</v>
      </c>
      <c r="F98" s="55">
        <f>SUM(经验!A98:X98)</f>
        <v>0</v>
      </c>
      <c r="G98" s="89">
        <f>SUM($F$4:F98)+SUM($H$4:H98)</f>
        <v>7200</v>
      </c>
      <c r="H98" s="67">
        <v>200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  <c r="N98" t="s">
        <v>41</v>
      </c>
      <c r="O98" s="60" t="s">
        <v>41</v>
      </c>
      <c r="P98" s="60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s="60" t="s">
        <v>41</v>
      </c>
      <c r="X98" s="60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s="60" t="s">
        <v>41</v>
      </c>
      <c r="AF98" s="60" t="s">
        <v>41</v>
      </c>
      <c r="AG98" s="90">
        <f t="shared" si="37"/>
        <v>0</v>
      </c>
      <c r="AH98" s="91"/>
      <c r="AI98" s="91"/>
      <c r="AJ98" s="91"/>
      <c r="AK98" s="92" t="s">
        <v>57</v>
      </c>
      <c r="AL98" s="64">
        <f t="shared" si="38"/>
        <v>18</v>
      </c>
      <c r="AM98" s="64">
        <f t="shared" si="39"/>
        <v>18</v>
      </c>
      <c r="AN98" s="64">
        <f t="shared" si="40"/>
        <v>18</v>
      </c>
    </row>
    <row r="99" spans="1:40">
      <c r="A99" s="95">
        <v>46371</v>
      </c>
      <c r="B99" s="138">
        <v>1600</v>
      </c>
      <c r="D99" s="55">
        <f>(SUM(粮草!A99:X99)+AG99*10*IF(AK99="是",$BB$4,$BB$3))</f>
        <v>0</v>
      </c>
      <c r="E99" s="57">
        <f>SUM($B$4:B99)+SUM($C$4:C99)-SUM($D$4:D99)</f>
        <v>158800</v>
      </c>
      <c r="F99" s="55">
        <f>SUM(经验!A99:X99)</f>
        <v>0</v>
      </c>
      <c r="G99" s="89">
        <f>SUM($F$4:F99)+SUM($H$4:H99)</f>
        <v>7300</v>
      </c>
      <c r="H99" s="67">
        <v>100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 t="s">
        <v>41</v>
      </c>
      <c r="O99" s="60" t="s">
        <v>41</v>
      </c>
      <c r="P99" s="60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s="60" t="s">
        <v>41</v>
      </c>
      <c r="X99" s="60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s="60" t="s">
        <v>41</v>
      </c>
      <c r="AF99" s="60" t="s">
        <v>41</v>
      </c>
      <c r="AG99" s="90">
        <f t="shared" si="37"/>
        <v>0</v>
      </c>
      <c r="AH99" s="91"/>
      <c r="AI99" s="91"/>
      <c r="AJ99" s="91"/>
      <c r="AK99" s="92" t="s">
        <v>57</v>
      </c>
      <c r="AL99" s="64">
        <f t="shared" si="38"/>
        <v>18</v>
      </c>
      <c r="AM99" s="64">
        <f t="shared" si="39"/>
        <v>18</v>
      </c>
      <c r="AN99" s="64">
        <f t="shared" si="40"/>
        <v>18</v>
      </c>
    </row>
    <row r="100" spans="1:40">
      <c r="A100" s="95">
        <v>46372</v>
      </c>
      <c r="B100" s="138">
        <v>1600</v>
      </c>
      <c r="D100" s="55">
        <f>(SUM(粮草!A100:X100)+AG100*10*IF(AK100="是",$BB$4,$BB$3))</f>
        <v>0</v>
      </c>
      <c r="E100" s="57">
        <f>SUM($B$4:B100)+SUM($C$4:C100)-SUM($D$4:D100)</f>
        <v>160400</v>
      </c>
      <c r="F100" s="55">
        <f>SUM(经验!A100:X100)</f>
        <v>0</v>
      </c>
      <c r="G100" s="89">
        <f>SUM($F$4:F100)+SUM($H$4:H100)</f>
        <v>7500</v>
      </c>
      <c r="H100">
        <v>200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s="60" t="s">
        <v>41</v>
      </c>
      <c r="P100" s="6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s="60" t="s">
        <v>41</v>
      </c>
      <c r="X100" s="6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s="60" t="s">
        <v>41</v>
      </c>
      <c r="AF100" s="60" t="s">
        <v>41</v>
      </c>
      <c r="AG100" s="90">
        <f t="shared" si="37"/>
        <v>0</v>
      </c>
      <c r="AH100" s="91"/>
      <c r="AI100" s="91"/>
      <c r="AJ100" s="91"/>
      <c r="AK100" s="92" t="s">
        <v>57</v>
      </c>
      <c r="AL100" s="64">
        <f t="shared" si="38"/>
        <v>18</v>
      </c>
      <c r="AM100" s="64">
        <f t="shared" si="39"/>
        <v>18</v>
      </c>
      <c r="AN100" s="64">
        <f t="shared" si="40"/>
        <v>18</v>
      </c>
    </row>
    <row r="101" spans="1:40">
      <c r="D101" t="s">
        <v>82</v>
      </c>
      <c r="E101" s="93">
        <f>COUNTIF(E4:E100,"&lt;0")</f>
        <v>0</v>
      </c>
      <c r="AL101" s="64"/>
      <c r="AM101" s="64"/>
      <c r="AN101" s="64"/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5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{D00B04A3-5960-4A1B-AA4D-7EC811A5514B}</x14:id>
        </ext>
      </extLst>
    </cfRule>
  </conditionalFormatting>
  <pageMargins left="0.69930555555555596" right="0.69930555555555596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0B04A3-5960-4A1B-AA4D-7EC811A55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27" t="s">
        <v>83</v>
      </c>
      <c r="C1" s="128"/>
      <c r="D1" s="14"/>
      <c r="E1" s="14"/>
      <c r="F1" s="14"/>
      <c r="G1" s="14"/>
      <c r="H1" s="14"/>
      <c r="I1" s="14"/>
    </row>
    <row r="2" spans="1:9">
      <c r="B2" s="14" t="s">
        <v>84</v>
      </c>
      <c r="C2" s="14" t="s">
        <v>85</v>
      </c>
      <c r="D2" s="14" t="s">
        <v>86</v>
      </c>
      <c r="E2" s="14" t="s">
        <v>87</v>
      </c>
      <c r="F2" s="14" t="s">
        <v>88</v>
      </c>
      <c r="G2" s="14" t="s">
        <v>28</v>
      </c>
      <c r="H2" s="14" t="s">
        <v>89</v>
      </c>
      <c r="I2" s="14" t="s">
        <v>90</v>
      </c>
    </row>
    <row r="3" spans="1:9">
      <c r="A3" s="15" t="s">
        <v>66</v>
      </c>
      <c r="B3" s="14">
        <v>12</v>
      </c>
      <c r="C3" s="14">
        <v>22</v>
      </c>
      <c r="D3" s="14">
        <v>1</v>
      </c>
      <c r="E3" s="14" t="s">
        <v>91</v>
      </c>
      <c r="F3" s="14">
        <v>5</v>
      </c>
      <c r="G3" s="14"/>
      <c r="H3" s="14"/>
      <c r="I3" s="14" t="s">
        <v>92</v>
      </c>
    </row>
    <row r="4" spans="1:9">
      <c r="A4" s="15" t="s">
        <v>66</v>
      </c>
      <c r="B4" s="14">
        <v>17</v>
      </c>
      <c r="C4" s="14">
        <v>31</v>
      </c>
      <c r="D4" s="14">
        <v>1</v>
      </c>
      <c r="E4" s="14" t="s">
        <v>91</v>
      </c>
      <c r="F4" s="14">
        <v>5</v>
      </c>
      <c r="G4" s="14"/>
      <c r="H4" s="14"/>
      <c r="I4" s="14" t="s">
        <v>92</v>
      </c>
    </row>
    <row r="5" spans="1:9">
      <c r="A5" s="16" t="s">
        <v>67</v>
      </c>
      <c r="B5" s="14">
        <v>22</v>
      </c>
      <c r="C5" s="14">
        <v>23</v>
      </c>
      <c r="D5" s="14">
        <v>2</v>
      </c>
      <c r="E5" s="14" t="s">
        <v>93</v>
      </c>
      <c r="F5" s="14">
        <v>8</v>
      </c>
      <c r="G5" s="14">
        <v>0.6</v>
      </c>
      <c r="H5" s="14"/>
      <c r="I5" s="14" t="s">
        <v>94</v>
      </c>
    </row>
    <row r="6" spans="1:9">
      <c r="A6" s="16" t="s">
        <v>67</v>
      </c>
      <c r="B6" s="14">
        <v>26</v>
      </c>
      <c r="C6" s="14">
        <v>22</v>
      </c>
      <c r="D6" s="14">
        <v>2</v>
      </c>
      <c r="E6" s="14" t="s">
        <v>93</v>
      </c>
      <c r="F6" s="14">
        <v>8</v>
      </c>
      <c r="G6" s="14">
        <v>0.6</v>
      </c>
      <c r="H6" s="14"/>
      <c r="I6" s="14" t="s">
        <v>94</v>
      </c>
    </row>
    <row r="7" spans="1:9">
      <c r="A7" s="17" t="s">
        <v>68</v>
      </c>
      <c r="B7" s="14">
        <v>33</v>
      </c>
      <c r="C7" s="14">
        <v>38</v>
      </c>
      <c r="D7" s="14">
        <v>3</v>
      </c>
      <c r="E7" s="14" t="s">
        <v>95</v>
      </c>
      <c r="F7" s="14">
        <v>10</v>
      </c>
      <c r="G7" s="14"/>
      <c r="H7" s="14">
        <v>1.5</v>
      </c>
      <c r="I7" s="14" t="s">
        <v>96</v>
      </c>
    </row>
    <row r="8" spans="1:9">
      <c r="A8" s="17" t="s">
        <v>68</v>
      </c>
      <c r="B8" s="14">
        <v>38</v>
      </c>
      <c r="C8" s="14">
        <v>25</v>
      </c>
      <c r="D8" s="14">
        <v>3</v>
      </c>
      <c r="E8" s="14" t="s">
        <v>95</v>
      </c>
      <c r="F8" s="14">
        <v>10</v>
      </c>
      <c r="G8" s="14"/>
      <c r="H8" s="14">
        <v>1.5</v>
      </c>
      <c r="I8" s="14" t="s">
        <v>96</v>
      </c>
    </row>
  </sheetData>
  <mergeCells count="1">
    <mergeCell ref="B1:C1"/>
  </mergeCells>
  <phoneticPr fontId="1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A100"/>
  <sheetViews>
    <sheetView topLeftCell="A67" workbookViewId="0">
      <selection activeCell="AA67" sqref="AA67"/>
    </sheetView>
  </sheetViews>
  <sheetFormatPr defaultColWidth="9" defaultRowHeight="15"/>
  <cols>
    <col min="26" max="26" width="10.5703125" customWidth="1"/>
  </cols>
  <sheetData>
    <row r="2" spans="1:27">
      <c r="A2" s="131" t="s">
        <v>97</v>
      </c>
      <c r="B2" s="132"/>
      <c r="C2" s="1" t="s">
        <v>3</v>
      </c>
      <c r="D2" s="1">
        <f>COUNTIF(A4:H94,"&lt;&gt;空")</f>
        <v>728</v>
      </c>
      <c r="E2" s="132" t="s">
        <v>4</v>
      </c>
      <c r="F2" s="132"/>
      <c r="G2" s="132"/>
      <c r="H2" s="133"/>
      <c r="I2" s="134" t="s">
        <v>5</v>
      </c>
      <c r="J2" s="135"/>
      <c r="K2" s="2" t="s">
        <v>3</v>
      </c>
      <c r="L2" s="2">
        <f>COUNTIF(I4:P94,"&lt;&gt;空")</f>
        <v>728</v>
      </c>
      <c r="M2" s="135" t="s">
        <v>4</v>
      </c>
      <c r="N2" s="135"/>
      <c r="O2" s="135"/>
      <c r="P2" s="136"/>
      <c r="Q2" s="137" t="s">
        <v>6</v>
      </c>
      <c r="R2" s="129"/>
      <c r="S2" s="4" t="s">
        <v>7</v>
      </c>
      <c r="T2" s="3">
        <f>COUNTIF(Q4:X94,"&lt;&gt;空")</f>
        <v>728</v>
      </c>
      <c r="U2" s="129" t="s">
        <v>4</v>
      </c>
      <c r="V2" s="129"/>
      <c r="W2" s="129"/>
      <c r="X2" s="130"/>
      <c r="Y2" t="s">
        <v>15</v>
      </c>
    </row>
    <row r="3" spans="1:27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  <c r="AA3" t="s">
        <v>100</v>
      </c>
    </row>
    <row r="4" spans="1:27">
      <c r="A4" s="12">
        <f>IF(ISNUMBER(SEARCH("营",main!I4)),(-$Y4+50*IF(main!$AK4="是",main!$BB$4,main!$BB$3)),(VLOOKUP(main!I4,main!$AO$4:$AQ$55,2,FALSE))*IF(main!$AK4="是",main!$BB$4,main!$BB$3))</f>
        <v>0</v>
      </c>
      <c r="B4" s="12">
        <f>IF(ISNUMBER(SEARCH("营",main!J4)),(-$Y4+50*IF(main!$AK4="是",main!$BB$4,main!$BB$3)),(VLOOKUP(main!J4,main!$AO$4:$AQ$55,2,FALSE))*IF(main!$AK4="是",main!$BB$4,main!$BB$3))</f>
        <v>0</v>
      </c>
      <c r="C4" s="12">
        <f>IF(ISNUMBER(SEARCH("营",main!K4)),(-$Y4+50*IF(main!$AK4="是",main!$BB$4,main!$BB$3)),(VLOOKUP(main!K4,main!$AO$4:$AQ$55,2,FALSE))*IF(main!$AK4="是",main!$BB$4,main!$BB$3))</f>
        <v>0</v>
      </c>
      <c r="D4" s="12">
        <f>IF(ISNUMBER(SEARCH("营",main!L4)),(-$Y4+50*IF(main!$AK4="是",main!$BB$4,main!$BB$3)),(VLOOKUP(main!L4,main!$AO$4:$AQ$55,2,FALSE))*IF(main!$AK4="是",main!$BB$4,main!$BB$3))</f>
        <v>0</v>
      </c>
      <c r="E4" s="12">
        <f>IF(ISNUMBER(SEARCH("营",main!M4)),(-$Y4+50*IF(main!$AK4="是",main!$BB$4,main!$BB$3)),(VLOOKUP(main!M4,main!$AO$4:$AQ$55,2,FALSE))*IF(main!$AK4="是",main!$BB$4,main!$BB$3))</f>
        <v>0</v>
      </c>
      <c r="F4" s="12">
        <f>IF(ISNUMBER(SEARCH("营",main!N4)),(-$Y4+50*IF(main!$AK4="是",main!$BB$4,main!$BB$3)),(VLOOKUP(main!N4,main!$AO$4:$AQ$55,2,FALSE))*IF(main!$AK4="是",main!$BB$4,main!$BB$3))</f>
        <v>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0</v>
      </c>
      <c r="J4" s="12">
        <f>IF(ISNUMBER(SEARCH("营",main!R4)),(-$Y4+50*IF(main!$AK4="是",main!$BB$4,main!$BB$3)),(VLOOKUP(main!R4,main!$AO$4:$AQ$55,2,FALSE))*IF(main!$AK4="是",main!$BB$4,main!$BB$3))</f>
        <v>0</v>
      </c>
      <c r="K4" s="12">
        <f>IF(ISNUMBER(SEARCH("营",main!S4)),(-$Y4+50*IF(main!$AK4="是",main!$BB$4,main!$BB$3)),(VLOOKUP(main!S4,main!$AO$4:$AQ$55,2,FALSE))*IF(main!$AK4="是",main!$BB$4,main!$BB$3))</f>
        <v>0</v>
      </c>
      <c r="L4" s="12">
        <f>IF(ISNUMBER(SEARCH("营",main!T4)),(-$Y4+50*IF(main!$AK4="是",main!$BB$4,main!$BB$3)),(VLOOKUP(main!T4,main!$AO$4:$AQ$55,2,FALSE))*IF(main!$AK4="是",main!$BB$4,main!$BB$3))</f>
        <v>0</v>
      </c>
      <c r="M4" s="12">
        <f>IF(ISNUMBER(SEARCH("营",main!U4)),(-$Y4+50*IF(main!$AK4="是",main!$BB$4,main!$BB$3)),(VLOOKUP(main!U4,main!$AO$4:$AQ$55,2,FALSE))*IF(main!$AK4="是",main!$BB$4,main!$BB$3))</f>
        <v>0</v>
      </c>
      <c r="N4" s="12">
        <f>IF(ISNUMBER(SEARCH("营",main!V4)),(-$Y4+50*IF(main!$AK4="是",main!$BB$4,main!$BB$3)),(VLOOKUP(main!V4,main!$AO$4:$AQ$55,2,FALSE))*IF(main!$AK4="是",main!$BB$4,main!$BB$3))</f>
        <v>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94">
        <v>300</v>
      </c>
      <c r="Z4" s="95">
        <v>46276</v>
      </c>
      <c r="AA4">
        <v>1</v>
      </c>
    </row>
    <row r="5" spans="1:27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0</v>
      </c>
      <c r="J5" s="12">
        <f>IF(ISNUMBER(SEARCH("营",main!R5)),(-$Y5+50*IF(main!$AK5="是",main!$BB$4,main!$BB$3)),(VLOOKUP(main!R5,main!$AO$4:$AQ$55,2,FALSE))*IF(main!$AK5="是",main!$BB$4,main!$BB$3))</f>
        <v>0</v>
      </c>
      <c r="K5" s="12">
        <f>IF(ISNUMBER(SEARCH("营",main!S5)),(-$Y5+50*IF(main!$AK5="是",main!$BB$4,main!$BB$3)),(VLOOKUP(main!S5,main!$AO$4:$AQ$55,2,FALSE))*IF(main!$AK5="是",main!$BB$4,main!$BB$3))</f>
        <v>0</v>
      </c>
      <c r="L5" s="12">
        <f>IF(ISNUMBER(SEARCH("营",main!T5)),(-$Y5+50*IF(main!$AK5="是",main!$BB$4,main!$BB$3)),(VLOOKUP(main!T5,main!$AO$4:$AQ$55,2,FALSE))*IF(main!$AK5="是",main!$BB$4,main!$BB$3))</f>
        <v>0</v>
      </c>
      <c r="M5" s="12">
        <f>IF(ISNUMBER(SEARCH("营",main!U5)),(-$Y5+50*IF(main!$AK5="是",main!$BB$4,main!$BB$3)),(VLOOKUP(main!U5,main!$AO$4:$AQ$55,2,FALSE))*IF(main!$AK5="是",main!$BB$4,main!$BB$3))</f>
        <v>0</v>
      </c>
      <c r="N5" s="12">
        <f>IF(ISNUMBER(SEARCH("营",main!V5)),(-$Y5+50*IF(main!$AK5="是",main!$BB$4,main!$BB$3)),(VLOOKUP(main!V5,main!$AO$4:$AQ$55,2,FALSE))*IF(main!$AK5="是",main!$BB$4,main!$BB$3))</f>
        <v>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0</v>
      </c>
      <c r="R5" s="12">
        <f>IF(ISNUMBER(SEARCH("营",main!Z5)),(-$Y5+50*IF(main!$AK5="是",main!$BB$4,main!$BB$3)),(VLOOKUP(main!Z5,main!$AO$4:$AQ$55,2,FALSE))*IF(main!$AK5="是",main!$BB$4,main!$BB$3))</f>
        <v>0</v>
      </c>
      <c r="S5" s="12">
        <f>IF(ISNUMBER(SEARCH("营",main!AA5)),(-$Y5+50*IF(main!$AK5="是",main!$BB$4,main!$BB$3)),(VLOOKUP(main!AA5,main!$AO$4:$AQ$55,2,FALSE))*IF(main!$AK5="是",main!$BB$4,main!$BB$3))</f>
        <v>0</v>
      </c>
      <c r="T5" s="12">
        <f>IF(ISNUMBER(SEARCH("营",main!AB5)),(-$Y5+50*IF(main!$AK5="是",main!$BB$4,main!$BB$3)),(VLOOKUP(main!AB5,main!$AO$4:$AQ$55,2,FALSE))*IF(main!$AK5="是",main!$BB$4,main!$BB$3))</f>
        <v>0</v>
      </c>
      <c r="U5" s="12">
        <f>IF(ISNUMBER(SEARCH("营",main!AC5)),(-$Y5+50*IF(main!$AK5="是",main!$BB$4,main!$BB$3)),(VLOOKUP(main!AC5,main!$AO$4:$AQ$55,2,FALSE))*IF(main!$AK5="是",main!$BB$4,main!$BB$3))</f>
        <v>0</v>
      </c>
      <c r="V5" s="12">
        <f>IF(ISNUMBER(SEARCH("营",main!AD5)),(-$Y5+50*IF(main!$AK5="是",main!$BB$4,main!$BB$3)),(VLOOKUP(main!AD5,main!$AO$4:$AQ$55,2,FALSE))*IF(main!$AK5="是",main!$BB$4,main!$BB$3))</f>
        <v>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94">
        <v>300</v>
      </c>
      <c r="Z5" s="95">
        <v>46277</v>
      </c>
      <c r="AA5">
        <v>2</v>
      </c>
    </row>
    <row r="6" spans="1:27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0</v>
      </c>
      <c r="J6" s="12">
        <f>IF(ISNUMBER(SEARCH("营",main!R6)),(-$Y6+50*IF(main!$AK6="是",main!$BB$4,main!$BB$3)),(VLOOKUP(main!R6,main!$AO$4:$AQ$55,2,FALSE))*IF(main!$AK6="是",main!$BB$4,main!$BB$3))</f>
        <v>0</v>
      </c>
      <c r="K6" s="12">
        <f>IF(ISNUMBER(SEARCH("营",main!S6)),(-$Y6+50*IF(main!$AK6="是",main!$BB$4,main!$BB$3)),(VLOOKUP(main!S6,main!$AO$4:$AQ$55,2,FALSE))*IF(main!$AK6="是",main!$BB$4,main!$BB$3))</f>
        <v>0</v>
      </c>
      <c r="L6" s="12">
        <f>IF(ISNUMBER(SEARCH("营",main!T6)),(-$Y6+50*IF(main!$AK6="是",main!$BB$4,main!$BB$3)),(VLOOKUP(main!T6,main!$AO$4:$AQ$55,2,FALSE))*IF(main!$AK6="是",main!$BB$4,main!$BB$3))</f>
        <v>0</v>
      </c>
      <c r="M6" s="12">
        <f>IF(ISNUMBER(SEARCH("营",main!U6)),(-$Y6+50*IF(main!$AK6="是",main!$BB$4,main!$BB$3)),(VLOOKUP(main!U6,main!$AO$4:$AQ$55,2,FALSE))*IF(main!$AK6="是",main!$BB$4,main!$BB$3))</f>
        <v>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0</v>
      </c>
      <c r="R6" s="12">
        <f>IF(ISNUMBER(SEARCH("营",main!Z6)),(-$Y6+50*IF(main!$AK6="是",main!$BB$4,main!$BB$3)),(VLOOKUP(main!Z6,main!$AO$4:$AQ$55,2,FALSE))*IF(main!$AK6="是",main!$BB$4,main!$BB$3))</f>
        <v>0</v>
      </c>
      <c r="S6" s="12">
        <f>IF(ISNUMBER(SEARCH("营",main!AA6)),(-$Y6+50*IF(main!$AK6="是",main!$BB$4,main!$BB$3)),(VLOOKUP(main!AA6,main!$AO$4:$AQ$55,2,FALSE))*IF(main!$AK6="是",main!$BB$4,main!$BB$3))</f>
        <v>0</v>
      </c>
      <c r="T6" s="12">
        <f>IF(ISNUMBER(SEARCH("营",main!AB6)),(-$Y6+50*IF(main!$AK6="是",main!$BB$4,main!$BB$3)),(VLOOKUP(main!AB6,main!$AO$4:$AQ$55,2,FALSE))*IF(main!$AK6="是",main!$BB$4,main!$BB$3))</f>
        <v>0</v>
      </c>
      <c r="U6" s="12">
        <f>IF(ISNUMBER(SEARCH("营",main!AC6)),(-$Y6+50*IF(main!$AK6="是",main!$BB$4,main!$BB$3)),(VLOOKUP(main!AC6,main!$AO$4:$AQ$55,2,FALSE))*IF(main!$AK6="是",main!$BB$4,main!$BB$3))</f>
        <v>0</v>
      </c>
      <c r="V6" s="12">
        <f>IF(ISNUMBER(SEARCH("营",main!AD6)),(-$Y6+50*IF(main!$AK6="是",main!$BB$4,main!$BB$3)),(VLOOKUP(main!AD6,main!$AO$4:$AQ$55,2,FALSE))*IF(main!$AK6="是",main!$BB$4,main!$BB$3))</f>
        <v>0</v>
      </c>
      <c r="W6" s="12">
        <f>IF(ISNUMBER(SEARCH("营",main!AE6)),(-$Y6+50*IF(main!$AK6="是",main!$BB$4,main!$BB$3)),(VLOOKUP(main!AE6,main!$AO$4:$AQ$55,2,FALSE))*IF(main!$AK6="是",main!$BB$4,main!$BB$3))</f>
        <v>0</v>
      </c>
      <c r="X6" s="12">
        <f>IF(ISNUMBER(SEARCH("营",main!AF6)),(-$Y6+50*IF(main!$AK6="是",main!$BB$4,main!$BB$3)),(VLOOKUP(main!AF6,main!$AO$4:$AQ$55,2,FALSE))*IF(main!$AK6="是",main!$BB$4,main!$BB$3))</f>
        <v>0</v>
      </c>
      <c r="Y6" s="94">
        <v>300</v>
      </c>
      <c r="Z6" s="95">
        <v>46278</v>
      </c>
      <c r="AA6">
        <v>3</v>
      </c>
    </row>
    <row r="7" spans="1:27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0</v>
      </c>
      <c r="R7" s="12">
        <f>IF(ISNUMBER(SEARCH("营",main!Z7)),(-$Y7+50*IF(main!$AK7="是",main!$BB$4,main!$BB$3)),(VLOOKUP(main!Z7,main!$AO$4:$AQ$55,2,FALSE))*IF(main!$AK7="是",main!$BB$4,main!$BB$3))</f>
        <v>0</v>
      </c>
      <c r="S7" s="12">
        <f>IF(ISNUMBER(SEARCH("营",main!AA7)),(-$Y7+50*IF(main!$AK7="是",main!$BB$4,main!$BB$3)),(VLOOKUP(main!AA7,main!$AO$4:$AQ$55,2,FALSE))*IF(main!$AK7="是",main!$BB$4,main!$BB$3))</f>
        <v>0</v>
      </c>
      <c r="T7" s="12">
        <f>IF(ISNUMBER(SEARCH("营",main!AB7)),(-$Y7+50*IF(main!$AK7="是",main!$BB$4,main!$BB$3)),(VLOOKUP(main!AB7,main!$AO$4:$AQ$55,2,FALSE))*IF(main!$AK7="是",main!$BB$4,main!$BB$3))</f>
        <v>0</v>
      </c>
      <c r="U7" s="12">
        <f>IF(ISNUMBER(SEARCH("营",main!AC7)),(-$Y7+50*IF(main!$AK7="是",main!$BB$4,main!$BB$3)),(VLOOKUP(main!AC7,main!$AO$4:$AQ$55,2,FALSE))*IF(main!$AK7="是",main!$BB$4,main!$BB$3))</f>
        <v>0</v>
      </c>
      <c r="V7" s="12">
        <f>IF(ISNUMBER(SEARCH("营",main!AD7)),(-$Y7+50*IF(main!$AK7="是",main!$BB$4,main!$BB$3)),(VLOOKUP(main!AD7,main!$AO$4:$AQ$55,2,FALSE))*IF(main!$AK7="是",main!$BB$4,main!$BB$3))</f>
        <v>0</v>
      </c>
      <c r="W7" s="12">
        <f>IF(ISNUMBER(SEARCH("营",main!AE7)),(-$Y7+50*IF(main!$AK7="是",main!$BB$4,main!$BB$3)),(VLOOKUP(main!AE7,main!$AO$4:$AQ$55,2,FALSE))*IF(main!$AK7="是",main!$BB$4,main!$BB$3))</f>
        <v>0</v>
      </c>
      <c r="X7" s="12">
        <f>IF(ISNUMBER(SEARCH("营",main!AF7)),(-$Y7+50*IF(main!$AK7="是",main!$BB$4,main!$BB$3)),(VLOOKUP(main!AF7,main!$AO$4:$AQ$55,2,FALSE))*IF(main!$AK7="是",main!$BB$4,main!$BB$3))</f>
        <v>0</v>
      </c>
      <c r="Y7" s="94">
        <v>300</v>
      </c>
      <c r="Z7" s="95">
        <v>46279</v>
      </c>
      <c r="AA7">
        <v>4</v>
      </c>
    </row>
    <row r="8" spans="1:27">
      <c r="A8" s="12">
        <f>IF(ISNUMBER(SEARCH("营",main!I8)),(-$Y8+50*IF(main!$AK8="是",main!$BB$4,main!$BB$3)),(VLOOKUP(main!I8,main!$AO$4:$AQ$55,2,FALSE))*IF(main!$AK8="是",main!$BB$4,main!$BB$3))</f>
        <v>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0</v>
      </c>
      <c r="J8" s="12">
        <f>IF(ISNUMBER(SEARCH("营",main!R8)),(-$Y8+50*IF(main!$AK8="是",main!$BB$4,main!$BB$3)),(VLOOKUP(main!R8,main!$AO$4:$AQ$55,2,FALSE))*IF(main!$AK8="是",main!$BB$4,main!$BB$3))</f>
        <v>0</v>
      </c>
      <c r="K8" s="12">
        <f>IF(ISNUMBER(SEARCH("营",main!S8)),(-$Y8+50*IF(main!$AK8="是",main!$BB$4,main!$BB$3)),(VLOOKUP(main!S8,main!$AO$4:$AQ$55,2,FALSE))*IF(main!$AK8="是",main!$BB$4,main!$BB$3))</f>
        <v>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0</v>
      </c>
      <c r="R8" s="12">
        <f>IF(ISNUMBER(SEARCH("营",main!Z8)),(-$Y8+50*IF(main!$AK8="是",main!$BB$4,main!$BB$3)),(VLOOKUP(main!Z8,main!$AO$4:$AQ$55,2,FALSE))*IF(main!$AK8="是",main!$BB$4,main!$BB$3))</f>
        <v>0</v>
      </c>
      <c r="S8" s="12">
        <f>IF(ISNUMBER(SEARCH("营",main!AA8)),(-$Y8+50*IF(main!$AK8="是",main!$BB$4,main!$BB$3)),(VLOOKUP(main!AA8,main!$AO$4:$AQ$55,2,FALSE))*IF(main!$AK8="是",main!$BB$4,main!$BB$3))</f>
        <v>0</v>
      </c>
      <c r="T8" s="12">
        <f>IF(ISNUMBER(SEARCH("营",main!AB8)),(-$Y8+50*IF(main!$AK8="是",main!$BB$4,main!$BB$3)),(VLOOKUP(main!AB8,main!$AO$4:$AQ$55,2,FALSE))*IF(main!$AK8="是",main!$BB$4,main!$BB$3))</f>
        <v>0</v>
      </c>
      <c r="U8" s="12">
        <f>IF(ISNUMBER(SEARCH("营",main!AC8)),(-$Y8+50*IF(main!$AK8="是",main!$BB$4,main!$BB$3)),(VLOOKUP(main!AC8,main!$AO$4:$AQ$55,2,FALSE))*IF(main!$AK8="是",main!$BB$4,main!$BB$3))</f>
        <v>0</v>
      </c>
      <c r="V8" s="12">
        <f>IF(ISNUMBER(SEARCH("营",main!AD8)),(-$Y8+50*IF(main!$AK8="是",main!$BB$4,main!$BB$3)),(VLOOKUP(main!AD8,main!$AO$4:$AQ$55,2,FALSE))*IF(main!$AK8="是",main!$BB$4,main!$BB$3))</f>
        <v>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0</v>
      </c>
      <c r="Y8" s="94">
        <v>300</v>
      </c>
      <c r="Z8" s="95">
        <v>46280</v>
      </c>
      <c r="AA8">
        <v>5</v>
      </c>
    </row>
    <row r="9" spans="1:27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0</v>
      </c>
      <c r="R9" s="12">
        <f>IF(ISNUMBER(SEARCH("营",main!Z9)),(-$Y9+50*IF(main!$AK9="是",main!$BB$4,main!$BB$3)),(VLOOKUP(main!Z9,main!$AO$4:$AQ$55,2,FALSE))*IF(main!$AK9="是",main!$BB$4,main!$BB$3))</f>
        <v>0</v>
      </c>
      <c r="S9" s="12">
        <f>IF(ISNUMBER(SEARCH("营",main!AA9)),(-$Y9+50*IF(main!$AK9="是",main!$BB$4,main!$BB$3)),(VLOOKUP(main!AA9,main!$AO$4:$AQ$55,2,FALSE))*IF(main!$AK9="是",main!$BB$4,main!$BB$3))</f>
        <v>0</v>
      </c>
      <c r="T9" s="12">
        <f>IF(ISNUMBER(SEARCH("营",main!AB9)),(-$Y9+50*IF(main!$AK9="是",main!$BB$4,main!$BB$3)),(VLOOKUP(main!AB9,main!$AO$4:$AQ$55,2,FALSE))*IF(main!$AK9="是",main!$BB$4,main!$BB$3))</f>
        <v>0</v>
      </c>
      <c r="U9" s="12">
        <f>IF(ISNUMBER(SEARCH("营",main!AC9)),(-$Y9+50*IF(main!$AK9="是",main!$BB$4,main!$BB$3)),(VLOOKUP(main!AC9,main!$AO$4:$AQ$55,2,FALSE))*IF(main!$AK9="是",main!$BB$4,main!$BB$3))</f>
        <v>0</v>
      </c>
      <c r="V9" s="12">
        <f>IF(ISNUMBER(SEARCH("营",main!AD9)),(-$Y9+50*IF(main!$AK9="是",main!$BB$4,main!$BB$3)),(VLOOKUP(main!AD9,main!$AO$4:$AQ$55,2,FALSE))*IF(main!$AK9="是",main!$BB$4,main!$BB$3))</f>
        <v>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94">
        <v>300</v>
      </c>
      <c r="Z9" s="95">
        <v>46281</v>
      </c>
      <c r="AA9">
        <v>6</v>
      </c>
    </row>
    <row r="10" spans="1:27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0</v>
      </c>
      <c r="R10" s="12">
        <f>IF(ISNUMBER(SEARCH("营",main!Z10)),(-$Y10+50*IF(main!$AK10="是",main!$BB$4,main!$BB$3)),(VLOOKUP(main!Z10,main!$AO$4:$AQ$55,2,FALSE))*IF(main!$AK10="是",main!$BB$4,main!$BB$3))</f>
        <v>0</v>
      </c>
      <c r="S10" s="12">
        <f>IF(ISNUMBER(SEARCH("营",main!AA10)),(-$Y10+50*IF(main!$AK10="是",main!$BB$4,main!$BB$3)),(VLOOKUP(main!AA10,main!$AO$4:$AQ$55,2,FALSE))*IF(main!$AK10="是",main!$BB$4,main!$BB$3))</f>
        <v>0</v>
      </c>
      <c r="T10" s="12">
        <f>IF(ISNUMBER(SEARCH("营",main!AB10)),(-$Y10+50*IF(main!$AK10="是",main!$BB$4,main!$BB$3)),(VLOOKUP(main!AB10,main!$AO$4:$AQ$55,2,FALSE))*IF(main!$AK10="是",main!$BB$4,main!$BB$3))</f>
        <v>0</v>
      </c>
      <c r="U10" s="12">
        <f>IF(ISNUMBER(SEARCH("营",main!AC10)),(-$Y10+50*IF(main!$AK10="是",main!$BB$4,main!$BB$3)),(VLOOKUP(main!AC10,main!$AO$4:$AQ$55,2,FALSE))*IF(main!$AK10="是",main!$BB$4,main!$BB$3))</f>
        <v>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94">
        <v>300</v>
      </c>
      <c r="Z10" s="95">
        <v>46282</v>
      </c>
      <c r="AA10">
        <v>7</v>
      </c>
    </row>
    <row r="11" spans="1:27">
      <c r="A11" s="12">
        <f>IF(ISNUMBER(SEARCH("营",main!I11)),(-$Y11+50*IF(main!$AK11="是",main!$BB$4,main!$BB$3)),(VLOOKUP(main!I11,main!$AO$4:$AQ$55,2,FALSE))*IF(main!$AK11="是",main!$BB$4,main!$BB$3))</f>
        <v>0</v>
      </c>
      <c r="B11" s="12">
        <f>IF(ISNUMBER(SEARCH("营",main!J11)),(-$Y11+50*IF(main!$AK11="是",main!$BB$4,main!$BB$3)),(VLOOKUP(main!J11,main!$AO$4:$AQ$55,2,FALSE))*IF(main!$AK11="是",main!$BB$4,main!$BB$3))</f>
        <v>0</v>
      </c>
      <c r="C11" s="12">
        <f>IF(ISNUMBER(SEARCH("营",main!K11)),(-$Y11+50*IF(main!$AK11="是",main!$BB$4,main!$BB$3)),(VLOOKUP(main!K11,main!$AO$4:$AQ$55,2,FALSE))*IF(main!$AK11="是",main!$BB$4,main!$BB$3))</f>
        <v>0</v>
      </c>
      <c r="D11" s="12">
        <f>IF(ISNUMBER(SEARCH("营",main!L11)),(-$Y11+50*IF(main!$AK11="是",main!$BB$4,main!$BB$3)),(VLOOKUP(main!L11,main!$AO$4:$AQ$55,2,FALSE))*IF(main!$AK11="是",main!$BB$4,main!$BB$3))</f>
        <v>0</v>
      </c>
      <c r="E11" s="12">
        <f>IF(ISNUMBER(SEARCH("营",main!M11)),(-$Y11+50*IF(main!$AK11="是",main!$BB$4,main!$BB$3)),(VLOOKUP(main!M11,main!$AO$4:$AQ$55,2,FALSE))*IF(main!$AK11="是",main!$BB$4,main!$BB$3))</f>
        <v>0</v>
      </c>
      <c r="F11" s="12">
        <f>IF(ISNUMBER(SEARCH("营",main!N11)),(-$Y11+50*IF(main!$AK11="是",main!$BB$4,main!$BB$3)),(VLOOKUP(main!N11,main!$AO$4:$AQ$55,2,FALSE))*IF(main!$AK11="是",main!$BB$4,main!$BB$3))</f>
        <v>0</v>
      </c>
      <c r="G11" s="12">
        <f>IF(ISNUMBER(SEARCH("营",main!O11)),(-$Y11+50*IF(main!$AK11="是",main!$BB$4,main!$BB$3)),(VLOOKUP(main!O11,main!$AO$4:$AQ$55,2,FALSE))*IF(main!$AK11="是",main!$BB$4,main!$BB$3))</f>
        <v>0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0</v>
      </c>
      <c r="J11" s="12">
        <f>IF(ISNUMBER(SEARCH("营",main!R11)),(-$Y11+50*IF(main!$AK11="是",main!$BB$4,main!$BB$3)),(VLOOKUP(main!R11,main!$AO$4:$AQ$55,2,FALSE))*IF(main!$AK11="是",main!$BB$4,main!$BB$3))</f>
        <v>0</v>
      </c>
      <c r="K11" s="12">
        <f>IF(ISNUMBER(SEARCH("营",main!S11)),(-$Y11+50*IF(main!$AK11="是",main!$BB$4,main!$BB$3)),(VLOOKUP(main!S11,main!$AO$4:$AQ$55,2,FALSE))*IF(main!$AK11="是",main!$BB$4,main!$BB$3))</f>
        <v>0</v>
      </c>
      <c r="L11" s="12">
        <f>IF(ISNUMBER(SEARCH("营",main!T11)),(-$Y11+50*IF(main!$AK11="是",main!$BB$4,main!$BB$3)),(VLOOKUP(main!T11,main!$AO$4:$AQ$55,2,FALSE))*IF(main!$AK11="是",main!$BB$4,main!$BB$3))</f>
        <v>0</v>
      </c>
      <c r="M11" s="12">
        <f>IF(ISNUMBER(SEARCH("营",main!U11)),(-$Y11+50*IF(main!$AK11="是",main!$BB$4,main!$BB$3)),(VLOOKUP(main!U11,main!$AO$4:$AQ$55,2,FALSE))*IF(main!$AK11="是",main!$BB$4,main!$BB$3))</f>
        <v>0</v>
      </c>
      <c r="N11" s="12">
        <f>IF(ISNUMBER(SEARCH("营",main!V11)),(-$Y11+50*IF(main!$AK11="是",main!$BB$4,main!$BB$3)),(VLOOKUP(main!V11,main!$AO$4:$AQ$55,2,FALSE))*IF(main!$AK11="是",main!$BB$4,main!$BB$3))</f>
        <v>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94">
        <v>300</v>
      </c>
      <c r="Z11" s="95">
        <v>46283</v>
      </c>
      <c r="AA11">
        <v>8</v>
      </c>
    </row>
    <row r="12" spans="1:27">
      <c r="A12" s="12">
        <f>IF(ISNUMBER(SEARCH("营",main!I12)),(-$Y12+50*IF(main!$AK12="是",main!$BB$4,main!$BB$3)),(VLOOKUP(main!I12,main!$AO$4:$AQ$55,2,FALSE))*IF(main!$AK12="是",main!$BB$4,main!$BB$3))</f>
        <v>0</v>
      </c>
      <c r="B12" s="12">
        <f>IF(ISNUMBER(SEARCH("营",main!J12)),(-$Y12+50*IF(main!$AK12="是",main!$BB$4,main!$BB$3)),(VLOOKUP(main!J12,main!$AO$4:$AQ$55,2,FALSE))*IF(main!$AK12="是",main!$BB$4,main!$BB$3))</f>
        <v>0</v>
      </c>
      <c r="C12" s="12">
        <f>IF(ISNUMBER(SEARCH("营",main!K12)),(-$Y12+50*IF(main!$AK12="是",main!$BB$4,main!$BB$3)),(VLOOKUP(main!K12,main!$AO$4:$AQ$55,2,FALSE))*IF(main!$AK12="是",main!$BB$4,main!$BB$3))</f>
        <v>0</v>
      </c>
      <c r="D12" s="12">
        <f>IF(ISNUMBER(SEARCH("营",main!L12)),(-$Y12+50*IF(main!$AK12="是",main!$BB$4,main!$BB$3)),(VLOOKUP(main!L12,main!$AO$4:$AQ$55,2,FALSE))*IF(main!$AK12="是",main!$BB$4,main!$BB$3))</f>
        <v>0</v>
      </c>
      <c r="E12" s="12">
        <f>IF(ISNUMBER(SEARCH("营",main!M12)),(-$Y12+50*IF(main!$AK12="是",main!$BB$4,main!$BB$3)),(VLOOKUP(main!M12,main!$AO$4:$AQ$55,2,FALSE))*IF(main!$AK12="是",main!$BB$4,main!$BB$3))</f>
        <v>0</v>
      </c>
      <c r="F12" s="12">
        <f>IF(ISNUMBER(SEARCH("营",main!N12)),(-$Y12+50*IF(main!$AK12="是",main!$BB$4,main!$BB$3)),(VLOOKUP(main!N12,main!$AO$4:$AQ$55,2,FALSE))*IF(main!$AK12="是",main!$BB$4,main!$BB$3))</f>
        <v>0</v>
      </c>
      <c r="G12" s="12">
        <f>IF(ISNUMBER(SEARCH("营",main!O12)),(-$Y12+50*IF(main!$AK12="是",main!$BB$4,main!$BB$3)),(VLOOKUP(main!O12,main!$AO$4:$AQ$55,2,FALSE))*IF(main!$AK12="是",main!$BB$4,main!$BB$3))</f>
        <v>0</v>
      </c>
      <c r="H12" s="12">
        <f>IF(ISNUMBER(SEARCH("营",main!P12)),(-$Y12+50*IF(main!$AK12="是",main!$BB$4,main!$BB$3)),(VLOOKUP(main!P12,main!$AO$4:$AQ$55,2,FALSE))*IF(main!$AK12="是",main!$BB$4,main!$BB$3))</f>
        <v>0</v>
      </c>
      <c r="I12" s="12">
        <f>IF(ISNUMBER(SEARCH("营",main!Q12)),(-$Y12+50*IF(main!$AK12="是",main!$BB$4,main!$BB$3)),(VLOOKUP(main!Q12,main!$AO$4:$AQ$55,2,FALSE))*IF(main!$AK12="是",main!$BB$4,main!$BB$3))</f>
        <v>0</v>
      </c>
      <c r="J12" s="12">
        <f>IF(ISNUMBER(SEARCH("营",main!R12)),(-$Y12+50*IF(main!$AK12="是",main!$BB$4,main!$BB$3)),(VLOOKUP(main!R12,main!$AO$4:$AQ$55,2,FALSE))*IF(main!$AK12="是",main!$BB$4,main!$BB$3))</f>
        <v>0</v>
      </c>
      <c r="K12" s="12">
        <f>IF(ISNUMBER(SEARCH("营",main!S12)),(-$Y12+50*IF(main!$AK12="是",main!$BB$4,main!$BB$3)),(VLOOKUP(main!S12,main!$AO$4:$AQ$55,2,FALSE))*IF(main!$AK12="是",main!$BB$4,main!$BB$3))</f>
        <v>0</v>
      </c>
      <c r="L12" s="12">
        <f>IF(ISNUMBER(SEARCH("营",main!T12)),(-$Y12+50*IF(main!$AK12="是",main!$BB$4,main!$BB$3)),(VLOOKUP(main!T12,main!$AO$4:$AQ$55,2,FALSE))*IF(main!$AK12="是",main!$BB$4,main!$BB$3))</f>
        <v>0</v>
      </c>
      <c r="M12" s="12">
        <f>IF(ISNUMBER(SEARCH("营",main!U12)),(-$Y12+50*IF(main!$AK12="是",main!$BB$4,main!$BB$3)),(VLOOKUP(main!U12,main!$AO$4:$AQ$55,2,FALSE))*IF(main!$AK12="是",main!$BB$4,main!$BB$3))</f>
        <v>0</v>
      </c>
      <c r="N12" s="12">
        <f>IF(ISNUMBER(SEARCH("营",main!V12)),(-$Y12+50*IF(main!$AK12="是",main!$BB$4,main!$BB$3)),(VLOOKUP(main!V12,main!$AO$4:$AQ$55,2,FALSE))*IF(main!$AK12="是",main!$BB$4,main!$BB$3))</f>
        <v>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0</v>
      </c>
      <c r="R12" s="12">
        <f>IF(ISNUMBER(SEARCH("营",main!Z12)),(-$Y12+50*IF(main!$AK12="是",main!$BB$4,main!$BB$3)),(VLOOKUP(main!Z12,main!$AO$4:$AQ$55,2,FALSE))*IF(main!$AK12="是",main!$BB$4,main!$BB$3))</f>
        <v>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94">
        <v>300</v>
      </c>
      <c r="Z12" s="95">
        <v>46284</v>
      </c>
      <c r="AA12">
        <v>9</v>
      </c>
    </row>
    <row r="13" spans="1:27">
      <c r="A13" s="12">
        <f>IF(ISNUMBER(SEARCH("营",main!I13)),(-$Y13+50*IF(main!$AK13="是",main!$BB$4,main!$BB$3)),(VLOOKUP(main!I13,main!$AO$4:$AQ$55,2,FALSE))*IF(main!$AK13="是",main!$BB$4,main!$BB$3))</f>
        <v>0</v>
      </c>
      <c r="B13" s="12">
        <f>IF(ISNUMBER(SEARCH("营",main!J13)),(-$Y13+50*IF(main!$AK13="是",main!$BB$4,main!$BB$3)),(VLOOKUP(main!J13,main!$AO$4:$AQ$55,2,FALSE))*IF(main!$AK13="是",main!$BB$4,main!$BB$3))</f>
        <v>0</v>
      </c>
      <c r="C13" s="12">
        <f>IF(ISNUMBER(SEARCH("营",main!K13)),(-$Y13+50*IF(main!$AK13="是",main!$BB$4,main!$BB$3)),(VLOOKUP(main!K13,main!$AO$4:$AQ$55,2,FALSE))*IF(main!$AK13="是",main!$BB$4,main!$BB$3))</f>
        <v>0</v>
      </c>
      <c r="D13" s="12">
        <f>IF(ISNUMBER(SEARCH("营",main!L13)),(-$Y13+50*IF(main!$AK13="是",main!$BB$4,main!$BB$3)),(VLOOKUP(main!L13,main!$AO$4:$AQ$55,2,FALSE))*IF(main!$AK13="是",main!$BB$4,main!$BB$3))</f>
        <v>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0</v>
      </c>
      <c r="J13" s="12">
        <f>IF(ISNUMBER(SEARCH("营",main!R13)),(-$Y13+50*IF(main!$AK13="是",main!$BB$4,main!$BB$3)),(VLOOKUP(main!R13,main!$AO$4:$AQ$55,2,FALSE))*IF(main!$AK13="是",main!$BB$4,main!$BB$3))</f>
        <v>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0</v>
      </c>
      <c r="R13" s="12">
        <f>IF(ISNUMBER(SEARCH("营",main!Z13)),(-$Y13+50*IF(main!$AK13="是",main!$BB$4,main!$BB$3)),(VLOOKUP(main!Z13,main!$AO$4:$AQ$55,2,FALSE))*IF(main!$AK13="是",main!$BB$4,main!$BB$3))</f>
        <v>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94">
        <v>300</v>
      </c>
      <c r="Z13" s="95">
        <v>46285</v>
      </c>
      <c r="AA13">
        <v>10</v>
      </c>
    </row>
    <row r="14" spans="1:27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0</v>
      </c>
      <c r="V14" s="12">
        <f>IF(ISNUMBER(SEARCH("营",main!AD14)),(-$Y14+50*IF(main!$AK14="是",main!$BB$4,main!$BB$3)),(VLOOKUP(main!AD14,main!$AO$4:$AQ$55,2,FALSE))*IF(main!$AK14="是",main!$BB$4,main!$BB$3))</f>
        <v>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94">
        <v>300</v>
      </c>
      <c r="Z14" s="95">
        <v>46286</v>
      </c>
      <c r="AA14">
        <v>11</v>
      </c>
    </row>
    <row r="15" spans="1:27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0</v>
      </c>
      <c r="J15" s="12">
        <f>IF(ISNUMBER(SEARCH("营",main!R15)),(-$Y15+50*IF(main!$AK15="是",main!$BB$4,main!$BB$3)),(VLOOKUP(main!R15,main!$AO$4:$AQ$55,2,FALSE))*IF(main!$AK15="是",main!$BB$4,main!$BB$3))</f>
        <v>0</v>
      </c>
      <c r="K15" s="12">
        <f>IF(ISNUMBER(SEARCH("营",main!S15)),(-$Y15+50*IF(main!$AK15="是",main!$BB$4,main!$BB$3)),(VLOOKUP(main!S15,main!$AO$4:$AQ$55,2,FALSE))*IF(main!$AK15="是",main!$BB$4,main!$BB$3))</f>
        <v>0</v>
      </c>
      <c r="L15" s="12">
        <f>IF(ISNUMBER(SEARCH("营",main!T15)),(-$Y15+50*IF(main!$AK15="是",main!$BB$4,main!$BB$3)),(VLOOKUP(main!T15,main!$AO$4:$AQ$55,2,FALSE))*IF(main!$AK15="是",main!$BB$4,main!$BB$3))</f>
        <v>0</v>
      </c>
      <c r="M15" s="12">
        <f>IF(ISNUMBER(SEARCH("营",main!U15)),(-$Y15+50*IF(main!$AK15="是",main!$BB$4,main!$BB$3)),(VLOOKUP(main!U15,main!$AO$4:$AQ$55,2,FALSE))*IF(main!$AK15="是",main!$BB$4,main!$BB$3))</f>
        <v>0</v>
      </c>
      <c r="N15" s="12">
        <f>IF(ISNUMBER(SEARCH("营",main!V15)),(-$Y15+50*IF(main!$AK15="是",main!$BB$4,main!$BB$3)),(VLOOKUP(main!V15,main!$AO$4:$AQ$55,2,FALSE))*IF(main!$AK15="是",main!$BB$4,main!$BB$3))</f>
        <v>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0</v>
      </c>
      <c r="R15" s="12">
        <f>IF(ISNUMBER(SEARCH("营",main!Z15)),(-$Y15+50*IF(main!$AK15="是",main!$BB$4,main!$BB$3)),(VLOOKUP(main!Z15,main!$AO$4:$AQ$55,2,FALSE))*IF(main!$AK15="是",main!$BB$4,main!$BB$3))</f>
        <v>0</v>
      </c>
      <c r="S15" s="12">
        <f>IF(ISNUMBER(SEARCH("营",main!AA15)),(-$Y15+50*IF(main!$AK15="是",main!$BB$4,main!$BB$3)),(VLOOKUP(main!AA15,main!$AO$4:$AQ$55,2,FALSE))*IF(main!$AK15="是",main!$BB$4,main!$BB$3))</f>
        <v>0</v>
      </c>
      <c r="T15" s="12">
        <f>IF(ISNUMBER(SEARCH("营",main!AB15)),(-$Y15+50*IF(main!$AK15="是",main!$BB$4,main!$BB$3)),(VLOOKUP(main!AB15,main!$AO$4:$AQ$55,2,FALSE))*IF(main!$AK15="是",main!$BB$4,main!$BB$3))</f>
        <v>0</v>
      </c>
      <c r="U15" s="12">
        <f>IF(ISNUMBER(SEARCH("营",main!AC15)),(-$Y15+50*IF(main!$AK15="是",main!$BB$4,main!$BB$3)),(VLOOKUP(main!AC15,main!$AO$4:$AQ$55,2,FALSE))*IF(main!$AK15="是",main!$BB$4,main!$BB$3))</f>
        <v>0</v>
      </c>
      <c r="V15" s="12">
        <f>IF(ISNUMBER(SEARCH("营",main!AD15)),(-$Y15+50*IF(main!$AK15="是",main!$BB$4,main!$BB$3)),(VLOOKUP(main!AD15,main!$AO$4:$AQ$55,2,FALSE))*IF(main!$AK15="是",main!$BB$4,main!$BB$3))</f>
        <v>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94">
        <v>300</v>
      </c>
      <c r="Z15" s="95">
        <v>46287</v>
      </c>
      <c r="AA15">
        <v>12</v>
      </c>
    </row>
    <row r="16" spans="1:27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0</v>
      </c>
      <c r="J16" s="12">
        <f>IF(ISNUMBER(SEARCH("营",main!R16)),(-$Y16+50*IF(main!$AK16="是",main!$BB$4,main!$BB$3)),(VLOOKUP(main!R16,main!$AO$4:$AQ$55,2,FALSE))*IF(main!$AK16="是",main!$BB$4,main!$BB$3))</f>
        <v>0</v>
      </c>
      <c r="K16" s="12">
        <f>IF(ISNUMBER(SEARCH("营",main!S16)),(-$Y16+50*IF(main!$AK16="是",main!$BB$4,main!$BB$3)),(VLOOKUP(main!S16,main!$AO$4:$AQ$55,2,FALSE))*IF(main!$AK16="是",main!$BB$4,main!$BB$3))</f>
        <v>0</v>
      </c>
      <c r="L16" s="12">
        <f>IF(ISNUMBER(SEARCH("营",main!T16)),(-$Y16+50*IF(main!$AK16="是",main!$BB$4,main!$BB$3)),(VLOOKUP(main!T16,main!$AO$4:$AQ$55,2,FALSE))*IF(main!$AK16="是",main!$BB$4,main!$BB$3))</f>
        <v>0</v>
      </c>
      <c r="M16" s="12">
        <f>IF(ISNUMBER(SEARCH("营",main!U16)),(-$Y16+50*IF(main!$AK16="是",main!$BB$4,main!$BB$3)),(VLOOKUP(main!U16,main!$AO$4:$AQ$55,2,FALSE))*IF(main!$AK16="是",main!$BB$4,main!$BB$3))</f>
        <v>0</v>
      </c>
      <c r="N16" s="12">
        <f>IF(ISNUMBER(SEARCH("营",main!V16)),(-$Y16+50*IF(main!$AK16="是",main!$BB$4,main!$BB$3)),(VLOOKUP(main!V16,main!$AO$4:$AQ$55,2,FALSE))*IF(main!$AK16="是",main!$BB$4,main!$BB$3))</f>
        <v>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0</v>
      </c>
      <c r="R16" s="12">
        <f>IF(ISNUMBER(SEARCH("营",main!Z16)),(-$Y16+50*IF(main!$AK16="是",main!$BB$4,main!$BB$3)),(VLOOKUP(main!Z16,main!$AO$4:$AQ$55,2,FALSE))*IF(main!$AK16="是",main!$BB$4,main!$BB$3))</f>
        <v>0</v>
      </c>
      <c r="S16" s="12">
        <f>IF(ISNUMBER(SEARCH("营",main!AA16)),(-$Y16+50*IF(main!$AK16="是",main!$BB$4,main!$BB$3)),(VLOOKUP(main!AA16,main!$AO$4:$AQ$55,2,FALSE))*IF(main!$AK16="是",main!$BB$4,main!$BB$3))</f>
        <v>0</v>
      </c>
      <c r="T16" s="12">
        <f>IF(ISNUMBER(SEARCH("营",main!AB16)),(-$Y16+50*IF(main!$AK16="是",main!$BB$4,main!$BB$3)),(VLOOKUP(main!AB16,main!$AO$4:$AQ$55,2,FALSE))*IF(main!$AK16="是",main!$BB$4,main!$BB$3))</f>
        <v>0</v>
      </c>
      <c r="U16" s="12">
        <f>IF(ISNUMBER(SEARCH("营",main!AC16)),(-$Y16+50*IF(main!$AK16="是",main!$BB$4,main!$BB$3)),(VLOOKUP(main!AC16,main!$AO$4:$AQ$55,2,FALSE))*IF(main!$AK16="是",main!$BB$4,main!$BB$3))</f>
        <v>0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94">
        <v>300</v>
      </c>
      <c r="Z16" s="95">
        <v>46288</v>
      </c>
      <c r="AA16">
        <v>13</v>
      </c>
    </row>
    <row r="17" spans="1:27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0</v>
      </c>
      <c r="J17" s="12">
        <f>IF(ISNUMBER(SEARCH("营",main!R17)),(-$Y17+50*IF(main!$AK17="是",main!$BB$4,main!$BB$3)),(VLOOKUP(main!R17,main!$AO$4:$AQ$55,2,FALSE))*IF(main!$AK17="是",main!$BB$4,main!$BB$3))</f>
        <v>0</v>
      </c>
      <c r="K17" s="12">
        <f>IF(ISNUMBER(SEARCH("营",main!S17)),(-$Y17+50*IF(main!$AK17="是",main!$BB$4,main!$BB$3)),(VLOOKUP(main!S17,main!$AO$4:$AQ$55,2,FALSE))*IF(main!$AK17="是",main!$BB$4,main!$BB$3))</f>
        <v>0</v>
      </c>
      <c r="L17" s="12">
        <f>IF(ISNUMBER(SEARCH("营",main!T17)),(-$Y17+50*IF(main!$AK17="是",main!$BB$4,main!$BB$3)),(VLOOKUP(main!T17,main!$AO$4:$AQ$55,2,FALSE))*IF(main!$AK17="是",main!$BB$4,main!$BB$3))</f>
        <v>0</v>
      </c>
      <c r="M17" s="12">
        <f>IF(ISNUMBER(SEARCH("营",main!U17)),(-$Y17+50*IF(main!$AK17="是",main!$BB$4,main!$BB$3)),(VLOOKUP(main!U17,main!$AO$4:$AQ$55,2,FALSE))*IF(main!$AK17="是",main!$BB$4,main!$BB$3))</f>
        <v>0</v>
      </c>
      <c r="N17" s="12">
        <f>IF(ISNUMBER(SEARCH("营",main!V17)),(-$Y17+50*IF(main!$AK17="是",main!$BB$4,main!$BB$3)),(VLOOKUP(main!V17,main!$AO$4:$AQ$55,2,FALSE))*IF(main!$AK17="是",main!$BB$4,main!$BB$3))</f>
        <v>0</v>
      </c>
      <c r="O17" s="12">
        <f>IF(ISNUMBER(SEARCH("营",main!W17)),(-$Y17+50*IF(main!$AK17="是",main!$BB$4,main!$BB$3)),(VLOOKUP(main!W17,main!$AO$4:$AQ$55,2,FALSE))*IF(main!$AK17="是",main!$BB$4,main!$BB$3))</f>
        <v>0</v>
      </c>
      <c r="P17" s="12">
        <f>IF(ISNUMBER(SEARCH("营",main!X17)),(-$Y17+50*IF(main!$AK17="是",main!$BB$4,main!$BB$3)),(VLOOKUP(main!X17,main!$AO$4:$AQ$55,2,FALSE))*IF(main!$AK17="是",main!$BB$4,main!$BB$3))</f>
        <v>0</v>
      </c>
      <c r="Q17" s="12">
        <f>IF(ISNUMBER(SEARCH("营",main!Y17)),(-$Y17+50*IF(main!$AK17="是",main!$BB$4,main!$BB$3)),(VLOOKUP(main!Y17,main!$AO$4:$AQ$55,2,FALSE))*IF(main!$AK17="是",main!$BB$4,main!$BB$3))</f>
        <v>0</v>
      </c>
      <c r="R17" s="12">
        <f>IF(ISNUMBER(SEARCH("营",main!Z17)),(-$Y17+50*IF(main!$AK17="是",main!$BB$4,main!$BB$3)),(VLOOKUP(main!Z17,main!$AO$4:$AQ$55,2,FALSE))*IF(main!$AK17="是",main!$BB$4,main!$BB$3))</f>
        <v>0</v>
      </c>
      <c r="S17" s="12">
        <f>IF(ISNUMBER(SEARCH("营",main!AA17)),(-$Y17+50*IF(main!$AK17="是",main!$BB$4,main!$BB$3)),(VLOOKUP(main!AA17,main!$AO$4:$AQ$55,2,FALSE))*IF(main!$AK17="是",main!$BB$4,main!$BB$3))</f>
        <v>0</v>
      </c>
      <c r="T17" s="12">
        <f>IF(ISNUMBER(SEARCH("营",main!AB17)),(-$Y17+50*IF(main!$AK17="是",main!$BB$4,main!$BB$3)),(VLOOKUP(main!AB17,main!$AO$4:$AQ$55,2,FALSE))*IF(main!$AK17="是",main!$BB$4,main!$BB$3))</f>
        <v>0</v>
      </c>
      <c r="U17" s="12">
        <f>IF(ISNUMBER(SEARCH("营",main!AC17)),(-$Y17+50*IF(main!$AK17="是",main!$BB$4,main!$BB$3)),(VLOOKUP(main!AC17,main!$AO$4:$AQ$55,2,FALSE))*IF(main!$AK17="是",main!$BB$4,main!$BB$3))</f>
        <v>0</v>
      </c>
      <c r="V17" s="12">
        <f>IF(ISNUMBER(SEARCH("营",main!AD17)),(-$Y17+50*IF(main!$AK17="是",main!$BB$4,main!$BB$3)),(VLOOKUP(main!AD17,main!$AO$4:$AQ$55,2,FALSE))*IF(main!$AK17="是",main!$BB$4,main!$BB$3))</f>
        <v>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94">
        <v>300</v>
      </c>
      <c r="Z17" s="95">
        <v>46289</v>
      </c>
      <c r="AA17">
        <v>14</v>
      </c>
    </row>
    <row r="18" spans="1:27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0</v>
      </c>
      <c r="J18" s="12">
        <f>IF(ISNUMBER(SEARCH("营",main!R18)),(-$Y18+50*IF(main!$AK18="是",main!$BB$4,main!$BB$3)),(VLOOKUP(main!R18,main!$AO$4:$AQ$55,2,FALSE))*IF(main!$AK18="是",main!$BB$4,main!$BB$3))</f>
        <v>0</v>
      </c>
      <c r="K18" s="12">
        <f>IF(ISNUMBER(SEARCH("营",main!S18)),(-$Y18+50*IF(main!$AK18="是",main!$BB$4,main!$BB$3)),(VLOOKUP(main!S18,main!$AO$4:$AQ$55,2,FALSE))*IF(main!$AK18="是",main!$BB$4,main!$BB$3))</f>
        <v>0</v>
      </c>
      <c r="L18" s="12">
        <f>IF(ISNUMBER(SEARCH("营",main!T18)),(-$Y18+50*IF(main!$AK18="是",main!$BB$4,main!$BB$3)),(VLOOKUP(main!T18,main!$AO$4:$AQ$55,2,FALSE))*IF(main!$AK18="是",main!$BB$4,main!$BB$3))</f>
        <v>0</v>
      </c>
      <c r="M18" s="12">
        <f>IF(ISNUMBER(SEARCH("营",main!U18)),(-$Y18+50*IF(main!$AK18="是",main!$BB$4,main!$BB$3)),(VLOOKUP(main!U18,main!$AO$4:$AQ$55,2,FALSE))*IF(main!$AK18="是",main!$BB$4,main!$BB$3))</f>
        <v>0</v>
      </c>
      <c r="N18" s="12">
        <f>IF(ISNUMBER(SEARCH("营",main!V18)),(-$Y18+50*IF(main!$AK18="是",main!$BB$4,main!$BB$3)),(VLOOKUP(main!V18,main!$AO$4:$AQ$55,2,FALSE))*IF(main!$AK18="是",main!$BB$4,main!$BB$3))</f>
        <v>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0</v>
      </c>
      <c r="R18" s="12">
        <f>IF(ISNUMBER(SEARCH("营",main!Z18)),(-$Y18+50*IF(main!$AK18="是",main!$BB$4,main!$BB$3)),(VLOOKUP(main!Z18,main!$AO$4:$AQ$55,2,FALSE))*IF(main!$AK18="是",main!$BB$4,main!$BB$3))</f>
        <v>0</v>
      </c>
      <c r="S18" s="12">
        <f>IF(ISNUMBER(SEARCH("营",main!AA18)),(-$Y18+50*IF(main!$AK18="是",main!$BB$4,main!$BB$3)),(VLOOKUP(main!AA18,main!$AO$4:$AQ$55,2,FALSE))*IF(main!$AK18="是",main!$BB$4,main!$BB$3))</f>
        <v>0</v>
      </c>
      <c r="T18" s="12">
        <f>IF(ISNUMBER(SEARCH("营",main!AB18)),(-$Y18+50*IF(main!$AK18="是",main!$BB$4,main!$BB$3)),(VLOOKUP(main!AB18,main!$AO$4:$AQ$55,2,FALSE))*IF(main!$AK18="是",main!$BB$4,main!$BB$3))</f>
        <v>0</v>
      </c>
      <c r="U18" s="12">
        <f>IF(ISNUMBER(SEARCH("营",main!AC18)),(-$Y18+50*IF(main!$AK18="是",main!$BB$4,main!$BB$3)),(VLOOKUP(main!AC18,main!$AO$4:$AQ$55,2,FALSE))*IF(main!$AK18="是",main!$BB$4,main!$BB$3))</f>
        <v>0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96">
        <v>250</v>
      </c>
      <c r="Z18" s="97">
        <v>46290</v>
      </c>
      <c r="AA18">
        <v>15</v>
      </c>
    </row>
    <row r="19" spans="1:27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0</v>
      </c>
      <c r="J19" s="12">
        <f>IF(ISNUMBER(SEARCH("营",main!R19)),(-$Y19+50*IF(main!$AK19="是",main!$BB$4,main!$BB$3)),(VLOOKUP(main!R19,main!$AO$4:$AQ$55,2,FALSE))*IF(main!$AK19="是",main!$BB$4,main!$BB$3))</f>
        <v>0</v>
      </c>
      <c r="K19" s="12">
        <f>IF(ISNUMBER(SEARCH("营",main!S19)),(-$Y19+50*IF(main!$AK19="是",main!$BB$4,main!$BB$3)),(VLOOKUP(main!S19,main!$AO$4:$AQ$55,2,FALSE))*IF(main!$AK19="是",main!$BB$4,main!$BB$3))</f>
        <v>0</v>
      </c>
      <c r="L19" s="12">
        <f>IF(ISNUMBER(SEARCH("营",main!T19)),(-$Y19+50*IF(main!$AK19="是",main!$BB$4,main!$BB$3)),(VLOOKUP(main!T19,main!$AO$4:$AQ$55,2,FALSE))*IF(main!$AK19="是",main!$BB$4,main!$BB$3))</f>
        <v>0</v>
      </c>
      <c r="M19" s="12">
        <f>IF(ISNUMBER(SEARCH("营",main!U19)),(-$Y19+50*IF(main!$AK19="是",main!$BB$4,main!$BB$3)),(VLOOKUP(main!U19,main!$AO$4:$AQ$55,2,FALSE))*IF(main!$AK19="是",main!$BB$4,main!$BB$3))</f>
        <v>0</v>
      </c>
      <c r="N19" s="12">
        <f>IF(ISNUMBER(SEARCH("营",main!V19)),(-$Y19+50*IF(main!$AK19="是",main!$BB$4,main!$BB$3)),(VLOOKUP(main!V19,main!$AO$4:$AQ$55,2,FALSE))*IF(main!$AK19="是",main!$BB$4,main!$BB$3))</f>
        <v>0</v>
      </c>
      <c r="O19" s="12">
        <f>IF(ISNUMBER(SEARCH("营",main!W19)),(-$Y19+50*IF(main!$AK19="是",main!$BB$4,main!$BB$3)),(VLOOKUP(main!W19,main!$AO$4:$AQ$55,2,FALSE))*IF(main!$AK19="是",main!$BB$4,main!$BB$3))</f>
        <v>0</v>
      </c>
      <c r="P19" s="12">
        <f>IF(ISNUMBER(SEARCH("营",main!X19)),(-$Y19+50*IF(main!$AK19="是",main!$BB$4,main!$BB$3)),(VLOOKUP(main!X19,main!$AO$4:$AQ$55,2,FALSE))*IF(main!$AK19="是",main!$BB$4,main!$BB$3))</f>
        <v>0</v>
      </c>
      <c r="Q19" s="12">
        <f>IF(ISNUMBER(SEARCH("营",main!Y19)),(-$Y19+50*IF(main!$AK19="是",main!$BB$4,main!$BB$3)),(VLOOKUP(main!Y19,main!$AO$4:$AQ$55,2,FALSE))*IF(main!$AK19="是",main!$BB$4,main!$BB$3))</f>
        <v>0</v>
      </c>
      <c r="R19" s="12">
        <f>IF(ISNUMBER(SEARCH("营",main!Z19)),(-$Y19+50*IF(main!$AK19="是",main!$BB$4,main!$BB$3)),(VLOOKUP(main!Z19,main!$AO$4:$AQ$55,2,FALSE))*IF(main!$AK19="是",main!$BB$4,main!$BB$3))</f>
        <v>0</v>
      </c>
      <c r="S19" s="12">
        <f>IF(ISNUMBER(SEARCH("营",main!AA19)),(-$Y19+50*IF(main!$AK19="是",main!$BB$4,main!$BB$3)),(VLOOKUP(main!AA19,main!$AO$4:$AQ$55,2,FALSE))*IF(main!$AK19="是",main!$BB$4,main!$BB$3))</f>
        <v>0</v>
      </c>
      <c r="T19" s="12">
        <f>IF(ISNUMBER(SEARCH("营",main!AB19)),(-$Y19+50*IF(main!$AK19="是",main!$BB$4,main!$BB$3)),(VLOOKUP(main!AB19,main!$AO$4:$AQ$55,2,FALSE))*IF(main!$AK19="是",main!$BB$4,main!$BB$3))</f>
        <v>0</v>
      </c>
      <c r="U19" s="12">
        <f>IF(ISNUMBER(SEARCH("营",main!AC19)),(-$Y19+50*IF(main!$AK19="是",main!$BB$4,main!$BB$3)),(VLOOKUP(main!AC19,main!$AO$4:$AQ$55,2,FALSE))*IF(main!$AK19="是",main!$BB$4,main!$BB$3))</f>
        <v>0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96">
        <v>250</v>
      </c>
      <c r="Z19" s="97">
        <v>46291</v>
      </c>
      <c r="AA19">
        <v>16</v>
      </c>
    </row>
    <row r="20" spans="1:27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0</v>
      </c>
      <c r="J20" s="12">
        <f>IF(ISNUMBER(SEARCH("营",main!R20)),(-$Y20+50*IF(main!$AK20="是",main!$BB$4,main!$BB$3)),(VLOOKUP(main!R20,main!$AO$4:$AQ$55,2,FALSE))*IF(main!$AK20="是",main!$BB$4,main!$BB$3))</f>
        <v>0</v>
      </c>
      <c r="K20" s="12">
        <f>IF(ISNUMBER(SEARCH("营",main!S20)),(-$Y20+50*IF(main!$AK20="是",main!$BB$4,main!$BB$3)),(VLOOKUP(main!S20,main!$AO$4:$AQ$55,2,FALSE))*IF(main!$AK20="是",main!$BB$4,main!$BB$3))</f>
        <v>0</v>
      </c>
      <c r="L20" s="12">
        <f>IF(ISNUMBER(SEARCH("营",main!T20)),(-$Y20+50*IF(main!$AK20="是",main!$BB$4,main!$BB$3)),(VLOOKUP(main!T20,main!$AO$4:$AQ$55,2,FALSE))*IF(main!$AK20="是",main!$BB$4,main!$BB$3))</f>
        <v>0</v>
      </c>
      <c r="M20" s="12">
        <f>IF(ISNUMBER(SEARCH("营",main!U20)),(-$Y20+50*IF(main!$AK20="是",main!$BB$4,main!$BB$3)),(VLOOKUP(main!U20,main!$AO$4:$AQ$55,2,FALSE))*IF(main!$AK20="是",main!$BB$4,main!$BB$3))</f>
        <v>0</v>
      </c>
      <c r="N20" s="12">
        <f>IF(ISNUMBER(SEARCH("营",main!V20)),(-$Y20+50*IF(main!$AK20="是",main!$BB$4,main!$BB$3)),(VLOOKUP(main!V20,main!$AO$4:$AQ$55,2,FALSE))*IF(main!$AK20="是",main!$BB$4,main!$BB$3))</f>
        <v>0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0</v>
      </c>
      <c r="R20" s="12">
        <f>IF(ISNUMBER(SEARCH("营",main!Z20)),(-$Y20+50*IF(main!$AK20="是",main!$BB$4,main!$BB$3)),(VLOOKUP(main!Z20,main!$AO$4:$AQ$55,2,FALSE))*IF(main!$AK20="是",main!$BB$4,main!$BB$3))</f>
        <v>0</v>
      </c>
      <c r="S20" s="12">
        <f>IF(ISNUMBER(SEARCH("营",main!AA20)),(-$Y20+50*IF(main!$AK20="是",main!$BB$4,main!$BB$3)),(VLOOKUP(main!AA20,main!$AO$4:$AQ$55,2,FALSE))*IF(main!$AK20="是",main!$BB$4,main!$BB$3))</f>
        <v>0</v>
      </c>
      <c r="T20" s="12">
        <f>IF(ISNUMBER(SEARCH("营",main!AB20)),(-$Y20+50*IF(main!$AK20="是",main!$BB$4,main!$BB$3)),(VLOOKUP(main!AB20,main!$AO$4:$AQ$55,2,FALSE))*IF(main!$AK20="是",main!$BB$4,main!$BB$3))</f>
        <v>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96">
        <v>250</v>
      </c>
      <c r="Z20" s="97">
        <v>46292</v>
      </c>
      <c r="AA20">
        <v>17</v>
      </c>
    </row>
    <row r="21" spans="1:27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0</v>
      </c>
      <c r="J21" s="12">
        <f>IF(ISNUMBER(SEARCH("营",main!R21)),(-$Y21+50*IF(main!$AK21="是",main!$BB$4,main!$BB$3)),(VLOOKUP(main!R21,main!$AO$4:$AQ$55,2,FALSE))*IF(main!$AK21="是",main!$BB$4,main!$BB$3))</f>
        <v>0</v>
      </c>
      <c r="K21" s="12">
        <f>IF(ISNUMBER(SEARCH("营",main!S21)),(-$Y21+50*IF(main!$AK21="是",main!$BB$4,main!$BB$3)),(VLOOKUP(main!S21,main!$AO$4:$AQ$55,2,FALSE))*IF(main!$AK21="是",main!$BB$4,main!$BB$3))</f>
        <v>0</v>
      </c>
      <c r="L21" s="12">
        <f>IF(ISNUMBER(SEARCH("营",main!T21)),(-$Y21+50*IF(main!$AK21="是",main!$BB$4,main!$BB$3)),(VLOOKUP(main!T21,main!$AO$4:$AQ$55,2,FALSE))*IF(main!$AK21="是",main!$BB$4,main!$BB$3))</f>
        <v>0</v>
      </c>
      <c r="M21" s="12">
        <f>IF(ISNUMBER(SEARCH("营",main!U21)),(-$Y21+50*IF(main!$AK21="是",main!$BB$4,main!$BB$3)),(VLOOKUP(main!U21,main!$AO$4:$AQ$55,2,FALSE))*IF(main!$AK21="是",main!$BB$4,main!$BB$3))</f>
        <v>0</v>
      </c>
      <c r="N21" s="12">
        <f>IF(ISNUMBER(SEARCH("营",main!V21)),(-$Y21+50*IF(main!$AK21="是",main!$BB$4,main!$BB$3)),(VLOOKUP(main!V21,main!$AO$4:$AQ$55,2,FALSE))*IF(main!$AK21="是",main!$BB$4,main!$BB$3))</f>
        <v>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0</v>
      </c>
      <c r="R21" s="12">
        <f>IF(ISNUMBER(SEARCH("营",main!Z21)),(-$Y21+50*IF(main!$AK21="是",main!$BB$4,main!$BB$3)),(VLOOKUP(main!Z21,main!$AO$4:$AQ$55,2,FALSE))*IF(main!$AK21="是",main!$BB$4,main!$BB$3))</f>
        <v>0</v>
      </c>
      <c r="S21" s="12">
        <f>IF(ISNUMBER(SEARCH("营",main!AA21)),(-$Y21+50*IF(main!$AK21="是",main!$BB$4,main!$BB$3)),(VLOOKUP(main!AA21,main!$AO$4:$AQ$55,2,FALSE))*IF(main!$AK21="是",main!$BB$4,main!$BB$3))</f>
        <v>0</v>
      </c>
      <c r="T21" s="12">
        <f>IF(ISNUMBER(SEARCH("营",main!AB21)),(-$Y21+50*IF(main!$AK21="是",main!$BB$4,main!$BB$3)),(VLOOKUP(main!AB21,main!$AO$4:$AQ$55,2,FALSE))*IF(main!$AK21="是",main!$BB$4,main!$BB$3))</f>
        <v>0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96">
        <v>250</v>
      </c>
      <c r="Z21" s="97">
        <v>46293</v>
      </c>
      <c r="AA21">
        <v>18</v>
      </c>
    </row>
    <row r="22" spans="1:27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0</v>
      </c>
      <c r="J22" s="12">
        <f>IF(ISNUMBER(SEARCH("营",main!R22)),(-$Y22+50*IF(main!$AK22="是",main!$BB$4,main!$BB$3)),(VLOOKUP(main!R22,main!$AO$4:$AQ$55,2,FALSE))*IF(main!$AK22="是",main!$BB$4,main!$BB$3))</f>
        <v>0</v>
      </c>
      <c r="K22" s="12">
        <f>IF(ISNUMBER(SEARCH("营",main!S22)),(-$Y22+50*IF(main!$AK22="是",main!$BB$4,main!$BB$3)),(VLOOKUP(main!S22,main!$AO$4:$AQ$55,2,FALSE))*IF(main!$AK22="是",main!$BB$4,main!$BB$3))</f>
        <v>0</v>
      </c>
      <c r="L22" s="12">
        <f>IF(ISNUMBER(SEARCH("营",main!T22)),(-$Y22+50*IF(main!$AK22="是",main!$BB$4,main!$BB$3)),(VLOOKUP(main!T22,main!$AO$4:$AQ$55,2,FALSE))*IF(main!$AK22="是",main!$BB$4,main!$BB$3))</f>
        <v>0</v>
      </c>
      <c r="M22" s="12">
        <f>IF(ISNUMBER(SEARCH("营",main!U22)),(-$Y22+50*IF(main!$AK22="是",main!$BB$4,main!$BB$3)),(VLOOKUP(main!U22,main!$AO$4:$AQ$55,2,FALSE))*IF(main!$AK22="是",main!$BB$4,main!$BB$3))</f>
        <v>0</v>
      </c>
      <c r="N22" s="12">
        <f>IF(ISNUMBER(SEARCH("营",main!V22)),(-$Y22+50*IF(main!$AK22="是",main!$BB$4,main!$BB$3)),(VLOOKUP(main!V22,main!$AO$4:$AQ$55,2,FALSE))*IF(main!$AK22="是",main!$BB$4,main!$BB$3))</f>
        <v>0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0</v>
      </c>
      <c r="R22" s="12">
        <f>IF(ISNUMBER(SEARCH("营",main!Z22)),(-$Y22+50*IF(main!$AK22="是",main!$BB$4,main!$BB$3)),(VLOOKUP(main!Z22,main!$AO$4:$AQ$55,2,FALSE))*IF(main!$AK22="是",main!$BB$4,main!$BB$3))</f>
        <v>0</v>
      </c>
      <c r="S22" s="12">
        <f>IF(ISNUMBER(SEARCH("营",main!AA22)),(-$Y22+50*IF(main!$AK22="是",main!$BB$4,main!$BB$3)),(VLOOKUP(main!AA22,main!$AO$4:$AQ$55,2,FALSE))*IF(main!$AK22="是",main!$BB$4,main!$BB$3))</f>
        <v>0</v>
      </c>
      <c r="T22" s="12">
        <f>IF(ISNUMBER(SEARCH("营",main!AB22)),(-$Y22+50*IF(main!$AK22="是",main!$BB$4,main!$BB$3)),(VLOOKUP(main!AB22,main!$AO$4:$AQ$55,2,FALSE))*IF(main!$AK22="是",main!$BB$4,main!$BB$3))</f>
        <v>0</v>
      </c>
      <c r="U22" s="12">
        <f>IF(ISNUMBER(SEARCH("营",main!AC22)),(-$Y22+50*IF(main!$AK22="是",main!$BB$4,main!$BB$3)),(VLOOKUP(main!AC22,main!$AO$4:$AQ$55,2,FALSE))*IF(main!$AK22="是",main!$BB$4,main!$BB$3))</f>
        <v>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96">
        <v>250</v>
      </c>
      <c r="Z22" s="97">
        <v>46294</v>
      </c>
      <c r="AA22">
        <v>19</v>
      </c>
    </row>
    <row r="23" spans="1:27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0</v>
      </c>
      <c r="J23" s="12">
        <f>IF(ISNUMBER(SEARCH("营",main!R23)),(-$Y23+50*IF(main!$AK23="是",main!$BB$4,main!$BB$3)),(VLOOKUP(main!R23,main!$AO$4:$AQ$55,2,FALSE))*IF(main!$AK23="是",main!$BB$4,main!$BB$3))</f>
        <v>0</v>
      </c>
      <c r="K23" s="12">
        <f>IF(ISNUMBER(SEARCH("营",main!S23)),(-$Y23+50*IF(main!$AK23="是",main!$BB$4,main!$BB$3)),(VLOOKUP(main!S23,main!$AO$4:$AQ$55,2,FALSE))*IF(main!$AK23="是",main!$BB$4,main!$BB$3))</f>
        <v>0</v>
      </c>
      <c r="L23" s="12">
        <f>IF(ISNUMBER(SEARCH("营",main!T23)),(-$Y23+50*IF(main!$AK23="是",main!$BB$4,main!$BB$3)),(VLOOKUP(main!T23,main!$AO$4:$AQ$55,2,FALSE))*IF(main!$AK23="是",main!$BB$4,main!$BB$3))</f>
        <v>0</v>
      </c>
      <c r="M23" s="12">
        <f>IF(ISNUMBER(SEARCH("营",main!U23)),(-$Y23+50*IF(main!$AK23="是",main!$BB$4,main!$BB$3)),(VLOOKUP(main!U23,main!$AO$4:$AQ$55,2,FALSE))*IF(main!$AK23="是",main!$BB$4,main!$BB$3))</f>
        <v>0</v>
      </c>
      <c r="N23" s="12">
        <f>IF(ISNUMBER(SEARCH("营",main!V23)),(-$Y23+50*IF(main!$AK23="是",main!$BB$4,main!$BB$3)),(VLOOKUP(main!V23,main!$AO$4:$AQ$55,2,FALSE))*IF(main!$AK23="是",main!$BB$4,main!$BB$3))</f>
        <v>0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0</v>
      </c>
      <c r="R23" s="12">
        <f>IF(ISNUMBER(SEARCH("营",main!Z23)),(-$Y23+50*IF(main!$AK23="是",main!$BB$4,main!$BB$3)),(VLOOKUP(main!Z23,main!$AO$4:$AQ$55,2,FALSE))*IF(main!$AK23="是",main!$BB$4,main!$BB$3))</f>
        <v>0</v>
      </c>
      <c r="S23" s="12">
        <f>IF(ISNUMBER(SEARCH("营",main!AA23)),(-$Y23+50*IF(main!$AK23="是",main!$BB$4,main!$BB$3)),(VLOOKUP(main!AA23,main!$AO$4:$AQ$55,2,FALSE))*IF(main!$AK23="是",main!$BB$4,main!$BB$3))</f>
        <v>0</v>
      </c>
      <c r="T23" s="12">
        <f>IF(ISNUMBER(SEARCH("营",main!AB23)),(-$Y23+50*IF(main!$AK23="是",main!$BB$4,main!$BB$3)),(VLOOKUP(main!AB23,main!$AO$4:$AQ$55,2,FALSE))*IF(main!$AK23="是",main!$BB$4,main!$BB$3))</f>
        <v>0</v>
      </c>
      <c r="U23" s="12">
        <f>IF(ISNUMBER(SEARCH("营",main!AC23)),(-$Y23+50*IF(main!$AK23="是",main!$BB$4,main!$BB$3)),(VLOOKUP(main!AC23,main!$AO$4:$AQ$55,2,FALSE))*IF(main!$AK23="是",main!$BB$4,main!$BB$3))</f>
        <v>0</v>
      </c>
      <c r="V23" s="12">
        <f>IF(ISNUMBER(SEARCH("营",main!AD23)),(-$Y23+50*IF(main!$AK23="是",main!$BB$4,main!$BB$3)),(VLOOKUP(main!AD23,main!$AO$4:$AQ$55,2,FALSE))*IF(main!$AK23="是",main!$BB$4,main!$BB$3))</f>
        <v>0</v>
      </c>
      <c r="W23" s="12">
        <f>IF(ISNUMBER(SEARCH("营",main!AE23)),(-$Y23+50*IF(main!$AK23="是",main!$BB$4,main!$BB$3)),(VLOOKUP(main!AE23,main!$AO$4:$AQ$55,2,FALSE))*IF(main!$AK23="是",main!$BB$4,main!$BB$3))</f>
        <v>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96">
        <v>250</v>
      </c>
      <c r="Z23" s="97">
        <v>46295</v>
      </c>
      <c r="AA23">
        <v>20</v>
      </c>
    </row>
    <row r="24" spans="1:27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0</v>
      </c>
      <c r="R24" s="12">
        <f>IF(ISNUMBER(SEARCH("营",main!Z24)),(-$Y24+50*IF(main!$AK24="是",main!$BB$4,main!$BB$3)),(VLOOKUP(main!Z24,main!$AO$4:$AQ$55,2,FALSE))*IF(main!$AK24="是",main!$BB$4,main!$BB$3))</f>
        <v>0</v>
      </c>
      <c r="S24" s="12">
        <f>IF(ISNUMBER(SEARCH("营",main!AA24)),(-$Y24+50*IF(main!$AK24="是",main!$BB$4,main!$BB$3)),(VLOOKUP(main!AA24,main!$AO$4:$AQ$55,2,FALSE))*IF(main!$AK24="是",main!$BB$4,main!$BB$3))</f>
        <v>0</v>
      </c>
      <c r="T24" s="12">
        <f>IF(ISNUMBER(SEARCH("营",main!AB24)),(-$Y24+50*IF(main!$AK24="是",main!$BB$4,main!$BB$3)),(VLOOKUP(main!AB24,main!$AO$4:$AQ$55,2,FALSE))*IF(main!$AK24="是",main!$BB$4,main!$BB$3))</f>
        <v>0</v>
      </c>
      <c r="U24" s="12">
        <f>IF(ISNUMBER(SEARCH("营",main!AC24)),(-$Y24+50*IF(main!$AK24="是",main!$BB$4,main!$BB$3)),(VLOOKUP(main!AC24,main!$AO$4:$AQ$55,2,FALSE))*IF(main!$AK24="是",main!$BB$4,main!$BB$3))</f>
        <v>0</v>
      </c>
      <c r="V24" s="12">
        <f>IF(ISNUMBER(SEARCH("营",main!AD24)),(-$Y24+50*IF(main!$AK24="是",main!$BB$4,main!$BB$3)),(VLOOKUP(main!AD24,main!$AO$4:$AQ$55,2,FALSE))*IF(main!$AK24="是",main!$BB$4,main!$BB$3))</f>
        <v>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96">
        <v>250</v>
      </c>
      <c r="Z24" s="97">
        <v>46296</v>
      </c>
      <c r="AA24">
        <v>21</v>
      </c>
    </row>
    <row r="25" spans="1:27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96">
        <v>250</v>
      </c>
      <c r="Z25" s="97">
        <v>46297</v>
      </c>
      <c r="AA25">
        <v>22</v>
      </c>
    </row>
    <row r="26" spans="1:27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96">
        <v>250</v>
      </c>
      <c r="Z26" s="97">
        <v>46298</v>
      </c>
      <c r="AA26">
        <v>23</v>
      </c>
    </row>
    <row r="27" spans="1:27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96">
        <v>250</v>
      </c>
      <c r="Z27" s="97">
        <v>46299</v>
      </c>
      <c r="AA27">
        <v>24</v>
      </c>
    </row>
    <row r="28" spans="1:27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98">
        <v>200</v>
      </c>
      <c r="Z28" s="95">
        <v>46300</v>
      </c>
      <c r="AA28">
        <v>25</v>
      </c>
    </row>
    <row r="29" spans="1:27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98">
        <v>200</v>
      </c>
      <c r="Z29" s="95">
        <v>46301</v>
      </c>
      <c r="AA29">
        <v>26</v>
      </c>
    </row>
    <row r="30" spans="1:27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98">
        <v>200</v>
      </c>
      <c r="Z30" s="95">
        <v>46302</v>
      </c>
      <c r="AA30">
        <v>27</v>
      </c>
    </row>
    <row r="31" spans="1:27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0</v>
      </c>
      <c r="R31" s="12">
        <f>IF(ISNUMBER(SEARCH("营",main!Z31)),(-$Y31+50*IF(main!$AK31="是",main!$BB$4,main!$BB$3)),(VLOOKUP(main!Z31,main!$AO$4:$AQ$55,2,FALSE))*IF(main!$AK31="是",main!$BB$4,main!$BB$3))</f>
        <v>0</v>
      </c>
      <c r="S31" s="12">
        <f>IF(ISNUMBER(SEARCH("营",main!AA31)),(-$Y31+50*IF(main!$AK31="是",main!$BB$4,main!$BB$3)),(VLOOKUP(main!AA31,main!$AO$4:$AQ$55,2,FALSE))*IF(main!$AK31="是",main!$BB$4,main!$BB$3))</f>
        <v>0</v>
      </c>
      <c r="T31" s="12">
        <f>IF(ISNUMBER(SEARCH("营",main!AB31)),(-$Y31+50*IF(main!$AK31="是",main!$BB$4,main!$BB$3)),(VLOOKUP(main!AB31,main!$AO$4:$AQ$55,2,FALSE))*IF(main!$AK31="是",main!$BB$4,main!$BB$3))</f>
        <v>0</v>
      </c>
      <c r="U31" s="12">
        <f>IF(ISNUMBER(SEARCH("营",main!AC31)),(-$Y31+50*IF(main!$AK31="是",main!$BB$4,main!$BB$3)),(VLOOKUP(main!AC31,main!$AO$4:$AQ$55,2,FALSE))*IF(main!$AK31="是",main!$BB$4,main!$BB$3))</f>
        <v>0</v>
      </c>
      <c r="V31" s="12">
        <f>IF(ISNUMBER(SEARCH("营",main!AD31)),(-$Y31+50*IF(main!$AK31="是",main!$BB$4,main!$BB$3)),(VLOOKUP(main!AD31,main!$AO$4:$AQ$55,2,FALSE))*IF(main!$AK31="是",main!$BB$4,main!$BB$3))</f>
        <v>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98">
        <v>200</v>
      </c>
      <c r="Z31" s="95">
        <v>46303</v>
      </c>
      <c r="AA31">
        <v>28</v>
      </c>
    </row>
    <row r="32" spans="1:27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98">
        <v>200</v>
      </c>
      <c r="Z32" s="95">
        <v>46304</v>
      </c>
      <c r="AA32">
        <v>29</v>
      </c>
    </row>
    <row r="33" spans="1:27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0</v>
      </c>
      <c r="R33" s="12">
        <f>IF(ISNUMBER(SEARCH("营",main!Z33)),(-$Y33+50*IF(main!$AK33="是",main!$BB$4,main!$BB$3)),(VLOOKUP(main!Z33,main!$AO$4:$AQ$55,2,FALSE))*IF(main!$AK33="是",main!$BB$4,main!$BB$3))</f>
        <v>0</v>
      </c>
      <c r="S33" s="12">
        <f>IF(ISNUMBER(SEARCH("营",main!AA33)),(-$Y33+50*IF(main!$AK33="是",main!$BB$4,main!$BB$3)),(VLOOKUP(main!AA33,main!$AO$4:$AQ$55,2,FALSE))*IF(main!$AK33="是",main!$BB$4,main!$BB$3))</f>
        <v>0</v>
      </c>
      <c r="T33" s="12">
        <f>IF(ISNUMBER(SEARCH("营",main!AB33)),(-$Y33+50*IF(main!$AK33="是",main!$BB$4,main!$BB$3)),(VLOOKUP(main!AB33,main!$AO$4:$AQ$55,2,FALSE))*IF(main!$AK33="是",main!$BB$4,main!$BB$3))</f>
        <v>0</v>
      </c>
      <c r="U33" s="12">
        <f>IF(ISNUMBER(SEARCH("营",main!AC33)),(-$Y33+50*IF(main!$AK33="是",main!$BB$4,main!$BB$3)),(VLOOKUP(main!AC33,main!$AO$4:$AQ$55,2,FALSE))*IF(main!$AK33="是",main!$BB$4,main!$BB$3))</f>
        <v>0</v>
      </c>
      <c r="V33" s="12">
        <f>IF(ISNUMBER(SEARCH("营",main!AD33)),(-$Y33+50*IF(main!$AK33="是",main!$BB$4,main!$BB$3)),(VLOOKUP(main!AD33,main!$AO$4:$AQ$55,2,FALSE))*IF(main!$AK33="是",main!$BB$4,main!$BB$3))</f>
        <v>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98">
        <v>200</v>
      </c>
      <c r="Z33" s="95">
        <v>46305</v>
      </c>
      <c r="AA33">
        <v>30</v>
      </c>
    </row>
    <row r="34" spans="1:27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0</v>
      </c>
      <c r="J34" s="12">
        <f>IF(ISNUMBER(SEARCH("营",main!R34)),(-$Y34+50*IF(main!$AK34="是",main!$BB$4,main!$BB$3)),(VLOOKUP(main!R34,main!$AO$4:$AQ$55,2,FALSE))*IF(main!$AK34="是",main!$BB$4,main!$BB$3))</f>
        <v>0</v>
      </c>
      <c r="K34" s="12">
        <f>IF(ISNUMBER(SEARCH("营",main!S34)),(-$Y34+50*IF(main!$AK34="是",main!$BB$4,main!$BB$3)),(VLOOKUP(main!S34,main!$AO$4:$AQ$55,2,FALSE))*IF(main!$AK34="是",main!$BB$4,main!$BB$3))</f>
        <v>0</v>
      </c>
      <c r="L34" s="12">
        <f>IF(ISNUMBER(SEARCH("营",main!T34)),(-$Y34+50*IF(main!$AK34="是",main!$BB$4,main!$BB$3)),(VLOOKUP(main!T34,main!$AO$4:$AQ$55,2,FALSE))*IF(main!$AK34="是",main!$BB$4,main!$BB$3))</f>
        <v>0</v>
      </c>
      <c r="M34" s="12">
        <f>IF(ISNUMBER(SEARCH("营",main!U34)),(-$Y34+50*IF(main!$AK34="是",main!$BB$4,main!$BB$3)),(VLOOKUP(main!U34,main!$AO$4:$AQ$55,2,FALSE))*IF(main!$AK34="是",main!$BB$4,main!$BB$3))</f>
        <v>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0</v>
      </c>
      <c r="R34" s="12">
        <f>IF(ISNUMBER(SEARCH("营",main!Z34)),(-$Y34+50*IF(main!$AK34="是",main!$BB$4,main!$BB$3)),(VLOOKUP(main!Z34,main!$AO$4:$AQ$55,2,FALSE))*IF(main!$AK34="是",main!$BB$4,main!$BB$3))</f>
        <v>0</v>
      </c>
      <c r="S34" s="12">
        <f>IF(ISNUMBER(SEARCH("营",main!AA34)),(-$Y34+50*IF(main!$AK34="是",main!$BB$4,main!$BB$3)),(VLOOKUP(main!AA34,main!$AO$4:$AQ$55,2,FALSE))*IF(main!$AK34="是",main!$BB$4,main!$BB$3))</f>
        <v>0</v>
      </c>
      <c r="T34" s="12">
        <f>IF(ISNUMBER(SEARCH("营",main!AB34)),(-$Y34+50*IF(main!$AK34="是",main!$BB$4,main!$BB$3)),(VLOOKUP(main!AB34,main!$AO$4:$AQ$55,2,FALSE))*IF(main!$AK34="是",main!$BB$4,main!$BB$3))</f>
        <v>0</v>
      </c>
      <c r="U34" s="12">
        <f>IF(ISNUMBER(SEARCH("营",main!AC34)),(-$Y34+50*IF(main!$AK34="是",main!$BB$4,main!$BB$3)),(VLOOKUP(main!AC34,main!$AO$4:$AQ$55,2,FALSE))*IF(main!$AK34="是",main!$BB$4,main!$BB$3))</f>
        <v>0</v>
      </c>
      <c r="V34" s="12">
        <f>IF(ISNUMBER(SEARCH("营",main!AD34)),(-$Y34+50*IF(main!$AK34="是",main!$BB$4,main!$BB$3)),(VLOOKUP(main!AD34,main!$AO$4:$AQ$55,2,FALSE))*IF(main!$AK34="是",main!$BB$4,main!$BB$3))</f>
        <v>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98">
        <v>200</v>
      </c>
      <c r="Z34" s="95">
        <v>46306</v>
      </c>
      <c r="AA34">
        <v>31</v>
      </c>
    </row>
    <row r="35" spans="1:27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98">
        <v>200</v>
      </c>
      <c r="Z35" s="95">
        <v>46307</v>
      </c>
      <c r="AA35">
        <v>32</v>
      </c>
    </row>
    <row r="36" spans="1:27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0</v>
      </c>
      <c r="R36" s="12">
        <f>IF(ISNUMBER(SEARCH("营",main!Z36)),(-$Y36+50*IF(main!$AK36="是",main!$BB$4,main!$BB$3)),(VLOOKUP(main!Z36,main!$AO$4:$AQ$55,2,FALSE))*IF(main!$AK36="是",main!$BB$4,main!$BB$3))</f>
        <v>0</v>
      </c>
      <c r="S36" s="12">
        <f>IF(ISNUMBER(SEARCH("营",main!AA36)),(-$Y36+50*IF(main!$AK36="是",main!$BB$4,main!$BB$3)),(VLOOKUP(main!AA36,main!$AO$4:$AQ$55,2,FALSE))*IF(main!$AK36="是",main!$BB$4,main!$BB$3))</f>
        <v>0</v>
      </c>
      <c r="T36" s="12">
        <f>IF(ISNUMBER(SEARCH("营",main!AB36)),(-$Y36+50*IF(main!$AK36="是",main!$BB$4,main!$BB$3)),(VLOOKUP(main!AB36,main!$AO$4:$AQ$55,2,FALSE))*IF(main!$AK36="是",main!$BB$4,main!$BB$3))</f>
        <v>0</v>
      </c>
      <c r="U36" s="12">
        <f>IF(ISNUMBER(SEARCH("营",main!AC36)),(-$Y36+50*IF(main!$AK36="是",main!$BB$4,main!$BB$3)),(VLOOKUP(main!AC36,main!$AO$4:$AQ$55,2,FALSE))*IF(main!$AK36="是",main!$BB$4,main!$BB$3))</f>
        <v>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98">
        <v>200</v>
      </c>
      <c r="Z36" s="95">
        <v>46308</v>
      </c>
      <c r="AA36">
        <v>33</v>
      </c>
    </row>
    <row r="37" spans="1:27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0</v>
      </c>
      <c r="R37" s="12">
        <f>IF(ISNUMBER(SEARCH("营",main!Z37)),(-$Y37+50*IF(main!$AK37="是",main!$BB$4,main!$BB$3)),(VLOOKUP(main!Z37,main!$AO$4:$AQ$55,2,FALSE))*IF(main!$AK37="是",main!$BB$4,main!$BB$3))</f>
        <v>0</v>
      </c>
      <c r="S37" s="12">
        <f>IF(ISNUMBER(SEARCH("营",main!AA37)),(-$Y37+50*IF(main!$AK37="是",main!$BB$4,main!$BB$3)),(VLOOKUP(main!AA37,main!$AO$4:$AQ$55,2,FALSE))*IF(main!$AK37="是",main!$BB$4,main!$BB$3))</f>
        <v>0</v>
      </c>
      <c r="T37" s="12">
        <f>IF(ISNUMBER(SEARCH("营",main!AB37)),(-$Y37+50*IF(main!$AK37="是",main!$BB$4,main!$BB$3)),(VLOOKUP(main!AB37,main!$AO$4:$AQ$55,2,FALSE))*IF(main!$AK37="是",main!$BB$4,main!$BB$3))</f>
        <v>0</v>
      </c>
      <c r="U37" s="12">
        <f>IF(ISNUMBER(SEARCH("营",main!AC37)),(-$Y37+50*IF(main!$AK37="是",main!$BB$4,main!$BB$3)),(VLOOKUP(main!AC37,main!$AO$4:$AQ$55,2,FALSE))*IF(main!$AK37="是",main!$BB$4,main!$BB$3))</f>
        <v>0</v>
      </c>
      <c r="V37" s="12">
        <f>IF(ISNUMBER(SEARCH("营",main!AD37)),(-$Y37+50*IF(main!$AK37="是",main!$BB$4,main!$BB$3)),(VLOOKUP(main!AD37,main!$AO$4:$AQ$55,2,FALSE))*IF(main!$AK37="是",main!$BB$4,main!$BB$3))</f>
        <v>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98">
        <v>200</v>
      </c>
      <c r="Z37" s="95">
        <v>46309</v>
      </c>
      <c r="AA37">
        <v>34</v>
      </c>
    </row>
    <row r="38" spans="1:27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0</v>
      </c>
      <c r="J38" s="12">
        <f>IF(ISNUMBER(SEARCH("营",main!R38)),(-$Y38+50*IF(main!$AK38="是",main!$BB$4,main!$BB$3)),(VLOOKUP(main!R38,main!$AO$4:$AQ$55,2,FALSE))*IF(main!$AK38="是",main!$BB$4,main!$BB$3))</f>
        <v>0</v>
      </c>
      <c r="K38" s="12">
        <f>IF(ISNUMBER(SEARCH("营",main!S38)),(-$Y38+50*IF(main!$AK38="是",main!$BB$4,main!$BB$3)),(VLOOKUP(main!S38,main!$AO$4:$AQ$55,2,FALSE))*IF(main!$AK38="是",main!$BB$4,main!$BB$3))</f>
        <v>0</v>
      </c>
      <c r="L38" s="12">
        <f>IF(ISNUMBER(SEARCH("营",main!T38)),(-$Y38+50*IF(main!$AK38="是",main!$BB$4,main!$BB$3)),(VLOOKUP(main!T38,main!$AO$4:$AQ$55,2,FALSE))*IF(main!$AK38="是",main!$BB$4,main!$BB$3))</f>
        <v>0</v>
      </c>
      <c r="M38" s="12">
        <f>IF(ISNUMBER(SEARCH("营",main!U38)),(-$Y38+50*IF(main!$AK38="是",main!$BB$4,main!$BB$3)),(VLOOKUP(main!U38,main!$AO$4:$AQ$55,2,FALSE))*IF(main!$AK38="是",main!$BB$4,main!$BB$3))</f>
        <v>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98">
        <v>200</v>
      </c>
      <c r="Z38" s="95">
        <v>46310</v>
      </c>
      <c r="AA38">
        <v>35</v>
      </c>
    </row>
    <row r="39" spans="1:27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98">
        <v>200</v>
      </c>
      <c r="Z39" s="95">
        <v>46311</v>
      </c>
      <c r="AA39">
        <v>36</v>
      </c>
    </row>
    <row r="40" spans="1:27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98">
        <v>200</v>
      </c>
      <c r="Z40" s="95">
        <v>46312</v>
      </c>
      <c r="AA40">
        <v>37</v>
      </c>
    </row>
    <row r="41" spans="1:27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0</v>
      </c>
      <c r="J41" s="12">
        <f>IF(ISNUMBER(SEARCH("营",main!R41)),(-$Y41+50*IF(main!$AK41="是",main!$BB$4,main!$BB$3)),(VLOOKUP(main!R41,main!$AO$4:$AQ$55,2,FALSE))*IF(main!$AK41="是",main!$BB$4,main!$BB$3))</f>
        <v>0</v>
      </c>
      <c r="K41" s="12">
        <f>IF(ISNUMBER(SEARCH("营",main!S41)),(-$Y41+50*IF(main!$AK41="是",main!$BB$4,main!$BB$3)),(VLOOKUP(main!S41,main!$AO$4:$AQ$55,2,FALSE))*IF(main!$AK41="是",main!$BB$4,main!$BB$3))</f>
        <v>0</v>
      </c>
      <c r="L41" s="12">
        <f>IF(ISNUMBER(SEARCH("营",main!T41)),(-$Y41+50*IF(main!$AK41="是",main!$BB$4,main!$BB$3)),(VLOOKUP(main!T41,main!$AO$4:$AQ$55,2,FALSE))*IF(main!$AK41="是",main!$BB$4,main!$BB$3))</f>
        <v>0</v>
      </c>
      <c r="M41" s="12">
        <f>IF(ISNUMBER(SEARCH("营",main!U41)),(-$Y41+50*IF(main!$AK41="是",main!$BB$4,main!$BB$3)),(VLOOKUP(main!U41,main!$AO$4:$AQ$55,2,FALSE))*IF(main!$AK41="是",main!$BB$4,main!$BB$3))</f>
        <v>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98">
        <v>200</v>
      </c>
      <c r="Z41" s="95">
        <v>46313</v>
      </c>
      <c r="AA41">
        <v>38</v>
      </c>
    </row>
    <row r="42" spans="1:27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98">
        <v>200</v>
      </c>
      <c r="Z42" s="95">
        <v>46314</v>
      </c>
      <c r="AA42">
        <v>39</v>
      </c>
    </row>
    <row r="43" spans="1:27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98">
        <v>200</v>
      </c>
      <c r="Z43" s="95">
        <v>46315</v>
      </c>
      <c r="AA43">
        <v>40</v>
      </c>
    </row>
    <row r="44" spans="1:27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98">
        <v>200</v>
      </c>
      <c r="Z44" s="95">
        <v>46316</v>
      </c>
      <c r="AA44">
        <v>41</v>
      </c>
    </row>
    <row r="45" spans="1:27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98">
        <v>200</v>
      </c>
      <c r="Z45" s="95">
        <v>46317</v>
      </c>
      <c r="AA45">
        <v>42</v>
      </c>
    </row>
    <row r="46" spans="1:27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0</v>
      </c>
      <c r="R46" s="12">
        <f>IF(ISNUMBER(SEARCH("营",main!Z46)),(-$Y46+50*IF(main!$AK46="是",main!$BB$4,main!$BB$3)),(VLOOKUP(main!Z46,main!$AO$4:$AQ$55,2,FALSE))*IF(main!$AK46="是",main!$BB$4,main!$BB$3))</f>
        <v>0</v>
      </c>
      <c r="S46" s="12">
        <f>IF(ISNUMBER(SEARCH("营",main!AA46)),(-$Y46+50*IF(main!$AK46="是",main!$BB$4,main!$BB$3)),(VLOOKUP(main!AA46,main!$AO$4:$AQ$55,2,FALSE))*IF(main!$AK46="是",main!$BB$4,main!$BB$3))</f>
        <v>0</v>
      </c>
      <c r="T46" s="12">
        <f>IF(ISNUMBER(SEARCH("营",main!AB46)),(-$Y46+50*IF(main!$AK46="是",main!$BB$4,main!$BB$3)),(VLOOKUP(main!AB46,main!$AO$4:$AQ$55,2,FALSE))*IF(main!$AK46="是",main!$BB$4,main!$BB$3))</f>
        <v>0</v>
      </c>
      <c r="U46" s="12">
        <f>IF(ISNUMBER(SEARCH("营",main!AC46)),(-$Y46+50*IF(main!$AK46="是",main!$BB$4,main!$BB$3)),(VLOOKUP(main!AC46,main!$AO$4:$AQ$55,2,FALSE))*IF(main!$AK46="是",main!$BB$4,main!$BB$3))</f>
        <v>0</v>
      </c>
      <c r="V46" s="12">
        <f>IF(ISNUMBER(SEARCH("营",main!AD46)),(-$Y46+50*IF(main!$AK46="是",main!$BB$4,main!$BB$3)),(VLOOKUP(main!AD46,main!$AO$4:$AQ$55,2,FALSE))*IF(main!$AK46="是",main!$BB$4,main!$BB$3))</f>
        <v>0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96">
        <v>150</v>
      </c>
      <c r="Z46" s="97">
        <v>46318</v>
      </c>
      <c r="AA46">
        <v>43</v>
      </c>
    </row>
    <row r="47" spans="1:27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0</v>
      </c>
      <c r="R47" s="12">
        <f>IF(ISNUMBER(SEARCH("营",main!Z47)),(-$Y47+50*IF(main!$AK47="是",main!$BB$4,main!$BB$3)),(VLOOKUP(main!Z47,main!$AO$4:$AQ$55,2,FALSE))*IF(main!$AK47="是",main!$BB$4,main!$BB$3))</f>
        <v>0</v>
      </c>
      <c r="S47" s="12">
        <f>IF(ISNUMBER(SEARCH("营",main!AA47)),(-$Y47+50*IF(main!$AK47="是",main!$BB$4,main!$BB$3)),(VLOOKUP(main!AA47,main!$AO$4:$AQ$55,2,FALSE))*IF(main!$AK47="是",main!$BB$4,main!$BB$3))</f>
        <v>0</v>
      </c>
      <c r="T47" s="12">
        <f>IF(ISNUMBER(SEARCH("营",main!AB47)),(-$Y47+50*IF(main!$AK47="是",main!$BB$4,main!$BB$3)),(VLOOKUP(main!AB47,main!$AO$4:$AQ$55,2,FALSE))*IF(main!$AK47="是",main!$BB$4,main!$BB$3))</f>
        <v>0</v>
      </c>
      <c r="U47" s="12">
        <f>IF(ISNUMBER(SEARCH("营",main!AC47)),(-$Y47+50*IF(main!$AK47="是",main!$BB$4,main!$BB$3)),(VLOOKUP(main!AC47,main!$AO$4:$AQ$55,2,FALSE))*IF(main!$AK47="是",main!$BB$4,main!$BB$3))</f>
        <v>0</v>
      </c>
      <c r="V47" s="12">
        <f>IF(ISNUMBER(SEARCH("营",main!AD47)),(-$Y47+50*IF(main!$AK47="是",main!$BB$4,main!$BB$3)),(VLOOKUP(main!AD47,main!$AO$4:$AQ$55,2,FALSE))*IF(main!$AK47="是",main!$BB$4,main!$BB$3))</f>
        <v>0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96">
        <v>150</v>
      </c>
      <c r="Z47" s="97">
        <v>46319</v>
      </c>
      <c r="AA47">
        <v>44</v>
      </c>
    </row>
    <row r="48" spans="1:27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0</v>
      </c>
      <c r="R48" s="12">
        <f>IF(ISNUMBER(SEARCH("营",main!Z48)),(-$Y48+50*IF(main!$AK48="是",main!$BB$4,main!$BB$3)),(VLOOKUP(main!Z48,main!$AO$4:$AQ$55,2,FALSE))*IF(main!$AK48="是",main!$BB$4,main!$BB$3))</f>
        <v>0</v>
      </c>
      <c r="S48" s="12">
        <f>IF(ISNUMBER(SEARCH("营",main!AA48)),(-$Y48+50*IF(main!$AK48="是",main!$BB$4,main!$BB$3)),(VLOOKUP(main!AA48,main!$AO$4:$AQ$55,2,FALSE))*IF(main!$AK48="是",main!$BB$4,main!$BB$3))</f>
        <v>0</v>
      </c>
      <c r="T48" s="12">
        <f>IF(ISNUMBER(SEARCH("营",main!AB48)),(-$Y48+50*IF(main!$AK48="是",main!$BB$4,main!$BB$3)),(VLOOKUP(main!AB48,main!$AO$4:$AQ$55,2,FALSE))*IF(main!$AK48="是",main!$BB$4,main!$BB$3))</f>
        <v>0</v>
      </c>
      <c r="U48" s="12">
        <f>IF(ISNUMBER(SEARCH("营",main!AC48)),(-$Y48+50*IF(main!$AK48="是",main!$BB$4,main!$BB$3)),(VLOOKUP(main!AC48,main!$AO$4:$AQ$55,2,FALSE))*IF(main!$AK48="是",main!$BB$4,main!$BB$3))</f>
        <v>0</v>
      </c>
      <c r="V48" s="12">
        <f>IF(ISNUMBER(SEARCH("营",main!AD48)),(-$Y48+50*IF(main!$AK48="是",main!$BB$4,main!$BB$3)),(VLOOKUP(main!AD48,main!$AO$4:$AQ$55,2,FALSE))*IF(main!$AK48="是",main!$BB$4,main!$BB$3))</f>
        <v>0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96">
        <v>150</v>
      </c>
      <c r="Z48" s="97">
        <v>46320</v>
      </c>
      <c r="AA48">
        <v>45</v>
      </c>
    </row>
    <row r="49" spans="1:27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0</v>
      </c>
      <c r="R49" s="12">
        <f>IF(ISNUMBER(SEARCH("营",main!Z49)),(-$Y49+50*IF(main!$AK49="是",main!$BB$4,main!$BB$3)),(VLOOKUP(main!Z49,main!$AO$4:$AQ$55,2,FALSE))*IF(main!$AK49="是",main!$BB$4,main!$BB$3))</f>
        <v>0</v>
      </c>
      <c r="S49" s="12">
        <f>IF(ISNUMBER(SEARCH("营",main!AA49)),(-$Y49+50*IF(main!$AK49="是",main!$BB$4,main!$BB$3)),(VLOOKUP(main!AA49,main!$AO$4:$AQ$55,2,FALSE))*IF(main!$AK49="是",main!$BB$4,main!$BB$3))</f>
        <v>0</v>
      </c>
      <c r="T49" s="12">
        <f>IF(ISNUMBER(SEARCH("营",main!AB49)),(-$Y49+50*IF(main!$AK49="是",main!$BB$4,main!$BB$3)),(VLOOKUP(main!AB49,main!$AO$4:$AQ$55,2,FALSE))*IF(main!$AK49="是",main!$BB$4,main!$BB$3))</f>
        <v>0</v>
      </c>
      <c r="U49" s="12">
        <f>IF(ISNUMBER(SEARCH("营",main!AC49)),(-$Y49+50*IF(main!$AK49="是",main!$BB$4,main!$BB$3)),(VLOOKUP(main!AC49,main!$AO$4:$AQ$55,2,FALSE))*IF(main!$AK49="是",main!$BB$4,main!$BB$3))</f>
        <v>0</v>
      </c>
      <c r="V49" s="12">
        <f>IF(ISNUMBER(SEARCH("营",main!AD49)),(-$Y49+50*IF(main!$AK49="是",main!$BB$4,main!$BB$3)),(VLOOKUP(main!AD49,main!$AO$4:$AQ$55,2,FALSE))*IF(main!$AK49="是",main!$BB$4,main!$BB$3))</f>
        <v>0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96">
        <v>150</v>
      </c>
      <c r="Z49" s="97">
        <v>46321</v>
      </c>
      <c r="AA49">
        <v>46</v>
      </c>
    </row>
    <row r="50" spans="1:27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0</v>
      </c>
      <c r="R50" s="12">
        <f>IF(ISNUMBER(SEARCH("营",main!Z50)),(-$Y50+50*IF(main!$AK50="是",main!$BB$4,main!$BB$3)),(VLOOKUP(main!Z50,main!$AO$4:$AQ$55,2,FALSE))*IF(main!$AK50="是",main!$BB$4,main!$BB$3))</f>
        <v>0</v>
      </c>
      <c r="S50" s="12">
        <f>IF(ISNUMBER(SEARCH("营",main!AA50)),(-$Y50+50*IF(main!$AK50="是",main!$BB$4,main!$BB$3)),(VLOOKUP(main!AA50,main!$AO$4:$AQ$55,2,FALSE))*IF(main!$AK50="是",main!$BB$4,main!$BB$3))</f>
        <v>0</v>
      </c>
      <c r="T50" s="12">
        <f>IF(ISNUMBER(SEARCH("营",main!AB50)),(-$Y50+50*IF(main!$AK50="是",main!$BB$4,main!$BB$3)),(VLOOKUP(main!AB50,main!$AO$4:$AQ$55,2,FALSE))*IF(main!$AK50="是",main!$BB$4,main!$BB$3))</f>
        <v>0</v>
      </c>
      <c r="U50" s="12">
        <f>IF(ISNUMBER(SEARCH("营",main!AC50)),(-$Y50+50*IF(main!$AK50="是",main!$BB$4,main!$BB$3)),(VLOOKUP(main!AC50,main!$AO$4:$AQ$55,2,FALSE))*IF(main!$AK50="是",main!$BB$4,main!$BB$3))</f>
        <v>0</v>
      </c>
      <c r="V50" s="12">
        <f>IF(ISNUMBER(SEARCH("营",main!AD50)),(-$Y50+50*IF(main!$AK50="是",main!$BB$4,main!$BB$3)),(VLOOKUP(main!AD50,main!$AO$4:$AQ$55,2,FALSE))*IF(main!$AK50="是",main!$BB$4,main!$BB$3))</f>
        <v>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96">
        <v>150</v>
      </c>
      <c r="Z50" s="97">
        <v>46322</v>
      </c>
      <c r="AA50">
        <v>47</v>
      </c>
    </row>
    <row r="51" spans="1:27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0</v>
      </c>
      <c r="R51" s="12">
        <f>IF(ISNUMBER(SEARCH("营",main!Z51)),(-$Y51+50*IF(main!$AK51="是",main!$BB$4,main!$BB$3)),(VLOOKUP(main!Z51,main!$AO$4:$AQ$55,2,FALSE))*IF(main!$AK51="是",main!$BB$4,main!$BB$3))</f>
        <v>0</v>
      </c>
      <c r="S51" s="12">
        <f>IF(ISNUMBER(SEARCH("营",main!AA51)),(-$Y51+50*IF(main!$AK51="是",main!$BB$4,main!$BB$3)),(VLOOKUP(main!AA51,main!$AO$4:$AQ$55,2,FALSE))*IF(main!$AK51="是",main!$BB$4,main!$BB$3))</f>
        <v>0</v>
      </c>
      <c r="T51" s="12">
        <f>IF(ISNUMBER(SEARCH("营",main!AB51)),(-$Y51+50*IF(main!$AK51="是",main!$BB$4,main!$BB$3)),(VLOOKUP(main!AB51,main!$AO$4:$AQ$55,2,FALSE))*IF(main!$AK51="是",main!$BB$4,main!$BB$3))</f>
        <v>0</v>
      </c>
      <c r="U51" s="12">
        <f>IF(ISNUMBER(SEARCH("营",main!AC51)),(-$Y51+50*IF(main!$AK51="是",main!$BB$4,main!$BB$3)),(VLOOKUP(main!AC51,main!$AO$4:$AQ$55,2,FALSE))*IF(main!$AK51="是",main!$BB$4,main!$BB$3))</f>
        <v>0</v>
      </c>
      <c r="V51" s="12">
        <f>IF(ISNUMBER(SEARCH("营",main!AD51)),(-$Y51+50*IF(main!$AK51="是",main!$BB$4,main!$BB$3)),(VLOOKUP(main!AD51,main!$AO$4:$AQ$55,2,FALSE))*IF(main!$AK51="是",main!$BB$4,main!$BB$3))</f>
        <v>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96">
        <v>150</v>
      </c>
      <c r="Z51" s="97">
        <v>46323</v>
      </c>
      <c r="AA51">
        <v>48</v>
      </c>
    </row>
    <row r="52" spans="1:27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0</v>
      </c>
      <c r="J52" s="12">
        <f>IF(ISNUMBER(SEARCH("营",main!R52)),(-$Y52+50*IF(main!$AK52="是",main!$BB$4,main!$BB$3)),(VLOOKUP(main!R52,main!$AO$4:$AQ$55,2,FALSE))*IF(main!$AK52="是",main!$BB$4,main!$BB$3))</f>
        <v>0</v>
      </c>
      <c r="K52" s="12">
        <f>IF(ISNUMBER(SEARCH("营",main!S52)),(-$Y52+50*IF(main!$AK52="是",main!$BB$4,main!$BB$3)),(VLOOKUP(main!S52,main!$AO$4:$AQ$55,2,FALSE))*IF(main!$AK52="是",main!$BB$4,main!$BB$3))</f>
        <v>0</v>
      </c>
      <c r="L52" s="12">
        <f>IF(ISNUMBER(SEARCH("营",main!T52)),(-$Y52+50*IF(main!$AK52="是",main!$BB$4,main!$BB$3)),(VLOOKUP(main!T52,main!$AO$4:$AQ$55,2,FALSE))*IF(main!$AK52="是",main!$BB$4,main!$BB$3))</f>
        <v>0</v>
      </c>
      <c r="M52" s="12">
        <f>IF(ISNUMBER(SEARCH("营",main!U52)),(-$Y52+50*IF(main!$AK52="是",main!$BB$4,main!$BB$3)),(VLOOKUP(main!U52,main!$AO$4:$AQ$55,2,FALSE))*IF(main!$AK52="是",main!$BB$4,main!$BB$3))</f>
        <v>0</v>
      </c>
      <c r="N52" s="12">
        <f>IF(ISNUMBER(SEARCH("营",main!V52)),(-$Y52+50*IF(main!$AK52="是",main!$BB$4,main!$BB$3)),(VLOOKUP(main!V52,main!$AO$4:$AQ$55,2,FALSE))*IF(main!$AK52="是",main!$BB$4,main!$BB$3))</f>
        <v>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0</v>
      </c>
      <c r="R52" s="12">
        <f>IF(ISNUMBER(SEARCH("营",main!Z52)),(-$Y52+50*IF(main!$AK52="是",main!$BB$4,main!$BB$3)),(VLOOKUP(main!Z52,main!$AO$4:$AQ$55,2,FALSE))*IF(main!$AK52="是",main!$BB$4,main!$BB$3))</f>
        <v>0</v>
      </c>
      <c r="S52" s="12">
        <f>IF(ISNUMBER(SEARCH("营",main!AA52)),(-$Y52+50*IF(main!$AK52="是",main!$BB$4,main!$BB$3)),(VLOOKUP(main!AA52,main!$AO$4:$AQ$55,2,FALSE))*IF(main!$AK52="是",main!$BB$4,main!$BB$3))</f>
        <v>0</v>
      </c>
      <c r="T52" s="12">
        <f>IF(ISNUMBER(SEARCH("营",main!AB52)),(-$Y52+50*IF(main!$AK52="是",main!$BB$4,main!$BB$3)),(VLOOKUP(main!AB52,main!$AO$4:$AQ$55,2,FALSE))*IF(main!$AK52="是",main!$BB$4,main!$BB$3))</f>
        <v>0</v>
      </c>
      <c r="U52" s="12">
        <f>IF(ISNUMBER(SEARCH("营",main!AC52)),(-$Y52+50*IF(main!$AK52="是",main!$BB$4,main!$BB$3)),(VLOOKUP(main!AC52,main!$AO$4:$AQ$55,2,FALSE))*IF(main!$AK52="是",main!$BB$4,main!$BB$3))</f>
        <v>0</v>
      </c>
      <c r="V52" s="12">
        <f>IF(ISNUMBER(SEARCH("营",main!AD52)),(-$Y52+50*IF(main!$AK52="是",main!$BB$4,main!$BB$3)),(VLOOKUP(main!AD52,main!$AO$4:$AQ$55,2,FALSE))*IF(main!$AK52="是",main!$BB$4,main!$BB$3))</f>
        <v>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96">
        <v>150</v>
      </c>
      <c r="Z52" s="97">
        <v>46324</v>
      </c>
      <c r="AA52">
        <v>49</v>
      </c>
    </row>
    <row r="53" spans="1:27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0</v>
      </c>
      <c r="J53" s="12">
        <f>IF(ISNUMBER(SEARCH("营",main!R53)),(-$Y53+50*IF(main!$AK53="是",main!$BB$4,main!$BB$3)),(VLOOKUP(main!R53,main!$AO$4:$AQ$55,2,FALSE))*IF(main!$AK53="是",main!$BB$4,main!$BB$3))</f>
        <v>0</v>
      </c>
      <c r="K53" s="12">
        <f>IF(ISNUMBER(SEARCH("营",main!S53)),(-$Y53+50*IF(main!$AK53="是",main!$BB$4,main!$BB$3)),(VLOOKUP(main!S53,main!$AO$4:$AQ$55,2,FALSE))*IF(main!$AK53="是",main!$BB$4,main!$BB$3))</f>
        <v>0</v>
      </c>
      <c r="L53" s="12">
        <f>IF(ISNUMBER(SEARCH("营",main!T53)),(-$Y53+50*IF(main!$AK53="是",main!$BB$4,main!$BB$3)),(VLOOKUP(main!T53,main!$AO$4:$AQ$55,2,FALSE))*IF(main!$AK53="是",main!$BB$4,main!$BB$3))</f>
        <v>0</v>
      </c>
      <c r="M53" s="12">
        <f>IF(ISNUMBER(SEARCH("营",main!U53)),(-$Y53+50*IF(main!$AK53="是",main!$BB$4,main!$BB$3)),(VLOOKUP(main!U53,main!$AO$4:$AQ$55,2,FALSE))*IF(main!$AK53="是",main!$BB$4,main!$BB$3))</f>
        <v>0</v>
      </c>
      <c r="N53" s="12">
        <f>IF(ISNUMBER(SEARCH("营",main!V53)),(-$Y53+50*IF(main!$AK53="是",main!$BB$4,main!$BB$3)),(VLOOKUP(main!V53,main!$AO$4:$AQ$55,2,FALSE))*IF(main!$AK53="是",main!$BB$4,main!$BB$3))</f>
        <v>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0</v>
      </c>
      <c r="R53" s="12">
        <f>IF(ISNUMBER(SEARCH("营",main!Z53)),(-$Y53+50*IF(main!$AK53="是",main!$BB$4,main!$BB$3)),(VLOOKUP(main!Z53,main!$AO$4:$AQ$55,2,FALSE))*IF(main!$AK53="是",main!$BB$4,main!$BB$3))</f>
        <v>0</v>
      </c>
      <c r="S53" s="12">
        <f>IF(ISNUMBER(SEARCH("营",main!AA53)),(-$Y53+50*IF(main!$AK53="是",main!$BB$4,main!$BB$3)),(VLOOKUP(main!AA53,main!$AO$4:$AQ$55,2,FALSE))*IF(main!$AK53="是",main!$BB$4,main!$BB$3))</f>
        <v>0</v>
      </c>
      <c r="T53" s="12">
        <f>IF(ISNUMBER(SEARCH("营",main!AB53)),(-$Y53+50*IF(main!$AK53="是",main!$BB$4,main!$BB$3)),(VLOOKUP(main!AB53,main!$AO$4:$AQ$55,2,FALSE))*IF(main!$AK53="是",main!$BB$4,main!$BB$3))</f>
        <v>0</v>
      </c>
      <c r="U53" s="12">
        <f>IF(ISNUMBER(SEARCH("营",main!AC53)),(-$Y53+50*IF(main!$AK53="是",main!$BB$4,main!$BB$3)),(VLOOKUP(main!AC53,main!$AO$4:$AQ$55,2,FALSE))*IF(main!$AK53="是",main!$BB$4,main!$BB$3))</f>
        <v>0</v>
      </c>
      <c r="V53" s="12">
        <f>IF(ISNUMBER(SEARCH("营",main!AD53)),(-$Y53+50*IF(main!$AK53="是",main!$BB$4,main!$BB$3)),(VLOOKUP(main!AD53,main!$AO$4:$AQ$55,2,FALSE))*IF(main!$AK53="是",main!$BB$4,main!$BB$3))</f>
        <v>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96">
        <v>150</v>
      </c>
      <c r="Z53" s="97">
        <v>46325</v>
      </c>
      <c r="AA53">
        <v>50</v>
      </c>
    </row>
    <row r="54" spans="1:27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0</v>
      </c>
      <c r="J54" s="12">
        <f>IF(ISNUMBER(SEARCH("营",main!R54)),(-$Y54+50*IF(main!$AK54="是",main!$BB$4,main!$BB$3)),(VLOOKUP(main!R54,main!$AO$4:$AQ$55,2,FALSE))*IF(main!$AK54="是",main!$BB$4,main!$BB$3))</f>
        <v>0</v>
      </c>
      <c r="K54" s="12">
        <f>IF(ISNUMBER(SEARCH("营",main!S54)),(-$Y54+50*IF(main!$AK54="是",main!$BB$4,main!$BB$3)),(VLOOKUP(main!S54,main!$AO$4:$AQ$55,2,FALSE))*IF(main!$AK54="是",main!$BB$4,main!$BB$3))</f>
        <v>0</v>
      </c>
      <c r="L54" s="12">
        <f>IF(ISNUMBER(SEARCH("营",main!T54)),(-$Y54+50*IF(main!$AK54="是",main!$BB$4,main!$BB$3)),(VLOOKUP(main!T54,main!$AO$4:$AQ$55,2,FALSE))*IF(main!$AK54="是",main!$BB$4,main!$BB$3))</f>
        <v>0</v>
      </c>
      <c r="M54" s="12">
        <f>IF(ISNUMBER(SEARCH("营",main!U54)),(-$Y54+50*IF(main!$AK54="是",main!$BB$4,main!$BB$3)),(VLOOKUP(main!U54,main!$AO$4:$AQ$55,2,FALSE))*IF(main!$AK54="是",main!$BB$4,main!$BB$3))</f>
        <v>0</v>
      </c>
      <c r="N54" s="12">
        <f>IF(ISNUMBER(SEARCH("营",main!V54)),(-$Y54+50*IF(main!$AK54="是",main!$BB$4,main!$BB$3)),(VLOOKUP(main!V54,main!$AO$4:$AQ$55,2,FALSE))*IF(main!$AK54="是",main!$BB$4,main!$BB$3))</f>
        <v>0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0</v>
      </c>
      <c r="R54" s="12">
        <f>IF(ISNUMBER(SEARCH("营",main!Z54)),(-$Y54+50*IF(main!$AK54="是",main!$BB$4,main!$BB$3)),(VLOOKUP(main!Z54,main!$AO$4:$AQ$55,2,FALSE))*IF(main!$AK54="是",main!$BB$4,main!$BB$3))</f>
        <v>0</v>
      </c>
      <c r="S54" s="12">
        <f>IF(ISNUMBER(SEARCH("营",main!AA54)),(-$Y54+50*IF(main!$AK54="是",main!$BB$4,main!$BB$3)),(VLOOKUP(main!AA54,main!$AO$4:$AQ$55,2,FALSE))*IF(main!$AK54="是",main!$BB$4,main!$BB$3))</f>
        <v>0</v>
      </c>
      <c r="T54" s="12">
        <f>IF(ISNUMBER(SEARCH("营",main!AB54)),(-$Y54+50*IF(main!$AK54="是",main!$BB$4,main!$BB$3)),(VLOOKUP(main!AB54,main!$AO$4:$AQ$55,2,FALSE))*IF(main!$AK54="是",main!$BB$4,main!$BB$3))</f>
        <v>0</v>
      </c>
      <c r="U54" s="12">
        <f>IF(ISNUMBER(SEARCH("营",main!AC54)),(-$Y54+50*IF(main!$AK54="是",main!$BB$4,main!$BB$3)),(VLOOKUP(main!AC54,main!$AO$4:$AQ$55,2,FALSE))*IF(main!$AK54="是",main!$BB$4,main!$BB$3))</f>
        <v>0</v>
      </c>
      <c r="V54" s="12">
        <f>IF(ISNUMBER(SEARCH("营",main!AD54)),(-$Y54+50*IF(main!$AK54="是",main!$BB$4,main!$BB$3)),(VLOOKUP(main!AD54,main!$AO$4:$AQ$55,2,FALSE))*IF(main!$AK54="是",main!$BB$4,main!$BB$3))</f>
        <v>0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96">
        <v>150</v>
      </c>
      <c r="Z54" s="97">
        <v>46326</v>
      </c>
      <c r="AA54">
        <v>51</v>
      </c>
    </row>
    <row r="55" spans="1:27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0</v>
      </c>
      <c r="J55" s="12">
        <f>IF(ISNUMBER(SEARCH("营",main!R55)),(-$Y55+50*IF(main!$AK55="是",main!$BB$4,main!$BB$3)),(VLOOKUP(main!R55,main!$AO$4:$AQ$55,2,FALSE))*IF(main!$AK55="是",main!$BB$4,main!$BB$3))</f>
        <v>0</v>
      </c>
      <c r="K55" s="12">
        <f>IF(ISNUMBER(SEARCH("营",main!S55)),(-$Y55+50*IF(main!$AK55="是",main!$BB$4,main!$BB$3)),(VLOOKUP(main!S55,main!$AO$4:$AQ$55,2,FALSE))*IF(main!$AK55="是",main!$BB$4,main!$BB$3))</f>
        <v>0</v>
      </c>
      <c r="L55" s="12">
        <f>IF(ISNUMBER(SEARCH("营",main!T55)),(-$Y55+50*IF(main!$AK55="是",main!$BB$4,main!$BB$3)),(VLOOKUP(main!T55,main!$AO$4:$AQ$55,2,FALSE))*IF(main!$AK55="是",main!$BB$4,main!$BB$3))</f>
        <v>0</v>
      </c>
      <c r="M55" s="12">
        <f>IF(ISNUMBER(SEARCH("营",main!U55)),(-$Y55+50*IF(main!$AK55="是",main!$BB$4,main!$BB$3)),(VLOOKUP(main!U55,main!$AO$4:$AQ$55,2,FALSE))*IF(main!$AK55="是",main!$BB$4,main!$BB$3))</f>
        <v>0</v>
      </c>
      <c r="N55" s="12">
        <f>IF(ISNUMBER(SEARCH("营",main!V55)),(-$Y55+50*IF(main!$AK55="是",main!$BB$4,main!$BB$3)),(VLOOKUP(main!V55,main!$AO$4:$AQ$55,2,FALSE))*IF(main!$AK55="是",main!$BB$4,main!$BB$3))</f>
        <v>0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0</v>
      </c>
      <c r="R55" s="12">
        <f>IF(ISNUMBER(SEARCH("营",main!Z55)),(-$Y55+50*IF(main!$AK55="是",main!$BB$4,main!$BB$3)),(VLOOKUP(main!Z55,main!$AO$4:$AQ$55,2,FALSE))*IF(main!$AK55="是",main!$BB$4,main!$BB$3))</f>
        <v>0</v>
      </c>
      <c r="S55" s="12">
        <f>IF(ISNUMBER(SEARCH("营",main!AA55)),(-$Y55+50*IF(main!$AK55="是",main!$BB$4,main!$BB$3)),(VLOOKUP(main!AA55,main!$AO$4:$AQ$55,2,FALSE))*IF(main!$AK55="是",main!$BB$4,main!$BB$3))</f>
        <v>0</v>
      </c>
      <c r="T55" s="12">
        <f>IF(ISNUMBER(SEARCH("营",main!AB55)),(-$Y55+50*IF(main!$AK55="是",main!$BB$4,main!$BB$3)),(VLOOKUP(main!AB55,main!$AO$4:$AQ$55,2,FALSE))*IF(main!$AK55="是",main!$BB$4,main!$BB$3))</f>
        <v>0</v>
      </c>
      <c r="U55" s="12">
        <f>IF(ISNUMBER(SEARCH("营",main!AC55)),(-$Y55+50*IF(main!$AK55="是",main!$BB$4,main!$BB$3)),(VLOOKUP(main!AC55,main!$AO$4:$AQ$55,2,FALSE))*IF(main!$AK55="是",main!$BB$4,main!$BB$3))</f>
        <v>0</v>
      </c>
      <c r="V55" s="12">
        <f>IF(ISNUMBER(SEARCH("营",main!AD55)),(-$Y55+50*IF(main!$AK55="是",main!$BB$4,main!$BB$3)),(VLOOKUP(main!AD55,main!$AO$4:$AQ$55,2,FALSE))*IF(main!$AK55="是",main!$BB$4,main!$BB$3))</f>
        <v>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96">
        <v>150</v>
      </c>
      <c r="Z55" s="97">
        <v>46327</v>
      </c>
      <c r="AA55">
        <v>52</v>
      </c>
    </row>
    <row r="56" spans="1:27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96">
        <v>150</v>
      </c>
      <c r="Z56" s="97">
        <v>46328</v>
      </c>
      <c r="AA56">
        <v>53</v>
      </c>
    </row>
    <row r="57" spans="1:27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0</v>
      </c>
      <c r="J57" s="12">
        <f>IF(ISNUMBER(SEARCH("营",main!R57)),(-$Y57+50*IF(main!$AK57="是",main!$BB$4,main!$BB$3)),(VLOOKUP(main!R57,main!$AO$4:$AQ$55,2,FALSE))*IF(main!$AK57="是",main!$BB$4,main!$BB$3))</f>
        <v>0</v>
      </c>
      <c r="K57" s="12">
        <f>IF(ISNUMBER(SEARCH("营",main!S57)),(-$Y57+50*IF(main!$AK57="是",main!$BB$4,main!$BB$3)),(VLOOKUP(main!S57,main!$AO$4:$AQ$55,2,FALSE))*IF(main!$AK57="是",main!$BB$4,main!$BB$3))</f>
        <v>0</v>
      </c>
      <c r="L57" s="12">
        <f>IF(ISNUMBER(SEARCH("营",main!T57)),(-$Y57+50*IF(main!$AK57="是",main!$BB$4,main!$BB$3)),(VLOOKUP(main!T57,main!$AO$4:$AQ$55,2,FALSE))*IF(main!$AK57="是",main!$BB$4,main!$BB$3))</f>
        <v>0</v>
      </c>
      <c r="M57" s="12">
        <f>IF(ISNUMBER(SEARCH("营",main!U57)),(-$Y57+50*IF(main!$AK57="是",main!$BB$4,main!$BB$3)),(VLOOKUP(main!U57,main!$AO$4:$AQ$55,2,FALSE))*IF(main!$AK57="是",main!$BB$4,main!$BB$3))</f>
        <v>0</v>
      </c>
      <c r="N57" s="12">
        <f>IF(ISNUMBER(SEARCH("营",main!V57)),(-$Y57+50*IF(main!$AK57="是",main!$BB$4,main!$BB$3)),(VLOOKUP(main!V57,main!$AO$4:$AQ$55,2,FALSE))*IF(main!$AK57="是",main!$BB$4,main!$BB$3))</f>
        <v>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96">
        <v>150</v>
      </c>
      <c r="Z57" s="97">
        <v>46329</v>
      </c>
      <c r="AA57">
        <v>54</v>
      </c>
    </row>
    <row r="58" spans="1:27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96">
        <v>150</v>
      </c>
      <c r="Z58" s="97">
        <v>46330</v>
      </c>
      <c r="AA58">
        <v>55</v>
      </c>
    </row>
    <row r="59" spans="1:27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0</v>
      </c>
      <c r="J59" s="12">
        <f>IF(ISNUMBER(SEARCH("营",main!R59)),(-$Y59+50*IF(main!$AK59="是",main!$BB$4,main!$BB$3)),(VLOOKUP(main!R59,main!$AO$4:$AQ$55,2,FALSE))*IF(main!$AK59="是",main!$BB$4,main!$BB$3))</f>
        <v>0</v>
      </c>
      <c r="K59" s="12">
        <f>IF(ISNUMBER(SEARCH("营",main!S59)),(-$Y59+50*IF(main!$AK59="是",main!$BB$4,main!$BB$3)),(VLOOKUP(main!S59,main!$AO$4:$AQ$55,2,FALSE))*IF(main!$AK59="是",main!$BB$4,main!$BB$3))</f>
        <v>0</v>
      </c>
      <c r="L59" s="12">
        <f>IF(ISNUMBER(SEARCH("营",main!T59)),(-$Y59+50*IF(main!$AK59="是",main!$BB$4,main!$BB$3)),(VLOOKUP(main!T59,main!$AO$4:$AQ$55,2,FALSE))*IF(main!$AK59="是",main!$BB$4,main!$BB$3))</f>
        <v>0</v>
      </c>
      <c r="M59" s="12">
        <f>IF(ISNUMBER(SEARCH("营",main!U59)),(-$Y59+50*IF(main!$AK59="是",main!$BB$4,main!$BB$3)),(VLOOKUP(main!U59,main!$AO$4:$AQ$55,2,FALSE))*IF(main!$AK59="是",main!$BB$4,main!$BB$3))</f>
        <v>0</v>
      </c>
      <c r="N59" s="12">
        <f>IF(ISNUMBER(SEARCH("营",main!V59)),(-$Y59+50*IF(main!$AK59="是",main!$BB$4,main!$BB$3)),(VLOOKUP(main!V59,main!$AO$4:$AQ$55,2,FALSE))*IF(main!$AK59="是",main!$BB$4,main!$BB$3))</f>
        <v>0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96">
        <v>150</v>
      </c>
      <c r="Z59" s="97">
        <v>46331</v>
      </c>
      <c r="AA59">
        <v>56</v>
      </c>
    </row>
    <row r="60" spans="1:27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0</v>
      </c>
      <c r="J60" s="12">
        <f>IF(ISNUMBER(SEARCH("营",main!R60)),(-$Y60+50*IF(main!$AK60="是",main!$BB$4,main!$BB$3)),(VLOOKUP(main!R60,main!$AO$4:$AQ$55,2,FALSE))*IF(main!$AK60="是",main!$BB$4,main!$BB$3))</f>
        <v>0</v>
      </c>
      <c r="K60" s="12">
        <f>IF(ISNUMBER(SEARCH("营",main!S60)),(-$Y60+50*IF(main!$AK60="是",main!$BB$4,main!$BB$3)),(VLOOKUP(main!S60,main!$AO$4:$AQ$55,2,FALSE))*IF(main!$AK60="是",main!$BB$4,main!$BB$3))</f>
        <v>0</v>
      </c>
      <c r="L60" s="12">
        <f>IF(ISNUMBER(SEARCH("营",main!T60)),(-$Y60+50*IF(main!$AK60="是",main!$BB$4,main!$BB$3)),(VLOOKUP(main!T60,main!$AO$4:$AQ$55,2,FALSE))*IF(main!$AK60="是",main!$BB$4,main!$BB$3))</f>
        <v>0</v>
      </c>
      <c r="M60" s="12">
        <f>IF(ISNUMBER(SEARCH("营",main!U60)),(-$Y60+50*IF(main!$AK60="是",main!$BB$4,main!$BB$3)),(VLOOKUP(main!U60,main!$AO$4:$AQ$55,2,FALSE))*IF(main!$AK60="是",main!$BB$4,main!$BB$3))</f>
        <v>0</v>
      </c>
      <c r="N60" s="12">
        <f>IF(ISNUMBER(SEARCH("营",main!V60)),(-$Y60+50*IF(main!$AK60="是",main!$BB$4,main!$BB$3)),(VLOOKUP(main!V60,main!$AO$4:$AQ$55,2,FALSE))*IF(main!$AK60="是",main!$BB$4,main!$BB$3))</f>
        <v>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96">
        <v>150</v>
      </c>
      <c r="Z60" s="97">
        <v>46332</v>
      </c>
      <c r="AA60">
        <v>57</v>
      </c>
    </row>
    <row r="61" spans="1:27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0</v>
      </c>
      <c r="J61" s="12">
        <f>IF(ISNUMBER(SEARCH("营",main!R61)),(-$Y61+50*IF(main!$AK61="是",main!$BB$4,main!$BB$3)),(VLOOKUP(main!R61,main!$AO$4:$AQ$55,2,FALSE))*IF(main!$AK61="是",main!$BB$4,main!$BB$3))</f>
        <v>0</v>
      </c>
      <c r="K61" s="12">
        <f>IF(ISNUMBER(SEARCH("营",main!S61)),(-$Y61+50*IF(main!$AK61="是",main!$BB$4,main!$BB$3)),(VLOOKUP(main!S61,main!$AO$4:$AQ$55,2,FALSE))*IF(main!$AK61="是",main!$BB$4,main!$BB$3))</f>
        <v>0</v>
      </c>
      <c r="L61" s="12">
        <f>IF(ISNUMBER(SEARCH("营",main!T61)),(-$Y61+50*IF(main!$AK61="是",main!$BB$4,main!$BB$3)),(VLOOKUP(main!T61,main!$AO$4:$AQ$55,2,FALSE))*IF(main!$AK61="是",main!$BB$4,main!$BB$3))</f>
        <v>0</v>
      </c>
      <c r="M61" s="12">
        <f>IF(ISNUMBER(SEARCH("营",main!U61)),(-$Y61+50*IF(main!$AK61="是",main!$BB$4,main!$BB$3)),(VLOOKUP(main!U61,main!$AO$4:$AQ$55,2,FALSE))*IF(main!$AK61="是",main!$BB$4,main!$BB$3))</f>
        <v>0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96">
        <v>150</v>
      </c>
      <c r="Z61" s="97">
        <v>46333</v>
      </c>
      <c r="AA61">
        <v>58</v>
      </c>
    </row>
    <row r="62" spans="1:27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96">
        <v>150</v>
      </c>
      <c r="Z62" s="97">
        <v>46334</v>
      </c>
      <c r="AA62">
        <v>59</v>
      </c>
    </row>
    <row r="63" spans="1:27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0</v>
      </c>
      <c r="J63" s="12">
        <f>IF(ISNUMBER(SEARCH("营",main!R63)),(-$Y63+50*IF(main!$AK63="是",main!$BB$4,main!$BB$3)),(VLOOKUP(main!R63,main!$AO$4:$AQ$55,2,FALSE))*IF(main!$AK63="是",main!$BB$4,main!$BB$3))</f>
        <v>0</v>
      </c>
      <c r="K63" s="12">
        <f>IF(ISNUMBER(SEARCH("营",main!S63)),(-$Y63+50*IF(main!$AK63="是",main!$BB$4,main!$BB$3)),(VLOOKUP(main!S63,main!$AO$4:$AQ$55,2,FALSE))*IF(main!$AK63="是",main!$BB$4,main!$BB$3))</f>
        <v>0</v>
      </c>
      <c r="L63" s="12">
        <f>IF(ISNUMBER(SEARCH("营",main!T63)),(-$Y63+50*IF(main!$AK63="是",main!$BB$4,main!$BB$3)),(VLOOKUP(main!T63,main!$AO$4:$AQ$55,2,FALSE))*IF(main!$AK63="是",main!$BB$4,main!$BB$3))</f>
        <v>0</v>
      </c>
      <c r="M63" s="12">
        <f>IF(ISNUMBER(SEARCH("营",main!U63)),(-$Y63+50*IF(main!$AK63="是",main!$BB$4,main!$BB$3)),(VLOOKUP(main!U63,main!$AO$4:$AQ$55,2,FALSE))*IF(main!$AK63="是",main!$BB$4,main!$BB$3))</f>
        <v>0</v>
      </c>
      <c r="N63" s="12">
        <f>IF(ISNUMBER(SEARCH("营",main!V63)),(-$Y63+50*IF(main!$AK63="是",main!$BB$4,main!$BB$3)),(VLOOKUP(main!V63,main!$AO$4:$AQ$55,2,FALSE))*IF(main!$AK63="是",main!$BB$4,main!$BB$3))</f>
        <v>0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0</v>
      </c>
      <c r="R63" s="12">
        <f>IF(ISNUMBER(SEARCH("营",main!Z63)),(-$Y63+50*IF(main!$AK63="是",main!$BB$4,main!$BB$3)),(VLOOKUP(main!Z63,main!$AO$4:$AQ$55,2,FALSE))*IF(main!$AK63="是",main!$BB$4,main!$BB$3))</f>
        <v>0</v>
      </c>
      <c r="S63" s="12">
        <f>IF(ISNUMBER(SEARCH("营",main!AA63)),(-$Y63+50*IF(main!$AK63="是",main!$BB$4,main!$BB$3)),(VLOOKUP(main!AA63,main!$AO$4:$AQ$55,2,FALSE))*IF(main!$AK63="是",main!$BB$4,main!$BB$3))</f>
        <v>0</v>
      </c>
      <c r="T63" s="12">
        <f>IF(ISNUMBER(SEARCH("营",main!AB63)),(-$Y63+50*IF(main!$AK63="是",main!$BB$4,main!$BB$3)),(VLOOKUP(main!AB63,main!$AO$4:$AQ$55,2,FALSE))*IF(main!$AK63="是",main!$BB$4,main!$BB$3))</f>
        <v>0</v>
      </c>
      <c r="U63" s="12">
        <f>IF(ISNUMBER(SEARCH("营",main!AC63)),(-$Y63+50*IF(main!$AK63="是",main!$BB$4,main!$BB$3)),(VLOOKUP(main!AC63,main!$AO$4:$AQ$55,2,FALSE))*IF(main!$AK63="是",main!$BB$4,main!$BB$3))</f>
        <v>0</v>
      </c>
      <c r="V63" s="12">
        <f>IF(ISNUMBER(SEARCH("营",main!AD63)),(-$Y63+50*IF(main!$AK63="是",main!$BB$4,main!$BB$3)),(VLOOKUP(main!AD63,main!$AO$4:$AQ$55,2,FALSE))*IF(main!$AK63="是",main!$BB$4,main!$BB$3))</f>
        <v>0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96">
        <v>150</v>
      </c>
      <c r="Z63" s="97">
        <v>46335</v>
      </c>
      <c r="AA63">
        <v>60</v>
      </c>
    </row>
    <row r="64" spans="1:27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0</v>
      </c>
      <c r="J64" s="12">
        <f>IF(ISNUMBER(SEARCH("营",main!R64)),(-$Y64+50*IF(main!$AK64="是",main!$BB$4,main!$BB$3)),(VLOOKUP(main!R64,main!$AO$4:$AQ$55,2,FALSE))*IF(main!$AK64="是",main!$BB$4,main!$BB$3))</f>
        <v>0</v>
      </c>
      <c r="K64" s="12">
        <f>IF(ISNUMBER(SEARCH("营",main!S64)),(-$Y64+50*IF(main!$AK64="是",main!$BB$4,main!$BB$3)),(VLOOKUP(main!S64,main!$AO$4:$AQ$55,2,FALSE))*IF(main!$AK64="是",main!$BB$4,main!$BB$3))</f>
        <v>0</v>
      </c>
      <c r="L64" s="12">
        <f>IF(ISNUMBER(SEARCH("营",main!T64)),(-$Y64+50*IF(main!$AK64="是",main!$BB$4,main!$BB$3)),(VLOOKUP(main!T64,main!$AO$4:$AQ$55,2,FALSE))*IF(main!$AK64="是",main!$BB$4,main!$BB$3))</f>
        <v>0</v>
      </c>
      <c r="M64" s="12">
        <f>IF(ISNUMBER(SEARCH("营",main!U64)),(-$Y64+50*IF(main!$AK64="是",main!$BB$4,main!$BB$3)),(VLOOKUP(main!U64,main!$AO$4:$AQ$55,2,FALSE))*IF(main!$AK64="是",main!$BB$4,main!$BB$3))</f>
        <v>0</v>
      </c>
      <c r="N64" s="12">
        <f>IF(ISNUMBER(SEARCH("营",main!V64)),(-$Y64+50*IF(main!$AK64="是",main!$BB$4,main!$BB$3)),(VLOOKUP(main!V64,main!$AO$4:$AQ$55,2,FALSE))*IF(main!$AK64="是",main!$BB$4,main!$BB$3))</f>
        <v>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96">
        <v>150</v>
      </c>
      <c r="Z64" s="97">
        <v>46336</v>
      </c>
      <c r="AA64">
        <v>61</v>
      </c>
    </row>
    <row r="65" spans="1:27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0</v>
      </c>
      <c r="J65" s="12">
        <f>IF(ISNUMBER(SEARCH("营",main!R65)),(-$Y65+50*IF(main!$AK65="是",main!$BB$4,main!$BB$3)),(VLOOKUP(main!R65,main!$AO$4:$AQ$55,2,FALSE))*IF(main!$AK65="是",main!$BB$4,main!$BB$3))</f>
        <v>0</v>
      </c>
      <c r="K65" s="12">
        <f>IF(ISNUMBER(SEARCH("营",main!S65)),(-$Y65+50*IF(main!$AK65="是",main!$BB$4,main!$BB$3)),(VLOOKUP(main!S65,main!$AO$4:$AQ$55,2,FALSE))*IF(main!$AK65="是",main!$BB$4,main!$BB$3))</f>
        <v>0</v>
      </c>
      <c r="L65" s="12">
        <f>IF(ISNUMBER(SEARCH("营",main!T65)),(-$Y65+50*IF(main!$AK65="是",main!$BB$4,main!$BB$3)),(VLOOKUP(main!T65,main!$AO$4:$AQ$55,2,FALSE))*IF(main!$AK65="是",main!$BB$4,main!$BB$3))</f>
        <v>0</v>
      </c>
      <c r="M65" s="12">
        <f>IF(ISNUMBER(SEARCH("营",main!U65)),(-$Y65+50*IF(main!$AK65="是",main!$BB$4,main!$BB$3)),(VLOOKUP(main!U65,main!$AO$4:$AQ$55,2,FALSE))*IF(main!$AK65="是",main!$BB$4,main!$BB$3))</f>
        <v>0</v>
      </c>
      <c r="N65" s="12">
        <f>IF(ISNUMBER(SEARCH("营",main!V65)),(-$Y65+50*IF(main!$AK65="是",main!$BB$4,main!$BB$3)),(VLOOKUP(main!V65,main!$AO$4:$AQ$55,2,FALSE))*IF(main!$AK65="是",main!$BB$4,main!$BB$3))</f>
        <v>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0</v>
      </c>
      <c r="R65" s="12">
        <f>IF(ISNUMBER(SEARCH("营",main!Z65)),(-$Y65+50*IF(main!$AK65="是",main!$BB$4,main!$BB$3)),(VLOOKUP(main!Z65,main!$AO$4:$AQ$55,2,FALSE))*IF(main!$AK65="是",main!$BB$4,main!$BB$3))</f>
        <v>0</v>
      </c>
      <c r="S65" s="12">
        <f>IF(ISNUMBER(SEARCH("营",main!AA65)),(-$Y65+50*IF(main!$AK65="是",main!$BB$4,main!$BB$3)),(VLOOKUP(main!AA65,main!$AO$4:$AQ$55,2,FALSE))*IF(main!$AK65="是",main!$BB$4,main!$BB$3))</f>
        <v>0</v>
      </c>
      <c r="T65" s="12">
        <f>IF(ISNUMBER(SEARCH("营",main!AB65)),(-$Y65+50*IF(main!$AK65="是",main!$BB$4,main!$BB$3)),(VLOOKUP(main!AB65,main!$AO$4:$AQ$55,2,FALSE))*IF(main!$AK65="是",main!$BB$4,main!$BB$3))</f>
        <v>0</v>
      </c>
      <c r="U65" s="12">
        <f>IF(ISNUMBER(SEARCH("营",main!AC65)),(-$Y65+50*IF(main!$AK65="是",main!$BB$4,main!$BB$3)),(VLOOKUP(main!AC65,main!$AO$4:$AQ$55,2,FALSE))*IF(main!$AK65="是",main!$BB$4,main!$BB$3))</f>
        <v>0</v>
      </c>
      <c r="V65" s="12">
        <f>IF(ISNUMBER(SEARCH("营",main!AD65)),(-$Y65+50*IF(main!$AK65="是",main!$BB$4,main!$BB$3)),(VLOOKUP(main!AD65,main!$AO$4:$AQ$55,2,FALSE))*IF(main!$AK65="是",main!$BB$4,main!$BB$3))</f>
        <v>0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96">
        <v>150</v>
      </c>
      <c r="Z65" s="97">
        <v>46337</v>
      </c>
      <c r="AA65">
        <v>62</v>
      </c>
    </row>
    <row r="66" spans="1:27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0</v>
      </c>
      <c r="R66" s="12">
        <f>IF(ISNUMBER(SEARCH("营",main!Z66)),(-$Y66+50*IF(main!$AK66="是",main!$BB$4,main!$BB$3)),(VLOOKUP(main!Z66,main!$AO$4:$AQ$55,2,FALSE))*IF(main!$AK66="是",main!$BB$4,main!$BB$3))</f>
        <v>0</v>
      </c>
      <c r="S66" s="12">
        <f>IF(ISNUMBER(SEARCH("营",main!AA66)),(-$Y66+50*IF(main!$AK66="是",main!$BB$4,main!$BB$3)),(VLOOKUP(main!AA66,main!$AO$4:$AQ$55,2,FALSE))*IF(main!$AK66="是",main!$BB$4,main!$BB$3))</f>
        <v>0</v>
      </c>
      <c r="T66" s="12">
        <f>IF(ISNUMBER(SEARCH("营",main!AB66)),(-$Y66+50*IF(main!$AK66="是",main!$BB$4,main!$BB$3)),(VLOOKUP(main!AB66,main!$AO$4:$AQ$55,2,FALSE))*IF(main!$AK66="是",main!$BB$4,main!$BB$3))</f>
        <v>0</v>
      </c>
      <c r="U66" s="12">
        <f>IF(ISNUMBER(SEARCH("营",main!AC66)),(-$Y66+50*IF(main!$AK66="是",main!$BB$4,main!$BB$3)),(VLOOKUP(main!AC66,main!$AO$4:$AQ$55,2,FALSE))*IF(main!$AK66="是",main!$BB$4,main!$BB$3))</f>
        <v>0</v>
      </c>
      <c r="V66" s="12">
        <f>IF(ISNUMBER(SEARCH("营",main!AD66)),(-$Y66+50*IF(main!$AK66="是",main!$BB$4,main!$BB$3)),(VLOOKUP(main!AD66,main!$AO$4:$AQ$55,2,FALSE))*IF(main!$AK66="是",main!$BB$4,main!$BB$3))</f>
        <v>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96">
        <v>150</v>
      </c>
      <c r="Z66" s="97">
        <v>46338</v>
      </c>
      <c r="AA66">
        <v>63</v>
      </c>
    </row>
    <row r="67" spans="1:27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0</v>
      </c>
      <c r="J67" s="12">
        <f>IF(ISNUMBER(SEARCH("营",main!R67)),(-$Y67+50*IF(main!$AK67="是",main!$BB$4,main!$BB$3)),(VLOOKUP(main!R67,main!$AO$4:$AQ$55,2,FALSE))*IF(main!$AK67="是",main!$BB$4,main!$BB$3))</f>
        <v>0</v>
      </c>
      <c r="K67" s="12">
        <f>IF(ISNUMBER(SEARCH("营",main!S67)),(-$Y67+50*IF(main!$AK67="是",main!$BB$4,main!$BB$3)),(VLOOKUP(main!S67,main!$AO$4:$AQ$55,2,FALSE))*IF(main!$AK67="是",main!$BB$4,main!$BB$3))</f>
        <v>0</v>
      </c>
      <c r="L67" s="12">
        <f>IF(ISNUMBER(SEARCH("营",main!T67)),(-$Y67+50*IF(main!$AK67="是",main!$BB$4,main!$BB$3)),(VLOOKUP(main!T67,main!$AO$4:$AQ$55,2,FALSE))*IF(main!$AK67="是",main!$BB$4,main!$BB$3))</f>
        <v>0</v>
      </c>
      <c r="M67" s="12">
        <f>IF(ISNUMBER(SEARCH("营",main!U67)),(-$Y67+50*IF(main!$AK67="是",main!$BB$4,main!$BB$3)),(VLOOKUP(main!U67,main!$AO$4:$AQ$55,2,FALSE))*IF(main!$AK67="是",main!$BB$4,main!$BB$3))</f>
        <v>0</v>
      </c>
      <c r="N67" s="12">
        <f>IF(ISNUMBER(SEARCH("营",main!V67)),(-$Y67+50*IF(main!$AK67="是",main!$BB$4,main!$BB$3)),(VLOOKUP(main!V67,main!$AO$4:$AQ$55,2,FALSE))*IF(main!$AK67="是",main!$BB$4,main!$BB$3))</f>
        <v>0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0</v>
      </c>
      <c r="R67" s="12">
        <f>IF(ISNUMBER(SEARCH("营",main!Z67)),(-$Y67+50*IF(main!$AK67="是",main!$BB$4,main!$BB$3)),(VLOOKUP(main!Z67,main!$AO$4:$AQ$55,2,FALSE))*IF(main!$AK67="是",main!$BB$4,main!$BB$3))</f>
        <v>0</v>
      </c>
      <c r="S67" s="12">
        <f>IF(ISNUMBER(SEARCH("营",main!AA67)),(-$Y67+50*IF(main!$AK67="是",main!$BB$4,main!$BB$3)),(VLOOKUP(main!AA67,main!$AO$4:$AQ$55,2,FALSE))*IF(main!$AK67="是",main!$BB$4,main!$BB$3))</f>
        <v>0</v>
      </c>
      <c r="T67" s="12">
        <f>IF(ISNUMBER(SEARCH("营",main!AB67)),(-$Y67+50*IF(main!$AK67="是",main!$BB$4,main!$BB$3)),(VLOOKUP(main!AB67,main!$AO$4:$AQ$55,2,FALSE))*IF(main!$AK67="是",main!$BB$4,main!$BB$3))</f>
        <v>0</v>
      </c>
      <c r="U67" s="12">
        <f>IF(ISNUMBER(SEARCH("营",main!AC67)),(-$Y67+50*IF(main!$AK67="是",main!$BB$4,main!$BB$3)),(VLOOKUP(main!AC67,main!$AO$4:$AQ$55,2,FALSE))*IF(main!$AK67="是",main!$BB$4,main!$BB$3))</f>
        <v>0</v>
      </c>
      <c r="V67" s="12">
        <f>IF(ISNUMBER(SEARCH("营",main!AD67)),(-$Y67+50*IF(main!$AK67="是",main!$BB$4,main!$BB$3)),(VLOOKUP(main!AD67,main!$AO$4:$AQ$55,2,FALSE))*IF(main!$AK67="是",main!$BB$4,main!$BB$3))</f>
        <v>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98">
        <v>100</v>
      </c>
      <c r="Z67" s="95">
        <v>46339</v>
      </c>
      <c r="AA67">
        <v>64</v>
      </c>
    </row>
    <row r="68" spans="1:27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0</v>
      </c>
      <c r="J68" s="12">
        <f>IF(ISNUMBER(SEARCH("营",main!R68)),(-$Y68+50*IF(main!$AK68="是",main!$BB$4,main!$BB$3)),(VLOOKUP(main!R68,main!$AO$4:$AQ$55,2,FALSE))*IF(main!$AK68="是",main!$BB$4,main!$BB$3))</f>
        <v>0</v>
      </c>
      <c r="K68" s="12">
        <f>IF(ISNUMBER(SEARCH("营",main!S68)),(-$Y68+50*IF(main!$AK68="是",main!$BB$4,main!$BB$3)),(VLOOKUP(main!S68,main!$AO$4:$AQ$55,2,FALSE))*IF(main!$AK68="是",main!$BB$4,main!$BB$3))</f>
        <v>0</v>
      </c>
      <c r="L68" s="12">
        <f>IF(ISNUMBER(SEARCH("营",main!T68)),(-$Y68+50*IF(main!$AK68="是",main!$BB$4,main!$BB$3)),(VLOOKUP(main!T68,main!$AO$4:$AQ$55,2,FALSE))*IF(main!$AK68="是",main!$BB$4,main!$BB$3))</f>
        <v>0</v>
      </c>
      <c r="M68" s="12">
        <f>IF(ISNUMBER(SEARCH("营",main!U68)),(-$Y68+50*IF(main!$AK68="是",main!$BB$4,main!$BB$3)),(VLOOKUP(main!U68,main!$AO$4:$AQ$55,2,FALSE))*IF(main!$AK68="是",main!$BB$4,main!$BB$3))</f>
        <v>0</v>
      </c>
      <c r="N68" s="12">
        <f>IF(ISNUMBER(SEARCH("营",main!V68)),(-$Y68+50*IF(main!$AK68="是",main!$BB$4,main!$BB$3)),(VLOOKUP(main!V68,main!$AO$4:$AQ$55,2,FALSE))*IF(main!$AK68="是",main!$BB$4,main!$BB$3))</f>
        <v>0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0</v>
      </c>
      <c r="R68" s="12">
        <f>IF(ISNUMBER(SEARCH("营",main!Z68)),(-$Y68+50*IF(main!$AK68="是",main!$BB$4,main!$BB$3)),(VLOOKUP(main!Z68,main!$AO$4:$AQ$55,2,FALSE))*IF(main!$AK68="是",main!$BB$4,main!$BB$3))</f>
        <v>0</v>
      </c>
      <c r="S68" s="12">
        <f>IF(ISNUMBER(SEARCH("营",main!AA68)),(-$Y68+50*IF(main!$AK68="是",main!$BB$4,main!$BB$3)),(VLOOKUP(main!AA68,main!$AO$4:$AQ$55,2,FALSE))*IF(main!$AK68="是",main!$BB$4,main!$BB$3))</f>
        <v>0</v>
      </c>
      <c r="T68" s="12">
        <f>IF(ISNUMBER(SEARCH("营",main!AB68)),(-$Y68+50*IF(main!$AK68="是",main!$BB$4,main!$BB$3)),(VLOOKUP(main!AB68,main!$AO$4:$AQ$55,2,FALSE))*IF(main!$AK68="是",main!$BB$4,main!$BB$3))</f>
        <v>0</v>
      </c>
      <c r="U68" s="12">
        <f>IF(ISNUMBER(SEARCH("营",main!AC68)),(-$Y68+50*IF(main!$AK68="是",main!$BB$4,main!$BB$3)),(VLOOKUP(main!AC68,main!$AO$4:$AQ$55,2,FALSE))*IF(main!$AK68="是",main!$BB$4,main!$BB$3))</f>
        <v>0</v>
      </c>
      <c r="V68" s="12">
        <f>IF(ISNUMBER(SEARCH("营",main!AD68)),(-$Y68+50*IF(main!$AK68="是",main!$BB$4,main!$BB$3)),(VLOOKUP(main!AD68,main!$AO$4:$AQ$55,2,FALSE))*IF(main!$AK68="是",main!$BB$4,main!$BB$3))</f>
        <v>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98">
        <v>100</v>
      </c>
      <c r="Z68" s="95">
        <v>46340</v>
      </c>
      <c r="AA68">
        <v>65</v>
      </c>
    </row>
    <row r="69" spans="1:27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0</v>
      </c>
      <c r="J69" s="12">
        <f>IF(ISNUMBER(SEARCH("营",main!R69)),(-$Y69+50*IF(main!$AK69="是",main!$BB$4,main!$BB$3)),(VLOOKUP(main!R69,main!$AO$4:$AQ$55,2,FALSE))*IF(main!$AK69="是",main!$BB$4,main!$BB$3))</f>
        <v>0</v>
      </c>
      <c r="K69" s="12">
        <f>IF(ISNUMBER(SEARCH("营",main!S69)),(-$Y69+50*IF(main!$AK69="是",main!$BB$4,main!$BB$3)),(VLOOKUP(main!S69,main!$AO$4:$AQ$55,2,FALSE))*IF(main!$AK69="是",main!$BB$4,main!$BB$3))</f>
        <v>0</v>
      </c>
      <c r="L69" s="12">
        <f>IF(ISNUMBER(SEARCH("营",main!T69)),(-$Y69+50*IF(main!$AK69="是",main!$BB$4,main!$BB$3)),(VLOOKUP(main!T69,main!$AO$4:$AQ$55,2,FALSE))*IF(main!$AK69="是",main!$BB$4,main!$BB$3))</f>
        <v>0</v>
      </c>
      <c r="M69" s="12">
        <f>IF(ISNUMBER(SEARCH("营",main!U69)),(-$Y69+50*IF(main!$AK69="是",main!$BB$4,main!$BB$3)),(VLOOKUP(main!U69,main!$AO$4:$AQ$55,2,FALSE))*IF(main!$AK69="是",main!$BB$4,main!$BB$3))</f>
        <v>0</v>
      </c>
      <c r="N69" s="12">
        <f>IF(ISNUMBER(SEARCH("营",main!V69)),(-$Y69+50*IF(main!$AK69="是",main!$BB$4,main!$BB$3)),(VLOOKUP(main!V69,main!$AO$4:$AQ$55,2,FALSE))*IF(main!$AK69="是",main!$BB$4,main!$BB$3))</f>
        <v>0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0</v>
      </c>
      <c r="R69" s="12">
        <f>IF(ISNUMBER(SEARCH("营",main!Z69)),(-$Y69+50*IF(main!$AK69="是",main!$BB$4,main!$BB$3)),(VLOOKUP(main!Z69,main!$AO$4:$AQ$55,2,FALSE))*IF(main!$AK69="是",main!$BB$4,main!$BB$3))</f>
        <v>0</v>
      </c>
      <c r="S69" s="12">
        <f>IF(ISNUMBER(SEARCH("营",main!AA69)),(-$Y69+50*IF(main!$AK69="是",main!$BB$4,main!$BB$3)),(VLOOKUP(main!AA69,main!$AO$4:$AQ$55,2,FALSE))*IF(main!$AK69="是",main!$BB$4,main!$BB$3))</f>
        <v>0</v>
      </c>
      <c r="T69" s="12">
        <f>IF(ISNUMBER(SEARCH("营",main!AB69)),(-$Y69+50*IF(main!$AK69="是",main!$BB$4,main!$BB$3)),(VLOOKUP(main!AB69,main!$AO$4:$AQ$55,2,FALSE))*IF(main!$AK69="是",main!$BB$4,main!$BB$3))</f>
        <v>0</v>
      </c>
      <c r="U69" s="12">
        <f>IF(ISNUMBER(SEARCH("营",main!AC69)),(-$Y69+50*IF(main!$AK69="是",main!$BB$4,main!$BB$3)),(VLOOKUP(main!AC69,main!$AO$4:$AQ$55,2,FALSE))*IF(main!$AK69="是",main!$BB$4,main!$BB$3))</f>
        <v>0</v>
      </c>
      <c r="V69" s="12">
        <f>IF(ISNUMBER(SEARCH("营",main!AD69)),(-$Y69+50*IF(main!$AK69="是",main!$BB$4,main!$BB$3)),(VLOOKUP(main!AD69,main!$AO$4:$AQ$55,2,FALSE))*IF(main!$AK69="是",main!$BB$4,main!$BB$3))</f>
        <v>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98">
        <v>100</v>
      </c>
      <c r="Z69" s="95">
        <v>46341</v>
      </c>
      <c r="AA69">
        <v>66</v>
      </c>
    </row>
    <row r="70" spans="1:27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0</v>
      </c>
      <c r="J70" s="12">
        <f>IF(ISNUMBER(SEARCH("营",main!R70)),(-$Y70+50*IF(main!$AK70="是",main!$BB$4,main!$BB$3)),(VLOOKUP(main!R70,main!$AO$4:$AQ$55,2,FALSE))*IF(main!$AK70="是",main!$BB$4,main!$BB$3))</f>
        <v>0</v>
      </c>
      <c r="K70" s="12">
        <f>IF(ISNUMBER(SEARCH("营",main!S70)),(-$Y70+50*IF(main!$AK70="是",main!$BB$4,main!$BB$3)),(VLOOKUP(main!S70,main!$AO$4:$AQ$55,2,FALSE))*IF(main!$AK70="是",main!$BB$4,main!$BB$3))</f>
        <v>0</v>
      </c>
      <c r="L70" s="12">
        <f>IF(ISNUMBER(SEARCH("营",main!T70)),(-$Y70+50*IF(main!$AK70="是",main!$BB$4,main!$BB$3)),(VLOOKUP(main!T70,main!$AO$4:$AQ$55,2,FALSE))*IF(main!$AK70="是",main!$BB$4,main!$BB$3))</f>
        <v>0</v>
      </c>
      <c r="M70" s="12">
        <f>IF(ISNUMBER(SEARCH("营",main!U70)),(-$Y70+50*IF(main!$AK70="是",main!$BB$4,main!$BB$3)),(VLOOKUP(main!U70,main!$AO$4:$AQ$55,2,FALSE))*IF(main!$AK70="是",main!$BB$4,main!$BB$3))</f>
        <v>0</v>
      </c>
      <c r="N70" s="12">
        <f>IF(ISNUMBER(SEARCH("营",main!V70)),(-$Y70+50*IF(main!$AK70="是",main!$BB$4,main!$BB$3)),(VLOOKUP(main!V70,main!$AO$4:$AQ$55,2,FALSE))*IF(main!$AK70="是",main!$BB$4,main!$BB$3))</f>
        <v>0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0</v>
      </c>
      <c r="R70" s="12">
        <f>IF(ISNUMBER(SEARCH("营",main!Z70)),(-$Y70+50*IF(main!$AK70="是",main!$BB$4,main!$BB$3)),(VLOOKUP(main!Z70,main!$AO$4:$AQ$55,2,FALSE))*IF(main!$AK70="是",main!$BB$4,main!$BB$3))</f>
        <v>0</v>
      </c>
      <c r="S70" s="12">
        <f>IF(ISNUMBER(SEARCH("营",main!AA70)),(-$Y70+50*IF(main!$AK70="是",main!$BB$4,main!$BB$3)),(VLOOKUP(main!AA70,main!$AO$4:$AQ$55,2,FALSE))*IF(main!$AK70="是",main!$BB$4,main!$BB$3))</f>
        <v>0</v>
      </c>
      <c r="T70" s="12">
        <f>IF(ISNUMBER(SEARCH("营",main!AB70)),(-$Y70+50*IF(main!$AK70="是",main!$BB$4,main!$BB$3)),(VLOOKUP(main!AB70,main!$AO$4:$AQ$55,2,FALSE))*IF(main!$AK70="是",main!$BB$4,main!$BB$3))</f>
        <v>0</v>
      </c>
      <c r="U70" s="12">
        <f>IF(ISNUMBER(SEARCH("营",main!AC70)),(-$Y70+50*IF(main!$AK70="是",main!$BB$4,main!$BB$3)),(VLOOKUP(main!AC70,main!$AO$4:$AQ$55,2,FALSE))*IF(main!$AK70="是",main!$BB$4,main!$BB$3))</f>
        <v>0</v>
      </c>
      <c r="V70" s="12">
        <f>IF(ISNUMBER(SEARCH("营",main!AD70)),(-$Y70+50*IF(main!$AK70="是",main!$BB$4,main!$BB$3)),(VLOOKUP(main!AD70,main!$AO$4:$AQ$55,2,FALSE))*IF(main!$AK70="是",main!$BB$4,main!$BB$3))</f>
        <v>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98">
        <v>100</v>
      </c>
      <c r="Z70" s="95">
        <v>46342</v>
      </c>
      <c r="AA70">
        <v>67</v>
      </c>
    </row>
    <row r="71" spans="1:27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0</v>
      </c>
      <c r="J71" s="12">
        <f>IF(ISNUMBER(SEARCH("营",main!R71)),(-$Y71+50*IF(main!$AK71="是",main!$BB$4,main!$BB$3)),(VLOOKUP(main!R71,main!$AO$4:$AQ$55,2,FALSE))*IF(main!$AK71="是",main!$BB$4,main!$BB$3))</f>
        <v>0</v>
      </c>
      <c r="K71" s="12">
        <f>IF(ISNUMBER(SEARCH("营",main!S71)),(-$Y71+50*IF(main!$AK71="是",main!$BB$4,main!$BB$3)),(VLOOKUP(main!S71,main!$AO$4:$AQ$55,2,FALSE))*IF(main!$AK71="是",main!$BB$4,main!$BB$3))</f>
        <v>0</v>
      </c>
      <c r="L71" s="12">
        <f>IF(ISNUMBER(SEARCH("营",main!T71)),(-$Y71+50*IF(main!$AK71="是",main!$BB$4,main!$BB$3)),(VLOOKUP(main!T71,main!$AO$4:$AQ$55,2,FALSE))*IF(main!$AK71="是",main!$BB$4,main!$BB$3))</f>
        <v>0</v>
      </c>
      <c r="M71" s="12">
        <f>IF(ISNUMBER(SEARCH("营",main!U71)),(-$Y71+50*IF(main!$AK71="是",main!$BB$4,main!$BB$3)),(VLOOKUP(main!U71,main!$AO$4:$AQ$55,2,FALSE))*IF(main!$AK71="是",main!$BB$4,main!$BB$3))</f>
        <v>0</v>
      </c>
      <c r="N71" s="12">
        <f>IF(ISNUMBER(SEARCH("营",main!V71)),(-$Y71+50*IF(main!$AK71="是",main!$BB$4,main!$BB$3)),(VLOOKUP(main!V71,main!$AO$4:$AQ$55,2,FALSE))*IF(main!$AK71="是",main!$BB$4,main!$BB$3))</f>
        <v>0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0</v>
      </c>
      <c r="R71" s="12">
        <f>IF(ISNUMBER(SEARCH("营",main!Z71)),(-$Y71+50*IF(main!$AK71="是",main!$BB$4,main!$BB$3)),(VLOOKUP(main!Z71,main!$AO$4:$AQ$55,2,FALSE))*IF(main!$AK71="是",main!$BB$4,main!$BB$3))</f>
        <v>0</v>
      </c>
      <c r="S71" s="12">
        <f>IF(ISNUMBER(SEARCH("营",main!AA71)),(-$Y71+50*IF(main!$AK71="是",main!$BB$4,main!$BB$3)),(VLOOKUP(main!AA71,main!$AO$4:$AQ$55,2,FALSE))*IF(main!$AK71="是",main!$BB$4,main!$BB$3))</f>
        <v>0</v>
      </c>
      <c r="T71" s="12">
        <f>IF(ISNUMBER(SEARCH("营",main!AB71)),(-$Y71+50*IF(main!$AK71="是",main!$BB$4,main!$BB$3)),(VLOOKUP(main!AB71,main!$AO$4:$AQ$55,2,FALSE))*IF(main!$AK71="是",main!$BB$4,main!$BB$3))</f>
        <v>0</v>
      </c>
      <c r="U71" s="12">
        <f>IF(ISNUMBER(SEARCH("营",main!AC71)),(-$Y71+50*IF(main!$AK71="是",main!$BB$4,main!$BB$3)),(VLOOKUP(main!AC71,main!$AO$4:$AQ$55,2,FALSE))*IF(main!$AK71="是",main!$BB$4,main!$BB$3))</f>
        <v>0</v>
      </c>
      <c r="V71" s="12">
        <f>IF(ISNUMBER(SEARCH("营",main!AD71)),(-$Y71+50*IF(main!$AK71="是",main!$BB$4,main!$BB$3)),(VLOOKUP(main!AD71,main!$AO$4:$AQ$55,2,FALSE))*IF(main!$AK71="是",main!$BB$4,main!$BB$3))</f>
        <v>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98">
        <v>100</v>
      </c>
      <c r="Z71" s="95">
        <v>46343</v>
      </c>
      <c r="AA71">
        <v>68</v>
      </c>
    </row>
    <row r="72" spans="1:27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0</v>
      </c>
      <c r="J72" s="12">
        <f>IF(ISNUMBER(SEARCH("营",main!R72)),(-$Y72+50*IF(main!$AK72="是",main!$BB$4,main!$BB$3)),(VLOOKUP(main!R72,main!$AO$4:$AQ$55,2,FALSE))*IF(main!$AK72="是",main!$BB$4,main!$BB$3))</f>
        <v>0</v>
      </c>
      <c r="K72" s="12">
        <f>IF(ISNUMBER(SEARCH("营",main!S72)),(-$Y72+50*IF(main!$AK72="是",main!$BB$4,main!$BB$3)),(VLOOKUP(main!S72,main!$AO$4:$AQ$55,2,FALSE))*IF(main!$AK72="是",main!$BB$4,main!$BB$3))</f>
        <v>0</v>
      </c>
      <c r="L72" s="12">
        <f>IF(ISNUMBER(SEARCH("营",main!T72)),(-$Y72+50*IF(main!$AK72="是",main!$BB$4,main!$BB$3)),(VLOOKUP(main!T72,main!$AO$4:$AQ$55,2,FALSE))*IF(main!$AK72="是",main!$BB$4,main!$BB$3))</f>
        <v>0</v>
      </c>
      <c r="M72" s="12">
        <f>IF(ISNUMBER(SEARCH("营",main!U72)),(-$Y72+50*IF(main!$AK72="是",main!$BB$4,main!$BB$3)),(VLOOKUP(main!U72,main!$AO$4:$AQ$55,2,FALSE))*IF(main!$AK72="是",main!$BB$4,main!$BB$3))</f>
        <v>0</v>
      </c>
      <c r="N72" s="12">
        <f>IF(ISNUMBER(SEARCH("营",main!V72)),(-$Y72+50*IF(main!$AK72="是",main!$BB$4,main!$BB$3)),(VLOOKUP(main!V72,main!$AO$4:$AQ$55,2,FALSE))*IF(main!$AK72="是",main!$BB$4,main!$BB$3))</f>
        <v>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0</v>
      </c>
      <c r="R72" s="12">
        <f>IF(ISNUMBER(SEARCH("营",main!Z72)),(-$Y72+50*IF(main!$AK72="是",main!$BB$4,main!$BB$3)),(VLOOKUP(main!Z72,main!$AO$4:$AQ$55,2,FALSE))*IF(main!$AK72="是",main!$BB$4,main!$BB$3))</f>
        <v>0</v>
      </c>
      <c r="S72" s="12">
        <f>IF(ISNUMBER(SEARCH("营",main!AA72)),(-$Y72+50*IF(main!$AK72="是",main!$BB$4,main!$BB$3)),(VLOOKUP(main!AA72,main!$AO$4:$AQ$55,2,FALSE))*IF(main!$AK72="是",main!$BB$4,main!$BB$3))</f>
        <v>0</v>
      </c>
      <c r="T72" s="12">
        <f>IF(ISNUMBER(SEARCH("营",main!AB72)),(-$Y72+50*IF(main!$AK72="是",main!$BB$4,main!$BB$3)),(VLOOKUP(main!AB72,main!$AO$4:$AQ$55,2,FALSE))*IF(main!$AK72="是",main!$BB$4,main!$BB$3))</f>
        <v>0</v>
      </c>
      <c r="U72" s="12">
        <f>IF(ISNUMBER(SEARCH("营",main!AC72)),(-$Y72+50*IF(main!$AK72="是",main!$BB$4,main!$BB$3)),(VLOOKUP(main!AC72,main!$AO$4:$AQ$55,2,FALSE))*IF(main!$AK72="是",main!$BB$4,main!$BB$3))</f>
        <v>0</v>
      </c>
      <c r="V72" s="12">
        <f>IF(ISNUMBER(SEARCH("营",main!AD72)),(-$Y72+50*IF(main!$AK72="是",main!$BB$4,main!$BB$3)),(VLOOKUP(main!AD72,main!$AO$4:$AQ$55,2,FALSE))*IF(main!$AK72="是",main!$BB$4,main!$BB$3))</f>
        <v>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98">
        <v>100</v>
      </c>
      <c r="Z72" s="95">
        <v>46344</v>
      </c>
      <c r="AA72">
        <v>69</v>
      </c>
    </row>
    <row r="73" spans="1:27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0</v>
      </c>
      <c r="J73" s="12">
        <f>IF(ISNUMBER(SEARCH("营",main!R73)),(-$Y73+50*IF(main!$AK73="是",main!$BB$4,main!$BB$3)),(VLOOKUP(main!R73,main!$AO$4:$AQ$55,2,FALSE))*IF(main!$AK73="是",main!$BB$4,main!$BB$3))</f>
        <v>0</v>
      </c>
      <c r="K73" s="12">
        <f>IF(ISNUMBER(SEARCH("营",main!S73)),(-$Y73+50*IF(main!$AK73="是",main!$BB$4,main!$BB$3)),(VLOOKUP(main!S73,main!$AO$4:$AQ$55,2,FALSE))*IF(main!$AK73="是",main!$BB$4,main!$BB$3))</f>
        <v>0</v>
      </c>
      <c r="L73" s="12">
        <f>IF(ISNUMBER(SEARCH("营",main!T73)),(-$Y73+50*IF(main!$AK73="是",main!$BB$4,main!$BB$3)),(VLOOKUP(main!T73,main!$AO$4:$AQ$55,2,FALSE))*IF(main!$AK73="是",main!$BB$4,main!$BB$3))</f>
        <v>0</v>
      </c>
      <c r="M73" s="12">
        <f>IF(ISNUMBER(SEARCH("营",main!U73)),(-$Y73+50*IF(main!$AK73="是",main!$BB$4,main!$BB$3)),(VLOOKUP(main!U73,main!$AO$4:$AQ$55,2,FALSE))*IF(main!$AK73="是",main!$BB$4,main!$BB$3))</f>
        <v>0</v>
      </c>
      <c r="N73" s="12">
        <f>IF(ISNUMBER(SEARCH("营",main!V73)),(-$Y73+50*IF(main!$AK73="是",main!$BB$4,main!$BB$3)),(VLOOKUP(main!V73,main!$AO$4:$AQ$55,2,FALSE))*IF(main!$AK73="是",main!$BB$4,main!$BB$3))</f>
        <v>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0</v>
      </c>
      <c r="R73" s="12">
        <f>IF(ISNUMBER(SEARCH("营",main!Z73)),(-$Y73+50*IF(main!$AK73="是",main!$BB$4,main!$BB$3)),(VLOOKUP(main!Z73,main!$AO$4:$AQ$55,2,FALSE))*IF(main!$AK73="是",main!$BB$4,main!$BB$3))</f>
        <v>0</v>
      </c>
      <c r="S73" s="12">
        <f>IF(ISNUMBER(SEARCH("营",main!AA73)),(-$Y73+50*IF(main!$AK73="是",main!$BB$4,main!$BB$3)),(VLOOKUP(main!AA73,main!$AO$4:$AQ$55,2,FALSE))*IF(main!$AK73="是",main!$BB$4,main!$BB$3))</f>
        <v>0</v>
      </c>
      <c r="T73" s="12">
        <f>IF(ISNUMBER(SEARCH("营",main!AB73)),(-$Y73+50*IF(main!$AK73="是",main!$BB$4,main!$BB$3)),(VLOOKUP(main!AB73,main!$AO$4:$AQ$55,2,FALSE))*IF(main!$AK73="是",main!$BB$4,main!$BB$3))</f>
        <v>0</v>
      </c>
      <c r="U73" s="12">
        <f>IF(ISNUMBER(SEARCH("营",main!AC73)),(-$Y73+50*IF(main!$AK73="是",main!$BB$4,main!$BB$3)),(VLOOKUP(main!AC73,main!$AO$4:$AQ$55,2,FALSE))*IF(main!$AK73="是",main!$BB$4,main!$BB$3))</f>
        <v>0</v>
      </c>
      <c r="V73" s="12">
        <f>IF(ISNUMBER(SEARCH("营",main!AD73)),(-$Y73+50*IF(main!$AK73="是",main!$BB$4,main!$BB$3)),(VLOOKUP(main!AD73,main!$AO$4:$AQ$55,2,FALSE))*IF(main!$AK73="是",main!$BB$4,main!$BB$3))</f>
        <v>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98">
        <v>100</v>
      </c>
      <c r="Z73" s="95">
        <v>46345</v>
      </c>
      <c r="AA73">
        <v>70</v>
      </c>
    </row>
    <row r="74" spans="1:27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0</v>
      </c>
      <c r="J74" s="12">
        <f>IF(ISNUMBER(SEARCH("营",main!R74)),(-$Y74+50*IF(main!$AK74="是",main!$BB$4,main!$BB$3)),(VLOOKUP(main!R74,main!$AO$4:$AQ$55,2,FALSE))*IF(main!$AK74="是",main!$BB$4,main!$BB$3))</f>
        <v>0</v>
      </c>
      <c r="K74" s="12">
        <f>IF(ISNUMBER(SEARCH("营",main!S74)),(-$Y74+50*IF(main!$AK74="是",main!$BB$4,main!$BB$3)),(VLOOKUP(main!S74,main!$AO$4:$AQ$55,2,FALSE))*IF(main!$AK74="是",main!$BB$4,main!$BB$3))</f>
        <v>0</v>
      </c>
      <c r="L74" s="12">
        <f>IF(ISNUMBER(SEARCH("营",main!T74)),(-$Y74+50*IF(main!$AK74="是",main!$BB$4,main!$BB$3)),(VLOOKUP(main!T74,main!$AO$4:$AQ$55,2,FALSE))*IF(main!$AK74="是",main!$BB$4,main!$BB$3))</f>
        <v>0</v>
      </c>
      <c r="M74" s="12">
        <f>IF(ISNUMBER(SEARCH("营",main!U74)),(-$Y74+50*IF(main!$AK74="是",main!$BB$4,main!$BB$3)),(VLOOKUP(main!U74,main!$AO$4:$AQ$55,2,FALSE))*IF(main!$AK74="是",main!$BB$4,main!$BB$3))</f>
        <v>0</v>
      </c>
      <c r="N74" s="12">
        <f>IF(ISNUMBER(SEARCH("营",main!V74)),(-$Y74+50*IF(main!$AK74="是",main!$BB$4,main!$BB$3)),(VLOOKUP(main!V74,main!$AO$4:$AQ$55,2,FALSE))*IF(main!$AK74="是",main!$BB$4,main!$BB$3))</f>
        <v>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0</v>
      </c>
      <c r="R74" s="12">
        <f>IF(ISNUMBER(SEARCH("营",main!Z74)),(-$Y74+50*IF(main!$AK74="是",main!$BB$4,main!$BB$3)),(VLOOKUP(main!Z74,main!$AO$4:$AQ$55,2,FALSE))*IF(main!$AK74="是",main!$BB$4,main!$BB$3))</f>
        <v>0</v>
      </c>
      <c r="S74" s="12">
        <f>IF(ISNUMBER(SEARCH("营",main!AA74)),(-$Y74+50*IF(main!$AK74="是",main!$BB$4,main!$BB$3)),(VLOOKUP(main!AA74,main!$AO$4:$AQ$55,2,FALSE))*IF(main!$AK74="是",main!$BB$4,main!$BB$3))</f>
        <v>0</v>
      </c>
      <c r="T74" s="12">
        <f>IF(ISNUMBER(SEARCH("营",main!AB74)),(-$Y74+50*IF(main!$AK74="是",main!$BB$4,main!$BB$3)),(VLOOKUP(main!AB74,main!$AO$4:$AQ$55,2,FALSE))*IF(main!$AK74="是",main!$BB$4,main!$BB$3))</f>
        <v>0</v>
      </c>
      <c r="U74" s="12">
        <f>IF(ISNUMBER(SEARCH("营",main!AC74)),(-$Y74+50*IF(main!$AK74="是",main!$BB$4,main!$BB$3)),(VLOOKUP(main!AC74,main!$AO$4:$AQ$55,2,FALSE))*IF(main!$AK74="是",main!$BB$4,main!$BB$3))</f>
        <v>0</v>
      </c>
      <c r="V74" s="12">
        <f>IF(ISNUMBER(SEARCH("营",main!AD74)),(-$Y74+50*IF(main!$AK74="是",main!$BB$4,main!$BB$3)),(VLOOKUP(main!AD74,main!$AO$4:$AQ$55,2,FALSE))*IF(main!$AK74="是",main!$BB$4,main!$BB$3))</f>
        <v>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98">
        <v>100</v>
      </c>
      <c r="Z74" s="95">
        <v>46346</v>
      </c>
      <c r="AA74">
        <v>71</v>
      </c>
    </row>
    <row r="75" spans="1:27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0</v>
      </c>
      <c r="J75" s="12">
        <f>IF(ISNUMBER(SEARCH("营",main!R75)),(-$Y75+50*IF(main!$AK75="是",main!$BB$4,main!$BB$3)),(VLOOKUP(main!R75,main!$AO$4:$AQ$55,2,FALSE))*IF(main!$AK75="是",main!$BB$4,main!$BB$3))</f>
        <v>0</v>
      </c>
      <c r="K75" s="12">
        <f>IF(ISNUMBER(SEARCH("营",main!S75)),(-$Y75+50*IF(main!$AK75="是",main!$BB$4,main!$BB$3)),(VLOOKUP(main!S75,main!$AO$4:$AQ$55,2,FALSE))*IF(main!$AK75="是",main!$BB$4,main!$BB$3))</f>
        <v>0</v>
      </c>
      <c r="L75" s="12">
        <f>IF(ISNUMBER(SEARCH("营",main!T75)),(-$Y75+50*IF(main!$AK75="是",main!$BB$4,main!$BB$3)),(VLOOKUP(main!T75,main!$AO$4:$AQ$55,2,FALSE))*IF(main!$AK75="是",main!$BB$4,main!$BB$3))</f>
        <v>0</v>
      </c>
      <c r="M75" s="12">
        <f>IF(ISNUMBER(SEARCH("营",main!U75)),(-$Y75+50*IF(main!$AK75="是",main!$BB$4,main!$BB$3)),(VLOOKUP(main!U75,main!$AO$4:$AQ$55,2,FALSE))*IF(main!$AK75="是",main!$BB$4,main!$BB$3))</f>
        <v>0</v>
      </c>
      <c r="N75" s="12">
        <f>IF(ISNUMBER(SEARCH("营",main!V75)),(-$Y75+50*IF(main!$AK75="是",main!$BB$4,main!$BB$3)),(VLOOKUP(main!V75,main!$AO$4:$AQ$55,2,FALSE))*IF(main!$AK75="是",main!$BB$4,main!$BB$3))</f>
        <v>0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0</v>
      </c>
      <c r="R75" s="12">
        <f>IF(ISNUMBER(SEARCH("营",main!Z75)),(-$Y75+50*IF(main!$AK75="是",main!$BB$4,main!$BB$3)),(VLOOKUP(main!Z75,main!$AO$4:$AQ$55,2,FALSE))*IF(main!$AK75="是",main!$BB$4,main!$BB$3))</f>
        <v>0</v>
      </c>
      <c r="S75" s="12">
        <f>IF(ISNUMBER(SEARCH("营",main!AA75)),(-$Y75+50*IF(main!$AK75="是",main!$BB$4,main!$BB$3)),(VLOOKUP(main!AA75,main!$AO$4:$AQ$55,2,FALSE))*IF(main!$AK75="是",main!$BB$4,main!$BB$3))</f>
        <v>0</v>
      </c>
      <c r="T75" s="12">
        <f>IF(ISNUMBER(SEARCH("营",main!AB75)),(-$Y75+50*IF(main!$AK75="是",main!$BB$4,main!$BB$3)),(VLOOKUP(main!AB75,main!$AO$4:$AQ$55,2,FALSE))*IF(main!$AK75="是",main!$BB$4,main!$BB$3))</f>
        <v>0</v>
      </c>
      <c r="U75" s="12">
        <f>IF(ISNUMBER(SEARCH("营",main!AC75)),(-$Y75+50*IF(main!$AK75="是",main!$BB$4,main!$BB$3)),(VLOOKUP(main!AC75,main!$AO$4:$AQ$55,2,FALSE))*IF(main!$AK75="是",main!$BB$4,main!$BB$3))</f>
        <v>0</v>
      </c>
      <c r="V75" s="12">
        <f>IF(ISNUMBER(SEARCH("营",main!AD75)),(-$Y75+50*IF(main!$AK75="是",main!$BB$4,main!$BB$3)),(VLOOKUP(main!AD75,main!$AO$4:$AQ$55,2,FALSE))*IF(main!$AK75="是",main!$BB$4,main!$BB$3))</f>
        <v>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98">
        <v>100</v>
      </c>
      <c r="Z75" s="95">
        <v>46347</v>
      </c>
      <c r="AA75">
        <v>72</v>
      </c>
    </row>
    <row r="76" spans="1:27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0</v>
      </c>
      <c r="J76" s="12">
        <f>IF(ISNUMBER(SEARCH("营",main!R76)),(-$Y76+50*IF(main!$AK76="是",main!$BB$4,main!$BB$3)),(VLOOKUP(main!R76,main!$AO$4:$AQ$55,2,FALSE))*IF(main!$AK76="是",main!$BB$4,main!$BB$3))</f>
        <v>0</v>
      </c>
      <c r="K76" s="12">
        <f>IF(ISNUMBER(SEARCH("营",main!S76)),(-$Y76+50*IF(main!$AK76="是",main!$BB$4,main!$BB$3)),(VLOOKUP(main!S76,main!$AO$4:$AQ$55,2,FALSE))*IF(main!$AK76="是",main!$BB$4,main!$BB$3))</f>
        <v>0</v>
      </c>
      <c r="L76" s="12">
        <f>IF(ISNUMBER(SEARCH("营",main!T76)),(-$Y76+50*IF(main!$AK76="是",main!$BB$4,main!$BB$3)),(VLOOKUP(main!T76,main!$AO$4:$AQ$55,2,FALSE))*IF(main!$AK76="是",main!$BB$4,main!$BB$3))</f>
        <v>0</v>
      </c>
      <c r="M76" s="12">
        <f>IF(ISNUMBER(SEARCH("营",main!U76)),(-$Y76+50*IF(main!$AK76="是",main!$BB$4,main!$BB$3)),(VLOOKUP(main!U76,main!$AO$4:$AQ$55,2,FALSE))*IF(main!$AK76="是",main!$BB$4,main!$BB$3))</f>
        <v>0</v>
      </c>
      <c r="N76" s="12">
        <f>IF(ISNUMBER(SEARCH("营",main!V76)),(-$Y76+50*IF(main!$AK76="是",main!$BB$4,main!$BB$3)),(VLOOKUP(main!V76,main!$AO$4:$AQ$55,2,FALSE))*IF(main!$AK76="是",main!$BB$4,main!$BB$3))</f>
        <v>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0</v>
      </c>
      <c r="R76" s="12">
        <f>IF(ISNUMBER(SEARCH("营",main!Z76)),(-$Y76+50*IF(main!$AK76="是",main!$BB$4,main!$BB$3)),(VLOOKUP(main!Z76,main!$AO$4:$AQ$55,2,FALSE))*IF(main!$AK76="是",main!$BB$4,main!$BB$3))</f>
        <v>0</v>
      </c>
      <c r="S76" s="12">
        <f>IF(ISNUMBER(SEARCH("营",main!AA76)),(-$Y76+50*IF(main!$AK76="是",main!$BB$4,main!$BB$3)),(VLOOKUP(main!AA76,main!$AO$4:$AQ$55,2,FALSE))*IF(main!$AK76="是",main!$BB$4,main!$BB$3))</f>
        <v>0</v>
      </c>
      <c r="T76" s="12">
        <f>IF(ISNUMBER(SEARCH("营",main!AB76)),(-$Y76+50*IF(main!$AK76="是",main!$BB$4,main!$BB$3)),(VLOOKUP(main!AB76,main!$AO$4:$AQ$55,2,FALSE))*IF(main!$AK76="是",main!$BB$4,main!$BB$3))</f>
        <v>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98">
        <v>100</v>
      </c>
      <c r="Z76" s="95">
        <v>46348</v>
      </c>
      <c r="AA76">
        <v>73</v>
      </c>
    </row>
    <row r="77" spans="1:27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0</v>
      </c>
      <c r="J77" s="12">
        <f>IF(ISNUMBER(SEARCH("营",main!R77)),(-$Y77+50*IF(main!$AK77="是",main!$BB$4,main!$BB$3)),(VLOOKUP(main!R77,main!$AO$4:$AQ$55,2,FALSE))*IF(main!$AK77="是",main!$BB$4,main!$BB$3))</f>
        <v>0</v>
      </c>
      <c r="K77" s="12">
        <f>IF(ISNUMBER(SEARCH("营",main!S77)),(-$Y77+50*IF(main!$AK77="是",main!$BB$4,main!$BB$3)),(VLOOKUP(main!S77,main!$AO$4:$AQ$55,2,FALSE))*IF(main!$AK77="是",main!$BB$4,main!$BB$3))</f>
        <v>0</v>
      </c>
      <c r="L77" s="12">
        <f>IF(ISNUMBER(SEARCH("营",main!T77)),(-$Y77+50*IF(main!$AK77="是",main!$BB$4,main!$BB$3)),(VLOOKUP(main!T77,main!$AO$4:$AQ$55,2,FALSE))*IF(main!$AK77="是",main!$BB$4,main!$BB$3))</f>
        <v>0</v>
      </c>
      <c r="M77" s="12">
        <f>IF(ISNUMBER(SEARCH("营",main!U77)),(-$Y77+50*IF(main!$AK77="是",main!$BB$4,main!$BB$3)),(VLOOKUP(main!U77,main!$AO$4:$AQ$55,2,FALSE))*IF(main!$AK77="是",main!$BB$4,main!$BB$3))</f>
        <v>0</v>
      </c>
      <c r="N77" s="12">
        <f>IF(ISNUMBER(SEARCH("营",main!V77)),(-$Y77+50*IF(main!$AK77="是",main!$BB$4,main!$BB$3)),(VLOOKUP(main!V77,main!$AO$4:$AQ$55,2,FALSE))*IF(main!$AK77="是",main!$BB$4,main!$BB$3))</f>
        <v>0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0</v>
      </c>
      <c r="R77" s="12">
        <f>IF(ISNUMBER(SEARCH("营",main!Z77)),(-$Y77+50*IF(main!$AK77="是",main!$BB$4,main!$BB$3)),(VLOOKUP(main!Z77,main!$AO$4:$AQ$55,2,FALSE))*IF(main!$AK77="是",main!$BB$4,main!$BB$3))</f>
        <v>0</v>
      </c>
      <c r="S77" s="12">
        <f>IF(ISNUMBER(SEARCH("营",main!AA77)),(-$Y77+50*IF(main!$AK77="是",main!$BB$4,main!$BB$3)),(VLOOKUP(main!AA77,main!$AO$4:$AQ$55,2,FALSE))*IF(main!$AK77="是",main!$BB$4,main!$BB$3))</f>
        <v>0</v>
      </c>
      <c r="T77" s="12">
        <f>IF(ISNUMBER(SEARCH("营",main!AB77)),(-$Y77+50*IF(main!$AK77="是",main!$BB$4,main!$BB$3)),(VLOOKUP(main!AB77,main!$AO$4:$AQ$55,2,FALSE))*IF(main!$AK77="是",main!$BB$4,main!$BB$3))</f>
        <v>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98">
        <v>100</v>
      </c>
      <c r="Z77" s="95">
        <v>46349</v>
      </c>
      <c r="AA77">
        <v>74</v>
      </c>
    </row>
    <row r="78" spans="1:27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0</v>
      </c>
      <c r="R78" s="12">
        <f>IF(ISNUMBER(SEARCH("营",main!Z78)),(-$Y78+50*IF(main!$AK78="是",main!$BB$4,main!$BB$3)),(VLOOKUP(main!Z78,main!$AO$4:$AQ$55,2,FALSE))*IF(main!$AK78="是",main!$BB$4,main!$BB$3))</f>
        <v>0</v>
      </c>
      <c r="S78" s="12">
        <f>IF(ISNUMBER(SEARCH("营",main!AA78)),(-$Y78+50*IF(main!$AK78="是",main!$BB$4,main!$BB$3)),(VLOOKUP(main!AA78,main!$AO$4:$AQ$55,2,FALSE))*IF(main!$AK78="是",main!$BB$4,main!$BB$3))</f>
        <v>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98">
        <v>100</v>
      </c>
      <c r="Z78" s="95">
        <v>46350</v>
      </c>
      <c r="AA78">
        <v>75</v>
      </c>
    </row>
    <row r="79" spans="1:27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0</v>
      </c>
      <c r="R79" s="12">
        <f>IF(ISNUMBER(SEARCH("营",main!Z79)),(-$Y79+50*IF(main!$AK79="是",main!$BB$4,main!$BB$3)),(VLOOKUP(main!Z79,main!$AO$4:$AQ$55,2,FALSE))*IF(main!$AK79="是",main!$BB$4,main!$BB$3))</f>
        <v>0</v>
      </c>
      <c r="S79" s="12">
        <f>IF(ISNUMBER(SEARCH("营",main!AA79)),(-$Y79+50*IF(main!$AK79="是",main!$BB$4,main!$BB$3)),(VLOOKUP(main!AA79,main!$AO$4:$AQ$55,2,FALSE))*IF(main!$AK79="是",main!$BB$4,main!$BB$3))</f>
        <v>0</v>
      </c>
      <c r="T79" s="12">
        <f>IF(ISNUMBER(SEARCH("营",main!AB79)),(-$Y79+50*IF(main!$AK79="是",main!$BB$4,main!$BB$3)),(VLOOKUP(main!AB79,main!$AO$4:$AQ$55,2,FALSE))*IF(main!$AK79="是",main!$BB$4,main!$BB$3))</f>
        <v>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98">
        <v>100</v>
      </c>
      <c r="Z79" s="95">
        <v>46351</v>
      </c>
      <c r="AA79">
        <v>76</v>
      </c>
    </row>
    <row r="80" spans="1:27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0</v>
      </c>
      <c r="R80" s="12">
        <f>IF(ISNUMBER(SEARCH("营",main!Z80)),(-$Y80+50*IF(main!$AK80="是",main!$BB$4,main!$BB$3)),(VLOOKUP(main!Z80,main!$AO$4:$AQ$55,2,FALSE))*IF(main!$AK80="是",main!$BB$4,main!$BB$3))</f>
        <v>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0</v>
      </c>
      <c r="U80" s="12">
        <f>IF(ISNUMBER(SEARCH("营",main!AC80)),(-$Y80+50*IF(main!$AK80="是",main!$BB$4,main!$BB$3)),(VLOOKUP(main!AC80,main!$AO$4:$AQ$55,2,FALSE))*IF(main!$AK80="是",main!$BB$4,main!$BB$3))</f>
        <v>0</v>
      </c>
      <c r="V80" s="12">
        <f>IF(ISNUMBER(SEARCH("营",main!AD80)),(-$Y80+50*IF(main!$AK80="是",main!$BB$4,main!$BB$3)),(VLOOKUP(main!AD80,main!$AO$4:$AQ$55,2,FALSE))*IF(main!$AK80="是",main!$BB$4,main!$BB$3))</f>
        <v>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98">
        <v>100</v>
      </c>
      <c r="Z80" s="95">
        <v>46352</v>
      </c>
      <c r="AA80">
        <v>77</v>
      </c>
    </row>
    <row r="81" spans="1:27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0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98">
        <v>100</v>
      </c>
      <c r="Z81" s="95">
        <v>46353</v>
      </c>
      <c r="AA81">
        <v>78</v>
      </c>
    </row>
    <row r="82" spans="1:27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0</v>
      </c>
      <c r="R82" s="12">
        <f>IF(ISNUMBER(SEARCH("营",main!Z82)),(-$Y82+50*IF(main!$AK82="是",main!$BB$4,main!$BB$3)),(VLOOKUP(main!Z82,main!$AO$4:$AQ$55,2,FALSE))*IF(main!$AK82="是",main!$BB$4,main!$BB$3))</f>
        <v>0</v>
      </c>
      <c r="S82" s="12">
        <f>IF(ISNUMBER(SEARCH("营",main!AA82)),(-$Y82+50*IF(main!$AK82="是",main!$BB$4,main!$BB$3)),(VLOOKUP(main!AA82,main!$AO$4:$AQ$55,2,FALSE))*IF(main!$AK82="是",main!$BB$4,main!$BB$3))</f>
        <v>0</v>
      </c>
      <c r="T82" s="12">
        <f>IF(ISNUMBER(SEARCH("营",main!AB82)),(-$Y82+50*IF(main!$AK82="是",main!$BB$4,main!$BB$3)),(VLOOKUP(main!AB82,main!$AO$4:$AQ$55,2,FALSE))*IF(main!$AK82="是",main!$BB$4,main!$BB$3))</f>
        <v>0</v>
      </c>
      <c r="U82" s="12">
        <f>IF(ISNUMBER(SEARCH("营",main!AC82)),(-$Y82+50*IF(main!$AK82="是",main!$BB$4,main!$BB$3)),(VLOOKUP(main!AC82,main!$AO$4:$AQ$55,2,FALSE))*IF(main!$AK82="是",main!$BB$4,main!$BB$3))</f>
        <v>0</v>
      </c>
      <c r="V82" s="12">
        <f>IF(ISNUMBER(SEARCH("营",main!AD82)),(-$Y82+50*IF(main!$AK82="是",main!$BB$4,main!$BB$3)),(VLOOKUP(main!AD82,main!$AO$4:$AQ$55,2,FALSE))*IF(main!$AK82="是",main!$BB$4,main!$BB$3))</f>
        <v>0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98">
        <v>100</v>
      </c>
      <c r="Z82" s="95">
        <v>46354</v>
      </c>
      <c r="AA82">
        <v>79</v>
      </c>
    </row>
    <row r="83" spans="1:27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98">
        <v>100</v>
      </c>
      <c r="Z83" s="95">
        <v>46355</v>
      </c>
      <c r="AA83">
        <v>80</v>
      </c>
    </row>
    <row r="84" spans="1:27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0</v>
      </c>
      <c r="J84" s="12">
        <f>IF(ISNUMBER(SEARCH("营",main!R84)),(-$Y84+50*IF(main!$AK84="是",main!$BB$4,main!$BB$3)),(VLOOKUP(main!R84,main!$AO$4:$AQ$55,2,FALSE))*IF(main!$AK84="是",main!$BB$4,main!$BB$3))</f>
        <v>0</v>
      </c>
      <c r="K84" s="12">
        <f>IF(ISNUMBER(SEARCH("营",main!S84)),(-$Y84+50*IF(main!$AK84="是",main!$BB$4,main!$BB$3)),(VLOOKUP(main!S84,main!$AO$4:$AQ$55,2,FALSE))*IF(main!$AK84="是",main!$BB$4,main!$BB$3))</f>
        <v>0</v>
      </c>
      <c r="L84" s="12">
        <f>IF(ISNUMBER(SEARCH("营",main!T84)),(-$Y84+50*IF(main!$AK84="是",main!$BB$4,main!$BB$3)),(VLOOKUP(main!T84,main!$AO$4:$AQ$55,2,FALSE))*IF(main!$AK84="是",main!$BB$4,main!$BB$3))</f>
        <v>0</v>
      </c>
      <c r="M84" s="12">
        <f>IF(ISNUMBER(SEARCH("营",main!U84)),(-$Y84+50*IF(main!$AK84="是",main!$BB$4,main!$BB$3)),(VLOOKUP(main!U84,main!$AO$4:$AQ$55,2,FALSE))*IF(main!$AK84="是",main!$BB$4,main!$BB$3))</f>
        <v>0</v>
      </c>
      <c r="N84" s="12">
        <f>IF(ISNUMBER(SEARCH("营",main!V84)),(-$Y84+50*IF(main!$AK84="是",main!$BB$4,main!$BB$3)),(VLOOKUP(main!V84,main!$AO$4:$AQ$55,2,FALSE))*IF(main!$AK84="是",main!$BB$4,main!$BB$3))</f>
        <v>0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0</v>
      </c>
      <c r="R84" s="12">
        <f>IF(ISNUMBER(SEARCH("营",main!Z84)),(-$Y84+50*IF(main!$AK84="是",main!$BB$4,main!$BB$3)),(VLOOKUP(main!Z84,main!$AO$4:$AQ$55,2,FALSE))*IF(main!$AK84="是",main!$BB$4,main!$BB$3))</f>
        <v>0</v>
      </c>
      <c r="S84" s="12">
        <f>IF(ISNUMBER(SEARCH("营",main!AA84)),(-$Y84+50*IF(main!$AK84="是",main!$BB$4,main!$BB$3)),(VLOOKUP(main!AA84,main!$AO$4:$AQ$55,2,FALSE))*IF(main!$AK84="是",main!$BB$4,main!$BB$3))</f>
        <v>0</v>
      </c>
      <c r="T84" s="12">
        <f>IF(ISNUMBER(SEARCH("营",main!AB84)),(-$Y84+50*IF(main!$AK84="是",main!$BB$4,main!$BB$3)),(VLOOKUP(main!AB84,main!$AO$4:$AQ$55,2,FALSE))*IF(main!$AK84="是",main!$BB$4,main!$BB$3))</f>
        <v>0</v>
      </c>
      <c r="U84" s="12">
        <f>IF(ISNUMBER(SEARCH("营",main!AC84)),(-$Y84+50*IF(main!$AK84="是",main!$BB$4,main!$BB$3)),(VLOOKUP(main!AC84,main!$AO$4:$AQ$55,2,FALSE))*IF(main!$AK84="是",main!$BB$4,main!$BB$3))</f>
        <v>0</v>
      </c>
      <c r="V84" s="12">
        <f>IF(ISNUMBER(SEARCH("营",main!AD84)),(-$Y84+50*IF(main!$AK84="是",main!$BB$4,main!$BB$3)),(VLOOKUP(main!AD84,main!$AO$4:$AQ$55,2,FALSE))*IF(main!$AK84="是",main!$BB$4,main!$BB$3))</f>
        <v>0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98">
        <v>100</v>
      </c>
      <c r="Z84" s="95">
        <v>46356</v>
      </c>
      <c r="AA84">
        <v>81</v>
      </c>
    </row>
    <row r="85" spans="1:27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98">
        <v>100</v>
      </c>
      <c r="Z85" s="95">
        <v>46357</v>
      </c>
      <c r="AA85">
        <v>82</v>
      </c>
    </row>
    <row r="86" spans="1:27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98">
        <v>100</v>
      </c>
      <c r="Z86" s="95">
        <v>46358</v>
      </c>
      <c r="AA86">
        <v>83</v>
      </c>
    </row>
    <row r="87" spans="1:27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98">
        <v>100</v>
      </c>
      <c r="Z87" s="95">
        <v>46359</v>
      </c>
      <c r="AA87">
        <v>84</v>
      </c>
    </row>
    <row r="88" spans="1:27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98">
        <v>100</v>
      </c>
      <c r="Z88" s="95">
        <v>46360</v>
      </c>
      <c r="AA88">
        <v>85</v>
      </c>
    </row>
    <row r="89" spans="1:27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98">
        <v>100</v>
      </c>
      <c r="Z89" s="95">
        <v>46361</v>
      </c>
      <c r="AA89">
        <v>86</v>
      </c>
    </row>
    <row r="90" spans="1:27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98">
        <v>100</v>
      </c>
      <c r="Z90" s="95">
        <v>46362</v>
      </c>
      <c r="AA90">
        <v>87</v>
      </c>
    </row>
    <row r="91" spans="1:27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0</v>
      </c>
      <c r="R91" s="12">
        <f>IF(ISNUMBER(SEARCH("营",main!Z91)),(-$Y91+50*IF(main!$AK91="是",main!$BB$4,main!$BB$3)),(VLOOKUP(main!Z91,main!$AO$4:$AQ$55,2,FALSE))*IF(main!$AK91="是",main!$BB$4,main!$BB$3))</f>
        <v>0</v>
      </c>
      <c r="S91" s="12">
        <f>IF(ISNUMBER(SEARCH("营",main!AA91)),(-$Y91+50*IF(main!$AK91="是",main!$BB$4,main!$BB$3)),(VLOOKUP(main!AA91,main!$AO$4:$AQ$55,2,FALSE))*IF(main!$AK91="是",main!$BB$4,main!$BB$3))</f>
        <v>0</v>
      </c>
      <c r="T91" s="12">
        <f>IF(ISNUMBER(SEARCH("营",main!AB91)),(-$Y91+50*IF(main!$AK91="是",main!$BB$4,main!$BB$3)),(VLOOKUP(main!AB91,main!$AO$4:$AQ$55,2,FALSE))*IF(main!$AK91="是",main!$BB$4,main!$BB$3))</f>
        <v>0</v>
      </c>
      <c r="U91" s="12">
        <f>IF(ISNUMBER(SEARCH("营",main!AC91)),(-$Y91+50*IF(main!$AK91="是",main!$BB$4,main!$BB$3)),(VLOOKUP(main!AC91,main!$AO$4:$AQ$55,2,FALSE))*IF(main!$AK91="是",main!$BB$4,main!$BB$3))</f>
        <v>0</v>
      </c>
      <c r="V91" s="12">
        <f>IF(ISNUMBER(SEARCH("营",main!AD91)),(-$Y91+50*IF(main!$AK91="是",main!$BB$4,main!$BB$3)),(VLOOKUP(main!AD91,main!$AO$4:$AQ$55,2,FALSE))*IF(main!$AK91="是",main!$BB$4,main!$BB$3))</f>
        <v>0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98">
        <v>100</v>
      </c>
      <c r="Z91" s="95">
        <v>46363</v>
      </c>
      <c r="AA91">
        <v>88</v>
      </c>
    </row>
    <row r="92" spans="1:27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98">
        <v>100</v>
      </c>
      <c r="Z92" s="95">
        <v>46364</v>
      </c>
      <c r="AA92">
        <v>89</v>
      </c>
    </row>
    <row r="93" spans="1:27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98">
        <v>100</v>
      </c>
      <c r="Z93" s="95">
        <v>46365</v>
      </c>
      <c r="AA93">
        <v>90</v>
      </c>
    </row>
    <row r="94" spans="1:27">
      <c r="A94" s="12">
        <f>IF(ISNUMBER(SEARCH("营",main!I94)),(-$Y94+50*IF(main!$AK94="是",main!$BB$4,main!$BB$3)),(VLOOKUP(main!I94,main!$AO$4:$AQ$55,2,FALSE))*IF(main!$AK94="是",main!$BB$4,main!$BB$3))</f>
        <v>0</v>
      </c>
      <c r="B94" s="12">
        <f>IF(ISNUMBER(SEARCH("营",main!J94)),(-$Y94+50*IF(main!$AK94="是",main!$BB$4,main!$BB$3)),(VLOOKUP(main!J94,main!$AO$4:$AQ$55,2,FALSE))*IF(main!$AK94="是",main!$BB$4,main!$BB$3))</f>
        <v>0</v>
      </c>
      <c r="C94" s="12">
        <f>IF(ISNUMBER(SEARCH("营",main!K94)),(-$Y94+50*IF(main!$AK94="是",main!$BB$4,main!$BB$3)),(VLOOKUP(main!K94,main!$AO$4:$AQ$55,2,FALSE))*IF(main!$AK94="是",main!$BB$4,main!$BB$3))</f>
        <v>0</v>
      </c>
      <c r="D94" s="12">
        <f>IF(ISNUMBER(SEARCH("营",main!L94)),(-$Y94+50*IF(main!$AK94="是",main!$BB$4,main!$BB$3)),(VLOOKUP(main!L94,main!$AO$4:$AQ$55,2,FALSE))*IF(main!$AK94="是",main!$BB$4,main!$BB$3))</f>
        <v>0</v>
      </c>
      <c r="E94" s="12">
        <f>IF(ISNUMBER(SEARCH("营",main!M94)),(-$Y94+50*IF(main!$AK94="是",main!$BB$4,main!$BB$3)),(VLOOKUP(main!M94,main!$AO$4:$AQ$55,2,FALSE))*IF(main!$AK94="是",main!$BB$4,main!$BB$3))</f>
        <v>0</v>
      </c>
      <c r="F94" s="12">
        <f>IF(ISNUMBER(SEARCH("营",main!N94)),(-$Y94+50*IF(main!$AK94="是",main!$BB$4,main!$BB$3)),(VLOOKUP(main!N94,main!$AO$4:$AQ$55,2,FALSE))*IF(main!$AK94="是",main!$BB$4,main!$BB$3))</f>
        <v>0</v>
      </c>
      <c r="G94" s="12">
        <f>IF(ISNUMBER(SEARCH("营",main!O94)),(-$Y94+50*IF(main!$AK94="是",main!$BB$4,main!$BB$3)),(VLOOKUP(main!O94,main!$AO$4:$AQ$55,2,FALSE))*IF(main!$AK94="是",main!$BB$4,main!$BB$3))</f>
        <v>0</v>
      </c>
      <c r="H94" s="12">
        <f>IF(ISNUMBER(SEARCH("营",main!P94)),(-$Y94+50*IF(main!$AK94="是",main!$BB$4,main!$BB$3)),(VLOOKUP(main!P94,main!$AO$4:$AQ$55,2,FALSE))*IF(main!$AK94="是",main!$BB$4,main!$BB$3))</f>
        <v>0</v>
      </c>
      <c r="I94" s="12">
        <f>IF(ISNUMBER(SEARCH("营",main!Q94)),(-$Y94+50*IF(main!$AK94="是",main!$BB$4,main!$BB$3)),(VLOOKUP(main!Q94,main!$AO$4:$AQ$55,2,FALSE))*IF(main!$AK94="是",main!$BB$4,main!$BB$3))</f>
        <v>0</v>
      </c>
      <c r="J94" s="12">
        <f>IF(ISNUMBER(SEARCH("营",main!R94)),(-$Y94+50*IF(main!$AK94="是",main!$BB$4,main!$BB$3)),(VLOOKUP(main!R94,main!$AO$4:$AQ$55,2,FALSE))*IF(main!$AK94="是",main!$BB$4,main!$BB$3))</f>
        <v>0</v>
      </c>
      <c r="K94" s="12">
        <f>IF(ISNUMBER(SEARCH("营",main!S94)),(-$Y94+50*IF(main!$AK94="是",main!$BB$4,main!$BB$3)),(VLOOKUP(main!S94,main!$AO$4:$AQ$55,2,FALSE))*IF(main!$AK94="是",main!$BB$4,main!$BB$3))</f>
        <v>0</v>
      </c>
      <c r="L94" s="12">
        <f>IF(ISNUMBER(SEARCH("营",main!T94)),(-$Y94+50*IF(main!$AK94="是",main!$BB$4,main!$BB$3)),(VLOOKUP(main!T94,main!$AO$4:$AQ$55,2,FALSE))*IF(main!$AK94="是",main!$BB$4,main!$BB$3))</f>
        <v>0</v>
      </c>
      <c r="M94" s="12">
        <f>IF(ISNUMBER(SEARCH("营",main!U94)),(-$Y94+50*IF(main!$AK94="是",main!$BB$4,main!$BB$3)),(VLOOKUP(main!U94,main!$AO$4:$AQ$55,2,FALSE))*IF(main!$AK94="是",main!$BB$4,main!$BB$3))</f>
        <v>0</v>
      </c>
      <c r="N94" s="12">
        <f>IF(ISNUMBER(SEARCH("营",main!V94)),(-$Y94+50*IF(main!$AK94="是",main!$BB$4,main!$BB$3)),(VLOOKUP(main!V94,main!$AO$4:$AQ$55,2,FALSE))*IF(main!$AK94="是",main!$BB$4,main!$BB$3))</f>
        <v>0</v>
      </c>
      <c r="O94" s="12">
        <f>IF(ISNUMBER(SEARCH("营",main!W94)),(-$Y94+50*IF(main!$AK94="是",main!$BB$4,main!$BB$3)),(VLOOKUP(main!W94,main!$AO$4:$AQ$55,2,FALSE))*IF(main!$AK94="是",main!$BB$4,main!$BB$3))</f>
        <v>0</v>
      </c>
      <c r="P94" s="12">
        <f>IF(ISNUMBER(SEARCH("营",main!X94)),(-$Y94+50*IF(main!$AK94="是",main!$BB$4,main!$BB$3)),(VLOOKUP(main!X94,main!$AO$4:$AQ$55,2,FALSE))*IF(main!$AK94="是",main!$BB$4,main!$BB$3))</f>
        <v>0</v>
      </c>
      <c r="Q94" s="12">
        <f>IF(ISNUMBER(SEARCH("营",main!Y94)),(-$Y94+50*IF(main!$AK94="是",main!$BB$4,main!$BB$3)),(VLOOKUP(main!Y94,main!$AO$4:$AQ$55,2,FALSE))*IF(main!$AK94="是",main!$BB$4,main!$BB$3))</f>
        <v>0</v>
      </c>
      <c r="R94" s="12">
        <f>IF(ISNUMBER(SEARCH("营",main!Z94)),(-$Y94+50*IF(main!$AK94="是",main!$BB$4,main!$BB$3)),(VLOOKUP(main!Z94,main!$AO$4:$AQ$55,2,FALSE))*IF(main!$AK94="是",main!$BB$4,main!$BB$3))</f>
        <v>0</v>
      </c>
      <c r="S94" s="12">
        <f>IF(ISNUMBER(SEARCH("营",main!AA94)),(-$Y94+50*IF(main!$AK94="是",main!$BB$4,main!$BB$3)),(VLOOKUP(main!AA94,main!$AO$4:$AQ$55,2,FALSE))*IF(main!$AK94="是",main!$BB$4,main!$BB$3))</f>
        <v>0</v>
      </c>
      <c r="T94" s="12">
        <f>IF(ISNUMBER(SEARCH("营",main!AB94)),(-$Y94+50*IF(main!$AK94="是",main!$BB$4,main!$BB$3)),(VLOOKUP(main!AB94,main!$AO$4:$AQ$55,2,FALSE))*IF(main!$AK94="是",main!$BB$4,main!$BB$3))</f>
        <v>0</v>
      </c>
      <c r="U94" s="12">
        <f>IF(ISNUMBER(SEARCH("营",main!AC94)),(-$Y94+50*IF(main!$AK94="是",main!$BB$4,main!$BB$3)),(VLOOKUP(main!AC94,main!$AO$4:$AQ$55,2,FALSE))*IF(main!$AK94="是",main!$BB$4,main!$BB$3))</f>
        <v>0</v>
      </c>
      <c r="V94" s="12">
        <f>IF(ISNUMBER(SEARCH("营",main!AD94)),(-$Y94+50*IF(main!$AK94="是",main!$BB$4,main!$BB$3)),(VLOOKUP(main!AD94,main!$AO$4:$AQ$55,2,FALSE))*IF(main!$AK94="是",main!$BB$4,main!$BB$3))</f>
        <v>0</v>
      </c>
      <c r="W94" s="12">
        <f>IF(ISNUMBER(SEARCH("营",main!AE94)),(-$Y94+50*IF(main!$AK94="是",main!$BB$4,main!$BB$3)),(VLOOKUP(main!AE94,main!$AO$4:$AQ$55,2,FALSE))*IF(main!$AK94="是",main!$BB$4,main!$BB$3))</f>
        <v>0</v>
      </c>
      <c r="X94" s="12">
        <f>IF(ISNUMBER(SEARCH("营",main!AF94)),(-$Y94+50*IF(main!$AK94="是",main!$BB$4,main!$BB$3)),(VLOOKUP(main!AF94,main!$AO$4:$AQ$55,2,FALSE))*IF(main!$AK94="是",main!$BB$4,main!$BB$3))</f>
        <v>0</v>
      </c>
      <c r="Y94" s="98">
        <v>100</v>
      </c>
      <c r="Z94" s="95">
        <v>46366</v>
      </c>
      <c r="AA94">
        <v>91</v>
      </c>
    </row>
    <row r="95" spans="1:27">
      <c r="A95" s="12">
        <f>IF(ISNUMBER(SEARCH("营",main!I95)),(-$Y95+50*IF(main!$AK95="是",main!$BB$4,main!$BB$3)),(VLOOKUP(main!I95,main!$AO$4:$AQ$55,2,FALSE))*IF(main!$AK95="是",main!$BB$4,main!$BB$3))</f>
        <v>0</v>
      </c>
      <c r="B95" s="12">
        <f>IF(ISNUMBER(SEARCH("营",main!J95)),(-$Y95+50*IF(main!$AK95="是",main!$BB$4,main!$BB$3)),(VLOOKUP(main!J95,main!$AO$4:$AQ$55,2,FALSE))*IF(main!$AK95="是",main!$BB$4,main!$BB$3))</f>
        <v>0</v>
      </c>
      <c r="C95" s="12">
        <f>IF(ISNUMBER(SEARCH("营",main!K95)),(-$Y95+50*IF(main!$AK95="是",main!$BB$4,main!$BB$3)),(VLOOKUP(main!K95,main!$AO$4:$AQ$55,2,FALSE))*IF(main!$AK95="是",main!$BB$4,main!$BB$3))</f>
        <v>0</v>
      </c>
      <c r="D95" s="12">
        <f>IF(ISNUMBER(SEARCH("营",main!L95)),(-$Y95+50*IF(main!$AK95="是",main!$BB$4,main!$BB$3)),(VLOOKUP(main!L95,main!$AO$4:$AQ$55,2,FALSE))*IF(main!$AK95="是",main!$BB$4,main!$BB$3))</f>
        <v>0</v>
      </c>
      <c r="E95" s="12">
        <f>IF(ISNUMBER(SEARCH("营",main!M95)),(-$Y95+50*IF(main!$AK95="是",main!$BB$4,main!$BB$3)),(VLOOKUP(main!M95,main!$AO$4:$AQ$55,2,FALSE))*IF(main!$AK95="是",main!$BB$4,main!$BB$3))</f>
        <v>0</v>
      </c>
      <c r="F95" s="12">
        <f>IF(ISNUMBER(SEARCH("营",main!N95)),(-$Y95+50*IF(main!$AK95="是",main!$BB$4,main!$BB$3)),(VLOOKUP(main!N95,main!$AO$4:$AQ$55,2,FALSE))*IF(main!$AK95="是",main!$BB$4,main!$BB$3))</f>
        <v>0</v>
      </c>
      <c r="G95" s="12">
        <f>IF(ISNUMBER(SEARCH("营",main!O95)),(-$Y95+50*IF(main!$AK95="是",main!$BB$4,main!$BB$3)),(VLOOKUP(main!O95,main!$AO$4:$AQ$55,2,FALSE))*IF(main!$AK95="是",main!$BB$4,main!$BB$3))</f>
        <v>0</v>
      </c>
      <c r="H95" s="12">
        <f>IF(ISNUMBER(SEARCH("营",main!P95)),(-$Y95+50*IF(main!$AK95="是",main!$BB$4,main!$BB$3)),(VLOOKUP(main!P95,main!$AO$4:$AQ$55,2,FALSE))*IF(main!$AK95="是",main!$BB$4,main!$BB$3))</f>
        <v>0</v>
      </c>
      <c r="I95" s="12">
        <f>IF(ISNUMBER(SEARCH("营",main!Q95)),(-$Y95+50*IF(main!$AK95="是",main!$BB$4,main!$BB$3)),(VLOOKUP(main!Q95,main!$AO$4:$AQ$55,2,FALSE))*IF(main!$AK95="是",main!$BB$4,main!$BB$3))</f>
        <v>0</v>
      </c>
      <c r="J95" s="12">
        <f>IF(ISNUMBER(SEARCH("营",main!R95)),(-$Y95+50*IF(main!$AK95="是",main!$BB$4,main!$BB$3)),(VLOOKUP(main!R95,main!$AO$4:$AQ$55,2,FALSE))*IF(main!$AK95="是",main!$BB$4,main!$BB$3))</f>
        <v>0</v>
      </c>
      <c r="K95" s="12">
        <f>IF(ISNUMBER(SEARCH("营",main!S95)),(-$Y95+50*IF(main!$AK95="是",main!$BB$4,main!$BB$3)),(VLOOKUP(main!S95,main!$AO$4:$AQ$55,2,FALSE))*IF(main!$AK95="是",main!$BB$4,main!$BB$3))</f>
        <v>0</v>
      </c>
      <c r="L95" s="12">
        <f>IF(ISNUMBER(SEARCH("营",main!T95)),(-$Y95+50*IF(main!$AK95="是",main!$BB$4,main!$BB$3)),(VLOOKUP(main!T95,main!$AO$4:$AQ$55,2,FALSE))*IF(main!$AK95="是",main!$BB$4,main!$BB$3))</f>
        <v>0</v>
      </c>
      <c r="M95" s="12">
        <f>IF(ISNUMBER(SEARCH("营",main!U95)),(-$Y95+50*IF(main!$AK95="是",main!$BB$4,main!$BB$3)),(VLOOKUP(main!U95,main!$AO$4:$AQ$55,2,FALSE))*IF(main!$AK95="是",main!$BB$4,main!$BB$3))</f>
        <v>0</v>
      </c>
      <c r="N95" s="12">
        <f>IF(ISNUMBER(SEARCH("营",main!V95)),(-$Y95+50*IF(main!$AK95="是",main!$BB$4,main!$BB$3)),(VLOOKUP(main!V95,main!$AO$4:$AQ$55,2,FALSE))*IF(main!$AK95="是",main!$BB$4,main!$BB$3))</f>
        <v>0</v>
      </c>
      <c r="O95" s="12">
        <f>IF(ISNUMBER(SEARCH("营",main!W95)),(-$Y95+50*IF(main!$AK95="是",main!$BB$4,main!$BB$3)),(VLOOKUP(main!W95,main!$AO$4:$AQ$55,2,FALSE))*IF(main!$AK95="是",main!$BB$4,main!$BB$3))</f>
        <v>0</v>
      </c>
      <c r="P95" s="12">
        <f>IF(ISNUMBER(SEARCH("营",main!X95)),(-$Y95+50*IF(main!$AK95="是",main!$BB$4,main!$BB$3)),(VLOOKUP(main!X95,main!$AO$4:$AQ$55,2,FALSE))*IF(main!$AK95="是",main!$BB$4,main!$BB$3))</f>
        <v>0</v>
      </c>
      <c r="Q95" s="12">
        <f>IF(ISNUMBER(SEARCH("营",main!Y95)),(-$Y95+50*IF(main!$AK95="是",main!$BB$4,main!$BB$3)),(VLOOKUP(main!Y95,main!$AO$4:$AQ$55,2,FALSE))*IF(main!$AK95="是",main!$BB$4,main!$BB$3))</f>
        <v>0</v>
      </c>
      <c r="R95" s="12">
        <f>IF(ISNUMBER(SEARCH("营",main!Z95)),(-$Y95+50*IF(main!$AK95="是",main!$BB$4,main!$BB$3)),(VLOOKUP(main!Z95,main!$AO$4:$AQ$55,2,FALSE))*IF(main!$AK95="是",main!$BB$4,main!$BB$3))</f>
        <v>0</v>
      </c>
      <c r="S95" s="12">
        <f>IF(ISNUMBER(SEARCH("营",main!AA95)),(-$Y95+50*IF(main!$AK95="是",main!$BB$4,main!$BB$3)),(VLOOKUP(main!AA95,main!$AO$4:$AQ$55,2,FALSE))*IF(main!$AK95="是",main!$BB$4,main!$BB$3))</f>
        <v>0</v>
      </c>
      <c r="T95" s="12">
        <f>IF(ISNUMBER(SEARCH("营",main!AB95)),(-$Y95+50*IF(main!$AK95="是",main!$BB$4,main!$BB$3)),(VLOOKUP(main!AB95,main!$AO$4:$AQ$55,2,FALSE))*IF(main!$AK95="是",main!$BB$4,main!$BB$3))</f>
        <v>0</v>
      </c>
      <c r="U95" s="12">
        <f>IF(ISNUMBER(SEARCH("营",main!AC95)),(-$Y95+50*IF(main!$AK95="是",main!$BB$4,main!$BB$3)),(VLOOKUP(main!AC95,main!$AO$4:$AQ$55,2,FALSE))*IF(main!$AK95="是",main!$BB$4,main!$BB$3))</f>
        <v>0</v>
      </c>
      <c r="V95" s="12">
        <f>IF(ISNUMBER(SEARCH("营",main!AD95)),(-$Y95+50*IF(main!$AK95="是",main!$BB$4,main!$BB$3)),(VLOOKUP(main!AD95,main!$AO$4:$AQ$55,2,FALSE))*IF(main!$AK95="是",main!$BB$4,main!$BB$3))</f>
        <v>0</v>
      </c>
      <c r="W95" s="12">
        <f>IF(ISNUMBER(SEARCH("营",main!AE95)),(-$Y95+50*IF(main!$AK95="是",main!$BB$4,main!$BB$3)),(VLOOKUP(main!AE95,main!$AO$4:$AQ$55,2,FALSE))*IF(main!$AK95="是",main!$BB$4,main!$BB$3))</f>
        <v>0</v>
      </c>
      <c r="X95" s="12">
        <f>IF(ISNUMBER(SEARCH("营",main!AF95)),(-$Y95+50*IF(main!$AK95="是",main!$BB$4,main!$BB$3)),(VLOOKUP(main!AF95,main!$AO$4:$AQ$55,2,FALSE))*IF(main!$AK95="是",main!$BB$4,main!$BB$3))</f>
        <v>0</v>
      </c>
      <c r="Y95" s="98">
        <v>100</v>
      </c>
      <c r="Z95" s="95">
        <v>46367</v>
      </c>
      <c r="AA95">
        <v>92</v>
      </c>
    </row>
    <row r="96" spans="1:27">
      <c r="A96" s="12">
        <f>IF(ISNUMBER(SEARCH("营",main!I96)),(-$Y96+50*IF(main!$AK96="是",main!$BB$4,main!$BB$3)),(VLOOKUP(main!I96,main!$AO$4:$AQ$55,2,FALSE))*IF(main!$AK96="是",main!$BB$4,main!$BB$3))</f>
        <v>0</v>
      </c>
      <c r="B96" s="12">
        <f>IF(ISNUMBER(SEARCH("营",main!J96)),(-$Y96+50*IF(main!$AK96="是",main!$BB$4,main!$BB$3)),(VLOOKUP(main!J96,main!$AO$4:$AQ$55,2,FALSE))*IF(main!$AK96="是",main!$BB$4,main!$BB$3))</f>
        <v>0</v>
      </c>
      <c r="C96" s="12">
        <f>IF(ISNUMBER(SEARCH("营",main!K96)),(-$Y96+50*IF(main!$AK96="是",main!$BB$4,main!$BB$3)),(VLOOKUP(main!K96,main!$AO$4:$AQ$55,2,FALSE))*IF(main!$AK96="是",main!$BB$4,main!$BB$3))</f>
        <v>0</v>
      </c>
      <c r="D96" s="12">
        <f>IF(ISNUMBER(SEARCH("营",main!L96)),(-$Y96+50*IF(main!$AK96="是",main!$BB$4,main!$BB$3)),(VLOOKUP(main!L96,main!$AO$4:$AQ$55,2,FALSE))*IF(main!$AK96="是",main!$BB$4,main!$BB$3))</f>
        <v>0</v>
      </c>
      <c r="E96" s="12">
        <f>IF(ISNUMBER(SEARCH("营",main!M96)),(-$Y96+50*IF(main!$AK96="是",main!$BB$4,main!$BB$3)),(VLOOKUP(main!M96,main!$AO$4:$AQ$55,2,FALSE))*IF(main!$AK96="是",main!$BB$4,main!$BB$3))</f>
        <v>0</v>
      </c>
      <c r="F96" s="12">
        <f>IF(ISNUMBER(SEARCH("营",main!N96)),(-$Y96+50*IF(main!$AK96="是",main!$BB$4,main!$BB$3)),(VLOOKUP(main!N96,main!$AO$4:$AQ$55,2,FALSE))*IF(main!$AK96="是",main!$BB$4,main!$BB$3))</f>
        <v>0</v>
      </c>
      <c r="G96" s="12">
        <f>IF(ISNUMBER(SEARCH("营",main!O96)),(-$Y96+50*IF(main!$AK96="是",main!$BB$4,main!$BB$3)),(VLOOKUP(main!O96,main!$AO$4:$AQ$55,2,FALSE))*IF(main!$AK96="是",main!$BB$4,main!$BB$3))</f>
        <v>0</v>
      </c>
      <c r="H96" s="12">
        <f>IF(ISNUMBER(SEARCH("营",main!P96)),(-$Y96+50*IF(main!$AK96="是",main!$BB$4,main!$BB$3)),(VLOOKUP(main!P96,main!$AO$4:$AQ$55,2,FALSE))*IF(main!$AK96="是",main!$BB$4,main!$BB$3))</f>
        <v>0</v>
      </c>
      <c r="I96" s="12">
        <f>IF(ISNUMBER(SEARCH("营",main!Q96)),(-$Y96+50*IF(main!$AK96="是",main!$BB$4,main!$BB$3)),(VLOOKUP(main!Q96,main!$AO$4:$AQ$55,2,FALSE))*IF(main!$AK96="是",main!$BB$4,main!$BB$3))</f>
        <v>0</v>
      </c>
      <c r="J96" s="12">
        <f>IF(ISNUMBER(SEARCH("营",main!R96)),(-$Y96+50*IF(main!$AK96="是",main!$BB$4,main!$BB$3)),(VLOOKUP(main!R96,main!$AO$4:$AQ$55,2,FALSE))*IF(main!$AK96="是",main!$BB$4,main!$BB$3))</f>
        <v>0</v>
      </c>
      <c r="K96" s="12">
        <f>IF(ISNUMBER(SEARCH("营",main!S96)),(-$Y96+50*IF(main!$AK96="是",main!$BB$4,main!$BB$3)),(VLOOKUP(main!S96,main!$AO$4:$AQ$55,2,FALSE))*IF(main!$AK96="是",main!$BB$4,main!$BB$3))</f>
        <v>0</v>
      </c>
      <c r="L96" s="12">
        <f>IF(ISNUMBER(SEARCH("营",main!T96)),(-$Y96+50*IF(main!$AK96="是",main!$BB$4,main!$BB$3)),(VLOOKUP(main!T96,main!$AO$4:$AQ$55,2,FALSE))*IF(main!$AK96="是",main!$BB$4,main!$BB$3))</f>
        <v>0</v>
      </c>
      <c r="M96" s="12">
        <f>IF(ISNUMBER(SEARCH("营",main!U96)),(-$Y96+50*IF(main!$AK96="是",main!$BB$4,main!$BB$3)),(VLOOKUP(main!U96,main!$AO$4:$AQ$55,2,FALSE))*IF(main!$AK96="是",main!$BB$4,main!$BB$3))</f>
        <v>0</v>
      </c>
      <c r="N96" s="12">
        <f>IF(ISNUMBER(SEARCH("营",main!V96)),(-$Y96+50*IF(main!$AK96="是",main!$BB$4,main!$BB$3)),(VLOOKUP(main!V96,main!$AO$4:$AQ$55,2,FALSE))*IF(main!$AK96="是",main!$BB$4,main!$BB$3))</f>
        <v>0</v>
      </c>
      <c r="O96" s="12">
        <f>IF(ISNUMBER(SEARCH("营",main!W96)),(-$Y96+50*IF(main!$AK96="是",main!$BB$4,main!$BB$3)),(VLOOKUP(main!W96,main!$AO$4:$AQ$55,2,FALSE))*IF(main!$AK96="是",main!$BB$4,main!$BB$3))</f>
        <v>0</v>
      </c>
      <c r="P96" s="12">
        <f>IF(ISNUMBER(SEARCH("营",main!X96)),(-$Y96+50*IF(main!$AK96="是",main!$BB$4,main!$BB$3)),(VLOOKUP(main!X96,main!$AO$4:$AQ$55,2,FALSE))*IF(main!$AK96="是",main!$BB$4,main!$BB$3))</f>
        <v>0</v>
      </c>
      <c r="Q96" s="12">
        <f>IF(ISNUMBER(SEARCH("营",main!Y96)),(-$Y96+50*IF(main!$AK96="是",main!$BB$4,main!$BB$3)),(VLOOKUP(main!Y96,main!$AO$4:$AQ$55,2,FALSE))*IF(main!$AK96="是",main!$BB$4,main!$BB$3))</f>
        <v>0</v>
      </c>
      <c r="R96" s="12">
        <f>IF(ISNUMBER(SEARCH("营",main!Z96)),(-$Y96+50*IF(main!$AK96="是",main!$BB$4,main!$BB$3)),(VLOOKUP(main!Z96,main!$AO$4:$AQ$55,2,FALSE))*IF(main!$AK96="是",main!$BB$4,main!$BB$3))</f>
        <v>0</v>
      </c>
      <c r="S96" s="12">
        <f>IF(ISNUMBER(SEARCH("营",main!AA96)),(-$Y96+50*IF(main!$AK96="是",main!$BB$4,main!$BB$3)),(VLOOKUP(main!AA96,main!$AO$4:$AQ$55,2,FALSE))*IF(main!$AK96="是",main!$BB$4,main!$BB$3))</f>
        <v>0</v>
      </c>
      <c r="T96" s="12">
        <f>IF(ISNUMBER(SEARCH("营",main!AB96)),(-$Y96+50*IF(main!$AK96="是",main!$BB$4,main!$BB$3)),(VLOOKUP(main!AB96,main!$AO$4:$AQ$55,2,FALSE))*IF(main!$AK96="是",main!$BB$4,main!$BB$3))</f>
        <v>0</v>
      </c>
      <c r="U96" s="12">
        <f>IF(ISNUMBER(SEARCH("营",main!AC96)),(-$Y96+50*IF(main!$AK96="是",main!$BB$4,main!$BB$3)),(VLOOKUP(main!AC96,main!$AO$4:$AQ$55,2,FALSE))*IF(main!$AK96="是",main!$BB$4,main!$BB$3))</f>
        <v>0</v>
      </c>
      <c r="V96" s="12">
        <f>IF(ISNUMBER(SEARCH("营",main!AD96)),(-$Y96+50*IF(main!$AK96="是",main!$BB$4,main!$BB$3)),(VLOOKUP(main!AD96,main!$AO$4:$AQ$55,2,FALSE))*IF(main!$AK96="是",main!$BB$4,main!$BB$3))</f>
        <v>0</v>
      </c>
      <c r="W96" s="12">
        <f>IF(ISNUMBER(SEARCH("营",main!AE96)),(-$Y96+50*IF(main!$AK96="是",main!$BB$4,main!$BB$3)),(VLOOKUP(main!AE96,main!$AO$4:$AQ$55,2,FALSE))*IF(main!$AK96="是",main!$BB$4,main!$BB$3))</f>
        <v>0</v>
      </c>
      <c r="X96" s="12">
        <f>IF(ISNUMBER(SEARCH("营",main!AF96)),(-$Y96+50*IF(main!$AK96="是",main!$BB$4,main!$BB$3)),(VLOOKUP(main!AF96,main!$AO$4:$AQ$55,2,FALSE))*IF(main!$AK96="是",main!$BB$4,main!$BB$3))</f>
        <v>0</v>
      </c>
      <c r="Y96" s="98">
        <v>100</v>
      </c>
      <c r="Z96" s="95">
        <v>46368</v>
      </c>
      <c r="AA96">
        <v>93</v>
      </c>
    </row>
    <row r="97" spans="1:27">
      <c r="A97" s="12">
        <f>IF(ISNUMBER(SEARCH("营",main!I97)),(-$Y97+50*IF(main!$AK97="是",main!$BB$4,main!$BB$3)),(VLOOKUP(main!I97,main!$AO$4:$AQ$55,2,FALSE))*IF(main!$AK97="是",main!$BB$4,main!$BB$3))</f>
        <v>0</v>
      </c>
      <c r="B97" s="12">
        <f>IF(ISNUMBER(SEARCH("营",main!J97)),(-$Y97+50*IF(main!$AK97="是",main!$BB$4,main!$BB$3)),(VLOOKUP(main!J97,main!$AO$4:$AQ$55,2,FALSE))*IF(main!$AK97="是",main!$BB$4,main!$BB$3))</f>
        <v>0</v>
      </c>
      <c r="C97" s="12">
        <f>IF(ISNUMBER(SEARCH("营",main!K97)),(-$Y97+50*IF(main!$AK97="是",main!$BB$4,main!$BB$3)),(VLOOKUP(main!K97,main!$AO$4:$AQ$55,2,FALSE))*IF(main!$AK97="是",main!$BB$4,main!$BB$3))</f>
        <v>0</v>
      </c>
      <c r="D97" s="12">
        <f>IF(ISNUMBER(SEARCH("营",main!L97)),(-$Y97+50*IF(main!$AK97="是",main!$BB$4,main!$BB$3)),(VLOOKUP(main!L97,main!$AO$4:$AQ$55,2,FALSE))*IF(main!$AK97="是",main!$BB$4,main!$BB$3))</f>
        <v>0</v>
      </c>
      <c r="E97" s="12">
        <f>IF(ISNUMBER(SEARCH("营",main!M97)),(-$Y97+50*IF(main!$AK97="是",main!$BB$4,main!$BB$3)),(VLOOKUP(main!M97,main!$AO$4:$AQ$55,2,FALSE))*IF(main!$AK97="是",main!$BB$4,main!$BB$3))</f>
        <v>0</v>
      </c>
      <c r="F97" s="12">
        <f>IF(ISNUMBER(SEARCH("营",main!N97)),(-$Y97+50*IF(main!$AK97="是",main!$BB$4,main!$BB$3)),(VLOOKUP(main!N97,main!$AO$4:$AQ$55,2,FALSE))*IF(main!$AK97="是",main!$BB$4,main!$BB$3))</f>
        <v>0</v>
      </c>
      <c r="G97" s="12">
        <f>IF(ISNUMBER(SEARCH("营",main!O97)),(-$Y97+50*IF(main!$AK97="是",main!$BB$4,main!$BB$3)),(VLOOKUP(main!O97,main!$AO$4:$AQ$55,2,FALSE))*IF(main!$AK97="是",main!$BB$4,main!$BB$3))</f>
        <v>0</v>
      </c>
      <c r="H97" s="12">
        <f>IF(ISNUMBER(SEARCH("营",main!P97)),(-$Y97+50*IF(main!$AK97="是",main!$BB$4,main!$BB$3)),(VLOOKUP(main!P97,main!$AO$4:$AQ$55,2,FALSE))*IF(main!$AK97="是",main!$BB$4,main!$BB$3))</f>
        <v>0</v>
      </c>
      <c r="I97" s="12">
        <f>IF(ISNUMBER(SEARCH("营",main!Q97)),(-$Y97+50*IF(main!$AK97="是",main!$BB$4,main!$BB$3)),(VLOOKUP(main!Q97,main!$AO$4:$AQ$55,2,FALSE))*IF(main!$AK97="是",main!$BB$4,main!$BB$3))</f>
        <v>0</v>
      </c>
      <c r="J97" s="12">
        <f>IF(ISNUMBER(SEARCH("营",main!R97)),(-$Y97+50*IF(main!$AK97="是",main!$BB$4,main!$BB$3)),(VLOOKUP(main!R97,main!$AO$4:$AQ$55,2,FALSE))*IF(main!$AK97="是",main!$BB$4,main!$BB$3))</f>
        <v>0</v>
      </c>
      <c r="K97" s="12">
        <f>IF(ISNUMBER(SEARCH("营",main!S97)),(-$Y97+50*IF(main!$AK97="是",main!$BB$4,main!$BB$3)),(VLOOKUP(main!S97,main!$AO$4:$AQ$55,2,FALSE))*IF(main!$AK97="是",main!$BB$4,main!$BB$3))</f>
        <v>0</v>
      </c>
      <c r="L97" s="12">
        <f>IF(ISNUMBER(SEARCH("营",main!T97)),(-$Y97+50*IF(main!$AK97="是",main!$BB$4,main!$BB$3)),(VLOOKUP(main!T97,main!$AO$4:$AQ$55,2,FALSE))*IF(main!$AK97="是",main!$BB$4,main!$BB$3))</f>
        <v>0</v>
      </c>
      <c r="M97" s="12">
        <f>IF(ISNUMBER(SEARCH("营",main!U97)),(-$Y97+50*IF(main!$AK97="是",main!$BB$4,main!$BB$3)),(VLOOKUP(main!U97,main!$AO$4:$AQ$55,2,FALSE))*IF(main!$AK97="是",main!$BB$4,main!$BB$3))</f>
        <v>0</v>
      </c>
      <c r="N97" s="12">
        <f>IF(ISNUMBER(SEARCH("营",main!V97)),(-$Y97+50*IF(main!$AK97="是",main!$BB$4,main!$BB$3)),(VLOOKUP(main!V97,main!$AO$4:$AQ$55,2,FALSE))*IF(main!$AK97="是",main!$BB$4,main!$BB$3))</f>
        <v>0</v>
      </c>
      <c r="O97" s="12">
        <f>IF(ISNUMBER(SEARCH("营",main!W97)),(-$Y97+50*IF(main!$AK97="是",main!$BB$4,main!$BB$3)),(VLOOKUP(main!W97,main!$AO$4:$AQ$55,2,FALSE))*IF(main!$AK97="是",main!$BB$4,main!$BB$3))</f>
        <v>0</v>
      </c>
      <c r="P97" s="12">
        <f>IF(ISNUMBER(SEARCH("营",main!X97)),(-$Y97+50*IF(main!$AK97="是",main!$BB$4,main!$BB$3)),(VLOOKUP(main!X97,main!$AO$4:$AQ$55,2,FALSE))*IF(main!$AK97="是",main!$BB$4,main!$BB$3))</f>
        <v>0</v>
      </c>
      <c r="Q97" s="12">
        <f>IF(ISNUMBER(SEARCH("营",main!Y97)),(-$Y97+50*IF(main!$AK97="是",main!$BB$4,main!$BB$3)),(VLOOKUP(main!Y97,main!$AO$4:$AQ$55,2,FALSE))*IF(main!$AK97="是",main!$BB$4,main!$BB$3))</f>
        <v>0</v>
      </c>
      <c r="R97" s="12">
        <f>IF(ISNUMBER(SEARCH("营",main!Z97)),(-$Y97+50*IF(main!$AK97="是",main!$BB$4,main!$BB$3)),(VLOOKUP(main!Z97,main!$AO$4:$AQ$55,2,FALSE))*IF(main!$AK97="是",main!$BB$4,main!$BB$3))</f>
        <v>0</v>
      </c>
      <c r="S97" s="12">
        <f>IF(ISNUMBER(SEARCH("营",main!AA97)),(-$Y97+50*IF(main!$AK97="是",main!$BB$4,main!$BB$3)),(VLOOKUP(main!AA97,main!$AO$4:$AQ$55,2,FALSE))*IF(main!$AK97="是",main!$BB$4,main!$BB$3))</f>
        <v>0</v>
      </c>
      <c r="T97" s="12">
        <f>IF(ISNUMBER(SEARCH("营",main!AB97)),(-$Y97+50*IF(main!$AK97="是",main!$BB$4,main!$BB$3)),(VLOOKUP(main!AB97,main!$AO$4:$AQ$55,2,FALSE))*IF(main!$AK97="是",main!$BB$4,main!$BB$3))</f>
        <v>0</v>
      </c>
      <c r="U97" s="12">
        <f>IF(ISNUMBER(SEARCH("营",main!AC97)),(-$Y97+50*IF(main!$AK97="是",main!$BB$4,main!$BB$3)),(VLOOKUP(main!AC97,main!$AO$4:$AQ$55,2,FALSE))*IF(main!$AK97="是",main!$BB$4,main!$BB$3))</f>
        <v>0</v>
      </c>
      <c r="V97" s="12">
        <f>IF(ISNUMBER(SEARCH("营",main!AD97)),(-$Y97+50*IF(main!$AK97="是",main!$BB$4,main!$BB$3)),(VLOOKUP(main!AD97,main!$AO$4:$AQ$55,2,FALSE))*IF(main!$AK97="是",main!$BB$4,main!$BB$3))</f>
        <v>0</v>
      </c>
      <c r="W97" s="12">
        <f>IF(ISNUMBER(SEARCH("营",main!AE97)),(-$Y97+50*IF(main!$AK97="是",main!$BB$4,main!$BB$3)),(VLOOKUP(main!AE97,main!$AO$4:$AQ$55,2,FALSE))*IF(main!$AK97="是",main!$BB$4,main!$BB$3))</f>
        <v>0</v>
      </c>
      <c r="X97" s="12">
        <f>IF(ISNUMBER(SEARCH("营",main!AF97)),(-$Y97+50*IF(main!$AK97="是",main!$BB$4,main!$BB$3)),(VLOOKUP(main!AF97,main!$AO$4:$AQ$55,2,FALSE))*IF(main!$AK97="是",main!$BB$4,main!$BB$3))</f>
        <v>0</v>
      </c>
      <c r="Y97" s="98">
        <v>100</v>
      </c>
      <c r="Z97" s="95">
        <v>46369</v>
      </c>
      <c r="AA97">
        <v>94</v>
      </c>
    </row>
    <row r="98" spans="1:27">
      <c r="A98" s="12">
        <f>IF(ISNUMBER(SEARCH("营",main!I98)),(-$Y98+50*IF(main!$AK98="是",main!$BB$4,main!$BB$3)),(VLOOKUP(main!I98,main!$AO$4:$AQ$55,2,FALSE))*IF(main!$AK98="是",main!$BB$4,main!$BB$3))</f>
        <v>0</v>
      </c>
      <c r="B98" s="12">
        <f>IF(ISNUMBER(SEARCH("营",main!J98)),(-$Y98+50*IF(main!$AK98="是",main!$BB$4,main!$BB$3)),(VLOOKUP(main!J98,main!$AO$4:$AQ$55,2,FALSE))*IF(main!$AK98="是",main!$BB$4,main!$BB$3))</f>
        <v>0</v>
      </c>
      <c r="C98" s="12">
        <f>IF(ISNUMBER(SEARCH("营",main!K98)),(-$Y98+50*IF(main!$AK98="是",main!$BB$4,main!$BB$3)),(VLOOKUP(main!K98,main!$AO$4:$AQ$55,2,FALSE))*IF(main!$AK98="是",main!$BB$4,main!$BB$3))</f>
        <v>0</v>
      </c>
      <c r="D98" s="12">
        <f>IF(ISNUMBER(SEARCH("营",main!L98)),(-$Y98+50*IF(main!$AK98="是",main!$BB$4,main!$BB$3)),(VLOOKUP(main!L98,main!$AO$4:$AQ$55,2,FALSE))*IF(main!$AK98="是",main!$BB$4,main!$BB$3))</f>
        <v>0</v>
      </c>
      <c r="E98" s="12">
        <f>IF(ISNUMBER(SEARCH("营",main!M98)),(-$Y98+50*IF(main!$AK98="是",main!$BB$4,main!$BB$3)),(VLOOKUP(main!M98,main!$AO$4:$AQ$55,2,FALSE))*IF(main!$AK98="是",main!$BB$4,main!$BB$3))</f>
        <v>0</v>
      </c>
      <c r="F98" s="12">
        <f>IF(ISNUMBER(SEARCH("营",main!N98)),(-$Y98+50*IF(main!$AK98="是",main!$BB$4,main!$BB$3)),(VLOOKUP(main!N98,main!$AO$4:$AQ$55,2,FALSE))*IF(main!$AK98="是",main!$BB$4,main!$BB$3))</f>
        <v>0</v>
      </c>
      <c r="G98" s="12">
        <f>IF(ISNUMBER(SEARCH("营",main!O98)),(-$Y98+50*IF(main!$AK98="是",main!$BB$4,main!$BB$3)),(VLOOKUP(main!O98,main!$AO$4:$AQ$55,2,FALSE))*IF(main!$AK98="是",main!$BB$4,main!$BB$3))</f>
        <v>0</v>
      </c>
      <c r="H98" s="12">
        <f>IF(ISNUMBER(SEARCH("营",main!P98)),(-$Y98+50*IF(main!$AK98="是",main!$BB$4,main!$BB$3)),(VLOOKUP(main!P98,main!$AO$4:$AQ$55,2,FALSE))*IF(main!$AK98="是",main!$BB$4,main!$BB$3))</f>
        <v>0</v>
      </c>
      <c r="I98" s="12">
        <f>IF(ISNUMBER(SEARCH("营",main!Q98)),(-$Y98+50*IF(main!$AK98="是",main!$BB$4,main!$BB$3)),(VLOOKUP(main!Q98,main!$AO$4:$AQ$55,2,FALSE))*IF(main!$AK98="是",main!$BB$4,main!$BB$3))</f>
        <v>0</v>
      </c>
      <c r="J98" s="12">
        <f>IF(ISNUMBER(SEARCH("营",main!R98)),(-$Y98+50*IF(main!$AK98="是",main!$BB$4,main!$BB$3)),(VLOOKUP(main!R98,main!$AO$4:$AQ$55,2,FALSE))*IF(main!$AK98="是",main!$BB$4,main!$BB$3))</f>
        <v>0</v>
      </c>
      <c r="K98" s="12">
        <f>IF(ISNUMBER(SEARCH("营",main!S98)),(-$Y98+50*IF(main!$AK98="是",main!$BB$4,main!$BB$3)),(VLOOKUP(main!S98,main!$AO$4:$AQ$55,2,FALSE))*IF(main!$AK98="是",main!$BB$4,main!$BB$3))</f>
        <v>0</v>
      </c>
      <c r="L98" s="12">
        <f>IF(ISNUMBER(SEARCH("营",main!T98)),(-$Y98+50*IF(main!$AK98="是",main!$BB$4,main!$BB$3)),(VLOOKUP(main!T98,main!$AO$4:$AQ$55,2,FALSE))*IF(main!$AK98="是",main!$BB$4,main!$BB$3))</f>
        <v>0</v>
      </c>
      <c r="M98" s="12">
        <f>IF(ISNUMBER(SEARCH("营",main!U98)),(-$Y98+50*IF(main!$AK98="是",main!$BB$4,main!$BB$3)),(VLOOKUP(main!U98,main!$AO$4:$AQ$55,2,FALSE))*IF(main!$AK98="是",main!$BB$4,main!$BB$3))</f>
        <v>0</v>
      </c>
      <c r="N98" s="12">
        <f>IF(ISNUMBER(SEARCH("营",main!V98)),(-$Y98+50*IF(main!$AK98="是",main!$BB$4,main!$BB$3)),(VLOOKUP(main!V98,main!$AO$4:$AQ$55,2,FALSE))*IF(main!$AK98="是",main!$BB$4,main!$BB$3))</f>
        <v>0</v>
      </c>
      <c r="O98" s="12">
        <f>IF(ISNUMBER(SEARCH("营",main!W98)),(-$Y98+50*IF(main!$AK98="是",main!$BB$4,main!$BB$3)),(VLOOKUP(main!W98,main!$AO$4:$AQ$55,2,FALSE))*IF(main!$AK98="是",main!$BB$4,main!$BB$3))</f>
        <v>0</v>
      </c>
      <c r="P98" s="12">
        <f>IF(ISNUMBER(SEARCH("营",main!X98)),(-$Y98+50*IF(main!$AK98="是",main!$BB$4,main!$BB$3)),(VLOOKUP(main!X98,main!$AO$4:$AQ$55,2,FALSE))*IF(main!$AK98="是",main!$BB$4,main!$BB$3))</f>
        <v>0</v>
      </c>
      <c r="Q98" s="12">
        <f>IF(ISNUMBER(SEARCH("营",main!Y98)),(-$Y98+50*IF(main!$AK98="是",main!$BB$4,main!$BB$3)),(VLOOKUP(main!Y98,main!$AO$4:$AQ$55,2,FALSE))*IF(main!$AK98="是",main!$BB$4,main!$BB$3))</f>
        <v>0</v>
      </c>
      <c r="R98" s="12">
        <f>IF(ISNUMBER(SEARCH("营",main!Z98)),(-$Y98+50*IF(main!$AK98="是",main!$BB$4,main!$BB$3)),(VLOOKUP(main!Z98,main!$AO$4:$AQ$55,2,FALSE))*IF(main!$AK98="是",main!$BB$4,main!$BB$3))</f>
        <v>0</v>
      </c>
      <c r="S98" s="12">
        <f>IF(ISNUMBER(SEARCH("营",main!AA98)),(-$Y98+50*IF(main!$AK98="是",main!$BB$4,main!$BB$3)),(VLOOKUP(main!AA98,main!$AO$4:$AQ$55,2,FALSE))*IF(main!$AK98="是",main!$BB$4,main!$BB$3))</f>
        <v>0</v>
      </c>
      <c r="T98" s="12">
        <f>IF(ISNUMBER(SEARCH("营",main!AB98)),(-$Y98+50*IF(main!$AK98="是",main!$BB$4,main!$BB$3)),(VLOOKUP(main!AB98,main!$AO$4:$AQ$55,2,FALSE))*IF(main!$AK98="是",main!$BB$4,main!$BB$3))</f>
        <v>0</v>
      </c>
      <c r="U98" s="12">
        <f>IF(ISNUMBER(SEARCH("营",main!AC98)),(-$Y98+50*IF(main!$AK98="是",main!$BB$4,main!$BB$3)),(VLOOKUP(main!AC98,main!$AO$4:$AQ$55,2,FALSE))*IF(main!$AK98="是",main!$BB$4,main!$BB$3))</f>
        <v>0</v>
      </c>
      <c r="V98" s="12">
        <f>IF(ISNUMBER(SEARCH("营",main!AD98)),(-$Y98+50*IF(main!$AK98="是",main!$BB$4,main!$BB$3)),(VLOOKUP(main!AD98,main!$AO$4:$AQ$55,2,FALSE))*IF(main!$AK98="是",main!$BB$4,main!$BB$3))</f>
        <v>0</v>
      </c>
      <c r="W98" s="12">
        <f>IF(ISNUMBER(SEARCH("营",main!AE98)),(-$Y98+50*IF(main!$AK98="是",main!$BB$4,main!$BB$3)),(VLOOKUP(main!AE98,main!$AO$4:$AQ$55,2,FALSE))*IF(main!$AK98="是",main!$BB$4,main!$BB$3))</f>
        <v>0</v>
      </c>
      <c r="X98" s="12">
        <f>IF(ISNUMBER(SEARCH("营",main!AF98)),(-$Y98+50*IF(main!$AK98="是",main!$BB$4,main!$BB$3)),(VLOOKUP(main!AF98,main!$AO$4:$AQ$55,2,FALSE))*IF(main!$AK98="是",main!$BB$4,main!$BB$3))</f>
        <v>0</v>
      </c>
      <c r="Y98" s="98">
        <v>100</v>
      </c>
      <c r="Z98" s="95">
        <v>46370</v>
      </c>
      <c r="AA98">
        <v>95</v>
      </c>
    </row>
    <row r="99" spans="1:27">
      <c r="A99" s="12">
        <f>IF(ISNUMBER(SEARCH("营",main!I99)),(-$Y99+50*IF(main!$AK99="是",main!$BB$4,main!$BB$3)),(VLOOKUP(main!I99,main!$AO$4:$AQ$55,2,FALSE))*IF(main!$AK99="是",main!$BB$4,main!$BB$3))</f>
        <v>0</v>
      </c>
      <c r="B99" s="12">
        <f>IF(ISNUMBER(SEARCH("营",main!J99)),(-$Y99+50*IF(main!$AK99="是",main!$BB$4,main!$BB$3)),(VLOOKUP(main!J99,main!$AO$4:$AQ$55,2,FALSE))*IF(main!$AK99="是",main!$BB$4,main!$BB$3))</f>
        <v>0</v>
      </c>
      <c r="C99" s="12">
        <f>IF(ISNUMBER(SEARCH("营",main!K99)),(-$Y99+50*IF(main!$AK99="是",main!$BB$4,main!$BB$3)),(VLOOKUP(main!K99,main!$AO$4:$AQ$55,2,FALSE))*IF(main!$AK99="是",main!$BB$4,main!$BB$3))</f>
        <v>0</v>
      </c>
      <c r="D99" s="12">
        <f>IF(ISNUMBER(SEARCH("营",main!L99)),(-$Y99+50*IF(main!$AK99="是",main!$BB$4,main!$BB$3)),(VLOOKUP(main!L99,main!$AO$4:$AQ$55,2,FALSE))*IF(main!$AK99="是",main!$BB$4,main!$BB$3))</f>
        <v>0</v>
      </c>
      <c r="E99" s="12">
        <f>IF(ISNUMBER(SEARCH("营",main!M99)),(-$Y99+50*IF(main!$AK99="是",main!$BB$4,main!$BB$3)),(VLOOKUP(main!M99,main!$AO$4:$AQ$55,2,FALSE))*IF(main!$AK99="是",main!$BB$4,main!$BB$3))</f>
        <v>0</v>
      </c>
      <c r="F99" s="12">
        <f>IF(ISNUMBER(SEARCH("营",main!N99)),(-$Y99+50*IF(main!$AK99="是",main!$BB$4,main!$BB$3)),(VLOOKUP(main!N99,main!$AO$4:$AQ$55,2,FALSE))*IF(main!$AK99="是",main!$BB$4,main!$BB$3))</f>
        <v>0</v>
      </c>
      <c r="G99" s="12">
        <f>IF(ISNUMBER(SEARCH("营",main!O99)),(-$Y99+50*IF(main!$AK99="是",main!$BB$4,main!$BB$3)),(VLOOKUP(main!O99,main!$AO$4:$AQ$55,2,FALSE))*IF(main!$AK99="是",main!$BB$4,main!$BB$3))</f>
        <v>0</v>
      </c>
      <c r="H99" s="12">
        <f>IF(ISNUMBER(SEARCH("营",main!P99)),(-$Y99+50*IF(main!$AK99="是",main!$BB$4,main!$BB$3)),(VLOOKUP(main!P99,main!$AO$4:$AQ$55,2,FALSE))*IF(main!$AK99="是",main!$BB$4,main!$BB$3))</f>
        <v>0</v>
      </c>
      <c r="I99" s="12">
        <f>IF(ISNUMBER(SEARCH("营",main!Q99)),(-$Y99+50*IF(main!$AK99="是",main!$BB$4,main!$BB$3)),(VLOOKUP(main!Q99,main!$AO$4:$AQ$55,2,FALSE))*IF(main!$AK99="是",main!$BB$4,main!$BB$3))</f>
        <v>0</v>
      </c>
      <c r="J99" s="12">
        <f>IF(ISNUMBER(SEARCH("营",main!R99)),(-$Y99+50*IF(main!$AK99="是",main!$BB$4,main!$BB$3)),(VLOOKUP(main!R99,main!$AO$4:$AQ$55,2,FALSE))*IF(main!$AK99="是",main!$BB$4,main!$BB$3))</f>
        <v>0</v>
      </c>
      <c r="K99" s="12">
        <f>IF(ISNUMBER(SEARCH("营",main!S99)),(-$Y99+50*IF(main!$AK99="是",main!$BB$4,main!$BB$3)),(VLOOKUP(main!S99,main!$AO$4:$AQ$55,2,FALSE))*IF(main!$AK99="是",main!$BB$4,main!$BB$3))</f>
        <v>0</v>
      </c>
      <c r="L99" s="12">
        <f>IF(ISNUMBER(SEARCH("营",main!T99)),(-$Y99+50*IF(main!$AK99="是",main!$BB$4,main!$BB$3)),(VLOOKUP(main!T99,main!$AO$4:$AQ$55,2,FALSE))*IF(main!$AK99="是",main!$BB$4,main!$BB$3))</f>
        <v>0</v>
      </c>
      <c r="M99" s="12">
        <f>IF(ISNUMBER(SEARCH("营",main!U99)),(-$Y99+50*IF(main!$AK99="是",main!$BB$4,main!$BB$3)),(VLOOKUP(main!U99,main!$AO$4:$AQ$55,2,FALSE))*IF(main!$AK99="是",main!$BB$4,main!$BB$3))</f>
        <v>0</v>
      </c>
      <c r="N99" s="12">
        <f>IF(ISNUMBER(SEARCH("营",main!V99)),(-$Y99+50*IF(main!$AK99="是",main!$BB$4,main!$BB$3)),(VLOOKUP(main!V99,main!$AO$4:$AQ$55,2,FALSE))*IF(main!$AK99="是",main!$BB$4,main!$BB$3))</f>
        <v>0</v>
      </c>
      <c r="O99" s="12">
        <f>IF(ISNUMBER(SEARCH("营",main!W99)),(-$Y99+50*IF(main!$AK99="是",main!$BB$4,main!$BB$3)),(VLOOKUP(main!W99,main!$AO$4:$AQ$55,2,FALSE))*IF(main!$AK99="是",main!$BB$4,main!$BB$3))</f>
        <v>0</v>
      </c>
      <c r="P99" s="12">
        <f>IF(ISNUMBER(SEARCH("营",main!X99)),(-$Y99+50*IF(main!$AK99="是",main!$BB$4,main!$BB$3)),(VLOOKUP(main!X99,main!$AO$4:$AQ$55,2,FALSE))*IF(main!$AK99="是",main!$BB$4,main!$BB$3))</f>
        <v>0</v>
      </c>
      <c r="Q99" s="12">
        <f>IF(ISNUMBER(SEARCH("营",main!Y99)),(-$Y99+50*IF(main!$AK99="是",main!$BB$4,main!$BB$3)),(VLOOKUP(main!Y99,main!$AO$4:$AQ$55,2,FALSE))*IF(main!$AK99="是",main!$BB$4,main!$BB$3))</f>
        <v>0</v>
      </c>
      <c r="R99" s="12">
        <f>IF(ISNUMBER(SEARCH("营",main!Z99)),(-$Y99+50*IF(main!$AK99="是",main!$BB$4,main!$BB$3)),(VLOOKUP(main!Z99,main!$AO$4:$AQ$55,2,FALSE))*IF(main!$AK99="是",main!$BB$4,main!$BB$3))</f>
        <v>0</v>
      </c>
      <c r="S99" s="12">
        <f>IF(ISNUMBER(SEARCH("营",main!AA99)),(-$Y99+50*IF(main!$AK99="是",main!$BB$4,main!$BB$3)),(VLOOKUP(main!AA99,main!$AO$4:$AQ$55,2,FALSE))*IF(main!$AK99="是",main!$BB$4,main!$BB$3))</f>
        <v>0</v>
      </c>
      <c r="T99" s="12">
        <f>IF(ISNUMBER(SEARCH("营",main!AB99)),(-$Y99+50*IF(main!$AK99="是",main!$BB$4,main!$BB$3)),(VLOOKUP(main!AB99,main!$AO$4:$AQ$55,2,FALSE))*IF(main!$AK99="是",main!$BB$4,main!$BB$3))</f>
        <v>0</v>
      </c>
      <c r="U99" s="12">
        <f>IF(ISNUMBER(SEARCH("营",main!AC99)),(-$Y99+50*IF(main!$AK99="是",main!$BB$4,main!$BB$3)),(VLOOKUP(main!AC99,main!$AO$4:$AQ$55,2,FALSE))*IF(main!$AK99="是",main!$BB$4,main!$BB$3))</f>
        <v>0</v>
      </c>
      <c r="V99" s="12">
        <f>IF(ISNUMBER(SEARCH("营",main!AD99)),(-$Y99+50*IF(main!$AK99="是",main!$BB$4,main!$BB$3)),(VLOOKUP(main!AD99,main!$AO$4:$AQ$55,2,FALSE))*IF(main!$AK99="是",main!$BB$4,main!$BB$3))</f>
        <v>0</v>
      </c>
      <c r="W99" s="12">
        <f>IF(ISNUMBER(SEARCH("营",main!AE99)),(-$Y99+50*IF(main!$AK99="是",main!$BB$4,main!$BB$3)),(VLOOKUP(main!AE99,main!$AO$4:$AQ$55,2,FALSE))*IF(main!$AK99="是",main!$BB$4,main!$BB$3))</f>
        <v>0</v>
      </c>
      <c r="X99" s="12">
        <f>IF(ISNUMBER(SEARCH("营",main!AF99)),(-$Y99+50*IF(main!$AK99="是",main!$BB$4,main!$BB$3)),(VLOOKUP(main!AF99,main!$AO$4:$AQ$55,2,FALSE))*IF(main!$AK99="是",main!$BB$4,main!$BB$3))</f>
        <v>0</v>
      </c>
      <c r="Y99" s="98">
        <v>100</v>
      </c>
      <c r="Z99" s="95">
        <v>46371</v>
      </c>
      <c r="AA99">
        <v>96</v>
      </c>
    </row>
    <row r="100" spans="1:27">
      <c r="A100" s="12">
        <f>IF(ISNUMBER(SEARCH("营",main!I100)),(-$Y100+50*IF(main!$AK100="是",main!$BB$4,main!$BB$3)),(VLOOKUP(main!I100,main!$AO$4:$AQ$55,2,FALSE))*IF(main!$AK100="是",main!$BB$4,main!$BB$3))</f>
        <v>0</v>
      </c>
      <c r="B100" s="12">
        <f>IF(ISNUMBER(SEARCH("营",main!J100)),(-$Y100+50*IF(main!$AK100="是",main!$BB$4,main!$BB$3)),(VLOOKUP(main!J100,main!$AO$4:$AQ$55,2,FALSE))*IF(main!$AK100="是",main!$BB$4,main!$BB$3))</f>
        <v>0</v>
      </c>
      <c r="C100" s="12">
        <f>IF(ISNUMBER(SEARCH("营",main!K100)),(-$Y100+50*IF(main!$AK100="是",main!$BB$4,main!$BB$3)),(VLOOKUP(main!K100,main!$AO$4:$AQ$55,2,FALSE))*IF(main!$AK100="是",main!$BB$4,main!$BB$3))</f>
        <v>0</v>
      </c>
      <c r="D100" s="12">
        <f>IF(ISNUMBER(SEARCH("营",main!L100)),(-$Y100+50*IF(main!$AK100="是",main!$BB$4,main!$BB$3)),(VLOOKUP(main!L100,main!$AO$4:$AQ$55,2,FALSE))*IF(main!$AK100="是",main!$BB$4,main!$BB$3))</f>
        <v>0</v>
      </c>
      <c r="E100" s="12">
        <f>IF(ISNUMBER(SEARCH("营",main!M100)),(-$Y100+50*IF(main!$AK100="是",main!$BB$4,main!$BB$3)),(VLOOKUP(main!M100,main!$AO$4:$AQ$55,2,FALSE))*IF(main!$AK100="是",main!$BB$4,main!$BB$3))</f>
        <v>0</v>
      </c>
      <c r="F100" s="12">
        <f>IF(ISNUMBER(SEARCH("营",main!N100)),(-$Y100+50*IF(main!$AK100="是",main!$BB$4,main!$BB$3)),(VLOOKUP(main!N100,main!$AO$4:$AQ$55,2,FALSE))*IF(main!$AK100="是",main!$BB$4,main!$BB$3))</f>
        <v>0</v>
      </c>
      <c r="G100" s="12">
        <f>IF(ISNUMBER(SEARCH("营",main!O100)),(-$Y100+50*IF(main!$AK100="是",main!$BB$4,main!$BB$3)),(VLOOKUP(main!O100,main!$AO$4:$AQ$55,2,FALSE))*IF(main!$AK100="是",main!$BB$4,main!$BB$3))</f>
        <v>0</v>
      </c>
      <c r="H100" s="12">
        <f>IF(ISNUMBER(SEARCH("营",main!P100)),(-$Y100+50*IF(main!$AK100="是",main!$BB$4,main!$BB$3)),(VLOOKUP(main!P100,main!$AO$4:$AQ$55,2,FALSE))*IF(main!$AK100="是",main!$BB$4,main!$BB$3))</f>
        <v>0</v>
      </c>
      <c r="I100" s="12">
        <f>IF(ISNUMBER(SEARCH("营",main!Q100)),(-$Y100+50*IF(main!$AK100="是",main!$BB$4,main!$BB$3)),(VLOOKUP(main!Q100,main!$AO$4:$AQ$55,2,FALSE))*IF(main!$AK100="是",main!$BB$4,main!$BB$3))</f>
        <v>0</v>
      </c>
      <c r="J100" s="12">
        <f>IF(ISNUMBER(SEARCH("营",main!R100)),(-$Y100+50*IF(main!$AK100="是",main!$BB$4,main!$BB$3)),(VLOOKUP(main!R100,main!$AO$4:$AQ$55,2,FALSE))*IF(main!$AK100="是",main!$BB$4,main!$BB$3))</f>
        <v>0</v>
      </c>
      <c r="K100" s="12">
        <f>IF(ISNUMBER(SEARCH("营",main!S100)),(-$Y100+50*IF(main!$AK100="是",main!$BB$4,main!$BB$3)),(VLOOKUP(main!S100,main!$AO$4:$AQ$55,2,FALSE))*IF(main!$AK100="是",main!$BB$4,main!$BB$3))</f>
        <v>0</v>
      </c>
      <c r="L100" s="12">
        <f>IF(ISNUMBER(SEARCH("营",main!T100)),(-$Y100+50*IF(main!$AK100="是",main!$BB$4,main!$BB$3)),(VLOOKUP(main!T100,main!$AO$4:$AQ$55,2,FALSE))*IF(main!$AK100="是",main!$BB$4,main!$BB$3))</f>
        <v>0</v>
      </c>
      <c r="M100" s="12">
        <f>IF(ISNUMBER(SEARCH("营",main!U100)),(-$Y100+50*IF(main!$AK100="是",main!$BB$4,main!$BB$3)),(VLOOKUP(main!U100,main!$AO$4:$AQ$55,2,FALSE))*IF(main!$AK100="是",main!$BB$4,main!$BB$3))</f>
        <v>0</v>
      </c>
      <c r="N100" s="12">
        <f>IF(ISNUMBER(SEARCH("营",main!V100)),(-$Y100+50*IF(main!$AK100="是",main!$BB$4,main!$BB$3)),(VLOOKUP(main!V100,main!$AO$4:$AQ$55,2,FALSE))*IF(main!$AK100="是",main!$BB$4,main!$BB$3))</f>
        <v>0</v>
      </c>
      <c r="O100" s="12">
        <f>IF(ISNUMBER(SEARCH("营",main!W100)),(-$Y100+50*IF(main!$AK100="是",main!$BB$4,main!$BB$3)),(VLOOKUP(main!W100,main!$AO$4:$AQ$55,2,FALSE))*IF(main!$AK100="是",main!$BB$4,main!$BB$3))</f>
        <v>0</v>
      </c>
      <c r="P100" s="12">
        <f>IF(ISNUMBER(SEARCH("营",main!X100)),(-$Y100+50*IF(main!$AK100="是",main!$BB$4,main!$BB$3)),(VLOOKUP(main!X100,main!$AO$4:$AQ$55,2,FALSE))*IF(main!$AK100="是",main!$BB$4,main!$BB$3))</f>
        <v>0</v>
      </c>
      <c r="Q100" s="12">
        <f>IF(ISNUMBER(SEARCH("营",main!Y100)),(-$Y100+50*IF(main!$AK100="是",main!$BB$4,main!$BB$3)),(VLOOKUP(main!Y100,main!$AO$4:$AQ$55,2,FALSE))*IF(main!$AK100="是",main!$BB$4,main!$BB$3))</f>
        <v>0</v>
      </c>
      <c r="R100" s="12">
        <f>IF(ISNUMBER(SEARCH("营",main!Z100)),(-$Y100+50*IF(main!$AK100="是",main!$BB$4,main!$BB$3)),(VLOOKUP(main!Z100,main!$AO$4:$AQ$55,2,FALSE))*IF(main!$AK100="是",main!$BB$4,main!$BB$3))</f>
        <v>0</v>
      </c>
      <c r="S100" s="12">
        <f>IF(ISNUMBER(SEARCH("营",main!AA100)),(-$Y100+50*IF(main!$AK100="是",main!$BB$4,main!$BB$3)),(VLOOKUP(main!AA100,main!$AO$4:$AQ$55,2,FALSE))*IF(main!$AK100="是",main!$BB$4,main!$BB$3))</f>
        <v>0</v>
      </c>
      <c r="T100" s="12">
        <f>IF(ISNUMBER(SEARCH("营",main!AB100)),(-$Y100+50*IF(main!$AK100="是",main!$BB$4,main!$BB$3)),(VLOOKUP(main!AB100,main!$AO$4:$AQ$55,2,FALSE))*IF(main!$AK100="是",main!$BB$4,main!$BB$3))</f>
        <v>0</v>
      </c>
      <c r="U100" s="12">
        <f>IF(ISNUMBER(SEARCH("营",main!AC100)),(-$Y100+50*IF(main!$AK100="是",main!$BB$4,main!$BB$3)),(VLOOKUP(main!AC100,main!$AO$4:$AQ$55,2,FALSE))*IF(main!$AK100="是",main!$BB$4,main!$BB$3))</f>
        <v>0</v>
      </c>
      <c r="V100" s="12">
        <f>IF(ISNUMBER(SEARCH("营",main!AD100)),(-$Y100+50*IF(main!$AK100="是",main!$BB$4,main!$BB$3)),(VLOOKUP(main!AD100,main!$AO$4:$AQ$55,2,FALSE))*IF(main!$AK100="是",main!$BB$4,main!$BB$3))</f>
        <v>0</v>
      </c>
      <c r="W100" s="12">
        <f>IF(ISNUMBER(SEARCH("营",main!AE100)),(-$Y100+50*IF(main!$AK100="是",main!$BB$4,main!$BB$3)),(VLOOKUP(main!AE100,main!$AO$4:$AQ$55,2,FALSE))*IF(main!$AK100="是",main!$BB$4,main!$BB$3))</f>
        <v>0</v>
      </c>
      <c r="X100" s="12">
        <f>IF(ISNUMBER(SEARCH("营",main!AF100)),(-$Y100+50*IF(main!$AK100="是",main!$BB$4,main!$BB$3)),(VLOOKUP(main!AF100,main!$AO$4:$AQ$55,2,FALSE))*IF(main!$AK100="是",main!$BB$4,main!$BB$3))</f>
        <v>0</v>
      </c>
      <c r="Y100" s="98">
        <v>100</v>
      </c>
      <c r="Z100" s="95">
        <v>46372</v>
      </c>
      <c r="AA100">
        <v>97</v>
      </c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X94"/>
  <sheetViews>
    <sheetView topLeftCell="A70" workbookViewId="0">
      <selection activeCell="H32" sqref="A24:H32"/>
    </sheetView>
  </sheetViews>
  <sheetFormatPr defaultColWidth="9" defaultRowHeight="15"/>
  <sheetData>
    <row r="2" spans="1:24">
      <c r="A2" s="131" t="s">
        <v>97</v>
      </c>
      <c r="B2" s="132"/>
      <c r="C2" s="1" t="s">
        <v>3</v>
      </c>
      <c r="D2" s="1">
        <f>COUNTIF(A4:H94,"&lt;&gt;空")</f>
        <v>728</v>
      </c>
      <c r="E2" s="132" t="s">
        <v>4</v>
      </c>
      <c r="F2" s="132"/>
      <c r="G2" s="132"/>
      <c r="H2" s="133"/>
      <c r="I2" s="134" t="s">
        <v>5</v>
      </c>
      <c r="J2" s="135"/>
      <c r="K2" s="2" t="s">
        <v>3</v>
      </c>
      <c r="L2" s="2">
        <f>COUNTIF(I4:P94,"&lt;&gt;空")</f>
        <v>728</v>
      </c>
      <c r="M2" s="135" t="s">
        <v>4</v>
      </c>
      <c r="N2" s="135"/>
      <c r="O2" s="135"/>
      <c r="P2" s="136"/>
      <c r="Q2" s="137" t="s">
        <v>6</v>
      </c>
      <c r="R2" s="129"/>
      <c r="S2" s="4" t="s">
        <v>7</v>
      </c>
      <c r="T2" s="3">
        <f>COUNTIF(Q4:X94,"&lt;&gt;空")</f>
        <v>728</v>
      </c>
      <c r="U2" s="129" t="s">
        <v>4</v>
      </c>
      <c r="V2" s="129"/>
      <c r="W2" s="129"/>
      <c r="X2" s="130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0</v>
      </c>
      <c r="B4" s="12">
        <f>(VLOOKUP(main!J4,main!$AO$4:$AQ$55,3,FALSE))</f>
        <v>0</v>
      </c>
      <c r="C4" s="12">
        <f>(VLOOKUP(main!K4,main!$AO$4:$AQ$55,3,FALSE))</f>
        <v>0</v>
      </c>
      <c r="D4" s="12">
        <f>(VLOOKUP(main!L4,main!$AO$4:$AQ$55,3,FALSE))</f>
        <v>0</v>
      </c>
      <c r="E4" s="12">
        <f>(VLOOKUP(main!M4,main!$AO$4:$AQ$55,3,FALSE))</f>
        <v>0</v>
      </c>
      <c r="F4" s="12">
        <f>(VLOOKUP(main!N4,main!$AO$4:$AQ$55,3,FALSE))</f>
        <v>0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0</v>
      </c>
      <c r="J4" s="12">
        <f>(VLOOKUP(main!R4,main!$AO$4:$AQ$55,3,FALSE))</f>
        <v>0</v>
      </c>
      <c r="K4" s="12">
        <f>(VLOOKUP(main!S4,main!$AO$4:$AQ$55,3,FALSE))</f>
        <v>0</v>
      </c>
      <c r="L4" s="12">
        <f>(VLOOKUP(main!T4,main!$AO$4:$AQ$55,3,FALSE))</f>
        <v>0</v>
      </c>
      <c r="M4" s="12">
        <f>(VLOOKUP(main!U4,main!$AO$4:$AQ$55,3,FALSE))</f>
        <v>0</v>
      </c>
      <c r="N4" s="12">
        <f>(VLOOKUP(main!V4,main!$AO$4:$AQ$55,3,FALSE))</f>
        <v>0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0</v>
      </c>
      <c r="J5" s="12">
        <f>(VLOOKUP(main!R5,main!$AO$4:$AQ$55,3,FALSE))</f>
        <v>0</v>
      </c>
      <c r="K5" s="12">
        <f>(VLOOKUP(main!S5,main!$AO$4:$AQ$55,3,FALSE))</f>
        <v>0</v>
      </c>
      <c r="L5" s="12">
        <f>(VLOOKUP(main!T5,main!$AO$4:$AQ$55,3,FALSE))</f>
        <v>0</v>
      </c>
      <c r="M5" s="12">
        <f>(VLOOKUP(main!U5,main!$AO$4:$AQ$55,3,FALSE))</f>
        <v>0</v>
      </c>
      <c r="N5" s="12">
        <f>(VLOOKUP(main!V5,main!$AO$4:$AQ$55,3,FALSE))</f>
        <v>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0</v>
      </c>
      <c r="R5" s="12">
        <f>(VLOOKUP(main!Z5,main!$AO$4:$AQ$55,3,FALSE))</f>
        <v>0</v>
      </c>
      <c r="S5" s="12">
        <f>(VLOOKUP(main!AA5,main!$AO$4:$AQ$55,3,FALSE))</f>
        <v>0</v>
      </c>
      <c r="T5" s="12">
        <f>(VLOOKUP(main!AB5,main!$AO$4:$AQ$55,3,FALSE))</f>
        <v>0</v>
      </c>
      <c r="U5" s="12">
        <f>(VLOOKUP(main!AC5,main!$AO$4:$AQ$55,3,FALSE))</f>
        <v>0</v>
      </c>
      <c r="V5" s="12">
        <f>(VLOOKUP(main!AD5,main!$AO$4:$AQ$55,3,FALSE))</f>
        <v>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0</v>
      </c>
      <c r="J6" s="12">
        <f>(VLOOKUP(main!R6,main!$AO$4:$AQ$55,3,FALSE))</f>
        <v>0</v>
      </c>
      <c r="K6" s="12">
        <f>(VLOOKUP(main!S6,main!$AO$4:$AQ$55,3,FALSE))</f>
        <v>0</v>
      </c>
      <c r="L6" s="12">
        <f>(VLOOKUP(main!T6,main!$AO$4:$AQ$55,3,FALSE))</f>
        <v>0</v>
      </c>
      <c r="M6" s="12">
        <f>(VLOOKUP(main!U6,main!$AO$4:$AQ$55,3,FALSE))</f>
        <v>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0</v>
      </c>
      <c r="R6" s="12">
        <f>(VLOOKUP(main!Z6,main!$AO$4:$AQ$55,3,FALSE))</f>
        <v>0</v>
      </c>
      <c r="S6" s="12">
        <f>(VLOOKUP(main!AA6,main!$AO$4:$AQ$55,3,FALSE))</f>
        <v>0</v>
      </c>
      <c r="T6" s="12">
        <f>(VLOOKUP(main!AB6,main!$AO$4:$AQ$55,3,FALSE))</f>
        <v>0</v>
      </c>
      <c r="U6" s="12">
        <f>(VLOOKUP(main!AC6,main!$AO$4:$AQ$55,3,FALSE))</f>
        <v>0</v>
      </c>
      <c r="V6" s="12">
        <f>(VLOOKUP(main!AD6,main!$AO$4:$AQ$55,3,FALSE))</f>
        <v>0</v>
      </c>
      <c r="W6" s="13">
        <f>(VLOOKUP(main!AE6,main!$AO$4:$AQ$55,3,FALSE))</f>
        <v>0</v>
      </c>
      <c r="X6" s="13">
        <f>(VLOOKUP(main!AF6,main!$AO$4:$AQ$55,3,FALSE))</f>
        <v>0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0</v>
      </c>
      <c r="R7" s="12">
        <f>(VLOOKUP(main!Z7,main!$AO$4:$AQ$55,3,FALSE))</f>
        <v>0</v>
      </c>
      <c r="S7" s="12">
        <f>(VLOOKUP(main!AA7,main!$AO$4:$AQ$55,3,FALSE))</f>
        <v>0</v>
      </c>
      <c r="T7" s="12">
        <f>(VLOOKUP(main!AB7,main!$AO$4:$AQ$55,3,FALSE))</f>
        <v>0</v>
      </c>
      <c r="U7" s="12">
        <f>(VLOOKUP(main!AC7,main!$AO$4:$AQ$55,3,FALSE))</f>
        <v>0</v>
      </c>
      <c r="V7" s="12">
        <f>(VLOOKUP(main!AD7,main!$AO$4:$AQ$55,3,FALSE))</f>
        <v>0</v>
      </c>
      <c r="W7" s="13">
        <f>(VLOOKUP(main!AE7,main!$AO$4:$AQ$55,3,FALSE))</f>
        <v>0</v>
      </c>
      <c r="X7" s="13">
        <f>(VLOOKUP(main!AF7,main!$AO$4:$AQ$55,3,FALSE))</f>
        <v>0</v>
      </c>
    </row>
    <row r="8" spans="1:24">
      <c r="A8" s="12">
        <f>(VLOOKUP(main!I8,main!$AO$4:$AQ$55,3,FALSE))</f>
        <v>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0</v>
      </c>
      <c r="J8" s="12">
        <f>(VLOOKUP(main!R8,main!$AO$4:$AQ$55,3,FALSE))</f>
        <v>0</v>
      </c>
      <c r="K8" s="12">
        <f>(VLOOKUP(main!S8,main!$AO$4:$AQ$55,3,FALSE))</f>
        <v>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0</v>
      </c>
      <c r="R8" s="12">
        <f>(VLOOKUP(main!Z8,main!$AO$4:$AQ$55,3,FALSE))</f>
        <v>0</v>
      </c>
      <c r="S8" s="12">
        <f>(VLOOKUP(main!AA8,main!$AO$4:$AQ$55,3,FALSE))</f>
        <v>0</v>
      </c>
      <c r="T8" s="12">
        <f>(VLOOKUP(main!AB8,main!$AO$4:$AQ$55,3,FALSE))</f>
        <v>0</v>
      </c>
      <c r="U8" s="12">
        <f>(VLOOKUP(main!AC8,main!$AO$4:$AQ$55,3,FALSE))</f>
        <v>0</v>
      </c>
      <c r="V8" s="12">
        <f>(VLOOKUP(main!AD8,main!$AO$4:$AQ$55,3,FALSE))</f>
        <v>0</v>
      </c>
      <c r="W8" s="13">
        <f>(VLOOKUP(main!AE8,main!$AO$4:$AQ$55,3,FALSE))</f>
        <v>0</v>
      </c>
      <c r="X8" s="13">
        <f>(VLOOKUP(main!AF8,main!$AO$4:$AQ$55,3,FALSE))</f>
        <v>0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0</v>
      </c>
      <c r="R9" s="12">
        <f>(VLOOKUP(main!Z9,main!$AO$4:$AQ$55,3,FALSE))</f>
        <v>0</v>
      </c>
      <c r="S9" s="12">
        <f>(VLOOKUP(main!AA9,main!$AO$4:$AQ$55,3,FALSE))</f>
        <v>0</v>
      </c>
      <c r="T9" s="12">
        <f>(VLOOKUP(main!AB9,main!$AO$4:$AQ$55,3,FALSE))</f>
        <v>0</v>
      </c>
      <c r="U9" s="12">
        <f>(VLOOKUP(main!AC9,main!$AO$4:$AQ$55,3,FALSE))</f>
        <v>0</v>
      </c>
      <c r="V9" s="12">
        <f>(VLOOKUP(main!AD9,main!$AO$4:$AQ$55,3,FALSE))</f>
        <v>0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0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0</v>
      </c>
      <c r="S10" s="12">
        <f>(VLOOKUP(main!AA10,main!$AO$4:$AQ$55,3,FALSE))</f>
        <v>0</v>
      </c>
      <c r="T10" s="12">
        <f>(VLOOKUP(main!AB10,main!$AO$4:$AQ$55,3,FALSE))</f>
        <v>0</v>
      </c>
      <c r="U10" s="12">
        <f>(VLOOKUP(main!AC10,main!$AO$4:$AQ$55,3,FALSE))</f>
        <v>0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0</v>
      </c>
      <c r="B11" s="12">
        <f>(VLOOKUP(main!J11,main!$AO$4:$AQ$55,3,FALSE))</f>
        <v>0</v>
      </c>
      <c r="C11" s="12">
        <f>(VLOOKUP(main!K11,main!$AO$4:$AQ$55,3,FALSE))</f>
        <v>0</v>
      </c>
      <c r="D11" s="12">
        <f>(VLOOKUP(main!L11,main!$AO$4:$AQ$55,3,FALSE))</f>
        <v>0</v>
      </c>
      <c r="E11" s="12">
        <f>(VLOOKUP(main!M11,main!$AO$4:$AQ$55,3,FALSE))</f>
        <v>0</v>
      </c>
      <c r="F11" s="12">
        <f>(VLOOKUP(main!N11,main!$AO$4:$AQ$55,3,FALSE))</f>
        <v>0</v>
      </c>
      <c r="G11" s="13">
        <f>(VLOOKUP(main!O11,main!$AO$4:$AQ$55,3,FALSE))</f>
        <v>0</v>
      </c>
      <c r="H11" s="13">
        <f>(VLOOKUP(main!P11,main!$AO$4:$AQ$55,3,FALSE))</f>
        <v>0</v>
      </c>
      <c r="I11" s="12">
        <f>(VLOOKUP(main!Q11,main!$AO$4:$AQ$55,3,FALSE))</f>
        <v>0</v>
      </c>
      <c r="J11" s="12">
        <f>(VLOOKUP(main!R11,main!$AO$4:$AQ$55,3,FALSE))</f>
        <v>0</v>
      </c>
      <c r="K11" s="12">
        <f>(VLOOKUP(main!S11,main!$AO$4:$AQ$55,3,FALSE))</f>
        <v>0</v>
      </c>
      <c r="L11" s="12">
        <f>(VLOOKUP(main!T11,main!$AO$4:$AQ$55,3,FALSE))</f>
        <v>0</v>
      </c>
      <c r="M11" s="12">
        <f>(VLOOKUP(main!U11,main!$AO$4:$AQ$55,3,FALSE))</f>
        <v>0</v>
      </c>
      <c r="N11" s="12">
        <f>(VLOOKUP(main!V11,main!$AO$4:$AQ$55,3,FALSE))</f>
        <v>0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0</v>
      </c>
      <c r="B12" s="12">
        <f>(VLOOKUP(main!J12,main!$AO$4:$AQ$55,3,FALSE))</f>
        <v>0</v>
      </c>
      <c r="C12" s="12">
        <f>(VLOOKUP(main!K12,main!$AO$4:$AQ$55,3,FALSE))</f>
        <v>0</v>
      </c>
      <c r="D12" s="12">
        <f>(VLOOKUP(main!L12,main!$AO$4:$AQ$55,3,FALSE))</f>
        <v>0</v>
      </c>
      <c r="E12" s="12">
        <f>(VLOOKUP(main!M12,main!$AO$4:$AQ$55,3,FALSE))</f>
        <v>0</v>
      </c>
      <c r="F12" s="12">
        <f>(VLOOKUP(main!N12,main!$AO$4:$AQ$55,3,FALSE))</f>
        <v>0</v>
      </c>
      <c r="G12" s="13">
        <f>(VLOOKUP(main!O12,main!$AO$4:$AQ$55,3,FALSE))</f>
        <v>0</v>
      </c>
      <c r="H12" s="13">
        <f>(VLOOKUP(main!P12,main!$AO$4:$AQ$55,3,FALSE))</f>
        <v>0</v>
      </c>
      <c r="I12" s="12">
        <f>(VLOOKUP(main!Q12,main!$AO$4:$AQ$55,3,FALSE))</f>
        <v>0</v>
      </c>
      <c r="J12" s="12">
        <f>(VLOOKUP(main!R12,main!$AO$4:$AQ$55,3,FALSE))</f>
        <v>0</v>
      </c>
      <c r="K12" s="12">
        <f>(VLOOKUP(main!S12,main!$AO$4:$AQ$55,3,FALSE))</f>
        <v>0</v>
      </c>
      <c r="L12" s="12">
        <f>(VLOOKUP(main!T12,main!$AO$4:$AQ$55,3,FALSE))</f>
        <v>0</v>
      </c>
      <c r="M12" s="12">
        <f>(VLOOKUP(main!U12,main!$AO$4:$AQ$55,3,FALSE))</f>
        <v>0</v>
      </c>
      <c r="N12" s="12">
        <f>(VLOOKUP(main!V12,main!$AO$4:$AQ$55,3,FALSE))</f>
        <v>0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0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0</v>
      </c>
      <c r="B13" s="12">
        <f>(VLOOKUP(main!J13,main!$AO$4:$AQ$55,3,FALSE))</f>
        <v>0</v>
      </c>
      <c r="C13" s="12">
        <f>(VLOOKUP(main!K13,main!$AO$4:$AQ$55,3,FALSE))</f>
        <v>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0</v>
      </c>
      <c r="J13" s="12">
        <f>(VLOOKUP(main!R13,main!$AO$4:$AQ$55,3,FALSE))</f>
        <v>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0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0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0</v>
      </c>
      <c r="J15" s="12">
        <f>(VLOOKUP(main!R15,main!$AO$4:$AQ$55,3,FALSE))</f>
        <v>0</v>
      </c>
      <c r="K15" s="12">
        <f>(VLOOKUP(main!S15,main!$AO$4:$AQ$55,3,FALSE))</f>
        <v>0</v>
      </c>
      <c r="L15" s="12">
        <f>(VLOOKUP(main!T15,main!$AO$4:$AQ$55,3,FALSE))</f>
        <v>0</v>
      </c>
      <c r="M15" s="12">
        <f>(VLOOKUP(main!U15,main!$AO$4:$AQ$55,3,FALSE))</f>
        <v>0</v>
      </c>
      <c r="N15" s="12">
        <f>(VLOOKUP(main!V15,main!$AO$4:$AQ$55,3,FALSE))</f>
        <v>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0</v>
      </c>
      <c r="R15" s="12">
        <f>(VLOOKUP(main!Z15,main!$AO$4:$AQ$55,3,FALSE))</f>
        <v>0</v>
      </c>
      <c r="S15" s="12">
        <f>(VLOOKUP(main!AA15,main!$AO$4:$AQ$55,3,FALSE))</f>
        <v>0</v>
      </c>
      <c r="T15" s="12">
        <f>(VLOOKUP(main!AB15,main!$AO$4:$AQ$55,3,FALSE))</f>
        <v>0</v>
      </c>
      <c r="U15" s="12">
        <f>(VLOOKUP(main!AC15,main!$AO$4:$AQ$55,3,FALSE))</f>
        <v>0</v>
      </c>
      <c r="V15" s="12">
        <f>(VLOOKUP(main!AD15,main!$AO$4:$AQ$55,3,FALSE))</f>
        <v>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0</v>
      </c>
      <c r="J16" s="12">
        <f>(VLOOKUP(main!R16,main!$AO$4:$AQ$55,3,FALSE))</f>
        <v>0</v>
      </c>
      <c r="K16" s="12">
        <f>(VLOOKUP(main!S16,main!$AO$4:$AQ$55,3,FALSE))</f>
        <v>0</v>
      </c>
      <c r="L16" s="12">
        <f>(VLOOKUP(main!T16,main!$AO$4:$AQ$55,3,FALSE))</f>
        <v>0</v>
      </c>
      <c r="M16" s="12">
        <f>(VLOOKUP(main!U16,main!$AO$4:$AQ$55,3,FALSE))</f>
        <v>0</v>
      </c>
      <c r="N16" s="12">
        <f>(VLOOKUP(main!V16,main!$AO$4:$AQ$55,3,FALSE))</f>
        <v>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0</v>
      </c>
      <c r="R16" s="12">
        <f>(VLOOKUP(main!Z16,main!$AO$4:$AQ$55,3,FALSE))</f>
        <v>0</v>
      </c>
      <c r="S16" s="12">
        <f>(VLOOKUP(main!AA16,main!$AO$4:$AQ$55,3,FALSE))</f>
        <v>0</v>
      </c>
      <c r="T16" s="12">
        <f>(VLOOKUP(main!AB16,main!$AO$4:$AQ$55,3,FALSE))</f>
        <v>0</v>
      </c>
      <c r="U16" s="12">
        <f>(VLOOKUP(main!AC16,main!$AO$4:$AQ$55,3,FALSE))</f>
        <v>0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0</v>
      </c>
      <c r="J17" s="12">
        <f>(VLOOKUP(main!R17,main!$AO$4:$AQ$55,3,FALSE))</f>
        <v>0</v>
      </c>
      <c r="K17" s="12">
        <f>(VLOOKUP(main!S17,main!$AO$4:$AQ$55,3,FALSE))</f>
        <v>0</v>
      </c>
      <c r="L17" s="12">
        <f>(VLOOKUP(main!T17,main!$AO$4:$AQ$55,3,FALSE))</f>
        <v>0</v>
      </c>
      <c r="M17" s="12">
        <f>(VLOOKUP(main!U17,main!$AO$4:$AQ$55,3,FALSE))</f>
        <v>0</v>
      </c>
      <c r="N17" s="12">
        <f>(VLOOKUP(main!V17,main!$AO$4:$AQ$55,3,FALSE))</f>
        <v>0</v>
      </c>
      <c r="O17" s="13">
        <f>(VLOOKUP(main!W17,main!$AO$4:$AQ$55,3,FALSE))</f>
        <v>0</v>
      </c>
      <c r="P17" s="13">
        <f>(VLOOKUP(main!X17,main!$AO$4:$AQ$55,3,FALSE))</f>
        <v>0</v>
      </c>
      <c r="Q17" s="12">
        <f>(VLOOKUP(main!Y17,main!$AO$4:$AQ$55,3,FALSE))</f>
        <v>0</v>
      </c>
      <c r="R17" s="12">
        <f>(VLOOKUP(main!Z17,main!$AO$4:$AQ$55,3,FALSE))</f>
        <v>0</v>
      </c>
      <c r="S17" s="12">
        <f>(VLOOKUP(main!AA17,main!$AO$4:$AQ$55,3,FALSE))</f>
        <v>0</v>
      </c>
      <c r="T17" s="12">
        <f>(VLOOKUP(main!AB17,main!$AO$4:$AQ$55,3,FALSE))</f>
        <v>0</v>
      </c>
      <c r="U17" s="12">
        <f>(VLOOKUP(main!AC17,main!$AO$4:$AQ$55,3,FALSE))</f>
        <v>0</v>
      </c>
      <c r="V17" s="12">
        <f>(VLOOKUP(main!AD17,main!$AO$4:$AQ$55,3,FALSE))</f>
        <v>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0</v>
      </c>
      <c r="J18" s="12">
        <f>(VLOOKUP(main!R18,main!$AO$4:$AQ$55,3,FALSE))</f>
        <v>0</v>
      </c>
      <c r="K18" s="12">
        <f>(VLOOKUP(main!S18,main!$AO$4:$AQ$55,3,FALSE))</f>
        <v>0</v>
      </c>
      <c r="L18" s="12">
        <f>(VLOOKUP(main!T18,main!$AO$4:$AQ$55,3,FALSE))</f>
        <v>0</v>
      </c>
      <c r="M18" s="12">
        <f>(VLOOKUP(main!U18,main!$AO$4:$AQ$55,3,FALSE))</f>
        <v>0</v>
      </c>
      <c r="N18" s="12">
        <f>(VLOOKUP(main!V18,main!$AO$4:$AQ$55,3,FALSE))</f>
        <v>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0</v>
      </c>
      <c r="R18" s="12">
        <f>(VLOOKUP(main!Z18,main!$AO$4:$AQ$55,3,FALSE))</f>
        <v>0</v>
      </c>
      <c r="S18" s="12">
        <f>(VLOOKUP(main!AA18,main!$AO$4:$AQ$55,3,FALSE))</f>
        <v>0</v>
      </c>
      <c r="T18" s="12">
        <f>(VLOOKUP(main!AB18,main!$AO$4:$AQ$55,3,FALSE))</f>
        <v>0</v>
      </c>
      <c r="U18" s="12">
        <f>(VLOOKUP(main!AC18,main!$AO$4:$AQ$55,3,FALSE))</f>
        <v>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0</v>
      </c>
      <c r="J19" s="12">
        <f>(VLOOKUP(main!R19,main!$AO$4:$AQ$55,3,FALSE))</f>
        <v>0</v>
      </c>
      <c r="K19" s="12">
        <f>(VLOOKUP(main!S19,main!$AO$4:$AQ$55,3,FALSE))</f>
        <v>0</v>
      </c>
      <c r="L19" s="12">
        <f>(VLOOKUP(main!T19,main!$AO$4:$AQ$55,3,FALSE))</f>
        <v>0</v>
      </c>
      <c r="M19" s="12">
        <f>(VLOOKUP(main!U19,main!$AO$4:$AQ$55,3,FALSE))</f>
        <v>0</v>
      </c>
      <c r="N19" s="12">
        <f>(VLOOKUP(main!V19,main!$AO$4:$AQ$55,3,FALSE))</f>
        <v>0</v>
      </c>
      <c r="O19" s="13">
        <f>(VLOOKUP(main!W19,main!$AO$4:$AQ$55,3,FALSE))</f>
        <v>0</v>
      </c>
      <c r="P19" s="13">
        <f>(VLOOKUP(main!X19,main!$AO$4:$AQ$55,3,FALSE))</f>
        <v>0</v>
      </c>
      <c r="Q19" s="12">
        <f>(VLOOKUP(main!Y19,main!$AO$4:$AQ$55,3,FALSE))</f>
        <v>0</v>
      </c>
      <c r="R19" s="12">
        <f>(VLOOKUP(main!Z19,main!$AO$4:$AQ$55,3,FALSE))</f>
        <v>0</v>
      </c>
      <c r="S19" s="12">
        <f>(VLOOKUP(main!AA19,main!$AO$4:$AQ$55,3,FALSE))</f>
        <v>0</v>
      </c>
      <c r="T19" s="12">
        <f>(VLOOKUP(main!AB19,main!$AO$4:$AQ$55,3,FALSE))</f>
        <v>0</v>
      </c>
      <c r="U19" s="12">
        <f>(VLOOKUP(main!AC19,main!$AO$4:$AQ$55,3,FALSE))</f>
        <v>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0</v>
      </c>
      <c r="J20" s="12">
        <f>(VLOOKUP(main!R20,main!$AO$4:$AQ$55,3,FALSE))</f>
        <v>0</v>
      </c>
      <c r="K20" s="12">
        <f>(VLOOKUP(main!S20,main!$AO$4:$AQ$55,3,FALSE))</f>
        <v>0</v>
      </c>
      <c r="L20" s="12">
        <f>(VLOOKUP(main!T20,main!$AO$4:$AQ$55,3,FALSE))</f>
        <v>0</v>
      </c>
      <c r="M20" s="12">
        <f>(VLOOKUP(main!U20,main!$AO$4:$AQ$55,3,FALSE))</f>
        <v>0</v>
      </c>
      <c r="N20" s="12">
        <f>(VLOOKUP(main!V20,main!$AO$4:$AQ$55,3,FALSE))</f>
        <v>0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0</v>
      </c>
      <c r="R20" s="12">
        <f>(VLOOKUP(main!Z20,main!$AO$4:$AQ$55,3,FALSE))</f>
        <v>0</v>
      </c>
      <c r="S20" s="12">
        <f>(VLOOKUP(main!AA20,main!$AO$4:$AQ$55,3,FALSE))</f>
        <v>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0</v>
      </c>
      <c r="J21" s="12">
        <f>(VLOOKUP(main!R21,main!$AO$4:$AQ$55,3,FALSE))</f>
        <v>0</v>
      </c>
      <c r="K21" s="12">
        <f>(VLOOKUP(main!S21,main!$AO$4:$AQ$55,3,FALSE))</f>
        <v>0</v>
      </c>
      <c r="L21" s="12">
        <f>(VLOOKUP(main!T21,main!$AO$4:$AQ$55,3,FALSE))</f>
        <v>0</v>
      </c>
      <c r="M21" s="12">
        <f>(VLOOKUP(main!U21,main!$AO$4:$AQ$55,3,FALSE))</f>
        <v>0</v>
      </c>
      <c r="N21" s="12">
        <f>(VLOOKUP(main!V21,main!$AO$4:$AQ$55,3,FALSE))</f>
        <v>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0</v>
      </c>
      <c r="R21" s="12">
        <f>(VLOOKUP(main!Z21,main!$AO$4:$AQ$55,3,FALSE))</f>
        <v>0</v>
      </c>
      <c r="S21" s="12">
        <f>(VLOOKUP(main!AA21,main!$AO$4:$AQ$55,3,FALSE))</f>
        <v>0</v>
      </c>
      <c r="T21" s="12">
        <f>(VLOOKUP(main!AB21,main!$AO$4:$AQ$55,3,FALSE))</f>
        <v>0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0</v>
      </c>
      <c r="J22" s="12">
        <f>(VLOOKUP(main!R22,main!$AO$4:$AQ$55,3,FALSE))</f>
        <v>0</v>
      </c>
      <c r="K22" s="12">
        <f>(VLOOKUP(main!S22,main!$AO$4:$AQ$55,3,FALSE))</f>
        <v>0</v>
      </c>
      <c r="L22" s="12">
        <f>(VLOOKUP(main!T22,main!$AO$4:$AQ$55,3,FALSE))</f>
        <v>0</v>
      </c>
      <c r="M22" s="12">
        <f>(VLOOKUP(main!U22,main!$AO$4:$AQ$55,3,FALSE))</f>
        <v>0</v>
      </c>
      <c r="N22" s="12">
        <f>(VLOOKUP(main!V22,main!$AO$4:$AQ$55,3,FALSE))</f>
        <v>0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0</v>
      </c>
      <c r="R22" s="12">
        <f>(VLOOKUP(main!Z22,main!$AO$4:$AQ$55,3,FALSE))</f>
        <v>0</v>
      </c>
      <c r="S22" s="12">
        <f>(VLOOKUP(main!AA22,main!$AO$4:$AQ$55,3,FALSE))</f>
        <v>0</v>
      </c>
      <c r="T22" s="12">
        <f>(VLOOKUP(main!AB22,main!$AO$4:$AQ$55,3,FALSE))</f>
        <v>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0</v>
      </c>
      <c r="J23" s="12">
        <f>(VLOOKUP(main!R23,main!$AO$4:$AQ$55,3,FALSE))</f>
        <v>0</v>
      </c>
      <c r="K23" s="12">
        <f>(VLOOKUP(main!S23,main!$AO$4:$AQ$55,3,FALSE))</f>
        <v>0</v>
      </c>
      <c r="L23" s="12">
        <f>(VLOOKUP(main!T23,main!$AO$4:$AQ$55,3,FALSE))</f>
        <v>0</v>
      </c>
      <c r="M23" s="12">
        <f>(VLOOKUP(main!U23,main!$AO$4:$AQ$55,3,FALSE))</f>
        <v>0</v>
      </c>
      <c r="N23" s="12">
        <f>(VLOOKUP(main!V23,main!$AO$4:$AQ$55,3,FALSE))</f>
        <v>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0</v>
      </c>
      <c r="R23" s="12">
        <f>(VLOOKUP(main!Z23,main!$AO$4:$AQ$55,3,FALSE))</f>
        <v>0</v>
      </c>
      <c r="S23" s="12">
        <f>(VLOOKUP(main!AA23,main!$AO$4:$AQ$55,3,FALSE))</f>
        <v>0</v>
      </c>
      <c r="T23" s="12">
        <f>(VLOOKUP(main!AB23,main!$AO$4:$AQ$55,3,FALSE))</f>
        <v>0</v>
      </c>
      <c r="U23" s="12">
        <f>(VLOOKUP(main!AC23,main!$AO$4:$AQ$55,3,FALSE))</f>
        <v>0</v>
      </c>
      <c r="V23" s="12">
        <f>(VLOOKUP(main!AD23,main!$AO$4:$AQ$55,3,FALSE))</f>
        <v>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0</v>
      </c>
      <c r="R24" s="12">
        <f>(VLOOKUP(main!Z24,main!$AO$4:$AQ$55,3,FALSE))</f>
        <v>0</v>
      </c>
      <c r="S24" s="12">
        <f>(VLOOKUP(main!AA24,main!$AO$4:$AQ$55,3,FALSE))</f>
        <v>0</v>
      </c>
      <c r="T24" s="12">
        <f>(VLOOKUP(main!AB24,main!$AO$4:$AQ$55,3,FALSE))</f>
        <v>0</v>
      </c>
      <c r="U24" s="12">
        <f>(VLOOKUP(main!AC24,main!$AO$4:$AQ$55,3,FALSE))</f>
        <v>0</v>
      </c>
      <c r="V24" s="12">
        <f>(VLOOKUP(main!AD24,main!$AO$4:$AQ$55,3,FALSE))</f>
        <v>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0</v>
      </c>
      <c r="R31" s="12">
        <f>(VLOOKUP(main!Z31,main!$AO$4:$AQ$55,3,FALSE))</f>
        <v>0</v>
      </c>
      <c r="S31" s="12">
        <f>(VLOOKUP(main!AA31,main!$AO$4:$AQ$55,3,FALSE))</f>
        <v>0</v>
      </c>
      <c r="T31" s="12">
        <f>(VLOOKUP(main!AB31,main!$AO$4:$AQ$55,3,FALSE))</f>
        <v>0</v>
      </c>
      <c r="U31" s="12">
        <f>(VLOOKUP(main!AC31,main!$AO$4:$AQ$55,3,FALSE))</f>
        <v>0</v>
      </c>
      <c r="V31" s="12">
        <f>(VLOOKUP(main!AD31,main!$AO$4:$AQ$55,3,FALSE))</f>
        <v>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0</v>
      </c>
      <c r="R33" s="12">
        <f>(VLOOKUP(main!Z33,main!$AO$4:$AQ$55,3,FALSE))</f>
        <v>0</v>
      </c>
      <c r="S33" s="12">
        <f>(VLOOKUP(main!AA33,main!$AO$4:$AQ$55,3,FALSE))</f>
        <v>0</v>
      </c>
      <c r="T33" s="12">
        <f>(VLOOKUP(main!AB33,main!$AO$4:$AQ$55,3,FALSE))</f>
        <v>0</v>
      </c>
      <c r="U33" s="12">
        <f>(VLOOKUP(main!AC33,main!$AO$4:$AQ$55,3,FALSE))</f>
        <v>0</v>
      </c>
      <c r="V33" s="12">
        <f>(VLOOKUP(main!AD33,main!$AO$4:$AQ$55,3,FALSE))</f>
        <v>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0</v>
      </c>
      <c r="J34" s="12">
        <f>(VLOOKUP(main!R34,main!$AO$4:$AQ$55,3,FALSE))</f>
        <v>0</v>
      </c>
      <c r="K34" s="12">
        <f>(VLOOKUP(main!S34,main!$AO$4:$AQ$55,3,FALSE))</f>
        <v>0</v>
      </c>
      <c r="L34" s="12">
        <f>(VLOOKUP(main!T34,main!$AO$4:$AQ$55,3,FALSE))</f>
        <v>0</v>
      </c>
      <c r="M34" s="12">
        <f>(VLOOKUP(main!U34,main!$AO$4:$AQ$55,3,FALSE))</f>
        <v>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0</v>
      </c>
      <c r="R34" s="12">
        <f>(VLOOKUP(main!Z34,main!$AO$4:$AQ$55,3,FALSE))</f>
        <v>0</v>
      </c>
      <c r="S34" s="12">
        <f>(VLOOKUP(main!AA34,main!$AO$4:$AQ$55,3,FALSE))</f>
        <v>0</v>
      </c>
      <c r="T34" s="12">
        <f>(VLOOKUP(main!AB34,main!$AO$4:$AQ$55,3,FALSE))</f>
        <v>0</v>
      </c>
      <c r="U34" s="12">
        <f>(VLOOKUP(main!AC34,main!$AO$4:$AQ$55,3,FALSE))</f>
        <v>0</v>
      </c>
      <c r="V34" s="12">
        <f>(VLOOKUP(main!AD34,main!$AO$4:$AQ$55,3,FALSE))</f>
        <v>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0</v>
      </c>
      <c r="R36" s="12">
        <f>(VLOOKUP(main!Z36,main!$AO$4:$AQ$55,3,FALSE))</f>
        <v>0</v>
      </c>
      <c r="S36" s="12">
        <f>(VLOOKUP(main!AA36,main!$AO$4:$AQ$55,3,FALSE))</f>
        <v>0</v>
      </c>
      <c r="T36" s="12">
        <f>(VLOOKUP(main!AB36,main!$AO$4:$AQ$55,3,FALSE))</f>
        <v>0</v>
      </c>
      <c r="U36" s="12">
        <f>(VLOOKUP(main!AC36,main!$AO$4:$AQ$55,3,FALSE))</f>
        <v>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0</v>
      </c>
      <c r="R37" s="12">
        <f>(VLOOKUP(main!Z37,main!$AO$4:$AQ$55,3,FALSE))</f>
        <v>0</v>
      </c>
      <c r="S37" s="12">
        <f>(VLOOKUP(main!AA37,main!$AO$4:$AQ$55,3,FALSE))</f>
        <v>0</v>
      </c>
      <c r="T37" s="12">
        <f>(VLOOKUP(main!AB37,main!$AO$4:$AQ$55,3,FALSE))</f>
        <v>0</v>
      </c>
      <c r="U37" s="12">
        <f>(VLOOKUP(main!AC37,main!$AO$4:$AQ$55,3,FALSE))</f>
        <v>0</v>
      </c>
      <c r="V37" s="12">
        <f>(VLOOKUP(main!AD37,main!$AO$4:$AQ$55,3,FALSE))</f>
        <v>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0</v>
      </c>
      <c r="J38" s="12">
        <f>(VLOOKUP(main!R38,main!$AO$4:$AQ$55,3,FALSE))</f>
        <v>0</v>
      </c>
      <c r="K38" s="12">
        <f>(VLOOKUP(main!S38,main!$AO$4:$AQ$55,3,FALSE))</f>
        <v>0</v>
      </c>
      <c r="L38" s="12">
        <f>(VLOOKUP(main!T38,main!$AO$4:$AQ$55,3,FALSE))</f>
        <v>0</v>
      </c>
      <c r="M38" s="12">
        <f>(VLOOKUP(main!U38,main!$AO$4:$AQ$55,3,FALSE))</f>
        <v>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0</v>
      </c>
      <c r="J41" s="12">
        <f>(VLOOKUP(main!R41,main!$AO$4:$AQ$55,3,FALSE))</f>
        <v>0</v>
      </c>
      <c r="K41" s="12">
        <f>(VLOOKUP(main!S41,main!$AO$4:$AQ$55,3,FALSE))</f>
        <v>0</v>
      </c>
      <c r="L41" s="12">
        <f>(VLOOKUP(main!T41,main!$AO$4:$AQ$55,3,FALSE))</f>
        <v>0</v>
      </c>
      <c r="M41" s="12">
        <f>(VLOOKUP(main!U41,main!$AO$4:$AQ$55,3,FALSE))</f>
        <v>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0</v>
      </c>
      <c r="R46" s="12">
        <f>(VLOOKUP(main!Z46,main!$AO$4:$AQ$55,3,FALSE))</f>
        <v>0</v>
      </c>
      <c r="S46" s="12">
        <f>(VLOOKUP(main!AA46,main!$AO$4:$AQ$55,3,FALSE))</f>
        <v>0</v>
      </c>
      <c r="T46" s="12">
        <f>(VLOOKUP(main!AB46,main!$AO$4:$AQ$55,3,FALSE))</f>
        <v>0</v>
      </c>
      <c r="U46" s="12">
        <f>(VLOOKUP(main!AC46,main!$AO$4:$AQ$55,3,FALSE))</f>
        <v>0</v>
      </c>
      <c r="V46" s="12">
        <f>(VLOOKUP(main!AD46,main!$AO$4:$AQ$55,3,FALSE))</f>
        <v>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0</v>
      </c>
      <c r="R47" s="12">
        <f>(VLOOKUP(main!Z47,main!$AO$4:$AQ$55,3,FALSE))</f>
        <v>0</v>
      </c>
      <c r="S47" s="12">
        <f>(VLOOKUP(main!AA47,main!$AO$4:$AQ$55,3,FALSE))</f>
        <v>0</v>
      </c>
      <c r="T47" s="12">
        <f>(VLOOKUP(main!AB47,main!$AO$4:$AQ$55,3,FALSE))</f>
        <v>0</v>
      </c>
      <c r="U47" s="12">
        <f>(VLOOKUP(main!AC47,main!$AO$4:$AQ$55,3,FALSE))</f>
        <v>0</v>
      </c>
      <c r="V47" s="12">
        <f>(VLOOKUP(main!AD47,main!$AO$4:$AQ$55,3,FALSE))</f>
        <v>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0</v>
      </c>
      <c r="R48" s="12">
        <f>(VLOOKUP(main!Z48,main!$AO$4:$AQ$55,3,FALSE))</f>
        <v>0</v>
      </c>
      <c r="S48" s="12">
        <f>(VLOOKUP(main!AA48,main!$AO$4:$AQ$55,3,FALSE))</f>
        <v>0</v>
      </c>
      <c r="T48" s="12">
        <f>(VLOOKUP(main!AB48,main!$AO$4:$AQ$55,3,FALSE))</f>
        <v>0</v>
      </c>
      <c r="U48" s="12">
        <f>(VLOOKUP(main!AC48,main!$AO$4:$AQ$55,3,FALSE))</f>
        <v>0</v>
      </c>
      <c r="V48" s="12">
        <f>(VLOOKUP(main!AD48,main!$AO$4:$AQ$55,3,FALSE))</f>
        <v>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0</v>
      </c>
      <c r="R49" s="12">
        <f>(VLOOKUP(main!Z49,main!$AO$4:$AQ$55,3,FALSE))</f>
        <v>0</v>
      </c>
      <c r="S49" s="12">
        <f>(VLOOKUP(main!AA49,main!$AO$4:$AQ$55,3,FALSE))</f>
        <v>0</v>
      </c>
      <c r="T49" s="12">
        <f>(VLOOKUP(main!AB49,main!$AO$4:$AQ$55,3,FALSE))</f>
        <v>0</v>
      </c>
      <c r="U49" s="12">
        <f>(VLOOKUP(main!AC49,main!$AO$4:$AQ$55,3,FALSE))</f>
        <v>0</v>
      </c>
      <c r="V49" s="12">
        <f>(VLOOKUP(main!AD49,main!$AO$4:$AQ$55,3,FALSE))</f>
        <v>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0</v>
      </c>
      <c r="R50" s="12">
        <f>(VLOOKUP(main!Z50,main!$AO$4:$AQ$55,3,FALSE))</f>
        <v>0</v>
      </c>
      <c r="S50" s="12">
        <f>(VLOOKUP(main!AA50,main!$AO$4:$AQ$55,3,FALSE))</f>
        <v>0</v>
      </c>
      <c r="T50" s="12">
        <f>(VLOOKUP(main!AB50,main!$AO$4:$AQ$55,3,FALSE))</f>
        <v>0</v>
      </c>
      <c r="U50" s="12">
        <f>(VLOOKUP(main!AC50,main!$AO$4:$AQ$55,3,FALSE))</f>
        <v>0</v>
      </c>
      <c r="V50" s="12">
        <f>(VLOOKUP(main!AD50,main!$AO$4:$AQ$55,3,FALSE))</f>
        <v>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0</v>
      </c>
      <c r="R51" s="12">
        <f>(VLOOKUP(main!Z51,main!$AO$4:$AQ$55,3,FALSE))</f>
        <v>0</v>
      </c>
      <c r="S51" s="12">
        <f>(VLOOKUP(main!AA51,main!$AO$4:$AQ$55,3,FALSE))</f>
        <v>0</v>
      </c>
      <c r="T51" s="12">
        <f>(VLOOKUP(main!AB51,main!$AO$4:$AQ$55,3,FALSE))</f>
        <v>0</v>
      </c>
      <c r="U51" s="12">
        <f>(VLOOKUP(main!AC51,main!$AO$4:$AQ$55,3,FALSE))</f>
        <v>0</v>
      </c>
      <c r="V51" s="12">
        <f>(VLOOKUP(main!AD51,main!$AO$4:$AQ$55,3,FALSE))</f>
        <v>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0</v>
      </c>
      <c r="J52" s="12">
        <f>(VLOOKUP(main!R52,main!$AO$4:$AQ$55,3,FALSE))</f>
        <v>0</v>
      </c>
      <c r="K52" s="12">
        <f>(VLOOKUP(main!S52,main!$AO$4:$AQ$55,3,FALSE))</f>
        <v>0</v>
      </c>
      <c r="L52" s="12">
        <f>(VLOOKUP(main!T52,main!$AO$4:$AQ$55,3,FALSE))</f>
        <v>0</v>
      </c>
      <c r="M52" s="12">
        <f>(VLOOKUP(main!U52,main!$AO$4:$AQ$55,3,FALSE))</f>
        <v>0</v>
      </c>
      <c r="N52" s="12">
        <f>(VLOOKUP(main!V52,main!$AO$4:$AQ$55,3,FALSE))</f>
        <v>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0</v>
      </c>
      <c r="R52" s="12">
        <f>(VLOOKUP(main!Z52,main!$AO$4:$AQ$55,3,FALSE))</f>
        <v>0</v>
      </c>
      <c r="S52" s="12">
        <f>(VLOOKUP(main!AA52,main!$AO$4:$AQ$55,3,FALSE))</f>
        <v>0</v>
      </c>
      <c r="T52" s="12">
        <f>(VLOOKUP(main!AB52,main!$AO$4:$AQ$55,3,FALSE))</f>
        <v>0</v>
      </c>
      <c r="U52" s="12">
        <f>(VLOOKUP(main!AC52,main!$AO$4:$AQ$55,3,FALSE))</f>
        <v>0</v>
      </c>
      <c r="V52" s="12">
        <f>(VLOOKUP(main!AD52,main!$AO$4:$AQ$55,3,FALSE))</f>
        <v>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0</v>
      </c>
      <c r="J53" s="12">
        <f>(VLOOKUP(main!R53,main!$AO$4:$AQ$55,3,FALSE))</f>
        <v>0</v>
      </c>
      <c r="K53" s="12">
        <f>(VLOOKUP(main!S53,main!$AO$4:$AQ$55,3,FALSE))</f>
        <v>0</v>
      </c>
      <c r="L53" s="12">
        <f>(VLOOKUP(main!T53,main!$AO$4:$AQ$55,3,FALSE))</f>
        <v>0</v>
      </c>
      <c r="M53" s="12">
        <f>(VLOOKUP(main!U53,main!$AO$4:$AQ$55,3,FALSE))</f>
        <v>0</v>
      </c>
      <c r="N53" s="12">
        <f>(VLOOKUP(main!V53,main!$AO$4:$AQ$55,3,FALSE))</f>
        <v>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0</v>
      </c>
      <c r="R53" s="12">
        <f>(VLOOKUP(main!Z53,main!$AO$4:$AQ$55,3,FALSE))</f>
        <v>0</v>
      </c>
      <c r="S53" s="12">
        <f>(VLOOKUP(main!AA53,main!$AO$4:$AQ$55,3,FALSE))</f>
        <v>0</v>
      </c>
      <c r="T53" s="12">
        <f>(VLOOKUP(main!AB53,main!$AO$4:$AQ$55,3,FALSE))</f>
        <v>0</v>
      </c>
      <c r="U53" s="12">
        <f>(VLOOKUP(main!AC53,main!$AO$4:$AQ$55,3,FALSE))</f>
        <v>0</v>
      </c>
      <c r="V53" s="12">
        <f>(VLOOKUP(main!AD53,main!$AO$4:$AQ$55,3,FALSE))</f>
        <v>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0</v>
      </c>
      <c r="J54" s="12">
        <f>(VLOOKUP(main!R54,main!$AO$4:$AQ$55,3,FALSE))</f>
        <v>0</v>
      </c>
      <c r="K54" s="12">
        <f>(VLOOKUP(main!S54,main!$AO$4:$AQ$55,3,FALSE))</f>
        <v>0</v>
      </c>
      <c r="L54" s="12">
        <f>(VLOOKUP(main!T54,main!$AO$4:$AQ$55,3,FALSE))</f>
        <v>0</v>
      </c>
      <c r="M54" s="12">
        <f>(VLOOKUP(main!U54,main!$AO$4:$AQ$55,3,FALSE))</f>
        <v>0</v>
      </c>
      <c r="N54" s="12">
        <f>(VLOOKUP(main!V54,main!$AO$4:$AQ$55,3,FALSE))</f>
        <v>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0</v>
      </c>
      <c r="R54" s="12">
        <f>(VLOOKUP(main!Z54,main!$AO$4:$AQ$55,3,FALSE))</f>
        <v>0</v>
      </c>
      <c r="S54" s="12">
        <f>(VLOOKUP(main!AA54,main!$AO$4:$AQ$55,3,FALSE))</f>
        <v>0</v>
      </c>
      <c r="T54" s="12">
        <f>(VLOOKUP(main!AB54,main!$AO$4:$AQ$55,3,FALSE))</f>
        <v>0</v>
      </c>
      <c r="U54" s="12">
        <f>(VLOOKUP(main!AC54,main!$AO$4:$AQ$55,3,FALSE))</f>
        <v>0</v>
      </c>
      <c r="V54" s="12">
        <f>(VLOOKUP(main!AD54,main!$AO$4:$AQ$55,3,FALSE))</f>
        <v>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0</v>
      </c>
      <c r="J55" s="12">
        <f>(VLOOKUP(main!R55,main!$AO$4:$AQ$55,3,FALSE))</f>
        <v>0</v>
      </c>
      <c r="K55" s="12">
        <f>(VLOOKUP(main!S55,main!$AO$4:$AQ$55,3,FALSE))</f>
        <v>0</v>
      </c>
      <c r="L55" s="12">
        <f>(VLOOKUP(main!T55,main!$AO$4:$AQ$55,3,FALSE))</f>
        <v>0</v>
      </c>
      <c r="M55" s="12">
        <f>(VLOOKUP(main!U55,main!$AO$4:$AQ$55,3,FALSE))</f>
        <v>0</v>
      </c>
      <c r="N55" s="12">
        <f>(VLOOKUP(main!V55,main!$AO$4:$AQ$55,3,FALSE))</f>
        <v>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0</v>
      </c>
      <c r="R55" s="12">
        <f>(VLOOKUP(main!Z55,main!$AO$4:$AQ$55,3,FALSE))</f>
        <v>0</v>
      </c>
      <c r="S55" s="12">
        <f>(VLOOKUP(main!AA55,main!$AO$4:$AQ$55,3,FALSE))</f>
        <v>0</v>
      </c>
      <c r="T55" s="12">
        <f>(VLOOKUP(main!AB55,main!$AO$4:$AQ$55,3,FALSE))</f>
        <v>0</v>
      </c>
      <c r="U55" s="12">
        <f>(VLOOKUP(main!AC55,main!$AO$4:$AQ$55,3,FALSE))</f>
        <v>0</v>
      </c>
      <c r="V55" s="12">
        <f>(VLOOKUP(main!AD55,main!$AO$4:$AQ$55,3,FALSE))</f>
        <v>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0</v>
      </c>
      <c r="J57" s="12">
        <f>(VLOOKUP(main!R57,main!$AO$4:$AQ$55,3,FALSE))</f>
        <v>0</v>
      </c>
      <c r="K57" s="12">
        <f>(VLOOKUP(main!S57,main!$AO$4:$AQ$55,3,FALSE))</f>
        <v>0</v>
      </c>
      <c r="L57" s="12">
        <f>(VLOOKUP(main!T57,main!$AO$4:$AQ$55,3,FALSE))</f>
        <v>0</v>
      </c>
      <c r="M57" s="12">
        <f>(VLOOKUP(main!U57,main!$AO$4:$AQ$55,3,FALSE))</f>
        <v>0</v>
      </c>
      <c r="N57" s="12">
        <f>(VLOOKUP(main!V57,main!$AO$4:$AQ$55,3,FALSE))</f>
        <v>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0</v>
      </c>
      <c r="J59" s="12">
        <f>(VLOOKUP(main!R59,main!$AO$4:$AQ$55,3,FALSE))</f>
        <v>0</v>
      </c>
      <c r="K59" s="12">
        <f>(VLOOKUP(main!S59,main!$AO$4:$AQ$55,3,FALSE))</f>
        <v>0</v>
      </c>
      <c r="L59" s="12">
        <f>(VLOOKUP(main!T59,main!$AO$4:$AQ$55,3,FALSE))</f>
        <v>0</v>
      </c>
      <c r="M59" s="12">
        <f>(VLOOKUP(main!U59,main!$AO$4:$AQ$55,3,FALSE))</f>
        <v>0</v>
      </c>
      <c r="N59" s="12">
        <f>(VLOOKUP(main!V59,main!$AO$4:$AQ$55,3,FALSE))</f>
        <v>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0</v>
      </c>
      <c r="J60" s="12">
        <f>(VLOOKUP(main!R60,main!$AO$4:$AQ$55,3,FALSE))</f>
        <v>0</v>
      </c>
      <c r="K60" s="12">
        <f>(VLOOKUP(main!S60,main!$AO$4:$AQ$55,3,FALSE))</f>
        <v>0</v>
      </c>
      <c r="L60" s="12">
        <f>(VLOOKUP(main!T60,main!$AO$4:$AQ$55,3,FALSE))</f>
        <v>0</v>
      </c>
      <c r="M60" s="12">
        <f>(VLOOKUP(main!U60,main!$AO$4:$AQ$55,3,FALSE))</f>
        <v>0</v>
      </c>
      <c r="N60" s="12">
        <f>(VLOOKUP(main!V60,main!$AO$4:$AQ$55,3,FALSE))</f>
        <v>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0</v>
      </c>
      <c r="J61" s="12">
        <f>(VLOOKUP(main!R61,main!$AO$4:$AQ$55,3,FALSE))</f>
        <v>0</v>
      </c>
      <c r="K61" s="12">
        <f>(VLOOKUP(main!S61,main!$AO$4:$AQ$55,3,FALSE))</f>
        <v>0</v>
      </c>
      <c r="L61" s="12">
        <f>(VLOOKUP(main!T61,main!$AO$4:$AQ$55,3,FALSE))</f>
        <v>0</v>
      </c>
      <c r="M61" s="12">
        <f>(VLOOKUP(main!U61,main!$AO$4:$AQ$55,3,FALSE))</f>
        <v>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0</v>
      </c>
      <c r="J63" s="12">
        <f>(VLOOKUP(main!R63,main!$AO$4:$AQ$55,3,FALSE))</f>
        <v>0</v>
      </c>
      <c r="K63" s="12">
        <f>(VLOOKUP(main!S63,main!$AO$4:$AQ$55,3,FALSE))</f>
        <v>0</v>
      </c>
      <c r="L63" s="12">
        <f>(VLOOKUP(main!T63,main!$AO$4:$AQ$55,3,FALSE))</f>
        <v>0</v>
      </c>
      <c r="M63" s="12">
        <f>(VLOOKUP(main!U63,main!$AO$4:$AQ$55,3,FALSE))</f>
        <v>0</v>
      </c>
      <c r="N63" s="12">
        <f>(VLOOKUP(main!V63,main!$AO$4:$AQ$55,3,FALSE))</f>
        <v>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0</v>
      </c>
      <c r="R63" s="12">
        <f>(VLOOKUP(main!Z63,main!$AO$4:$AQ$55,3,FALSE))</f>
        <v>0</v>
      </c>
      <c r="S63" s="12">
        <f>(VLOOKUP(main!AA63,main!$AO$4:$AQ$55,3,FALSE))</f>
        <v>0</v>
      </c>
      <c r="T63" s="12">
        <f>(VLOOKUP(main!AB63,main!$AO$4:$AQ$55,3,FALSE))</f>
        <v>0</v>
      </c>
      <c r="U63" s="12">
        <f>(VLOOKUP(main!AC63,main!$AO$4:$AQ$55,3,FALSE))</f>
        <v>0</v>
      </c>
      <c r="V63" s="12">
        <f>(VLOOKUP(main!AD63,main!$AO$4:$AQ$55,3,FALSE))</f>
        <v>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0</v>
      </c>
      <c r="J64" s="12">
        <f>(VLOOKUP(main!R64,main!$AO$4:$AQ$55,3,FALSE))</f>
        <v>0</v>
      </c>
      <c r="K64" s="12">
        <f>(VLOOKUP(main!S64,main!$AO$4:$AQ$55,3,FALSE))</f>
        <v>0</v>
      </c>
      <c r="L64" s="12">
        <f>(VLOOKUP(main!T64,main!$AO$4:$AQ$55,3,FALSE))</f>
        <v>0</v>
      </c>
      <c r="M64" s="12">
        <f>(VLOOKUP(main!U64,main!$AO$4:$AQ$55,3,FALSE))</f>
        <v>0</v>
      </c>
      <c r="N64" s="12">
        <f>(VLOOKUP(main!V64,main!$AO$4:$AQ$55,3,FALSE))</f>
        <v>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0</v>
      </c>
      <c r="J65" s="12">
        <f>(VLOOKUP(main!R65,main!$AO$4:$AQ$55,3,FALSE))</f>
        <v>0</v>
      </c>
      <c r="K65" s="12">
        <f>(VLOOKUP(main!S65,main!$AO$4:$AQ$55,3,FALSE))</f>
        <v>0</v>
      </c>
      <c r="L65" s="12">
        <f>(VLOOKUP(main!T65,main!$AO$4:$AQ$55,3,FALSE))</f>
        <v>0</v>
      </c>
      <c r="M65" s="12">
        <f>(VLOOKUP(main!U65,main!$AO$4:$AQ$55,3,FALSE))</f>
        <v>0</v>
      </c>
      <c r="N65" s="12">
        <f>(VLOOKUP(main!V65,main!$AO$4:$AQ$55,3,FALSE))</f>
        <v>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0</v>
      </c>
      <c r="R65" s="12">
        <f>(VLOOKUP(main!Z65,main!$AO$4:$AQ$55,3,FALSE))</f>
        <v>0</v>
      </c>
      <c r="S65" s="12">
        <f>(VLOOKUP(main!AA65,main!$AO$4:$AQ$55,3,FALSE))</f>
        <v>0</v>
      </c>
      <c r="T65" s="12">
        <f>(VLOOKUP(main!AB65,main!$AO$4:$AQ$55,3,FALSE))</f>
        <v>0</v>
      </c>
      <c r="U65" s="12">
        <f>(VLOOKUP(main!AC65,main!$AO$4:$AQ$55,3,FALSE))</f>
        <v>0</v>
      </c>
      <c r="V65" s="12">
        <f>(VLOOKUP(main!AD65,main!$AO$4:$AQ$55,3,FALSE))</f>
        <v>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0</v>
      </c>
      <c r="R66" s="12">
        <f>(VLOOKUP(main!Z66,main!$AO$4:$AQ$55,3,FALSE))</f>
        <v>0</v>
      </c>
      <c r="S66" s="12">
        <f>(VLOOKUP(main!AA66,main!$AO$4:$AQ$55,3,FALSE))</f>
        <v>0</v>
      </c>
      <c r="T66" s="12">
        <f>(VLOOKUP(main!AB66,main!$AO$4:$AQ$55,3,FALSE))</f>
        <v>0</v>
      </c>
      <c r="U66" s="12">
        <f>(VLOOKUP(main!AC66,main!$AO$4:$AQ$55,3,FALSE))</f>
        <v>0</v>
      </c>
      <c r="V66" s="12">
        <f>(VLOOKUP(main!AD66,main!$AO$4:$AQ$55,3,FALSE))</f>
        <v>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0</v>
      </c>
      <c r="J67" s="12">
        <f>(VLOOKUP(main!R67,main!$AO$4:$AQ$55,3,FALSE))</f>
        <v>0</v>
      </c>
      <c r="K67" s="12">
        <f>(VLOOKUP(main!S67,main!$AO$4:$AQ$55,3,FALSE))</f>
        <v>0</v>
      </c>
      <c r="L67" s="12">
        <f>(VLOOKUP(main!T67,main!$AO$4:$AQ$55,3,FALSE))</f>
        <v>0</v>
      </c>
      <c r="M67" s="12">
        <f>(VLOOKUP(main!U67,main!$AO$4:$AQ$55,3,FALSE))</f>
        <v>0</v>
      </c>
      <c r="N67" s="12">
        <f>(VLOOKUP(main!V67,main!$AO$4:$AQ$55,3,FALSE))</f>
        <v>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0</v>
      </c>
      <c r="R67" s="12">
        <f>(VLOOKUP(main!Z67,main!$AO$4:$AQ$55,3,FALSE))</f>
        <v>0</v>
      </c>
      <c r="S67" s="12">
        <f>(VLOOKUP(main!AA67,main!$AO$4:$AQ$55,3,FALSE))</f>
        <v>0</v>
      </c>
      <c r="T67" s="12">
        <f>(VLOOKUP(main!AB67,main!$AO$4:$AQ$55,3,FALSE))</f>
        <v>0</v>
      </c>
      <c r="U67" s="12">
        <f>(VLOOKUP(main!AC67,main!$AO$4:$AQ$55,3,FALSE))</f>
        <v>0</v>
      </c>
      <c r="V67" s="12">
        <f>(VLOOKUP(main!AD67,main!$AO$4:$AQ$55,3,FALSE))</f>
        <v>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0</v>
      </c>
      <c r="J68" s="12">
        <f>(VLOOKUP(main!R68,main!$AO$4:$AQ$55,3,FALSE))</f>
        <v>0</v>
      </c>
      <c r="K68" s="12">
        <f>(VLOOKUP(main!S68,main!$AO$4:$AQ$55,3,FALSE))</f>
        <v>0</v>
      </c>
      <c r="L68" s="12">
        <f>(VLOOKUP(main!T68,main!$AO$4:$AQ$55,3,FALSE))</f>
        <v>0</v>
      </c>
      <c r="M68" s="12">
        <f>(VLOOKUP(main!U68,main!$AO$4:$AQ$55,3,FALSE))</f>
        <v>0</v>
      </c>
      <c r="N68" s="12">
        <f>(VLOOKUP(main!V68,main!$AO$4:$AQ$55,3,FALSE))</f>
        <v>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0</v>
      </c>
      <c r="R68" s="12">
        <f>(VLOOKUP(main!Z68,main!$AO$4:$AQ$55,3,FALSE))</f>
        <v>0</v>
      </c>
      <c r="S68" s="12">
        <f>(VLOOKUP(main!AA68,main!$AO$4:$AQ$55,3,FALSE))</f>
        <v>0</v>
      </c>
      <c r="T68" s="12">
        <f>(VLOOKUP(main!AB68,main!$AO$4:$AQ$55,3,FALSE))</f>
        <v>0</v>
      </c>
      <c r="U68" s="12">
        <f>(VLOOKUP(main!AC68,main!$AO$4:$AQ$55,3,FALSE))</f>
        <v>0</v>
      </c>
      <c r="V68" s="12">
        <f>(VLOOKUP(main!AD68,main!$AO$4:$AQ$55,3,FALSE))</f>
        <v>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0</v>
      </c>
      <c r="J69" s="12">
        <f>(VLOOKUP(main!R69,main!$AO$4:$AQ$55,3,FALSE))</f>
        <v>0</v>
      </c>
      <c r="K69" s="12">
        <f>(VLOOKUP(main!S69,main!$AO$4:$AQ$55,3,FALSE))</f>
        <v>0</v>
      </c>
      <c r="L69" s="12">
        <f>(VLOOKUP(main!T69,main!$AO$4:$AQ$55,3,FALSE))</f>
        <v>0</v>
      </c>
      <c r="M69" s="12">
        <f>(VLOOKUP(main!U69,main!$AO$4:$AQ$55,3,FALSE))</f>
        <v>0</v>
      </c>
      <c r="N69" s="12">
        <f>(VLOOKUP(main!V69,main!$AO$4:$AQ$55,3,FALSE))</f>
        <v>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0</v>
      </c>
      <c r="R69" s="12">
        <f>(VLOOKUP(main!Z69,main!$AO$4:$AQ$55,3,FALSE))</f>
        <v>0</v>
      </c>
      <c r="S69" s="12">
        <f>(VLOOKUP(main!AA69,main!$AO$4:$AQ$55,3,FALSE))</f>
        <v>0</v>
      </c>
      <c r="T69" s="12">
        <f>(VLOOKUP(main!AB69,main!$AO$4:$AQ$55,3,FALSE))</f>
        <v>0</v>
      </c>
      <c r="U69" s="12">
        <f>(VLOOKUP(main!AC69,main!$AO$4:$AQ$55,3,FALSE))</f>
        <v>0</v>
      </c>
      <c r="V69" s="12">
        <f>(VLOOKUP(main!AD69,main!$AO$4:$AQ$55,3,FALSE))</f>
        <v>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0</v>
      </c>
      <c r="J70" s="12">
        <f>(VLOOKUP(main!R70,main!$AO$4:$AQ$55,3,FALSE))</f>
        <v>0</v>
      </c>
      <c r="K70" s="12">
        <f>(VLOOKUP(main!S70,main!$AO$4:$AQ$55,3,FALSE))</f>
        <v>0</v>
      </c>
      <c r="L70" s="12">
        <f>(VLOOKUP(main!T70,main!$AO$4:$AQ$55,3,FALSE))</f>
        <v>0</v>
      </c>
      <c r="M70" s="12">
        <f>(VLOOKUP(main!U70,main!$AO$4:$AQ$55,3,FALSE))</f>
        <v>0</v>
      </c>
      <c r="N70" s="12">
        <f>(VLOOKUP(main!V70,main!$AO$4:$AQ$55,3,FALSE))</f>
        <v>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0</v>
      </c>
      <c r="R70" s="12">
        <f>(VLOOKUP(main!Z70,main!$AO$4:$AQ$55,3,FALSE))</f>
        <v>0</v>
      </c>
      <c r="S70" s="12">
        <f>(VLOOKUP(main!AA70,main!$AO$4:$AQ$55,3,FALSE))</f>
        <v>0</v>
      </c>
      <c r="T70" s="12">
        <f>(VLOOKUP(main!AB70,main!$AO$4:$AQ$55,3,FALSE))</f>
        <v>0</v>
      </c>
      <c r="U70" s="12">
        <f>(VLOOKUP(main!AC70,main!$AO$4:$AQ$55,3,FALSE))</f>
        <v>0</v>
      </c>
      <c r="V70" s="12">
        <f>(VLOOKUP(main!AD70,main!$AO$4:$AQ$55,3,FALSE))</f>
        <v>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0</v>
      </c>
      <c r="J71" s="12">
        <f>(VLOOKUP(main!R71,main!$AO$4:$AQ$55,3,FALSE))</f>
        <v>0</v>
      </c>
      <c r="K71" s="12">
        <f>(VLOOKUP(main!S71,main!$AO$4:$AQ$55,3,FALSE))</f>
        <v>0</v>
      </c>
      <c r="L71" s="12">
        <f>(VLOOKUP(main!T71,main!$AO$4:$AQ$55,3,FALSE))</f>
        <v>0</v>
      </c>
      <c r="M71" s="12">
        <f>(VLOOKUP(main!U71,main!$AO$4:$AQ$55,3,FALSE))</f>
        <v>0</v>
      </c>
      <c r="N71" s="12">
        <f>(VLOOKUP(main!V71,main!$AO$4:$AQ$55,3,FALSE))</f>
        <v>0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0</v>
      </c>
      <c r="R71" s="12">
        <f>(VLOOKUP(main!Z71,main!$AO$4:$AQ$55,3,FALSE))</f>
        <v>0</v>
      </c>
      <c r="S71" s="12">
        <f>(VLOOKUP(main!AA71,main!$AO$4:$AQ$55,3,FALSE))</f>
        <v>0</v>
      </c>
      <c r="T71" s="12">
        <f>(VLOOKUP(main!AB71,main!$AO$4:$AQ$55,3,FALSE))</f>
        <v>0</v>
      </c>
      <c r="U71" s="12">
        <f>(VLOOKUP(main!AC71,main!$AO$4:$AQ$55,3,FALSE))</f>
        <v>0</v>
      </c>
      <c r="V71" s="12">
        <f>(VLOOKUP(main!AD71,main!$AO$4:$AQ$55,3,FALSE))</f>
        <v>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0</v>
      </c>
      <c r="J72" s="12">
        <f>(VLOOKUP(main!R72,main!$AO$4:$AQ$55,3,FALSE))</f>
        <v>0</v>
      </c>
      <c r="K72" s="12">
        <f>(VLOOKUP(main!S72,main!$AO$4:$AQ$55,3,FALSE))</f>
        <v>0</v>
      </c>
      <c r="L72" s="12">
        <f>(VLOOKUP(main!T72,main!$AO$4:$AQ$55,3,FALSE))</f>
        <v>0</v>
      </c>
      <c r="M72" s="12">
        <f>(VLOOKUP(main!U72,main!$AO$4:$AQ$55,3,FALSE))</f>
        <v>0</v>
      </c>
      <c r="N72" s="12">
        <f>(VLOOKUP(main!V72,main!$AO$4:$AQ$55,3,FALSE))</f>
        <v>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0</v>
      </c>
      <c r="R72" s="12">
        <f>(VLOOKUP(main!Z72,main!$AO$4:$AQ$55,3,FALSE))</f>
        <v>0</v>
      </c>
      <c r="S72" s="12">
        <f>(VLOOKUP(main!AA72,main!$AO$4:$AQ$55,3,FALSE))</f>
        <v>0</v>
      </c>
      <c r="T72" s="12">
        <f>(VLOOKUP(main!AB72,main!$AO$4:$AQ$55,3,FALSE))</f>
        <v>0</v>
      </c>
      <c r="U72" s="12">
        <f>(VLOOKUP(main!AC72,main!$AO$4:$AQ$55,3,FALSE))</f>
        <v>0</v>
      </c>
      <c r="V72" s="12">
        <f>(VLOOKUP(main!AD72,main!$AO$4:$AQ$55,3,FALSE))</f>
        <v>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0</v>
      </c>
      <c r="J73" s="12">
        <f>(VLOOKUP(main!R73,main!$AO$4:$AQ$55,3,FALSE))</f>
        <v>0</v>
      </c>
      <c r="K73" s="12">
        <f>(VLOOKUP(main!S73,main!$AO$4:$AQ$55,3,FALSE))</f>
        <v>0</v>
      </c>
      <c r="L73" s="12">
        <f>(VLOOKUP(main!T73,main!$AO$4:$AQ$55,3,FALSE))</f>
        <v>0</v>
      </c>
      <c r="M73" s="12">
        <f>(VLOOKUP(main!U73,main!$AO$4:$AQ$55,3,FALSE))</f>
        <v>0</v>
      </c>
      <c r="N73" s="12">
        <f>(VLOOKUP(main!V73,main!$AO$4:$AQ$55,3,FALSE))</f>
        <v>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0</v>
      </c>
      <c r="R73" s="12">
        <f>(VLOOKUP(main!Z73,main!$AO$4:$AQ$55,3,FALSE))</f>
        <v>0</v>
      </c>
      <c r="S73" s="12">
        <f>(VLOOKUP(main!AA73,main!$AO$4:$AQ$55,3,FALSE))</f>
        <v>0</v>
      </c>
      <c r="T73" s="12">
        <f>(VLOOKUP(main!AB73,main!$AO$4:$AQ$55,3,FALSE))</f>
        <v>0</v>
      </c>
      <c r="U73" s="12">
        <f>(VLOOKUP(main!AC73,main!$AO$4:$AQ$55,3,FALSE))</f>
        <v>0</v>
      </c>
      <c r="V73" s="12">
        <f>(VLOOKUP(main!AD73,main!$AO$4:$AQ$55,3,FALSE))</f>
        <v>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0</v>
      </c>
      <c r="J74" s="12">
        <f>(VLOOKUP(main!R74,main!$AO$4:$AQ$55,3,FALSE))</f>
        <v>0</v>
      </c>
      <c r="K74" s="12">
        <f>(VLOOKUP(main!S74,main!$AO$4:$AQ$55,3,FALSE))</f>
        <v>0</v>
      </c>
      <c r="L74" s="12">
        <f>(VLOOKUP(main!T74,main!$AO$4:$AQ$55,3,FALSE))</f>
        <v>0</v>
      </c>
      <c r="M74" s="12">
        <f>(VLOOKUP(main!U74,main!$AO$4:$AQ$55,3,FALSE))</f>
        <v>0</v>
      </c>
      <c r="N74" s="12">
        <f>(VLOOKUP(main!V74,main!$AO$4:$AQ$55,3,FALSE))</f>
        <v>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0</v>
      </c>
      <c r="R74" s="12">
        <f>(VLOOKUP(main!Z74,main!$AO$4:$AQ$55,3,FALSE))</f>
        <v>0</v>
      </c>
      <c r="S74" s="12">
        <f>(VLOOKUP(main!AA74,main!$AO$4:$AQ$55,3,FALSE))</f>
        <v>0</v>
      </c>
      <c r="T74" s="12">
        <f>(VLOOKUP(main!AB74,main!$AO$4:$AQ$55,3,FALSE))</f>
        <v>0</v>
      </c>
      <c r="U74" s="12">
        <f>(VLOOKUP(main!AC74,main!$AO$4:$AQ$55,3,FALSE))</f>
        <v>0</v>
      </c>
      <c r="V74" s="12">
        <f>(VLOOKUP(main!AD74,main!$AO$4:$AQ$55,3,FALSE))</f>
        <v>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0</v>
      </c>
      <c r="J75" s="12">
        <f>(VLOOKUP(main!R75,main!$AO$4:$AQ$55,3,FALSE))</f>
        <v>0</v>
      </c>
      <c r="K75" s="12">
        <f>(VLOOKUP(main!S75,main!$AO$4:$AQ$55,3,FALSE))</f>
        <v>0</v>
      </c>
      <c r="L75" s="12">
        <f>(VLOOKUP(main!T75,main!$AO$4:$AQ$55,3,FALSE))</f>
        <v>0</v>
      </c>
      <c r="M75" s="12">
        <f>(VLOOKUP(main!U75,main!$AO$4:$AQ$55,3,FALSE))</f>
        <v>0</v>
      </c>
      <c r="N75" s="12">
        <f>(VLOOKUP(main!V75,main!$AO$4:$AQ$55,3,FALSE))</f>
        <v>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0</v>
      </c>
      <c r="R75" s="12">
        <f>(VLOOKUP(main!Z75,main!$AO$4:$AQ$55,3,FALSE))</f>
        <v>0</v>
      </c>
      <c r="S75" s="12">
        <f>(VLOOKUP(main!AA75,main!$AO$4:$AQ$55,3,FALSE))</f>
        <v>0</v>
      </c>
      <c r="T75" s="12">
        <f>(VLOOKUP(main!AB75,main!$AO$4:$AQ$55,3,FALSE))</f>
        <v>0</v>
      </c>
      <c r="U75" s="12">
        <f>(VLOOKUP(main!AC75,main!$AO$4:$AQ$55,3,FALSE))</f>
        <v>0</v>
      </c>
      <c r="V75" s="12">
        <f>(VLOOKUP(main!AD75,main!$AO$4:$AQ$55,3,FALSE))</f>
        <v>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0</v>
      </c>
      <c r="J76" s="12">
        <f>(VLOOKUP(main!R76,main!$AO$4:$AQ$55,3,FALSE))</f>
        <v>0</v>
      </c>
      <c r="K76" s="12">
        <f>(VLOOKUP(main!S76,main!$AO$4:$AQ$55,3,FALSE))</f>
        <v>0</v>
      </c>
      <c r="L76" s="12">
        <f>(VLOOKUP(main!T76,main!$AO$4:$AQ$55,3,FALSE))</f>
        <v>0</v>
      </c>
      <c r="M76" s="12">
        <f>(VLOOKUP(main!U76,main!$AO$4:$AQ$55,3,FALSE))</f>
        <v>0</v>
      </c>
      <c r="N76" s="12">
        <f>(VLOOKUP(main!V76,main!$AO$4:$AQ$55,3,FALSE))</f>
        <v>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0</v>
      </c>
      <c r="R76" s="12">
        <f>(VLOOKUP(main!Z76,main!$AO$4:$AQ$55,3,FALSE))</f>
        <v>0</v>
      </c>
      <c r="S76" s="12">
        <f>(VLOOKUP(main!AA76,main!$AO$4:$AQ$55,3,FALSE))</f>
        <v>0</v>
      </c>
      <c r="T76" s="12">
        <f>(VLOOKUP(main!AB76,main!$AO$4:$AQ$55,3,FALSE))</f>
        <v>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0</v>
      </c>
      <c r="J77" s="12">
        <f>(VLOOKUP(main!R77,main!$AO$4:$AQ$55,3,FALSE))</f>
        <v>0</v>
      </c>
      <c r="K77" s="12">
        <f>(VLOOKUP(main!S77,main!$AO$4:$AQ$55,3,FALSE))</f>
        <v>0</v>
      </c>
      <c r="L77" s="12">
        <f>(VLOOKUP(main!T77,main!$AO$4:$AQ$55,3,FALSE))</f>
        <v>0</v>
      </c>
      <c r="M77" s="12">
        <f>(VLOOKUP(main!U77,main!$AO$4:$AQ$55,3,FALSE))</f>
        <v>0</v>
      </c>
      <c r="N77" s="12">
        <f>(VLOOKUP(main!V77,main!$AO$4:$AQ$55,3,FALSE))</f>
        <v>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0</v>
      </c>
      <c r="R77" s="12">
        <f>(VLOOKUP(main!Z77,main!$AO$4:$AQ$55,3,FALSE))</f>
        <v>0</v>
      </c>
      <c r="S77" s="12">
        <f>(VLOOKUP(main!AA77,main!$AO$4:$AQ$55,3,FALSE))</f>
        <v>0</v>
      </c>
      <c r="T77" s="12">
        <f>(VLOOKUP(main!AB77,main!$AO$4:$AQ$55,3,FALSE))</f>
        <v>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0</v>
      </c>
      <c r="R78" s="12">
        <f>(VLOOKUP(main!Z78,main!$AO$4:$AQ$55,3,FALSE))</f>
        <v>0</v>
      </c>
      <c r="S78" s="12">
        <f>(VLOOKUP(main!AA78,main!$AO$4:$AQ$55,3,FALSE))</f>
        <v>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0</v>
      </c>
      <c r="R79" s="12">
        <f>(VLOOKUP(main!Z79,main!$AO$4:$AQ$55,3,FALSE))</f>
        <v>0</v>
      </c>
      <c r="S79" s="12">
        <f>(VLOOKUP(main!AA79,main!$AO$4:$AQ$55,3,FALSE))</f>
        <v>0</v>
      </c>
      <c r="T79" s="12">
        <f>(VLOOKUP(main!AB79,main!$AO$4:$AQ$55,3,FALSE))</f>
        <v>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0</v>
      </c>
      <c r="R80" s="12">
        <f>(VLOOKUP(main!Z80,main!$AO$4:$AQ$55,3,FALSE))</f>
        <v>0</v>
      </c>
      <c r="S80" s="12">
        <f>(VLOOKUP(main!AA80,main!$AO$4:$AQ$55,3,FALSE))</f>
        <v>0</v>
      </c>
      <c r="T80" s="12">
        <f>(VLOOKUP(main!AB80,main!$AO$4:$AQ$55,3,FALSE))</f>
        <v>0</v>
      </c>
      <c r="U80" s="12">
        <f>(VLOOKUP(main!AC80,main!$AO$4:$AQ$55,3,FALSE))</f>
        <v>0</v>
      </c>
      <c r="V80" s="12">
        <f>(VLOOKUP(main!AD80,main!$AO$4:$AQ$55,3,FALSE))</f>
        <v>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0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0</v>
      </c>
      <c r="R82" s="12">
        <f>(VLOOKUP(main!Z82,main!$AO$4:$AQ$55,3,FALSE))</f>
        <v>0</v>
      </c>
      <c r="S82" s="12">
        <f>(VLOOKUP(main!AA82,main!$AO$4:$AQ$55,3,FALSE))</f>
        <v>0</v>
      </c>
      <c r="T82" s="12">
        <f>(VLOOKUP(main!AB82,main!$AO$4:$AQ$55,3,FALSE))</f>
        <v>0</v>
      </c>
      <c r="U82" s="12">
        <f>(VLOOKUP(main!AC82,main!$AO$4:$AQ$55,3,FALSE))</f>
        <v>0</v>
      </c>
      <c r="V82" s="12">
        <f>(VLOOKUP(main!AD82,main!$AO$4:$AQ$55,3,FALSE))</f>
        <v>0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0</v>
      </c>
      <c r="J84" s="12">
        <f>(VLOOKUP(main!R84,main!$AO$4:$AQ$55,3,FALSE))</f>
        <v>0</v>
      </c>
      <c r="K84" s="12">
        <f>(VLOOKUP(main!S84,main!$AO$4:$AQ$55,3,FALSE))</f>
        <v>0</v>
      </c>
      <c r="L84" s="12">
        <f>(VLOOKUP(main!T84,main!$AO$4:$AQ$55,3,FALSE))</f>
        <v>0</v>
      </c>
      <c r="M84" s="12">
        <f>(VLOOKUP(main!U84,main!$AO$4:$AQ$55,3,FALSE))</f>
        <v>0</v>
      </c>
      <c r="N84" s="12">
        <f>(VLOOKUP(main!V84,main!$AO$4:$AQ$55,3,FALSE))</f>
        <v>0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0</v>
      </c>
      <c r="R84" s="12">
        <f>(VLOOKUP(main!Z84,main!$AO$4:$AQ$55,3,FALSE))</f>
        <v>0</v>
      </c>
      <c r="S84" s="12">
        <f>(VLOOKUP(main!AA84,main!$AO$4:$AQ$55,3,FALSE))</f>
        <v>0</v>
      </c>
      <c r="T84" s="12">
        <f>(VLOOKUP(main!AB84,main!$AO$4:$AQ$55,3,FALSE))</f>
        <v>0</v>
      </c>
      <c r="U84" s="12">
        <f>(VLOOKUP(main!AC84,main!$AO$4:$AQ$55,3,FALSE))</f>
        <v>0</v>
      </c>
      <c r="V84" s="12">
        <f>(VLOOKUP(main!AD84,main!$AO$4:$AQ$55,3,FALSE))</f>
        <v>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0</v>
      </c>
      <c r="R91" s="12">
        <f>(VLOOKUP(main!Z91,main!$AO$4:$AQ$55,3,FALSE))</f>
        <v>0</v>
      </c>
      <c r="S91" s="12">
        <f>(VLOOKUP(main!AA91,main!$AO$4:$AQ$55,3,FALSE))</f>
        <v>0</v>
      </c>
      <c r="T91" s="12">
        <f>(VLOOKUP(main!AB91,main!$AO$4:$AQ$55,3,FALSE))</f>
        <v>0</v>
      </c>
      <c r="U91" s="12">
        <f>(VLOOKUP(main!AC91,main!$AO$4:$AQ$55,3,FALSE))</f>
        <v>0</v>
      </c>
      <c r="V91" s="12">
        <f>(VLOOKUP(main!AD91,main!$AO$4:$AQ$55,3,FALSE))</f>
        <v>0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1" t="s">
        <v>97</v>
      </c>
      <c r="B2" s="132"/>
      <c r="C2" s="1" t="s">
        <v>3</v>
      </c>
      <c r="D2" s="1">
        <f>COUNTIF(A4:H94,"&lt;&gt;空")</f>
        <v>728</v>
      </c>
      <c r="E2" s="132" t="s">
        <v>4</v>
      </c>
      <c r="F2" s="132"/>
      <c r="G2" s="132"/>
      <c r="H2" s="133"/>
      <c r="I2" s="134" t="s">
        <v>5</v>
      </c>
      <c r="J2" s="135"/>
      <c r="K2" s="2" t="s">
        <v>3</v>
      </c>
      <c r="L2" s="2">
        <f>COUNTIF(I4:P94,"&lt;&gt;空")</f>
        <v>728</v>
      </c>
      <c r="M2" s="135" t="s">
        <v>4</v>
      </c>
      <c r="N2" s="135"/>
      <c r="O2" s="135"/>
      <c r="P2" s="136"/>
      <c r="Q2" s="137" t="s">
        <v>6</v>
      </c>
      <c r="R2" s="129"/>
      <c r="S2" s="4" t="s">
        <v>7</v>
      </c>
      <c r="T2" s="3">
        <f>COUNTIF(Q4:X94,"&lt;&gt;空")</f>
        <v>728</v>
      </c>
      <c r="U2" s="129" t="s">
        <v>4</v>
      </c>
      <c r="V2" s="129"/>
      <c r="W2" s="129"/>
      <c r="X2" s="130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0</v>
      </c>
      <c r="B4" s="12">
        <f>(VLOOKUP(main!J4,main!$AO$4:$AR$55,4,FALSE))</f>
        <v>0</v>
      </c>
      <c r="C4" s="12">
        <f>(VLOOKUP(main!K4,main!$AO$4:$AR$55,4,FALSE))</f>
        <v>0</v>
      </c>
      <c r="D4" s="12">
        <f>(VLOOKUP(main!L4,main!$AO$4:$AR$55,4,FALSE))</f>
        <v>0</v>
      </c>
      <c r="E4" s="12">
        <f>(VLOOKUP(main!M4,main!$AO$4:$AR$55,4,FALSE))</f>
        <v>0</v>
      </c>
      <c r="F4" s="12">
        <f>(VLOOKUP(main!N4,main!$AO$4:$AR$55,4,FALSE))</f>
        <v>0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0</v>
      </c>
      <c r="J4" s="12">
        <f>(VLOOKUP(main!R4,main!$AO$4:$AR$55,4,FALSE))</f>
        <v>0</v>
      </c>
      <c r="K4" s="12">
        <f>(VLOOKUP(main!S4,main!$AO$4:$AR$55,4,FALSE))</f>
        <v>0</v>
      </c>
      <c r="L4" s="12">
        <f>(VLOOKUP(main!T4,main!$AO$4:$AR$55,4,FALSE))</f>
        <v>0</v>
      </c>
      <c r="M4" s="12">
        <f>(VLOOKUP(main!U4,main!$AO$4:$AR$55,4,FALSE))</f>
        <v>0</v>
      </c>
      <c r="N4" s="12">
        <f>(VLOOKUP(main!V4,main!$AO$4:$AR$55,4,FALSE))</f>
        <v>0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0</v>
      </c>
      <c r="J5" s="12">
        <f>(VLOOKUP(main!R5,main!$AO$4:$AR$55,4,FALSE))</f>
        <v>0</v>
      </c>
      <c r="K5" s="12">
        <f>(VLOOKUP(main!S5,main!$AO$4:$AR$55,4,FALSE))</f>
        <v>0</v>
      </c>
      <c r="L5" s="12">
        <f>(VLOOKUP(main!T5,main!$AO$4:$AR$55,4,FALSE))</f>
        <v>0</v>
      </c>
      <c r="M5" s="12">
        <f>(VLOOKUP(main!U5,main!$AO$4:$AR$55,4,FALSE))</f>
        <v>0</v>
      </c>
      <c r="N5" s="12">
        <f>(VLOOKUP(main!V5,main!$AO$4:$AR$55,4,FALSE))</f>
        <v>0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0</v>
      </c>
      <c r="R5" s="12">
        <f>(VLOOKUP(main!Z5,main!$AO$4:$AR$55,4,FALSE))</f>
        <v>0</v>
      </c>
      <c r="S5" s="12">
        <f>(VLOOKUP(main!AA5,main!$AO$4:$AR$55,4,FALSE))</f>
        <v>0</v>
      </c>
      <c r="T5" s="12">
        <f>(VLOOKUP(main!AB5,main!$AO$4:$AR$55,4,FALSE))</f>
        <v>0</v>
      </c>
      <c r="U5" s="12">
        <f>(VLOOKUP(main!AC5,main!$AO$4:$AR$55,4,FALSE))</f>
        <v>0</v>
      </c>
      <c r="V5" s="12">
        <f>(VLOOKUP(main!AD5,main!$AO$4:$AR$55,4,FALSE))</f>
        <v>0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0</v>
      </c>
      <c r="J6" s="12">
        <f>(VLOOKUP(main!R6,main!$AO$4:$AR$55,4,FALSE))</f>
        <v>0</v>
      </c>
      <c r="K6" s="12">
        <f>(VLOOKUP(main!S6,main!$AO$4:$AR$55,4,FALSE))</f>
        <v>0</v>
      </c>
      <c r="L6" s="12">
        <f>(VLOOKUP(main!T6,main!$AO$4:$AR$55,4,FALSE))</f>
        <v>0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0</v>
      </c>
      <c r="R6" s="12">
        <f>(VLOOKUP(main!Z6,main!$AO$4:$AR$55,4,FALSE))</f>
        <v>0</v>
      </c>
      <c r="S6" s="12">
        <f>(VLOOKUP(main!AA6,main!$AO$4:$AR$55,4,FALSE))</f>
        <v>0</v>
      </c>
      <c r="T6" s="12">
        <f>(VLOOKUP(main!AB6,main!$AO$4:$AR$55,4,FALSE))</f>
        <v>0</v>
      </c>
      <c r="U6" s="12">
        <f>(VLOOKUP(main!AC6,main!$AO$4:$AR$55,4,FALSE))</f>
        <v>0</v>
      </c>
      <c r="V6" s="12">
        <f>(VLOOKUP(main!AD6,main!$AO$4:$AR$55,4,FALSE))</f>
        <v>0</v>
      </c>
      <c r="W6" s="12">
        <f>(VLOOKUP(main!AE6,main!$AO$4:$AR$55,4,FALSE))</f>
        <v>0</v>
      </c>
      <c r="X6" s="12">
        <f>(VLOOKUP(main!AF6,main!$AO$4:$AR$55,4,FALSE))</f>
        <v>0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0</v>
      </c>
      <c r="R7" s="12">
        <f>(VLOOKUP(main!Z7,main!$AO$4:$AR$55,4,FALSE))</f>
        <v>0</v>
      </c>
      <c r="S7" s="12">
        <f>(VLOOKUP(main!AA7,main!$AO$4:$AR$55,4,FALSE))</f>
        <v>0</v>
      </c>
      <c r="T7" s="12">
        <f>(VLOOKUP(main!AB7,main!$AO$4:$AR$55,4,FALSE))</f>
        <v>0</v>
      </c>
      <c r="U7" s="12">
        <f>(VLOOKUP(main!AC7,main!$AO$4:$AR$55,4,FALSE))</f>
        <v>0</v>
      </c>
      <c r="V7" s="12">
        <f>(VLOOKUP(main!AD7,main!$AO$4:$AR$55,4,FALSE))</f>
        <v>0</v>
      </c>
      <c r="W7" s="12">
        <f>(VLOOKUP(main!AE7,main!$AO$4:$AR$55,4,FALSE))</f>
        <v>0</v>
      </c>
      <c r="X7" s="12">
        <f>(VLOOKUP(main!AF7,main!$AO$4:$AR$55,4,FALSE))</f>
        <v>0</v>
      </c>
    </row>
    <row r="8" spans="1:24">
      <c r="A8" s="12">
        <f>(VLOOKUP(main!I8,main!$AO$4:$AR$55,4,FALSE))</f>
        <v>0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0</v>
      </c>
      <c r="J8" s="12">
        <f>(VLOOKUP(main!R8,main!$AO$4:$AR$55,4,FALSE))</f>
        <v>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0</v>
      </c>
      <c r="R8" s="12">
        <f>(VLOOKUP(main!Z8,main!$AO$4:$AR$55,4,FALSE))</f>
        <v>0</v>
      </c>
      <c r="S8" s="12">
        <f>(VLOOKUP(main!AA8,main!$AO$4:$AR$55,4,FALSE))</f>
        <v>0</v>
      </c>
      <c r="T8" s="12">
        <f>(VLOOKUP(main!AB8,main!$AO$4:$AR$55,4,FALSE))</f>
        <v>0</v>
      </c>
      <c r="U8" s="12">
        <f>(VLOOKUP(main!AC8,main!$AO$4:$AR$55,4,FALSE))</f>
        <v>0</v>
      </c>
      <c r="V8" s="12">
        <f>(VLOOKUP(main!AD8,main!$AO$4:$AR$55,4,FALSE))</f>
        <v>0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0</v>
      </c>
      <c r="R9" s="12">
        <f>(VLOOKUP(main!Z9,main!$AO$4:$AR$55,4,FALSE))</f>
        <v>0</v>
      </c>
      <c r="S9" s="12">
        <f>(VLOOKUP(main!AA9,main!$AO$4:$AR$55,4,FALSE))</f>
        <v>0</v>
      </c>
      <c r="T9" s="12">
        <f>(VLOOKUP(main!AB9,main!$AO$4:$AR$55,4,FALSE))</f>
        <v>0</v>
      </c>
      <c r="U9" s="12">
        <f>(VLOOKUP(main!AC9,main!$AO$4:$AR$55,4,FALSE))</f>
        <v>0</v>
      </c>
      <c r="V9" s="12">
        <f>(VLOOKUP(main!AD9,main!$AO$4:$AR$55,4,FALSE))</f>
        <v>0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0</v>
      </c>
      <c r="R10" s="12">
        <f>(VLOOKUP(main!Z10,main!$AO$4:$AR$55,4,FALSE))</f>
        <v>0</v>
      </c>
      <c r="S10" s="12">
        <f>(VLOOKUP(main!AA10,main!$AO$4:$AR$55,4,FALSE))</f>
        <v>0</v>
      </c>
      <c r="T10" s="12">
        <f>(VLOOKUP(main!AB10,main!$AO$4:$AR$55,4,FALSE))</f>
        <v>0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0</v>
      </c>
      <c r="B11" s="12">
        <f>(VLOOKUP(main!J11,main!$AO$4:$AR$55,4,FALSE))</f>
        <v>0</v>
      </c>
      <c r="C11" s="12">
        <f>(VLOOKUP(main!K11,main!$AO$4:$AR$55,4,FALSE))</f>
        <v>0</v>
      </c>
      <c r="D11" s="12">
        <f>(VLOOKUP(main!L11,main!$AO$4:$AR$55,4,FALSE))</f>
        <v>0</v>
      </c>
      <c r="E11" s="12">
        <f>(VLOOKUP(main!M11,main!$AO$4:$AR$55,4,FALSE))</f>
        <v>0</v>
      </c>
      <c r="F11" s="12">
        <f>(VLOOKUP(main!N11,main!$AO$4:$AR$55,4,FALSE))</f>
        <v>0</v>
      </c>
      <c r="G11" s="12">
        <f>(VLOOKUP(main!O11,main!$AO$4:$AR$55,4,FALSE))</f>
        <v>0</v>
      </c>
      <c r="H11" s="12">
        <f>(VLOOKUP(main!P11,main!$AO$4:$AR$55,4,FALSE))</f>
        <v>0</v>
      </c>
      <c r="I11" s="12">
        <f>(VLOOKUP(main!Q11,main!$AO$4:$AR$55,4,FALSE))</f>
        <v>0</v>
      </c>
      <c r="J11" s="12">
        <f>(VLOOKUP(main!R11,main!$AO$4:$AR$55,4,FALSE))</f>
        <v>0</v>
      </c>
      <c r="K11" s="12">
        <f>(VLOOKUP(main!S11,main!$AO$4:$AR$55,4,FALSE))</f>
        <v>0</v>
      </c>
      <c r="L11" s="12">
        <f>(VLOOKUP(main!T11,main!$AO$4:$AR$55,4,FALSE))</f>
        <v>0</v>
      </c>
      <c r="M11" s="12">
        <f>(VLOOKUP(main!U11,main!$AO$4:$AR$55,4,FALSE))</f>
        <v>0</v>
      </c>
      <c r="N11" s="12">
        <f>(VLOOKUP(main!V11,main!$AO$4:$AR$55,4,FALSE))</f>
        <v>0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0</v>
      </c>
      <c r="B12" s="12">
        <f>(VLOOKUP(main!J12,main!$AO$4:$AR$55,4,FALSE))</f>
        <v>0</v>
      </c>
      <c r="C12" s="12">
        <f>(VLOOKUP(main!K12,main!$AO$4:$AR$55,4,FALSE))</f>
        <v>0</v>
      </c>
      <c r="D12" s="12">
        <f>(VLOOKUP(main!L12,main!$AO$4:$AR$55,4,FALSE))</f>
        <v>0</v>
      </c>
      <c r="E12" s="12">
        <f>(VLOOKUP(main!M12,main!$AO$4:$AR$55,4,FALSE))</f>
        <v>0</v>
      </c>
      <c r="F12" s="12">
        <f>(VLOOKUP(main!N12,main!$AO$4:$AR$55,4,FALSE))</f>
        <v>0</v>
      </c>
      <c r="G12" s="12">
        <f>(VLOOKUP(main!O12,main!$AO$4:$AR$55,4,FALSE))</f>
        <v>0</v>
      </c>
      <c r="H12" s="12">
        <f>(VLOOKUP(main!P12,main!$AO$4:$AR$55,4,FALSE))</f>
        <v>0</v>
      </c>
      <c r="I12" s="12">
        <f>(VLOOKUP(main!Q12,main!$AO$4:$AR$55,4,FALSE))</f>
        <v>0</v>
      </c>
      <c r="J12" s="12">
        <f>(VLOOKUP(main!R12,main!$AO$4:$AR$55,4,FALSE))</f>
        <v>0</v>
      </c>
      <c r="K12" s="12">
        <f>(VLOOKUP(main!S12,main!$AO$4:$AR$55,4,FALSE))</f>
        <v>0</v>
      </c>
      <c r="L12" s="12">
        <f>(VLOOKUP(main!T12,main!$AO$4:$AR$55,4,FALSE))</f>
        <v>0</v>
      </c>
      <c r="M12" s="12">
        <f>(VLOOKUP(main!U12,main!$AO$4:$AR$55,4,FALSE))</f>
        <v>0</v>
      </c>
      <c r="N12" s="12">
        <f>(VLOOKUP(main!V12,main!$AO$4:$AR$55,4,FALSE))</f>
        <v>0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0</v>
      </c>
      <c r="R12" s="12">
        <f>(VLOOKUP(main!Z12,main!$AO$4:$AR$55,4,FALSE))</f>
        <v>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0</v>
      </c>
      <c r="B13" s="12">
        <f>(VLOOKUP(main!J13,main!$AO$4:$AR$55,4,FALSE))</f>
        <v>0</v>
      </c>
      <c r="C13" s="12">
        <f>(VLOOKUP(main!K13,main!$AO$4:$AR$55,4,FALSE))</f>
        <v>0</v>
      </c>
      <c r="D13" s="12">
        <f>(VLOOKUP(main!L13,main!$AO$4:$AR$55,4,FALSE))</f>
        <v>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0</v>
      </c>
      <c r="R13" s="12">
        <f>(VLOOKUP(main!Z13,main!$AO$4:$AR$55,4,FALSE))</f>
        <v>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0</v>
      </c>
      <c r="V14" s="12">
        <f>(VLOOKUP(main!AD14,main!$AO$4:$AR$55,4,FALSE))</f>
        <v>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0</v>
      </c>
      <c r="J15" s="12">
        <f>(VLOOKUP(main!R15,main!$AO$4:$AR$55,4,FALSE))</f>
        <v>0</v>
      </c>
      <c r="K15" s="12">
        <f>(VLOOKUP(main!S15,main!$AO$4:$AR$55,4,FALSE))</f>
        <v>0</v>
      </c>
      <c r="L15" s="12">
        <f>(VLOOKUP(main!T15,main!$AO$4:$AR$55,4,FALSE))</f>
        <v>0</v>
      </c>
      <c r="M15" s="12">
        <f>(VLOOKUP(main!U15,main!$AO$4:$AR$55,4,FALSE))</f>
        <v>0</v>
      </c>
      <c r="N15" s="12">
        <f>(VLOOKUP(main!V15,main!$AO$4:$AR$55,4,FALSE))</f>
        <v>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0</v>
      </c>
      <c r="R15" s="12">
        <f>(VLOOKUP(main!Z15,main!$AO$4:$AR$55,4,FALSE))</f>
        <v>0</v>
      </c>
      <c r="S15" s="12">
        <f>(VLOOKUP(main!AA15,main!$AO$4:$AR$55,4,FALSE))</f>
        <v>0</v>
      </c>
      <c r="T15" s="12">
        <f>(VLOOKUP(main!AB15,main!$AO$4:$AR$55,4,FALSE))</f>
        <v>0</v>
      </c>
      <c r="U15" s="12">
        <f>(VLOOKUP(main!AC15,main!$AO$4:$AR$55,4,FALSE))</f>
        <v>0</v>
      </c>
      <c r="V15" s="12">
        <f>(VLOOKUP(main!AD15,main!$AO$4:$AR$55,4,FALSE))</f>
        <v>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0</v>
      </c>
      <c r="J16" s="12">
        <f>(VLOOKUP(main!R16,main!$AO$4:$AR$55,4,FALSE))</f>
        <v>0</v>
      </c>
      <c r="K16" s="12">
        <f>(VLOOKUP(main!S16,main!$AO$4:$AR$55,4,FALSE))</f>
        <v>0</v>
      </c>
      <c r="L16" s="12">
        <f>(VLOOKUP(main!T16,main!$AO$4:$AR$55,4,FALSE))</f>
        <v>0</v>
      </c>
      <c r="M16" s="12">
        <f>(VLOOKUP(main!U16,main!$AO$4:$AR$55,4,FALSE))</f>
        <v>0</v>
      </c>
      <c r="N16" s="12">
        <f>(VLOOKUP(main!V16,main!$AO$4:$AR$55,4,FALSE))</f>
        <v>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0</v>
      </c>
      <c r="R16" s="12">
        <f>(VLOOKUP(main!Z16,main!$AO$4:$AR$55,4,FALSE))</f>
        <v>0</v>
      </c>
      <c r="S16" s="12">
        <f>(VLOOKUP(main!AA16,main!$AO$4:$AR$55,4,FALSE))</f>
        <v>0</v>
      </c>
      <c r="T16" s="12">
        <f>(VLOOKUP(main!AB16,main!$AO$4:$AR$55,4,FALSE))</f>
        <v>0</v>
      </c>
      <c r="U16" s="12">
        <f>(VLOOKUP(main!AC16,main!$AO$4:$AR$55,4,FALSE))</f>
        <v>0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0</v>
      </c>
      <c r="J17" s="12">
        <f>(VLOOKUP(main!R17,main!$AO$4:$AR$55,4,FALSE))</f>
        <v>0</v>
      </c>
      <c r="K17" s="12">
        <f>(VLOOKUP(main!S17,main!$AO$4:$AR$55,4,FALSE))</f>
        <v>0</v>
      </c>
      <c r="L17" s="12">
        <f>(VLOOKUP(main!T17,main!$AO$4:$AR$55,4,FALSE))</f>
        <v>0</v>
      </c>
      <c r="M17" s="12">
        <f>(VLOOKUP(main!U17,main!$AO$4:$AR$55,4,FALSE))</f>
        <v>0</v>
      </c>
      <c r="N17" s="12">
        <f>(VLOOKUP(main!V17,main!$AO$4:$AR$55,4,FALSE))</f>
        <v>0</v>
      </c>
      <c r="O17" s="12">
        <f>(VLOOKUP(main!W17,main!$AO$4:$AR$55,4,FALSE))</f>
        <v>0</v>
      </c>
      <c r="P17" s="12">
        <f>(VLOOKUP(main!X17,main!$AO$4:$AR$55,4,FALSE))</f>
        <v>0</v>
      </c>
      <c r="Q17" s="12">
        <f>(VLOOKUP(main!Y17,main!$AO$4:$AR$55,4,FALSE))</f>
        <v>0</v>
      </c>
      <c r="R17" s="12">
        <f>(VLOOKUP(main!Z17,main!$AO$4:$AR$55,4,FALSE))</f>
        <v>0</v>
      </c>
      <c r="S17" s="12">
        <f>(VLOOKUP(main!AA17,main!$AO$4:$AR$55,4,FALSE))</f>
        <v>0</v>
      </c>
      <c r="T17" s="12">
        <f>(VLOOKUP(main!AB17,main!$AO$4:$AR$55,4,FALSE))</f>
        <v>0</v>
      </c>
      <c r="U17" s="12">
        <f>(VLOOKUP(main!AC17,main!$AO$4:$AR$55,4,FALSE))</f>
        <v>0</v>
      </c>
      <c r="V17" s="12">
        <f>(VLOOKUP(main!AD17,main!$AO$4:$AR$55,4,FALSE))</f>
        <v>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0</v>
      </c>
      <c r="J18" s="12">
        <f>(VLOOKUP(main!R18,main!$AO$4:$AR$55,4,FALSE))</f>
        <v>0</v>
      </c>
      <c r="K18" s="12">
        <f>(VLOOKUP(main!S18,main!$AO$4:$AR$55,4,FALSE))</f>
        <v>0</v>
      </c>
      <c r="L18" s="12">
        <f>(VLOOKUP(main!T18,main!$AO$4:$AR$55,4,FALSE))</f>
        <v>0</v>
      </c>
      <c r="M18" s="12">
        <f>(VLOOKUP(main!U18,main!$AO$4:$AR$55,4,FALSE))</f>
        <v>0</v>
      </c>
      <c r="N18" s="12">
        <f>(VLOOKUP(main!V18,main!$AO$4:$AR$55,4,FALSE))</f>
        <v>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0</v>
      </c>
      <c r="R18" s="12">
        <f>(VLOOKUP(main!Z18,main!$AO$4:$AR$55,4,FALSE))</f>
        <v>0</v>
      </c>
      <c r="S18" s="12">
        <f>(VLOOKUP(main!AA18,main!$AO$4:$AR$55,4,FALSE))</f>
        <v>0</v>
      </c>
      <c r="T18" s="12">
        <f>(VLOOKUP(main!AB18,main!$AO$4:$AR$55,4,FALSE))</f>
        <v>0</v>
      </c>
      <c r="U18" s="12">
        <f>(VLOOKUP(main!AC18,main!$AO$4:$AR$55,4,FALSE))</f>
        <v>0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0</v>
      </c>
      <c r="J19" s="12">
        <f>(VLOOKUP(main!R19,main!$AO$4:$AR$55,4,FALSE))</f>
        <v>0</v>
      </c>
      <c r="K19" s="12">
        <f>(VLOOKUP(main!S19,main!$AO$4:$AR$55,4,FALSE))</f>
        <v>0</v>
      </c>
      <c r="L19" s="12">
        <f>(VLOOKUP(main!T19,main!$AO$4:$AR$55,4,FALSE))</f>
        <v>0</v>
      </c>
      <c r="M19" s="12">
        <f>(VLOOKUP(main!U19,main!$AO$4:$AR$55,4,FALSE))</f>
        <v>0</v>
      </c>
      <c r="N19" s="12">
        <f>(VLOOKUP(main!V19,main!$AO$4:$AR$55,4,FALSE))</f>
        <v>0</v>
      </c>
      <c r="O19" s="12">
        <f>(VLOOKUP(main!W19,main!$AO$4:$AR$55,4,FALSE))</f>
        <v>0</v>
      </c>
      <c r="P19" s="12">
        <f>(VLOOKUP(main!X19,main!$AO$4:$AR$55,4,FALSE))</f>
        <v>0</v>
      </c>
      <c r="Q19" s="12">
        <f>(VLOOKUP(main!Y19,main!$AO$4:$AR$55,4,FALSE))</f>
        <v>0</v>
      </c>
      <c r="R19" s="12">
        <f>(VLOOKUP(main!Z19,main!$AO$4:$AR$55,4,FALSE))</f>
        <v>0</v>
      </c>
      <c r="S19" s="12">
        <f>(VLOOKUP(main!AA19,main!$AO$4:$AR$55,4,FALSE))</f>
        <v>0</v>
      </c>
      <c r="T19" s="12">
        <f>(VLOOKUP(main!AB19,main!$AO$4:$AR$55,4,FALSE))</f>
        <v>0</v>
      </c>
      <c r="U19" s="12">
        <f>(VLOOKUP(main!AC19,main!$AO$4:$AR$55,4,FALSE))</f>
        <v>0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0</v>
      </c>
      <c r="J20" s="12">
        <f>(VLOOKUP(main!R20,main!$AO$4:$AR$55,4,FALSE))</f>
        <v>0</v>
      </c>
      <c r="K20" s="12">
        <f>(VLOOKUP(main!S20,main!$AO$4:$AR$55,4,FALSE))</f>
        <v>0</v>
      </c>
      <c r="L20" s="12">
        <f>(VLOOKUP(main!T20,main!$AO$4:$AR$55,4,FALSE))</f>
        <v>0</v>
      </c>
      <c r="M20" s="12">
        <f>(VLOOKUP(main!U20,main!$AO$4:$AR$55,4,FALSE))</f>
        <v>0</v>
      </c>
      <c r="N20" s="12">
        <f>(VLOOKUP(main!V20,main!$AO$4:$AR$55,4,FALSE))</f>
        <v>0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0</v>
      </c>
      <c r="R20" s="12">
        <f>(VLOOKUP(main!Z20,main!$AO$4:$AR$55,4,FALSE))</f>
        <v>0</v>
      </c>
      <c r="S20" s="12">
        <f>(VLOOKUP(main!AA20,main!$AO$4:$AR$55,4,FALSE))</f>
        <v>0</v>
      </c>
      <c r="T20" s="12">
        <f>(VLOOKUP(main!AB20,main!$AO$4:$AR$55,4,FALSE))</f>
        <v>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0</v>
      </c>
      <c r="J21" s="12">
        <f>(VLOOKUP(main!R21,main!$AO$4:$AR$55,4,FALSE))</f>
        <v>0</v>
      </c>
      <c r="K21" s="12">
        <f>(VLOOKUP(main!S21,main!$AO$4:$AR$55,4,FALSE))</f>
        <v>0</v>
      </c>
      <c r="L21" s="12">
        <f>(VLOOKUP(main!T21,main!$AO$4:$AR$55,4,FALSE))</f>
        <v>0</v>
      </c>
      <c r="M21" s="12">
        <f>(VLOOKUP(main!U21,main!$AO$4:$AR$55,4,FALSE))</f>
        <v>0</v>
      </c>
      <c r="N21" s="12">
        <f>(VLOOKUP(main!V21,main!$AO$4:$AR$55,4,FALSE))</f>
        <v>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0</v>
      </c>
      <c r="R21" s="12">
        <f>(VLOOKUP(main!Z21,main!$AO$4:$AR$55,4,FALSE))</f>
        <v>0</v>
      </c>
      <c r="S21" s="12">
        <f>(VLOOKUP(main!AA21,main!$AO$4:$AR$55,4,FALSE))</f>
        <v>0</v>
      </c>
      <c r="T21" s="12">
        <f>(VLOOKUP(main!AB21,main!$AO$4:$AR$55,4,FALSE))</f>
        <v>0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0</v>
      </c>
      <c r="J22" s="12">
        <f>(VLOOKUP(main!R22,main!$AO$4:$AR$55,4,FALSE))</f>
        <v>0</v>
      </c>
      <c r="K22" s="12">
        <f>(VLOOKUP(main!S22,main!$AO$4:$AR$55,4,FALSE))</f>
        <v>0</v>
      </c>
      <c r="L22" s="12">
        <f>(VLOOKUP(main!T22,main!$AO$4:$AR$55,4,FALSE))</f>
        <v>0</v>
      </c>
      <c r="M22" s="12">
        <f>(VLOOKUP(main!U22,main!$AO$4:$AR$55,4,FALSE))</f>
        <v>0</v>
      </c>
      <c r="N22" s="12">
        <f>(VLOOKUP(main!V22,main!$AO$4:$AR$55,4,FALSE))</f>
        <v>0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0</v>
      </c>
      <c r="R22" s="12">
        <f>(VLOOKUP(main!Z22,main!$AO$4:$AR$55,4,FALSE))</f>
        <v>0</v>
      </c>
      <c r="S22" s="12">
        <f>(VLOOKUP(main!AA22,main!$AO$4:$AR$55,4,FALSE))</f>
        <v>0</v>
      </c>
      <c r="T22" s="12">
        <f>(VLOOKUP(main!AB22,main!$AO$4:$AR$55,4,FALSE))</f>
        <v>0</v>
      </c>
      <c r="U22" s="12">
        <f>(VLOOKUP(main!AC22,main!$AO$4:$AR$55,4,FALSE))</f>
        <v>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0</v>
      </c>
      <c r="J23" s="12">
        <f>(VLOOKUP(main!R23,main!$AO$4:$AR$55,4,FALSE))</f>
        <v>0</v>
      </c>
      <c r="K23" s="12">
        <f>(VLOOKUP(main!S23,main!$AO$4:$AR$55,4,FALSE))</f>
        <v>0</v>
      </c>
      <c r="L23" s="12">
        <f>(VLOOKUP(main!T23,main!$AO$4:$AR$55,4,FALSE))</f>
        <v>0</v>
      </c>
      <c r="M23" s="12">
        <f>(VLOOKUP(main!U23,main!$AO$4:$AR$55,4,FALSE))</f>
        <v>0</v>
      </c>
      <c r="N23" s="12">
        <f>(VLOOKUP(main!V23,main!$AO$4:$AR$55,4,FALSE))</f>
        <v>0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0</v>
      </c>
      <c r="R23" s="12">
        <f>(VLOOKUP(main!Z23,main!$AO$4:$AR$55,4,FALSE))</f>
        <v>0</v>
      </c>
      <c r="S23" s="12">
        <f>(VLOOKUP(main!AA23,main!$AO$4:$AR$55,4,FALSE))</f>
        <v>0</v>
      </c>
      <c r="T23" s="12">
        <f>(VLOOKUP(main!AB23,main!$AO$4:$AR$55,4,FALSE))</f>
        <v>0</v>
      </c>
      <c r="U23" s="12">
        <f>(VLOOKUP(main!AC23,main!$AO$4:$AR$55,4,FALSE))</f>
        <v>0</v>
      </c>
      <c r="V23" s="12">
        <f>(VLOOKUP(main!AD23,main!$AO$4:$AR$55,4,FALSE))</f>
        <v>0</v>
      </c>
      <c r="W23" s="12">
        <f>(VLOOKUP(main!AE23,main!$AO$4:$AR$55,4,FALSE))</f>
        <v>0</v>
      </c>
      <c r="X23" s="12">
        <f>(VLOOKUP(main!AF23,main!$AO$4:$AR$55,4,FALSE))</f>
        <v>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0</v>
      </c>
      <c r="R24" s="12">
        <f>(VLOOKUP(main!Z24,main!$AO$4:$AR$55,4,FALSE))</f>
        <v>0</v>
      </c>
      <c r="S24" s="12">
        <f>(VLOOKUP(main!AA24,main!$AO$4:$AR$55,4,FALSE))</f>
        <v>0</v>
      </c>
      <c r="T24" s="12">
        <f>(VLOOKUP(main!AB24,main!$AO$4:$AR$55,4,FALSE))</f>
        <v>0</v>
      </c>
      <c r="U24" s="12">
        <f>(VLOOKUP(main!AC24,main!$AO$4:$AR$55,4,FALSE))</f>
        <v>0</v>
      </c>
      <c r="V24" s="12">
        <f>(VLOOKUP(main!AD24,main!$AO$4:$AR$55,4,FALSE))</f>
        <v>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0</v>
      </c>
      <c r="R31" s="12">
        <f>(VLOOKUP(main!Z31,main!$AO$4:$AR$55,4,FALSE))</f>
        <v>0</v>
      </c>
      <c r="S31" s="12">
        <f>(VLOOKUP(main!AA31,main!$AO$4:$AR$55,4,FALSE))</f>
        <v>0</v>
      </c>
      <c r="T31" s="12">
        <f>(VLOOKUP(main!AB31,main!$AO$4:$AR$55,4,FALSE))</f>
        <v>0</v>
      </c>
      <c r="U31" s="12">
        <f>(VLOOKUP(main!AC31,main!$AO$4:$AR$55,4,FALSE))</f>
        <v>0</v>
      </c>
      <c r="V31" s="12">
        <f>(VLOOKUP(main!AD31,main!$AO$4:$AR$55,4,FALSE))</f>
        <v>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0</v>
      </c>
      <c r="R33" s="12">
        <f>(VLOOKUP(main!Z33,main!$AO$4:$AR$55,4,FALSE))</f>
        <v>0</v>
      </c>
      <c r="S33" s="12">
        <f>(VLOOKUP(main!AA33,main!$AO$4:$AR$55,4,FALSE))</f>
        <v>0</v>
      </c>
      <c r="T33" s="12">
        <f>(VLOOKUP(main!AB33,main!$AO$4:$AR$55,4,FALSE))</f>
        <v>0</v>
      </c>
      <c r="U33" s="12">
        <f>(VLOOKUP(main!AC33,main!$AO$4:$AR$55,4,FALSE))</f>
        <v>0</v>
      </c>
      <c r="V33" s="12">
        <f>(VLOOKUP(main!AD33,main!$AO$4:$AR$55,4,FALSE))</f>
        <v>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0</v>
      </c>
      <c r="J34" s="12">
        <f>(VLOOKUP(main!R34,main!$AO$4:$AR$55,4,FALSE))</f>
        <v>0</v>
      </c>
      <c r="K34" s="12">
        <f>(VLOOKUP(main!S34,main!$AO$4:$AR$55,4,FALSE))</f>
        <v>0</v>
      </c>
      <c r="L34" s="12">
        <f>(VLOOKUP(main!T34,main!$AO$4:$AR$55,4,FALSE))</f>
        <v>0</v>
      </c>
      <c r="M34" s="12">
        <f>(VLOOKUP(main!U34,main!$AO$4:$AR$55,4,FALSE))</f>
        <v>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0</v>
      </c>
      <c r="R34" s="12">
        <f>(VLOOKUP(main!Z34,main!$AO$4:$AR$55,4,FALSE))</f>
        <v>0</v>
      </c>
      <c r="S34" s="12">
        <f>(VLOOKUP(main!AA34,main!$AO$4:$AR$55,4,FALSE))</f>
        <v>0</v>
      </c>
      <c r="T34" s="12">
        <f>(VLOOKUP(main!AB34,main!$AO$4:$AR$55,4,FALSE))</f>
        <v>0</v>
      </c>
      <c r="U34" s="12">
        <f>(VLOOKUP(main!AC34,main!$AO$4:$AR$55,4,FALSE))</f>
        <v>0</v>
      </c>
      <c r="V34" s="12">
        <f>(VLOOKUP(main!AD34,main!$AO$4:$AR$55,4,FALSE))</f>
        <v>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0</v>
      </c>
      <c r="R36" s="12">
        <f>(VLOOKUP(main!Z36,main!$AO$4:$AR$55,4,FALSE))</f>
        <v>0</v>
      </c>
      <c r="S36" s="12">
        <f>(VLOOKUP(main!AA36,main!$AO$4:$AR$55,4,FALSE))</f>
        <v>0</v>
      </c>
      <c r="T36" s="12">
        <f>(VLOOKUP(main!AB36,main!$AO$4:$AR$55,4,FALSE))</f>
        <v>0</v>
      </c>
      <c r="U36" s="12">
        <f>(VLOOKUP(main!AC36,main!$AO$4:$AR$55,4,FALSE))</f>
        <v>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0</v>
      </c>
      <c r="R37" s="12">
        <f>(VLOOKUP(main!Z37,main!$AO$4:$AR$55,4,FALSE))</f>
        <v>0</v>
      </c>
      <c r="S37" s="12">
        <f>(VLOOKUP(main!AA37,main!$AO$4:$AR$55,4,FALSE))</f>
        <v>0</v>
      </c>
      <c r="T37" s="12">
        <f>(VLOOKUP(main!AB37,main!$AO$4:$AR$55,4,FALSE))</f>
        <v>0</v>
      </c>
      <c r="U37" s="12">
        <f>(VLOOKUP(main!AC37,main!$AO$4:$AR$55,4,FALSE))</f>
        <v>0</v>
      </c>
      <c r="V37" s="12">
        <f>(VLOOKUP(main!AD37,main!$AO$4:$AR$55,4,FALSE))</f>
        <v>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0</v>
      </c>
      <c r="J38" s="12">
        <f>(VLOOKUP(main!R38,main!$AO$4:$AR$55,4,FALSE))</f>
        <v>0</v>
      </c>
      <c r="K38" s="12">
        <f>(VLOOKUP(main!S38,main!$AO$4:$AR$55,4,FALSE))</f>
        <v>0</v>
      </c>
      <c r="L38" s="12">
        <f>(VLOOKUP(main!T38,main!$AO$4:$AR$55,4,FALSE))</f>
        <v>0</v>
      </c>
      <c r="M38" s="12">
        <f>(VLOOKUP(main!U38,main!$AO$4:$AR$55,4,FALSE))</f>
        <v>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0</v>
      </c>
      <c r="J41" s="12">
        <f>(VLOOKUP(main!R41,main!$AO$4:$AR$55,4,FALSE))</f>
        <v>0</v>
      </c>
      <c r="K41" s="12">
        <f>(VLOOKUP(main!S41,main!$AO$4:$AR$55,4,FALSE))</f>
        <v>0</v>
      </c>
      <c r="L41" s="12">
        <f>(VLOOKUP(main!T41,main!$AO$4:$AR$55,4,FALSE))</f>
        <v>0</v>
      </c>
      <c r="M41" s="12">
        <f>(VLOOKUP(main!U41,main!$AO$4:$AR$55,4,FALSE))</f>
        <v>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0</v>
      </c>
      <c r="R46" s="12">
        <f>(VLOOKUP(main!Z46,main!$AO$4:$AR$55,4,FALSE))</f>
        <v>0</v>
      </c>
      <c r="S46" s="12">
        <f>(VLOOKUP(main!AA46,main!$AO$4:$AR$55,4,FALSE))</f>
        <v>0</v>
      </c>
      <c r="T46" s="12">
        <f>(VLOOKUP(main!AB46,main!$AO$4:$AR$55,4,FALSE))</f>
        <v>0</v>
      </c>
      <c r="U46" s="12">
        <f>(VLOOKUP(main!AC46,main!$AO$4:$AR$55,4,FALSE))</f>
        <v>0</v>
      </c>
      <c r="V46" s="12">
        <f>(VLOOKUP(main!AD46,main!$AO$4:$AR$55,4,FALSE))</f>
        <v>0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0</v>
      </c>
      <c r="R47" s="12">
        <f>(VLOOKUP(main!Z47,main!$AO$4:$AR$55,4,FALSE))</f>
        <v>0</v>
      </c>
      <c r="S47" s="12">
        <f>(VLOOKUP(main!AA47,main!$AO$4:$AR$55,4,FALSE))</f>
        <v>0</v>
      </c>
      <c r="T47" s="12">
        <f>(VLOOKUP(main!AB47,main!$AO$4:$AR$55,4,FALSE))</f>
        <v>0</v>
      </c>
      <c r="U47" s="12">
        <f>(VLOOKUP(main!AC47,main!$AO$4:$AR$55,4,FALSE))</f>
        <v>0</v>
      </c>
      <c r="V47" s="12">
        <f>(VLOOKUP(main!AD47,main!$AO$4:$AR$55,4,FALSE))</f>
        <v>0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0</v>
      </c>
      <c r="R48" s="12">
        <f>(VLOOKUP(main!Z48,main!$AO$4:$AR$55,4,FALSE))</f>
        <v>0</v>
      </c>
      <c r="S48" s="12">
        <f>(VLOOKUP(main!AA48,main!$AO$4:$AR$55,4,FALSE))</f>
        <v>0</v>
      </c>
      <c r="T48" s="12">
        <f>(VLOOKUP(main!AB48,main!$AO$4:$AR$55,4,FALSE))</f>
        <v>0</v>
      </c>
      <c r="U48" s="12">
        <f>(VLOOKUP(main!AC48,main!$AO$4:$AR$55,4,FALSE))</f>
        <v>0</v>
      </c>
      <c r="V48" s="12">
        <f>(VLOOKUP(main!AD48,main!$AO$4:$AR$55,4,FALSE))</f>
        <v>0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0</v>
      </c>
      <c r="R49" s="12">
        <f>(VLOOKUP(main!Z49,main!$AO$4:$AR$55,4,FALSE))</f>
        <v>0</v>
      </c>
      <c r="S49" s="12">
        <f>(VLOOKUP(main!AA49,main!$AO$4:$AR$55,4,FALSE))</f>
        <v>0</v>
      </c>
      <c r="T49" s="12">
        <f>(VLOOKUP(main!AB49,main!$AO$4:$AR$55,4,FALSE))</f>
        <v>0</v>
      </c>
      <c r="U49" s="12">
        <f>(VLOOKUP(main!AC49,main!$AO$4:$AR$55,4,FALSE))</f>
        <v>0</v>
      </c>
      <c r="V49" s="12">
        <f>(VLOOKUP(main!AD49,main!$AO$4:$AR$55,4,FALSE))</f>
        <v>0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0</v>
      </c>
      <c r="R50" s="12">
        <f>(VLOOKUP(main!Z50,main!$AO$4:$AR$55,4,FALSE))</f>
        <v>0</v>
      </c>
      <c r="S50" s="12">
        <f>(VLOOKUP(main!AA50,main!$AO$4:$AR$55,4,FALSE))</f>
        <v>0</v>
      </c>
      <c r="T50" s="12">
        <f>(VLOOKUP(main!AB50,main!$AO$4:$AR$55,4,FALSE))</f>
        <v>0</v>
      </c>
      <c r="U50" s="12">
        <f>(VLOOKUP(main!AC50,main!$AO$4:$AR$55,4,FALSE))</f>
        <v>0</v>
      </c>
      <c r="V50" s="12">
        <f>(VLOOKUP(main!AD50,main!$AO$4:$AR$55,4,FALSE))</f>
        <v>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0</v>
      </c>
      <c r="R51" s="12">
        <f>(VLOOKUP(main!Z51,main!$AO$4:$AR$55,4,FALSE))</f>
        <v>0</v>
      </c>
      <c r="S51" s="12">
        <f>(VLOOKUP(main!AA51,main!$AO$4:$AR$55,4,FALSE))</f>
        <v>0</v>
      </c>
      <c r="T51" s="12">
        <f>(VLOOKUP(main!AB51,main!$AO$4:$AR$55,4,FALSE))</f>
        <v>0</v>
      </c>
      <c r="U51" s="12">
        <f>(VLOOKUP(main!AC51,main!$AO$4:$AR$55,4,FALSE))</f>
        <v>0</v>
      </c>
      <c r="V51" s="12">
        <f>(VLOOKUP(main!AD51,main!$AO$4:$AR$55,4,FALSE))</f>
        <v>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0</v>
      </c>
      <c r="J52" s="12">
        <f>(VLOOKUP(main!R52,main!$AO$4:$AR$55,4,FALSE))</f>
        <v>0</v>
      </c>
      <c r="K52" s="12">
        <f>(VLOOKUP(main!S52,main!$AO$4:$AR$55,4,FALSE))</f>
        <v>0</v>
      </c>
      <c r="L52" s="12">
        <f>(VLOOKUP(main!T52,main!$AO$4:$AR$55,4,FALSE))</f>
        <v>0</v>
      </c>
      <c r="M52" s="12">
        <f>(VLOOKUP(main!U52,main!$AO$4:$AR$55,4,FALSE))</f>
        <v>0</v>
      </c>
      <c r="N52" s="12">
        <f>(VLOOKUP(main!V52,main!$AO$4:$AR$55,4,FALSE))</f>
        <v>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0</v>
      </c>
      <c r="R52" s="12">
        <f>(VLOOKUP(main!Z52,main!$AO$4:$AR$55,4,FALSE))</f>
        <v>0</v>
      </c>
      <c r="S52" s="12">
        <f>(VLOOKUP(main!AA52,main!$AO$4:$AR$55,4,FALSE))</f>
        <v>0</v>
      </c>
      <c r="T52" s="12">
        <f>(VLOOKUP(main!AB52,main!$AO$4:$AR$55,4,FALSE))</f>
        <v>0</v>
      </c>
      <c r="U52" s="12">
        <f>(VLOOKUP(main!AC52,main!$AO$4:$AR$55,4,FALSE))</f>
        <v>0</v>
      </c>
      <c r="V52" s="12">
        <f>(VLOOKUP(main!AD52,main!$AO$4:$AR$55,4,FALSE))</f>
        <v>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0</v>
      </c>
      <c r="J53" s="12">
        <f>(VLOOKUP(main!R53,main!$AO$4:$AR$55,4,FALSE))</f>
        <v>0</v>
      </c>
      <c r="K53" s="12">
        <f>(VLOOKUP(main!S53,main!$AO$4:$AR$55,4,FALSE))</f>
        <v>0</v>
      </c>
      <c r="L53" s="12">
        <f>(VLOOKUP(main!T53,main!$AO$4:$AR$55,4,FALSE))</f>
        <v>0</v>
      </c>
      <c r="M53" s="12">
        <f>(VLOOKUP(main!U53,main!$AO$4:$AR$55,4,FALSE))</f>
        <v>0</v>
      </c>
      <c r="N53" s="12">
        <f>(VLOOKUP(main!V53,main!$AO$4:$AR$55,4,FALSE))</f>
        <v>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0</v>
      </c>
      <c r="R53" s="12">
        <f>(VLOOKUP(main!Z53,main!$AO$4:$AR$55,4,FALSE))</f>
        <v>0</v>
      </c>
      <c r="S53" s="12">
        <f>(VLOOKUP(main!AA53,main!$AO$4:$AR$55,4,FALSE))</f>
        <v>0</v>
      </c>
      <c r="T53" s="12">
        <f>(VLOOKUP(main!AB53,main!$AO$4:$AR$55,4,FALSE))</f>
        <v>0</v>
      </c>
      <c r="U53" s="12">
        <f>(VLOOKUP(main!AC53,main!$AO$4:$AR$55,4,FALSE))</f>
        <v>0</v>
      </c>
      <c r="V53" s="12">
        <f>(VLOOKUP(main!AD53,main!$AO$4:$AR$55,4,FALSE))</f>
        <v>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0</v>
      </c>
      <c r="J54" s="12">
        <f>(VLOOKUP(main!R54,main!$AO$4:$AR$55,4,FALSE))</f>
        <v>0</v>
      </c>
      <c r="K54" s="12">
        <f>(VLOOKUP(main!S54,main!$AO$4:$AR$55,4,FALSE))</f>
        <v>0</v>
      </c>
      <c r="L54" s="12">
        <f>(VLOOKUP(main!T54,main!$AO$4:$AR$55,4,FALSE))</f>
        <v>0</v>
      </c>
      <c r="M54" s="12">
        <f>(VLOOKUP(main!U54,main!$AO$4:$AR$55,4,FALSE))</f>
        <v>0</v>
      </c>
      <c r="N54" s="12">
        <f>(VLOOKUP(main!V54,main!$AO$4:$AR$55,4,FALSE))</f>
        <v>0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0</v>
      </c>
      <c r="R54" s="12">
        <f>(VLOOKUP(main!Z54,main!$AO$4:$AR$55,4,FALSE))</f>
        <v>0</v>
      </c>
      <c r="S54" s="12">
        <f>(VLOOKUP(main!AA54,main!$AO$4:$AR$55,4,FALSE))</f>
        <v>0</v>
      </c>
      <c r="T54" s="12">
        <f>(VLOOKUP(main!AB54,main!$AO$4:$AR$55,4,FALSE))</f>
        <v>0</v>
      </c>
      <c r="U54" s="12">
        <f>(VLOOKUP(main!AC54,main!$AO$4:$AR$55,4,FALSE))</f>
        <v>0</v>
      </c>
      <c r="V54" s="12">
        <f>(VLOOKUP(main!AD54,main!$AO$4:$AR$55,4,FALSE))</f>
        <v>0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0</v>
      </c>
      <c r="J55" s="12">
        <f>(VLOOKUP(main!R55,main!$AO$4:$AR$55,4,FALSE))</f>
        <v>0</v>
      </c>
      <c r="K55" s="12">
        <f>(VLOOKUP(main!S55,main!$AO$4:$AR$55,4,FALSE))</f>
        <v>0</v>
      </c>
      <c r="L55" s="12">
        <f>(VLOOKUP(main!T55,main!$AO$4:$AR$55,4,FALSE))</f>
        <v>0</v>
      </c>
      <c r="M55" s="12">
        <f>(VLOOKUP(main!U55,main!$AO$4:$AR$55,4,FALSE))</f>
        <v>0</v>
      </c>
      <c r="N55" s="12">
        <f>(VLOOKUP(main!V55,main!$AO$4:$AR$55,4,FALSE))</f>
        <v>0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0</v>
      </c>
      <c r="R55" s="12">
        <f>(VLOOKUP(main!Z55,main!$AO$4:$AR$55,4,FALSE))</f>
        <v>0</v>
      </c>
      <c r="S55" s="12">
        <f>(VLOOKUP(main!AA55,main!$AO$4:$AR$55,4,FALSE))</f>
        <v>0</v>
      </c>
      <c r="T55" s="12">
        <f>(VLOOKUP(main!AB55,main!$AO$4:$AR$55,4,FALSE))</f>
        <v>0</v>
      </c>
      <c r="U55" s="12">
        <f>(VLOOKUP(main!AC55,main!$AO$4:$AR$55,4,FALSE))</f>
        <v>0</v>
      </c>
      <c r="V55" s="12">
        <f>(VLOOKUP(main!AD55,main!$AO$4:$AR$55,4,FALSE))</f>
        <v>0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0</v>
      </c>
      <c r="J57" s="12">
        <f>(VLOOKUP(main!R57,main!$AO$4:$AR$55,4,FALSE))</f>
        <v>0</v>
      </c>
      <c r="K57" s="12">
        <f>(VLOOKUP(main!S57,main!$AO$4:$AR$55,4,FALSE))</f>
        <v>0</v>
      </c>
      <c r="L57" s="12">
        <f>(VLOOKUP(main!T57,main!$AO$4:$AR$55,4,FALSE))</f>
        <v>0</v>
      </c>
      <c r="M57" s="12">
        <f>(VLOOKUP(main!U57,main!$AO$4:$AR$55,4,FALSE))</f>
        <v>0</v>
      </c>
      <c r="N57" s="12">
        <f>(VLOOKUP(main!V57,main!$AO$4:$AR$55,4,FALSE))</f>
        <v>0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0</v>
      </c>
      <c r="J59" s="12">
        <f>(VLOOKUP(main!R59,main!$AO$4:$AR$55,4,FALSE))</f>
        <v>0</v>
      </c>
      <c r="K59" s="12">
        <f>(VLOOKUP(main!S59,main!$AO$4:$AR$55,4,FALSE))</f>
        <v>0</v>
      </c>
      <c r="L59" s="12">
        <f>(VLOOKUP(main!T59,main!$AO$4:$AR$55,4,FALSE))</f>
        <v>0</v>
      </c>
      <c r="M59" s="12">
        <f>(VLOOKUP(main!U59,main!$AO$4:$AR$55,4,FALSE))</f>
        <v>0</v>
      </c>
      <c r="N59" s="12">
        <f>(VLOOKUP(main!V59,main!$AO$4:$AR$55,4,FALSE))</f>
        <v>0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0</v>
      </c>
      <c r="J60" s="12">
        <f>(VLOOKUP(main!R60,main!$AO$4:$AR$55,4,FALSE))</f>
        <v>0</v>
      </c>
      <c r="K60" s="12">
        <f>(VLOOKUP(main!S60,main!$AO$4:$AR$55,4,FALSE))</f>
        <v>0</v>
      </c>
      <c r="L60" s="12">
        <f>(VLOOKUP(main!T60,main!$AO$4:$AR$55,4,FALSE))</f>
        <v>0</v>
      </c>
      <c r="M60" s="12">
        <f>(VLOOKUP(main!U60,main!$AO$4:$AR$55,4,FALSE))</f>
        <v>0</v>
      </c>
      <c r="N60" s="12">
        <f>(VLOOKUP(main!V60,main!$AO$4:$AR$55,4,FALSE))</f>
        <v>0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0</v>
      </c>
      <c r="J61" s="12">
        <f>(VLOOKUP(main!R61,main!$AO$4:$AR$55,4,FALSE))</f>
        <v>0</v>
      </c>
      <c r="K61" s="12">
        <f>(VLOOKUP(main!S61,main!$AO$4:$AR$55,4,FALSE))</f>
        <v>0</v>
      </c>
      <c r="L61" s="12">
        <f>(VLOOKUP(main!T61,main!$AO$4:$AR$55,4,FALSE))</f>
        <v>0</v>
      </c>
      <c r="M61" s="12">
        <f>(VLOOKUP(main!U61,main!$AO$4:$AR$55,4,FALSE))</f>
        <v>0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0</v>
      </c>
      <c r="J63" s="12">
        <f>(VLOOKUP(main!R63,main!$AO$4:$AR$55,4,FALSE))</f>
        <v>0</v>
      </c>
      <c r="K63" s="12">
        <f>(VLOOKUP(main!S63,main!$AO$4:$AR$55,4,FALSE))</f>
        <v>0</v>
      </c>
      <c r="L63" s="12">
        <f>(VLOOKUP(main!T63,main!$AO$4:$AR$55,4,FALSE))</f>
        <v>0</v>
      </c>
      <c r="M63" s="12">
        <f>(VLOOKUP(main!U63,main!$AO$4:$AR$55,4,FALSE))</f>
        <v>0</v>
      </c>
      <c r="N63" s="12">
        <f>(VLOOKUP(main!V63,main!$AO$4:$AR$55,4,FALSE))</f>
        <v>0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0</v>
      </c>
      <c r="R63" s="12">
        <f>(VLOOKUP(main!Z63,main!$AO$4:$AR$55,4,FALSE))</f>
        <v>0</v>
      </c>
      <c r="S63" s="12">
        <f>(VLOOKUP(main!AA63,main!$AO$4:$AR$55,4,FALSE))</f>
        <v>0</v>
      </c>
      <c r="T63" s="12">
        <f>(VLOOKUP(main!AB63,main!$AO$4:$AR$55,4,FALSE))</f>
        <v>0</v>
      </c>
      <c r="U63" s="12">
        <f>(VLOOKUP(main!AC63,main!$AO$4:$AR$55,4,FALSE))</f>
        <v>0</v>
      </c>
      <c r="V63" s="12">
        <f>(VLOOKUP(main!AD63,main!$AO$4:$AR$55,4,FALSE))</f>
        <v>0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0</v>
      </c>
      <c r="J64" s="12">
        <f>(VLOOKUP(main!R64,main!$AO$4:$AR$55,4,FALSE))</f>
        <v>0</v>
      </c>
      <c r="K64" s="12">
        <f>(VLOOKUP(main!S64,main!$AO$4:$AR$55,4,FALSE))</f>
        <v>0</v>
      </c>
      <c r="L64" s="12">
        <f>(VLOOKUP(main!T64,main!$AO$4:$AR$55,4,FALSE))</f>
        <v>0</v>
      </c>
      <c r="M64" s="12">
        <f>(VLOOKUP(main!U64,main!$AO$4:$AR$55,4,FALSE))</f>
        <v>0</v>
      </c>
      <c r="N64" s="12">
        <f>(VLOOKUP(main!V64,main!$AO$4:$AR$55,4,FALSE))</f>
        <v>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0</v>
      </c>
      <c r="J65" s="12">
        <f>(VLOOKUP(main!R65,main!$AO$4:$AR$55,4,FALSE))</f>
        <v>0</v>
      </c>
      <c r="K65" s="12">
        <f>(VLOOKUP(main!S65,main!$AO$4:$AR$55,4,FALSE))</f>
        <v>0</v>
      </c>
      <c r="L65" s="12">
        <f>(VLOOKUP(main!T65,main!$AO$4:$AR$55,4,FALSE))</f>
        <v>0</v>
      </c>
      <c r="M65" s="12">
        <f>(VLOOKUP(main!U65,main!$AO$4:$AR$55,4,FALSE))</f>
        <v>0</v>
      </c>
      <c r="N65" s="12">
        <f>(VLOOKUP(main!V65,main!$AO$4:$AR$55,4,FALSE))</f>
        <v>0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0</v>
      </c>
      <c r="R65" s="12">
        <f>(VLOOKUP(main!Z65,main!$AO$4:$AR$55,4,FALSE))</f>
        <v>0</v>
      </c>
      <c r="S65" s="12">
        <f>(VLOOKUP(main!AA65,main!$AO$4:$AR$55,4,FALSE))</f>
        <v>0</v>
      </c>
      <c r="T65" s="12">
        <f>(VLOOKUP(main!AB65,main!$AO$4:$AR$55,4,FALSE))</f>
        <v>0</v>
      </c>
      <c r="U65" s="12">
        <f>(VLOOKUP(main!AC65,main!$AO$4:$AR$55,4,FALSE))</f>
        <v>0</v>
      </c>
      <c r="V65" s="12">
        <f>(VLOOKUP(main!AD65,main!$AO$4:$AR$55,4,FALSE))</f>
        <v>0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0</v>
      </c>
      <c r="R66" s="12">
        <f>(VLOOKUP(main!Z66,main!$AO$4:$AR$55,4,FALSE))</f>
        <v>0</v>
      </c>
      <c r="S66" s="12">
        <f>(VLOOKUP(main!AA66,main!$AO$4:$AR$55,4,FALSE))</f>
        <v>0</v>
      </c>
      <c r="T66" s="12">
        <f>(VLOOKUP(main!AB66,main!$AO$4:$AR$55,4,FALSE))</f>
        <v>0</v>
      </c>
      <c r="U66" s="12">
        <f>(VLOOKUP(main!AC66,main!$AO$4:$AR$55,4,FALSE))</f>
        <v>0</v>
      </c>
      <c r="V66" s="12">
        <f>(VLOOKUP(main!AD66,main!$AO$4:$AR$55,4,FALSE))</f>
        <v>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0</v>
      </c>
      <c r="J67" s="12">
        <f>(VLOOKUP(main!R67,main!$AO$4:$AR$55,4,FALSE))</f>
        <v>0</v>
      </c>
      <c r="K67" s="12">
        <f>(VLOOKUP(main!S67,main!$AO$4:$AR$55,4,FALSE))</f>
        <v>0</v>
      </c>
      <c r="L67" s="12">
        <f>(VLOOKUP(main!T67,main!$AO$4:$AR$55,4,FALSE))</f>
        <v>0</v>
      </c>
      <c r="M67" s="12">
        <f>(VLOOKUP(main!U67,main!$AO$4:$AR$55,4,FALSE))</f>
        <v>0</v>
      </c>
      <c r="N67" s="12">
        <f>(VLOOKUP(main!V67,main!$AO$4:$AR$55,4,FALSE))</f>
        <v>0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0</v>
      </c>
      <c r="R67" s="12">
        <f>(VLOOKUP(main!Z67,main!$AO$4:$AR$55,4,FALSE))</f>
        <v>0</v>
      </c>
      <c r="S67" s="12">
        <f>(VLOOKUP(main!AA67,main!$AO$4:$AR$55,4,FALSE))</f>
        <v>0</v>
      </c>
      <c r="T67" s="12">
        <f>(VLOOKUP(main!AB67,main!$AO$4:$AR$55,4,FALSE))</f>
        <v>0</v>
      </c>
      <c r="U67" s="12">
        <f>(VLOOKUP(main!AC67,main!$AO$4:$AR$55,4,FALSE))</f>
        <v>0</v>
      </c>
      <c r="V67" s="12">
        <f>(VLOOKUP(main!AD67,main!$AO$4:$AR$55,4,FALSE))</f>
        <v>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0</v>
      </c>
      <c r="J68" s="12">
        <f>(VLOOKUP(main!R68,main!$AO$4:$AR$55,4,FALSE))</f>
        <v>0</v>
      </c>
      <c r="K68" s="12">
        <f>(VLOOKUP(main!S68,main!$AO$4:$AR$55,4,FALSE))</f>
        <v>0</v>
      </c>
      <c r="L68" s="12">
        <f>(VLOOKUP(main!T68,main!$AO$4:$AR$55,4,FALSE))</f>
        <v>0</v>
      </c>
      <c r="M68" s="12">
        <f>(VLOOKUP(main!U68,main!$AO$4:$AR$55,4,FALSE))</f>
        <v>0</v>
      </c>
      <c r="N68" s="12">
        <f>(VLOOKUP(main!V68,main!$AO$4:$AR$55,4,FALSE))</f>
        <v>0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0</v>
      </c>
      <c r="R68" s="12">
        <f>(VLOOKUP(main!Z68,main!$AO$4:$AR$55,4,FALSE))</f>
        <v>0</v>
      </c>
      <c r="S68" s="12">
        <f>(VLOOKUP(main!AA68,main!$AO$4:$AR$55,4,FALSE))</f>
        <v>0</v>
      </c>
      <c r="T68" s="12">
        <f>(VLOOKUP(main!AB68,main!$AO$4:$AR$55,4,FALSE))</f>
        <v>0</v>
      </c>
      <c r="U68" s="12">
        <f>(VLOOKUP(main!AC68,main!$AO$4:$AR$55,4,FALSE))</f>
        <v>0</v>
      </c>
      <c r="V68" s="12">
        <f>(VLOOKUP(main!AD68,main!$AO$4:$AR$55,4,FALSE))</f>
        <v>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0</v>
      </c>
      <c r="J69" s="12">
        <f>(VLOOKUP(main!R69,main!$AO$4:$AR$55,4,FALSE))</f>
        <v>0</v>
      </c>
      <c r="K69" s="12">
        <f>(VLOOKUP(main!S69,main!$AO$4:$AR$55,4,FALSE))</f>
        <v>0</v>
      </c>
      <c r="L69" s="12">
        <f>(VLOOKUP(main!T69,main!$AO$4:$AR$55,4,FALSE))</f>
        <v>0</v>
      </c>
      <c r="M69" s="12">
        <f>(VLOOKUP(main!U69,main!$AO$4:$AR$55,4,FALSE))</f>
        <v>0</v>
      </c>
      <c r="N69" s="12">
        <f>(VLOOKUP(main!V69,main!$AO$4:$AR$55,4,FALSE))</f>
        <v>0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0</v>
      </c>
      <c r="R69" s="12">
        <f>(VLOOKUP(main!Z69,main!$AO$4:$AR$55,4,FALSE))</f>
        <v>0</v>
      </c>
      <c r="S69" s="12">
        <f>(VLOOKUP(main!AA69,main!$AO$4:$AR$55,4,FALSE))</f>
        <v>0</v>
      </c>
      <c r="T69" s="12">
        <f>(VLOOKUP(main!AB69,main!$AO$4:$AR$55,4,FALSE))</f>
        <v>0</v>
      </c>
      <c r="U69" s="12">
        <f>(VLOOKUP(main!AC69,main!$AO$4:$AR$55,4,FALSE))</f>
        <v>0</v>
      </c>
      <c r="V69" s="12">
        <f>(VLOOKUP(main!AD69,main!$AO$4:$AR$55,4,FALSE))</f>
        <v>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0</v>
      </c>
      <c r="J70" s="12">
        <f>(VLOOKUP(main!R70,main!$AO$4:$AR$55,4,FALSE))</f>
        <v>0</v>
      </c>
      <c r="K70" s="12">
        <f>(VLOOKUP(main!S70,main!$AO$4:$AR$55,4,FALSE))</f>
        <v>0</v>
      </c>
      <c r="L70" s="12">
        <f>(VLOOKUP(main!T70,main!$AO$4:$AR$55,4,FALSE))</f>
        <v>0</v>
      </c>
      <c r="M70" s="12">
        <f>(VLOOKUP(main!U70,main!$AO$4:$AR$55,4,FALSE))</f>
        <v>0</v>
      </c>
      <c r="N70" s="12">
        <f>(VLOOKUP(main!V70,main!$AO$4:$AR$55,4,FALSE))</f>
        <v>0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0</v>
      </c>
      <c r="R70" s="12">
        <f>(VLOOKUP(main!Z70,main!$AO$4:$AR$55,4,FALSE))</f>
        <v>0</v>
      </c>
      <c r="S70" s="12">
        <f>(VLOOKUP(main!AA70,main!$AO$4:$AR$55,4,FALSE))</f>
        <v>0</v>
      </c>
      <c r="T70" s="12">
        <f>(VLOOKUP(main!AB70,main!$AO$4:$AR$55,4,FALSE))</f>
        <v>0</v>
      </c>
      <c r="U70" s="12">
        <f>(VLOOKUP(main!AC70,main!$AO$4:$AR$55,4,FALSE))</f>
        <v>0</v>
      </c>
      <c r="V70" s="12">
        <f>(VLOOKUP(main!AD70,main!$AO$4:$AR$55,4,FALSE))</f>
        <v>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0</v>
      </c>
      <c r="J71" s="12">
        <f>(VLOOKUP(main!R71,main!$AO$4:$AR$55,4,FALSE))</f>
        <v>0</v>
      </c>
      <c r="K71" s="12">
        <f>(VLOOKUP(main!S71,main!$AO$4:$AR$55,4,FALSE))</f>
        <v>0</v>
      </c>
      <c r="L71" s="12">
        <f>(VLOOKUP(main!T71,main!$AO$4:$AR$55,4,FALSE))</f>
        <v>0</v>
      </c>
      <c r="M71" s="12">
        <f>(VLOOKUP(main!U71,main!$AO$4:$AR$55,4,FALSE))</f>
        <v>0</v>
      </c>
      <c r="N71" s="12">
        <f>(VLOOKUP(main!V71,main!$AO$4:$AR$55,4,FALSE))</f>
        <v>0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0</v>
      </c>
      <c r="R71" s="12">
        <f>(VLOOKUP(main!Z71,main!$AO$4:$AR$55,4,FALSE))</f>
        <v>0</v>
      </c>
      <c r="S71" s="12">
        <f>(VLOOKUP(main!AA71,main!$AO$4:$AR$55,4,FALSE))</f>
        <v>0</v>
      </c>
      <c r="T71" s="12">
        <f>(VLOOKUP(main!AB71,main!$AO$4:$AR$55,4,FALSE))</f>
        <v>0</v>
      </c>
      <c r="U71" s="12">
        <f>(VLOOKUP(main!AC71,main!$AO$4:$AR$55,4,FALSE))</f>
        <v>0</v>
      </c>
      <c r="V71" s="12">
        <f>(VLOOKUP(main!AD71,main!$AO$4:$AR$55,4,FALSE))</f>
        <v>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0</v>
      </c>
      <c r="J72" s="12">
        <f>(VLOOKUP(main!R72,main!$AO$4:$AR$55,4,FALSE))</f>
        <v>0</v>
      </c>
      <c r="K72" s="12">
        <f>(VLOOKUP(main!S72,main!$AO$4:$AR$55,4,FALSE))</f>
        <v>0</v>
      </c>
      <c r="L72" s="12">
        <f>(VLOOKUP(main!T72,main!$AO$4:$AR$55,4,FALSE))</f>
        <v>0</v>
      </c>
      <c r="M72" s="12">
        <f>(VLOOKUP(main!U72,main!$AO$4:$AR$55,4,FALSE))</f>
        <v>0</v>
      </c>
      <c r="N72" s="12">
        <f>(VLOOKUP(main!V72,main!$AO$4:$AR$55,4,FALSE))</f>
        <v>0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0</v>
      </c>
      <c r="R72" s="12">
        <f>(VLOOKUP(main!Z72,main!$AO$4:$AR$55,4,FALSE))</f>
        <v>0</v>
      </c>
      <c r="S72" s="12">
        <f>(VLOOKUP(main!AA72,main!$AO$4:$AR$55,4,FALSE))</f>
        <v>0</v>
      </c>
      <c r="T72" s="12">
        <f>(VLOOKUP(main!AB72,main!$AO$4:$AR$55,4,FALSE))</f>
        <v>0</v>
      </c>
      <c r="U72" s="12">
        <f>(VLOOKUP(main!AC72,main!$AO$4:$AR$55,4,FALSE))</f>
        <v>0</v>
      </c>
      <c r="V72" s="12">
        <f>(VLOOKUP(main!AD72,main!$AO$4:$AR$55,4,FALSE))</f>
        <v>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0</v>
      </c>
      <c r="K73" s="12">
        <f>(VLOOKUP(main!S73,main!$AO$4:$AR$55,4,FALSE))</f>
        <v>0</v>
      </c>
      <c r="L73" s="12">
        <f>(VLOOKUP(main!T73,main!$AO$4:$AR$55,4,FALSE))</f>
        <v>0</v>
      </c>
      <c r="M73" s="12">
        <f>(VLOOKUP(main!U73,main!$AO$4:$AR$55,4,FALSE))</f>
        <v>0</v>
      </c>
      <c r="N73" s="12">
        <f>(VLOOKUP(main!V73,main!$AO$4:$AR$55,4,FALSE))</f>
        <v>0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0</v>
      </c>
      <c r="R73" s="12">
        <f>(VLOOKUP(main!Z73,main!$AO$4:$AR$55,4,FALSE))</f>
        <v>0</v>
      </c>
      <c r="S73" s="12">
        <f>(VLOOKUP(main!AA73,main!$AO$4:$AR$55,4,FALSE))</f>
        <v>0</v>
      </c>
      <c r="T73" s="12">
        <f>(VLOOKUP(main!AB73,main!$AO$4:$AR$55,4,FALSE))</f>
        <v>0</v>
      </c>
      <c r="U73" s="12">
        <f>(VLOOKUP(main!AC73,main!$AO$4:$AR$55,4,FALSE))</f>
        <v>0</v>
      </c>
      <c r="V73" s="12">
        <f>(VLOOKUP(main!AD73,main!$AO$4:$AR$55,4,FALSE))</f>
        <v>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0</v>
      </c>
      <c r="J74" s="12">
        <f>(VLOOKUP(main!R74,main!$AO$4:$AR$55,4,FALSE))</f>
        <v>0</v>
      </c>
      <c r="K74" s="12">
        <f>(VLOOKUP(main!S74,main!$AO$4:$AR$55,4,FALSE))</f>
        <v>0</v>
      </c>
      <c r="L74" s="12">
        <f>(VLOOKUP(main!T74,main!$AO$4:$AR$55,4,FALSE))</f>
        <v>0</v>
      </c>
      <c r="M74" s="12">
        <f>(VLOOKUP(main!U74,main!$AO$4:$AR$55,4,FALSE))</f>
        <v>0</v>
      </c>
      <c r="N74" s="12">
        <f>(VLOOKUP(main!V74,main!$AO$4:$AR$55,4,FALSE))</f>
        <v>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0</v>
      </c>
      <c r="R74" s="12">
        <f>(VLOOKUP(main!Z74,main!$AO$4:$AR$55,4,FALSE))</f>
        <v>0</v>
      </c>
      <c r="S74" s="12">
        <f>(VLOOKUP(main!AA74,main!$AO$4:$AR$55,4,FALSE))</f>
        <v>0</v>
      </c>
      <c r="T74" s="12">
        <f>(VLOOKUP(main!AB74,main!$AO$4:$AR$55,4,FALSE))</f>
        <v>0</v>
      </c>
      <c r="U74" s="12">
        <f>(VLOOKUP(main!AC74,main!$AO$4:$AR$55,4,FALSE))</f>
        <v>0</v>
      </c>
      <c r="V74" s="12">
        <f>(VLOOKUP(main!AD74,main!$AO$4:$AR$55,4,FALSE))</f>
        <v>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0</v>
      </c>
      <c r="J75" s="12">
        <f>(VLOOKUP(main!R75,main!$AO$4:$AR$55,4,FALSE))</f>
        <v>0</v>
      </c>
      <c r="K75" s="12">
        <f>(VLOOKUP(main!S75,main!$AO$4:$AR$55,4,FALSE))</f>
        <v>0</v>
      </c>
      <c r="L75" s="12">
        <f>(VLOOKUP(main!T75,main!$AO$4:$AR$55,4,FALSE))</f>
        <v>0</v>
      </c>
      <c r="M75" s="12">
        <f>(VLOOKUP(main!U75,main!$AO$4:$AR$55,4,FALSE))</f>
        <v>0</v>
      </c>
      <c r="N75" s="12">
        <f>(VLOOKUP(main!V75,main!$AO$4:$AR$55,4,FALSE))</f>
        <v>0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0</v>
      </c>
      <c r="R75" s="12">
        <f>(VLOOKUP(main!Z75,main!$AO$4:$AR$55,4,FALSE))</f>
        <v>0</v>
      </c>
      <c r="S75" s="12">
        <f>(VLOOKUP(main!AA75,main!$AO$4:$AR$55,4,FALSE))</f>
        <v>0</v>
      </c>
      <c r="T75" s="12">
        <f>(VLOOKUP(main!AB75,main!$AO$4:$AR$55,4,FALSE))</f>
        <v>0</v>
      </c>
      <c r="U75" s="12">
        <f>(VLOOKUP(main!AC75,main!$AO$4:$AR$55,4,FALSE))</f>
        <v>0</v>
      </c>
      <c r="V75" s="12">
        <f>(VLOOKUP(main!AD75,main!$AO$4:$AR$55,4,FALSE))</f>
        <v>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0</v>
      </c>
      <c r="J76" s="12">
        <f>(VLOOKUP(main!R76,main!$AO$4:$AR$55,4,FALSE))</f>
        <v>0</v>
      </c>
      <c r="K76" s="12">
        <f>(VLOOKUP(main!S76,main!$AO$4:$AR$55,4,FALSE))</f>
        <v>0</v>
      </c>
      <c r="L76" s="12">
        <f>(VLOOKUP(main!T76,main!$AO$4:$AR$55,4,FALSE))</f>
        <v>0</v>
      </c>
      <c r="M76" s="12">
        <f>(VLOOKUP(main!U76,main!$AO$4:$AR$55,4,FALSE))</f>
        <v>0</v>
      </c>
      <c r="N76" s="12">
        <f>(VLOOKUP(main!V76,main!$AO$4:$AR$55,4,FALSE))</f>
        <v>0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0</v>
      </c>
      <c r="R76" s="12">
        <f>(VLOOKUP(main!Z76,main!$AO$4:$AR$55,4,FALSE))</f>
        <v>0</v>
      </c>
      <c r="S76" s="12">
        <f>(VLOOKUP(main!AA76,main!$AO$4:$AR$55,4,FALSE))</f>
        <v>0</v>
      </c>
      <c r="T76" s="12">
        <f>(VLOOKUP(main!AB76,main!$AO$4:$AR$55,4,FALSE))</f>
        <v>0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0</v>
      </c>
      <c r="J77" s="12">
        <f>(VLOOKUP(main!R77,main!$AO$4:$AR$55,4,FALSE))</f>
        <v>0</v>
      </c>
      <c r="K77" s="12">
        <f>(VLOOKUP(main!S77,main!$AO$4:$AR$55,4,FALSE))</f>
        <v>0</v>
      </c>
      <c r="L77" s="12">
        <f>(VLOOKUP(main!T77,main!$AO$4:$AR$55,4,FALSE))</f>
        <v>0</v>
      </c>
      <c r="M77" s="12">
        <f>(VLOOKUP(main!U77,main!$AO$4:$AR$55,4,FALSE))</f>
        <v>0</v>
      </c>
      <c r="N77" s="12">
        <f>(VLOOKUP(main!V77,main!$AO$4:$AR$55,4,FALSE))</f>
        <v>0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0</v>
      </c>
      <c r="R77" s="12">
        <f>(VLOOKUP(main!Z77,main!$AO$4:$AR$55,4,FALSE))</f>
        <v>0</v>
      </c>
      <c r="S77" s="12">
        <f>(VLOOKUP(main!AA77,main!$AO$4:$AR$55,4,FALSE))</f>
        <v>0</v>
      </c>
      <c r="T77" s="12">
        <f>(VLOOKUP(main!AB77,main!$AO$4:$AR$55,4,FALSE))</f>
        <v>0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0</v>
      </c>
      <c r="R78" s="12">
        <f>(VLOOKUP(main!Z78,main!$AO$4:$AR$55,4,FALSE))</f>
        <v>0</v>
      </c>
      <c r="S78" s="12">
        <f>(VLOOKUP(main!AA78,main!$AO$4:$AR$55,4,FALSE))</f>
        <v>0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0</v>
      </c>
      <c r="R79" s="12">
        <f>(VLOOKUP(main!Z79,main!$AO$4:$AR$55,4,FALSE))</f>
        <v>0</v>
      </c>
      <c r="S79" s="12">
        <f>(VLOOKUP(main!AA79,main!$AO$4:$AR$55,4,FALSE))</f>
        <v>0</v>
      </c>
      <c r="T79" s="12">
        <f>(VLOOKUP(main!AB79,main!$AO$4:$AR$55,4,FALSE))</f>
        <v>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0</v>
      </c>
      <c r="R80" s="12">
        <f>(VLOOKUP(main!Z80,main!$AO$4:$AR$55,4,FALSE))</f>
        <v>0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0</v>
      </c>
      <c r="V80" s="12">
        <f>(VLOOKUP(main!AD80,main!$AO$4:$AR$55,4,FALSE))</f>
        <v>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0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0</v>
      </c>
      <c r="R82" s="12">
        <f>(VLOOKUP(main!Z82,main!$AO$4:$AR$55,4,FALSE))</f>
        <v>0</v>
      </c>
      <c r="S82" s="12">
        <f>(VLOOKUP(main!AA82,main!$AO$4:$AR$55,4,FALSE))</f>
        <v>0</v>
      </c>
      <c r="T82" s="12">
        <f>(VLOOKUP(main!AB82,main!$AO$4:$AR$55,4,FALSE))</f>
        <v>0</v>
      </c>
      <c r="U82" s="12">
        <f>(VLOOKUP(main!AC82,main!$AO$4:$AR$55,4,FALSE))</f>
        <v>0</v>
      </c>
      <c r="V82" s="12">
        <f>(VLOOKUP(main!AD82,main!$AO$4:$AR$55,4,FALSE))</f>
        <v>0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0</v>
      </c>
      <c r="J84" s="12">
        <f>(VLOOKUP(main!R84,main!$AO$4:$AR$55,4,FALSE))</f>
        <v>0</v>
      </c>
      <c r="K84" s="12">
        <f>(VLOOKUP(main!S84,main!$AO$4:$AR$55,4,FALSE))</f>
        <v>0</v>
      </c>
      <c r="L84" s="12">
        <f>(VLOOKUP(main!T84,main!$AO$4:$AR$55,4,FALSE))</f>
        <v>0</v>
      </c>
      <c r="M84" s="12">
        <f>(VLOOKUP(main!U84,main!$AO$4:$AR$55,4,FALSE))</f>
        <v>0</v>
      </c>
      <c r="N84" s="12">
        <f>(VLOOKUP(main!V84,main!$AO$4:$AR$55,4,FALSE))</f>
        <v>0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0</v>
      </c>
      <c r="R84" s="12">
        <f>(VLOOKUP(main!Z84,main!$AO$4:$AR$55,4,FALSE))</f>
        <v>0</v>
      </c>
      <c r="S84" s="12">
        <f>(VLOOKUP(main!AA84,main!$AO$4:$AR$55,4,FALSE))</f>
        <v>0</v>
      </c>
      <c r="T84" s="12">
        <f>(VLOOKUP(main!AB84,main!$AO$4:$AR$55,4,FALSE))</f>
        <v>0</v>
      </c>
      <c r="U84" s="12">
        <f>(VLOOKUP(main!AC84,main!$AO$4:$AR$55,4,FALSE))</f>
        <v>0</v>
      </c>
      <c r="V84" s="12">
        <f>(VLOOKUP(main!AD84,main!$AO$4:$AR$55,4,FALSE))</f>
        <v>0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0</v>
      </c>
      <c r="R91" s="12">
        <f>(VLOOKUP(main!Z91,main!$AO$4:$AR$55,4,FALSE))</f>
        <v>0</v>
      </c>
      <c r="S91" s="12">
        <f>(VLOOKUP(main!AA91,main!$AO$4:$AR$55,4,FALSE))</f>
        <v>0</v>
      </c>
      <c r="T91" s="12">
        <f>(VLOOKUP(main!AB91,main!$AO$4:$AR$55,4,FALSE))</f>
        <v>0</v>
      </c>
      <c r="U91" s="12">
        <f>(VLOOKUP(main!AC91,main!$AO$4:$AR$55,4,FALSE))</f>
        <v>0</v>
      </c>
      <c r="V91" s="12">
        <f>(VLOOKUP(main!AD91,main!$AO$4:$AR$55,4,FALSE))</f>
        <v>0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dcterms:created xsi:type="dcterms:W3CDTF">2021-06-17T16:09:00Z</dcterms:created>
  <dcterms:modified xsi:type="dcterms:W3CDTF">2026-09-08T18:39:52Z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7EC2433DCD8B47F59166A880BC0CFAC6_13</vt:lpwstr>
  </property>
  <property fmtid="{D5CDD505-2E9C-101B-9397-08002B2CF9AE}" pid="4" name="CalculationRule">
    <vt:i4>0</vt:i4>
  </property>
</Properties>
</file>