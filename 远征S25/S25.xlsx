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远征S25\"/>
    </mc:Choice>
  </mc:AlternateContent>
  <xr:revisionPtr revIDLastSave="0" documentId="13_ncr:1_{EDA6D00E-4147-4D17-8C37-1F3CEE3F727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2" r:id="rId1"/>
    <sheet name="瞭望塔" sheetId="18" r:id="rId2"/>
    <sheet name="粮草" sheetId="14" r:id="rId3"/>
    <sheet name="经验" sheetId="15" r:id="rId4"/>
    <sheet name="亏损" sheetId="1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2" l="1"/>
  <c r="AS50" i="12" l="1"/>
  <c r="AS51" i="12"/>
  <c r="AS52" i="12"/>
  <c r="AS53" i="12"/>
  <c r="AS54" i="12"/>
  <c r="A94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A95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A96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A97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A98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A99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A100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AG94" i="12"/>
  <c r="AG95" i="12"/>
  <c r="AG96" i="12"/>
  <c r="AG97" i="12"/>
  <c r="AG98" i="12"/>
  <c r="AG99" i="12"/>
  <c r="AG100" i="12"/>
  <c r="F94" i="12"/>
  <c r="F95" i="12"/>
  <c r="F96" i="12"/>
  <c r="F97" i="12"/>
  <c r="F98" i="12"/>
  <c r="F99" i="12"/>
  <c r="F100" i="12"/>
  <c r="AG4" i="12"/>
  <c r="AG5" i="12"/>
  <c r="AG6" i="12"/>
  <c r="AG7" i="12"/>
  <c r="AG8" i="12"/>
  <c r="AG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S5" i="12"/>
  <c r="AT5" i="12"/>
  <c r="AU5" i="12"/>
  <c r="AS6" i="12"/>
  <c r="AT6" i="12"/>
  <c r="AU6" i="12"/>
  <c r="AS7" i="12"/>
  <c r="AT7" i="12"/>
  <c r="AU7" i="12"/>
  <c r="AS8" i="12"/>
  <c r="AT8" i="12"/>
  <c r="AU8" i="12"/>
  <c r="AS9" i="12"/>
  <c r="AT9" i="12"/>
  <c r="AU9" i="12"/>
  <c r="AS10" i="12"/>
  <c r="AT10" i="12"/>
  <c r="AU10" i="12"/>
  <c r="AS11" i="12"/>
  <c r="AT11" i="12"/>
  <c r="AU11" i="12"/>
  <c r="AS12" i="12"/>
  <c r="AT12" i="12"/>
  <c r="AU12" i="12"/>
  <c r="AS13" i="12"/>
  <c r="AT13" i="12"/>
  <c r="AU13" i="12"/>
  <c r="AS14" i="12"/>
  <c r="AT14" i="12"/>
  <c r="AU14" i="12"/>
  <c r="AS15" i="12"/>
  <c r="AT15" i="12"/>
  <c r="AU15" i="12"/>
  <c r="AS16" i="12"/>
  <c r="AT16" i="12"/>
  <c r="AU16" i="12"/>
  <c r="AS17" i="12"/>
  <c r="AT17" i="12"/>
  <c r="AU17" i="12"/>
  <c r="AS18" i="12"/>
  <c r="AT18" i="12"/>
  <c r="AU18" i="12"/>
  <c r="AS19" i="12"/>
  <c r="AT19" i="12"/>
  <c r="AU19" i="12"/>
  <c r="AS20" i="12"/>
  <c r="AT20" i="12"/>
  <c r="AU20" i="12"/>
  <c r="AS21" i="12"/>
  <c r="AT21" i="12"/>
  <c r="AU21" i="12"/>
  <c r="AS22" i="12"/>
  <c r="AT22" i="12"/>
  <c r="AU22" i="12"/>
  <c r="AS23" i="12"/>
  <c r="AT23" i="12"/>
  <c r="AU23" i="12"/>
  <c r="AS24" i="12"/>
  <c r="AT24" i="12"/>
  <c r="AU24" i="12"/>
  <c r="AS25" i="12"/>
  <c r="AT25" i="12"/>
  <c r="AU25" i="12"/>
  <c r="AS26" i="12"/>
  <c r="AT26" i="12"/>
  <c r="AU26" i="12"/>
  <c r="AS27" i="12"/>
  <c r="AT27" i="12"/>
  <c r="AU27" i="12"/>
  <c r="AS29" i="12"/>
  <c r="AT29" i="12"/>
  <c r="AU29" i="12"/>
  <c r="AU4" i="12"/>
  <c r="AT4" i="12"/>
  <c r="AS4" i="12"/>
  <c r="AV17" i="12" l="1"/>
  <c r="AQ37" i="12" s="1"/>
  <c r="D100" i="12"/>
  <c r="D96" i="12"/>
  <c r="D95" i="12"/>
  <c r="D94" i="12"/>
  <c r="D97" i="12"/>
  <c r="D99" i="12"/>
  <c r="D98" i="12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A93" i="17"/>
  <c r="X92" i="17"/>
  <c r="W92" i="17"/>
  <c r="V92" i="17"/>
  <c r="U92" i="17"/>
  <c r="T92" i="17"/>
  <c r="S92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C92" i="17"/>
  <c r="B92" i="17"/>
  <c r="A92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C91" i="17"/>
  <c r="B91" i="17"/>
  <c r="A91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A90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A89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A88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A87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A86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A85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A84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A83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A82" i="17"/>
  <c r="X81" i="17"/>
  <c r="W81" i="17"/>
  <c r="V81" i="17"/>
  <c r="U81" i="17"/>
  <c r="T81" i="17"/>
  <c r="S81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B81" i="17"/>
  <c r="A81" i="17"/>
  <c r="X80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C80" i="17"/>
  <c r="B80" i="17"/>
  <c r="A80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B79" i="17"/>
  <c r="A79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A78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A77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A76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A75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A74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A73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A72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A71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C70" i="17"/>
  <c r="B70" i="17"/>
  <c r="A70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69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A68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A67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66" i="17"/>
  <c r="X65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A65" i="17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A64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63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62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A61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60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59" i="17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58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57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A56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A55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54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A53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A52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51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50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A49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48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A47" i="17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46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45" i="17"/>
  <c r="X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44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A43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42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A41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40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39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A38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A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A35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A34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33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A32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A31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30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A29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28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27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26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25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24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A23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22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A21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A20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A19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18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17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16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A15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14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A13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12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11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A10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9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A8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A7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A6" i="17"/>
  <c r="X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5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A4" i="17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A93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A92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A91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A90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A89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A88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A87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A86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A85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A84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A83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A82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A81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A80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A79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A78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A77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A76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A75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A74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A73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A72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A71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A70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A69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A68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A67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66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A65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A64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A63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62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61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60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59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58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57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56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55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54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53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52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51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50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49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48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47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46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45" i="15"/>
  <c r="X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44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43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42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41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40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39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38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37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36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35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34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33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32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30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29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28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27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26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25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24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23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22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21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20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19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18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16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15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14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12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11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10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9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8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7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6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5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4" i="15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T54" i="12"/>
  <c r="AR54" i="12"/>
  <c r="AQ54" i="12"/>
  <c r="AT53" i="12"/>
  <c r="AR53" i="12"/>
  <c r="AQ53" i="12"/>
  <c r="AT52" i="12"/>
  <c r="AR52" i="12"/>
  <c r="AQ52" i="12"/>
  <c r="AT51" i="12"/>
  <c r="AR51" i="12"/>
  <c r="AQ51" i="12"/>
  <c r="BA50" i="12"/>
  <c r="AX50" i="12"/>
  <c r="AT50" i="12"/>
  <c r="AR50" i="12"/>
  <c r="AQ50" i="12"/>
  <c r="AZ29" i="12"/>
  <c r="AY29" i="12"/>
  <c r="AX29" i="12"/>
  <c r="AV29" i="12"/>
  <c r="AQ44" i="12" s="1"/>
  <c r="AZ28" i="12"/>
  <c r="AY28" i="12"/>
  <c r="AX28" i="12"/>
  <c r="AV28" i="12"/>
  <c r="BD28" i="12" s="1"/>
  <c r="AZ27" i="12"/>
  <c r="AY27" i="12"/>
  <c r="AX27" i="12"/>
  <c r="AV27" i="12"/>
  <c r="BD27" i="12" s="1"/>
  <c r="AZ26" i="12"/>
  <c r="AY26" i="12"/>
  <c r="AX26" i="12"/>
  <c r="AV26" i="12"/>
  <c r="BD26" i="12" s="1"/>
  <c r="AZ25" i="12"/>
  <c r="AY25" i="12"/>
  <c r="AX25" i="12"/>
  <c r="AV25" i="12"/>
  <c r="BD25" i="12" s="1"/>
  <c r="AZ24" i="12"/>
  <c r="AY24" i="12"/>
  <c r="AX24" i="12"/>
  <c r="AV24" i="12"/>
  <c r="BD24" i="12" s="1"/>
  <c r="AZ23" i="12"/>
  <c r="AY23" i="12"/>
  <c r="AX23" i="12"/>
  <c r="AV23" i="12"/>
  <c r="BD23" i="12" s="1"/>
  <c r="AZ22" i="12"/>
  <c r="AY22" i="12"/>
  <c r="AX22" i="12"/>
  <c r="AV22" i="12"/>
  <c r="BD22" i="12" s="1"/>
  <c r="AZ21" i="12"/>
  <c r="AY21" i="12"/>
  <c r="AX21" i="12"/>
  <c r="AV21" i="12"/>
  <c r="BD21" i="12" s="1"/>
  <c r="AZ20" i="12"/>
  <c r="AY20" i="12"/>
  <c r="AX20" i="12"/>
  <c r="AV20" i="12"/>
  <c r="BD20" i="12" s="1"/>
  <c r="AZ19" i="12"/>
  <c r="AY19" i="12"/>
  <c r="AX19" i="12"/>
  <c r="AV19" i="12"/>
  <c r="BD19" i="12" s="1"/>
  <c r="AZ18" i="12"/>
  <c r="AY18" i="12"/>
  <c r="AX18" i="12"/>
  <c r="AV18" i="12"/>
  <c r="BD18" i="12" s="1"/>
  <c r="AZ17" i="12"/>
  <c r="AY17" i="12"/>
  <c r="AX17" i="12"/>
  <c r="AZ16" i="12"/>
  <c r="AY16" i="12"/>
  <c r="AX16" i="12"/>
  <c r="AV16" i="12"/>
  <c r="BD16" i="12" s="1"/>
  <c r="AZ15" i="12"/>
  <c r="AY15" i="12"/>
  <c r="AX15" i="12"/>
  <c r="AV15" i="12"/>
  <c r="BD15" i="12" s="1"/>
  <c r="AZ14" i="12"/>
  <c r="AY14" i="12"/>
  <c r="AX14" i="12"/>
  <c r="AV14" i="12"/>
  <c r="AQ41" i="12" s="1"/>
  <c r="T44" i="15" s="1"/>
  <c r="AZ13" i="12"/>
  <c r="AY13" i="12"/>
  <c r="AX13" i="12"/>
  <c r="AV13" i="12"/>
  <c r="BD13" i="12" s="1"/>
  <c r="AZ12" i="12"/>
  <c r="AY12" i="12"/>
  <c r="AX12" i="12"/>
  <c r="AV12" i="12"/>
  <c r="AZ11" i="12"/>
  <c r="AY11" i="12"/>
  <c r="AX11" i="12"/>
  <c r="AV11" i="12"/>
  <c r="AZ10" i="12"/>
  <c r="AY10" i="12"/>
  <c r="AX10" i="12"/>
  <c r="AV10" i="12"/>
  <c r="BD10" i="12" s="1"/>
  <c r="AZ9" i="12"/>
  <c r="AY9" i="12"/>
  <c r="AX9" i="12"/>
  <c r="AV9" i="12"/>
  <c r="AQ36" i="12" s="1"/>
  <c r="AZ8" i="12"/>
  <c r="AY8" i="12"/>
  <c r="AX8" i="12"/>
  <c r="AV8" i="12"/>
  <c r="AQ35" i="12" s="1"/>
  <c r="AZ7" i="12"/>
  <c r="AY7" i="12"/>
  <c r="AX7" i="12"/>
  <c r="AV7" i="12"/>
  <c r="BD7" i="12" s="1"/>
  <c r="AZ6" i="12"/>
  <c r="AY6" i="12"/>
  <c r="AX6" i="12"/>
  <c r="AV6" i="12"/>
  <c r="AQ33" i="12" s="1"/>
  <c r="AR33" i="12" s="1"/>
  <c r="AZ5" i="12"/>
  <c r="AY5" i="12"/>
  <c r="AX5" i="12"/>
  <c r="AV5" i="12"/>
  <c r="BD5" i="12" s="1"/>
  <c r="AM5" i="12"/>
  <c r="AM6" i="12" s="1"/>
  <c r="AM7" i="12" s="1"/>
  <c r="AM8" i="12" s="1"/>
  <c r="AM9" i="12" s="1"/>
  <c r="AM10" i="12" s="1"/>
  <c r="AM11" i="12" s="1"/>
  <c r="AM12" i="12" s="1"/>
  <c r="AM13" i="12" s="1"/>
  <c r="AM14" i="12" s="1"/>
  <c r="AM15" i="12" s="1"/>
  <c r="AM16" i="12" s="1"/>
  <c r="AM17" i="12" s="1"/>
  <c r="AM18" i="12" s="1"/>
  <c r="AM19" i="12" s="1"/>
  <c r="AM20" i="12" s="1"/>
  <c r="AM21" i="12" s="1"/>
  <c r="AM22" i="12" s="1"/>
  <c r="AM23" i="12" s="1"/>
  <c r="AM24" i="12" s="1"/>
  <c r="AM25" i="12" s="1"/>
  <c r="AM26" i="12" s="1"/>
  <c r="AM27" i="12" s="1"/>
  <c r="AM28" i="12" s="1"/>
  <c r="AM29" i="12" s="1"/>
  <c r="AM30" i="12" s="1"/>
  <c r="AM31" i="12" s="1"/>
  <c r="AM32" i="12" s="1"/>
  <c r="AM33" i="12" s="1"/>
  <c r="AM34" i="12" s="1"/>
  <c r="AM35" i="12" s="1"/>
  <c r="AM36" i="12" s="1"/>
  <c r="AM37" i="12" s="1"/>
  <c r="AM38" i="12" s="1"/>
  <c r="AM39" i="12" s="1"/>
  <c r="AM40" i="12" s="1"/>
  <c r="AM41" i="12" s="1"/>
  <c r="AM42" i="12" s="1"/>
  <c r="AM43" i="12" s="1"/>
  <c r="AM44" i="12" s="1"/>
  <c r="AM45" i="12" s="1"/>
  <c r="AM46" i="12" s="1"/>
  <c r="AM47" i="12" s="1"/>
  <c r="AM48" i="12" s="1"/>
  <c r="AM49" i="12" s="1"/>
  <c r="AM50" i="12" s="1"/>
  <c r="AM51" i="12" s="1"/>
  <c r="AM52" i="12" s="1"/>
  <c r="AM53" i="12" s="1"/>
  <c r="AM54" i="12" s="1"/>
  <c r="AM55" i="12" s="1"/>
  <c r="AM56" i="12" s="1"/>
  <c r="AM57" i="12" s="1"/>
  <c r="AM58" i="12" s="1"/>
  <c r="AM59" i="12" s="1"/>
  <c r="AM60" i="12" s="1"/>
  <c r="AM61" i="12" s="1"/>
  <c r="AM62" i="12" s="1"/>
  <c r="AM63" i="12" s="1"/>
  <c r="AM64" i="12" s="1"/>
  <c r="AM65" i="12" s="1"/>
  <c r="AM66" i="12" s="1"/>
  <c r="AM67" i="12" s="1"/>
  <c r="AM68" i="12" s="1"/>
  <c r="AM69" i="12" s="1"/>
  <c r="AM70" i="12" s="1"/>
  <c r="AM71" i="12" s="1"/>
  <c r="AM72" i="12" s="1"/>
  <c r="AM73" i="12" s="1"/>
  <c r="AM74" i="12" s="1"/>
  <c r="AM75" i="12" s="1"/>
  <c r="AM76" i="12" s="1"/>
  <c r="AM77" i="12" s="1"/>
  <c r="AM78" i="12" s="1"/>
  <c r="AM79" i="12" s="1"/>
  <c r="AM80" i="12" s="1"/>
  <c r="AM81" i="12" s="1"/>
  <c r="AM82" i="12" s="1"/>
  <c r="AM83" i="12" s="1"/>
  <c r="AM84" i="12" s="1"/>
  <c r="AM85" i="12" s="1"/>
  <c r="AM86" i="12" s="1"/>
  <c r="AM87" i="12" s="1"/>
  <c r="AM88" i="12" s="1"/>
  <c r="AM89" i="12" s="1"/>
  <c r="AM90" i="12" s="1"/>
  <c r="AM91" i="12" s="1"/>
  <c r="AM92" i="12" s="1"/>
  <c r="AM93" i="12" s="1"/>
  <c r="AM94" i="12" s="1"/>
  <c r="AM95" i="12" s="1"/>
  <c r="AM96" i="12" s="1"/>
  <c r="AM97" i="12" s="1"/>
  <c r="AM98" i="12" s="1"/>
  <c r="AM99" i="12" s="1"/>
  <c r="AM100" i="12" s="1"/>
  <c r="AL5" i="12"/>
  <c r="AL6" i="12" s="1"/>
  <c r="AL7" i="12" s="1"/>
  <c r="AL8" i="12" s="1"/>
  <c r="AL9" i="12" s="1"/>
  <c r="AL10" i="12" s="1"/>
  <c r="AL11" i="12" s="1"/>
  <c r="AL12" i="12" s="1"/>
  <c r="AL13" i="12" s="1"/>
  <c r="AL14" i="12" s="1"/>
  <c r="AL15" i="12" s="1"/>
  <c r="AL16" i="12" s="1"/>
  <c r="AL18" i="12" s="1"/>
  <c r="AL19" i="12" s="1"/>
  <c r="AL20" i="12" s="1"/>
  <c r="AL21" i="12" s="1"/>
  <c r="AL22" i="12" s="1"/>
  <c r="AL23" i="12" s="1"/>
  <c r="AL24" i="12" s="1"/>
  <c r="AL25" i="12" s="1"/>
  <c r="AL26" i="12" s="1"/>
  <c r="AL27" i="12" s="1"/>
  <c r="AL28" i="12" s="1"/>
  <c r="AL29" i="12" s="1"/>
  <c r="AL30" i="12" s="1"/>
  <c r="AL31" i="12" s="1"/>
  <c r="AL32" i="12" s="1"/>
  <c r="AL33" i="12" s="1"/>
  <c r="AL34" i="12" s="1"/>
  <c r="AL35" i="12" s="1"/>
  <c r="AL36" i="12" s="1"/>
  <c r="AL37" i="12" s="1"/>
  <c r="AL38" i="12" s="1"/>
  <c r="AL39" i="12" s="1"/>
  <c r="AL40" i="12" s="1"/>
  <c r="AL41" i="12" s="1"/>
  <c r="AL42" i="12" s="1"/>
  <c r="AL43" i="12" s="1"/>
  <c r="AL44" i="12" s="1"/>
  <c r="AL45" i="12" s="1"/>
  <c r="AL46" i="12" s="1"/>
  <c r="AL47" i="12" s="1"/>
  <c r="AL48" i="12" s="1"/>
  <c r="AL49" i="12" s="1"/>
  <c r="AL50" i="12" s="1"/>
  <c r="AL51" i="12" s="1"/>
  <c r="AL52" i="12" s="1"/>
  <c r="AL53" i="12" s="1"/>
  <c r="AL54" i="12" s="1"/>
  <c r="AL55" i="12" s="1"/>
  <c r="AL56" i="12" s="1"/>
  <c r="AL57" i="12" s="1"/>
  <c r="AL58" i="12" s="1"/>
  <c r="AL59" i="12" s="1"/>
  <c r="AL60" i="12" s="1"/>
  <c r="AL61" i="12" s="1"/>
  <c r="AL62" i="12" s="1"/>
  <c r="AL63" i="12" s="1"/>
  <c r="AL64" i="12" s="1"/>
  <c r="AL65" i="12" s="1"/>
  <c r="AL66" i="12" s="1"/>
  <c r="AL67" i="12" s="1"/>
  <c r="AL68" i="12" s="1"/>
  <c r="AL69" i="12" s="1"/>
  <c r="AL70" i="12" s="1"/>
  <c r="AL71" i="12" s="1"/>
  <c r="AL72" i="12" s="1"/>
  <c r="AL73" i="12" s="1"/>
  <c r="AL74" i="12" s="1"/>
  <c r="AL75" i="12" s="1"/>
  <c r="AL76" i="12" s="1"/>
  <c r="AL77" i="12" s="1"/>
  <c r="AL78" i="12" s="1"/>
  <c r="AL79" i="12" s="1"/>
  <c r="AL80" i="12" s="1"/>
  <c r="AL81" i="12" s="1"/>
  <c r="AL82" i="12" s="1"/>
  <c r="AL83" i="12" s="1"/>
  <c r="AL84" i="12" s="1"/>
  <c r="AL85" i="12" s="1"/>
  <c r="AL86" i="12" s="1"/>
  <c r="AL87" i="12" s="1"/>
  <c r="AL88" i="12" s="1"/>
  <c r="AL89" i="12" s="1"/>
  <c r="AL90" i="12" s="1"/>
  <c r="AL91" i="12" s="1"/>
  <c r="AL92" i="12" s="1"/>
  <c r="AL93" i="12" s="1"/>
  <c r="AL94" i="12" s="1"/>
  <c r="AL95" i="12" s="1"/>
  <c r="AL96" i="12" s="1"/>
  <c r="AL97" i="12" s="1"/>
  <c r="AL98" i="12" s="1"/>
  <c r="AL99" i="12" s="1"/>
  <c r="AL100" i="12" s="1"/>
  <c r="AZ4" i="12"/>
  <c r="AY4" i="12"/>
  <c r="AX4" i="12"/>
  <c r="AV4" i="12"/>
  <c r="BD4" i="12" s="1"/>
  <c r="AN4" i="12"/>
  <c r="AN5" i="12" s="1"/>
  <c r="AN6" i="12" s="1"/>
  <c r="AN7" i="12" s="1"/>
  <c r="AN8" i="12" s="1"/>
  <c r="AN9" i="12" s="1"/>
  <c r="AN10" i="12" s="1"/>
  <c r="AN11" i="12" s="1"/>
  <c r="AN12" i="12" s="1"/>
  <c r="AN13" i="12" s="1"/>
  <c r="AN14" i="12" s="1"/>
  <c r="AN15" i="12" s="1"/>
  <c r="AN16" i="12" s="1"/>
  <c r="AN17" i="12" s="1"/>
  <c r="AN18" i="12" s="1"/>
  <c r="AN19" i="12" s="1"/>
  <c r="AN20" i="12" s="1"/>
  <c r="AN21" i="12" s="1"/>
  <c r="AN22" i="12" s="1"/>
  <c r="AN23" i="12" s="1"/>
  <c r="AN24" i="12" s="1"/>
  <c r="AN25" i="12" s="1"/>
  <c r="AN26" i="12" s="1"/>
  <c r="AN27" i="12" s="1"/>
  <c r="AN28" i="12" s="1"/>
  <c r="AN29" i="12" s="1"/>
  <c r="AN30" i="12" s="1"/>
  <c r="AN31" i="12" s="1"/>
  <c r="AN32" i="12" s="1"/>
  <c r="AN33" i="12" s="1"/>
  <c r="AN34" i="12" s="1"/>
  <c r="AN35" i="12" s="1"/>
  <c r="AN36" i="12" s="1"/>
  <c r="AN37" i="12" s="1"/>
  <c r="AN38" i="12" s="1"/>
  <c r="AN39" i="12" s="1"/>
  <c r="AN40" i="12" s="1"/>
  <c r="AN41" i="12" s="1"/>
  <c r="AN42" i="12" s="1"/>
  <c r="AN43" i="12" s="1"/>
  <c r="AN44" i="12" s="1"/>
  <c r="AN45" i="12" s="1"/>
  <c r="AN46" i="12" s="1"/>
  <c r="AN47" i="12" s="1"/>
  <c r="AN48" i="12" s="1"/>
  <c r="AN49" i="12" s="1"/>
  <c r="AN50" i="12" s="1"/>
  <c r="AN51" i="12" s="1"/>
  <c r="AN52" i="12" s="1"/>
  <c r="AN53" i="12" s="1"/>
  <c r="AN54" i="12" s="1"/>
  <c r="AN55" i="12" s="1"/>
  <c r="AN56" i="12" s="1"/>
  <c r="AN57" i="12" s="1"/>
  <c r="AN58" i="12" s="1"/>
  <c r="AN59" i="12" s="1"/>
  <c r="AN60" i="12" s="1"/>
  <c r="AN61" i="12" s="1"/>
  <c r="AN62" i="12" s="1"/>
  <c r="AN63" i="12" s="1"/>
  <c r="AN64" i="12" s="1"/>
  <c r="AN65" i="12" s="1"/>
  <c r="AN66" i="12" s="1"/>
  <c r="AN67" i="12" s="1"/>
  <c r="AN68" i="12" s="1"/>
  <c r="AN69" i="12" s="1"/>
  <c r="AN70" i="12" s="1"/>
  <c r="AN71" i="12" s="1"/>
  <c r="AN72" i="12" s="1"/>
  <c r="AN73" i="12" s="1"/>
  <c r="AN74" i="12" s="1"/>
  <c r="AN75" i="12" s="1"/>
  <c r="AN76" i="12" s="1"/>
  <c r="AN77" i="12" s="1"/>
  <c r="AN78" i="12" s="1"/>
  <c r="AN79" i="12" s="1"/>
  <c r="AN80" i="12" s="1"/>
  <c r="AN81" i="12" s="1"/>
  <c r="AN82" i="12" s="1"/>
  <c r="AN83" i="12" s="1"/>
  <c r="AN84" i="12" s="1"/>
  <c r="AN85" i="12" s="1"/>
  <c r="AN86" i="12" s="1"/>
  <c r="AN87" i="12" s="1"/>
  <c r="AN88" i="12" s="1"/>
  <c r="AN89" i="12" s="1"/>
  <c r="AN90" i="12" s="1"/>
  <c r="AN91" i="12" s="1"/>
  <c r="AN92" i="12" s="1"/>
  <c r="AN93" i="12" s="1"/>
  <c r="AN94" i="12" s="1"/>
  <c r="AN95" i="12" s="1"/>
  <c r="AN96" i="12" s="1"/>
  <c r="AN97" i="12" s="1"/>
  <c r="AN98" i="12" s="1"/>
  <c r="AN99" i="12" s="1"/>
  <c r="AN100" i="12" s="1"/>
  <c r="AM4" i="12"/>
  <c r="AL4" i="12"/>
  <c r="AJ2" i="12"/>
  <c r="AI2" i="12"/>
  <c r="AH2" i="12"/>
  <c r="AB2" i="12"/>
  <c r="T2" i="12"/>
  <c r="L2" i="12"/>
  <c r="A1" i="12"/>
  <c r="AQ38" i="12" l="1"/>
  <c r="AR38" i="12" s="1"/>
  <c r="U44" i="15"/>
  <c r="V44" i="15"/>
  <c r="AG2" i="12"/>
  <c r="BD12" i="12"/>
  <c r="AQ39" i="12"/>
  <c r="AS39" i="12" s="1"/>
  <c r="BD11" i="12"/>
  <c r="AT55" i="12"/>
  <c r="F35" i="12"/>
  <c r="F42" i="12"/>
  <c r="F49" i="12"/>
  <c r="F56" i="12"/>
  <c r="F70" i="12"/>
  <c r="F91" i="12"/>
  <c r="F22" i="12"/>
  <c r="F14" i="12"/>
  <c r="F21" i="12"/>
  <c r="F28" i="12"/>
  <c r="F63" i="12"/>
  <c r="F77" i="12"/>
  <c r="F84" i="12"/>
  <c r="F69" i="12"/>
  <c r="F83" i="12"/>
  <c r="AQ43" i="12"/>
  <c r="AR43" i="12" s="1"/>
  <c r="AQ42" i="12"/>
  <c r="L2" i="15"/>
  <c r="F5" i="12"/>
  <c r="F7" i="12"/>
  <c r="F9" i="12"/>
  <c r="F10" i="12"/>
  <c r="F11" i="12"/>
  <c r="F12" i="12"/>
  <c r="F16" i="12"/>
  <c r="F17" i="12"/>
  <c r="F18" i="12"/>
  <c r="F20" i="12"/>
  <c r="F23" i="12"/>
  <c r="F24" i="12"/>
  <c r="F25" i="12"/>
  <c r="F27" i="12"/>
  <c r="F30" i="12"/>
  <c r="F31" i="12"/>
  <c r="F32" i="12"/>
  <c r="F34" i="12"/>
  <c r="F37" i="12"/>
  <c r="F38" i="12"/>
  <c r="F40" i="12"/>
  <c r="F45" i="12"/>
  <c r="F46" i="12"/>
  <c r="F51" i="12"/>
  <c r="F52" i="12"/>
  <c r="F53" i="12"/>
  <c r="F58" i="12"/>
  <c r="F59" i="12"/>
  <c r="F60" i="12"/>
  <c r="F61" i="12"/>
  <c r="F65" i="12"/>
  <c r="F66" i="12"/>
  <c r="F67" i="12"/>
  <c r="F72" i="12"/>
  <c r="F73" i="12"/>
  <c r="F74" i="12"/>
  <c r="F75" i="12"/>
  <c r="F79" i="12"/>
  <c r="F80" i="12"/>
  <c r="F81" i="12"/>
  <c r="F86" i="12"/>
  <c r="F87" i="12"/>
  <c r="F88" i="12"/>
  <c r="F89" i="12"/>
  <c r="F93" i="12"/>
  <c r="F8" i="12"/>
  <c r="F15" i="12"/>
  <c r="F29" i="12"/>
  <c r="F36" i="12"/>
  <c r="F43" i="12"/>
  <c r="F50" i="12"/>
  <c r="F57" i="12"/>
  <c r="F64" i="12"/>
  <c r="F71" i="12"/>
  <c r="F78" i="12"/>
  <c r="F85" i="12"/>
  <c r="F92" i="12"/>
  <c r="D40" i="12"/>
  <c r="D5" i="12"/>
  <c r="D19" i="12"/>
  <c r="D26" i="12"/>
  <c r="F6" i="12"/>
  <c r="F13" i="12"/>
  <c r="F41" i="12"/>
  <c r="F48" i="12"/>
  <c r="F55" i="12"/>
  <c r="F62" i="12"/>
  <c r="F76" i="12"/>
  <c r="F90" i="12"/>
  <c r="BD6" i="12"/>
  <c r="D32" i="12"/>
  <c r="F19" i="12"/>
  <c r="F33" i="12"/>
  <c r="F47" i="12"/>
  <c r="F54" i="12"/>
  <c r="F68" i="12"/>
  <c r="F82" i="12"/>
  <c r="AQ45" i="12"/>
  <c r="AR45" i="12" s="1"/>
  <c r="D12" i="12"/>
  <c r="D2" i="15"/>
  <c r="F39" i="12"/>
  <c r="F26" i="12"/>
  <c r="D45" i="12"/>
  <c r="F4" i="12"/>
  <c r="AQ40" i="12"/>
  <c r="AS36" i="12"/>
  <c r="AR36" i="12"/>
  <c r="AR44" i="12"/>
  <c r="AS44" i="12"/>
  <c r="AS37" i="12"/>
  <c r="AR37" i="12"/>
  <c r="AR41" i="12"/>
  <c r="AS41" i="12"/>
  <c r="AS35" i="12"/>
  <c r="AR35" i="12"/>
  <c r="D14" i="12"/>
  <c r="D34" i="12"/>
  <c r="D80" i="12"/>
  <c r="D91" i="12"/>
  <c r="BD9" i="12"/>
  <c r="BD29" i="12"/>
  <c r="D47" i="12"/>
  <c r="D68" i="12"/>
  <c r="D18" i="12"/>
  <c r="BD17" i="12"/>
  <c r="AQ34" i="12"/>
  <c r="D10" i="12"/>
  <c r="D17" i="12"/>
  <c r="D24" i="12"/>
  <c r="D31" i="12"/>
  <c r="D52" i="12"/>
  <c r="D7" i="12"/>
  <c r="AS33" i="12"/>
  <c r="D25" i="12"/>
  <c r="D30" i="12"/>
  <c r="D41" i="12"/>
  <c r="D76" i="12"/>
  <c r="D61" i="12"/>
  <c r="D39" i="12"/>
  <c r="D88" i="12"/>
  <c r="D37" i="12"/>
  <c r="D58" i="12"/>
  <c r="D65" i="12"/>
  <c r="D72" i="12"/>
  <c r="D79" i="12"/>
  <c r="D86" i="12"/>
  <c r="D93" i="12"/>
  <c r="T2" i="14"/>
  <c r="D21" i="12"/>
  <c r="D44" i="12"/>
  <c r="D63" i="12"/>
  <c r="D84" i="12"/>
  <c r="D89" i="12"/>
  <c r="D74" i="12"/>
  <c r="D13" i="12"/>
  <c r="D35" i="12"/>
  <c r="D70" i="12"/>
  <c r="D28" i="12"/>
  <c r="D49" i="12"/>
  <c r="D69" i="12"/>
  <c r="D16" i="12"/>
  <c r="D43" i="12"/>
  <c r="D59" i="12"/>
  <c r="D83" i="12"/>
  <c r="D33" i="12"/>
  <c r="D54" i="12"/>
  <c r="D11" i="12"/>
  <c r="D9" i="12"/>
  <c r="D48" i="12"/>
  <c r="D62" i="12"/>
  <c r="D81" i="12"/>
  <c r="BD8" i="12"/>
  <c r="D23" i="12"/>
  <c r="D36" i="12"/>
  <c r="D51" i="12"/>
  <c r="D90" i="12"/>
  <c r="D75" i="12"/>
  <c r="D15" i="12"/>
  <c r="D64" i="12"/>
  <c r="D78" i="12"/>
  <c r="D20" i="12"/>
  <c r="D27" i="12"/>
  <c r="D53" i="12"/>
  <c r="D77" i="12"/>
  <c r="D4" i="12"/>
  <c r="D50" i="12"/>
  <c r="D71" i="12"/>
  <c r="D6" i="12"/>
  <c r="D42" i="12"/>
  <c r="D55" i="12"/>
  <c r="D73" i="12"/>
  <c r="D2" i="14"/>
  <c r="D82" i="12"/>
  <c r="D60" i="12"/>
  <c r="D8" i="12"/>
  <c r="D29" i="12"/>
  <c r="D57" i="12"/>
  <c r="D85" i="12"/>
  <c r="D38" i="12"/>
  <c r="D56" i="12"/>
  <c r="D66" i="12"/>
  <c r="D87" i="12"/>
  <c r="L2" i="14"/>
  <c r="BD14" i="12"/>
  <c r="D46" i="12"/>
  <c r="D67" i="12"/>
  <c r="D22" i="12"/>
  <c r="D92" i="12"/>
  <c r="AZ2" i="12"/>
  <c r="AV2" i="12"/>
  <c r="D2" i="17"/>
  <c r="L2" i="17"/>
  <c r="E100" i="12" l="1"/>
  <c r="AR42" i="12"/>
  <c r="W44" i="17" s="1"/>
  <c r="W44" i="15"/>
  <c r="T44" i="17"/>
  <c r="V44" i="17"/>
  <c r="U44" i="17"/>
  <c r="AS40" i="12"/>
  <c r="R44" i="15"/>
  <c r="Q44" i="15"/>
  <c r="S44" i="15"/>
  <c r="G4" i="12"/>
  <c r="E96" i="12"/>
  <c r="E97" i="12"/>
  <c r="E99" i="12"/>
  <c r="E94" i="12"/>
  <c r="E95" i="12"/>
  <c r="E98" i="12"/>
  <c r="AS42" i="12"/>
  <c r="E6" i="12"/>
  <c r="E5" i="12"/>
  <c r="AS43" i="12"/>
  <c r="AR40" i="12"/>
  <c r="AQ46" i="12"/>
  <c r="AS38" i="12"/>
  <c r="AS45" i="12"/>
  <c r="G27" i="12"/>
  <c r="G19" i="12"/>
  <c r="G5" i="12"/>
  <c r="G6" i="12"/>
  <c r="G40" i="12"/>
  <c r="G16" i="12"/>
  <c r="G14" i="12"/>
  <c r="G36" i="12"/>
  <c r="G31" i="12"/>
  <c r="BD30" i="12"/>
  <c r="G12" i="12"/>
  <c r="G17" i="12"/>
  <c r="G26" i="12"/>
  <c r="E66" i="12"/>
  <c r="G37" i="12"/>
  <c r="G35" i="12"/>
  <c r="G20" i="12"/>
  <c r="G21" i="12"/>
  <c r="G9" i="12"/>
  <c r="G38" i="12"/>
  <c r="G25" i="12"/>
  <c r="G39" i="12"/>
  <c r="G24" i="12"/>
  <c r="E47" i="12"/>
  <c r="E17" i="12"/>
  <c r="E48" i="12"/>
  <c r="E15" i="12"/>
  <c r="G33" i="12"/>
  <c r="E35" i="12"/>
  <c r="G30" i="12"/>
  <c r="E90" i="12"/>
  <c r="G8" i="12"/>
  <c r="G32" i="12"/>
  <c r="G29" i="12"/>
  <c r="E71" i="12"/>
  <c r="G13" i="12"/>
  <c r="G18" i="12"/>
  <c r="G42" i="12"/>
  <c r="G34" i="12"/>
  <c r="G11" i="12"/>
  <c r="G10" i="12"/>
  <c r="G22" i="12"/>
  <c r="AR39" i="12"/>
  <c r="G23" i="12"/>
  <c r="G7" i="12"/>
  <c r="G41" i="12"/>
  <c r="G15" i="12"/>
  <c r="G28" i="12"/>
  <c r="G43" i="12"/>
  <c r="E78" i="12"/>
  <c r="E20" i="12"/>
  <c r="E9" i="12"/>
  <c r="E87" i="12"/>
  <c r="E86" i="12"/>
  <c r="E81" i="12"/>
  <c r="E68" i="12"/>
  <c r="E75" i="12"/>
  <c r="E29" i="12"/>
  <c r="E43" i="12"/>
  <c r="E32" i="12"/>
  <c r="E72" i="12"/>
  <c r="E39" i="12"/>
  <c r="E24" i="12"/>
  <c r="E93" i="12"/>
  <c r="E45" i="12"/>
  <c r="E7" i="12"/>
  <c r="E59" i="12"/>
  <c r="E83" i="12"/>
  <c r="E23" i="12"/>
  <c r="E36" i="12"/>
  <c r="E44" i="12"/>
  <c r="E92" i="12"/>
  <c r="E65" i="12"/>
  <c r="E79" i="12"/>
  <c r="E52" i="12"/>
  <c r="E61" i="12"/>
  <c r="E89" i="12"/>
  <c r="E53" i="12"/>
  <c r="E10" i="12"/>
  <c r="E21" i="12"/>
  <c r="E55" i="12"/>
  <c r="E56" i="12"/>
  <c r="E60" i="12"/>
  <c r="E77" i="12"/>
  <c r="E4" i="12"/>
  <c r="E11" i="12"/>
  <c r="E31" i="12"/>
  <c r="E8" i="12"/>
  <c r="E46" i="12"/>
  <c r="E84" i="12"/>
  <c r="E80" i="12"/>
  <c r="E28" i="12"/>
  <c r="E30" i="12"/>
  <c r="E41" i="12"/>
  <c r="E13" i="12"/>
  <c r="E82" i="12"/>
  <c r="E25" i="12"/>
  <c r="E73" i="12"/>
  <c r="E37" i="12"/>
  <c r="E85" i="12"/>
  <c r="E22" i="12"/>
  <c r="E40" i="12"/>
  <c r="E42" i="12"/>
  <c r="E74" i="12"/>
  <c r="E14" i="12"/>
  <c r="E38" i="12"/>
  <c r="E62" i="12"/>
  <c r="E69" i="12"/>
  <c r="E49" i="12"/>
  <c r="E26" i="12"/>
  <c r="AS34" i="12"/>
  <c r="AR34" i="12"/>
  <c r="E67" i="12"/>
  <c r="E58" i="12"/>
  <c r="E19" i="12"/>
  <c r="E91" i="12"/>
  <c r="E16" i="12"/>
  <c r="E34" i="12"/>
  <c r="E50" i="12"/>
  <c r="E51" i="12"/>
  <c r="E63" i="12"/>
  <c r="E88" i="12"/>
  <c r="E27" i="12"/>
  <c r="E54" i="12"/>
  <c r="E18" i="12"/>
  <c r="E12" i="12"/>
  <c r="E57" i="12"/>
  <c r="E70" i="12"/>
  <c r="E76" i="12"/>
  <c r="E64" i="12"/>
  <c r="E33" i="12"/>
  <c r="AR46" i="12" l="1"/>
  <c r="AR47" i="12" s="1"/>
  <c r="F44" i="12"/>
  <c r="T2" i="15"/>
  <c r="S44" i="17"/>
  <c r="R44" i="17"/>
  <c r="Q44" i="17"/>
  <c r="T2" i="17" s="1"/>
  <c r="E101" i="12"/>
  <c r="AS46" i="12"/>
  <c r="AX2" i="12" l="1"/>
  <c r="G89" i="12"/>
  <c r="G48" i="12"/>
  <c r="G79" i="12"/>
  <c r="G61" i="12"/>
  <c r="G56" i="12"/>
  <c r="G58" i="12"/>
  <c r="G74" i="12"/>
  <c r="G92" i="12"/>
  <c r="G51" i="12"/>
  <c r="G99" i="12"/>
  <c r="G100" i="12"/>
  <c r="AS47" i="12" s="1"/>
  <c r="G83" i="12"/>
  <c r="G52" i="12"/>
  <c r="G95" i="12"/>
  <c r="G87" i="12"/>
  <c r="G59" i="12"/>
  <c r="G62" i="12"/>
  <c r="G66" i="12"/>
  <c r="G49" i="12"/>
  <c r="G70" i="12"/>
  <c r="G46" i="12"/>
  <c r="G80" i="12"/>
  <c r="G65" i="12"/>
  <c r="G88" i="12"/>
  <c r="G93" i="12"/>
  <c r="G77" i="12"/>
  <c r="G63" i="12"/>
  <c r="G72" i="12"/>
  <c r="G91" i="12"/>
  <c r="G67" i="12"/>
  <c r="G81" i="12"/>
  <c r="G45" i="12"/>
  <c r="G55" i="12"/>
  <c r="G86" i="12"/>
  <c r="G75" i="12"/>
  <c r="G84" i="12"/>
  <c r="G76" i="12"/>
  <c r="G90" i="12"/>
  <c r="G53" i="12"/>
  <c r="G78" i="12"/>
  <c r="G57" i="12"/>
  <c r="G50" i="12"/>
  <c r="G71" i="12"/>
  <c r="G54" i="12"/>
  <c r="F2" i="12"/>
  <c r="G69" i="12"/>
  <c r="G98" i="12"/>
  <c r="G82" i="12"/>
  <c r="G64" i="12"/>
  <c r="G47" i="12"/>
  <c r="G97" i="12"/>
  <c r="G85" i="12"/>
  <c r="G68" i="12"/>
  <c r="G73" i="12"/>
  <c r="G60" i="12"/>
  <c r="G44" i="12"/>
  <c r="G94" i="12"/>
  <c r="G96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Cortana</author>
  </authors>
  <commentList>
    <comment ref="E13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Cortana:</t>
        </r>
        <r>
          <rPr>
            <sz val="9"/>
            <color indexed="81"/>
            <rFont val="宋体"/>
            <family val="3"/>
            <charset val="134"/>
          </rPr>
          <t xml:space="preserve">
实际富裕2</t>
        </r>
      </text>
    </comment>
  </commentList>
</comments>
</file>

<file path=xl/sharedStrings.xml><?xml version="1.0" encoding="utf-8"?>
<sst xmlns="http://schemas.openxmlformats.org/spreadsheetml/2006/main" count="2582" uniqueCount="98">
  <si>
    <t>工作区</t>
  </si>
  <si>
    <t>合计经验</t>
  </si>
  <si>
    <t>队伍一 火</t>
  </si>
  <si>
    <t>步数</t>
  </si>
  <si>
    <t>(不算跳步和传送)</t>
  </si>
  <si>
    <t>队伍二 雷</t>
  </si>
  <si>
    <t>队伍三</t>
  </si>
  <si>
    <t>总步数</t>
  </si>
  <si>
    <t>八卦全开</t>
  </si>
  <si>
    <t>总地块</t>
  </si>
  <si>
    <t>剩余粮草</t>
  </si>
  <si>
    <t>总经验</t>
  </si>
  <si>
    <t>粮草系数</t>
  </si>
  <si>
    <t>日期</t>
  </si>
  <si>
    <t>获得粮草</t>
  </si>
  <si>
    <t>粮草调整</t>
  </si>
  <si>
    <t>消耗粮草</t>
  </si>
  <si>
    <t>获得经验</t>
  </si>
  <si>
    <t>累计经验</t>
  </si>
  <si>
    <t>任务经验</t>
  </si>
  <si>
    <t>跳步次数</t>
  </si>
  <si>
    <t>1队跳步</t>
  </si>
  <si>
    <t>2队跳步</t>
  </si>
  <si>
    <t>3队跳步</t>
  </si>
  <si>
    <t>1队剩步</t>
  </si>
  <si>
    <t>2队剩步</t>
  </si>
  <si>
    <t>3队剩步</t>
  </si>
  <si>
    <t>地块</t>
  </si>
  <si>
    <t>粮草</t>
  </si>
  <si>
    <t>经验</t>
  </si>
  <si>
    <t>八卦前亏损</t>
  </si>
  <si>
    <t>一队地块</t>
  </si>
  <si>
    <t>二队地块</t>
  </si>
  <si>
    <t>三队地块</t>
  </si>
  <si>
    <t>一队经验</t>
  </si>
  <si>
    <t>二队经验</t>
  </si>
  <si>
    <t>三队经验</t>
  </si>
  <si>
    <t>八卦前</t>
  </si>
  <si>
    <t>亏损</t>
  </si>
  <si>
    <t>1级</t>
  </si>
  <si>
    <t>商人</t>
  </si>
  <si>
    <t>空</t>
  </si>
  <si>
    <t>草1</t>
  </si>
  <si>
    <t>2级</t>
  </si>
  <si>
    <t>否</t>
  </si>
  <si>
    <t>八卦后</t>
  </si>
  <si>
    <t>草2</t>
  </si>
  <si>
    <t>Note：开完八卦当天可能需要手动计算粮草</t>
  </si>
  <si>
    <t>历练</t>
  </si>
  <si>
    <t>营地</t>
  </si>
  <si>
    <t>3级</t>
  </si>
  <si>
    <t>4级</t>
  </si>
  <si>
    <t>大卦</t>
  </si>
  <si>
    <t>3级卦</t>
  </si>
  <si>
    <t>5级</t>
  </si>
  <si>
    <t>6级</t>
  </si>
  <si>
    <t>草5</t>
  </si>
  <si>
    <t>是</t>
  </si>
  <si>
    <t>草3</t>
  </si>
  <si>
    <t>草4</t>
  </si>
  <si>
    <t>草6</t>
  </si>
  <si>
    <t>遗迹</t>
  </si>
  <si>
    <t>巨卦</t>
  </si>
  <si>
    <t>大boss</t>
  </si>
  <si>
    <t>中boss</t>
  </si>
  <si>
    <t>4级卦</t>
  </si>
  <si>
    <t>塔1</t>
  </si>
  <si>
    <t>塔2</t>
  </si>
  <si>
    <t>塔3</t>
  </si>
  <si>
    <t>地块统计</t>
  </si>
  <si>
    <t>应占领</t>
  </si>
  <si>
    <t>缺少</t>
  </si>
  <si>
    <t>分数</t>
  </si>
  <si>
    <t>总</t>
  </si>
  <si>
    <t>最终</t>
  </si>
  <si>
    <t>净获得</t>
  </si>
  <si>
    <t>阶段</t>
  </si>
  <si>
    <t>奖励粮草</t>
  </si>
  <si>
    <t>帐篷个数</t>
  </si>
  <si>
    <t>负粮草</t>
  </si>
  <si>
    <t>瞭望塔坐标</t>
  </si>
  <si>
    <t>x</t>
  </si>
  <si>
    <t>y</t>
  </si>
  <si>
    <t>等级</t>
  </si>
  <si>
    <t>buff</t>
  </si>
  <si>
    <t>行动</t>
  </si>
  <si>
    <t>积分</t>
  </si>
  <si>
    <t>说明</t>
  </si>
  <si>
    <t>迅疾</t>
  </si>
  <si>
    <t>5次行动不消耗次数</t>
  </si>
  <si>
    <t>兵粮</t>
  </si>
  <si>
    <t>8次行动消耗60%粮草</t>
  </si>
  <si>
    <t>战勋</t>
  </si>
  <si>
    <t>10次行动1.5倍积分</t>
  </si>
  <si>
    <t>队伍一 风</t>
  </si>
  <si>
    <t>兵粮buff</t>
  </si>
  <si>
    <t>战勋buff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</si>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</sst>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_ "/>
  </numFmts>
  <fonts count="18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3999145481734672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gray0625">
        <bgColor theme="8" tint="0.79995117038483843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lightDown">
        <fgColor rgb="FFFF0000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 applyBorder="0"/>
    <xf numFmtId="0" fontId="13" fillId="0" borderId="0" applyBorder="0"/>
  </cellStyleXfs>
  <cellXfs count="139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0" fontId="2" fillId="0" borderId="0" xfId="0" applyFont="1"/>
    <xf numFmtId="0" fontId="2" fillId="5" borderId="0" xfId="0" applyFont="1" applyFill="1"/>
    <xf numFmtId="0" fontId="0" fillId="0" borderId="8" xfId="0" applyBorder="1"/>
    <xf numFmtId="0" fontId="4" fillId="10" borderId="8" xfId="0" applyFont="1" applyFill="1" applyBorder="1" applyAlignment="1">
      <alignment vertical="top"/>
    </xf>
    <xf numFmtId="0" fontId="4" fillId="9" borderId="8" xfId="0" applyFont="1" applyFill="1" applyBorder="1" applyAlignment="1">
      <alignment vertical="top"/>
    </xf>
    <xf numFmtId="0" fontId="4" fillId="11" borderId="8" xfId="0" applyFont="1" applyFill="1" applyBorder="1" applyAlignment="1">
      <alignment vertical="top"/>
    </xf>
    <xf numFmtId="0" fontId="5" fillId="0" borderId="0" xfId="0" applyFont="1"/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10" fontId="0" fillId="13" borderId="0" xfId="0" applyNumberFormat="1" applyFill="1"/>
    <xf numFmtId="164" fontId="0" fillId="13" borderId="0" xfId="0" applyNumberFormat="1" applyFill="1"/>
    <xf numFmtId="0" fontId="1" fillId="15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1" borderId="15" xfId="0" applyFont="1" applyFill="1" applyBorder="1" applyAlignment="1">
      <alignment horizontal="center" wrapText="1"/>
    </xf>
    <xf numFmtId="0" fontId="1" fillId="16" borderId="15" xfId="0" applyFont="1" applyFill="1" applyBorder="1" applyAlignment="1">
      <alignment horizontal="center" wrapText="1"/>
    </xf>
    <xf numFmtId="0" fontId="0" fillId="17" borderId="1" xfId="0" applyFill="1" applyBorder="1"/>
    <xf numFmtId="0" fontId="0" fillId="17" borderId="3" xfId="0" applyFill="1" applyBorder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wrapText="1"/>
    </xf>
    <xf numFmtId="0" fontId="0" fillId="18" borderId="0" xfId="0" applyFill="1" applyAlignment="1">
      <alignment wrapText="1"/>
    </xf>
    <xf numFmtId="0" fontId="0" fillId="14" borderId="17" xfId="0" applyFill="1" applyBorder="1" applyAlignment="1">
      <alignment wrapText="1"/>
    </xf>
    <xf numFmtId="0" fontId="0" fillId="15" borderId="4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5" xfId="0" applyFill="1" applyBorder="1" applyAlignment="1">
      <alignment horizontal="center"/>
    </xf>
    <xf numFmtId="0" fontId="1" fillId="11" borderId="15" xfId="0" applyFont="1" applyFill="1" applyBorder="1" applyAlignment="1">
      <alignment wrapText="1"/>
    </xf>
    <xf numFmtId="0" fontId="1" fillId="9" borderId="18" xfId="0" applyFont="1" applyFill="1" applyBorder="1" applyAlignment="1">
      <alignment wrapText="1"/>
    </xf>
    <xf numFmtId="0" fontId="1" fillId="11" borderId="18" xfId="0" applyFont="1" applyFill="1" applyBorder="1" applyAlignment="1">
      <alignment wrapText="1"/>
    </xf>
    <xf numFmtId="0" fontId="1" fillId="19" borderId="18" xfId="0" applyFont="1" applyFill="1" applyBorder="1" applyAlignment="1">
      <alignment wrapText="1"/>
    </xf>
    <xf numFmtId="0" fontId="1" fillId="9" borderId="0" xfId="0" applyFont="1" applyFill="1" applyAlignment="1">
      <alignment wrapText="1"/>
    </xf>
    <xf numFmtId="0" fontId="1" fillId="11" borderId="0" xfId="0" applyFont="1" applyFill="1" applyAlignment="1">
      <alignment wrapText="1"/>
    </xf>
    <xf numFmtId="0" fontId="1" fillId="19" borderId="0" xfId="0" applyFont="1" applyFill="1" applyAlignment="1">
      <alignment wrapText="1"/>
    </xf>
    <xf numFmtId="0" fontId="0" fillId="2" borderId="8" xfId="0" applyFill="1" applyBorder="1"/>
    <xf numFmtId="0" fontId="0" fillId="3" borderId="8" xfId="0" applyFill="1" applyBorder="1"/>
    <xf numFmtId="0" fontId="0" fillId="4" borderId="8" xfId="0" applyFill="1" applyBorder="1"/>
    <xf numFmtId="0" fontId="0" fillId="10" borderId="8" xfId="0" applyFill="1" applyBorder="1"/>
    <xf numFmtId="0" fontId="0" fillId="17" borderId="0" xfId="0" applyFill="1"/>
    <xf numFmtId="0" fontId="0" fillId="17" borderId="5" xfId="0" applyFill="1" applyBorder="1"/>
    <xf numFmtId="0" fontId="3" fillId="5" borderId="0" xfId="0" applyFont="1" applyFill="1"/>
    <xf numFmtId="0" fontId="3" fillId="18" borderId="0" xfId="0" applyFont="1" applyFill="1"/>
    <xf numFmtId="0" fontId="8" fillId="5" borderId="0" xfId="0" applyFont="1" applyFill="1"/>
    <xf numFmtId="0" fontId="0" fillId="10" borderId="8" xfId="0" applyFill="1" applyBorder="1" applyAlignment="1">
      <alignment vertical="top"/>
    </xf>
    <xf numFmtId="0" fontId="1" fillId="20" borderId="8" xfId="0" applyFont="1" applyFill="1" applyBorder="1"/>
    <xf numFmtId="0" fontId="0" fillId="21" borderId="5" xfId="0" applyFill="1" applyBorder="1"/>
    <xf numFmtId="0" fontId="0" fillId="9" borderId="8" xfId="0" applyFill="1" applyBorder="1" applyAlignment="1">
      <alignment vertical="top"/>
    </xf>
    <xf numFmtId="0" fontId="9" fillId="22" borderId="18" xfId="0" applyFont="1" applyFill="1" applyBorder="1" applyAlignment="1">
      <alignment horizontal="center"/>
    </xf>
    <xf numFmtId="0" fontId="3" fillId="17" borderId="18" xfId="0" applyFont="1" applyFill="1" applyBorder="1"/>
    <xf numFmtId="0" fontId="10" fillId="0" borderId="0" xfId="0" applyFont="1" applyAlignment="1">
      <alignment horizontal="center"/>
    </xf>
    <xf numFmtId="0" fontId="3" fillId="0" borderId="8" xfId="0" applyFont="1" applyBorder="1"/>
    <xf numFmtId="0" fontId="3" fillId="19" borderId="8" xfId="0" applyFont="1" applyFill="1" applyBorder="1"/>
    <xf numFmtId="0" fontId="3" fillId="0" borderId="0" xfId="0" applyFont="1"/>
    <xf numFmtId="0" fontId="5" fillId="17" borderId="13" xfId="0" applyFont="1" applyFill="1" applyBorder="1"/>
    <xf numFmtId="0" fontId="5" fillId="17" borderId="14" xfId="0" applyFont="1" applyFill="1" applyBorder="1"/>
    <xf numFmtId="0" fontId="1" fillId="23" borderId="8" xfId="0" applyFont="1" applyFill="1" applyBorder="1"/>
    <xf numFmtId="0" fontId="1" fillId="24" borderId="8" xfId="0" applyFont="1" applyFill="1" applyBorder="1"/>
    <xf numFmtId="0" fontId="0" fillId="11" borderId="8" xfId="0" applyFill="1" applyBorder="1" applyAlignment="1">
      <alignment vertical="top"/>
    </xf>
    <xf numFmtId="0" fontId="0" fillId="25" borderId="8" xfId="0" applyFill="1" applyBorder="1" applyAlignment="1">
      <alignment vertical="top"/>
    </xf>
    <xf numFmtId="0" fontId="0" fillId="19" borderId="8" xfId="0" applyFill="1" applyBorder="1"/>
    <xf numFmtId="0" fontId="1" fillId="17" borderId="8" xfId="0" applyFont="1" applyFill="1" applyBorder="1"/>
    <xf numFmtId="0" fontId="0" fillId="26" borderId="8" xfId="0" applyFill="1" applyBorder="1" applyAlignment="1">
      <alignment vertical="top"/>
    </xf>
    <xf numFmtId="0" fontId="0" fillId="13" borderId="8" xfId="0" applyFill="1" applyBorder="1" applyAlignment="1">
      <alignment vertical="top"/>
    </xf>
    <xf numFmtId="0" fontId="11" fillId="26" borderId="8" xfId="0" applyFont="1" applyFill="1" applyBorder="1" applyAlignment="1">
      <alignment vertical="top"/>
    </xf>
    <xf numFmtId="0" fontId="9" fillId="22" borderId="18" xfId="1" applyFont="1" applyFill="1" applyBorder="1" applyAlignment="1">
      <alignment horizontal="center"/>
    </xf>
    <xf numFmtId="0" fontId="3" fillId="0" borderId="18" xfId="1" applyFont="1" applyBorder="1"/>
    <xf numFmtId="0" fontId="4" fillId="25" borderId="8" xfId="0" applyFont="1" applyFill="1" applyBorder="1" applyAlignment="1">
      <alignment vertical="top"/>
    </xf>
    <xf numFmtId="0" fontId="10" fillId="13" borderId="8" xfId="0" applyFont="1" applyFill="1" applyBorder="1" applyAlignment="1">
      <alignment vertical="top"/>
    </xf>
    <xf numFmtId="0" fontId="1" fillId="27" borderId="8" xfId="0" applyFont="1" applyFill="1" applyBorder="1"/>
    <xf numFmtId="0" fontId="1" fillId="0" borderId="8" xfId="0" applyFont="1" applyBorder="1"/>
    <xf numFmtId="0" fontId="1" fillId="28" borderId="8" xfId="0" applyFont="1" applyFill="1" applyBorder="1"/>
    <xf numFmtId="0" fontId="1" fillId="29" borderId="8" xfId="0" applyFont="1" applyFill="1" applyBorder="1"/>
    <xf numFmtId="0" fontId="0" fillId="0" borderId="19" xfId="0" applyBorder="1"/>
    <xf numFmtId="0" fontId="0" fillId="19" borderId="0" xfId="0" applyFill="1"/>
    <xf numFmtId="0" fontId="0" fillId="5" borderId="0" xfId="0" applyFill="1"/>
    <xf numFmtId="0" fontId="1" fillId="22" borderId="18" xfId="0" applyFont="1" applyFill="1" applyBorder="1" applyAlignment="1">
      <alignment horizontal="center"/>
    </xf>
    <xf numFmtId="0" fontId="1" fillId="22" borderId="18" xfId="1" applyFont="1" applyFill="1" applyBorder="1" applyAlignment="1">
      <alignment horizontal="center"/>
    </xf>
    <xf numFmtId="0" fontId="0" fillId="0" borderId="18" xfId="1" applyFont="1" applyBorder="1"/>
    <xf numFmtId="0" fontId="12" fillId="0" borderId="0" xfId="0" applyFont="1"/>
    <xf numFmtId="0" fontId="14" fillId="6" borderId="0" xfId="0" applyFont="1" applyFill="1"/>
    <xf numFmtId="14" fontId="14" fillId="7" borderId="0" xfId="0" applyNumberFormat="1" applyFont="1" applyFill="1"/>
    <xf numFmtId="0" fontId="14" fillId="8" borderId="0" xfId="1" applyFont="1" applyFill="1"/>
    <xf numFmtId="14" fontId="14" fillId="30" borderId="0" xfId="0" applyNumberFormat="1" applyFont="1" applyFill="1"/>
    <xf numFmtId="0" fontId="14" fillId="6" borderId="0" xfId="1" applyFont="1" applyFill="1"/>
    <xf numFmtId="0" fontId="0" fillId="17" borderId="8" xfId="0" applyFill="1" applyBorder="1"/>
    <xf numFmtId="0" fontId="0" fillId="31" borderId="8" xfId="0" applyFill="1" applyBorder="1"/>
    <xf numFmtId="0" fontId="0" fillId="32" borderId="8" xfId="0" applyFill="1" applyBorder="1"/>
    <xf numFmtId="0" fontId="0" fillId="33" borderId="0" xfId="0" applyFill="1"/>
    <xf numFmtId="0" fontId="0" fillId="0" borderId="8" xfId="0" applyBorder="1" applyAlignment="1">
      <alignment horizontal="center"/>
    </xf>
    <xf numFmtId="0" fontId="0" fillId="17" borderId="15" xfId="0" applyFill="1" applyBorder="1" applyAlignment="1">
      <alignment horizontal="center" wrapText="1"/>
    </xf>
    <xf numFmtId="0" fontId="0" fillId="17" borderId="18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6" xfId="0" applyBorder="1" applyAlignment="1">
      <alignment horizontal="center" wrapText="1"/>
    </xf>
    <xf numFmtId="10" fontId="0" fillId="0" borderId="9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6" fillId="12" borderId="9" xfId="0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7" fillId="14" borderId="13" xfId="0" applyFont="1" applyFill="1" applyBorder="1" applyAlignment="1">
      <alignment horizontal="center" vertical="center"/>
    </xf>
    <xf numFmtId="0" fontId="7" fillId="14" borderId="1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0000000}"/>
  </cellStyles>
  <dxfs count="10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</dxfs>
  <tableStyles count="1" defaultTableStyle="TableStyleMedium2" defaultPivotStyle="PivotStylePreset2_Accent1">
    <tableStyle name="PivotStylePreset2_Accent1" table="0" count="10" xr9:uid="{00000000-0011-0000-FFFF-FFFF00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5050"/>
      <color rgb="FF99FFCC"/>
      <color rgb="FFFFCCFF"/>
      <color rgb="FFFFF243"/>
      <color rgb="FFFFCC00"/>
      <color rgb="FFFF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E101"/>
  <sheetViews>
    <sheetView tabSelected="1" zoomScale="115" zoomScaleNormal="115" workbookViewId="0">
      <pane xSplit="2" ySplit="3" topLeftCell="Z24" activePane="bottomRight" state="frozen"/>
      <selection pane="topRight"/>
      <selection pane="bottomLeft"/>
      <selection pane="bottomRight" activeCell="E100" sqref="E100"/>
    </sheetView>
  </sheetViews>
  <sheetFormatPr defaultColWidth="9" defaultRowHeight="15"/>
  <cols>
    <col min="1" max="1" width="11.85546875" customWidth="1"/>
    <col min="2" max="2" width="8.5703125" customWidth="1"/>
    <col min="3" max="3" width="7.42578125" customWidth="1"/>
    <col min="4" max="4" width="5.5703125" customWidth="1"/>
    <col min="5" max="5" width="9.140625" customWidth="1"/>
    <col min="6" max="6" width="6" customWidth="1"/>
    <col min="7" max="7" width="6.42578125" customWidth="1"/>
    <col min="8" max="8" width="5.42578125" customWidth="1"/>
    <col min="9" max="32" width="4.5703125" customWidth="1"/>
    <col min="33" max="37" width="5.140625" customWidth="1"/>
    <col min="38" max="38" width="5.42578125" customWidth="1"/>
    <col min="39" max="40" width="5.5703125" customWidth="1"/>
    <col min="58" max="58" width="12" customWidth="1"/>
  </cols>
  <sheetData>
    <row r="1" spans="1:57" ht="28.35" customHeight="1">
      <c r="A1" s="109">
        <f ca="1">(_xlfn.DAYS(TODAY(),A4)+2)/((_xlfn.DAYS(A93,A4))+1)</f>
        <v>6.6666666666666666E-2</v>
      </c>
      <c r="B1" s="110"/>
      <c r="C1" s="110"/>
      <c r="D1" s="110"/>
      <c r="E1" s="110"/>
      <c r="F1" s="110"/>
      <c r="G1" s="110"/>
      <c r="H1" s="111"/>
      <c r="I1" s="112" t="s">
        <v>0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4"/>
      <c r="AH1" s="19"/>
      <c r="AI1" s="19"/>
      <c r="AJ1" s="19"/>
      <c r="AO1" s="107"/>
      <c r="AP1" s="107"/>
      <c r="AQ1" s="107"/>
      <c r="AR1" s="20"/>
    </row>
    <row r="2" spans="1:57" ht="16.350000000000001" customHeight="1">
      <c r="B2" s="21"/>
      <c r="C2" s="22"/>
      <c r="D2" s="115" t="s">
        <v>1</v>
      </c>
      <c r="E2" s="116"/>
      <c r="F2" s="117">
        <f>SUM(F4:F93)+SUM(H4:H93)</f>
        <v>68030</v>
      </c>
      <c r="G2" s="117"/>
      <c r="H2" s="118"/>
      <c r="I2" s="119" t="s">
        <v>2</v>
      </c>
      <c r="J2" s="120"/>
      <c r="K2" s="23" t="s">
        <v>3</v>
      </c>
      <c r="L2" s="23">
        <f>COUNTIF(I4:P93,"&lt;&gt;空")</f>
        <v>405</v>
      </c>
      <c r="M2" s="120" t="s">
        <v>4</v>
      </c>
      <c r="N2" s="120"/>
      <c r="O2" s="120"/>
      <c r="P2" s="121"/>
      <c r="Q2" s="122" t="s">
        <v>5</v>
      </c>
      <c r="R2" s="123"/>
      <c r="S2" s="24" t="s">
        <v>3</v>
      </c>
      <c r="T2" s="24">
        <f>COUNTIF(Q4:X93,"&lt;&gt;空")</f>
        <v>434</v>
      </c>
      <c r="U2" s="123" t="s">
        <v>4</v>
      </c>
      <c r="V2" s="123"/>
      <c r="W2" s="123"/>
      <c r="X2" s="124"/>
      <c r="Y2" s="125" t="s">
        <v>6</v>
      </c>
      <c r="Z2" s="126"/>
      <c r="AA2" s="26" t="s">
        <v>7</v>
      </c>
      <c r="AB2" s="25">
        <f>COUNTIF(Y4:AF93,"&lt;&gt;空")</f>
        <v>312</v>
      </c>
      <c r="AC2" s="126" t="s">
        <v>4</v>
      </c>
      <c r="AD2" s="126"/>
      <c r="AE2" s="126"/>
      <c r="AF2" s="127"/>
      <c r="AG2" s="27">
        <f t="shared" ref="AG2:AJ2" si="0">SUM(AG4:AG93)</f>
        <v>63</v>
      </c>
      <c r="AH2" s="27">
        <f t="shared" si="0"/>
        <v>59</v>
      </c>
      <c r="AI2" s="27">
        <f t="shared" si="0"/>
        <v>1</v>
      </c>
      <c r="AJ2" s="28">
        <f t="shared" si="0"/>
        <v>3</v>
      </c>
      <c r="AK2" s="104" t="s">
        <v>8</v>
      </c>
      <c r="AO2" s="108"/>
      <c r="AP2" s="108"/>
      <c r="AQ2" s="108"/>
      <c r="AR2" s="20"/>
      <c r="AU2" t="s">
        <v>9</v>
      </c>
      <c r="AV2">
        <f>SUM(AV4:AV29)</f>
        <v>1151</v>
      </c>
      <c r="AW2" t="s">
        <v>10</v>
      </c>
      <c r="AX2">
        <f>AR47</f>
        <v>90</v>
      </c>
      <c r="AY2" t="s">
        <v>11</v>
      </c>
      <c r="AZ2">
        <f>SUM(AX4:AZ29)+7000</f>
        <v>68030</v>
      </c>
      <c r="BA2" s="29"/>
      <c r="BB2" s="30" t="s">
        <v>12</v>
      </c>
    </row>
    <row r="3" spans="1:57" ht="31.5" customHeight="1" thickBot="1">
      <c r="A3" s="31" t="s">
        <v>13</v>
      </c>
      <c r="B3" s="32" t="s">
        <v>14</v>
      </c>
      <c r="C3" s="33" t="s">
        <v>15</v>
      </c>
      <c r="D3" s="32" t="s">
        <v>16</v>
      </c>
      <c r="E3" s="32" t="s">
        <v>10</v>
      </c>
      <c r="F3" s="34" t="s">
        <v>17</v>
      </c>
      <c r="G3" s="34" t="s">
        <v>18</v>
      </c>
      <c r="H3" s="34" t="s">
        <v>19</v>
      </c>
      <c r="I3" s="35">
        <v>1</v>
      </c>
      <c r="J3" s="36">
        <v>2</v>
      </c>
      <c r="K3" s="36">
        <v>3</v>
      </c>
      <c r="L3" s="36">
        <v>4</v>
      </c>
      <c r="M3" s="36">
        <v>5</v>
      </c>
      <c r="N3" s="36">
        <v>6</v>
      </c>
      <c r="O3" s="36">
        <v>7</v>
      </c>
      <c r="P3" s="36">
        <v>8</v>
      </c>
      <c r="Q3" s="37">
        <v>1</v>
      </c>
      <c r="R3" s="38">
        <v>2</v>
      </c>
      <c r="S3" s="38">
        <v>3</v>
      </c>
      <c r="T3" s="38">
        <v>4</v>
      </c>
      <c r="U3" s="38">
        <v>5</v>
      </c>
      <c r="V3" s="38">
        <v>6</v>
      </c>
      <c r="W3" s="38">
        <v>7</v>
      </c>
      <c r="X3" s="38">
        <v>8</v>
      </c>
      <c r="Y3" s="39">
        <v>1</v>
      </c>
      <c r="Z3" s="40">
        <v>2</v>
      </c>
      <c r="AA3" s="40">
        <v>3</v>
      </c>
      <c r="AB3" s="40">
        <v>4</v>
      </c>
      <c r="AC3" s="40">
        <v>5</v>
      </c>
      <c r="AD3" s="40">
        <v>6</v>
      </c>
      <c r="AE3" s="40">
        <v>7</v>
      </c>
      <c r="AF3" s="41">
        <v>8</v>
      </c>
      <c r="AG3" s="42" t="s">
        <v>20</v>
      </c>
      <c r="AH3" s="43" t="s">
        <v>21</v>
      </c>
      <c r="AI3" s="44" t="s">
        <v>22</v>
      </c>
      <c r="AJ3" s="45" t="s">
        <v>23</v>
      </c>
      <c r="AK3" s="105"/>
      <c r="AL3" s="46" t="s">
        <v>24</v>
      </c>
      <c r="AM3" s="47" t="s">
        <v>25</v>
      </c>
      <c r="AN3" s="48" t="s">
        <v>26</v>
      </c>
      <c r="AO3" s="14" t="s">
        <v>27</v>
      </c>
      <c r="AP3" s="14" t="s">
        <v>28</v>
      </c>
      <c r="AQ3" s="14" t="s">
        <v>29</v>
      </c>
      <c r="AR3" s="14" t="s">
        <v>30</v>
      </c>
      <c r="AS3" s="49" t="s">
        <v>31</v>
      </c>
      <c r="AT3" s="50" t="s">
        <v>32</v>
      </c>
      <c r="AU3" s="51" t="s">
        <v>33</v>
      </c>
      <c r="AV3" s="52" t="s">
        <v>9</v>
      </c>
      <c r="AW3" s="52"/>
      <c r="AX3" s="49" t="s">
        <v>34</v>
      </c>
      <c r="AY3" s="50" t="s">
        <v>35</v>
      </c>
      <c r="AZ3" s="51" t="s">
        <v>36</v>
      </c>
      <c r="BA3" s="53" t="s">
        <v>37</v>
      </c>
      <c r="BB3" s="54">
        <v>1</v>
      </c>
      <c r="BD3" t="s">
        <v>38</v>
      </c>
    </row>
    <row r="4" spans="1:57" s="18" customFormat="1" ht="15.75" thickBot="1">
      <c r="A4" s="95">
        <v>46276</v>
      </c>
      <c r="B4" s="55">
        <v>800</v>
      </c>
      <c r="C4" s="56">
        <v>6000</v>
      </c>
      <c r="D4" s="55">
        <f>(SUM(粮草!A4:X4)+AG4*10*IF(AK4="是",$BB$4,$BB$3))</f>
        <v>2440</v>
      </c>
      <c r="E4" s="57">
        <f>SUM($B$4:B4)+SUM($C$4:C4)-SUM($D$4:D4)</f>
        <v>4360</v>
      </c>
      <c r="F4" s="55">
        <f>SUM(经验!A4:X4)</f>
        <v>510</v>
      </c>
      <c r="G4" s="55">
        <f>SUM($F$4:F4)+SUM($H$4:H4)</f>
        <v>1010</v>
      </c>
      <c r="H4" s="55">
        <v>500</v>
      </c>
      <c r="I4" s="58" t="s">
        <v>39</v>
      </c>
      <c r="J4" s="58" t="s">
        <v>39</v>
      </c>
      <c r="K4" s="58" t="s">
        <v>39</v>
      </c>
      <c r="L4" s="58" t="s">
        <v>39</v>
      </c>
      <c r="M4" s="58" t="s">
        <v>39</v>
      </c>
      <c r="N4" s="58" t="s">
        <v>39</v>
      </c>
      <c r="O4" s="60" t="s">
        <v>41</v>
      </c>
      <c r="P4" s="60" t="s">
        <v>41</v>
      </c>
      <c r="Q4" s="73" t="s">
        <v>51</v>
      </c>
      <c r="R4" s="73" t="s">
        <v>51</v>
      </c>
      <c r="S4" s="73" t="s">
        <v>51</v>
      </c>
      <c r="T4" s="73" t="s">
        <v>51</v>
      </c>
      <c r="U4" s="73" t="s">
        <v>51</v>
      </c>
      <c r="V4" s="73" t="s">
        <v>51</v>
      </c>
      <c r="W4" s="60" t="s">
        <v>41</v>
      </c>
      <c r="X4" s="60" t="s">
        <v>41</v>
      </c>
      <c r="Y4" t="s">
        <v>41</v>
      </c>
      <c r="Z4" t="s">
        <v>41</v>
      </c>
      <c r="AA4" t="s">
        <v>41</v>
      </c>
      <c r="AB4" t="s">
        <v>41</v>
      </c>
      <c r="AC4" t="s">
        <v>41</v>
      </c>
      <c r="AD4" t="s">
        <v>41</v>
      </c>
      <c r="AE4" s="60" t="s">
        <v>41</v>
      </c>
      <c r="AF4" s="60" t="s">
        <v>41</v>
      </c>
      <c r="AG4" s="62">
        <f>AH4+AI4+AJ4</f>
        <v>46</v>
      </c>
      <c r="AH4" s="62">
        <v>46</v>
      </c>
      <c r="AI4" s="62"/>
      <c r="AJ4" s="62"/>
      <c r="AK4" s="63" t="s">
        <v>44</v>
      </c>
      <c r="AL4" s="64">
        <f>6-COUNTIF(I4:P4,"&lt;&gt;空")+COUNTIF(I4:P4,"塔1")*5</f>
        <v>0</v>
      </c>
      <c r="AM4" s="64">
        <f>6-COUNTIF(Q4:X4,"&lt;&gt;空")+COUNTIF(Q4:X4,"塔1")*5</f>
        <v>0</v>
      </c>
      <c r="AN4" s="64">
        <f>6-COUNTIF(Y4:AF4,"&lt;&gt;空")+COUNTIF(Y4:AF4,"塔1")*5</f>
        <v>6</v>
      </c>
      <c r="AO4" s="58" t="s">
        <v>39</v>
      </c>
      <c r="AP4" s="14">
        <v>150</v>
      </c>
      <c r="AQ4" s="14">
        <v>35</v>
      </c>
      <c r="AR4" s="65">
        <v>44.222109392472198</v>
      </c>
      <c r="AS4" s="65">
        <f>COUNTIF($I$4:$P93,AO4)</f>
        <v>19</v>
      </c>
      <c r="AT4" s="65">
        <f>COUNTIF($Q$4:$X$93,AO4)</f>
        <v>4</v>
      </c>
      <c r="AU4" s="65">
        <f>COUNTIF($Y$4:$AF$93,AO4)</f>
        <v>0</v>
      </c>
      <c r="AV4" s="66">
        <f>AS4+AT4+AU4</f>
        <v>23</v>
      </c>
      <c r="AW4" s="67">
        <v>16</v>
      </c>
      <c r="AX4" s="67">
        <f t="shared" ref="AX4:AX29" si="1">AS4*$AQ4</f>
        <v>665</v>
      </c>
      <c r="AY4" s="67">
        <f t="shared" ref="AY4:AZ19" si="2">AT4*$AQ4</f>
        <v>140</v>
      </c>
      <c r="AZ4" s="67">
        <f t="shared" si="2"/>
        <v>0</v>
      </c>
      <c r="BA4" s="68" t="s">
        <v>45</v>
      </c>
      <c r="BB4" s="69">
        <v>0.8</v>
      </c>
      <c r="BD4" s="67">
        <f>AR4*AV4</f>
        <v>1017.1085160268606</v>
      </c>
    </row>
    <row r="5" spans="1:57" s="18" customFormat="1">
      <c r="A5" s="95">
        <v>46277</v>
      </c>
      <c r="B5" s="55">
        <v>1600</v>
      </c>
      <c r="C5" s="56"/>
      <c r="D5" s="55">
        <f>(SUM(粮草!A5:X5)+AG5*10*IF(AK5="是",$BB$4,$BB$3))</f>
        <v>1980</v>
      </c>
      <c r="E5" s="57">
        <f>SUM($B$4:B5)+SUM($C$4:C5)-SUM($D$4:D5)</f>
        <v>3980</v>
      </c>
      <c r="F5" s="55">
        <f>SUM(经验!A5:X5)</f>
        <v>510</v>
      </c>
      <c r="G5" s="55">
        <f>SUM($F$4:F5)+SUM($H$4:H5)</f>
        <v>1520</v>
      </c>
      <c r="H5" s="55">
        <v>0</v>
      </c>
      <c r="I5" s="58" t="s">
        <v>39</v>
      </c>
      <c r="J5" s="58" t="s">
        <v>39</v>
      </c>
      <c r="K5" s="58" t="s">
        <v>39</v>
      </c>
      <c r="L5" s="58" t="s">
        <v>39</v>
      </c>
      <c r="M5" s="58" t="s">
        <v>39</v>
      </c>
      <c r="N5" s="58" t="s">
        <v>39</v>
      </c>
      <c r="O5" s="60" t="s">
        <v>41</v>
      </c>
      <c r="P5" s="60" t="s">
        <v>41</v>
      </c>
      <c r="Q5" s="73" t="s">
        <v>51</v>
      </c>
      <c r="R5" s="73" t="s">
        <v>51</v>
      </c>
      <c r="S5" s="73" t="s">
        <v>51</v>
      </c>
      <c r="T5" s="73" t="s">
        <v>51</v>
      </c>
      <c r="U5" s="73" t="s">
        <v>51</v>
      </c>
      <c r="V5" s="73" t="s">
        <v>51</v>
      </c>
      <c r="W5" s="60" t="s">
        <v>41</v>
      </c>
      <c r="X5" s="60" t="s">
        <v>41</v>
      </c>
      <c r="Y5" t="s">
        <v>41</v>
      </c>
      <c r="Z5" t="s">
        <v>41</v>
      </c>
      <c r="AA5" t="s">
        <v>41</v>
      </c>
      <c r="AB5" t="s">
        <v>41</v>
      </c>
      <c r="AC5" t="s">
        <v>41</v>
      </c>
      <c r="AD5" t="s">
        <v>41</v>
      </c>
      <c r="AE5" s="60" t="s">
        <v>41</v>
      </c>
      <c r="AF5" s="60" t="s">
        <v>41</v>
      </c>
      <c r="AG5" s="62">
        <f t="shared" ref="AG5:AG66" si="3">AH5+AI5+AJ5</f>
        <v>0</v>
      </c>
      <c r="AH5" s="62"/>
      <c r="AI5" s="62"/>
      <c r="AJ5" s="62"/>
      <c r="AK5" s="63" t="s">
        <v>44</v>
      </c>
      <c r="AL5" s="64">
        <f>MIN(AL4+6,18)-COUNTIF(I5:P5,"&lt;&gt;空")+COUNTIF(I5:P5,"历练")+COUNTIF(I5:P5,"营地")*2+COUNTIF(I5:P5,"塔1")*5</f>
        <v>0</v>
      </c>
      <c r="AM5" s="64">
        <f>MIN(AM4+6,18)-COUNTIF(Q5:X5,"&lt;&gt;空")+COUNTIF(Q5:X5,"历练")+COUNTIF(Q5:X5,"营地")*2+COUNTIF(Q5:X5,"塔1")*5</f>
        <v>0</v>
      </c>
      <c r="AN5" s="64">
        <f>MIN(AN4+6,18)-COUNTIF(Y5:AF5,"&lt;&gt;空")+COUNTIF(Y5:AF5,"历练")+COUNTIF(Y5:AF5,"营地")*2+COUNTIF(Y5:AF5,"塔1")*5</f>
        <v>12</v>
      </c>
      <c r="AO5" s="61" t="s">
        <v>43</v>
      </c>
      <c r="AP5" s="14">
        <v>160</v>
      </c>
      <c r="AQ5" s="14">
        <v>40</v>
      </c>
      <c r="AR5" s="65">
        <v>39.110982162825401</v>
      </c>
      <c r="AS5" s="65">
        <f>COUNTIF($I$4:$P94,AO5)</f>
        <v>0</v>
      </c>
      <c r="AT5" s="65">
        <f t="shared" ref="AT5:AT29" si="4">COUNTIF($Q$4:$X$93,AO5)</f>
        <v>2</v>
      </c>
      <c r="AU5" s="65">
        <f t="shared" ref="AU5:AU29" si="5">COUNTIF($Y$4:$AF$93,AO5)</f>
        <v>37</v>
      </c>
      <c r="AV5" s="66">
        <f t="shared" ref="AV5:AV26" si="6">AS5+AT5+AU5</f>
        <v>39</v>
      </c>
      <c r="AW5" s="67">
        <v>28</v>
      </c>
      <c r="AX5" s="67">
        <f t="shared" si="1"/>
        <v>0</v>
      </c>
      <c r="AY5" s="67">
        <f t="shared" si="2"/>
        <v>80</v>
      </c>
      <c r="AZ5" s="67">
        <f t="shared" si="2"/>
        <v>1480</v>
      </c>
      <c r="BA5" s="106" t="s">
        <v>47</v>
      </c>
      <c r="BB5" s="106"/>
      <c r="BD5" s="67">
        <f t="shared" ref="BD5:BD29" si="7">AR5*AV5</f>
        <v>1525.3283043501906</v>
      </c>
    </row>
    <row r="6" spans="1:57" s="18" customFormat="1">
      <c r="A6" s="95">
        <v>46278</v>
      </c>
      <c r="B6" s="55">
        <v>1600</v>
      </c>
      <c r="C6" s="56"/>
      <c r="D6" s="55">
        <f>(SUM(粮草!A6:X6)+AG6*10*IF(AK6="是",$BB$4,$BB$3))</f>
        <v>1740</v>
      </c>
      <c r="E6" s="57">
        <f>SUM($B$4:B6)+SUM($C$4:C6)-SUM($D$4:D6)</f>
        <v>3840</v>
      </c>
      <c r="F6" s="55">
        <f>SUM(经验!A6:X6)</f>
        <v>440</v>
      </c>
      <c r="G6" s="55">
        <f>SUM($F$4:F6)+SUM($H$4:H6)</f>
        <v>1960</v>
      </c>
      <c r="H6" s="55">
        <v>0</v>
      </c>
      <c r="I6" s="58" t="s">
        <v>39</v>
      </c>
      <c r="J6" s="58" t="s">
        <v>39</v>
      </c>
      <c r="K6" s="58" t="s">
        <v>39</v>
      </c>
      <c r="L6" s="58" t="s">
        <v>39</v>
      </c>
      <c r="M6" s="58" t="s">
        <v>39</v>
      </c>
      <c r="N6" s="58" t="s">
        <v>39</v>
      </c>
      <c r="O6" s="60" t="s">
        <v>41</v>
      </c>
      <c r="P6" s="60" t="s">
        <v>41</v>
      </c>
      <c r="Q6" s="73" t="s">
        <v>51</v>
      </c>
      <c r="R6" s="73" t="s">
        <v>51</v>
      </c>
      <c r="S6" s="73" t="s">
        <v>51</v>
      </c>
      <c r="T6" s="15" t="s">
        <v>42</v>
      </c>
      <c r="U6" s="17" t="s">
        <v>58</v>
      </c>
      <c r="V6" t="s">
        <v>41</v>
      </c>
      <c r="W6" s="60" t="s">
        <v>41</v>
      </c>
      <c r="X6" s="60" t="s">
        <v>41</v>
      </c>
      <c r="Y6" t="s">
        <v>41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s="60" t="s">
        <v>41</v>
      </c>
      <c r="AF6" s="60" t="s">
        <v>41</v>
      </c>
      <c r="AG6" s="62">
        <f t="shared" si="3"/>
        <v>0</v>
      </c>
      <c r="AH6" s="62"/>
      <c r="AI6" s="62"/>
      <c r="AJ6" s="62"/>
      <c r="AK6" s="63" t="s">
        <v>44</v>
      </c>
      <c r="AL6" s="64">
        <f t="shared" ref="AL6:AL69" si="8">MIN(AL5+6,18)-COUNTIF(I6:P6,"&lt;&gt;空")+COUNTIF(I6:P6,"历练")+COUNTIF(I6:P6,"营地")*2+COUNTIF(I6:P6,"塔1")*5</f>
        <v>0</v>
      </c>
      <c r="AM6" s="64">
        <f t="shared" ref="AM6:AM69" si="9">MIN(AM5+6,18)-COUNTIF(Q6:X6,"&lt;&gt;空")+COUNTIF(Q6:X6,"历练")+COUNTIF(Q6:X6,"营地")*2+COUNTIF(Q6:X6,"塔1")*5</f>
        <v>1</v>
      </c>
      <c r="AN6" s="64">
        <f t="shared" ref="AN6:AN30" si="10">MIN(AN5+6,18)-COUNTIF(Y6:AF6,"&lt;&gt;空")+COUNTIF(Y6:AF6,"历练")+COUNTIF(Y6:AF6,"营地")*2+COUNTIF(Y6:AF6,"塔1")*5</f>
        <v>18</v>
      </c>
      <c r="AO6" s="72" t="s">
        <v>50</v>
      </c>
      <c r="AP6" s="14">
        <v>170</v>
      </c>
      <c r="AQ6" s="14">
        <v>45</v>
      </c>
      <c r="AR6" s="65">
        <v>34</v>
      </c>
      <c r="AS6" s="65">
        <f>COUNTIF($I$4:$P95,AO6)</f>
        <v>86</v>
      </c>
      <c r="AT6" s="65">
        <f t="shared" si="4"/>
        <v>148</v>
      </c>
      <c r="AU6" s="65">
        <f t="shared" si="5"/>
        <v>65</v>
      </c>
      <c r="AV6" s="66">
        <f t="shared" si="6"/>
        <v>299</v>
      </c>
      <c r="AW6" s="67">
        <v>54</v>
      </c>
      <c r="AX6" s="67">
        <f t="shared" si="1"/>
        <v>3870</v>
      </c>
      <c r="AY6" s="67">
        <f t="shared" si="2"/>
        <v>6660</v>
      </c>
      <c r="AZ6" s="67">
        <f t="shared" si="2"/>
        <v>2925</v>
      </c>
      <c r="BA6" s="107"/>
      <c r="BB6" s="107"/>
      <c r="BD6" s="67">
        <f t="shared" si="7"/>
        <v>10166</v>
      </c>
    </row>
    <row r="7" spans="1:57">
      <c r="A7" s="95">
        <v>46279</v>
      </c>
      <c r="B7" s="67">
        <v>1600</v>
      </c>
      <c r="C7" s="67"/>
      <c r="D7" s="55">
        <f>(SUM(粮草!A7:X7)+AG7*10*IF(AK7="是",$BB$4,$BB$3))</f>
        <v>2370</v>
      </c>
      <c r="E7" s="57">
        <f>SUM($B$4:B7)+SUM($C$4:C7)-SUM($D$4:D7)</f>
        <v>3070</v>
      </c>
      <c r="F7" s="55">
        <f>SUM(经验!A7:X7)</f>
        <v>625</v>
      </c>
      <c r="G7" s="55">
        <f>SUM($F$4:F7)+SUM($H$4:H7)</f>
        <v>2785</v>
      </c>
      <c r="H7" s="67">
        <v>200</v>
      </c>
      <c r="I7" s="58" t="s">
        <v>39</v>
      </c>
      <c r="J7" s="72" t="s">
        <v>50</v>
      </c>
      <c r="K7" s="72" t="s">
        <v>50</v>
      </c>
      <c r="L7" s="72" t="s">
        <v>50</v>
      </c>
      <c r="M7" s="72" t="s">
        <v>50</v>
      </c>
      <c r="N7" s="72" t="s">
        <v>50</v>
      </c>
      <c r="O7" s="72" t="s">
        <v>50</v>
      </c>
      <c r="P7" s="60" t="s">
        <v>41</v>
      </c>
      <c r="Q7" s="16" t="s">
        <v>46</v>
      </c>
      <c r="R7" s="16" t="s">
        <v>46</v>
      </c>
      <c r="S7" s="16" t="s">
        <v>46</v>
      </c>
      <c r="T7" s="16" t="s">
        <v>46</v>
      </c>
      <c r="U7" s="16" t="s">
        <v>46</v>
      </c>
      <c r="V7" s="16" t="s">
        <v>46</v>
      </c>
      <c r="W7" s="16" t="s">
        <v>46</v>
      </c>
      <c r="X7" s="16" t="s">
        <v>46</v>
      </c>
      <c r="Y7" t="s">
        <v>41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s="60" t="s">
        <v>41</v>
      </c>
      <c r="AF7" s="60" t="s">
        <v>41</v>
      </c>
      <c r="AG7" s="62">
        <f t="shared" si="3"/>
        <v>0</v>
      </c>
      <c r="AH7" s="62"/>
      <c r="AI7" s="62"/>
      <c r="AJ7" s="62"/>
      <c r="AK7" s="63" t="s">
        <v>44</v>
      </c>
      <c r="AL7" s="64">
        <f t="shared" si="8"/>
        <v>-1</v>
      </c>
      <c r="AM7" s="64">
        <f t="shared" si="9"/>
        <v>-1</v>
      </c>
      <c r="AN7" s="64">
        <f t="shared" si="10"/>
        <v>18</v>
      </c>
      <c r="AO7" s="73" t="s">
        <v>51</v>
      </c>
      <c r="AP7" s="14">
        <v>180</v>
      </c>
      <c r="AQ7" s="14">
        <v>50</v>
      </c>
      <c r="AR7" s="14">
        <v>36</v>
      </c>
      <c r="AS7" s="65">
        <f>COUNTIF($I$4:$P96,AO7)</f>
        <v>290</v>
      </c>
      <c r="AT7" s="65">
        <f t="shared" si="4"/>
        <v>15</v>
      </c>
      <c r="AU7" s="65">
        <f t="shared" si="5"/>
        <v>0</v>
      </c>
      <c r="AV7" s="74">
        <f t="shared" si="6"/>
        <v>305</v>
      </c>
      <c r="AW7">
        <v>22</v>
      </c>
      <c r="AX7">
        <f t="shared" si="1"/>
        <v>14500</v>
      </c>
      <c r="AY7">
        <f t="shared" si="2"/>
        <v>750</v>
      </c>
      <c r="AZ7">
        <f t="shared" si="2"/>
        <v>0</v>
      </c>
      <c r="BA7" s="107"/>
      <c r="BB7" s="107"/>
      <c r="BD7" s="67">
        <f t="shared" si="7"/>
        <v>10980</v>
      </c>
      <c r="BE7" s="18"/>
    </row>
    <row r="8" spans="1:57">
      <c r="A8" s="95">
        <v>46280</v>
      </c>
      <c r="B8" s="67">
        <v>1600</v>
      </c>
      <c r="C8" s="67"/>
      <c r="D8" s="55">
        <f>(SUM(粮草!A8:X8)+AG8*10*IF(AK8="是",$BB$4,$BB$3))</f>
        <v>1710</v>
      </c>
      <c r="E8" s="57">
        <f>SUM($B$4:B8)+SUM($C$4:C8)-SUM($D$4:D8)</f>
        <v>2960</v>
      </c>
      <c r="F8" s="55">
        <f>SUM(经验!A8:X8)</f>
        <v>570</v>
      </c>
      <c r="G8" s="55">
        <f>SUM($F$4:F8)+SUM($H$4:H8)</f>
        <v>3655</v>
      </c>
      <c r="H8" s="67">
        <v>300</v>
      </c>
      <c r="I8" s="72" t="s">
        <v>50</v>
      </c>
      <c r="J8" s="72" t="s">
        <v>50</v>
      </c>
      <c r="K8" s="72" t="s">
        <v>50</v>
      </c>
      <c r="L8" s="72" t="s">
        <v>50</v>
      </c>
      <c r="M8" s="72" t="s">
        <v>50</v>
      </c>
      <c r="N8" s="72" t="s">
        <v>50</v>
      </c>
      <c r="O8" s="72" t="s">
        <v>50</v>
      </c>
      <c r="P8" s="72" t="s">
        <v>50</v>
      </c>
      <c r="Q8" s="59" t="s">
        <v>40</v>
      </c>
      <c r="R8" s="59" t="s">
        <v>40</v>
      </c>
      <c r="S8" s="59" t="s">
        <v>40</v>
      </c>
      <c r="T8" s="59" t="s">
        <v>40</v>
      </c>
      <c r="U8" s="59" t="s">
        <v>40</v>
      </c>
      <c r="V8" s="59" t="s">
        <v>40</v>
      </c>
      <c r="W8" s="59" t="s">
        <v>40</v>
      </c>
      <c r="X8" s="60" t="s">
        <v>41</v>
      </c>
      <c r="Y8" t="s">
        <v>41</v>
      </c>
      <c r="Z8" t="s">
        <v>41</v>
      </c>
      <c r="AA8" t="s">
        <v>41</v>
      </c>
      <c r="AB8" t="s">
        <v>41</v>
      </c>
      <c r="AC8" t="s">
        <v>41</v>
      </c>
      <c r="AD8" t="s">
        <v>41</v>
      </c>
      <c r="AE8" s="60" t="s">
        <v>41</v>
      </c>
      <c r="AF8" s="60" t="s">
        <v>41</v>
      </c>
      <c r="AG8" s="62">
        <f t="shared" si="3"/>
        <v>0</v>
      </c>
      <c r="AH8" s="62"/>
      <c r="AI8" s="62"/>
      <c r="AJ8" s="62"/>
      <c r="AK8" s="63" t="s">
        <v>44</v>
      </c>
      <c r="AL8" s="64">
        <f t="shared" si="8"/>
        <v>-3</v>
      </c>
      <c r="AM8" s="64">
        <f t="shared" si="9"/>
        <v>-2</v>
      </c>
      <c r="AN8" s="64">
        <f t="shared" si="10"/>
        <v>18</v>
      </c>
      <c r="AO8" s="76" t="s">
        <v>54</v>
      </c>
      <c r="AP8" s="14">
        <v>190</v>
      </c>
      <c r="AQ8" s="14">
        <v>55</v>
      </c>
      <c r="AR8" s="14">
        <v>38</v>
      </c>
      <c r="AS8" s="65">
        <f>COUNTIF($I$4:$P97,AO8)</f>
        <v>0</v>
      </c>
      <c r="AT8" s="65">
        <f t="shared" si="4"/>
        <v>201</v>
      </c>
      <c r="AU8" s="65">
        <f t="shared" si="5"/>
        <v>0</v>
      </c>
      <c r="AV8" s="74">
        <f t="shared" si="6"/>
        <v>201</v>
      </c>
      <c r="AW8">
        <v>49</v>
      </c>
      <c r="AX8">
        <f t="shared" si="1"/>
        <v>0</v>
      </c>
      <c r="AY8">
        <f t="shared" si="2"/>
        <v>11055</v>
      </c>
      <c r="AZ8">
        <f t="shared" si="2"/>
        <v>0</v>
      </c>
      <c r="BA8" s="107"/>
      <c r="BB8" s="107"/>
      <c r="BD8" s="67">
        <f t="shared" si="7"/>
        <v>7638</v>
      </c>
      <c r="BE8" s="18"/>
    </row>
    <row r="9" spans="1:57">
      <c r="A9" s="95">
        <v>46281</v>
      </c>
      <c r="B9" s="67">
        <v>1600</v>
      </c>
      <c r="C9" s="67">
        <v>50</v>
      </c>
      <c r="D9" s="55">
        <f>(SUM(粮草!A9:X9)+AG9*10*IF(AK9="是",$BB$4,$BB$3))</f>
        <v>860</v>
      </c>
      <c r="E9" s="57">
        <f>SUM($B$4:B9)+SUM($C$4:C9)-SUM($D$4:D9)</f>
        <v>3750</v>
      </c>
      <c r="F9" s="55">
        <f>SUM(经验!A9:X9)</f>
        <v>360</v>
      </c>
      <c r="G9" s="55">
        <f>SUM($F$4:F9)+SUM($H$4:H9)</f>
        <v>4015</v>
      </c>
      <c r="H9" s="67">
        <v>0</v>
      </c>
      <c r="I9" s="72" t="s">
        <v>50</v>
      </c>
      <c r="J9" s="72" t="s">
        <v>50</v>
      </c>
      <c r="K9" s="72" t="s">
        <v>50</v>
      </c>
      <c r="L9" s="72" t="s">
        <v>50</v>
      </c>
      <c r="M9" s="72" t="s">
        <v>50</v>
      </c>
      <c r="N9" s="72" t="s">
        <v>50</v>
      </c>
      <c r="O9" s="72" t="s">
        <v>50</v>
      </c>
      <c r="P9" s="72" t="s">
        <v>50</v>
      </c>
      <c r="Q9" s="71" t="s">
        <v>49</v>
      </c>
      <c r="R9" s="71" t="s">
        <v>49</v>
      </c>
      <c r="S9" t="s">
        <v>41</v>
      </c>
      <c r="T9" t="s">
        <v>41</v>
      </c>
      <c r="U9" t="s">
        <v>41</v>
      </c>
      <c r="V9" t="s">
        <v>41</v>
      </c>
      <c r="W9" s="60" t="s">
        <v>41</v>
      </c>
      <c r="X9" s="60" t="s">
        <v>41</v>
      </c>
      <c r="Y9" t="s">
        <v>41</v>
      </c>
      <c r="Z9" t="s">
        <v>41</v>
      </c>
      <c r="AA9" t="s">
        <v>41</v>
      </c>
      <c r="AB9" t="s">
        <v>41</v>
      </c>
      <c r="AC9" t="s">
        <v>41</v>
      </c>
      <c r="AD9" t="s">
        <v>41</v>
      </c>
      <c r="AE9" s="60" t="s">
        <v>41</v>
      </c>
      <c r="AF9" s="60" t="s">
        <v>41</v>
      </c>
      <c r="AG9" s="62">
        <f t="shared" si="3"/>
        <v>0</v>
      </c>
      <c r="AH9" s="62"/>
      <c r="AI9" s="62"/>
      <c r="AJ9" s="62"/>
      <c r="AK9" s="63" t="s">
        <v>44</v>
      </c>
      <c r="AL9" s="64">
        <f t="shared" si="8"/>
        <v>-5</v>
      </c>
      <c r="AM9" s="64">
        <f t="shared" si="9"/>
        <v>6</v>
      </c>
      <c r="AN9" s="64">
        <f t="shared" si="10"/>
        <v>18</v>
      </c>
      <c r="AO9" s="77" t="s">
        <v>55</v>
      </c>
      <c r="AP9" s="14">
        <v>200</v>
      </c>
      <c r="AQ9" s="14">
        <v>60</v>
      </c>
      <c r="AR9" s="14">
        <v>40</v>
      </c>
      <c r="AS9" s="65">
        <f>COUNTIF($I$4:$P98,AO9)</f>
        <v>0</v>
      </c>
      <c r="AT9" s="65">
        <f t="shared" si="4"/>
        <v>0</v>
      </c>
      <c r="AU9" s="65">
        <f t="shared" si="5"/>
        <v>165</v>
      </c>
      <c r="AV9" s="74">
        <f t="shared" si="6"/>
        <v>165</v>
      </c>
      <c r="AW9">
        <v>51</v>
      </c>
      <c r="AX9">
        <f t="shared" si="1"/>
        <v>0</v>
      </c>
      <c r="AY9">
        <f t="shared" si="2"/>
        <v>0</v>
      </c>
      <c r="AZ9">
        <f t="shared" si="2"/>
        <v>9900</v>
      </c>
      <c r="BD9" s="67">
        <f t="shared" si="7"/>
        <v>6600</v>
      </c>
      <c r="BE9" s="18"/>
    </row>
    <row r="10" spans="1:57">
      <c r="A10" s="95">
        <v>46282</v>
      </c>
      <c r="B10" s="67">
        <v>1600</v>
      </c>
      <c r="C10" s="67"/>
      <c r="D10" s="55">
        <f>(SUM(粮草!A10:X10)+AG10*10*IF(AK10="是",$BB$4,$BB$3))</f>
        <v>2110</v>
      </c>
      <c r="E10" s="57">
        <f>SUM($B$4:B10)+SUM($C$4:C10)-SUM($D$4:D10)</f>
        <v>3240</v>
      </c>
      <c r="F10" s="55">
        <f>SUM(经验!A10:X10)</f>
        <v>1260</v>
      </c>
      <c r="G10" s="55">
        <f>SUM($F$4:F10)+SUM($H$4:H10)</f>
        <v>5275</v>
      </c>
      <c r="H10" s="67">
        <v>0</v>
      </c>
      <c r="I10" s="72" t="s">
        <v>50</v>
      </c>
      <c r="J10" s="72" t="s">
        <v>50</v>
      </c>
      <c r="K10" s="72" t="s">
        <v>50</v>
      </c>
      <c r="L10" s="72" t="s">
        <v>50</v>
      </c>
      <c r="M10" s="72" t="s">
        <v>50</v>
      </c>
      <c r="N10" s="72" t="s">
        <v>50</v>
      </c>
      <c r="O10" s="72" t="s">
        <v>50</v>
      </c>
      <c r="P10" s="72" t="s">
        <v>50</v>
      </c>
      <c r="Q10" s="75" t="s">
        <v>52</v>
      </c>
      <c r="R10" s="75" t="s">
        <v>52</v>
      </c>
      <c r="S10" s="75" t="s">
        <v>52</v>
      </c>
      <c r="T10" t="s">
        <v>41</v>
      </c>
      <c r="U10" t="s">
        <v>41</v>
      </c>
      <c r="V10" t="s">
        <v>41</v>
      </c>
      <c r="W10" s="60" t="s">
        <v>41</v>
      </c>
      <c r="X10" s="60" t="s">
        <v>41</v>
      </c>
      <c r="Y10" t="s">
        <v>41</v>
      </c>
      <c r="Z10" t="s">
        <v>41</v>
      </c>
      <c r="AA10" t="s">
        <v>41</v>
      </c>
      <c r="AB10" t="s">
        <v>41</v>
      </c>
      <c r="AC10" t="s">
        <v>41</v>
      </c>
      <c r="AD10" t="s">
        <v>41</v>
      </c>
      <c r="AE10" s="60" t="s">
        <v>41</v>
      </c>
      <c r="AF10" s="60" t="s">
        <v>41</v>
      </c>
      <c r="AG10" s="62">
        <f t="shared" si="3"/>
        <v>0</v>
      </c>
      <c r="AH10" s="62"/>
      <c r="AI10" s="62"/>
      <c r="AJ10" s="62"/>
      <c r="AK10" s="63" t="s">
        <v>44</v>
      </c>
      <c r="AL10" s="64">
        <f t="shared" si="8"/>
        <v>-7</v>
      </c>
      <c r="AM10" s="64">
        <f t="shared" si="9"/>
        <v>9</v>
      </c>
      <c r="AN10" s="64">
        <f t="shared" si="10"/>
        <v>18</v>
      </c>
      <c r="AO10" s="15" t="s">
        <v>42</v>
      </c>
      <c r="AP10" s="14">
        <v>150</v>
      </c>
      <c r="AQ10" s="14">
        <v>35</v>
      </c>
      <c r="AR10" s="14">
        <v>44.222109392472198</v>
      </c>
      <c r="AS10" s="65">
        <f>COUNTIF($I$4:$P99,AO10)</f>
        <v>0</v>
      </c>
      <c r="AT10" s="65">
        <f t="shared" si="4"/>
        <v>1</v>
      </c>
      <c r="AU10" s="65">
        <f t="shared" si="5"/>
        <v>0</v>
      </c>
      <c r="AV10" s="74">
        <f t="shared" si="6"/>
        <v>1</v>
      </c>
      <c r="AW10">
        <v>0</v>
      </c>
      <c r="AX10">
        <f t="shared" si="1"/>
        <v>0</v>
      </c>
      <c r="AY10">
        <f t="shared" si="2"/>
        <v>35</v>
      </c>
      <c r="AZ10">
        <f t="shared" si="2"/>
        <v>0</v>
      </c>
      <c r="BD10" s="67">
        <f t="shared" si="7"/>
        <v>44.222109392472198</v>
      </c>
      <c r="BE10" s="18"/>
    </row>
    <row r="11" spans="1:57">
      <c r="A11" s="95">
        <v>46283</v>
      </c>
      <c r="B11" s="67">
        <v>1600</v>
      </c>
      <c r="C11" s="67"/>
      <c r="D11" s="55">
        <f>(SUM(粮草!A11:X11)+AG11*10*IF(AK11="是",$BB$4,$BB$3))</f>
        <v>2210</v>
      </c>
      <c r="E11" s="57">
        <f>SUM($B$4:B11)+SUM($C$4:C11)-SUM($D$4:D11)</f>
        <v>2630</v>
      </c>
      <c r="F11" s="55">
        <f>SUM(经验!A11:X11)</f>
        <v>585</v>
      </c>
      <c r="G11" s="55">
        <f>SUM($F$4:F11)+SUM($H$4:H11)</f>
        <v>5860</v>
      </c>
      <c r="H11" s="67">
        <v>0</v>
      </c>
      <c r="I11" s="72" t="s">
        <v>50</v>
      </c>
      <c r="J11" s="72" t="s">
        <v>50</v>
      </c>
      <c r="K11" s="72" t="s">
        <v>50</v>
      </c>
      <c r="L11" s="72" t="s">
        <v>50</v>
      </c>
      <c r="M11" s="72" t="s">
        <v>50</v>
      </c>
      <c r="N11" s="72" t="s">
        <v>50</v>
      </c>
      <c r="O11" s="72" t="s">
        <v>50</v>
      </c>
      <c r="P11" s="72" t="s">
        <v>50</v>
      </c>
      <c r="Q11" s="75" t="s">
        <v>53</v>
      </c>
      <c r="R11" s="75" t="s">
        <v>53</v>
      </c>
      <c r="S11" s="75" t="s">
        <v>53</v>
      </c>
      <c r="T11" s="75" t="s">
        <v>53</v>
      </c>
      <c r="U11" s="75" t="s">
        <v>53</v>
      </c>
      <c r="V11" t="s">
        <v>41</v>
      </c>
      <c r="W11" s="60" t="s">
        <v>41</v>
      </c>
      <c r="X11" s="60" t="s">
        <v>41</v>
      </c>
      <c r="Y11" t="s">
        <v>41</v>
      </c>
      <c r="Z11" t="s">
        <v>41</v>
      </c>
      <c r="AA11" t="s">
        <v>41</v>
      </c>
      <c r="AB11" t="s">
        <v>41</v>
      </c>
      <c r="AC11" t="s">
        <v>41</v>
      </c>
      <c r="AD11" t="s">
        <v>41</v>
      </c>
      <c r="AE11" s="60" t="s">
        <v>41</v>
      </c>
      <c r="AF11" s="60" t="s">
        <v>41</v>
      </c>
      <c r="AG11" s="62">
        <f t="shared" si="3"/>
        <v>0</v>
      </c>
      <c r="AH11" s="62"/>
      <c r="AI11" s="62"/>
      <c r="AJ11" s="62"/>
      <c r="AK11" s="63" t="s">
        <v>44</v>
      </c>
      <c r="AL11" s="64">
        <f t="shared" si="8"/>
        <v>-9</v>
      </c>
      <c r="AM11" s="64">
        <f t="shared" si="9"/>
        <v>10</v>
      </c>
      <c r="AN11" s="64">
        <f t="shared" si="10"/>
        <v>18</v>
      </c>
      <c r="AO11" s="16" t="s">
        <v>46</v>
      </c>
      <c r="AP11" s="14">
        <v>150</v>
      </c>
      <c r="AQ11" s="14">
        <v>40</v>
      </c>
      <c r="AR11" s="14">
        <v>29.110982162825401</v>
      </c>
      <c r="AS11" s="65">
        <f>COUNTIF($I$4:$P100,AO11)</f>
        <v>0</v>
      </c>
      <c r="AT11" s="65">
        <f t="shared" si="4"/>
        <v>41</v>
      </c>
      <c r="AU11" s="65">
        <f t="shared" si="5"/>
        <v>1</v>
      </c>
      <c r="AV11" s="74">
        <f t="shared" si="6"/>
        <v>42</v>
      </c>
      <c r="AW11">
        <v>10</v>
      </c>
      <c r="AX11">
        <f t="shared" si="1"/>
        <v>0</v>
      </c>
      <c r="AY11">
        <f t="shared" si="2"/>
        <v>1640</v>
      </c>
      <c r="AZ11">
        <f t="shared" si="2"/>
        <v>40</v>
      </c>
      <c r="BD11" s="67">
        <f t="shared" si="7"/>
        <v>1222.6612508386668</v>
      </c>
      <c r="BE11" s="18"/>
    </row>
    <row r="12" spans="1:57">
      <c r="A12" s="95">
        <v>46284</v>
      </c>
      <c r="B12" s="67">
        <v>1600</v>
      </c>
      <c r="C12" s="67"/>
      <c r="D12" s="55">
        <f>(SUM(粮草!A12:X12)+AG12*10*IF(AK12="是",$BB$4,$BB$3))</f>
        <v>2720</v>
      </c>
      <c r="E12" s="57">
        <f>SUM($B$4:B12)+SUM($C$4:C12)-SUM($D$4:D12)</f>
        <v>1510</v>
      </c>
      <c r="F12" s="55">
        <f>SUM(经验!A12:X12)</f>
        <v>720</v>
      </c>
      <c r="G12" s="55">
        <f>SUM($F$4:F12)+SUM($H$4:H12)</f>
        <v>6580</v>
      </c>
      <c r="H12" s="67">
        <v>0</v>
      </c>
      <c r="I12" s="72" t="s">
        <v>50</v>
      </c>
      <c r="J12" s="72" t="s">
        <v>50</v>
      </c>
      <c r="K12" s="72" t="s">
        <v>50</v>
      </c>
      <c r="L12" s="72" t="s">
        <v>50</v>
      </c>
      <c r="M12" s="72" t="s">
        <v>50</v>
      </c>
      <c r="N12" s="72" t="s">
        <v>50</v>
      </c>
      <c r="O12" s="72" t="s">
        <v>50</v>
      </c>
      <c r="P12" s="72" t="s">
        <v>50</v>
      </c>
      <c r="Q12" s="72" t="s">
        <v>50</v>
      </c>
      <c r="R12" s="72" t="s">
        <v>50</v>
      </c>
      <c r="S12" s="72" t="s">
        <v>50</v>
      </c>
      <c r="T12" s="72" t="s">
        <v>50</v>
      </c>
      <c r="U12" s="72" t="s">
        <v>50</v>
      </c>
      <c r="V12" s="72" t="s">
        <v>50</v>
      </c>
      <c r="W12" s="72" t="s">
        <v>50</v>
      </c>
      <c r="X12" s="72" t="s">
        <v>50</v>
      </c>
      <c r="Y12" t="s">
        <v>41</v>
      </c>
      <c r="Z12" t="s">
        <v>41</v>
      </c>
      <c r="AA12" t="s">
        <v>41</v>
      </c>
      <c r="AB12" t="s">
        <v>41</v>
      </c>
      <c r="AC12" t="s">
        <v>41</v>
      </c>
      <c r="AD12" t="s">
        <v>41</v>
      </c>
      <c r="AE12" s="60" t="s">
        <v>41</v>
      </c>
      <c r="AF12" s="60" t="s">
        <v>41</v>
      </c>
      <c r="AG12" s="62">
        <f t="shared" si="3"/>
        <v>0</v>
      </c>
      <c r="AH12" s="62"/>
      <c r="AI12" s="79"/>
      <c r="AJ12" s="62"/>
      <c r="AK12" s="63" t="s">
        <v>44</v>
      </c>
      <c r="AL12" s="64">
        <f t="shared" si="8"/>
        <v>-11</v>
      </c>
      <c r="AM12" s="64">
        <f t="shared" si="9"/>
        <v>8</v>
      </c>
      <c r="AN12" s="64">
        <f t="shared" si="10"/>
        <v>18</v>
      </c>
      <c r="AO12" s="17" t="s">
        <v>58</v>
      </c>
      <c r="AP12" s="14">
        <v>150</v>
      </c>
      <c r="AQ12" s="14">
        <v>45</v>
      </c>
      <c r="AR12" s="14">
        <v>13.9998549331786</v>
      </c>
      <c r="AS12" s="65">
        <f>COUNTIF($I$4:$P101,AO12)</f>
        <v>0</v>
      </c>
      <c r="AT12" s="65">
        <f t="shared" si="4"/>
        <v>1</v>
      </c>
      <c r="AU12" s="65">
        <f t="shared" si="5"/>
        <v>0</v>
      </c>
      <c r="AV12" s="74">
        <f t="shared" si="6"/>
        <v>1</v>
      </c>
      <c r="AW12">
        <v>0</v>
      </c>
      <c r="AX12">
        <f t="shared" si="1"/>
        <v>0</v>
      </c>
      <c r="AY12">
        <f t="shared" si="2"/>
        <v>45</v>
      </c>
      <c r="AZ12">
        <f t="shared" si="2"/>
        <v>0</v>
      </c>
      <c r="BD12" s="67">
        <f t="shared" si="7"/>
        <v>13.9998549331786</v>
      </c>
      <c r="BE12" s="18"/>
    </row>
    <row r="13" spans="1:57">
      <c r="A13" s="95">
        <v>46285</v>
      </c>
      <c r="B13" s="67">
        <v>1600</v>
      </c>
      <c r="C13" s="67"/>
      <c r="D13" s="55">
        <f>(SUM(粮草!A13:X13)+AG13*10*IF(AK13="是",$BB$4,$BB$3))</f>
        <v>1360</v>
      </c>
      <c r="E13" s="57">
        <f>SUM($B$4:B13)+SUM($C$4:C13)-SUM($D$4:D13)</f>
        <v>1750</v>
      </c>
      <c r="F13" s="55">
        <f>SUM(经验!A13:X13)</f>
        <v>360</v>
      </c>
      <c r="G13" s="55">
        <f>SUM($F$4:F13)+SUM($H$4:H13)</f>
        <v>6940</v>
      </c>
      <c r="H13" s="67">
        <v>0</v>
      </c>
      <c r="I13" s="72" t="s">
        <v>50</v>
      </c>
      <c r="J13" s="72" t="s">
        <v>50</v>
      </c>
      <c r="K13" s="72" t="s">
        <v>50</v>
      </c>
      <c r="L13" s="72" t="s">
        <v>50</v>
      </c>
      <c r="M13" s="72" t="s">
        <v>50</v>
      </c>
      <c r="N13" s="72" t="s">
        <v>50</v>
      </c>
      <c r="O13" s="72" t="s">
        <v>50</v>
      </c>
      <c r="P13" s="72" t="s">
        <v>50</v>
      </c>
      <c r="Q13" t="s">
        <v>41</v>
      </c>
      <c r="R13" t="s">
        <v>41</v>
      </c>
      <c r="S13" t="s">
        <v>41</v>
      </c>
      <c r="T13" t="s">
        <v>41</v>
      </c>
      <c r="U13" t="s">
        <v>41</v>
      </c>
      <c r="V13" t="s">
        <v>41</v>
      </c>
      <c r="W13" s="60" t="s">
        <v>41</v>
      </c>
      <c r="X13" s="60" t="s">
        <v>41</v>
      </c>
      <c r="Y13" t="s">
        <v>41</v>
      </c>
      <c r="Z13" t="s">
        <v>41</v>
      </c>
      <c r="AA13" t="s">
        <v>41</v>
      </c>
      <c r="AB13" t="s">
        <v>41</v>
      </c>
      <c r="AC13" t="s">
        <v>41</v>
      </c>
      <c r="AD13" t="s">
        <v>41</v>
      </c>
      <c r="AE13" s="60" t="s">
        <v>41</v>
      </c>
      <c r="AF13" s="60" t="s">
        <v>41</v>
      </c>
      <c r="AG13" s="62">
        <f t="shared" si="3"/>
        <v>0</v>
      </c>
      <c r="AH13" s="79"/>
      <c r="AI13" s="79"/>
      <c r="AJ13" s="79"/>
      <c r="AK13" s="63" t="s">
        <v>44</v>
      </c>
      <c r="AL13" s="64">
        <f t="shared" si="8"/>
        <v>-13</v>
      </c>
      <c r="AM13" s="64">
        <f t="shared" si="9"/>
        <v>14</v>
      </c>
      <c r="AN13" s="64">
        <f t="shared" si="10"/>
        <v>18</v>
      </c>
      <c r="AO13" s="81" t="s">
        <v>59</v>
      </c>
      <c r="AP13" s="14">
        <v>150</v>
      </c>
      <c r="AQ13" s="14">
        <v>50</v>
      </c>
      <c r="AR13" s="14"/>
      <c r="AS13" s="65">
        <f>COUNTIF($I$4:$P102,AO13)</f>
        <v>0</v>
      </c>
      <c r="AT13" s="65">
        <f t="shared" si="4"/>
        <v>0</v>
      </c>
      <c r="AU13" s="65">
        <f t="shared" si="5"/>
        <v>3</v>
      </c>
      <c r="AV13" s="74">
        <f t="shared" si="6"/>
        <v>3</v>
      </c>
      <c r="AW13">
        <v>0</v>
      </c>
      <c r="AX13">
        <f t="shared" si="1"/>
        <v>0</v>
      </c>
      <c r="AY13">
        <f t="shared" si="2"/>
        <v>0</v>
      </c>
      <c r="AZ13">
        <f t="shared" si="2"/>
        <v>150</v>
      </c>
      <c r="BD13" s="67">
        <f t="shared" si="7"/>
        <v>0</v>
      </c>
      <c r="BE13" s="18"/>
    </row>
    <row r="14" spans="1:57">
      <c r="A14" s="95">
        <v>46286</v>
      </c>
      <c r="B14" s="55">
        <v>1600</v>
      </c>
      <c r="C14" s="56"/>
      <c r="D14" s="55">
        <f>(SUM(粮草!A14:X14)+AG14*10*IF(AK14="是",$BB$4,$BB$3))</f>
        <v>1360</v>
      </c>
      <c r="E14" s="57">
        <f>SUM($B$4:B14)+SUM($C$4:C14)-SUM($D$4:D14)</f>
        <v>1990</v>
      </c>
      <c r="F14" s="55">
        <f>SUM(经验!A14:X14)</f>
        <v>360</v>
      </c>
      <c r="G14" s="55">
        <f>SUM($F$4:F14)+SUM($H$4:H14)</f>
        <v>7600</v>
      </c>
      <c r="H14" s="55">
        <v>300</v>
      </c>
      <c r="I14" s="72" t="s">
        <v>50</v>
      </c>
      <c r="J14" s="72" t="s">
        <v>50</v>
      </c>
      <c r="K14" s="72" t="s">
        <v>50</v>
      </c>
      <c r="L14" s="72" t="s">
        <v>50</v>
      </c>
      <c r="M14" s="72" t="s">
        <v>50</v>
      </c>
      <c r="N14" s="72" t="s">
        <v>50</v>
      </c>
      <c r="O14" s="72" t="s">
        <v>50</v>
      </c>
      <c r="P14" s="72" t="s">
        <v>50</v>
      </c>
      <c r="Q14" t="s">
        <v>41</v>
      </c>
      <c r="R14" t="s">
        <v>41</v>
      </c>
      <c r="S14" t="s">
        <v>41</v>
      </c>
      <c r="T14" t="s">
        <v>41</v>
      </c>
      <c r="U14" t="s">
        <v>41</v>
      </c>
      <c r="V14" t="s">
        <v>41</v>
      </c>
      <c r="W14" s="60" t="s">
        <v>41</v>
      </c>
      <c r="X14" s="60" t="s">
        <v>41</v>
      </c>
      <c r="Y14" t="s">
        <v>41</v>
      </c>
      <c r="Z14" t="s">
        <v>41</v>
      </c>
      <c r="AA14" t="s">
        <v>41</v>
      </c>
      <c r="AB14" t="s">
        <v>41</v>
      </c>
      <c r="AC14" t="s">
        <v>41</v>
      </c>
      <c r="AD14" t="s">
        <v>41</v>
      </c>
      <c r="AE14" s="60" t="s">
        <v>41</v>
      </c>
      <c r="AF14" s="60" t="s">
        <v>41</v>
      </c>
      <c r="AG14" s="62">
        <f t="shared" si="3"/>
        <v>0</v>
      </c>
      <c r="AH14" s="79"/>
      <c r="AI14" s="79"/>
      <c r="AJ14" s="79"/>
      <c r="AK14" s="63" t="s">
        <v>44</v>
      </c>
      <c r="AL14" s="64">
        <f t="shared" si="8"/>
        <v>-15</v>
      </c>
      <c r="AM14" s="64">
        <f t="shared" si="9"/>
        <v>18</v>
      </c>
      <c r="AN14" s="64">
        <f t="shared" si="10"/>
        <v>18</v>
      </c>
      <c r="AO14" s="78" t="s">
        <v>56</v>
      </c>
      <c r="AP14" s="14">
        <v>150</v>
      </c>
      <c r="AQ14" s="14">
        <v>55</v>
      </c>
      <c r="AR14" s="14"/>
      <c r="AS14" s="65">
        <f>COUNTIF($I$4:$P103,AO14)</f>
        <v>0</v>
      </c>
      <c r="AT14" s="65">
        <f t="shared" si="4"/>
        <v>0</v>
      </c>
      <c r="AU14" s="65">
        <f t="shared" si="5"/>
        <v>3</v>
      </c>
      <c r="AV14" s="74">
        <f t="shared" si="6"/>
        <v>3</v>
      </c>
      <c r="AW14">
        <v>2</v>
      </c>
      <c r="AX14">
        <f t="shared" si="1"/>
        <v>0</v>
      </c>
      <c r="AY14">
        <f t="shared" si="2"/>
        <v>0</v>
      </c>
      <c r="AZ14">
        <f t="shared" si="2"/>
        <v>165</v>
      </c>
      <c r="BD14" s="67">
        <f t="shared" si="7"/>
        <v>0</v>
      </c>
      <c r="BE14" s="18"/>
    </row>
    <row r="15" spans="1:57">
      <c r="A15" s="95">
        <v>46287</v>
      </c>
      <c r="B15" s="55">
        <v>1600</v>
      </c>
      <c r="C15" s="56"/>
      <c r="D15" s="55">
        <f>(SUM(粮草!A15:X15)+AG15*10*IF(AK15="是",$BB$4,$BB$3))</f>
        <v>1360</v>
      </c>
      <c r="E15" s="57">
        <f>SUM($B$4:B15)+SUM($C$4:C15)-SUM($D$4:D15)</f>
        <v>2230</v>
      </c>
      <c r="F15" s="55">
        <f>SUM(经验!A15:X15)</f>
        <v>360</v>
      </c>
      <c r="G15" s="55">
        <f>SUM($F$4:F15)+SUM($H$4:H15)</f>
        <v>7960</v>
      </c>
      <c r="H15" s="55">
        <v>0</v>
      </c>
      <c r="I15" s="72" t="s">
        <v>50</v>
      </c>
      <c r="J15" s="72" t="s">
        <v>50</v>
      </c>
      <c r="K15" s="72" t="s">
        <v>50</v>
      </c>
      <c r="L15" s="72" t="s">
        <v>50</v>
      </c>
      <c r="M15" s="72" t="s">
        <v>50</v>
      </c>
      <c r="N15" s="72" t="s">
        <v>50</v>
      </c>
      <c r="O15" s="72" t="s">
        <v>50</v>
      </c>
      <c r="P15" s="72" t="s">
        <v>50</v>
      </c>
      <c r="Q15" t="s">
        <v>41</v>
      </c>
      <c r="R15" t="s">
        <v>41</v>
      </c>
      <c r="S15" t="s">
        <v>41</v>
      </c>
      <c r="T15" t="s">
        <v>41</v>
      </c>
      <c r="U15" t="s">
        <v>41</v>
      </c>
      <c r="V15" t="s">
        <v>41</v>
      </c>
      <c r="W15" s="60" t="s">
        <v>41</v>
      </c>
      <c r="X15" s="60" t="s">
        <v>41</v>
      </c>
      <c r="Y15" t="s">
        <v>41</v>
      </c>
      <c r="Z15" t="s">
        <v>41</v>
      </c>
      <c r="AA15" t="s">
        <v>41</v>
      </c>
      <c r="AB15" t="s">
        <v>41</v>
      </c>
      <c r="AC15" t="s">
        <v>41</v>
      </c>
      <c r="AD15" t="s">
        <v>41</v>
      </c>
      <c r="AE15" s="60" t="s">
        <v>41</v>
      </c>
      <c r="AF15" s="60" t="s">
        <v>41</v>
      </c>
      <c r="AG15" s="62">
        <f t="shared" si="3"/>
        <v>0</v>
      </c>
      <c r="AH15" s="79"/>
      <c r="AI15" s="79"/>
      <c r="AJ15" s="79"/>
      <c r="AK15" s="63" t="s">
        <v>44</v>
      </c>
      <c r="AL15" s="64">
        <f t="shared" si="8"/>
        <v>-17</v>
      </c>
      <c r="AM15" s="64">
        <f t="shared" si="9"/>
        <v>18</v>
      </c>
      <c r="AN15" s="64">
        <f t="shared" si="10"/>
        <v>18</v>
      </c>
      <c r="AO15" s="82" t="s">
        <v>60</v>
      </c>
      <c r="AP15" s="14">
        <v>150</v>
      </c>
      <c r="AQ15" s="14">
        <v>60</v>
      </c>
      <c r="AR15" s="14"/>
      <c r="AS15" s="65">
        <f>COUNTIF($I$4:$P104,AO15)</f>
        <v>0</v>
      </c>
      <c r="AT15" s="65">
        <f t="shared" si="4"/>
        <v>0</v>
      </c>
      <c r="AU15" s="65">
        <f t="shared" si="5"/>
        <v>1</v>
      </c>
      <c r="AV15" s="74">
        <f t="shared" si="6"/>
        <v>1</v>
      </c>
      <c r="AW15">
        <v>0</v>
      </c>
      <c r="AX15">
        <f t="shared" si="1"/>
        <v>0</v>
      </c>
      <c r="AY15">
        <f t="shared" si="2"/>
        <v>0</v>
      </c>
      <c r="AZ15">
        <f t="shared" si="2"/>
        <v>60</v>
      </c>
      <c r="BD15" s="67">
        <f t="shared" si="7"/>
        <v>0</v>
      </c>
      <c r="BE15" s="18"/>
    </row>
    <row r="16" spans="1:57">
      <c r="A16" s="95">
        <v>46288</v>
      </c>
      <c r="B16" s="55">
        <v>1600</v>
      </c>
      <c r="C16" s="56">
        <v>-272</v>
      </c>
      <c r="D16" s="55">
        <f>(SUM(粮草!A16:X16)+AG16*10*IF(AK16="是",$BB$4,$BB$3))</f>
        <v>2316</v>
      </c>
      <c r="E16" s="57">
        <f>SUM($B$4:B16)+SUM($C$4:C16)-SUM($D$4:D16)</f>
        <v>1242</v>
      </c>
      <c r="F16" s="55">
        <f>SUM(经验!A16:X16)</f>
        <v>870</v>
      </c>
      <c r="G16" s="55">
        <f>SUM($F$4:F16)+SUM($H$4:H16)</f>
        <v>9030</v>
      </c>
      <c r="H16" s="55">
        <v>200</v>
      </c>
      <c r="I16" s="72" t="s">
        <v>50</v>
      </c>
      <c r="J16" s="72" t="s">
        <v>50</v>
      </c>
      <c r="K16" s="72" t="s">
        <v>50</v>
      </c>
      <c r="L16" s="72" t="s">
        <v>50</v>
      </c>
      <c r="M16" s="72" t="s">
        <v>50</v>
      </c>
      <c r="N16" s="72" t="s">
        <v>50</v>
      </c>
      <c r="O16" s="72" t="s">
        <v>50</v>
      </c>
      <c r="P16" s="72" t="s">
        <v>50</v>
      </c>
      <c r="Q16" s="59" t="s">
        <v>40</v>
      </c>
      <c r="R16" s="58" t="s">
        <v>39</v>
      </c>
      <c r="S16" s="58" t="s">
        <v>39</v>
      </c>
      <c r="T16" s="58" t="s">
        <v>39</v>
      </c>
      <c r="U16" s="58" t="s">
        <v>39</v>
      </c>
      <c r="V16" s="59" t="s">
        <v>40</v>
      </c>
      <c r="W16" s="61" t="s">
        <v>43</v>
      </c>
      <c r="X16" s="61" t="s">
        <v>43</v>
      </c>
      <c r="Y16" s="61" t="s">
        <v>43</v>
      </c>
      <c r="Z16" s="16" t="s">
        <v>46</v>
      </c>
      <c r="AA16" s="61" t="s">
        <v>43</v>
      </c>
      <c r="AB16" s="61" t="s">
        <v>43</v>
      </c>
      <c r="AC16" s="59" t="s">
        <v>40</v>
      </c>
      <c r="AD16" s="61" t="s">
        <v>43</v>
      </c>
      <c r="AE16" s="71" t="s">
        <v>49</v>
      </c>
      <c r="AF16" s="60" t="s">
        <v>41</v>
      </c>
      <c r="AG16" s="62">
        <f t="shared" si="3"/>
        <v>0</v>
      </c>
      <c r="AH16" s="79"/>
      <c r="AI16" s="79"/>
      <c r="AJ16" s="79"/>
      <c r="AK16" s="80" t="s">
        <v>57</v>
      </c>
      <c r="AL16" s="64">
        <f t="shared" si="8"/>
        <v>-19</v>
      </c>
      <c r="AM16" s="64">
        <f t="shared" si="9"/>
        <v>10</v>
      </c>
      <c r="AN16" s="64">
        <f t="shared" si="10"/>
        <v>13</v>
      </c>
      <c r="AO16" s="83" t="s">
        <v>61</v>
      </c>
      <c r="AP16" s="14">
        <v>150</v>
      </c>
      <c r="AQ16" s="14">
        <v>40</v>
      </c>
      <c r="AR16" s="14">
        <v>29.110982162825401</v>
      </c>
      <c r="AS16" s="65">
        <f>COUNTIF($I$4:$P105,AO16)</f>
        <v>0</v>
      </c>
      <c r="AT16" s="65">
        <f t="shared" si="4"/>
        <v>0</v>
      </c>
      <c r="AU16" s="65">
        <f t="shared" si="5"/>
        <v>0</v>
      </c>
      <c r="AV16" s="74">
        <f t="shared" si="6"/>
        <v>0</v>
      </c>
      <c r="AW16">
        <v>0</v>
      </c>
      <c r="AX16">
        <f t="shared" si="1"/>
        <v>0</v>
      </c>
      <c r="AY16">
        <f t="shared" si="2"/>
        <v>0</v>
      </c>
      <c r="AZ16">
        <f t="shared" si="2"/>
        <v>0</v>
      </c>
      <c r="BD16" s="67">
        <f t="shared" si="7"/>
        <v>0</v>
      </c>
      <c r="BE16" s="18"/>
    </row>
    <row r="17" spans="1:57">
      <c r="A17" s="95">
        <v>46289</v>
      </c>
      <c r="B17" s="55">
        <v>1600</v>
      </c>
      <c r="C17" s="56"/>
      <c r="D17" s="55">
        <f>(SUM(粮草!A17:X17)+AG17*10*IF(AK17="是",$BB$4,$BB$3))</f>
        <v>2512</v>
      </c>
      <c r="E17" s="57">
        <f>SUM($B$4:B17)+SUM($C$4:C17)-SUM($D$4:D17)</f>
        <v>330</v>
      </c>
      <c r="F17" s="55">
        <f>SUM(经验!A17:X17)</f>
        <v>975</v>
      </c>
      <c r="G17" s="55">
        <f>SUM($F$4:F17)+SUM($H$4:H17)</f>
        <v>10005</v>
      </c>
      <c r="H17" s="55">
        <v>0</v>
      </c>
      <c r="I17" s="72" t="s">
        <v>50</v>
      </c>
      <c r="J17" s="72" t="s">
        <v>50</v>
      </c>
      <c r="K17" s="72" t="s">
        <v>50</v>
      </c>
      <c r="L17" s="72" t="s">
        <v>50</v>
      </c>
      <c r="M17" s="72" t="s">
        <v>50</v>
      </c>
      <c r="N17" s="72" t="s">
        <v>50</v>
      </c>
      <c r="O17" s="72" t="s">
        <v>50</v>
      </c>
      <c r="P17" s="72" t="s">
        <v>50</v>
      </c>
      <c r="Q17" s="72" t="s">
        <v>50</v>
      </c>
      <c r="R17" s="59" t="s">
        <v>40</v>
      </c>
      <c r="S17" s="72" t="s">
        <v>50</v>
      </c>
      <c r="T17" s="72" t="s">
        <v>50</v>
      </c>
      <c r="U17" s="72" t="s">
        <v>50</v>
      </c>
      <c r="V17" s="71" t="s">
        <v>49</v>
      </c>
      <c r="W17" s="72" t="s">
        <v>50</v>
      </c>
      <c r="X17" s="72" t="s">
        <v>50</v>
      </c>
      <c r="Y17" s="72" t="s">
        <v>50</v>
      </c>
      <c r="Z17" s="72" t="s">
        <v>50</v>
      </c>
      <c r="AA17" s="72" t="s">
        <v>50</v>
      </c>
      <c r="AB17" s="72" t="s">
        <v>50</v>
      </c>
      <c r="AC17" s="72" t="s">
        <v>50</v>
      </c>
      <c r="AD17" s="72" t="s">
        <v>50</v>
      </c>
      <c r="AE17" s="72" t="s">
        <v>50</v>
      </c>
      <c r="AF17" s="71" t="s">
        <v>49</v>
      </c>
      <c r="AG17" s="62">
        <f t="shared" si="3"/>
        <v>17</v>
      </c>
      <c r="AH17" s="79">
        <v>13</v>
      </c>
      <c r="AI17" s="79">
        <v>1</v>
      </c>
      <c r="AJ17" s="79">
        <v>3</v>
      </c>
      <c r="AK17" s="80" t="s">
        <v>57</v>
      </c>
      <c r="AL17" s="64">
        <f t="shared" si="8"/>
        <v>-21</v>
      </c>
      <c r="AM17" s="64">
        <f t="shared" si="9"/>
        <v>10</v>
      </c>
      <c r="AN17" s="64">
        <f t="shared" si="10"/>
        <v>12</v>
      </c>
      <c r="AO17" s="59" t="s">
        <v>40</v>
      </c>
      <c r="AP17" s="14">
        <v>50</v>
      </c>
      <c r="AQ17" s="14">
        <v>30</v>
      </c>
      <c r="AR17" s="14">
        <v>10</v>
      </c>
      <c r="AS17" s="65">
        <f>COUNTIF($I$4:$P106,AO17)</f>
        <v>0</v>
      </c>
      <c r="AT17" s="65">
        <f t="shared" si="4"/>
        <v>10</v>
      </c>
      <c r="AU17" s="65">
        <f t="shared" si="5"/>
        <v>25</v>
      </c>
      <c r="AV17" s="74">
        <f>AS17+AT17+AU17</f>
        <v>35</v>
      </c>
      <c r="AW17">
        <v>18</v>
      </c>
      <c r="AX17">
        <f t="shared" si="1"/>
        <v>0</v>
      </c>
      <c r="AY17">
        <f t="shared" si="2"/>
        <v>300</v>
      </c>
      <c r="AZ17">
        <f t="shared" si="2"/>
        <v>750</v>
      </c>
      <c r="BD17" s="67">
        <f t="shared" si="7"/>
        <v>350</v>
      </c>
      <c r="BE17" s="18"/>
    </row>
    <row r="18" spans="1:57">
      <c r="A18" s="97">
        <v>46290</v>
      </c>
      <c r="B18" s="55">
        <v>1600</v>
      </c>
      <c r="C18" s="56"/>
      <c r="D18" s="55">
        <f>(SUM(粮草!A18:X18)+AG18*10*IF(AK18="是",$BB$4,$BB$3))</f>
        <v>-1260</v>
      </c>
      <c r="E18" s="57">
        <f>SUM($B$4:B18)+SUM($C$4:C18)-SUM($D$4:D18)</f>
        <v>3190</v>
      </c>
      <c r="F18" s="55">
        <f>SUM(经验!A18:X18)</f>
        <v>0</v>
      </c>
      <c r="G18" s="55">
        <f>SUM($F$4:F18)+SUM($H$4:H18)</f>
        <v>10005</v>
      </c>
      <c r="H18" s="55">
        <v>0</v>
      </c>
      <c r="I18" s="71" t="s">
        <v>49</v>
      </c>
      <c r="J18" s="71" t="s">
        <v>49</v>
      </c>
      <c r="K18" s="71" t="s">
        <v>49</v>
      </c>
      <c r="L18" s="71" t="s">
        <v>49</v>
      </c>
      <c r="M18" s="71" t="s">
        <v>49</v>
      </c>
      <c r="N18" s="71" t="s">
        <v>49</v>
      </c>
      <c r="O18" s="60" t="s">
        <v>41</v>
      </c>
      <c r="P18" s="60" t="s">
        <v>41</v>
      </c>
      <c r="Q18" t="s">
        <v>41</v>
      </c>
      <c r="R18" t="s">
        <v>41</v>
      </c>
      <c r="S18" t="s">
        <v>41</v>
      </c>
      <c r="T18" t="s">
        <v>41</v>
      </c>
      <c r="U18" t="s">
        <v>41</v>
      </c>
      <c r="V18" t="s">
        <v>41</v>
      </c>
      <c r="W18" s="60" t="s">
        <v>41</v>
      </c>
      <c r="X18" s="60" t="s">
        <v>41</v>
      </c>
      <c r="Y18" t="s">
        <v>41</v>
      </c>
      <c r="Z18" t="s">
        <v>41</v>
      </c>
      <c r="AA18" t="s">
        <v>41</v>
      </c>
      <c r="AB18" t="s">
        <v>41</v>
      </c>
      <c r="AC18" t="s">
        <v>41</v>
      </c>
      <c r="AD18" t="s">
        <v>41</v>
      </c>
      <c r="AE18" s="60" t="s">
        <v>41</v>
      </c>
      <c r="AF18" s="60" t="s">
        <v>41</v>
      </c>
      <c r="AG18" s="62">
        <f t="shared" si="3"/>
        <v>0</v>
      </c>
      <c r="AH18" s="79"/>
      <c r="AI18" s="79"/>
      <c r="AJ18" s="79"/>
      <c r="AK18" s="80" t="s">
        <v>57</v>
      </c>
      <c r="AL18" s="64">
        <f t="shared" si="8"/>
        <v>-9</v>
      </c>
      <c r="AM18" s="64">
        <f t="shared" si="9"/>
        <v>16</v>
      </c>
      <c r="AN18" s="64">
        <f t="shared" si="10"/>
        <v>18</v>
      </c>
      <c r="AO18" s="71" t="s">
        <v>49</v>
      </c>
      <c r="AP18" s="14">
        <v>-150</v>
      </c>
      <c r="AQ18" s="14">
        <v>0</v>
      </c>
      <c r="AR18" s="14">
        <v>10</v>
      </c>
      <c r="AS18" s="65">
        <f>COUNTIF($I$4:$P107,AO18)</f>
        <v>10</v>
      </c>
      <c r="AT18" s="65">
        <f t="shared" si="4"/>
        <v>3</v>
      </c>
      <c r="AU18" s="65">
        <f t="shared" si="5"/>
        <v>2</v>
      </c>
      <c r="AV18" s="74">
        <f t="shared" si="6"/>
        <v>15</v>
      </c>
      <c r="AW18">
        <v>15</v>
      </c>
      <c r="AX18">
        <f t="shared" si="1"/>
        <v>0</v>
      </c>
      <c r="AY18">
        <f t="shared" si="2"/>
        <v>0</v>
      </c>
      <c r="AZ18">
        <f t="shared" si="2"/>
        <v>0</v>
      </c>
      <c r="BD18" s="67">
        <f t="shared" si="7"/>
        <v>150</v>
      </c>
      <c r="BE18" s="18"/>
    </row>
    <row r="19" spans="1:57">
      <c r="A19" s="97">
        <v>46291</v>
      </c>
      <c r="B19" s="55">
        <v>1600</v>
      </c>
      <c r="C19" s="56"/>
      <c r="D19" s="55">
        <f>(SUM(粮草!A19:X19)+AG19*10*IF(AK19="是",$BB$4,$BB$3))</f>
        <v>-840</v>
      </c>
      <c r="E19" s="57">
        <f>SUM($B$4:B19)+SUM($C$4:C19)-SUM($D$4:D19)</f>
        <v>5630</v>
      </c>
      <c r="F19" s="55">
        <f>SUM(经验!A19:X19)</f>
        <v>0</v>
      </c>
      <c r="G19" s="55">
        <f>SUM($F$4:F19)+SUM($H$4:H19)</f>
        <v>10005</v>
      </c>
      <c r="H19" s="55">
        <v>0</v>
      </c>
      <c r="I19" s="71" t="s">
        <v>49</v>
      </c>
      <c r="J19" s="71" t="s">
        <v>49</v>
      </c>
      <c r="K19" s="71" t="s">
        <v>49</v>
      </c>
      <c r="L19" s="71" t="s">
        <v>49</v>
      </c>
      <c r="M19" t="s">
        <v>41</v>
      </c>
      <c r="N19" t="s">
        <v>41</v>
      </c>
      <c r="O19" s="60" t="s">
        <v>41</v>
      </c>
      <c r="P19" s="60" t="s">
        <v>41</v>
      </c>
      <c r="Q19" t="s">
        <v>41</v>
      </c>
      <c r="R19" t="s">
        <v>41</v>
      </c>
      <c r="S19" t="s">
        <v>41</v>
      </c>
      <c r="T19" t="s">
        <v>41</v>
      </c>
      <c r="U19" t="s">
        <v>41</v>
      </c>
      <c r="V19" t="s">
        <v>41</v>
      </c>
      <c r="W19" s="60" t="s">
        <v>41</v>
      </c>
      <c r="X19" s="60" t="s">
        <v>41</v>
      </c>
      <c r="Y19" t="s">
        <v>41</v>
      </c>
      <c r="Z19" t="s">
        <v>41</v>
      </c>
      <c r="AA19" t="s">
        <v>41</v>
      </c>
      <c r="AB19" t="s">
        <v>41</v>
      </c>
      <c r="AC19" t="s">
        <v>41</v>
      </c>
      <c r="AD19" t="s">
        <v>41</v>
      </c>
      <c r="AE19" s="60" t="s">
        <v>41</v>
      </c>
      <c r="AF19" s="60" t="s">
        <v>41</v>
      </c>
      <c r="AG19" s="62">
        <f t="shared" si="3"/>
        <v>0</v>
      </c>
      <c r="AH19" s="79"/>
      <c r="AI19" s="79"/>
      <c r="AJ19" s="79"/>
      <c r="AK19" s="80" t="s">
        <v>57</v>
      </c>
      <c r="AL19" s="64">
        <f t="shared" si="8"/>
        <v>1</v>
      </c>
      <c r="AM19" s="64">
        <f t="shared" si="9"/>
        <v>18</v>
      </c>
      <c r="AN19" s="64">
        <f t="shared" si="10"/>
        <v>18</v>
      </c>
      <c r="AO19" s="75" t="s">
        <v>52</v>
      </c>
      <c r="AP19" s="14">
        <v>250</v>
      </c>
      <c r="AQ19" s="14">
        <v>300</v>
      </c>
      <c r="AR19" s="14"/>
      <c r="AS19" s="65">
        <f>COUNTIF($I$4:$P108,AO19)</f>
        <v>0</v>
      </c>
      <c r="AT19" s="65">
        <f t="shared" si="4"/>
        <v>3</v>
      </c>
      <c r="AU19" s="65">
        <f t="shared" si="5"/>
        <v>0</v>
      </c>
      <c r="AV19" s="74">
        <f t="shared" si="6"/>
        <v>3</v>
      </c>
      <c r="AW19">
        <v>3</v>
      </c>
      <c r="AX19">
        <f t="shared" si="1"/>
        <v>0</v>
      </c>
      <c r="AY19">
        <f t="shared" si="2"/>
        <v>900</v>
      </c>
      <c r="AZ19">
        <f t="shared" si="2"/>
        <v>0</v>
      </c>
      <c r="BD19" s="67">
        <f t="shared" si="7"/>
        <v>0</v>
      </c>
      <c r="BE19" s="18"/>
    </row>
    <row r="20" spans="1:57">
      <c r="A20" s="97">
        <v>46292</v>
      </c>
      <c r="B20" s="55">
        <v>1600</v>
      </c>
      <c r="C20" s="56"/>
      <c r="D20" s="55">
        <f>(SUM(粮草!A20:X20)+AG20*10*IF(AK20="是",$BB$4,$BB$3))</f>
        <v>3648</v>
      </c>
      <c r="E20" s="57">
        <f>SUM($B$4:B20)+SUM($C$4:C20)-SUM($D$4:D20)</f>
        <v>3582</v>
      </c>
      <c r="F20" s="55">
        <f>SUM(经验!A20:X20)</f>
        <v>1320</v>
      </c>
      <c r="G20" s="55">
        <f>SUM($F$4:F20)+SUM($H$4:H20)</f>
        <v>11325</v>
      </c>
      <c r="H20" s="55">
        <v>0</v>
      </c>
      <c r="I20" s="73" t="s">
        <v>51</v>
      </c>
      <c r="J20" s="73" t="s">
        <v>51</v>
      </c>
      <c r="K20" s="73" t="s">
        <v>51</v>
      </c>
      <c r="L20" s="73" t="s">
        <v>51</v>
      </c>
      <c r="M20" s="73" t="s">
        <v>51</v>
      </c>
      <c r="N20" s="73" t="s">
        <v>51</v>
      </c>
      <c r="O20" s="73" t="s">
        <v>51</v>
      </c>
      <c r="P20" s="73" t="s">
        <v>51</v>
      </c>
      <c r="Q20" s="76" t="s">
        <v>54</v>
      </c>
      <c r="R20" s="76" t="s">
        <v>54</v>
      </c>
      <c r="S20" s="76" t="s">
        <v>54</v>
      </c>
      <c r="T20" s="76" t="s">
        <v>54</v>
      </c>
      <c r="U20" s="76" t="s">
        <v>54</v>
      </c>
      <c r="V20" s="76" t="s">
        <v>54</v>
      </c>
      <c r="W20" s="76" t="s">
        <v>54</v>
      </c>
      <c r="X20" s="76" t="s">
        <v>54</v>
      </c>
      <c r="Y20" s="77" t="s">
        <v>55</v>
      </c>
      <c r="Z20" s="77" t="s">
        <v>55</v>
      </c>
      <c r="AA20" s="77" t="s">
        <v>55</v>
      </c>
      <c r="AB20" s="77" t="s">
        <v>55</v>
      </c>
      <c r="AC20" s="77" t="s">
        <v>55</v>
      </c>
      <c r="AD20" s="77" t="s">
        <v>55</v>
      </c>
      <c r="AE20" s="77" t="s">
        <v>55</v>
      </c>
      <c r="AF20" s="77" t="s">
        <v>55</v>
      </c>
      <c r="AG20" s="62">
        <f t="shared" si="3"/>
        <v>0</v>
      </c>
      <c r="AH20" s="79"/>
      <c r="AI20" s="79"/>
      <c r="AJ20" s="79"/>
      <c r="AK20" s="80" t="s">
        <v>57</v>
      </c>
      <c r="AL20" s="64">
        <f t="shared" si="8"/>
        <v>-1</v>
      </c>
      <c r="AM20" s="64">
        <f t="shared" si="9"/>
        <v>10</v>
      </c>
      <c r="AN20" s="64">
        <f t="shared" si="10"/>
        <v>10</v>
      </c>
      <c r="AO20" s="75" t="s">
        <v>53</v>
      </c>
      <c r="AP20" s="14">
        <v>170</v>
      </c>
      <c r="AQ20" s="14">
        <v>45</v>
      </c>
      <c r="AR20" s="14"/>
      <c r="AS20" s="65">
        <f>COUNTIF($I$4:$P109,AO20)</f>
        <v>0</v>
      </c>
      <c r="AT20" s="65">
        <f t="shared" si="4"/>
        <v>5</v>
      </c>
      <c r="AU20" s="65">
        <f t="shared" si="5"/>
        <v>0</v>
      </c>
      <c r="AV20" s="74">
        <f t="shared" si="6"/>
        <v>5</v>
      </c>
      <c r="AW20">
        <v>5</v>
      </c>
      <c r="AX20">
        <f t="shared" si="1"/>
        <v>0</v>
      </c>
      <c r="AY20">
        <f t="shared" ref="AY20:AY29" si="11">AT20*$AQ20</f>
        <v>225</v>
      </c>
      <c r="AZ20">
        <f t="shared" ref="AZ20:AZ29" si="12">AU20*$AQ20</f>
        <v>0</v>
      </c>
      <c r="BD20" s="67">
        <f t="shared" si="7"/>
        <v>0</v>
      </c>
      <c r="BE20" s="18"/>
    </row>
    <row r="21" spans="1:57">
      <c r="A21" s="97">
        <v>46293</v>
      </c>
      <c r="B21" s="67">
        <v>1600</v>
      </c>
      <c r="C21" s="67"/>
      <c r="D21" s="55">
        <f>(SUM(粮草!A21:X21)+AG21*10*IF(AK21="是",$BB$4,$BB$3))</f>
        <v>3648</v>
      </c>
      <c r="E21" s="57">
        <f>SUM($B$4:B21)+SUM($C$4:C21)-SUM($D$4:D21)</f>
        <v>1534</v>
      </c>
      <c r="F21" s="55">
        <f>SUM(经验!A21:X21)</f>
        <v>1320</v>
      </c>
      <c r="G21" s="55">
        <f>SUM($F$4:F21)+SUM($H$4:H21)</f>
        <v>12845</v>
      </c>
      <c r="H21" s="67">
        <v>200</v>
      </c>
      <c r="I21" s="73" t="s">
        <v>51</v>
      </c>
      <c r="J21" s="73" t="s">
        <v>51</v>
      </c>
      <c r="K21" s="73" t="s">
        <v>51</v>
      </c>
      <c r="L21" s="73" t="s">
        <v>51</v>
      </c>
      <c r="M21" s="73" t="s">
        <v>51</v>
      </c>
      <c r="N21" s="73" t="s">
        <v>51</v>
      </c>
      <c r="O21" s="73" t="s">
        <v>51</v>
      </c>
      <c r="P21" s="73" t="s">
        <v>51</v>
      </c>
      <c r="Q21" s="76" t="s">
        <v>54</v>
      </c>
      <c r="R21" s="76" t="s">
        <v>54</v>
      </c>
      <c r="S21" s="76" t="s">
        <v>54</v>
      </c>
      <c r="T21" s="76" t="s">
        <v>54</v>
      </c>
      <c r="U21" s="76" t="s">
        <v>54</v>
      </c>
      <c r="V21" s="76" t="s">
        <v>54</v>
      </c>
      <c r="W21" s="76" t="s">
        <v>54</v>
      </c>
      <c r="X21" s="76" t="s">
        <v>54</v>
      </c>
      <c r="Y21" s="77" t="s">
        <v>55</v>
      </c>
      <c r="Z21" s="77" t="s">
        <v>55</v>
      </c>
      <c r="AA21" s="77" t="s">
        <v>55</v>
      </c>
      <c r="AB21" s="77" t="s">
        <v>55</v>
      </c>
      <c r="AC21" s="77" t="s">
        <v>55</v>
      </c>
      <c r="AD21" s="77" t="s">
        <v>55</v>
      </c>
      <c r="AE21" s="77" t="s">
        <v>55</v>
      </c>
      <c r="AF21" s="77" t="s">
        <v>55</v>
      </c>
      <c r="AG21" s="62">
        <f t="shared" si="3"/>
        <v>0</v>
      </c>
      <c r="AH21" s="79"/>
      <c r="AI21" s="79"/>
      <c r="AJ21" s="79"/>
      <c r="AK21" s="80" t="s">
        <v>57</v>
      </c>
      <c r="AL21" s="64">
        <f t="shared" si="8"/>
        <v>-3</v>
      </c>
      <c r="AM21" s="64">
        <f t="shared" si="9"/>
        <v>8</v>
      </c>
      <c r="AN21" s="64">
        <f t="shared" si="10"/>
        <v>8</v>
      </c>
      <c r="AO21" s="84" t="s">
        <v>62</v>
      </c>
      <c r="AP21" s="14">
        <v>250</v>
      </c>
      <c r="AQ21" s="14">
        <v>400</v>
      </c>
      <c r="AR21" s="14"/>
      <c r="AS21" s="65">
        <f>COUNTIF($I$4:$P110,AO21)</f>
        <v>0</v>
      </c>
      <c r="AT21" s="65">
        <f t="shared" si="4"/>
        <v>0</v>
      </c>
      <c r="AU21" s="65">
        <f t="shared" si="5"/>
        <v>0</v>
      </c>
      <c r="AV21" s="74">
        <f t="shared" si="6"/>
        <v>0</v>
      </c>
      <c r="AW21">
        <v>0</v>
      </c>
      <c r="AX21">
        <f t="shared" si="1"/>
        <v>0</v>
      </c>
      <c r="AY21">
        <f t="shared" si="11"/>
        <v>0</v>
      </c>
      <c r="AZ21">
        <f t="shared" si="12"/>
        <v>0</v>
      </c>
      <c r="BD21" s="67">
        <f t="shared" si="7"/>
        <v>0</v>
      </c>
      <c r="BE21" s="18"/>
    </row>
    <row r="22" spans="1:57">
      <c r="A22" s="97">
        <v>46294</v>
      </c>
      <c r="B22" s="67">
        <v>1600</v>
      </c>
      <c r="C22" s="67"/>
      <c r="D22" s="55">
        <f>(SUM(粮草!A22:X22)+AG22*10*IF(AK22="是",$BB$4,$BB$3))</f>
        <v>3648</v>
      </c>
      <c r="E22" s="57">
        <f>SUM($B$4:B22)+SUM($C$4:C22)-SUM($D$4:D22)</f>
        <v>-514</v>
      </c>
      <c r="F22" s="55">
        <f>SUM(经验!A22:X22)</f>
        <v>1320</v>
      </c>
      <c r="G22" s="55">
        <f>SUM($F$4:F22)+SUM($H$4:H22)</f>
        <v>14265</v>
      </c>
      <c r="H22" s="67">
        <v>100</v>
      </c>
      <c r="I22" s="73" t="s">
        <v>51</v>
      </c>
      <c r="J22" s="73" t="s">
        <v>51</v>
      </c>
      <c r="K22" s="73" t="s">
        <v>51</v>
      </c>
      <c r="L22" s="73" t="s">
        <v>51</v>
      </c>
      <c r="M22" s="73" t="s">
        <v>51</v>
      </c>
      <c r="N22" s="73" t="s">
        <v>51</v>
      </c>
      <c r="O22" s="73" t="s">
        <v>51</v>
      </c>
      <c r="P22" s="73" t="s">
        <v>51</v>
      </c>
      <c r="Q22" s="76" t="s">
        <v>54</v>
      </c>
      <c r="R22" s="76" t="s">
        <v>54</v>
      </c>
      <c r="S22" s="76" t="s">
        <v>54</v>
      </c>
      <c r="T22" s="76" t="s">
        <v>54</v>
      </c>
      <c r="U22" s="76" t="s">
        <v>54</v>
      </c>
      <c r="V22" s="76" t="s">
        <v>54</v>
      </c>
      <c r="W22" s="76" t="s">
        <v>54</v>
      </c>
      <c r="X22" s="76" t="s">
        <v>54</v>
      </c>
      <c r="Y22" s="77" t="s">
        <v>55</v>
      </c>
      <c r="Z22" s="77" t="s">
        <v>55</v>
      </c>
      <c r="AA22" s="77" t="s">
        <v>55</v>
      </c>
      <c r="AB22" s="77" t="s">
        <v>55</v>
      </c>
      <c r="AC22" s="77" t="s">
        <v>55</v>
      </c>
      <c r="AD22" s="77" t="s">
        <v>55</v>
      </c>
      <c r="AE22" s="77" t="s">
        <v>55</v>
      </c>
      <c r="AF22" s="77" t="s">
        <v>55</v>
      </c>
      <c r="AG22" s="62">
        <f t="shared" si="3"/>
        <v>0</v>
      </c>
      <c r="AH22" s="79"/>
      <c r="AI22" s="79"/>
      <c r="AJ22" s="79"/>
      <c r="AK22" s="80" t="s">
        <v>57</v>
      </c>
      <c r="AL22" s="64">
        <f t="shared" si="8"/>
        <v>-5</v>
      </c>
      <c r="AM22" s="64">
        <f t="shared" si="9"/>
        <v>6</v>
      </c>
      <c r="AN22" s="64">
        <f t="shared" si="10"/>
        <v>6</v>
      </c>
      <c r="AO22" s="85" t="s">
        <v>63</v>
      </c>
      <c r="AP22" s="14">
        <v>250</v>
      </c>
      <c r="AQ22" s="14">
        <v>1000</v>
      </c>
      <c r="AR22" s="14">
        <v>60</v>
      </c>
      <c r="AS22" s="65">
        <f>COUNTIF($I$4:$P111,AO22)</f>
        <v>0</v>
      </c>
      <c r="AT22" s="65">
        <f t="shared" si="4"/>
        <v>0</v>
      </c>
      <c r="AU22" s="65">
        <f t="shared" si="5"/>
        <v>2</v>
      </c>
      <c r="AV22" s="74">
        <f t="shared" si="6"/>
        <v>2</v>
      </c>
      <c r="AW22">
        <v>0</v>
      </c>
      <c r="AX22">
        <f t="shared" si="1"/>
        <v>0</v>
      </c>
      <c r="AY22">
        <f t="shared" si="11"/>
        <v>0</v>
      </c>
      <c r="AZ22">
        <f t="shared" si="12"/>
        <v>2000</v>
      </c>
      <c r="BD22" s="67">
        <f t="shared" si="7"/>
        <v>120</v>
      </c>
      <c r="BE22" s="18"/>
    </row>
    <row r="23" spans="1:57">
      <c r="A23" s="97">
        <v>46295</v>
      </c>
      <c r="B23" s="67">
        <v>1600</v>
      </c>
      <c r="C23" s="67"/>
      <c r="D23" s="55">
        <f>(SUM(粮草!A23:X23)+AG23*10*IF(AK23="是",$BB$4,$BB$3))</f>
        <v>3648</v>
      </c>
      <c r="E23" s="57">
        <f>SUM($B$4:B23)+SUM($C$4:C23)-SUM($D$4:D23)</f>
        <v>-2562</v>
      </c>
      <c r="F23" s="55">
        <f>SUM(经验!A23:X23)</f>
        <v>1320</v>
      </c>
      <c r="G23" s="55">
        <f>SUM($F$4:F23)+SUM($H$4:H23)</f>
        <v>15785</v>
      </c>
      <c r="H23" s="67">
        <v>200</v>
      </c>
      <c r="I23" s="73" t="s">
        <v>51</v>
      </c>
      <c r="J23" s="73" t="s">
        <v>51</v>
      </c>
      <c r="K23" s="73" t="s">
        <v>51</v>
      </c>
      <c r="L23" s="73" t="s">
        <v>51</v>
      </c>
      <c r="M23" s="73" t="s">
        <v>51</v>
      </c>
      <c r="N23" s="73" t="s">
        <v>51</v>
      </c>
      <c r="O23" s="73" t="s">
        <v>51</v>
      </c>
      <c r="P23" s="73" t="s">
        <v>51</v>
      </c>
      <c r="Q23" s="76" t="s">
        <v>54</v>
      </c>
      <c r="R23" s="76" t="s">
        <v>54</v>
      </c>
      <c r="S23" s="76" t="s">
        <v>54</v>
      </c>
      <c r="T23" s="76" t="s">
        <v>54</v>
      </c>
      <c r="U23" s="76" t="s">
        <v>54</v>
      </c>
      <c r="V23" s="76" t="s">
        <v>54</v>
      </c>
      <c r="W23" s="76" t="s">
        <v>54</v>
      </c>
      <c r="X23" s="76" t="s">
        <v>54</v>
      </c>
      <c r="Y23" s="77" t="s">
        <v>55</v>
      </c>
      <c r="Z23" s="77" t="s">
        <v>55</v>
      </c>
      <c r="AA23" s="77" t="s">
        <v>55</v>
      </c>
      <c r="AB23" s="77" t="s">
        <v>55</v>
      </c>
      <c r="AC23" s="77" t="s">
        <v>55</v>
      </c>
      <c r="AD23" s="77" t="s">
        <v>55</v>
      </c>
      <c r="AE23" s="77" t="s">
        <v>55</v>
      </c>
      <c r="AF23" s="77" t="s">
        <v>55</v>
      </c>
      <c r="AG23" s="62">
        <f t="shared" si="3"/>
        <v>0</v>
      </c>
      <c r="AH23" s="79"/>
      <c r="AI23" s="79"/>
      <c r="AJ23" s="79"/>
      <c r="AK23" s="80" t="s">
        <v>57</v>
      </c>
      <c r="AL23" s="64">
        <f t="shared" si="8"/>
        <v>-7</v>
      </c>
      <c r="AM23" s="64">
        <f t="shared" si="9"/>
        <v>4</v>
      </c>
      <c r="AN23" s="64">
        <f t="shared" si="10"/>
        <v>4</v>
      </c>
      <c r="AO23" s="86" t="s">
        <v>64</v>
      </c>
      <c r="AP23" s="14">
        <v>250</v>
      </c>
      <c r="AQ23" s="14">
        <v>500</v>
      </c>
      <c r="AR23" s="14"/>
      <c r="AS23" s="65">
        <f>COUNTIF($I$4:$P112,AO23)</f>
        <v>0</v>
      </c>
      <c r="AT23" s="65">
        <f t="shared" si="4"/>
        <v>0</v>
      </c>
      <c r="AU23" s="65">
        <f t="shared" si="5"/>
        <v>2</v>
      </c>
      <c r="AV23" s="74">
        <f t="shared" si="6"/>
        <v>2</v>
      </c>
      <c r="AW23">
        <v>0</v>
      </c>
      <c r="AX23">
        <f t="shared" si="1"/>
        <v>0</v>
      </c>
      <c r="AY23">
        <f t="shared" si="11"/>
        <v>0</v>
      </c>
      <c r="AZ23">
        <f t="shared" si="12"/>
        <v>1000</v>
      </c>
      <c r="BD23" s="67">
        <f t="shared" si="7"/>
        <v>0</v>
      </c>
      <c r="BE23" s="18"/>
    </row>
    <row r="24" spans="1:57">
      <c r="A24" s="97">
        <v>46296</v>
      </c>
      <c r="B24" s="67">
        <v>1600</v>
      </c>
      <c r="C24" s="67"/>
      <c r="D24" s="55">
        <f>(SUM(粮草!A24:X24)+AG24*10*IF(AK24="是",$BB$4,$BB$3))</f>
        <v>3648</v>
      </c>
      <c r="E24" s="57">
        <f>SUM($B$4:B24)+SUM($C$4:C24)-SUM($D$4:D24)</f>
        <v>-4610</v>
      </c>
      <c r="F24" s="55">
        <f>SUM(经验!A24:X24)</f>
        <v>1320</v>
      </c>
      <c r="G24" s="55">
        <f>SUM($F$4:F24)+SUM($H$4:H24)</f>
        <v>17105</v>
      </c>
      <c r="H24" s="67">
        <v>0</v>
      </c>
      <c r="I24" s="73" t="s">
        <v>51</v>
      </c>
      <c r="J24" s="73" t="s">
        <v>51</v>
      </c>
      <c r="K24" s="73" t="s">
        <v>51</v>
      </c>
      <c r="L24" s="73" t="s">
        <v>51</v>
      </c>
      <c r="M24" s="73" t="s">
        <v>51</v>
      </c>
      <c r="N24" s="73" t="s">
        <v>51</v>
      </c>
      <c r="O24" s="73" t="s">
        <v>51</v>
      </c>
      <c r="P24" s="73" t="s">
        <v>51</v>
      </c>
      <c r="Q24" s="76" t="s">
        <v>54</v>
      </c>
      <c r="R24" s="76" t="s">
        <v>54</v>
      </c>
      <c r="S24" s="76" t="s">
        <v>54</v>
      </c>
      <c r="T24" s="76" t="s">
        <v>54</v>
      </c>
      <c r="U24" s="76" t="s">
        <v>54</v>
      </c>
      <c r="V24" s="76" t="s">
        <v>54</v>
      </c>
      <c r="W24" s="76" t="s">
        <v>54</v>
      </c>
      <c r="X24" s="76" t="s">
        <v>54</v>
      </c>
      <c r="Y24" s="77" t="s">
        <v>55</v>
      </c>
      <c r="Z24" s="77" t="s">
        <v>55</v>
      </c>
      <c r="AA24" s="77" t="s">
        <v>55</v>
      </c>
      <c r="AB24" s="77" t="s">
        <v>55</v>
      </c>
      <c r="AC24" s="77" t="s">
        <v>55</v>
      </c>
      <c r="AD24" s="77" t="s">
        <v>55</v>
      </c>
      <c r="AE24" s="77" t="s">
        <v>55</v>
      </c>
      <c r="AF24" s="77" t="s">
        <v>55</v>
      </c>
      <c r="AG24" s="62">
        <f t="shared" si="3"/>
        <v>0</v>
      </c>
      <c r="AH24" s="79"/>
      <c r="AI24" s="79"/>
      <c r="AJ24" s="79"/>
      <c r="AK24" s="80" t="s">
        <v>57</v>
      </c>
      <c r="AL24" s="64">
        <f t="shared" si="8"/>
        <v>-9</v>
      </c>
      <c r="AM24" s="64">
        <f t="shared" si="9"/>
        <v>2</v>
      </c>
      <c r="AN24" s="64">
        <f t="shared" si="10"/>
        <v>2</v>
      </c>
      <c r="AO24" s="84" t="s">
        <v>65</v>
      </c>
      <c r="AP24" s="14">
        <v>180</v>
      </c>
      <c r="AQ24" s="14">
        <v>50</v>
      </c>
      <c r="AR24" s="14">
        <v>39.110982162825401</v>
      </c>
      <c r="AS24" s="65">
        <f>COUNTIF($I$4:$P113,AO24)</f>
        <v>0</v>
      </c>
      <c r="AT24" s="65">
        <f t="shared" si="4"/>
        <v>0</v>
      </c>
      <c r="AU24" s="65">
        <f t="shared" si="5"/>
        <v>0</v>
      </c>
      <c r="AV24" s="74">
        <f t="shared" si="6"/>
        <v>0</v>
      </c>
      <c r="AW24">
        <v>0</v>
      </c>
      <c r="AX24">
        <f t="shared" si="1"/>
        <v>0</v>
      </c>
      <c r="AY24">
        <f t="shared" si="11"/>
        <v>0</v>
      </c>
      <c r="AZ24">
        <f t="shared" si="12"/>
        <v>0</v>
      </c>
      <c r="BD24" s="67">
        <f t="shared" si="7"/>
        <v>0</v>
      </c>
      <c r="BE24" s="18"/>
    </row>
    <row r="25" spans="1:57">
      <c r="A25" s="97">
        <v>46297</v>
      </c>
      <c r="B25" s="67">
        <v>1600</v>
      </c>
      <c r="C25" s="67"/>
      <c r="D25" s="55">
        <f>(SUM(粮草!A25:X25)+AG25*10*IF(AK25="是",$BB$4,$BB$3))</f>
        <v>3648</v>
      </c>
      <c r="E25" s="57">
        <f>SUM($B$4:B25)+SUM($C$4:C25)-SUM($D$4:D25)</f>
        <v>-6658</v>
      </c>
      <c r="F25" s="55">
        <f>SUM(经验!A25:X25)</f>
        <v>1320</v>
      </c>
      <c r="G25" s="55">
        <f>SUM($F$4:F25)+SUM($H$4:H25)</f>
        <v>18425</v>
      </c>
      <c r="H25" s="67">
        <v>0</v>
      </c>
      <c r="I25" s="73" t="s">
        <v>51</v>
      </c>
      <c r="J25" s="73" t="s">
        <v>51</v>
      </c>
      <c r="K25" s="73" t="s">
        <v>51</v>
      </c>
      <c r="L25" s="73" t="s">
        <v>51</v>
      </c>
      <c r="M25" s="73" t="s">
        <v>51</v>
      </c>
      <c r="N25" s="73" t="s">
        <v>51</v>
      </c>
      <c r="O25" s="73" t="s">
        <v>51</v>
      </c>
      <c r="P25" s="73" t="s">
        <v>51</v>
      </c>
      <c r="Q25" s="76" t="s">
        <v>54</v>
      </c>
      <c r="R25" s="76" t="s">
        <v>54</v>
      </c>
      <c r="S25" s="76" t="s">
        <v>54</v>
      </c>
      <c r="T25" s="76" t="s">
        <v>54</v>
      </c>
      <c r="U25" s="76" t="s">
        <v>54</v>
      </c>
      <c r="V25" s="76" t="s">
        <v>54</v>
      </c>
      <c r="W25" s="76" t="s">
        <v>54</v>
      </c>
      <c r="X25" s="76" t="s">
        <v>54</v>
      </c>
      <c r="Y25" s="77" t="s">
        <v>55</v>
      </c>
      <c r="Z25" s="77" t="s">
        <v>55</v>
      </c>
      <c r="AA25" s="77" t="s">
        <v>55</v>
      </c>
      <c r="AB25" s="77" t="s">
        <v>55</v>
      </c>
      <c r="AC25" s="77" t="s">
        <v>55</v>
      </c>
      <c r="AD25" s="77" t="s">
        <v>55</v>
      </c>
      <c r="AE25" s="77" t="s">
        <v>55</v>
      </c>
      <c r="AF25" s="77" t="s">
        <v>55</v>
      </c>
      <c r="AG25" s="62">
        <f t="shared" si="3"/>
        <v>0</v>
      </c>
      <c r="AH25" s="79"/>
      <c r="AI25" s="79"/>
      <c r="AJ25" s="79"/>
      <c r="AK25" s="80" t="s">
        <v>57</v>
      </c>
      <c r="AL25" s="64">
        <f t="shared" si="8"/>
        <v>-11</v>
      </c>
      <c r="AM25" s="64">
        <f t="shared" si="9"/>
        <v>0</v>
      </c>
      <c r="AN25" s="64">
        <f t="shared" si="10"/>
        <v>0</v>
      </c>
      <c r="AO25" s="15" t="s">
        <v>66</v>
      </c>
      <c r="AP25" s="14">
        <v>150</v>
      </c>
      <c r="AQ25" s="14">
        <v>35</v>
      </c>
      <c r="AR25" s="14">
        <v>44.222109392472198</v>
      </c>
      <c r="AS25" s="65">
        <f>COUNTIF($I$4:$P114,AO25)</f>
        <v>0</v>
      </c>
      <c r="AT25" s="65">
        <f t="shared" si="4"/>
        <v>0</v>
      </c>
      <c r="AU25" s="65">
        <f t="shared" si="5"/>
        <v>0</v>
      </c>
      <c r="AV25" s="74">
        <f t="shared" si="6"/>
        <v>0</v>
      </c>
      <c r="AW25">
        <v>1</v>
      </c>
      <c r="AX25">
        <f t="shared" si="1"/>
        <v>0</v>
      </c>
      <c r="AY25">
        <f t="shared" si="11"/>
        <v>0</v>
      </c>
      <c r="AZ25">
        <f t="shared" si="12"/>
        <v>0</v>
      </c>
      <c r="BD25" s="67">
        <f t="shared" si="7"/>
        <v>0</v>
      </c>
      <c r="BE25" s="18"/>
    </row>
    <row r="26" spans="1:57">
      <c r="A26" s="97">
        <v>46298</v>
      </c>
      <c r="B26" s="67">
        <v>1600</v>
      </c>
      <c r="C26" s="67"/>
      <c r="D26" s="55">
        <f>(SUM(粮草!A26:X26)+AG26*10*IF(AK26="是",$BB$4,$BB$3))</f>
        <v>3648</v>
      </c>
      <c r="E26" s="57">
        <f>SUM($B$4:B26)+SUM($C$4:C26)-SUM($D$4:D26)</f>
        <v>-8706</v>
      </c>
      <c r="F26" s="55">
        <f>SUM(经验!A26:X26)</f>
        <v>1320</v>
      </c>
      <c r="G26" s="55">
        <f>SUM($F$4:F26)+SUM($H$4:H26)</f>
        <v>19745</v>
      </c>
      <c r="H26" s="67">
        <v>0</v>
      </c>
      <c r="I26" s="73" t="s">
        <v>51</v>
      </c>
      <c r="J26" s="73" t="s">
        <v>51</v>
      </c>
      <c r="K26" s="73" t="s">
        <v>51</v>
      </c>
      <c r="L26" s="73" t="s">
        <v>51</v>
      </c>
      <c r="M26" s="73" t="s">
        <v>51</v>
      </c>
      <c r="N26" s="73" t="s">
        <v>51</v>
      </c>
      <c r="O26" s="73" t="s">
        <v>51</v>
      </c>
      <c r="P26" s="73" t="s">
        <v>51</v>
      </c>
      <c r="Q26" s="76" t="s">
        <v>54</v>
      </c>
      <c r="R26" s="76" t="s">
        <v>54</v>
      </c>
      <c r="S26" s="76" t="s">
        <v>54</v>
      </c>
      <c r="T26" s="76" t="s">
        <v>54</v>
      </c>
      <c r="U26" s="76" t="s">
        <v>54</v>
      </c>
      <c r="V26" s="76" t="s">
        <v>54</v>
      </c>
      <c r="W26" s="76" t="s">
        <v>54</v>
      </c>
      <c r="X26" s="76" t="s">
        <v>54</v>
      </c>
      <c r="Y26" s="77" t="s">
        <v>55</v>
      </c>
      <c r="Z26" s="77" t="s">
        <v>55</v>
      </c>
      <c r="AA26" s="77" t="s">
        <v>55</v>
      </c>
      <c r="AB26" s="77" t="s">
        <v>55</v>
      </c>
      <c r="AC26" s="77" t="s">
        <v>55</v>
      </c>
      <c r="AD26" s="77" t="s">
        <v>55</v>
      </c>
      <c r="AE26" s="77" t="s">
        <v>55</v>
      </c>
      <c r="AF26" s="77" t="s">
        <v>55</v>
      </c>
      <c r="AG26" s="62">
        <f t="shared" si="3"/>
        <v>0</v>
      </c>
      <c r="AH26" s="79"/>
      <c r="AI26" s="79"/>
      <c r="AJ26" s="79"/>
      <c r="AK26" s="80" t="s">
        <v>57</v>
      </c>
      <c r="AL26" s="64">
        <f t="shared" si="8"/>
        <v>-13</v>
      </c>
      <c r="AM26" s="64">
        <f t="shared" si="9"/>
        <v>-2</v>
      </c>
      <c r="AN26" s="64">
        <f t="shared" si="10"/>
        <v>-2</v>
      </c>
      <c r="AO26" s="16" t="s">
        <v>67</v>
      </c>
      <c r="AP26" s="14">
        <v>150</v>
      </c>
      <c r="AQ26" s="14">
        <v>40</v>
      </c>
      <c r="AR26" s="14">
        <v>29.110982162825401</v>
      </c>
      <c r="AS26" s="65">
        <f>COUNTIF($I$4:$P115,AO26)</f>
        <v>0</v>
      </c>
      <c r="AT26" s="65">
        <f t="shared" si="4"/>
        <v>0</v>
      </c>
      <c r="AU26" s="65">
        <f t="shared" si="5"/>
        <v>0</v>
      </c>
      <c r="AV26" s="74">
        <f t="shared" si="6"/>
        <v>0</v>
      </c>
      <c r="AW26">
        <v>1</v>
      </c>
      <c r="AX26">
        <f t="shared" si="1"/>
        <v>0</v>
      </c>
      <c r="AY26">
        <f t="shared" si="11"/>
        <v>0</v>
      </c>
      <c r="AZ26">
        <f t="shared" si="12"/>
        <v>0</v>
      </c>
      <c r="BD26" s="67">
        <f t="shared" si="7"/>
        <v>0</v>
      </c>
      <c r="BE26" s="18"/>
    </row>
    <row r="27" spans="1:57">
      <c r="A27" s="97">
        <v>46299</v>
      </c>
      <c r="B27" s="67">
        <v>1600</v>
      </c>
      <c r="C27" s="67"/>
      <c r="D27" s="55">
        <f>(SUM(粮草!A27:X27)+AG27*10*IF(AK27="是",$BB$4,$BB$3))</f>
        <v>3648</v>
      </c>
      <c r="E27" s="57">
        <f>SUM($B$4:B27)+SUM($C$4:C27)-SUM($D$4:D27)</f>
        <v>-10754</v>
      </c>
      <c r="F27" s="55">
        <f>SUM(经验!A27:X27)</f>
        <v>1320</v>
      </c>
      <c r="G27" s="55">
        <f>SUM($F$4:F27)+SUM($H$4:H27)</f>
        <v>21065</v>
      </c>
      <c r="H27" s="67">
        <v>0</v>
      </c>
      <c r="I27" s="73" t="s">
        <v>51</v>
      </c>
      <c r="J27" s="73" t="s">
        <v>51</v>
      </c>
      <c r="K27" s="73" t="s">
        <v>51</v>
      </c>
      <c r="L27" s="73" t="s">
        <v>51</v>
      </c>
      <c r="M27" s="73" t="s">
        <v>51</v>
      </c>
      <c r="N27" s="73" t="s">
        <v>51</v>
      </c>
      <c r="O27" s="73" t="s">
        <v>51</v>
      </c>
      <c r="P27" s="73" t="s">
        <v>51</v>
      </c>
      <c r="Q27" s="76" t="s">
        <v>54</v>
      </c>
      <c r="R27" s="76" t="s">
        <v>54</v>
      </c>
      <c r="S27" s="76" t="s">
        <v>54</v>
      </c>
      <c r="T27" s="76" t="s">
        <v>54</v>
      </c>
      <c r="U27" s="76" t="s">
        <v>54</v>
      </c>
      <c r="V27" s="76" t="s">
        <v>54</v>
      </c>
      <c r="W27" s="76" t="s">
        <v>54</v>
      </c>
      <c r="X27" s="76" t="s">
        <v>54</v>
      </c>
      <c r="Y27" s="77" t="s">
        <v>55</v>
      </c>
      <c r="Z27" s="77" t="s">
        <v>55</v>
      </c>
      <c r="AA27" s="77" t="s">
        <v>55</v>
      </c>
      <c r="AB27" s="77" t="s">
        <v>55</v>
      </c>
      <c r="AC27" s="77" t="s">
        <v>55</v>
      </c>
      <c r="AD27" s="77" t="s">
        <v>55</v>
      </c>
      <c r="AE27" s="77" t="s">
        <v>55</v>
      </c>
      <c r="AF27" s="77" t="s">
        <v>55</v>
      </c>
      <c r="AG27" s="62">
        <f t="shared" si="3"/>
        <v>0</v>
      </c>
      <c r="AH27" s="79"/>
      <c r="AI27" s="79"/>
      <c r="AJ27" s="79"/>
      <c r="AK27" s="80" t="s">
        <v>57</v>
      </c>
      <c r="AL27" s="64">
        <f t="shared" si="8"/>
        <v>-15</v>
      </c>
      <c r="AM27" s="64">
        <f t="shared" si="9"/>
        <v>-4</v>
      </c>
      <c r="AN27" s="64">
        <f t="shared" si="10"/>
        <v>-4</v>
      </c>
      <c r="AO27" s="17" t="s">
        <v>68</v>
      </c>
      <c r="AP27" s="14">
        <v>150</v>
      </c>
      <c r="AQ27" s="14">
        <v>45</v>
      </c>
      <c r="AR27" s="14">
        <v>13.9998549331786</v>
      </c>
      <c r="AS27" s="65">
        <f>COUNTIF($I$4:$P116,AO27)</f>
        <v>0</v>
      </c>
      <c r="AT27" s="65">
        <f t="shared" si="4"/>
        <v>0</v>
      </c>
      <c r="AU27" s="65">
        <f t="shared" si="5"/>
        <v>3</v>
      </c>
      <c r="AV27" s="74">
        <f t="shared" ref="AV27:AV29" si="13">AS27+AT27+AU27</f>
        <v>3</v>
      </c>
      <c r="AW27">
        <v>0</v>
      </c>
      <c r="AX27">
        <f t="shared" si="1"/>
        <v>0</v>
      </c>
      <c r="AY27">
        <f t="shared" si="11"/>
        <v>0</v>
      </c>
      <c r="AZ27">
        <f t="shared" si="12"/>
        <v>135</v>
      </c>
      <c r="BD27" s="67">
        <f t="shared" si="7"/>
        <v>41.999564799535804</v>
      </c>
      <c r="BE27" s="18"/>
    </row>
    <row r="28" spans="1:57">
      <c r="A28" s="95">
        <v>46300</v>
      </c>
      <c r="B28" s="55">
        <v>1600</v>
      </c>
      <c r="C28" s="56"/>
      <c r="D28" s="55">
        <f>(SUM(粮草!A28:X28)+AG28*10*IF(AK28="是",$BB$4,$BB$3))</f>
        <v>3648</v>
      </c>
      <c r="E28" s="57">
        <f>SUM($B$4:B28)+SUM($C$4:C28)-SUM($D$4:D28)</f>
        <v>-12802</v>
      </c>
      <c r="F28" s="55">
        <f>SUM(经验!A28:X28)</f>
        <v>1320</v>
      </c>
      <c r="G28" s="55">
        <f>SUM($F$4:F28)+SUM($H$4:H28)</f>
        <v>22585</v>
      </c>
      <c r="H28" s="55">
        <v>200</v>
      </c>
      <c r="I28" s="73" t="s">
        <v>51</v>
      </c>
      <c r="J28" s="73" t="s">
        <v>51</v>
      </c>
      <c r="K28" s="73" t="s">
        <v>51</v>
      </c>
      <c r="L28" s="73" t="s">
        <v>51</v>
      </c>
      <c r="M28" s="73" t="s">
        <v>51</v>
      </c>
      <c r="N28" s="73" t="s">
        <v>51</v>
      </c>
      <c r="O28" s="73" t="s">
        <v>51</v>
      </c>
      <c r="P28" s="73" t="s">
        <v>51</v>
      </c>
      <c r="Q28" s="76" t="s">
        <v>54</v>
      </c>
      <c r="R28" s="76" t="s">
        <v>54</v>
      </c>
      <c r="S28" s="76" t="s">
        <v>54</v>
      </c>
      <c r="T28" s="76" t="s">
        <v>54</v>
      </c>
      <c r="U28" s="76" t="s">
        <v>54</v>
      </c>
      <c r="V28" s="76" t="s">
        <v>54</v>
      </c>
      <c r="W28" s="76" t="s">
        <v>54</v>
      </c>
      <c r="X28" s="76" t="s">
        <v>54</v>
      </c>
      <c r="Y28" s="77" t="s">
        <v>55</v>
      </c>
      <c r="Z28" s="77" t="s">
        <v>55</v>
      </c>
      <c r="AA28" s="77" t="s">
        <v>55</v>
      </c>
      <c r="AB28" s="77" t="s">
        <v>55</v>
      </c>
      <c r="AC28" s="77" t="s">
        <v>55</v>
      </c>
      <c r="AD28" s="77" t="s">
        <v>55</v>
      </c>
      <c r="AE28" s="77" t="s">
        <v>55</v>
      </c>
      <c r="AF28" s="77" t="s">
        <v>55</v>
      </c>
      <c r="AG28" s="62">
        <f t="shared" si="3"/>
        <v>0</v>
      </c>
      <c r="AH28" s="79"/>
      <c r="AI28" s="79"/>
      <c r="AJ28" s="79"/>
      <c r="AK28" s="80" t="s">
        <v>57</v>
      </c>
      <c r="AL28" s="64">
        <f t="shared" si="8"/>
        <v>-17</v>
      </c>
      <c r="AM28" s="64">
        <f t="shared" si="9"/>
        <v>-6</v>
      </c>
      <c r="AN28" s="64">
        <f t="shared" si="10"/>
        <v>-6</v>
      </c>
      <c r="AO28" s="84" t="s">
        <v>41</v>
      </c>
      <c r="AP28" s="14">
        <v>0</v>
      </c>
      <c r="AQ28" s="14">
        <v>0</v>
      </c>
      <c r="AR28" s="14"/>
      <c r="AS28">
        <v>0</v>
      </c>
      <c r="AT28">
        <v>0</v>
      </c>
      <c r="AU28">
        <v>0</v>
      </c>
      <c r="AV28" s="74">
        <f t="shared" si="13"/>
        <v>0</v>
      </c>
      <c r="AW28">
        <v>0</v>
      </c>
      <c r="AX28">
        <f t="shared" si="1"/>
        <v>0</v>
      </c>
      <c r="AY28">
        <f t="shared" si="11"/>
        <v>0</v>
      </c>
      <c r="AZ28">
        <f t="shared" si="12"/>
        <v>0</v>
      </c>
      <c r="BD28" s="67">
        <f t="shared" si="7"/>
        <v>0</v>
      </c>
      <c r="BE28" s="18"/>
    </row>
    <row r="29" spans="1:57">
      <c r="A29" s="95">
        <v>46301</v>
      </c>
      <c r="B29" s="55">
        <v>1600</v>
      </c>
      <c r="C29" s="56"/>
      <c r="D29" s="55">
        <f>(SUM(粮草!A29:X29)+AG29*10*IF(AK29="是",$BB$4,$BB$3))</f>
        <v>3648</v>
      </c>
      <c r="E29" s="57">
        <f>SUM($B$4:B29)+SUM($C$4:C29)-SUM($D$4:D29)</f>
        <v>-14850</v>
      </c>
      <c r="F29" s="55">
        <f>SUM(经验!A29:X29)</f>
        <v>1320</v>
      </c>
      <c r="G29" s="55">
        <f>SUM($F$4:F29)+SUM($H$4:H29)</f>
        <v>24005</v>
      </c>
      <c r="H29" s="55">
        <v>100</v>
      </c>
      <c r="I29" s="73" t="s">
        <v>51</v>
      </c>
      <c r="J29" s="73" t="s">
        <v>51</v>
      </c>
      <c r="K29" s="73" t="s">
        <v>51</v>
      </c>
      <c r="L29" s="73" t="s">
        <v>51</v>
      </c>
      <c r="M29" s="73" t="s">
        <v>51</v>
      </c>
      <c r="N29" s="73" t="s">
        <v>51</v>
      </c>
      <c r="O29" s="73" t="s">
        <v>51</v>
      </c>
      <c r="P29" s="73" t="s">
        <v>51</v>
      </c>
      <c r="Q29" s="76" t="s">
        <v>54</v>
      </c>
      <c r="R29" s="76" t="s">
        <v>54</v>
      </c>
      <c r="S29" s="76" t="s">
        <v>54</v>
      </c>
      <c r="T29" s="76" t="s">
        <v>54</v>
      </c>
      <c r="U29" s="76" t="s">
        <v>54</v>
      </c>
      <c r="V29" s="76" t="s">
        <v>54</v>
      </c>
      <c r="W29" s="76" t="s">
        <v>54</v>
      </c>
      <c r="X29" s="76" t="s">
        <v>54</v>
      </c>
      <c r="Y29" s="77" t="s">
        <v>55</v>
      </c>
      <c r="Z29" s="77" t="s">
        <v>55</v>
      </c>
      <c r="AA29" s="77" t="s">
        <v>55</v>
      </c>
      <c r="AB29" s="77" t="s">
        <v>55</v>
      </c>
      <c r="AC29" s="77" t="s">
        <v>55</v>
      </c>
      <c r="AD29" s="77" t="s">
        <v>55</v>
      </c>
      <c r="AE29" s="77" t="s">
        <v>55</v>
      </c>
      <c r="AF29" s="77" t="s">
        <v>55</v>
      </c>
      <c r="AG29" s="62">
        <f t="shared" si="3"/>
        <v>0</v>
      </c>
      <c r="AH29" s="79"/>
      <c r="AI29" s="79"/>
      <c r="AJ29" s="79"/>
      <c r="AK29" s="80" t="s">
        <v>57</v>
      </c>
      <c r="AL29" s="64">
        <f t="shared" si="8"/>
        <v>-19</v>
      </c>
      <c r="AM29" s="64">
        <f t="shared" si="9"/>
        <v>-8</v>
      </c>
      <c r="AN29" s="64">
        <f t="shared" si="10"/>
        <v>-8</v>
      </c>
      <c r="AO29" s="70" t="s">
        <v>48</v>
      </c>
      <c r="AP29" s="14">
        <v>50</v>
      </c>
      <c r="AQ29" s="14">
        <v>520</v>
      </c>
      <c r="AR29" s="14"/>
      <c r="AS29" s="65">
        <f>COUNTIF($I$4:$P118,AO29)</f>
        <v>0</v>
      </c>
      <c r="AT29" s="65">
        <f t="shared" si="4"/>
        <v>0</v>
      </c>
      <c r="AU29" s="65">
        <f t="shared" si="5"/>
        <v>3</v>
      </c>
      <c r="AV29" s="74">
        <f t="shared" si="13"/>
        <v>3</v>
      </c>
      <c r="AW29">
        <v>1</v>
      </c>
      <c r="AX29">
        <f t="shared" si="1"/>
        <v>0</v>
      </c>
      <c r="AY29">
        <f t="shared" si="11"/>
        <v>0</v>
      </c>
      <c r="AZ29">
        <f t="shared" si="12"/>
        <v>1560</v>
      </c>
      <c r="BD29" s="67">
        <f t="shared" si="7"/>
        <v>0</v>
      </c>
      <c r="BE29" s="18"/>
    </row>
    <row r="30" spans="1:57">
      <c r="A30" s="95">
        <v>46302</v>
      </c>
      <c r="B30" s="55">
        <v>1600</v>
      </c>
      <c r="C30" s="56"/>
      <c r="D30" s="55">
        <f>(SUM(粮草!A30:X30)+AG30*10*IF(AK30="是",$BB$4,$BB$3))</f>
        <v>3648</v>
      </c>
      <c r="E30" s="57">
        <f>SUM($B$4:B30)+SUM($C$4:C30)-SUM($D$4:D30)</f>
        <v>-16898</v>
      </c>
      <c r="F30" s="55">
        <f>SUM(经验!A30:X30)</f>
        <v>1320</v>
      </c>
      <c r="G30" s="55">
        <f>SUM($F$4:F30)+SUM($H$4:H30)</f>
        <v>25525</v>
      </c>
      <c r="H30" s="55">
        <v>200</v>
      </c>
      <c r="I30" s="73" t="s">
        <v>51</v>
      </c>
      <c r="J30" s="73" t="s">
        <v>51</v>
      </c>
      <c r="K30" s="73" t="s">
        <v>51</v>
      </c>
      <c r="L30" s="73" t="s">
        <v>51</v>
      </c>
      <c r="M30" s="73" t="s">
        <v>51</v>
      </c>
      <c r="N30" s="73" t="s">
        <v>51</v>
      </c>
      <c r="O30" s="73" t="s">
        <v>51</v>
      </c>
      <c r="P30" s="73" t="s">
        <v>51</v>
      </c>
      <c r="Q30" s="76" t="s">
        <v>54</v>
      </c>
      <c r="R30" s="76" t="s">
        <v>54</v>
      </c>
      <c r="S30" s="76" t="s">
        <v>54</v>
      </c>
      <c r="T30" s="76" t="s">
        <v>54</v>
      </c>
      <c r="U30" s="76" t="s">
        <v>54</v>
      </c>
      <c r="V30" s="76" t="s">
        <v>54</v>
      </c>
      <c r="W30" s="76" t="s">
        <v>54</v>
      </c>
      <c r="X30" s="76" t="s">
        <v>54</v>
      </c>
      <c r="Y30" s="77" t="s">
        <v>55</v>
      </c>
      <c r="Z30" s="77" t="s">
        <v>55</v>
      </c>
      <c r="AA30" s="77" t="s">
        <v>55</v>
      </c>
      <c r="AB30" s="77" t="s">
        <v>55</v>
      </c>
      <c r="AC30" s="77" t="s">
        <v>55</v>
      </c>
      <c r="AD30" s="77" t="s">
        <v>55</v>
      </c>
      <c r="AE30" s="77" t="s">
        <v>55</v>
      </c>
      <c r="AF30" s="77" t="s">
        <v>55</v>
      </c>
      <c r="AG30" s="62">
        <f t="shared" si="3"/>
        <v>0</v>
      </c>
      <c r="AH30" s="79"/>
      <c r="AI30" s="79"/>
      <c r="AJ30" s="79"/>
      <c r="AK30" s="80" t="s">
        <v>57</v>
      </c>
      <c r="AL30" s="64">
        <f t="shared" si="8"/>
        <v>-21</v>
      </c>
      <c r="AM30" s="64">
        <f t="shared" si="9"/>
        <v>-10</v>
      </c>
      <c r="AN30" s="64">
        <f t="shared" si="10"/>
        <v>-10</v>
      </c>
      <c r="AO30" s="14"/>
      <c r="AP30" s="14"/>
      <c r="AQ30" s="14"/>
      <c r="BD30" s="67">
        <f>SUM(BD4:BD29)+AG2*10</f>
        <v>40499.31960034091</v>
      </c>
      <c r="BE30" s="18"/>
    </row>
    <row r="31" spans="1:57">
      <c r="A31" s="95">
        <v>46303</v>
      </c>
      <c r="B31" s="55">
        <v>1600</v>
      </c>
      <c r="C31" s="56"/>
      <c r="D31" s="55">
        <f>(SUM(粮草!A31:X31)+AG31*10*IF(AK31="是",$BB$4,$BB$3))</f>
        <v>3648</v>
      </c>
      <c r="E31" s="57">
        <f>SUM($B$4:B31)+SUM($C$4:C31)-SUM($D$4:D31)</f>
        <v>-18946</v>
      </c>
      <c r="F31" s="55">
        <f>SUM(经验!A31:X31)</f>
        <v>1320</v>
      </c>
      <c r="G31" s="55">
        <f>SUM($F$4:F31)+SUM($H$4:H31)</f>
        <v>26845</v>
      </c>
      <c r="H31" s="55">
        <v>0</v>
      </c>
      <c r="I31" s="73" t="s">
        <v>51</v>
      </c>
      <c r="J31" s="73" t="s">
        <v>51</v>
      </c>
      <c r="K31" s="73" t="s">
        <v>51</v>
      </c>
      <c r="L31" s="73" t="s">
        <v>51</v>
      </c>
      <c r="M31" s="73" t="s">
        <v>51</v>
      </c>
      <c r="N31" s="73" t="s">
        <v>51</v>
      </c>
      <c r="O31" s="73" t="s">
        <v>51</v>
      </c>
      <c r="P31" s="73" t="s">
        <v>51</v>
      </c>
      <c r="Q31" s="76" t="s">
        <v>54</v>
      </c>
      <c r="R31" s="76" t="s">
        <v>54</v>
      </c>
      <c r="S31" s="76" t="s">
        <v>54</v>
      </c>
      <c r="T31" s="76" t="s">
        <v>54</v>
      </c>
      <c r="U31" s="76" t="s">
        <v>54</v>
      </c>
      <c r="V31" s="76" t="s">
        <v>54</v>
      </c>
      <c r="W31" s="76" t="s">
        <v>54</v>
      </c>
      <c r="X31" s="76" t="s">
        <v>54</v>
      </c>
      <c r="Y31" s="77" t="s">
        <v>55</v>
      </c>
      <c r="Z31" s="77" t="s">
        <v>55</v>
      </c>
      <c r="AA31" s="77" t="s">
        <v>55</v>
      </c>
      <c r="AB31" s="77" t="s">
        <v>55</v>
      </c>
      <c r="AC31" s="77" t="s">
        <v>55</v>
      </c>
      <c r="AD31" s="77" t="s">
        <v>55</v>
      </c>
      <c r="AE31" s="77" t="s">
        <v>55</v>
      </c>
      <c r="AF31" s="77" t="s">
        <v>55</v>
      </c>
      <c r="AG31" s="62">
        <f t="shared" si="3"/>
        <v>0</v>
      </c>
      <c r="AH31" s="79"/>
      <c r="AI31" s="79"/>
      <c r="AJ31" s="79"/>
      <c r="AK31" s="80" t="s">
        <v>57</v>
      </c>
      <c r="AL31" s="64">
        <f t="shared" si="8"/>
        <v>-23</v>
      </c>
      <c r="AM31" s="64">
        <f t="shared" si="9"/>
        <v>-12</v>
      </c>
      <c r="AN31" s="64">
        <f t="shared" ref="AN31:AN62" si="14">MIN(AN30+6,18)-COUNTIF(Y31:AF31,"&lt;&gt;空")+COUNTIF(Y31:AF31,"历练")+COUNTIF(Y31:AF31,"营地")*2+COUNTIF(Y31:AF31,"塔1")*5</f>
        <v>-12</v>
      </c>
      <c r="AO31" s="14"/>
      <c r="AP31" s="14"/>
      <c r="AQ31" s="14"/>
      <c r="BE31" s="18"/>
    </row>
    <row r="32" spans="1:57">
      <c r="A32" s="95">
        <v>46304</v>
      </c>
      <c r="B32" s="55">
        <v>1600</v>
      </c>
      <c r="C32" s="56"/>
      <c r="D32" s="55">
        <f>(SUM(粮草!A32:X32)+AG32*10*IF(AK32="是",$BB$4,$BB$3))</f>
        <v>3648</v>
      </c>
      <c r="E32" s="57">
        <f>SUM($B$4:B32)+SUM($C$4:C32)-SUM($D$4:D32)</f>
        <v>-20994</v>
      </c>
      <c r="F32" s="55">
        <f>SUM(经验!A32:X32)</f>
        <v>1320</v>
      </c>
      <c r="G32" s="55">
        <f>SUM($F$4:F32)+SUM($H$4:H32)</f>
        <v>28165</v>
      </c>
      <c r="H32" s="55">
        <v>0</v>
      </c>
      <c r="I32" s="73" t="s">
        <v>51</v>
      </c>
      <c r="J32" s="73" t="s">
        <v>51</v>
      </c>
      <c r="K32" s="73" t="s">
        <v>51</v>
      </c>
      <c r="L32" s="73" t="s">
        <v>51</v>
      </c>
      <c r="M32" s="73" t="s">
        <v>51</v>
      </c>
      <c r="N32" s="73" t="s">
        <v>51</v>
      </c>
      <c r="O32" s="73" t="s">
        <v>51</v>
      </c>
      <c r="P32" s="73" t="s">
        <v>51</v>
      </c>
      <c r="Q32" s="76" t="s">
        <v>54</v>
      </c>
      <c r="R32" s="76" t="s">
        <v>54</v>
      </c>
      <c r="S32" s="76" t="s">
        <v>54</v>
      </c>
      <c r="T32" s="76" t="s">
        <v>54</v>
      </c>
      <c r="U32" s="76" t="s">
        <v>54</v>
      </c>
      <c r="V32" s="76" t="s">
        <v>54</v>
      </c>
      <c r="W32" s="76" t="s">
        <v>54</v>
      </c>
      <c r="X32" s="76" t="s">
        <v>54</v>
      </c>
      <c r="Y32" s="77" t="s">
        <v>55</v>
      </c>
      <c r="Z32" s="77" t="s">
        <v>55</v>
      </c>
      <c r="AA32" s="77" t="s">
        <v>55</v>
      </c>
      <c r="AB32" s="77" t="s">
        <v>55</v>
      </c>
      <c r="AC32" s="77" t="s">
        <v>55</v>
      </c>
      <c r="AD32" s="77" t="s">
        <v>55</v>
      </c>
      <c r="AE32" s="77" t="s">
        <v>55</v>
      </c>
      <c r="AF32" s="77" t="s">
        <v>55</v>
      </c>
      <c r="AG32" s="62">
        <f t="shared" si="3"/>
        <v>0</v>
      </c>
      <c r="AH32" s="79"/>
      <c r="AI32" s="79"/>
      <c r="AJ32" s="79"/>
      <c r="AK32" s="80" t="s">
        <v>57</v>
      </c>
      <c r="AL32" s="64">
        <f t="shared" si="8"/>
        <v>-25</v>
      </c>
      <c r="AM32" s="64">
        <f t="shared" si="9"/>
        <v>-14</v>
      </c>
      <c r="AN32" s="64">
        <f t="shared" si="14"/>
        <v>-14</v>
      </c>
      <c r="AO32" s="14" t="s">
        <v>69</v>
      </c>
      <c r="AP32" s="14" t="s">
        <v>70</v>
      </c>
      <c r="AQ32" s="14" t="s">
        <v>71</v>
      </c>
      <c r="AR32" t="s">
        <v>28</v>
      </c>
      <c r="AS32" t="s">
        <v>72</v>
      </c>
      <c r="AU32" s="100" t="s">
        <v>95</v>
      </c>
      <c r="AV32">
        <v>1004</v>
      </c>
      <c r="BE32" s="18"/>
    </row>
    <row r="33" spans="1:57">
      <c r="A33" s="95">
        <v>46305</v>
      </c>
      <c r="B33" s="55">
        <v>1600</v>
      </c>
      <c r="C33" s="56"/>
      <c r="D33" s="55">
        <f>(SUM(粮草!A33:X33)+AG33*10*IF(AK33="是",$BB$4,$BB$3))</f>
        <v>3648</v>
      </c>
      <c r="E33" s="57">
        <f>SUM($B$4:B33)+SUM($C$4:C33)-SUM($D$4:D33)</f>
        <v>-23042</v>
      </c>
      <c r="F33" s="55">
        <f>SUM(经验!A33:X33)</f>
        <v>1320</v>
      </c>
      <c r="G33" s="55">
        <f>SUM($F$4:F33)+SUM($H$4:H33)</f>
        <v>29485</v>
      </c>
      <c r="H33" s="55">
        <v>0</v>
      </c>
      <c r="I33" s="73" t="s">
        <v>51</v>
      </c>
      <c r="J33" s="73" t="s">
        <v>51</v>
      </c>
      <c r="K33" s="73" t="s">
        <v>51</v>
      </c>
      <c r="L33" s="73" t="s">
        <v>51</v>
      </c>
      <c r="M33" s="73" t="s">
        <v>51</v>
      </c>
      <c r="N33" s="73" t="s">
        <v>51</v>
      </c>
      <c r="O33" s="73" t="s">
        <v>51</v>
      </c>
      <c r="P33" s="73" t="s">
        <v>51</v>
      </c>
      <c r="Q33" s="76" t="s">
        <v>54</v>
      </c>
      <c r="R33" s="76" t="s">
        <v>54</v>
      </c>
      <c r="S33" s="76" t="s">
        <v>54</v>
      </c>
      <c r="T33" s="76" t="s">
        <v>54</v>
      </c>
      <c r="U33" s="76" t="s">
        <v>54</v>
      </c>
      <c r="V33" s="76" t="s">
        <v>54</v>
      </c>
      <c r="W33" s="76" t="s">
        <v>54</v>
      </c>
      <c r="X33" s="76" t="s">
        <v>54</v>
      </c>
      <c r="Y33" s="77" t="s">
        <v>55</v>
      </c>
      <c r="Z33" s="77" t="s">
        <v>55</v>
      </c>
      <c r="AA33" s="77" t="s">
        <v>55</v>
      </c>
      <c r="AB33" s="77" t="s">
        <v>55</v>
      </c>
      <c r="AC33" s="77" t="s">
        <v>55</v>
      </c>
      <c r="AD33" s="77" t="s">
        <v>55</v>
      </c>
      <c r="AE33" s="77" t="s">
        <v>55</v>
      </c>
      <c r="AF33" s="77" t="s">
        <v>55</v>
      </c>
      <c r="AG33" s="62">
        <f t="shared" si="3"/>
        <v>0</v>
      </c>
      <c r="AH33" s="79"/>
      <c r="AI33" s="79"/>
      <c r="AJ33" s="79"/>
      <c r="AK33" s="80" t="s">
        <v>57</v>
      </c>
      <c r="AL33" s="64">
        <f t="shared" si="8"/>
        <v>-27</v>
      </c>
      <c r="AM33" s="64">
        <f t="shared" si="9"/>
        <v>-16</v>
      </c>
      <c r="AN33" s="64">
        <f t="shared" si="14"/>
        <v>-16</v>
      </c>
      <c r="AO33" s="72" t="s">
        <v>50</v>
      </c>
      <c r="AP33" s="14">
        <v>299</v>
      </c>
      <c r="AQ33" s="14">
        <f t="shared" ref="AQ33:AQ36" si="15">AP33-AV6</f>
        <v>0</v>
      </c>
      <c r="AR33">
        <f>AQ33*AP6*0.8</f>
        <v>0</v>
      </c>
      <c r="AS33">
        <f t="shared" ref="AS33:AS38" si="16">AQ33*AQ6</f>
        <v>0</v>
      </c>
      <c r="AU33" s="101" t="s">
        <v>96</v>
      </c>
      <c r="AV33">
        <v>2078</v>
      </c>
      <c r="BE33" s="18"/>
    </row>
    <row r="34" spans="1:57">
      <c r="A34" s="95">
        <v>46306</v>
      </c>
      <c r="B34" s="55">
        <v>1600</v>
      </c>
      <c r="C34" s="56"/>
      <c r="D34" s="55">
        <f>(SUM(粮草!A34:X34)+AG34*10*IF(AK34="是",$BB$4,$BB$3))</f>
        <v>3648</v>
      </c>
      <c r="E34" s="57">
        <f>SUM($B$4:B34)+SUM($C$4:C34)-SUM($D$4:D34)</f>
        <v>-25090</v>
      </c>
      <c r="F34" s="55">
        <f>SUM(经验!A34:X34)</f>
        <v>1320</v>
      </c>
      <c r="G34" s="55">
        <f>SUM($F$4:F34)+SUM($H$4:H34)</f>
        <v>30805</v>
      </c>
      <c r="H34" s="55">
        <v>0</v>
      </c>
      <c r="I34" s="73" t="s">
        <v>51</v>
      </c>
      <c r="J34" s="73" t="s">
        <v>51</v>
      </c>
      <c r="K34" s="73" t="s">
        <v>51</v>
      </c>
      <c r="L34" s="73" t="s">
        <v>51</v>
      </c>
      <c r="M34" s="73" t="s">
        <v>51</v>
      </c>
      <c r="N34" s="73" t="s">
        <v>51</v>
      </c>
      <c r="O34" s="73" t="s">
        <v>51</v>
      </c>
      <c r="P34" s="73" t="s">
        <v>51</v>
      </c>
      <c r="Q34" s="76" t="s">
        <v>54</v>
      </c>
      <c r="R34" s="76" t="s">
        <v>54</v>
      </c>
      <c r="S34" s="76" t="s">
        <v>54</v>
      </c>
      <c r="T34" s="76" t="s">
        <v>54</v>
      </c>
      <c r="U34" s="76" t="s">
        <v>54</v>
      </c>
      <c r="V34" s="76" t="s">
        <v>54</v>
      </c>
      <c r="W34" s="76" t="s">
        <v>54</v>
      </c>
      <c r="X34" s="76" t="s">
        <v>54</v>
      </c>
      <c r="Y34" s="77" t="s">
        <v>55</v>
      </c>
      <c r="Z34" s="77" t="s">
        <v>55</v>
      </c>
      <c r="AA34" s="77" t="s">
        <v>55</v>
      </c>
      <c r="AB34" s="77" t="s">
        <v>55</v>
      </c>
      <c r="AC34" s="77" t="s">
        <v>55</v>
      </c>
      <c r="AD34" s="77" t="s">
        <v>55</v>
      </c>
      <c r="AE34" s="77" t="s">
        <v>55</v>
      </c>
      <c r="AF34" s="77" t="s">
        <v>55</v>
      </c>
      <c r="AG34" s="62">
        <f t="shared" si="3"/>
        <v>0</v>
      </c>
      <c r="AH34" s="79"/>
      <c r="AI34" s="79"/>
      <c r="AJ34" s="79"/>
      <c r="AK34" s="80" t="s">
        <v>57</v>
      </c>
      <c r="AL34" s="64">
        <f t="shared" si="8"/>
        <v>-29</v>
      </c>
      <c r="AM34" s="64">
        <f t="shared" si="9"/>
        <v>-18</v>
      </c>
      <c r="AN34" s="64">
        <f t="shared" si="14"/>
        <v>-18</v>
      </c>
      <c r="AO34" s="73" t="s">
        <v>51</v>
      </c>
      <c r="AP34" s="14">
        <v>305</v>
      </c>
      <c r="AQ34" s="14">
        <f t="shared" si="15"/>
        <v>0</v>
      </c>
      <c r="AR34">
        <f t="shared" ref="AR34:AR36" si="17">AQ34*AP7*0.8</f>
        <v>0</v>
      </c>
      <c r="AS34">
        <f t="shared" si="16"/>
        <v>0</v>
      </c>
      <c r="BE34" s="18"/>
    </row>
    <row r="35" spans="1:57">
      <c r="A35" s="95">
        <v>46307</v>
      </c>
      <c r="B35" s="67">
        <v>1600</v>
      </c>
      <c r="C35" s="67"/>
      <c r="D35" s="55">
        <f>(SUM(粮草!A35:X35)+AG35*10*IF(AK35="是",$BB$4,$BB$3))</f>
        <v>3648</v>
      </c>
      <c r="E35" s="57">
        <f>SUM($B$4:B35)+SUM($C$4:C35)-SUM($D$4:D35)</f>
        <v>-27138</v>
      </c>
      <c r="F35" s="55">
        <f>SUM(经验!A35:X35)</f>
        <v>1320</v>
      </c>
      <c r="G35" s="55">
        <f>SUM($F$4:F35)+SUM($H$4:H35)</f>
        <v>32325</v>
      </c>
      <c r="H35" s="67">
        <v>200</v>
      </c>
      <c r="I35" s="73" t="s">
        <v>51</v>
      </c>
      <c r="J35" s="73" t="s">
        <v>51</v>
      </c>
      <c r="K35" s="73" t="s">
        <v>51</v>
      </c>
      <c r="L35" s="73" t="s">
        <v>51</v>
      </c>
      <c r="M35" s="73" t="s">
        <v>51</v>
      </c>
      <c r="N35" s="73" t="s">
        <v>51</v>
      </c>
      <c r="O35" s="73" t="s">
        <v>51</v>
      </c>
      <c r="P35" s="73" t="s">
        <v>51</v>
      </c>
      <c r="Q35" s="76" t="s">
        <v>54</v>
      </c>
      <c r="R35" s="76" t="s">
        <v>54</v>
      </c>
      <c r="S35" s="76" t="s">
        <v>54</v>
      </c>
      <c r="T35" s="76" t="s">
        <v>54</v>
      </c>
      <c r="U35" s="76" t="s">
        <v>54</v>
      </c>
      <c r="V35" s="76" t="s">
        <v>54</v>
      </c>
      <c r="W35" s="76" t="s">
        <v>54</v>
      </c>
      <c r="X35" s="76" t="s">
        <v>54</v>
      </c>
      <c r="Y35" s="77" t="s">
        <v>55</v>
      </c>
      <c r="Z35" s="77" t="s">
        <v>55</v>
      </c>
      <c r="AA35" s="77" t="s">
        <v>55</v>
      </c>
      <c r="AB35" s="77" t="s">
        <v>55</v>
      </c>
      <c r="AC35" s="77" t="s">
        <v>55</v>
      </c>
      <c r="AD35" s="77" t="s">
        <v>55</v>
      </c>
      <c r="AE35" s="77" t="s">
        <v>55</v>
      </c>
      <c r="AF35" s="77" t="s">
        <v>55</v>
      </c>
      <c r="AG35" s="62">
        <f t="shared" si="3"/>
        <v>0</v>
      </c>
      <c r="AH35" s="79"/>
      <c r="AI35" s="79"/>
      <c r="AJ35" s="79"/>
      <c r="AK35" s="80" t="s">
        <v>57</v>
      </c>
      <c r="AL35" s="64">
        <f t="shared" si="8"/>
        <v>-31</v>
      </c>
      <c r="AM35" s="64">
        <f t="shared" si="9"/>
        <v>-20</v>
      </c>
      <c r="AN35" s="64">
        <f t="shared" si="14"/>
        <v>-20</v>
      </c>
      <c r="AO35" s="76" t="s">
        <v>54</v>
      </c>
      <c r="AP35" s="14">
        <v>201</v>
      </c>
      <c r="AQ35" s="14">
        <f t="shared" si="15"/>
        <v>0</v>
      </c>
      <c r="AR35">
        <f t="shared" si="17"/>
        <v>0</v>
      </c>
      <c r="AS35">
        <f t="shared" ref="AS35:AS42" si="18">AQ35*AQ8</f>
        <v>0</v>
      </c>
      <c r="BE35" s="18"/>
    </row>
    <row r="36" spans="1:57">
      <c r="A36" s="95">
        <v>46308</v>
      </c>
      <c r="B36" s="67">
        <v>1600</v>
      </c>
      <c r="C36" s="67"/>
      <c r="D36" s="55">
        <f>(SUM(粮草!A36:X36)+AG36*10*IF(AK36="是",$BB$4,$BB$3))</f>
        <v>3648</v>
      </c>
      <c r="E36" s="57">
        <f>SUM($B$4:B36)+SUM($C$4:C36)-SUM($D$4:D36)</f>
        <v>-29186</v>
      </c>
      <c r="F36" s="55">
        <f>SUM(经验!A36:X36)</f>
        <v>1320</v>
      </c>
      <c r="G36" s="55">
        <f>SUM($F$4:F36)+SUM($H$4:H36)</f>
        <v>33745</v>
      </c>
      <c r="H36" s="67">
        <v>100</v>
      </c>
      <c r="I36" s="73" t="s">
        <v>51</v>
      </c>
      <c r="J36" s="73" t="s">
        <v>51</v>
      </c>
      <c r="K36" s="73" t="s">
        <v>51</v>
      </c>
      <c r="L36" s="73" t="s">
        <v>51</v>
      </c>
      <c r="M36" s="73" t="s">
        <v>51</v>
      </c>
      <c r="N36" s="73" t="s">
        <v>51</v>
      </c>
      <c r="O36" s="73" t="s">
        <v>51</v>
      </c>
      <c r="P36" s="73" t="s">
        <v>51</v>
      </c>
      <c r="Q36" s="76" t="s">
        <v>54</v>
      </c>
      <c r="R36" s="76" t="s">
        <v>54</v>
      </c>
      <c r="S36" s="76" t="s">
        <v>54</v>
      </c>
      <c r="T36" s="76" t="s">
        <v>54</v>
      </c>
      <c r="U36" s="76" t="s">
        <v>54</v>
      </c>
      <c r="V36" s="76" t="s">
        <v>54</v>
      </c>
      <c r="W36" s="76" t="s">
        <v>54</v>
      </c>
      <c r="X36" s="76" t="s">
        <v>54</v>
      </c>
      <c r="Y36" s="77" t="s">
        <v>55</v>
      </c>
      <c r="Z36" s="77" t="s">
        <v>55</v>
      </c>
      <c r="AA36" s="77" t="s">
        <v>55</v>
      </c>
      <c r="AB36" s="77" t="s">
        <v>55</v>
      </c>
      <c r="AC36" s="77" t="s">
        <v>55</v>
      </c>
      <c r="AD36" s="77" t="s">
        <v>55</v>
      </c>
      <c r="AE36" s="77" t="s">
        <v>55</v>
      </c>
      <c r="AF36" s="77" t="s">
        <v>55</v>
      </c>
      <c r="AG36" s="62">
        <f t="shared" si="3"/>
        <v>0</v>
      </c>
      <c r="AH36" s="79"/>
      <c r="AI36" s="79"/>
      <c r="AJ36" s="79"/>
      <c r="AK36" s="80" t="s">
        <v>57</v>
      </c>
      <c r="AL36" s="64">
        <f t="shared" si="8"/>
        <v>-33</v>
      </c>
      <c r="AM36" s="64">
        <f t="shared" si="9"/>
        <v>-22</v>
      </c>
      <c r="AN36" s="64">
        <f t="shared" si="14"/>
        <v>-22</v>
      </c>
      <c r="AO36" s="77" t="s">
        <v>55</v>
      </c>
      <c r="AP36" s="14">
        <v>165</v>
      </c>
      <c r="AQ36" s="14">
        <f t="shared" si="15"/>
        <v>0</v>
      </c>
      <c r="AR36">
        <f t="shared" si="17"/>
        <v>0</v>
      </c>
      <c r="AS36">
        <f t="shared" si="18"/>
        <v>0</v>
      </c>
      <c r="BE36" s="18"/>
    </row>
    <row r="37" spans="1:57">
      <c r="A37" s="95">
        <v>46309</v>
      </c>
      <c r="B37" s="67">
        <v>1600</v>
      </c>
      <c r="C37" s="67"/>
      <c r="D37" s="55">
        <f>(SUM(粮草!A37:X37)+AG37*10*IF(AK37="是",$BB$4,$BB$3))</f>
        <v>3648</v>
      </c>
      <c r="E37" s="57">
        <f>SUM($B$4:B37)+SUM($C$4:C37)-SUM($D$4:D37)</f>
        <v>-31234</v>
      </c>
      <c r="F37" s="55">
        <f>SUM(经验!A37:X37)</f>
        <v>1320</v>
      </c>
      <c r="G37" s="55">
        <f>SUM($F$4:F37)+SUM($H$4:H37)</f>
        <v>35265</v>
      </c>
      <c r="H37" s="67">
        <v>200</v>
      </c>
      <c r="I37" s="73" t="s">
        <v>51</v>
      </c>
      <c r="J37" s="73" t="s">
        <v>51</v>
      </c>
      <c r="K37" s="73" t="s">
        <v>51</v>
      </c>
      <c r="L37" s="73" t="s">
        <v>51</v>
      </c>
      <c r="M37" s="73" t="s">
        <v>51</v>
      </c>
      <c r="N37" s="73" t="s">
        <v>51</v>
      </c>
      <c r="O37" s="73" t="s">
        <v>51</v>
      </c>
      <c r="P37" s="73" t="s">
        <v>51</v>
      </c>
      <c r="Q37" s="76" t="s">
        <v>54</v>
      </c>
      <c r="R37" s="76" t="s">
        <v>54</v>
      </c>
      <c r="S37" s="76" t="s">
        <v>54</v>
      </c>
      <c r="T37" s="76" t="s">
        <v>54</v>
      </c>
      <c r="U37" s="76" t="s">
        <v>54</v>
      </c>
      <c r="V37" s="76" t="s">
        <v>54</v>
      </c>
      <c r="W37" s="76" t="s">
        <v>54</v>
      </c>
      <c r="X37" s="76" t="s">
        <v>54</v>
      </c>
      <c r="Y37" s="77" t="s">
        <v>55</v>
      </c>
      <c r="Z37" s="77" t="s">
        <v>55</v>
      </c>
      <c r="AA37" s="77" t="s">
        <v>55</v>
      </c>
      <c r="AB37" s="77" t="s">
        <v>55</v>
      </c>
      <c r="AC37" s="77" t="s">
        <v>55</v>
      </c>
      <c r="AD37" s="77" t="s">
        <v>55</v>
      </c>
      <c r="AE37" s="77" t="s">
        <v>55</v>
      </c>
      <c r="AF37" s="77" t="s">
        <v>55</v>
      </c>
      <c r="AG37" s="62">
        <f t="shared" si="3"/>
        <v>0</v>
      </c>
      <c r="AH37" s="79"/>
      <c r="AI37" s="79"/>
      <c r="AJ37" s="79"/>
      <c r="AK37" s="80" t="s">
        <v>57</v>
      </c>
      <c r="AL37" s="64">
        <f t="shared" si="8"/>
        <v>-35</v>
      </c>
      <c r="AM37" s="64">
        <f t="shared" si="9"/>
        <v>-24</v>
      </c>
      <c r="AN37" s="64">
        <f t="shared" si="14"/>
        <v>-24</v>
      </c>
      <c r="AO37" s="59" t="s">
        <v>40</v>
      </c>
      <c r="AP37" s="14">
        <v>35</v>
      </c>
      <c r="AQ37" s="14">
        <f>AP37-AV17</f>
        <v>0</v>
      </c>
      <c r="AR37">
        <f>AQ37*AP17*0.8</f>
        <v>0</v>
      </c>
      <c r="AS37">
        <f>AQ37*AQ17</f>
        <v>0</v>
      </c>
      <c r="BE37" s="18"/>
    </row>
    <row r="38" spans="1:57">
      <c r="A38" s="95">
        <v>46310</v>
      </c>
      <c r="B38" s="67">
        <v>1600</v>
      </c>
      <c r="C38" s="67"/>
      <c r="D38" s="55">
        <f>(SUM(粮草!A38:X38)+AG38*10*IF(AK38="是",$BB$4,$BB$3))</f>
        <v>3648</v>
      </c>
      <c r="E38" s="57">
        <f>SUM($B$4:B38)+SUM($C$4:C38)-SUM($D$4:D38)</f>
        <v>-33282</v>
      </c>
      <c r="F38" s="55">
        <f>SUM(经验!A38:X38)</f>
        <v>1320</v>
      </c>
      <c r="G38" s="55">
        <f>SUM($F$4:F38)+SUM($H$4:H38)</f>
        <v>36585</v>
      </c>
      <c r="H38" s="67">
        <v>0</v>
      </c>
      <c r="I38" s="73" t="s">
        <v>51</v>
      </c>
      <c r="J38" s="73" t="s">
        <v>51</v>
      </c>
      <c r="K38" s="73" t="s">
        <v>51</v>
      </c>
      <c r="L38" s="73" t="s">
        <v>51</v>
      </c>
      <c r="M38" s="73" t="s">
        <v>51</v>
      </c>
      <c r="N38" s="73" t="s">
        <v>51</v>
      </c>
      <c r="O38" s="73" t="s">
        <v>51</v>
      </c>
      <c r="P38" s="73" t="s">
        <v>51</v>
      </c>
      <c r="Q38" s="76" t="s">
        <v>54</v>
      </c>
      <c r="R38" s="76" t="s">
        <v>54</v>
      </c>
      <c r="S38" s="76" t="s">
        <v>54</v>
      </c>
      <c r="T38" s="76" t="s">
        <v>54</v>
      </c>
      <c r="U38" s="76" t="s">
        <v>54</v>
      </c>
      <c r="V38" s="76" t="s">
        <v>54</v>
      </c>
      <c r="W38" s="76" t="s">
        <v>54</v>
      </c>
      <c r="X38" s="76" t="s">
        <v>54</v>
      </c>
      <c r="Y38" s="77" t="s">
        <v>55</v>
      </c>
      <c r="Z38" s="77" t="s">
        <v>55</v>
      </c>
      <c r="AA38" s="77" t="s">
        <v>55</v>
      </c>
      <c r="AB38" s="77" t="s">
        <v>55</v>
      </c>
      <c r="AC38" s="77" t="s">
        <v>55</v>
      </c>
      <c r="AD38" s="77" t="s">
        <v>55</v>
      </c>
      <c r="AE38" s="77" t="s">
        <v>55</v>
      </c>
      <c r="AF38" s="77" t="s">
        <v>55</v>
      </c>
      <c r="AG38" s="62">
        <f t="shared" si="3"/>
        <v>0</v>
      </c>
      <c r="AH38" s="79"/>
      <c r="AI38" s="79"/>
      <c r="AJ38" s="79"/>
      <c r="AK38" s="80" t="s">
        <v>57</v>
      </c>
      <c r="AL38" s="64">
        <f t="shared" si="8"/>
        <v>-37</v>
      </c>
      <c r="AM38" s="64">
        <f t="shared" si="9"/>
        <v>-26</v>
      </c>
      <c r="AN38" s="64">
        <f t="shared" si="14"/>
        <v>-26</v>
      </c>
      <c r="AO38" s="16" t="s">
        <v>46</v>
      </c>
      <c r="AP38" s="14">
        <v>42</v>
      </c>
      <c r="AQ38" s="14">
        <f>AP38-AV11-AV26</f>
        <v>0</v>
      </c>
      <c r="AR38">
        <f t="shared" ref="AR38:AR42" si="19">AQ38*AP11*0.8</f>
        <v>0</v>
      </c>
      <c r="AS38">
        <f t="shared" si="16"/>
        <v>0</v>
      </c>
      <c r="BE38" s="18"/>
    </row>
    <row r="39" spans="1:57">
      <c r="A39" s="95">
        <v>46311</v>
      </c>
      <c r="B39" s="67">
        <v>1600</v>
      </c>
      <c r="C39" s="67"/>
      <c r="D39" s="55">
        <f>(SUM(粮草!A39:X39)+AG39*10*IF(AK39="是",$BB$4,$BB$3))</f>
        <v>3648</v>
      </c>
      <c r="E39" s="57">
        <f>SUM($B$4:B39)+SUM($C$4:C39)-SUM($D$4:D39)</f>
        <v>-35330</v>
      </c>
      <c r="F39" s="55">
        <f>SUM(经验!A39:X39)</f>
        <v>1320</v>
      </c>
      <c r="G39" s="55">
        <f>SUM($F$4:F39)+SUM($H$4:H39)</f>
        <v>37905</v>
      </c>
      <c r="H39" s="67">
        <v>0</v>
      </c>
      <c r="I39" s="73" t="s">
        <v>51</v>
      </c>
      <c r="J39" s="73" t="s">
        <v>51</v>
      </c>
      <c r="K39" s="73" t="s">
        <v>51</v>
      </c>
      <c r="L39" s="73" t="s">
        <v>51</v>
      </c>
      <c r="M39" s="73" t="s">
        <v>51</v>
      </c>
      <c r="N39" s="73" t="s">
        <v>51</v>
      </c>
      <c r="O39" s="73" t="s">
        <v>51</v>
      </c>
      <c r="P39" s="73" t="s">
        <v>51</v>
      </c>
      <c r="Q39" s="76" t="s">
        <v>54</v>
      </c>
      <c r="R39" s="76" t="s">
        <v>54</v>
      </c>
      <c r="S39" s="76" t="s">
        <v>54</v>
      </c>
      <c r="T39" s="76" t="s">
        <v>54</v>
      </c>
      <c r="U39" s="76" t="s">
        <v>54</v>
      </c>
      <c r="V39" s="76" t="s">
        <v>54</v>
      </c>
      <c r="W39" s="76" t="s">
        <v>54</v>
      </c>
      <c r="X39" s="76" t="s">
        <v>54</v>
      </c>
      <c r="Y39" s="77" t="s">
        <v>55</v>
      </c>
      <c r="Z39" s="77" t="s">
        <v>55</v>
      </c>
      <c r="AA39" s="77" t="s">
        <v>55</v>
      </c>
      <c r="AB39" s="77" t="s">
        <v>55</v>
      </c>
      <c r="AC39" s="77" t="s">
        <v>55</v>
      </c>
      <c r="AD39" s="77" t="s">
        <v>55</v>
      </c>
      <c r="AE39" s="77" t="s">
        <v>55</v>
      </c>
      <c r="AF39" s="77" t="s">
        <v>55</v>
      </c>
      <c r="AG39" s="62">
        <f t="shared" ref="AG39:AG49" si="20">AH39+AI39+AJ39</f>
        <v>0</v>
      </c>
      <c r="AH39" s="79"/>
      <c r="AI39" s="79"/>
      <c r="AJ39" s="79"/>
      <c r="AK39" s="80" t="s">
        <v>57</v>
      </c>
      <c r="AL39" s="64">
        <f t="shared" si="8"/>
        <v>-39</v>
      </c>
      <c r="AM39" s="64">
        <f t="shared" si="9"/>
        <v>-28</v>
      </c>
      <c r="AN39" s="64">
        <f t="shared" si="14"/>
        <v>-28</v>
      </c>
      <c r="AO39" s="17" t="s">
        <v>58</v>
      </c>
      <c r="AP39" s="87">
        <v>4</v>
      </c>
      <c r="AQ39" s="14">
        <f>AP39-AV12-AV27</f>
        <v>0</v>
      </c>
      <c r="AR39">
        <f t="shared" si="19"/>
        <v>0</v>
      </c>
      <c r="AS39">
        <f t="shared" si="18"/>
        <v>0</v>
      </c>
      <c r="BE39" s="18"/>
    </row>
    <row r="40" spans="1:57">
      <c r="A40" s="95">
        <v>46312</v>
      </c>
      <c r="B40" s="67">
        <v>1600</v>
      </c>
      <c r="C40" s="67"/>
      <c r="D40" s="55">
        <f>(SUM(粮草!A40:X40)+AG40*10*IF(AK40="是",$BB$4,$BB$3))</f>
        <v>3528</v>
      </c>
      <c r="E40" s="57">
        <f>SUM($B$4:B40)+SUM($C$4:C40)-SUM($D$4:D40)</f>
        <v>-37258</v>
      </c>
      <c r="F40" s="55">
        <f>SUM(经验!A40:X40)</f>
        <v>1275</v>
      </c>
      <c r="G40" s="55">
        <f>SUM($F$4:F40)+SUM($H$4:H40)</f>
        <v>39180</v>
      </c>
      <c r="H40" s="67">
        <v>0</v>
      </c>
      <c r="I40" s="73" t="s">
        <v>51</v>
      </c>
      <c r="J40" s="73" t="s">
        <v>51</v>
      </c>
      <c r="K40" s="73" t="s">
        <v>51</v>
      </c>
      <c r="L40" s="73" t="s">
        <v>51</v>
      </c>
      <c r="M40" s="73" t="s">
        <v>51</v>
      </c>
      <c r="N40" s="73" t="s">
        <v>51</v>
      </c>
      <c r="O40" s="73" t="s">
        <v>51</v>
      </c>
      <c r="P40" s="73" t="s">
        <v>51</v>
      </c>
      <c r="Q40" s="76" t="s">
        <v>54</v>
      </c>
      <c r="R40" s="76" t="s">
        <v>54</v>
      </c>
      <c r="S40" s="76" t="s">
        <v>54</v>
      </c>
      <c r="T40" s="76" t="s">
        <v>54</v>
      </c>
      <c r="U40" s="76" t="s">
        <v>54</v>
      </c>
      <c r="V40" s="76" t="s">
        <v>54</v>
      </c>
      <c r="W40" s="76" t="s">
        <v>54</v>
      </c>
      <c r="X40" s="76" t="s">
        <v>54</v>
      </c>
      <c r="Y40" s="77" t="s">
        <v>55</v>
      </c>
      <c r="Z40" s="77" t="s">
        <v>55</v>
      </c>
      <c r="AA40" s="77" t="s">
        <v>55</v>
      </c>
      <c r="AB40" s="77" t="s">
        <v>55</v>
      </c>
      <c r="AC40" s="77" t="s">
        <v>55</v>
      </c>
      <c r="AD40" s="17" t="s">
        <v>68</v>
      </c>
      <c r="AE40" s="17" t="s">
        <v>68</v>
      </c>
      <c r="AF40" s="17" t="s">
        <v>68</v>
      </c>
      <c r="AG40" s="62">
        <f t="shared" si="20"/>
        <v>0</v>
      </c>
      <c r="AH40" s="79"/>
      <c r="AI40" s="79"/>
      <c r="AJ40" s="79"/>
      <c r="AK40" s="80" t="s">
        <v>57</v>
      </c>
      <c r="AL40" s="64">
        <f t="shared" si="8"/>
        <v>-41</v>
      </c>
      <c r="AM40" s="64">
        <f t="shared" si="9"/>
        <v>-30</v>
      </c>
      <c r="AN40" s="64">
        <f t="shared" si="14"/>
        <v>-30</v>
      </c>
      <c r="AO40" s="81" t="s">
        <v>59</v>
      </c>
      <c r="AP40" s="87">
        <v>3</v>
      </c>
      <c r="AQ40" s="14">
        <f t="shared" ref="AQ40:AQ42" si="21">AP40-AV13</f>
        <v>0</v>
      </c>
      <c r="AR40">
        <f t="shared" si="19"/>
        <v>0</v>
      </c>
      <c r="AS40">
        <f t="shared" si="18"/>
        <v>0</v>
      </c>
      <c r="BE40" s="18"/>
    </row>
    <row r="41" spans="1:57">
      <c r="A41" s="95">
        <v>46313</v>
      </c>
      <c r="B41" s="67">
        <v>1600</v>
      </c>
      <c r="C41" s="67"/>
      <c r="D41" s="55">
        <f>(SUM(粮草!A41:X41)+AG41*10*IF(AK41="是",$BB$4,$BB$3))</f>
        <v>2688</v>
      </c>
      <c r="E41" s="57">
        <f>SUM($B$4:B41)+SUM($C$4:C41)-SUM($D$4:D41)</f>
        <v>-38346</v>
      </c>
      <c r="F41" s="55">
        <f>SUM(经验!A41:X41)</f>
        <v>1080</v>
      </c>
      <c r="G41" s="55">
        <f>SUM($F$4:F41)+SUM($H$4:H41)</f>
        <v>40260</v>
      </c>
      <c r="H41" s="67">
        <v>0</v>
      </c>
      <c r="I41" s="73" t="s">
        <v>51</v>
      </c>
      <c r="J41" s="73" t="s">
        <v>51</v>
      </c>
      <c r="K41" s="73" t="s">
        <v>51</v>
      </c>
      <c r="L41" s="73" t="s">
        <v>51</v>
      </c>
      <c r="M41" s="73" t="s">
        <v>51</v>
      </c>
      <c r="N41" s="73" t="s">
        <v>51</v>
      </c>
      <c r="O41" s="73" t="s">
        <v>51</v>
      </c>
      <c r="P41" s="73" t="s">
        <v>51</v>
      </c>
      <c r="Q41" s="76" t="s">
        <v>54</v>
      </c>
      <c r="R41" s="76" t="s">
        <v>54</v>
      </c>
      <c r="S41" s="76" t="s">
        <v>54</v>
      </c>
      <c r="T41" s="76" t="s">
        <v>54</v>
      </c>
      <c r="U41" s="76" t="s">
        <v>54</v>
      </c>
      <c r="V41" s="76" t="s">
        <v>54</v>
      </c>
      <c r="W41" s="76" t="s">
        <v>54</v>
      </c>
      <c r="X41" s="76" t="s">
        <v>54</v>
      </c>
      <c r="Y41" s="59" t="s">
        <v>40</v>
      </c>
      <c r="Z41" s="59" t="s">
        <v>40</v>
      </c>
      <c r="AA41" s="59" t="s">
        <v>40</v>
      </c>
      <c r="AB41" s="59" t="s">
        <v>40</v>
      </c>
      <c r="AC41" s="59" t="s">
        <v>40</v>
      </c>
      <c r="AD41" s="59" t="s">
        <v>40</v>
      </c>
      <c r="AE41" s="59" t="s">
        <v>40</v>
      </c>
      <c r="AF41" s="59" t="s">
        <v>40</v>
      </c>
      <c r="AG41" s="62">
        <f t="shared" si="20"/>
        <v>0</v>
      </c>
      <c r="AH41" s="79"/>
      <c r="AI41" s="79"/>
      <c r="AJ41" s="79"/>
      <c r="AK41" s="80" t="s">
        <v>57</v>
      </c>
      <c r="AL41" s="64">
        <f t="shared" si="8"/>
        <v>-43</v>
      </c>
      <c r="AM41" s="64">
        <f t="shared" si="9"/>
        <v>-32</v>
      </c>
      <c r="AN41" s="64">
        <f t="shared" si="14"/>
        <v>-32</v>
      </c>
      <c r="AO41" s="78" t="s">
        <v>56</v>
      </c>
      <c r="AP41" s="87">
        <v>3</v>
      </c>
      <c r="AQ41" s="14">
        <f t="shared" si="21"/>
        <v>0</v>
      </c>
      <c r="AR41">
        <f t="shared" si="19"/>
        <v>0</v>
      </c>
      <c r="AS41">
        <f t="shared" si="18"/>
        <v>0</v>
      </c>
      <c r="BE41" s="18"/>
    </row>
    <row r="42" spans="1:57">
      <c r="A42" s="95">
        <v>46314</v>
      </c>
      <c r="B42" s="55">
        <v>1600</v>
      </c>
      <c r="C42" s="56"/>
      <c r="D42" s="55">
        <f>(SUM(粮草!A42:X42)+AG42*10*IF(AK42="是",$BB$4,$BB$3))</f>
        <v>2688</v>
      </c>
      <c r="E42" s="57">
        <f>SUM($B$4:B42)+SUM($C$4:C42)-SUM($D$4:D42)</f>
        <v>-39434</v>
      </c>
      <c r="F42" s="55">
        <f>SUM(经验!A42:X42)</f>
        <v>1080</v>
      </c>
      <c r="G42" s="55">
        <f>SUM($F$4:F42)+SUM($H$4:H42)</f>
        <v>41640</v>
      </c>
      <c r="H42" s="55">
        <v>300</v>
      </c>
      <c r="I42" s="73" t="s">
        <v>51</v>
      </c>
      <c r="J42" s="73" t="s">
        <v>51</v>
      </c>
      <c r="K42" s="73" t="s">
        <v>51</v>
      </c>
      <c r="L42" s="73" t="s">
        <v>51</v>
      </c>
      <c r="M42" s="73" t="s">
        <v>51</v>
      </c>
      <c r="N42" s="73" t="s">
        <v>51</v>
      </c>
      <c r="O42" s="73" t="s">
        <v>51</v>
      </c>
      <c r="P42" s="73" t="s">
        <v>51</v>
      </c>
      <c r="Q42" s="76" t="s">
        <v>54</v>
      </c>
      <c r="R42" s="76" t="s">
        <v>54</v>
      </c>
      <c r="S42" s="76" t="s">
        <v>54</v>
      </c>
      <c r="T42" s="76" t="s">
        <v>54</v>
      </c>
      <c r="U42" s="76" t="s">
        <v>54</v>
      </c>
      <c r="V42" s="76" t="s">
        <v>54</v>
      </c>
      <c r="W42" s="76" t="s">
        <v>54</v>
      </c>
      <c r="X42" s="76" t="s">
        <v>54</v>
      </c>
      <c r="Y42" s="59" t="s">
        <v>40</v>
      </c>
      <c r="Z42" s="59" t="s">
        <v>40</v>
      </c>
      <c r="AA42" s="59" t="s">
        <v>40</v>
      </c>
      <c r="AB42" s="59" t="s">
        <v>40</v>
      </c>
      <c r="AC42" s="59" t="s">
        <v>40</v>
      </c>
      <c r="AD42" s="59" t="s">
        <v>40</v>
      </c>
      <c r="AE42" s="59" t="s">
        <v>40</v>
      </c>
      <c r="AF42" s="59" t="s">
        <v>40</v>
      </c>
      <c r="AG42" s="62">
        <f t="shared" si="20"/>
        <v>0</v>
      </c>
      <c r="AH42" s="79"/>
      <c r="AI42" s="79"/>
      <c r="AJ42" s="79"/>
      <c r="AK42" s="80" t="s">
        <v>57</v>
      </c>
      <c r="AL42" s="64">
        <f t="shared" si="8"/>
        <v>-45</v>
      </c>
      <c r="AM42" s="64">
        <f t="shared" si="9"/>
        <v>-34</v>
      </c>
      <c r="AN42" s="64">
        <f t="shared" si="14"/>
        <v>-34</v>
      </c>
      <c r="AO42" s="82" t="s">
        <v>60</v>
      </c>
      <c r="AP42" s="87">
        <v>1</v>
      </c>
      <c r="AQ42" s="14">
        <f t="shared" si="21"/>
        <v>0</v>
      </c>
      <c r="AR42">
        <f t="shared" si="19"/>
        <v>0</v>
      </c>
      <c r="AS42">
        <f t="shared" si="18"/>
        <v>0</v>
      </c>
      <c r="BE42" s="18"/>
    </row>
    <row r="43" spans="1:57">
      <c r="A43" s="95">
        <v>46315</v>
      </c>
      <c r="B43" s="55">
        <v>1600</v>
      </c>
      <c r="C43" s="56"/>
      <c r="D43" s="55">
        <f>(SUM(粮草!A43:X43)+AG43*10*IF(AK43="是",$BB$4,$BB$3))</f>
        <v>2688</v>
      </c>
      <c r="E43" s="57">
        <f>SUM($B$4:B43)+SUM($C$4:C43)-SUM($D$4:D43)</f>
        <v>-40522</v>
      </c>
      <c r="F43" s="55">
        <f>SUM(经验!A43:X43)</f>
        <v>1080</v>
      </c>
      <c r="G43" s="55">
        <f>SUM($F$4:F43)+SUM($H$4:H43)</f>
        <v>42720</v>
      </c>
      <c r="H43" s="55">
        <v>0</v>
      </c>
      <c r="I43" s="73" t="s">
        <v>51</v>
      </c>
      <c r="J43" s="73" t="s">
        <v>51</v>
      </c>
      <c r="K43" s="73" t="s">
        <v>51</v>
      </c>
      <c r="L43" s="73" t="s">
        <v>51</v>
      </c>
      <c r="M43" s="73" t="s">
        <v>51</v>
      </c>
      <c r="N43" s="73" t="s">
        <v>51</v>
      </c>
      <c r="O43" s="73" t="s">
        <v>51</v>
      </c>
      <c r="P43" s="73" t="s">
        <v>51</v>
      </c>
      <c r="Q43" s="76" t="s">
        <v>54</v>
      </c>
      <c r="R43" s="76" t="s">
        <v>54</v>
      </c>
      <c r="S43" s="76" t="s">
        <v>54</v>
      </c>
      <c r="T43" s="76" t="s">
        <v>54</v>
      </c>
      <c r="U43" s="76" t="s">
        <v>54</v>
      </c>
      <c r="V43" s="76" t="s">
        <v>54</v>
      </c>
      <c r="W43" s="76" t="s">
        <v>54</v>
      </c>
      <c r="X43" s="76" t="s">
        <v>54</v>
      </c>
      <c r="Y43" s="59" t="s">
        <v>40</v>
      </c>
      <c r="Z43" s="59" t="s">
        <v>40</v>
      </c>
      <c r="AA43" s="59" t="s">
        <v>40</v>
      </c>
      <c r="AB43" s="59" t="s">
        <v>40</v>
      </c>
      <c r="AC43" s="59" t="s">
        <v>40</v>
      </c>
      <c r="AD43" s="59" t="s">
        <v>40</v>
      </c>
      <c r="AE43" s="59" t="s">
        <v>40</v>
      </c>
      <c r="AF43" s="59" t="s">
        <v>40</v>
      </c>
      <c r="AG43" s="62">
        <f t="shared" si="20"/>
        <v>0</v>
      </c>
      <c r="AH43" s="79"/>
      <c r="AI43" s="79"/>
      <c r="AJ43" s="79"/>
      <c r="AK43" s="80" t="s">
        <v>57</v>
      </c>
      <c r="AL43" s="64">
        <f t="shared" si="8"/>
        <v>-47</v>
      </c>
      <c r="AM43" s="64">
        <f t="shared" si="9"/>
        <v>-36</v>
      </c>
      <c r="AN43" s="64">
        <f t="shared" si="14"/>
        <v>-36</v>
      </c>
      <c r="AO43" s="86" t="s">
        <v>64</v>
      </c>
      <c r="AP43" s="87">
        <v>2</v>
      </c>
      <c r="AQ43" s="87">
        <f>AP43-AV23</f>
        <v>0</v>
      </c>
      <c r="AR43">
        <f>AQ43*AP23*0.8</f>
        <v>0</v>
      </c>
      <c r="AS43">
        <f>AQ43*AQ23</f>
        <v>0</v>
      </c>
      <c r="BE43" s="18"/>
    </row>
    <row r="44" spans="1:57">
      <c r="A44" s="95">
        <v>46316</v>
      </c>
      <c r="B44" s="55">
        <v>1600</v>
      </c>
      <c r="C44" s="56"/>
      <c r="D44" s="55">
        <f>(SUM(粮草!A44:X44)+AG44*10*IF(AK44="是",$BB$4,$BB$3))</f>
        <v>3208</v>
      </c>
      <c r="E44" s="57">
        <f>SUM($B$4:B44)+SUM($C$4:C44)-SUM($D$4:D44)</f>
        <v>-42130</v>
      </c>
      <c r="F44" s="55">
        <f>SUM(经验!A44:X44)</f>
        <v>1215</v>
      </c>
      <c r="G44" s="55">
        <f>SUM($F$4:F44)+SUM($H$4:H44)</f>
        <v>44135</v>
      </c>
      <c r="H44" s="55">
        <v>200</v>
      </c>
      <c r="I44" s="73" t="s">
        <v>51</v>
      </c>
      <c r="J44" s="73" t="s">
        <v>51</v>
      </c>
      <c r="K44" s="73" t="s">
        <v>51</v>
      </c>
      <c r="L44" s="73" t="s">
        <v>51</v>
      </c>
      <c r="M44" s="73" t="s">
        <v>51</v>
      </c>
      <c r="N44" s="73" t="s">
        <v>51</v>
      </c>
      <c r="O44" s="73" t="s">
        <v>51</v>
      </c>
      <c r="P44" s="73" t="s">
        <v>51</v>
      </c>
      <c r="Q44" s="76" t="s">
        <v>54</v>
      </c>
      <c r="R44" s="76" t="s">
        <v>54</v>
      </c>
      <c r="S44" s="76" t="s">
        <v>54</v>
      </c>
      <c r="T44" s="76" t="s">
        <v>54</v>
      </c>
      <c r="U44" s="76" t="s">
        <v>54</v>
      </c>
      <c r="V44" s="76" t="s">
        <v>54</v>
      </c>
      <c r="W44" s="76" t="s">
        <v>54</v>
      </c>
      <c r="X44" s="76" t="s">
        <v>54</v>
      </c>
      <c r="Y44" s="81" t="s">
        <v>59</v>
      </c>
      <c r="Z44" s="81" t="s">
        <v>59</v>
      </c>
      <c r="AA44" s="81" t="s">
        <v>59</v>
      </c>
      <c r="AB44" s="78" t="s">
        <v>56</v>
      </c>
      <c r="AC44" s="78" t="s">
        <v>56</v>
      </c>
      <c r="AD44" s="78" t="s">
        <v>56</v>
      </c>
      <c r="AE44" s="82" t="s">
        <v>60</v>
      </c>
      <c r="AF44" s="60" t="s">
        <v>41</v>
      </c>
      <c r="AG44" s="62">
        <f t="shared" si="20"/>
        <v>0</v>
      </c>
      <c r="AH44" s="79"/>
      <c r="AI44" s="79"/>
      <c r="AJ44" s="79"/>
      <c r="AK44" s="80" t="s">
        <v>57</v>
      </c>
      <c r="AL44" s="64">
        <f t="shared" si="8"/>
        <v>-49</v>
      </c>
      <c r="AM44" s="64">
        <f t="shared" si="9"/>
        <v>-38</v>
      </c>
      <c r="AN44" s="64">
        <f t="shared" si="14"/>
        <v>-37</v>
      </c>
      <c r="AO44" s="70" t="s">
        <v>48</v>
      </c>
      <c r="AP44" s="87">
        <v>3</v>
      </c>
      <c r="AQ44">
        <f>AP44-AV29</f>
        <v>0</v>
      </c>
      <c r="AR44">
        <f>AQ44*AP29*0.8</f>
        <v>0</v>
      </c>
      <c r="AS44">
        <f>AQ44*AQ29</f>
        <v>0</v>
      </c>
      <c r="BE44" s="18"/>
    </row>
    <row r="45" spans="1:57">
      <c r="A45" s="95">
        <v>46317</v>
      </c>
      <c r="B45" s="55">
        <v>1600</v>
      </c>
      <c r="C45" s="56"/>
      <c r="D45" s="55">
        <f>(SUM(粮草!A45:X45)+AG45*10*IF(AK45="是",$BB$4,$BB$3))</f>
        <v>2224</v>
      </c>
      <c r="E45" s="57">
        <f>SUM($B$4:B45)+SUM($C$4:C45)-SUM($D$4:D45)</f>
        <v>-42754</v>
      </c>
      <c r="F45" s="55">
        <f>SUM(经验!A45:X45)</f>
        <v>5015</v>
      </c>
      <c r="G45" s="55">
        <f>SUM($F$4:F45)+SUM($H$4:H45)</f>
        <v>49150</v>
      </c>
      <c r="H45" s="55">
        <v>0</v>
      </c>
      <c r="I45" s="73" t="s">
        <v>51</v>
      </c>
      <c r="J45" s="73" t="s">
        <v>51</v>
      </c>
      <c r="K45" s="73" t="s">
        <v>51</v>
      </c>
      <c r="L45" s="73" t="s">
        <v>51</v>
      </c>
      <c r="M45" s="73" t="s">
        <v>51</v>
      </c>
      <c r="N45" s="73" t="s">
        <v>51</v>
      </c>
      <c r="O45" s="73" t="s">
        <v>51</v>
      </c>
      <c r="P45" s="73" t="s">
        <v>51</v>
      </c>
      <c r="Q45" s="76" t="s">
        <v>54</v>
      </c>
      <c r="R45" t="s">
        <v>41</v>
      </c>
      <c r="S45" t="s">
        <v>41</v>
      </c>
      <c r="T45" t="s">
        <v>41</v>
      </c>
      <c r="U45" t="s">
        <v>41</v>
      </c>
      <c r="V45" t="s">
        <v>41</v>
      </c>
      <c r="W45" s="60" t="s">
        <v>41</v>
      </c>
      <c r="X45" s="60" t="s">
        <v>41</v>
      </c>
      <c r="Y45" s="86" t="s">
        <v>64</v>
      </c>
      <c r="Z45" s="86" t="s">
        <v>64</v>
      </c>
      <c r="AA45" s="85" t="s">
        <v>63</v>
      </c>
      <c r="AB45" s="85" t="s">
        <v>63</v>
      </c>
      <c r="AC45" s="70" t="s">
        <v>48</v>
      </c>
      <c r="AD45" s="70" t="s">
        <v>48</v>
      </c>
      <c r="AE45" s="70" t="s">
        <v>48</v>
      </c>
      <c r="AF45" s="60" t="s">
        <v>41</v>
      </c>
      <c r="AG45" s="62">
        <f t="shared" si="20"/>
        <v>0</v>
      </c>
      <c r="AH45" s="79"/>
      <c r="AI45" s="79"/>
      <c r="AJ45" s="79"/>
      <c r="AK45" s="80" t="s">
        <v>57</v>
      </c>
      <c r="AL45" s="64">
        <f t="shared" si="8"/>
        <v>-51</v>
      </c>
      <c r="AM45" s="64">
        <f t="shared" si="9"/>
        <v>-33</v>
      </c>
      <c r="AN45" s="64">
        <f t="shared" si="14"/>
        <v>-35</v>
      </c>
      <c r="AO45" s="85" t="s">
        <v>63</v>
      </c>
      <c r="AP45" s="87">
        <v>2</v>
      </c>
      <c r="AQ45">
        <f>AP45-AV22</f>
        <v>0</v>
      </c>
      <c r="AR45">
        <f>AQ45*AP22*0.8</f>
        <v>0</v>
      </c>
      <c r="AS45">
        <f>AQ45*AQ22</f>
        <v>0</v>
      </c>
      <c r="BE45" s="18"/>
    </row>
    <row r="46" spans="1:57">
      <c r="A46" s="97">
        <v>46318</v>
      </c>
      <c r="B46" s="55">
        <v>1600</v>
      </c>
      <c r="C46" s="56"/>
      <c r="D46" s="55">
        <f>(SUM(粮草!A46:X46)+AG46*10*IF(AK46="是",$BB$4,$BB$3))</f>
        <v>1152</v>
      </c>
      <c r="E46" s="57">
        <f>SUM($B$4:B46)+SUM($C$4:C46)-SUM($D$4:D46)</f>
        <v>-42306</v>
      </c>
      <c r="F46" s="55">
        <f>SUM(经验!A46:X46)</f>
        <v>400</v>
      </c>
      <c r="G46" s="55">
        <f>SUM($F$4:F46)+SUM($H$4:H46)</f>
        <v>49550</v>
      </c>
      <c r="H46" s="55">
        <v>0</v>
      </c>
      <c r="I46" s="73" t="s">
        <v>51</v>
      </c>
      <c r="J46" s="73" t="s">
        <v>51</v>
      </c>
      <c r="K46" s="73" t="s">
        <v>51</v>
      </c>
      <c r="L46" s="73" t="s">
        <v>51</v>
      </c>
      <c r="M46" s="73" t="s">
        <v>51</v>
      </c>
      <c r="N46" s="73" t="s">
        <v>51</v>
      </c>
      <c r="O46" s="73" t="s">
        <v>51</v>
      </c>
      <c r="P46" s="73" t="s">
        <v>51</v>
      </c>
      <c r="Q46" t="s">
        <v>41</v>
      </c>
      <c r="R46" t="s">
        <v>41</v>
      </c>
      <c r="S46" t="s">
        <v>41</v>
      </c>
      <c r="T46" t="s">
        <v>41</v>
      </c>
      <c r="U46" t="s">
        <v>41</v>
      </c>
      <c r="V46" t="s">
        <v>41</v>
      </c>
      <c r="W46" s="60" t="s">
        <v>41</v>
      </c>
      <c r="X46" s="60" t="s">
        <v>41</v>
      </c>
      <c r="Y46" t="s">
        <v>41</v>
      </c>
      <c r="Z46" t="s">
        <v>41</v>
      </c>
      <c r="AA46" t="s">
        <v>41</v>
      </c>
      <c r="AB46" t="s">
        <v>41</v>
      </c>
      <c r="AC46" t="s">
        <v>41</v>
      </c>
      <c r="AD46" t="s">
        <v>41</v>
      </c>
      <c r="AE46" s="60" t="s">
        <v>41</v>
      </c>
      <c r="AF46" s="60" t="s">
        <v>41</v>
      </c>
      <c r="AG46" s="62">
        <f t="shared" si="20"/>
        <v>0</v>
      </c>
      <c r="AH46" s="79"/>
      <c r="AI46" s="79"/>
      <c r="AJ46" s="79"/>
      <c r="AK46" s="80" t="s">
        <v>57</v>
      </c>
      <c r="AL46" s="64">
        <f t="shared" si="8"/>
        <v>-53</v>
      </c>
      <c r="AM46" s="64">
        <f t="shared" si="9"/>
        <v>-27</v>
      </c>
      <c r="AN46" s="64">
        <f t="shared" si="14"/>
        <v>-29</v>
      </c>
      <c r="AO46" t="s">
        <v>73</v>
      </c>
      <c r="AQ46">
        <f>SUM(AQ33:AQ43)</f>
        <v>0</v>
      </c>
      <c r="AR46">
        <f>SUM(AR33:AR45)</f>
        <v>0</v>
      </c>
      <c r="AS46">
        <f>SUM(AS33:AS45)</f>
        <v>0</v>
      </c>
      <c r="BE46" s="18"/>
    </row>
    <row r="47" spans="1:57">
      <c r="A47" s="97">
        <v>46319</v>
      </c>
      <c r="B47" s="55">
        <v>1600</v>
      </c>
      <c r="C47" s="56"/>
      <c r="D47" s="55">
        <f>(SUM(粮草!A47:X47)+AG47*10*IF(AK47="是",$BB$4,$BB$3))</f>
        <v>1152</v>
      </c>
      <c r="E47" s="57">
        <f>SUM($B$4:B47)+SUM($C$4:C47)-SUM($D$4:D47)</f>
        <v>-41858</v>
      </c>
      <c r="F47" s="55">
        <f>SUM(经验!A47:X47)</f>
        <v>400</v>
      </c>
      <c r="G47" s="55">
        <f>SUM($F$4:F47)+SUM($H$4:H47)</f>
        <v>49950</v>
      </c>
      <c r="H47" s="55">
        <v>0</v>
      </c>
      <c r="I47" s="73" t="s">
        <v>51</v>
      </c>
      <c r="J47" s="73" t="s">
        <v>51</v>
      </c>
      <c r="K47" s="73" t="s">
        <v>51</v>
      </c>
      <c r="L47" s="73" t="s">
        <v>51</v>
      </c>
      <c r="M47" s="73" t="s">
        <v>51</v>
      </c>
      <c r="N47" s="73" t="s">
        <v>51</v>
      </c>
      <c r="O47" s="73" t="s">
        <v>51</v>
      </c>
      <c r="P47" s="73" t="s">
        <v>51</v>
      </c>
      <c r="Q47" t="s">
        <v>41</v>
      </c>
      <c r="R47" t="s">
        <v>41</v>
      </c>
      <c r="S47" t="s">
        <v>41</v>
      </c>
      <c r="T47" t="s">
        <v>41</v>
      </c>
      <c r="U47" t="s">
        <v>41</v>
      </c>
      <c r="V47" t="s">
        <v>41</v>
      </c>
      <c r="W47" s="60" t="s">
        <v>41</v>
      </c>
      <c r="X47" s="60" t="s">
        <v>41</v>
      </c>
      <c r="Y47" t="s">
        <v>41</v>
      </c>
      <c r="Z47" t="s">
        <v>41</v>
      </c>
      <c r="AA47" t="s">
        <v>41</v>
      </c>
      <c r="AB47" t="s">
        <v>41</v>
      </c>
      <c r="AC47" t="s">
        <v>41</v>
      </c>
      <c r="AD47" t="s">
        <v>41</v>
      </c>
      <c r="AE47" s="60" t="s">
        <v>41</v>
      </c>
      <c r="AF47" s="60" t="s">
        <v>41</v>
      </c>
      <c r="AG47" s="62">
        <f t="shared" si="20"/>
        <v>0</v>
      </c>
      <c r="AH47" s="79"/>
      <c r="AI47" s="79"/>
      <c r="AJ47" s="79"/>
      <c r="AK47" s="80" t="s">
        <v>57</v>
      </c>
      <c r="AL47" s="64">
        <f t="shared" si="8"/>
        <v>-55</v>
      </c>
      <c r="AM47" s="64">
        <f t="shared" si="9"/>
        <v>-21</v>
      </c>
      <c r="AN47" s="64">
        <f t="shared" si="14"/>
        <v>-23</v>
      </c>
      <c r="AQ47" s="88" t="s">
        <v>74</v>
      </c>
      <c r="AR47" s="88">
        <f>E100-AR46</f>
        <v>90</v>
      </c>
      <c r="AS47" s="88">
        <f>AS46+G100+AV33</f>
        <v>70608</v>
      </c>
      <c r="BE47" s="18"/>
    </row>
    <row r="48" spans="1:57">
      <c r="A48" s="97">
        <v>46320</v>
      </c>
      <c r="B48" s="55">
        <v>1600</v>
      </c>
      <c r="C48" s="56"/>
      <c r="D48" s="55">
        <f>(SUM(粮草!A48:X48)+AG48*10*IF(AK48="是",$BB$4,$BB$3))</f>
        <v>3056</v>
      </c>
      <c r="E48" s="57">
        <f>SUM($B$4:B48)+SUM($C$4:C48)-SUM($D$4:D48)</f>
        <v>-43314</v>
      </c>
      <c r="F48" s="55">
        <f>SUM(经验!A48:X48)</f>
        <v>1030</v>
      </c>
      <c r="G48" s="55">
        <f>SUM($F$4:F48)+SUM($H$4:H48)</f>
        <v>50980</v>
      </c>
      <c r="H48" s="55">
        <v>0</v>
      </c>
      <c r="I48" s="73" t="s">
        <v>51</v>
      </c>
      <c r="J48" s="73" t="s">
        <v>51</v>
      </c>
      <c r="K48" s="73" t="s">
        <v>51</v>
      </c>
      <c r="L48" s="73" t="s">
        <v>51</v>
      </c>
      <c r="M48" s="73" t="s">
        <v>51</v>
      </c>
      <c r="N48" s="73" t="s">
        <v>51</v>
      </c>
      <c r="O48" s="73" t="s">
        <v>51</v>
      </c>
      <c r="P48" s="73" t="s">
        <v>51</v>
      </c>
      <c r="Q48" s="72" t="s">
        <v>50</v>
      </c>
      <c r="R48" s="72" t="s">
        <v>50</v>
      </c>
      <c r="S48" s="72" t="s">
        <v>50</v>
      </c>
      <c r="T48" s="72" t="s">
        <v>50</v>
      </c>
      <c r="U48" s="72" t="s">
        <v>50</v>
      </c>
      <c r="V48" s="72" t="s">
        <v>50</v>
      </c>
      <c r="W48" s="72" t="s">
        <v>50</v>
      </c>
      <c r="X48" s="72" t="s">
        <v>50</v>
      </c>
      <c r="Y48" s="72" t="s">
        <v>50</v>
      </c>
      <c r="Z48" s="72" t="s">
        <v>50</v>
      </c>
      <c r="AA48" s="72" t="s">
        <v>50</v>
      </c>
      <c r="AB48" s="72" t="s">
        <v>50</v>
      </c>
      <c r="AC48" s="72" t="s">
        <v>50</v>
      </c>
      <c r="AD48" s="72" t="s">
        <v>50</v>
      </c>
      <c r="AE48" s="60" t="s">
        <v>41</v>
      </c>
      <c r="AF48" s="60" t="s">
        <v>41</v>
      </c>
      <c r="AG48" s="62">
        <f t="shared" si="20"/>
        <v>0</v>
      </c>
      <c r="AH48" s="79"/>
      <c r="AI48" s="79"/>
      <c r="AJ48" s="79"/>
      <c r="AK48" s="80" t="s">
        <v>57</v>
      </c>
      <c r="AL48" s="64">
        <f t="shared" si="8"/>
        <v>-57</v>
      </c>
      <c r="AM48" s="64">
        <f t="shared" si="9"/>
        <v>-23</v>
      </c>
      <c r="AN48" s="64">
        <f t="shared" si="14"/>
        <v>-23</v>
      </c>
      <c r="AO48" s="14"/>
      <c r="AP48" s="14"/>
      <c r="AQ48" s="103" t="s">
        <v>75</v>
      </c>
      <c r="AR48" s="103"/>
      <c r="AS48" s="14"/>
      <c r="AT48" s="14"/>
      <c r="BE48" s="18"/>
    </row>
    <row r="49" spans="1:57">
      <c r="A49" s="97">
        <v>46321</v>
      </c>
      <c r="B49" s="67">
        <v>1600</v>
      </c>
      <c r="C49" s="67"/>
      <c r="D49" s="55">
        <f>(SUM(粮草!A49:X49)+AG49*10*IF(AK49="是",$BB$4,$BB$3))</f>
        <v>3056</v>
      </c>
      <c r="E49" s="57">
        <f>SUM($B$4:B49)+SUM($C$4:C49)-SUM($D$4:D49)</f>
        <v>-44770</v>
      </c>
      <c r="F49" s="55">
        <f>SUM(经验!A49:X49)</f>
        <v>1030</v>
      </c>
      <c r="G49" s="55">
        <f>SUM($F$4:F49)+SUM($H$4:H49)</f>
        <v>52210</v>
      </c>
      <c r="H49" s="67">
        <v>200</v>
      </c>
      <c r="I49" s="73" t="s">
        <v>51</v>
      </c>
      <c r="J49" s="73" t="s">
        <v>51</v>
      </c>
      <c r="K49" s="73" t="s">
        <v>51</v>
      </c>
      <c r="L49" s="73" t="s">
        <v>51</v>
      </c>
      <c r="M49" s="73" t="s">
        <v>51</v>
      </c>
      <c r="N49" s="73" t="s">
        <v>51</v>
      </c>
      <c r="O49" s="73" t="s">
        <v>51</v>
      </c>
      <c r="P49" s="73" t="s">
        <v>51</v>
      </c>
      <c r="Q49" s="72" t="s">
        <v>50</v>
      </c>
      <c r="R49" s="72" t="s">
        <v>50</v>
      </c>
      <c r="S49" s="72" t="s">
        <v>50</v>
      </c>
      <c r="T49" s="72" t="s">
        <v>50</v>
      </c>
      <c r="U49" s="72" t="s">
        <v>50</v>
      </c>
      <c r="V49" s="72" t="s">
        <v>50</v>
      </c>
      <c r="W49" s="72" t="s">
        <v>50</v>
      </c>
      <c r="X49" s="72" t="s">
        <v>50</v>
      </c>
      <c r="Y49" s="72" t="s">
        <v>50</v>
      </c>
      <c r="Z49" s="72" t="s">
        <v>50</v>
      </c>
      <c r="AA49" s="72" t="s">
        <v>50</v>
      </c>
      <c r="AB49" s="72" t="s">
        <v>50</v>
      </c>
      <c r="AC49" s="72" t="s">
        <v>50</v>
      </c>
      <c r="AD49" s="72" t="s">
        <v>50</v>
      </c>
      <c r="AE49" s="60" t="s">
        <v>41</v>
      </c>
      <c r="AF49" s="60" t="s">
        <v>41</v>
      </c>
      <c r="AG49" s="62">
        <f t="shared" si="20"/>
        <v>0</v>
      </c>
      <c r="AH49" s="79"/>
      <c r="AI49" s="79"/>
      <c r="AJ49" s="79"/>
      <c r="AK49" s="80" t="s">
        <v>57</v>
      </c>
      <c r="AL49" s="64">
        <f t="shared" si="8"/>
        <v>-59</v>
      </c>
      <c r="AM49" s="64">
        <f t="shared" si="9"/>
        <v>-25</v>
      </c>
      <c r="AN49" s="64">
        <f t="shared" si="14"/>
        <v>-23</v>
      </c>
      <c r="AO49" s="14" t="s">
        <v>76</v>
      </c>
      <c r="AP49" s="14" t="s">
        <v>77</v>
      </c>
      <c r="AQ49" s="14" t="s">
        <v>37</v>
      </c>
      <c r="AR49" s="14" t="s">
        <v>45</v>
      </c>
      <c r="AS49" s="14" t="s">
        <v>78</v>
      </c>
      <c r="AT49" s="14"/>
      <c r="BE49" s="18"/>
    </row>
    <row r="50" spans="1:57">
      <c r="A50" s="97">
        <v>46322</v>
      </c>
      <c r="B50" s="67">
        <v>1600</v>
      </c>
      <c r="C50" s="67"/>
      <c r="D50" s="55">
        <f>(SUM(粮草!A50:X50)+AG50*10*IF(AK50="是",$BB$4,$BB$3))</f>
        <v>3056</v>
      </c>
      <c r="E50" s="57">
        <f>SUM($B$4:B50)+SUM($C$4:C50)-SUM($D$4:D50)</f>
        <v>-46226</v>
      </c>
      <c r="F50" s="55">
        <f>SUM(经验!A50:X50)</f>
        <v>1030</v>
      </c>
      <c r="G50" s="55">
        <f>SUM($F$4:F50)+SUM($H$4:H50)</f>
        <v>53340</v>
      </c>
      <c r="H50" s="67">
        <v>100</v>
      </c>
      <c r="I50" s="73" t="s">
        <v>51</v>
      </c>
      <c r="J50" s="73" t="s">
        <v>51</v>
      </c>
      <c r="K50" s="73" t="s">
        <v>51</v>
      </c>
      <c r="L50" s="73" t="s">
        <v>51</v>
      </c>
      <c r="M50" s="73" t="s">
        <v>51</v>
      </c>
      <c r="N50" s="73" t="s">
        <v>51</v>
      </c>
      <c r="O50" s="73" t="s">
        <v>51</v>
      </c>
      <c r="P50" s="73" t="s">
        <v>51</v>
      </c>
      <c r="Q50" s="72" t="s">
        <v>50</v>
      </c>
      <c r="R50" s="72" t="s">
        <v>50</v>
      </c>
      <c r="S50" s="72" t="s">
        <v>50</v>
      </c>
      <c r="T50" s="72" t="s">
        <v>50</v>
      </c>
      <c r="U50" s="72" t="s">
        <v>50</v>
      </c>
      <c r="V50" s="72" t="s">
        <v>50</v>
      </c>
      <c r="W50" s="72" t="s">
        <v>50</v>
      </c>
      <c r="X50" s="72" t="s">
        <v>50</v>
      </c>
      <c r="Y50" s="72" t="s">
        <v>50</v>
      </c>
      <c r="Z50" s="72" t="s">
        <v>50</v>
      </c>
      <c r="AA50" s="72" t="s">
        <v>50</v>
      </c>
      <c r="AB50" s="72" t="s">
        <v>50</v>
      </c>
      <c r="AC50" s="72" t="s">
        <v>50</v>
      </c>
      <c r="AD50" s="72" t="s">
        <v>50</v>
      </c>
      <c r="AE50" s="60" t="s">
        <v>41</v>
      </c>
      <c r="AF50" s="60" t="s">
        <v>41</v>
      </c>
      <c r="AG50" s="62">
        <f t="shared" si="3"/>
        <v>0</v>
      </c>
      <c r="AH50" s="79"/>
      <c r="AI50" s="79"/>
      <c r="AJ50" s="79"/>
      <c r="AK50" s="80" t="s">
        <v>57</v>
      </c>
      <c r="AL50" s="64">
        <f t="shared" si="8"/>
        <v>-61</v>
      </c>
      <c r="AM50" s="64">
        <f t="shared" si="9"/>
        <v>-27</v>
      </c>
      <c r="AN50" s="64">
        <f t="shared" si="14"/>
        <v>-23</v>
      </c>
      <c r="AO50" s="14">
        <v>1</v>
      </c>
      <c r="AP50" s="14">
        <v>300</v>
      </c>
      <c r="AQ50" s="14">
        <f t="shared" ref="AQ50:AQ54" si="22">AP50-50</f>
        <v>250</v>
      </c>
      <c r="AR50" s="14">
        <f t="shared" ref="AR50:AR54" si="23">AP50-40</f>
        <v>260</v>
      </c>
      <c r="AS50" s="99">
        <f>COUNTIF(I4:AF17,$AO$18)</f>
        <v>5</v>
      </c>
      <c r="AT50" s="14">
        <f>AP50*AS50</f>
        <v>1500</v>
      </c>
      <c r="AV50">
        <v>9</v>
      </c>
      <c r="AW50">
        <v>260</v>
      </c>
      <c r="AX50">
        <f>AV50*AW50</f>
        <v>2340</v>
      </c>
      <c r="AY50">
        <v>10</v>
      </c>
      <c r="AZ50">
        <v>210</v>
      </c>
      <c r="BA50">
        <f>AZ50*AY50</f>
        <v>2100</v>
      </c>
      <c r="BE50" s="18"/>
    </row>
    <row r="51" spans="1:57">
      <c r="A51" s="97">
        <v>46323</v>
      </c>
      <c r="B51" s="67">
        <v>1600</v>
      </c>
      <c r="C51" s="67"/>
      <c r="D51" s="55">
        <f>(SUM(粮草!A51:X51)+AG51*10*IF(AK51="是",$BB$4,$BB$3))</f>
        <v>3056</v>
      </c>
      <c r="E51" s="57">
        <f>SUM($B$4:B51)+SUM($C$4:C51)-SUM($D$4:D51)</f>
        <v>-47682</v>
      </c>
      <c r="F51" s="55">
        <f>SUM(经验!A51:X51)</f>
        <v>1030</v>
      </c>
      <c r="G51" s="55">
        <f>SUM($F$4:F51)+SUM($H$4:H51)</f>
        <v>54570</v>
      </c>
      <c r="H51" s="67">
        <v>200</v>
      </c>
      <c r="I51" s="73" t="s">
        <v>51</v>
      </c>
      <c r="J51" s="73" t="s">
        <v>51</v>
      </c>
      <c r="K51" s="73" t="s">
        <v>51</v>
      </c>
      <c r="L51" s="73" t="s">
        <v>51</v>
      </c>
      <c r="M51" s="73" t="s">
        <v>51</v>
      </c>
      <c r="N51" s="73" t="s">
        <v>51</v>
      </c>
      <c r="O51" s="73" t="s">
        <v>51</v>
      </c>
      <c r="P51" s="73" t="s">
        <v>51</v>
      </c>
      <c r="Q51" s="72" t="s">
        <v>50</v>
      </c>
      <c r="R51" s="72" t="s">
        <v>50</v>
      </c>
      <c r="S51" s="72" t="s">
        <v>50</v>
      </c>
      <c r="T51" s="72" t="s">
        <v>50</v>
      </c>
      <c r="U51" s="72" t="s">
        <v>50</v>
      </c>
      <c r="V51" s="72" t="s">
        <v>50</v>
      </c>
      <c r="W51" s="72" t="s">
        <v>50</v>
      </c>
      <c r="X51" s="72" t="s">
        <v>50</v>
      </c>
      <c r="Y51" s="72" t="s">
        <v>50</v>
      </c>
      <c r="Z51" s="72" t="s">
        <v>50</v>
      </c>
      <c r="AA51" s="72" t="s">
        <v>50</v>
      </c>
      <c r="AB51" s="72" t="s">
        <v>50</v>
      </c>
      <c r="AC51" s="72" t="s">
        <v>50</v>
      </c>
      <c r="AD51" s="72" t="s">
        <v>50</v>
      </c>
      <c r="AE51" s="60" t="s">
        <v>41</v>
      </c>
      <c r="AF51" s="60" t="s">
        <v>41</v>
      </c>
      <c r="AG51" s="62">
        <f t="shared" si="3"/>
        <v>0</v>
      </c>
      <c r="AH51" s="79"/>
      <c r="AI51" s="79"/>
      <c r="AJ51" s="79"/>
      <c r="AK51" s="80" t="s">
        <v>57</v>
      </c>
      <c r="AL51" s="64">
        <f t="shared" si="8"/>
        <v>-63</v>
      </c>
      <c r="AM51" s="64">
        <f t="shared" si="9"/>
        <v>-29</v>
      </c>
      <c r="AN51" s="64">
        <f t="shared" si="14"/>
        <v>-23</v>
      </c>
      <c r="AO51" s="14">
        <v>2</v>
      </c>
      <c r="AP51" s="14">
        <v>250</v>
      </c>
      <c r="AQ51" s="14">
        <f t="shared" si="22"/>
        <v>200</v>
      </c>
      <c r="AR51" s="14">
        <f t="shared" si="23"/>
        <v>210</v>
      </c>
      <c r="AS51" s="99">
        <f>COUNTIF(I18:AF27,$AO$18)</f>
        <v>10</v>
      </c>
      <c r="AT51" s="14">
        <f t="shared" ref="AT51:AT54" si="24">AP51*AS51</f>
        <v>2500</v>
      </c>
      <c r="AV51">
        <v>1</v>
      </c>
      <c r="AW51">
        <v>160</v>
      </c>
      <c r="BE51" s="18"/>
    </row>
    <row r="52" spans="1:57">
      <c r="A52" s="97">
        <v>46324</v>
      </c>
      <c r="B52" s="67">
        <v>1600</v>
      </c>
      <c r="C52" s="67"/>
      <c r="D52" s="55">
        <f>(SUM(粮草!A52:X52)+AG52*10*IF(AK52="是",$BB$4,$BB$3))</f>
        <v>3056</v>
      </c>
      <c r="E52" s="57">
        <f>SUM($B$4:B52)+SUM($C$4:C52)-SUM($D$4:D52)</f>
        <v>-49138</v>
      </c>
      <c r="F52" s="55">
        <f>SUM(经验!A52:X52)</f>
        <v>1030</v>
      </c>
      <c r="G52" s="55">
        <f>SUM($F$4:F52)+SUM($H$4:H52)</f>
        <v>55600</v>
      </c>
      <c r="H52" s="67">
        <v>0</v>
      </c>
      <c r="I52" s="73" t="s">
        <v>51</v>
      </c>
      <c r="J52" s="73" t="s">
        <v>51</v>
      </c>
      <c r="K52" s="73" t="s">
        <v>51</v>
      </c>
      <c r="L52" s="73" t="s">
        <v>51</v>
      </c>
      <c r="M52" s="73" t="s">
        <v>51</v>
      </c>
      <c r="N52" s="73" t="s">
        <v>51</v>
      </c>
      <c r="O52" s="73" t="s">
        <v>51</v>
      </c>
      <c r="P52" s="73" t="s">
        <v>51</v>
      </c>
      <c r="Q52" s="72" t="s">
        <v>50</v>
      </c>
      <c r="R52" s="72" t="s">
        <v>50</v>
      </c>
      <c r="S52" s="72" t="s">
        <v>50</v>
      </c>
      <c r="T52" s="72" t="s">
        <v>50</v>
      </c>
      <c r="U52" s="72" t="s">
        <v>50</v>
      </c>
      <c r="V52" s="72" t="s">
        <v>50</v>
      </c>
      <c r="W52" s="72" t="s">
        <v>50</v>
      </c>
      <c r="X52" s="72" t="s">
        <v>50</v>
      </c>
      <c r="Y52" s="72" t="s">
        <v>50</v>
      </c>
      <c r="Z52" s="72" t="s">
        <v>50</v>
      </c>
      <c r="AA52" s="72" t="s">
        <v>50</v>
      </c>
      <c r="AB52" s="72" t="s">
        <v>50</v>
      </c>
      <c r="AC52" s="72" t="s">
        <v>50</v>
      </c>
      <c r="AD52" s="72" t="s">
        <v>50</v>
      </c>
      <c r="AE52" s="60" t="s">
        <v>41</v>
      </c>
      <c r="AF52" s="60" t="s">
        <v>41</v>
      </c>
      <c r="AG52" s="62">
        <f t="shared" si="3"/>
        <v>0</v>
      </c>
      <c r="AH52" s="79"/>
      <c r="AI52" s="79"/>
      <c r="AJ52" s="79"/>
      <c r="AK52" s="80" t="s">
        <v>57</v>
      </c>
      <c r="AL52" s="64">
        <f t="shared" si="8"/>
        <v>-65</v>
      </c>
      <c r="AM52" s="64">
        <f t="shared" si="9"/>
        <v>-31</v>
      </c>
      <c r="AN52" s="64">
        <f t="shared" si="14"/>
        <v>-23</v>
      </c>
      <c r="AO52" s="14">
        <v>3</v>
      </c>
      <c r="AP52" s="14">
        <v>200</v>
      </c>
      <c r="AQ52" s="14">
        <f t="shared" si="22"/>
        <v>150</v>
      </c>
      <c r="AR52" s="14">
        <f t="shared" si="23"/>
        <v>160</v>
      </c>
      <c r="AS52" s="99">
        <f>COUNTIF(I28:AF45,$AO$18)</f>
        <v>0</v>
      </c>
      <c r="AT52" s="14">
        <f t="shared" si="24"/>
        <v>0</v>
      </c>
      <c r="BE52" s="18"/>
    </row>
    <row r="53" spans="1:57">
      <c r="A53" s="97">
        <v>46325</v>
      </c>
      <c r="B53" s="67">
        <v>1600</v>
      </c>
      <c r="C53" s="67"/>
      <c r="D53" s="55">
        <f>(SUM(粮草!A53:X53)+AG53*10*IF(AK53="是",$BB$4,$BB$3))</f>
        <v>3056</v>
      </c>
      <c r="E53" s="57">
        <f>SUM($B$4:B53)+SUM($C$4:C53)-SUM($D$4:D53)</f>
        <v>-50594</v>
      </c>
      <c r="F53" s="55">
        <f>SUM(经验!A53:X53)</f>
        <v>1030</v>
      </c>
      <c r="G53" s="55">
        <f>SUM($F$4:F53)+SUM($H$4:H53)</f>
        <v>56630</v>
      </c>
      <c r="H53" s="67">
        <v>0</v>
      </c>
      <c r="I53" s="73" t="s">
        <v>51</v>
      </c>
      <c r="J53" s="73" t="s">
        <v>51</v>
      </c>
      <c r="K53" s="73" t="s">
        <v>51</v>
      </c>
      <c r="L53" s="73" t="s">
        <v>51</v>
      </c>
      <c r="M53" s="73" t="s">
        <v>51</v>
      </c>
      <c r="N53" s="73" t="s">
        <v>51</v>
      </c>
      <c r="O53" s="73" t="s">
        <v>51</v>
      </c>
      <c r="P53" s="73" t="s">
        <v>51</v>
      </c>
      <c r="Q53" s="72" t="s">
        <v>50</v>
      </c>
      <c r="R53" s="72" t="s">
        <v>50</v>
      </c>
      <c r="S53" s="72" t="s">
        <v>50</v>
      </c>
      <c r="T53" s="72" t="s">
        <v>50</v>
      </c>
      <c r="U53" s="72" t="s">
        <v>50</v>
      </c>
      <c r="V53" s="72" t="s">
        <v>50</v>
      </c>
      <c r="W53" s="72" t="s">
        <v>50</v>
      </c>
      <c r="X53" s="72" t="s">
        <v>50</v>
      </c>
      <c r="Y53" s="72" t="s">
        <v>50</v>
      </c>
      <c r="Z53" s="72" t="s">
        <v>50</v>
      </c>
      <c r="AA53" s="72" t="s">
        <v>50</v>
      </c>
      <c r="AB53" s="72" t="s">
        <v>50</v>
      </c>
      <c r="AC53" s="72" t="s">
        <v>50</v>
      </c>
      <c r="AD53" s="72" t="s">
        <v>50</v>
      </c>
      <c r="AE53" s="60" t="s">
        <v>41</v>
      </c>
      <c r="AF53" s="60" t="s">
        <v>41</v>
      </c>
      <c r="AG53" s="62">
        <f t="shared" si="3"/>
        <v>0</v>
      </c>
      <c r="AH53" s="79"/>
      <c r="AI53" s="79"/>
      <c r="AJ53" s="79"/>
      <c r="AK53" s="80" t="s">
        <v>57</v>
      </c>
      <c r="AL53" s="64">
        <f t="shared" si="8"/>
        <v>-67</v>
      </c>
      <c r="AM53" s="64">
        <f t="shared" si="9"/>
        <v>-33</v>
      </c>
      <c r="AN53" s="64">
        <f t="shared" si="14"/>
        <v>-23</v>
      </c>
      <c r="AO53" s="14">
        <v>4</v>
      </c>
      <c r="AP53" s="14">
        <v>150</v>
      </c>
      <c r="AQ53" s="14">
        <f t="shared" si="22"/>
        <v>100</v>
      </c>
      <c r="AR53" s="14">
        <f t="shared" si="23"/>
        <v>110</v>
      </c>
      <c r="AS53" s="99">
        <f>COUNTIF(I46:AF66,$AO$18)</f>
        <v>0</v>
      </c>
      <c r="AT53" s="14">
        <f t="shared" si="24"/>
        <v>0</v>
      </c>
      <c r="BE53" s="18"/>
    </row>
    <row r="54" spans="1:57">
      <c r="A54" s="97">
        <v>46326</v>
      </c>
      <c r="B54" s="67">
        <v>1600</v>
      </c>
      <c r="C54" s="67"/>
      <c r="D54" s="55">
        <f>(SUM(粮草!A54:X54)+AG54*10*IF(AK54="是",$BB$4,$BB$3))</f>
        <v>3056</v>
      </c>
      <c r="E54" s="57">
        <f>SUM($B$4:B54)+SUM($C$4:C54)-SUM($D$4:D54)</f>
        <v>-52050</v>
      </c>
      <c r="F54" s="55">
        <f>SUM(经验!A54:X54)</f>
        <v>1030</v>
      </c>
      <c r="G54" s="55">
        <f>SUM($F$4:F54)+SUM($H$4:H54)</f>
        <v>57660</v>
      </c>
      <c r="H54" s="67">
        <v>0</v>
      </c>
      <c r="I54" s="73" t="s">
        <v>51</v>
      </c>
      <c r="J54" s="73" t="s">
        <v>51</v>
      </c>
      <c r="K54" s="73" t="s">
        <v>51</v>
      </c>
      <c r="L54" s="73" t="s">
        <v>51</v>
      </c>
      <c r="M54" s="73" t="s">
        <v>51</v>
      </c>
      <c r="N54" s="73" t="s">
        <v>51</v>
      </c>
      <c r="O54" s="73" t="s">
        <v>51</v>
      </c>
      <c r="P54" s="73" t="s">
        <v>51</v>
      </c>
      <c r="Q54" s="72" t="s">
        <v>50</v>
      </c>
      <c r="R54" s="72" t="s">
        <v>50</v>
      </c>
      <c r="S54" s="72" t="s">
        <v>50</v>
      </c>
      <c r="T54" s="72" t="s">
        <v>50</v>
      </c>
      <c r="U54" s="72" t="s">
        <v>50</v>
      </c>
      <c r="V54" s="72" t="s">
        <v>50</v>
      </c>
      <c r="W54" s="72" t="s">
        <v>50</v>
      </c>
      <c r="X54" s="72" t="s">
        <v>50</v>
      </c>
      <c r="Y54" s="72" t="s">
        <v>50</v>
      </c>
      <c r="Z54" s="72" t="s">
        <v>50</v>
      </c>
      <c r="AA54" s="72" t="s">
        <v>50</v>
      </c>
      <c r="AB54" s="72" t="s">
        <v>50</v>
      </c>
      <c r="AC54" s="72" t="s">
        <v>50</v>
      </c>
      <c r="AD54" s="72" t="s">
        <v>50</v>
      </c>
      <c r="AE54" s="60" t="s">
        <v>41</v>
      </c>
      <c r="AF54" s="60" t="s">
        <v>41</v>
      </c>
      <c r="AG54" s="62">
        <f t="shared" si="3"/>
        <v>0</v>
      </c>
      <c r="AH54" s="79"/>
      <c r="AI54" s="79"/>
      <c r="AJ54" s="79"/>
      <c r="AK54" s="80" t="s">
        <v>57</v>
      </c>
      <c r="AL54" s="64">
        <f t="shared" si="8"/>
        <v>-69</v>
      </c>
      <c r="AM54" s="64">
        <f t="shared" si="9"/>
        <v>-35</v>
      </c>
      <c r="AN54" s="64">
        <f t="shared" si="14"/>
        <v>-23</v>
      </c>
      <c r="AO54" s="14">
        <v>5</v>
      </c>
      <c r="AP54" s="14">
        <v>100</v>
      </c>
      <c r="AQ54" s="14">
        <f t="shared" si="22"/>
        <v>50</v>
      </c>
      <c r="AR54" s="14">
        <f t="shared" si="23"/>
        <v>60</v>
      </c>
      <c r="AS54" s="99">
        <f>COUNTIF(I67:AF100,$AO$18)</f>
        <v>0</v>
      </c>
      <c r="AT54" s="14">
        <f t="shared" si="24"/>
        <v>0</v>
      </c>
      <c r="BE54" s="18"/>
    </row>
    <row r="55" spans="1:57">
      <c r="A55" s="97">
        <v>46327</v>
      </c>
      <c r="B55" s="67">
        <v>1600</v>
      </c>
      <c r="C55" s="67"/>
      <c r="D55" s="55">
        <f>(SUM(粮草!A55:X55)+AG55*10*IF(AK55="是",$BB$4,$BB$3))</f>
        <v>3056</v>
      </c>
      <c r="E55" s="57">
        <f>SUM($B$4:B55)+SUM($C$4:C55)-SUM($D$4:D55)</f>
        <v>-53506</v>
      </c>
      <c r="F55" s="55">
        <f>SUM(经验!A55:X55)</f>
        <v>1030</v>
      </c>
      <c r="G55" s="55">
        <f>SUM($F$4:F55)+SUM($H$4:H55)</f>
        <v>58690</v>
      </c>
      <c r="H55" s="67">
        <v>0</v>
      </c>
      <c r="I55" s="73" t="s">
        <v>51</v>
      </c>
      <c r="J55" s="73" t="s">
        <v>51</v>
      </c>
      <c r="K55" s="73" t="s">
        <v>51</v>
      </c>
      <c r="L55" s="73" t="s">
        <v>51</v>
      </c>
      <c r="M55" s="73" t="s">
        <v>51</v>
      </c>
      <c r="N55" s="73" t="s">
        <v>51</v>
      </c>
      <c r="O55" s="73" t="s">
        <v>51</v>
      </c>
      <c r="P55" s="73" t="s">
        <v>51</v>
      </c>
      <c r="Q55" s="72" t="s">
        <v>50</v>
      </c>
      <c r="R55" s="72" t="s">
        <v>50</v>
      </c>
      <c r="S55" s="72" t="s">
        <v>50</v>
      </c>
      <c r="T55" s="72" t="s">
        <v>50</v>
      </c>
      <c r="U55" s="72" t="s">
        <v>50</v>
      </c>
      <c r="V55" s="72" t="s">
        <v>50</v>
      </c>
      <c r="W55" s="72" t="s">
        <v>50</v>
      </c>
      <c r="X55" s="72" t="s">
        <v>50</v>
      </c>
      <c r="Y55" s="72" t="s">
        <v>50</v>
      </c>
      <c r="Z55" s="72" t="s">
        <v>50</v>
      </c>
      <c r="AA55" s="72" t="s">
        <v>50</v>
      </c>
      <c r="AB55" s="72" t="s">
        <v>50</v>
      </c>
      <c r="AC55" s="72" t="s">
        <v>50</v>
      </c>
      <c r="AD55" s="72" t="s">
        <v>50</v>
      </c>
      <c r="AE55" s="60" t="s">
        <v>41</v>
      </c>
      <c r="AF55" s="60" t="s">
        <v>41</v>
      </c>
      <c r="AG55" s="62">
        <f t="shared" si="3"/>
        <v>0</v>
      </c>
      <c r="AH55" s="79"/>
      <c r="AI55" s="79"/>
      <c r="AJ55" s="79"/>
      <c r="AK55" s="80" t="s">
        <v>57</v>
      </c>
      <c r="AL55" s="64">
        <f t="shared" si="8"/>
        <v>-71</v>
      </c>
      <c r="AM55" s="64">
        <f t="shared" si="9"/>
        <v>-37</v>
      </c>
      <c r="AN55" s="64">
        <f t="shared" si="14"/>
        <v>-23</v>
      </c>
      <c r="AO55" s="14"/>
      <c r="AP55" s="14"/>
      <c r="AQ55" s="14"/>
      <c r="AR55" s="14"/>
      <c r="AS55" s="14"/>
      <c r="AT55" s="14">
        <f>SUM(AT50:AT54)</f>
        <v>4000</v>
      </c>
      <c r="BE55" s="18"/>
    </row>
    <row r="56" spans="1:57">
      <c r="A56" s="97">
        <v>46328</v>
      </c>
      <c r="B56" s="55">
        <v>1600</v>
      </c>
      <c r="C56" s="56"/>
      <c r="D56" s="55">
        <f>(SUM(粮草!A56:X56)+AG56*10*IF(AK56="是",$BB$4,$BB$3))</f>
        <v>2192</v>
      </c>
      <c r="E56" s="57">
        <f>SUM($B$4:B56)+SUM($C$4:C56)-SUM($D$4:D56)</f>
        <v>-54098</v>
      </c>
      <c r="F56" s="55">
        <f>SUM(经验!A56:X56)</f>
        <v>730</v>
      </c>
      <c r="G56" s="55">
        <f>SUM($F$4:F56)+SUM($H$4:H56)</f>
        <v>59720</v>
      </c>
      <c r="H56" s="55">
        <v>300</v>
      </c>
      <c r="I56" s="73" t="s">
        <v>51</v>
      </c>
      <c r="J56" s="73" t="s">
        <v>51</v>
      </c>
      <c r="K56" t="s">
        <v>41</v>
      </c>
      <c r="L56" t="s">
        <v>41</v>
      </c>
      <c r="M56" t="s">
        <v>41</v>
      </c>
      <c r="N56" t="s">
        <v>41</v>
      </c>
      <c r="O56" s="60" t="s">
        <v>41</v>
      </c>
      <c r="P56" s="60" t="s">
        <v>41</v>
      </c>
      <c r="Q56" s="72" t="s">
        <v>50</v>
      </c>
      <c r="R56" s="72" t="s">
        <v>50</v>
      </c>
      <c r="S56" s="72" t="s">
        <v>50</v>
      </c>
      <c r="T56" s="72" t="s">
        <v>50</v>
      </c>
      <c r="U56" s="72" t="s">
        <v>50</v>
      </c>
      <c r="V56" s="72" t="s">
        <v>50</v>
      </c>
      <c r="W56" s="72" t="s">
        <v>50</v>
      </c>
      <c r="X56" s="72" t="s">
        <v>50</v>
      </c>
      <c r="Y56" s="72" t="s">
        <v>50</v>
      </c>
      <c r="Z56" s="72" t="s">
        <v>50</v>
      </c>
      <c r="AA56" s="72" t="s">
        <v>50</v>
      </c>
      <c r="AB56" s="72" t="s">
        <v>50</v>
      </c>
      <c r="AC56" s="72" t="s">
        <v>50</v>
      </c>
      <c r="AD56" s="72" t="s">
        <v>50</v>
      </c>
      <c r="AE56" s="60" t="s">
        <v>41</v>
      </c>
      <c r="AF56" s="60" t="s">
        <v>41</v>
      </c>
      <c r="AG56" s="62">
        <f t="shared" si="3"/>
        <v>0</v>
      </c>
      <c r="AH56" s="79"/>
      <c r="AI56" s="79"/>
      <c r="AJ56" s="79"/>
      <c r="AK56" s="80" t="s">
        <v>57</v>
      </c>
      <c r="AL56" s="64">
        <f t="shared" si="8"/>
        <v>-67</v>
      </c>
      <c r="AM56" s="64">
        <f t="shared" si="9"/>
        <v>-39</v>
      </c>
      <c r="AN56" s="64">
        <f t="shared" si="14"/>
        <v>-23</v>
      </c>
      <c r="BE56" s="18"/>
    </row>
    <row r="57" spans="1:57">
      <c r="A57" s="97">
        <v>46329</v>
      </c>
      <c r="B57" s="55">
        <v>1600</v>
      </c>
      <c r="C57" s="56"/>
      <c r="D57" s="55">
        <f>(SUM(粮草!A57:X57)+AG57*10*IF(AK57="是",$BB$4,$BB$3))</f>
        <v>1632</v>
      </c>
      <c r="E57" s="57">
        <f>SUM($B$4:B57)+SUM($C$4:C57)-SUM($D$4:D57)</f>
        <v>-54130</v>
      </c>
      <c r="F57" s="55">
        <f>SUM(经验!A57:X57)</f>
        <v>540</v>
      </c>
      <c r="G57" s="55">
        <f>SUM($F$4:F57)+SUM($H$4:H57)</f>
        <v>60260</v>
      </c>
      <c r="H57" s="55">
        <v>0</v>
      </c>
      <c r="I57" t="s">
        <v>41</v>
      </c>
      <c r="J57" t="s">
        <v>41</v>
      </c>
      <c r="K57" t="s">
        <v>41</v>
      </c>
      <c r="L57" t="s">
        <v>41</v>
      </c>
      <c r="M57" t="s">
        <v>41</v>
      </c>
      <c r="N57" t="s">
        <v>41</v>
      </c>
      <c r="O57" s="60" t="s">
        <v>41</v>
      </c>
      <c r="P57" s="60" t="s">
        <v>41</v>
      </c>
      <c r="Q57" s="72" t="s">
        <v>50</v>
      </c>
      <c r="R57" s="72" t="s">
        <v>50</v>
      </c>
      <c r="S57" s="72" t="s">
        <v>50</v>
      </c>
      <c r="T57" s="72" t="s">
        <v>50</v>
      </c>
      <c r="U57" s="72" t="s">
        <v>50</v>
      </c>
      <c r="V57" s="72" t="s">
        <v>50</v>
      </c>
      <c r="W57" s="72" t="s">
        <v>50</v>
      </c>
      <c r="X57" s="72" t="s">
        <v>50</v>
      </c>
      <c r="Y57" s="72" t="s">
        <v>50</v>
      </c>
      <c r="Z57" s="72" t="s">
        <v>50</v>
      </c>
      <c r="AA57" s="72" t="s">
        <v>50</v>
      </c>
      <c r="AB57" s="72" t="s">
        <v>50</v>
      </c>
      <c r="AC57" t="s">
        <v>41</v>
      </c>
      <c r="AD57" t="s">
        <v>41</v>
      </c>
      <c r="AE57" s="60" t="s">
        <v>41</v>
      </c>
      <c r="AF57" s="60" t="s">
        <v>41</v>
      </c>
      <c r="AG57" s="62">
        <f t="shared" si="3"/>
        <v>0</v>
      </c>
      <c r="AH57" s="79"/>
      <c r="AI57" s="79"/>
      <c r="AJ57" s="79"/>
      <c r="AK57" s="80" t="s">
        <v>57</v>
      </c>
      <c r="AL57" s="64">
        <f t="shared" si="8"/>
        <v>-61</v>
      </c>
      <c r="AM57" s="64">
        <f t="shared" si="9"/>
        <v>-41</v>
      </c>
      <c r="AN57" s="64">
        <f t="shared" si="14"/>
        <v>-21</v>
      </c>
      <c r="BE57" s="18"/>
    </row>
    <row r="58" spans="1:57">
      <c r="A58" s="97">
        <v>46330</v>
      </c>
      <c r="B58" s="55">
        <v>1600</v>
      </c>
      <c r="C58" s="56"/>
      <c r="D58" s="55">
        <f>(SUM(粮草!A58:X58)+AG58*10*IF(AK58="是",$BB$4,$BB$3))</f>
        <v>1088</v>
      </c>
      <c r="E58" s="57">
        <f>SUM($B$4:B58)+SUM($C$4:C58)-SUM($D$4:D58)</f>
        <v>-53618</v>
      </c>
      <c r="F58" s="55">
        <f>SUM(经验!A58:X58)</f>
        <v>360</v>
      </c>
      <c r="G58" s="55">
        <f>SUM($F$4:F58)+SUM($H$4:H58)</f>
        <v>60820</v>
      </c>
      <c r="H58" s="55">
        <v>200</v>
      </c>
      <c r="I58" t="s">
        <v>41</v>
      </c>
      <c r="J58" t="s">
        <v>41</v>
      </c>
      <c r="K58" t="s">
        <v>41</v>
      </c>
      <c r="L58" t="s">
        <v>41</v>
      </c>
      <c r="M58" t="s">
        <v>41</v>
      </c>
      <c r="N58" t="s">
        <v>41</v>
      </c>
      <c r="O58" s="60" t="s">
        <v>41</v>
      </c>
      <c r="P58" s="60" t="s">
        <v>41</v>
      </c>
      <c r="Q58" s="72" t="s">
        <v>50</v>
      </c>
      <c r="R58" s="72" t="s">
        <v>50</v>
      </c>
      <c r="S58" s="72" t="s">
        <v>50</v>
      </c>
      <c r="T58" s="72" t="s">
        <v>50</v>
      </c>
      <c r="U58" s="72" t="s">
        <v>50</v>
      </c>
      <c r="V58" s="72" t="s">
        <v>50</v>
      </c>
      <c r="W58" s="72" t="s">
        <v>50</v>
      </c>
      <c r="X58" s="72" t="s">
        <v>50</v>
      </c>
      <c r="Y58" t="s">
        <v>41</v>
      </c>
      <c r="Z58" t="s">
        <v>41</v>
      </c>
      <c r="AA58" t="s">
        <v>41</v>
      </c>
      <c r="AB58" t="s">
        <v>41</v>
      </c>
      <c r="AC58" t="s">
        <v>41</v>
      </c>
      <c r="AD58" t="s">
        <v>41</v>
      </c>
      <c r="AE58" s="60" t="s">
        <v>41</v>
      </c>
      <c r="AF58" s="60" t="s">
        <v>41</v>
      </c>
      <c r="AG58" s="62">
        <f t="shared" si="3"/>
        <v>0</v>
      </c>
      <c r="AH58" s="79"/>
      <c r="AI58" s="79"/>
      <c r="AJ58" s="79"/>
      <c r="AK58" s="80" t="s">
        <v>57</v>
      </c>
      <c r="AL58" s="64">
        <f t="shared" si="8"/>
        <v>-55</v>
      </c>
      <c r="AM58" s="64">
        <f t="shared" si="9"/>
        <v>-43</v>
      </c>
      <c r="AN58" s="64">
        <f t="shared" si="14"/>
        <v>-15</v>
      </c>
      <c r="BE58" s="18"/>
    </row>
    <row r="59" spans="1:57">
      <c r="A59" s="97">
        <v>46331</v>
      </c>
      <c r="B59" s="55">
        <v>1600</v>
      </c>
      <c r="C59" s="56"/>
      <c r="D59" s="55">
        <f>(SUM(粮草!A59:X59)+AG59*10*IF(AK59="是",$BB$4,$BB$3))</f>
        <v>1088</v>
      </c>
      <c r="E59" s="57">
        <f>SUM($B$4:B59)+SUM($C$4:C59)-SUM($D$4:D59)</f>
        <v>-53106</v>
      </c>
      <c r="F59" s="55">
        <f>SUM(经验!A59:X59)</f>
        <v>360</v>
      </c>
      <c r="G59" s="55">
        <f>SUM($F$4:F59)+SUM($H$4:H59)</f>
        <v>61180</v>
      </c>
      <c r="H59" s="55">
        <v>0</v>
      </c>
      <c r="I59" t="s">
        <v>41</v>
      </c>
      <c r="J59" t="s">
        <v>41</v>
      </c>
      <c r="K59" t="s">
        <v>41</v>
      </c>
      <c r="L59" t="s">
        <v>41</v>
      </c>
      <c r="M59" t="s">
        <v>41</v>
      </c>
      <c r="N59" t="s">
        <v>41</v>
      </c>
      <c r="O59" s="60" t="s">
        <v>41</v>
      </c>
      <c r="P59" s="60" t="s">
        <v>41</v>
      </c>
      <c r="Q59" s="72" t="s">
        <v>50</v>
      </c>
      <c r="R59" s="72" t="s">
        <v>50</v>
      </c>
      <c r="S59" s="72" t="s">
        <v>50</v>
      </c>
      <c r="T59" s="72" t="s">
        <v>50</v>
      </c>
      <c r="U59" s="72" t="s">
        <v>50</v>
      </c>
      <c r="V59" s="72" t="s">
        <v>50</v>
      </c>
      <c r="W59" s="72" t="s">
        <v>50</v>
      </c>
      <c r="X59" s="72" t="s">
        <v>50</v>
      </c>
      <c r="Y59" t="s">
        <v>41</v>
      </c>
      <c r="Z59" t="s">
        <v>41</v>
      </c>
      <c r="AA59" t="s">
        <v>41</v>
      </c>
      <c r="AB59" t="s">
        <v>41</v>
      </c>
      <c r="AC59" t="s">
        <v>41</v>
      </c>
      <c r="AD59" t="s">
        <v>41</v>
      </c>
      <c r="AE59" s="60" t="s">
        <v>41</v>
      </c>
      <c r="AF59" s="60" t="s">
        <v>41</v>
      </c>
      <c r="AG59" s="62">
        <f t="shared" si="3"/>
        <v>0</v>
      </c>
      <c r="AH59" s="79"/>
      <c r="AI59" s="79"/>
      <c r="AJ59" s="79"/>
      <c r="AK59" s="80" t="s">
        <v>57</v>
      </c>
      <c r="AL59" s="64">
        <f t="shared" si="8"/>
        <v>-49</v>
      </c>
      <c r="AM59" s="64">
        <f t="shared" si="9"/>
        <v>-45</v>
      </c>
      <c r="AN59" s="64">
        <f t="shared" si="14"/>
        <v>-9</v>
      </c>
      <c r="BE59" s="18"/>
    </row>
    <row r="60" spans="1:57">
      <c r="A60" s="97">
        <v>46332</v>
      </c>
      <c r="B60" s="55">
        <v>1600</v>
      </c>
      <c r="C60" s="56"/>
      <c r="D60" s="55">
        <f>(SUM(粮草!A60:X60)+AG60*10*IF(AK60="是",$BB$4,$BB$3))</f>
        <v>1088</v>
      </c>
      <c r="E60" s="57">
        <f>SUM($B$4:B60)+SUM($C$4:C60)-SUM($D$4:D60)</f>
        <v>-52594</v>
      </c>
      <c r="F60" s="55">
        <f>SUM(经验!A60:X60)</f>
        <v>360</v>
      </c>
      <c r="G60" s="55">
        <f>SUM($F$4:F60)+SUM($H$4:H60)</f>
        <v>61540</v>
      </c>
      <c r="H60" s="55">
        <v>0</v>
      </c>
      <c r="I60" t="s">
        <v>41</v>
      </c>
      <c r="J60" t="s">
        <v>41</v>
      </c>
      <c r="K60" t="s">
        <v>41</v>
      </c>
      <c r="L60" t="s">
        <v>41</v>
      </c>
      <c r="M60" t="s">
        <v>41</v>
      </c>
      <c r="N60" t="s">
        <v>41</v>
      </c>
      <c r="O60" s="60" t="s">
        <v>41</v>
      </c>
      <c r="P60" s="60" t="s">
        <v>41</v>
      </c>
      <c r="Q60" s="72" t="s">
        <v>50</v>
      </c>
      <c r="R60" s="72" t="s">
        <v>50</v>
      </c>
      <c r="S60" s="72" t="s">
        <v>50</v>
      </c>
      <c r="T60" s="72" t="s">
        <v>50</v>
      </c>
      <c r="U60" s="72" t="s">
        <v>50</v>
      </c>
      <c r="V60" s="72" t="s">
        <v>50</v>
      </c>
      <c r="W60" s="72" t="s">
        <v>50</v>
      </c>
      <c r="X60" s="72" t="s">
        <v>50</v>
      </c>
      <c r="Y60" t="s">
        <v>41</v>
      </c>
      <c r="Z60" t="s">
        <v>41</v>
      </c>
      <c r="AA60" t="s">
        <v>41</v>
      </c>
      <c r="AB60" t="s">
        <v>41</v>
      </c>
      <c r="AC60" t="s">
        <v>41</v>
      </c>
      <c r="AD60" t="s">
        <v>41</v>
      </c>
      <c r="AE60" s="60" t="s">
        <v>41</v>
      </c>
      <c r="AF60" s="60" t="s">
        <v>41</v>
      </c>
      <c r="AG60" s="62">
        <f t="shared" si="3"/>
        <v>0</v>
      </c>
      <c r="AH60" s="79"/>
      <c r="AI60" s="79"/>
      <c r="AJ60" s="79"/>
      <c r="AK60" s="80" t="s">
        <v>57</v>
      </c>
      <c r="AL60" s="64">
        <f t="shared" si="8"/>
        <v>-43</v>
      </c>
      <c r="AM60" s="64">
        <f t="shared" si="9"/>
        <v>-47</v>
      </c>
      <c r="AN60" s="64">
        <f t="shared" si="14"/>
        <v>-3</v>
      </c>
      <c r="BE60" s="18"/>
    </row>
    <row r="61" spans="1:57">
      <c r="A61" s="97">
        <v>46333</v>
      </c>
      <c r="B61" s="55">
        <v>1600</v>
      </c>
      <c r="C61" s="56"/>
      <c r="D61" s="55">
        <f>(SUM(粮草!A61:X61)+AG61*10*IF(AK61="是",$BB$4,$BB$3))</f>
        <v>1088</v>
      </c>
      <c r="E61" s="57">
        <f>SUM($B$4:B61)+SUM($C$4:C61)-SUM($D$4:D61)</f>
        <v>-52082</v>
      </c>
      <c r="F61" s="55">
        <f>SUM(经验!A61:X61)</f>
        <v>360</v>
      </c>
      <c r="G61" s="55">
        <f>SUM($F$4:F61)+SUM($H$4:H61)</f>
        <v>61900</v>
      </c>
      <c r="H61" s="55">
        <v>0</v>
      </c>
      <c r="I61" t="s">
        <v>41</v>
      </c>
      <c r="J61" t="s">
        <v>41</v>
      </c>
      <c r="K61" t="s">
        <v>41</v>
      </c>
      <c r="L61" t="s">
        <v>41</v>
      </c>
      <c r="M61" t="s">
        <v>41</v>
      </c>
      <c r="N61" t="s">
        <v>41</v>
      </c>
      <c r="O61" s="60" t="s">
        <v>41</v>
      </c>
      <c r="P61" s="60" t="s">
        <v>41</v>
      </c>
      <c r="Q61" s="72" t="s">
        <v>50</v>
      </c>
      <c r="R61" s="72" t="s">
        <v>50</v>
      </c>
      <c r="S61" s="72" t="s">
        <v>50</v>
      </c>
      <c r="T61" s="72" t="s">
        <v>50</v>
      </c>
      <c r="U61" s="72" t="s">
        <v>50</v>
      </c>
      <c r="V61" s="72" t="s">
        <v>50</v>
      </c>
      <c r="W61" s="72" t="s">
        <v>50</v>
      </c>
      <c r="X61" s="72" t="s">
        <v>50</v>
      </c>
      <c r="Y61" t="s">
        <v>41</v>
      </c>
      <c r="Z61" t="s">
        <v>41</v>
      </c>
      <c r="AA61" t="s">
        <v>41</v>
      </c>
      <c r="AB61" t="s">
        <v>41</v>
      </c>
      <c r="AC61" t="s">
        <v>41</v>
      </c>
      <c r="AD61" t="s">
        <v>41</v>
      </c>
      <c r="AE61" s="60" t="s">
        <v>41</v>
      </c>
      <c r="AF61" s="60" t="s">
        <v>41</v>
      </c>
      <c r="AG61" s="62">
        <f t="shared" si="3"/>
        <v>0</v>
      </c>
      <c r="AH61" s="79"/>
      <c r="AI61" s="79"/>
      <c r="AJ61" s="79"/>
      <c r="AK61" s="80" t="s">
        <v>57</v>
      </c>
      <c r="AL61" s="64">
        <f t="shared" si="8"/>
        <v>-37</v>
      </c>
      <c r="AM61" s="64">
        <f t="shared" si="9"/>
        <v>-49</v>
      </c>
      <c r="AN61" s="64">
        <f t="shared" si="14"/>
        <v>3</v>
      </c>
      <c r="BE61" s="18"/>
    </row>
    <row r="62" spans="1:57">
      <c r="A62" s="97">
        <v>46334</v>
      </c>
      <c r="B62" s="55">
        <v>1600</v>
      </c>
      <c r="C62" s="56"/>
      <c r="D62" s="55">
        <f>(SUM(粮草!A62:X62)+AG62*10*IF(AK62="是",$BB$4,$BB$3))</f>
        <v>1088</v>
      </c>
      <c r="E62" s="57">
        <f>SUM($B$4:B62)+SUM($C$4:C62)-SUM($D$4:D62)</f>
        <v>-51570</v>
      </c>
      <c r="F62" s="55">
        <f>SUM(经验!A62:X62)</f>
        <v>360</v>
      </c>
      <c r="G62" s="55">
        <f>SUM($F$4:F62)+SUM($H$4:H62)</f>
        <v>62260</v>
      </c>
      <c r="H62" s="55">
        <v>0</v>
      </c>
      <c r="I62" t="s">
        <v>41</v>
      </c>
      <c r="J62" t="s">
        <v>41</v>
      </c>
      <c r="K62" t="s">
        <v>41</v>
      </c>
      <c r="L62" t="s">
        <v>41</v>
      </c>
      <c r="M62" t="s">
        <v>41</v>
      </c>
      <c r="N62" t="s">
        <v>41</v>
      </c>
      <c r="O62" s="60" t="s">
        <v>41</v>
      </c>
      <c r="P62" s="60" t="s">
        <v>41</v>
      </c>
      <c r="Q62" s="72" t="s">
        <v>50</v>
      </c>
      <c r="R62" s="72" t="s">
        <v>50</v>
      </c>
      <c r="S62" s="72" t="s">
        <v>50</v>
      </c>
      <c r="T62" s="72" t="s">
        <v>50</v>
      </c>
      <c r="U62" s="72" t="s">
        <v>50</v>
      </c>
      <c r="V62" s="72" t="s">
        <v>50</v>
      </c>
      <c r="W62" s="72" t="s">
        <v>50</v>
      </c>
      <c r="X62" s="72" t="s">
        <v>50</v>
      </c>
      <c r="Y62" t="s">
        <v>41</v>
      </c>
      <c r="Z62" t="s">
        <v>41</v>
      </c>
      <c r="AA62" t="s">
        <v>41</v>
      </c>
      <c r="AB62" t="s">
        <v>41</v>
      </c>
      <c r="AC62" t="s">
        <v>41</v>
      </c>
      <c r="AD62" t="s">
        <v>41</v>
      </c>
      <c r="AE62" s="60" t="s">
        <v>41</v>
      </c>
      <c r="AF62" s="60" t="s">
        <v>41</v>
      </c>
      <c r="AG62" s="62">
        <f t="shared" ref="AG62:AG64" si="25">AH62+AI62+AJ62</f>
        <v>0</v>
      </c>
      <c r="AH62" s="79"/>
      <c r="AI62" s="79"/>
      <c r="AJ62" s="79"/>
      <c r="AK62" s="80" t="s">
        <v>57</v>
      </c>
      <c r="AL62" s="64">
        <f t="shared" si="8"/>
        <v>-31</v>
      </c>
      <c r="AM62" s="64">
        <f t="shared" si="9"/>
        <v>-51</v>
      </c>
      <c r="AN62" s="64">
        <f t="shared" si="14"/>
        <v>9</v>
      </c>
      <c r="BE62" s="18"/>
    </row>
    <row r="63" spans="1:57">
      <c r="A63" s="97">
        <v>46335</v>
      </c>
      <c r="B63" s="67">
        <v>1600</v>
      </c>
      <c r="C63" s="67"/>
      <c r="D63" s="55">
        <f>(SUM(粮草!A63:X63)+AG63*10*IF(AK63="是",$BB$4,$BB$3))</f>
        <v>1088</v>
      </c>
      <c r="E63" s="57">
        <f>SUM($B$4:B63)+SUM($C$4:C63)-SUM($D$4:D63)</f>
        <v>-51058</v>
      </c>
      <c r="F63" s="55">
        <f>SUM(经验!A63:X63)</f>
        <v>360</v>
      </c>
      <c r="G63" s="55">
        <f>SUM($F$4:F63)+SUM($H$4:H63)</f>
        <v>62920</v>
      </c>
      <c r="H63" s="67">
        <v>300</v>
      </c>
      <c r="I63" t="s">
        <v>41</v>
      </c>
      <c r="J63" t="s">
        <v>41</v>
      </c>
      <c r="K63" t="s">
        <v>41</v>
      </c>
      <c r="L63" t="s">
        <v>41</v>
      </c>
      <c r="M63" t="s">
        <v>41</v>
      </c>
      <c r="N63" t="s">
        <v>41</v>
      </c>
      <c r="O63" s="60" t="s">
        <v>41</v>
      </c>
      <c r="P63" s="60" t="s">
        <v>41</v>
      </c>
      <c r="Q63" s="72" t="s">
        <v>50</v>
      </c>
      <c r="R63" s="72" t="s">
        <v>50</v>
      </c>
      <c r="S63" s="72" t="s">
        <v>50</v>
      </c>
      <c r="T63" s="72" t="s">
        <v>50</v>
      </c>
      <c r="U63" s="72" t="s">
        <v>50</v>
      </c>
      <c r="V63" s="72" t="s">
        <v>50</v>
      </c>
      <c r="W63" s="72" t="s">
        <v>50</v>
      </c>
      <c r="X63" s="72" t="s">
        <v>50</v>
      </c>
      <c r="Y63" t="s">
        <v>41</v>
      </c>
      <c r="Z63" t="s">
        <v>41</v>
      </c>
      <c r="AA63" t="s">
        <v>41</v>
      </c>
      <c r="AB63" t="s">
        <v>41</v>
      </c>
      <c r="AC63" t="s">
        <v>41</v>
      </c>
      <c r="AD63" t="s">
        <v>41</v>
      </c>
      <c r="AE63" s="60" t="s">
        <v>41</v>
      </c>
      <c r="AF63" s="60" t="s">
        <v>41</v>
      </c>
      <c r="AG63" s="62">
        <f t="shared" si="25"/>
        <v>0</v>
      </c>
      <c r="AH63" s="79"/>
      <c r="AI63" s="79"/>
      <c r="AJ63" s="79"/>
      <c r="AK63" s="80" t="s">
        <v>57</v>
      </c>
      <c r="AL63" s="64">
        <f t="shared" si="8"/>
        <v>-25</v>
      </c>
      <c r="AM63" s="64">
        <f t="shared" si="9"/>
        <v>-53</v>
      </c>
      <c r="AN63" s="64">
        <f t="shared" ref="AN63:AN83" si="26">MIN(AN62+6,18)-COUNTIF(Y63:AF63,"&lt;&gt;空")+COUNTIF(Y63:AF63,"历练")+COUNTIF(Y63:AF63,"营地")*2+COUNTIF(Y63:AF63,"塔1")*5</f>
        <v>15</v>
      </c>
      <c r="BE63" s="18"/>
    </row>
    <row r="64" spans="1:57">
      <c r="A64" s="97">
        <v>46336</v>
      </c>
      <c r="B64" s="67">
        <v>1600</v>
      </c>
      <c r="C64" s="67"/>
      <c r="D64" s="55">
        <f>(SUM(粮草!A64:X64)+AG64*10*IF(AK64="是",$BB$4,$BB$3))</f>
        <v>1584</v>
      </c>
      <c r="E64" s="57">
        <f>SUM($B$4:B64)+SUM($C$4:C64)-SUM($D$4:D64)</f>
        <v>-51042</v>
      </c>
      <c r="F64" s="55">
        <f>SUM(经验!A64:X64)</f>
        <v>510</v>
      </c>
      <c r="G64" s="55">
        <f>SUM($F$4:F64)+SUM($H$4:H64)</f>
        <v>63430</v>
      </c>
      <c r="H64" s="67">
        <v>0</v>
      </c>
      <c r="I64" t="s">
        <v>41</v>
      </c>
      <c r="J64" t="s">
        <v>41</v>
      </c>
      <c r="K64" t="s">
        <v>41</v>
      </c>
      <c r="L64" t="s">
        <v>41</v>
      </c>
      <c r="M64" t="s">
        <v>41</v>
      </c>
      <c r="N64" t="s">
        <v>41</v>
      </c>
      <c r="O64" s="60" t="s">
        <v>41</v>
      </c>
      <c r="P64" s="60" t="s">
        <v>41</v>
      </c>
      <c r="Q64" s="72" t="s">
        <v>50</v>
      </c>
      <c r="R64" s="72" t="s">
        <v>50</v>
      </c>
      <c r="S64" s="72" t="s">
        <v>50</v>
      </c>
      <c r="T64" s="72" t="s">
        <v>50</v>
      </c>
      <c r="U64" s="72" t="s">
        <v>50</v>
      </c>
      <c r="V64" s="72" t="s">
        <v>50</v>
      </c>
      <c r="W64" s="60" t="s">
        <v>41</v>
      </c>
      <c r="X64" s="60" t="s">
        <v>41</v>
      </c>
      <c r="Y64" s="61" t="s">
        <v>43</v>
      </c>
      <c r="Z64" s="61" t="s">
        <v>43</v>
      </c>
      <c r="AA64" s="61" t="s">
        <v>43</v>
      </c>
      <c r="AB64" s="61" t="s">
        <v>43</v>
      </c>
      <c r="AC64" s="61" t="s">
        <v>43</v>
      </c>
      <c r="AD64" s="61" t="s">
        <v>43</v>
      </c>
      <c r="AE64" s="60" t="s">
        <v>41</v>
      </c>
      <c r="AF64" s="60" t="s">
        <v>41</v>
      </c>
      <c r="AG64" s="62">
        <f t="shared" si="25"/>
        <v>0</v>
      </c>
      <c r="AH64" s="79"/>
      <c r="AI64" s="79"/>
      <c r="AJ64" s="79"/>
      <c r="AK64" s="80" t="s">
        <v>57</v>
      </c>
      <c r="AL64" s="64">
        <f t="shared" si="8"/>
        <v>-19</v>
      </c>
      <c r="AM64" s="64">
        <f t="shared" si="9"/>
        <v>-53</v>
      </c>
      <c r="AN64" s="64">
        <f t="shared" si="26"/>
        <v>12</v>
      </c>
      <c r="BE64" s="18"/>
    </row>
    <row r="65" spans="1:57">
      <c r="A65" s="97">
        <v>46337</v>
      </c>
      <c r="B65" s="67">
        <v>1600</v>
      </c>
      <c r="C65" s="67"/>
      <c r="D65" s="55">
        <f>(SUM(粮草!A65:X65)+AG65*10*IF(AK65="是",$BB$4,$BB$3))</f>
        <v>768</v>
      </c>
      <c r="E65" s="57">
        <f>SUM($B$4:B65)+SUM($C$4:C65)-SUM($D$4:D65)</f>
        <v>-50210</v>
      </c>
      <c r="F65" s="55">
        <f>SUM(经验!A65:X65)</f>
        <v>240</v>
      </c>
      <c r="G65" s="55">
        <f>SUM($F$4:F65)+SUM($H$4:H65)</f>
        <v>63870</v>
      </c>
      <c r="H65" s="67">
        <v>200</v>
      </c>
      <c r="I65" t="s">
        <v>41</v>
      </c>
      <c r="J65" t="s">
        <v>41</v>
      </c>
      <c r="K65" t="s">
        <v>41</v>
      </c>
      <c r="L65" t="s">
        <v>41</v>
      </c>
      <c r="M65" t="s">
        <v>41</v>
      </c>
      <c r="N65" t="s">
        <v>41</v>
      </c>
      <c r="O65" s="60" t="s">
        <v>41</v>
      </c>
      <c r="P65" s="60" t="s">
        <v>41</v>
      </c>
      <c r="Q65" t="s">
        <v>41</v>
      </c>
      <c r="R65" t="s">
        <v>41</v>
      </c>
      <c r="S65" t="s">
        <v>41</v>
      </c>
      <c r="T65" t="s">
        <v>41</v>
      </c>
      <c r="U65" t="s">
        <v>41</v>
      </c>
      <c r="V65" t="s">
        <v>41</v>
      </c>
      <c r="W65" s="60" t="s">
        <v>41</v>
      </c>
      <c r="X65" s="60" t="s">
        <v>41</v>
      </c>
      <c r="Y65" s="61" t="s">
        <v>43</v>
      </c>
      <c r="Z65" s="61" t="s">
        <v>43</v>
      </c>
      <c r="AA65" s="61" t="s">
        <v>43</v>
      </c>
      <c r="AB65" s="61" t="s">
        <v>43</v>
      </c>
      <c r="AC65" s="61" t="s">
        <v>43</v>
      </c>
      <c r="AD65" s="61" t="s">
        <v>43</v>
      </c>
      <c r="AE65" s="60" t="s">
        <v>41</v>
      </c>
      <c r="AF65" s="60" t="s">
        <v>41</v>
      </c>
      <c r="AG65" s="62">
        <f t="shared" si="3"/>
        <v>0</v>
      </c>
      <c r="AH65" s="79"/>
      <c r="AI65" s="79"/>
      <c r="AJ65" s="79"/>
      <c r="AK65" s="80" t="s">
        <v>57</v>
      </c>
      <c r="AL65" s="64">
        <f t="shared" si="8"/>
        <v>-13</v>
      </c>
      <c r="AM65" s="64">
        <f t="shared" si="9"/>
        <v>-47</v>
      </c>
      <c r="AN65" s="64">
        <f t="shared" si="26"/>
        <v>12</v>
      </c>
      <c r="BE65" s="18"/>
    </row>
    <row r="66" spans="1:57">
      <c r="A66" s="97">
        <v>46338</v>
      </c>
      <c r="B66" s="67">
        <v>1600</v>
      </c>
      <c r="C66" s="67"/>
      <c r="D66" s="55">
        <f>(SUM(粮草!A66:X66)+AG66*10*IF(AK66="是",$BB$4,$BB$3))</f>
        <v>1488</v>
      </c>
      <c r="E66" s="57">
        <f>SUM($B$4:B66)+SUM($C$4:C66)-SUM($D$4:D66)</f>
        <v>-50098</v>
      </c>
      <c r="F66" s="55">
        <f>SUM(经验!A66:X66)</f>
        <v>480</v>
      </c>
      <c r="G66" s="55">
        <f>SUM($F$4:F66)+SUM($H$4:H66)</f>
        <v>64350</v>
      </c>
      <c r="H66" s="67">
        <v>0</v>
      </c>
      <c r="I66" t="s">
        <v>41</v>
      </c>
      <c r="J66" t="s">
        <v>41</v>
      </c>
      <c r="K66" t="s">
        <v>41</v>
      </c>
      <c r="L66" t="s">
        <v>41</v>
      </c>
      <c r="M66" t="s">
        <v>41</v>
      </c>
      <c r="N66" t="s">
        <v>41</v>
      </c>
      <c r="O66" s="60" t="s">
        <v>41</v>
      </c>
      <c r="P66" s="60" t="s">
        <v>41</v>
      </c>
      <c r="Q66" s="16" t="s">
        <v>46</v>
      </c>
      <c r="R66" s="16" t="s">
        <v>46</v>
      </c>
      <c r="S66" s="16" t="s">
        <v>46</v>
      </c>
      <c r="T66" s="16" t="s">
        <v>46</v>
      </c>
      <c r="U66" s="16" t="s">
        <v>46</v>
      </c>
      <c r="V66" s="16" t="s">
        <v>46</v>
      </c>
      <c r="W66" s="60" t="s">
        <v>41</v>
      </c>
      <c r="X66" s="60" t="s">
        <v>41</v>
      </c>
      <c r="Y66" s="61" t="s">
        <v>43</v>
      </c>
      <c r="Z66" s="61" t="s">
        <v>43</v>
      </c>
      <c r="AA66" s="61" t="s">
        <v>43</v>
      </c>
      <c r="AB66" s="61" t="s">
        <v>43</v>
      </c>
      <c r="AC66" s="61" t="s">
        <v>43</v>
      </c>
      <c r="AD66" s="61" t="s">
        <v>43</v>
      </c>
      <c r="AE66" s="60" t="s">
        <v>41</v>
      </c>
      <c r="AF66" s="60" t="s">
        <v>41</v>
      </c>
      <c r="AG66" s="62">
        <f t="shared" si="3"/>
        <v>0</v>
      </c>
      <c r="AH66" s="79"/>
      <c r="AI66" s="79"/>
      <c r="AJ66" s="79"/>
      <c r="AK66" s="80" t="s">
        <v>57</v>
      </c>
      <c r="AL66" s="64">
        <f t="shared" si="8"/>
        <v>-7</v>
      </c>
      <c r="AM66" s="64">
        <f t="shared" si="9"/>
        <v>-47</v>
      </c>
      <c r="AN66" s="64">
        <f t="shared" si="26"/>
        <v>12</v>
      </c>
      <c r="BE66" s="18"/>
    </row>
    <row r="67" spans="1:57">
      <c r="A67" s="95">
        <v>46339</v>
      </c>
      <c r="B67" s="67">
        <v>1600</v>
      </c>
      <c r="C67" s="67"/>
      <c r="D67" s="55">
        <f>(SUM(粮草!A67:X67)+AG67*10*IF(AK67="是",$BB$4,$BB$3))</f>
        <v>1488</v>
      </c>
      <c r="E67" s="57">
        <f>SUM($B$4:B67)+SUM($C$4:C67)-SUM($D$4:D67)</f>
        <v>-49986</v>
      </c>
      <c r="F67" s="55">
        <f>SUM(经验!A67:X67)</f>
        <v>480</v>
      </c>
      <c r="G67" s="55">
        <f>SUM($F$4:F67)+SUM($H$4:H67)</f>
        <v>64830</v>
      </c>
      <c r="H67" s="67">
        <v>0</v>
      </c>
      <c r="I67" t="s">
        <v>41</v>
      </c>
      <c r="J67" t="s">
        <v>41</v>
      </c>
      <c r="K67" t="s">
        <v>41</v>
      </c>
      <c r="L67" t="s">
        <v>41</v>
      </c>
      <c r="M67" t="s">
        <v>41</v>
      </c>
      <c r="N67" t="s">
        <v>41</v>
      </c>
      <c r="O67" s="60" t="s">
        <v>41</v>
      </c>
      <c r="P67" s="60" t="s">
        <v>41</v>
      </c>
      <c r="Q67" s="16" t="s">
        <v>46</v>
      </c>
      <c r="R67" s="16" t="s">
        <v>46</v>
      </c>
      <c r="S67" s="16" t="s">
        <v>46</v>
      </c>
      <c r="T67" s="16" t="s">
        <v>46</v>
      </c>
      <c r="U67" s="16" t="s">
        <v>46</v>
      </c>
      <c r="V67" s="16" t="s">
        <v>46</v>
      </c>
      <c r="W67" s="60" t="s">
        <v>41</v>
      </c>
      <c r="X67" s="60" t="s">
        <v>41</v>
      </c>
      <c r="Y67" s="61" t="s">
        <v>43</v>
      </c>
      <c r="Z67" s="61" t="s">
        <v>43</v>
      </c>
      <c r="AA67" s="61" t="s">
        <v>43</v>
      </c>
      <c r="AB67" s="61" t="s">
        <v>43</v>
      </c>
      <c r="AC67" s="61" t="s">
        <v>43</v>
      </c>
      <c r="AD67" s="61" t="s">
        <v>43</v>
      </c>
      <c r="AE67" s="60" t="s">
        <v>41</v>
      </c>
      <c r="AF67" s="60" t="s">
        <v>41</v>
      </c>
      <c r="AG67" s="62">
        <f t="shared" ref="AG67:AG69" si="27">AH67+AI67+AJ67</f>
        <v>0</v>
      </c>
      <c r="AH67" s="79"/>
      <c r="AI67" s="79"/>
      <c r="AJ67" s="79"/>
      <c r="AK67" s="80" t="s">
        <v>57</v>
      </c>
      <c r="AL67" s="64">
        <f t="shared" si="8"/>
        <v>-1</v>
      </c>
      <c r="AM67" s="64">
        <f t="shared" si="9"/>
        <v>-47</v>
      </c>
      <c r="AN67" s="64">
        <f t="shared" si="26"/>
        <v>12</v>
      </c>
      <c r="BE67" s="18"/>
    </row>
    <row r="68" spans="1:57">
      <c r="A68" s="95">
        <v>46340</v>
      </c>
      <c r="B68" s="67">
        <v>1600</v>
      </c>
      <c r="C68" s="67"/>
      <c r="D68" s="55">
        <f>(SUM(粮草!A68:X68)+AG68*10*IF(AK68="是",$BB$4,$BB$3))</f>
        <v>1488</v>
      </c>
      <c r="E68" s="57">
        <f>SUM($B$4:B68)+SUM($C$4:C68)-SUM($D$4:D68)</f>
        <v>-49874</v>
      </c>
      <c r="F68" s="55">
        <f>SUM(经验!A68:X68)</f>
        <v>480</v>
      </c>
      <c r="G68" s="55">
        <f>SUM($F$4:F68)+SUM($H$4:H68)</f>
        <v>65310</v>
      </c>
      <c r="H68" s="67">
        <v>0</v>
      </c>
      <c r="I68" t="s">
        <v>41</v>
      </c>
      <c r="J68" t="s">
        <v>41</v>
      </c>
      <c r="K68" t="s">
        <v>41</v>
      </c>
      <c r="L68" t="s">
        <v>41</v>
      </c>
      <c r="M68" t="s">
        <v>41</v>
      </c>
      <c r="N68" t="s">
        <v>41</v>
      </c>
      <c r="O68" s="60" t="s">
        <v>41</v>
      </c>
      <c r="P68" s="60" t="s">
        <v>41</v>
      </c>
      <c r="Q68" s="16" t="s">
        <v>46</v>
      </c>
      <c r="R68" s="16" t="s">
        <v>46</v>
      </c>
      <c r="S68" s="16" t="s">
        <v>46</v>
      </c>
      <c r="T68" s="16" t="s">
        <v>46</v>
      </c>
      <c r="U68" s="16" t="s">
        <v>46</v>
      </c>
      <c r="V68" s="16" t="s">
        <v>46</v>
      </c>
      <c r="W68" s="60" t="s">
        <v>41</v>
      </c>
      <c r="X68" s="60" t="s">
        <v>41</v>
      </c>
      <c r="Y68" s="61" t="s">
        <v>43</v>
      </c>
      <c r="Z68" s="61" t="s">
        <v>43</v>
      </c>
      <c r="AA68" s="61" t="s">
        <v>43</v>
      </c>
      <c r="AB68" s="61" t="s">
        <v>43</v>
      </c>
      <c r="AC68" s="61" t="s">
        <v>43</v>
      </c>
      <c r="AD68" s="61" t="s">
        <v>43</v>
      </c>
      <c r="AE68" s="60" t="s">
        <v>41</v>
      </c>
      <c r="AF68" s="60" t="s">
        <v>41</v>
      </c>
      <c r="AG68" s="62">
        <f t="shared" si="27"/>
        <v>0</v>
      </c>
      <c r="AH68" s="79"/>
      <c r="AI68" s="79"/>
      <c r="AJ68" s="79"/>
      <c r="AK68" s="80" t="s">
        <v>57</v>
      </c>
      <c r="AL68" s="64">
        <f t="shared" si="8"/>
        <v>5</v>
      </c>
      <c r="AM68" s="64">
        <f t="shared" si="9"/>
        <v>-47</v>
      </c>
      <c r="AN68" s="64">
        <f t="shared" si="26"/>
        <v>12</v>
      </c>
      <c r="BE68" s="18"/>
    </row>
    <row r="69" spans="1:57">
      <c r="A69" s="95">
        <v>46341</v>
      </c>
      <c r="B69" s="67">
        <v>1600</v>
      </c>
      <c r="C69" s="67"/>
      <c r="D69" s="55">
        <f>(SUM(粮草!A69:X69)+AG69*10*IF(AK69="是",$BB$4,$BB$3))</f>
        <v>1104</v>
      </c>
      <c r="E69" s="57">
        <f>SUM($B$4:B69)+SUM($C$4:C69)-SUM($D$4:D69)</f>
        <v>-49378</v>
      </c>
      <c r="F69" s="55">
        <f>SUM(经验!A69:X69)</f>
        <v>360</v>
      </c>
      <c r="G69" s="55">
        <f>SUM($F$4:F69)+SUM($H$4:H69)</f>
        <v>65670</v>
      </c>
      <c r="H69" s="67">
        <v>0</v>
      </c>
      <c r="I69" t="s">
        <v>41</v>
      </c>
      <c r="J69" t="s">
        <v>41</v>
      </c>
      <c r="K69" t="s">
        <v>41</v>
      </c>
      <c r="L69" t="s">
        <v>41</v>
      </c>
      <c r="M69" t="s">
        <v>41</v>
      </c>
      <c r="N69" t="s">
        <v>41</v>
      </c>
      <c r="O69" s="60" t="s">
        <v>41</v>
      </c>
      <c r="P69" s="60" t="s">
        <v>41</v>
      </c>
      <c r="Q69" s="16" t="s">
        <v>46</v>
      </c>
      <c r="R69" s="16" t="s">
        <v>46</v>
      </c>
      <c r="S69" s="16" t="s">
        <v>46</v>
      </c>
      <c r="T69" s="16" t="s">
        <v>46</v>
      </c>
      <c r="U69" s="16" t="s">
        <v>46</v>
      </c>
      <c r="V69" s="16" t="s">
        <v>46</v>
      </c>
      <c r="W69" s="60" t="s">
        <v>41</v>
      </c>
      <c r="X69" s="60" t="s">
        <v>41</v>
      </c>
      <c r="Y69" s="61" t="s">
        <v>43</v>
      </c>
      <c r="Z69" s="61" t="s">
        <v>43</v>
      </c>
      <c r="AA69" s="61" t="s">
        <v>43</v>
      </c>
      <c r="AB69" t="s">
        <v>41</v>
      </c>
      <c r="AC69" t="s">
        <v>41</v>
      </c>
      <c r="AD69" t="s">
        <v>41</v>
      </c>
      <c r="AE69" s="60" t="s">
        <v>41</v>
      </c>
      <c r="AF69" s="60" t="s">
        <v>41</v>
      </c>
      <c r="AG69" s="62">
        <f t="shared" si="27"/>
        <v>0</v>
      </c>
      <c r="AH69" s="79"/>
      <c r="AI69" s="79"/>
      <c r="AJ69" s="79"/>
      <c r="AK69" s="80" t="s">
        <v>57</v>
      </c>
      <c r="AL69" s="64">
        <f t="shared" si="8"/>
        <v>11</v>
      </c>
      <c r="AM69" s="64">
        <f t="shared" si="9"/>
        <v>-47</v>
      </c>
      <c r="AN69" s="64">
        <f t="shared" si="26"/>
        <v>15</v>
      </c>
      <c r="BE69" s="18"/>
    </row>
    <row r="70" spans="1:57">
      <c r="A70" s="95">
        <v>46342</v>
      </c>
      <c r="B70" s="55">
        <v>1600</v>
      </c>
      <c r="C70" s="56"/>
      <c r="D70" s="55">
        <f>(SUM(粮草!A70:X70)+AG70*10*IF(AK70="是",$BB$4,$BB$3))</f>
        <v>720</v>
      </c>
      <c r="E70" s="57">
        <f>SUM($B$4:B70)+SUM($C$4:C70)-SUM($D$4:D70)</f>
        <v>-48498</v>
      </c>
      <c r="F70" s="55">
        <f>SUM(经验!A70:X70)</f>
        <v>240</v>
      </c>
      <c r="G70" s="55">
        <f>SUM($F$4:F70)+SUM($H$4:H70)</f>
        <v>66210</v>
      </c>
      <c r="H70" s="55">
        <v>300</v>
      </c>
      <c r="I70" t="s">
        <v>41</v>
      </c>
      <c r="J70" t="s">
        <v>41</v>
      </c>
      <c r="K70" t="s">
        <v>41</v>
      </c>
      <c r="L70" t="s">
        <v>41</v>
      </c>
      <c r="M70" t="s">
        <v>41</v>
      </c>
      <c r="N70" t="s">
        <v>41</v>
      </c>
      <c r="O70" s="60" t="s">
        <v>41</v>
      </c>
      <c r="P70" s="60" t="s">
        <v>41</v>
      </c>
      <c r="Q70" s="16" t="s">
        <v>46</v>
      </c>
      <c r="R70" s="16" t="s">
        <v>46</v>
      </c>
      <c r="S70" s="16" t="s">
        <v>46</v>
      </c>
      <c r="T70" s="16" t="s">
        <v>46</v>
      </c>
      <c r="U70" s="16" t="s">
        <v>46</v>
      </c>
      <c r="V70" s="16" t="s">
        <v>46</v>
      </c>
      <c r="W70" s="60" t="s">
        <v>41</v>
      </c>
      <c r="X70" s="60" t="s">
        <v>41</v>
      </c>
      <c r="Y70" t="s">
        <v>41</v>
      </c>
      <c r="Z70" t="s">
        <v>41</v>
      </c>
      <c r="AA70" t="s">
        <v>41</v>
      </c>
      <c r="AB70" t="s">
        <v>41</v>
      </c>
      <c r="AC70" t="s">
        <v>41</v>
      </c>
      <c r="AD70" t="s">
        <v>41</v>
      </c>
      <c r="AE70" s="60" t="s">
        <v>41</v>
      </c>
      <c r="AF70" s="60" t="s">
        <v>41</v>
      </c>
      <c r="AG70" s="62">
        <f t="shared" ref="AG70:AG93" si="28">AH70+AI70+AJ70</f>
        <v>0</v>
      </c>
      <c r="AH70" s="79"/>
      <c r="AI70" s="79"/>
      <c r="AJ70" s="79"/>
      <c r="AK70" s="80" t="s">
        <v>57</v>
      </c>
      <c r="AL70" s="64">
        <f t="shared" ref="AL70:AL93" si="29">MIN(AL69+6,18)-COUNTIF(I70:P70,"&lt;&gt;空")+COUNTIF(I70:P70,"历练")+COUNTIF(I70:P70,"营地")*2+COUNTIF(I70:P70,"塔1")*5</f>
        <v>17</v>
      </c>
      <c r="AM70" s="64">
        <f t="shared" ref="AM70:AM93" si="30">MIN(AM69+6,18)-COUNTIF(Q70:X70,"&lt;&gt;空")+COUNTIF(Q70:X70,"历练")+COUNTIF(Q70:X70,"营地")*2+COUNTIF(Q70:X70,"塔1")*5</f>
        <v>-47</v>
      </c>
      <c r="AN70" s="64">
        <f t="shared" si="26"/>
        <v>18</v>
      </c>
      <c r="BE70" s="18"/>
    </row>
    <row r="71" spans="1:57">
      <c r="A71" s="95">
        <v>46343</v>
      </c>
      <c r="B71" s="55">
        <v>1600</v>
      </c>
      <c r="C71" s="56"/>
      <c r="D71" s="55">
        <f>(SUM(粮草!A71:X71)+AG71*10*IF(AK71="是",$BB$4,$BB$3))</f>
        <v>360</v>
      </c>
      <c r="E71" s="57">
        <f>SUM($B$4:B71)+SUM($C$4:C71)-SUM($D$4:D71)</f>
        <v>-47258</v>
      </c>
      <c r="F71" s="55">
        <f>SUM(经验!A71:X71)</f>
        <v>120</v>
      </c>
      <c r="G71" s="55">
        <f>SUM($F$4:F71)+SUM($H$4:H71)</f>
        <v>66330</v>
      </c>
      <c r="H71" s="55">
        <v>0</v>
      </c>
      <c r="I71" t="s">
        <v>41</v>
      </c>
      <c r="J71" t="s">
        <v>41</v>
      </c>
      <c r="K71" t="s">
        <v>41</v>
      </c>
      <c r="L71" t="s">
        <v>41</v>
      </c>
      <c r="M71" t="s">
        <v>41</v>
      </c>
      <c r="N71" t="s">
        <v>41</v>
      </c>
      <c r="O71" s="60" t="s">
        <v>41</v>
      </c>
      <c r="P71" s="60" t="s">
        <v>41</v>
      </c>
      <c r="Q71" s="16" t="s">
        <v>46</v>
      </c>
      <c r="R71" s="16" t="s">
        <v>46</v>
      </c>
      <c r="S71" s="16" t="s">
        <v>46</v>
      </c>
      <c r="T71" t="s">
        <v>41</v>
      </c>
      <c r="U71" t="s">
        <v>41</v>
      </c>
      <c r="V71" t="s">
        <v>41</v>
      </c>
      <c r="W71" s="60" t="s">
        <v>41</v>
      </c>
      <c r="X71" s="60" t="s">
        <v>41</v>
      </c>
      <c r="Y71" t="s">
        <v>41</v>
      </c>
      <c r="Z71" t="s">
        <v>41</v>
      </c>
      <c r="AA71" t="s">
        <v>41</v>
      </c>
      <c r="AB71" t="s">
        <v>41</v>
      </c>
      <c r="AC71" t="s">
        <v>41</v>
      </c>
      <c r="AD71" t="s">
        <v>41</v>
      </c>
      <c r="AE71" s="60" t="s">
        <v>41</v>
      </c>
      <c r="AF71" s="60" t="s">
        <v>41</v>
      </c>
      <c r="AG71" s="62">
        <f t="shared" ref="AG71" si="31">AH71+AI71+AJ71</f>
        <v>0</v>
      </c>
      <c r="AH71" s="79"/>
      <c r="AI71" s="79"/>
      <c r="AJ71" s="79"/>
      <c r="AK71" s="80" t="s">
        <v>57</v>
      </c>
      <c r="AL71" s="64">
        <f t="shared" si="29"/>
        <v>18</v>
      </c>
      <c r="AM71" s="64">
        <f t="shared" si="30"/>
        <v>-44</v>
      </c>
      <c r="AN71" s="64">
        <f t="shared" si="26"/>
        <v>18</v>
      </c>
      <c r="BE71" s="18"/>
    </row>
    <row r="72" spans="1:57">
      <c r="A72" s="95">
        <v>46344</v>
      </c>
      <c r="B72" s="55">
        <v>1600</v>
      </c>
      <c r="C72" s="56"/>
      <c r="D72" s="55">
        <f>(SUM(粮草!A72:X72)+AG72*10*IF(AK72="是",$BB$4,$BB$3))</f>
        <v>0</v>
      </c>
      <c r="E72" s="57">
        <f>SUM($B$4:B72)+SUM($C$4:C72)-SUM($D$4:D72)</f>
        <v>-45658</v>
      </c>
      <c r="F72" s="55">
        <f>SUM(经验!A72:X72)</f>
        <v>0</v>
      </c>
      <c r="G72" s="55">
        <f>SUM($F$4:F72)+SUM($H$4:H72)</f>
        <v>66530</v>
      </c>
      <c r="H72" s="55">
        <v>200</v>
      </c>
      <c r="I72" t="s">
        <v>41</v>
      </c>
      <c r="J72" t="s">
        <v>41</v>
      </c>
      <c r="K72" t="s">
        <v>41</v>
      </c>
      <c r="L72" t="s">
        <v>41</v>
      </c>
      <c r="M72" t="s">
        <v>41</v>
      </c>
      <c r="N72" t="s">
        <v>41</v>
      </c>
      <c r="O72" s="60" t="s">
        <v>41</v>
      </c>
      <c r="P72" s="60" t="s">
        <v>41</v>
      </c>
      <c r="Q72" t="s">
        <v>41</v>
      </c>
      <c r="R72" t="s">
        <v>41</v>
      </c>
      <c r="S72" t="s">
        <v>41</v>
      </c>
      <c r="T72" t="s">
        <v>41</v>
      </c>
      <c r="U72" t="s">
        <v>41</v>
      </c>
      <c r="V72" t="s">
        <v>41</v>
      </c>
      <c r="W72" s="60" t="s">
        <v>41</v>
      </c>
      <c r="X72" s="60" t="s">
        <v>41</v>
      </c>
      <c r="Y72" t="s">
        <v>41</v>
      </c>
      <c r="Z72" t="s">
        <v>41</v>
      </c>
      <c r="AA72" t="s">
        <v>41</v>
      </c>
      <c r="AB72" t="s">
        <v>41</v>
      </c>
      <c r="AC72" t="s">
        <v>41</v>
      </c>
      <c r="AD72" t="s">
        <v>41</v>
      </c>
      <c r="AE72" s="60" t="s">
        <v>41</v>
      </c>
      <c r="AF72" s="60" t="s">
        <v>41</v>
      </c>
      <c r="AG72" s="62">
        <f t="shared" si="28"/>
        <v>0</v>
      </c>
      <c r="AH72" s="79"/>
      <c r="AI72" s="79"/>
      <c r="AJ72" s="79"/>
      <c r="AK72" s="80" t="s">
        <v>57</v>
      </c>
      <c r="AL72" s="64">
        <f t="shared" si="29"/>
        <v>18</v>
      </c>
      <c r="AM72" s="64">
        <f t="shared" si="30"/>
        <v>-38</v>
      </c>
      <c r="AN72" s="64">
        <f t="shared" si="26"/>
        <v>18</v>
      </c>
      <c r="BE72" s="18"/>
    </row>
    <row r="73" spans="1:57">
      <c r="A73" s="95">
        <v>46345</v>
      </c>
      <c r="B73" s="55">
        <v>1600</v>
      </c>
      <c r="C73" s="56"/>
      <c r="D73" s="55">
        <f>(SUM(粮草!A73:X73)+AG73*10*IF(AK73="是",$BB$4,$BB$3))</f>
        <v>0</v>
      </c>
      <c r="E73" s="57">
        <f>SUM($B$4:B73)+SUM($C$4:C73)-SUM($D$4:D73)</f>
        <v>-44058</v>
      </c>
      <c r="F73" s="55">
        <f>SUM(经验!A73:X73)</f>
        <v>0</v>
      </c>
      <c r="G73" s="55">
        <f>SUM($F$4:F73)+SUM($H$4:H73)</f>
        <v>66530</v>
      </c>
      <c r="H73" s="55">
        <v>0</v>
      </c>
      <c r="I73" t="s">
        <v>41</v>
      </c>
      <c r="J73" t="s">
        <v>41</v>
      </c>
      <c r="K73" t="s">
        <v>41</v>
      </c>
      <c r="L73" t="s">
        <v>41</v>
      </c>
      <c r="M73" t="s">
        <v>41</v>
      </c>
      <c r="N73" t="s">
        <v>41</v>
      </c>
      <c r="O73" s="60" t="s">
        <v>41</v>
      </c>
      <c r="P73" s="60" t="s">
        <v>41</v>
      </c>
      <c r="Q73" t="s">
        <v>41</v>
      </c>
      <c r="R73" t="s">
        <v>41</v>
      </c>
      <c r="S73" t="s">
        <v>41</v>
      </c>
      <c r="T73" t="s">
        <v>41</v>
      </c>
      <c r="U73" t="s">
        <v>41</v>
      </c>
      <c r="V73" t="s">
        <v>41</v>
      </c>
      <c r="W73" s="60" t="s">
        <v>41</v>
      </c>
      <c r="X73" s="60" t="s">
        <v>41</v>
      </c>
      <c r="Y73" t="s">
        <v>41</v>
      </c>
      <c r="Z73" t="s">
        <v>41</v>
      </c>
      <c r="AA73" t="s">
        <v>41</v>
      </c>
      <c r="AB73" t="s">
        <v>41</v>
      </c>
      <c r="AC73" t="s">
        <v>41</v>
      </c>
      <c r="AD73" t="s">
        <v>41</v>
      </c>
      <c r="AE73" s="60" t="s">
        <v>41</v>
      </c>
      <c r="AF73" s="60" t="s">
        <v>41</v>
      </c>
      <c r="AG73" s="62">
        <f t="shared" ref="AG73:AG74" si="32">AH73+AI73+AJ73</f>
        <v>0</v>
      </c>
      <c r="AH73" s="79"/>
      <c r="AI73" s="79"/>
      <c r="AJ73" s="79"/>
      <c r="AK73" s="80" t="s">
        <v>57</v>
      </c>
      <c r="AL73" s="64">
        <f t="shared" si="29"/>
        <v>18</v>
      </c>
      <c r="AM73" s="64">
        <f t="shared" si="30"/>
        <v>-32</v>
      </c>
      <c r="AN73" s="64">
        <f t="shared" si="26"/>
        <v>18</v>
      </c>
      <c r="BE73" s="18"/>
    </row>
    <row r="74" spans="1:57">
      <c r="A74" s="95">
        <v>46346</v>
      </c>
      <c r="B74" s="55">
        <v>1600</v>
      </c>
      <c r="C74" s="56"/>
      <c r="D74" s="55">
        <f>(SUM(粮草!A74:X74)+AG74*10*IF(AK74="是",$BB$4,$BB$3))</f>
        <v>0</v>
      </c>
      <c r="E74" s="57">
        <f>SUM($B$4:B74)+SUM($C$4:C74)-SUM($D$4:D74)</f>
        <v>-42458</v>
      </c>
      <c r="F74" s="55">
        <f>SUM(经验!A74:X74)</f>
        <v>0</v>
      </c>
      <c r="G74" s="55">
        <f>SUM($F$4:F74)+SUM($H$4:H74)</f>
        <v>66530</v>
      </c>
      <c r="H74" s="55">
        <v>0</v>
      </c>
      <c r="I74" t="s">
        <v>41</v>
      </c>
      <c r="J74" t="s">
        <v>41</v>
      </c>
      <c r="K74" t="s">
        <v>41</v>
      </c>
      <c r="L74" t="s">
        <v>41</v>
      </c>
      <c r="M74" t="s">
        <v>41</v>
      </c>
      <c r="N74" t="s">
        <v>41</v>
      </c>
      <c r="O74" s="60" t="s">
        <v>41</v>
      </c>
      <c r="P74" s="60" t="s">
        <v>41</v>
      </c>
      <c r="Q74" t="s">
        <v>41</v>
      </c>
      <c r="R74" t="s">
        <v>41</v>
      </c>
      <c r="S74" t="s">
        <v>41</v>
      </c>
      <c r="T74" t="s">
        <v>41</v>
      </c>
      <c r="U74" t="s">
        <v>41</v>
      </c>
      <c r="V74" t="s">
        <v>41</v>
      </c>
      <c r="W74" s="60" t="s">
        <v>41</v>
      </c>
      <c r="X74" s="60" t="s">
        <v>41</v>
      </c>
      <c r="Y74" t="s">
        <v>41</v>
      </c>
      <c r="Z74" t="s">
        <v>41</v>
      </c>
      <c r="AA74" t="s">
        <v>41</v>
      </c>
      <c r="AB74" t="s">
        <v>41</v>
      </c>
      <c r="AC74" t="s">
        <v>41</v>
      </c>
      <c r="AD74" t="s">
        <v>41</v>
      </c>
      <c r="AE74" s="60" t="s">
        <v>41</v>
      </c>
      <c r="AF74" s="60" t="s">
        <v>41</v>
      </c>
      <c r="AG74" s="62">
        <f t="shared" si="32"/>
        <v>0</v>
      </c>
      <c r="AH74" s="79"/>
      <c r="AI74" s="79"/>
      <c r="AJ74" s="79"/>
      <c r="AK74" s="80" t="s">
        <v>57</v>
      </c>
      <c r="AL74" s="64">
        <f t="shared" si="29"/>
        <v>18</v>
      </c>
      <c r="AM74" s="64">
        <f t="shared" si="30"/>
        <v>-26</v>
      </c>
      <c r="AN74" s="64">
        <f t="shared" si="26"/>
        <v>18</v>
      </c>
      <c r="BE74" s="18"/>
    </row>
    <row r="75" spans="1:57">
      <c r="A75" s="95">
        <v>46347</v>
      </c>
      <c r="B75" s="55">
        <v>1600</v>
      </c>
      <c r="C75" s="56"/>
      <c r="D75" s="55">
        <f>(SUM(粮草!A75:X75)+AG75*10*IF(AK75="是",$BB$4,$BB$3))</f>
        <v>0</v>
      </c>
      <c r="E75" s="57">
        <f>SUM($B$4:B75)+SUM($C$4:C75)-SUM($D$4:D75)</f>
        <v>-40858</v>
      </c>
      <c r="F75" s="55">
        <f>SUM(经验!A75:X75)</f>
        <v>0</v>
      </c>
      <c r="G75" s="55">
        <f>SUM($F$4:F75)+SUM($H$4:H75)</f>
        <v>66530</v>
      </c>
      <c r="H75" s="55">
        <v>0</v>
      </c>
      <c r="I75" t="s">
        <v>41</v>
      </c>
      <c r="J75" t="s">
        <v>41</v>
      </c>
      <c r="K75" t="s">
        <v>41</v>
      </c>
      <c r="L75" t="s">
        <v>41</v>
      </c>
      <c r="M75" t="s">
        <v>41</v>
      </c>
      <c r="N75" t="s">
        <v>41</v>
      </c>
      <c r="O75" s="60" t="s">
        <v>41</v>
      </c>
      <c r="P75" s="60" t="s">
        <v>41</v>
      </c>
      <c r="Q75" t="s">
        <v>41</v>
      </c>
      <c r="R75" t="s">
        <v>41</v>
      </c>
      <c r="S75" t="s">
        <v>41</v>
      </c>
      <c r="T75" t="s">
        <v>41</v>
      </c>
      <c r="U75" t="s">
        <v>41</v>
      </c>
      <c r="V75" t="s">
        <v>41</v>
      </c>
      <c r="W75" s="60" t="s">
        <v>41</v>
      </c>
      <c r="X75" s="60" t="s">
        <v>41</v>
      </c>
      <c r="Y75" t="s">
        <v>41</v>
      </c>
      <c r="Z75" t="s">
        <v>41</v>
      </c>
      <c r="AA75" t="s">
        <v>41</v>
      </c>
      <c r="AB75" t="s">
        <v>41</v>
      </c>
      <c r="AC75" t="s">
        <v>41</v>
      </c>
      <c r="AD75" t="s">
        <v>41</v>
      </c>
      <c r="AE75" s="60" t="s">
        <v>41</v>
      </c>
      <c r="AF75" s="60" t="s">
        <v>41</v>
      </c>
      <c r="AG75" s="62">
        <f t="shared" si="28"/>
        <v>0</v>
      </c>
      <c r="AH75" s="79"/>
      <c r="AI75" s="79"/>
      <c r="AJ75" s="79"/>
      <c r="AK75" s="80" t="s">
        <v>57</v>
      </c>
      <c r="AL75" s="64">
        <f t="shared" si="29"/>
        <v>18</v>
      </c>
      <c r="AM75" s="64">
        <f t="shared" si="30"/>
        <v>-20</v>
      </c>
      <c r="AN75" s="64">
        <f t="shared" si="26"/>
        <v>18</v>
      </c>
      <c r="BE75" s="18"/>
    </row>
    <row r="76" spans="1:57">
      <c r="A76" s="95">
        <v>46348</v>
      </c>
      <c r="B76" s="55">
        <v>1600</v>
      </c>
      <c r="C76" s="56"/>
      <c r="D76" s="55">
        <f>(SUM(粮草!A76:X76)+AG76*10*IF(AK76="是",$BB$4,$BB$3))</f>
        <v>0</v>
      </c>
      <c r="E76" s="57">
        <f>SUM($B$4:B76)+SUM($C$4:C76)-SUM($D$4:D76)</f>
        <v>-39258</v>
      </c>
      <c r="F76" s="55">
        <f>SUM(经验!A76:X76)</f>
        <v>0</v>
      </c>
      <c r="G76" s="55">
        <f>SUM($F$4:F76)+SUM($H$4:H76)</f>
        <v>66530</v>
      </c>
      <c r="H76" s="55">
        <v>0</v>
      </c>
      <c r="I76" t="s">
        <v>41</v>
      </c>
      <c r="J76" t="s">
        <v>41</v>
      </c>
      <c r="K76" t="s">
        <v>41</v>
      </c>
      <c r="L76" t="s">
        <v>41</v>
      </c>
      <c r="M76" t="s">
        <v>41</v>
      </c>
      <c r="N76" t="s">
        <v>41</v>
      </c>
      <c r="O76" s="60" t="s">
        <v>41</v>
      </c>
      <c r="P76" s="60" t="s">
        <v>41</v>
      </c>
      <c r="Q76" t="s">
        <v>41</v>
      </c>
      <c r="R76" t="s">
        <v>41</v>
      </c>
      <c r="S76" t="s">
        <v>41</v>
      </c>
      <c r="T76" t="s">
        <v>41</v>
      </c>
      <c r="U76" t="s">
        <v>41</v>
      </c>
      <c r="V76" t="s">
        <v>41</v>
      </c>
      <c r="W76" s="60" t="s">
        <v>41</v>
      </c>
      <c r="X76" s="60" t="s">
        <v>41</v>
      </c>
      <c r="Y76" t="s">
        <v>41</v>
      </c>
      <c r="Z76" t="s">
        <v>41</v>
      </c>
      <c r="AA76" t="s">
        <v>41</v>
      </c>
      <c r="AB76" t="s">
        <v>41</v>
      </c>
      <c r="AC76" t="s">
        <v>41</v>
      </c>
      <c r="AD76" t="s">
        <v>41</v>
      </c>
      <c r="AE76" s="60" t="s">
        <v>41</v>
      </c>
      <c r="AF76" s="60" t="s">
        <v>41</v>
      </c>
      <c r="AG76" s="62">
        <f t="shared" ref="AG76" si="33">AH76+AI76+AJ76</f>
        <v>0</v>
      </c>
      <c r="AH76" s="79"/>
      <c r="AI76" s="79"/>
      <c r="AJ76" s="79"/>
      <c r="AK76" s="80" t="s">
        <v>57</v>
      </c>
      <c r="AL76" s="64">
        <f t="shared" si="29"/>
        <v>18</v>
      </c>
      <c r="AM76" s="64">
        <f t="shared" si="30"/>
        <v>-14</v>
      </c>
      <c r="AN76" s="64">
        <f t="shared" si="26"/>
        <v>18</v>
      </c>
      <c r="BE76" s="18"/>
    </row>
    <row r="77" spans="1:57">
      <c r="A77" s="95">
        <v>46349</v>
      </c>
      <c r="B77" s="67">
        <v>1600</v>
      </c>
      <c r="C77" s="67"/>
      <c r="D77" s="55">
        <f>(SUM(粮草!A77:X77)+AG77*10*IF(AK77="是",$BB$4,$BB$3))</f>
        <v>0</v>
      </c>
      <c r="E77" s="57">
        <f>SUM($B$4:B77)+SUM($C$4:C77)-SUM($D$4:D77)</f>
        <v>-37658</v>
      </c>
      <c r="F77" s="55">
        <f>SUM(经验!A77:X77)</f>
        <v>0</v>
      </c>
      <c r="G77" s="55">
        <f>SUM($F$4:F77)+SUM($H$4:H77)</f>
        <v>66830</v>
      </c>
      <c r="H77" s="67">
        <v>300</v>
      </c>
      <c r="I77" t="s">
        <v>41</v>
      </c>
      <c r="J77" t="s">
        <v>41</v>
      </c>
      <c r="K77" t="s">
        <v>41</v>
      </c>
      <c r="L77" t="s">
        <v>41</v>
      </c>
      <c r="M77" t="s">
        <v>41</v>
      </c>
      <c r="N77" t="s">
        <v>41</v>
      </c>
      <c r="O77" s="60" t="s">
        <v>41</v>
      </c>
      <c r="P77" s="60" t="s">
        <v>41</v>
      </c>
      <c r="Q77" t="s">
        <v>41</v>
      </c>
      <c r="R77" t="s">
        <v>41</v>
      </c>
      <c r="S77" t="s">
        <v>41</v>
      </c>
      <c r="T77" t="s">
        <v>41</v>
      </c>
      <c r="U77" t="s">
        <v>41</v>
      </c>
      <c r="V77" t="s">
        <v>41</v>
      </c>
      <c r="W77" s="60" t="s">
        <v>41</v>
      </c>
      <c r="X77" s="60" t="s">
        <v>41</v>
      </c>
      <c r="Y77" t="s">
        <v>41</v>
      </c>
      <c r="Z77" t="s">
        <v>41</v>
      </c>
      <c r="AA77" t="s">
        <v>41</v>
      </c>
      <c r="AB77" t="s">
        <v>41</v>
      </c>
      <c r="AC77" t="s">
        <v>41</v>
      </c>
      <c r="AD77" t="s">
        <v>41</v>
      </c>
      <c r="AE77" s="60" t="s">
        <v>41</v>
      </c>
      <c r="AF77" s="60" t="s">
        <v>41</v>
      </c>
      <c r="AG77" s="62">
        <f t="shared" ref="AG77:AG78" si="34">AH77+AI77+AJ77</f>
        <v>0</v>
      </c>
      <c r="AH77" s="79"/>
      <c r="AI77" s="79"/>
      <c r="AJ77" s="79"/>
      <c r="AK77" s="80" t="s">
        <v>57</v>
      </c>
      <c r="AL77" s="64">
        <f t="shared" si="29"/>
        <v>18</v>
      </c>
      <c r="AM77" s="64">
        <f t="shared" si="30"/>
        <v>-8</v>
      </c>
      <c r="AN77" s="64">
        <f t="shared" si="26"/>
        <v>18</v>
      </c>
      <c r="BE77" s="18"/>
    </row>
    <row r="78" spans="1:57">
      <c r="A78" s="95">
        <v>46350</v>
      </c>
      <c r="B78" s="67">
        <v>1600</v>
      </c>
      <c r="C78" s="67"/>
      <c r="D78" s="55">
        <f>(SUM(粮草!A78:X78)+AG78*10*IF(AK78="是",$BB$4,$BB$3))</f>
        <v>0</v>
      </c>
      <c r="E78" s="57">
        <f>SUM($B$4:B78)+SUM($C$4:C78)-SUM($D$4:D78)</f>
        <v>-36058</v>
      </c>
      <c r="F78" s="55">
        <f>SUM(经验!A78:X78)</f>
        <v>0</v>
      </c>
      <c r="G78" s="55">
        <f>SUM($F$4:F78)+SUM($H$4:H78)</f>
        <v>66830</v>
      </c>
      <c r="H78" s="67">
        <v>0</v>
      </c>
      <c r="I78" t="s">
        <v>41</v>
      </c>
      <c r="J78" t="s">
        <v>41</v>
      </c>
      <c r="K78" t="s">
        <v>41</v>
      </c>
      <c r="L78" t="s">
        <v>41</v>
      </c>
      <c r="M78" t="s">
        <v>41</v>
      </c>
      <c r="N78" t="s">
        <v>41</v>
      </c>
      <c r="O78" s="60" t="s">
        <v>41</v>
      </c>
      <c r="P78" s="60" t="s">
        <v>41</v>
      </c>
      <c r="Q78" t="s">
        <v>41</v>
      </c>
      <c r="R78" t="s">
        <v>41</v>
      </c>
      <c r="S78" t="s">
        <v>41</v>
      </c>
      <c r="T78" t="s">
        <v>41</v>
      </c>
      <c r="U78" t="s">
        <v>41</v>
      </c>
      <c r="V78" t="s">
        <v>41</v>
      </c>
      <c r="W78" s="60" t="s">
        <v>41</v>
      </c>
      <c r="X78" s="60" t="s">
        <v>41</v>
      </c>
      <c r="Y78" t="s">
        <v>41</v>
      </c>
      <c r="Z78" t="s">
        <v>41</v>
      </c>
      <c r="AA78" t="s">
        <v>41</v>
      </c>
      <c r="AB78" t="s">
        <v>41</v>
      </c>
      <c r="AC78" t="s">
        <v>41</v>
      </c>
      <c r="AD78" t="s">
        <v>41</v>
      </c>
      <c r="AE78" s="60" t="s">
        <v>41</v>
      </c>
      <c r="AF78" s="60" t="s">
        <v>41</v>
      </c>
      <c r="AG78" s="62">
        <f t="shared" si="34"/>
        <v>0</v>
      </c>
      <c r="AH78" s="79"/>
      <c r="AI78" s="79"/>
      <c r="AJ78" s="79"/>
      <c r="AK78" s="80" t="s">
        <v>57</v>
      </c>
      <c r="AL78" s="64">
        <f t="shared" si="29"/>
        <v>18</v>
      </c>
      <c r="AM78" s="64">
        <f t="shared" si="30"/>
        <v>-2</v>
      </c>
      <c r="AN78" s="64">
        <f t="shared" si="26"/>
        <v>18</v>
      </c>
      <c r="BE78" s="18"/>
    </row>
    <row r="79" spans="1:57">
      <c r="A79" s="95">
        <v>46351</v>
      </c>
      <c r="B79" s="67">
        <v>1600</v>
      </c>
      <c r="C79" s="67"/>
      <c r="D79" s="55">
        <f>(SUM(粮草!A79:X79)+AG79*10*IF(AK79="是",$BB$4,$BB$3))</f>
        <v>0</v>
      </c>
      <c r="E79" s="57">
        <f>SUM($B$4:B79)+SUM($C$4:C79)-SUM($D$4:D79)</f>
        <v>-34458</v>
      </c>
      <c r="F79" s="55">
        <f>SUM(经验!A79:X79)</f>
        <v>0</v>
      </c>
      <c r="G79" s="55">
        <f>SUM($F$4:F79)+SUM($H$4:H79)</f>
        <v>67030</v>
      </c>
      <c r="H79" s="67">
        <v>200</v>
      </c>
      <c r="I79" t="s">
        <v>41</v>
      </c>
      <c r="J79" t="s">
        <v>41</v>
      </c>
      <c r="K79" t="s">
        <v>41</v>
      </c>
      <c r="L79" t="s">
        <v>41</v>
      </c>
      <c r="M79" t="s">
        <v>41</v>
      </c>
      <c r="N79" t="s">
        <v>41</v>
      </c>
      <c r="O79" s="60" t="s">
        <v>41</v>
      </c>
      <c r="P79" s="60" t="s">
        <v>41</v>
      </c>
      <c r="Q79" t="s">
        <v>41</v>
      </c>
      <c r="R79" t="s">
        <v>41</v>
      </c>
      <c r="S79" t="s">
        <v>41</v>
      </c>
      <c r="T79" t="s">
        <v>41</v>
      </c>
      <c r="U79" t="s">
        <v>41</v>
      </c>
      <c r="V79" t="s">
        <v>41</v>
      </c>
      <c r="W79" s="60" t="s">
        <v>41</v>
      </c>
      <c r="X79" s="60" t="s">
        <v>41</v>
      </c>
      <c r="Y79" t="s">
        <v>41</v>
      </c>
      <c r="Z79" t="s">
        <v>41</v>
      </c>
      <c r="AA79" t="s">
        <v>41</v>
      </c>
      <c r="AB79" t="s">
        <v>41</v>
      </c>
      <c r="AC79" t="s">
        <v>41</v>
      </c>
      <c r="AD79" t="s">
        <v>41</v>
      </c>
      <c r="AE79" s="60" t="s">
        <v>41</v>
      </c>
      <c r="AF79" s="60" t="s">
        <v>41</v>
      </c>
      <c r="AG79" s="62">
        <f t="shared" ref="AG79" si="35">AH79+AI79+AJ79</f>
        <v>0</v>
      </c>
      <c r="AH79" s="79"/>
      <c r="AI79" s="79"/>
      <c r="AJ79" s="79"/>
      <c r="AK79" s="80" t="s">
        <v>57</v>
      </c>
      <c r="AL79" s="64">
        <f t="shared" si="29"/>
        <v>18</v>
      </c>
      <c r="AM79" s="64">
        <f t="shared" si="30"/>
        <v>4</v>
      </c>
      <c r="AN79" s="64">
        <f t="shared" si="26"/>
        <v>18</v>
      </c>
      <c r="BE79" s="18"/>
    </row>
    <row r="80" spans="1:57">
      <c r="A80" s="95">
        <v>46352</v>
      </c>
      <c r="B80" s="67">
        <v>1600</v>
      </c>
      <c r="C80" s="67"/>
      <c r="D80" s="55">
        <f>(SUM(粮草!A80:X80)+AG80*10*IF(AK80="是",$BB$4,$BB$3))</f>
        <v>0</v>
      </c>
      <c r="E80" s="57">
        <f>SUM($B$4:B80)+SUM($C$4:C80)-SUM($D$4:D80)</f>
        <v>-32858</v>
      </c>
      <c r="F80" s="55">
        <f>SUM(经验!A80:X80)</f>
        <v>0</v>
      </c>
      <c r="G80" s="55">
        <f>SUM($F$4:F80)+SUM($H$4:H80)</f>
        <v>67030</v>
      </c>
      <c r="H80" s="67">
        <v>0</v>
      </c>
      <c r="I80" t="s">
        <v>41</v>
      </c>
      <c r="J80" t="s">
        <v>41</v>
      </c>
      <c r="K80" t="s">
        <v>41</v>
      </c>
      <c r="L80" t="s">
        <v>41</v>
      </c>
      <c r="M80" t="s">
        <v>41</v>
      </c>
      <c r="N80" t="s">
        <v>41</v>
      </c>
      <c r="O80" s="60" t="s">
        <v>41</v>
      </c>
      <c r="P80" s="60" t="s">
        <v>41</v>
      </c>
      <c r="Q80" t="s">
        <v>41</v>
      </c>
      <c r="R80" t="s">
        <v>41</v>
      </c>
      <c r="S80" t="s">
        <v>41</v>
      </c>
      <c r="T80" t="s">
        <v>41</v>
      </c>
      <c r="U80" t="s">
        <v>41</v>
      </c>
      <c r="V80" t="s">
        <v>41</v>
      </c>
      <c r="W80" s="60" t="s">
        <v>41</v>
      </c>
      <c r="X80" s="60" t="s">
        <v>41</v>
      </c>
      <c r="Y80" t="s">
        <v>41</v>
      </c>
      <c r="Z80" t="s">
        <v>41</v>
      </c>
      <c r="AA80" t="s">
        <v>41</v>
      </c>
      <c r="AB80" t="s">
        <v>41</v>
      </c>
      <c r="AC80" t="s">
        <v>41</v>
      </c>
      <c r="AD80" t="s">
        <v>41</v>
      </c>
      <c r="AE80" s="60" t="s">
        <v>41</v>
      </c>
      <c r="AF80" s="60" t="s">
        <v>41</v>
      </c>
      <c r="AG80" s="62">
        <f t="shared" si="28"/>
        <v>0</v>
      </c>
      <c r="AH80" s="79"/>
      <c r="AI80" s="79"/>
      <c r="AJ80" s="79"/>
      <c r="AK80" s="80" t="s">
        <v>57</v>
      </c>
      <c r="AL80" s="64">
        <f t="shared" si="29"/>
        <v>18</v>
      </c>
      <c r="AM80" s="64">
        <f t="shared" si="30"/>
        <v>10</v>
      </c>
      <c r="AN80" s="64">
        <f t="shared" si="26"/>
        <v>18</v>
      </c>
      <c r="BE80" s="18"/>
    </row>
    <row r="81" spans="1:57">
      <c r="A81" s="95">
        <v>46353</v>
      </c>
      <c r="B81" s="67">
        <v>1600</v>
      </c>
      <c r="C81" s="67"/>
      <c r="D81" s="55">
        <f>(SUM(粮草!A81:X81)+AG81*10*IF(AK81="是",$BB$4,$BB$3))</f>
        <v>0</v>
      </c>
      <c r="E81" s="57">
        <f>SUM($B$4:B81)+SUM($C$4:C81)-SUM($D$4:D81)</f>
        <v>-31258</v>
      </c>
      <c r="F81" s="55">
        <f>SUM(经验!A81:X81)</f>
        <v>0</v>
      </c>
      <c r="G81" s="55">
        <f>SUM($F$4:F81)+SUM($H$4:H81)</f>
        <v>67030</v>
      </c>
      <c r="H81" s="67">
        <v>0</v>
      </c>
      <c r="I81" t="s">
        <v>41</v>
      </c>
      <c r="J81" t="s">
        <v>41</v>
      </c>
      <c r="K81" t="s">
        <v>41</v>
      </c>
      <c r="L81" t="s">
        <v>41</v>
      </c>
      <c r="M81" t="s">
        <v>41</v>
      </c>
      <c r="N81" t="s">
        <v>41</v>
      </c>
      <c r="O81" s="60" t="s">
        <v>41</v>
      </c>
      <c r="P81" s="60" t="s">
        <v>41</v>
      </c>
      <c r="Q81" t="s">
        <v>41</v>
      </c>
      <c r="R81" t="s">
        <v>41</v>
      </c>
      <c r="S81" t="s">
        <v>41</v>
      </c>
      <c r="T81" t="s">
        <v>41</v>
      </c>
      <c r="U81" t="s">
        <v>41</v>
      </c>
      <c r="V81" t="s">
        <v>41</v>
      </c>
      <c r="W81" s="60" t="s">
        <v>41</v>
      </c>
      <c r="X81" s="60" t="s">
        <v>41</v>
      </c>
      <c r="Y81" t="s">
        <v>41</v>
      </c>
      <c r="Z81" t="s">
        <v>41</v>
      </c>
      <c r="AA81" t="s">
        <v>41</v>
      </c>
      <c r="AB81" t="s">
        <v>41</v>
      </c>
      <c r="AC81" t="s">
        <v>41</v>
      </c>
      <c r="AD81" t="s">
        <v>41</v>
      </c>
      <c r="AE81" s="60" t="s">
        <v>41</v>
      </c>
      <c r="AF81" s="60" t="s">
        <v>41</v>
      </c>
      <c r="AG81" s="62">
        <f t="shared" si="28"/>
        <v>0</v>
      </c>
      <c r="AH81" s="79"/>
      <c r="AI81" s="79"/>
      <c r="AJ81" s="79"/>
      <c r="AK81" s="80" t="s">
        <v>57</v>
      </c>
      <c r="AL81" s="64">
        <f t="shared" si="29"/>
        <v>18</v>
      </c>
      <c r="AM81" s="64">
        <f t="shared" si="30"/>
        <v>16</v>
      </c>
      <c r="AN81" s="64">
        <f t="shared" si="26"/>
        <v>18</v>
      </c>
      <c r="BE81" s="18"/>
    </row>
    <row r="82" spans="1:57">
      <c r="A82" s="95">
        <v>46354</v>
      </c>
      <c r="B82" s="67">
        <v>1600</v>
      </c>
      <c r="C82" s="67"/>
      <c r="D82" s="55">
        <f>(SUM(粮草!A82:X82)+AG82*10*IF(AK82="是",$BB$4,$BB$3))</f>
        <v>0</v>
      </c>
      <c r="E82" s="57">
        <f>SUM($B$4:B82)+SUM($C$4:C82)-SUM($D$4:D82)</f>
        <v>-29658</v>
      </c>
      <c r="F82" s="55">
        <f>SUM(经验!A82:X82)</f>
        <v>0</v>
      </c>
      <c r="G82" s="55">
        <f>SUM($F$4:F82)+SUM($H$4:H82)</f>
        <v>67030</v>
      </c>
      <c r="H82" s="67">
        <v>0</v>
      </c>
      <c r="I82" t="s">
        <v>41</v>
      </c>
      <c r="J82" t="s">
        <v>41</v>
      </c>
      <c r="K82" t="s">
        <v>41</v>
      </c>
      <c r="L82" t="s">
        <v>41</v>
      </c>
      <c r="M82" t="s">
        <v>41</v>
      </c>
      <c r="N82" t="s">
        <v>41</v>
      </c>
      <c r="O82" s="60" t="s">
        <v>41</v>
      </c>
      <c r="P82" s="60" t="s">
        <v>41</v>
      </c>
      <c r="Q82" t="s">
        <v>41</v>
      </c>
      <c r="R82" t="s">
        <v>41</v>
      </c>
      <c r="S82" t="s">
        <v>41</v>
      </c>
      <c r="T82" t="s">
        <v>41</v>
      </c>
      <c r="U82" t="s">
        <v>41</v>
      </c>
      <c r="V82" t="s">
        <v>41</v>
      </c>
      <c r="W82" s="60" t="s">
        <v>41</v>
      </c>
      <c r="X82" s="60" t="s">
        <v>41</v>
      </c>
      <c r="Y82" t="s">
        <v>41</v>
      </c>
      <c r="Z82" t="s">
        <v>41</v>
      </c>
      <c r="AA82" t="s">
        <v>41</v>
      </c>
      <c r="AB82" t="s">
        <v>41</v>
      </c>
      <c r="AC82" t="s">
        <v>41</v>
      </c>
      <c r="AD82" t="s">
        <v>41</v>
      </c>
      <c r="AE82" s="60" t="s">
        <v>41</v>
      </c>
      <c r="AF82" s="60" t="s">
        <v>41</v>
      </c>
      <c r="AG82" s="62">
        <f t="shared" si="28"/>
        <v>0</v>
      </c>
      <c r="AH82" s="79"/>
      <c r="AI82" s="79"/>
      <c r="AJ82" s="79"/>
      <c r="AK82" s="80" t="s">
        <v>57</v>
      </c>
      <c r="AL82" s="64">
        <f t="shared" si="29"/>
        <v>18</v>
      </c>
      <c r="AM82" s="64">
        <f t="shared" si="30"/>
        <v>18</v>
      </c>
      <c r="AN82" s="64">
        <f t="shared" si="26"/>
        <v>18</v>
      </c>
      <c r="BE82" s="18"/>
    </row>
    <row r="83" spans="1:57">
      <c r="A83" s="95">
        <v>46355</v>
      </c>
      <c r="B83" s="67">
        <v>1600</v>
      </c>
      <c r="C83" s="67"/>
      <c r="D83" s="55">
        <f>(SUM(粮草!A83:X83)+AG83*10*IF(AK83="是",$BB$4,$BB$3))</f>
        <v>0</v>
      </c>
      <c r="E83" s="57">
        <f>SUM($B$4:B83)+SUM($C$4:C83)-SUM($D$4:D83)</f>
        <v>-28058</v>
      </c>
      <c r="F83" s="55">
        <f>SUM(经验!A83:X83)</f>
        <v>0</v>
      </c>
      <c r="G83" s="55">
        <f>SUM($F$4:F83)+SUM($H$4:H83)</f>
        <v>67030</v>
      </c>
      <c r="H83" s="67">
        <v>0</v>
      </c>
      <c r="I83" t="s">
        <v>41</v>
      </c>
      <c r="J83" t="s">
        <v>41</v>
      </c>
      <c r="K83" t="s">
        <v>41</v>
      </c>
      <c r="L83" t="s">
        <v>41</v>
      </c>
      <c r="M83" t="s">
        <v>41</v>
      </c>
      <c r="N83" t="s">
        <v>41</v>
      </c>
      <c r="O83" s="60" t="s">
        <v>41</v>
      </c>
      <c r="P83" s="60" t="s">
        <v>41</v>
      </c>
      <c r="Q83" t="s">
        <v>41</v>
      </c>
      <c r="R83" t="s">
        <v>41</v>
      </c>
      <c r="S83" t="s">
        <v>41</v>
      </c>
      <c r="T83" t="s">
        <v>41</v>
      </c>
      <c r="U83" t="s">
        <v>41</v>
      </c>
      <c r="V83" t="s">
        <v>41</v>
      </c>
      <c r="W83" s="60" t="s">
        <v>41</v>
      </c>
      <c r="X83" s="60" t="s">
        <v>41</v>
      </c>
      <c r="Y83" t="s">
        <v>41</v>
      </c>
      <c r="Z83" t="s">
        <v>41</v>
      </c>
      <c r="AA83" t="s">
        <v>41</v>
      </c>
      <c r="AB83" t="s">
        <v>41</v>
      </c>
      <c r="AC83" t="s">
        <v>41</v>
      </c>
      <c r="AD83" t="s">
        <v>41</v>
      </c>
      <c r="AE83" s="60" t="s">
        <v>41</v>
      </c>
      <c r="AF83" s="60" t="s">
        <v>41</v>
      </c>
      <c r="AG83" s="62">
        <f t="shared" si="28"/>
        <v>0</v>
      </c>
      <c r="AH83" s="79"/>
      <c r="AI83" s="79"/>
      <c r="AJ83" s="79"/>
      <c r="AK83" s="80" t="s">
        <v>57</v>
      </c>
      <c r="AL83" s="64">
        <f t="shared" si="29"/>
        <v>18</v>
      </c>
      <c r="AM83" s="64">
        <f t="shared" si="30"/>
        <v>18</v>
      </c>
      <c r="AN83" s="64">
        <f t="shared" si="26"/>
        <v>18</v>
      </c>
      <c r="BE83" s="18"/>
    </row>
    <row r="84" spans="1:57">
      <c r="A84" s="95">
        <v>46356</v>
      </c>
      <c r="B84" s="55">
        <v>1600</v>
      </c>
      <c r="C84" s="56"/>
      <c r="D84" s="55">
        <f>(SUM(粮草!A84:X84)+AG84*10*IF(AK84="是",$BB$4,$BB$3))</f>
        <v>0</v>
      </c>
      <c r="E84" s="57">
        <f>SUM($B$4:B84)+SUM($C$4:C84)-SUM($D$4:D84)</f>
        <v>-26458</v>
      </c>
      <c r="F84" s="55">
        <f>SUM(经验!A84:X84)</f>
        <v>0</v>
      </c>
      <c r="G84" s="55">
        <f>SUM($F$4:F84)+SUM($H$4:H84)</f>
        <v>67230</v>
      </c>
      <c r="H84" s="55">
        <v>200</v>
      </c>
      <c r="I84" t="s">
        <v>41</v>
      </c>
      <c r="J84" t="s">
        <v>41</v>
      </c>
      <c r="K84" t="s">
        <v>41</v>
      </c>
      <c r="L84" t="s">
        <v>41</v>
      </c>
      <c r="M84" t="s">
        <v>41</v>
      </c>
      <c r="N84" t="s">
        <v>41</v>
      </c>
      <c r="O84" s="60" t="s">
        <v>41</v>
      </c>
      <c r="P84" s="60" t="s">
        <v>41</v>
      </c>
      <c r="Q84" t="s">
        <v>41</v>
      </c>
      <c r="R84" t="s">
        <v>41</v>
      </c>
      <c r="S84" t="s">
        <v>41</v>
      </c>
      <c r="T84" t="s">
        <v>41</v>
      </c>
      <c r="U84" t="s">
        <v>41</v>
      </c>
      <c r="V84" t="s">
        <v>41</v>
      </c>
      <c r="W84" s="60" t="s">
        <v>41</v>
      </c>
      <c r="X84" s="60" t="s">
        <v>41</v>
      </c>
      <c r="Y84" t="s">
        <v>41</v>
      </c>
      <c r="Z84" t="s">
        <v>41</v>
      </c>
      <c r="AA84" t="s">
        <v>41</v>
      </c>
      <c r="AB84" t="s">
        <v>41</v>
      </c>
      <c r="AC84" t="s">
        <v>41</v>
      </c>
      <c r="AD84" t="s">
        <v>41</v>
      </c>
      <c r="AE84" s="60" t="s">
        <v>41</v>
      </c>
      <c r="AF84" s="60" t="s">
        <v>41</v>
      </c>
      <c r="AG84" s="62">
        <f t="shared" si="28"/>
        <v>0</v>
      </c>
      <c r="AH84" s="79"/>
      <c r="AI84" s="79"/>
      <c r="AJ84" s="79"/>
      <c r="AK84" s="80" t="s">
        <v>57</v>
      </c>
      <c r="AL84" s="64">
        <f t="shared" si="29"/>
        <v>18</v>
      </c>
      <c r="AM84" s="64">
        <f t="shared" si="30"/>
        <v>18</v>
      </c>
      <c r="AN84" s="64">
        <f t="shared" ref="AN84:AN93" si="36">MIN(AN83+6,18)-COUNTIF(Y84:AF84,"&lt;&gt;空")+COUNTIF(Y84:AF84,"历练")+COUNTIF(Y84:AF84,"营地")*2+COUNTIF(Y84:AF84,"塔1")*5</f>
        <v>18</v>
      </c>
      <c r="BE84" s="18"/>
    </row>
    <row r="85" spans="1:57">
      <c r="A85" s="95">
        <v>46357</v>
      </c>
      <c r="B85" s="55">
        <v>1600</v>
      </c>
      <c r="C85" s="56"/>
      <c r="D85" s="55">
        <f>(SUM(粮草!A85:X85)+AG85*10*IF(AK85="是",$BB$4,$BB$3))</f>
        <v>0</v>
      </c>
      <c r="E85" s="57">
        <f>SUM($B$4:B85)+SUM($C$4:C85)-SUM($D$4:D85)</f>
        <v>-24858</v>
      </c>
      <c r="F85" s="55">
        <f>SUM(经验!A85:X85)</f>
        <v>0</v>
      </c>
      <c r="G85" s="55">
        <f>SUM($F$4:F85)+SUM($H$4:H85)</f>
        <v>67230</v>
      </c>
      <c r="H85" s="55">
        <v>0</v>
      </c>
      <c r="I85" t="s">
        <v>41</v>
      </c>
      <c r="J85" t="s">
        <v>41</v>
      </c>
      <c r="K85" t="s">
        <v>41</v>
      </c>
      <c r="L85" t="s">
        <v>41</v>
      </c>
      <c r="M85" t="s">
        <v>41</v>
      </c>
      <c r="N85" t="s">
        <v>41</v>
      </c>
      <c r="O85" s="60" t="s">
        <v>41</v>
      </c>
      <c r="P85" s="60" t="s">
        <v>41</v>
      </c>
      <c r="Q85" t="s">
        <v>41</v>
      </c>
      <c r="R85" t="s">
        <v>41</v>
      </c>
      <c r="S85" t="s">
        <v>41</v>
      </c>
      <c r="T85" t="s">
        <v>41</v>
      </c>
      <c r="U85" t="s">
        <v>41</v>
      </c>
      <c r="V85" t="s">
        <v>41</v>
      </c>
      <c r="W85" s="60" t="s">
        <v>41</v>
      </c>
      <c r="X85" s="60" t="s">
        <v>41</v>
      </c>
      <c r="Y85" t="s">
        <v>41</v>
      </c>
      <c r="Z85" t="s">
        <v>41</v>
      </c>
      <c r="AA85" t="s">
        <v>41</v>
      </c>
      <c r="AB85" t="s">
        <v>41</v>
      </c>
      <c r="AC85" t="s">
        <v>41</v>
      </c>
      <c r="AD85" t="s">
        <v>41</v>
      </c>
      <c r="AE85" s="60" t="s">
        <v>41</v>
      </c>
      <c r="AF85" s="60" t="s">
        <v>41</v>
      </c>
      <c r="AG85" s="62">
        <f t="shared" si="28"/>
        <v>0</v>
      </c>
      <c r="AH85" s="79"/>
      <c r="AI85" s="79"/>
      <c r="AJ85" s="79"/>
      <c r="AK85" s="80" t="s">
        <v>57</v>
      </c>
      <c r="AL85" s="64">
        <f t="shared" si="29"/>
        <v>18</v>
      </c>
      <c r="AM85" s="64">
        <f t="shared" si="30"/>
        <v>18</v>
      </c>
      <c r="AN85" s="64">
        <f t="shared" si="36"/>
        <v>18</v>
      </c>
      <c r="BE85" s="18"/>
    </row>
    <row r="86" spans="1:57">
      <c r="A86" s="95">
        <v>46358</v>
      </c>
      <c r="B86" s="55">
        <v>1600</v>
      </c>
      <c r="C86" s="56"/>
      <c r="D86" s="55">
        <f>(SUM(粮草!A86:X86)+AG86*10*IF(AK86="是",$BB$4,$BB$3))</f>
        <v>0</v>
      </c>
      <c r="E86" s="57">
        <f>SUM($B$4:B86)+SUM($C$4:C86)-SUM($D$4:D86)</f>
        <v>-23258</v>
      </c>
      <c r="F86" s="55">
        <f>SUM(经验!A86:X86)</f>
        <v>0</v>
      </c>
      <c r="G86" s="55">
        <f>SUM($F$4:F86)+SUM($H$4:H86)</f>
        <v>67530</v>
      </c>
      <c r="H86" s="55">
        <v>300</v>
      </c>
      <c r="I86" t="s">
        <v>41</v>
      </c>
      <c r="J86" t="s">
        <v>41</v>
      </c>
      <c r="K86" t="s">
        <v>41</v>
      </c>
      <c r="L86" t="s">
        <v>41</v>
      </c>
      <c r="M86" t="s">
        <v>41</v>
      </c>
      <c r="N86" t="s">
        <v>41</v>
      </c>
      <c r="O86" s="60" t="s">
        <v>41</v>
      </c>
      <c r="P86" s="60" t="s">
        <v>41</v>
      </c>
      <c r="Q86" t="s">
        <v>41</v>
      </c>
      <c r="R86" t="s">
        <v>41</v>
      </c>
      <c r="S86" t="s">
        <v>41</v>
      </c>
      <c r="T86" t="s">
        <v>41</v>
      </c>
      <c r="U86" t="s">
        <v>41</v>
      </c>
      <c r="V86" t="s">
        <v>41</v>
      </c>
      <c r="W86" s="60" t="s">
        <v>41</v>
      </c>
      <c r="X86" s="60" t="s">
        <v>41</v>
      </c>
      <c r="Y86" t="s">
        <v>41</v>
      </c>
      <c r="Z86" t="s">
        <v>41</v>
      </c>
      <c r="AA86" t="s">
        <v>41</v>
      </c>
      <c r="AB86" t="s">
        <v>41</v>
      </c>
      <c r="AC86" t="s">
        <v>41</v>
      </c>
      <c r="AD86" t="s">
        <v>41</v>
      </c>
      <c r="AE86" s="60" t="s">
        <v>41</v>
      </c>
      <c r="AF86" s="60" t="s">
        <v>41</v>
      </c>
      <c r="AG86" s="62">
        <f t="shared" si="28"/>
        <v>0</v>
      </c>
      <c r="AH86" s="79"/>
      <c r="AI86" s="79"/>
      <c r="AJ86" s="79"/>
      <c r="AK86" s="80" t="s">
        <v>57</v>
      </c>
      <c r="AL86" s="64">
        <f t="shared" si="29"/>
        <v>18</v>
      </c>
      <c r="AM86" s="64">
        <f t="shared" si="30"/>
        <v>18</v>
      </c>
      <c r="AN86" s="64">
        <f t="shared" si="36"/>
        <v>18</v>
      </c>
      <c r="BE86" s="18"/>
    </row>
    <row r="87" spans="1:57">
      <c r="A87" s="95">
        <v>46359</v>
      </c>
      <c r="B87" s="55">
        <v>1600</v>
      </c>
      <c r="C87" s="56"/>
      <c r="D87" s="55">
        <f>(SUM(粮草!A87:X87)+AG87*10*IF(AK87="是",$BB$4,$BB$3))</f>
        <v>0</v>
      </c>
      <c r="E87" s="57">
        <f>SUM($B$4:B87)+SUM($C$4:C87)-SUM($D$4:D87)</f>
        <v>-21658</v>
      </c>
      <c r="F87" s="55">
        <f>SUM(经验!A87:X87)</f>
        <v>0</v>
      </c>
      <c r="G87" s="55">
        <f>SUM($F$4:F87)+SUM($H$4:H87)</f>
        <v>67530</v>
      </c>
      <c r="H87" s="55">
        <v>0</v>
      </c>
      <c r="I87" t="s">
        <v>41</v>
      </c>
      <c r="J87" t="s">
        <v>41</v>
      </c>
      <c r="K87" t="s">
        <v>41</v>
      </c>
      <c r="L87" t="s">
        <v>41</v>
      </c>
      <c r="M87" t="s">
        <v>41</v>
      </c>
      <c r="N87" t="s">
        <v>41</v>
      </c>
      <c r="O87" s="60" t="s">
        <v>41</v>
      </c>
      <c r="P87" s="60" t="s">
        <v>41</v>
      </c>
      <c r="Q87" t="s">
        <v>41</v>
      </c>
      <c r="R87" t="s">
        <v>41</v>
      </c>
      <c r="S87" t="s">
        <v>41</v>
      </c>
      <c r="T87" t="s">
        <v>41</v>
      </c>
      <c r="U87" t="s">
        <v>41</v>
      </c>
      <c r="V87" t="s">
        <v>41</v>
      </c>
      <c r="W87" s="60" t="s">
        <v>41</v>
      </c>
      <c r="X87" s="60" t="s">
        <v>41</v>
      </c>
      <c r="Y87" t="s">
        <v>41</v>
      </c>
      <c r="Z87" t="s">
        <v>41</v>
      </c>
      <c r="AA87" t="s">
        <v>41</v>
      </c>
      <c r="AB87" t="s">
        <v>41</v>
      </c>
      <c r="AC87" t="s">
        <v>41</v>
      </c>
      <c r="AD87" t="s">
        <v>41</v>
      </c>
      <c r="AE87" s="60" t="s">
        <v>41</v>
      </c>
      <c r="AF87" s="60" t="s">
        <v>41</v>
      </c>
      <c r="AG87" s="62">
        <f t="shared" si="28"/>
        <v>0</v>
      </c>
      <c r="AH87" s="79"/>
      <c r="AI87" s="79"/>
      <c r="AJ87" s="79"/>
      <c r="AK87" s="80" t="s">
        <v>57</v>
      </c>
      <c r="AL87" s="64">
        <f t="shared" si="29"/>
        <v>18</v>
      </c>
      <c r="AM87" s="64">
        <f t="shared" si="30"/>
        <v>18</v>
      </c>
      <c r="AN87" s="64">
        <f t="shared" si="36"/>
        <v>18</v>
      </c>
      <c r="BE87" s="18"/>
    </row>
    <row r="88" spans="1:57">
      <c r="A88" s="95">
        <v>46360</v>
      </c>
      <c r="B88" s="55">
        <v>1600</v>
      </c>
      <c r="C88" s="56"/>
      <c r="D88" s="55">
        <f>(SUM(粮草!A88:X88)+AG88*10*IF(AK88="是",$BB$4,$BB$3))</f>
        <v>0</v>
      </c>
      <c r="E88" s="57">
        <f>SUM($B$4:B88)+SUM($C$4:C88)-SUM($D$4:D88)</f>
        <v>-20058</v>
      </c>
      <c r="F88" s="55">
        <f>SUM(经验!A88:X88)</f>
        <v>0</v>
      </c>
      <c r="G88" s="55">
        <f>SUM($F$4:F88)+SUM($H$4:H88)</f>
        <v>67530</v>
      </c>
      <c r="H88" s="55">
        <v>0</v>
      </c>
      <c r="I88" t="s">
        <v>41</v>
      </c>
      <c r="J88" t="s">
        <v>41</v>
      </c>
      <c r="K88" t="s">
        <v>41</v>
      </c>
      <c r="L88" t="s">
        <v>41</v>
      </c>
      <c r="M88" t="s">
        <v>41</v>
      </c>
      <c r="N88" t="s">
        <v>41</v>
      </c>
      <c r="O88" s="60" t="s">
        <v>41</v>
      </c>
      <c r="P88" s="60" t="s">
        <v>41</v>
      </c>
      <c r="Q88" t="s">
        <v>41</v>
      </c>
      <c r="R88" t="s">
        <v>41</v>
      </c>
      <c r="S88" t="s">
        <v>41</v>
      </c>
      <c r="T88" t="s">
        <v>41</v>
      </c>
      <c r="U88" t="s">
        <v>41</v>
      </c>
      <c r="V88" t="s">
        <v>41</v>
      </c>
      <c r="W88" s="60" t="s">
        <v>41</v>
      </c>
      <c r="X88" s="60" t="s">
        <v>41</v>
      </c>
      <c r="Y88" t="s">
        <v>41</v>
      </c>
      <c r="Z88" t="s">
        <v>41</v>
      </c>
      <c r="AA88" t="s">
        <v>41</v>
      </c>
      <c r="AB88" t="s">
        <v>41</v>
      </c>
      <c r="AC88" t="s">
        <v>41</v>
      </c>
      <c r="AD88" t="s">
        <v>41</v>
      </c>
      <c r="AE88" s="60" t="s">
        <v>41</v>
      </c>
      <c r="AF88" s="60" t="s">
        <v>41</v>
      </c>
      <c r="AG88" s="62">
        <f t="shared" si="28"/>
        <v>0</v>
      </c>
      <c r="AH88" s="79"/>
      <c r="AI88" s="79"/>
      <c r="AJ88" s="79"/>
      <c r="AK88" s="80" t="s">
        <v>57</v>
      </c>
      <c r="AL88" s="64">
        <f t="shared" si="29"/>
        <v>18</v>
      </c>
      <c r="AM88" s="64">
        <f t="shared" si="30"/>
        <v>18</v>
      </c>
      <c r="AN88" s="64">
        <f t="shared" si="36"/>
        <v>18</v>
      </c>
      <c r="BE88" s="18"/>
    </row>
    <row r="89" spans="1:57">
      <c r="A89" s="95">
        <v>46361</v>
      </c>
      <c r="B89" s="55">
        <v>1600</v>
      </c>
      <c r="C89" s="56"/>
      <c r="D89" s="55">
        <f>(SUM(粮草!A89:X89)+AG89*10*IF(AK89="是",$BB$4,$BB$3))</f>
        <v>0</v>
      </c>
      <c r="E89" s="57">
        <f>SUM($B$4:B89)+SUM($C$4:C89)-SUM($D$4:D89)</f>
        <v>-18458</v>
      </c>
      <c r="F89" s="55">
        <f>SUM(经验!A89:X89)</f>
        <v>0</v>
      </c>
      <c r="G89" s="55">
        <f>SUM($F$4:F89)+SUM($H$4:H89)</f>
        <v>67530</v>
      </c>
      <c r="H89" s="55">
        <v>0</v>
      </c>
      <c r="I89" t="s">
        <v>41</v>
      </c>
      <c r="J89" t="s">
        <v>41</v>
      </c>
      <c r="K89" t="s">
        <v>41</v>
      </c>
      <c r="L89" t="s">
        <v>41</v>
      </c>
      <c r="M89" t="s">
        <v>41</v>
      </c>
      <c r="N89" t="s">
        <v>41</v>
      </c>
      <c r="O89" s="60" t="s">
        <v>41</v>
      </c>
      <c r="P89" s="60" t="s">
        <v>41</v>
      </c>
      <c r="Q89" t="s">
        <v>41</v>
      </c>
      <c r="R89" t="s">
        <v>41</v>
      </c>
      <c r="S89" t="s">
        <v>41</v>
      </c>
      <c r="T89" t="s">
        <v>41</v>
      </c>
      <c r="U89" t="s">
        <v>41</v>
      </c>
      <c r="V89" t="s">
        <v>41</v>
      </c>
      <c r="W89" s="60" t="s">
        <v>41</v>
      </c>
      <c r="X89" s="60" t="s">
        <v>41</v>
      </c>
      <c r="Y89" t="s">
        <v>41</v>
      </c>
      <c r="Z89" t="s">
        <v>41</v>
      </c>
      <c r="AA89" t="s">
        <v>41</v>
      </c>
      <c r="AB89" t="s">
        <v>41</v>
      </c>
      <c r="AC89" t="s">
        <v>41</v>
      </c>
      <c r="AD89" t="s">
        <v>41</v>
      </c>
      <c r="AE89" s="60" t="s">
        <v>41</v>
      </c>
      <c r="AF89" s="60" t="s">
        <v>41</v>
      </c>
      <c r="AG89" s="62">
        <f t="shared" si="28"/>
        <v>0</v>
      </c>
      <c r="AH89" s="79"/>
      <c r="AI89" s="79"/>
      <c r="AJ89" s="79"/>
      <c r="AK89" s="80" t="s">
        <v>57</v>
      </c>
      <c r="AL89" s="64">
        <f t="shared" si="29"/>
        <v>18</v>
      </c>
      <c r="AM89" s="64">
        <f t="shared" si="30"/>
        <v>18</v>
      </c>
      <c r="AN89" s="64">
        <f t="shared" si="36"/>
        <v>18</v>
      </c>
      <c r="BE89" s="18"/>
    </row>
    <row r="90" spans="1:57">
      <c r="A90" s="95">
        <v>46362</v>
      </c>
      <c r="B90" s="55">
        <v>1600</v>
      </c>
      <c r="C90" s="56"/>
      <c r="D90" s="55">
        <f>(SUM(粮草!A90:X90)+AG90*10*IF(AK90="是",$BB$4,$BB$3))</f>
        <v>0</v>
      </c>
      <c r="E90" s="57">
        <f>SUM($B$4:B90)+SUM($C$4:C90)-SUM($D$4:D90)</f>
        <v>-16858</v>
      </c>
      <c r="F90" s="55">
        <f>SUM(经验!A90:X90)</f>
        <v>0</v>
      </c>
      <c r="G90" s="55">
        <f>SUM($F$4:F90)+SUM($H$4:H90)</f>
        <v>67530</v>
      </c>
      <c r="H90" s="55">
        <v>0</v>
      </c>
      <c r="I90" t="s">
        <v>41</v>
      </c>
      <c r="J90" t="s">
        <v>41</v>
      </c>
      <c r="K90" t="s">
        <v>41</v>
      </c>
      <c r="L90" t="s">
        <v>41</v>
      </c>
      <c r="M90" t="s">
        <v>41</v>
      </c>
      <c r="N90" t="s">
        <v>41</v>
      </c>
      <c r="O90" s="60" t="s">
        <v>41</v>
      </c>
      <c r="P90" s="60" t="s">
        <v>41</v>
      </c>
      <c r="Q90" t="s">
        <v>41</v>
      </c>
      <c r="R90" t="s">
        <v>41</v>
      </c>
      <c r="S90" t="s">
        <v>41</v>
      </c>
      <c r="T90" t="s">
        <v>41</v>
      </c>
      <c r="U90" t="s">
        <v>41</v>
      </c>
      <c r="V90" t="s">
        <v>41</v>
      </c>
      <c r="W90" s="60" t="s">
        <v>41</v>
      </c>
      <c r="X90" s="60" t="s">
        <v>41</v>
      </c>
      <c r="Y90" t="s">
        <v>41</v>
      </c>
      <c r="Z90" t="s">
        <v>41</v>
      </c>
      <c r="AA90" t="s">
        <v>41</v>
      </c>
      <c r="AB90" t="s">
        <v>41</v>
      </c>
      <c r="AC90" t="s">
        <v>41</v>
      </c>
      <c r="AD90" t="s">
        <v>41</v>
      </c>
      <c r="AE90" s="60" t="s">
        <v>41</v>
      </c>
      <c r="AF90" s="60" t="s">
        <v>41</v>
      </c>
      <c r="AG90" s="62">
        <f t="shared" si="28"/>
        <v>0</v>
      </c>
      <c r="AH90" s="79"/>
      <c r="AI90" s="79"/>
      <c r="AJ90" s="79"/>
      <c r="AK90" s="80" t="s">
        <v>57</v>
      </c>
      <c r="AL90" s="64">
        <f t="shared" si="29"/>
        <v>18</v>
      </c>
      <c r="AM90" s="64">
        <f t="shared" si="30"/>
        <v>18</v>
      </c>
      <c r="AN90" s="64">
        <f t="shared" si="36"/>
        <v>18</v>
      </c>
      <c r="BE90" s="18"/>
    </row>
    <row r="91" spans="1:57">
      <c r="A91" s="95">
        <v>46363</v>
      </c>
      <c r="B91" s="67">
        <v>1600</v>
      </c>
      <c r="C91" s="67"/>
      <c r="D91" s="55">
        <f>(SUM(粮草!A91:X91)+AG91*10*IF(AK91="是",$BB$4,$BB$3))</f>
        <v>0</v>
      </c>
      <c r="E91" s="57">
        <f>SUM($B$4:B91)+SUM($C$4:C91)-SUM($D$4:D91)</f>
        <v>-15258</v>
      </c>
      <c r="F91" s="55">
        <f>SUM(经验!A91:X91)</f>
        <v>0</v>
      </c>
      <c r="G91" s="55">
        <f>SUM($F$4:F91)+SUM($H$4:H91)</f>
        <v>67730</v>
      </c>
      <c r="H91" s="67">
        <v>200</v>
      </c>
      <c r="I91" t="s">
        <v>41</v>
      </c>
      <c r="J91" t="s">
        <v>41</v>
      </c>
      <c r="K91" t="s">
        <v>41</v>
      </c>
      <c r="L91" t="s">
        <v>41</v>
      </c>
      <c r="M91" t="s">
        <v>41</v>
      </c>
      <c r="N91" t="s">
        <v>41</v>
      </c>
      <c r="O91" s="60" t="s">
        <v>41</v>
      </c>
      <c r="P91" s="60" t="s">
        <v>41</v>
      </c>
      <c r="Q91" t="s">
        <v>41</v>
      </c>
      <c r="R91" t="s">
        <v>41</v>
      </c>
      <c r="S91" t="s">
        <v>41</v>
      </c>
      <c r="T91" t="s">
        <v>41</v>
      </c>
      <c r="U91" t="s">
        <v>41</v>
      </c>
      <c r="V91" t="s">
        <v>41</v>
      </c>
      <c r="W91" s="60" t="s">
        <v>41</v>
      </c>
      <c r="X91" s="60" t="s">
        <v>41</v>
      </c>
      <c r="Y91" t="s">
        <v>41</v>
      </c>
      <c r="Z91" t="s">
        <v>41</v>
      </c>
      <c r="AA91" t="s">
        <v>41</v>
      </c>
      <c r="AB91" t="s">
        <v>41</v>
      </c>
      <c r="AC91" t="s">
        <v>41</v>
      </c>
      <c r="AD91" t="s">
        <v>41</v>
      </c>
      <c r="AE91" s="60" t="s">
        <v>41</v>
      </c>
      <c r="AF91" s="60" t="s">
        <v>41</v>
      </c>
      <c r="AG91" s="62">
        <f t="shared" si="28"/>
        <v>0</v>
      </c>
      <c r="AH91" s="79"/>
      <c r="AI91" s="79"/>
      <c r="AJ91" s="79"/>
      <c r="AK91" s="80" t="s">
        <v>57</v>
      </c>
      <c r="AL91" s="64">
        <f t="shared" si="29"/>
        <v>18</v>
      </c>
      <c r="AM91" s="64">
        <f t="shared" si="30"/>
        <v>18</v>
      </c>
      <c r="AN91" s="64">
        <f t="shared" si="36"/>
        <v>18</v>
      </c>
      <c r="BE91" s="18"/>
    </row>
    <row r="92" spans="1:57">
      <c r="A92" s="95">
        <v>46364</v>
      </c>
      <c r="B92" s="67">
        <v>1600</v>
      </c>
      <c r="C92" s="67"/>
      <c r="D92" s="55">
        <f>(SUM(粮草!A92:X92)+AG92*10*IF(AK92="是",$BB$4,$BB$3))</f>
        <v>0</v>
      </c>
      <c r="E92" s="57">
        <f>SUM($B$4:B92)+SUM($C$4:C92)-SUM($D$4:D92)</f>
        <v>-13658</v>
      </c>
      <c r="F92" s="55">
        <f>SUM(经验!A92:X92)</f>
        <v>0</v>
      </c>
      <c r="G92" s="55">
        <f>SUM($F$4:F92)+SUM($H$4:H92)</f>
        <v>67830</v>
      </c>
      <c r="H92" s="67">
        <v>100</v>
      </c>
      <c r="I92" t="s">
        <v>41</v>
      </c>
      <c r="J92" t="s">
        <v>41</v>
      </c>
      <c r="K92" t="s">
        <v>41</v>
      </c>
      <c r="L92" t="s">
        <v>41</v>
      </c>
      <c r="M92" t="s">
        <v>41</v>
      </c>
      <c r="N92" t="s">
        <v>41</v>
      </c>
      <c r="O92" s="60" t="s">
        <v>41</v>
      </c>
      <c r="P92" s="60" t="s">
        <v>41</v>
      </c>
      <c r="Q92" t="s">
        <v>41</v>
      </c>
      <c r="R92" t="s">
        <v>41</v>
      </c>
      <c r="S92" t="s">
        <v>41</v>
      </c>
      <c r="T92" t="s">
        <v>41</v>
      </c>
      <c r="U92" t="s">
        <v>41</v>
      </c>
      <c r="V92" t="s">
        <v>41</v>
      </c>
      <c r="W92" s="60" t="s">
        <v>41</v>
      </c>
      <c r="X92" s="60" t="s">
        <v>41</v>
      </c>
      <c r="Y92" t="s">
        <v>41</v>
      </c>
      <c r="Z92" t="s">
        <v>41</v>
      </c>
      <c r="AA92" t="s">
        <v>41</v>
      </c>
      <c r="AB92" t="s">
        <v>41</v>
      </c>
      <c r="AC92" t="s">
        <v>41</v>
      </c>
      <c r="AD92" t="s">
        <v>41</v>
      </c>
      <c r="AE92" s="60" t="s">
        <v>41</v>
      </c>
      <c r="AF92" s="60" t="s">
        <v>41</v>
      </c>
      <c r="AG92" s="62">
        <f t="shared" si="28"/>
        <v>0</v>
      </c>
      <c r="AH92" s="79"/>
      <c r="AI92" s="79"/>
      <c r="AJ92" s="79"/>
      <c r="AK92" s="80" t="s">
        <v>57</v>
      </c>
      <c r="AL92" s="64">
        <f t="shared" si="29"/>
        <v>18</v>
      </c>
      <c r="AM92" s="64">
        <f t="shared" si="30"/>
        <v>18</v>
      </c>
      <c r="AN92" s="64">
        <f t="shared" si="36"/>
        <v>18</v>
      </c>
      <c r="BE92" s="18"/>
    </row>
    <row r="93" spans="1:57">
      <c r="A93" s="95">
        <v>46365</v>
      </c>
      <c r="B93">
        <v>1600</v>
      </c>
      <c r="D93" s="55">
        <f>(SUM(粮草!A93:X93)+AG93*10*IF(AK93="是",$BB$4,$BB$3))</f>
        <v>0</v>
      </c>
      <c r="E93" s="57">
        <f>SUM($B$4:B93)+SUM($C$4:C93)-SUM($D$4:D93)</f>
        <v>-12058</v>
      </c>
      <c r="F93" s="55">
        <f>SUM(经验!A93:X93)</f>
        <v>0</v>
      </c>
      <c r="G93" s="89">
        <f>SUM($F$4:F93)+SUM($H$4:H93)</f>
        <v>68030</v>
      </c>
      <c r="H93">
        <v>200</v>
      </c>
      <c r="I93" t="s">
        <v>41</v>
      </c>
      <c r="J93" t="s">
        <v>41</v>
      </c>
      <c r="K93" t="s">
        <v>41</v>
      </c>
      <c r="L93" t="s">
        <v>41</v>
      </c>
      <c r="M93" t="s">
        <v>41</v>
      </c>
      <c r="N93" t="s">
        <v>41</v>
      </c>
      <c r="O93" s="60" t="s">
        <v>41</v>
      </c>
      <c r="P93" s="60" t="s">
        <v>41</v>
      </c>
      <c r="Q93" t="s">
        <v>41</v>
      </c>
      <c r="R93" t="s">
        <v>41</v>
      </c>
      <c r="S93" t="s">
        <v>41</v>
      </c>
      <c r="T93" t="s">
        <v>41</v>
      </c>
      <c r="U93" t="s">
        <v>41</v>
      </c>
      <c r="V93" t="s">
        <v>41</v>
      </c>
      <c r="W93" s="60" t="s">
        <v>41</v>
      </c>
      <c r="X93" s="60" t="s">
        <v>41</v>
      </c>
      <c r="Y93" t="s">
        <v>41</v>
      </c>
      <c r="Z93" t="s">
        <v>41</v>
      </c>
      <c r="AA93" t="s">
        <v>41</v>
      </c>
      <c r="AB93" t="s">
        <v>41</v>
      </c>
      <c r="AC93" t="s">
        <v>41</v>
      </c>
      <c r="AD93" t="s">
        <v>41</v>
      </c>
      <c r="AE93" s="60" t="s">
        <v>41</v>
      </c>
      <c r="AF93" s="60" t="s">
        <v>41</v>
      </c>
      <c r="AG93" s="90">
        <f t="shared" si="28"/>
        <v>0</v>
      </c>
      <c r="AH93" s="91"/>
      <c r="AI93" s="91"/>
      <c r="AJ93" s="91"/>
      <c r="AK93" s="92" t="s">
        <v>57</v>
      </c>
      <c r="AL93" s="64">
        <f t="shared" si="29"/>
        <v>18</v>
      </c>
      <c r="AM93" s="64">
        <f t="shared" si="30"/>
        <v>18</v>
      </c>
      <c r="AN93" s="64">
        <f t="shared" si="36"/>
        <v>18</v>
      </c>
      <c r="BE93" s="18"/>
    </row>
    <row r="94" spans="1:57">
      <c r="A94" s="95">
        <v>46366</v>
      </c>
      <c r="B94">
        <v>1600</v>
      </c>
      <c r="D94" s="55">
        <f>(SUM(粮草!A94:X94)+AG94*10*IF(AK94="是",$BB$4,$BB$3))</f>
        <v>0</v>
      </c>
      <c r="E94" s="57">
        <f>SUM($B$4:B94)+SUM($C$4:C94)-SUM($D$4:D94)</f>
        <v>-10458</v>
      </c>
      <c r="F94" s="55">
        <f>SUM(经验!A94:X94)</f>
        <v>0</v>
      </c>
      <c r="G94" s="89">
        <f>SUM($F$4:F94)+SUM($H$4:H94)</f>
        <v>68030</v>
      </c>
      <c r="H94">
        <v>0</v>
      </c>
      <c r="I94" t="s">
        <v>41</v>
      </c>
      <c r="J94" t="s">
        <v>41</v>
      </c>
      <c r="K94" t="s">
        <v>41</v>
      </c>
      <c r="L94" t="s">
        <v>41</v>
      </c>
      <c r="M94" t="s">
        <v>41</v>
      </c>
      <c r="N94" t="s">
        <v>41</v>
      </c>
      <c r="O94" s="60" t="s">
        <v>41</v>
      </c>
      <c r="P94" s="60" t="s">
        <v>41</v>
      </c>
      <c r="Q94" t="s">
        <v>41</v>
      </c>
      <c r="R94" t="s">
        <v>41</v>
      </c>
      <c r="S94" t="s">
        <v>41</v>
      </c>
      <c r="T94" t="s">
        <v>41</v>
      </c>
      <c r="U94" t="s">
        <v>41</v>
      </c>
      <c r="V94" t="s">
        <v>41</v>
      </c>
      <c r="W94" s="60" t="s">
        <v>41</v>
      </c>
      <c r="X94" s="60" t="s">
        <v>41</v>
      </c>
      <c r="Y94" t="s">
        <v>41</v>
      </c>
      <c r="Z94" t="s">
        <v>41</v>
      </c>
      <c r="AA94" t="s">
        <v>41</v>
      </c>
      <c r="AB94" t="s">
        <v>41</v>
      </c>
      <c r="AC94" t="s">
        <v>41</v>
      </c>
      <c r="AD94" t="s">
        <v>41</v>
      </c>
      <c r="AE94" s="60" t="s">
        <v>41</v>
      </c>
      <c r="AF94" s="60" t="s">
        <v>41</v>
      </c>
      <c r="AG94" s="90">
        <f t="shared" ref="AG94:AG100" si="37">AH94+AI94+AJ94</f>
        <v>0</v>
      </c>
      <c r="AH94" s="91"/>
      <c r="AI94" s="91"/>
      <c r="AJ94" s="91"/>
      <c r="AK94" s="92" t="s">
        <v>57</v>
      </c>
      <c r="AL94" s="64">
        <f t="shared" ref="AL94:AL100" si="38">MIN(AL93+6,18)-COUNTIF(I94:P94,"&lt;&gt;空")+COUNTIF(I94:P94,"历练")+COUNTIF(I94:P94,"营地")*2+COUNTIF(I94:P94,"塔1")*5</f>
        <v>18</v>
      </c>
      <c r="AM94" s="64">
        <f t="shared" ref="AM94:AM100" si="39">MIN(AM93+6,18)-COUNTIF(Q94:X94,"&lt;&gt;空")+COUNTIF(Q94:X94,"历练")+COUNTIF(Q94:X94,"营地")*2+COUNTIF(Q94:X94,"塔1")*5</f>
        <v>18</v>
      </c>
      <c r="AN94" s="64">
        <f t="shared" ref="AN94:AN100" si="40">MIN(AN93+6,18)-COUNTIF(Y94:AF94,"&lt;&gt;空")+COUNTIF(Y94:AF94,"历练")+COUNTIF(Y94:AF94,"营地")*2+COUNTIF(Y94:AF94,"塔1")*5</f>
        <v>18</v>
      </c>
    </row>
    <row r="95" spans="1:57">
      <c r="A95" s="95">
        <v>46367</v>
      </c>
      <c r="B95">
        <v>1600</v>
      </c>
      <c r="D95" s="55">
        <f>(SUM(粮草!A95:X95)+AG95*10*IF(AK95="是",$BB$4,$BB$3))</f>
        <v>0</v>
      </c>
      <c r="E95" s="57">
        <f>SUM($B$4:B95)+SUM($C$4:C95)-SUM($D$4:D95)</f>
        <v>-8858</v>
      </c>
      <c r="F95" s="55">
        <f>SUM(经验!A95:X95)</f>
        <v>0</v>
      </c>
      <c r="G95" s="89">
        <f>SUM($F$4:F95)+SUM($H$4:H95)</f>
        <v>68030</v>
      </c>
      <c r="H95">
        <v>0</v>
      </c>
      <c r="I95" t="s">
        <v>41</v>
      </c>
      <c r="J95" t="s">
        <v>41</v>
      </c>
      <c r="K95" t="s">
        <v>41</v>
      </c>
      <c r="L95" t="s">
        <v>41</v>
      </c>
      <c r="M95" t="s">
        <v>41</v>
      </c>
      <c r="N95" t="s">
        <v>41</v>
      </c>
      <c r="O95" s="60" t="s">
        <v>41</v>
      </c>
      <c r="P95" s="60" t="s">
        <v>41</v>
      </c>
      <c r="Q95" t="s">
        <v>41</v>
      </c>
      <c r="R95" t="s">
        <v>41</v>
      </c>
      <c r="S95" t="s">
        <v>41</v>
      </c>
      <c r="T95" t="s">
        <v>41</v>
      </c>
      <c r="U95" t="s">
        <v>41</v>
      </c>
      <c r="V95" t="s">
        <v>41</v>
      </c>
      <c r="W95" s="60" t="s">
        <v>41</v>
      </c>
      <c r="X95" s="60" t="s">
        <v>41</v>
      </c>
      <c r="Y95" t="s">
        <v>41</v>
      </c>
      <c r="Z95" t="s">
        <v>41</v>
      </c>
      <c r="AA95" t="s">
        <v>41</v>
      </c>
      <c r="AB95" t="s">
        <v>41</v>
      </c>
      <c r="AC95" t="s">
        <v>41</v>
      </c>
      <c r="AD95" t="s">
        <v>41</v>
      </c>
      <c r="AE95" s="60" t="s">
        <v>41</v>
      </c>
      <c r="AF95" s="60" t="s">
        <v>41</v>
      </c>
      <c r="AG95" s="90">
        <f t="shared" si="37"/>
        <v>0</v>
      </c>
      <c r="AH95" s="91"/>
      <c r="AI95" s="91"/>
      <c r="AJ95" s="91"/>
      <c r="AK95" s="92" t="s">
        <v>57</v>
      </c>
      <c r="AL95" s="64">
        <f t="shared" si="38"/>
        <v>18</v>
      </c>
      <c r="AM95" s="64">
        <f t="shared" si="39"/>
        <v>18</v>
      </c>
      <c r="AN95" s="64">
        <f t="shared" si="40"/>
        <v>18</v>
      </c>
    </row>
    <row r="96" spans="1:57">
      <c r="A96" s="95">
        <v>46368</v>
      </c>
      <c r="B96">
        <v>1600</v>
      </c>
      <c r="D96" s="55">
        <f>(SUM(粮草!A96:X96)+AG96*10*IF(AK96="是",$BB$4,$BB$3))</f>
        <v>0</v>
      </c>
      <c r="E96" s="57">
        <f>SUM($B$4:B96)+SUM($C$4:C96)-SUM($D$4:D96)</f>
        <v>-7258</v>
      </c>
      <c r="F96" s="55">
        <f>SUM(经验!A96:X96)</f>
        <v>0</v>
      </c>
      <c r="G96" s="89">
        <f>SUM($F$4:F96)+SUM($H$4:H96)</f>
        <v>68030</v>
      </c>
      <c r="H96">
        <v>0</v>
      </c>
      <c r="I96" t="s">
        <v>41</v>
      </c>
      <c r="J96" t="s">
        <v>41</v>
      </c>
      <c r="K96" t="s">
        <v>41</v>
      </c>
      <c r="L96" t="s">
        <v>41</v>
      </c>
      <c r="M96" t="s">
        <v>41</v>
      </c>
      <c r="N96" t="s">
        <v>41</v>
      </c>
      <c r="O96" s="60" t="s">
        <v>41</v>
      </c>
      <c r="P96" s="60" t="s">
        <v>41</v>
      </c>
      <c r="Q96" t="s">
        <v>41</v>
      </c>
      <c r="R96" t="s">
        <v>41</v>
      </c>
      <c r="S96" t="s">
        <v>41</v>
      </c>
      <c r="T96" t="s">
        <v>41</v>
      </c>
      <c r="U96" t="s">
        <v>41</v>
      </c>
      <c r="V96" t="s">
        <v>41</v>
      </c>
      <c r="W96" s="60" t="s">
        <v>41</v>
      </c>
      <c r="X96" s="60" t="s">
        <v>41</v>
      </c>
      <c r="Y96" t="s">
        <v>41</v>
      </c>
      <c r="Z96" t="s">
        <v>41</v>
      </c>
      <c r="AA96" t="s">
        <v>41</v>
      </c>
      <c r="AB96" t="s">
        <v>41</v>
      </c>
      <c r="AC96" t="s">
        <v>41</v>
      </c>
      <c r="AD96" t="s">
        <v>41</v>
      </c>
      <c r="AE96" s="60" t="s">
        <v>41</v>
      </c>
      <c r="AF96" s="60" t="s">
        <v>41</v>
      </c>
      <c r="AG96" s="90">
        <f t="shared" si="37"/>
        <v>0</v>
      </c>
      <c r="AH96" s="91"/>
      <c r="AI96" s="91"/>
      <c r="AJ96" s="91"/>
      <c r="AK96" s="92" t="s">
        <v>57</v>
      </c>
      <c r="AL96" s="64">
        <f t="shared" si="38"/>
        <v>18</v>
      </c>
      <c r="AM96" s="64">
        <f t="shared" si="39"/>
        <v>18</v>
      </c>
      <c r="AN96" s="64">
        <f t="shared" si="40"/>
        <v>18</v>
      </c>
    </row>
    <row r="97" spans="1:40">
      <c r="A97" s="95">
        <v>46369</v>
      </c>
      <c r="B97">
        <v>1600</v>
      </c>
      <c r="D97" s="55">
        <f>(SUM(粮草!A97:X97)+AG97*10*IF(AK97="是",$BB$4,$BB$3))</f>
        <v>0</v>
      </c>
      <c r="E97" s="57">
        <f>SUM($B$4:B97)+SUM($C$4:C97)-SUM($D$4:D97)</f>
        <v>-5658</v>
      </c>
      <c r="F97" s="55">
        <f>SUM(经验!A97:X97)</f>
        <v>0</v>
      </c>
      <c r="G97" s="89">
        <f>SUM($F$4:F97)+SUM($H$4:H97)</f>
        <v>68030</v>
      </c>
      <c r="H97">
        <v>0</v>
      </c>
      <c r="I97" t="s">
        <v>41</v>
      </c>
      <c r="J97" t="s">
        <v>41</v>
      </c>
      <c r="K97" t="s">
        <v>41</v>
      </c>
      <c r="L97" t="s">
        <v>41</v>
      </c>
      <c r="M97" t="s">
        <v>41</v>
      </c>
      <c r="N97" t="s">
        <v>41</v>
      </c>
      <c r="O97" s="60" t="s">
        <v>41</v>
      </c>
      <c r="P97" s="60" t="s">
        <v>41</v>
      </c>
      <c r="Q97" t="s">
        <v>41</v>
      </c>
      <c r="R97" t="s">
        <v>41</v>
      </c>
      <c r="S97" t="s">
        <v>41</v>
      </c>
      <c r="T97" t="s">
        <v>41</v>
      </c>
      <c r="U97" t="s">
        <v>41</v>
      </c>
      <c r="V97" t="s">
        <v>41</v>
      </c>
      <c r="W97" s="60" t="s">
        <v>41</v>
      </c>
      <c r="X97" s="60" t="s">
        <v>41</v>
      </c>
      <c r="Y97" t="s">
        <v>41</v>
      </c>
      <c r="Z97" t="s">
        <v>41</v>
      </c>
      <c r="AA97" t="s">
        <v>41</v>
      </c>
      <c r="AB97" t="s">
        <v>41</v>
      </c>
      <c r="AC97" t="s">
        <v>41</v>
      </c>
      <c r="AD97" t="s">
        <v>41</v>
      </c>
      <c r="AE97" s="60" t="s">
        <v>41</v>
      </c>
      <c r="AF97" s="60" t="s">
        <v>41</v>
      </c>
      <c r="AG97" s="90">
        <f t="shared" si="37"/>
        <v>0</v>
      </c>
      <c r="AH97" s="91"/>
      <c r="AI97" s="91"/>
      <c r="AJ97" s="91"/>
      <c r="AK97" s="92" t="s">
        <v>57</v>
      </c>
      <c r="AL97" s="64">
        <f t="shared" si="38"/>
        <v>18</v>
      </c>
      <c r="AM97" s="64">
        <f t="shared" si="39"/>
        <v>18</v>
      </c>
      <c r="AN97" s="64">
        <f t="shared" si="40"/>
        <v>18</v>
      </c>
    </row>
    <row r="98" spans="1:40">
      <c r="A98" s="95">
        <v>46370</v>
      </c>
      <c r="B98" s="102">
        <v>1600</v>
      </c>
      <c r="D98" s="55">
        <f>(SUM(粮草!A98:X98)+AG98*10*IF(AK98="是",$BB$4,$BB$3))</f>
        <v>0</v>
      </c>
      <c r="E98" s="57">
        <f>SUM($B$4:B98)+SUM($C$4:C98)-SUM($D$4:D98)</f>
        <v>-4058</v>
      </c>
      <c r="F98" s="55">
        <f>SUM(经验!A98:X98)</f>
        <v>0</v>
      </c>
      <c r="G98" s="89">
        <f>SUM($F$4:F98)+SUM($H$4:H98)</f>
        <v>68230</v>
      </c>
      <c r="H98" s="67">
        <v>200</v>
      </c>
      <c r="I98" t="s">
        <v>41</v>
      </c>
      <c r="J98" t="s">
        <v>41</v>
      </c>
      <c r="K98" t="s">
        <v>41</v>
      </c>
      <c r="L98" t="s">
        <v>41</v>
      </c>
      <c r="M98" t="s">
        <v>41</v>
      </c>
      <c r="N98" t="s">
        <v>41</v>
      </c>
      <c r="O98" s="60" t="s">
        <v>41</v>
      </c>
      <c r="P98" s="60" t="s">
        <v>41</v>
      </c>
      <c r="Q98" t="s">
        <v>41</v>
      </c>
      <c r="R98" t="s">
        <v>41</v>
      </c>
      <c r="S98" t="s">
        <v>41</v>
      </c>
      <c r="T98" t="s">
        <v>41</v>
      </c>
      <c r="U98" t="s">
        <v>41</v>
      </c>
      <c r="V98" t="s">
        <v>41</v>
      </c>
      <c r="W98" s="60" t="s">
        <v>41</v>
      </c>
      <c r="X98" s="60" t="s">
        <v>41</v>
      </c>
      <c r="Y98" t="s">
        <v>41</v>
      </c>
      <c r="Z98" t="s">
        <v>41</v>
      </c>
      <c r="AA98" t="s">
        <v>41</v>
      </c>
      <c r="AB98" t="s">
        <v>41</v>
      </c>
      <c r="AC98" t="s">
        <v>41</v>
      </c>
      <c r="AD98" t="s">
        <v>41</v>
      </c>
      <c r="AE98" s="60" t="s">
        <v>41</v>
      </c>
      <c r="AF98" s="60" t="s">
        <v>41</v>
      </c>
      <c r="AG98" s="90">
        <f t="shared" si="37"/>
        <v>0</v>
      </c>
      <c r="AH98" s="91"/>
      <c r="AI98" s="91"/>
      <c r="AJ98" s="91"/>
      <c r="AK98" s="92" t="s">
        <v>57</v>
      </c>
      <c r="AL98" s="64">
        <f t="shared" si="38"/>
        <v>18</v>
      </c>
      <c r="AM98" s="64">
        <f t="shared" si="39"/>
        <v>18</v>
      </c>
      <c r="AN98" s="64">
        <f t="shared" si="40"/>
        <v>18</v>
      </c>
    </row>
    <row r="99" spans="1:40">
      <c r="A99" s="95">
        <v>46371</v>
      </c>
      <c r="B99" s="102">
        <v>1600</v>
      </c>
      <c r="C99">
        <v>80</v>
      </c>
      <c r="D99" s="55">
        <f>(SUM(粮草!A99:X99)+AG99*10*IF(AK99="是",$BB$4,$BB$3))</f>
        <v>0</v>
      </c>
      <c r="E99" s="57">
        <f>SUM($B$4:B99)+SUM($C$4:C99)-SUM($D$4:D99)</f>
        <v>-2378</v>
      </c>
      <c r="F99" s="55">
        <f>SUM(经验!A99:X99)</f>
        <v>0</v>
      </c>
      <c r="G99" s="89">
        <f>SUM($F$4:F99)+SUM($H$4:H99)</f>
        <v>68330</v>
      </c>
      <c r="H99" s="67">
        <v>100</v>
      </c>
      <c r="I99" t="s">
        <v>41</v>
      </c>
      <c r="J99" t="s">
        <v>41</v>
      </c>
      <c r="K99" t="s">
        <v>41</v>
      </c>
      <c r="L99" t="s">
        <v>41</v>
      </c>
      <c r="M99" t="s">
        <v>41</v>
      </c>
      <c r="N99" t="s">
        <v>41</v>
      </c>
      <c r="O99" s="60" t="s">
        <v>41</v>
      </c>
      <c r="P99" s="60" t="s">
        <v>41</v>
      </c>
      <c r="Q99" t="s">
        <v>41</v>
      </c>
      <c r="R99" t="s">
        <v>41</v>
      </c>
      <c r="S99" t="s">
        <v>41</v>
      </c>
      <c r="T99" t="s">
        <v>41</v>
      </c>
      <c r="U99" t="s">
        <v>41</v>
      </c>
      <c r="V99" t="s">
        <v>41</v>
      </c>
      <c r="W99" s="60" t="s">
        <v>41</v>
      </c>
      <c r="X99" s="60" t="s">
        <v>41</v>
      </c>
      <c r="Y99" t="s">
        <v>41</v>
      </c>
      <c r="Z99" t="s">
        <v>41</v>
      </c>
      <c r="AA99" t="s">
        <v>41</v>
      </c>
      <c r="AB99" t="s">
        <v>41</v>
      </c>
      <c r="AC99" t="s">
        <v>41</v>
      </c>
      <c r="AD99" t="s">
        <v>41</v>
      </c>
      <c r="AE99" s="60" t="s">
        <v>41</v>
      </c>
      <c r="AF99" s="60" t="s">
        <v>41</v>
      </c>
      <c r="AG99" s="90">
        <f t="shared" si="37"/>
        <v>0</v>
      </c>
      <c r="AH99" s="91"/>
      <c r="AI99" s="91"/>
      <c r="AJ99" s="91"/>
      <c r="AK99" s="92" t="s">
        <v>57</v>
      </c>
      <c r="AL99" s="64">
        <f t="shared" si="38"/>
        <v>18</v>
      </c>
      <c r="AM99" s="64">
        <f t="shared" si="39"/>
        <v>18</v>
      </c>
      <c r="AN99" s="64">
        <f t="shared" si="40"/>
        <v>18</v>
      </c>
    </row>
    <row r="100" spans="1:40">
      <c r="A100" s="95">
        <v>46372</v>
      </c>
      <c r="B100" s="102">
        <v>1600</v>
      </c>
      <c r="C100">
        <v>1004</v>
      </c>
      <c r="D100" s="55">
        <f>(SUM(粮草!A100:X100)+AG100*10*IF(AK100="是",$BB$4,$BB$3))</f>
        <v>136</v>
      </c>
      <c r="E100" s="57">
        <f>SUM($B$4:B100)+SUM($C$4:C100)-SUM($D$4:D100)</f>
        <v>90</v>
      </c>
      <c r="F100" s="55">
        <f>SUM(经验!A100:X100)</f>
        <v>0</v>
      </c>
      <c r="G100" s="89">
        <f>SUM($F$4:F100)+SUM($H$4:H100)</f>
        <v>68530</v>
      </c>
      <c r="H100">
        <v>200</v>
      </c>
      <c r="I100" t="s">
        <v>41</v>
      </c>
      <c r="J100" t="s">
        <v>41</v>
      </c>
      <c r="K100" t="s">
        <v>41</v>
      </c>
      <c r="L100" t="s">
        <v>41</v>
      </c>
      <c r="M100" t="s">
        <v>41</v>
      </c>
      <c r="N100" t="s">
        <v>41</v>
      </c>
      <c r="O100" s="60" t="s">
        <v>41</v>
      </c>
      <c r="P100" s="60" t="s">
        <v>41</v>
      </c>
      <c r="Q100" t="s">
        <v>41</v>
      </c>
      <c r="R100" t="s">
        <v>41</v>
      </c>
      <c r="S100" t="s">
        <v>41</v>
      </c>
      <c r="T100" t="s">
        <v>41</v>
      </c>
      <c r="U100" t="s">
        <v>41</v>
      </c>
      <c r="V100" t="s">
        <v>41</v>
      </c>
      <c r="W100" s="60" t="s">
        <v>41</v>
      </c>
      <c r="X100" s="60" t="s">
        <v>41</v>
      </c>
      <c r="Y100" t="s">
        <v>41</v>
      </c>
      <c r="Z100" t="s">
        <v>41</v>
      </c>
      <c r="AA100" t="s">
        <v>41</v>
      </c>
      <c r="AB100" t="s">
        <v>41</v>
      </c>
      <c r="AC100" t="s">
        <v>41</v>
      </c>
      <c r="AD100" t="s">
        <v>41</v>
      </c>
      <c r="AE100" s="60" t="s">
        <v>41</v>
      </c>
      <c r="AF100" s="60" t="s">
        <v>41</v>
      </c>
      <c r="AG100" s="90">
        <f t="shared" si="37"/>
        <v>17</v>
      </c>
      <c r="AH100" s="91">
        <v>17</v>
      </c>
      <c r="AI100" s="91"/>
      <c r="AJ100" s="91"/>
      <c r="AK100" s="92" t="s">
        <v>57</v>
      </c>
      <c r="AL100" s="64">
        <f t="shared" si="38"/>
        <v>18</v>
      </c>
      <c r="AM100" s="64">
        <f t="shared" si="39"/>
        <v>18</v>
      </c>
      <c r="AN100" s="64">
        <f t="shared" si="40"/>
        <v>18</v>
      </c>
    </row>
    <row r="101" spans="1:40">
      <c r="D101" t="s">
        <v>79</v>
      </c>
      <c r="E101" s="93">
        <f>COUNTIF(E4:E100,"&lt;0")</f>
        <v>78</v>
      </c>
      <c r="AL101" s="64"/>
      <c r="AM101" s="64"/>
      <c r="AN101" s="64"/>
    </row>
  </sheetData>
  <mergeCells count="14">
    <mergeCell ref="AQ48:AR48"/>
    <mergeCell ref="AK2:AK3"/>
    <mergeCell ref="BA5:BB8"/>
    <mergeCell ref="AO1:AQ2"/>
    <mergeCell ref="A1:H1"/>
    <mergeCell ref="I1:AG1"/>
    <mergeCell ref="D2:E2"/>
    <mergeCell ref="F2:H2"/>
    <mergeCell ref="I2:J2"/>
    <mergeCell ref="M2:P2"/>
    <mergeCell ref="Q2:R2"/>
    <mergeCell ref="U2:X2"/>
    <mergeCell ref="Y2:Z2"/>
    <mergeCell ref="AC2:AF2"/>
  </mergeCells>
  <phoneticPr fontId="15" type="noConversion"/>
  <conditionalFormatting sqref="A1:H1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{D00B04A3-5960-4A1B-AA4D-7EC811A5514B}</x14:id>
        </ext>
      </extLst>
    </cfRule>
  </conditionalFormatting>
  <pageMargins left="0.69930555555555596" right="0.69930555555555596" top="0.75" bottom="0.75" header="0.3" footer="0.3"/>
  <pageSetup orientation="portrait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0B04A3-5960-4A1B-AA4D-7EC811A551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A1:H1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8"/>
  <sheetViews>
    <sheetView workbookViewId="0">
      <selection activeCell="I15" sqref="I15"/>
    </sheetView>
  </sheetViews>
  <sheetFormatPr defaultColWidth="9" defaultRowHeight="15"/>
  <sheetData>
    <row r="1" spans="1:9">
      <c r="B1" s="128" t="s">
        <v>80</v>
      </c>
      <c r="C1" s="129"/>
      <c r="D1" s="14"/>
      <c r="E1" s="14"/>
      <c r="F1" s="14"/>
      <c r="G1" s="14"/>
      <c r="H1" s="14"/>
      <c r="I1" s="14"/>
    </row>
    <row r="2" spans="1:9">
      <c r="B2" s="14" t="s">
        <v>81</v>
      </c>
      <c r="C2" s="14" t="s">
        <v>82</v>
      </c>
      <c r="D2" s="14" t="s">
        <v>83</v>
      </c>
      <c r="E2" s="14" t="s">
        <v>84</v>
      </c>
      <c r="F2" s="14" t="s">
        <v>85</v>
      </c>
      <c r="G2" s="14" t="s">
        <v>28</v>
      </c>
      <c r="H2" s="14" t="s">
        <v>86</v>
      </c>
      <c r="I2" s="14" t="s">
        <v>87</v>
      </c>
    </row>
    <row r="3" spans="1:9">
      <c r="A3" s="15" t="s">
        <v>66</v>
      </c>
      <c r="B3" s="14">
        <v>12</v>
      </c>
      <c r="C3" s="14">
        <v>22</v>
      </c>
      <c r="D3" s="14">
        <v>1</v>
      </c>
      <c r="E3" s="14" t="s">
        <v>88</v>
      </c>
      <c r="F3" s="14">
        <v>5</v>
      </c>
      <c r="G3" s="14"/>
      <c r="H3" s="14"/>
      <c r="I3" s="14" t="s">
        <v>89</v>
      </c>
    </row>
    <row r="4" spans="1:9">
      <c r="A4" s="15" t="s">
        <v>66</v>
      </c>
      <c r="B4" s="14">
        <v>17</v>
      </c>
      <c r="C4" s="14">
        <v>31</v>
      </c>
      <c r="D4" s="14">
        <v>1</v>
      </c>
      <c r="E4" s="14" t="s">
        <v>88</v>
      </c>
      <c r="F4" s="14">
        <v>5</v>
      </c>
      <c r="G4" s="14"/>
      <c r="H4" s="14"/>
      <c r="I4" s="14" t="s">
        <v>89</v>
      </c>
    </row>
    <row r="5" spans="1:9">
      <c r="A5" s="16" t="s">
        <v>67</v>
      </c>
      <c r="B5" s="14">
        <v>22</v>
      </c>
      <c r="C5" s="14">
        <v>23</v>
      </c>
      <c r="D5" s="14">
        <v>2</v>
      </c>
      <c r="E5" s="14" t="s">
        <v>90</v>
      </c>
      <c r="F5" s="14">
        <v>8</v>
      </c>
      <c r="G5" s="14">
        <v>0.6</v>
      </c>
      <c r="H5" s="14"/>
      <c r="I5" s="14" t="s">
        <v>91</v>
      </c>
    </row>
    <row r="6" spans="1:9">
      <c r="A6" s="16" t="s">
        <v>67</v>
      </c>
      <c r="B6" s="14">
        <v>26</v>
      </c>
      <c r="C6" s="14">
        <v>22</v>
      </c>
      <c r="D6" s="14">
        <v>2</v>
      </c>
      <c r="E6" s="14" t="s">
        <v>90</v>
      </c>
      <c r="F6" s="14">
        <v>8</v>
      </c>
      <c r="G6" s="14">
        <v>0.6</v>
      </c>
      <c r="H6" s="14"/>
      <c r="I6" s="14" t="s">
        <v>91</v>
      </c>
    </row>
    <row r="7" spans="1:9">
      <c r="A7" s="17" t="s">
        <v>68</v>
      </c>
      <c r="B7" s="14">
        <v>33</v>
      </c>
      <c r="C7" s="14">
        <v>38</v>
      </c>
      <c r="D7" s="14">
        <v>3</v>
      </c>
      <c r="E7" s="14" t="s">
        <v>92</v>
      </c>
      <c r="F7" s="14">
        <v>10</v>
      </c>
      <c r="G7" s="14"/>
      <c r="H7" s="14">
        <v>1.5</v>
      </c>
      <c r="I7" s="14" t="s">
        <v>93</v>
      </c>
    </row>
    <row r="8" spans="1:9">
      <c r="A8" s="17" t="s">
        <v>68</v>
      </c>
      <c r="B8" s="14">
        <v>38</v>
      </c>
      <c r="C8" s="14">
        <v>25</v>
      </c>
      <c r="D8" s="14">
        <v>3</v>
      </c>
      <c r="E8" s="14" t="s">
        <v>92</v>
      </c>
      <c r="F8" s="14">
        <v>10</v>
      </c>
      <c r="G8" s="14"/>
      <c r="H8" s="14">
        <v>1.5</v>
      </c>
      <c r="I8" s="14" t="s">
        <v>93</v>
      </c>
    </row>
  </sheetData>
  <mergeCells count="1">
    <mergeCell ref="B1:C1"/>
  </mergeCells>
  <phoneticPr fontId="1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AA100"/>
  <sheetViews>
    <sheetView topLeftCell="A67" workbookViewId="0">
      <selection activeCell="AA67" sqref="AA67"/>
    </sheetView>
  </sheetViews>
  <sheetFormatPr defaultColWidth="9" defaultRowHeight="15"/>
  <cols>
    <col min="26" max="26" width="10.5703125" customWidth="1"/>
  </cols>
  <sheetData>
    <row r="2" spans="1:27">
      <c r="A2" s="132" t="s">
        <v>94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  <c r="Y2" t="s">
        <v>15</v>
      </c>
    </row>
    <row r="3" spans="1:27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  <c r="AA3" t="s">
        <v>97</v>
      </c>
    </row>
    <row r="4" spans="1:27">
      <c r="A4" s="12">
        <f>IF(ISNUMBER(SEARCH("营",main!I4)),(-$Y4+50*IF(main!$AK4="是",main!$BB$4,main!$BB$3)),(VLOOKUP(main!I4,main!$AO$4:$AQ$55,2,FALSE))*IF(main!$AK4="是",main!$BB$4,main!$BB$3))</f>
        <v>150</v>
      </c>
      <c r="B4" s="12">
        <f>IF(ISNUMBER(SEARCH("营",main!J4)),(-$Y4+50*IF(main!$AK4="是",main!$BB$4,main!$BB$3)),(VLOOKUP(main!J4,main!$AO$4:$AQ$55,2,FALSE))*IF(main!$AK4="是",main!$BB$4,main!$BB$3))</f>
        <v>150</v>
      </c>
      <c r="C4" s="12">
        <f>IF(ISNUMBER(SEARCH("营",main!K4)),(-$Y4+50*IF(main!$AK4="是",main!$BB$4,main!$BB$3)),(VLOOKUP(main!K4,main!$AO$4:$AQ$55,2,FALSE))*IF(main!$AK4="是",main!$BB$4,main!$BB$3))</f>
        <v>150</v>
      </c>
      <c r="D4" s="12">
        <f>IF(ISNUMBER(SEARCH("营",main!L4)),(-$Y4+50*IF(main!$AK4="是",main!$BB$4,main!$BB$3)),(VLOOKUP(main!L4,main!$AO$4:$AQ$55,2,FALSE))*IF(main!$AK4="是",main!$BB$4,main!$BB$3))</f>
        <v>150</v>
      </c>
      <c r="E4" s="12">
        <f>IF(ISNUMBER(SEARCH("营",main!M4)),(-$Y4+50*IF(main!$AK4="是",main!$BB$4,main!$BB$3)),(VLOOKUP(main!M4,main!$AO$4:$AQ$55,2,FALSE))*IF(main!$AK4="是",main!$BB$4,main!$BB$3))</f>
        <v>150</v>
      </c>
      <c r="F4" s="12">
        <f>IF(ISNUMBER(SEARCH("营",main!N4)),(-$Y4+50*IF(main!$AK4="是",main!$BB$4,main!$BB$3)),(VLOOKUP(main!N4,main!$AO$4:$AQ$55,2,FALSE))*IF(main!$AK4="是",main!$BB$4,main!$BB$3))</f>
        <v>150</v>
      </c>
      <c r="G4" s="12">
        <f>IF(ISNUMBER(SEARCH("营",main!O4)),(-$Y4+50*IF(main!$AK4="是",main!$BB$4,main!$BB$3)),(VLOOKUP(main!O4,main!$AO$4:$AQ$55,2,FALSE))*IF(main!$AK4="是",main!$BB$4,main!$BB$3))</f>
        <v>0</v>
      </c>
      <c r="H4" s="12">
        <f>IF(ISNUMBER(SEARCH("营",main!P4)),(-$Y4+50*IF(main!$AK4="是",main!$BB$4,main!$BB$3)),(VLOOKUP(main!P4,main!$AO$4:$AQ$55,2,FALSE))*IF(main!$AK4="是",main!$BB$4,main!$BB$3))</f>
        <v>0</v>
      </c>
      <c r="I4" s="12">
        <f>IF(ISNUMBER(SEARCH("营",main!Q4)),(-$Y4+50*IF(main!$AK4="是",main!$BB$4,main!$BB$3)),(VLOOKUP(main!Q4,main!$AO$4:$AQ$55,2,FALSE))*IF(main!$AK4="是",main!$BB$4,main!$BB$3))</f>
        <v>180</v>
      </c>
      <c r="J4" s="12">
        <f>IF(ISNUMBER(SEARCH("营",main!R4)),(-$Y4+50*IF(main!$AK4="是",main!$BB$4,main!$BB$3)),(VLOOKUP(main!R4,main!$AO$4:$AQ$55,2,FALSE))*IF(main!$AK4="是",main!$BB$4,main!$BB$3))</f>
        <v>180</v>
      </c>
      <c r="K4" s="12">
        <f>IF(ISNUMBER(SEARCH("营",main!S4)),(-$Y4+50*IF(main!$AK4="是",main!$BB$4,main!$BB$3)),(VLOOKUP(main!S4,main!$AO$4:$AQ$55,2,FALSE))*IF(main!$AK4="是",main!$BB$4,main!$BB$3))</f>
        <v>180</v>
      </c>
      <c r="L4" s="12">
        <f>IF(ISNUMBER(SEARCH("营",main!T4)),(-$Y4+50*IF(main!$AK4="是",main!$BB$4,main!$BB$3)),(VLOOKUP(main!T4,main!$AO$4:$AQ$55,2,FALSE))*IF(main!$AK4="是",main!$BB$4,main!$BB$3))</f>
        <v>180</v>
      </c>
      <c r="M4" s="12">
        <f>IF(ISNUMBER(SEARCH("营",main!U4)),(-$Y4+50*IF(main!$AK4="是",main!$BB$4,main!$BB$3)),(VLOOKUP(main!U4,main!$AO$4:$AQ$55,2,FALSE))*IF(main!$AK4="是",main!$BB$4,main!$BB$3))</f>
        <v>180</v>
      </c>
      <c r="N4" s="12">
        <f>IF(ISNUMBER(SEARCH("营",main!V4)),(-$Y4+50*IF(main!$AK4="是",main!$BB$4,main!$BB$3)),(VLOOKUP(main!V4,main!$AO$4:$AQ$55,2,FALSE))*IF(main!$AK4="是",main!$BB$4,main!$BB$3))</f>
        <v>180</v>
      </c>
      <c r="O4" s="12">
        <f>IF(ISNUMBER(SEARCH("营",main!W4)),(-$Y4+50*IF(main!$AK4="是",main!$BB$4,main!$BB$3)),(VLOOKUP(main!W4,main!$AO$4:$AQ$55,2,FALSE))*IF(main!$AK4="是",main!$BB$4,main!$BB$3))</f>
        <v>0</v>
      </c>
      <c r="P4" s="12">
        <f>IF(ISNUMBER(SEARCH("营",main!X4)),(-$Y4+50*IF(main!$AK4="是",main!$BB$4,main!$BB$3)),(VLOOKUP(main!X4,main!$AO$4:$AQ$55,2,FALSE))*IF(main!$AK4="是",main!$BB$4,main!$BB$3))</f>
        <v>0</v>
      </c>
      <c r="Q4" s="12">
        <f>IF(ISNUMBER(SEARCH("营",main!Y4)),(-$Y4+50*IF(main!$AK4="是",main!$BB$4,main!$BB$3)),(VLOOKUP(main!Y4,main!$AO$4:$AQ$55,2,FALSE))*IF(main!$AK4="是",main!$BB$4,main!$BB$3))</f>
        <v>0</v>
      </c>
      <c r="R4" s="12">
        <f>IF(ISNUMBER(SEARCH("营",main!Z4)),(-$Y4+50*IF(main!$AK4="是",main!$BB$4,main!$BB$3)),(VLOOKUP(main!Z4,main!$AO$4:$AQ$55,2,FALSE))*IF(main!$AK4="是",main!$BB$4,main!$BB$3))</f>
        <v>0</v>
      </c>
      <c r="S4" s="12">
        <f>IF(ISNUMBER(SEARCH("营",main!AA4)),(-$Y4+50*IF(main!$AK4="是",main!$BB$4,main!$BB$3)),(VLOOKUP(main!AA4,main!$AO$4:$AQ$55,2,FALSE))*IF(main!$AK4="是",main!$BB$4,main!$BB$3))</f>
        <v>0</v>
      </c>
      <c r="T4" s="12">
        <f>IF(ISNUMBER(SEARCH("营",main!AB4)),(-$Y4+50*IF(main!$AK4="是",main!$BB$4,main!$BB$3)),(VLOOKUP(main!AB4,main!$AO$4:$AQ$55,2,FALSE))*IF(main!$AK4="是",main!$BB$4,main!$BB$3))</f>
        <v>0</v>
      </c>
      <c r="U4" s="12">
        <f>IF(ISNUMBER(SEARCH("营",main!AC4)),(-$Y4+50*IF(main!$AK4="是",main!$BB$4,main!$BB$3)),(VLOOKUP(main!AC4,main!$AO$4:$AQ$55,2,FALSE))*IF(main!$AK4="是",main!$BB$4,main!$BB$3))</f>
        <v>0</v>
      </c>
      <c r="V4" s="12">
        <f>IF(ISNUMBER(SEARCH("营",main!AD4)),(-$Y4+50*IF(main!$AK4="是",main!$BB$4,main!$BB$3)),(VLOOKUP(main!AD4,main!$AO$4:$AQ$55,2,FALSE))*IF(main!$AK4="是",main!$BB$4,main!$BB$3))</f>
        <v>0</v>
      </c>
      <c r="W4" s="12">
        <f>IF(ISNUMBER(SEARCH("营",main!AE4)),(-$Y4+50*IF(main!$AK4="是",main!$BB$4,main!$BB$3)),(VLOOKUP(main!AE4,main!$AO$4:$AQ$55,2,FALSE))*IF(main!$AK4="是",main!$BB$4,main!$BB$3))</f>
        <v>0</v>
      </c>
      <c r="X4" s="12">
        <f>IF(ISNUMBER(SEARCH("营",main!AF4)),(-$Y4+50*IF(main!$AK4="是",main!$BB$4,main!$BB$3)),(VLOOKUP(main!AF4,main!$AO$4:$AQ$55,2,FALSE))*IF(main!$AK4="是",main!$BB$4,main!$BB$3))</f>
        <v>0</v>
      </c>
      <c r="Y4" s="94">
        <v>300</v>
      </c>
      <c r="Z4" s="95">
        <v>46276</v>
      </c>
      <c r="AA4">
        <v>1</v>
      </c>
    </row>
    <row r="5" spans="1:27">
      <c r="A5" s="12">
        <f>IF(ISNUMBER(SEARCH("营",main!I5)),(-$Y5+50*IF(main!$AK5="是",main!$BB$4,main!$BB$3)),(VLOOKUP(main!I5,main!$AO$4:$AQ$55,2,FALSE))*IF(main!$AK5="是",main!$BB$4,main!$BB$3))</f>
        <v>150</v>
      </c>
      <c r="B5" s="12">
        <f>IF(ISNUMBER(SEARCH("营",main!J5)),(-$Y5+50*IF(main!$AK5="是",main!$BB$4,main!$BB$3)),(VLOOKUP(main!J5,main!$AO$4:$AQ$55,2,FALSE))*IF(main!$AK5="是",main!$BB$4,main!$BB$3))</f>
        <v>150</v>
      </c>
      <c r="C5" s="12">
        <f>IF(ISNUMBER(SEARCH("营",main!K5)),(-$Y5+50*IF(main!$AK5="是",main!$BB$4,main!$BB$3)),(VLOOKUP(main!K5,main!$AO$4:$AQ$55,2,FALSE))*IF(main!$AK5="是",main!$BB$4,main!$BB$3))</f>
        <v>150</v>
      </c>
      <c r="D5" s="12">
        <f>IF(ISNUMBER(SEARCH("营",main!L5)),(-$Y5+50*IF(main!$AK5="是",main!$BB$4,main!$BB$3)),(VLOOKUP(main!L5,main!$AO$4:$AQ$55,2,FALSE))*IF(main!$AK5="是",main!$BB$4,main!$BB$3))</f>
        <v>150</v>
      </c>
      <c r="E5" s="12">
        <f>IF(ISNUMBER(SEARCH("营",main!M5)),(-$Y5+50*IF(main!$AK5="是",main!$BB$4,main!$BB$3)),(VLOOKUP(main!M5,main!$AO$4:$AQ$55,2,FALSE))*IF(main!$AK5="是",main!$BB$4,main!$BB$3))</f>
        <v>150</v>
      </c>
      <c r="F5" s="12">
        <f>IF(ISNUMBER(SEARCH("营",main!N5)),(-$Y5+50*IF(main!$AK5="是",main!$BB$4,main!$BB$3)),(VLOOKUP(main!N5,main!$AO$4:$AQ$55,2,FALSE))*IF(main!$AK5="是",main!$BB$4,main!$BB$3))</f>
        <v>150</v>
      </c>
      <c r="G5" s="12">
        <f>IF(ISNUMBER(SEARCH("营",main!O5)),(-$Y5+50*IF(main!$AK5="是",main!$BB$4,main!$BB$3)),(VLOOKUP(main!O5,main!$AO$4:$AQ$55,2,FALSE))*IF(main!$AK5="是",main!$BB$4,main!$BB$3))</f>
        <v>0</v>
      </c>
      <c r="H5" s="12">
        <f>IF(ISNUMBER(SEARCH("营",main!P5)),(-$Y5+50*IF(main!$AK5="是",main!$BB$4,main!$BB$3)),(VLOOKUP(main!P5,main!$AO$4:$AQ$55,2,FALSE))*IF(main!$AK5="是",main!$BB$4,main!$BB$3))</f>
        <v>0</v>
      </c>
      <c r="I5" s="12">
        <f>IF(ISNUMBER(SEARCH("营",main!Q5)),(-$Y5+50*IF(main!$AK5="是",main!$BB$4,main!$BB$3)),(VLOOKUP(main!Q5,main!$AO$4:$AQ$55,2,FALSE))*IF(main!$AK5="是",main!$BB$4,main!$BB$3))</f>
        <v>180</v>
      </c>
      <c r="J5" s="12">
        <f>IF(ISNUMBER(SEARCH("营",main!R5)),(-$Y5+50*IF(main!$AK5="是",main!$BB$4,main!$BB$3)),(VLOOKUP(main!R5,main!$AO$4:$AQ$55,2,FALSE))*IF(main!$AK5="是",main!$BB$4,main!$BB$3))</f>
        <v>180</v>
      </c>
      <c r="K5" s="12">
        <f>IF(ISNUMBER(SEARCH("营",main!S5)),(-$Y5+50*IF(main!$AK5="是",main!$BB$4,main!$BB$3)),(VLOOKUP(main!S5,main!$AO$4:$AQ$55,2,FALSE))*IF(main!$AK5="是",main!$BB$4,main!$BB$3))</f>
        <v>180</v>
      </c>
      <c r="L5" s="12">
        <f>IF(ISNUMBER(SEARCH("营",main!T5)),(-$Y5+50*IF(main!$AK5="是",main!$BB$4,main!$BB$3)),(VLOOKUP(main!T5,main!$AO$4:$AQ$55,2,FALSE))*IF(main!$AK5="是",main!$BB$4,main!$BB$3))</f>
        <v>180</v>
      </c>
      <c r="M5" s="12">
        <f>IF(ISNUMBER(SEARCH("营",main!U5)),(-$Y5+50*IF(main!$AK5="是",main!$BB$4,main!$BB$3)),(VLOOKUP(main!U5,main!$AO$4:$AQ$55,2,FALSE))*IF(main!$AK5="是",main!$BB$4,main!$BB$3))</f>
        <v>180</v>
      </c>
      <c r="N5" s="12">
        <f>IF(ISNUMBER(SEARCH("营",main!V5)),(-$Y5+50*IF(main!$AK5="是",main!$BB$4,main!$BB$3)),(VLOOKUP(main!V5,main!$AO$4:$AQ$55,2,FALSE))*IF(main!$AK5="是",main!$BB$4,main!$BB$3))</f>
        <v>180</v>
      </c>
      <c r="O5" s="12">
        <f>IF(ISNUMBER(SEARCH("营",main!W5)),(-$Y5+50*IF(main!$AK5="是",main!$BB$4,main!$BB$3)),(VLOOKUP(main!W5,main!$AO$4:$AQ$55,2,FALSE))*IF(main!$AK5="是",main!$BB$4,main!$BB$3))</f>
        <v>0</v>
      </c>
      <c r="P5" s="12">
        <f>IF(ISNUMBER(SEARCH("营",main!X5)),(-$Y5+50*IF(main!$AK5="是",main!$BB$4,main!$BB$3)),(VLOOKUP(main!X5,main!$AO$4:$AQ$55,2,FALSE))*IF(main!$AK5="是",main!$BB$4,main!$BB$3))</f>
        <v>0</v>
      </c>
      <c r="Q5" s="12">
        <f>IF(ISNUMBER(SEARCH("营",main!Y5)),(-$Y5+50*IF(main!$AK5="是",main!$BB$4,main!$BB$3)),(VLOOKUP(main!Y5,main!$AO$4:$AQ$55,2,FALSE))*IF(main!$AK5="是",main!$BB$4,main!$BB$3))</f>
        <v>0</v>
      </c>
      <c r="R5" s="12">
        <f>IF(ISNUMBER(SEARCH("营",main!Z5)),(-$Y5+50*IF(main!$AK5="是",main!$BB$4,main!$BB$3)),(VLOOKUP(main!Z5,main!$AO$4:$AQ$55,2,FALSE))*IF(main!$AK5="是",main!$BB$4,main!$BB$3))</f>
        <v>0</v>
      </c>
      <c r="S5" s="12">
        <f>IF(ISNUMBER(SEARCH("营",main!AA5)),(-$Y5+50*IF(main!$AK5="是",main!$BB$4,main!$BB$3)),(VLOOKUP(main!AA5,main!$AO$4:$AQ$55,2,FALSE))*IF(main!$AK5="是",main!$BB$4,main!$BB$3))</f>
        <v>0</v>
      </c>
      <c r="T5" s="12">
        <f>IF(ISNUMBER(SEARCH("营",main!AB5)),(-$Y5+50*IF(main!$AK5="是",main!$BB$4,main!$BB$3)),(VLOOKUP(main!AB5,main!$AO$4:$AQ$55,2,FALSE))*IF(main!$AK5="是",main!$BB$4,main!$BB$3))</f>
        <v>0</v>
      </c>
      <c r="U5" s="12">
        <f>IF(ISNUMBER(SEARCH("营",main!AC5)),(-$Y5+50*IF(main!$AK5="是",main!$BB$4,main!$BB$3)),(VLOOKUP(main!AC5,main!$AO$4:$AQ$55,2,FALSE))*IF(main!$AK5="是",main!$BB$4,main!$BB$3))</f>
        <v>0</v>
      </c>
      <c r="V5" s="12">
        <f>IF(ISNUMBER(SEARCH("营",main!AD5)),(-$Y5+50*IF(main!$AK5="是",main!$BB$4,main!$BB$3)),(VLOOKUP(main!AD5,main!$AO$4:$AQ$55,2,FALSE))*IF(main!$AK5="是",main!$BB$4,main!$BB$3))</f>
        <v>0</v>
      </c>
      <c r="W5" s="12">
        <f>IF(ISNUMBER(SEARCH("营",main!AE5)),(-$Y5+50*IF(main!$AK5="是",main!$BB$4,main!$BB$3)),(VLOOKUP(main!AE5,main!$AO$4:$AQ$55,2,FALSE))*IF(main!$AK5="是",main!$BB$4,main!$BB$3))</f>
        <v>0</v>
      </c>
      <c r="X5" s="12">
        <f>IF(ISNUMBER(SEARCH("营",main!AF5)),(-$Y5+50*IF(main!$AK5="是",main!$BB$4,main!$BB$3)),(VLOOKUP(main!AF5,main!$AO$4:$AQ$55,2,FALSE))*IF(main!$AK5="是",main!$BB$4,main!$BB$3))</f>
        <v>0</v>
      </c>
      <c r="Y5" s="94">
        <v>300</v>
      </c>
      <c r="Z5" s="95">
        <v>46277</v>
      </c>
      <c r="AA5">
        <v>2</v>
      </c>
    </row>
    <row r="6" spans="1:27">
      <c r="A6" s="12">
        <f>IF(ISNUMBER(SEARCH("营",main!I6)),(-$Y6+50*IF(main!$AK6="是",main!$BB$4,main!$BB$3)),(VLOOKUP(main!I6,main!$AO$4:$AQ$55,2,FALSE))*IF(main!$AK6="是",main!$BB$4,main!$BB$3))</f>
        <v>150</v>
      </c>
      <c r="B6" s="12">
        <f>IF(ISNUMBER(SEARCH("营",main!J6)),(-$Y6+50*IF(main!$AK6="是",main!$BB$4,main!$BB$3)),(VLOOKUP(main!J6,main!$AO$4:$AQ$55,2,FALSE))*IF(main!$AK6="是",main!$BB$4,main!$BB$3))</f>
        <v>150</v>
      </c>
      <c r="C6" s="12">
        <f>IF(ISNUMBER(SEARCH("营",main!K6)),(-$Y6+50*IF(main!$AK6="是",main!$BB$4,main!$BB$3)),(VLOOKUP(main!K6,main!$AO$4:$AQ$55,2,FALSE))*IF(main!$AK6="是",main!$BB$4,main!$BB$3))</f>
        <v>150</v>
      </c>
      <c r="D6" s="12">
        <f>IF(ISNUMBER(SEARCH("营",main!L6)),(-$Y6+50*IF(main!$AK6="是",main!$BB$4,main!$BB$3)),(VLOOKUP(main!L6,main!$AO$4:$AQ$55,2,FALSE))*IF(main!$AK6="是",main!$BB$4,main!$BB$3))</f>
        <v>150</v>
      </c>
      <c r="E6" s="12">
        <f>IF(ISNUMBER(SEARCH("营",main!M6)),(-$Y6+50*IF(main!$AK6="是",main!$BB$4,main!$BB$3)),(VLOOKUP(main!M6,main!$AO$4:$AQ$55,2,FALSE))*IF(main!$AK6="是",main!$BB$4,main!$BB$3))</f>
        <v>150</v>
      </c>
      <c r="F6" s="12">
        <f>IF(ISNUMBER(SEARCH("营",main!N6)),(-$Y6+50*IF(main!$AK6="是",main!$BB$4,main!$BB$3)),(VLOOKUP(main!N6,main!$AO$4:$AQ$55,2,FALSE))*IF(main!$AK6="是",main!$BB$4,main!$BB$3))</f>
        <v>150</v>
      </c>
      <c r="G6" s="12">
        <f>IF(ISNUMBER(SEARCH("营",main!O6)),(-$Y6+50*IF(main!$AK6="是",main!$BB$4,main!$BB$3)),(VLOOKUP(main!O6,main!$AO$4:$AQ$55,2,FALSE))*IF(main!$AK6="是",main!$BB$4,main!$BB$3))</f>
        <v>0</v>
      </c>
      <c r="H6" s="12">
        <f>IF(ISNUMBER(SEARCH("营",main!P6)),(-$Y6+50*IF(main!$AK6="是",main!$BB$4,main!$BB$3)),(VLOOKUP(main!P6,main!$AO$4:$AQ$55,2,FALSE))*IF(main!$AK6="是",main!$BB$4,main!$BB$3))</f>
        <v>0</v>
      </c>
      <c r="I6" s="12">
        <f>IF(ISNUMBER(SEARCH("营",main!Q6)),(-$Y6+50*IF(main!$AK6="是",main!$BB$4,main!$BB$3)),(VLOOKUP(main!Q6,main!$AO$4:$AQ$55,2,FALSE))*IF(main!$AK6="是",main!$BB$4,main!$BB$3))</f>
        <v>180</v>
      </c>
      <c r="J6" s="12">
        <f>IF(ISNUMBER(SEARCH("营",main!R6)),(-$Y6+50*IF(main!$AK6="是",main!$BB$4,main!$BB$3)),(VLOOKUP(main!R6,main!$AO$4:$AQ$55,2,FALSE))*IF(main!$AK6="是",main!$BB$4,main!$BB$3))</f>
        <v>180</v>
      </c>
      <c r="K6" s="12">
        <f>IF(ISNUMBER(SEARCH("营",main!S6)),(-$Y6+50*IF(main!$AK6="是",main!$BB$4,main!$BB$3)),(VLOOKUP(main!S6,main!$AO$4:$AQ$55,2,FALSE))*IF(main!$AK6="是",main!$BB$4,main!$BB$3))</f>
        <v>180</v>
      </c>
      <c r="L6" s="12">
        <f>IF(ISNUMBER(SEARCH("营",main!T6)),(-$Y6+50*IF(main!$AK6="是",main!$BB$4,main!$BB$3)),(VLOOKUP(main!T6,main!$AO$4:$AQ$55,2,FALSE))*IF(main!$AK6="是",main!$BB$4,main!$BB$3))</f>
        <v>150</v>
      </c>
      <c r="M6" s="12">
        <f>IF(ISNUMBER(SEARCH("营",main!U6)),(-$Y6+50*IF(main!$AK6="是",main!$BB$4,main!$BB$3)),(VLOOKUP(main!U6,main!$AO$4:$AQ$55,2,FALSE))*IF(main!$AK6="是",main!$BB$4,main!$BB$3))</f>
        <v>150</v>
      </c>
      <c r="N6" s="12">
        <f>IF(ISNUMBER(SEARCH("营",main!V6)),(-$Y6+50*IF(main!$AK6="是",main!$BB$4,main!$BB$3)),(VLOOKUP(main!V6,main!$AO$4:$AQ$55,2,FALSE))*IF(main!$AK6="是",main!$BB$4,main!$BB$3))</f>
        <v>0</v>
      </c>
      <c r="O6" s="12">
        <f>IF(ISNUMBER(SEARCH("营",main!W6)),(-$Y6+50*IF(main!$AK6="是",main!$BB$4,main!$BB$3)),(VLOOKUP(main!W6,main!$AO$4:$AQ$55,2,FALSE))*IF(main!$AK6="是",main!$BB$4,main!$BB$3))</f>
        <v>0</v>
      </c>
      <c r="P6" s="12">
        <f>IF(ISNUMBER(SEARCH("营",main!X6)),(-$Y6+50*IF(main!$AK6="是",main!$BB$4,main!$BB$3)),(VLOOKUP(main!X6,main!$AO$4:$AQ$55,2,FALSE))*IF(main!$AK6="是",main!$BB$4,main!$BB$3))</f>
        <v>0</v>
      </c>
      <c r="Q6" s="12">
        <f>IF(ISNUMBER(SEARCH("营",main!Y6)),(-$Y6+50*IF(main!$AK6="是",main!$BB$4,main!$BB$3)),(VLOOKUP(main!Y6,main!$AO$4:$AQ$55,2,FALSE))*IF(main!$AK6="是",main!$BB$4,main!$BB$3))</f>
        <v>0</v>
      </c>
      <c r="R6" s="12">
        <f>IF(ISNUMBER(SEARCH("营",main!Z6)),(-$Y6+50*IF(main!$AK6="是",main!$BB$4,main!$BB$3)),(VLOOKUP(main!Z6,main!$AO$4:$AQ$55,2,FALSE))*IF(main!$AK6="是",main!$BB$4,main!$BB$3))</f>
        <v>0</v>
      </c>
      <c r="S6" s="12">
        <f>IF(ISNUMBER(SEARCH("营",main!AA6)),(-$Y6+50*IF(main!$AK6="是",main!$BB$4,main!$BB$3)),(VLOOKUP(main!AA6,main!$AO$4:$AQ$55,2,FALSE))*IF(main!$AK6="是",main!$BB$4,main!$BB$3))</f>
        <v>0</v>
      </c>
      <c r="T6" s="12">
        <f>IF(ISNUMBER(SEARCH("营",main!AB6)),(-$Y6+50*IF(main!$AK6="是",main!$BB$4,main!$BB$3)),(VLOOKUP(main!AB6,main!$AO$4:$AQ$55,2,FALSE))*IF(main!$AK6="是",main!$BB$4,main!$BB$3))</f>
        <v>0</v>
      </c>
      <c r="U6" s="12">
        <f>IF(ISNUMBER(SEARCH("营",main!AC6)),(-$Y6+50*IF(main!$AK6="是",main!$BB$4,main!$BB$3)),(VLOOKUP(main!AC6,main!$AO$4:$AQ$55,2,FALSE))*IF(main!$AK6="是",main!$BB$4,main!$BB$3))</f>
        <v>0</v>
      </c>
      <c r="V6" s="12">
        <f>IF(ISNUMBER(SEARCH("营",main!AD6)),(-$Y6+50*IF(main!$AK6="是",main!$BB$4,main!$BB$3)),(VLOOKUP(main!AD6,main!$AO$4:$AQ$55,2,FALSE))*IF(main!$AK6="是",main!$BB$4,main!$BB$3))</f>
        <v>0</v>
      </c>
      <c r="W6" s="12">
        <f>IF(ISNUMBER(SEARCH("营",main!AE6)),(-$Y6+50*IF(main!$AK6="是",main!$BB$4,main!$BB$3)),(VLOOKUP(main!AE6,main!$AO$4:$AQ$55,2,FALSE))*IF(main!$AK6="是",main!$BB$4,main!$BB$3))</f>
        <v>0</v>
      </c>
      <c r="X6" s="12">
        <f>IF(ISNUMBER(SEARCH("营",main!AF6)),(-$Y6+50*IF(main!$AK6="是",main!$BB$4,main!$BB$3)),(VLOOKUP(main!AF6,main!$AO$4:$AQ$55,2,FALSE))*IF(main!$AK6="是",main!$BB$4,main!$BB$3))</f>
        <v>0</v>
      </c>
      <c r="Y6" s="94">
        <v>300</v>
      </c>
      <c r="Z6" s="95">
        <v>46278</v>
      </c>
      <c r="AA6">
        <v>3</v>
      </c>
    </row>
    <row r="7" spans="1:27">
      <c r="A7" s="12">
        <f>IF(ISNUMBER(SEARCH("营",main!I7)),(-$Y7+50*IF(main!$AK7="是",main!$BB$4,main!$BB$3)),(VLOOKUP(main!I7,main!$AO$4:$AQ$55,2,FALSE))*IF(main!$AK7="是",main!$BB$4,main!$BB$3))</f>
        <v>150</v>
      </c>
      <c r="B7" s="12">
        <f>IF(ISNUMBER(SEARCH("营",main!J7)),(-$Y7+50*IF(main!$AK7="是",main!$BB$4,main!$BB$3)),(VLOOKUP(main!J7,main!$AO$4:$AQ$55,2,FALSE))*IF(main!$AK7="是",main!$BB$4,main!$BB$3))</f>
        <v>170</v>
      </c>
      <c r="C7" s="12">
        <f>IF(ISNUMBER(SEARCH("营",main!K7)),(-$Y7+50*IF(main!$AK7="是",main!$BB$4,main!$BB$3)),(VLOOKUP(main!K7,main!$AO$4:$AQ$55,2,FALSE))*IF(main!$AK7="是",main!$BB$4,main!$BB$3))</f>
        <v>170</v>
      </c>
      <c r="D7" s="12">
        <f>IF(ISNUMBER(SEARCH("营",main!L7)),(-$Y7+50*IF(main!$AK7="是",main!$BB$4,main!$BB$3)),(VLOOKUP(main!L7,main!$AO$4:$AQ$55,2,FALSE))*IF(main!$AK7="是",main!$BB$4,main!$BB$3))</f>
        <v>170</v>
      </c>
      <c r="E7" s="12">
        <f>IF(ISNUMBER(SEARCH("营",main!M7)),(-$Y7+50*IF(main!$AK7="是",main!$BB$4,main!$BB$3)),(VLOOKUP(main!M7,main!$AO$4:$AQ$55,2,FALSE))*IF(main!$AK7="是",main!$BB$4,main!$BB$3))</f>
        <v>170</v>
      </c>
      <c r="F7" s="12">
        <f>IF(ISNUMBER(SEARCH("营",main!N7)),(-$Y7+50*IF(main!$AK7="是",main!$BB$4,main!$BB$3)),(VLOOKUP(main!N7,main!$AO$4:$AQ$55,2,FALSE))*IF(main!$AK7="是",main!$BB$4,main!$BB$3))</f>
        <v>170</v>
      </c>
      <c r="G7" s="12">
        <f>IF(ISNUMBER(SEARCH("营",main!O7)),(-$Y7+50*IF(main!$AK7="是",main!$BB$4,main!$BB$3)),(VLOOKUP(main!O7,main!$AO$4:$AQ$55,2,FALSE))*IF(main!$AK7="是",main!$BB$4,main!$BB$3))</f>
        <v>170</v>
      </c>
      <c r="H7" s="12">
        <f>IF(ISNUMBER(SEARCH("营",main!P7)),(-$Y7+50*IF(main!$AK7="是",main!$BB$4,main!$BB$3)),(VLOOKUP(main!P7,main!$AO$4:$AQ$55,2,FALSE))*IF(main!$AK7="是",main!$BB$4,main!$BB$3))</f>
        <v>0</v>
      </c>
      <c r="I7" s="12">
        <f>IF(ISNUMBER(SEARCH("营",main!Q7)),(-$Y7+50*IF(main!$AK7="是",main!$BB$4,main!$BB$3)),(VLOOKUP(main!Q7,main!$AO$4:$AQ$55,2,FALSE))*IF(main!$AK7="是",main!$BB$4,main!$BB$3))</f>
        <v>150</v>
      </c>
      <c r="J7" s="12">
        <f>IF(ISNUMBER(SEARCH("营",main!R7)),(-$Y7+50*IF(main!$AK7="是",main!$BB$4,main!$BB$3)),(VLOOKUP(main!R7,main!$AO$4:$AQ$55,2,FALSE))*IF(main!$AK7="是",main!$BB$4,main!$BB$3))</f>
        <v>150</v>
      </c>
      <c r="K7" s="12">
        <f>IF(ISNUMBER(SEARCH("营",main!S7)),(-$Y7+50*IF(main!$AK7="是",main!$BB$4,main!$BB$3)),(VLOOKUP(main!S7,main!$AO$4:$AQ$55,2,FALSE))*IF(main!$AK7="是",main!$BB$4,main!$BB$3))</f>
        <v>150</v>
      </c>
      <c r="L7" s="12">
        <f>IF(ISNUMBER(SEARCH("营",main!T7)),(-$Y7+50*IF(main!$AK7="是",main!$BB$4,main!$BB$3)),(VLOOKUP(main!T7,main!$AO$4:$AQ$55,2,FALSE))*IF(main!$AK7="是",main!$BB$4,main!$BB$3))</f>
        <v>150</v>
      </c>
      <c r="M7" s="12">
        <f>IF(ISNUMBER(SEARCH("营",main!U7)),(-$Y7+50*IF(main!$AK7="是",main!$BB$4,main!$BB$3)),(VLOOKUP(main!U7,main!$AO$4:$AQ$55,2,FALSE))*IF(main!$AK7="是",main!$BB$4,main!$BB$3))</f>
        <v>150</v>
      </c>
      <c r="N7" s="12">
        <f>IF(ISNUMBER(SEARCH("营",main!V7)),(-$Y7+50*IF(main!$AK7="是",main!$BB$4,main!$BB$3)),(VLOOKUP(main!V7,main!$AO$4:$AQ$55,2,FALSE))*IF(main!$AK7="是",main!$BB$4,main!$BB$3))</f>
        <v>150</v>
      </c>
      <c r="O7" s="12">
        <f>IF(ISNUMBER(SEARCH("营",main!W7)),(-$Y7+50*IF(main!$AK7="是",main!$BB$4,main!$BB$3)),(VLOOKUP(main!W7,main!$AO$4:$AQ$55,2,FALSE))*IF(main!$AK7="是",main!$BB$4,main!$BB$3))</f>
        <v>150</v>
      </c>
      <c r="P7" s="12">
        <f>IF(ISNUMBER(SEARCH("营",main!X7)),(-$Y7+50*IF(main!$AK7="是",main!$BB$4,main!$BB$3)),(VLOOKUP(main!X7,main!$AO$4:$AQ$55,2,FALSE))*IF(main!$AK7="是",main!$BB$4,main!$BB$3))</f>
        <v>150</v>
      </c>
      <c r="Q7" s="12">
        <f>IF(ISNUMBER(SEARCH("营",main!Y7)),(-$Y7+50*IF(main!$AK7="是",main!$BB$4,main!$BB$3)),(VLOOKUP(main!Y7,main!$AO$4:$AQ$55,2,FALSE))*IF(main!$AK7="是",main!$BB$4,main!$BB$3))</f>
        <v>0</v>
      </c>
      <c r="R7" s="12">
        <f>IF(ISNUMBER(SEARCH("营",main!Z7)),(-$Y7+50*IF(main!$AK7="是",main!$BB$4,main!$BB$3)),(VLOOKUP(main!Z7,main!$AO$4:$AQ$55,2,FALSE))*IF(main!$AK7="是",main!$BB$4,main!$BB$3))</f>
        <v>0</v>
      </c>
      <c r="S7" s="12">
        <f>IF(ISNUMBER(SEARCH("营",main!AA7)),(-$Y7+50*IF(main!$AK7="是",main!$BB$4,main!$BB$3)),(VLOOKUP(main!AA7,main!$AO$4:$AQ$55,2,FALSE))*IF(main!$AK7="是",main!$BB$4,main!$BB$3))</f>
        <v>0</v>
      </c>
      <c r="T7" s="12">
        <f>IF(ISNUMBER(SEARCH("营",main!AB7)),(-$Y7+50*IF(main!$AK7="是",main!$BB$4,main!$BB$3)),(VLOOKUP(main!AB7,main!$AO$4:$AQ$55,2,FALSE))*IF(main!$AK7="是",main!$BB$4,main!$BB$3))</f>
        <v>0</v>
      </c>
      <c r="U7" s="12">
        <f>IF(ISNUMBER(SEARCH("营",main!AC7)),(-$Y7+50*IF(main!$AK7="是",main!$BB$4,main!$BB$3)),(VLOOKUP(main!AC7,main!$AO$4:$AQ$55,2,FALSE))*IF(main!$AK7="是",main!$BB$4,main!$BB$3))</f>
        <v>0</v>
      </c>
      <c r="V7" s="12">
        <f>IF(ISNUMBER(SEARCH("营",main!AD7)),(-$Y7+50*IF(main!$AK7="是",main!$BB$4,main!$BB$3)),(VLOOKUP(main!AD7,main!$AO$4:$AQ$55,2,FALSE))*IF(main!$AK7="是",main!$BB$4,main!$BB$3))</f>
        <v>0</v>
      </c>
      <c r="W7" s="12">
        <f>IF(ISNUMBER(SEARCH("营",main!AE7)),(-$Y7+50*IF(main!$AK7="是",main!$BB$4,main!$BB$3)),(VLOOKUP(main!AE7,main!$AO$4:$AQ$55,2,FALSE))*IF(main!$AK7="是",main!$BB$4,main!$BB$3))</f>
        <v>0</v>
      </c>
      <c r="X7" s="12">
        <f>IF(ISNUMBER(SEARCH("营",main!AF7)),(-$Y7+50*IF(main!$AK7="是",main!$BB$4,main!$BB$3)),(VLOOKUP(main!AF7,main!$AO$4:$AQ$55,2,FALSE))*IF(main!$AK7="是",main!$BB$4,main!$BB$3))</f>
        <v>0</v>
      </c>
      <c r="Y7" s="94">
        <v>300</v>
      </c>
      <c r="Z7" s="95">
        <v>46279</v>
      </c>
      <c r="AA7">
        <v>4</v>
      </c>
    </row>
    <row r="8" spans="1:27">
      <c r="A8" s="12">
        <f>IF(ISNUMBER(SEARCH("营",main!I8)),(-$Y8+50*IF(main!$AK8="是",main!$BB$4,main!$BB$3)),(VLOOKUP(main!I8,main!$AO$4:$AQ$55,2,FALSE))*IF(main!$AK8="是",main!$BB$4,main!$BB$3))</f>
        <v>170</v>
      </c>
      <c r="B8" s="12">
        <f>IF(ISNUMBER(SEARCH("营",main!J8)),(-$Y8+50*IF(main!$AK8="是",main!$BB$4,main!$BB$3)),(VLOOKUP(main!J8,main!$AO$4:$AQ$55,2,FALSE))*IF(main!$AK8="是",main!$BB$4,main!$BB$3))</f>
        <v>170</v>
      </c>
      <c r="C8" s="12">
        <f>IF(ISNUMBER(SEARCH("营",main!K8)),(-$Y8+50*IF(main!$AK8="是",main!$BB$4,main!$BB$3)),(VLOOKUP(main!K8,main!$AO$4:$AQ$55,2,FALSE))*IF(main!$AK8="是",main!$BB$4,main!$BB$3))</f>
        <v>170</v>
      </c>
      <c r="D8" s="12">
        <f>IF(ISNUMBER(SEARCH("营",main!L8)),(-$Y8+50*IF(main!$AK8="是",main!$BB$4,main!$BB$3)),(VLOOKUP(main!L8,main!$AO$4:$AQ$55,2,FALSE))*IF(main!$AK8="是",main!$BB$4,main!$BB$3))</f>
        <v>170</v>
      </c>
      <c r="E8" s="12">
        <f>IF(ISNUMBER(SEARCH("营",main!M8)),(-$Y8+50*IF(main!$AK8="是",main!$BB$4,main!$BB$3)),(VLOOKUP(main!M8,main!$AO$4:$AQ$55,2,FALSE))*IF(main!$AK8="是",main!$BB$4,main!$BB$3))</f>
        <v>170</v>
      </c>
      <c r="F8" s="12">
        <f>IF(ISNUMBER(SEARCH("营",main!N8)),(-$Y8+50*IF(main!$AK8="是",main!$BB$4,main!$BB$3)),(VLOOKUP(main!N8,main!$AO$4:$AQ$55,2,FALSE))*IF(main!$AK8="是",main!$BB$4,main!$BB$3))</f>
        <v>170</v>
      </c>
      <c r="G8" s="12">
        <f>IF(ISNUMBER(SEARCH("营",main!O8)),(-$Y8+50*IF(main!$AK8="是",main!$BB$4,main!$BB$3)),(VLOOKUP(main!O8,main!$AO$4:$AQ$55,2,FALSE))*IF(main!$AK8="是",main!$BB$4,main!$BB$3))</f>
        <v>170</v>
      </c>
      <c r="H8" s="12">
        <f>IF(ISNUMBER(SEARCH("营",main!P8)),(-$Y8+50*IF(main!$AK8="是",main!$BB$4,main!$BB$3)),(VLOOKUP(main!P8,main!$AO$4:$AQ$55,2,FALSE))*IF(main!$AK8="是",main!$BB$4,main!$BB$3))</f>
        <v>170</v>
      </c>
      <c r="I8" s="12">
        <f>IF(ISNUMBER(SEARCH("营",main!Q8)),(-$Y8+50*IF(main!$AK8="是",main!$BB$4,main!$BB$3)),(VLOOKUP(main!Q8,main!$AO$4:$AQ$55,2,FALSE))*IF(main!$AK8="是",main!$BB$4,main!$BB$3))</f>
        <v>50</v>
      </c>
      <c r="J8" s="12">
        <f>IF(ISNUMBER(SEARCH("营",main!R8)),(-$Y8+50*IF(main!$AK8="是",main!$BB$4,main!$BB$3)),(VLOOKUP(main!R8,main!$AO$4:$AQ$55,2,FALSE))*IF(main!$AK8="是",main!$BB$4,main!$BB$3))</f>
        <v>50</v>
      </c>
      <c r="K8" s="12">
        <f>IF(ISNUMBER(SEARCH("营",main!S8)),(-$Y8+50*IF(main!$AK8="是",main!$BB$4,main!$BB$3)),(VLOOKUP(main!S8,main!$AO$4:$AQ$55,2,FALSE))*IF(main!$AK8="是",main!$BB$4,main!$BB$3))</f>
        <v>50</v>
      </c>
      <c r="L8" s="12">
        <f>IF(ISNUMBER(SEARCH("营",main!T8)),(-$Y8+50*IF(main!$AK8="是",main!$BB$4,main!$BB$3)),(VLOOKUP(main!T8,main!$AO$4:$AQ$55,2,FALSE))*IF(main!$AK8="是",main!$BB$4,main!$BB$3))</f>
        <v>50</v>
      </c>
      <c r="M8" s="12">
        <f>IF(ISNUMBER(SEARCH("营",main!U8)),(-$Y8+50*IF(main!$AK8="是",main!$BB$4,main!$BB$3)),(VLOOKUP(main!U8,main!$AO$4:$AQ$55,2,FALSE))*IF(main!$AK8="是",main!$BB$4,main!$BB$3))</f>
        <v>50</v>
      </c>
      <c r="N8" s="12">
        <f>IF(ISNUMBER(SEARCH("营",main!V8)),(-$Y8+50*IF(main!$AK8="是",main!$BB$4,main!$BB$3)),(VLOOKUP(main!V8,main!$AO$4:$AQ$55,2,FALSE))*IF(main!$AK8="是",main!$BB$4,main!$BB$3))</f>
        <v>50</v>
      </c>
      <c r="O8" s="12">
        <f>IF(ISNUMBER(SEARCH("营",main!W8)),(-$Y8+50*IF(main!$AK8="是",main!$BB$4,main!$BB$3)),(VLOOKUP(main!W8,main!$AO$4:$AQ$55,2,FALSE))*IF(main!$AK8="是",main!$BB$4,main!$BB$3))</f>
        <v>50</v>
      </c>
      <c r="P8" s="12">
        <f>IF(ISNUMBER(SEARCH("营",main!X8)),(-$Y8+50*IF(main!$AK8="是",main!$BB$4,main!$BB$3)),(VLOOKUP(main!X8,main!$AO$4:$AQ$55,2,FALSE))*IF(main!$AK8="是",main!$BB$4,main!$BB$3))</f>
        <v>0</v>
      </c>
      <c r="Q8" s="12">
        <f>IF(ISNUMBER(SEARCH("营",main!Y8)),(-$Y8+50*IF(main!$AK8="是",main!$BB$4,main!$BB$3)),(VLOOKUP(main!Y8,main!$AO$4:$AQ$55,2,FALSE))*IF(main!$AK8="是",main!$BB$4,main!$BB$3))</f>
        <v>0</v>
      </c>
      <c r="R8" s="12">
        <f>IF(ISNUMBER(SEARCH("营",main!Z8)),(-$Y8+50*IF(main!$AK8="是",main!$BB$4,main!$BB$3)),(VLOOKUP(main!Z8,main!$AO$4:$AQ$55,2,FALSE))*IF(main!$AK8="是",main!$BB$4,main!$BB$3))</f>
        <v>0</v>
      </c>
      <c r="S8" s="12">
        <f>IF(ISNUMBER(SEARCH("营",main!AA8)),(-$Y8+50*IF(main!$AK8="是",main!$BB$4,main!$BB$3)),(VLOOKUP(main!AA8,main!$AO$4:$AQ$55,2,FALSE))*IF(main!$AK8="是",main!$BB$4,main!$BB$3))</f>
        <v>0</v>
      </c>
      <c r="T8" s="12">
        <f>IF(ISNUMBER(SEARCH("营",main!AB8)),(-$Y8+50*IF(main!$AK8="是",main!$BB$4,main!$BB$3)),(VLOOKUP(main!AB8,main!$AO$4:$AQ$55,2,FALSE))*IF(main!$AK8="是",main!$BB$4,main!$BB$3))</f>
        <v>0</v>
      </c>
      <c r="U8" s="12">
        <f>IF(ISNUMBER(SEARCH("营",main!AC8)),(-$Y8+50*IF(main!$AK8="是",main!$BB$4,main!$BB$3)),(VLOOKUP(main!AC8,main!$AO$4:$AQ$55,2,FALSE))*IF(main!$AK8="是",main!$BB$4,main!$BB$3))</f>
        <v>0</v>
      </c>
      <c r="V8" s="12">
        <f>IF(ISNUMBER(SEARCH("营",main!AD8)),(-$Y8+50*IF(main!$AK8="是",main!$BB$4,main!$BB$3)),(VLOOKUP(main!AD8,main!$AO$4:$AQ$55,2,FALSE))*IF(main!$AK8="是",main!$BB$4,main!$BB$3))</f>
        <v>0</v>
      </c>
      <c r="W8" s="12">
        <f>IF(ISNUMBER(SEARCH("营",main!AE8)),(-$Y8+50*IF(main!$AK8="是",main!$BB$4,main!$BB$3)),(VLOOKUP(main!AE8,main!$AO$4:$AQ$55,2,FALSE))*IF(main!$AK8="是",main!$BB$4,main!$BB$3))</f>
        <v>0</v>
      </c>
      <c r="X8" s="12">
        <f>IF(ISNUMBER(SEARCH("营",main!AF8)),(-$Y8+50*IF(main!$AK8="是",main!$BB$4,main!$BB$3)),(VLOOKUP(main!AF8,main!$AO$4:$AQ$55,2,FALSE))*IF(main!$AK8="是",main!$BB$4,main!$BB$3))</f>
        <v>0</v>
      </c>
      <c r="Y8" s="94">
        <v>300</v>
      </c>
      <c r="Z8" s="95">
        <v>46280</v>
      </c>
      <c r="AA8">
        <v>5</v>
      </c>
    </row>
    <row r="9" spans="1:27">
      <c r="A9" s="12">
        <f>IF(ISNUMBER(SEARCH("营",main!I9)),(-$Y9+50*IF(main!$AK9="是",main!$BB$4,main!$BB$3)),(VLOOKUP(main!I9,main!$AO$4:$AQ$55,2,FALSE))*IF(main!$AK9="是",main!$BB$4,main!$BB$3))</f>
        <v>170</v>
      </c>
      <c r="B9" s="12">
        <f>IF(ISNUMBER(SEARCH("营",main!J9)),(-$Y9+50*IF(main!$AK9="是",main!$BB$4,main!$BB$3)),(VLOOKUP(main!J9,main!$AO$4:$AQ$55,2,FALSE))*IF(main!$AK9="是",main!$BB$4,main!$BB$3))</f>
        <v>170</v>
      </c>
      <c r="C9" s="12">
        <f>IF(ISNUMBER(SEARCH("营",main!K9)),(-$Y9+50*IF(main!$AK9="是",main!$BB$4,main!$BB$3)),(VLOOKUP(main!K9,main!$AO$4:$AQ$55,2,FALSE))*IF(main!$AK9="是",main!$BB$4,main!$BB$3))</f>
        <v>170</v>
      </c>
      <c r="D9" s="12">
        <f>IF(ISNUMBER(SEARCH("营",main!L9)),(-$Y9+50*IF(main!$AK9="是",main!$BB$4,main!$BB$3)),(VLOOKUP(main!L9,main!$AO$4:$AQ$55,2,FALSE))*IF(main!$AK9="是",main!$BB$4,main!$BB$3))</f>
        <v>170</v>
      </c>
      <c r="E9" s="12">
        <f>IF(ISNUMBER(SEARCH("营",main!M9)),(-$Y9+50*IF(main!$AK9="是",main!$BB$4,main!$BB$3)),(VLOOKUP(main!M9,main!$AO$4:$AQ$55,2,FALSE))*IF(main!$AK9="是",main!$BB$4,main!$BB$3))</f>
        <v>170</v>
      </c>
      <c r="F9" s="12">
        <f>IF(ISNUMBER(SEARCH("营",main!N9)),(-$Y9+50*IF(main!$AK9="是",main!$BB$4,main!$BB$3)),(VLOOKUP(main!N9,main!$AO$4:$AQ$55,2,FALSE))*IF(main!$AK9="是",main!$BB$4,main!$BB$3))</f>
        <v>170</v>
      </c>
      <c r="G9" s="12">
        <f>IF(ISNUMBER(SEARCH("营",main!O9)),(-$Y9+50*IF(main!$AK9="是",main!$BB$4,main!$BB$3)),(VLOOKUP(main!O9,main!$AO$4:$AQ$55,2,FALSE))*IF(main!$AK9="是",main!$BB$4,main!$BB$3))</f>
        <v>170</v>
      </c>
      <c r="H9" s="12">
        <f>IF(ISNUMBER(SEARCH("营",main!P9)),(-$Y9+50*IF(main!$AK9="是",main!$BB$4,main!$BB$3)),(VLOOKUP(main!P9,main!$AO$4:$AQ$55,2,FALSE))*IF(main!$AK9="是",main!$BB$4,main!$BB$3))</f>
        <v>170</v>
      </c>
      <c r="I9" s="12">
        <f>IF(ISNUMBER(SEARCH("营",main!Q9)),(-$Y9+50*IF(main!$AK9="是",main!$BB$4,main!$BB$3)),(VLOOKUP(main!Q9,main!$AO$4:$AQ$55,2,FALSE))*IF(main!$AK9="是",main!$BB$4,main!$BB$3))</f>
        <v>-250</v>
      </c>
      <c r="J9" s="12">
        <f>IF(ISNUMBER(SEARCH("营",main!R9)),(-$Y9+50*IF(main!$AK9="是",main!$BB$4,main!$BB$3)),(VLOOKUP(main!R9,main!$AO$4:$AQ$55,2,FALSE))*IF(main!$AK9="是",main!$BB$4,main!$BB$3))</f>
        <v>-250</v>
      </c>
      <c r="K9" s="12">
        <f>IF(ISNUMBER(SEARCH("营",main!S9)),(-$Y9+50*IF(main!$AK9="是",main!$BB$4,main!$BB$3)),(VLOOKUP(main!S9,main!$AO$4:$AQ$55,2,FALSE))*IF(main!$AK9="是",main!$BB$4,main!$BB$3))</f>
        <v>0</v>
      </c>
      <c r="L9" s="12">
        <f>IF(ISNUMBER(SEARCH("营",main!T9)),(-$Y9+50*IF(main!$AK9="是",main!$BB$4,main!$BB$3)),(VLOOKUP(main!T9,main!$AO$4:$AQ$55,2,FALSE))*IF(main!$AK9="是",main!$BB$4,main!$BB$3))</f>
        <v>0</v>
      </c>
      <c r="M9" s="12">
        <f>IF(ISNUMBER(SEARCH("营",main!U9)),(-$Y9+50*IF(main!$AK9="是",main!$BB$4,main!$BB$3)),(VLOOKUP(main!U9,main!$AO$4:$AQ$55,2,FALSE))*IF(main!$AK9="是",main!$BB$4,main!$BB$3))</f>
        <v>0</v>
      </c>
      <c r="N9" s="12">
        <f>IF(ISNUMBER(SEARCH("营",main!V9)),(-$Y9+50*IF(main!$AK9="是",main!$BB$4,main!$BB$3)),(VLOOKUP(main!V9,main!$AO$4:$AQ$55,2,FALSE))*IF(main!$AK9="是",main!$BB$4,main!$BB$3))</f>
        <v>0</v>
      </c>
      <c r="O9" s="12">
        <f>IF(ISNUMBER(SEARCH("营",main!W9)),(-$Y9+50*IF(main!$AK9="是",main!$BB$4,main!$BB$3)),(VLOOKUP(main!W9,main!$AO$4:$AQ$55,2,FALSE))*IF(main!$AK9="是",main!$BB$4,main!$BB$3))</f>
        <v>0</v>
      </c>
      <c r="P9" s="12">
        <f>IF(ISNUMBER(SEARCH("营",main!X9)),(-$Y9+50*IF(main!$AK9="是",main!$BB$4,main!$BB$3)),(VLOOKUP(main!X9,main!$AO$4:$AQ$55,2,FALSE))*IF(main!$AK9="是",main!$BB$4,main!$BB$3))</f>
        <v>0</v>
      </c>
      <c r="Q9" s="12">
        <f>IF(ISNUMBER(SEARCH("营",main!Y9)),(-$Y9+50*IF(main!$AK9="是",main!$BB$4,main!$BB$3)),(VLOOKUP(main!Y9,main!$AO$4:$AQ$55,2,FALSE))*IF(main!$AK9="是",main!$BB$4,main!$BB$3))</f>
        <v>0</v>
      </c>
      <c r="R9" s="12">
        <f>IF(ISNUMBER(SEARCH("营",main!Z9)),(-$Y9+50*IF(main!$AK9="是",main!$BB$4,main!$BB$3)),(VLOOKUP(main!Z9,main!$AO$4:$AQ$55,2,FALSE))*IF(main!$AK9="是",main!$BB$4,main!$BB$3))</f>
        <v>0</v>
      </c>
      <c r="S9" s="12">
        <f>IF(ISNUMBER(SEARCH("营",main!AA9)),(-$Y9+50*IF(main!$AK9="是",main!$BB$4,main!$BB$3)),(VLOOKUP(main!AA9,main!$AO$4:$AQ$55,2,FALSE))*IF(main!$AK9="是",main!$BB$4,main!$BB$3))</f>
        <v>0</v>
      </c>
      <c r="T9" s="12">
        <f>IF(ISNUMBER(SEARCH("营",main!AB9)),(-$Y9+50*IF(main!$AK9="是",main!$BB$4,main!$BB$3)),(VLOOKUP(main!AB9,main!$AO$4:$AQ$55,2,FALSE))*IF(main!$AK9="是",main!$BB$4,main!$BB$3))</f>
        <v>0</v>
      </c>
      <c r="U9" s="12">
        <f>IF(ISNUMBER(SEARCH("营",main!AC9)),(-$Y9+50*IF(main!$AK9="是",main!$BB$4,main!$BB$3)),(VLOOKUP(main!AC9,main!$AO$4:$AQ$55,2,FALSE))*IF(main!$AK9="是",main!$BB$4,main!$BB$3))</f>
        <v>0</v>
      </c>
      <c r="V9" s="12">
        <f>IF(ISNUMBER(SEARCH("营",main!AD9)),(-$Y9+50*IF(main!$AK9="是",main!$BB$4,main!$BB$3)),(VLOOKUP(main!AD9,main!$AO$4:$AQ$55,2,FALSE))*IF(main!$AK9="是",main!$BB$4,main!$BB$3))</f>
        <v>0</v>
      </c>
      <c r="W9" s="12">
        <f>IF(ISNUMBER(SEARCH("营",main!AE9)),(-$Y9+50*IF(main!$AK9="是",main!$BB$4,main!$BB$3)),(VLOOKUP(main!AE9,main!$AO$4:$AQ$55,2,FALSE))*IF(main!$AK9="是",main!$BB$4,main!$BB$3))</f>
        <v>0</v>
      </c>
      <c r="X9" s="12">
        <f>IF(ISNUMBER(SEARCH("营",main!AF9)),(-$Y9+50*IF(main!$AK9="是",main!$BB$4,main!$BB$3)),(VLOOKUP(main!AF9,main!$AO$4:$AQ$55,2,FALSE))*IF(main!$AK9="是",main!$BB$4,main!$BB$3))</f>
        <v>0</v>
      </c>
      <c r="Y9" s="94">
        <v>300</v>
      </c>
      <c r="Z9" s="95">
        <v>46281</v>
      </c>
      <c r="AA9">
        <v>6</v>
      </c>
    </row>
    <row r="10" spans="1:27">
      <c r="A10" s="12">
        <f>IF(ISNUMBER(SEARCH("营",main!I10)),(-$Y10+50*IF(main!$AK10="是",main!$BB$4,main!$BB$3)),(VLOOKUP(main!I10,main!$AO$4:$AQ$55,2,FALSE))*IF(main!$AK10="是",main!$BB$4,main!$BB$3))</f>
        <v>170</v>
      </c>
      <c r="B10" s="12">
        <f>IF(ISNUMBER(SEARCH("营",main!J10)),(-$Y10+50*IF(main!$AK10="是",main!$BB$4,main!$BB$3)),(VLOOKUP(main!J10,main!$AO$4:$AQ$55,2,FALSE))*IF(main!$AK10="是",main!$BB$4,main!$BB$3))</f>
        <v>170</v>
      </c>
      <c r="C10" s="12">
        <f>IF(ISNUMBER(SEARCH("营",main!K10)),(-$Y10+50*IF(main!$AK10="是",main!$BB$4,main!$BB$3)),(VLOOKUP(main!K10,main!$AO$4:$AQ$55,2,FALSE))*IF(main!$AK10="是",main!$BB$4,main!$BB$3))</f>
        <v>170</v>
      </c>
      <c r="D10" s="12">
        <f>IF(ISNUMBER(SEARCH("营",main!L10)),(-$Y10+50*IF(main!$AK10="是",main!$BB$4,main!$BB$3)),(VLOOKUP(main!L10,main!$AO$4:$AQ$55,2,FALSE))*IF(main!$AK10="是",main!$BB$4,main!$BB$3))</f>
        <v>170</v>
      </c>
      <c r="E10" s="12">
        <f>IF(ISNUMBER(SEARCH("营",main!M10)),(-$Y10+50*IF(main!$AK10="是",main!$BB$4,main!$BB$3)),(VLOOKUP(main!M10,main!$AO$4:$AQ$55,2,FALSE))*IF(main!$AK10="是",main!$BB$4,main!$BB$3))</f>
        <v>170</v>
      </c>
      <c r="F10" s="12">
        <f>IF(ISNUMBER(SEARCH("营",main!N10)),(-$Y10+50*IF(main!$AK10="是",main!$BB$4,main!$BB$3)),(VLOOKUP(main!N10,main!$AO$4:$AQ$55,2,FALSE))*IF(main!$AK10="是",main!$BB$4,main!$BB$3))</f>
        <v>170</v>
      </c>
      <c r="G10" s="12">
        <f>IF(ISNUMBER(SEARCH("营",main!O10)),(-$Y10+50*IF(main!$AK10="是",main!$BB$4,main!$BB$3)),(VLOOKUP(main!O10,main!$AO$4:$AQ$55,2,FALSE))*IF(main!$AK10="是",main!$BB$4,main!$BB$3))</f>
        <v>170</v>
      </c>
      <c r="H10" s="12">
        <f>IF(ISNUMBER(SEARCH("营",main!P10)),(-$Y10+50*IF(main!$AK10="是",main!$BB$4,main!$BB$3)),(VLOOKUP(main!P10,main!$AO$4:$AQ$55,2,FALSE))*IF(main!$AK10="是",main!$BB$4,main!$BB$3))</f>
        <v>170</v>
      </c>
      <c r="I10" s="12">
        <f>IF(ISNUMBER(SEARCH("营",main!Q10)),(-$Y10+50*IF(main!$AK10="是",main!$BB$4,main!$BB$3)),(VLOOKUP(main!Q10,main!$AO$4:$AQ$55,2,FALSE))*IF(main!$AK10="是",main!$BB$4,main!$BB$3))</f>
        <v>250</v>
      </c>
      <c r="J10" s="12">
        <f>IF(ISNUMBER(SEARCH("营",main!R10)),(-$Y10+50*IF(main!$AK10="是",main!$BB$4,main!$BB$3)),(VLOOKUP(main!R10,main!$AO$4:$AQ$55,2,FALSE))*IF(main!$AK10="是",main!$BB$4,main!$BB$3))</f>
        <v>250</v>
      </c>
      <c r="K10" s="12">
        <f>IF(ISNUMBER(SEARCH("营",main!S10)),(-$Y10+50*IF(main!$AK10="是",main!$BB$4,main!$BB$3)),(VLOOKUP(main!S10,main!$AO$4:$AQ$55,2,FALSE))*IF(main!$AK10="是",main!$BB$4,main!$BB$3))</f>
        <v>250</v>
      </c>
      <c r="L10" s="12">
        <f>IF(ISNUMBER(SEARCH("营",main!T10)),(-$Y10+50*IF(main!$AK10="是",main!$BB$4,main!$BB$3)),(VLOOKUP(main!T10,main!$AO$4:$AQ$55,2,FALSE))*IF(main!$AK10="是",main!$BB$4,main!$BB$3))</f>
        <v>0</v>
      </c>
      <c r="M10" s="12">
        <f>IF(ISNUMBER(SEARCH("营",main!U10)),(-$Y10+50*IF(main!$AK10="是",main!$BB$4,main!$BB$3)),(VLOOKUP(main!U10,main!$AO$4:$AQ$55,2,FALSE))*IF(main!$AK10="是",main!$BB$4,main!$BB$3))</f>
        <v>0</v>
      </c>
      <c r="N10" s="12">
        <f>IF(ISNUMBER(SEARCH("营",main!V10)),(-$Y10+50*IF(main!$AK10="是",main!$BB$4,main!$BB$3)),(VLOOKUP(main!V10,main!$AO$4:$AQ$55,2,FALSE))*IF(main!$AK10="是",main!$BB$4,main!$BB$3))</f>
        <v>0</v>
      </c>
      <c r="O10" s="12">
        <f>IF(ISNUMBER(SEARCH("营",main!W10)),(-$Y10+50*IF(main!$AK10="是",main!$BB$4,main!$BB$3)),(VLOOKUP(main!W10,main!$AO$4:$AQ$55,2,FALSE))*IF(main!$AK10="是",main!$BB$4,main!$BB$3))</f>
        <v>0</v>
      </c>
      <c r="P10" s="12">
        <f>IF(ISNUMBER(SEARCH("营",main!X10)),(-$Y10+50*IF(main!$AK10="是",main!$BB$4,main!$BB$3)),(VLOOKUP(main!X10,main!$AO$4:$AQ$55,2,FALSE))*IF(main!$AK10="是",main!$BB$4,main!$BB$3))</f>
        <v>0</v>
      </c>
      <c r="Q10" s="12">
        <f>IF(ISNUMBER(SEARCH("营",main!Y10)),(-$Y10+50*IF(main!$AK10="是",main!$BB$4,main!$BB$3)),(VLOOKUP(main!Y10,main!$AO$4:$AQ$55,2,FALSE))*IF(main!$AK10="是",main!$BB$4,main!$BB$3))</f>
        <v>0</v>
      </c>
      <c r="R10" s="12">
        <f>IF(ISNUMBER(SEARCH("营",main!Z10)),(-$Y10+50*IF(main!$AK10="是",main!$BB$4,main!$BB$3)),(VLOOKUP(main!Z10,main!$AO$4:$AQ$55,2,FALSE))*IF(main!$AK10="是",main!$BB$4,main!$BB$3))</f>
        <v>0</v>
      </c>
      <c r="S10" s="12">
        <f>IF(ISNUMBER(SEARCH("营",main!AA10)),(-$Y10+50*IF(main!$AK10="是",main!$BB$4,main!$BB$3)),(VLOOKUP(main!AA10,main!$AO$4:$AQ$55,2,FALSE))*IF(main!$AK10="是",main!$BB$4,main!$BB$3))</f>
        <v>0</v>
      </c>
      <c r="T10" s="12">
        <f>IF(ISNUMBER(SEARCH("营",main!AB10)),(-$Y10+50*IF(main!$AK10="是",main!$BB$4,main!$BB$3)),(VLOOKUP(main!AB10,main!$AO$4:$AQ$55,2,FALSE))*IF(main!$AK10="是",main!$BB$4,main!$BB$3))</f>
        <v>0</v>
      </c>
      <c r="U10" s="12">
        <f>IF(ISNUMBER(SEARCH("营",main!AC10)),(-$Y10+50*IF(main!$AK10="是",main!$BB$4,main!$BB$3)),(VLOOKUP(main!AC10,main!$AO$4:$AQ$55,2,FALSE))*IF(main!$AK10="是",main!$BB$4,main!$BB$3))</f>
        <v>0</v>
      </c>
      <c r="V10" s="12">
        <f>IF(ISNUMBER(SEARCH("营",main!AD10)),(-$Y10+50*IF(main!$AK10="是",main!$BB$4,main!$BB$3)),(VLOOKUP(main!AD10,main!$AO$4:$AQ$55,2,FALSE))*IF(main!$AK10="是",main!$BB$4,main!$BB$3))</f>
        <v>0</v>
      </c>
      <c r="W10" s="12">
        <f>IF(ISNUMBER(SEARCH("营",main!AE10)),(-$Y10+50*IF(main!$AK10="是",main!$BB$4,main!$BB$3)),(VLOOKUP(main!AE10,main!$AO$4:$AQ$55,2,FALSE))*IF(main!$AK10="是",main!$BB$4,main!$BB$3))</f>
        <v>0</v>
      </c>
      <c r="X10" s="12">
        <f>IF(ISNUMBER(SEARCH("营",main!AF10)),(-$Y10+50*IF(main!$AK10="是",main!$BB$4,main!$BB$3)),(VLOOKUP(main!AF10,main!$AO$4:$AQ$55,2,FALSE))*IF(main!$AK10="是",main!$BB$4,main!$BB$3))</f>
        <v>0</v>
      </c>
      <c r="Y10" s="94">
        <v>300</v>
      </c>
      <c r="Z10" s="95">
        <v>46282</v>
      </c>
      <c r="AA10">
        <v>7</v>
      </c>
    </row>
    <row r="11" spans="1:27">
      <c r="A11" s="12">
        <f>IF(ISNUMBER(SEARCH("营",main!I11)),(-$Y11+50*IF(main!$AK11="是",main!$BB$4,main!$BB$3)),(VLOOKUP(main!I11,main!$AO$4:$AQ$55,2,FALSE))*IF(main!$AK11="是",main!$BB$4,main!$BB$3))</f>
        <v>170</v>
      </c>
      <c r="B11" s="12">
        <f>IF(ISNUMBER(SEARCH("营",main!J11)),(-$Y11+50*IF(main!$AK11="是",main!$BB$4,main!$BB$3)),(VLOOKUP(main!J11,main!$AO$4:$AQ$55,2,FALSE))*IF(main!$AK11="是",main!$BB$4,main!$BB$3))</f>
        <v>170</v>
      </c>
      <c r="C11" s="12">
        <f>IF(ISNUMBER(SEARCH("营",main!K11)),(-$Y11+50*IF(main!$AK11="是",main!$BB$4,main!$BB$3)),(VLOOKUP(main!K11,main!$AO$4:$AQ$55,2,FALSE))*IF(main!$AK11="是",main!$BB$4,main!$BB$3))</f>
        <v>170</v>
      </c>
      <c r="D11" s="12">
        <f>IF(ISNUMBER(SEARCH("营",main!L11)),(-$Y11+50*IF(main!$AK11="是",main!$BB$4,main!$BB$3)),(VLOOKUP(main!L11,main!$AO$4:$AQ$55,2,FALSE))*IF(main!$AK11="是",main!$BB$4,main!$BB$3))</f>
        <v>170</v>
      </c>
      <c r="E11" s="12">
        <f>IF(ISNUMBER(SEARCH("营",main!M11)),(-$Y11+50*IF(main!$AK11="是",main!$BB$4,main!$BB$3)),(VLOOKUP(main!M11,main!$AO$4:$AQ$55,2,FALSE))*IF(main!$AK11="是",main!$BB$4,main!$BB$3))</f>
        <v>170</v>
      </c>
      <c r="F11" s="12">
        <f>IF(ISNUMBER(SEARCH("营",main!N11)),(-$Y11+50*IF(main!$AK11="是",main!$BB$4,main!$BB$3)),(VLOOKUP(main!N11,main!$AO$4:$AQ$55,2,FALSE))*IF(main!$AK11="是",main!$BB$4,main!$BB$3))</f>
        <v>170</v>
      </c>
      <c r="G11" s="12">
        <f>IF(ISNUMBER(SEARCH("营",main!O11)),(-$Y11+50*IF(main!$AK11="是",main!$BB$4,main!$BB$3)),(VLOOKUP(main!O11,main!$AO$4:$AQ$55,2,FALSE))*IF(main!$AK11="是",main!$BB$4,main!$BB$3))</f>
        <v>170</v>
      </c>
      <c r="H11" s="12">
        <f>IF(ISNUMBER(SEARCH("营",main!P11)),(-$Y11+50*IF(main!$AK11="是",main!$BB$4,main!$BB$3)),(VLOOKUP(main!P11,main!$AO$4:$AQ$55,2,FALSE))*IF(main!$AK11="是",main!$BB$4,main!$BB$3))</f>
        <v>170</v>
      </c>
      <c r="I11" s="12">
        <f>IF(ISNUMBER(SEARCH("营",main!Q11)),(-$Y11+50*IF(main!$AK11="是",main!$BB$4,main!$BB$3)),(VLOOKUP(main!Q11,main!$AO$4:$AQ$55,2,FALSE))*IF(main!$AK11="是",main!$BB$4,main!$BB$3))</f>
        <v>170</v>
      </c>
      <c r="J11" s="12">
        <f>IF(ISNUMBER(SEARCH("营",main!R11)),(-$Y11+50*IF(main!$AK11="是",main!$BB$4,main!$BB$3)),(VLOOKUP(main!R11,main!$AO$4:$AQ$55,2,FALSE))*IF(main!$AK11="是",main!$BB$4,main!$BB$3))</f>
        <v>170</v>
      </c>
      <c r="K11" s="12">
        <f>IF(ISNUMBER(SEARCH("营",main!S11)),(-$Y11+50*IF(main!$AK11="是",main!$BB$4,main!$BB$3)),(VLOOKUP(main!S11,main!$AO$4:$AQ$55,2,FALSE))*IF(main!$AK11="是",main!$BB$4,main!$BB$3))</f>
        <v>170</v>
      </c>
      <c r="L11" s="12">
        <f>IF(ISNUMBER(SEARCH("营",main!T11)),(-$Y11+50*IF(main!$AK11="是",main!$BB$4,main!$BB$3)),(VLOOKUP(main!T11,main!$AO$4:$AQ$55,2,FALSE))*IF(main!$AK11="是",main!$BB$4,main!$BB$3))</f>
        <v>170</v>
      </c>
      <c r="M11" s="12">
        <f>IF(ISNUMBER(SEARCH("营",main!U11)),(-$Y11+50*IF(main!$AK11="是",main!$BB$4,main!$BB$3)),(VLOOKUP(main!U11,main!$AO$4:$AQ$55,2,FALSE))*IF(main!$AK11="是",main!$BB$4,main!$BB$3))</f>
        <v>170</v>
      </c>
      <c r="N11" s="12">
        <f>IF(ISNUMBER(SEARCH("营",main!V11)),(-$Y11+50*IF(main!$AK11="是",main!$BB$4,main!$BB$3)),(VLOOKUP(main!V11,main!$AO$4:$AQ$55,2,FALSE))*IF(main!$AK11="是",main!$BB$4,main!$BB$3))</f>
        <v>0</v>
      </c>
      <c r="O11" s="12">
        <f>IF(ISNUMBER(SEARCH("营",main!W11)),(-$Y11+50*IF(main!$AK11="是",main!$BB$4,main!$BB$3)),(VLOOKUP(main!W11,main!$AO$4:$AQ$55,2,FALSE))*IF(main!$AK11="是",main!$BB$4,main!$BB$3))</f>
        <v>0</v>
      </c>
      <c r="P11" s="12">
        <f>IF(ISNUMBER(SEARCH("营",main!X11)),(-$Y11+50*IF(main!$AK11="是",main!$BB$4,main!$BB$3)),(VLOOKUP(main!X11,main!$AO$4:$AQ$55,2,FALSE))*IF(main!$AK11="是",main!$BB$4,main!$BB$3))</f>
        <v>0</v>
      </c>
      <c r="Q11" s="12">
        <f>IF(ISNUMBER(SEARCH("营",main!Y11)),(-$Y11+50*IF(main!$AK11="是",main!$BB$4,main!$BB$3)),(VLOOKUP(main!Y11,main!$AO$4:$AQ$55,2,FALSE))*IF(main!$AK11="是",main!$BB$4,main!$BB$3))</f>
        <v>0</v>
      </c>
      <c r="R11" s="12">
        <f>IF(ISNUMBER(SEARCH("营",main!Z11)),(-$Y11+50*IF(main!$AK11="是",main!$BB$4,main!$BB$3)),(VLOOKUP(main!Z11,main!$AO$4:$AQ$55,2,FALSE))*IF(main!$AK11="是",main!$BB$4,main!$BB$3))</f>
        <v>0</v>
      </c>
      <c r="S11" s="12">
        <f>IF(ISNUMBER(SEARCH("营",main!AA11)),(-$Y11+50*IF(main!$AK11="是",main!$BB$4,main!$BB$3)),(VLOOKUP(main!AA11,main!$AO$4:$AQ$55,2,FALSE))*IF(main!$AK11="是",main!$BB$4,main!$BB$3))</f>
        <v>0</v>
      </c>
      <c r="T11" s="12">
        <f>IF(ISNUMBER(SEARCH("营",main!AB11)),(-$Y11+50*IF(main!$AK11="是",main!$BB$4,main!$BB$3)),(VLOOKUP(main!AB11,main!$AO$4:$AQ$55,2,FALSE))*IF(main!$AK11="是",main!$BB$4,main!$BB$3))</f>
        <v>0</v>
      </c>
      <c r="U11" s="12">
        <f>IF(ISNUMBER(SEARCH("营",main!AC11)),(-$Y11+50*IF(main!$AK11="是",main!$BB$4,main!$BB$3)),(VLOOKUP(main!AC11,main!$AO$4:$AQ$55,2,FALSE))*IF(main!$AK11="是",main!$BB$4,main!$BB$3))</f>
        <v>0</v>
      </c>
      <c r="V11" s="12">
        <f>IF(ISNUMBER(SEARCH("营",main!AD11)),(-$Y11+50*IF(main!$AK11="是",main!$BB$4,main!$BB$3)),(VLOOKUP(main!AD11,main!$AO$4:$AQ$55,2,FALSE))*IF(main!$AK11="是",main!$BB$4,main!$BB$3))</f>
        <v>0</v>
      </c>
      <c r="W11" s="12">
        <f>IF(ISNUMBER(SEARCH("营",main!AE11)),(-$Y11+50*IF(main!$AK11="是",main!$BB$4,main!$BB$3)),(VLOOKUP(main!AE11,main!$AO$4:$AQ$55,2,FALSE))*IF(main!$AK11="是",main!$BB$4,main!$BB$3))</f>
        <v>0</v>
      </c>
      <c r="X11" s="12">
        <f>IF(ISNUMBER(SEARCH("营",main!AF11)),(-$Y11+50*IF(main!$AK11="是",main!$BB$4,main!$BB$3)),(VLOOKUP(main!AF11,main!$AO$4:$AQ$55,2,FALSE))*IF(main!$AK11="是",main!$BB$4,main!$BB$3))</f>
        <v>0</v>
      </c>
      <c r="Y11" s="94">
        <v>300</v>
      </c>
      <c r="Z11" s="95">
        <v>46283</v>
      </c>
      <c r="AA11">
        <v>8</v>
      </c>
    </row>
    <row r="12" spans="1:27">
      <c r="A12" s="12">
        <f>IF(ISNUMBER(SEARCH("营",main!I12)),(-$Y12+50*IF(main!$AK12="是",main!$BB$4,main!$BB$3)),(VLOOKUP(main!I12,main!$AO$4:$AQ$55,2,FALSE))*IF(main!$AK12="是",main!$BB$4,main!$BB$3))</f>
        <v>170</v>
      </c>
      <c r="B12" s="12">
        <f>IF(ISNUMBER(SEARCH("营",main!J12)),(-$Y12+50*IF(main!$AK12="是",main!$BB$4,main!$BB$3)),(VLOOKUP(main!J12,main!$AO$4:$AQ$55,2,FALSE))*IF(main!$AK12="是",main!$BB$4,main!$BB$3))</f>
        <v>170</v>
      </c>
      <c r="C12" s="12">
        <f>IF(ISNUMBER(SEARCH("营",main!K12)),(-$Y12+50*IF(main!$AK12="是",main!$BB$4,main!$BB$3)),(VLOOKUP(main!K12,main!$AO$4:$AQ$55,2,FALSE))*IF(main!$AK12="是",main!$BB$4,main!$BB$3))</f>
        <v>170</v>
      </c>
      <c r="D12" s="12">
        <f>IF(ISNUMBER(SEARCH("营",main!L12)),(-$Y12+50*IF(main!$AK12="是",main!$BB$4,main!$BB$3)),(VLOOKUP(main!L12,main!$AO$4:$AQ$55,2,FALSE))*IF(main!$AK12="是",main!$BB$4,main!$BB$3))</f>
        <v>170</v>
      </c>
      <c r="E12" s="12">
        <f>IF(ISNUMBER(SEARCH("营",main!M12)),(-$Y12+50*IF(main!$AK12="是",main!$BB$4,main!$BB$3)),(VLOOKUP(main!M12,main!$AO$4:$AQ$55,2,FALSE))*IF(main!$AK12="是",main!$BB$4,main!$BB$3))</f>
        <v>170</v>
      </c>
      <c r="F12" s="12">
        <f>IF(ISNUMBER(SEARCH("营",main!N12)),(-$Y12+50*IF(main!$AK12="是",main!$BB$4,main!$BB$3)),(VLOOKUP(main!N12,main!$AO$4:$AQ$55,2,FALSE))*IF(main!$AK12="是",main!$BB$4,main!$BB$3))</f>
        <v>170</v>
      </c>
      <c r="G12" s="12">
        <f>IF(ISNUMBER(SEARCH("营",main!O12)),(-$Y12+50*IF(main!$AK12="是",main!$BB$4,main!$BB$3)),(VLOOKUP(main!O12,main!$AO$4:$AQ$55,2,FALSE))*IF(main!$AK12="是",main!$BB$4,main!$BB$3))</f>
        <v>170</v>
      </c>
      <c r="H12" s="12">
        <f>IF(ISNUMBER(SEARCH("营",main!P12)),(-$Y12+50*IF(main!$AK12="是",main!$BB$4,main!$BB$3)),(VLOOKUP(main!P12,main!$AO$4:$AQ$55,2,FALSE))*IF(main!$AK12="是",main!$BB$4,main!$BB$3))</f>
        <v>170</v>
      </c>
      <c r="I12" s="12">
        <f>IF(ISNUMBER(SEARCH("营",main!Q12)),(-$Y12+50*IF(main!$AK12="是",main!$BB$4,main!$BB$3)),(VLOOKUP(main!Q12,main!$AO$4:$AQ$55,2,FALSE))*IF(main!$AK12="是",main!$BB$4,main!$BB$3))</f>
        <v>170</v>
      </c>
      <c r="J12" s="12">
        <f>IF(ISNUMBER(SEARCH("营",main!R12)),(-$Y12+50*IF(main!$AK12="是",main!$BB$4,main!$BB$3)),(VLOOKUP(main!R12,main!$AO$4:$AQ$55,2,FALSE))*IF(main!$AK12="是",main!$BB$4,main!$BB$3))</f>
        <v>170</v>
      </c>
      <c r="K12" s="12">
        <f>IF(ISNUMBER(SEARCH("营",main!S12)),(-$Y12+50*IF(main!$AK12="是",main!$BB$4,main!$BB$3)),(VLOOKUP(main!S12,main!$AO$4:$AQ$55,2,FALSE))*IF(main!$AK12="是",main!$BB$4,main!$BB$3))</f>
        <v>170</v>
      </c>
      <c r="L12" s="12">
        <f>IF(ISNUMBER(SEARCH("营",main!T12)),(-$Y12+50*IF(main!$AK12="是",main!$BB$4,main!$BB$3)),(VLOOKUP(main!T12,main!$AO$4:$AQ$55,2,FALSE))*IF(main!$AK12="是",main!$BB$4,main!$BB$3))</f>
        <v>170</v>
      </c>
      <c r="M12" s="12">
        <f>IF(ISNUMBER(SEARCH("营",main!U12)),(-$Y12+50*IF(main!$AK12="是",main!$BB$4,main!$BB$3)),(VLOOKUP(main!U12,main!$AO$4:$AQ$55,2,FALSE))*IF(main!$AK12="是",main!$BB$4,main!$BB$3))</f>
        <v>170</v>
      </c>
      <c r="N12" s="12">
        <f>IF(ISNUMBER(SEARCH("营",main!V12)),(-$Y12+50*IF(main!$AK12="是",main!$BB$4,main!$BB$3)),(VLOOKUP(main!V12,main!$AO$4:$AQ$55,2,FALSE))*IF(main!$AK12="是",main!$BB$4,main!$BB$3))</f>
        <v>170</v>
      </c>
      <c r="O12" s="12">
        <f>IF(ISNUMBER(SEARCH("营",main!W12)),(-$Y12+50*IF(main!$AK12="是",main!$BB$4,main!$BB$3)),(VLOOKUP(main!W12,main!$AO$4:$AQ$55,2,FALSE))*IF(main!$AK12="是",main!$BB$4,main!$BB$3))</f>
        <v>170</v>
      </c>
      <c r="P12" s="12">
        <f>IF(ISNUMBER(SEARCH("营",main!X12)),(-$Y12+50*IF(main!$AK12="是",main!$BB$4,main!$BB$3)),(VLOOKUP(main!X12,main!$AO$4:$AQ$55,2,FALSE))*IF(main!$AK12="是",main!$BB$4,main!$BB$3))</f>
        <v>170</v>
      </c>
      <c r="Q12" s="12">
        <f>IF(ISNUMBER(SEARCH("营",main!Y12)),(-$Y12+50*IF(main!$AK12="是",main!$BB$4,main!$BB$3)),(VLOOKUP(main!Y12,main!$AO$4:$AQ$55,2,FALSE))*IF(main!$AK12="是",main!$BB$4,main!$BB$3))</f>
        <v>0</v>
      </c>
      <c r="R12" s="12">
        <f>IF(ISNUMBER(SEARCH("营",main!Z12)),(-$Y12+50*IF(main!$AK12="是",main!$BB$4,main!$BB$3)),(VLOOKUP(main!Z12,main!$AO$4:$AQ$55,2,FALSE))*IF(main!$AK12="是",main!$BB$4,main!$BB$3))</f>
        <v>0</v>
      </c>
      <c r="S12" s="12">
        <f>IF(ISNUMBER(SEARCH("营",main!AA12)),(-$Y12+50*IF(main!$AK12="是",main!$BB$4,main!$BB$3)),(VLOOKUP(main!AA12,main!$AO$4:$AQ$55,2,FALSE))*IF(main!$AK12="是",main!$BB$4,main!$BB$3))</f>
        <v>0</v>
      </c>
      <c r="T12" s="12">
        <f>IF(ISNUMBER(SEARCH("营",main!AB12)),(-$Y12+50*IF(main!$AK12="是",main!$BB$4,main!$BB$3)),(VLOOKUP(main!AB12,main!$AO$4:$AQ$55,2,FALSE))*IF(main!$AK12="是",main!$BB$4,main!$BB$3))</f>
        <v>0</v>
      </c>
      <c r="U12" s="12">
        <f>IF(ISNUMBER(SEARCH("营",main!AC12)),(-$Y12+50*IF(main!$AK12="是",main!$BB$4,main!$BB$3)),(VLOOKUP(main!AC12,main!$AO$4:$AQ$55,2,FALSE))*IF(main!$AK12="是",main!$BB$4,main!$BB$3))</f>
        <v>0</v>
      </c>
      <c r="V12" s="12">
        <f>IF(ISNUMBER(SEARCH("营",main!AD12)),(-$Y12+50*IF(main!$AK12="是",main!$BB$4,main!$BB$3)),(VLOOKUP(main!AD12,main!$AO$4:$AQ$55,2,FALSE))*IF(main!$AK12="是",main!$BB$4,main!$BB$3))</f>
        <v>0</v>
      </c>
      <c r="W12" s="12">
        <f>IF(ISNUMBER(SEARCH("营",main!AE12)),(-$Y12+50*IF(main!$AK12="是",main!$BB$4,main!$BB$3)),(VLOOKUP(main!AE12,main!$AO$4:$AQ$55,2,FALSE))*IF(main!$AK12="是",main!$BB$4,main!$BB$3))</f>
        <v>0</v>
      </c>
      <c r="X12" s="12">
        <f>IF(ISNUMBER(SEARCH("营",main!AF12)),(-$Y12+50*IF(main!$AK12="是",main!$BB$4,main!$BB$3)),(VLOOKUP(main!AF12,main!$AO$4:$AQ$55,2,FALSE))*IF(main!$AK12="是",main!$BB$4,main!$BB$3))</f>
        <v>0</v>
      </c>
      <c r="Y12" s="94">
        <v>300</v>
      </c>
      <c r="Z12" s="95">
        <v>46284</v>
      </c>
      <c r="AA12">
        <v>9</v>
      </c>
    </row>
    <row r="13" spans="1:27">
      <c r="A13" s="12">
        <f>IF(ISNUMBER(SEARCH("营",main!I13)),(-$Y13+50*IF(main!$AK13="是",main!$BB$4,main!$BB$3)),(VLOOKUP(main!I13,main!$AO$4:$AQ$55,2,FALSE))*IF(main!$AK13="是",main!$BB$4,main!$BB$3))</f>
        <v>170</v>
      </c>
      <c r="B13" s="12">
        <f>IF(ISNUMBER(SEARCH("营",main!J13)),(-$Y13+50*IF(main!$AK13="是",main!$BB$4,main!$BB$3)),(VLOOKUP(main!J13,main!$AO$4:$AQ$55,2,FALSE))*IF(main!$AK13="是",main!$BB$4,main!$BB$3))</f>
        <v>170</v>
      </c>
      <c r="C13" s="12">
        <f>IF(ISNUMBER(SEARCH("营",main!K13)),(-$Y13+50*IF(main!$AK13="是",main!$BB$4,main!$BB$3)),(VLOOKUP(main!K13,main!$AO$4:$AQ$55,2,FALSE))*IF(main!$AK13="是",main!$BB$4,main!$BB$3))</f>
        <v>170</v>
      </c>
      <c r="D13" s="12">
        <f>IF(ISNUMBER(SEARCH("营",main!L13)),(-$Y13+50*IF(main!$AK13="是",main!$BB$4,main!$BB$3)),(VLOOKUP(main!L13,main!$AO$4:$AQ$55,2,FALSE))*IF(main!$AK13="是",main!$BB$4,main!$BB$3))</f>
        <v>170</v>
      </c>
      <c r="E13" s="12">
        <f>IF(ISNUMBER(SEARCH("营",main!M13)),(-$Y13+50*IF(main!$AK13="是",main!$BB$4,main!$BB$3)),(VLOOKUP(main!M13,main!$AO$4:$AQ$55,2,FALSE))*IF(main!$AK13="是",main!$BB$4,main!$BB$3))</f>
        <v>170</v>
      </c>
      <c r="F13" s="12">
        <f>IF(ISNUMBER(SEARCH("营",main!N13)),(-$Y13+50*IF(main!$AK13="是",main!$BB$4,main!$BB$3)),(VLOOKUP(main!N13,main!$AO$4:$AQ$55,2,FALSE))*IF(main!$AK13="是",main!$BB$4,main!$BB$3))</f>
        <v>170</v>
      </c>
      <c r="G13" s="12">
        <f>IF(ISNUMBER(SEARCH("营",main!O13)),(-$Y13+50*IF(main!$AK13="是",main!$BB$4,main!$BB$3)),(VLOOKUP(main!O13,main!$AO$4:$AQ$55,2,FALSE))*IF(main!$AK13="是",main!$BB$4,main!$BB$3))</f>
        <v>170</v>
      </c>
      <c r="H13" s="12">
        <f>IF(ISNUMBER(SEARCH("营",main!P13)),(-$Y13+50*IF(main!$AK13="是",main!$BB$4,main!$BB$3)),(VLOOKUP(main!P13,main!$AO$4:$AQ$55,2,FALSE))*IF(main!$AK13="是",main!$BB$4,main!$BB$3))</f>
        <v>170</v>
      </c>
      <c r="I13" s="12">
        <f>IF(ISNUMBER(SEARCH("营",main!Q13)),(-$Y13+50*IF(main!$AK13="是",main!$BB$4,main!$BB$3)),(VLOOKUP(main!Q13,main!$AO$4:$AQ$55,2,FALSE))*IF(main!$AK13="是",main!$BB$4,main!$BB$3))</f>
        <v>0</v>
      </c>
      <c r="J13" s="12">
        <f>IF(ISNUMBER(SEARCH("营",main!R13)),(-$Y13+50*IF(main!$AK13="是",main!$BB$4,main!$BB$3)),(VLOOKUP(main!R13,main!$AO$4:$AQ$55,2,FALSE))*IF(main!$AK13="是",main!$BB$4,main!$BB$3))</f>
        <v>0</v>
      </c>
      <c r="K13" s="12">
        <f>IF(ISNUMBER(SEARCH("营",main!S13)),(-$Y13+50*IF(main!$AK13="是",main!$BB$4,main!$BB$3)),(VLOOKUP(main!S13,main!$AO$4:$AQ$55,2,FALSE))*IF(main!$AK13="是",main!$BB$4,main!$BB$3))</f>
        <v>0</v>
      </c>
      <c r="L13" s="12">
        <f>IF(ISNUMBER(SEARCH("营",main!T13)),(-$Y13+50*IF(main!$AK13="是",main!$BB$4,main!$BB$3)),(VLOOKUP(main!T13,main!$AO$4:$AQ$55,2,FALSE))*IF(main!$AK13="是",main!$BB$4,main!$BB$3))</f>
        <v>0</v>
      </c>
      <c r="M13" s="12">
        <f>IF(ISNUMBER(SEARCH("营",main!U13)),(-$Y13+50*IF(main!$AK13="是",main!$BB$4,main!$BB$3)),(VLOOKUP(main!U13,main!$AO$4:$AQ$55,2,FALSE))*IF(main!$AK13="是",main!$BB$4,main!$BB$3))</f>
        <v>0</v>
      </c>
      <c r="N13" s="12">
        <f>IF(ISNUMBER(SEARCH("营",main!V13)),(-$Y13+50*IF(main!$AK13="是",main!$BB$4,main!$BB$3)),(VLOOKUP(main!V13,main!$AO$4:$AQ$55,2,FALSE))*IF(main!$AK13="是",main!$BB$4,main!$BB$3))</f>
        <v>0</v>
      </c>
      <c r="O13" s="12">
        <f>IF(ISNUMBER(SEARCH("营",main!W13)),(-$Y13+50*IF(main!$AK13="是",main!$BB$4,main!$BB$3)),(VLOOKUP(main!W13,main!$AO$4:$AQ$55,2,FALSE))*IF(main!$AK13="是",main!$BB$4,main!$BB$3))</f>
        <v>0</v>
      </c>
      <c r="P13" s="12">
        <f>IF(ISNUMBER(SEARCH("营",main!X13)),(-$Y13+50*IF(main!$AK13="是",main!$BB$4,main!$BB$3)),(VLOOKUP(main!X13,main!$AO$4:$AQ$55,2,FALSE))*IF(main!$AK13="是",main!$BB$4,main!$BB$3))</f>
        <v>0</v>
      </c>
      <c r="Q13" s="12">
        <f>IF(ISNUMBER(SEARCH("营",main!Y13)),(-$Y13+50*IF(main!$AK13="是",main!$BB$4,main!$BB$3)),(VLOOKUP(main!Y13,main!$AO$4:$AQ$55,2,FALSE))*IF(main!$AK13="是",main!$BB$4,main!$BB$3))</f>
        <v>0</v>
      </c>
      <c r="R13" s="12">
        <f>IF(ISNUMBER(SEARCH("营",main!Z13)),(-$Y13+50*IF(main!$AK13="是",main!$BB$4,main!$BB$3)),(VLOOKUP(main!Z13,main!$AO$4:$AQ$55,2,FALSE))*IF(main!$AK13="是",main!$BB$4,main!$BB$3))</f>
        <v>0</v>
      </c>
      <c r="S13" s="12">
        <f>IF(ISNUMBER(SEARCH("营",main!AA13)),(-$Y13+50*IF(main!$AK13="是",main!$BB$4,main!$BB$3)),(VLOOKUP(main!AA13,main!$AO$4:$AQ$55,2,FALSE))*IF(main!$AK13="是",main!$BB$4,main!$BB$3))</f>
        <v>0</v>
      </c>
      <c r="T13" s="12">
        <f>IF(ISNUMBER(SEARCH("营",main!AB13)),(-$Y13+50*IF(main!$AK13="是",main!$BB$4,main!$BB$3)),(VLOOKUP(main!AB13,main!$AO$4:$AQ$55,2,FALSE))*IF(main!$AK13="是",main!$BB$4,main!$BB$3))</f>
        <v>0</v>
      </c>
      <c r="U13" s="12">
        <f>IF(ISNUMBER(SEARCH("营",main!AC13)),(-$Y13+50*IF(main!$AK13="是",main!$BB$4,main!$BB$3)),(VLOOKUP(main!AC13,main!$AO$4:$AQ$55,2,FALSE))*IF(main!$AK13="是",main!$BB$4,main!$BB$3))</f>
        <v>0</v>
      </c>
      <c r="V13" s="12">
        <f>IF(ISNUMBER(SEARCH("营",main!AD13)),(-$Y13+50*IF(main!$AK13="是",main!$BB$4,main!$BB$3)),(VLOOKUP(main!AD13,main!$AO$4:$AQ$55,2,FALSE))*IF(main!$AK13="是",main!$BB$4,main!$BB$3))</f>
        <v>0</v>
      </c>
      <c r="W13" s="12">
        <f>IF(ISNUMBER(SEARCH("营",main!AE13)),(-$Y13+50*IF(main!$AK13="是",main!$BB$4,main!$BB$3)),(VLOOKUP(main!AE13,main!$AO$4:$AQ$55,2,FALSE))*IF(main!$AK13="是",main!$BB$4,main!$BB$3))</f>
        <v>0</v>
      </c>
      <c r="X13" s="12">
        <f>IF(ISNUMBER(SEARCH("营",main!AF13)),(-$Y13+50*IF(main!$AK13="是",main!$BB$4,main!$BB$3)),(VLOOKUP(main!AF13,main!$AO$4:$AQ$55,2,FALSE))*IF(main!$AK13="是",main!$BB$4,main!$BB$3))</f>
        <v>0</v>
      </c>
      <c r="Y13" s="94">
        <v>300</v>
      </c>
      <c r="Z13" s="95">
        <v>46285</v>
      </c>
      <c r="AA13">
        <v>10</v>
      </c>
    </row>
    <row r="14" spans="1:27">
      <c r="A14" s="12">
        <f>IF(ISNUMBER(SEARCH("营",main!I14)),(-$Y14+50*IF(main!$AK14="是",main!$BB$4,main!$BB$3)),(VLOOKUP(main!I14,main!$AO$4:$AQ$55,2,FALSE))*IF(main!$AK14="是",main!$BB$4,main!$BB$3))</f>
        <v>170</v>
      </c>
      <c r="B14" s="12">
        <f>IF(ISNUMBER(SEARCH("营",main!J14)),(-$Y14+50*IF(main!$AK14="是",main!$BB$4,main!$BB$3)),(VLOOKUP(main!J14,main!$AO$4:$AQ$55,2,FALSE))*IF(main!$AK14="是",main!$BB$4,main!$BB$3))</f>
        <v>170</v>
      </c>
      <c r="C14" s="12">
        <f>IF(ISNUMBER(SEARCH("营",main!K14)),(-$Y14+50*IF(main!$AK14="是",main!$BB$4,main!$BB$3)),(VLOOKUP(main!K14,main!$AO$4:$AQ$55,2,FALSE))*IF(main!$AK14="是",main!$BB$4,main!$BB$3))</f>
        <v>170</v>
      </c>
      <c r="D14" s="12">
        <f>IF(ISNUMBER(SEARCH("营",main!L14)),(-$Y14+50*IF(main!$AK14="是",main!$BB$4,main!$BB$3)),(VLOOKUP(main!L14,main!$AO$4:$AQ$55,2,FALSE))*IF(main!$AK14="是",main!$BB$4,main!$BB$3))</f>
        <v>170</v>
      </c>
      <c r="E14" s="12">
        <f>IF(ISNUMBER(SEARCH("营",main!M14)),(-$Y14+50*IF(main!$AK14="是",main!$BB$4,main!$BB$3)),(VLOOKUP(main!M14,main!$AO$4:$AQ$55,2,FALSE))*IF(main!$AK14="是",main!$BB$4,main!$BB$3))</f>
        <v>170</v>
      </c>
      <c r="F14" s="12">
        <f>IF(ISNUMBER(SEARCH("营",main!N14)),(-$Y14+50*IF(main!$AK14="是",main!$BB$4,main!$BB$3)),(VLOOKUP(main!N14,main!$AO$4:$AQ$55,2,FALSE))*IF(main!$AK14="是",main!$BB$4,main!$BB$3))</f>
        <v>170</v>
      </c>
      <c r="G14" s="12">
        <f>IF(ISNUMBER(SEARCH("营",main!O14)),(-$Y14+50*IF(main!$AK14="是",main!$BB$4,main!$BB$3)),(VLOOKUP(main!O14,main!$AO$4:$AQ$55,2,FALSE))*IF(main!$AK14="是",main!$BB$4,main!$BB$3))</f>
        <v>170</v>
      </c>
      <c r="H14" s="12">
        <f>IF(ISNUMBER(SEARCH("营",main!P14)),(-$Y14+50*IF(main!$AK14="是",main!$BB$4,main!$BB$3)),(VLOOKUP(main!P14,main!$AO$4:$AQ$55,2,FALSE))*IF(main!$AK14="是",main!$BB$4,main!$BB$3))</f>
        <v>170</v>
      </c>
      <c r="I14" s="12">
        <f>IF(ISNUMBER(SEARCH("营",main!Q14)),(-$Y14+50*IF(main!$AK14="是",main!$BB$4,main!$BB$3)),(VLOOKUP(main!Q14,main!$AO$4:$AQ$55,2,FALSE))*IF(main!$AK14="是",main!$BB$4,main!$BB$3))</f>
        <v>0</v>
      </c>
      <c r="J14" s="12">
        <f>IF(ISNUMBER(SEARCH("营",main!R14)),(-$Y14+50*IF(main!$AK14="是",main!$BB$4,main!$BB$3)),(VLOOKUP(main!R14,main!$AO$4:$AQ$55,2,FALSE))*IF(main!$AK14="是",main!$BB$4,main!$BB$3))</f>
        <v>0</v>
      </c>
      <c r="K14" s="12">
        <f>IF(ISNUMBER(SEARCH("营",main!S14)),(-$Y14+50*IF(main!$AK14="是",main!$BB$4,main!$BB$3)),(VLOOKUP(main!S14,main!$AO$4:$AQ$55,2,FALSE))*IF(main!$AK14="是",main!$BB$4,main!$BB$3))</f>
        <v>0</v>
      </c>
      <c r="L14" s="12">
        <f>IF(ISNUMBER(SEARCH("营",main!T14)),(-$Y14+50*IF(main!$AK14="是",main!$BB$4,main!$BB$3)),(VLOOKUP(main!T14,main!$AO$4:$AQ$55,2,FALSE))*IF(main!$AK14="是",main!$BB$4,main!$BB$3))</f>
        <v>0</v>
      </c>
      <c r="M14" s="12">
        <f>IF(ISNUMBER(SEARCH("营",main!U14)),(-$Y14+50*IF(main!$AK14="是",main!$BB$4,main!$BB$3)),(VLOOKUP(main!U14,main!$AO$4:$AQ$55,2,FALSE))*IF(main!$AK14="是",main!$BB$4,main!$BB$3))</f>
        <v>0</v>
      </c>
      <c r="N14" s="12">
        <f>IF(ISNUMBER(SEARCH("营",main!V14)),(-$Y14+50*IF(main!$AK14="是",main!$BB$4,main!$BB$3)),(VLOOKUP(main!V14,main!$AO$4:$AQ$55,2,FALSE))*IF(main!$AK14="是",main!$BB$4,main!$BB$3))</f>
        <v>0</v>
      </c>
      <c r="O14" s="12">
        <f>IF(ISNUMBER(SEARCH("营",main!W14)),(-$Y14+50*IF(main!$AK14="是",main!$BB$4,main!$BB$3)),(VLOOKUP(main!W14,main!$AO$4:$AQ$55,2,FALSE))*IF(main!$AK14="是",main!$BB$4,main!$BB$3))</f>
        <v>0</v>
      </c>
      <c r="P14" s="12">
        <f>IF(ISNUMBER(SEARCH("营",main!X14)),(-$Y14+50*IF(main!$AK14="是",main!$BB$4,main!$BB$3)),(VLOOKUP(main!X14,main!$AO$4:$AQ$55,2,FALSE))*IF(main!$AK14="是",main!$BB$4,main!$BB$3))</f>
        <v>0</v>
      </c>
      <c r="Q14" s="12">
        <f>IF(ISNUMBER(SEARCH("营",main!Y14)),(-$Y14+50*IF(main!$AK14="是",main!$BB$4,main!$BB$3)),(VLOOKUP(main!Y14,main!$AO$4:$AQ$55,2,FALSE))*IF(main!$AK14="是",main!$BB$4,main!$BB$3))</f>
        <v>0</v>
      </c>
      <c r="R14" s="12">
        <f>IF(ISNUMBER(SEARCH("营",main!Z14)),(-$Y14+50*IF(main!$AK14="是",main!$BB$4,main!$BB$3)),(VLOOKUP(main!Z14,main!$AO$4:$AQ$55,2,FALSE))*IF(main!$AK14="是",main!$BB$4,main!$BB$3))</f>
        <v>0</v>
      </c>
      <c r="S14" s="12">
        <f>IF(ISNUMBER(SEARCH("营",main!AA14)),(-$Y14+50*IF(main!$AK14="是",main!$BB$4,main!$BB$3)),(VLOOKUP(main!AA14,main!$AO$4:$AQ$55,2,FALSE))*IF(main!$AK14="是",main!$BB$4,main!$BB$3))</f>
        <v>0</v>
      </c>
      <c r="T14" s="12">
        <f>IF(ISNUMBER(SEARCH("营",main!AB14)),(-$Y14+50*IF(main!$AK14="是",main!$BB$4,main!$BB$3)),(VLOOKUP(main!AB14,main!$AO$4:$AQ$55,2,FALSE))*IF(main!$AK14="是",main!$BB$4,main!$BB$3))</f>
        <v>0</v>
      </c>
      <c r="U14" s="12">
        <f>IF(ISNUMBER(SEARCH("营",main!AC14)),(-$Y14+50*IF(main!$AK14="是",main!$BB$4,main!$BB$3)),(VLOOKUP(main!AC14,main!$AO$4:$AQ$55,2,FALSE))*IF(main!$AK14="是",main!$BB$4,main!$BB$3))</f>
        <v>0</v>
      </c>
      <c r="V14" s="12">
        <f>IF(ISNUMBER(SEARCH("营",main!AD14)),(-$Y14+50*IF(main!$AK14="是",main!$BB$4,main!$BB$3)),(VLOOKUP(main!AD14,main!$AO$4:$AQ$55,2,FALSE))*IF(main!$AK14="是",main!$BB$4,main!$BB$3))</f>
        <v>0</v>
      </c>
      <c r="W14" s="12">
        <f>IF(ISNUMBER(SEARCH("营",main!AE14)),(-$Y14+50*IF(main!$AK14="是",main!$BB$4,main!$BB$3)),(VLOOKUP(main!AE14,main!$AO$4:$AQ$55,2,FALSE))*IF(main!$AK14="是",main!$BB$4,main!$BB$3))</f>
        <v>0</v>
      </c>
      <c r="X14" s="12">
        <f>IF(ISNUMBER(SEARCH("营",main!AF14)),(-$Y14+50*IF(main!$AK14="是",main!$BB$4,main!$BB$3)),(VLOOKUP(main!AF14,main!$AO$4:$AQ$55,2,FALSE))*IF(main!$AK14="是",main!$BB$4,main!$BB$3))</f>
        <v>0</v>
      </c>
      <c r="Y14" s="94">
        <v>300</v>
      </c>
      <c r="Z14" s="95">
        <v>46286</v>
      </c>
      <c r="AA14">
        <v>11</v>
      </c>
    </row>
    <row r="15" spans="1:27">
      <c r="A15" s="12">
        <f>IF(ISNUMBER(SEARCH("营",main!I15)),(-$Y15+50*IF(main!$AK15="是",main!$BB$4,main!$BB$3)),(VLOOKUP(main!I15,main!$AO$4:$AQ$55,2,FALSE))*IF(main!$AK15="是",main!$BB$4,main!$BB$3))</f>
        <v>170</v>
      </c>
      <c r="B15" s="12">
        <f>IF(ISNUMBER(SEARCH("营",main!J15)),(-$Y15+50*IF(main!$AK15="是",main!$BB$4,main!$BB$3)),(VLOOKUP(main!J15,main!$AO$4:$AQ$55,2,FALSE))*IF(main!$AK15="是",main!$BB$4,main!$BB$3))</f>
        <v>170</v>
      </c>
      <c r="C15" s="12">
        <f>IF(ISNUMBER(SEARCH("营",main!K15)),(-$Y15+50*IF(main!$AK15="是",main!$BB$4,main!$BB$3)),(VLOOKUP(main!K15,main!$AO$4:$AQ$55,2,FALSE))*IF(main!$AK15="是",main!$BB$4,main!$BB$3))</f>
        <v>170</v>
      </c>
      <c r="D15" s="12">
        <f>IF(ISNUMBER(SEARCH("营",main!L15)),(-$Y15+50*IF(main!$AK15="是",main!$BB$4,main!$BB$3)),(VLOOKUP(main!L15,main!$AO$4:$AQ$55,2,FALSE))*IF(main!$AK15="是",main!$BB$4,main!$BB$3))</f>
        <v>170</v>
      </c>
      <c r="E15" s="12">
        <f>IF(ISNUMBER(SEARCH("营",main!M15)),(-$Y15+50*IF(main!$AK15="是",main!$BB$4,main!$BB$3)),(VLOOKUP(main!M15,main!$AO$4:$AQ$55,2,FALSE))*IF(main!$AK15="是",main!$BB$4,main!$BB$3))</f>
        <v>170</v>
      </c>
      <c r="F15" s="12">
        <f>IF(ISNUMBER(SEARCH("营",main!N15)),(-$Y15+50*IF(main!$AK15="是",main!$BB$4,main!$BB$3)),(VLOOKUP(main!N15,main!$AO$4:$AQ$55,2,FALSE))*IF(main!$AK15="是",main!$BB$4,main!$BB$3))</f>
        <v>170</v>
      </c>
      <c r="G15" s="12">
        <f>IF(ISNUMBER(SEARCH("营",main!O15)),(-$Y15+50*IF(main!$AK15="是",main!$BB$4,main!$BB$3)),(VLOOKUP(main!O15,main!$AO$4:$AQ$55,2,FALSE))*IF(main!$AK15="是",main!$BB$4,main!$BB$3))</f>
        <v>170</v>
      </c>
      <c r="H15" s="12">
        <f>IF(ISNUMBER(SEARCH("营",main!P15)),(-$Y15+50*IF(main!$AK15="是",main!$BB$4,main!$BB$3)),(VLOOKUP(main!P15,main!$AO$4:$AQ$55,2,FALSE))*IF(main!$AK15="是",main!$BB$4,main!$BB$3))</f>
        <v>170</v>
      </c>
      <c r="I15" s="12">
        <f>IF(ISNUMBER(SEARCH("营",main!Q15)),(-$Y15+50*IF(main!$AK15="是",main!$BB$4,main!$BB$3)),(VLOOKUP(main!Q15,main!$AO$4:$AQ$55,2,FALSE))*IF(main!$AK15="是",main!$BB$4,main!$BB$3))</f>
        <v>0</v>
      </c>
      <c r="J15" s="12">
        <f>IF(ISNUMBER(SEARCH("营",main!R15)),(-$Y15+50*IF(main!$AK15="是",main!$BB$4,main!$BB$3)),(VLOOKUP(main!R15,main!$AO$4:$AQ$55,2,FALSE))*IF(main!$AK15="是",main!$BB$4,main!$BB$3))</f>
        <v>0</v>
      </c>
      <c r="K15" s="12">
        <f>IF(ISNUMBER(SEARCH("营",main!S15)),(-$Y15+50*IF(main!$AK15="是",main!$BB$4,main!$BB$3)),(VLOOKUP(main!S15,main!$AO$4:$AQ$55,2,FALSE))*IF(main!$AK15="是",main!$BB$4,main!$BB$3))</f>
        <v>0</v>
      </c>
      <c r="L15" s="12">
        <f>IF(ISNUMBER(SEARCH("营",main!T15)),(-$Y15+50*IF(main!$AK15="是",main!$BB$4,main!$BB$3)),(VLOOKUP(main!T15,main!$AO$4:$AQ$55,2,FALSE))*IF(main!$AK15="是",main!$BB$4,main!$BB$3))</f>
        <v>0</v>
      </c>
      <c r="M15" s="12">
        <f>IF(ISNUMBER(SEARCH("营",main!U15)),(-$Y15+50*IF(main!$AK15="是",main!$BB$4,main!$BB$3)),(VLOOKUP(main!U15,main!$AO$4:$AQ$55,2,FALSE))*IF(main!$AK15="是",main!$BB$4,main!$BB$3))</f>
        <v>0</v>
      </c>
      <c r="N15" s="12">
        <f>IF(ISNUMBER(SEARCH("营",main!V15)),(-$Y15+50*IF(main!$AK15="是",main!$BB$4,main!$BB$3)),(VLOOKUP(main!V15,main!$AO$4:$AQ$55,2,FALSE))*IF(main!$AK15="是",main!$BB$4,main!$BB$3))</f>
        <v>0</v>
      </c>
      <c r="O15" s="12">
        <f>IF(ISNUMBER(SEARCH("营",main!W15)),(-$Y15+50*IF(main!$AK15="是",main!$BB$4,main!$BB$3)),(VLOOKUP(main!W15,main!$AO$4:$AQ$55,2,FALSE))*IF(main!$AK15="是",main!$BB$4,main!$BB$3))</f>
        <v>0</v>
      </c>
      <c r="P15" s="12">
        <f>IF(ISNUMBER(SEARCH("营",main!X15)),(-$Y15+50*IF(main!$AK15="是",main!$BB$4,main!$BB$3)),(VLOOKUP(main!X15,main!$AO$4:$AQ$55,2,FALSE))*IF(main!$AK15="是",main!$BB$4,main!$BB$3))</f>
        <v>0</v>
      </c>
      <c r="Q15" s="12">
        <f>IF(ISNUMBER(SEARCH("营",main!Y15)),(-$Y15+50*IF(main!$AK15="是",main!$BB$4,main!$BB$3)),(VLOOKUP(main!Y15,main!$AO$4:$AQ$55,2,FALSE))*IF(main!$AK15="是",main!$BB$4,main!$BB$3))</f>
        <v>0</v>
      </c>
      <c r="R15" s="12">
        <f>IF(ISNUMBER(SEARCH("营",main!Z15)),(-$Y15+50*IF(main!$AK15="是",main!$BB$4,main!$BB$3)),(VLOOKUP(main!Z15,main!$AO$4:$AQ$55,2,FALSE))*IF(main!$AK15="是",main!$BB$4,main!$BB$3))</f>
        <v>0</v>
      </c>
      <c r="S15" s="12">
        <f>IF(ISNUMBER(SEARCH("营",main!AA15)),(-$Y15+50*IF(main!$AK15="是",main!$BB$4,main!$BB$3)),(VLOOKUP(main!AA15,main!$AO$4:$AQ$55,2,FALSE))*IF(main!$AK15="是",main!$BB$4,main!$BB$3))</f>
        <v>0</v>
      </c>
      <c r="T15" s="12">
        <f>IF(ISNUMBER(SEARCH("营",main!AB15)),(-$Y15+50*IF(main!$AK15="是",main!$BB$4,main!$BB$3)),(VLOOKUP(main!AB15,main!$AO$4:$AQ$55,2,FALSE))*IF(main!$AK15="是",main!$BB$4,main!$BB$3))</f>
        <v>0</v>
      </c>
      <c r="U15" s="12">
        <f>IF(ISNUMBER(SEARCH("营",main!AC15)),(-$Y15+50*IF(main!$AK15="是",main!$BB$4,main!$BB$3)),(VLOOKUP(main!AC15,main!$AO$4:$AQ$55,2,FALSE))*IF(main!$AK15="是",main!$BB$4,main!$BB$3))</f>
        <v>0</v>
      </c>
      <c r="V15" s="12">
        <f>IF(ISNUMBER(SEARCH("营",main!AD15)),(-$Y15+50*IF(main!$AK15="是",main!$BB$4,main!$BB$3)),(VLOOKUP(main!AD15,main!$AO$4:$AQ$55,2,FALSE))*IF(main!$AK15="是",main!$BB$4,main!$BB$3))</f>
        <v>0</v>
      </c>
      <c r="W15" s="12">
        <f>IF(ISNUMBER(SEARCH("营",main!AE15)),(-$Y15+50*IF(main!$AK15="是",main!$BB$4,main!$BB$3)),(VLOOKUP(main!AE15,main!$AO$4:$AQ$55,2,FALSE))*IF(main!$AK15="是",main!$BB$4,main!$BB$3))</f>
        <v>0</v>
      </c>
      <c r="X15" s="12">
        <f>IF(ISNUMBER(SEARCH("营",main!AF15)),(-$Y15+50*IF(main!$AK15="是",main!$BB$4,main!$BB$3)),(VLOOKUP(main!AF15,main!$AO$4:$AQ$55,2,FALSE))*IF(main!$AK15="是",main!$BB$4,main!$BB$3))</f>
        <v>0</v>
      </c>
      <c r="Y15" s="94">
        <v>300</v>
      </c>
      <c r="Z15" s="95">
        <v>46287</v>
      </c>
      <c r="AA15">
        <v>12</v>
      </c>
    </row>
    <row r="16" spans="1:27">
      <c r="A16" s="12">
        <f>IF(ISNUMBER(SEARCH("营",main!I16)),(-$Y16+50*IF(main!$AK16="是",main!$BB$4,main!$BB$3)),(VLOOKUP(main!I16,main!$AO$4:$AQ$55,2,FALSE))*IF(main!$AK16="是",main!$BB$4,main!$BB$3))</f>
        <v>136</v>
      </c>
      <c r="B16" s="12">
        <f>IF(ISNUMBER(SEARCH("营",main!J16)),(-$Y16+50*IF(main!$AK16="是",main!$BB$4,main!$BB$3)),(VLOOKUP(main!J16,main!$AO$4:$AQ$55,2,FALSE))*IF(main!$AK16="是",main!$BB$4,main!$BB$3))</f>
        <v>136</v>
      </c>
      <c r="C16" s="12">
        <f>IF(ISNUMBER(SEARCH("营",main!K16)),(-$Y16+50*IF(main!$AK16="是",main!$BB$4,main!$BB$3)),(VLOOKUP(main!K16,main!$AO$4:$AQ$55,2,FALSE))*IF(main!$AK16="是",main!$BB$4,main!$BB$3))</f>
        <v>136</v>
      </c>
      <c r="D16" s="12">
        <f>IF(ISNUMBER(SEARCH("营",main!L16)),(-$Y16+50*IF(main!$AK16="是",main!$BB$4,main!$BB$3)),(VLOOKUP(main!L16,main!$AO$4:$AQ$55,2,FALSE))*IF(main!$AK16="是",main!$BB$4,main!$BB$3))</f>
        <v>136</v>
      </c>
      <c r="E16" s="12">
        <f>IF(ISNUMBER(SEARCH("营",main!M16)),(-$Y16+50*IF(main!$AK16="是",main!$BB$4,main!$BB$3)),(VLOOKUP(main!M16,main!$AO$4:$AQ$55,2,FALSE))*IF(main!$AK16="是",main!$BB$4,main!$BB$3))</f>
        <v>136</v>
      </c>
      <c r="F16" s="12">
        <f>IF(ISNUMBER(SEARCH("营",main!N16)),(-$Y16+50*IF(main!$AK16="是",main!$BB$4,main!$BB$3)),(VLOOKUP(main!N16,main!$AO$4:$AQ$55,2,FALSE))*IF(main!$AK16="是",main!$BB$4,main!$BB$3))</f>
        <v>136</v>
      </c>
      <c r="G16" s="12">
        <f>IF(ISNUMBER(SEARCH("营",main!O16)),(-$Y16+50*IF(main!$AK16="是",main!$BB$4,main!$BB$3)),(VLOOKUP(main!O16,main!$AO$4:$AQ$55,2,FALSE))*IF(main!$AK16="是",main!$BB$4,main!$BB$3))</f>
        <v>136</v>
      </c>
      <c r="H16" s="12">
        <f>IF(ISNUMBER(SEARCH("营",main!P16)),(-$Y16+50*IF(main!$AK16="是",main!$BB$4,main!$BB$3)),(VLOOKUP(main!P16,main!$AO$4:$AQ$55,2,FALSE))*IF(main!$AK16="是",main!$BB$4,main!$BB$3))</f>
        <v>136</v>
      </c>
      <c r="I16" s="12">
        <f>IF(ISNUMBER(SEARCH("营",main!Q16)),(-$Y16+50*IF(main!$AK16="是",main!$BB$4,main!$BB$3)),(VLOOKUP(main!Q16,main!$AO$4:$AQ$55,2,FALSE))*IF(main!$AK16="是",main!$BB$4,main!$BB$3))</f>
        <v>40</v>
      </c>
      <c r="J16" s="12">
        <f>IF(ISNUMBER(SEARCH("营",main!R16)),(-$Y16+50*IF(main!$AK16="是",main!$BB$4,main!$BB$3)),(VLOOKUP(main!R16,main!$AO$4:$AQ$55,2,FALSE))*IF(main!$AK16="是",main!$BB$4,main!$BB$3))</f>
        <v>120</v>
      </c>
      <c r="K16" s="12">
        <f>IF(ISNUMBER(SEARCH("营",main!S16)),(-$Y16+50*IF(main!$AK16="是",main!$BB$4,main!$BB$3)),(VLOOKUP(main!S16,main!$AO$4:$AQ$55,2,FALSE))*IF(main!$AK16="是",main!$BB$4,main!$BB$3))</f>
        <v>120</v>
      </c>
      <c r="L16" s="12">
        <f>IF(ISNUMBER(SEARCH("营",main!T16)),(-$Y16+50*IF(main!$AK16="是",main!$BB$4,main!$BB$3)),(VLOOKUP(main!T16,main!$AO$4:$AQ$55,2,FALSE))*IF(main!$AK16="是",main!$BB$4,main!$BB$3))</f>
        <v>120</v>
      </c>
      <c r="M16" s="12">
        <f>IF(ISNUMBER(SEARCH("营",main!U16)),(-$Y16+50*IF(main!$AK16="是",main!$BB$4,main!$BB$3)),(VLOOKUP(main!U16,main!$AO$4:$AQ$55,2,FALSE))*IF(main!$AK16="是",main!$BB$4,main!$BB$3))</f>
        <v>120</v>
      </c>
      <c r="N16" s="12">
        <f>IF(ISNUMBER(SEARCH("营",main!V16)),(-$Y16+50*IF(main!$AK16="是",main!$BB$4,main!$BB$3)),(VLOOKUP(main!V16,main!$AO$4:$AQ$55,2,FALSE))*IF(main!$AK16="是",main!$BB$4,main!$BB$3))</f>
        <v>40</v>
      </c>
      <c r="O16" s="12">
        <f>IF(ISNUMBER(SEARCH("营",main!W16)),(-$Y16+50*IF(main!$AK16="是",main!$BB$4,main!$BB$3)),(VLOOKUP(main!W16,main!$AO$4:$AQ$55,2,FALSE))*IF(main!$AK16="是",main!$BB$4,main!$BB$3))</f>
        <v>128</v>
      </c>
      <c r="P16" s="12">
        <f>IF(ISNUMBER(SEARCH("营",main!X16)),(-$Y16+50*IF(main!$AK16="是",main!$BB$4,main!$BB$3)),(VLOOKUP(main!X16,main!$AO$4:$AQ$55,2,FALSE))*IF(main!$AK16="是",main!$BB$4,main!$BB$3))</f>
        <v>128</v>
      </c>
      <c r="Q16" s="12">
        <f>IF(ISNUMBER(SEARCH("营",main!Y16)),(-$Y16+50*IF(main!$AK16="是",main!$BB$4,main!$BB$3)),(VLOOKUP(main!Y16,main!$AO$4:$AQ$55,2,FALSE))*IF(main!$AK16="是",main!$BB$4,main!$BB$3))</f>
        <v>128</v>
      </c>
      <c r="R16" s="12">
        <f>IF(ISNUMBER(SEARCH("营",main!Z16)),(-$Y16+50*IF(main!$AK16="是",main!$BB$4,main!$BB$3)),(VLOOKUP(main!Z16,main!$AO$4:$AQ$55,2,FALSE))*IF(main!$AK16="是",main!$BB$4,main!$BB$3))</f>
        <v>120</v>
      </c>
      <c r="S16" s="12">
        <f>IF(ISNUMBER(SEARCH("营",main!AA16)),(-$Y16+50*IF(main!$AK16="是",main!$BB$4,main!$BB$3)),(VLOOKUP(main!AA16,main!$AO$4:$AQ$55,2,FALSE))*IF(main!$AK16="是",main!$BB$4,main!$BB$3))</f>
        <v>128</v>
      </c>
      <c r="T16" s="12">
        <f>IF(ISNUMBER(SEARCH("营",main!AB16)),(-$Y16+50*IF(main!$AK16="是",main!$BB$4,main!$BB$3)),(VLOOKUP(main!AB16,main!$AO$4:$AQ$55,2,FALSE))*IF(main!$AK16="是",main!$BB$4,main!$BB$3))</f>
        <v>128</v>
      </c>
      <c r="U16" s="12">
        <f>IF(ISNUMBER(SEARCH("营",main!AC16)),(-$Y16+50*IF(main!$AK16="是",main!$BB$4,main!$BB$3)),(VLOOKUP(main!AC16,main!$AO$4:$AQ$55,2,FALSE))*IF(main!$AK16="是",main!$BB$4,main!$BB$3))</f>
        <v>40</v>
      </c>
      <c r="V16" s="12">
        <f>IF(ISNUMBER(SEARCH("营",main!AD16)),(-$Y16+50*IF(main!$AK16="是",main!$BB$4,main!$BB$3)),(VLOOKUP(main!AD16,main!$AO$4:$AQ$55,2,FALSE))*IF(main!$AK16="是",main!$BB$4,main!$BB$3))</f>
        <v>128</v>
      </c>
      <c r="W16" s="12">
        <f>IF(ISNUMBER(SEARCH("营",main!AE16)),(-$Y16+50*IF(main!$AK16="是",main!$BB$4,main!$BB$3)),(VLOOKUP(main!AE16,main!$AO$4:$AQ$55,2,FALSE))*IF(main!$AK16="是",main!$BB$4,main!$BB$3))</f>
        <v>-260</v>
      </c>
      <c r="X16" s="12">
        <f>IF(ISNUMBER(SEARCH("营",main!AF16)),(-$Y16+50*IF(main!$AK16="是",main!$BB$4,main!$BB$3)),(VLOOKUP(main!AF16,main!$AO$4:$AQ$55,2,FALSE))*IF(main!$AK16="是",main!$BB$4,main!$BB$3))</f>
        <v>0</v>
      </c>
      <c r="Y16" s="94">
        <v>300</v>
      </c>
      <c r="Z16" s="95">
        <v>46288</v>
      </c>
      <c r="AA16">
        <v>13</v>
      </c>
    </row>
    <row r="17" spans="1:27">
      <c r="A17" s="12">
        <f>IF(ISNUMBER(SEARCH("营",main!I17)),(-$Y17+50*IF(main!$AK17="是",main!$BB$4,main!$BB$3)),(VLOOKUP(main!I17,main!$AO$4:$AQ$55,2,FALSE))*IF(main!$AK17="是",main!$BB$4,main!$BB$3))</f>
        <v>136</v>
      </c>
      <c r="B17" s="12">
        <f>IF(ISNUMBER(SEARCH("营",main!J17)),(-$Y17+50*IF(main!$AK17="是",main!$BB$4,main!$BB$3)),(VLOOKUP(main!J17,main!$AO$4:$AQ$55,2,FALSE))*IF(main!$AK17="是",main!$BB$4,main!$BB$3))</f>
        <v>136</v>
      </c>
      <c r="C17" s="12">
        <f>IF(ISNUMBER(SEARCH("营",main!K17)),(-$Y17+50*IF(main!$AK17="是",main!$BB$4,main!$BB$3)),(VLOOKUP(main!K17,main!$AO$4:$AQ$55,2,FALSE))*IF(main!$AK17="是",main!$BB$4,main!$BB$3))</f>
        <v>136</v>
      </c>
      <c r="D17" s="12">
        <f>IF(ISNUMBER(SEARCH("营",main!L17)),(-$Y17+50*IF(main!$AK17="是",main!$BB$4,main!$BB$3)),(VLOOKUP(main!L17,main!$AO$4:$AQ$55,2,FALSE))*IF(main!$AK17="是",main!$BB$4,main!$BB$3))</f>
        <v>136</v>
      </c>
      <c r="E17" s="12">
        <f>IF(ISNUMBER(SEARCH("营",main!M17)),(-$Y17+50*IF(main!$AK17="是",main!$BB$4,main!$BB$3)),(VLOOKUP(main!M17,main!$AO$4:$AQ$55,2,FALSE))*IF(main!$AK17="是",main!$BB$4,main!$BB$3))</f>
        <v>136</v>
      </c>
      <c r="F17" s="12">
        <f>IF(ISNUMBER(SEARCH("营",main!N17)),(-$Y17+50*IF(main!$AK17="是",main!$BB$4,main!$BB$3)),(VLOOKUP(main!N17,main!$AO$4:$AQ$55,2,FALSE))*IF(main!$AK17="是",main!$BB$4,main!$BB$3))</f>
        <v>136</v>
      </c>
      <c r="G17" s="12">
        <f>IF(ISNUMBER(SEARCH("营",main!O17)),(-$Y17+50*IF(main!$AK17="是",main!$BB$4,main!$BB$3)),(VLOOKUP(main!O17,main!$AO$4:$AQ$55,2,FALSE))*IF(main!$AK17="是",main!$BB$4,main!$BB$3))</f>
        <v>136</v>
      </c>
      <c r="H17" s="12">
        <f>IF(ISNUMBER(SEARCH("营",main!P17)),(-$Y17+50*IF(main!$AK17="是",main!$BB$4,main!$BB$3)),(VLOOKUP(main!P17,main!$AO$4:$AQ$55,2,FALSE))*IF(main!$AK17="是",main!$BB$4,main!$BB$3))</f>
        <v>136</v>
      </c>
      <c r="I17" s="12">
        <f>IF(ISNUMBER(SEARCH("营",main!Q17)),(-$Y17+50*IF(main!$AK17="是",main!$BB$4,main!$BB$3)),(VLOOKUP(main!Q17,main!$AO$4:$AQ$55,2,FALSE))*IF(main!$AK17="是",main!$BB$4,main!$BB$3))</f>
        <v>136</v>
      </c>
      <c r="J17" s="12">
        <f>IF(ISNUMBER(SEARCH("营",main!R17)),(-$Y17+50*IF(main!$AK17="是",main!$BB$4,main!$BB$3)),(VLOOKUP(main!R17,main!$AO$4:$AQ$55,2,FALSE))*IF(main!$AK17="是",main!$BB$4,main!$BB$3))</f>
        <v>40</v>
      </c>
      <c r="K17" s="12">
        <f>IF(ISNUMBER(SEARCH("营",main!S17)),(-$Y17+50*IF(main!$AK17="是",main!$BB$4,main!$BB$3)),(VLOOKUP(main!S17,main!$AO$4:$AQ$55,2,FALSE))*IF(main!$AK17="是",main!$BB$4,main!$BB$3))</f>
        <v>136</v>
      </c>
      <c r="L17" s="12">
        <f>IF(ISNUMBER(SEARCH("营",main!T17)),(-$Y17+50*IF(main!$AK17="是",main!$BB$4,main!$BB$3)),(VLOOKUP(main!T17,main!$AO$4:$AQ$55,2,FALSE))*IF(main!$AK17="是",main!$BB$4,main!$BB$3))</f>
        <v>136</v>
      </c>
      <c r="M17" s="12">
        <f>IF(ISNUMBER(SEARCH("营",main!U17)),(-$Y17+50*IF(main!$AK17="是",main!$BB$4,main!$BB$3)),(VLOOKUP(main!U17,main!$AO$4:$AQ$55,2,FALSE))*IF(main!$AK17="是",main!$BB$4,main!$BB$3))</f>
        <v>136</v>
      </c>
      <c r="N17" s="12">
        <f>IF(ISNUMBER(SEARCH("营",main!V17)),(-$Y17+50*IF(main!$AK17="是",main!$BB$4,main!$BB$3)),(VLOOKUP(main!V17,main!$AO$4:$AQ$55,2,FALSE))*IF(main!$AK17="是",main!$BB$4,main!$BB$3))</f>
        <v>-260</v>
      </c>
      <c r="O17" s="12">
        <f>IF(ISNUMBER(SEARCH("营",main!W17)),(-$Y17+50*IF(main!$AK17="是",main!$BB$4,main!$BB$3)),(VLOOKUP(main!W17,main!$AO$4:$AQ$55,2,FALSE))*IF(main!$AK17="是",main!$BB$4,main!$BB$3))</f>
        <v>136</v>
      </c>
      <c r="P17" s="12">
        <f>IF(ISNUMBER(SEARCH("营",main!X17)),(-$Y17+50*IF(main!$AK17="是",main!$BB$4,main!$BB$3)),(VLOOKUP(main!X17,main!$AO$4:$AQ$55,2,FALSE))*IF(main!$AK17="是",main!$BB$4,main!$BB$3))</f>
        <v>136</v>
      </c>
      <c r="Q17" s="12">
        <f>IF(ISNUMBER(SEARCH("营",main!Y17)),(-$Y17+50*IF(main!$AK17="是",main!$BB$4,main!$BB$3)),(VLOOKUP(main!Y17,main!$AO$4:$AQ$55,2,FALSE))*IF(main!$AK17="是",main!$BB$4,main!$BB$3))</f>
        <v>136</v>
      </c>
      <c r="R17" s="12">
        <f>IF(ISNUMBER(SEARCH("营",main!Z17)),(-$Y17+50*IF(main!$AK17="是",main!$BB$4,main!$BB$3)),(VLOOKUP(main!Z17,main!$AO$4:$AQ$55,2,FALSE))*IF(main!$AK17="是",main!$BB$4,main!$BB$3))</f>
        <v>136</v>
      </c>
      <c r="S17" s="12">
        <f>IF(ISNUMBER(SEARCH("营",main!AA17)),(-$Y17+50*IF(main!$AK17="是",main!$BB$4,main!$BB$3)),(VLOOKUP(main!AA17,main!$AO$4:$AQ$55,2,FALSE))*IF(main!$AK17="是",main!$BB$4,main!$BB$3))</f>
        <v>136</v>
      </c>
      <c r="T17" s="12">
        <f>IF(ISNUMBER(SEARCH("营",main!AB17)),(-$Y17+50*IF(main!$AK17="是",main!$BB$4,main!$BB$3)),(VLOOKUP(main!AB17,main!$AO$4:$AQ$55,2,FALSE))*IF(main!$AK17="是",main!$BB$4,main!$BB$3))</f>
        <v>136</v>
      </c>
      <c r="U17" s="12">
        <f>IF(ISNUMBER(SEARCH("营",main!AC17)),(-$Y17+50*IF(main!$AK17="是",main!$BB$4,main!$BB$3)),(VLOOKUP(main!AC17,main!$AO$4:$AQ$55,2,FALSE))*IF(main!$AK17="是",main!$BB$4,main!$BB$3))</f>
        <v>136</v>
      </c>
      <c r="V17" s="12">
        <f>IF(ISNUMBER(SEARCH("营",main!AD17)),(-$Y17+50*IF(main!$AK17="是",main!$BB$4,main!$BB$3)),(VLOOKUP(main!AD17,main!$AO$4:$AQ$55,2,FALSE))*IF(main!$AK17="是",main!$BB$4,main!$BB$3))</f>
        <v>136</v>
      </c>
      <c r="W17" s="12">
        <f>IF(ISNUMBER(SEARCH("营",main!AE17)),(-$Y17+50*IF(main!$AK17="是",main!$BB$4,main!$BB$3)),(VLOOKUP(main!AE17,main!$AO$4:$AQ$55,2,FALSE))*IF(main!$AK17="是",main!$BB$4,main!$BB$3))</f>
        <v>136</v>
      </c>
      <c r="X17" s="12">
        <f>IF(ISNUMBER(SEARCH("营",main!AF17)),(-$Y17+50*IF(main!$AK17="是",main!$BB$4,main!$BB$3)),(VLOOKUP(main!AF17,main!$AO$4:$AQ$55,2,FALSE))*IF(main!$AK17="是",main!$BB$4,main!$BB$3))</f>
        <v>-260</v>
      </c>
      <c r="Y17" s="94">
        <v>300</v>
      </c>
      <c r="Z17" s="95">
        <v>46289</v>
      </c>
      <c r="AA17">
        <v>14</v>
      </c>
    </row>
    <row r="18" spans="1:27">
      <c r="A18" s="12">
        <f>IF(ISNUMBER(SEARCH("营",main!I18)),(-$Y18+50*IF(main!$AK18="是",main!$BB$4,main!$BB$3)),(VLOOKUP(main!I18,main!$AO$4:$AQ$55,2,FALSE))*IF(main!$AK18="是",main!$BB$4,main!$BB$3))</f>
        <v>-210</v>
      </c>
      <c r="B18" s="12">
        <f>IF(ISNUMBER(SEARCH("营",main!J18)),(-$Y18+50*IF(main!$AK18="是",main!$BB$4,main!$BB$3)),(VLOOKUP(main!J18,main!$AO$4:$AQ$55,2,FALSE))*IF(main!$AK18="是",main!$BB$4,main!$BB$3))</f>
        <v>-210</v>
      </c>
      <c r="C18" s="12">
        <f>IF(ISNUMBER(SEARCH("营",main!K18)),(-$Y18+50*IF(main!$AK18="是",main!$BB$4,main!$BB$3)),(VLOOKUP(main!K18,main!$AO$4:$AQ$55,2,FALSE))*IF(main!$AK18="是",main!$BB$4,main!$BB$3))</f>
        <v>-210</v>
      </c>
      <c r="D18" s="12">
        <f>IF(ISNUMBER(SEARCH("营",main!L18)),(-$Y18+50*IF(main!$AK18="是",main!$BB$4,main!$BB$3)),(VLOOKUP(main!L18,main!$AO$4:$AQ$55,2,FALSE))*IF(main!$AK18="是",main!$BB$4,main!$BB$3))</f>
        <v>-210</v>
      </c>
      <c r="E18" s="12">
        <f>IF(ISNUMBER(SEARCH("营",main!M18)),(-$Y18+50*IF(main!$AK18="是",main!$BB$4,main!$BB$3)),(VLOOKUP(main!M18,main!$AO$4:$AQ$55,2,FALSE))*IF(main!$AK18="是",main!$BB$4,main!$BB$3))</f>
        <v>-210</v>
      </c>
      <c r="F18" s="12">
        <f>IF(ISNUMBER(SEARCH("营",main!N18)),(-$Y18+50*IF(main!$AK18="是",main!$BB$4,main!$BB$3)),(VLOOKUP(main!N18,main!$AO$4:$AQ$55,2,FALSE))*IF(main!$AK18="是",main!$BB$4,main!$BB$3))</f>
        <v>-210</v>
      </c>
      <c r="G18" s="12">
        <f>IF(ISNUMBER(SEARCH("营",main!O18)),(-$Y18+50*IF(main!$AK18="是",main!$BB$4,main!$BB$3)),(VLOOKUP(main!O18,main!$AO$4:$AQ$55,2,FALSE))*IF(main!$AK18="是",main!$BB$4,main!$BB$3))</f>
        <v>0</v>
      </c>
      <c r="H18" s="12">
        <f>IF(ISNUMBER(SEARCH("营",main!P18)),(-$Y18+50*IF(main!$AK18="是",main!$BB$4,main!$BB$3)),(VLOOKUP(main!P18,main!$AO$4:$AQ$55,2,FALSE))*IF(main!$AK18="是",main!$BB$4,main!$BB$3))</f>
        <v>0</v>
      </c>
      <c r="I18" s="12">
        <f>IF(ISNUMBER(SEARCH("营",main!Q18)),(-$Y18+50*IF(main!$AK18="是",main!$BB$4,main!$BB$3)),(VLOOKUP(main!Q18,main!$AO$4:$AQ$55,2,FALSE))*IF(main!$AK18="是",main!$BB$4,main!$BB$3))</f>
        <v>0</v>
      </c>
      <c r="J18" s="12">
        <f>IF(ISNUMBER(SEARCH("营",main!R18)),(-$Y18+50*IF(main!$AK18="是",main!$BB$4,main!$BB$3)),(VLOOKUP(main!R18,main!$AO$4:$AQ$55,2,FALSE))*IF(main!$AK18="是",main!$BB$4,main!$BB$3))</f>
        <v>0</v>
      </c>
      <c r="K18" s="12">
        <f>IF(ISNUMBER(SEARCH("营",main!S18)),(-$Y18+50*IF(main!$AK18="是",main!$BB$4,main!$BB$3)),(VLOOKUP(main!S18,main!$AO$4:$AQ$55,2,FALSE))*IF(main!$AK18="是",main!$BB$4,main!$BB$3))</f>
        <v>0</v>
      </c>
      <c r="L18" s="12">
        <f>IF(ISNUMBER(SEARCH("营",main!T18)),(-$Y18+50*IF(main!$AK18="是",main!$BB$4,main!$BB$3)),(VLOOKUP(main!T18,main!$AO$4:$AQ$55,2,FALSE))*IF(main!$AK18="是",main!$BB$4,main!$BB$3))</f>
        <v>0</v>
      </c>
      <c r="M18" s="12">
        <f>IF(ISNUMBER(SEARCH("营",main!U18)),(-$Y18+50*IF(main!$AK18="是",main!$BB$4,main!$BB$3)),(VLOOKUP(main!U18,main!$AO$4:$AQ$55,2,FALSE))*IF(main!$AK18="是",main!$BB$4,main!$BB$3))</f>
        <v>0</v>
      </c>
      <c r="N18" s="12">
        <f>IF(ISNUMBER(SEARCH("营",main!V18)),(-$Y18+50*IF(main!$AK18="是",main!$BB$4,main!$BB$3)),(VLOOKUP(main!V18,main!$AO$4:$AQ$55,2,FALSE))*IF(main!$AK18="是",main!$BB$4,main!$BB$3))</f>
        <v>0</v>
      </c>
      <c r="O18" s="12">
        <f>IF(ISNUMBER(SEARCH("营",main!W18)),(-$Y18+50*IF(main!$AK18="是",main!$BB$4,main!$BB$3)),(VLOOKUP(main!W18,main!$AO$4:$AQ$55,2,FALSE))*IF(main!$AK18="是",main!$BB$4,main!$BB$3))</f>
        <v>0</v>
      </c>
      <c r="P18" s="12">
        <f>IF(ISNUMBER(SEARCH("营",main!X18)),(-$Y18+50*IF(main!$AK18="是",main!$BB$4,main!$BB$3)),(VLOOKUP(main!X18,main!$AO$4:$AQ$55,2,FALSE))*IF(main!$AK18="是",main!$BB$4,main!$BB$3))</f>
        <v>0</v>
      </c>
      <c r="Q18" s="12">
        <f>IF(ISNUMBER(SEARCH("营",main!Y18)),(-$Y18+50*IF(main!$AK18="是",main!$BB$4,main!$BB$3)),(VLOOKUP(main!Y18,main!$AO$4:$AQ$55,2,FALSE))*IF(main!$AK18="是",main!$BB$4,main!$BB$3))</f>
        <v>0</v>
      </c>
      <c r="R18" s="12">
        <f>IF(ISNUMBER(SEARCH("营",main!Z18)),(-$Y18+50*IF(main!$AK18="是",main!$BB$4,main!$BB$3)),(VLOOKUP(main!Z18,main!$AO$4:$AQ$55,2,FALSE))*IF(main!$AK18="是",main!$BB$4,main!$BB$3))</f>
        <v>0</v>
      </c>
      <c r="S18" s="12">
        <f>IF(ISNUMBER(SEARCH("营",main!AA18)),(-$Y18+50*IF(main!$AK18="是",main!$BB$4,main!$BB$3)),(VLOOKUP(main!AA18,main!$AO$4:$AQ$55,2,FALSE))*IF(main!$AK18="是",main!$BB$4,main!$BB$3))</f>
        <v>0</v>
      </c>
      <c r="T18" s="12">
        <f>IF(ISNUMBER(SEARCH("营",main!AB18)),(-$Y18+50*IF(main!$AK18="是",main!$BB$4,main!$BB$3)),(VLOOKUP(main!AB18,main!$AO$4:$AQ$55,2,FALSE))*IF(main!$AK18="是",main!$BB$4,main!$BB$3))</f>
        <v>0</v>
      </c>
      <c r="U18" s="12">
        <f>IF(ISNUMBER(SEARCH("营",main!AC18)),(-$Y18+50*IF(main!$AK18="是",main!$BB$4,main!$BB$3)),(VLOOKUP(main!AC18,main!$AO$4:$AQ$55,2,FALSE))*IF(main!$AK18="是",main!$BB$4,main!$BB$3))</f>
        <v>0</v>
      </c>
      <c r="V18" s="12">
        <f>IF(ISNUMBER(SEARCH("营",main!AD18)),(-$Y18+50*IF(main!$AK18="是",main!$BB$4,main!$BB$3)),(VLOOKUP(main!AD18,main!$AO$4:$AQ$55,2,FALSE))*IF(main!$AK18="是",main!$BB$4,main!$BB$3))</f>
        <v>0</v>
      </c>
      <c r="W18" s="12">
        <f>IF(ISNUMBER(SEARCH("营",main!AE18)),(-$Y18+50*IF(main!$AK18="是",main!$BB$4,main!$BB$3)),(VLOOKUP(main!AE18,main!$AO$4:$AQ$55,2,FALSE))*IF(main!$AK18="是",main!$BB$4,main!$BB$3))</f>
        <v>0</v>
      </c>
      <c r="X18" s="12">
        <f>IF(ISNUMBER(SEARCH("营",main!AF18)),(-$Y18+50*IF(main!$AK18="是",main!$BB$4,main!$BB$3)),(VLOOKUP(main!AF18,main!$AO$4:$AQ$55,2,FALSE))*IF(main!$AK18="是",main!$BB$4,main!$BB$3))</f>
        <v>0</v>
      </c>
      <c r="Y18" s="96">
        <v>250</v>
      </c>
      <c r="Z18" s="97">
        <v>46290</v>
      </c>
      <c r="AA18">
        <v>15</v>
      </c>
    </row>
    <row r="19" spans="1:27">
      <c r="A19" s="12">
        <f>IF(ISNUMBER(SEARCH("营",main!I19)),(-$Y19+50*IF(main!$AK19="是",main!$BB$4,main!$BB$3)),(VLOOKUP(main!I19,main!$AO$4:$AQ$55,2,FALSE))*IF(main!$AK19="是",main!$BB$4,main!$BB$3))</f>
        <v>-210</v>
      </c>
      <c r="B19" s="12">
        <f>IF(ISNUMBER(SEARCH("营",main!J19)),(-$Y19+50*IF(main!$AK19="是",main!$BB$4,main!$BB$3)),(VLOOKUP(main!J19,main!$AO$4:$AQ$55,2,FALSE))*IF(main!$AK19="是",main!$BB$4,main!$BB$3))</f>
        <v>-210</v>
      </c>
      <c r="C19" s="12">
        <f>IF(ISNUMBER(SEARCH("营",main!K19)),(-$Y19+50*IF(main!$AK19="是",main!$BB$4,main!$BB$3)),(VLOOKUP(main!K19,main!$AO$4:$AQ$55,2,FALSE))*IF(main!$AK19="是",main!$BB$4,main!$BB$3))</f>
        <v>-210</v>
      </c>
      <c r="D19" s="12">
        <f>IF(ISNUMBER(SEARCH("营",main!L19)),(-$Y19+50*IF(main!$AK19="是",main!$BB$4,main!$BB$3)),(VLOOKUP(main!L19,main!$AO$4:$AQ$55,2,FALSE))*IF(main!$AK19="是",main!$BB$4,main!$BB$3))</f>
        <v>-210</v>
      </c>
      <c r="E19" s="12">
        <f>IF(ISNUMBER(SEARCH("营",main!M19)),(-$Y19+50*IF(main!$AK19="是",main!$BB$4,main!$BB$3)),(VLOOKUP(main!M19,main!$AO$4:$AQ$55,2,FALSE))*IF(main!$AK19="是",main!$BB$4,main!$BB$3))</f>
        <v>0</v>
      </c>
      <c r="F19" s="12">
        <f>IF(ISNUMBER(SEARCH("营",main!N19)),(-$Y19+50*IF(main!$AK19="是",main!$BB$4,main!$BB$3)),(VLOOKUP(main!N19,main!$AO$4:$AQ$55,2,FALSE))*IF(main!$AK19="是",main!$BB$4,main!$BB$3))</f>
        <v>0</v>
      </c>
      <c r="G19" s="12">
        <f>IF(ISNUMBER(SEARCH("营",main!O19)),(-$Y19+50*IF(main!$AK19="是",main!$BB$4,main!$BB$3)),(VLOOKUP(main!O19,main!$AO$4:$AQ$55,2,FALSE))*IF(main!$AK19="是",main!$BB$4,main!$BB$3))</f>
        <v>0</v>
      </c>
      <c r="H19" s="12">
        <f>IF(ISNUMBER(SEARCH("营",main!P19)),(-$Y19+50*IF(main!$AK19="是",main!$BB$4,main!$BB$3)),(VLOOKUP(main!P19,main!$AO$4:$AQ$55,2,FALSE))*IF(main!$AK19="是",main!$BB$4,main!$BB$3))</f>
        <v>0</v>
      </c>
      <c r="I19" s="12">
        <f>IF(ISNUMBER(SEARCH("营",main!Q19)),(-$Y19+50*IF(main!$AK19="是",main!$BB$4,main!$BB$3)),(VLOOKUP(main!Q19,main!$AO$4:$AQ$55,2,FALSE))*IF(main!$AK19="是",main!$BB$4,main!$BB$3))</f>
        <v>0</v>
      </c>
      <c r="J19" s="12">
        <f>IF(ISNUMBER(SEARCH("营",main!R19)),(-$Y19+50*IF(main!$AK19="是",main!$BB$4,main!$BB$3)),(VLOOKUP(main!R19,main!$AO$4:$AQ$55,2,FALSE))*IF(main!$AK19="是",main!$BB$4,main!$BB$3))</f>
        <v>0</v>
      </c>
      <c r="K19" s="12">
        <f>IF(ISNUMBER(SEARCH("营",main!S19)),(-$Y19+50*IF(main!$AK19="是",main!$BB$4,main!$BB$3)),(VLOOKUP(main!S19,main!$AO$4:$AQ$55,2,FALSE))*IF(main!$AK19="是",main!$BB$4,main!$BB$3))</f>
        <v>0</v>
      </c>
      <c r="L19" s="12">
        <f>IF(ISNUMBER(SEARCH("营",main!T19)),(-$Y19+50*IF(main!$AK19="是",main!$BB$4,main!$BB$3)),(VLOOKUP(main!T19,main!$AO$4:$AQ$55,2,FALSE))*IF(main!$AK19="是",main!$BB$4,main!$BB$3))</f>
        <v>0</v>
      </c>
      <c r="M19" s="12">
        <f>IF(ISNUMBER(SEARCH("营",main!U19)),(-$Y19+50*IF(main!$AK19="是",main!$BB$4,main!$BB$3)),(VLOOKUP(main!U19,main!$AO$4:$AQ$55,2,FALSE))*IF(main!$AK19="是",main!$BB$4,main!$BB$3))</f>
        <v>0</v>
      </c>
      <c r="N19" s="12">
        <f>IF(ISNUMBER(SEARCH("营",main!V19)),(-$Y19+50*IF(main!$AK19="是",main!$BB$4,main!$BB$3)),(VLOOKUP(main!V19,main!$AO$4:$AQ$55,2,FALSE))*IF(main!$AK19="是",main!$BB$4,main!$BB$3))</f>
        <v>0</v>
      </c>
      <c r="O19" s="12">
        <f>IF(ISNUMBER(SEARCH("营",main!W19)),(-$Y19+50*IF(main!$AK19="是",main!$BB$4,main!$BB$3)),(VLOOKUP(main!W19,main!$AO$4:$AQ$55,2,FALSE))*IF(main!$AK19="是",main!$BB$4,main!$BB$3))</f>
        <v>0</v>
      </c>
      <c r="P19" s="12">
        <f>IF(ISNUMBER(SEARCH("营",main!X19)),(-$Y19+50*IF(main!$AK19="是",main!$BB$4,main!$BB$3)),(VLOOKUP(main!X19,main!$AO$4:$AQ$55,2,FALSE))*IF(main!$AK19="是",main!$BB$4,main!$BB$3))</f>
        <v>0</v>
      </c>
      <c r="Q19" s="12">
        <f>IF(ISNUMBER(SEARCH("营",main!Y19)),(-$Y19+50*IF(main!$AK19="是",main!$BB$4,main!$BB$3)),(VLOOKUP(main!Y19,main!$AO$4:$AQ$55,2,FALSE))*IF(main!$AK19="是",main!$BB$4,main!$BB$3))</f>
        <v>0</v>
      </c>
      <c r="R19" s="12">
        <f>IF(ISNUMBER(SEARCH("营",main!Z19)),(-$Y19+50*IF(main!$AK19="是",main!$BB$4,main!$BB$3)),(VLOOKUP(main!Z19,main!$AO$4:$AQ$55,2,FALSE))*IF(main!$AK19="是",main!$BB$4,main!$BB$3))</f>
        <v>0</v>
      </c>
      <c r="S19" s="12">
        <f>IF(ISNUMBER(SEARCH("营",main!AA19)),(-$Y19+50*IF(main!$AK19="是",main!$BB$4,main!$BB$3)),(VLOOKUP(main!AA19,main!$AO$4:$AQ$55,2,FALSE))*IF(main!$AK19="是",main!$BB$4,main!$BB$3))</f>
        <v>0</v>
      </c>
      <c r="T19" s="12">
        <f>IF(ISNUMBER(SEARCH("营",main!AB19)),(-$Y19+50*IF(main!$AK19="是",main!$BB$4,main!$BB$3)),(VLOOKUP(main!AB19,main!$AO$4:$AQ$55,2,FALSE))*IF(main!$AK19="是",main!$BB$4,main!$BB$3))</f>
        <v>0</v>
      </c>
      <c r="U19" s="12">
        <f>IF(ISNUMBER(SEARCH("营",main!AC19)),(-$Y19+50*IF(main!$AK19="是",main!$BB$4,main!$BB$3)),(VLOOKUP(main!AC19,main!$AO$4:$AQ$55,2,FALSE))*IF(main!$AK19="是",main!$BB$4,main!$BB$3))</f>
        <v>0</v>
      </c>
      <c r="V19" s="12">
        <f>IF(ISNUMBER(SEARCH("营",main!AD19)),(-$Y19+50*IF(main!$AK19="是",main!$BB$4,main!$BB$3)),(VLOOKUP(main!AD19,main!$AO$4:$AQ$55,2,FALSE))*IF(main!$AK19="是",main!$BB$4,main!$BB$3))</f>
        <v>0</v>
      </c>
      <c r="W19" s="12">
        <f>IF(ISNUMBER(SEARCH("营",main!AE19)),(-$Y19+50*IF(main!$AK19="是",main!$BB$4,main!$BB$3)),(VLOOKUP(main!AE19,main!$AO$4:$AQ$55,2,FALSE))*IF(main!$AK19="是",main!$BB$4,main!$BB$3))</f>
        <v>0</v>
      </c>
      <c r="X19" s="12">
        <f>IF(ISNUMBER(SEARCH("营",main!AF19)),(-$Y19+50*IF(main!$AK19="是",main!$BB$4,main!$BB$3)),(VLOOKUP(main!AF19,main!$AO$4:$AQ$55,2,FALSE))*IF(main!$AK19="是",main!$BB$4,main!$BB$3))</f>
        <v>0</v>
      </c>
      <c r="Y19" s="96">
        <v>250</v>
      </c>
      <c r="Z19" s="97">
        <v>46291</v>
      </c>
      <c r="AA19">
        <v>16</v>
      </c>
    </row>
    <row r="20" spans="1:27">
      <c r="A20" s="12">
        <f>IF(ISNUMBER(SEARCH("营",main!I20)),(-$Y20+50*IF(main!$AK20="是",main!$BB$4,main!$BB$3)),(VLOOKUP(main!I20,main!$AO$4:$AQ$55,2,FALSE))*IF(main!$AK20="是",main!$BB$4,main!$BB$3))</f>
        <v>144</v>
      </c>
      <c r="B20" s="12">
        <f>IF(ISNUMBER(SEARCH("营",main!J20)),(-$Y20+50*IF(main!$AK20="是",main!$BB$4,main!$BB$3)),(VLOOKUP(main!J20,main!$AO$4:$AQ$55,2,FALSE))*IF(main!$AK20="是",main!$BB$4,main!$BB$3))</f>
        <v>144</v>
      </c>
      <c r="C20" s="12">
        <f>IF(ISNUMBER(SEARCH("营",main!K20)),(-$Y20+50*IF(main!$AK20="是",main!$BB$4,main!$BB$3)),(VLOOKUP(main!K20,main!$AO$4:$AQ$55,2,FALSE))*IF(main!$AK20="是",main!$BB$4,main!$BB$3))</f>
        <v>144</v>
      </c>
      <c r="D20" s="12">
        <f>IF(ISNUMBER(SEARCH("营",main!L20)),(-$Y20+50*IF(main!$AK20="是",main!$BB$4,main!$BB$3)),(VLOOKUP(main!L20,main!$AO$4:$AQ$55,2,FALSE))*IF(main!$AK20="是",main!$BB$4,main!$BB$3))</f>
        <v>144</v>
      </c>
      <c r="E20" s="12">
        <f>IF(ISNUMBER(SEARCH("营",main!M20)),(-$Y20+50*IF(main!$AK20="是",main!$BB$4,main!$BB$3)),(VLOOKUP(main!M20,main!$AO$4:$AQ$55,2,FALSE))*IF(main!$AK20="是",main!$BB$4,main!$BB$3))</f>
        <v>144</v>
      </c>
      <c r="F20" s="12">
        <f>IF(ISNUMBER(SEARCH("营",main!N20)),(-$Y20+50*IF(main!$AK20="是",main!$BB$4,main!$BB$3)),(VLOOKUP(main!N20,main!$AO$4:$AQ$55,2,FALSE))*IF(main!$AK20="是",main!$BB$4,main!$BB$3))</f>
        <v>144</v>
      </c>
      <c r="G20" s="12">
        <f>IF(ISNUMBER(SEARCH("营",main!O20)),(-$Y20+50*IF(main!$AK20="是",main!$BB$4,main!$BB$3)),(VLOOKUP(main!O20,main!$AO$4:$AQ$55,2,FALSE))*IF(main!$AK20="是",main!$BB$4,main!$BB$3))</f>
        <v>144</v>
      </c>
      <c r="H20" s="12">
        <f>IF(ISNUMBER(SEARCH("营",main!P20)),(-$Y20+50*IF(main!$AK20="是",main!$BB$4,main!$BB$3)),(VLOOKUP(main!P20,main!$AO$4:$AQ$55,2,FALSE))*IF(main!$AK20="是",main!$BB$4,main!$BB$3))</f>
        <v>144</v>
      </c>
      <c r="I20" s="12">
        <f>IF(ISNUMBER(SEARCH("营",main!Q20)),(-$Y20+50*IF(main!$AK20="是",main!$BB$4,main!$BB$3)),(VLOOKUP(main!Q20,main!$AO$4:$AQ$55,2,FALSE))*IF(main!$AK20="是",main!$BB$4,main!$BB$3))</f>
        <v>152</v>
      </c>
      <c r="J20" s="12">
        <f>IF(ISNUMBER(SEARCH("营",main!R20)),(-$Y20+50*IF(main!$AK20="是",main!$BB$4,main!$BB$3)),(VLOOKUP(main!R20,main!$AO$4:$AQ$55,2,FALSE))*IF(main!$AK20="是",main!$BB$4,main!$BB$3))</f>
        <v>152</v>
      </c>
      <c r="K20" s="12">
        <f>IF(ISNUMBER(SEARCH("营",main!S20)),(-$Y20+50*IF(main!$AK20="是",main!$BB$4,main!$BB$3)),(VLOOKUP(main!S20,main!$AO$4:$AQ$55,2,FALSE))*IF(main!$AK20="是",main!$BB$4,main!$BB$3))</f>
        <v>152</v>
      </c>
      <c r="L20" s="12">
        <f>IF(ISNUMBER(SEARCH("营",main!T20)),(-$Y20+50*IF(main!$AK20="是",main!$BB$4,main!$BB$3)),(VLOOKUP(main!T20,main!$AO$4:$AQ$55,2,FALSE))*IF(main!$AK20="是",main!$BB$4,main!$BB$3))</f>
        <v>152</v>
      </c>
      <c r="M20" s="12">
        <f>IF(ISNUMBER(SEARCH("营",main!U20)),(-$Y20+50*IF(main!$AK20="是",main!$BB$4,main!$BB$3)),(VLOOKUP(main!U20,main!$AO$4:$AQ$55,2,FALSE))*IF(main!$AK20="是",main!$BB$4,main!$BB$3))</f>
        <v>152</v>
      </c>
      <c r="N20" s="12">
        <f>IF(ISNUMBER(SEARCH("营",main!V20)),(-$Y20+50*IF(main!$AK20="是",main!$BB$4,main!$BB$3)),(VLOOKUP(main!V20,main!$AO$4:$AQ$55,2,FALSE))*IF(main!$AK20="是",main!$BB$4,main!$BB$3))</f>
        <v>152</v>
      </c>
      <c r="O20" s="12">
        <f>IF(ISNUMBER(SEARCH("营",main!W20)),(-$Y20+50*IF(main!$AK20="是",main!$BB$4,main!$BB$3)),(VLOOKUP(main!W20,main!$AO$4:$AQ$55,2,FALSE))*IF(main!$AK20="是",main!$BB$4,main!$BB$3))</f>
        <v>152</v>
      </c>
      <c r="P20" s="12">
        <f>IF(ISNUMBER(SEARCH("营",main!X20)),(-$Y20+50*IF(main!$AK20="是",main!$BB$4,main!$BB$3)),(VLOOKUP(main!X20,main!$AO$4:$AQ$55,2,FALSE))*IF(main!$AK20="是",main!$BB$4,main!$BB$3))</f>
        <v>152</v>
      </c>
      <c r="Q20" s="12">
        <f>IF(ISNUMBER(SEARCH("营",main!Y20)),(-$Y20+50*IF(main!$AK20="是",main!$BB$4,main!$BB$3)),(VLOOKUP(main!Y20,main!$AO$4:$AQ$55,2,FALSE))*IF(main!$AK20="是",main!$BB$4,main!$BB$3))</f>
        <v>160</v>
      </c>
      <c r="R20" s="12">
        <f>IF(ISNUMBER(SEARCH("营",main!Z20)),(-$Y20+50*IF(main!$AK20="是",main!$BB$4,main!$BB$3)),(VLOOKUP(main!Z20,main!$AO$4:$AQ$55,2,FALSE))*IF(main!$AK20="是",main!$BB$4,main!$BB$3))</f>
        <v>160</v>
      </c>
      <c r="S20" s="12">
        <f>IF(ISNUMBER(SEARCH("营",main!AA20)),(-$Y20+50*IF(main!$AK20="是",main!$BB$4,main!$BB$3)),(VLOOKUP(main!AA20,main!$AO$4:$AQ$55,2,FALSE))*IF(main!$AK20="是",main!$BB$4,main!$BB$3))</f>
        <v>160</v>
      </c>
      <c r="T20" s="12">
        <f>IF(ISNUMBER(SEARCH("营",main!AB20)),(-$Y20+50*IF(main!$AK20="是",main!$BB$4,main!$BB$3)),(VLOOKUP(main!AB20,main!$AO$4:$AQ$55,2,FALSE))*IF(main!$AK20="是",main!$BB$4,main!$BB$3))</f>
        <v>160</v>
      </c>
      <c r="U20" s="12">
        <f>IF(ISNUMBER(SEARCH("营",main!AC20)),(-$Y20+50*IF(main!$AK20="是",main!$BB$4,main!$BB$3)),(VLOOKUP(main!AC20,main!$AO$4:$AQ$55,2,FALSE))*IF(main!$AK20="是",main!$BB$4,main!$BB$3))</f>
        <v>160</v>
      </c>
      <c r="V20" s="12">
        <f>IF(ISNUMBER(SEARCH("营",main!AD20)),(-$Y20+50*IF(main!$AK20="是",main!$BB$4,main!$BB$3)),(VLOOKUP(main!AD20,main!$AO$4:$AQ$55,2,FALSE))*IF(main!$AK20="是",main!$BB$4,main!$BB$3))</f>
        <v>160</v>
      </c>
      <c r="W20" s="12">
        <f>IF(ISNUMBER(SEARCH("营",main!AE20)),(-$Y20+50*IF(main!$AK20="是",main!$BB$4,main!$BB$3)),(VLOOKUP(main!AE20,main!$AO$4:$AQ$55,2,FALSE))*IF(main!$AK20="是",main!$BB$4,main!$BB$3))</f>
        <v>160</v>
      </c>
      <c r="X20" s="12">
        <f>IF(ISNUMBER(SEARCH("营",main!AF20)),(-$Y20+50*IF(main!$AK20="是",main!$BB$4,main!$BB$3)),(VLOOKUP(main!AF20,main!$AO$4:$AQ$55,2,FALSE))*IF(main!$AK20="是",main!$BB$4,main!$BB$3))</f>
        <v>160</v>
      </c>
      <c r="Y20" s="96">
        <v>250</v>
      </c>
      <c r="Z20" s="97">
        <v>46292</v>
      </c>
      <c r="AA20">
        <v>17</v>
      </c>
    </row>
    <row r="21" spans="1:27">
      <c r="A21" s="12">
        <f>IF(ISNUMBER(SEARCH("营",main!I21)),(-$Y21+50*IF(main!$AK21="是",main!$BB$4,main!$BB$3)),(VLOOKUP(main!I21,main!$AO$4:$AQ$55,2,FALSE))*IF(main!$AK21="是",main!$BB$4,main!$BB$3))</f>
        <v>144</v>
      </c>
      <c r="B21" s="12">
        <f>IF(ISNUMBER(SEARCH("营",main!J21)),(-$Y21+50*IF(main!$AK21="是",main!$BB$4,main!$BB$3)),(VLOOKUP(main!J21,main!$AO$4:$AQ$55,2,FALSE))*IF(main!$AK21="是",main!$BB$4,main!$BB$3))</f>
        <v>144</v>
      </c>
      <c r="C21" s="12">
        <f>IF(ISNUMBER(SEARCH("营",main!K21)),(-$Y21+50*IF(main!$AK21="是",main!$BB$4,main!$BB$3)),(VLOOKUP(main!K21,main!$AO$4:$AQ$55,2,FALSE))*IF(main!$AK21="是",main!$BB$4,main!$BB$3))</f>
        <v>144</v>
      </c>
      <c r="D21" s="12">
        <f>IF(ISNUMBER(SEARCH("营",main!L21)),(-$Y21+50*IF(main!$AK21="是",main!$BB$4,main!$BB$3)),(VLOOKUP(main!L21,main!$AO$4:$AQ$55,2,FALSE))*IF(main!$AK21="是",main!$BB$4,main!$BB$3))</f>
        <v>144</v>
      </c>
      <c r="E21" s="12">
        <f>IF(ISNUMBER(SEARCH("营",main!M21)),(-$Y21+50*IF(main!$AK21="是",main!$BB$4,main!$BB$3)),(VLOOKUP(main!M21,main!$AO$4:$AQ$55,2,FALSE))*IF(main!$AK21="是",main!$BB$4,main!$BB$3))</f>
        <v>144</v>
      </c>
      <c r="F21" s="12">
        <f>IF(ISNUMBER(SEARCH("营",main!N21)),(-$Y21+50*IF(main!$AK21="是",main!$BB$4,main!$BB$3)),(VLOOKUP(main!N21,main!$AO$4:$AQ$55,2,FALSE))*IF(main!$AK21="是",main!$BB$4,main!$BB$3))</f>
        <v>144</v>
      </c>
      <c r="G21" s="12">
        <f>IF(ISNUMBER(SEARCH("营",main!O21)),(-$Y21+50*IF(main!$AK21="是",main!$BB$4,main!$BB$3)),(VLOOKUP(main!O21,main!$AO$4:$AQ$55,2,FALSE))*IF(main!$AK21="是",main!$BB$4,main!$BB$3))</f>
        <v>144</v>
      </c>
      <c r="H21" s="12">
        <f>IF(ISNUMBER(SEARCH("营",main!P21)),(-$Y21+50*IF(main!$AK21="是",main!$BB$4,main!$BB$3)),(VLOOKUP(main!P21,main!$AO$4:$AQ$55,2,FALSE))*IF(main!$AK21="是",main!$BB$4,main!$BB$3))</f>
        <v>144</v>
      </c>
      <c r="I21" s="12">
        <f>IF(ISNUMBER(SEARCH("营",main!Q21)),(-$Y21+50*IF(main!$AK21="是",main!$BB$4,main!$BB$3)),(VLOOKUP(main!Q21,main!$AO$4:$AQ$55,2,FALSE))*IF(main!$AK21="是",main!$BB$4,main!$BB$3))</f>
        <v>152</v>
      </c>
      <c r="J21" s="12">
        <f>IF(ISNUMBER(SEARCH("营",main!R21)),(-$Y21+50*IF(main!$AK21="是",main!$BB$4,main!$BB$3)),(VLOOKUP(main!R21,main!$AO$4:$AQ$55,2,FALSE))*IF(main!$AK21="是",main!$BB$4,main!$BB$3))</f>
        <v>152</v>
      </c>
      <c r="K21" s="12">
        <f>IF(ISNUMBER(SEARCH("营",main!S21)),(-$Y21+50*IF(main!$AK21="是",main!$BB$4,main!$BB$3)),(VLOOKUP(main!S21,main!$AO$4:$AQ$55,2,FALSE))*IF(main!$AK21="是",main!$BB$4,main!$BB$3))</f>
        <v>152</v>
      </c>
      <c r="L21" s="12">
        <f>IF(ISNUMBER(SEARCH("营",main!T21)),(-$Y21+50*IF(main!$AK21="是",main!$BB$4,main!$BB$3)),(VLOOKUP(main!T21,main!$AO$4:$AQ$55,2,FALSE))*IF(main!$AK21="是",main!$BB$4,main!$BB$3))</f>
        <v>152</v>
      </c>
      <c r="M21" s="12">
        <f>IF(ISNUMBER(SEARCH("营",main!U21)),(-$Y21+50*IF(main!$AK21="是",main!$BB$4,main!$BB$3)),(VLOOKUP(main!U21,main!$AO$4:$AQ$55,2,FALSE))*IF(main!$AK21="是",main!$BB$4,main!$BB$3))</f>
        <v>152</v>
      </c>
      <c r="N21" s="12">
        <f>IF(ISNUMBER(SEARCH("营",main!V21)),(-$Y21+50*IF(main!$AK21="是",main!$BB$4,main!$BB$3)),(VLOOKUP(main!V21,main!$AO$4:$AQ$55,2,FALSE))*IF(main!$AK21="是",main!$BB$4,main!$BB$3))</f>
        <v>152</v>
      </c>
      <c r="O21" s="12">
        <f>IF(ISNUMBER(SEARCH("营",main!W21)),(-$Y21+50*IF(main!$AK21="是",main!$BB$4,main!$BB$3)),(VLOOKUP(main!W21,main!$AO$4:$AQ$55,2,FALSE))*IF(main!$AK21="是",main!$BB$4,main!$BB$3))</f>
        <v>152</v>
      </c>
      <c r="P21" s="12">
        <f>IF(ISNUMBER(SEARCH("营",main!X21)),(-$Y21+50*IF(main!$AK21="是",main!$BB$4,main!$BB$3)),(VLOOKUP(main!X21,main!$AO$4:$AQ$55,2,FALSE))*IF(main!$AK21="是",main!$BB$4,main!$BB$3))</f>
        <v>152</v>
      </c>
      <c r="Q21" s="12">
        <f>IF(ISNUMBER(SEARCH("营",main!Y21)),(-$Y21+50*IF(main!$AK21="是",main!$BB$4,main!$BB$3)),(VLOOKUP(main!Y21,main!$AO$4:$AQ$55,2,FALSE))*IF(main!$AK21="是",main!$BB$4,main!$BB$3))</f>
        <v>160</v>
      </c>
      <c r="R21" s="12">
        <f>IF(ISNUMBER(SEARCH("营",main!Z21)),(-$Y21+50*IF(main!$AK21="是",main!$BB$4,main!$BB$3)),(VLOOKUP(main!Z21,main!$AO$4:$AQ$55,2,FALSE))*IF(main!$AK21="是",main!$BB$4,main!$BB$3))</f>
        <v>160</v>
      </c>
      <c r="S21" s="12">
        <f>IF(ISNUMBER(SEARCH("营",main!AA21)),(-$Y21+50*IF(main!$AK21="是",main!$BB$4,main!$BB$3)),(VLOOKUP(main!AA21,main!$AO$4:$AQ$55,2,FALSE))*IF(main!$AK21="是",main!$BB$4,main!$BB$3))</f>
        <v>160</v>
      </c>
      <c r="T21" s="12">
        <f>IF(ISNUMBER(SEARCH("营",main!AB21)),(-$Y21+50*IF(main!$AK21="是",main!$BB$4,main!$BB$3)),(VLOOKUP(main!AB21,main!$AO$4:$AQ$55,2,FALSE))*IF(main!$AK21="是",main!$BB$4,main!$BB$3))</f>
        <v>160</v>
      </c>
      <c r="U21" s="12">
        <f>IF(ISNUMBER(SEARCH("营",main!AC21)),(-$Y21+50*IF(main!$AK21="是",main!$BB$4,main!$BB$3)),(VLOOKUP(main!AC21,main!$AO$4:$AQ$55,2,FALSE))*IF(main!$AK21="是",main!$BB$4,main!$BB$3))</f>
        <v>160</v>
      </c>
      <c r="V21" s="12">
        <f>IF(ISNUMBER(SEARCH("营",main!AD21)),(-$Y21+50*IF(main!$AK21="是",main!$BB$4,main!$BB$3)),(VLOOKUP(main!AD21,main!$AO$4:$AQ$55,2,FALSE))*IF(main!$AK21="是",main!$BB$4,main!$BB$3))</f>
        <v>160</v>
      </c>
      <c r="W21" s="12">
        <f>IF(ISNUMBER(SEARCH("营",main!AE21)),(-$Y21+50*IF(main!$AK21="是",main!$BB$4,main!$BB$3)),(VLOOKUP(main!AE21,main!$AO$4:$AQ$55,2,FALSE))*IF(main!$AK21="是",main!$BB$4,main!$BB$3))</f>
        <v>160</v>
      </c>
      <c r="X21" s="12">
        <f>IF(ISNUMBER(SEARCH("营",main!AF21)),(-$Y21+50*IF(main!$AK21="是",main!$BB$4,main!$BB$3)),(VLOOKUP(main!AF21,main!$AO$4:$AQ$55,2,FALSE))*IF(main!$AK21="是",main!$BB$4,main!$BB$3))</f>
        <v>160</v>
      </c>
      <c r="Y21" s="96">
        <v>250</v>
      </c>
      <c r="Z21" s="97">
        <v>46293</v>
      </c>
      <c r="AA21">
        <v>18</v>
      </c>
    </row>
    <row r="22" spans="1:27">
      <c r="A22" s="12">
        <f>IF(ISNUMBER(SEARCH("营",main!I22)),(-$Y22+50*IF(main!$AK22="是",main!$BB$4,main!$BB$3)),(VLOOKUP(main!I22,main!$AO$4:$AQ$55,2,FALSE))*IF(main!$AK22="是",main!$BB$4,main!$BB$3))</f>
        <v>144</v>
      </c>
      <c r="B22" s="12">
        <f>IF(ISNUMBER(SEARCH("营",main!J22)),(-$Y22+50*IF(main!$AK22="是",main!$BB$4,main!$BB$3)),(VLOOKUP(main!J22,main!$AO$4:$AQ$55,2,FALSE))*IF(main!$AK22="是",main!$BB$4,main!$BB$3))</f>
        <v>144</v>
      </c>
      <c r="C22" s="12">
        <f>IF(ISNUMBER(SEARCH("营",main!K22)),(-$Y22+50*IF(main!$AK22="是",main!$BB$4,main!$BB$3)),(VLOOKUP(main!K22,main!$AO$4:$AQ$55,2,FALSE))*IF(main!$AK22="是",main!$BB$4,main!$BB$3))</f>
        <v>144</v>
      </c>
      <c r="D22" s="12">
        <f>IF(ISNUMBER(SEARCH("营",main!L22)),(-$Y22+50*IF(main!$AK22="是",main!$BB$4,main!$BB$3)),(VLOOKUP(main!L22,main!$AO$4:$AQ$55,2,FALSE))*IF(main!$AK22="是",main!$BB$4,main!$BB$3))</f>
        <v>144</v>
      </c>
      <c r="E22" s="12">
        <f>IF(ISNUMBER(SEARCH("营",main!M22)),(-$Y22+50*IF(main!$AK22="是",main!$BB$4,main!$BB$3)),(VLOOKUP(main!M22,main!$AO$4:$AQ$55,2,FALSE))*IF(main!$AK22="是",main!$BB$4,main!$BB$3))</f>
        <v>144</v>
      </c>
      <c r="F22" s="12">
        <f>IF(ISNUMBER(SEARCH("营",main!N22)),(-$Y22+50*IF(main!$AK22="是",main!$BB$4,main!$BB$3)),(VLOOKUP(main!N22,main!$AO$4:$AQ$55,2,FALSE))*IF(main!$AK22="是",main!$BB$4,main!$BB$3))</f>
        <v>144</v>
      </c>
      <c r="G22" s="12">
        <f>IF(ISNUMBER(SEARCH("营",main!O22)),(-$Y22+50*IF(main!$AK22="是",main!$BB$4,main!$BB$3)),(VLOOKUP(main!O22,main!$AO$4:$AQ$55,2,FALSE))*IF(main!$AK22="是",main!$BB$4,main!$BB$3))</f>
        <v>144</v>
      </c>
      <c r="H22" s="12">
        <f>IF(ISNUMBER(SEARCH("营",main!P22)),(-$Y22+50*IF(main!$AK22="是",main!$BB$4,main!$BB$3)),(VLOOKUP(main!P22,main!$AO$4:$AQ$55,2,FALSE))*IF(main!$AK22="是",main!$BB$4,main!$BB$3))</f>
        <v>144</v>
      </c>
      <c r="I22" s="12">
        <f>IF(ISNUMBER(SEARCH("营",main!Q22)),(-$Y22+50*IF(main!$AK22="是",main!$BB$4,main!$BB$3)),(VLOOKUP(main!Q22,main!$AO$4:$AQ$55,2,FALSE))*IF(main!$AK22="是",main!$BB$4,main!$BB$3))</f>
        <v>152</v>
      </c>
      <c r="J22" s="12">
        <f>IF(ISNUMBER(SEARCH("营",main!R22)),(-$Y22+50*IF(main!$AK22="是",main!$BB$4,main!$BB$3)),(VLOOKUP(main!R22,main!$AO$4:$AQ$55,2,FALSE))*IF(main!$AK22="是",main!$BB$4,main!$BB$3))</f>
        <v>152</v>
      </c>
      <c r="K22" s="12">
        <f>IF(ISNUMBER(SEARCH("营",main!S22)),(-$Y22+50*IF(main!$AK22="是",main!$BB$4,main!$BB$3)),(VLOOKUP(main!S22,main!$AO$4:$AQ$55,2,FALSE))*IF(main!$AK22="是",main!$BB$4,main!$BB$3))</f>
        <v>152</v>
      </c>
      <c r="L22" s="12">
        <f>IF(ISNUMBER(SEARCH("营",main!T22)),(-$Y22+50*IF(main!$AK22="是",main!$BB$4,main!$BB$3)),(VLOOKUP(main!T22,main!$AO$4:$AQ$55,2,FALSE))*IF(main!$AK22="是",main!$BB$4,main!$BB$3))</f>
        <v>152</v>
      </c>
      <c r="M22" s="12">
        <f>IF(ISNUMBER(SEARCH("营",main!U22)),(-$Y22+50*IF(main!$AK22="是",main!$BB$4,main!$BB$3)),(VLOOKUP(main!U22,main!$AO$4:$AQ$55,2,FALSE))*IF(main!$AK22="是",main!$BB$4,main!$BB$3))</f>
        <v>152</v>
      </c>
      <c r="N22" s="12">
        <f>IF(ISNUMBER(SEARCH("营",main!V22)),(-$Y22+50*IF(main!$AK22="是",main!$BB$4,main!$BB$3)),(VLOOKUP(main!V22,main!$AO$4:$AQ$55,2,FALSE))*IF(main!$AK22="是",main!$BB$4,main!$BB$3))</f>
        <v>152</v>
      </c>
      <c r="O22" s="12">
        <f>IF(ISNUMBER(SEARCH("营",main!W22)),(-$Y22+50*IF(main!$AK22="是",main!$BB$4,main!$BB$3)),(VLOOKUP(main!W22,main!$AO$4:$AQ$55,2,FALSE))*IF(main!$AK22="是",main!$BB$4,main!$BB$3))</f>
        <v>152</v>
      </c>
      <c r="P22" s="12">
        <f>IF(ISNUMBER(SEARCH("营",main!X22)),(-$Y22+50*IF(main!$AK22="是",main!$BB$4,main!$BB$3)),(VLOOKUP(main!X22,main!$AO$4:$AQ$55,2,FALSE))*IF(main!$AK22="是",main!$BB$4,main!$BB$3))</f>
        <v>152</v>
      </c>
      <c r="Q22" s="12">
        <f>IF(ISNUMBER(SEARCH("营",main!Y22)),(-$Y22+50*IF(main!$AK22="是",main!$BB$4,main!$BB$3)),(VLOOKUP(main!Y22,main!$AO$4:$AQ$55,2,FALSE))*IF(main!$AK22="是",main!$BB$4,main!$BB$3))</f>
        <v>160</v>
      </c>
      <c r="R22" s="12">
        <f>IF(ISNUMBER(SEARCH("营",main!Z22)),(-$Y22+50*IF(main!$AK22="是",main!$BB$4,main!$BB$3)),(VLOOKUP(main!Z22,main!$AO$4:$AQ$55,2,FALSE))*IF(main!$AK22="是",main!$BB$4,main!$BB$3))</f>
        <v>160</v>
      </c>
      <c r="S22" s="12">
        <f>IF(ISNUMBER(SEARCH("营",main!AA22)),(-$Y22+50*IF(main!$AK22="是",main!$BB$4,main!$BB$3)),(VLOOKUP(main!AA22,main!$AO$4:$AQ$55,2,FALSE))*IF(main!$AK22="是",main!$BB$4,main!$BB$3))</f>
        <v>160</v>
      </c>
      <c r="T22" s="12">
        <f>IF(ISNUMBER(SEARCH("营",main!AB22)),(-$Y22+50*IF(main!$AK22="是",main!$BB$4,main!$BB$3)),(VLOOKUP(main!AB22,main!$AO$4:$AQ$55,2,FALSE))*IF(main!$AK22="是",main!$BB$4,main!$BB$3))</f>
        <v>160</v>
      </c>
      <c r="U22" s="12">
        <f>IF(ISNUMBER(SEARCH("营",main!AC22)),(-$Y22+50*IF(main!$AK22="是",main!$BB$4,main!$BB$3)),(VLOOKUP(main!AC22,main!$AO$4:$AQ$55,2,FALSE))*IF(main!$AK22="是",main!$BB$4,main!$BB$3))</f>
        <v>160</v>
      </c>
      <c r="V22" s="12">
        <f>IF(ISNUMBER(SEARCH("营",main!AD22)),(-$Y22+50*IF(main!$AK22="是",main!$BB$4,main!$BB$3)),(VLOOKUP(main!AD22,main!$AO$4:$AQ$55,2,FALSE))*IF(main!$AK22="是",main!$BB$4,main!$BB$3))</f>
        <v>160</v>
      </c>
      <c r="W22" s="12">
        <f>IF(ISNUMBER(SEARCH("营",main!AE22)),(-$Y22+50*IF(main!$AK22="是",main!$BB$4,main!$BB$3)),(VLOOKUP(main!AE22,main!$AO$4:$AQ$55,2,FALSE))*IF(main!$AK22="是",main!$BB$4,main!$BB$3))</f>
        <v>160</v>
      </c>
      <c r="X22" s="12">
        <f>IF(ISNUMBER(SEARCH("营",main!AF22)),(-$Y22+50*IF(main!$AK22="是",main!$BB$4,main!$BB$3)),(VLOOKUP(main!AF22,main!$AO$4:$AQ$55,2,FALSE))*IF(main!$AK22="是",main!$BB$4,main!$BB$3))</f>
        <v>160</v>
      </c>
      <c r="Y22" s="96">
        <v>250</v>
      </c>
      <c r="Z22" s="97">
        <v>46294</v>
      </c>
      <c r="AA22">
        <v>19</v>
      </c>
    </row>
    <row r="23" spans="1:27">
      <c r="A23" s="12">
        <f>IF(ISNUMBER(SEARCH("营",main!I23)),(-$Y23+50*IF(main!$AK23="是",main!$BB$4,main!$BB$3)),(VLOOKUP(main!I23,main!$AO$4:$AQ$55,2,FALSE))*IF(main!$AK23="是",main!$BB$4,main!$BB$3))</f>
        <v>144</v>
      </c>
      <c r="B23" s="12">
        <f>IF(ISNUMBER(SEARCH("营",main!J23)),(-$Y23+50*IF(main!$AK23="是",main!$BB$4,main!$BB$3)),(VLOOKUP(main!J23,main!$AO$4:$AQ$55,2,FALSE))*IF(main!$AK23="是",main!$BB$4,main!$BB$3))</f>
        <v>144</v>
      </c>
      <c r="C23" s="12">
        <f>IF(ISNUMBER(SEARCH("营",main!K23)),(-$Y23+50*IF(main!$AK23="是",main!$BB$4,main!$BB$3)),(VLOOKUP(main!K23,main!$AO$4:$AQ$55,2,FALSE))*IF(main!$AK23="是",main!$BB$4,main!$BB$3))</f>
        <v>144</v>
      </c>
      <c r="D23" s="12">
        <f>IF(ISNUMBER(SEARCH("营",main!L23)),(-$Y23+50*IF(main!$AK23="是",main!$BB$4,main!$BB$3)),(VLOOKUP(main!L23,main!$AO$4:$AQ$55,2,FALSE))*IF(main!$AK23="是",main!$BB$4,main!$BB$3))</f>
        <v>144</v>
      </c>
      <c r="E23" s="12">
        <f>IF(ISNUMBER(SEARCH("营",main!M23)),(-$Y23+50*IF(main!$AK23="是",main!$BB$4,main!$BB$3)),(VLOOKUP(main!M23,main!$AO$4:$AQ$55,2,FALSE))*IF(main!$AK23="是",main!$BB$4,main!$BB$3))</f>
        <v>144</v>
      </c>
      <c r="F23" s="12">
        <f>IF(ISNUMBER(SEARCH("营",main!N23)),(-$Y23+50*IF(main!$AK23="是",main!$BB$4,main!$BB$3)),(VLOOKUP(main!N23,main!$AO$4:$AQ$55,2,FALSE))*IF(main!$AK23="是",main!$BB$4,main!$BB$3))</f>
        <v>144</v>
      </c>
      <c r="G23" s="12">
        <f>IF(ISNUMBER(SEARCH("营",main!O23)),(-$Y23+50*IF(main!$AK23="是",main!$BB$4,main!$BB$3)),(VLOOKUP(main!O23,main!$AO$4:$AQ$55,2,FALSE))*IF(main!$AK23="是",main!$BB$4,main!$BB$3))</f>
        <v>144</v>
      </c>
      <c r="H23" s="12">
        <f>IF(ISNUMBER(SEARCH("营",main!P23)),(-$Y23+50*IF(main!$AK23="是",main!$BB$4,main!$BB$3)),(VLOOKUP(main!P23,main!$AO$4:$AQ$55,2,FALSE))*IF(main!$AK23="是",main!$BB$4,main!$BB$3))</f>
        <v>144</v>
      </c>
      <c r="I23" s="12">
        <f>IF(ISNUMBER(SEARCH("营",main!Q23)),(-$Y23+50*IF(main!$AK23="是",main!$BB$4,main!$BB$3)),(VLOOKUP(main!Q23,main!$AO$4:$AQ$55,2,FALSE))*IF(main!$AK23="是",main!$BB$4,main!$BB$3))</f>
        <v>152</v>
      </c>
      <c r="J23" s="12">
        <f>IF(ISNUMBER(SEARCH("营",main!R23)),(-$Y23+50*IF(main!$AK23="是",main!$BB$4,main!$BB$3)),(VLOOKUP(main!R23,main!$AO$4:$AQ$55,2,FALSE))*IF(main!$AK23="是",main!$BB$4,main!$BB$3))</f>
        <v>152</v>
      </c>
      <c r="K23" s="12">
        <f>IF(ISNUMBER(SEARCH("营",main!S23)),(-$Y23+50*IF(main!$AK23="是",main!$BB$4,main!$BB$3)),(VLOOKUP(main!S23,main!$AO$4:$AQ$55,2,FALSE))*IF(main!$AK23="是",main!$BB$4,main!$BB$3))</f>
        <v>152</v>
      </c>
      <c r="L23" s="12">
        <f>IF(ISNUMBER(SEARCH("营",main!T23)),(-$Y23+50*IF(main!$AK23="是",main!$BB$4,main!$BB$3)),(VLOOKUP(main!T23,main!$AO$4:$AQ$55,2,FALSE))*IF(main!$AK23="是",main!$BB$4,main!$BB$3))</f>
        <v>152</v>
      </c>
      <c r="M23" s="12">
        <f>IF(ISNUMBER(SEARCH("营",main!U23)),(-$Y23+50*IF(main!$AK23="是",main!$BB$4,main!$BB$3)),(VLOOKUP(main!U23,main!$AO$4:$AQ$55,2,FALSE))*IF(main!$AK23="是",main!$BB$4,main!$BB$3))</f>
        <v>152</v>
      </c>
      <c r="N23" s="12">
        <f>IF(ISNUMBER(SEARCH("营",main!V23)),(-$Y23+50*IF(main!$AK23="是",main!$BB$4,main!$BB$3)),(VLOOKUP(main!V23,main!$AO$4:$AQ$55,2,FALSE))*IF(main!$AK23="是",main!$BB$4,main!$BB$3))</f>
        <v>152</v>
      </c>
      <c r="O23" s="12">
        <f>IF(ISNUMBER(SEARCH("营",main!W23)),(-$Y23+50*IF(main!$AK23="是",main!$BB$4,main!$BB$3)),(VLOOKUP(main!W23,main!$AO$4:$AQ$55,2,FALSE))*IF(main!$AK23="是",main!$BB$4,main!$BB$3))</f>
        <v>152</v>
      </c>
      <c r="P23" s="12">
        <f>IF(ISNUMBER(SEARCH("营",main!X23)),(-$Y23+50*IF(main!$AK23="是",main!$BB$4,main!$BB$3)),(VLOOKUP(main!X23,main!$AO$4:$AQ$55,2,FALSE))*IF(main!$AK23="是",main!$BB$4,main!$BB$3))</f>
        <v>152</v>
      </c>
      <c r="Q23" s="12">
        <f>IF(ISNUMBER(SEARCH("营",main!Y23)),(-$Y23+50*IF(main!$AK23="是",main!$BB$4,main!$BB$3)),(VLOOKUP(main!Y23,main!$AO$4:$AQ$55,2,FALSE))*IF(main!$AK23="是",main!$BB$4,main!$BB$3))</f>
        <v>160</v>
      </c>
      <c r="R23" s="12">
        <f>IF(ISNUMBER(SEARCH("营",main!Z23)),(-$Y23+50*IF(main!$AK23="是",main!$BB$4,main!$BB$3)),(VLOOKUP(main!Z23,main!$AO$4:$AQ$55,2,FALSE))*IF(main!$AK23="是",main!$BB$4,main!$BB$3))</f>
        <v>160</v>
      </c>
      <c r="S23" s="12">
        <f>IF(ISNUMBER(SEARCH("营",main!AA23)),(-$Y23+50*IF(main!$AK23="是",main!$BB$4,main!$BB$3)),(VLOOKUP(main!AA23,main!$AO$4:$AQ$55,2,FALSE))*IF(main!$AK23="是",main!$BB$4,main!$BB$3))</f>
        <v>160</v>
      </c>
      <c r="T23" s="12">
        <f>IF(ISNUMBER(SEARCH("营",main!AB23)),(-$Y23+50*IF(main!$AK23="是",main!$BB$4,main!$BB$3)),(VLOOKUP(main!AB23,main!$AO$4:$AQ$55,2,FALSE))*IF(main!$AK23="是",main!$BB$4,main!$BB$3))</f>
        <v>160</v>
      </c>
      <c r="U23" s="12">
        <f>IF(ISNUMBER(SEARCH("营",main!AC23)),(-$Y23+50*IF(main!$AK23="是",main!$BB$4,main!$BB$3)),(VLOOKUP(main!AC23,main!$AO$4:$AQ$55,2,FALSE))*IF(main!$AK23="是",main!$BB$4,main!$BB$3))</f>
        <v>160</v>
      </c>
      <c r="V23" s="12">
        <f>IF(ISNUMBER(SEARCH("营",main!AD23)),(-$Y23+50*IF(main!$AK23="是",main!$BB$4,main!$BB$3)),(VLOOKUP(main!AD23,main!$AO$4:$AQ$55,2,FALSE))*IF(main!$AK23="是",main!$BB$4,main!$BB$3))</f>
        <v>160</v>
      </c>
      <c r="W23" s="12">
        <f>IF(ISNUMBER(SEARCH("营",main!AE23)),(-$Y23+50*IF(main!$AK23="是",main!$BB$4,main!$BB$3)),(VLOOKUP(main!AE23,main!$AO$4:$AQ$55,2,FALSE))*IF(main!$AK23="是",main!$BB$4,main!$BB$3))</f>
        <v>160</v>
      </c>
      <c r="X23" s="12">
        <f>IF(ISNUMBER(SEARCH("营",main!AF23)),(-$Y23+50*IF(main!$AK23="是",main!$BB$4,main!$BB$3)),(VLOOKUP(main!AF23,main!$AO$4:$AQ$55,2,FALSE))*IF(main!$AK23="是",main!$BB$4,main!$BB$3))</f>
        <v>160</v>
      </c>
      <c r="Y23" s="96">
        <v>250</v>
      </c>
      <c r="Z23" s="97">
        <v>46295</v>
      </c>
      <c r="AA23">
        <v>20</v>
      </c>
    </row>
    <row r="24" spans="1:27">
      <c r="A24" s="12">
        <f>IF(ISNUMBER(SEARCH("营",main!I24)),(-$Y24+50*IF(main!$AK24="是",main!$BB$4,main!$BB$3)),(VLOOKUP(main!I24,main!$AO$4:$AQ$55,2,FALSE))*IF(main!$AK24="是",main!$BB$4,main!$BB$3))</f>
        <v>144</v>
      </c>
      <c r="B24" s="12">
        <f>IF(ISNUMBER(SEARCH("营",main!J24)),(-$Y24+50*IF(main!$AK24="是",main!$BB$4,main!$BB$3)),(VLOOKUP(main!J24,main!$AO$4:$AQ$55,2,FALSE))*IF(main!$AK24="是",main!$BB$4,main!$BB$3))</f>
        <v>144</v>
      </c>
      <c r="C24" s="12">
        <f>IF(ISNUMBER(SEARCH("营",main!K24)),(-$Y24+50*IF(main!$AK24="是",main!$BB$4,main!$BB$3)),(VLOOKUP(main!K24,main!$AO$4:$AQ$55,2,FALSE))*IF(main!$AK24="是",main!$BB$4,main!$BB$3))</f>
        <v>144</v>
      </c>
      <c r="D24" s="12">
        <f>IF(ISNUMBER(SEARCH("营",main!L24)),(-$Y24+50*IF(main!$AK24="是",main!$BB$4,main!$BB$3)),(VLOOKUP(main!L24,main!$AO$4:$AQ$55,2,FALSE))*IF(main!$AK24="是",main!$BB$4,main!$BB$3))</f>
        <v>144</v>
      </c>
      <c r="E24" s="12">
        <f>IF(ISNUMBER(SEARCH("营",main!M24)),(-$Y24+50*IF(main!$AK24="是",main!$BB$4,main!$BB$3)),(VLOOKUP(main!M24,main!$AO$4:$AQ$55,2,FALSE))*IF(main!$AK24="是",main!$BB$4,main!$BB$3))</f>
        <v>144</v>
      </c>
      <c r="F24" s="12">
        <f>IF(ISNUMBER(SEARCH("营",main!N24)),(-$Y24+50*IF(main!$AK24="是",main!$BB$4,main!$BB$3)),(VLOOKUP(main!N24,main!$AO$4:$AQ$55,2,FALSE))*IF(main!$AK24="是",main!$BB$4,main!$BB$3))</f>
        <v>144</v>
      </c>
      <c r="G24" s="12">
        <f>IF(ISNUMBER(SEARCH("营",main!O24)),(-$Y24+50*IF(main!$AK24="是",main!$BB$4,main!$BB$3)),(VLOOKUP(main!O24,main!$AO$4:$AQ$55,2,FALSE))*IF(main!$AK24="是",main!$BB$4,main!$BB$3))</f>
        <v>144</v>
      </c>
      <c r="H24" s="12">
        <f>IF(ISNUMBER(SEARCH("营",main!P24)),(-$Y24+50*IF(main!$AK24="是",main!$BB$4,main!$BB$3)),(VLOOKUP(main!P24,main!$AO$4:$AQ$55,2,FALSE))*IF(main!$AK24="是",main!$BB$4,main!$BB$3))</f>
        <v>144</v>
      </c>
      <c r="I24" s="12">
        <f>IF(ISNUMBER(SEARCH("营",main!Q24)),(-$Y24+50*IF(main!$AK24="是",main!$BB$4,main!$BB$3)),(VLOOKUP(main!Q24,main!$AO$4:$AQ$55,2,FALSE))*IF(main!$AK24="是",main!$BB$4,main!$BB$3))</f>
        <v>152</v>
      </c>
      <c r="J24" s="12">
        <f>IF(ISNUMBER(SEARCH("营",main!R24)),(-$Y24+50*IF(main!$AK24="是",main!$BB$4,main!$BB$3)),(VLOOKUP(main!R24,main!$AO$4:$AQ$55,2,FALSE))*IF(main!$AK24="是",main!$BB$4,main!$BB$3))</f>
        <v>152</v>
      </c>
      <c r="K24" s="12">
        <f>IF(ISNUMBER(SEARCH("营",main!S24)),(-$Y24+50*IF(main!$AK24="是",main!$BB$4,main!$BB$3)),(VLOOKUP(main!S24,main!$AO$4:$AQ$55,2,FALSE))*IF(main!$AK24="是",main!$BB$4,main!$BB$3))</f>
        <v>152</v>
      </c>
      <c r="L24" s="12">
        <f>IF(ISNUMBER(SEARCH("营",main!T24)),(-$Y24+50*IF(main!$AK24="是",main!$BB$4,main!$BB$3)),(VLOOKUP(main!T24,main!$AO$4:$AQ$55,2,FALSE))*IF(main!$AK24="是",main!$BB$4,main!$BB$3))</f>
        <v>152</v>
      </c>
      <c r="M24" s="12">
        <f>IF(ISNUMBER(SEARCH("营",main!U24)),(-$Y24+50*IF(main!$AK24="是",main!$BB$4,main!$BB$3)),(VLOOKUP(main!U24,main!$AO$4:$AQ$55,2,FALSE))*IF(main!$AK24="是",main!$BB$4,main!$BB$3))</f>
        <v>152</v>
      </c>
      <c r="N24" s="12">
        <f>IF(ISNUMBER(SEARCH("营",main!V24)),(-$Y24+50*IF(main!$AK24="是",main!$BB$4,main!$BB$3)),(VLOOKUP(main!V24,main!$AO$4:$AQ$55,2,FALSE))*IF(main!$AK24="是",main!$BB$4,main!$BB$3))</f>
        <v>152</v>
      </c>
      <c r="O24" s="12">
        <f>IF(ISNUMBER(SEARCH("营",main!W24)),(-$Y24+50*IF(main!$AK24="是",main!$BB$4,main!$BB$3)),(VLOOKUP(main!W24,main!$AO$4:$AQ$55,2,FALSE))*IF(main!$AK24="是",main!$BB$4,main!$BB$3))</f>
        <v>152</v>
      </c>
      <c r="P24" s="12">
        <f>IF(ISNUMBER(SEARCH("营",main!X24)),(-$Y24+50*IF(main!$AK24="是",main!$BB$4,main!$BB$3)),(VLOOKUP(main!X24,main!$AO$4:$AQ$55,2,FALSE))*IF(main!$AK24="是",main!$BB$4,main!$BB$3))</f>
        <v>152</v>
      </c>
      <c r="Q24" s="12">
        <f>IF(ISNUMBER(SEARCH("营",main!Y24)),(-$Y24+50*IF(main!$AK24="是",main!$BB$4,main!$BB$3)),(VLOOKUP(main!Y24,main!$AO$4:$AQ$55,2,FALSE))*IF(main!$AK24="是",main!$BB$4,main!$BB$3))</f>
        <v>160</v>
      </c>
      <c r="R24" s="12">
        <f>IF(ISNUMBER(SEARCH("营",main!Z24)),(-$Y24+50*IF(main!$AK24="是",main!$BB$4,main!$BB$3)),(VLOOKUP(main!Z24,main!$AO$4:$AQ$55,2,FALSE))*IF(main!$AK24="是",main!$BB$4,main!$BB$3))</f>
        <v>160</v>
      </c>
      <c r="S24" s="12">
        <f>IF(ISNUMBER(SEARCH("营",main!AA24)),(-$Y24+50*IF(main!$AK24="是",main!$BB$4,main!$BB$3)),(VLOOKUP(main!AA24,main!$AO$4:$AQ$55,2,FALSE))*IF(main!$AK24="是",main!$BB$4,main!$BB$3))</f>
        <v>160</v>
      </c>
      <c r="T24" s="12">
        <f>IF(ISNUMBER(SEARCH("营",main!AB24)),(-$Y24+50*IF(main!$AK24="是",main!$BB$4,main!$BB$3)),(VLOOKUP(main!AB24,main!$AO$4:$AQ$55,2,FALSE))*IF(main!$AK24="是",main!$BB$4,main!$BB$3))</f>
        <v>160</v>
      </c>
      <c r="U24" s="12">
        <f>IF(ISNUMBER(SEARCH("营",main!AC24)),(-$Y24+50*IF(main!$AK24="是",main!$BB$4,main!$BB$3)),(VLOOKUP(main!AC24,main!$AO$4:$AQ$55,2,FALSE))*IF(main!$AK24="是",main!$BB$4,main!$BB$3))</f>
        <v>160</v>
      </c>
      <c r="V24" s="12">
        <f>IF(ISNUMBER(SEARCH("营",main!AD24)),(-$Y24+50*IF(main!$AK24="是",main!$BB$4,main!$BB$3)),(VLOOKUP(main!AD24,main!$AO$4:$AQ$55,2,FALSE))*IF(main!$AK24="是",main!$BB$4,main!$BB$3))</f>
        <v>160</v>
      </c>
      <c r="W24" s="12">
        <f>IF(ISNUMBER(SEARCH("营",main!AE24)),(-$Y24+50*IF(main!$AK24="是",main!$BB$4,main!$BB$3)),(VLOOKUP(main!AE24,main!$AO$4:$AQ$55,2,FALSE))*IF(main!$AK24="是",main!$BB$4,main!$BB$3))</f>
        <v>160</v>
      </c>
      <c r="X24" s="12">
        <f>IF(ISNUMBER(SEARCH("营",main!AF24)),(-$Y24+50*IF(main!$AK24="是",main!$BB$4,main!$BB$3)),(VLOOKUP(main!AF24,main!$AO$4:$AQ$55,2,FALSE))*IF(main!$AK24="是",main!$BB$4,main!$BB$3))</f>
        <v>160</v>
      </c>
      <c r="Y24" s="96">
        <v>250</v>
      </c>
      <c r="Z24" s="97">
        <v>46296</v>
      </c>
      <c r="AA24">
        <v>21</v>
      </c>
    </row>
    <row r="25" spans="1:27">
      <c r="A25" s="12">
        <f>IF(ISNUMBER(SEARCH("营",main!I25)),(-$Y25+50*IF(main!$AK25="是",main!$BB$4,main!$BB$3)),(VLOOKUP(main!I25,main!$AO$4:$AQ$55,2,FALSE))*IF(main!$AK25="是",main!$BB$4,main!$BB$3))</f>
        <v>144</v>
      </c>
      <c r="B25" s="12">
        <f>IF(ISNUMBER(SEARCH("营",main!J25)),(-$Y25+50*IF(main!$AK25="是",main!$BB$4,main!$BB$3)),(VLOOKUP(main!J25,main!$AO$4:$AQ$55,2,FALSE))*IF(main!$AK25="是",main!$BB$4,main!$BB$3))</f>
        <v>144</v>
      </c>
      <c r="C25" s="12">
        <f>IF(ISNUMBER(SEARCH("营",main!K25)),(-$Y25+50*IF(main!$AK25="是",main!$BB$4,main!$BB$3)),(VLOOKUP(main!K25,main!$AO$4:$AQ$55,2,FALSE))*IF(main!$AK25="是",main!$BB$4,main!$BB$3))</f>
        <v>144</v>
      </c>
      <c r="D25" s="12">
        <f>IF(ISNUMBER(SEARCH("营",main!L25)),(-$Y25+50*IF(main!$AK25="是",main!$BB$4,main!$BB$3)),(VLOOKUP(main!L25,main!$AO$4:$AQ$55,2,FALSE))*IF(main!$AK25="是",main!$BB$4,main!$BB$3))</f>
        <v>144</v>
      </c>
      <c r="E25" s="12">
        <f>IF(ISNUMBER(SEARCH("营",main!M25)),(-$Y25+50*IF(main!$AK25="是",main!$BB$4,main!$BB$3)),(VLOOKUP(main!M25,main!$AO$4:$AQ$55,2,FALSE))*IF(main!$AK25="是",main!$BB$4,main!$BB$3))</f>
        <v>144</v>
      </c>
      <c r="F25" s="12">
        <f>IF(ISNUMBER(SEARCH("营",main!N25)),(-$Y25+50*IF(main!$AK25="是",main!$BB$4,main!$BB$3)),(VLOOKUP(main!N25,main!$AO$4:$AQ$55,2,FALSE))*IF(main!$AK25="是",main!$BB$4,main!$BB$3))</f>
        <v>144</v>
      </c>
      <c r="G25" s="12">
        <f>IF(ISNUMBER(SEARCH("营",main!O25)),(-$Y25+50*IF(main!$AK25="是",main!$BB$4,main!$BB$3)),(VLOOKUP(main!O25,main!$AO$4:$AQ$55,2,FALSE))*IF(main!$AK25="是",main!$BB$4,main!$BB$3))</f>
        <v>144</v>
      </c>
      <c r="H25" s="12">
        <f>IF(ISNUMBER(SEARCH("营",main!P25)),(-$Y25+50*IF(main!$AK25="是",main!$BB$4,main!$BB$3)),(VLOOKUP(main!P25,main!$AO$4:$AQ$55,2,FALSE))*IF(main!$AK25="是",main!$BB$4,main!$BB$3))</f>
        <v>144</v>
      </c>
      <c r="I25" s="12">
        <f>IF(ISNUMBER(SEARCH("营",main!Q25)),(-$Y25+50*IF(main!$AK25="是",main!$BB$4,main!$BB$3)),(VLOOKUP(main!Q25,main!$AO$4:$AQ$55,2,FALSE))*IF(main!$AK25="是",main!$BB$4,main!$BB$3))</f>
        <v>152</v>
      </c>
      <c r="J25" s="12">
        <f>IF(ISNUMBER(SEARCH("营",main!R25)),(-$Y25+50*IF(main!$AK25="是",main!$BB$4,main!$BB$3)),(VLOOKUP(main!R25,main!$AO$4:$AQ$55,2,FALSE))*IF(main!$AK25="是",main!$BB$4,main!$BB$3))</f>
        <v>152</v>
      </c>
      <c r="K25" s="12">
        <f>IF(ISNUMBER(SEARCH("营",main!S25)),(-$Y25+50*IF(main!$AK25="是",main!$BB$4,main!$BB$3)),(VLOOKUP(main!S25,main!$AO$4:$AQ$55,2,FALSE))*IF(main!$AK25="是",main!$BB$4,main!$BB$3))</f>
        <v>152</v>
      </c>
      <c r="L25" s="12">
        <f>IF(ISNUMBER(SEARCH("营",main!T25)),(-$Y25+50*IF(main!$AK25="是",main!$BB$4,main!$BB$3)),(VLOOKUP(main!T25,main!$AO$4:$AQ$55,2,FALSE))*IF(main!$AK25="是",main!$BB$4,main!$BB$3))</f>
        <v>152</v>
      </c>
      <c r="M25" s="12">
        <f>IF(ISNUMBER(SEARCH("营",main!U25)),(-$Y25+50*IF(main!$AK25="是",main!$BB$4,main!$BB$3)),(VLOOKUP(main!U25,main!$AO$4:$AQ$55,2,FALSE))*IF(main!$AK25="是",main!$BB$4,main!$BB$3))</f>
        <v>152</v>
      </c>
      <c r="N25" s="12">
        <f>IF(ISNUMBER(SEARCH("营",main!V25)),(-$Y25+50*IF(main!$AK25="是",main!$BB$4,main!$BB$3)),(VLOOKUP(main!V25,main!$AO$4:$AQ$55,2,FALSE))*IF(main!$AK25="是",main!$BB$4,main!$BB$3))</f>
        <v>152</v>
      </c>
      <c r="O25" s="12">
        <f>IF(ISNUMBER(SEARCH("营",main!W25)),(-$Y25+50*IF(main!$AK25="是",main!$BB$4,main!$BB$3)),(VLOOKUP(main!W25,main!$AO$4:$AQ$55,2,FALSE))*IF(main!$AK25="是",main!$BB$4,main!$BB$3))</f>
        <v>152</v>
      </c>
      <c r="P25" s="12">
        <f>IF(ISNUMBER(SEARCH("营",main!X25)),(-$Y25+50*IF(main!$AK25="是",main!$BB$4,main!$BB$3)),(VLOOKUP(main!X25,main!$AO$4:$AQ$55,2,FALSE))*IF(main!$AK25="是",main!$BB$4,main!$BB$3))</f>
        <v>152</v>
      </c>
      <c r="Q25" s="12">
        <f>IF(ISNUMBER(SEARCH("营",main!Y25)),(-$Y25+50*IF(main!$AK25="是",main!$BB$4,main!$BB$3)),(VLOOKUP(main!Y25,main!$AO$4:$AQ$55,2,FALSE))*IF(main!$AK25="是",main!$BB$4,main!$BB$3))</f>
        <v>160</v>
      </c>
      <c r="R25" s="12">
        <f>IF(ISNUMBER(SEARCH("营",main!Z25)),(-$Y25+50*IF(main!$AK25="是",main!$BB$4,main!$BB$3)),(VLOOKUP(main!Z25,main!$AO$4:$AQ$55,2,FALSE))*IF(main!$AK25="是",main!$BB$4,main!$BB$3))</f>
        <v>160</v>
      </c>
      <c r="S25" s="12">
        <f>IF(ISNUMBER(SEARCH("营",main!AA25)),(-$Y25+50*IF(main!$AK25="是",main!$BB$4,main!$BB$3)),(VLOOKUP(main!AA25,main!$AO$4:$AQ$55,2,FALSE))*IF(main!$AK25="是",main!$BB$4,main!$BB$3))</f>
        <v>160</v>
      </c>
      <c r="T25" s="12">
        <f>IF(ISNUMBER(SEARCH("营",main!AB25)),(-$Y25+50*IF(main!$AK25="是",main!$BB$4,main!$BB$3)),(VLOOKUP(main!AB25,main!$AO$4:$AQ$55,2,FALSE))*IF(main!$AK25="是",main!$BB$4,main!$BB$3))</f>
        <v>160</v>
      </c>
      <c r="U25" s="12">
        <f>IF(ISNUMBER(SEARCH("营",main!AC25)),(-$Y25+50*IF(main!$AK25="是",main!$BB$4,main!$BB$3)),(VLOOKUP(main!AC25,main!$AO$4:$AQ$55,2,FALSE))*IF(main!$AK25="是",main!$BB$4,main!$BB$3))</f>
        <v>160</v>
      </c>
      <c r="V25" s="12">
        <f>IF(ISNUMBER(SEARCH("营",main!AD25)),(-$Y25+50*IF(main!$AK25="是",main!$BB$4,main!$BB$3)),(VLOOKUP(main!AD25,main!$AO$4:$AQ$55,2,FALSE))*IF(main!$AK25="是",main!$BB$4,main!$BB$3))</f>
        <v>160</v>
      </c>
      <c r="W25" s="12">
        <f>IF(ISNUMBER(SEARCH("营",main!AE25)),(-$Y25+50*IF(main!$AK25="是",main!$BB$4,main!$BB$3)),(VLOOKUP(main!AE25,main!$AO$4:$AQ$55,2,FALSE))*IF(main!$AK25="是",main!$BB$4,main!$BB$3))</f>
        <v>160</v>
      </c>
      <c r="X25" s="12">
        <f>IF(ISNUMBER(SEARCH("营",main!AF25)),(-$Y25+50*IF(main!$AK25="是",main!$BB$4,main!$BB$3)),(VLOOKUP(main!AF25,main!$AO$4:$AQ$55,2,FALSE))*IF(main!$AK25="是",main!$BB$4,main!$BB$3))</f>
        <v>160</v>
      </c>
      <c r="Y25" s="96">
        <v>250</v>
      </c>
      <c r="Z25" s="97">
        <v>46297</v>
      </c>
      <c r="AA25">
        <v>22</v>
      </c>
    </row>
    <row r="26" spans="1:27">
      <c r="A26" s="12">
        <f>IF(ISNUMBER(SEARCH("营",main!I26)),(-$Y26+50*IF(main!$AK26="是",main!$BB$4,main!$BB$3)),(VLOOKUP(main!I26,main!$AO$4:$AQ$55,2,FALSE))*IF(main!$AK26="是",main!$BB$4,main!$BB$3))</f>
        <v>144</v>
      </c>
      <c r="B26" s="12">
        <f>IF(ISNUMBER(SEARCH("营",main!J26)),(-$Y26+50*IF(main!$AK26="是",main!$BB$4,main!$BB$3)),(VLOOKUP(main!J26,main!$AO$4:$AQ$55,2,FALSE))*IF(main!$AK26="是",main!$BB$4,main!$BB$3))</f>
        <v>144</v>
      </c>
      <c r="C26" s="12">
        <f>IF(ISNUMBER(SEARCH("营",main!K26)),(-$Y26+50*IF(main!$AK26="是",main!$BB$4,main!$BB$3)),(VLOOKUP(main!K26,main!$AO$4:$AQ$55,2,FALSE))*IF(main!$AK26="是",main!$BB$4,main!$BB$3))</f>
        <v>144</v>
      </c>
      <c r="D26" s="12">
        <f>IF(ISNUMBER(SEARCH("营",main!L26)),(-$Y26+50*IF(main!$AK26="是",main!$BB$4,main!$BB$3)),(VLOOKUP(main!L26,main!$AO$4:$AQ$55,2,FALSE))*IF(main!$AK26="是",main!$BB$4,main!$BB$3))</f>
        <v>144</v>
      </c>
      <c r="E26" s="12">
        <f>IF(ISNUMBER(SEARCH("营",main!M26)),(-$Y26+50*IF(main!$AK26="是",main!$BB$4,main!$BB$3)),(VLOOKUP(main!M26,main!$AO$4:$AQ$55,2,FALSE))*IF(main!$AK26="是",main!$BB$4,main!$BB$3))</f>
        <v>144</v>
      </c>
      <c r="F26" s="12">
        <f>IF(ISNUMBER(SEARCH("营",main!N26)),(-$Y26+50*IF(main!$AK26="是",main!$BB$4,main!$BB$3)),(VLOOKUP(main!N26,main!$AO$4:$AQ$55,2,FALSE))*IF(main!$AK26="是",main!$BB$4,main!$BB$3))</f>
        <v>144</v>
      </c>
      <c r="G26" s="12">
        <f>IF(ISNUMBER(SEARCH("营",main!O26)),(-$Y26+50*IF(main!$AK26="是",main!$BB$4,main!$BB$3)),(VLOOKUP(main!O26,main!$AO$4:$AQ$55,2,FALSE))*IF(main!$AK26="是",main!$BB$4,main!$BB$3))</f>
        <v>144</v>
      </c>
      <c r="H26" s="12">
        <f>IF(ISNUMBER(SEARCH("营",main!P26)),(-$Y26+50*IF(main!$AK26="是",main!$BB$4,main!$BB$3)),(VLOOKUP(main!P26,main!$AO$4:$AQ$55,2,FALSE))*IF(main!$AK26="是",main!$BB$4,main!$BB$3))</f>
        <v>144</v>
      </c>
      <c r="I26" s="12">
        <f>IF(ISNUMBER(SEARCH("营",main!Q26)),(-$Y26+50*IF(main!$AK26="是",main!$BB$4,main!$BB$3)),(VLOOKUP(main!Q26,main!$AO$4:$AQ$55,2,FALSE))*IF(main!$AK26="是",main!$BB$4,main!$BB$3))</f>
        <v>152</v>
      </c>
      <c r="J26" s="12">
        <f>IF(ISNUMBER(SEARCH("营",main!R26)),(-$Y26+50*IF(main!$AK26="是",main!$BB$4,main!$BB$3)),(VLOOKUP(main!R26,main!$AO$4:$AQ$55,2,FALSE))*IF(main!$AK26="是",main!$BB$4,main!$BB$3))</f>
        <v>152</v>
      </c>
      <c r="K26" s="12">
        <f>IF(ISNUMBER(SEARCH("营",main!S26)),(-$Y26+50*IF(main!$AK26="是",main!$BB$4,main!$BB$3)),(VLOOKUP(main!S26,main!$AO$4:$AQ$55,2,FALSE))*IF(main!$AK26="是",main!$BB$4,main!$BB$3))</f>
        <v>152</v>
      </c>
      <c r="L26" s="12">
        <f>IF(ISNUMBER(SEARCH("营",main!T26)),(-$Y26+50*IF(main!$AK26="是",main!$BB$4,main!$BB$3)),(VLOOKUP(main!T26,main!$AO$4:$AQ$55,2,FALSE))*IF(main!$AK26="是",main!$BB$4,main!$BB$3))</f>
        <v>152</v>
      </c>
      <c r="M26" s="12">
        <f>IF(ISNUMBER(SEARCH("营",main!U26)),(-$Y26+50*IF(main!$AK26="是",main!$BB$4,main!$BB$3)),(VLOOKUP(main!U26,main!$AO$4:$AQ$55,2,FALSE))*IF(main!$AK26="是",main!$BB$4,main!$BB$3))</f>
        <v>152</v>
      </c>
      <c r="N26" s="12">
        <f>IF(ISNUMBER(SEARCH("营",main!V26)),(-$Y26+50*IF(main!$AK26="是",main!$BB$4,main!$BB$3)),(VLOOKUP(main!V26,main!$AO$4:$AQ$55,2,FALSE))*IF(main!$AK26="是",main!$BB$4,main!$BB$3))</f>
        <v>152</v>
      </c>
      <c r="O26" s="12">
        <f>IF(ISNUMBER(SEARCH("营",main!W26)),(-$Y26+50*IF(main!$AK26="是",main!$BB$4,main!$BB$3)),(VLOOKUP(main!W26,main!$AO$4:$AQ$55,2,FALSE))*IF(main!$AK26="是",main!$BB$4,main!$BB$3))</f>
        <v>152</v>
      </c>
      <c r="P26" s="12">
        <f>IF(ISNUMBER(SEARCH("营",main!X26)),(-$Y26+50*IF(main!$AK26="是",main!$BB$4,main!$BB$3)),(VLOOKUP(main!X26,main!$AO$4:$AQ$55,2,FALSE))*IF(main!$AK26="是",main!$BB$4,main!$BB$3))</f>
        <v>152</v>
      </c>
      <c r="Q26" s="12">
        <f>IF(ISNUMBER(SEARCH("营",main!Y26)),(-$Y26+50*IF(main!$AK26="是",main!$BB$4,main!$BB$3)),(VLOOKUP(main!Y26,main!$AO$4:$AQ$55,2,FALSE))*IF(main!$AK26="是",main!$BB$4,main!$BB$3))</f>
        <v>160</v>
      </c>
      <c r="R26" s="12">
        <f>IF(ISNUMBER(SEARCH("营",main!Z26)),(-$Y26+50*IF(main!$AK26="是",main!$BB$4,main!$BB$3)),(VLOOKUP(main!Z26,main!$AO$4:$AQ$55,2,FALSE))*IF(main!$AK26="是",main!$BB$4,main!$BB$3))</f>
        <v>160</v>
      </c>
      <c r="S26" s="12">
        <f>IF(ISNUMBER(SEARCH("营",main!AA26)),(-$Y26+50*IF(main!$AK26="是",main!$BB$4,main!$BB$3)),(VLOOKUP(main!AA26,main!$AO$4:$AQ$55,2,FALSE))*IF(main!$AK26="是",main!$BB$4,main!$BB$3))</f>
        <v>160</v>
      </c>
      <c r="T26" s="12">
        <f>IF(ISNUMBER(SEARCH("营",main!AB26)),(-$Y26+50*IF(main!$AK26="是",main!$BB$4,main!$BB$3)),(VLOOKUP(main!AB26,main!$AO$4:$AQ$55,2,FALSE))*IF(main!$AK26="是",main!$BB$4,main!$BB$3))</f>
        <v>160</v>
      </c>
      <c r="U26" s="12">
        <f>IF(ISNUMBER(SEARCH("营",main!AC26)),(-$Y26+50*IF(main!$AK26="是",main!$BB$4,main!$BB$3)),(VLOOKUP(main!AC26,main!$AO$4:$AQ$55,2,FALSE))*IF(main!$AK26="是",main!$BB$4,main!$BB$3))</f>
        <v>160</v>
      </c>
      <c r="V26" s="12">
        <f>IF(ISNUMBER(SEARCH("营",main!AD26)),(-$Y26+50*IF(main!$AK26="是",main!$BB$4,main!$BB$3)),(VLOOKUP(main!AD26,main!$AO$4:$AQ$55,2,FALSE))*IF(main!$AK26="是",main!$BB$4,main!$BB$3))</f>
        <v>160</v>
      </c>
      <c r="W26" s="12">
        <f>IF(ISNUMBER(SEARCH("营",main!AE26)),(-$Y26+50*IF(main!$AK26="是",main!$BB$4,main!$BB$3)),(VLOOKUP(main!AE26,main!$AO$4:$AQ$55,2,FALSE))*IF(main!$AK26="是",main!$BB$4,main!$BB$3))</f>
        <v>160</v>
      </c>
      <c r="X26" s="12">
        <f>IF(ISNUMBER(SEARCH("营",main!AF26)),(-$Y26+50*IF(main!$AK26="是",main!$BB$4,main!$BB$3)),(VLOOKUP(main!AF26,main!$AO$4:$AQ$55,2,FALSE))*IF(main!$AK26="是",main!$BB$4,main!$BB$3))</f>
        <v>160</v>
      </c>
      <c r="Y26" s="96">
        <v>250</v>
      </c>
      <c r="Z26" s="97">
        <v>46298</v>
      </c>
      <c r="AA26">
        <v>23</v>
      </c>
    </row>
    <row r="27" spans="1:27">
      <c r="A27" s="12">
        <f>IF(ISNUMBER(SEARCH("营",main!I27)),(-$Y27+50*IF(main!$AK27="是",main!$BB$4,main!$BB$3)),(VLOOKUP(main!I27,main!$AO$4:$AQ$55,2,FALSE))*IF(main!$AK27="是",main!$BB$4,main!$BB$3))</f>
        <v>144</v>
      </c>
      <c r="B27" s="12">
        <f>IF(ISNUMBER(SEARCH("营",main!J27)),(-$Y27+50*IF(main!$AK27="是",main!$BB$4,main!$BB$3)),(VLOOKUP(main!J27,main!$AO$4:$AQ$55,2,FALSE))*IF(main!$AK27="是",main!$BB$4,main!$BB$3))</f>
        <v>144</v>
      </c>
      <c r="C27" s="12">
        <f>IF(ISNUMBER(SEARCH("营",main!K27)),(-$Y27+50*IF(main!$AK27="是",main!$BB$4,main!$BB$3)),(VLOOKUP(main!K27,main!$AO$4:$AQ$55,2,FALSE))*IF(main!$AK27="是",main!$BB$4,main!$BB$3))</f>
        <v>144</v>
      </c>
      <c r="D27" s="12">
        <f>IF(ISNUMBER(SEARCH("营",main!L27)),(-$Y27+50*IF(main!$AK27="是",main!$BB$4,main!$BB$3)),(VLOOKUP(main!L27,main!$AO$4:$AQ$55,2,FALSE))*IF(main!$AK27="是",main!$BB$4,main!$BB$3))</f>
        <v>144</v>
      </c>
      <c r="E27" s="12">
        <f>IF(ISNUMBER(SEARCH("营",main!M27)),(-$Y27+50*IF(main!$AK27="是",main!$BB$4,main!$BB$3)),(VLOOKUP(main!M27,main!$AO$4:$AQ$55,2,FALSE))*IF(main!$AK27="是",main!$BB$4,main!$BB$3))</f>
        <v>144</v>
      </c>
      <c r="F27" s="12">
        <f>IF(ISNUMBER(SEARCH("营",main!N27)),(-$Y27+50*IF(main!$AK27="是",main!$BB$4,main!$BB$3)),(VLOOKUP(main!N27,main!$AO$4:$AQ$55,2,FALSE))*IF(main!$AK27="是",main!$BB$4,main!$BB$3))</f>
        <v>144</v>
      </c>
      <c r="G27" s="12">
        <f>IF(ISNUMBER(SEARCH("营",main!O27)),(-$Y27+50*IF(main!$AK27="是",main!$BB$4,main!$BB$3)),(VLOOKUP(main!O27,main!$AO$4:$AQ$55,2,FALSE))*IF(main!$AK27="是",main!$BB$4,main!$BB$3))</f>
        <v>144</v>
      </c>
      <c r="H27" s="12">
        <f>IF(ISNUMBER(SEARCH("营",main!P27)),(-$Y27+50*IF(main!$AK27="是",main!$BB$4,main!$BB$3)),(VLOOKUP(main!P27,main!$AO$4:$AQ$55,2,FALSE))*IF(main!$AK27="是",main!$BB$4,main!$BB$3))</f>
        <v>144</v>
      </c>
      <c r="I27" s="12">
        <f>IF(ISNUMBER(SEARCH("营",main!Q27)),(-$Y27+50*IF(main!$AK27="是",main!$BB$4,main!$BB$3)),(VLOOKUP(main!Q27,main!$AO$4:$AQ$55,2,FALSE))*IF(main!$AK27="是",main!$BB$4,main!$BB$3))</f>
        <v>152</v>
      </c>
      <c r="J27" s="12">
        <f>IF(ISNUMBER(SEARCH("营",main!R27)),(-$Y27+50*IF(main!$AK27="是",main!$BB$4,main!$BB$3)),(VLOOKUP(main!R27,main!$AO$4:$AQ$55,2,FALSE))*IF(main!$AK27="是",main!$BB$4,main!$BB$3))</f>
        <v>152</v>
      </c>
      <c r="K27" s="12">
        <f>IF(ISNUMBER(SEARCH("营",main!S27)),(-$Y27+50*IF(main!$AK27="是",main!$BB$4,main!$BB$3)),(VLOOKUP(main!S27,main!$AO$4:$AQ$55,2,FALSE))*IF(main!$AK27="是",main!$BB$4,main!$BB$3))</f>
        <v>152</v>
      </c>
      <c r="L27" s="12">
        <f>IF(ISNUMBER(SEARCH("营",main!T27)),(-$Y27+50*IF(main!$AK27="是",main!$BB$4,main!$BB$3)),(VLOOKUP(main!T27,main!$AO$4:$AQ$55,2,FALSE))*IF(main!$AK27="是",main!$BB$4,main!$BB$3))</f>
        <v>152</v>
      </c>
      <c r="M27" s="12">
        <f>IF(ISNUMBER(SEARCH("营",main!U27)),(-$Y27+50*IF(main!$AK27="是",main!$BB$4,main!$BB$3)),(VLOOKUP(main!U27,main!$AO$4:$AQ$55,2,FALSE))*IF(main!$AK27="是",main!$BB$4,main!$BB$3))</f>
        <v>152</v>
      </c>
      <c r="N27" s="12">
        <f>IF(ISNUMBER(SEARCH("营",main!V27)),(-$Y27+50*IF(main!$AK27="是",main!$BB$4,main!$BB$3)),(VLOOKUP(main!V27,main!$AO$4:$AQ$55,2,FALSE))*IF(main!$AK27="是",main!$BB$4,main!$BB$3))</f>
        <v>152</v>
      </c>
      <c r="O27" s="12">
        <f>IF(ISNUMBER(SEARCH("营",main!W27)),(-$Y27+50*IF(main!$AK27="是",main!$BB$4,main!$BB$3)),(VLOOKUP(main!W27,main!$AO$4:$AQ$55,2,FALSE))*IF(main!$AK27="是",main!$BB$4,main!$BB$3))</f>
        <v>152</v>
      </c>
      <c r="P27" s="12">
        <f>IF(ISNUMBER(SEARCH("营",main!X27)),(-$Y27+50*IF(main!$AK27="是",main!$BB$4,main!$BB$3)),(VLOOKUP(main!X27,main!$AO$4:$AQ$55,2,FALSE))*IF(main!$AK27="是",main!$BB$4,main!$BB$3))</f>
        <v>152</v>
      </c>
      <c r="Q27" s="12">
        <f>IF(ISNUMBER(SEARCH("营",main!Y27)),(-$Y27+50*IF(main!$AK27="是",main!$BB$4,main!$BB$3)),(VLOOKUP(main!Y27,main!$AO$4:$AQ$55,2,FALSE))*IF(main!$AK27="是",main!$BB$4,main!$BB$3))</f>
        <v>160</v>
      </c>
      <c r="R27" s="12">
        <f>IF(ISNUMBER(SEARCH("营",main!Z27)),(-$Y27+50*IF(main!$AK27="是",main!$BB$4,main!$BB$3)),(VLOOKUP(main!Z27,main!$AO$4:$AQ$55,2,FALSE))*IF(main!$AK27="是",main!$BB$4,main!$BB$3))</f>
        <v>160</v>
      </c>
      <c r="S27" s="12">
        <f>IF(ISNUMBER(SEARCH("营",main!AA27)),(-$Y27+50*IF(main!$AK27="是",main!$BB$4,main!$BB$3)),(VLOOKUP(main!AA27,main!$AO$4:$AQ$55,2,FALSE))*IF(main!$AK27="是",main!$BB$4,main!$BB$3))</f>
        <v>160</v>
      </c>
      <c r="T27" s="12">
        <f>IF(ISNUMBER(SEARCH("营",main!AB27)),(-$Y27+50*IF(main!$AK27="是",main!$BB$4,main!$BB$3)),(VLOOKUP(main!AB27,main!$AO$4:$AQ$55,2,FALSE))*IF(main!$AK27="是",main!$BB$4,main!$BB$3))</f>
        <v>160</v>
      </c>
      <c r="U27" s="12">
        <f>IF(ISNUMBER(SEARCH("营",main!AC27)),(-$Y27+50*IF(main!$AK27="是",main!$BB$4,main!$BB$3)),(VLOOKUP(main!AC27,main!$AO$4:$AQ$55,2,FALSE))*IF(main!$AK27="是",main!$BB$4,main!$BB$3))</f>
        <v>160</v>
      </c>
      <c r="V27" s="12">
        <f>IF(ISNUMBER(SEARCH("营",main!AD27)),(-$Y27+50*IF(main!$AK27="是",main!$BB$4,main!$BB$3)),(VLOOKUP(main!AD27,main!$AO$4:$AQ$55,2,FALSE))*IF(main!$AK27="是",main!$BB$4,main!$BB$3))</f>
        <v>160</v>
      </c>
      <c r="W27" s="12">
        <f>IF(ISNUMBER(SEARCH("营",main!AE27)),(-$Y27+50*IF(main!$AK27="是",main!$BB$4,main!$BB$3)),(VLOOKUP(main!AE27,main!$AO$4:$AQ$55,2,FALSE))*IF(main!$AK27="是",main!$BB$4,main!$BB$3))</f>
        <v>160</v>
      </c>
      <c r="X27" s="12">
        <f>IF(ISNUMBER(SEARCH("营",main!AF27)),(-$Y27+50*IF(main!$AK27="是",main!$BB$4,main!$BB$3)),(VLOOKUP(main!AF27,main!$AO$4:$AQ$55,2,FALSE))*IF(main!$AK27="是",main!$BB$4,main!$BB$3))</f>
        <v>160</v>
      </c>
      <c r="Y27" s="96">
        <v>250</v>
      </c>
      <c r="Z27" s="97">
        <v>46299</v>
      </c>
      <c r="AA27">
        <v>24</v>
      </c>
    </row>
    <row r="28" spans="1:27">
      <c r="A28" s="12">
        <f>IF(ISNUMBER(SEARCH("营",main!I28)),(-$Y28+50*IF(main!$AK28="是",main!$BB$4,main!$BB$3)),(VLOOKUP(main!I28,main!$AO$4:$AQ$55,2,FALSE))*IF(main!$AK28="是",main!$BB$4,main!$BB$3))</f>
        <v>144</v>
      </c>
      <c r="B28" s="12">
        <f>IF(ISNUMBER(SEARCH("营",main!J28)),(-$Y28+50*IF(main!$AK28="是",main!$BB$4,main!$BB$3)),(VLOOKUP(main!J28,main!$AO$4:$AQ$55,2,FALSE))*IF(main!$AK28="是",main!$BB$4,main!$BB$3))</f>
        <v>144</v>
      </c>
      <c r="C28" s="12">
        <f>IF(ISNUMBER(SEARCH("营",main!K28)),(-$Y28+50*IF(main!$AK28="是",main!$BB$4,main!$BB$3)),(VLOOKUP(main!K28,main!$AO$4:$AQ$55,2,FALSE))*IF(main!$AK28="是",main!$BB$4,main!$BB$3))</f>
        <v>144</v>
      </c>
      <c r="D28" s="12">
        <f>IF(ISNUMBER(SEARCH("营",main!L28)),(-$Y28+50*IF(main!$AK28="是",main!$BB$4,main!$BB$3)),(VLOOKUP(main!L28,main!$AO$4:$AQ$55,2,FALSE))*IF(main!$AK28="是",main!$BB$4,main!$BB$3))</f>
        <v>144</v>
      </c>
      <c r="E28" s="12">
        <f>IF(ISNUMBER(SEARCH("营",main!M28)),(-$Y28+50*IF(main!$AK28="是",main!$BB$4,main!$BB$3)),(VLOOKUP(main!M28,main!$AO$4:$AQ$55,2,FALSE))*IF(main!$AK28="是",main!$BB$4,main!$BB$3))</f>
        <v>144</v>
      </c>
      <c r="F28" s="12">
        <f>IF(ISNUMBER(SEARCH("营",main!N28)),(-$Y28+50*IF(main!$AK28="是",main!$BB$4,main!$BB$3)),(VLOOKUP(main!N28,main!$AO$4:$AQ$55,2,FALSE))*IF(main!$AK28="是",main!$BB$4,main!$BB$3))</f>
        <v>144</v>
      </c>
      <c r="G28" s="12">
        <f>IF(ISNUMBER(SEARCH("营",main!O28)),(-$Y28+50*IF(main!$AK28="是",main!$BB$4,main!$BB$3)),(VLOOKUP(main!O28,main!$AO$4:$AQ$55,2,FALSE))*IF(main!$AK28="是",main!$BB$4,main!$BB$3))</f>
        <v>144</v>
      </c>
      <c r="H28" s="12">
        <f>IF(ISNUMBER(SEARCH("营",main!P28)),(-$Y28+50*IF(main!$AK28="是",main!$BB$4,main!$BB$3)),(VLOOKUP(main!P28,main!$AO$4:$AQ$55,2,FALSE))*IF(main!$AK28="是",main!$BB$4,main!$BB$3))</f>
        <v>144</v>
      </c>
      <c r="I28" s="12">
        <f>IF(ISNUMBER(SEARCH("营",main!Q28)),(-$Y28+50*IF(main!$AK28="是",main!$BB$4,main!$BB$3)),(VLOOKUP(main!Q28,main!$AO$4:$AQ$55,2,FALSE))*IF(main!$AK28="是",main!$BB$4,main!$BB$3))</f>
        <v>152</v>
      </c>
      <c r="J28" s="12">
        <f>IF(ISNUMBER(SEARCH("营",main!R28)),(-$Y28+50*IF(main!$AK28="是",main!$BB$4,main!$BB$3)),(VLOOKUP(main!R28,main!$AO$4:$AQ$55,2,FALSE))*IF(main!$AK28="是",main!$BB$4,main!$BB$3))</f>
        <v>152</v>
      </c>
      <c r="K28" s="12">
        <f>IF(ISNUMBER(SEARCH("营",main!S28)),(-$Y28+50*IF(main!$AK28="是",main!$BB$4,main!$BB$3)),(VLOOKUP(main!S28,main!$AO$4:$AQ$55,2,FALSE))*IF(main!$AK28="是",main!$BB$4,main!$BB$3))</f>
        <v>152</v>
      </c>
      <c r="L28" s="12">
        <f>IF(ISNUMBER(SEARCH("营",main!T28)),(-$Y28+50*IF(main!$AK28="是",main!$BB$4,main!$BB$3)),(VLOOKUP(main!T28,main!$AO$4:$AQ$55,2,FALSE))*IF(main!$AK28="是",main!$BB$4,main!$BB$3))</f>
        <v>152</v>
      </c>
      <c r="M28" s="12">
        <f>IF(ISNUMBER(SEARCH("营",main!U28)),(-$Y28+50*IF(main!$AK28="是",main!$BB$4,main!$BB$3)),(VLOOKUP(main!U28,main!$AO$4:$AQ$55,2,FALSE))*IF(main!$AK28="是",main!$BB$4,main!$BB$3))</f>
        <v>152</v>
      </c>
      <c r="N28" s="12">
        <f>IF(ISNUMBER(SEARCH("营",main!V28)),(-$Y28+50*IF(main!$AK28="是",main!$BB$4,main!$BB$3)),(VLOOKUP(main!V28,main!$AO$4:$AQ$55,2,FALSE))*IF(main!$AK28="是",main!$BB$4,main!$BB$3))</f>
        <v>152</v>
      </c>
      <c r="O28" s="12">
        <f>IF(ISNUMBER(SEARCH("营",main!W28)),(-$Y28+50*IF(main!$AK28="是",main!$BB$4,main!$BB$3)),(VLOOKUP(main!W28,main!$AO$4:$AQ$55,2,FALSE))*IF(main!$AK28="是",main!$BB$4,main!$BB$3))</f>
        <v>152</v>
      </c>
      <c r="P28" s="12">
        <f>IF(ISNUMBER(SEARCH("营",main!X28)),(-$Y28+50*IF(main!$AK28="是",main!$BB$4,main!$BB$3)),(VLOOKUP(main!X28,main!$AO$4:$AQ$55,2,FALSE))*IF(main!$AK28="是",main!$BB$4,main!$BB$3))</f>
        <v>152</v>
      </c>
      <c r="Q28" s="12">
        <f>IF(ISNUMBER(SEARCH("营",main!Y28)),(-$Y28+50*IF(main!$AK28="是",main!$BB$4,main!$BB$3)),(VLOOKUP(main!Y28,main!$AO$4:$AQ$55,2,FALSE))*IF(main!$AK28="是",main!$BB$4,main!$BB$3))</f>
        <v>160</v>
      </c>
      <c r="R28" s="12">
        <f>IF(ISNUMBER(SEARCH("营",main!Z28)),(-$Y28+50*IF(main!$AK28="是",main!$BB$4,main!$BB$3)),(VLOOKUP(main!Z28,main!$AO$4:$AQ$55,2,FALSE))*IF(main!$AK28="是",main!$BB$4,main!$BB$3))</f>
        <v>160</v>
      </c>
      <c r="S28" s="12">
        <f>IF(ISNUMBER(SEARCH("营",main!AA28)),(-$Y28+50*IF(main!$AK28="是",main!$BB$4,main!$BB$3)),(VLOOKUP(main!AA28,main!$AO$4:$AQ$55,2,FALSE))*IF(main!$AK28="是",main!$BB$4,main!$BB$3))</f>
        <v>160</v>
      </c>
      <c r="T28" s="12">
        <f>IF(ISNUMBER(SEARCH("营",main!AB28)),(-$Y28+50*IF(main!$AK28="是",main!$BB$4,main!$BB$3)),(VLOOKUP(main!AB28,main!$AO$4:$AQ$55,2,FALSE))*IF(main!$AK28="是",main!$BB$4,main!$BB$3))</f>
        <v>160</v>
      </c>
      <c r="U28" s="12">
        <f>IF(ISNUMBER(SEARCH("营",main!AC28)),(-$Y28+50*IF(main!$AK28="是",main!$BB$4,main!$BB$3)),(VLOOKUP(main!AC28,main!$AO$4:$AQ$55,2,FALSE))*IF(main!$AK28="是",main!$BB$4,main!$BB$3))</f>
        <v>160</v>
      </c>
      <c r="V28" s="12">
        <f>IF(ISNUMBER(SEARCH("营",main!AD28)),(-$Y28+50*IF(main!$AK28="是",main!$BB$4,main!$BB$3)),(VLOOKUP(main!AD28,main!$AO$4:$AQ$55,2,FALSE))*IF(main!$AK28="是",main!$BB$4,main!$BB$3))</f>
        <v>160</v>
      </c>
      <c r="W28" s="12">
        <f>IF(ISNUMBER(SEARCH("营",main!AE28)),(-$Y28+50*IF(main!$AK28="是",main!$BB$4,main!$BB$3)),(VLOOKUP(main!AE28,main!$AO$4:$AQ$55,2,FALSE))*IF(main!$AK28="是",main!$BB$4,main!$BB$3))</f>
        <v>160</v>
      </c>
      <c r="X28" s="12">
        <f>IF(ISNUMBER(SEARCH("营",main!AF28)),(-$Y28+50*IF(main!$AK28="是",main!$BB$4,main!$BB$3)),(VLOOKUP(main!AF28,main!$AO$4:$AQ$55,2,FALSE))*IF(main!$AK28="是",main!$BB$4,main!$BB$3))</f>
        <v>160</v>
      </c>
      <c r="Y28" s="98">
        <v>200</v>
      </c>
      <c r="Z28" s="95">
        <v>46300</v>
      </c>
      <c r="AA28">
        <v>25</v>
      </c>
    </row>
    <row r="29" spans="1:27">
      <c r="A29" s="12">
        <f>IF(ISNUMBER(SEARCH("营",main!I29)),(-$Y29+50*IF(main!$AK29="是",main!$BB$4,main!$BB$3)),(VLOOKUP(main!I29,main!$AO$4:$AQ$55,2,FALSE))*IF(main!$AK29="是",main!$BB$4,main!$BB$3))</f>
        <v>144</v>
      </c>
      <c r="B29" s="12">
        <f>IF(ISNUMBER(SEARCH("营",main!J29)),(-$Y29+50*IF(main!$AK29="是",main!$BB$4,main!$BB$3)),(VLOOKUP(main!J29,main!$AO$4:$AQ$55,2,FALSE))*IF(main!$AK29="是",main!$BB$4,main!$BB$3))</f>
        <v>144</v>
      </c>
      <c r="C29" s="12">
        <f>IF(ISNUMBER(SEARCH("营",main!K29)),(-$Y29+50*IF(main!$AK29="是",main!$BB$4,main!$BB$3)),(VLOOKUP(main!K29,main!$AO$4:$AQ$55,2,FALSE))*IF(main!$AK29="是",main!$BB$4,main!$BB$3))</f>
        <v>144</v>
      </c>
      <c r="D29" s="12">
        <f>IF(ISNUMBER(SEARCH("营",main!L29)),(-$Y29+50*IF(main!$AK29="是",main!$BB$4,main!$BB$3)),(VLOOKUP(main!L29,main!$AO$4:$AQ$55,2,FALSE))*IF(main!$AK29="是",main!$BB$4,main!$BB$3))</f>
        <v>144</v>
      </c>
      <c r="E29" s="12">
        <f>IF(ISNUMBER(SEARCH("营",main!M29)),(-$Y29+50*IF(main!$AK29="是",main!$BB$4,main!$BB$3)),(VLOOKUP(main!M29,main!$AO$4:$AQ$55,2,FALSE))*IF(main!$AK29="是",main!$BB$4,main!$BB$3))</f>
        <v>144</v>
      </c>
      <c r="F29" s="12">
        <f>IF(ISNUMBER(SEARCH("营",main!N29)),(-$Y29+50*IF(main!$AK29="是",main!$BB$4,main!$BB$3)),(VLOOKUP(main!N29,main!$AO$4:$AQ$55,2,FALSE))*IF(main!$AK29="是",main!$BB$4,main!$BB$3))</f>
        <v>144</v>
      </c>
      <c r="G29" s="12">
        <f>IF(ISNUMBER(SEARCH("营",main!O29)),(-$Y29+50*IF(main!$AK29="是",main!$BB$4,main!$BB$3)),(VLOOKUP(main!O29,main!$AO$4:$AQ$55,2,FALSE))*IF(main!$AK29="是",main!$BB$4,main!$BB$3))</f>
        <v>144</v>
      </c>
      <c r="H29" s="12">
        <f>IF(ISNUMBER(SEARCH("营",main!P29)),(-$Y29+50*IF(main!$AK29="是",main!$BB$4,main!$BB$3)),(VLOOKUP(main!P29,main!$AO$4:$AQ$55,2,FALSE))*IF(main!$AK29="是",main!$BB$4,main!$BB$3))</f>
        <v>144</v>
      </c>
      <c r="I29" s="12">
        <f>IF(ISNUMBER(SEARCH("营",main!Q29)),(-$Y29+50*IF(main!$AK29="是",main!$BB$4,main!$BB$3)),(VLOOKUP(main!Q29,main!$AO$4:$AQ$55,2,FALSE))*IF(main!$AK29="是",main!$BB$4,main!$BB$3))</f>
        <v>152</v>
      </c>
      <c r="J29" s="12">
        <f>IF(ISNUMBER(SEARCH("营",main!R29)),(-$Y29+50*IF(main!$AK29="是",main!$BB$4,main!$BB$3)),(VLOOKUP(main!R29,main!$AO$4:$AQ$55,2,FALSE))*IF(main!$AK29="是",main!$BB$4,main!$BB$3))</f>
        <v>152</v>
      </c>
      <c r="K29" s="12">
        <f>IF(ISNUMBER(SEARCH("营",main!S29)),(-$Y29+50*IF(main!$AK29="是",main!$BB$4,main!$BB$3)),(VLOOKUP(main!S29,main!$AO$4:$AQ$55,2,FALSE))*IF(main!$AK29="是",main!$BB$4,main!$BB$3))</f>
        <v>152</v>
      </c>
      <c r="L29" s="12">
        <f>IF(ISNUMBER(SEARCH("营",main!T29)),(-$Y29+50*IF(main!$AK29="是",main!$BB$4,main!$BB$3)),(VLOOKUP(main!T29,main!$AO$4:$AQ$55,2,FALSE))*IF(main!$AK29="是",main!$BB$4,main!$BB$3))</f>
        <v>152</v>
      </c>
      <c r="M29" s="12">
        <f>IF(ISNUMBER(SEARCH("营",main!U29)),(-$Y29+50*IF(main!$AK29="是",main!$BB$4,main!$BB$3)),(VLOOKUP(main!U29,main!$AO$4:$AQ$55,2,FALSE))*IF(main!$AK29="是",main!$BB$4,main!$BB$3))</f>
        <v>152</v>
      </c>
      <c r="N29" s="12">
        <f>IF(ISNUMBER(SEARCH("营",main!V29)),(-$Y29+50*IF(main!$AK29="是",main!$BB$4,main!$BB$3)),(VLOOKUP(main!V29,main!$AO$4:$AQ$55,2,FALSE))*IF(main!$AK29="是",main!$BB$4,main!$BB$3))</f>
        <v>152</v>
      </c>
      <c r="O29" s="12">
        <f>IF(ISNUMBER(SEARCH("营",main!W29)),(-$Y29+50*IF(main!$AK29="是",main!$BB$4,main!$BB$3)),(VLOOKUP(main!W29,main!$AO$4:$AQ$55,2,FALSE))*IF(main!$AK29="是",main!$BB$4,main!$BB$3))</f>
        <v>152</v>
      </c>
      <c r="P29" s="12">
        <f>IF(ISNUMBER(SEARCH("营",main!X29)),(-$Y29+50*IF(main!$AK29="是",main!$BB$4,main!$BB$3)),(VLOOKUP(main!X29,main!$AO$4:$AQ$55,2,FALSE))*IF(main!$AK29="是",main!$BB$4,main!$BB$3))</f>
        <v>152</v>
      </c>
      <c r="Q29" s="12">
        <f>IF(ISNUMBER(SEARCH("营",main!Y29)),(-$Y29+50*IF(main!$AK29="是",main!$BB$4,main!$BB$3)),(VLOOKUP(main!Y29,main!$AO$4:$AQ$55,2,FALSE))*IF(main!$AK29="是",main!$BB$4,main!$BB$3))</f>
        <v>160</v>
      </c>
      <c r="R29" s="12">
        <f>IF(ISNUMBER(SEARCH("营",main!Z29)),(-$Y29+50*IF(main!$AK29="是",main!$BB$4,main!$BB$3)),(VLOOKUP(main!Z29,main!$AO$4:$AQ$55,2,FALSE))*IF(main!$AK29="是",main!$BB$4,main!$BB$3))</f>
        <v>160</v>
      </c>
      <c r="S29" s="12">
        <f>IF(ISNUMBER(SEARCH("营",main!AA29)),(-$Y29+50*IF(main!$AK29="是",main!$BB$4,main!$BB$3)),(VLOOKUP(main!AA29,main!$AO$4:$AQ$55,2,FALSE))*IF(main!$AK29="是",main!$BB$4,main!$BB$3))</f>
        <v>160</v>
      </c>
      <c r="T29" s="12">
        <f>IF(ISNUMBER(SEARCH("营",main!AB29)),(-$Y29+50*IF(main!$AK29="是",main!$BB$4,main!$BB$3)),(VLOOKUP(main!AB29,main!$AO$4:$AQ$55,2,FALSE))*IF(main!$AK29="是",main!$BB$4,main!$BB$3))</f>
        <v>160</v>
      </c>
      <c r="U29" s="12">
        <f>IF(ISNUMBER(SEARCH("营",main!AC29)),(-$Y29+50*IF(main!$AK29="是",main!$BB$4,main!$BB$3)),(VLOOKUP(main!AC29,main!$AO$4:$AQ$55,2,FALSE))*IF(main!$AK29="是",main!$BB$4,main!$BB$3))</f>
        <v>160</v>
      </c>
      <c r="V29" s="12">
        <f>IF(ISNUMBER(SEARCH("营",main!AD29)),(-$Y29+50*IF(main!$AK29="是",main!$BB$4,main!$BB$3)),(VLOOKUP(main!AD29,main!$AO$4:$AQ$55,2,FALSE))*IF(main!$AK29="是",main!$BB$4,main!$BB$3))</f>
        <v>160</v>
      </c>
      <c r="W29" s="12">
        <f>IF(ISNUMBER(SEARCH("营",main!AE29)),(-$Y29+50*IF(main!$AK29="是",main!$BB$4,main!$BB$3)),(VLOOKUP(main!AE29,main!$AO$4:$AQ$55,2,FALSE))*IF(main!$AK29="是",main!$BB$4,main!$BB$3))</f>
        <v>160</v>
      </c>
      <c r="X29" s="12">
        <f>IF(ISNUMBER(SEARCH("营",main!AF29)),(-$Y29+50*IF(main!$AK29="是",main!$BB$4,main!$BB$3)),(VLOOKUP(main!AF29,main!$AO$4:$AQ$55,2,FALSE))*IF(main!$AK29="是",main!$BB$4,main!$BB$3))</f>
        <v>160</v>
      </c>
      <c r="Y29" s="98">
        <v>200</v>
      </c>
      <c r="Z29" s="95">
        <v>46301</v>
      </c>
      <c r="AA29">
        <v>26</v>
      </c>
    </row>
    <row r="30" spans="1:27">
      <c r="A30" s="12">
        <f>IF(ISNUMBER(SEARCH("营",main!I30)),(-$Y30+50*IF(main!$AK30="是",main!$BB$4,main!$BB$3)),(VLOOKUP(main!I30,main!$AO$4:$AQ$55,2,FALSE))*IF(main!$AK30="是",main!$BB$4,main!$BB$3))</f>
        <v>144</v>
      </c>
      <c r="B30" s="12">
        <f>IF(ISNUMBER(SEARCH("营",main!J30)),(-$Y30+50*IF(main!$AK30="是",main!$BB$4,main!$BB$3)),(VLOOKUP(main!J30,main!$AO$4:$AQ$55,2,FALSE))*IF(main!$AK30="是",main!$BB$4,main!$BB$3))</f>
        <v>144</v>
      </c>
      <c r="C30" s="12">
        <f>IF(ISNUMBER(SEARCH("营",main!K30)),(-$Y30+50*IF(main!$AK30="是",main!$BB$4,main!$BB$3)),(VLOOKUP(main!K30,main!$AO$4:$AQ$55,2,FALSE))*IF(main!$AK30="是",main!$BB$4,main!$BB$3))</f>
        <v>144</v>
      </c>
      <c r="D30" s="12">
        <f>IF(ISNUMBER(SEARCH("营",main!L30)),(-$Y30+50*IF(main!$AK30="是",main!$BB$4,main!$BB$3)),(VLOOKUP(main!L30,main!$AO$4:$AQ$55,2,FALSE))*IF(main!$AK30="是",main!$BB$4,main!$BB$3))</f>
        <v>144</v>
      </c>
      <c r="E30" s="12">
        <f>IF(ISNUMBER(SEARCH("营",main!M30)),(-$Y30+50*IF(main!$AK30="是",main!$BB$4,main!$BB$3)),(VLOOKUP(main!M30,main!$AO$4:$AQ$55,2,FALSE))*IF(main!$AK30="是",main!$BB$4,main!$BB$3))</f>
        <v>144</v>
      </c>
      <c r="F30" s="12">
        <f>IF(ISNUMBER(SEARCH("营",main!N30)),(-$Y30+50*IF(main!$AK30="是",main!$BB$4,main!$BB$3)),(VLOOKUP(main!N30,main!$AO$4:$AQ$55,2,FALSE))*IF(main!$AK30="是",main!$BB$4,main!$BB$3))</f>
        <v>144</v>
      </c>
      <c r="G30" s="12">
        <f>IF(ISNUMBER(SEARCH("营",main!O30)),(-$Y30+50*IF(main!$AK30="是",main!$BB$4,main!$BB$3)),(VLOOKUP(main!O30,main!$AO$4:$AQ$55,2,FALSE))*IF(main!$AK30="是",main!$BB$4,main!$BB$3))</f>
        <v>144</v>
      </c>
      <c r="H30" s="12">
        <f>IF(ISNUMBER(SEARCH("营",main!P30)),(-$Y30+50*IF(main!$AK30="是",main!$BB$4,main!$BB$3)),(VLOOKUP(main!P30,main!$AO$4:$AQ$55,2,FALSE))*IF(main!$AK30="是",main!$BB$4,main!$BB$3))</f>
        <v>144</v>
      </c>
      <c r="I30" s="12">
        <f>IF(ISNUMBER(SEARCH("营",main!Q30)),(-$Y30+50*IF(main!$AK30="是",main!$BB$4,main!$BB$3)),(VLOOKUP(main!Q30,main!$AO$4:$AQ$55,2,FALSE))*IF(main!$AK30="是",main!$BB$4,main!$BB$3))</f>
        <v>152</v>
      </c>
      <c r="J30" s="12">
        <f>IF(ISNUMBER(SEARCH("营",main!R30)),(-$Y30+50*IF(main!$AK30="是",main!$BB$4,main!$BB$3)),(VLOOKUP(main!R30,main!$AO$4:$AQ$55,2,FALSE))*IF(main!$AK30="是",main!$BB$4,main!$BB$3))</f>
        <v>152</v>
      </c>
      <c r="K30" s="12">
        <f>IF(ISNUMBER(SEARCH("营",main!S30)),(-$Y30+50*IF(main!$AK30="是",main!$BB$4,main!$BB$3)),(VLOOKUP(main!S30,main!$AO$4:$AQ$55,2,FALSE))*IF(main!$AK30="是",main!$BB$4,main!$BB$3))</f>
        <v>152</v>
      </c>
      <c r="L30" s="12">
        <f>IF(ISNUMBER(SEARCH("营",main!T30)),(-$Y30+50*IF(main!$AK30="是",main!$BB$4,main!$BB$3)),(VLOOKUP(main!T30,main!$AO$4:$AQ$55,2,FALSE))*IF(main!$AK30="是",main!$BB$4,main!$BB$3))</f>
        <v>152</v>
      </c>
      <c r="M30" s="12">
        <f>IF(ISNUMBER(SEARCH("营",main!U30)),(-$Y30+50*IF(main!$AK30="是",main!$BB$4,main!$BB$3)),(VLOOKUP(main!U30,main!$AO$4:$AQ$55,2,FALSE))*IF(main!$AK30="是",main!$BB$4,main!$BB$3))</f>
        <v>152</v>
      </c>
      <c r="N30" s="12">
        <f>IF(ISNUMBER(SEARCH("营",main!V30)),(-$Y30+50*IF(main!$AK30="是",main!$BB$4,main!$BB$3)),(VLOOKUP(main!V30,main!$AO$4:$AQ$55,2,FALSE))*IF(main!$AK30="是",main!$BB$4,main!$BB$3))</f>
        <v>152</v>
      </c>
      <c r="O30" s="12">
        <f>IF(ISNUMBER(SEARCH("营",main!W30)),(-$Y30+50*IF(main!$AK30="是",main!$BB$4,main!$BB$3)),(VLOOKUP(main!W30,main!$AO$4:$AQ$55,2,FALSE))*IF(main!$AK30="是",main!$BB$4,main!$BB$3))</f>
        <v>152</v>
      </c>
      <c r="P30" s="12">
        <f>IF(ISNUMBER(SEARCH("营",main!X30)),(-$Y30+50*IF(main!$AK30="是",main!$BB$4,main!$BB$3)),(VLOOKUP(main!X30,main!$AO$4:$AQ$55,2,FALSE))*IF(main!$AK30="是",main!$BB$4,main!$BB$3))</f>
        <v>152</v>
      </c>
      <c r="Q30" s="12">
        <f>IF(ISNUMBER(SEARCH("营",main!Y30)),(-$Y30+50*IF(main!$AK30="是",main!$BB$4,main!$BB$3)),(VLOOKUP(main!Y30,main!$AO$4:$AQ$55,2,FALSE))*IF(main!$AK30="是",main!$BB$4,main!$BB$3))</f>
        <v>160</v>
      </c>
      <c r="R30" s="12">
        <f>IF(ISNUMBER(SEARCH("营",main!Z30)),(-$Y30+50*IF(main!$AK30="是",main!$BB$4,main!$BB$3)),(VLOOKUP(main!Z30,main!$AO$4:$AQ$55,2,FALSE))*IF(main!$AK30="是",main!$BB$4,main!$BB$3))</f>
        <v>160</v>
      </c>
      <c r="S30" s="12">
        <f>IF(ISNUMBER(SEARCH("营",main!AA30)),(-$Y30+50*IF(main!$AK30="是",main!$BB$4,main!$BB$3)),(VLOOKUP(main!AA30,main!$AO$4:$AQ$55,2,FALSE))*IF(main!$AK30="是",main!$BB$4,main!$BB$3))</f>
        <v>160</v>
      </c>
      <c r="T30" s="12">
        <f>IF(ISNUMBER(SEARCH("营",main!AB30)),(-$Y30+50*IF(main!$AK30="是",main!$BB$4,main!$BB$3)),(VLOOKUP(main!AB30,main!$AO$4:$AQ$55,2,FALSE))*IF(main!$AK30="是",main!$BB$4,main!$BB$3))</f>
        <v>160</v>
      </c>
      <c r="U30" s="12">
        <f>IF(ISNUMBER(SEARCH("营",main!AC30)),(-$Y30+50*IF(main!$AK30="是",main!$BB$4,main!$BB$3)),(VLOOKUP(main!AC30,main!$AO$4:$AQ$55,2,FALSE))*IF(main!$AK30="是",main!$BB$4,main!$BB$3))</f>
        <v>160</v>
      </c>
      <c r="V30" s="12">
        <f>IF(ISNUMBER(SEARCH("营",main!AD30)),(-$Y30+50*IF(main!$AK30="是",main!$BB$4,main!$BB$3)),(VLOOKUP(main!AD30,main!$AO$4:$AQ$55,2,FALSE))*IF(main!$AK30="是",main!$BB$4,main!$BB$3))</f>
        <v>160</v>
      </c>
      <c r="W30" s="12">
        <f>IF(ISNUMBER(SEARCH("营",main!AE30)),(-$Y30+50*IF(main!$AK30="是",main!$BB$4,main!$BB$3)),(VLOOKUP(main!AE30,main!$AO$4:$AQ$55,2,FALSE))*IF(main!$AK30="是",main!$BB$4,main!$BB$3))</f>
        <v>160</v>
      </c>
      <c r="X30" s="12">
        <f>IF(ISNUMBER(SEARCH("营",main!AF30)),(-$Y30+50*IF(main!$AK30="是",main!$BB$4,main!$BB$3)),(VLOOKUP(main!AF30,main!$AO$4:$AQ$55,2,FALSE))*IF(main!$AK30="是",main!$BB$4,main!$BB$3))</f>
        <v>160</v>
      </c>
      <c r="Y30" s="98">
        <v>200</v>
      </c>
      <c r="Z30" s="95">
        <v>46302</v>
      </c>
      <c r="AA30">
        <v>27</v>
      </c>
    </row>
    <row r="31" spans="1:27">
      <c r="A31" s="12">
        <f>IF(ISNUMBER(SEARCH("营",main!I31)),(-$Y31+50*IF(main!$AK31="是",main!$BB$4,main!$BB$3)),(VLOOKUP(main!I31,main!$AO$4:$AQ$55,2,FALSE))*IF(main!$AK31="是",main!$BB$4,main!$BB$3))</f>
        <v>144</v>
      </c>
      <c r="B31" s="12">
        <f>IF(ISNUMBER(SEARCH("营",main!J31)),(-$Y31+50*IF(main!$AK31="是",main!$BB$4,main!$BB$3)),(VLOOKUP(main!J31,main!$AO$4:$AQ$55,2,FALSE))*IF(main!$AK31="是",main!$BB$4,main!$BB$3))</f>
        <v>144</v>
      </c>
      <c r="C31" s="12">
        <f>IF(ISNUMBER(SEARCH("营",main!K31)),(-$Y31+50*IF(main!$AK31="是",main!$BB$4,main!$BB$3)),(VLOOKUP(main!K31,main!$AO$4:$AQ$55,2,FALSE))*IF(main!$AK31="是",main!$BB$4,main!$BB$3))</f>
        <v>144</v>
      </c>
      <c r="D31" s="12">
        <f>IF(ISNUMBER(SEARCH("营",main!L31)),(-$Y31+50*IF(main!$AK31="是",main!$BB$4,main!$BB$3)),(VLOOKUP(main!L31,main!$AO$4:$AQ$55,2,FALSE))*IF(main!$AK31="是",main!$BB$4,main!$BB$3))</f>
        <v>144</v>
      </c>
      <c r="E31" s="12">
        <f>IF(ISNUMBER(SEARCH("营",main!M31)),(-$Y31+50*IF(main!$AK31="是",main!$BB$4,main!$BB$3)),(VLOOKUP(main!M31,main!$AO$4:$AQ$55,2,FALSE))*IF(main!$AK31="是",main!$BB$4,main!$BB$3))</f>
        <v>144</v>
      </c>
      <c r="F31" s="12">
        <f>IF(ISNUMBER(SEARCH("营",main!N31)),(-$Y31+50*IF(main!$AK31="是",main!$BB$4,main!$BB$3)),(VLOOKUP(main!N31,main!$AO$4:$AQ$55,2,FALSE))*IF(main!$AK31="是",main!$BB$4,main!$BB$3))</f>
        <v>144</v>
      </c>
      <c r="G31" s="12">
        <f>IF(ISNUMBER(SEARCH("营",main!O31)),(-$Y31+50*IF(main!$AK31="是",main!$BB$4,main!$BB$3)),(VLOOKUP(main!O31,main!$AO$4:$AQ$55,2,FALSE))*IF(main!$AK31="是",main!$BB$4,main!$BB$3))</f>
        <v>144</v>
      </c>
      <c r="H31" s="12">
        <f>IF(ISNUMBER(SEARCH("营",main!P31)),(-$Y31+50*IF(main!$AK31="是",main!$BB$4,main!$BB$3)),(VLOOKUP(main!P31,main!$AO$4:$AQ$55,2,FALSE))*IF(main!$AK31="是",main!$BB$4,main!$BB$3))</f>
        <v>144</v>
      </c>
      <c r="I31" s="12">
        <f>IF(ISNUMBER(SEARCH("营",main!Q31)),(-$Y31+50*IF(main!$AK31="是",main!$BB$4,main!$BB$3)),(VLOOKUP(main!Q31,main!$AO$4:$AQ$55,2,FALSE))*IF(main!$AK31="是",main!$BB$4,main!$BB$3))</f>
        <v>152</v>
      </c>
      <c r="J31" s="12">
        <f>IF(ISNUMBER(SEARCH("营",main!R31)),(-$Y31+50*IF(main!$AK31="是",main!$BB$4,main!$BB$3)),(VLOOKUP(main!R31,main!$AO$4:$AQ$55,2,FALSE))*IF(main!$AK31="是",main!$BB$4,main!$BB$3))</f>
        <v>152</v>
      </c>
      <c r="K31" s="12">
        <f>IF(ISNUMBER(SEARCH("营",main!S31)),(-$Y31+50*IF(main!$AK31="是",main!$BB$4,main!$BB$3)),(VLOOKUP(main!S31,main!$AO$4:$AQ$55,2,FALSE))*IF(main!$AK31="是",main!$BB$4,main!$BB$3))</f>
        <v>152</v>
      </c>
      <c r="L31" s="12">
        <f>IF(ISNUMBER(SEARCH("营",main!T31)),(-$Y31+50*IF(main!$AK31="是",main!$BB$4,main!$BB$3)),(VLOOKUP(main!T31,main!$AO$4:$AQ$55,2,FALSE))*IF(main!$AK31="是",main!$BB$4,main!$BB$3))</f>
        <v>152</v>
      </c>
      <c r="M31" s="12">
        <f>IF(ISNUMBER(SEARCH("营",main!U31)),(-$Y31+50*IF(main!$AK31="是",main!$BB$4,main!$BB$3)),(VLOOKUP(main!U31,main!$AO$4:$AQ$55,2,FALSE))*IF(main!$AK31="是",main!$BB$4,main!$BB$3))</f>
        <v>152</v>
      </c>
      <c r="N31" s="12">
        <f>IF(ISNUMBER(SEARCH("营",main!V31)),(-$Y31+50*IF(main!$AK31="是",main!$BB$4,main!$BB$3)),(VLOOKUP(main!V31,main!$AO$4:$AQ$55,2,FALSE))*IF(main!$AK31="是",main!$BB$4,main!$BB$3))</f>
        <v>152</v>
      </c>
      <c r="O31" s="12">
        <f>IF(ISNUMBER(SEARCH("营",main!W31)),(-$Y31+50*IF(main!$AK31="是",main!$BB$4,main!$BB$3)),(VLOOKUP(main!W31,main!$AO$4:$AQ$55,2,FALSE))*IF(main!$AK31="是",main!$BB$4,main!$BB$3))</f>
        <v>152</v>
      </c>
      <c r="P31" s="12">
        <f>IF(ISNUMBER(SEARCH("营",main!X31)),(-$Y31+50*IF(main!$AK31="是",main!$BB$4,main!$BB$3)),(VLOOKUP(main!X31,main!$AO$4:$AQ$55,2,FALSE))*IF(main!$AK31="是",main!$BB$4,main!$BB$3))</f>
        <v>152</v>
      </c>
      <c r="Q31" s="12">
        <f>IF(ISNUMBER(SEARCH("营",main!Y31)),(-$Y31+50*IF(main!$AK31="是",main!$BB$4,main!$BB$3)),(VLOOKUP(main!Y31,main!$AO$4:$AQ$55,2,FALSE))*IF(main!$AK31="是",main!$BB$4,main!$BB$3))</f>
        <v>160</v>
      </c>
      <c r="R31" s="12">
        <f>IF(ISNUMBER(SEARCH("营",main!Z31)),(-$Y31+50*IF(main!$AK31="是",main!$BB$4,main!$BB$3)),(VLOOKUP(main!Z31,main!$AO$4:$AQ$55,2,FALSE))*IF(main!$AK31="是",main!$BB$4,main!$BB$3))</f>
        <v>160</v>
      </c>
      <c r="S31" s="12">
        <f>IF(ISNUMBER(SEARCH("营",main!AA31)),(-$Y31+50*IF(main!$AK31="是",main!$BB$4,main!$BB$3)),(VLOOKUP(main!AA31,main!$AO$4:$AQ$55,2,FALSE))*IF(main!$AK31="是",main!$BB$4,main!$BB$3))</f>
        <v>160</v>
      </c>
      <c r="T31" s="12">
        <f>IF(ISNUMBER(SEARCH("营",main!AB31)),(-$Y31+50*IF(main!$AK31="是",main!$BB$4,main!$BB$3)),(VLOOKUP(main!AB31,main!$AO$4:$AQ$55,2,FALSE))*IF(main!$AK31="是",main!$BB$4,main!$BB$3))</f>
        <v>160</v>
      </c>
      <c r="U31" s="12">
        <f>IF(ISNUMBER(SEARCH("营",main!AC31)),(-$Y31+50*IF(main!$AK31="是",main!$BB$4,main!$BB$3)),(VLOOKUP(main!AC31,main!$AO$4:$AQ$55,2,FALSE))*IF(main!$AK31="是",main!$BB$4,main!$BB$3))</f>
        <v>160</v>
      </c>
      <c r="V31" s="12">
        <f>IF(ISNUMBER(SEARCH("营",main!AD31)),(-$Y31+50*IF(main!$AK31="是",main!$BB$4,main!$BB$3)),(VLOOKUP(main!AD31,main!$AO$4:$AQ$55,2,FALSE))*IF(main!$AK31="是",main!$BB$4,main!$BB$3))</f>
        <v>160</v>
      </c>
      <c r="W31" s="12">
        <f>IF(ISNUMBER(SEARCH("营",main!AE31)),(-$Y31+50*IF(main!$AK31="是",main!$BB$4,main!$BB$3)),(VLOOKUP(main!AE31,main!$AO$4:$AQ$55,2,FALSE))*IF(main!$AK31="是",main!$BB$4,main!$BB$3))</f>
        <v>160</v>
      </c>
      <c r="X31" s="12">
        <f>IF(ISNUMBER(SEARCH("营",main!AF31)),(-$Y31+50*IF(main!$AK31="是",main!$BB$4,main!$BB$3)),(VLOOKUP(main!AF31,main!$AO$4:$AQ$55,2,FALSE))*IF(main!$AK31="是",main!$BB$4,main!$BB$3))</f>
        <v>160</v>
      </c>
      <c r="Y31" s="98">
        <v>200</v>
      </c>
      <c r="Z31" s="95">
        <v>46303</v>
      </c>
      <c r="AA31">
        <v>28</v>
      </c>
    </row>
    <row r="32" spans="1:27">
      <c r="A32" s="12">
        <f>IF(ISNUMBER(SEARCH("营",main!I32)),(-$Y32+50*IF(main!$AK32="是",main!$BB$4,main!$BB$3)),(VLOOKUP(main!I32,main!$AO$4:$AQ$55,2,FALSE))*IF(main!$AK32="是",main!$BB$4,main!$BB$3))</f>
        <v>144</v>
      </c>
      <c r="B32" s="12">
        <f>IF(ISNUMBER(SEARCH("营",main!J32)),(-$Y32+50*IF(main!$AK32="是",main!$BB$4,main!$BB$3)),(VLOOKUP(main!J32,main!$AO$4:$AQ$55,2,FALSE))*IF(main!$AK32="是",main!$BB$4,main!$BB$3))</f>
        <v>144</v>
      </c>
      <c r="C32" s="12">
        <f>IF(ISNUMBER(SEARCH("营",main!K32)),(-$Y32+50*IF(main!$AK32="是",main!$BB$4,main!$BB$3)),(VLOOKUP(main!K32,main!$AO$4:$AQ$55,2,FALSE))*IF(main!$AK32="是",main!$BB$4,main!$BB$3))</f>
        <v>144</v>
      </c>
      <c r="D32" s="12">
        <f>IF(ISNUMBER(SEARCH("营",main!L32)),(-$Y32+50*IF(main!$AK32="是",main!$BB$4,main!$BB$3)),(VLOOKUP(main!L32,main!$AO$4:$AQ$55,2,FALSE))*IF(main!$AK32="是",main!$BB$4,main!$BB$3))</f>
        <v>144</v>
      </c>
      <c r="E32" s="12">
        <f>IF(ISNUMBER(SEARCH("营",main!M32)),(-$Y32+50*IF(main!$AK32="是",main!$BB$4,main!$BB$3)),(VLOOKUP(main!M32,main!$AO$4:$AQ$55,2,FALSE))*IF(main!$AK32="是",main!$BB$4,main!$BB$3))</f>
        <v>144</v>
      </c>
      <c r="F32" s="12">
        <f>IF(ISNUMBER(SEARCH("营",main!N32)),(-$Y32+50*IF(main!$AK32="是",main!$BB$4,main!$BB$3)),(VLOOKUP(main!N32,main!$AO$4:$AQ$55,2,FALSE))*IF(main!$AK32="是",main!$BB$4,main!$BB$3))</f>
        <v>144</v>
      </c>
      <c r="G32" s="12">
        <f>IF(ISNUMBER(SEARCH("营",main!O32)),(-$Y32+50*IF(main!$AK32="是",main!$BB$4,main!$BB$3)),(VLOOKUP(main!O32,main!$AO$4:$AQ$55,2,FALSE))*IF(main!$AK32="是",main!$BB$4,main!$BB$3))</f>
        <v>144</v>
      </c>
      <c r="H32" s="12">
        <f>IF(ISNUMBER(SEARCH("营",main!P32)),(-$Y32+50*IF(main!$AK32="是",main!$BB$4,main!$BB$3)),(VLOOKUP(main!P32,main!$AO$4:$AQ$55,2,FALSE))*IF(main!$AK32="是",main!$BB$4,main!$BB$3))</f>
        <v>144</v>
      </c>
      <c r="I32" s="12">
        <f>IF(ISNUMBER(SEARCH("营",main!Q32)),(-$Y32+50*IF(main!$AK32="是",main!$BB$4,main!$BB$3)),(VLOOKUP(main!Q32,main!$AO$4:$AQ$55,2,FALSE))*IF(main!$AK32="是",main!$BB$4,main!$BB$3))</f>
        <v>152</v>
      </c>
      <c r="J32" s="12">
        <f>IF(ISNUMBER(SEARCH("营",main!R32)),(-$Y32+50*IF(main!$AK32="是",main!$BB$4,main!$BB$3)),(VLOOKUP(main!R32,main!$AO$4:$AQ$55,2,FALSE))*IF(main!$AK32="是",main!$BB$4,main!$BB$3))</f>
        <v>152</v>
      </c>
      <c r="K32" s="12">
        <f>IF(ISNUMBER(SEARCH("营",main!S32)),(-$Y32+50*IF(main!$AK32="是",main!$BB$4,main!$BB$3)),(VLOOKUP(main!S32,main!$AO$4:$AQ$55,2,FALSE))*IF(main!$AK32="是",main!$BB$4,main!$BB$3))</f>
        <v>152</v>
      </c>
      <c r="L32" s="12">
        <f>IF(ISNUMBER(SEARCH("营",main!T32)),(-$Y32+50*IF(main!$AK32="是",main!$BB$4,main!$BB$3)),(VLOOKUP(main!T32,main!$AO$4:$AQ$55,2,FALSE))*IF(main!$AK32="是",main!$BB$4,main!$BB$3))</f>
        <v>152</v>
      </c>
      <c r="M32" s="12">
        <f>IF(ISNUMBER(SEARCH("营",main!U32)),(-$Y32+50*IF(main!$AK32="是",main!$BB$4,main!$BB$3)),(VLOOKUP(main!U32,main!$AO$4:$AQ$55,2,FALSE))*IF(main!$AK32="是",main!$BB$4,main!$BB$3))</f>
        <v>152</v>
      </c>
      <c r="N32" s="12">
        <f>IF(ISNUMBER(SEARCH("营",main!V32)),(-$Y32+50*IF(main!$AK32="是",main!$BB$4,main!$BB$3)),(VLOOKUP(main!V32,main!$AO$4:$AQ$55,2,FALSE))*IF(main!$AK32="是",main!$BB$4,main!$BB$3))</f>
        <v>152</v>
      </c>
      <c r="O32" s="12">
        <f>IF(ISNUMBER(SEARCH("营",main!W32)),(-$Y32+50*IF(main!$AK32="是",main!$BB$4,main!$BB$3)),(VLOOKUP(main!W32,main!$AO$4:$AQ$55,2,FALSE))*IF(main!$AK32="是",main!$BB$4,main!$BB$3))</f>
        <v>152</v>
      </c>
      <c r="P32" s="12">
        <f>IF(ISNUMBER(SEARCH("营",main!X32)),(-$Y32+50*IF(main!$AK32="是",main!$BB$4,main!$BB$3)),(VLOOKUP(main!X32,main!$AO$4:$AQ$55,2,FALSE))*IF(main!$AK32="是",main!$BB$4,main!$BB$3))</f>
        <v>152</v>
      </c>
      <c r="Q32" s="12">
        <f>IF(ISNUMBER(SEARCH("营",main!Y32)),(-$Y32+50*IF(main!$AK32="是",main!$BB$4,main!$BB$3)),(VLOOKUP(main!Y32,main!$AO$4:$AQ$55,2,FALSE))*IF(main!$AK32="是",main!$BB$4,main!$BB$3))</f>
        <v>160</v>
      </c>
      <c r="R32" s="12">
        <f>IF(ISNUMBER(SEARCH("营",main!Z32)),(-$Y32+50*IF(main!$AK32="是",main!$BB$4,main!$BB$3)),(VLOOKUP(main!Z32,main!$AO$4:$AQ$55,2,FALSE))*IF(main!$AK32="是",main!$BB$4,main!$BB$3))</f>
        <v>160</v>
      </c>
      <c r="S32" s="12">
        <f>IF(ISNUMBER(SEARCH("营",main!AA32)),(-$Y32+50*IF(main!$AK32="是",main!$BB$4,main!$BB$3)),(VLOOKUP(main!AA32,main!$AO$4:$AQ$55,2,FALSE))*IF(main!$AK32="是",main!$BB$4,main!$BB$3))</f>
        <v>160</v>
      </c>
      <c r="T32" s="12">
        <f>IF(ISNUMBER(SEARCH("营",main!AB32)),(-$Y32+50*IF(main!$AK32="是",main!$BB$4,main!$BB$3)),(VLOOKUP(main!AB32,main!$AO$4:$AQ$55,2,FALSE))*IF(main!$AK32="是",main!$BB$4,main!$BB$3))</f>
        <v>160</v>
      </c>
      <c r="U32" s="12">
        <f>IF(ISNUMBER(SEARCH("营",main!AC32)),(-$Y32+50*IF(main!$AK32="是",main!$BB$4,main!$BB$3)),(VLOOKUP(main!AC32,main!$AO$4:$AQ$55,2,FALSE))*IF(main!$AK32="是",main!$BB$4,main!$BB$3))</f>
        <v>160</v>
      </c>
      <c r="V32" s="12">
        <f>IF(ISNUMBER(SEARCH("营",main!AD32)),(-$Y32+50*IF(main!$AK32="是",main!$BB$4,main!$BB$3)),(VLOOKUP(main!AD32,main!$AO$4:$AQ$55,2,FALSE))*IF(main!$AK32="是",main!$BB$4,main!$BB$3))</f>
        <v>160</v>
      </c>
      <c r="W32" s="12">
        <f>IF(ISNUMBER(SEARCH("营",main!AE32)),(-$Y32+50*IF(main!$AK32="是",main!$BB$4,main!$BB$3)),(VLOOKUP(main!AE32,main!$AO$4:$AQ$55,2,FALSE))*IF(main!$AK32="是",main!$BB$4,main!$BB$3))</f>
        <v>160</v>
      </c>
      <c r="X32" s="12">
        <f>IF(ISNUMBER(SEARCH("营",main!AF32)),(-$Y32+50*IF(main!$AK32="是",main!$BB$4,main!$BB$3)),(VLOOKUP(main!AF32,main!$AO$4:$AQ$55,2,FALSE))*IF(main!$AK32="是",main!$BB$4,main!$BB$3))</f>
        <v>160</v>
      </c>
      <c r="Y32" s="98">
        <v>200</v>
      </c>
      <c r="Z32" s="95">
        <v>46304</v>
      </c>
      <c r="AA32">
        <v>29</v>
      </c>
    </row>
    <row r="33" spans="1:27">
      <c r="A33" s="12">
        <f>IF(ISNUMBER(SEARCH("营",main!I33)),(-$Y33+50*IF(main!$AK33="是",main!$BB$4,main!$BB$3)),(VLOOKUP(main!I33,main!$AO$4:$AQ$55,2,FALSE))*IF(main!$AK33="是",main!$BB$4,main!$BB$3))</f>
        <v>144</v>
      </c>
      <c r="B33" s="12">
        <f>IF(ISNUMBER(SEARCH("营",main!J33)),(-$Y33+50*IF(main!$AK33="是",main!$BB$4,main!$BB$3)),(VLOOKUP(main!J33,main!$AO$4:$AQ$55,2,FALSE))*IF(main!$AK33="是",main!$BB$4,main!$BB$3))</f>
        <v>144</v>
      </c>
      <c r="C33" s="12">
        <f>IF(ISNUMBER(SEARCH("营",main!K33)),(-$Y33+50*IF(main!$AK33="是",main!$BB$4,main!$BB$3)),(VLOOKUP(main!K33,main!$AO$4:$AQ$55,2,FALSE))*IF(main!$AK33="是",main!$BB$4,main!$BB$3))</f>
        <v>144</v>
      </c>
      <c r="D33" s="12">
        <f>IF(ISNUMBER(SEARCH("营",main!L33)),(-$Y33+50*IF(main!$AK33="是",main!$BB$4,main!$BB$3)),(VLOOKUP(main!L33,main!$AO$4:$AQ$55,2,FALSE))*IF(main!$AK33="是",main!$BB$4,main!$BB$3))</f>
        <v>144</v>
      </c>
      <c r="E33" s="12">
        <f>IF(ISNUMBER(SEARCH("营",main!M33)),(-$Y33+50*IF(main!$AK33="是",main!$BB$4,main!$BB$3)),(VLOOKUP(main!M33,main!$AO$4:$AQ$55,2,FALSE))*IF(main!$AK33="是",main!$BB$4,main!$BB$3))</f>
        <v>144</v>
      </c>
      <c r="F33" s="12">
        <f>IF(ISNUMBER(SEARCH("营",main!N33)),(-$Y33+50*IF(main!$AK33="是",main!$BB$4,main!$BB$3)),(VLOOKUP(main!N33,main!$AO$4:$AQ$55,2,FALSE))*IF(main!$AK33="是",main!$BB$4,main!$BB$3))</f>
        <v>144</v>
      </c>
      <c r="G33" s="12">
        <f>IF(ISNUMBER(SEARCH("营",main!O33)),(-$Y33+50*IF(main!$AK33="是",main!$BB$4,main!$BB$3)),(VLOOKUP(main!O33,main!$AO$4:$AQ$55,2,FALSE))*IF(main!$AK33="是",main!$BB$4,main!$BB$3))</f>
        <v>144</v>
      </c>
      <c r="H33" s="12">
        <f>IF(ISNUMBER(SEARCH("营",main!P33)),(-$Y33+50*IF(main!$AK33="是",main!$BB$4,main!$BB$3)),(VLOOKUP(main!P33,main!$AO$4:$AQ$55,2,FALSE))*IF(main!$AK33="是",main!$BB$4,main!$BB$3))</f>
        <v>144</v>
      </c>
      <c r="I33" s="12">
        <f>IF(ISNUMBER(SEARCH("营",main!Q33)),(-$Y33+50*IF(main!$AK33="是",main!$BB$4,main!$BB$3)),(VLOOKUP(main!Q33,main!$AO$4:$AQ$55,2,FALSE))*IF(main!$AK33="是",main!$BB$4,main!$BB$3))</f>
        <v>152</v>
      </c>
      <c r="J33" s="12">
        <f>IF(ISNUMBER(SEARCH("营",main!R33)),(-$Y33+50*IF(main!$AK33="是",main!$BB$4,main!$BB$3)),(VLOOKUP(main!R33,main!$AO$4:$AQ$55,2,FALSE))*IF(main!$AK33="是",main!$BB$4,main!$BB$3))</f>
        <v>152</v>
      </c>
      <c r="K33" s="12">
        <f>IF(ISNUMBER(SEARCH("营",main!S33)),(-$Y33+50*IF(main!$AK33="是",main!$BB$4,main!$BB$3)),(VLOOKUP(main!S33,main!$AO$4:$AQ$55,2,FALSE))*IF(main!$AK33="是",main!$BB$4,main!$BB$3))</f>
        <v>152</v>
      </c>
      <c r="L33" s="12">
        <f>IF(ISNUMBER(SEARCH("营",main!T33)),(-$Y33+50*IF(main!$AK33="是",main!$BB$4,main!$BB$3)),(VLOOKUP(main!T33,main!$AO$4:$AQ$55,2,FALSE))*IF(main!$AK33="是",main!$BB$4,main!$BB$3))</f>
        <v>152</v>
      </c>
      <c r="M33" s="12">
        <f>IF(ISNUMBER(SEARCH("营",main!U33)),(-$Y33+50*IF(main!$AK33="是",main!$BB$4,main!$BB$3)),(VLOOKUP(main!U33,main!$AO$4:$AQ$55,2,FALSE))*IF(main!$AK33="是",main!$BB$4,main!$BB$3))</f>
        <v>152</v>
      </c>
      <c r="N33" s="12">
        <f>IF(ISNUMBER(SEARCH("营",main!V33)),(-$Y33+50*IF(main!$AK33="是",main!$BB$4,main!$BB$3)),(VLOOKUP(main!V33,main!$AO$4:$AQ$55,2,FALSE))*IF(main!$AK33="是",main!$BB$4,main!$BB$3))</f>
        <v>152</v>
      </c>
      <c r="O33" s="12">
        <f>IF(ISNUMBER(SEARCH("营",main!W33)),(-$Y33+50*IF(main!$AK33="是",main!$BB$4,main!$BB$3)),(VLOOKUP(main!W33,main!$AO$4:$AQ$55,2,FALSE))*IF(main!$AK33="是",main!$BB$4,main!$BB$3))</f>
        <v>152</v>
      </c>
      <c r="P33" s="12">
        <f>IF(ISNUMBER(SEARCH("营",main!X33)),(-$Y33+50*IF(main!$AK33="是",main!$BB$4,main!$BB$3)),(VLOOKUP(main!X33,main!$AO$4:$AQ$55,2,FALSE))*IF(main!$AK33="是",main!$BB$4,main!$BB$3))</f>
        <v>152</v>
      </c>
      <c r="Q33" s="12">
        <f>IF(ISNUMBER(SEARCH("营",main!Y33)),(-$Y33+50*IF(main!$AK33="是",main!$BB$4,main!$BB$3)),(VLOOKUP(main!Y33,main!$AO$4:$AQ$55,2,FALSE))*IF(main!$AK33="是",main!$BB$4,main!$BB$3))</f>
        <v>160</v>
      </c>
      <c r="R33" s="12">
        <f>IF(ISNUMBER(SEARCH("营",main!Z33)),(-$Y33+50*IF(main!$AK33="是",main!$BB$4,main!$BB$3)),(VLOOKUP(main!Z33,main!$AO$4:$AQ$55,2,FALSE))*IF(main!$AK33="是",main!$BB$4,main!$BB$3))</f>
        <v>160</v>
      </c>
      <c r="S33" s="12">
        <f>IF(ISNUMBER(SEARCH("营",main!AA33)),(-$Y33+50*IF(main!$AK33="是",main!$BB$4,main!$BB$3)),(VLOOKUP(main!AA33,main!$AO$4:$AQ$55,2,FALSE))*IF(main!$AK33="是",main!$BB$4,main!$BB$3))</f>
        <v>160</v>
      </c>
      <c r="T33" s="12">
        <f>IF(ISNUMBER(SEARCH("营",main!AB33)),(-$Y33+50*IF(main!$AK33="是",main!$BB$4,main!$BB$3)),(VLOOKUP(main!AB33,main!$AO$4:$AQ$55,2,FALSE))*IF(main!$AK33="是",main!$BB$4,main!$BB$3))</f>
        <v>160</v>
      </c>
      <c r="U33" s="12">
        <f>IF(ISNUMBER(SEARCH("营",main!AC33)),(-$Y33+50*IF(main!$AK33="是",main!$BB$4,main!$BB$3)),(VLOOKUP(main!AC33,main!$AO$4:$AQ$55,2,FALSE))*IF(main!$AK33="是",main!$BB$4,main!$BB$3))</f>
        <v>160</v>
      </c>
      <c r="V33" s="12">
        <f>IF(ISNUMBER(SEARCH("营",main!AD33)),(-$Y33+50*IF(main!$AK33="是",main!$BB$4,main!$BB$3)),(VLOOKUP(main!AD33,main!$AO$4:$AQ$55,2,FALSE))*IF(main!$AK33="是",main!$BB$4,main!$BB$3))</f>
        <v>160</v>
      </c>
      <c r="W33" s="12">
        <f>IF(ISNUMBER(SEARCH("营",main!AE33)),(-$Y33+50*IF(main!$AK33="是",main!$BB$4,main!$BB$3)),(VLOOKUP(main!AE33,main!$AO$4:$AQ$55,2,FALSE))*IF(main!$AK33="是",main!$BB$4,main!$BB$3))</f>
        <v>160</v>
      </c>
      <c r="X33" s="12">
        <f>IF(ISNUMBER(SEARCH("营",main!AF33)),(-$Y33+50*IF(main!$AK33="是",main!$BB$4,main!$BB$3)),(VLOOKUP(main!AF33,main!$AO$4:$AQ$55,2,FALSE))*IF(main!$AK33="是",main!$BB$4,main!$BB$3))</f>
        <v>160</v>
      </c>
      <c r="Y33" s="98">
        <v>200</v>
      </c>
      <c r="Z33" s="95">
        <v>46305</v>
      </c>
      <c r="AA33">
        <v>30</v>
      </c>
    </row>
    <row r="34" spans="1:27">
      <c r="A34" s="12">
        <f>IF(ISNUMBER(SEARCH("营",main!I34)),(-$Y34+50*IF(main!$AK34="是",main!$BB$4,main!$BB$3)),(VLOOKUP(main!I34,main!$AO$4:$AQ$55,2,FALSE))*IF(main!$AK34="是",main!$BB$4,main!$BB$3))</f>
        <v>144</v>
      </c>
      <c r="B34" s="12">
        <f>IF(ISNUMBER(SEARCH("营",main!J34)),(-$Y34+50*IF(main!$AK34="是",main!$BB$4,main!$BB$3)),(VLOOKUP(main!J34,main!$AO$4:$AQ$55,2,FALSE))*IF(main!$AK34="是",main!$BB$4,main!$BB$3))</f>
        <v>144</v>
      </c>
      <c r="C34" s="12">
        <f>IF(ISNUMBER(SEARCH("营",main!K34)),(-$Y34+50*IF(main!$AK34="是",main!$BB$4,main!$BB$3)),(VLOOKUP(main!K34,main!$AO$4:$AQ$55,2,FALSE))*IF(main!$AK34="是",main!$BB$4,main!$BB$3))</f>
        <v>144</v>
      </c>
      <c r="D34" s="12">
        <f>IF(ISNUMBER(SEARCH("营",main!L34)),(-$Y34+50*IF(main!$AK34="是",main!$BB$4,main!$BB$3)),(VLOOKUP(main!L34,main!$AO$4:$AQ$55,2,FALSE))*IF(main!$AK34="是",main!$BB$4,main!$BB$3))</f>
        <v>144</v>
      </c>
      <c r="E34" s="12">
        <f>IF(ISNUMBER(SEARCH("营",main!M34)),(-$Y34+50*IF(main!$AK34="是",main!$BB$4,main!$BB$3)),(VLOOKUP(main!M34,main!$AO$4:$AQ$55,2,FALSE))*IF(main!$AK34="是",main!$BB$4,main!$BB$3))</f>
        <v>144</v>
      </c>
      <c r="F34" s="12">
        <f>IF(ISNUMBER(SEARCH("营",main!N34)),(-$Y34+50*IF(main!$AK34="是",main!$BB$4,main!$BB$3)),(VLOOKUP(main!N34,main!$AO$4:$AQ$55,2,FALSE))*IF(main!$AK34="是",main!$BB$4,main!$BB$3))</f>
        <v>144</v>
      </c>
      <c r="G34" s="12">
        <f>IF(ISNUMBER(SEARCH("营",main!O34)),(-$Y34+50*IF(main!$AK34="是",main!$BB$4,main!$BB$3)),(VLOOKUP(main!O34,main!$AO$4:$AQ$55,2,FALSE))*IF(main!$AK34="是",main!$BB$4,main!$BB$3))</f>
        <v>144</v>
      </c>
      <c r="H34" s="12">
        <f>IF(ISNUMBER(SEARCH("营",main!P34)),(-$Y34+50*IF(main!$AK34="是",main!$BB$4,main!$BB$3)),(VLOOKUP(main!P34,main!$AO$4:$AQ$55,2,FALSE))*IF(main!$AK34="是",main!$BB$4,main!$BB$3))</f>
        <v>144</v>
      </c>
      <c r="I34" s="12">
        <f>IF(ISNUMBER(SEARCH("营",main!Q34)),(-$Y34+50*IF(main!$AK34="是",main!$BB$4,main!$BB$3)),(VLOOKUP(main!Q34,main!$AO$4:$AQ$55,2,FALSE))*IF(main!$AK34="是",main!$BB$4,main!$BB$3))</f>
        <v>152</v>
      </c>
      <c r="J34" s="12">
        <f>IF(ISNUMBER(SEARCH("营",main!R34)),(-$Y34+50*IF(main!$AK34="是",main!$BB$4,main!$BB$3)),(VLOOKUP(main!R34,main!$AO$4:$AQ$55,2,FALSE))*IF(main!$AK34="是",main!$BB$4,main!$BB$3))</f>
        <v>152</v>
      </c>
      <c r="K34" s="12">
        <f>IF(ISNUMBER(SEARCH("营",main!S34)),(-$Y34+50*IF(main!$AK34="是",main!$BB$4,main!$BB$3)),(VLOOKUP(main!S34,main!$AO$4:$AQ$55,2,FALSE))*IF(main!$AK34="是",main!$BB$4,main!$BB$3))</f>
        <v>152</v>
      </c>
      <c r="L34" s="12">
        <f>IF(ISNUMBER(SEARCH("营",main!T34)),(-$Y34+50*IF(main!$AK34="是",main!$BB$4,main!$BB$3)),(VLOOKUP(main!T34,main!$AO$4:$AQ$55,2,FALSE))*IF(main!$AK34="是",main!$BB$4,main!$BB$3))</f>
        <v>152</v>
      </c>
      <c r="M34" s="12">
        <f>IF(ISNUMBER(SEARCH("营",main!U34)),(-$Y34+50*IF(main!$AK34="是",main!$BB$4,main!$BB$3)),(VLOOKUP(main!U34,main!$AO$4:$AQ$55,2,FALSE))*IF(main!$AK34="是",main!$BB$4,main!$BB$3))</f>
        <v>152</v>
      </c>
      <c r="N34" s="12">
        <f>IF(ISNUMBER(SEARCH("营",main!V34)),(-$Y34+50*IF(main!$AK34="是",main!$BB$4,main!$BB$3)),(VLOOKUP(main!V34,main!$AO$4:$AQ$55,2,FALSE))*IF(main!$AK34="是",main!$BB$4,main!$BB$3))</f>
        <v>152</v>
      </c>
      <c r="O34" s="12">
        <f>IF(ISNUMBER(SEARCH("营",main!W34)),(-$Y34+50*IF(main!$AK34="是",main!$BB$4,main!$BB$3)),(VLOOKUP(main!W34,main!$AO$4:$AQ$55,2,FALSE))*IF(main!$AK34="是",main!$BB$4,main!$BB$3))</f>
        <v>152</v>
      </c>
      <c r="P34" s="12">
        <f>IF(ISNUMBER(SEARCH("营",main!X34)),(-$Y34+50*IF(main!$AK34="是",main!$BB$4,main!$BB$3)),(VLOOKUP(main!X34,main!$AO$4:$AQ$55,2,FALSE))*IF(main!$AK34="是",main!$BB$4,main!$BB$3))</f>
        <v>152</v>
      </c>
      <c r="Q34" s="12">
        <f>IF(ISNUMBER(SEARCH("营",main!Y34)),(-$Y34+50*IF(main!$AK34="是",main!$BB$4,main!$BB$3)),(VLOOKUP(main!Y34,main!$AO$4:$AQ$55,2,FALSE))*IF(main!$AK34="是",main!$BB$4,main!$BB$3))</f>
        <v>160</v>
      </c>
      <c r="R34" s="12">
        <f>IF(ISNUMBER(SEARCH("营",main!Z34)),(-$Y34+50*IF(main!$AK34="是",main!$BB$4,main!$BB$3)),(VLOOKUP(main!Z34,main!$AO$4:$AQ$55,2,FALSE))*IF(main!$AK34="是",main!$BB$4,main!$BB$3))</f>
        <v>160</v>
      </c>
      <c r="S34" s="12">
        <f>IF(ISNUMBER(SEARCH("营",main!AA34)),(-$Y34+50*IF(main!$AK34="是",main!$BB$4,main!$BB$3)),(VLOOKUP(main!AA34,main!$AO$4:$AQ$55,2,FALSE))*IF(main!$AK34="是",main!$BB$4,main!$BB$3))</f>
        <v>160</v>
      </c>
      <c r="T34" s="12">
        <f>IF(ISNUMBER(SEARCH("营",main!AB34)),(-$Y34+50*IF(main!$AK34="是",main!$BB$4,main!$BB$3)),(VLOOKUP(main!AB34,main!$AO$4:$AQ$55,2,FALSE))*IF(main!$AK34="是",main!$BB$4,main!$BB$3))</f>
        <v>160</v>
      </c>
      <c r="U34" s="12">
        <f>IF(ISNUMBER(SEARCH("营",main!AC34)),(-$Y34+50*IF(main!$AK34="是",main!$BB$4,main!$BB$3)),(VLOOKUP(main!AC34,main!$AO$4:$AQ$55,2,FALSE))*IF(main!$AK34="是",main!$BB$4,main!$BB$3))</f>
        <v>160</v>
      </c>
      <c r="V34" s="12">
        <f>IF(ISNUMBER(SEARCH("营",main!AD34)),(-$Y34+50*IF(main!$AK34="是",main!$BB$4,main!$BB$3)),(VLOOKUP(main!AD34,main!$AO$4:$AQ$55,2,FALSE))*IF(main!$AK34="是",main!$BB$4,main!$BB$3))</f>
        <v>160</v>
      </c>
      <c r="W34" s="12">
        <f>IF(ISNUMBER(SEARCH("营",main!AE34)),(-$Y34+50*IF(main!$AK34="是",main!$BB$4,main!$BB$3)),(VLOOKUP(main!AE34,main!$AO$4:$AQ$55,2,FALSE))*IF(main!$AK34="是",main!$BB$4,main!$BB$3))</f>
        <v>160</v>
      </c>
      <c r="X34" s="12">
        <f>IF(ISNUMBER(SEARCH("营",main!AF34)),(-$Y34+50*IF(main!$AK34="是",main!$BB$4,main!$BB$3)),(VLOOKUP(main!AF34,main!$AO$4:$AQ$55,2,FALSE))*IF(main!$AK34="是",main!$BB$4,main!$BB$3))</f>
        <v>160</v>
      </c>
      <c r="Y34" s="98">
        <v>200</v>
      </c>
      <c r="Z34" s="95">
        <v>46306</v>
      </c>
      <c r="AA34">
        <v>31</v>
      </c>
    </row>
    <row r="35" spans="1:27">
      <c r="A35" s="12">
        <f>IF(ISNUMBER(SEARCH("营",main!I35)),(-$Y35+50*IF(main!$AK35="是",main!$BB$4,main!$BB$3)),(VLOOKUP(main!I35,main!$AO$4:$AQ$55,2,FALSE))*IF(main!$AK35="是",main!$BB$4,main!$BB$3))</f>
        <v>144</v>
      </c>
      <c r="B35" s="12">
        <f>IF(ISNUMBER(SEARCH("营",main!J35)),(-$Y35+50*IF(main!$AK35="是",main!$BB$4,main!$BB$3)),(VLOOKUP(main!J35,main!$AO$4:$AQ$55,2,FALSE))*IF(main!$AK35="是",main!$BB$4,main!$BB$3))</f>
        <v>144</v>
      </c>
      <c r="C35" s="12">
        <f>IF(ISNUMBER(SEARCH("营",main!K35)),(-$Y35+50*IF(main!$AK35="是",main!$BB$4,main!$BB$3)),(VLOOKUP(main!K35,main!$AO$4:$AQ$55,2,FALSE))*IF(main!$AK35="是",main!$BB$4,main!$BB$3))</f>
        <v>144</v>
      </c>
      <c r="D35" s="12">
        <f>IF(ISNUMBER(SEARCH("营",main!L35)),(-$Y35+50*IF(main!$AK35="是",main!$BB$4,main!$BB$3)),(VLOOKUP(main!L35,main!$AO$4:$AQ$55,2,FALSE))*IF(main!$AK35="是",main!$BB$4,main!$BB$3))</f>
        <v>144</v>
      </c>
      <c r="E35" s="12">
        <f>IF(ISNUMBER(SEARCH("营",main!M35)),(-$Y35+50*IF(main!$AK35="是",main!$BB$4,main!$BB$3)),(VLOOKUP(main!M35,main!$AO$4:$AQ$55,2,FALSE))*IF(main!$AK35="是",main!$BB$4,main!$BB$3))</f>
        <v>144</v>
      </c>
      <c r="F35" s="12">
        <f>IF(ISNUMBER(SEARCH("营",main!N35)),(-$Y35+50*IF(main!$AK35="是",main!$BB$4,main!$BB$3)),(VLOOKUP(main!N35,main!$AO$4:$AQ$55,2,FALSE))*IF(main!$AK35="是",main!$BB$4,main!$BB$3))</f>
        <v>144</v>
      </c>
      <c r="G35" s="12">
        <f>IF(ISNUMBER(SEARCH("营",main!O35)),(-$Y35+50*IF(main!$AK35="是",main!$BB$4,main!$BB$3)),(VLOOKUP(main!O35,main!$AO$4:$AQ$55,2,FALSE))*IF(main!$AK35="是",main!$BB$4,main!$BB$3))</f>
        <v>144</v>
      </c>
      <c r="H35" s="12">
        <f>IF(ISNUMBER(SEARCH("营",main!P35)),(-$Y35+50*IF(main!$AK35="是",main!$BB$4,main!$BB$3)),(VLOOKUP(main!P35,main!$AO$4:$AQ$55,2,FALSE))*IF(main!$AK35="是",main!$BB$4,main!$BB$3))</f>
        <v>144</v>
      </c>
      <c r="I35" s="12">
        <f>IF(ISNUMBER(SEARCH("营",main!Q35)),(-$Y35+50*IF(main!$AK35="是",main!$BB$4,main!$BB$3)),(VLOOKUP(main!Q35,main!$AO$4:$AQ$55,2,FALSE))*IF(main!$AK35="是",main!$BB$4,main!$BB$3))</f>
        <v>152</v>
      </c>
      <c r="J35" s="12">
        <f>IF(ISNUMBER(SEARCH("营",main!R35)),(-$Y35+50*IF(main!$AK35="是",main!$BB$4,main!$BB$3)),(VLOOKUP(main!R35,main!$AO$4:$AQ$55,2,FALSE))*IF(main!$AK35="是",main!$BB$4,main!$BB$3))</f>
        <v>152</v>
      </c>
      <c r="K35" s="12">
        <f>IF(ISNUMBER(SEARCH("营",main!S35)),(-$Y35+50*IF(main!$AK35="是",main!$BB$4,main!$BB$3)),(VLOOKUP(main!S35,main!$AO$4:$AQ$55,2,FALSE))*IF(main!$AK35="是",main!$BB$4,main!$BB$3))</f>
        <v>152</v>
      </c>
      <c r="L35" s="12">
        <f>IF(ISNUMBER(SEARCH("营",main!T35)),(-$Y35+50*IF(main!$AK35="是",main!$BB$4,main!$BB$3)),(VLOOKUP(main!T35,main!$AO$4:$AQ$55,2,FALSE))*IF(main!$AK35="是",main!$BB$4,main!$BB$3))</f>
        <v>152</v>
      </c>
      <c r="M35" s="12">
        <f>IF(ISNUMBER(SEARCH("营",main!U35)),(-$Y35+50*IF(main!$AK35="是",main!$BB$4,main!$BB$3)),(VLOOKUP(main!U35,main!$AO$4:$AQ$55,2,FALSE))*IF(main!$AK35="是",main!$BB$4,main!$BB$3))</f>
        <v>152</v>
      </c>
      <c r="N35" s="12">
        <f>IF(ISNUMBER(SEARCH("营",main!V35)),(-$Y35+50*IF(main!$AK35="是",main!$BB$4,main!$BB$3)),(VLOOKUP(main!V35,main!$AO$4:$AQ$55,2,FALSE))*IF(main!$AK35="是",main!$BB$4,main!$BB$3))</f>
        <v>152</v>
      </c>
      <c r="O35" s="12">
        <f>IF(ISNUMBER(SEARCH("营",main!W35)),(-$Y35+50*IF(main!$AK35="是",main!$BB$4,main!$BB$3)),(VLOOKUP(main!W35,main!$AO$4:$AQ$55,2,FALSE))*IF(main!$AK35="是",main!$BB$4,main!$BB$3))</f>
        <v>152</v>
      </c>
      <c r="P35" s="12">
        <f>IF(ISNUMBER(SEARCH("营",main!X35)),(-$Y35+50*IF(main!$AK35="是",main!$BB$4,main!$BB$3)),(VLOOKUP(main!X35,main!$AO$4:$AQ$55,2,FALSE))*IF(main!$AK35="是",main!$BB$4,main!$BB$3))</f>
        <v>152</v>
      </c>
      <c r="Q35" s="12">
        <f>IF(ISNUMBER(SEARCH("营",main!Y35)),(-$Y35+50*IF(main!$AK35="是",main!$BB$4,main!$BB$3)),(VLOOKUP(main!Y35,main!$AO$4:$AQ$55,2,FALSE))*IF(main!$AK35="是",main!$BB$4,main!$BB$3))</f>
        <v>160</v>
      </c>
      <c r="R35" s="12">
        <f>IF(ISNUMBER(SEARCH("营",main!Z35)),(-$Y35+50*IF(main!$AK35="是",main!$BB$4,main!$BB$3)),(VLOOKUP(main!Z35,main!$AO$4:$AQ$55,2,FALSE))*IF(main!$AK35="是",main!$BB$4,main!$BB$3))</f>
        <v>160</v>
      </c>
      <c r="S35" s="12">
        <f>IF(ISNUMBER(SEARCH("营",main!AA35)),(-$Y35+50*IF(main!$AK35="是",main!$BB$4,main!$BB$3)),(VLOOKUP(main!AA35,main!$AO$4:$AQ$55,2,FALSE))*IF(main!$AK35="是",main!$BB$4,main!$BB$3))</f>
        <v>160</v>
      </c>
      <c r="T35" s="12">
        <f>IF(ISNUMBER(SEARCH("营",main!AB35)),(-$Y35+50*IF(main!$AK35="是",main!$BB$4,main!$BB$3)),(VLOOKUP(main!AB35,main!$AO$4:$AQ$55,2,FALSE))*IF(main!$AK35="是",main!$BB$4,main!$BB$3))</f>
        <v>160</v>
      </c>
      <c r="U35" s="12">
        <f>IF(ISNUMBER(SEARCH("营",main!AC35)),(-$Y35+50*IF(main!$AK35="是",main!$BB$4,main!$BB$3)),(VLOOKUP(main!AC35,main!$AO$4:$AQ$55,2,FALSE))*IF(main!$AK35="是",main!$BB$4,main!$BB$3))</f>
        <v>160</v>
      </c>
      <c r="V35" s="12">
        <f>IF(ISNUMBER(SEARCH("营",main!AD35)),(-$Y35+50*IF(main!$AK35="是",main!$BB$4,main!$BB$3)),(VLOOKUP(main!AD35,main!$AO$4:$AQ$55,2,FALSE))*IF(main!$AK35="是",main!$BB$4,main!$BB$3))</f>
        <v>160</v>
      </c>
      <c r="W35" s="12">
        <f>IF(ISNUMBER(SEARCH("营",main!AE35)),(-$Y35+50*IF(main!$AK35="是",main!$BB$4,main!$BB$3)),(VLOOKUP(main!AE35,main!$AO$4:$AQ$55,2,FALSE))*IF(main!$AK35="是",main!$BB$4,main!$BB$3))</f>
        <v>160</v>
      </c>
      <c r="X35" s="12">
        <f>IF(ISNUMBER(SEARCH("营",main!AF35)),(-$Y35+50*IF(main!$AK35="是",main!$BB$4,main!$BB$3)),(VLOOKUP(main!AF35,main!$AO$4:$AQ$55,2,FALSE))*IF(main!$AK35="是",main!$BB$4,main!$BB$3))</f>
        <v>160</v>
      </c>
      <c r="Y35" s="98">
        <v>200</v>
      </c>
      <c r="Z35" s="95">
        <v>46307</v>
      </c>
      <c r="AA35">
        <v>32</v>
      </c>
    </row>
    <row r="36" spans="1:27">
      <c r="A36" s="12">
        <f>IF(ISNUMBER(SEARCH("营",main!I36)),(-$Y36+50*IF(main!$AK36="是",main!$BB$4,main!$BB$3)),(VLOOKUP(main!I36,main!$AO$4:$AQ$55,2,FALSE))*IF(main!$AK36="是",main!$BB$4,main!$BB$3))</f>
        <v>144</v>
      </c>
      <c r="B36" s="12">
        <f>IF(ISNUMBER(SEARCH("营",main!J36)),(-$Y36+50*IF(main!$AK36="是",main!$BB$4,main!$BB$3)),(VLOOKUP(main!J36,main!$AO$4:$AQ$55,2,FALSE))*IF(main!$AK36="是",main!$BB$4,main!$BB$3))</f>
        <v>144</v>
      </c>
      <c r="C36" s="12">
        <f>IF(ISNUMBER(SEARCH("营",main!K36)),(-$Y36+50*IF(main!$AK36="是",main!$BB$4,main!$BB$3)),(VLOOKUP(main!K36,main!$AO$4:$AQ$55,2,FALSE))*IF(main!$AK36="是",main!$BB$4,main!$BB$3))</f>
        <v>144</v>
      </c>
      <c r="D36" s="12">
        <f>IF(ISNUMBER(SEARCH("营",main!L36)),(-$Y36+50*IF(main!$AK36="是",main!$BB$4,main!$BB$3)),(VLOOKUP(main!L36,main!$AO$4:$AQ$55,2,FALSE))*IF(main!$AK36="是",main!$BB$4,main!$BB$3))</f>
        <v>144</v>
      </c>
      <c r="E36" s="12">
        <f>IF(ISNUMBER(SEARCH("营",main!M36)),(-$Y36+50*IF(main!$AK36="是",main!$BB$4,main!$BB$3)),(VLOOKUP(main!M36,main!$AO$4:$AQ$55,2,FALSE))*IF(main!$AK36="是",main!$BB$4,main!$BB$3))</f>
        <v>144</v>
      </c>
      <c r="F36" s="12">
        <f>IF(ISNUMBER(SEARCH("营",main!N36)),(-$Y36+50*IF(main!$AK36="是",main!$BB$4,main!$BB$3)),(VLOOKUP(main!N36,main!$AO$4:$AQ$55,2,FALSE))*IF(main!$AK36="是",main!$BB$4,main!$BB$3))</f>
        <v>144</v>
      </c>
      <c r="G36" s="12">
        <f>IF(ISNUMBER(SEARCH("营",main!O36)),(-$Y36+50*IF(main!$AK36="是",main!$BB$4,main!$BB$3)),(VLOOKUP(main!O36,main!$AO$4:$AQ$55,2,FALSE))*IF(main!$AK36="是",main!$BB$4,main!$BB$3))</f>
        <v>144</v>
      </c>
      <c r="H36" s="12">
        <f>IF(ISNUMBER(SEARCH("营",main!P36)),(-$Y36+50*IF(main!$AK36="是",main!$BB$4,main!$BB$3)),(VLOOKUP(main!P36,main!$AO$4:$AQ$55,2,FALSE))*IF(main!$AK36="是",main!$BB$4,main!$BB$3))</f>
        <v>144</v>
      </c>
      <c r="I36" s="12">
        <f>IF(ISNUMBER(SEARCH("营",main!Q36)),(-$Y36+50*IF(main!$AK36="是",main!$BB$4,main!$BB$3)),(VLOOKUP(main!Q36,main!$AO$4:$AQ$55,2,FALSE))*IF(main!$AK36="是",main!$BB$4,main!$BB$3))</f>
        <v>152</v>
      </c>
      <c r="J36" s="12">
        <f>IF(ISNUMBER(SEARCH("营",main!R36)),(-$Y36+50*IF(main!$AK36="是",main!$BB$4,main!$BB$3)),(VLOOKUP(main!R36,main!$AO$4:$AQ$55,2,FALSE))*IF(main!$AK36="是",main!$BB$4,main!$BB$3))</f>
        <v>152</v>
      </c>
      <c r="K36" s="12">
        <f>IF(ISNUMBER(SEARCH("营",main!S36)),(-$Y36+50*IF(main!$AK36="是",main!$BB$4,main!$BB$3)),(VLOOKUP(main!S36,main!$AO$4:$AQ$55,2,FALSE))*IF(main!$AK36="是",main!$BB$4,main!$BB$3))</f>
        <v>152</v>
      </c>
      <c r="L36" s="12">
        <f>IF(ISNUMBER(SEARCH("营",main!T36)),(-$Y36+50*IF(main!$AK36="是",main!$BB$4,main!$BB$3)),(VLOOKUP(main!T36,main!$AO$4:$AQ$55,2,FALSE))*IF(main!$AK36="是",main!$BB$4,main!$BB$3))</f>
        <v>152</v>
      </c>
      <c r="M36" s="12">
        <f>IF(ISNUMBER(SEARCH("营",main!U36)),(-$Y36+50*IF(main!$AK36="是",main!$BB$4,main!$BB$3)),(VLOOKUP(main!U36,main!$AO$4:$AQ$55,2,FALSE))*IF(main!$AK36="是",main!$BB$4,main!$BB$3))</f>
        <v>152</v>
      </c>
      <c r="N36" s="12">
        <f>IF(ISNUMBER(SEARCH("营",main!V36)),(-$Y36+50*IF(main!$AK36="是",main!$BB$4,main!$BB$3)),(VLOOKUP(main!V36,main!$AO$4:$AQ$55,2,FALSE))*IF(main!$AK36="是",main!$BB$4,main!$BB$3))</f>
        <v>152</v>
      </c>
      <c r="O36" s="12">
        <f>IF(ISNUMBER(SEARCH("营",main!W36)),(-$Y36+50*IF(main!$AK36="是",main!$BB$4,main!$BB$3)),(VLOOKUP(main!W36,main!$AO$4:$AQ$55,2,FALSE))*IF(main!$AK36="是",main!$BB$4,main!$BB$3))</f>
        <v>152</v>
      </c>
      <c r="P36" s="12">
        <f>IF(ISNUMBER(SEARCH("营",main!X36)),(-$Y36+50*IF(main!$AK36="是",main!$BB$4,main!$BB$3)),(VLOOKUP(main!X36,main!$AO$4:$AQ$55,2,FALSE))*IF(main!$AK36="是",main!$BB$4,main!$BB$3))</f>
        <v>152</v>
      </c>
      <c r="Q36" s="12">
        <f>IF(ISNUMBER(SEARCH("营",main!Y36)),(-$Y36+50*IF(main!$AK36="是",main!$BB$4,main!$BB$3)),(VLOOKUP(main!Y36,main!$AO$4:$AQ$55,2,FALSE))*IF(main!$AK36="是",main!$BB$4,main!$BB$3))</f>
        <v>160</v>
      </c>
      <c r="R36" s="12">
        <f>IF(ISNUMBER(SEARCH("营",main!Z36)),(-$Y36+50*IF(main!$AK36="是",main!$BB$4,main!$BB$3)),(VLOOKUP(main!Z36,main!$AO$4:$AQ$55,2,FALSE))*IF(main!$AK36="是",main!$BB$4,main!$BB$3))</f>
        <v>160</v>
      </c>
      <c r="S36" s="12">
        <f>IF(ISNUMBER(SEARCH("营",main!AA36)),(-$Y36+50*IF(main!$AK36="是",main!$BB$4,main!$BB$3)),(VLOOKUP(main!AA36,main!$AO$4:$AQ$55,2,FALSE))*IF(main!$AK36="是",main!$BB$4,main!$BB$3))</f>
        <v>160</v>
      </c>
      <c r="T36" s="12">
        <f>IF(ISNUMBER(SEARCH("营",main!AB36)),(-$Y36+50*IF(main!$AK36="是",main!$BB$4,main!$BB$3)),(VLOOKUP(main!AB36,main!$AO$4:$AQ$55,2,FALSE))*IF(main!$AK36="是",main!$BB$4,main!$BB$3))</f>
        <v>160</v>
      </c>
      <c r="U36" s="12">
        <f>IF(ISNUMBER(SEARCH("营",main!AC36)),(-$Y36+50*IF(main!$AK36="是",main!$BB$4,main!$BB$3)),(VLOOKUP(main!AC36,main!$AO$4:$AQ$55,2,FALSE))*IF(main!$AK36="是",main!$BB$4,main!$BB$3))</f>
        <v>160</v>
      </c>
      <c r="V36" s="12">
        <f>IF(ISNUMBER(SEARCH("营",main!AD36)),(-$Y36+50*IF(main!$AK36="是",main!$BB$4,main!$BB$3)),(VLOOKUP(main!AD36,main!$AO$4:$AQ$55,2,FALSE))*IF(main!$AK36="是",main!$BB$4,main!$BB$3))</f>
        <v>160</v>
      </c>
      <c r="W36" s="12">
        <f>IF(ISNUMBER(SEARCH("营",main!AE36)),(-$Y36+50*IF(main!$AK36="是",main!$BB$4,main!$BB$3)),(VLOOKUP(main!AE36,main!$AO$4:$AQ$55,2,FALSE))*IF(main!$AK36="是",main!$BB$4,main!$BB$3))</f>
        <v>160</v>
      </c>
      <c r="X36" s="12">
        <f>IF(ISNUMBER(SEARCH("营",main!AF36)),(-$Y36+50*IF(main!$AK36="是",main!$BB$4,main!$BB$3)),(VLOOKUP(main!AF36,main!$AO$4:$AQ$55,2,FALSE))*IF(main!$AK36="是",main!$BB$4,main!$BB$3))</f>
        <v>160</v>
      </c>
      <c r="Y36" s="98">
        <v>200</v>
      </c>
      <c r="Z36" s="95">
        <v>46308</v>
      </c>
      <c r="AA36">
        <v>33</v>
      </c>
    </row>
    <row r="37" spans="1:27">
      <c r="A37" s="12">
        <f>IF(ISNUMBER(SEARCH("营",main!I37)),(-$Y37+50*IF(main!$AK37="是",main!$BB$4,main!$BB$3)),(VLOOKUP(main!I37,main!$AO$4:$AQ$55,2,FALSE))*IF(main!$AK37="是",main!$BB$4,main!$BB$3))</f>
        <v>144</v>
      </c>
      <c r="B37" s="12">
        <f>IF(ISNUMBER(SEARCH("营",main!J37)),(-$Y37+50*IF(main!$AK37="是",main!$BB$4,main!$BB$3)),(VLOOKUP(main!J37,main!$AO$4:$AQ$55,2,FALSE))*IF(main!$AK37="是",main!$BB$4,main!$BB$3))</f>
        <v>144</v>
      </c>
      <c r="C37" s="12">
        <f>IF(ISNUMBER(SEARCH("营",main!K37)),(-$Y37+50*IF(main!$AK37="是",main!$BB$4,main!$BB$3)),(VLOOKUP(main!K37,main!$AO$4:$AQ$55,2,FALSE))*IF(main!$AK37="是",main!$BB$4,main!$BB$3))</f>
        <v>144</v>
      </c>
      <c r="D37" s="12">
        <f>IF(ISNUMBER(SEARCH("营",main!L37)),(-$Y37+50*IF(main!$AK37="是",main!$BB$4,main!$BB$3)),(VLOOKUP(main!L37,main!$AO$4:$AQ$55,2,FALSE))*IF(main!$AK37="是",main!$BB$4,main!$BB$3))</f>
        <v>144</v>
      </c>
      <c r="E37" s="12">
        <f>IF(ISNUMBER(SEARCH("营",main!M37)),(-$Y37+50*IF(main!$AK37="是",main!$BB$4,main!$BB$3)),(VLOOKUP(main!M37,main!$AO$4:$AQ$55,2,FALSE))*IF(main!$AK37="是",main!$BB$4,main!$BB$3))</f>
        <v>144</v>
      </c>
      <c r="F37" s="12">
        <f>IF(ISNUMBER(SEARCH("营",main!N37)),(-$Y37+50*IF(main!$AK37="是",main!$BB$4,main!$BB$3)),(VLOOKUP(main!N37,main!$AO$4:$AQ$55,2,FALSE))*IF(main!$AK37="是",main!$BB$4,main!$BB$3))</f>
        <v>144</v>
      </c>
      <c r="G37" s="12">
        <f>IF(ISNUMBER(SEARCH("营",main!O37)),(-$Y37+50*IF(main!$AK37="是",main!$BB$4,main!$BB$3)),(VLOOKUP(main!O37,main!$AO$4:$AQ$55,2,FALSE))*IF(main!$AK37="是",main!$BB$4,main!$BB$3))</f>
        <v>144</v>
      </c>
      <c r="H37" s="12">
        <f>IF(ISNUMBER(SEARCH("营",main!P37)),(-$Y37+50*IF(main!$AK37="是",main!$BB$4,main!$BB$3)),(VLOOKUP(main!P37,main!$AO$4:$AQ$55,2,FALSE))*IF(main!$AK37="是",main!$BB$4,main!$BB$3))</f>
        <v>144</v>
      </c>
      <c r="I37" s="12">
        <f>IF(ISNUMBER(SEARCH("营",main!Q37)),(-$Y37+50*IF(main!$AK37="是",main!$BB$4,main!$BB$3)),(VLOOKUP(main!Q37,main!$AO$4:$AQ$55,2,FALSE))*IF(main!$AK37="是",main!$BB$4,main!$BB$3))</f>
        <v>152</v>
      </c>
      <c r="J37" s="12">
        <f>IF(ISNUMBER(SEARCH("营",main!R37)),(-$Y37+50*IF(main!$AK37="是",main!$BB$4,main!$BB$3)),(VLOOKUP(main!R37,main!$AO$4:$AQ$55,2,FALSE))*IF(main!$AK37="是",main!$BB$4,main!$BB$3))</f>
        <v>152</v>
      </c>
      <c r="K37" s="12">
        <f>IF(ISNUMBER(SEARCH("营",main!S37)),(-$Y37+50*IF(main!$AK37="是",main!$BB$4,main!$BB$3)),(VLOOKUP(main!S37,main!$AO$4:$AQ$55,2,FALSE))*IF(main!$AK37="是",main!$BB$4,main!$BB$3))</f>
        <v>152</v>
      </c>
      <c r="L37" s="12">
        <f>IF(ISNUMBER(SEARCH("营",main!T37)),(-$Y37+50*IF(main!$AK37="是",main!$BB$4,main!$BB$3)),(VLOOKUP(main!T37,main!$AO$4:$AQ$55,2,FALSE))*IF(main!$AK37="是",main!$BB$4,main!$BB$3))</f>
        <v>152</v>
      </c>
      <c r="M37" s="12">
        <f>IF(ISNUMBER(SEARCH("营",main!U37)),(-$Y37+50*IF(main!$AK37="是",main!$BB$4,main!$BB$3)),(VLOOKUP(main!U37,main!$AO$4:$AQ$55,2,FALSE))*IF(main!$AK37="是",main!$BB$4,main!$BB$3))</f>
        <v>152</v>
      </c>
      <c r="N37" s="12">
        <f>IF(ISNUMBER(SEARCH("营",main!V37)),(-$Y37+50*IF(main!$AK37="是",main!$BB$4,main!$BB$3)),(VLOOKUP(main!V37,main!$AO$4:$AQ$55,2,FALSE))*IF(main!$AK37="是",main!$BB$4,main!$BB$3))</f>
        <v>152</v>
      </c>
      <c r="O37" s="12">
        <f>IF(ISNUMBER(SEARCH("营",main!W37)),(-$Y37+50*IF(main!$AK37="是",main!$BB$4,main!$BB$3)),(VLOOKUP(main!W37,main!$AO$4:$AQ$55,2,FALSE))*IF(main!$AK37="是",main!$BB$4,main!$BB$3))</f>
        <v>152</v>
      </c>
      <c r="P37" s="12">
        <f>IF(ISNUMBER(SEARCH("营",main!X37)),(-$Y37+50*IF(main!$AK37="是",main!$BB$4,main!$BB$3)),(VLOOKUP(main!X37,main!$AO$4:$AQ$55,2,FALSE))*IF(main!$AK37="是",main!$BB$4,main!$BB$3))</f>
        <v>152</v>
      </c>
      <c r="Q37" s="12">
        <f>IF(ISNUMBER(SEARCH("营",main!Y37)),(-$Y37+50*IF(main!$AK37="是",main!$BB$4,main!$BB$3)),(VLOOKUP(main!Y37,main!$AO$4:$AQ$55,2,FALSE))*IF(main!$AK37="是",main!$BB$4,main!$BB$3))</f>
        <v>160</v>
      </c>
      <c r="R37" s="12">
        <f>IF(ISNUMBER(SEARCH("营",main!Z37)),(-$Y37+50*IF(main!$AK37="是",main!$BB$4,main!$BB$3)),(VLOOKUP(main!Z37,main!$AO$4:$AQ$55,2,FALSE))*IF(main!$AK37="是",main!$BB$4,main!$BB$3))</f>
        <v>160</v>
      </c>
      <c r="S37" s="12">
        <f>IF(ISNUMBER(SEARCH("营",main!AA37)),(-$Y37+50*IF(main!$AK37="是",main!$BB$4,main!$BB$3)),(VLOOKUP(main!AA37,main!$AO$4:$AQ$55,2,FALSE))*IF(main!$AK37="是",main!$BB$4,main!$BB$3))</f>
        <v>160</v>
      </c>
      <c r="T37" s="12">
        <f>IF(ISNUMBER(SEARCH("营",main!AB37)),(-$Y37+50*IF(main!$AK37="是",main!$BB$4,main!$BB$3)),(VLOOKUP(main!AB37,main!$AO$4:$AQ$55,2,FALSE))*IF(main!$AK37="是",main!$BB$4,main!$BB$3))</f>
        <v>160</v>
      </c>
      <c r="U37" s="12">
        <f>IF(ISNUMBER(SEARCH("营",main!AC37)),(-$Y37+50*IF(main!$AK37="是",main!$BB$4,main!$BB$3)),(VLOOKUP(main!AC37,main!$AO$4:$AQ$55,2,FALSE))*IF(main!$AK37="是",main!$BB$4,main!$BB$3))</f>
        <v>160</v>
      </c>
      <c r="V37" s="12">
        <f>IF(ISNUMBER(SEARCH("营",main!AD37)),(-$Y37+50*IF(main!$AK37="是",main!$BB$4,main!$BB$3)),(VLOOKUP(main!AD37,main!$AO$4:$AQ$55,2,FALSE))*IF(main!$AK37="是",main!$BB$4,main!$BB$3))</f>
        <v>160</v>
      </c>
      <c r="W37" s="12">
        <f>IF(ISNUMBER(SEARCH("营",main!AE37)),(-$Y37+50*IF(main!$AK37="是",main!$BB$4,main!$BB$3)),(VLOOKUP(main!AE37,main!$AO$4:$AQ$55,2,FALSE))*IF(main!$AK37="是",main!$BB$4,main!$BB$3))</f>
        <v>160</v>
      </c>
      <c r="X37" s="12">
        <f>IF(ISNUMBER(SEARCH("营",main!AF37)),(-$Y37+50*IF(main!$AK37="是",main!$BB$4,main!$BB$3)),(VLOOKUP(main!AF37,main!$AO$4:$AQ$55,2,FALSE))*IF(main!$AK37="是",main!$BB$4,main!$BB$3))</f>
        <v>160</v>
      </c>
      <c r="Y37" s="98">
        <v>200</v>
      </c>
      <c r="Z37" s="95">
        <v>46309</v>
      </c>
      <c r="AA37">
        <v>34</v>
      </c>
    </row>
    <row r="38" spans="1:27">
      <c r="A38" s="12">
        <f>IF(ISNUMBER(SEARCH("营",main!I38)),(-$Y38+50*IF(main!$AK38="是",main!$BB$4,main!$BB$3)),(VLOOKUP(main!I38,main!$AO$4:$AQ$55,2,FALSE))*IF(main!$AK38="是",main!$BB$4,main!$BB$3))</f>
        <v>144</v>
      </c>
      <c r="B38" s="12">
        <f>IF(ISNUMBER(SEARCH("营",main!J38)),(-$Y38+50*IF(main!$AK38="是",main!$BB$4,main!$BB$3)),(VLOOKUP(main!J38,main!$AO$4:$AQ$55,2,FALSE))*IF(main!$AK38="是",main!$BB$4,main!$BB$3))</f>
        <v>144</v>
      </c>
      <c r="C38" s="12">
        <f>IF(ISNUMBER(SEARCH("营",main!K38)),(-$Y38+50*IF(main!$AK38="是",main!$BB$4,main!$BB$3)),(VLOOKUP(main!K38,main!$AO$4:$AQ$55,2,FALSE))*IF(main!$AK38="是",main!$BB$4,main!$BB$3))</f>
        <v>144</v>
      </c>
      <c r="D38" s="12">
        <f>IF(ISNUMBER(SEARCH("营",main!L38)),(-$Y38+50*IF(main!$AK38="是",main!$BB$4,main!$BB$3)),(VLOOKUP(main!L38,main!$AO$4:$AQ$55,2,FALSE))*IF(main!$AK38="是",main!$BB$4,main!$BB$3))</f>
        <v>144</v>
      </c>
      <c r="E38" s="12">
        <f>IF(ISNUMBER(SEARCH("营",main!M38)),(-$Y38+50*IF(main!$AK38="是",main!$BB$4,main!$BB$3)),(VLOOKUP(main!M38,main!$AO$4:$AQ$55,2,FALSE))*IF(main!$AK38="是",main!$BB$4,main!$BB$3))</f>
        <v>144</v>
      </c>
      <c r="F38" s="12">
        <f>IF(ISNUMBER(SEARCH("营",main!N38)),(-$Y38+50*IF(main!$AK38="是",main!$BB$4,main!$BB$3)),(VLOOKUP(main!N38,main!$AO$4:$AQ$55,2,FALSE))*IF(main!$AK38="是",main!$BB$4,main!$BB$3))</f>
        <v>144</v>
      </c>
      <c r="G38" s="12">
        <f>IF(ISNUMBER(SEARCH("营",main!O38)),(-$Y38+50*IF(main!$AK38="是",main!$BB$4,main!$BB$3)),(VLOOKUP(main!O38,main!$AO$4:$AQ$55,2,FALSE))*IF(main!$AK38="是",main!$BB$4,main!$BB$3))</f>
        <v>144</v>
      </c>
      <c r="H38" s="12">
        <f>IF(ISNUMBER(SEARCH("营",main!P38)),(-$Y38+50*IF(main!$AK38="是",main!$BB$4,main!$BB$3)),(VLOOKUP(main!P38,main!$AO$4:$AQ$55,2,FALSE))*IF(main!$AK38="是",main!$BB$4,main!$BB$3))</f>
        <v>144</v>
      </c>
      <c r="I38" s="12">
        <f>IF(ISNUMBER(SEARCH("营",main!Q38)),(-$Y38+50*IF(main!$AK38="是",main!$BB$4,main!$BB$3)),(VLOOKUP(main!Q38,main!$AO$4:$AQ$55,2,FALSE))*IF(main!$AK38="是",main!$BB$4,main!$BB$3))</f>
        <v>152</v>
      </c>
      <c r="J38" s="12">
        <f>IF(ISNUMBER(SEARCH("营",main!R38)),(-$Y38+50*IF(main!$AK38="是",main!$BB$4,main!$BB$3)),(VLOOKUP(main!R38,main!$AO$4:$AQ$55,2,FALSE))*IF(main!$AK38="是",main!$BB$4,main!$BB$3))</f>
        <v>152</v>
      </c>
      <c r="K38" s="12">
        <f>IF(ISNUMBER(SEARCH("营",main!S38)),(-$Y38+50*IF(main!$AK38="是",main!$BB$4,main!$BB$3)),(VLOOKUP(main!S38,main!$AO$4:$AQ$55,2,FALSE))*IF(main!$AK38="是",main!$BB$4,main!$BB$3))</f>
        <v>152</v>
      </c>
      <c r="L38" s="12">
        <f>IF(ISNUMBER(SEARCH("营",main!T38)),(-$Y38+50*IF(main!$AK38="是",main!$BB$4,main!$BB$3)),(VLOOKUP(main!T38,main!$AO$4:$AQ$55,2,FALSE))*IF(main!$AK38="是",main!$BB$4,main!$BB$3))</f>
        <v>152</v>
      </c>
      <c r="M38" s="12">
        <f>IF(ISNUMBER(SEARCH("营",main!U38)),(-$Y38+50*IF(main!$AK38="是",main!$BB$4,main!$BB$3)),(VLOOKUP(main!U38,main!$AO$4:$AQ$55,2,FALSE))*IF(main!$AK38="是",main!$BB$4,main!$BB$3))</f>
        <v>152</v>
      </c>
      <c r="N38" s="12">
        <f>IF(ISNUMBER(SEARCH("营",main!V38)),(-$Y38+50*IF(main!$AK38="是",main!$BB$4,main!$BB$3)),(VLOOKUP(main!V38,main!$AO$4:$AQ$55,2,FALSE))*IF(main!$AK38="是",main!$BB$4,main!$BB$3))</f>
        <v>152</v>
      </c>
      <c r="O38" s="12">
        <f>IF(ISNUMBER(SEARCH("营",main!W38)),(-$Y38+50*IF(main!$AK38="是",main!$BB$4,main!$BB$3)),(VLOOKUP(main!W38,main!$AO$4:$AQ$55,2,FALSE))*IF(main!$AK38="是",main!$BB$4,main!$BB$3))</f>
        <v>152</v>
      </c>
      <c r="P38" s="12">
        <f>IF(ISNUMBER(SEARCH("营",main!X38)),(-$Y38+50*IF(main!$AK38="是",main!$BB$4,main!$BB$3)),(VLOOKUP(main!X38,main!$AO$4:$AQ$55,2,FALSE))*IF(main!$AK38="是",main!$BB$4,main!$BB$3))</f>
        <v>152</v>
      </c>
      <c r="Q38" s="12">
        <f>IF(ISNUMBER(SEARCH("营",main!Y38)),(-$Y38+50*IF(main!$AK38="是",main!$BB$4,main!$BB$3)),(VLOOKUP(main!Y38,main!$AO$4:$AQ$55,2,FALSE))*IF(main!$AK38="是",main!$BB$4,main!$BB$3))</f>
        <v>160</v>
      </c>
      <c r="R38" s="12">
        <f>IF(ISNUMBER(SEARCH("营",main!Z38)),(-$Y38+50*IF(main!$AK38="是",main!$BB$4,main!$BB$3)),(VLOOKUP(main!Z38,main!$AO$4:$AQ$55,2,FALSE))*IF(main!$AK38="是",main!$BB$4,main!$BB$3))</f>
        <v>160</v>
      </c>
      <c r="S38" s="12">
        <f>IF(ISNUMBER(SEARCH("营",main!AA38)),(-$Y38+50*IF(main!$AK38="是",main!$BB$4,main!$BB$3)),(VLOOKUP(main!AA38,main!$AO$4:$AQ$55,2,FALSE))*IF(main!$AK38="是",main!$BB$4,main!$BB$3))</f>
        <v>160</v>
      </c>
      <c r="T38" s="12">
        <f>IF(ISNUMBER(SEARCH("营",main!AB38)),(-$Y38+50*IF(main!$AK38="是",main!$BB$4,main!$BB$3)),(VLOOKUP(main!AB38,main!$AO$4:$AQ$55,2,FALSE))*IF(main!$AK38="是",main!$BB$4,main!$BB$3))</f>
        <v>160</v>
      </c>
      <c r="U38" s="12">
        <f>IF(ISNUMBER(SEARCH("营",main!AC38)),(-$Y38+50*IF(main!$AK38="是",main!$BB$4,main!$BB$3)),(VLOOKUP(main!AC38,main!$AO$4:$AQ$55,2,FALSE))*IF(main!$AK38="是",main!$BB$4,main!$BB$3))</f>
        <v>160</v>
      </c>
      <c r="V38" s="12">
        <f>IF(ISNUMBER(SEARCH("营",main!AD38)),(-$Y38+50*IF(main!$AK38="是",main!$BB$4,main!$BB$3)),(VLOOKUP(main!AD38,main!$AO$4:$AQ$55,2,FALSE))*IF(main!$AK38="是",main!$BB$4,main!$BB$3))</f>
        <v>160</v>
      </c>
      <c r="W38" s="12">
        <f>IF(ISNUMBER(SEARCH("营",main!AE38)),(-$Y38+50*IF(main!$AK38="是",main!$BB$4,main!$BB$3)),(VLOOKUP(main!AE38,main!$AO$4:$AQ$55,2,FALSE))*IF(main!$AK38="是",main!$BB$4,main!$BB$3))</f>
        <v>160</v>
      </c>
      <c r="X38" s="12">
        <f>IF(ISNUMBER(SEARCH("营",main!AF38)),(-$Y38+50*IF(main!$AK38="是",main!$BB$4,main!$BB$3)),(VLOOKUP(main!AF38,main!$AO$4:$AQ$55,2,FALSE))*IF(main!$AK38="是",main!$BB$4,main!$BB$3))</f>
        <v>160</v>
      </c>
      <c r="Y38" s="98">
        <v>200</v>
      </c>
      <c r="Z38" s="95">
        <v>46310</v>
      </c>
      <c r="AA38">
        <v>35</v>
      </c>
    </row>
    <row r="39" spans="1:27">
      <c r="A39" s="12">
        <f>IF(ISNUMBER(SEARCH("营",main!I39)),(-$Y39+50*IF(main!$AK39="是",main!$BB$4,main!$BB$3)),(VLOOKUP(main!I39,main!$AO$4:$AQ$55,2,FALSE))*IF(main!$AK39="是",main!$BB$4,main!$BB$3))</f>
        <v>144</v>
      </c>
      <c r="B39" s="12">
        <f>IF(ISNUMBER(SEARCH("营",main!J39)),(-$Y39+50*IF(main!$AK39="是",main!$BB$4,main!$BB$3)),(VLOOKUP(main!J39,main!$AO$4:$AQ$55,2,FALSE))*IF(main!$AK39="是",main!$BB$4,main!$BB$3))</f>
        <v>144</v>
      </c>
      <c r="C39" s="12">
        <f>IF(ISNUMBER(SEARCH("营",main!K39)),(-$Y39+50*IF(main!$AK39="是",main!$BB$4,main!$BB$3)),(VLOOKUP(main!K39,main!$AO$4:$AQ$55,2,FALSE))*IF(main!$AK39="是",main!$BB$4,main!$BB$3))</f>
        <v>144</v>
      </c>
      <c r="D39" s="12">
        <f>IF(ISNUMBER(SEARCH("营",main!L39)),(-$Y39+50*IF(main!$AK39="是",main!$BB$4,main!$BB$3)),(VLOOKUP(main!L39,main!$AO$4:$AQ$55,2,FALSE))*IF(main!$AK39="是",main!$BB$4,main!$BB$3))</f>
        <v>144</v>
      </c>
      <c r="E39" s="12">
        <f>IF(ISNUMBER(SEARCH("营",main!M39)),(-$Y39+50*IF(main!$AK39="是",main!$BB$4,main!$BB$3)),(VLOOKUP(main!M39,main!$AO$4:$AQ$55,2,FALSE))*IF(main!$AK39="是",main!$BB$4,main!$BB$3))</f>
        <v>144</v>
      </c>
      <c r="F39" s="12">
        <f>IF(ISNUMBER(SEARCH("营",main!N39)),(-$Y39+50*IF(main!$AK39="是",main!$BB$4,main!$BB$3)),(VLOOKUP(main!N39,main!$AO$4:$AQ$55,2,FALSE))*IF(main!$AK39="是",main!$BB$4,main!$BB$3))</f>
        <v>144</v>
      </c>
      <c r="G39" s="12">
        <f>IF(ISNUMBER(SEARCH("营",main!O39)),(-$Y39+50*IF(main!$AK39="是",main!$BB$4,main!$BB$3)),(VLOOKUP(main!O39,main!$AO$4:$AQ$55,2,FALSE))*IF(main!$AK39="是",main!$BB$4,main!$BB$3))</f>
        <v>144</v>
      </c>
      <c r="H39" s="12">
        <f>IF(ISNUMBER(SEARCH("营",main!P39)),(-$Y39+50*IF(main!$AK39="是",main!$BB$4,main!$BB$3)),(VLOOKUP(main!P39,main!$AO$4:$AQ$55,2,FALSE))*IF(main!$AK39="是",main!$BB$4,main!$BB$3))</f>
        <v>144</v>
      </c>
      <c r="I39" s="12">
        <f>IF(ISNUMBER(SEARCH("营",main!Q39)),(-$Y39+50*IF(main!$AK39="是",main!$BB$4,main!$BB$3)),(VLOOKUP(main!Q39,main!$AO$4:$AQ$55,2,FALSE))*IF(main!$AK39="是",main!$BB$4,main!$BB$3))</f>
        <v>152</v>
      </c>
      <c r="J39" s="12">
        <f>IF(ISNUMBER(SEARCH("营",main!R39)),(-$Y39+50*IF(main!$AK39="是",main!$BB$4,main!$BB$3)),(VLOOKUP(main!R39,main!$AO$4:$AQ$55,2,FALSE))*IF(main!$AK39="是",main!$BB$4,main!$BB$3))</f>
        <v>152</v>
      </c>
      <c r="K39" s="12">
        <f>IF(ISNUMBER(SEARCH("营",main!S39)),(-$Y39+50*IF(main!$AK39="是",main!$BB$4,main!$BB$3)),(VLOOKUP(main!S39,main!$AO$4:$AQ$55,2,FALSE))*IF(main!$AK39="是",main!$BB$4,main!$BB$3))</f>
        <v>152</v>
      </c>
      <c r="L39" s="12">
        <f>IF(ISNUMBER(SEARCH("营",main!T39)),(-$Y39+50*IF(main!$AK39="是",main!$BB$4,main!$BB$3)),(VLOOKUP(main!T39,main!$AO$4:$AQ$55,2,FALSE))*IF(main!$AK39="是",main!$BB$4,main!$BB$3))</f>
        <v>152</v>
      </c>
      <c r="M39" s="12">
        <f>IF(ISNUMBER(SEARCH("营",main!U39)),(-$Y39+50*IF(main!$AK39="是",main!$BB$4,main!$BB$3)),(VLOOKUP(main!U39,main!$AO$4:$AQ$55,2,FALSE))*IF(main!$AK39="是",main!$BB$4,main!$BB$3))</f>
        <v>152</v>
      </c>
      <c r="N39" s="12">
        <f>IF(ISNUMBER(SEARCH("营",main!V39)),(-$Y39+50*IF(main!$AK39="是",main!$BB$4,main!$BB$3)),(VLOOKUP(main!V39,main!$AO$4:$AQ$55,2,FALSE))*IF(main!$AK39="是",main!$BB$4,main!$BB$3))</f>
        <v>152</v>
      </c>
      <c r="O39" s="12">
        <f>IF(ISNUMBER(SEARCH("营",main!W39)),(-$Y39+50*IF(main!$AK39="是",main!$BB$4,main!$BB$3)),(VLOOKUP(main!W39,main!$AO$4:$AQ$55,2,FALSE))*IF(main!$AK39="是",main!$BB$4,main!$BB$3))</f>
        <v>152</v>
      </c>
      <c r="P39" s="12">
        <f>IF(ISNUMBER(SEARCH("营",main!X39)),(-$Y39+50*IF(main!$AK39="是",main!$BB$4,main!$BB$3)),(VLOOKUP(main!X39,main!$AO$4:$AQ$55,2,FALSE))*IF(main!$AK39="是",main!$BB$4,main!$BB$3))</f>
        <v>152</v>
      </c>
      <c r="Q39" s="12">
        <f>IF(ISNUMBER(SEARCH("营",main!Y39)),(-$Y39+50*IF(main!$AK39="是",main!$BB$4,main!$BB$3)),(VLOOKUP(main!Y39,main!$AO$4:$AQ$55,2,FALSE))*IF(main!$AK39="是",main!$BB$4,main!$BB$3))</f>
        <v>160</v>
      </c>
      <c r="R39" s="12">
        <f>IF(ISNUMBER(SEARCH("营",main!Z39)),(-$Y39+50*IF(main!$AK39="是",main!$BB$4,main!$BB$3)),(VLOOKUP(main!Z39,main!$AO$4:$AQ$55,2,FALSE))*IF(main!$AK39="是",main!$BB$4,main!$BB$3))</f>
        <v>160</v>
      </c>
      <c r="S39" s="12">
        <f>IF(ISNUMBER(SEARCH("营",main!AA39)),(-$Y39+50*IF(main!$AK39="是",main!$BB$4,main!$BB$3)),(VLOOKUP(main!AA39,main!$AO$4:$AQ$55,2,FALSE))*IF(main!$AK39="是",main!$BB$4,main!$BB$3))</f>
        <v>160</v>
      </c>
      <c r="T39" s="12">
        <f>IF(ISNUMBER(SEARCH("营",main!AB39)),(-$Y39+50*IF(main!$AK39="是",main!$BB$4,main!$BB$3)),(VLOOKUP(main!AB39,main!$AO$4:$AQ$55,2,FALSE))*IF(main!$AK39="是",main!$BB$4,main!$BB$3))</f>
        <v>160</v>
      </c>
      <c r="U39" s="12">
        <f>IF(ISNUMBER(SEARCH("营",main!AC39)),(-$Y39+50*IF(main!$AK39="是",main!$BB$4,main!$BB$3)),(VLOOKUP(main!AC39,main!$AO$4:$AQ$55,2,FALSE))*IF(main!$AK39="是",main!$BB$4,main!$BB$3))</f>
        <v>160</v>
      </c>
      <c r="V39" s="12">
        <f>IF(ISNUMBER(SEARCH("营",main!AD39)),(-$Y39+50*IF(main!$AK39="是",main!$BB$4,main!$BB$3)),(VLOOKUP(main!AD39,main!$AO$4:$AQ$55,2,FALSE))*IF(main!$AK39="是",main!$BB$4,main!$BB$3))</f>
        <v>160</v>
      </c>
      <c r="W39" s="12">
        <f>IF(ISNUMBER(SEARCH("营",main!AE39)),(-$Y39+50*IF(main!$AK39="是",main!$BB$4,main!$BB$3)),(VLOOKUP(main!AE39,main!$AO$4:$AQ$55,2,FALSE))*IF(main!$AK39="是",main!$BB$4,main!$BB$3))</f>
        <v>160</v>
      </c>
      <c r="X39" s="12">
        <f>IF(ISNUMBER(SEARCH("营",main!AF39)),(-$Y39+50*IF(main!$AK39="是",main!$BB$4,main!$BB$3)),(VLOOKUP(main!AF39,main!$AO$4:$AQ$55,2,FALSE))*IF(main!$AK39="是",main!$BB$4,main!$BB$3))</f>
        <v>160</v>
      </c>
      <c r="Y39" s="98">
        <v>200</v>
      </c>
      <c r="Z39" s="95">
        <v>46311</v>
      </c>
      <c r="AA39">
        <v>36</v>
      </c>
    </row>
    <row r="40" spans="1:27">
      <c r="A40" s="12">
        <f>IF(ISNUMBER(SEARCH("营",main!I40)),(-$Y40+50*IF(main!$AK40="是",main!$BB$4,main!$BB$3)),(VLOOKUP(main!I40,main!$AO$4:$AQ$55,2,FALSE))*IF(main!$AK40="是",main!$BB$4,main!$BB$3))</f>
        <v>144</v>
      </c>
      <c r="B40" s="12">
        <f>IF(ISNUMBER(SEARCH("营",main!J40)),(-$Y40+50*IF(main!$AK40="是",main!$BB$4,main!$BB$3)),(VLOOKUP(main!J40,main!$AO$4:$AQ$55,2,FALSE))*IF(main!$AK40="是",main!$BB$4,main!$BB$3))</f>
        <v>144</v>
      </c>
      <c r="C40" s="12">
        <f>IF(ISNUMBER(SEARCH("营",main!K40)),(-$Y40+50*IF(main!$AK40="是",main!$BB$4,main!$BB$3)),(VLOOKUP(main!K40,main!$AO$4:$AQ$55,2,FALSE))*IF(main!$AK40="是",main!$BB$4,main!$BB$3))</f>
        <v>144</v>
      </c>
      <c r="D40" s="12">
        <f>IF(ISNUMBER(SEARCH("营",main!L40)),(-$Y40+50*IF(main!$AK40="是",main!$BB$4,main!$BB$3)),(VLOOKUP(main!L40,main!$AO$4:$AQ$55,2,FALSE))*IF(main!$AK40="是",main!$BB$4,main!$BB$3))</f>
        <v>144</v>
      </c>
      <c r="E40" s="12">
        <f>IF(ISNUMBER(SEARCH("营",main!M40)),(-$Y40+50*IF(main!$AK40="是",main!$BB$4,main!$BB$3)),(VLOOKUP(main!M40,main!$AO$4:$AQ$55,2,FALSE))*IF(main!$AK40="是",main!$BB$4,main!$BB$3))</f>
        <v>144</v>
      </c>
      <c r="F40" s="12">
        <f>IF(ISNUMBER(SEARCH("营",main!N40)),(-$Y40+50*IF(main!$AK40="是",main!$BB$4,main!$BB$3)),(VLOOKUP(main!N40,main!$AO$4:$AQ$55,2,FALSE))*IF(main!$AK40="是",main!$BB$4,main!$BB$3))</f>
        <v>144</v>
      </c>
      <c r="G40" s="12">
        <f>IF(ISNUMBER(SEARCH("营",main!O40)),(-$Y40+50*IF(main!$AK40="是",main!$BB$4,main!$BB$3)),(VLOOKUP(main!O40,main!$AO$4:$AQ$55,2,FALSE))*IF(main!$AK40="是",main!$BB$4,main!$BB$3))</f>
        <v>144</v>
      </c>
      <c r="H40" s="12">
        <f>IF(ISNUMBER(SEARCH("营",main!P40)),(-$Y40+50*IF(main!$AK40="是",main!$BB$4,main!$BB$3)),(VLOOKUP(main!P40,main!$AO$4:$AQ$55,2,FALSE))*IF(main!$AK40="是",main!$BB$4,main!$BB$3))</f>
        <v>144</v>
      </c>
      <c r="I40" s="12">
        <f>IF(ISNUMBER(SEARCH("营",main!Q40)),(-$Y40+50*IF(main!$AK40="是",main!$BB$4,main!$BB$3)),(VLOOKUP(main!Q40,main!$AO$4:$AQ$55,2,FALSE))*IF(main!$AK40="是",main!$BB$4,main!$BB$3))</f>
        <v>152</v>
      </c>
      <c r="J40" s="12">
        <f>IF(ISNUMBER(SEARCH("营",main!R40)),(-$Y40+50*IF(main!$AK40="是",main!$BB$4,main!$BB$3)),(VLOOKUP(main!R40,main!$AO$4:$AQ$55,2,FALSE))*IF(main!$AK40="是",main!$BB$4,main!$BB$3))</f>
        <v>152</v>
      </c>
      <c r="K40" s="12">
        <f>IF(ISNUMBER(SEARCH("营",main!S40)),(-$Y40+50*IF(main!$AK40="是",main!$BB$4,main!$BB$3)),(VLOOKUP(main!S40,main!$AO$4:$AQ$55,2,FALSE))*IF(main!$AK40="是",main!$BB$4,main!$BB$3))</f>
        <v>152</v>
      </c>
      <c r="L40" s="12">
        <f>IF(ISNUMBER(SEARCH("营",main!T40)),(-$Y40+50*IF(main!$AK40="是",main!$BB$4,main!$BB$3)),(VLOOKUP(main!T40,main!$AO$4:$AQ$55,2,FALSE))*IF(main!$AK40="是",main!$BB$4,main!$BB$3))</f>
        <v>152</v>
      </c>
      <c r="M40" s="12">
        <f>IF(ISNUMBER(SEARCH("营",main!U40)),(-$Y40+50*IF(main!$AK40="是",main!$BB$4,main!$BB$3)),(VLOOKUP(main!U40,main!$AO$4:$AQ$55,2,FALSE))*IF(main!$AK40="是",main!$BB$4,main!$BB$3))</f>
        <v>152</v>
      </c>
      <c r="N40" s="12">
        <f>IF(ISNUMBER(SEARCH("营",main!V40)),(-$Y40+50*IF(main!$AK40="是",main!$BB$4,main!$BB$3)),(VLOOKUP(main!V40,main!$AO$4:$AQ$55,2,FALSE))*IF(main!$AK40="是",main!$BB$4,main!$BB$3))</f>
        <v>152</v>
      </c>
      <c r="O40" s="12">
        <f>IF(ISNUMBER(SEARCH("营",main!W40)),(-$Y40+50*IF(main!$AK40="是",main!$BB$4,main!$BB$3)),(VLOOKUP(main!W40,main!$AO$4:$AQ$55,2,FALSE))*IF(main!$AK40="是",main!$BB$4,main!$BB$3))</f>
        <v>152</v>
      </c>
      <c r="P40" s="12">
        <f>IF(ISNUMBER(SEARCH("营",main!X40)),(-$Y40+50*IF(main!$AK40="是",main!$BB$4,main!$BB$3)),(VLOOKUP(main!X40,main!$AO$4:$AQ$55,2,FALSE))*IF(main!$AK40="是",main!$BB$4,main!$BB$3))</f>
        <v>152</v>
      </c>
      <c r="Q40" s="12">
        <f>IF(ISNUMBER(SEARCH("营",main!Y40)),(-$Y40+50*IF(main!$AK40="是",main!$BB$4,main!$BB$3)),(VLOOKUP(main!Y40,main!$AO$4:$AQ$55,2,FALSE))*IF(main!$AK40="是",main!$BB$4,main!$BB$3))</f>
        <v>160</v>
      </c>
      <c r="R40" s="12">
        <f>IF(ISNUMBER(SEARCH("营",main!Z40)),(-$Y40+50*IF(main!$AK40="是",main!$BB$4,main!$BB$3)),(VLOOKUP(main!Z40,main!$AO$4:$AQ$55,2,FALSE))*IF(main!$AK40="是",main!$BB$4,main!$BB$3))</f>
        <v>160</v>
      </c>
      <c r="S40" s="12">
        <f>IF(ISNUMBER(SEARCH("营",main!AA40)),(-$Y40+50*IF(main!$AK40="是",main!$BB$4,main!$BB$3)),(VLOOKUP(main!AA40,main!$AO$4:$AQ$55,2,FALSE))*IF(main!$AK40="是",main!$BB$4,main!$BB$3))</f>
        <v>160</v>
      </c>
      <c r="T40" s="12">
        <f>IF(ISNUMBER(SEARCH("营",main!AB40)),(-$Y40+50*IF(main!$AK40="是",main!$BB$4,main!$BB$3)),(VLOOKUP(main!AB40,main!$AO$4:$AQ$55,2,FALSE))*IF(main!$AK40="是",main!$BB$4,main!$BB$3))</f>
        <v>160</v>
      </c>
      <c r="U40" s="12">
        <f>IF(ISNUMBER(SEARCH("营",main!AC40)),(-$Y40+50*IF(main!$AK40="是",main!$BB$4,main!$BB$3)),(VLOOKUP(main!AC40,main!$AO$4:$AQ$55,2,FALSE))*IF(main!$AK40="是",main!$BB$4,main!$BB$3))</f>
        <v>160</v>
      </c>
      <c r="V40" s="12">
        <f>IF(ISNUMBER(SEARCH("营",main!AD40)),(-$Y40+50*IF(main!$AK40="是",main!$BB$4,main!$BB$3)),(VLOOKUP(main!AD40,main!$AO$4:$AQ$55,2,FALSE))*IF(main!$AK40="是",main!$BB$4,main!$BB$3))</f>
        <v>120</v>
      </c>
      <c r="W40" s="12">
        <f>IF(ISNUMBER(SEARCH("营",main!AE40)),(-$Y40+50*IF(main!$AK40="是",main!$BB$4,main!$BB$3)),(VLOOKUP(main!AE40,main!$AO$4:$AQ$55,2,FALSE))*IF(main!$AK40="是",main!$BB$4,main!$BB$3))</f>
        <v>120</v>
      </c>
      <c r="X40" s="12">
        <f>IF(ISNUMBER(SEARCH("营",main!AF40)),(-$Y40+50*IF(main!$AK40="是",main!$BB$4,main!$BB$3)),(VLOOKUP(main!AF40,main!$AO$4:$AQ$55,2,FALSE))*IF(main!$AK40="是",main!$BB$4,main!$BB$3))</f>
        <v>120</v>
      </c>
      <c r="Y40" s="98">
        <v>200</v>
      </c>
      <c r="Z40" s="95">
        <v>46312</v>
      </c>
      <c r="AA40">
        <v>37</v>
      </c>
    </row>
    <row r="41" spans="1:27">
      <c r="A41" s="12">
        <f>IF(ISNUMBER(SEARCH("营",main!I41)),(-$Y41+50*IF(main!$AK41="是",main!$BB$4,main!$BB$3)),(VLOOKUP(main!I41,main!$AO$4:$AQ$55,2,FALSE))*IF(main!$AK41="是",main!$BB$4,main!$BB$3))</f>
        <v>144</v>
      </c>
      <c r="B41" s="12">
        <f>IF(ISNUMBER(SEARCH("营",main!J41)),(-$Y41+50*IF(main!$AK41="是",main!$BB$4,main!$BB$3)),(VLOOKUP(main!J41,main!$AO$4:$AQ$55,2,FALSE))*IF(main!$AK41="是",main!$BB$4,main!$BB$3))</f>
        <v>144</v>
      </c>
      <c r="C41" s="12">
        <f>IF(ISNUMBER(SEARCH("营",main!K41)),(-$Y41+50*IF(main!$AK41="是",main!$BB$4,main!$BB$3)),(VLOOKUP(main!K41,main!$AO$4:$AQ$55,2,FALSE))*IF(main!$AK41="是",main!$BB$4,main!$BB$3))</f>
        <v>144</v>
      </c>
      <c r="D41" s="12">
        <f>IF(ISNUMBER(SEARCH("营",main!L41)),(-$Y41+50*IF(main!$AK41="是",main!$BB$4,main!$BB$3)),(VLOOKUP(main!L41,main!$AO$4:$AQ$55,2,FALSE))*IF(main!$AK41="是",main!$BB$4,main!$BB$3))</f>
        <v>144</v>
      </c>
      <c r="E41" s="12">
        <f>IF(ISNUMBER(SEARCH("营",main!M41)),(-$Y41+50*IF(main!$AK41="是",main!$BB$4,main!$BB$3)),(VLOOKUP(main!M41,main!$AO$4:$AQ$55,2,FALSE))*IF(main!$AK41="是",main!$BB$4,main!$BB$3))</f>
        <v>144</v>
      </c>
      <c r="F41" s="12">
        <f>IF(ISNUMBER(SEARCH("营",main!N41)),(-$Y41+50*IF(main!$AK41="是",main!$BB$4,main!$BB$3)),(VLOOKUP(main!N41,main!$AO$4:$AQ$55,2,FALSE))*IF(main!$AK41="是",main!$BB$4,main!$BB$3))</f>
        <v>144</v>
      </c>
      <c r="G41" s="12">
        <f>IF(ISNUMBER(SEARCH("营",main!O41)),(-$Y41+50*IF(main!$AK41="是",main!$BB$4,main!$BB$3)),(VLOOKUP(main!O41,main!$AO$4:$AQ$55,2,FALSE))*IF(main!$AK41="是",main!$BB$4,main!$BB$3))</f>
        <v>144</v>
      </c>
      <c r="H41" s="12">
        <f>IF(ISNUMBER(SEARCH("营",main!P41)),(-$Y41+50*IF(main!$AK41="是",main!$BB$4,main!$BB$3)),(VLOOKUP(main!P41,main!$AO$4:$AQ$55,2,FALSE))*IF(main!$AK41="是",main!$BB$4,main!$BB$3))</f>
        <v>144</v>
      </c>
      <c r="I41" s="12">
        <f>IF(ISNUMBER(SEARCH("营",main!Q41)),(-$Y41+50*IF(main!$AK41="是",main!$BB$4,main!$BB$3)),(VLOOKUP(main!Q41,main!$AO$4:$AQ$55,2,FALSE))*IF(main!$AK41="是",main!$BB$4,main!$BB$3))</f>
        <v>152</v>
      </c>
      <c r="J41" s="12">
        <f>IF(ISNUMBER(SEARCH("营",main!R41)),(-$Y41+50*IF(main!$AK41="是",main!$BB$4,main!$BB$3)),(VLOOKUP(main!R41,main!$AO$4:$AQ$55,2,FALSE))*IF(main!$AK41="是",main!$BB$4,main!$BB$3))</f>
        <v>152</v>
      </c>
      <c r="K41" s="12">
        <f>IF(ISNUMBER(SEARCH("营",main!S41)),(-$Y41+50*IF(main!$AK41="是",main!$BB$4,main!$BB$3)),(VLOOKUP(main!S41,main!$AO$4:$AQ$55,2,FALSE))*IF(main!$AK41="是",main!$BB$4,main!$BB$3))</f>
        <v>152</v>
      </c>
      <c r="L41" s="12">
        <f>IF(ISNUMBER(SEARCH("营",main!T41)),(-$Y41+50*IF(main!$AK41="是",main!$BB$4,main!$BB$3)),(VLOOKUP(main!T41,main!$AO$4:$AQ$55,2,FALSE))*IF(main!$AK41="是",main!$BB$4,main!$BB$3))</f>
        <v>152</v>
      </c>
      <c r="M41" s="12">
        <f>IF(ISNUMBER(SEARCH("营",main!U41)),(-$Y41+50*IF(main!$AK41="是",main!$BB$4,main!$BB$3)),(VLOOKUP(main!U41,main!$AO$4:$AQ$55,2,FALSE))*IF(main!$AK41="是",main!$BB$4,main!$BB$3))</f>
        <v>152</v>
      </c>
      <c r="N41" s="12">
        <f>IF(ISNUMBER(SEARCH("营",main!V41)),(-$Y41+50*IF(main!$AK41="是",main!$BB$4,main!$BB$3)),(VLOOKUP(main!V41,main!$AO$4:$AQ$55,2,FALSE))*IF(main!$AK41="是",main!$BB$4,main!$BB$3))</f>
        <v>152</v>
      </c>
      <c r="O41" s="12">
        <f>IF(ISNUMBER(SEARCH("营",main!W41)),(-$Y41+50*IF(main!$AK41="是",main!$BB$4,main!$BB$3)),(VLOOKUP(main!W41,main!$AO$4:$AQ$55,2,FALSE))*IF(main!$AK41="是",main!$BB$4,main!$BB$3))</f>
        <v>152</v>
      </c>
      <c r="P41" s="12">
        <f>IF(ISNUMBER(SEARCH("营",main!X41)),(-$Y41+50*IF(main!$AK41="是",main!$BB$4,main!$BB$3)),(VLOOKUP(main!X41,main!$AO$4:$AQ$55,2,FALSE))*IF(main!$AK41="是",main!$BB$4,main!$BB$3))</f>
        <v>152</v>
      </c>
      <c r="Q41" s="12">
        <f>IF(ISNUMBER(SEARCH("营",main!Y41)),(-$Y41+50*IF(main!$AK41="是",main!$BB$4,main!$BB$3)),(VLOOKUP(main!Y41,main!$AO$4:$AQ$55,2,FALSE))*IF(main!$AK41="是",main!$BB$4,main!$BB$3))</f>
        <v>40</v>
      </c>
      <c r="R41" s="12">
        <f>IF(ISNUMBER(SEARCH("营",main!Z41)),(-$Y41+50*IF(main!$AK41="是",main!$BB$4,main!$BB$3)),(VLOOKUP(main!Z41,main!$AO$4:$AQ$55,2,FALSE))*IF(main!$AK41="是",main!$BB$4,main!$BB$3))</f>
        <v>40</v>
      </c>
      <c r="S41" s="12">
        <f>IF(ISNUMBER(SEARCH("营",main!AA41)),(-$Y41+50*IF(main!$AK41="是",main!$BB$4,main!$BB$3)),(VLOOKUP(main!AA41,main!$AO$4:$AQ$55,2,FALSE))*IF(main!$AK41="是",main!$BB$4,main!$BB$3))</f>
        <v>40</v>
      </c>
      <c r="T41" s="12">
        <f>IF(ISNUMBER(SEARCH("营",main!AB41)),(-$Y41+50*IF(main!$AK41="是",main!$BB$4,main!$BB$3)),(VLOOKUP(main!AB41,main!$AO$4:$AQ$55,2,FALSE))*IF(main!$AK41="是",main!$BB$4,main!$BB$3))</f>
        <v>40</v>
      </c>
      <c r="U41" s="12">
        <f>IF(ISNUMBER(SEARCH("营",main!AC41)),(-$Y41+50*IF(main!$AK41="是",main!$BB$4,main!$BB$3)),(VLOOKUP(main!AC41,main!$AO$4:$AQ$55,2,FALSE))*IF(main!$AK41="是",main!$BB$4,main!$BB$3))</f>
        <v>40</v>
      </c>
      <c r="V41" s="12">
        <f>IF(ISNUMBER(SEARCH("营",main!AD41)),(-$Y41+50*IF(main!$AK41="是",main!$BB$4,main!$BB$3)),(VLOOKUP(main!AD41,main!$AO$4:$AQ$55,2,FALSE))*IF(main!$AK41="是",main!$BB$4,main!$BB$3))</f>
        <v>40</v>
      </c>
      <c r="W41" s="12">
        <f>IF(ISNUMBER(SEARCH("营",main!AE41)),(-$Y41+50*IF(main!$AK41="是",main!$BB$4,main!$BB$3)),(VLOOKUP(main!AE41,main!$AO$4:$AQ$55,2,FALSE))*IF(main!$AK41="是",main!$BB$4,main!$BB$3))</f>
        <v>40</v>
      </c>
      <c r="X41" s="12">
        <f>IF(ISNUMBER(SEARCH("营",main!AF41)),(-$Y41+50*IF(main!$AK41="是",main!$BB$4,main!$BB$3)),(VLOOKUP(main!AF41,main!$AO$4:$AQ$55,2,FALSE))*IF(main!$AK41="是",main!$BB$4,main!$BB$3))</f>
        <v>40</v>
      </c>
      <c r="Y41" s="98">
        <v>200</v>
      </c>
      <c r="Z41" s="95">
        <v>46313</v>
      </c>
      <c r="AA41">
        <v>38</v>
      </c>
    </row>
    <row r="42" spans="1:27">
      <c r="A42" s="12">
        <f>IF(ISNUMBER(SEARCH("营",main!I42)),(-$Y42+50*IF(main!$AK42="是",main!$BB$4,main!$BB$3)),(VLOOKUP(main!I42,main!$AO$4:$AQ$55,2,FALSE))*IF(main!$AK42="是",main!$BB$4,main!$BB$3))</f>
        <v>144</v>
      </c>
      <c r="B42" s="12">
        <f>IF(ISNUMBER(SEARCH("营",main!J42)),(-$Y42+50*IF(main!$AK42="是",main!$BB$4,main!$BB$3)),(VLOOKUP(main!J42,main!$AO$4:$AQ$55,2,FALSE))*IF(main!$AK42="是",main!$BB$4,main!$BB$3))</f>
        <v>144</v>
      </c>
      <c r="C42" s="12">
        <f>IF(ISNUMBER(SEARCH("营",main!K42)),(-$Y42+50*IF(main!$AK42="是",main!$BB$4,main!$BB$3)),(VLOOKUP(main!K42,main!$AO$4:$AQ$55,2,FALSE))*IF(main!$AK42="是",main!$BB$4,main!$BB$3))</f>
        <v>144</v>
      </c>
      <c r="D42" s="12">
        <f>IF(ISNUMBER(SEARCH("营",main!L42)),(-$Y42+50*IF(main!$AK42="是",main!$BB$4,main!$BB$3)),(VLOOKUP(main!L42,main!$AO$4:$AQ$55,2,FALSE))*IF(main!$AK42="是",main!$BB$4,main!$BB$3))</f>
        <v>144</v>
      </c>
      <c r="E42" s="12">
        <f>IF(ISNUMBER(SEARCH("营",main!M42)),(-$Y42+50*IF(main!$AK42="是",main!$BB$4,main!$BB$3)),(VLOOKUP(main!M42,main!$AO$4:$AQ$55,2,FALSE))*IF(main!$AK42="是",main!$BB$4,main!$BB$3))</f>
        <v>144</v>
      </c>
      <c r="F42" s="12">
        <f>IF(ISNUMBER(SEARCH("营",main!N42)),(-$Y42+50*IF(main!$AK42="是",main!$BB$4,main!$BB$3)),(VLOOKUP(main!N42,main!$AO$4:$AQ$55,2,FALSE))*IF(main!$AK42="是",main!$BB$4,main!$BB$3))</f>
        <v>144</v>
      </c>
      <c r="G42" s="12">
        <f>IF(ISNUMBER(SEARCH("营",main!O42)),(-$Y42+50*IF(main!$AK42="是",main!$BB$4,main!$BB$3)),(VLOOKUP(main!O42,main!$AO$4:$AQ$55,2,FALSE))*IF(main!$AK42="是",main!$BB$4,main!$BB$3))</f>
        <v>144</v>
      </c>
      <c r="H42" s="12">
        <f>IF(ISNUMBER(SEARCH("营",main!P42)),(-$Y42+50*IF(main!$AK42="是",main!$BB$4,main!$BB$3)),(VLOOKUP(main!P42,main!$AO$4:$AQ$55,2,FALSE))*IF(main!$AK42="是",main!$BB$4,main!$BB$3))</f>
        <v>144</v>
      </c>
      <c r="I42" s="12">
        <f>IF(ISNUMBER(SEARCH("营",main!Q42)),(-$Y42+50*IF(main!$AK42="是",main!$BB$4,main!$BB$3)),(VLOOKUP(main!Q42,main!$AO$4:$AQ$55,2,FALSE))*IF(main!$AK42="是",main!$BB$4,main!$BB$3))</f>
        <v>152</v>
      </c>
      <c r="J42" s="12">
        <f>IF(ISNUMBER(SEARCH("营",main!R42)),(-$Y42+50*IF(main!$AK42="是",main!$BB$4,main!$BB$3)),(VLOOKUP(main!R42,main!$AO$4:$AQ$55,2,FALSE))*IF(main!$AK42="是",main!$BB$4,main!$BB$3))</f>
        <v>152</v>
      </c>
      <c r="K42" s="12">
        <f>IF(ISNUMBER(SEARCH("营",main!S42)),(-$Y42+50*IF(main!$AK42="是",main!$BB$4,main!$BB$3)),(VLOOKUP(main!S42,main!$AO$4:$AQ$55,2,FALSE))*IF(main!$AK42="是",main!$BB$4,main!$BB$3))</f>
        <v>152</v>
      </c>
      <c r="L42" s="12">
        <f>IF(ISNUMBER(SEARCH("营",main!T42)),(-$Y42+50*IF(main!$AK42="是",main!$BB$4,main!$BB$3)),(VLOOKUP(main!T42,main!$AO$4:$AQ$55,2,FALSE))*IF(main!$AK42="是",main!$BB$4,main!$BB$3))</f>
        <v>152</v>
      </c>
      <c r="M42" s="12">
        <f>IF(ISNUMBER(SEARCH("营",main!U42)),(-$Y42+50*IF(main!$AK42="是",main!$BB$4,main!$BB$3)),(VLOOKUP(main!U42,main!$AO$4:$AQ$55,2,FALSE))*IF(main!$AK42="是",main!$BB$4,main!$BB$3))</f>
        <v>152</v>
      </c>
      <c r="N42" s="12">
        <f>IF(ISNUMBER(SEARCH("营",main!V42)),(-$Y42+50*IF(main!$AK42="是",main!$BB$4,main!$BB$3)),(VLOOKUP(main!V42,main!$AO$4:$AQ$55,2,FALSE))*IF(main!$AK42="是",main!$BB$4,main!$BB$3))</f>
        <v>152</v>
      </c>
      <c r="O42" s="12">
        <f>IF(ISNUMBER(SEARCH("营",main!W42)),(-$Y42+50*IF(main!$AK42="是",main!$BB$4,main!$BB$3)),(VLOOKUP(main!W42,main!$AO$4:$AQ$55,2,FALSE))*IF(main!$AK42="是",main!$BB$4,main!$BB$3))</f>
        <v>152</v>
      </c>
      <c r="P42" s="12">
        <f>IF(ISNUMBER(SEARCH("营",main!X42)),(-$Y42+50*IF(main!$AK42="是",main!$BB$4,main!$BB$3)),(VLOOKUP(main!X42,main!$AO$4:$AQ$55,2,FALSE))*IF(main!$AK42="是",main!$BB$4,main!$BB$3))</f>
        <v>152</v>
      </c>
      <c r="Q42" s="12">
        <f>IF(ISNUMBER(SEARCH("营",main!Y42)),(-$Y42+50*IF(main!$AK42="是",main!$BB$4,main!$BB$3)),(VLOOKUP(main!Y42,main!$AO$4:$AQ$55,2,FALSE))*IF(main!$AK42="是",main!$BB$4,main!$BB$3))</f>
        <v>40</v>
      </c>
      <c r="R42" s="12">
        <f>IF(ISNUMBER(SEARCH("营",main!Z42)),(-$Y42+50*IF(main!$AK42="是",main!$BB$4,main!$BB$3)),(VLOOKUP(main!Z42,main!$AO$4:$AQ$55,2,FALSE))*IF(main!$AK42="是",main!$BB$4,main!$BB$3))</f>
        <v>40</v>
      </c>
      <c r="S42" s="12">
        <f>IF(ISNUMBER(SEARCH("营",main!AA42)),(-$Y42+50*IF(main!$AK42="是",main!$BB$4,main!$BB$3)),(VLOOKUP(main!AA42,main!$AO$4:$AQ$55,2,FALSE))*IF(main!$AK42="是",main!$BB$4,main!$BB$3))</f>
        <v>40</v>
      </c>
      <c r="T42" s="12">
        <f>IF(ISNUMBER(SEARCH("营",main!AB42)),(-$Y42+50*IF(main!$AK42="是",main!$BB$4,main!$BB$3)),(VLOOKUP(main!AB42,main!$AO$4:$AQ$55,2,FALSE))*IF(main!$AK42="是",main!$BB$4,main!$BB$3))</f>
        <v>40</v>
      </c>
      <c r="U42" s="12">
        <f>IF(ISNUMBER(SEARCH("营",main!AC42)),(-$Y42+50*IF(main!$AK42="是",main!$BB$4,main!$BB$3)),(VLOOKUP(main!AC42,main!$AO$4:$AQ$55,2,FALSE))*IF(main!$AK42="是",main!$BB$4,main!$BB$3))</f>
        <v>40</v>
      </c>
      <c r="V42" s="12">
        <f>IF(ISNUMBER(SEARCH("营",main!AD42)),(-$Y42+50*IF(main!$AK42="是",main!$BB$4,main!$BB$3)),(VLOOKUP(main!AD42,main!$AO$4:$AQ$55,2,FALSE))*IF(main!$AK42="是",main!$BB$4,main!$BB$3))</f>
        <v>40</v>
      </c>
      <c r="W42" s="12">
        <f>IF(ISNUMBER(SEARCH("营",main!AE42)),(-$Y42+50*IF(main!$AK42="是",main!$BB$4,main!$BB$3)),(VLOOKUP(main!AE42,main!$AO$4:$AQ$55,2,FALSE))*IF(main!$AK42="是",main!$BB$4,main!$BB$3))</f>
        <v>40</v>
      </c>
      <c r="X42" s="12">
        <f>IF(ISNUMBER(SEARCH("营",main!AF42)),(-$Y42+50*IF(main!$AK42="是",main!$BB$4,main!$BB$3)),(VLOOKUP(main!AF42,main!$AO$4:$AQ$55,2,FALSE))*IF(main!$AK42="是",main!$BB$4,main!$BB$3))</f>
        <v>40</v>
      </c>
      <c r="Y42" s="98">
        <v>200</v>
      </c>
      <c r="Z42" s="95">
        <v>46314</v>
      </c>
      <c r="AA42">
        <v>39</v>
      </c>
    </row>
    <row r="43" spans="1:27">
      <c r="A43" s="12">
        <f>IF(ISNUMBER(SEARCH("营",main!I43)),(-$Y43+50*IF(main!$AK43="是",main!$BB$4,main!$BB$3)),(VLOOKUP(main!I43,main!$AO$4:$AQ$55,2,FALSE))*IF(main!$AK43="是",main!$BB$4,main!$BB$3))</f>
        <v>144</v>
      </c>
      <c r="B43" s="12">
        <f>IF(ISNUMBER(SEARCH("营",main!J43)),(-$Y43+50*IF(main!$AK43="是",main!$BB$4,main!$BB$3)),(VLOOKUP(main!J43,main!$AO$4:$AQ$55,2,FALSE))*IF(main!$AK43="是",main!$BB$4,main!$BB$3))</f>
        <v>144</v>
      </c>
      <c r="C43" s="12">
        <f>IF(ISNUMBER(SEARCH("营",main!K43)),(-$Y43+50*IF(main!$AK43="是",main!$BB$4,main!$BB$3)),(VLOOKUP(main!K43,main!$AO$4:$AQ$55,2,FALSE))*IF(main!$AK43="是",main!$BB$4,main!$BB$3))</f>
        <v>144</v>
      </c>
      <c r="D43" s="12">
        <f>IF(ISNUMBER(SEARCH("营",main!L43)),(-$Y43+50*IF(main!$AK43="是",main!$BB$4,main!$BB$3)),(VLOOKUP(main!L43,main!$AO$4:$AQ$55,2,FALSE))*IF(main!$AK43="是",main!$BB$4,main!$BB$3))</f>
        <v>144</v>
      </c>
      <c r="E43" s="12">
        <f>IF(ISNUMBER(SEARCH("营",main!M43)),(-$Y43+50*IF(main!$AK43="是",main!$BB$4,main!$BB$3)),(VLOOKUP(main!M43,main!$AO$4:$AQ$55,2,FALSE))*IF(main!$AK43="是",main!$BB$4,main!$BB$3))</f>
        <v>144</v>
      </c>
      <c r="F43" s="12">
        <f>IF(ISNUMBER(SEARCH("营",main!N43)),(-$Y43+50*IF(main!$AK43="是",main!$BB$4,main!$BB$3)),(VLOOKUP(main!N43,main!$AO$4:$AQ$55,2,FALSE))*IF(main!$AK43="是",main!$BB$4,main!$BB$3))</f>
        <v>144</v>
      </c>
      <c r="G43" s="12">
        <f>IF(ISNUMBER(SEARCH("营",main!O43)),(-$Y43+50*IF(main!$AK43="是",main!$BB$4,main!$BB$3)),(VLOOKUP(main!O43,main!$AO$4:$AQ$55,2,FALSE))*IF(main!$AK43="是",main!$BB$4,main!$BB$3))</f>
        <v>144</v>
      </c>
      <c r="H43" s="12">
        <f>IF(ISNUMBER(SEARCH("营",main!P43)),(-$Y43+50*IF(main!$AK43="是",main!$BB$4,main!$BB$3)),(VLOOKUP(main!P43,main!$AO$4:$AQ$55,2,FALSE))*IF(main!$AK43="是",main!$BB$4,main!$BB$3))</f>
        <v>144</v>
      </c>
      <c r="I43" s="12">
        <f>IF(ISNUMBER(SEARCH("营",main!Q43)),(-$Y43+50*IF(main!$AK43="是",main!$BB$4,main!$BB$3)),(VLOOKUP(main!Q43,main!$AO$4:$AQ$55,2,FALSE))*IF(main!$AK43="是",main!$BB$4,main!$BB$3))</f>
        <v>152</v>
      </c>
      <c r="J43" s="12">
        <f>IF(ISNUMBER(SEARCH("营",main!R43)),(-$Y43+50*IF(main!$AK43="是",main!$BB$4,main!$BB$3)),(VLOOKUP(main!R43,main!$AO$4:$AQ$55,2,FALSE))*IF(main!$AK43="是",main!$BB$4,main!$BB$3))</f>
        <v>152</v>
      </c>
      <c r="K43" s="12">
        <f>IF(ISNUMBER(SEARCH("营",main!S43)),(-$Y43+50*IF(main!$AK43="是",main!$BB$4,main!$BB$3)),(VLOOKUP(main!S43,main!$AO$4:$AQ$55,2,FALSE))*IF(main!$AK43="是",main!$BB$4,main!$BB$3))</f>
        <v>152</v>
      </c>
      <c r="L43" s="12">
        <f>IF(ISNUMBER(SEARCH("营",main!T43)),(-$Y43+50*IF(main!$AK43="是",main!$BB$4,main!$BB$3)),(VLOOKUP(main!T43,main!$AO$4:$AQ$55,2,FALSE))*IF(main!$AK43="是",main!$BB$4,main!$BB$3))</f>
        <v>152</v>
      </c>
      <c r="M43" s="12">
        <f>IF(ISNUMBER(SEARCH("营",main!U43)),(-$Y43+50*IF(main!$AK43="是",main!$BB$4,main!$BB$3)),(VLOOKUP(main!U43,main!$AO$4:$AQ$55,2,FALSE))*IF(main!$AK43="是",main!$BB$4,main!$BB$3))</f>
        <v>152</v>
      </c>
      <c r="N43" s="12">
        <f>IF(ISNUMBER(SEARCH("营",main!V43)),(-$Y43+50*IF(main!$AK43="是",main!$BB$4,main!$BB$3)),(VLOOKUP(main!V43,main!$AO$4:$AQ$55,2,FALSE))*IF(main!$AK43="是",main!$BB$4,main!$BB$3))</f>
        <v>152</v>
      </c>
      <c r="O43" s="12">
        <f>IF(ISNUMBER(SEARCH("营",main!W43)),(-$Y43+50*IF(main!$AK43="是",main!$BB$4,main!$BB$3)),(VLOOKUP(main!W43,main!$AO$4:$AQ$55,2,FALSE))*IF(main!$AK43="是",main!$BB$4,main!$BB$3))</f>
        <v>152</v>
      </c>
      <c r="P43" s="12">
        <f>IF(ISNUMBER(SEARCH("营",main!X43)),(-$Y43+50*IF(main!$AK43="是",main!$BB$4,main!$BB$3)),(VLOOKUP(main!X43,main!$AO$4:$AQ$55,2,FALSE))*IF(main!$AK43="是",main!$BB$4,main!$BB$3))</f>
        <v>152</v>
      </c>
      <c r="Q43" s="12">
        <f>IF(ISNUMBER(SEARCH("营",main!Y43)),(-$Y43+50*IF(main!$AK43="是",main!$BB$4,main!$BB$3)),(VLOOKUP(main!Y43,main!$AO$4:$AQ$55,2,FALSE))*IF(main!$AK43="是",main!$BB$4,main!$BB$3))</f>
        <v>40</v>
      </c>
      <c r="R43" s="12">
        <f>IF(ISNUMBER(SEARCH("营",main!Z43)),(-$Y43+50*IF(main!$AK43="是",main!$BB$4,main!$BB$3)),(VLOOKUP(main!Z43,main!$AO$4:$AQ$55,2,FALSE))*IF(main!$AK43="是",main!$BB$4,main!$BB$3))</f>
        <v>40</v>
      </c>
      <c r="S43" s="12">
        <f>IF(ISNUMBER(SEARCH("营",main!AA43)),(-$Y43+50*IF(main!$AK43="是",main!$BB$4,main!$BB$3)),(VLOOKUP(main!AA43,main!$AO$4:$AQ$55,2,FALSE))*IF(main!$AK43="是",main!$BB$4,main!$BB$3))</f>
        <v>40</v>
      </c>
      <c r="T43" s="12">
        <f>IF(ISNUMBER(SEARCH("营",main!AB43)),(-$Y43+50*IF(main!$AK43="是",main!$BB$4,main!$BB$3)),(VLOOKUP(main!AB43,main!$AO$4:$AQ$55,2,FALSE))*IF(main!$AK43="是",main!$BB$4,main!$BB$3))</f>
        <v>40</v>
      </c>
      <c r="U43" s="12">
        <f>IF(ISNUMBER(SEARCH("营",main!AC43)),(-$Y43+50*IF(main!$AK43="是",main!$BB$4,main!$BB$3)),(VLOOKUP(main!AC43,main!$AO$4:$AQ$55,2,FALSE))*IF(main!$AK43="是",main!$BB$4,main!$BB$3))</f>
        <v>40</v>
      </c>
      <c r="V43" s="12">
        <f>IF(ISNUMBER(SEARCH("营",main!AD43)),(-$Y43+50*IF(main!$AK43="是",main!$BB$4,main!$BB$3)),(VLOOKUP(main!AD43,main!$AO$4:$AQ$55,2,FALSE))*IF(main!$AK43="是",main!$BB$4,main!$BB$3))</f>
        <v>40</v>
      </c>
      <c r="W43" s="12">
        <f>IF(ISNUMBER(SEARCH("营",main!AE43)),(-$Y43+50*IF(main!$AK43="是",main!$BB$4,main!$BB$3)),(VLOOKUP(main!AE43,main!$AO$4:$AQ$55,2,FALSE))*IF(main!$AK43="是",main!$BB$4,main!$BB$3))</f>
        <v>40</v>
      </c>
      <c r="X43" s="12">
        <f>IF(ISNUMBER(SEARCH("营",main!AF43)),(-$Y43+50*IF(main!$AK43="是",main!$BB$4,main!$BB$3)),(VLOOKUP(main!AF43,main!$AO$4:$AQ$55,2,FALSE))*IF(main!$AK43="是",main!$BB$4,main!$BB$3))</f>
        <v>40</v>
      </c>
      <c r="Y43" s="98">
        <v>200</v>
      </c>
      <c r="Z43" s="95">
        <v>46315</v>
      </c>
      <c r="AA43">
        <v>40</v>
      </c>
    </row>
    <row r="44" spans="1:27">
      <c r="A44" s="12">
        <f>IF(ISNUMBER(SEARCH("营",main!I44)),(-$Y44+50*IF(main!$AK44="是",main!$BB$4,main!$BB$3)),(VLOOKUP(main!I44,main!$AO$4:$AQ$55,2,FALSE))*IF(main!$AK44="是",main!$BB$4,main!$BB$3))</f>
        <v>144</v>
      </c>
      <c r="B44" s="12">
        <f>IF(ISNUMBER(SEARCH("营",main!J44)),(-$Y44+50*IF(main!$AK44="是",main!$BB$4,main!$BB$3)),(VLOOKUP(main!J44,main!$AO$4:$AQ$55,2,FALSE))*IF(main!$AK44="是",main!$BB$4,main!$BB$3))</f>
        <v>144</v>
      </c>
      <c r="C44" s="12">
        <f>IF(ISNUMBER(SEARCH("营",main!K44)),(-$Y44+50*IF(main!$AK44="是",main!$BB$4,main!$BB$3)),(VLOOKUP(main!K44,main!$AO$4:$AQ$55,2,FALSE))*IF(main!$AK44="是",main!$BB$4,main!$BB$3))</f>
        <v>144</v>
      </c>
      <c r="D44" s="12">
        <f>IF(ISNUMBER(SEARCH("营",main!L44)),(-$Y44+50*IF(main!$AK44="是",main!$BB$4,main!$BB$3)),(VLOOKUP(main!L44,main!$AO$4:$AQ$55,2,FALSE))*IF(main!$AK44="是",main!$BB$4,main!$BB$3))</f>
        <v>144</v>
      </c>
      <c r="E44" s="12">
        <f>IF(ISNUMBER(SEARCH("营",main!M44)),(-$Y44+50*IF(main!$AK44="是",main!$BB$4,main!$BB$3)),(VLOOKUP(main!M44,main!$AO$4:$AQ$55,2,FALSE))*IF(main!$AK44="是",main!$BB$4,main!$BB$3))</f>
        <v>144</v>
      </c>
      <c r="F44" s="12">
        <f>IF(ISNUMBER(SEARCH("营",main!N44)),(-$Y44+50*IF(main!$AK44="是",main!$BB$4,main!$BB$3)),(VLOOKUP(main!N44,main!$AO$4:$AQ$55,2,FALSE))*IF(main!$AK44="是",main!$BB$4,main!$BB$3))</f>
        <v>144</v>
      </c>
      <c r="G44" s="12">
        <f>IF(ISNUMBER(SEARCH("营",main!O44)),(-$Y44+50*IF(main!$AK44="是",main!$BB$4,main!$BB$3)),(VLOOKUP(main!O44,main!$AO$4:$AQ$55,2,FALSE))*IF(main!$AK44="是",main!$BB$4,main!$BB$3))</f>
        <v>144</v>
      </c>
      <c r="H44" s="12">
        <f>IF(ISNUMBER(SEARCH("营",main!P44)),(-$Y44+50*IF(main!$AK44="是",main!$BB$4,main!$BB$3)),(VLOOKUP(main!P44,main!$AO$4:$AQ$55,2,FALSE))*IF(main!$AK44="是",main!$BB$4,main!$BB$3))</f>
        <v>144</v>
      </c>
      <c r="I44" s="12">
        <f>IF(ISNUMBER(SEARCH("营",main!Q44)),(-$Y44+50*IF(main!$AK44="是",main!$BB$4,main!$BB$3)),(VLOOKUP(main!Q44,main!$AO$4:$AQ$55,2,FALSE))*IF(main!$AK44="是",main!$BB$4,main!$BB$3))</f>
        <v>152</v>
      </c>
      <c r="J44" s="12">
        <f>IF(ISNUMBER(SEARCH("营",main!R44)),(-$Y44+50*IF(main!$AK44="是",main!$BB$4,main!$BB$3)),(VLOOKUP(main!R44,main!$AO$4:$AQ$55,2,FALSE))*IF(main!$AK44="是",main!$BB$4,main!$BB$3))</f>
        <v>152</v>
      </c>
      <c r="K44" s="12">
        <f>IF(ISNUMBER(SEARCH("营",main!S44)),(-$Y44+50*IF(main!$AK44="是",main!$BB$4,main!$BB$3)),(VLOOKUP(main!S44,main!$AO$4:$AQ$55,2,FALSE))*IF(main!$AK44="是",main!$BB$4,main!$BB$3))</f>
        <v>152</v>
      </c>
      <c r="L44" s="12">
        <f>IF(ISNUMBER(SEARCH("营",main!T44)),(-$Y44+50*IF(main!$AK44="是",main!$BB$4,main!$BB$3)),(VLOOKUP(main!T44,main!$AO$4:$AQ$55,2,FALSE))*IF(main!$AK44="是",main!$BB$4,main!$BB$3))</f>
        <v>152</v>
      </c>
      <c r="M44" s="12">
        <f>IF(ISNUMBER(SEARCH("营",main!U44)),(-$Y44+50*IF(main!$AK44="是",main!$BB$4,main!$BB$3)),(VLOOKUP(main!U44,main!$AO$4:$AQ$55,2,FALSE))*IF(main!$AK44="是",main!$BB$4,main!$BB$3))</f>
        <v>152</v>
      </c>
      <c r="N44" s="12">
        <f>IF(ISNUMBER(SEARCH("营",main!V44)),(-$Y44+50*IF(main!$AK44="是",main!$BB$4,main!$BB$3)),(VLOOKUP(main!V44,main!$AO$4:$AQ$55,2,FALSE))*IF(main!$AK44="是",main!$BB$4,main!$BB$3))</f>
        <v>152</v>
      </c>
      <c r="O44" s="12">
        <f>IF(ISNUMBER(SEARCH("营",main!W44)),(-$Y44+50*IF(main!$AK44="是",main!$BB$4,main!$BB$3)),(VLOOKUP(main!W44,main!$AO$4:$AQ$55,2,FALSE))*IF(main!$AK44="是",main!$BB$4,main!$BB$3))</f>
        <v>152</v>
      </c>
      <c r="P44" s="12">
        <f>IF(ISNUMBER(SEARCH("营",main!X44)),(-$Y44+50*IF(main!$AK44="是",main!$BB$4,main!$BB$3)),(VLOOKUP(main!X44,main!$AO$4:$AQ$55,2,FALSE))*IF(main!$AK44="是",main!$BB$4,main!$BB$3))</f>
        <v>152</v>
      </c>
      <c r="Q44" s="12">
        <f>IF(ISNUMBER(SEARCH("营",main!Y44)),(-$Y44+50*IF(main!$AK44="是",main!$BB$4,main!$BB$3)),(VLOOKUP(main!Y44,main!$AO$4:$AQ$55,2,FALSE))*IF(main!$AK44="是",main!$BB$4,main!$BB$3))</f>
        <v>120</v>
      </c>
      <c r="R44" s="12">
        <f>IF(ISNUMBER(SEARCH("营",main!Z44)),(-$Y44+50*IF(main!$AK44="是",main!$BB$4,main!$BB$3)),(VLOOKUP(main!Z44,main!$AO$4:$AQ$55,2,FALSE))*IF(main!$AK44="是",main!$BB$4,main!$BB$3))</f>
        <v>120</v>
      </c>
      <c r="S44" s="12">
        <f>IF(ISNUMBER(SEARCH("营",main!AA44)),(-$Y44+50*IF(main!$AK44="是",main!$BB$4,main!$BB$3)),(VLOOKUP(main!AA44,main!$AO$4:$AQ$55,2,FALSE))*IF(main!$AK44="是",main!$BB$4,main!$BB$3))</f>
        <v>120</v>
      </c>
      <c r="T44" s="12">
        <f>IF(ISNUMBER(SEARCH("营",main!AB44)),(-$Y44+50*IF(main!$AK44="是",main!$BB$4,main!$BB$3)),(VLOOKUP(main!AB44,main!$AO$4:$AQ$55,2,FALSE))*IF(main!$AK44="是",main!$BB$4,main!$BB$3))</f>
        <v>120</v>
      </c>
      <c r="U44" s="12">
        <f>IF(ISNUMBER(SEARCH("营",main!AC44)),(-$Y44+50*IF(main!$AK44="是",main!$BB$4,main!$BB$3)),(VLOOKUP(main!AC44,main!$AO$4:$AQ$55,2,FALSE))*IF(main!$AK44="是",main!$BB$4,main!$BB$3))</f>
        <v>120</v>
      </c>
      <c r="V44" s="12">
        <f>IF(ISNUMBER(SEARCH("营",main!AD44)),(-$Y44+50*IF(main!$AK44="是",main!$BB$4,main!$BB$3)),(VLOOKUP(main!AD44,main!$AO$4:$AQ$55,2,FALSE))*IF(main!$AK44="是",main!$BB$4,main!$BB$3))</f>
        <v>120</v>
      </c>
      <c r="W44" s="12">
        <f>IF(ISNUMBER(SEARCH("营",main!AE44)),(-$Y44+50*IF(main!$AK44="是",main!$BB$4,main!$BB$3)),(VLOOKUP(main!AE44,main!$AO$4:$AQ$55,2,FALSE))*IF(main!$AK44="是",main!$BB$4,main!$BB$3))</f>
        <v>120</v>
      </c>
      <c r="X44" s="12">
        <f>IF(ISNUMBER(SEARCH("营",main!AF44)),(-$Y44+50*IF(main!$AK44="是",main!$BB$4,main!$BB$3)),(VLOOKUP(main!AF44,main!$AO$4:$AQ$55,2,FALSE))*IF(main!$AK44="是",main!$BB$4,main!$BB$3))</f>
        <v>0</v>
      </c>
      <c r="Y44" s="98">
        <v>200</v>
      </c>
      <c r="Z44" s="95">
        <v>46316</v>
      </c>
      <c r="AA44">
        <v>41</v>
      </c>
    </row>
    <row r="45" spans="1:27">
      <c r="A45" s="12">
        <f>IF(ISNUMBER(SEARCH("营",main!I45)),(-$Y45+50*IF(main!$AK45="是",main!$BB$4,main!$BB$3)),(VLOOKUP(main!I45,main!$AO$4:$AQ$55,2,FALSE))*IF(main!$AK45="是",main!$BB$4,main!$BB$3))</f>
        <v>144</v>
      </c>
      <c r="B45" s="12">
        <f>IF(ISNUMBER(SEARCH("营",main!J45)),(-$Y45+50*IF(main!$AK45="是",main!$BB$4,main!$BB$3)),(VLOOKUP(main!J45,main!$AO$4:$AQ$55,2,FALSE))*IF(main!$AK45="是",main!$BB$4,main!$BB$3))</f>
        <v>144</v>
      </c>
      <c r="C45" s="12">
        <f>IF(ISNUMBER(SEARCH("营",main!K45)),(-$Y45+50*IF(main!$AK45="是",main!$BB$4,main!$BB$3)),(VLOOKUP(main!K45,main!$AO$4:$AQ$55,2,FALSE))*IF(main!$AK45="是",main!$BB$4,main!$BB$3))</f>
        <v>144</v>
      </c>
      <c r="D45" s="12">
        <f>IF(ISNUMBER(SEARCH("营",main!L45)),(-$Y45+50*IF(main!$AK45="是",main!$BB$4,main!$BB$3)),(VLOOKUP(main!L45,main!$AO$4:$AQ$55,2,FALSE))*IF(main!$AK45="是",main!$BB$4,main!$BB$3))</f>
        <v>144</v>
      </c>
      <c r="E45" s="12">
        <f>IF(ISNUMBER(SEARCH("营",main!M45)),(-$Y45+50*IF(main!$AK45="是",main!$BB$4,main!$BB$3)),(VLOOKUP(main!M45,main!$AO$4:$AQ$55,2,FALSE))*IF(main!$AK45="是",main!$BB$4,main!$BB$3))</f>
        <v>144</v>
      </c>
      <c r="F45" s="12">
        <f>IF(ISNUMBER(SEARCH("营",main!N45)),(-$Y45+50*IF(main!$AK45="是",main!$BB$4,main!$BB$3)),(VLOOKUP(main!N45,main!$AO$4:$AQ$55,2,FALSE))*IF(main!$AK45="是",main!$BB$4,main!$BB$3))</f>
        <v>144</v>
      </c>
      <c r="G45" s="12">
        <f>IF(ISNUMBER(SEARCH("营",main!O45)),(-$Y45+50*IF(main!$AK45="是",main!$BB$4,main!$BB$3)),(VLOOKUP(main!O45,main!$AO$4:$AQ$55,2,FALSE))*IF(main!$AK45="是",main!$BB$4,main!$BB$3))</f>
        <v>144</v>
      </c>
      <c r="H45" s="12">
        <f>IF(ISNUMBER(SEARCH("营",main!P45)),(-$Y45+50*IF(main!$AK45="是",main!$BB$4,main!$BB$3)),(VLOOKUP(main!P45,main!$AO$4:$AQ$55,2,FALSE))*IF(main!$AK45="是",main!$BB$4,main!$BB$3))</f>
        <v>144</v>
      </c>
      <c r="I45" s="12">
        <f>IF(ISNUMBER(SEARCH("营",main!Q45)),(-$Y45+50*IF(main!$AK45="是",main!$BB$4,main!$BB$3)),(VLOOKUP(main!Q45,main!$AO$4:$AQ$55,2,FALSE))*IF(main!$AK45="是",main!$BB$4,main!$BB$3))</f>
        <v>152</v>
      </c>
      <c r="J45" s="12">
        <f>IF(ISNUMBER(SEARCH("营",main!R45)),(-$Y45+50*IF(main!$AK45="是",main!$BB$4,main!$BB$3)),(VLOOKUP(main!R45,main!$AO$4:$AQ$55,2,FALSE))*IF(main!$AK45="是",main!$BB$4,main!$BB$3))</f>
        <v>0</v>
      </c>
      <c r="K45" s="12">
        <f>IF(ISNUMBER(SEARCH("营",main!S45)),(-$Y45+50*IF(main!$AK45="是",main!$BB$4,main!$BB$3)),(VLOOKUP(main!S45,main!$AO$4:$AQ$55,2,FALSE))*IF(main!$AK45="是",main!$BB$4,main!$BB$3))</f>
        <v>0</v>
      </c>
      <c r="L45" s="12">
        <f>IF(ISNUMBER(SEARCH("营",main!T45)),(-$Y45+50*IF(main!$AK45="是",main!$BB$4,main!$BB$3)),(VLOOKUP(main!T45,main!$AO$4:$AQ$55,2,FALSE))*IF(main!$AK45="是",main!$BB$4,main!$BB$3))</f>
        <v>0</v>
      </c>
      <c r="M45" s="12">
        <f>IF(ISNUMBER(SEARCH("营",main!U45)),(-$Y45+50*IF(main!$AK45="是",main!$BB$4,main!$BB$3)),(VLOOKUP(main!U45,main!$AO$4:$AQ$55,2,FALSE))*IF(main!$AK45="是",main!$BB$4,main!$BB$3))</f>
        <v>0</v>
      </c>
      <c r="N45" s="12">
        <f>IF(ISNUMBER(SEARCH("营",main!V45)),(-$Y45+50*IF(main!$AK45="是",main!$BB$4,main!$BB$3)),(VLOOKUP(main!V45,main!$AO$4:$AQ$55,2,FALSE))*IF(main!$AK45="是",main!$BB$4,main!$BB$3))</f>
        <v>0</v>
      </c>
      <c r="O45" s="12">
        <f>IF(ISNUMBER(SEARCH("营",main!W45)),(-$Y45+50*IF(main!$AK45="是",main!$BB$4,main!$BB$3)),(VLOOKUP(main!W45,main!$AO$4:$AQ$55,2,FALSE))*IF(main!$AK45="是",main!$BB$4,main!$BB$3))</f>
        <v>0</v>
      </c>
      <c r="P45" s="12">
        <f>IF(ISNUMBER(SEARCH("营",main!X45)),(-$Y45+50*IF(main!$AK45="是",main!$BB$4,main!$BB$3)),(VLOOKUP(main!X45,main!$AO$4:$AQ$55,2,FALSE))*IF(main!$AK45="是",main!$BB$4,main!$BB$3))</f>
        <v>0</v>
      </c>
      <c r="Q45" s="12">
        <f>IF(ISNUMBER(SEARCH("营",main!Y45)),(-$Y45+50*IF(main!$AK45="是",main!$BB$4,main!$BB$3)),(VLOOKUP(main!Y45,main!$AO$4:$AQ$55,2,FALSE))*IF(main!$AK45="是",main!$BB$4,main!$BB$3))</f>
        <v>200</v>
      </c>
      <c r="R45" s="12">
        <f>IF(ISNUMBER(SEARCH("营",main!Z45)),(-$Y45+50*IF(main!$AK45="是",main!$BB$4,main!$BB$3)),(VLOOKUP(main!Z45,main!$AO$4:$AQ$55,2,FALSE))*IF(main!$AK45="是",main!$BB$4,main!$BB$3))</f>
        <v>200</v>
      </c>
      <c r="S45" s="12">
        <f>IF(ISNUMBER(SEARCH("营",main!AA45)),(-$Y45+50*IF(main!$AK45="是",main!$BB$4,main!$BB$3)),(VLOOKUP(main!AA45,main!$AO$4:$AQ$55,2,FALSE))*IF(main!$AK45="是",main!$BB$4,main!$BB$3))</f>
        <v>200</v>
      </c>
      <c r="T45" s="12">
        <f>IF(ISNUMBER(SEARCH("营",main!AB45)),(-$Y45+50*IF(main!$AK45="是",main!$BB$4,main!$BB$3)),(VLOOKUP(main!AB45,main!$AO$4:$AQ$55,2,FALSE))*IF(main!$AK45="是",main!$BB$4,main!$BB$3))</f>
        <v>200</v>
      </c>
      <c r="U45" s="12">
        <f>IF(ISNUMBER(SEARCH("营",main!AC45)),(-$Y45+50*IF(main!$AK45="是",main!$BB$4,main!$BB$3)),(VLOOKUP(main!AC45,main!$AO$4:$AQ$55,2,FALSE))*IF(main!$AK45="是",main!$BB$4,main!$BB$3))</f>
        <v>40</v>
      </c>
      <c r="V45" s="12">
        <f>IF(ISNUMBER(SEARCH("营",main!AD45)),(-$Y45+50*IF(main!$AK45="是",main!$BB$4,main!$BB$3)),(VLOOKUP(main!AD45,main!$AO$4:$AQ$55,2,FALSE))*IF(main!$AK45="是",main!$BB$4,main!$BB$3))</f>
        <v>40</v>
      </c>
      <c r="W45" s="12">
        <f>IF(ISNUMBER(SEARCH("营",main!AE45)),(-$Y45+50*IF(main!$AK45="是",main!$BB$4,main!$BB$3)),(VLOOKUP(main!AE45,main!$AO$4:$AQ$55,2,FALSE))*IF(main!$AK45="是",main!$BB$4,main!$BB$3))</f>
        <v>40</v>
      </c>
      <c r="X45" s="12">
        <f>IF(ISNUMBER(SEARCH("营",main!AF45)),(-$Y45+50*IF(main!$AK45="是",main!$BB$4,main!$BB$3)),(VLOOKUP(main!AF45,main!$AO$4:$AQ$55,2,FALSE))*IF(main!$AK45="是",main!$BB$4,main!$BB$3))</f>
        <v>0</v>
      </c>
      <c r="Y45" s="98">
        <v>200</v>
      </c>
      <c r="Z45" s="95">
        <v>46317</v>
      </c>
      <c r="AA45">
        <v>42</v>
      </c>
    </row>
    <row r="46" spans="1:27">
      <c r="A46" s="12">
        <f>IF(ISNUMBER(SEARCH("营",main!I46)),(-$Y46+50*IF(main!$AK46="是",main!$BB$4,main!$BB$3)),(VLOOKUP(main!I46,main!$AO$4:$AQ$55,2,FALSE))*IF(main!$AK46="是",main!$BB$4,main!$BB$3))</f>
        <v>144</v>
      </c>
      <c r="B46" s="12">
        <f>IF(ISNUMBER(SEARCH("营",main!J46)),(-$Y46+50*IF(main!$AK46="是",main!$BB$4,main!$BB$3)),(VLOOKUP(main!J46,main!$AO$4:$AQ$55,2,FALSE))*IF(main!$AK46="是",main!$BB$4,main!$BB$3))</f>
        <v>144</v>
      </c>
      <c r="C46" s="12">
        <f>IF(ISNUMBER(SEARCH("营",main!K46)),(-$Y46+50*IF(main!$AK46="是",main!$BB$4,main!$BB$3)),(VLOOKUP(main!K46,main!$AO$4:$AQ$55,2,FALSE))*IF(main!$AK46="是",main!$BB$4,main!$BB$3))</f>
        <v>144</v>
      </c>
      <c r="D46" s="12">
        <f>IF(ISNUMBER(SEARCH("营",main!L46)),(-$Y46+50*IF(main!$AK46="是",main!$BB$4,main!$BB$3)),(VLOOKUP(main!L46,main!$AO$4:$AQ$55,2,FALSE))*IF(main!$AK46="是",main!$BB$4,main!$BB$3))</f>
        <v>144</v>
      </c>
      <c r="E46" s="12">
        <f>IF(ISNUMBER(SEARCH("营",main!M46)),(-$Y46+50*IF(main!$AK46="是",main!$BB$4,main!$BB$3)),(VLOOKUP(main!M46,main!$AO$4:$AQ$55,2,FALSE))*IF(main!$AK46="是",main!$BB$4,main!$BB$3))</f>
        <v>144</v>
      </c>
      <c r="F46" s="12">
        <f>IF(ISNUMBER(SEARCH("营",main!N46)),(-$Y46+50*IF(main!$AK46="是",main!$BB$4,main!$BB$3)),(VLOOKUP(main!N46,main!$AO$4:$AQ$55,2,FALSE))*IF(main!$AK46="是",main!$BB$4,main!$BB$3))</f>
        <v>144</v>
      </c>
      <c r="G46" s="12">
        <f>IF(ISNUMBER(SEARCH("营",main!O46)),(-$Y46+50*IF(main!$AK46="是",main!$BB$4,main!$BB$3)),(VLOOKUP(main!O46,main!$AO$4:$AQ$55,2,FALSE))*IF(main!$AK46="是",main!$BB$4,main!$BB$3))</f>
        <v>144</v>
      </c>
      <c r="H46" s="12">
        <f>IF(ISNUMBER(SEARCH("营",main!P46)),(-$Y46+50*IF(main!$AK46="是",main!$BB$4,main!$BB$3)),(VLOOKUP(main!P46,main!$AO$4:$AQ$55,2,FALSE))*IF(main!$AK46="是",main!$BB$4,main!$BB$3))</f>
        <v>144</v>
      </c>
      <c r="I46" s="12">
        <f>IF(ISNUMBER(SEARCH("营",main!Q46)),(-$Y46+50*IF(main!$AK46="是",main!$BB$4,main!$BB$3)),(VLOOKUP(main!Q46,main!$AO$4:$AQ$55,2,FALSE))*IF(main!$AK46="是",main!$BB$4,main!$BB$3))</f>
        <v>0</v>
      </c>
      <c r="J46" s="12">
        <f>IF(ISNUMBER(SEARCH("营",main!R46)),(-$Y46+50*IF(main!$AK46="是",main!$BB$4,main!$BB$3)),(VLOOKUP(main!R46,main!$AO$4:$AQ$55,2,FALSE))*IF(main!$AK46="是",main!$BB$4,main!$BB$3))</f>
        <v>0</v>
      </c>
      <c r="K46" s="12">
        <f>IF(ISNUMBER(SEARCH("营",main!S46)),(-$Y46+50*IF(main!$AK46="是",main!$BB$4,main!$BB$3)),(VLOOKUP(main!S46,main!$AO$4:$AQ$55,2,FALSE))*IF(main!$AK46="是",main!$BB$4,main!$BB$3))</f>
        <v>0</v>
      </c>
      <c r="L46" s="12">
        <f>IF(ISNUMBER(SEARCH("营",main!T46)),(-$Y46+50*IF(main!$AK46="是",main!$BB$4,main!$BB$3)),(VLOOKUP(main!T46,main!$AO$4:$AQ$55,2,FALSE))*IF(main!$AK46="是",main!$BB$4,main!$BB$3))</f>
        <v>0</v>
      </c>
      <c r="M46" s="12">
        <f>IF(ISNUMBER(SEARCH("营",main!U46)),(-$Y46+50*IF(main!$AK46="是",main!$BB$4,main!$BB$3)),(VLOOKUP(main!U46,main!$AO$4:$AQ$55,2,FALSE))*IF(main!$AK46="是",main!$BB$4,main!$BB$3))</f>
        <v>0</v>
      </c>
      <c r="N46" s="12">
        <f>IF(ISNUMBER(SEARCH("营",main!V46)),(-$Y46+50*IF(main!$AK46="是",main!$BB$4,main!$BB$3)),(VLOOKUP(main!V46,main!$AO$4:$AQ$55,2,FALSE))*IF(main!$AK46="是",main!$BB$4,main!$BB$3))</f>
        <v>0</v>
      </c>
      <c r="O46" s="12">
        <f>IF(ISNUMBER(SEARCH("营",main!W46)),(-$Y46+50*IF(main!$AK46="是",main!$BB$4,main!$BB$3)),(VLOOKUP(main!W46,main!$AO$4:$AQ$55,2,FALSE))*IF(main!$AK46="是",main!$BB$4,main!$BB$3))</f>
        <v>0</v>
      </c>
      <c r="P46" s="12">
        <f>IF(ISNUMBER(SEARCH("营",main!X46)),(-$Y46+50*IF(main!$AK46="是",main!$BB$4,main!$BB$3)),(VLOOKUP(main!X46,main!$AO$4:$AQ$55,2,FALSE))*IF(main!$AK46="是",main!$BB$4,main!$BB$3))</f>
        <v>0</v>
      </c>
      <c r="Q46" s="12">
        <f>IF(ISNUMBER(SEARCH("营",main!Y46)),(-$Y46+50*IF(main!$AK46="是",main!$BB$4,main!$BB$3)),(VLOOKUP(main!Y46,main!$AO$4:$AQ$55,2,FALSE))*IF(main!$AK46="是",main!$BB$4,main!$BB$3))</f>
        <v>0</v>
      </c>
      <c r="R46" s="12">
        <f>IF(ISNUMBER(SEARCH("营",main!Z46)),(-$Y46+50*IF(main!$AK46="是",main!$BB$4,main!$BB$3)),(VLOOKUP(main!Z46,main!$AO$4:$AQ$55,2,FALSE))*IF(main!$AK46="是",main!$BB$4,main!$BB$3))</f>
        <v>0</v>
      </c>
      <c r="S46" s="12">
        <f>IF(ISNUMBER(SEARCH("营",main!AA46)),(-$Y46+50*IF(main!$AK46="是",main!$BB$4,main!$BB$3)),(VLOOKUP(main!AA46,main!$AO$4:$AQ$55,2,FALSE))*IF(main!$AK46="是",main!$BB$4,main!$BB$3))</f>
        <v>0</v>
      </c>
      <c r="T46" s="12">
        <f>IF(ISNUMBER(SEARCH("营",main!AB46)),(-$Y46+50*IF(main!$AK46="是",main!$BB$4,main!$BB$3)),(VLOOKUP(main!AB46,main!$AO$4:$AQ$55,2,FALSE))*IF(main!$AK46="是",main!$BB$4,main!$BB$3))</f>
        <v>0</v>
      </c>
      <c r="U46" s="12">
        <f>IF(ISNUMBER(SEARCH("营",main!AC46)),(-$Y46+50*IF(main!$AK46="是",main!$BB$4,main!$BB$3)),(VLOOKUP(main!AC46,main!$AO$4:$AQ$55,2,FALSE))*IF(main!$AK46="是",main!$BB$4,main!$BB$3))</f>
        <v>0</v>
      </c>
      <c r="V46" s="12">
        <f>IF(ISNUMBER(SEARCH("营",main!AD46)),(-$Y46+50*IF(main!$AK46="是",main!$BB$4,main!$BB$3)),(VLOOKUP(main!AD46,main!$AO$4:$AQ$55,2,FALSE))*IF(main!$AK46="是",main!$BB$4,main!$BB$3))</f>
        <v>0</v>
      </c>
      <c r="W46" s="12">
        <f>IF(ISNUMBER(SEARCH("营",main!AE46)),(-$Y46+50*IF(main!$AK46="是",main!$BB$4,main!$BB$3)),(VLOOKUP(main!AE46,main!$AO$4:$AQ$55,2,FALSE))*IF(main!$AK46="是",main!$BB$4,main!$BB$3))</f>
        <v>0</v>
      </c>
      <c r="X46" s="12">
        <f>IF(ISNUMBER(SEARCH("营",main!AF46)),(-$Y46+50*IF(main!$AK46="是",main!$BB$4,main!$BB$3)),(VLOOKUP(main!AF46,main!$AO$4:$AQ$55,2,FALSE))*IF(main!$AK46="是",main!$BB$4,main!$BB$3))</f>
        <v>0</v>
      </c>
      <c r="Y46" s="96">
        <v>150</v>
      </c>
      <c r="Z46" s="97">
        <v>46318</v>
      </c>
      <c r="AA46">
        <v>43</v>
      </c>
    </row>
    <row r="47" spans="1:27">
      <c r="A47" s="12">
        <f>IF(ISNUMBER(SEARCH("营",main!I47)),(-$Y47+50*IF(main!$AK47="是",main!$BB$4,main!$BB$3)),(VLOOKUP(main!I47,main!$AO$4:$AQ$55,2,FALSE))*IF(main!$AK47="是",main!$BB$4,main!$BB$3))</f>
        <v>144</v>
      </c>
      <c r="B47" s="12">
        <f>IF(ISNUMBER(SEARCH("营",main!J47)),(-$Y47+50*IF(main!$AK47="是",main!$BB$4,main!$BB$3)),(VLOOKUP(main!J47,main!$AO$4:$AQ$55,2,FALSE))*IF(main!$AK47="是",main!$BB$4,main!$BB$3))</f>
        <v>144</v>
      </c>
      <c r="C47" s="12">
        <f>IF(ISNUMBER(SEARCH("营",main!K47)),(-$Y47+50*IF(main!$AK47="是",main!$BB$4,main!$BB$3)),(VLOOKUP(main!K47,main!$AO$4:$AQ$55,2,FALSE))*IF(main!$AK47="是",main!$BB$4,main!$BB$3))</f>
        <v>144</v>
      </c>
      <c r="D47" s="12">
        <f>IF(ISNUMBER(SEARCH("营",main!L47)),(-$Y47+50*IF(main!$AK47="是",main!$BB$4,main!$BB$3)),(VLOOKUP(main!L47,main!$AO$4:$AQ$55,2,FALSE))*IF(main!$AK47="是",main!$BB$4,main!$BB$3))</f>
        <v>144</v>
      </c>
      <c r="E47" s="12">
        <f>IF(ISNUMBER(SEARCH("营",main!M47)),(-$Y47+50*IF(main!$AK47="是",main!$BB$4,main!$BB$3)),(VLOOKUP(main!M47,main!$AO$4:$AQ$55,2,FALSE))*IF(main!$AK47="是",main!$BB$4,main!$BB$3))</f>
        <v>144</v>
      </c>
      <c r="F47" s="12">
        <f>IF(ISNUMBER(SEARCH("营",main!N47)),(-$Y47+50*IF(main!$AK47="是",main!$BB$4,main!$BB$3)),(VLOOKUP(main!N47,main!$AO$4:$AQ$55,2,FALSE))*IF(main!$AK47="是",main!$BB$4,main!$BB$3))</f>
        <v>144</v>
      </c>
      <c r="G47" s="12">
        <f>IF(ISNUMBER(SEARCH("营",main!O47)),(-$Y47+50*IF(main!$AK47="是",main!$BB$4,main!$BB$3)),(VLOOKUP(main!O47,main!$AO$4:$AQ$55,2,FALSE))*IF(main!$AK47="是",main!$BB$4,main!$BB$3))</f>
        <v>144</v>
      </c>
      <c r="H47" s="12">
        <f>IF(ISNUMBER(SEARCH("营",main!P47)),(-$Y47+50*IF(main!$AK47="是",main!$BB$4,main!$BB$3)),(VLOOKUP(main!P47,main!$AO$4:$AQ$55,2,FALSE))*IF(main!$AK47="是",main!$BB$4,main!$BB$3))</f>
        <v>144</v>
      </c>
      <c r="I47" s="12">
        <f>IF(ISNUMBER(SEARCH("营",main!Q47)),(-$Y47+50*IF(main!$AK47="是",main!$BB$4,main!$BB$3)),(VLOOKUP(main!Q47,main!$AO$4:$AQ$55,2,FALSE))*IF(main!$AK47="是",main!$BB$4,main!$BB$3))</f>
        <v>0</v>
      </c>
      <c r="J47" s="12">
        <f>IF(ISNUMBER(SEARCH("营",main!R47)),(-$Y47+50*IF(main!$AK47="是",main!$BB$4,main!$BB$3)),(VLOOKUP(main!R47,main!$AO$4:$AQ$55,2,FALSE))*IF(main!$AK47="是",main!$BB$4,main!$BB$3))</f>
        <v>0</v>
      </c>
      <c r="K47" s="12">
        <f>IF(ISNUMBER(SEARCH("营",main!S47)),(-$Y47+50*IF(main!$AK47="是",main!$BB$4,main!$BB$3)),(VLOOKUP(main!S47,main!$AO$4:$AQ$55,2,FALSE))*IF(main!$AK47="是",main!$BB$4,main!$BB$3))</f>
        <v>0</v>
      </c>
      <c r="L47" s="12">
        <f>IF(ISNUMBER(SEARCH("营",main!T47)),(-$Y47+50*IF(main!$AK47="是",main!$BB$4,main!$BB$3)),(VLOOKUP(main!T47,main!$AO$4:$AQ$55,2,FALSE))*IF(main!$AK47="是",main!$BB$4,main!$BB$3))</f>
        <v>0</v>
      </c>
      <c r="M47" s="12">
        <f>IF(ISNUMBER(SEARCH("营",main!U47)),(-$Y47+50*IF(main!$AK47="是",main!$BB$4,main!$BB$3)),(VLOOKUP(main!U47,main!$AO$4:$AQ$55,2,FALSE))*IF(main!$AK47="是",main!$BB$4,main!$BB$3))</f>
        <v>0</v>
      </c>
      <c r="N47" s="12">
        <f>IF(ISNUMBER(SEARCH("营",main!V47)),(-$Y47+50*IF(main!$AK47="是",main!$BB$4,main!$BB$3)),(VLOOKUP(main!V47,main!$AO$4:$AQ$55,2,FALSE))*IF(main!$AK47="是",main!$BB$4,main!$BB$3))</f>
        <v>0</v>
      </c>
      <c r="O47" s="12">
        <f>IF(ISNUMBER(SEARCH("营",main!W47)),(-$Y47+50*IF(main!$AK47="是",main!$BB$4,main!$BB$3)),(VLOOKUP(main!W47,main!$AO$4:$AQ$55,2,FALSE))*IF(main!$AK47="是",main!$BB$4,main!$BB$3))</f>
        <v>0</v>
      </c>
      <c r="P47" s="12">
        <f>IF(ISNUMBER(SEARCH("营",main!X47)),(-$Y47+50*IF(main!$AK47="是",main!$BB$4,main!$BB$3)),(VLOOKUP(main!X47,main!$AO$4:$AQ$55,2,FALSE))*IF(main!$AK47="是",main!$BB$4,main!$BB$3))</f>
        <v>0</v>
      </c>
      <c r="Q47" s="12">
        <f>IF(ISNUMBER(SEARCH("营",main!Y47)),(-$Y47+50*IF(main!$AK47="是",main!$BB$4,main!$BB$3)),(VLOOKUP(main!Y47,main!$AO$4:$AQ$55,2,FALSE))*IF(main!$AK47="是",main!$BB$4,main!$BB$3))</f>
        <v>0</v>
      </c>
      <c r="R47" s="12">
        <f>IF(ISNUMBER(SEARCH("营",main!Z47)),(-$Y47+50*IF(main!$AK47="是",main!$BB$4,main!$BB$3)),(VLOOKUP(main!Z47,main!$AO$4:$AQ$55,2,FALSE))*IF(main!$AK47="是",main!$BB$4,main!$BB$3))</f>
        <v>0</v>
      </c>
      <c r="S47" s="12">
        <f>IF(ISNUMBER(SEARCH("营",main!AA47)),(-$Y47+50*IF(main!$AK47="是",main!$BB$4,main!$BB$3)),(VLOOKUP(main!AA47,main!$AO$4:$AQ$55,2,FALSE))*IF(main!$AK47="是",main!$BB$4,main!$BB$3))</f>
        <v>0</v>
      </c>
      <c r="T47" s="12">
        <f>IF(ISNUMBER(SEARCH("营",main!AB47)),(-$Y47+50*IF(main!$AK47="是",main!$BB$4,main!$BB$3)),(VLOOKUP(main!AB47,main!$AO$4:$AQ$55,2,FALSE))*IF(main!$AK47="是",main!$BB$4,main!$BB$3))</f>
        <v>0</v>
      </c>
      <c r="U47" s="12">
        <f>IF(ISNUMBER(SEARCH("营",main!AC47)),(-$Y47+50*IF(main!$AK47="是",main!$BB$4,main!$BB$3)),(VLOOKUP(main!AC47,main!$AO$4:$AQ$55,2,FALSE))*IF(main!$AK47="是",main!$BB$4,main!$BB$3))</f>
        <v>0</v>
      </c>
      <c r="V47" s="12">
        <f>IF(ISNUMBER(SEARCH("营",main!AD47)),(-$Y47+50*IF(main!$AK47="是",main!$BB$4,main!$BB$3)),(VLOOKUP(main!AD47,main!$AO$4:$AQ$55,2,FALSE))*IF(main!$AK47="是",main!$BB$4,main!$BB$3))</f>
        <v>0</v>
      </c>
      <c r="W47" s="12">
        <f>IF(ISNUMBER(SEARCH("营",main!AE47)),(-$Y47+50*IF(main!$AK47="是",main!$BB$4,main!$BB$3)),(VLOOKUP(main!AE47,main!$AO$4:$AQ$55,2,FALSE))*IF(main!$AK47="是",main!$BB$4,main!$BB$3))</f>
        <v>0</v>
      </c>
      <c r="X47" s="12">
        <f>IF(ISNUMBER(SEARCH("营",main!AF47)),(-$Y47+50*IF(main!$AK47="是",main!$BB$4,main!$BB$3)),(VLOOKUP(main!AF47,main!$AO$4:$AQ$55,2,FALSE))*IF(main!$AK47="是",main!$BB$4,main!$BB$3))</f>
        <v>0</v>
      </c>
      <c r="Y47" s="96">
        <v>150</v>
      </c>
      <c r="Z47" s="97">
        <v>46319</v>
      </c>
      <c r="AA47">
        <v>44</v>
      </c>
    </row>
    <row r="48" spans="1:27">
      <c r="A48" s="12">
        <f>IF(ISNUMBER(SEARCH("营",main!I48)),(-$Y48+50*IF(main!$AK48="是",main!$BB$4,main!$BB$3)),(VLOOKUP(main!I48,main!$AO$4:$AQ$55,2,FALSE))*IF(main!$AK48="是",main!$BB$4,main!$BB$3))</f>
        <v>144</v>
      </c>
      <c r="B48" s="12">
        <f>IF(ISNUMBER(SEARCH("营",main!J48)),(-$Y48+50*IF(main!$AK48="是",main!$BB$4,main!$BB$3)),(VLOOKUP(main!J48,main!$AO$4:$AQ$55,2,FALSE))*IF(main!$AK48="是",main!$BB$4,main!$BB$3))</f>
        <v>144</v>
      </c>
      <c r="C48" s="12">
        <f>IF(ISNUMBER(SEARCH("营",main!K48)),(-$Y48+50*IF(main!$AK48="是",main!$BB$4,main!$BB$3)),(VLOOKUP(main!K48,main!$AO$4:$AQ$55,2,FALSE))*IF(main!$AK48="是",main!$BB$4,main!$BB$3))</f>
        <v>144</v>
      </c>
      <c r="D48" s="12">
        <f>IF(ISNUMBER(SEARCH("营",main!L48)),(-$Y48+50*IF(main!$AK48="是",main!$BB$4,main!$BB$3)),(VLOOKUP(main!L48,main!$AO$4:$AQ$55,2,FALSE))*IF(main!$AK48="是",main!$BB$4,main!$BB$3))</f>
        <v>144</v>
      </c>
      <c r="E48" s="12">
        <f>IF(ISNUMBER(SEARCH("营",main!M48)),(-$Y48+50*IF(main!$AK48="是",main!$BB$4,main!$BB$3)),(VLOOKUP(main!M48,main!$AO$4:$AQ$55,2,FALSE))*IF(main!$AK48="是",main!$BB$4,main!$BB$3))</f>
        <v>144</v>
      </c>
      <c r="F48" s="12">
        <f>IF(ISNUMBER(SEARCH("营",main!N48)),(-$Y48+50*IF(main!$AK48="是",main!$BB$4,main!$BB$3)),(VLOOKUP(main!N48,main!$AO$4:$AQ$55,2,FALSE))*IF(main!$AK48="是",main!$BB$4,main!$BB$3))</f>
        <v>144</v>
      </c>
      <c r="G48" s="12">
        <f>IF(ISNUMBER(SEARCH("营",main!O48)),(-$Y48+50*IF(main!$AK48="是",main!$BB$4,main!$BB$3)),(VLOOKUP(main!O48,main!$AO$4:$AQ$55,2,FALSE))*IF(main!$AK48="是",main!$BB$4,main!$BB$3))</f>
        <v>144</v>
      </c>
      <c r="H48" s="12">
        <f>IF(ISNUMBER(SEARCH("营",main!P48)),(-$Y48+50*IF(main!$AK48="是",main!$BB$4,main!$BB$3)),(VLOOKUP(main!P48,main!$AO$4:$AQ$55,2,FALSE))*IF(main!$AK48="是",main!$BB$4,main!$BB$3))</f>
        <v>144</v>
      </c>
      <c r="I48" s="12">
        <f>IF(ISNUMBER(SEARCH("营",main!Q48)),(-$Y48+50*IF(main!$AK48="是",main!$BB$4,main!$BB$3)),(VLOOKUP(main!Q48,main!$AO$4:$AQ$55,2,FALSE))*IF(main!$AK48="是",main!$BB$4,main!$BB$3))</f>
        <v>136</v>
      </c>
      <c r="J48" s="12">
        <f>IF(ISNUMBER(SEARCH("营",main!R48)),(-$Y48+50*IF(main!$AK48="是",main!$BB$4,main!$BB$3)),(VLOOKUP(main!R48,main!$AO$4:$AQ$55,2,FALSE))*IF(main!$AK48="是",main!$BB$4,main!$BB$3))</f>
        <v>136</v>
      </c>
      <c r="K48" s="12">
        <f>IF(ISNUMBER(SEARCH("营",main!S48)),(-$Y48+50*IF(main!$AK48="是",main!$BB$4,main!$BB$3)),(VLOOKUP(main!S48,main!$AO$4:$AQ$55,2,FALSE))*IF(main!$AK48="是",main!$BB$4,main!$BB$3))</f>
        <v>136</v>
      </c>
      <c r="L48" s="12">
        <f>IF(ISNUMBER(SEARCH("营",main!T48)),(-$Y48+50*IF(main!$AK48="是",main!$BB$4,main!$BB$3)),(VLOOKUP(main!T48,main!$AO$4:$AQ$55,2,FALSE))*IF(main!$AK48="是",main!$BB$4,main!$BB$3))</f>
        <v>136</v>
      </c>
      <c r="M48" s="12">
        <f>IF(ISNUMBER(SEARCH("营",main!U48)),(-$Y48+50*IF(main!$AK48="是",main!$BB$4,main!$BB$3)),(VLOOKUP(main!U48,main!$AO$4:$AQ$55,2,FALSE))*IF(main!$AK48="是",main!$BB$4,main!$BB$3))</f>
        <v>136</v>
      </c>
      <c r="N48" s="12">
        <f>IF(ISNUMBER(SEARCH("营",main!V48)),(-$Y48+50*IF(main!$AK48="是",main!$BB$4,main!$BB$3)),(VLOOKUP(main!V48,main!$AO$4:$AQ$55,2,FALSE))*IF(main!$AK48="是",main!$BB$4,main!$BB$3))</f>
        <v>136</v>
      </c>
      <c r="O48" s="12">
        <f>IF(ISNUMBER(SEARCH("营",main!W48)),(-$Y48+50*IF(main!$AK48="是",main!$BB$4,main!$BB$3)),(VLOOKUP(main!W48,main!$AO$4:$AQ$55,2,FALSE))*IF(main!$AK48="是",main!$BB$4,main!$BB$3))</f>
        <v>136</v>
      </c>
      <c r="P48" s="12">
        <f>IF(ISNUMBER(SEARCH("营",main!X48)),(-$Y48+50*IF(main!$AK48="是",main!$BB$4,main!$BB$3)),(VLOOKUP(main!X48,main!$AO$4:$AQ$55,2,FALSE))*IF(main!$AK48="是",main!$BB$4,main!$BB$3))</f>
        <v>136</v>
      </c>
      <c r="Q48" s="12">
        <f>IF(ISNUMBER(SEARCH("营",main!Y48)),(-$Y48+50*IF(main!$AK48="是",main!$BB$4,main!$BB$3)),(VLOOKUP(main!Y48,main!$AO$4:$AQ$55,2,FALSE))*IF(main!$AK48="是",main!$BB$4,main!$BB$3))</f>
        <v>136</v>
      </c>
      <c r="R48" s="12">
        <f>IF(ISNUMBER(SEARCH("营",main!Z48)),(-$Y48+50*IF(main!$AK48="是",main!$BB$4,main!$BB$3)),(VLOOKUP(main!Z48,main!$AO$4:$AQ$55,2,FALSE))*IF(main!$AK48="是",main!$BB$4,main!$BB$3))</f>
        <v>136</v>
      </c>
      <c r="S48" s="12">
        <f>IF(ISNUMBER(SEARCH("营",main!AA48)),(-$Y48+50*IF(main!$AK48="是",main!$BB$4,main!$BB$3)),(VLOOKUP(main!AA48,main!$AO$4:$AQ$55,2,FALSE))*IF(main!$AK48="是",main!$BB$4,main!$BB$3))</f>
        <v>136</v>
      </c>
      <c r="T48" s="12">
        <f>IF(ISNUMBER(SEARCH("营",main!AB48)),(-$Y48+50*IF(main!$AK48="是",main!$BB$4,main!$BB$3)),(VLOOKUP(main!AB48,main!$AO$4:$AQ$55,2,FALSE))*IF(main!$AK48="是",main!$BB$4,main!$BB$3))</f>
        <v>136</v>
      </c>
      <c r="U48" s="12">
        <f>IF(ISNUMBER(SEARCH("营",main!AC48)),(-$Y48+50*IF(main!$AK48="是",main!$BB$4,main!$BB$3)),(VLOOKUP(main!AC48,main!$AO$4:$AQ$55,2,FALSE))*IF(main!$AK48="是",main!$BB$4,main!$BB$3))</f>
        <v>136</v>
      </c>
      <c r="V48" s="12">
        <f>IF(ISNUMBER(SEARCH("营",main!AD48)),(-$Y48+50*IF(main!$AK48="是",main!$BB$4,main!$BB$3)),(VLOOKUP(main!AD48,main!$AO$4:$AQ$55,2,FALSE))*IF(main!$AK48="是",main!$BB$4,main!$BB$3))</f>
        <v>136</v>
      </c>
      <c r="W48" s="12">
        <f>IF(ISNUMBER(SEARCH("营",main!AE48)),(-$Y48+50*IF(main!$AK48="是",main!$BB$4,main!$BB$3)),(VLOOKUP(main!AE48,main!$AO$4:$AQ$55,2,FALSE))*IF(main!$AK48="是",main!$BB$4,main!$BB$3))</f>
        <v>0</v>
      </c>
      <c r="X48" s="12">
        <f>IF(ISNUMBER(SEARCH("营",main!AF48)),(-$Y48+50*IF(main!$AK48="是",main!$BB$4,main!$BB$3)),(VLOOKUP(main!AF48,main!$AO$4:$AQ$55,2,FALSE))*IF(main!$AK48="是",main!$BB$4,main!$BB$3))</f>
        <v>0</v>
      </c>
      <c r="Y48" s="96">
        <v>150</v>
      </c>
      <c r="Z48" s="97">
        <v>46320</v>
      </c>
      <c r="AA48">
        <v>45</v>
      </c>
    </row>
    <row r="49" spans="1:27">
      <c r="A49" s="12">
        <f>IF(ISNUMBER(SEARCH("营",main!I49)),(-$Y49+50*IF(main!$AK49="是",main!$BB$4,main!$BB$3)),(VLOOKUP(main!I49,main!$AO$4:$AQ$55,2,FALSE))*IF(main!$AK49="是",main!$BB$4,main!$BB$3))</f>
        <v>144</v>
      </c>
      <c r="B49" s="12">
        <f>IF(ISNUMBER(SEARCH("营",main!J49)),(-$Y49+50*IF(main!$AK49="是",main!$BB$4,main!$BB$3)),(VLOOKUP(main!J49,main!$AO$4:$AQ$55,2,FALSE))*IF(main!$AK49="是",main!$BB$4,main!$BB$3))</f>
        <v>144</v>
      </c>
      <c r="C49" s="12">
        <f>IF(ISNUMBER(SEARCH("营",main!K49)),(-$Y49+50*IF(main!$AK49="是",main!$BB$4,main!$BB$3)),(VLOOKUP(main!K49,main!$AO$4:$AQ$55,2,FALSE))*IF(main!$AK49="是",main!$BB$4,main!$BB$3))</f>
        <v>144</v>
      </c>
      <c r="D49" s="12">
        <f>IF(ISNUMBER(SEARCH("营",main!L49)),(-$Y49+50*IF(main!$AK49="是",main!$BB$4,main!$BB$3)),(VLOOKUP(main!L49,main!$AO$4:$AQ$55,2,FALSE))*IF(main!$AK49="是",main!$BB$4,main!$BB$3))</f>
        <v>144</v>
      </c>
      <c r="E49" s="12">
        <f>IF(ISNUMBER(SEARCH("营",main!M49)),(-$Y49+50*IF(main!$AK49="是",main!$BB$4,main!$BB$3)),(VLOOKUP(main!M49,main!$AO$4:$AQ$55,2,FALSE))*IF(main!$AK49="是",main!$BB$4,main!$BB$3))</f>
        <v>144</v>
      </c>
      <c r="F49" s="12">
        <f>IF(ISNUMBER(SEARCH("营",main!N49)),(-$Y49+50*IF(main!$AK49="是",main!$BB$4,main!$BB$3)),(VLOOKUP(main!N49,main!$AO$4:$AQ$55,2,FALSE))*IF(main!$AK49="是",main!$BB$4,main!$BB$3))</f>
        <v>144</v>
      </c>
      <c r="G49" s="12">
        <f>IF(ISNUMBER(SEARCH("营",main!O49)),(-$Y49+50*IF(main!$AK49="是",main!$BB$4,main!$BB$3)),(VLOOKUP(main!O49,main!$AO$4:$AQ$55,2,FALSE))*IF(main!$AK49="是",main!$BB$4,main!$BB$3))</f>
        <v>144</v>
      </c>
      <c r="H49" s="12">
        <f>IF(ISNUMBER(SEARCH("营",main!P49)),(-$Y49+50*IF(main!$AK49="是",main!$BB$4,main!$BB$3)),(VLOOKUP(main!P49,main!$AO$4:$AQ$55,2,FALSE))*IF(main!$AK49="是",main!$BB$4,main!$BB$3))</f>
        <v>144</v>
      </c>
      <c r="I49" s="12">
        <f>IF(ISNUMBER(SEARCH("营",main!Q49)),(-$Y49+50*IF(main!$AK49="是",main!$BB$4,main!$BB$3)),(VLOOKUP(main!Q49,main!$AO$4:$AQ$55,2,FALSE))*IF(main!$AK49="是",main!$BB$4,main!$BB$3))</f>
        <v>136</v>
      </c>
      <c r="J49" s="12">
        <f>IF(ISNUMBER(SEARCH("营",main!R49)),(-$Y49+50*IF(main!$AK49="是",main!$BB$4,main!$BB$3)),(VLOOKUP(main!R49,main!$AO$4:$AQ$55,2,FALSE))*IF(main!$AK49="是",main!$BB$4,main!$BB$3))</f>
        <v>136</v>
      </c>
      <c r="K49" s="12">
        <f>IF(ISNUMBER(SEARCH("营",main!S49)),(-$Y49+50*IF(main!$AK49="是",main!$BB$4,main!$BB$3)),(VLOOKUP(main!S49,main!$AO$4:$AQ$55,2,FALSE))*IF(main!$AK49="是",main!$BB$4,main!$BB$3))</f>
        <v>136</v>
      </c>
      <c r="L49" s="12">
        <f>IF(ISNUMBER(SEARCH("营",main!T49)),(-$Y49+50*IF(main!$AK49="是",main!$BB$4,main!$BB$3)),(VLOOKUP(main!T49,main!$AO$4:$AQ$55,2,FALSE))*IF(main!$AK49="是",main!$BB$4,main!$BB$3))</f>
        <v>136</v>
      </c>
      <c r="M49" s="12">
        <f>IF(ISNUMBER(SEARCH("营",main!U49)),(-$Y49+50*IF(main!$AK49="是",main!$BB$4,main!$BB$3)),(VLOOKUP(main!U49,main!$AO$4:$AQ$55,2,FALSE))*IF(main!$AK49="是",main!$BB$4,main!$BB$3))</f>
        <v>136</v>
      </c>
      <c r="N49" s="12">
        <f>IF(ISNUMBER(SEARCH("营",main!V49)),(-$Y49+50*IF(main!$AK49="是",main!$BB$4,main!$BB$3)),(VLOOKUP(main!V49,main!$AO$4:$AQ$55,2,FALSE))*IF(main!$AK49="是",main!$BB$4,main!$BB$3))</f>
        <v>136</v>
      </c>
      <c r="O49" s="12">
        <f>IF(ISNUMBER(SEARCH("营",main!W49)),(-$Y49+50*IF(main!$AK49="是",main!$BB$4,main!$BB$3)),(VLOOKUP(main!W49,main!$AO$4:$AQ$55,2,FALSE))*IF(main!$AK49="是",main!$BB$4,main!$BB$3))</f>
        <v>136</v>
      </c>
      <c r="P49" s="12">
        <f>IF(ISNUMBER(SEARCH("营",main!X49)),(-$Y49+50*IF(main!$AK49="是",main!$BB$4,main!$BB$3)),(VLOOKUP(main!X49,main!$AO$4:$AQ$55,2,FALSE))*IF(main!$AK49="是",main!$BB$4,main!$BB$3))</f>
        <v>136</v>
      </c>
      <c r="Q49" s="12">
        <f>IF(ISNUMBER(SEARCH("营",main!Y49)),(-$Y49+50*IF(main!$AK49="是",main!$BB$4,main!$BB$3)),(VLOOKUP(main!Y49,main!$AO$4:$AQ$55,2,FALSE))*IF(main!$AK49="是",main!$BB$4,main!$BB$3))</f>
        <v>136</v>
      </c>
      <c r="R49" s="12">
        <f>IF(ISNUMBER(SEARCH("营",main!Z49)),(-$Y49+50*IF(main!$AK49="是",main!$BB$4,main!$BB$3)),(VLOOKUP(main!Z49,main!$AO$4:$AQ$55,2,FALSE))*IF(main!$AK49="是",main!$BB$4,main!$BB$3))</f>
        <v>136</v>
      </c>
      <c r="S49" s="12">
        <f>IF(ISNUMBER(SEARCH("营",main!AA49)),(-$Y49+50*IF(main!$AK49="是",main!$BB$4,main!$BB$3)),(VLOOKUP(main!AA49,main!$AO$4:$AQ$55,2,FALSE))*IF(main!$AK49="是",main!$BB$4,main!$BB$3))</f>
        <v>136</v>
      </c>
      <c r="T49" s="12">
        <f>IF(ISNUMBER(SEARCH("营",main!AB49)),(-$Y49+50*IF(main!$AK49="是",main!$BB$4,main!$BB$3)),(VLOOKUP(main!AB49,main!$AO$4:$AQ$55,2,FALSE))*IF(main!$AK49="是",main!$BB$4,main!$BB$3))</f>
        <v>136</v>
      </c>
      <c r="U49" s="12">
        <f>IF(ISNUMBER(SEARCH("营",main!AC49)),(-$Y49+50*IF(main!$AK49="是",main!$BB$4,main!$BB$3)),(VLOOKUP(main!AC49,main!$AO$4:$AQ$55,2,FALSE))*IF(main!$AK49="是",main!$BB$4,main!$BB$3))</f>
        <v>136</v>
      </c>
      <c r="V49" s="12">
        <f>IF(ISNUMBER(SEARCH("营",main!AD49)),(-$Y49+50*IF(main!$AK49="是",main!$BB$4,main!$BB$3)),(VLOOKUP(main!AD49,main!$AO$4:$AQ$55,2,FALSE))*IF(main!$AK49="是",main!$BB$4,main!$BB$3))</f>
        <v>136</v>
      </c>
      <c r="W49" s="12">
        <f>IF(ISNUMBER(SEARCH("营",main!AE49)),(-$Y49+50*IF(main!$AK49="是",main!$BB$4,main!$BB$3)),(VLOOKUP(main!AE49,main!$AO$4:$AQ$55,2,FALSE))*IF(main!$AK49="是",main!$BB$4,main!$BB$3))</f>
        <v>0</v>
      </c>
      <c r="X49" s="12">
        <f>IF(ISNUMBER(SEARCH("营",main!AF49)),(-$Y49+50*IF(main!$AK49="是",main!$BB$4,main!$BB$3)),(VLOOKUP(main!AF49,main!$AO$4:$AQ$55,2,FALSE))*IF(main!$AK49="是",main!$BB$4,main!$BB$3))</f>
        <v>0</v>
      </c>
      <c r="Y49" s="96">
        <v>150</v>
      </c>
      <c r="Z49" s="97">
        <v>46321</v>
      </c>
      <c r="AA49">
        <v>46</v>
      </c>
    </row>
    <row r="50" spans="1:27">
      <c r="A50" s="12">
        <f>IF(ISNUMBER(SEARCH("营",main!I50)),(-$Y50+50*IF(main!$AK50="是",main!$BB$4,main!$BB$3)),(VLOOKUP(main!I50,main!$AO$4:$AQ$55,2,FALSE))*IF(main!$AK50="是",main!$BB$4,main!$BB$3))</f>
        <v>144</v>
      </c>
      <c r="B50" s="12">
        <f>IF(ISNUMBER(SEARCH("营",main!J50)),(-$Y50+50*IF(main!$AK50="是",main!$BB$4,main!$BB$3)),(VLOOKUP(main!J50,main!$AO$4:$AQ$55,2,FALSE))*IF(main!$AK50="是",main!$BB$4,main!$BB$3))</f>
        <v>144</v>
      </c>
      <c r="C50" s="12">
        <f>IF(ISNUMBER(SEARCH("营",main!K50)),(-$Y50+50*IF(main!$AK50="是",main!$BB$4,main!$BB$3)),(VLOOKUP(main!K50,main!$AO$4:$AQ$55,2,FALSE))*IF(main!$AK50="是",main!$BB$4,main!$BB$3))</f>
        <v>144</v>
      </c>
      <c r="D50" s="12">
        <f>IF(ISNUMBER(SEARCH("营",main!L50)),(-$Y50+50*IF(main!$AK50="是",main!$BB$4,main!$BB$3)),(VLOOKUP(main!L50,main!$AO$4:$AQ$55,2,FALSE))*IF(main!$AK50="是",main!$BB$4,main!$BB$3))</f>
        <v>144</v>
      </c>
      <c r="E50" s="12">
        <f>IF(ISNUMBER(SEARCH("营",main!M50)),(-$Y50+50*IF(main!$AK50="是",main!$BB$4,main!$BB$3)),(VLOOKUP(main!M50,main!$AO$4:$AQ$55,2,FALSE))*IF(main!$AK50="是",main!$BB$4,main!$BB$3))</f>
        <v>144</v>
      </c>
      <c r="F50" s="12">
        <f>IF(ISNUMBER(SEARCH("营",main!N50)),(-$Y50+50*IF(main!$AK50="是",main!$BB$4,main!$BB$3)),(VLOOKUP(main!N50,main!$AO$4:$AQ$55,2,FALSE))*IF(main!$AK50="是",main!$BB$4,main!$BB$3))</f>
        <v>144</v>
      </c>
      <c r="G50" s="12">
        <f>IF(ISNUMBER(SEARCH("营",main!O50)),(-$Y50+50*IF(main!$AK50="是",main!$BB$4,main!$BB$3)),(VLOOKUP(main!O50,main!$AO$4:$AQ$55,2,FALSE))*IF(main!$AK50="是",main!$BB$4,main!$BB$3))</f>
        <v>144</v>
      </c>
      <c r="H50" s="12">
        <f>IF(ISNUMBER(SEARCH("营",main!P50)),(-$Y50+50*IF(main!$AK50="是",main!$BB$4,main!$BB$3)),(VLOOKUP(main!P50,main!$AO$4:$AQ$55,2,FALSE))*IF(main!$AK50="是",main!$BB$4,main!$BB$3))</f>
        <v>144</v>
      </c>
      <c r="I50" s="12">
        <f>IF(ISNUMBER(SEARCH("营",main!Q50)),(-$Y50+50*IF(main!$AK50="是",main!$BB$4,main!$BB$3)),(VLOOKUP(main!Q50,main!$AO$4:$AQ$55,2,FALSE))*IF(main!$AK50="是",main!$BB$4,main!$BB$3))</f>
        <v>136</v>
      </c>
      <c r="J50" s="12">
        <f>IF(ISNUMBER(SEARCH("营",main!R50)),(-$Y50+50*IF(main!$AK50="是",main!$BB$4,main!$BB$3)),(VLOOKUP(main!R50,main!$AO$4:$AQ$55,2,FALSE))*IF(main!$AK50="是",main!$BB$4,main!$BB$3))</f>
        <v>136</v>
      </c>
      <c r="K50" s="12">
        <f>IF(ISNUMBER(SEARCH("营",main!S50)),(-$Y50+50*IF(main!$AK50="是",main!$BB$4,main!$BB$3)),(VLOOKUP(main!S50,main!$AO$4:$AQ$55,2,FALSE))*IF(main!$AK50="是",main!$BB$4,main!$BB$3))</f>
        <v>136</v>
      </c>
      <c r="L50" s="12">
        <f>IF(ISNUMBER(SEARCH("营",main!T50)),(-$Y50+50*IF(main!$AK50="是",main!$BB$4,main!$BB$3)),(VLOOKUP(main!T50,main!$AO$4:$AQ$55,2,FALSE))*IF(main!$AK50="是",main!$BB$4,main!$BB$3))</f>
        <v>136</v>
      </c>
      <c r="M50" s="12">
        <f>IF(ISNUMBER(SEARCH("营",main!U50)),(-$Y50+50*IF(main!$AK50="是",main!$BB$4,main!$BB$3)),(VLOOKUP(main!U50,main!$AO$4:$AQ$55,2,FALSE))*IF(main!$AK50="是",main!$BB$4,main!$BB$3))</f>
        <v>136</v>
      </c>
      <c r="N50" s="12">
        <f>IF(ISNUMBER(SEARCH("营",main!V50)),(-$Y50+50*IF(main!$AK50="是",main!$BB$4,main!$BB$3)),(VLOOKUP(main!V50,main!$AO$4:$AQ$55,2,FALSE))*IF(main!$AK50="是",main!$BB$4,main!$BB$3))</f>
        <v>136</v>
      </c>
      <c r="O50" s="12">
        <f>IF(ISNUMBER(SEARCH("营",main!W50)),(-$Y50+50*IF(main!$AK50="是",main!$BB$4,main!$BB$3)),(VLOOKUP(main!W50,main!$AO$4:$AQ$55,2,FALSE))*IF(main!$AK50="是",main!$BB$4,main!$BB$3))</f>
        <v>136</v>
      </c>
      <c r="P50" s="12">
        <f>IF(ISNUMBER(SEARCH("营",main!X50)),(-$Y50+50*IF(main!$AK50="是",main!$BB$4,main!$BB$3)),(VLOOKUP(main!X50,main!$AO$4:$AQ$55,2,FALSE))*IF(main!$AK50="是",main!$BB$4,main!$BB$3))</f>
        <v>136</v>
      </c>
      <c r="Q50" s="12">
        <f>IF(ISNUMBER(SEARCH("营",main!Y50)),(-$Y50+50*IF(main!$AK50="是",main!$BB$4,main!$BB$3)),(VLOOKUP(main!Y50,main!$AO$4:$AQ$55,2,FALSE))*IF(main!$AK50="是",main!$BB$4,main!$BB$3))</f>
        <v>136</v>
      </c>
      <c r="R50" s="12">
        <f>IF(ISNUMBER(SEARCH("营",main!Z50)),(-$Y50+50*IF(main!$AK50="是",main!$BB$4,main!$BB$3)),(VLOOKUP(main!Z50,main!$AO$4:$AQ$55,2,FALSE))*IF(main!$AK50="是",main!$BB$4,main!$BB$3))</f>
        <v>136</v>
      </c>
      <c r="S50" s="12">
        <f>IF(ISNUMBER(SEARCH("营",main!AA50)),(-$Y50+50*IF(main!$AK50="是",main!$BB$4,main!$BB$3)),(VLOOKUP(main!AA50,main!$AO$4:$AQ$55,2,FALSE))*IF(main!$AK50="是",main!$BB$4,main!$BB$3))</f>
        <v>136</v>
      </c>
      <c r="T50" s="12">
        <f>IF(ISNUMBER(SEARCH("营",main!AB50)),(-$Y50+50*IF(main!$AK50="是",main!$BB$4,main!$BB$3)),(VLOOKUP(main!AB50,main!$AO$4:$AQ$55,2,FALSE))*IF(main!$AK50="是",main!$BB$4,main!$BB$3))</f>
        <v>136</v>
      </c>
      <c r="U50" s="12">
        <f>IF(ISNUMBER(SEARCH("营",main!AC50)),(-$Y50+50*IF(main!$AK50="是",main!$BB$4,main!$BB$3)),(VLOOKUP(main!AC50,main!$AO$4:$AQ$55,2,FALSE))*IF(main!$AK50="是",main!$BB$4,main!$BB$3))</f>
        <v>136</v>
      </c>
      <c r="V50" s="12">
        <f>IF(ISNUMBER(SEARCH("营",main!AD50)),(-$Y50+50*IF(main!$AK50="是",main!$BB$4,main!$BB$3)),(VLOOKUP(main!AD50,main!$AO$4:$AQ$55,2,FALSE))*IF(main!$AK50="是",main!$BB$4,main!$BB$3))</f>
        <v>136</v>
      </c>
      <c r="W50" s="12">
        <f>IF(ISNUMBER(SEARCH("营",main!AE50)),(-$Y50+50*IF(main!$AK50="是",main!$BB$4,main!$BB$3)),(VLOOKUP(main!AE50,main!$AO$4:$AQ$55,2,FALSE))*IF(main!$AK50="是",main!$BB$4,main!$BB$3))</f>
        <v>0</v>
      </c>
      <c r="X50" s="12">
        <f>IF(ISNUMBER(SEARCH("营",main!AF50)),(-$Y50+50*IF(main!$AK50="是",main!$BB$4,main!$BB$3)),(VLOOKUP(main!AF50,main!$AO$4:$AQ$55,2,FALSE))*IF(main!$AK50="是",main!$BB$4,main!$BB$3))</f>
        <v>0</v>
      </c>
      <c r="Y50" s="96">
        <v>150</v>
      </c>
      <c r="Z50" s="97">
        <v>46322</v>
      </c>
      <c r="AA50">
        <v>47</v>
      </c>
    </row>
    <row r="51" spans="1:27">
      <c r="A51" s="12">
        <f>IF(ISNUMBER(SEARCH("营",main!I51)),(-$Y51+50*IF(main!$AK51="是",main!$BB$4,main!$BB$3)),(VLOOKUP(main!I51,main!$AO$4:$AQ$55,2,FALSE))*IF(main!$AK51="是",main!$BB$4,main!$BB$3))</f>
        <v>144</v>
      </c>
      <c r="B51" s="12">
        <f>IF(ISNUMBER(SEARCH("营",main!J51)),(-$Y51+50*IF(main!$AK51="是",main!$BB$4,main!$BB$3)),(VLOOKUP(main!J51,main!$AO$4:$AQ$55,2,FALSE))*IF(main!$AK51="是",main!$BB$4,main!$BB$3))</f>
        <v>144</v>
      </c>
      <c r="C51" s="12">
        <f>IF(ISNUMBER(SEARCH("营",main!K51)),(-$Y51+50*IF(main!$AK51="是",main!$BB$4,main!$BB$3)),(VLOOKUP(main!K51,main!$AO$4:$AQ$55,2,FALSE))*IF(main!$AK51="是",main!$BB$4,main!$BB$3))</f>
        <v>144</v>
      </c>
      <c r="D51" s="12">
        <f>IF(ISNUMBER(SEARCH("营",main!L51)),(-$Y51+50*IF(main!$AK51="是",main!$BB$4,main!$BB$3)),(VLOOKUP(main!L51,main!$AO$4:$AQ$55,2,FALSE))*IF(main!$AK51="是",main!$BB$4,main!$BB$3))</f>
        <v>144</v>
      </c>
      <c r="E51" s="12">
        <f>IF(ISNUMBER(SEARCH("营",main!M51)),(-$Y51+50*IF(main!$AK51="是",main!$BB$4,main!$BB$3)),(VLOOKUP(main!M51,main!$AO$4:$AQ$55,2,FALSE))*IF(main!$AK51="是",main!$BB$4,main!$BB$3))</f>
        <v>144</v>
      </c>
      <c r="F51" s="12">
        <f>IF(ISNUMBER(SEARCH("营",main!N51)),(-$Y51+50*IF(main!$AK51="是",main!$BB$4,main!$BB$3)),(VLOOKUP(main!N51,main!$AO$4:$AQ$55,2,FALSE))*IF(main!$AK51="是",main!$BB$4,main!$BB$3))</f>
        <v>144</v>
      </c>
      <c r="G51" s="12">
        <f>IF(ISNUMBER(SEARCH("营",main!O51)),(-$Y51+50*IF(main!$AK51="是",main!$BB$4,main!$BB$3)),(VLOOKUP(main!O51,main!$AO$4:$AQ$55,2,FALSE))*IF(main!$AK51="是",main!$BB$4,main!$BB$3))</f>
        <v>144</v>
      </c>
      <c r="H51" s="12">
        <f>IF(ISNUMBER(SEARCH("营",main!P51)),(-$Y51+50*IF(main!$AK51="是",main!$BB$4,main!$BB$3)),(VLOOKUP(main!P51,main!$AO$4:$AQ$55,2,FALSE))*IF(main!$AK51="是",main!$BB$4,main!$BB$3))</f>
        <v>144</v>
      </c>
      <c r="I51" s="12">
        <f>IF(ISNUMBER(SEARCH("营",main!Q51)),(-$Y51+50*IF(main!$AK51="是",main!$BB$4,main!$BB$3)),(VLOOKUP(main!Q51,main!$AO$4:$AQ$55,2,FALSE))*IF(main!$AK51="是",main!$BB$4,main!$BB$3))</f>
        <v>136</v>
      </c>
      <c r="J51" s="12">
        <f>IF(ISNUMBER(SEARCH("营",main!R51)),(-$Y51+50*IF(main!$AK51="是",main!$BB$4,main!$BB$3)),(VLOOKUP(main!R51,main!$AO$4:$AQ$55,2,FALSE))*IF(main!$AK51="是",main!$BB$4,main!$BB$3))</f>
        <v>136</v>
      </c>
      <c r="K51" s="12">
        <f>IF(ISNUMBER(SEARCH("营",main!S51)),(-$Y51+50*IF(main!$AK51="是",main!$BB$4,main!$BB$3)),(VLOOKUP(main!S51,main!$AO$4:$AQ$55,2,FALSE))*IF(main!$AK51="是",main!$BB$4,main!$BB$3))</f>
        <v>136</v>
      </c>
      <c r="L51" s="12">
        <f>IF(ISNUMBER(SEARCH("营",main!T51)),(-$Y51+50*IF(main!$AK51="是",main!$BB$4,main!$BB$3)),(VLOOKUP(main!T51,main!$AO$4:$AQ$55,2,FALSE))*IF(main!$AK51="是",main!$BB$4,main!$BB$3))</f>
        <v>136</v>
      </c>
      <c r="M51" s="12">
        <f>IF(ISNUMBER(SEARCH("营",main!U51)),(-$Y51+50*IF(main!$AK51="是",main!$BB$4,main!$BB$3)),(VLOOKUP(main!U51,main!$AO$4:$AQ$55,2,FALSE))*IF(main!$AK51="是",main!$BB$4,main!$BB$3))</f>
        <v>136</v>
      </c>
      <c r="N51" s="12">
        <f>IF(ISNUMBER(SEARCH("营",main!V51)),(-$Y51+50*IF(main!$AK51="是",main!$BB$4,main!$BB$3)),(VLOOKUP(main!V51,main!$AO$4:$AQ$55,2,FALSE))*IF(main!$AK51="是",main!$BB$4,main!$BB$3))</f>
        <v>136</v>
      </c>
      <c r="O51" s="12">
        <f>IF(ISNUMBER(SEARCH("营",main!W51)),(-$Y51+50*IF(main!$AK51="是",main!$BB$4,main!$BB$3)),(VLOOKUP(main!W51,main!$AO$4:$AQ$55,2,FALSE))*IF(main!$AK51="是",main!$BB$4,main!$BB$3))</f>
        <v>136</v>
      </c>
      <c r="P51" s="12">
        <f>IF(ISNUMBER(SEARCH("营",main!X51)),(-$Y51+50*IF(main!$AK51="是",main!$BB$4,main!$BB$3)),(VLOOKUP(main!X51,main!$AO$4:$AQ$55,2,FALSE))*IF(main!$AK51="是",main!$BB$4,main!$BB$3))</f>
        <v>136</v>
      </c>
      <c r="Q51" s="12">
        <f>IF(ISNUMBER(SEARCH("营",main!Y51)),(-$Y51+50*IF(main!$AK51="是",main!$BB$4,main!$BB$3)),(VLOOKUP(main!Y51,main!$AO$4:$AQ$55,2,FALSE))*IF(main!$AK51="是",main!$BB$4,main!$BB$3))</f>
        <v>136</v>
      </c>
      <c r="R51" s="12">
        <f>IF(ISNUMBER(SEARCH("营",main!Z51)),(-$Y51+50*IF(main!$AK51="是",main!$BB$4,main!$BB$3)),(VLOOKUP(main!Z51,main!$AO$4:$AQ$55,2,FALSE))*IF(main!$AK51="是",main!$BB$4,main!$BB$3))</f>
        <v>136</v>
      </c>
      <c r="S51" s="12">
        <f>IF(ISNUMBER(SEARCH("营",main!AA51)),(-$Y51+50*IF(main!$AK51="是",main!$BB$4,main!$BB$3)),(VLOOKUP(main!AA51,main!$AO$4:$AQ$55,2,FALSE))*IF(main!$AK51="是",main!$BB$4,main!$BB$3))</f>
        <v>136</v>
      </c>
      <c r="T51" s="12">
        <f>IF(ISNUMBER(SEARCH("营",main!AB51)),(-$Y51+50*IF(main!$AK51="是",main!$BB$4,main!$BB$3)),(VLOOKUP(main!AB51,main!$AO$4:$AQ$55,2,FALSE))*IF(main!$AK51="是",main!$BB$4,main!$BB$3))</f>
        <v>136</v>
      </c>
      <c r="U51" s="12">
        <f>IF(ISNUMBER(SEARCH("营",main!AC51)),(-$Y51+50*IF(main!$AK51="是",main!$BB$4,main!$BB$3)),(VLOOKUP(main!AC51,main!$AO$4:$AQ$55,2,FALSE))*IF(main!$AK51="是",main!$BB$4,main!$BB$3))</f>
        <v>136</v>
      </c>
      <c r="V51" s="12">
        <f>IF(ISNUMBER(SEARCH("营",main!AD51)),(-$Y51+50*IF(main!$AK51="是",main!$BB$4,main!$BB$3)),(VLOOKUP(main!AD51,main!$AO$4:$AQ$55,2,FALSE))*IF(main!$AK51="是",main!$BB$4,main!$BB$3))</f>
        <v>136</v>
      </c>
      <c r="W51" s="12">
        <f>IF(ISNUMBER(SEARCH("营",main!AE51)),(-$Y51+50*IF(main!$AK51="是",main!$BB$4,main!$BB$3)),(VLOOKUP(main!AE51,main!$AO$4:$AQ$55,2,FALSE))*IF(main!$AK51="是",main!$BB$4,main!$BB$3))</f>
        <v>0</v>
      </c>
      <c r="X51" s="12">
        <f>IF(ISNUMBER(SEARCH("营",main!AF51)),(-$Y51+50*IF(main!$AK51="是",main!$BB$4,main!$BB$3)),(VLOOKUP(main!AF51,main!$AO$4:$AQ$55,2,FALSE))*IF(main!$AK51="是",main!$BB$4,main!$BB$3))</f>
        <v>0</v>
      </c>
      <c r="Y51" s="96">
        <v>150</v>
      </c>
      <c r="Z51" s="97">
        <v>46323</v>
      </c>
      <c r="AA51">
        <v>48</v>
      </c>
    </row>
    <row r="52" spans="1:27">
      <c r="A52" s="12">
        <f>IF(ISNUMBER(SEARCH("营",main!I52)),(-$Y52+50*IF(main!$AK52="是",main!$BB$4,main!$BB$3)),(VLOOKUP(main!I52,main!$AO$4:$AQ$55,2,FALSE))*IF(main!$AK52="是",main!$BB$4,main!$BB$3))</f>
        <v>144</v>
      </c>
      <c r="B52" s="12">
        <f>IF(ISNUMBER(SEARCH("营",main!J52)),(-$Y52+50*IF(main!$AK52="是",main!$BB$4,main!$BB$3)),(VLOOKUP(main!J52,main!$AO$4:$AQ$55,2,FALSE))*IF(main!$AK52="是",main!$BB$4,main!$BB$3))</f>
        <v>144</v>
      </c>
      <c r="C52" s="12">
        <f>IF(ISNUMBER(SEARCH("营",main!K52)),(-$Y52+50*IF(main!$AK52="是",main!$BB$4,main!$BB$3)),(VLOOKUP(main!K52,main!$AO$4:$AQ$55,2,FALSE))*IF(main!$AK52="是",main!$BB$4,main!$BB$3))</f>
        <v>144</v>
      </c>
      <c r="D52" s="12">
        <f>IF(ISNUMBER(SEARCH("营",main!L52)),(-$Y52+50*IF(main!$AK52="是",main!$BB$4,main!$BB$3)),(VLOOKUP(main!L52,main!$AO$4:$AQ$55,2,FALSE))*IF(main!$AK52="是",main!$BB$4,main!$BB$3))</f>
        <v>144</v>
      </c>
      <c r="E52" s="12">
        <f>IF(ISNUMBER(SEARCH("营",main!M52)),(-$Y52+50*IF(main!$AK52="是",main!$BB$4,main!$BB$3)),(VLOOKUP(main!M52,main!$AO$4:$AQ$55,2,FALSE))*IF(main!$AK52="是",main!$BB$4,main!$BB$3))</f>
        <v>144</v>
      </c>
      <c r="F52" s="12">
        <f>IF(ISNUMBER(SEARCH("营",main!N52)),(-$Y52+50*IF(main!$AK52="是",main!$BB$4,main!$BB$3)),(VLOOKUP(main!N52,main!$AO$4:$AQ$55,2,FALSE))*IF(main!$AK52="是",main!$BB$4,main!$BB$3))</f>
        <v>144</v>
      </c>
      <c r="G52" s="12">
        <f>IF(ISNUMBER(SEARCH("营",main!O52)),(-$Y52+50*IF(main!$AK52="是",main!$BB$4,main!$BB$3)),(VLOOKUP(main!O52,main!$AO$4:$AQ$55,2,FALSE))*IF(main!$AK52="是",main!$BB$4,main!$BB$3))</f>
        <v>144</v>
      </c>
      <c r="H52" s="12">
        <f>IF(ISNUMBER(SEARCH("营",main!P52)),(-$Y52+50*IF(main!$AK52="是",main!$BB$4,main!$BB$3)),(VLOOKUP(main!P52,main!$AO$4:$AQ$55,2,FALSE))*IF(main!$AK52="是",main!$BB$4,main!$BB$3))</f>
        <v>144</v>
      </c>
      <c r="I52" s="12">
        <f>IF(ISNUMBER(SEARCH("营",main!Q52)),(-$Y52+50*IF(main!$AK52="是",main!$BB$4,main!$BB$3)),(VLOOKUP(main!Q52,main!$AO$4:$AQ$55,2,FALSE))*IF(main!$AK52="是",main!$BB$4,main!$BB$3))</f>
        <v>136</v>
      </c>
      <c r="J52" s="12">
        <f>IF(ISNUMBER(SEARCH("营",main!R52)),(-$Y52+50*IF(main!$AK52="是",main!$BB$4,main!$BB$3)),(VLOOKUP(main!R52,main!$AO$4:$AQ$55,2,FALSE))*IF(main!$AK52="是",main!$BB$4,main!$BB$3))</f>
        <v>136</v>
      </c>
      <c r="K52" s="12">
        <f>IF(ISNUMBER(SEARCH("营",main!S52)),(-$Y52+50*IF(main!$AK52="是",main!$BB$4,main!$BB$3)),(VLOOKUP(main!S52,main!$AO$4:$AQ$55,2,FALSE))*IF(main!$AK52="是",main!$BB$4,main!$BB$3))</f>
        <v>136</v>
      </c>
      <c r="L52" s="12">
        <f>IF(ISNUMBER(SEARCH("营",main!T52)),(-$Y52+50*IF(main!$AK52="是",main!$BB$4,main!$BB$3)),(VLOOKUP(main!T52,main!$AO$4:$AQ$55,2,FALSE))*IF(main!$AK52="是",main!$BB$4,main!$BB$3))</f>
        <v>136</v>
      </c>
      <c r="M52" s="12">
        <f>IF(ISNUMBER(SEARCH("营",main!U52)),(-$Y52+50*IF(main!$AK52="是",main!$BB$4,main!$BB$3)),(VLOOKUP(main!U52,main!$AO$4:$AQ$55,2,FALSE))*IF(main!$AK52="是",main!$BB$4,main!$BB$3))</f>
        <v>136</v>
      </c>
      <c r="N52" s="12">
        <f>IF(ISNUMBER(SEARCH("营",main!V52)),(-$Y52+50*IF(main!$AK52="是",main!$BB$4,main!$BB$3)),(VLOOKUP(main!V52,main!$AO$4:$AQ$55,2,FALSE))*IF(main!$AK52="是",main!$BB$4,main!$BB$3))</f>
        <v>136</v>
      </c>
      <c r="O52" s="12">
        <f>IF(ISNUMBER(SEARCH("营",main!W52)),(-$Y52+50*IF(main!$AK52="是",main!$BB$4,main!$BB$3)),(VLOOKUP(main!W52,main!$AO$4:$AQ$55,2,FALSE))*IF(main!$AK52="是",main!$BB$4,main!$BB$3))</f>
        <v>136</v>
      </c>
      <c r="P52" s="12">
        <f>IF(ISNUMBER(SEARCH("营",main!X52)),(-$Y52+50*IF(main!$AK52="是",main!$BB$4,main!$BB$3)),(VLOOKUP(main!X52,main!$AO$4:$AQ$55,2,FALSE))*IF(main!$AK52="是",main!$BB$4,main!$BB$3))</f>
        <v>136</v>
      </c>
      <c r="Q52" s="12">
        <f>IF(ISNUMBER(SEARCH("营",main!Y52)),(-$Y52+50*IF(main!$AK52="是",main!$BB$4,main!$BB$3)),(VLOOKUP(main!Y52,main!$AO$4:$AQ$55,2,FALSE))*IF(main!$AK52="是",main!$BB$4,main!$BB$3))</f>
        <v>136</v>
      </c>
      <c r="R52" s="12">
        <f>IF(ISNUMBER(SEARCH("营",main!Z52)),(-$Y52+50*IF(main!$AK52="是",main!$BB$4,main!$BB$3)),(VLOOKUP(main!Z52,main!$AO$4:$AQ$55,2,FALSE))*IF(main!$AK52="是",main!$BB$4,main!$BB$3))</f>
        <v>136</v>
      </c>
      <c r="S52" s="12">
        <f>IF(ISNUMBER(SEARCH("营",main!AA52)),(-$Y52+50*IF(main!$AK52="是",main!$BB$4,main!$BB$3)),(VLOOKUP(main!AA52,main!$AO$4:$AQ$55,2,FALSE))*IF(main!$AK52="是",main!$BB$4,main!$BB$3))</f>
        <v>136</v>
      </c>
      <c r="T52" s="12">
        <f>IF(ISNUMBER(SEARCH("营",main!AB52)),(-$Y52+50*IF(main!$AK52="是",main!$BB$4,main!$BB$3)),(VLOOKUP(main!AB52,main!$AO$4:$AQ$55,2,FALSE))*IF(main!$AK52="是",main!$BB$4,main!$BB$3))</f>
        <v>136</v>
      </c>
      <c r="U52" s="12">
        <f>IF(ISNUMBER(SEARCH("营",main!AC52)),(-$Y52+50*IF(main!$AK52="是",main!$BB$4,main!$BB$3)),(VLOOKUP(main!AC52,main!$AO$4:$AQ$55,2,FALSE))*IF(main!$AK52="是",main!$BB$4,main!$BB$3))</f>
        <v>136</v>
      </c>
      <c r="V52" s="12">
        <f>IF(ISNUMBER(SEARCH("营",main!AD52)),(-$Y52+50*IF(main!$AK52="是",main!$BB$4,main!$BB$3)),(VLOOKUP(main!AD52,main!$AO$4:$AQ$55,2,FALSE))*IF(main!$AK52="是",main!$BB$4,main!$BB$3))</f>
        <v>136</v>
      </c>
      <c r="W52" s="12">
        <f>IF(ISNUMBER(SEARCH("营",main!AE52)),(-$Y52+50*IF(main!$AK52="是",main!$BB$4,main!$BB$3)),(VLOOKUP(main!AE52,main!$AO$4:$AQ$55,2,FALSE))*IF(main!$AK52="是",main!$BB$4,main!$BB$3))</f>
        <v>0</v>
      </c>
      <c r="X52" s="12">
        <f>IF(ISNUMBER(SEARCH("营",main!AF52)),(-$Y52+50*IF(main!$AK52="是",main!$BB$4,main!$BB$3)),(VLOOKUP(main!AF52,main!$AO$4:$AQ$55,2,FALSE))*IF(main!$AK52="是",main!$BB$4,main!$BB$3))</f>
        <v>0</v>
      </c>
      <c r="Y52" s="96">
        <v>150</v>
      </c>
      <c r="Z52" s="97">
        <v>46324</v>
      </c>
      <c r="AA52">
        <v>49</v>
      </c>
    </row>
    <row r="53" spans="1:27">
      <c r="A53" s="12">
        <f>IF(ISNUMBER(SEARCH("营",main!I53)),(-$Y53+50*IF(main!$AK53="是",main!$BB$4,main!$BB$3)),(VLOOKUP(main!I53,main!$AO$4:$AQ$55,2,FALSE))*IF(main!$AK53="是",main!$BB$4,main!$BB$3))</f>
        <v>144</v>
      </c>
      <c r="B53" s="12">
        <f>IF(ISNUMBER(SEARCH("营",main!J53)),(-$Y53+50*IF(main!$AK53="是",main!$BB$4,main!$BB$3)),(VLOOKUP(main!J53,main!$AO$4:$AQ$55,2,FALSE))*IF(main!$AK53="是",main!$BB$4,main!$BB$3))</f>
        <v>144</v>
      </c>
      <c r="C53" s="12">
        <f>IF(ISNUMBER(SEARCH("营",main!K53)),(-$Y53+50*IF(main!$AK53="是",main!$BB$4,main!$BB$3)),(VLOOKUP(main!K53,main!$AO$4:$AQ$55,2,FALSE))*IF(main!$AK53="是",main!$BB$4,main!$BB$3))</f>
        <v>144</v>
      </c>
      <c r="D53" s="12">
        <f>IF(ISNUMBER(SEARCH("营",main!L53)),(-$Y53+50*IF(main!$AK53="是",main!$BB$4,main!$BB$3)),(VLOOKUP(main!L53,main!$AO$4:$AQ$55,2,FALSE))*IF(main!$AK53="是",main!$BB$4,main!$BB$3))</f>
        <v>144</v>
      </c>
      <c r="E53" s="12">
        <f>IF(ISNUMBER(SEARCH("营",main!M53)),(-$Y53+50*IF(main!$AK53="是",main!$BB$4,main!$BB$3)),(VLOOKUP(main!M53,main!$AO$4:$AQ$55,2,FALSE))*IF(main!$AK53="是",main!$BB$4,main!$BB$3))</f>
        <v>144</v>
      </c>
      <c r="F53" s="12">
        <f>IF(ISNUMBER(SEARCH("营",main!N53)),(-$Y53+50*IF(main!$AK53="是",main!$BB$4,main!$BB$3)),(VLOOKUP(main!N53,main!$AO$4:$AQ$55,2,FALSE))*IF(main!$AK53="是",main!$BB$4,main!$BB$3))</f>
        <v>144</v>
      </c>
      <c r="G53" s="12">
        <f>IF(ISNUMBER(SEARCH("营",main!O53)),(-$Y53+50*IF(main!$AK53="是",main!$BB$4,main!$BB$3)),(VLOOKUP(main!O53,main!$AO$4:$AQ$55,2,FALSE))*IF(main!$AK53="是",main!$BB$4,main!$BB$3))</f>
        <v>144</v>
      </c>
      <c r="H53" s="12">
        <f>IF(ISNUMBER(SEARCH("营",main!P53)),(-$Y53+50*IF(main!$AK53="是",main!$BB$4,main!$BB$3)),(VLOOKUP(main!P53,main!$AO$4:$AQ$55,2,FALSE))*IF(main!$AK53="是",main!$BB$4,main!$BB$3))</f>
        <v>144</v>
      </c>
      <c r="I53" s="12">
        <f>IF(ISNUMBER(SEARCH("营",main!Q53)),(-$Y53+50*IF(main!$AK53="是",main!$BB$4,main!$BB$3)),(VLOOKUP(main!Q53,main!$AO$4:$AQ$55,2,FALSE))*IF(main!$AK53="是",main!$BB$4,main!$BB$3))</f>
        <v>136</v>
      </c>
      <c r="J53" s="12">
        <f>IF(ISNUMBER(SEARCH("营",main!R53)),(-$Y53+50*IF(main!$AK53="是",main!$BB$4,main!$BB$3)),(VLOOKUP(main!R53,main!$AO$4:$AQ$55,2,FALSE))*IF(main!$AK53="是",main!$BB$4,main!$BB$3))</f>
        <v>136</v>
      </c>
      <c r="K53" s="12">
        <f>IF(ISNUMBER(SEARCH("营",main!S53)),(-$Y53+50*IF(main!$AK53="是",main!$BB$4,main!$BB$3)),(VLOOKUP(main!S53,main!$AO$4:$AQ$55,2,FALSE))*IF(main!$AK53="是",main!$BB$4,main!$BB$3))</f>
        <v>136</v>
      </c>
      <c r="L53" s="12">
        <f>IF(ISNUMBER(SEARCH("营",main!T53)),(-$Y53+50*IF(main!$AK53="是",main!$BB$4,main!$BB$3)),(VLOOKUP(main!T53,main!$AO$4:$AQ$55,2,FALSE))*IF(main!$AK53="是",main!$BB$4,main!$BB$3))</f>
        <v>136</v>
      </c>
      <c r="M53" s="12">
        <f>IF(ISNUMBER(SEARCH("营",main!U53)),(-$Y53+50*IF(main!$AK53="是",main!$BB$4,main!$BB$3)),(VLOOKUP(main!U53,main!$AO$4:$AQ$55,2,FALSE))*IF(main!$AK53="是",main!$BB$4,main!$BB$3))</f>
        <v>136</v>
      </c>
      <c r="N53" s="12">
        <f>IF(ISNUMBER(SEARCH("营",main!V53)),(-$Y53+50*IF(main!$AK53="是",main!$BB$4,main!$BB$3)),(VLOOKUP(main!V53,main!$AO$4:$AQ$55,2,FALSE))*IF(main!$AK53="是",main!$BB$4,main!$BB$3))</f>
        <v>136</v>
      </c>
      <c r="O53" s="12">
        <f>IF(ISNUMBER(SEARCH("营",main!W53)),(-$Y53+50*IF(main!$AK53="是",main!$BB$4,main!$BB$3)),(VLOOKUP(main!W53,main!$AO$4:$AQ$55,2,FALSE))*IF(main!$AK53="是",main!$BB$4,main!$BB$3))</f>
        <v>136</v>
      </c>
      <c r="P53" s="12">
        <f>IF(ISNUMBER(SEARCH("营",main!X53)),(-$Y53+50*IF(main!$AK53="是",main!$BB$4,main!$BB$3)),(VLOOKUP(main!X53,main!$AO$4:$AQ$55,2,FALSE))*IF(main!$AK53="是",main!$BB$4,main!$BB$3))</f>
        <v>136</v>
      </c>
      <c r="Q53" s="12">
        <f>IF(ISNUMBER(SEARCH("营",main!Y53)),(-$Y53+50*IF(main!$AK53="是",main!$BB$4,main!$BB$3)),(VLOOKUP(main!Y53,main!$AO$4:$AQ$55,2,FALSE))*IF(main!$AK53="是",main!$BB$4,main!$BB$3))</f>
        <v>136</v>
      </c>
      <c r="R53" s="12">
        <f>IF(ISNUMBER(SEARCH("营",main!Z53)),(-$Y53+50*IF(main!$AK53="是",main!$BB$4,main!$BB$3)),(VLOOKUP(main!Z53,main!$AO$4:$AQ$55,2,FALSE))*IF(main!$AK53="是",main!$BB$4,main!$BB$3))</f>
        <v>136</v>
      </c>
      <c r="S53" s="12">
        <f>IF(ISNUMBER(SEARCH("营",main!AA53)),(-$Y53+50*IF(main!$AK53="是",main!$BB$4,main!$BB$3)),(VLOOKUP(main!AA53,main!$AO$4:$AQ$55,2,FALSE))*IF(main!$AK53="是",main!$BB$4,main!$BB$3))</f>
        <v>136</v>
      </c>
      <c r="T53" s="12">
        <f>IF(ISNUMBER(SEARCH("营",main!AB53)),(-$Y53+50*IF(main!$AK53="是",main!$BB$4,main!$BB$3)),(VLOOKUP(main!AB53,main!$AO$4:$AQ$55,2,FALSE))*IF(main!$AK53="是",main!$BB$4,main!$BB$3))</f>
        <v>136</v>
      </c>
      <c r="U53" s="12">
        <f>IF(ISNUMBER(SEARCH("营",main!AC53)),(-$Y53+50*IF(main!$AK53="是",main!$BB$4,main!$BB$3)),(VLOOKUP(main!AC53,main!$AO$4:$AQ$55,2,FALSE))*IF(main!$AK53="是",main!$BB$4,main!$BB$3))</f>
        <v>136</v>
      </c>
      <c r="V53" s="12">
        <f>IF(ISNUMBER(SEARCH("营",main!AD53)),(-$Y53+50*IF(main!$AK53="是",main!$BB$4,main!$BB$3)),(VLOOKUP(main!AD53,main!$AO$4:$AQ$55,2,FALSE))*IF(main!$AK53="是",main!$BB$4,main!$BB$3))</f>
        <v>136</v>
      </c>
      <c r="W53" s="12">
        <f>IF(ISNUMBER(SEARCH("营",main!AE53)),(-$Y53+50*IF(main!$AK53="是",main!$BB$4,main!$BB$3)),(VLOOKUP(main!AE53,main!$AO$4:$AQ$55,2,FALSE))*IF(main!$AK53="是",main!$BB$4,main!$BB$3))</f>
        <v>0</v>
      </c>
      <c r="X53" s="12">
        <f>IF(ISNUMBER(SEARCH("营",main!AF53)),(-$Y53+50*IF(main!$AK53="是",main!$BB$4,main!$BB$3)),(VLOOKUP(main!AF53,main!$AO$4:$AQ$55,2,FALSE))*IF(main!$AK53="是",main!$BB$4,main!$BB$3))</f>
        <v>0</v>
      </c>
      <c r="Y53" s="96">
        <v>150</v>
      </c>
      <c r="Z53" s="97">
        <v>46325</v>
      </c>
      <c r="AA53">
        <v>50</v>
      </c>
    </row>
    <row r="54" spans="1:27">
      <c r="A54" s="12">
        <f>IF(ISNUMBER(SEARCH("营",main!I54)),(-$Y54+50*IF(main!$AK54="是",main!$BB$4,main!$BB$3)),(VLOOKUP(main!I54,main!$AO$4:$AQ$55,2,FALSE))*IF(main!$AK54="是",main!$BB$4,main!$BB$3))</f>
        <v>144</v>
      </c>
      <c r="B54" s="12">
        <f>IF(ISNUMBER(SEARCH("营",main!J54)),(-$Y54+50*IF(main!$AK54="是",main!$BB$4,main!$BB$3)),(VLOOKUP(main!J54,main!$AO$4:$AQ$55,2,FALSE))*IF(main!$AK54="是",main!$BB$4,main!$BB$3))</f>
        <v>144</v>
      </c>
      <c r="C54" s="12">
        <f>IF(ISNUMBER(SEARCH("营",main!K54)),(-$Y54+50*IF(main!$AK54="是",main!$BB$4,main!$BB$3)),(VLOOKUP(main!K54,main!$AO$4:$AQ$55,2,FALSE))*IF(main!$AK54="是",main!$BB$4,main!$BB$3))</f>
        <v>144</v>
      </c>
      <c r="D54" s="12">
        <f>IF(ISNUMBER(SEARCH("营",main!L54)),(-$Y54+50*IF(main!$AK54="是",main!$BB$4,main!$BB$3)),(VLOOKUP(main!L54,main!$AO$4:$AQ$55,2,FALSE))*IF(main!$AK54="是",main!$BB$4,main!$BB$3))</f>
        <v>144</v>
      </c>
      <c r="E54" s="12">
        <f>IF(ISNUMBER(SEARCH("营",main!M54)),(-$Y54+50*IF(main!$AK54="是",main!$BB$4,main!$BB$3)),(VLOOKUP(main!M54,main!$AO$4:$AQ$55,2,FALSE))*IF(main!$AK54="是",main!$BB$4,main!$BB$3))</f>
        <v>144</v>
      </c>
      <c r="F54" s="12">
        <f>IF(ISNUMBER(SEARCH("营",main!N54)),(-$Y54+50*IF(main!$AK54="是",main!$BB$4,main!$BB$3)),(VLOOKUP(main!N54,main!$AO$4:$AQ$55,2,FALSE))*IF(main!$AK54="是",main!$BB$4,main!$BB$3))</f>
        <v>144</v>
      </c>
      <c r="G54" s="12">
        <f>IF(ISNUMBER(SEARCH("营",main!O54)),(-$Y54+50*IF(main!$AK54="是",main!$BB$4,main!$BB$3)),(VLOOKUP(main!O54,main!$AO$4:$AQ$55,2,FALSE))*IF(main!$AK54="是",main!$BB$4,main!$BB$3))</f>
        <v>144</v>
      </c>
      <c r="H54" s="12">
        <f>IF(ISNUMBER(SEARCH("营",main!P54)),(-$Y54+50*IF(main!$AK54="是",main!$BB$4,main!$BB$3)),(VLOOKUP(main!P54,main!$AO$4:$AQ$55,2,FALSE))*IF(main!$AK54="是",main!$BB$4,main!$BB$3))</f>
        <v>144</v>
      </c>
      <c r="I54" s="12">
        <f>IF(ISNUMBER(SEARCH("营",main!Q54)),(-$Y54+50*IF(main!$AK54="是",main!$BB$4,main!$BB$3)),(VLOOKUP(main!Q54,main!$AO$4:$AQ$55,2,FALSE))*IF(main!$AK54="是",main!$BB$4,main!$BB$3))</f>
        <v>136</v>
      </c>
      <c r="J54" s="12">
        <f>IF(ISNUMBER(SEARCH("营",main!R54)),(-$Y54+50*IF(main!$AK54="是",main!$BB$4,main!$BB$3)),(VLOOKUP(main!R54,main!$AO$4:$AQ$55,2,FALSE))*IF(main!$AK54="是",main!$BB$4,main!$BB$3))</f>
        <v>136</v>
      </c>
      <c r="K54" s="12">
        <f>IF(ISNUMBER(SEARCH("营",main!S54)),(-$Y54+50*IF(main!$AK54="是",main!$BB$4,main!$BB$3)),(VLOOKUP(main!S54,main!$AO$4:$AQ$55,2,FALSE))*IF(main!$AK54="是",main!$BB$4,main!$BB$3))</f>
        <v>136</v>
      </c>
      <c r="L54" s="12">
        <f>IF(ISNUMBER(SEARCH("营",main!T54)),(-$Y54+50*IF(main!$AK54="是",main!$BB$4,main!$BB$3)),(VLOOKUP(main!T54,main!$AO$4:$AQ$55,2,FALSE))*IF(main!$AK54="是",main!$BB$4,main!$BB$3))</f>
        <v>136</v>
      </c>
      <c r="M54" s="12">
        <f>IF(ISNUMBER(SEARCH("营",main!U54)),(-$Y54+50*IF(main!$AK54="是",main!$BB$4,main!$BB$3)),(VLOOKUP(main!U54,main!$AO$4:$AQ$55,2,FALSE))*IF(main!$AK54="是",main!$BB$4,main!$BB$3))</f>
        <v>136</v>
      </c>
      <c r="N54" s="12">
        <f>IF(ISNUMBER(SEARCH("营",main!V54)),(-$Y54+50*IF(main!$AK54="是",main!$BB$4,main!$BB$3)),(VLOOKUP(main!V54,main!$AO$4:$AQ$55,2,FALSE))*IF(main!$AK54="是",main!$BB$4,main!$BB$3))</f>
        <v>136</v>
      </c>
      <c r="O54" s="12">
        <f>IF(ISNUMBER(SEARCH("营",main!W54)),(-$Y54+50*IF(main!$AK54="是",main!$BB$4,main!$BB$3)),(VLOOKUP(main!W54,main!$AO$4:$AQ$55,2,FALSE))*IF(main!$AK54="是",main!$BB$4,main!$BB$3))</f>
        <v>136</v>
      </c>
      <c r="P54" s="12">
        <f>IF(ISNUMBER(SEARCH("营",main!X54)),(-$Y54+50*IF(main!$AK54="是",main!$BB$4,main!$BB$3)),(VLOOKUP(main!X54,main!$AO$4:$AQ$55,2,FALSE))*IF(main!$AK54="是",main!$BB$4,main!$BB$3))</f>
        <v>136</v>
      </c>
      <c r="Q54" s="12">
        <f>IF(ISNUMBER(SEARCH("营",main!Y54)),(-$Y54+50*IF(main!$AK54="是",main!$BB$4,main!$BB$3)),(VLOOKUP(main!Y54,main!$AO$4:$AQ$55,2,FALSE))*IF(main!$AK54="是",main!$BB$4,main!$BB$3))</f>
        <v>136</v>
      </c>
      <c r="R54" s="12">
        <f>IF(ISNUMBER(SEARCH("营",main!Z54)),(-$Y54+50*IF(main!$AK54="是",main!$BB$4,main!$BB$3)),(VLOOKUP(main!Z54,main!$AO$4:$AQ$55,2,FALSE))*IF(main!$AK54="是",main!$BB$4,main!$BB$3))</f>
        <v>136</v>
      </c>
      <c r="S54" s="12">
        <f>IF(ISNUMBER(SEARCH("营",main!AA54)),(-$Y54+50*IF(main!$AK54="是",main!$BB$4,main!$BB$3)),(VLOOKUP(main!AA54,main!$AO$4:$AQ$55,2,FALSE))*IF(main!$AK54="是",main!$BB$4,main!$BB$3))</f>
        <v>136</v>
      </c>
      <c r="T54" s="12">
        <f>IF(ISNUMBER(SEARCH("营",main!AB54)),(-$Y54+50*IF(main!$AK54="是",main!$BB$4,main!$BB$3)),(VLOOKUP(main!AB54,main!$AO$4:$AQ$55,2,FALSE))*IF(main!$AK54="是",main!$BB$4,main!$BB$3))</f>
        <v>136</v>
      </c>
      <c r="U54" s="12">
        <f>IF(ISNUMBER(SEARCH("营",main!AC54)),(-$Y54+50*IF(main!$AK54="是",main!$BB$4,main!$BB$3)),(VLOOKUP(main!AC54,main!$AO$4:$AQ$55,2,FALSE))*IF(main!$AK54="是",main!$BB$4,main!$BB$3))</f>
        <v>136</v>
      </c>
      <c r="V54" s="12">
        <f>IF(ISNUMBER(SEARCH("营",main!AD54)),(-$Y54+50*IF(main!$AK54="是",main!$BB$4,main!$BB$3)),(VLOOKUP(main!AD54,main!$AO$4:$AQ$55,2,FALSE))*IF(main!$AK54="是",main!$BB$4,main!$BB$3))</f>
        <v>136</v>
      </c>
      <c r="W54" s="12">
        <f>IF(ISNUMBER(SEARCH("营",main!AE54)),(-$Y54+50*IF(main!$AK54="是",main!$BB$4,main!$BB$3)),(VLOOKUP(main!AE54,main!$AO$4:$AQ$55,2,FALSE))*IF(main!$AK54="是",main!$BB$4,main!$BB$3))</f>
        <v>0</v>
      </c>
      <c r="X54" s="12">
        <f>IF(ISNUMBER(SEARCH("营",main!AF54)),(-$Y54+50*IF(main!$AK54="是",main!$BB$4,main!$BB$3)),(VLOOKUP(main!AF54,main!$AO$4:$AQ$55,2,FALSE))*IF(main!$AK54="是",main!$BB$4,main!$BB$3))</f>
        <v>0</v>
      </c>
      <c r="Y54" s="96">
        <v>150</v>
      </c>
      <c r="Z54" s="97">
        <v>46326</v>
      </c>
      <c r="AA54">
        <v>51</v>
      </c>
    </row>
    <row r="55" spans="1:27">
      <c r="A55" s="12">
        <f>IF(ISNUMBER(SEARCH("营",main!I55)),(-$Y55+50*IF(main!$AK55="是",main!$BB$4,main!$BB$3)),(VLOOKUP(main!I55,main!$AO$4:$AQ$55,2,FALSE))*IF(main!$AK55="是",main!$BB$4,main!$BB$3))</f>
        <v>144</v>
      </c>
      <c r="B55" s="12">
        <f>IF(ISNUMBER(SEARCH("营",main!J55)),(-$Y55+50*IF(main!$AK55="是",main!$BB$4,main!$BB$3)),(VLOOKUP(main!J55,main!$AO$4:$AQ$55,2,FALSE))*IF(main!$AK55="是",main!$BB$4,main!$BB$3))</f>
        <v>144</v>
      </c>
      <c r="C55" s="12">
        <f>IF(ISNUMBER(SEARCH("营",main!K55)),(-$Y55+50*IF(main!$AK55="是",main!$BB$4,main!$BB$3)),(VLOOKUP(main!K55,main!$AO$4:$AQ$55,2,FALSE))*IF(main!$AK55="是",main!$BB$4,main!$BB$3))</f>
        <v>144</v>
      </c>
      <c r="D55" s="12">
        <f>IF(ISNUMBER(SEARCH("营",main!L55)),(-$Y55+50*IF(main!$AK55="是",main!$BB$4,main!$BB$3)),(VLOOKUP(main!L55,main!$AO$4:$AQ$55,2,FALSE))*IF(main!$AK55="是",main!$BB$4,main!$BB$3))</f>
        <v>144</v>
      </c>
      <c r="E55" s="12">
        <f>IF(ISNUMBER(SEARCH("营",main!M55)),(-$Y55+50*IF(main!$AK55="是",main!$BB$4,main!$BB$3)),(VLOOKUP(main!M55,main!$AO$4:$AQ$55,2,FALSE))*IF(main!$AK55="是",main!$BB$4,main!$BB$3))</f>
        <v>144</v>
      </c>
      <c r="F55" s="12">
        <f>IF(ISNUMBER(SEARCH("营",main!N55)),(-$Y55+50*IF(main!$AK55="是",main!$BB$4,main!$BB$3)),(VLOOKUP(main!N55,main!$AO$4:$AQ$55,2,FALSE))*IF(main!$AK55="是",main!$BB$4,main!$BB$3))</f>
        <v>144</v>
      </c>
      <c r="G55" s="12">
        <f>IF(ISNUMBER(SEARCH("营",main!O55)),(-$Y55+50*IF(main!$AK55="是",main!$BB$4,main!$BB$3)),(VLOOKUP(main!O55,main!$AO$4:$AQ$55,2,FALSE))*IF(main!$AK55="是",main!$BB$4,main!$BB$3))</f>
        <v>144</v>
      </c>
      <c r="H55" s="12">
        <f>IF(ISNUMBER(SEARCH("营",main!P55)),(-$Y55+50*IF(main!$AK55="是",main!$BB$4,main!$BB$3)),(VLOOKUP(main!P55,main!$AO$4:$AQ$55,2,FALSE))*IF(main!$AK55="是",main!$BB$4,main!$BB$3))</f>
        <v>144</v>
      </c>
      <c r="I55" s="12">
        <f>IF(ISNUMBER(SEARCH("营",main!Q55)),(-$Y55+50*IF(main!$AK55="是",main!$BB$4,main!$BB$3)),(VLOOKUP(main!Q55,main!$AO$4:$AQ$55,2,FALSE))*IF(main!$AK55="是",main!$BB$4,main!$BB$3))</f>
        <v>136</v>
      </c>
      <c r="J55" s="12">
        <f>IF(ISNUMBER(SEARCH("营",main!R55)),(-$Y55+50*IF(main!$AK55="是",main!$BB$4,main!$BB$3)),(VLOOKUP(main!R55,main!$AO$4:$AQ$55,2,FALSE))*IF(main!$AK55="是",main!$BB$4,main!$BB$3))</f>
        <v>136</v>
      </c>
      <c r="K55" s="12">
        <f>IF(ISNUMBER(SEARCH("营",main!S55)),(-$Y55+50*IF(main!$AK55="是",main!$BB$4,main!$BB$3)),(VLOOKUP(main!S55,main!$AO$4:$AQ$55,2,FALSE))*IF(main!$AK55="是",main!$BB$4,main!$BB$3))</f>
        <v>136</v>
      </c>
      <c r="L55" s="12">
        <f>IF(ISNUMBER(SEARCH("营",main!T55)),(-$Y55+50*IF(main!$AK55="是",main!$BB$4,main!$BB$3)),(VLOOKUP(main!T55,main!$AO$4:$AQ$55,2,FALSE))*IF(main!$AK55="是",main!$BB$4,main!$BB$3))</f>
        <v>136</v>
      </c>
      <c r="M55" s="12">
        <f>IF(ISNUMBER(SEARCH("营",main!U55)),(-$Y55+50*IF(main!$AK55="是",main!$BB$4,main!$BB$3)),(VLOOKUP(main!U55,main!$AO$4:$AQ$55,2,FALSE))*IF(main!$AK55="是",main!$BB$4,main!$BB$3))</f>
        <v>136</v>
      </c>
      <c r="N55" s="12">
        <f>IF(ISNUMBER(SEARCH("营",main!V55)),(-$Y55+50*IF(main!$AK55="是",main!$BB$4,main!$BB$3)),(VLOOKUP(main!V55,main!$AO$4:$AQ$55,2,FALSE))*IF(main!$AK55="是",main!$BB$4,main!$BB$3))</f>
        <v>136</v>
      </c>
      <c r="O55" s="12">
        <f>IF(ISNUMBER(SEARCH("营",main!W55)),(-$Y55+50*IF(main!$AK55="是",main!$BB$4,main!$BB$3)),(VLOOKUP(main!W55,main!$AO$4:$AQ$55,2,FALSE))*IF(main!$AK55="是",main!$BB$4,main!$BB$3))</f>
        <v>136</v>
      </c>
      <c r="P55" s="12">
        <f>IF(ISNUMBER(SEARCH("营",main!X55)),(-$Y55+50*IF(main!$AK55="是",main!$BB$4,main!$BB$3)),(VLOOKUP(main!X55,main!$AO$4:$AQ$55,2,FALSE))*IF(main!$AK55="是",main!$BB$4,main!$BB$3))</f>
        <v>136</v>
      </c>
      <c r="Q55" s="12">
        <f>IF(ISNUMBER(SEARCH("营",main!Y55)),(-$Y55+50*IF(main!$AK55="是",main!$BB$4,main!$BB$3)),(VLOOKUP(main!Y55,main!$AO$4:$AQ$55,2,FALSE))*IF(main!$AK55="是",main!$BB$4,main!$BB$3))</f>
        <v>136</v>
      </c>
      <c r="R55" s="12">
        <f>IF(ISNUMBER(SEARCH("营",main!Z55)),(-$Y55+50*IF(main!$AK55="是",main!$BB$4,main!$BB$3)),(VLOOKUP(main!Z55,main!$AO$4:$AQ$55,2,FALSE))*IF(main!$AK55="是",main!$BB$4,main!$BB$3))</f>
        <v>136</v>
      </c>
      <c r="S55" s="12">
        <f>IF(ISNUMBER(SEARCH("营",main!AA55)),(-$Y55+50*IF(main!$AK55="是",main!$BB$4,main!$BB$3)),(VLOOKUP(main!AA55,main!$AO$4:$AQ$55,2,FALSE))*IF(main!$AK55="是",main!$BB$4,main!$BB$3))</f>
        <v>136</v>
      </c>
      <c r="T55" s="12">
        <f>IF(ISNUMBER(SEARCH("营",main!AB55)),(-$Y55+50*IF(main!$AK55="是",main!$BB$4,main!$BB$3)),(VLOOKUP(main!AB55,main!$AO$4:$AQ$55,2,FALSE))*IF(main!$AK55="是",main!$BB$4,main!$BB$3))</f>
        <v>136</v>
      </c>
      <c r="U55" s="12">
        <f>IF(ISNUMBER(SEARCH("营",main!AC55)),(-$Y55+50*IF(main!$AK55="是",main!$BB$4,main!$BB$3)),(VLOOKUP(main!AC55,main!$AO$4:$AQ$55,2,FALSE))*IF(main!$AK55="是",main!$BB$4,main!$BB$3))</f>
        <v>136</v>
      </c>
      <c r="V55" s="12">
        <f>IF(ISNUMBER(SEARCH("营",main!AD55)),(-$Y55+50*IF(main!$AK55="是",main!$BB$4,main!$BB$3)),(VLOOKUP(main!AD55,main!$AO$4:$AQ$55,2,FALSE))*IF(main!$AK55="是",main!$BB$4,main!$BB$3))</f>
        <v>136</v>
      </c>
      <c r="W55" s="12">
        <f>IF(ISNUMBER(SEARCH("营",main!AE55)),(-$Y55+50*IF(main!$AK55="是",main!$BB$4,main!$BB$3)),(VLOOKUP(main!AE55,main!$AO$4:$AQ$55,2,FALSE))*IF(main!$AK55="是",main!$BB$4,main!$BB$3))</f>
        <v>0</v>
      </c>
      <c r="X55" s="12">
        <f>IF(ISNUMBER(SEARCH("营",main!AF55)),(-$Y55+50*IF(main!$AK55="是",main!$BB$4,main!$BB$3)),(VLOOKUP(main!AF55,main!$AO$4:$AQ$55,2,FALSE))*IF(main!$AK55="是",main!$BB$4,main!$BB$3))</f>
        <v>0</v>
      </c>
      <c r="Y55" s="96">
        <v>150</v>
      </c>
      <c r="Z55" s="97">
        <v>46327</v>
      </c>
      <c r="AA55">
        <v>52</v>
      </c>
    </row>
    <row r="56" spans="1:27">
      <c r="A56" s="12">
        <f>IF(ISNUMBER(SEARCH("营",main!I56)),(-$Y56+50*IF(main!$AK56="是",main!$BB$4,main!$BB$3)),(VLOOKUP(main!I56,main!$AO$4:$AQ$55,2,FALSE))*IF(main!$AK56="是",main!$BB$4,main!$BB$3))</f>
        <v>144</v>
      </c>
      <c r="B56" s="12">
        <f>IF(ISNUMBER(SEARCH("营",main!J56)),(-$Y56+50*IF(main!$AK56="是",main!$BB$4,main!$BB$3)),(VLOOKUP(main!J56,main!$AO$4:$AQ$55,2,FALSE))*IF(main!$AK56="是",main!$BB$4,main!$BB$3))</f>
        <v>144</v>
      </c>
      <c r="C56" s="12">
        <f>IF(ISNUMBER(SEARCH("营",main!K56)),(-$Y56+50*IF(main!$AK56="是",main!$BB$4,main!$BB$3)),(VLOOKUP(main!K56,main!$AO$4:$AQ$55,2,FALSE))*IF(main!$AK56="是",main!$BB$4,main!$BB$3))</f>
        <v>0</v>
      </c>
      <c r="D56" s="12">
        <f>IF(ISNUMBER(SEARCH("营",main!L56)),(-$Y56+50*IF(main!$AK56="是",main!$BB$4,main!$BB$3)),(VLOOKUP(main!L56,main!$AO$4:$AQ$55,2,FALSE))*IF(main!$AK56="是",main!$BB$4,main!$BB$3))</f>
        <v>0</v>
      </c>
      <c r="E56" s="12">
        <f>IF(ISNUMBER(SEARCH("营",main!M56)),(-$Y56+50*IF(main!$AK56="是",main!$BB$4,main!$BB$3)),(VLOOKUP(main!M56,main!$AO$4:$AQ$55,2,FALSE))*IF(main!$AK56="是",main!$BB$4,main!$BB$3))</f>
        <v>0</v>
      </c>
      <c r="F56" s="12">
        <f>IF(ISNUMBER(SEARCH("营",main!N56)),(-$Y56+50*IF(main!$AK56="是",main!$BB$4,main!$BB$3)),(VLOOKUP(main!N56,main!$AO$4:$AQ$55,2,FALSE))*IF(main!$AK56="是",main!$BB$4,main!$BB$3))</f>
        <v>0</v>
      </c>
      <c r="G56" s="12">
        <f>IF(ISNUMBER(SEARCH("营",main!O56)),(-$Y56+50*IF(main!$AK56="是",main!$BB$4,main!$BB$3)),(VLOOKUP(main!O56,main!$AO$4:$AQ$55,2,FALSE))*IF(main!$AK56="是",main!$BB$4,main!$BB$3))</f>
        <v>0</v>
      </c>
      <c r="H56" s="12">
        <f>IF(ISNUMBER(SEARCH("营",main!P56)),(-$Y56+50*IF(main!$AK56="是",main!$BB$4,main!$BB$3)),(VLOOKUP(main!P56,main!$AO$4:$AQ$55,2,FALSE))*IF(main!$AK56="是",main!$BB$4,main!$BB$3))</f>
        <v>0</v>
      </c>
      <c r="I56" s="12">
        <f>IF(ISNUMBER(SEARCH("营",main!Q56)),(-$Y56+50*IF(main!$AK56="是",main!$BB$4,main!$BB$3)),(VLOOKUP(main!Q56,main!$AO$4:$AQ$55,2,FALSE))*IF(main!$AK56="是",main!$BB$4,main!$BB$3))</f>
        <v>136</v>
      </c>
      <c r="J56" s="12">
        <f>IF(ISNUMBER(SEARCH("营",main!R56)),(-$Y56+50*IF(main!$AK56="是",main!$BB$4,main!$BB$3)),(VLOOKUP(main!R56,main!$AO$4:$AQ$55,2,FALSE))*IF(main!$AK56="是",main!$BB$4,main!$BB$3))</f>
        <v>136</v>
      </c>
      <c r="K56" s="12">
        <f>IF(ISNUMBER(SEARCH("营",main!S56)),(-$Y56+50*IF(main!$AK56="是",main!$BB$4,main!$BB$3)),(VLOOKUP(main!S56,main!$AO$4:$AQ$55,2,FALSE))*IF(main!$AK56="是",main!$BB$4,main!$BB$3))</f>
        <v>136</v>
      </c>
      <c r="L56" s="12">
        <f>IF(ISNUMBER(SEARCH("营",main!T56)),(-$Y56+50*IF(main!$AK56="是",main!$BB$4,main!$BB$3)),(VLOOKUP(main!T56,main!$AO$4:$AQ$55,2,FALSE))*IF(main!$AK56="是",main!$BB$4,main!$BB$3))</f>
        <v>136</v>
      </c>
      <c r="M56" s="12">
        <f>IF(ISNUMBER(SEARCH("营",main!U56)),(-$Y56+50*IF(main!$AK56="是",main!$BB$4,main!$BB$3)),(VLOOKUP(main!U56,main!$AO$4:$AQ$55,2,FALSE))*IF(main!$AK56="是",main!$BB$4,main!$BB$3))</f>
        <v>136</v>
      </c>
      <c r="N56" s="12">
        <f>IF(ISNUMBER(SEARCH("营",main!V56)),(-$Y56+50*IF(main!$AK56="是",main!$BB$4,main!$BB$3)),(VLOOKUP(main!V56,main!$AO$4:$AQ$55,2,FALSE))*IF(main!$AK56="是",main!$BB$4,main!$BB$3))</f>
        <v>136</v>
      </c>
      <c r="O56" s="12">
        <f>IF(ISNUMBER(SEARCH("营",main!W56)),(-$Y56+50*IF(main!$AK56="是",main!$BB$4,main!$BB$3)),(VLOOKUP(main!W56,main!$AO$4:$AQ$55,2,FALSE))*IF(main!$AK56="是",main!$BB$4,main!$BB$3))</f>
        <v>136</v>
      </c>
      <c r="P56" s="12">
        <f>IF(ISNUMBER(SEARCH("营",main!X56)),(-$Y56+50*IF(main!$AK56="是",main!$BB$4,main!$BB$3)),(VLOOKUP(main!X56,main!$AO$4:$AQ$55,2,FALSE))*IF(main!$AK56="是",main!$BB$4,main!$BB$3))</f>
        <v>136</v>
      </c>
      <c r="Q56" s="12">
        <f>IF(ISNUMBER(SEARCH("营",main!Y56)),(-$Y56+50*IF(main!$AK56="是",main!$BB$4,main!$BB$3)),(VLOOKUP(main!Y56,main!$AO$4:$AQ$55,2,FALSE))*IF(main!$AK56="是",main!$BB$4,main!$BB$3))</f>
        <v>136</v>
      </c>
      <c r="R56" s="12">
        <f>IF(ISNUMBER(SEARCH("营",main!Z56)),(-$Y56+50*IF(main!$AK56="是",main!$BB$4,main!$BB$3)),(VLOOKUP(main!Z56,main!$AO$4:$AQ$55,2,FALSE))*IF(main!$AK56="是",main!$BB$4,main!$BB$3))</f>
        <v>136</v>
      </c>
      <c r="S56" s="12">
        <f>IF(ISNUMBER(SEARCH("营",main!AA56)),(-$Y56+50*IF(main!$AK56="是",main!$BB$4,main!$BB$3)),(VLOOKUP(main!AA56,main!$AO$4:$AQ$55,2,FALSE))*IF(main!$AK56="是",main!$BB$4,main!$BB$3))</f>
        <v>136</v>
      </c>
      <c r="T56" s="12">
        <f>IF(ISNUMBER(SEARCH("营",main!AB56)),(-$Y56+50*IF(main!$AK56="是",main!$BB$4,main!$BB$3)),(VLOOKUP(main!AB56,main!$AO$4:$AQ$55,2,FALSE))*IF(main!$AK56="是",main!$BB$4,main!$BB$3))</f>
        <v>136</v>
      </c>
      <c r="U56" s="12">
        <f>IF(ISNUMBER(SEARCH("营",main!AC56)),(-$Y56+50*IF(main!$AK56="是",main!$BB$4,main!$BB$3)),(VLOOKUP(main!AC56,main!$AO$4:$AQ$55,2,FALSE))*IF(main!$AK56="是",main!$BB$4,main!$BB$3))</f>
        <v>136</v>
      </c>
      <c r="V56" s="12">
        <f>IF(ISNUMBER(SEARCH("营",main!AD56)),(-$Y56+50*IF(main!$AK56="是",main!$BB$4,main!$BB$3)),(VLOOKUP(main!AD56,main!$AO$4:$AQ$55,2,FALSE))*IF(main!$AK56="是",main!$BB$4,main!$BB$3))</f>
        <v>136</v>
      </c>
      <c r="W56" s="12">
        <f>IF(ISNUMBER(SEARCH("营",main!AE56)),(-$Y56+50*IF(main!$AK56="是",main!$BB$4,main!$BB$3)),(VLOOKUP(main!AE56,main!$AO$4:$AQ$55,2,FALSE))*IF(main!$AK56="是",main!$BB$4,main!$BB$3))</f>
        <v>0</v>
      </c>
      <c r="X56" s="12">
        <f>IF(ISNUMBER(SEARCH("营",main!AF56)),(-$Y56+50*IF(main!$AK56="是",main!$BB$4,main!$BB$3)),(VLOOKUP(main!AF56,main!$AO$4:$AQ$55,2,FALSE))*IF(main!$AK56="是",main!$BB$4,main!$BB$3))</f>
        <v>0</v>
      </c>
      <c r="Y56" s="96">
        <v>150</v>
      </c>
      <c r="Z56" s="97">
        <v>46328</v>
      </c>
      <c r="AA56">
        <v>53</v>
      </c>
    </row>
    <row r="57" spans="1:27">
      <c r="A57" s="12">
        <f>IF(ISNUMBER(SEARCH("营",main!I57)),(-$Y57+50*IF(main!$AK57="是",main!$BB$4,main!$BB$3)),(VLOOKUP(main!I57,main!$AO$4:$AQ$55,2,FALSE))*IF(main!$AK57="是",main!$BB$4,main!$BB$3))</f>
        <v>0</v>
      </c>
      <c r="B57" s="12">
        <f>IF(ISNUMBER(SEARCH("营",main!J57)),(-$Y57+50*IF(main!$AK57="是",main!$BB$4,main!$BB$3)),(VLOOKUP(main!J57,main!$AO$4:$AQ$55,2,FALSE))*IF(main!$AK57="是",main!$BB$4,main!$BB$3))</f>
        <v>0</v>
      </c>
      <c r="C57" s="12">
        <f>IF(ISNUMBER(SEARCH("营",main!K57)),(-$Y57+50*IF(main!$AK57="是",main!$BB$4,main!$BB$3)),(VLOOKUP(main!K57,main!$AO$4:$AQ$55,2,FALSE))*IF(main!$AK57="是",main!$BB$4,main!$BB$3))</f>
        <v>0</v>
      </c>
      <c r="D57" s="12">
        <f>IF(ISNUMBER(SEARCH("营",main!L57)),(-$Y57+50*IF(main!$AK57="是",main!$BB$4,main!$BB$3)),(VLOOKUP(main!L57,main!$AO$4:$AQ$55,2,FALSE))*IF(main!$AK57="是",main!$BB$4,main!$BB$3))</f>
        <v>0</v>
      </c>
      <c r="E57" s="12">
        <f>IF(ISNUMBER(SEARCH("营",main!M57)),(-$Y57+50*IF(main!$AK57="是",main!$BB$4,main!$BB$3)),(VLOOKUP(main!M57,main!$AO$4:$AQ$55,2,FALSE))*IF(main!$AK57="是",main!$BB$4,main!$BB$3))</f>
        <v>0</v>
      </c>
      <c r="F57" s="12">
        <f>IF(ISNUMBER(SEARCH("营",main!N57)),(-$Y57+50*IF(main!$AK57="是",main!$BB$4,main!$BB$3)),(VLOOKUP(main!N57,main!$AO$4:$AQ$55,2,FALSE))*IF(main!$AK57="是",main!$BB$4,main!$BB$3))</f>
        <v>0</v>
      </c>
      <c r="G57" s="12">
        <f>IF(ISNUMBER(SEARCH("营",main!O57)),(-$Y57+50*IF(main!$AK57="是",main!$BB$4,main!$BB$3)),(VLOOKUP(main!O57,main!$AO$4:$AQ$55,2,FALSE))*IF(main!$AK57="是",main!$BB$4,main!$BB$3))</f>
        <v>0</v>
      </c>
      <c r="H57" s="12">
        <f>IF(ISNUMBER(SEARCH("营",main!P57)),(-$Y57+50*IF(main!$AK57="是",main!$BB$4,main!$BB$3)),(VLOOKUP(main!P57,main!$AO$4:$AQ$55,2,FALSE))*IF(main!$AK57="是",main!$BB$4,main!$BB$3))</f>
        <v>0</v>
      </c>
      <c r="I57" s="12">
        <f>IF(ISNUMBER(SEARCH("营",main!Q57)),(-$Y57+50*IF(main!$AK57="是",main!$BB$4,main!$BB$3)),(VLOOKUP(main!Q57,main!$AO$4:$AQ$55,2,FALSE))*IF(main!$AK57="是",main!$BB$4,main!$BB$3))</f>
        <v>136</v>
      </c>
      <c r="J57" s="12">
        <f>IF(ISNUMBER(SEARCH("营",main!R57)),(-$Y57+50*IF(main!$AK57="是",main!$BB$4,main!$BB$3)),(VLOOKUP(main!R57,main!$AO$4:$AQ$55,2,FALSE))*IF(main!$AK57="是",main!$BB$4,main!$BB$3))</f>
        <v>136</v>
      </c>
      <c r="K57" s="12">
        <f>IF(ISNUMBER(SEARCH("营",main!S57)),(-$Y57+50*IF(main!$AK57="是",main!$BB$4,main!$BB$3)),(VLOOKUP(main!S57,main!$AO$4:$AQ$55,2,FALSE))*IF(main!$AK57="是",main!$BB$4,main!$BB$3))</f>
        <v>136</v>
      </c>
      <c r="L57" s="12">
        <f>IF(ISNUMBER(SEARCH("营",main!T57)),(-$Y57+50*IF(main!$AK57="是",main!$BB$4,main!$BB$3)),(VLOOKUP(main!T57,main!$AO$4:$AQ$55,2,FALSE))*IF(main!$AK57="是",main!$BB$4,main!$BB$3))</f>
        <v>136</v>
      </c>
      <c r="M57" s="12">
        <f>IF(ISNUMBER(SEARCH("营",main!U57)),(-$Y57+50*IF(main!$AK57="是",main!$BB$4,main!$BB$3)),(VLOOKUP(main!U57,main!$AO$4:$AQ$55,2,FALSE))*IF(main!$AK57="是",main!$BB$4,main!$BB$3))</f>
        <v>136</v>
      </c>
      <c r="N57" s="12">
        <f>IF(ISNUMBER(SEARCH("营",main!V57)),(-$Y57+50*IF(main!$AK57="是",main!$BB$4,main!$BB$3)),(VLOOKUP(main!V57,main!$AO$4:$AQ$55,2,FALSE))*IF(main!$AK57="是",main!$BB$4,main!$BB$3))</f>
        <v>136</v>
      </c>
      <c r="O57" s="12">
        <f>IF(ISNUMBER(SEARCH("营",main!W57)),(-$Y57+50*IF(main!$AK57="是",main!$BB$4,main!$BB$3)),(VLOOKUP(main!W57,main!$AO$4:$AQ$55,2,FALSE))*IF(main!$AK57="是",main!$BB$4,main!$BB$3))</f>
        <v>136</v>
      </c>
      <c r="P57" s="12">
        <f>IF(ISNUMBER(SEARCH("营",main!X57)),(-$Y57+50*IF(main!$AK57="是",main!$BB$4,main!$BB$3)),(VLOOKUP(main!X57,main!$AO$4:$AQ$55,2,FALSE))*IF(main!$AK57="是",main!$BB$4,main!$BB$3))</f>
        <v>136</v>
      </c>
      <c r="Q57" s="12">
        <f>IF(ISNUMBER(SEARCH("营",main!Y57)),(-$Y57+50*IF(main!$AK57="是",main!$BB$4,main!$BB$3)),(VLOOKUP(main!Y57,main!$AO$4:$AQ$55,2,FALSE))*IF(main!$AK57="是",main!$BB$4,main!$BB$3))</f>
        <v>136</v>
      </c>
      <c r="R57" s="12">
        <f>IF(ISNUMBER(SEARCH("营",main!Z57)),(-$Y57+50*IF(main!$AK57="是",main!$BB$4,main!$BB$3)),(VLOOKUP(main!Z57,main!$AO$4:$AQ$55,2,FALSE))*IF(main!$AK57="是",main!$BB$4,main!$BB$3))</f>
        <v>136</v>
      </c>
      <c r="S57" s="12">
        <f>IF(ISNUMBER(SEARCH("营",main!AA57)),(-$Y57+50*IF(main!$AK57="是",main!$BB$4,main!$BB$3)),(VLOOKUP(main!AA57,main!$AO$4:$AQ$55,2,FALSE))*IF(main!$AK57="是",main!$BB$4,main!$BB$3))</f>
        <v>136</v>
      </c>
      <c r="T57" s="12">
        <f>IF(ISNUMBER(SEARCH("营",main!AB57)),(-$Y57+50*IF(main!$AK57="是",main!$BB$4,main!$BB$3)),(VLOOKUP(main!AB57,main!$AO$4:$AQ$55,2,FALSE))*IF(main!$AK57="是",main!$BB$4,main!$BB$3))</f>
        <v>136</v>
      </c>
      <c r="U57" s="12">
        <f>IF(ISNUMBER(SEARCH("营",main!AC57)),(-$Y57+50*IF(main!$AK57="是",main!$BB$4,main!$BB$3)),(VLOOKUP(main!AC57,main!$AO$4:$AQ$55,2,FALSE))*IF(main!$AK57="是",main!$BB$4,main!$BB$3))</f>
        <v>0</v>
      </c>
      <c r="V57" s="12">
        <f>IF(ISNUMBER(SEARCH("营",main!AD57)),(-$Y57+50*IF(main!$AK57="是",main!$BB$4,main!$BB$3)),(VLOOKUP(main!AD57,main!$AO$4:$AQ$55,2,FALSE))*IF(main!$AK57="是",main!$BB$4,main!$BB$3))</f>
        <v>0</v>
      </c>
      <c r="W57" s="12">
        <f>IF(ISNUMBER(SEARCH("营",main!AE57)),(-$Y57+50*IF(main!$AK57="是",main!$BB$4,main!$BB$3)),(VLOOKUP(main!AE57,main!$AO$4:$AQ$55,2,FALSE))*IF(main!$AK57="是",main!$BB$4,main!$BB$3))</f>
        <v>0</v>
      </c>
      <c r="X57" s="12">
        <f>IF(ISNUMBER(SEARCH("营",main!AF57)),(-$Y57+50*IF(main!$AK57="是",main!$BB$4,main!$BB$3)),(VLOOKUP(main!AF57,main!$AO$4:$AQ$55,2,FALSE))*IF(main!$AK57="是",main!$BB$4,main!$BB$3))</f>
        <v>0</v>
      </c>
      <c r="Y57" s="96">
        <v>150</v>
      </c>
      <c r="Z57" s="97">
        <v>46329</v>
      </c>
      <c r="AA57">
        <v>54</v>
      </c>
    </row>
    <row r="58" spans="1:27">
      <c r="A58" s="12">
        <f>IF(ISNUMBER(SEARCH("营",main!I58)),(-$Y58+50*IF(main!$AK58="是",main!$BB$4,main!$BB$3)),(VLOOKUP(main!I58,main!$AO$4:$AQ$55,2,FALSE))*IF(main!$AK58="是",main!$BB$4,main!$BB$3))</f>
        <v>0</v>
      </c>
      <c r="B58" s="12">
        <f>IF(ISNUMBER(SEARCH("营",main!J58)),(-$Y58+50*IF(main!$AK58="是",main!$BB$4,main!$BB$3)),(VLOOKUP(main!J58,main!$AO$4:$AQ$55,2,FALSE))*IF(main!$AK58="是",main!$BB$4,main!$BB$3))</f>
        <v>0</v>
      </c>
      <c r="C58" s="12">
        <f>IF(ISNUMBER(SEARCH("营",main!K58)),(-$Y58+50*IF(main!$AK58="是",main!$BB$4,main!$BB$3)),(VLOOKUP(main!K58,main!$AO$4:$AQ$55,2,FALSE))*IF(main!$AK58="是",main!$BB$4,main!$BB$3))</f>
        <v>0</v>
      </c>
      <c r="D58" s="12">
        <f>IF(ISNUMBER(SEARCH("营",main!L58)),(-$Y58+50*IF(main!$AK58="是",main!$BB$4,main!$BB$3)),(VLOOKUP(main!L58,main!$AO$4:$AQ$55,2,FALSE))*IF(main!$AK58="是",main!$BB$4,main!$BB$3))</f>
        <v>0</v>
      </c>
      <c r="E58" s="12">
        <f>IF(ISNUMBER(SEARCH("营",main!M58)),(-$Y58+50*IF(main!$AK58="是",main!$BB$4,main!$BB$3)),(VLOOKUP(main!M58,main!$AO$4:$AQ$55,2,FALSE))*IF(main!$AK58="是",main!$BB$4,main!$BB$3))</f>
        <v>0</v>
      </c>
      <c r="F58" s="12">
        <f>IF(ISNUMBER(SEARCH("营",main!N58)),(-$Y58+50*IF(main!$AK58="是",main!$BB$4,main!$BB$3)),(VLOOKUP(main!N58,main!$AO$4:$AQ$55,2,FALSE))*IF(main!$AK58="是",main!$BB$4,main!$BB$3))</f>
        <v>0</v>
      </c>
      <c r="G58" s="12">
        <f>IF(ISNUMBER(SEARCH("营",main!O58)),(-$Y58+50*IF(main!$AK58="是",main!$BB$4,main!$BB$3)),(VLOOKUP(main!O58,main!$AO$4:$AQ$55,2,FALSE))*IF(main!$AK58="是",main!$BB$4,main!$BB$3))</f>
        <v>0</v>
      </c>
      <c r="H58" s="12">
        <f>IF(ISNUMBER(SEARCH("营",main!P58)),(-$Y58+50*IF(main!$AK58="是",main!$BB$4,main!$BB$3)),(VLOOKUP(main!P58,main!$AO$4:$AQ$55,2,FALSE))*IF(main!$AK58="是",main!$BB$4,main!$BB$3))</f>
        <v>0</v>
      </c>
      <c r="I58" s="12">
        <f>IF(ISNUMBER(SEARCH("营",main!Q58)),(-$Y58+50*IF(main!$AK58="是",main!$BB$4,main!$BB$3)),(VLOOKUP(main!Q58,main!$AO$4:$AQ$55,2,FALSE))*IF(main!$AK58="是",main!$BB$4,main!$BB$3))</f>
        <v>136</v>
      </c>
      <c r="J58" s="12">
        <f>IF(ISNUMBER(SEARCH("营",main!R58)),(-$Y58+50*IF(main!$AK58="是",main!$BB$4,main!$BB$3)),(VLOOKUP(main!R58,main!$AO$4:$AQ$55,2,FALSE))*IF(main!$AK58="是",main!$BB$4,main!$BB$3))</f>
        <v>136</v>
      </c>
      <c r="K58" s="12">
        <f>IF(ISNUMBER(SEARCH("营",main!S58)),(-$Y58+50*IF(main!$AK58="是",main!$BB$4,main!$BB$3)),(VLOOKUP(main!S58,main!$AO$4:$AQ$55,2,FALSE))*IF(main!$AK58="是",main!$BB$4,main!$BB$3))</f>
        <v>136</v>
      </c>
      <c r="L58" s="12">
        <f>IF(ISNUMBER(SEARCH("营",main!T58)),(-$Y58+50*IF(main!$AK58="是",main!$BB$4,main!$BB$3)),(VLOOKUP(main!T58,main!$AO$4:$AQ$55,2,FALSE))*IF(main!$AK58="是",main!$BB$4,main!$BB$3))</f>
        <v>136</v>
      </c>
      <c r="M58" s="12">
        <f>IF(ISNUMBER(SEARCH("营",main!U58)),(-$Y58+50*IF(main!$AK58="是",main!$BB$4,main!$BB$3)),(VLOOKUP(main!U58,main!$AO$4:$AQ$55,2,FALSE))*IF(main!$AK58="是",main!$BB$4,main!$BB$3))</f>
        <v>136</v>
      </c>
      <c r="N58" s="12">
        <f>IF(ISNUMBER(SEARCH("营",main!V58)),(-$Y58+50*IF(main!$AK58="是",main!$BB$4,main!$BB$3)),(VLOOKUP(main!V58,main!$AO$4:$AQ$55,2,FALSE))*IF(main!$AK58="是",main!$BB$4,main!$BB$3))</f>
        <v>136</v>
      </c>
      <c r="O58" s="12">
        <f>IF(ISNUMBER(SEARCH("营",main!W58)),(-$Y58+50*IF(main!$AK58="是",main!$BB$4,main!$BB$3)),(VLOOKUP(main!W58,main!$AO$4:$AQ$55,2,FALSE))*IF(main!$AK58="是",main!$BB$4,main!$BB$3))</f>
        <v>136</v>
      </c>
      <c r="P58" s="12">
        <f>IF(ISNUMBER(SEARCH("营",main!X58)),(-$Y58+50*IF(main!$AK58="是",main!$BB$4,main!$BB$3)),(VLOOKUP(main!X58,main!$AO$4:$AQ$55,2,FALSE))*IF(main!$AK58="是",main!$BB$4,main!$BB$3))</f>
        <v>136</v>
      </c>
      <c r="Q58" s="12">
        <f>IF(ISNUMBER(SEARCH("营",main!Y58)),(-$Y58+50*IF(main!$AK58="是",main!$BB$4,main!$BB$3)),(VLOOKUP(main!Y58,main!$AO$4:$AQ$55,2,FALSE))*IF(main!$AK58="是",main!$BB$4,main!$BB$3))</f>
        <v>0</v>
      </c>
      <c r="R58" s="12">
        <f>IF(ISNUMBER(SEARCH("营",main!Z58)),(-$Y58+50*IF(main!$AK58="是",main!$BB$4,main!$BB$3)),(VLOOKUP(main!Z58,main!$AO$4:$AQ$55,2,FALSE))*IF(main!$AK58="是",main!$BB$4,main!$BB$3))</f>
        <v>0</v>
      </c>
      <c r="S58" s="12">
        <f>IF(ISNUMBER(SEARCH("营",main!AA58)),(-$Y58+50*IF(main!$AK58="是",main!$BB$4,main!$BB$3)),(VLOOKUP(main!AA58,main!$AO$4:$AQ$55,2,FALSE))*IF(main!$AK58="是",main!$BB$4,main!$BB$3))</f>
        <v>0</v>
      </c>
      <c r="T58" s="12">
        <f>IF(ISNUMBER(SEARCH("营",main!AB58)),(-$Y58+50*IF(main!$AK58="是",main!$BB$4,main!$BB$3)),(VLOOKUP(main!AB58,main!$AO$4:$AQ$55,2,FALSE))*IF(main!$AK58="是",main!$BB$4,main!$BB$3))</f>
        <v>0</v>
      </c>
      <c r="U58" s="12">
        <f>IF(ISNUMBER(SEARCH("营",main!AC58)),(-$Y58+50*IF(main!$AK58="是",main!$BB$4,main!$BB$3)),(VLOOKUP(main!AC58,main!$AO$4:$AQ$55,2,FALSE))*IF(main!$AK58="是",main!$BB$4,main!$BB$3))</f>
        <v>0</v>
      </c>
      <c r="V58" s="12">
        <f>IF(ISNUMBER(SEARCH("营",main!AD58)),(-$Y58+50*IF(main!$AK58="是",main!$BB$4,main!$BB$3)),(VLOOKUP(main!AD58,main!$AO$4:$AQ$55,2,FALSE))*IF(main!$AK58="是",main!$BB$4,main!$BB$3))</f>
        <v>0</v>
      </c>
      <c r="W58" s="12">
        <f>IF(ISNUMBER(SEARCH("营",main!AE58)),(-$Y58+50*IF(main!$AK58="是",main!$BB$4,main!$BB$3)),(VLOOKUP(main!AE58,main!$AO$4:$AQ$55,2,FALSE))*IF(main!$AK58="是",main!$BB$4,main!$BB$3))</f>
        <v>0</v>
      </c>
      <c r="X58" s="12">
        <f>IF(ISNUMBER(SEARCH("营",main!AF58)),(-$Y58+50*IF(main!$AK58="是",main!$BB$4,main!$BB$3)),(VLOOKUP(main!AF58,main!$AO$4:$AQ$55,2,FALSE))*IF(main!$AK58="是",main!$BB$4,main!$BB$3))</f>
        <v>0</v>
      </c>
      <c r="Y58" s="96">
        <v>150</v>
      </c>
      <c r="Z58" s="97">
        <v>46330</v>
      </c>
      <c r="AA58">
        <v>55</v>
      </c>
    </row>
    <row r="59" spans="1:27">
      <c r="A59" s="12">
        <f>IF(ISNUMBER(SEARCH("营",main!I59)),(-$Y59+50*IF(main!$AK59="是",main!$BB$4,main!$BB$3)),(VLOOKUP(main!I59,main!$AO$4:$AQ$55,2,FALSE))*IF(main!$AK59="是",main!$BB$4,main!$BB$3))</f>
        <v>0</v>
      </c>
      <c r="B59" s="12">
        <f>IF(ISNUMBER(SEARCH("营",main!J59)),(-$Y59+50*IF(main!$AK59="是",main!$BB$4,main!$BB$3)),(VLOOKUP(main!J59,main!$AO$4:$AQ$55,2,FALSE))*IF(main!$AK59="是",main!$BB$4,main!$BB$3))</f>
        <v>0</v>
      </c>
      <c r="C59" s="12">
        <f>IF(ISNUMBER(SEARCH("营",main!K59)),(-$Y59+50*IF(main!$AK59="是",main!$BB$4,main!$BB$3)),(VLOOKUP(main!K59,main!$AO$4:$AQ$55,2,FALSE))*IF(main!$AK59="是",main!$BB$4,main!$BB$3))</f>
        <v>0</v>
      </c>
      <c r="D59" s="12">
        <f>IF(ISNUMBER(SEARCH("营",main!L59)),(-$Y59+50*IF(main!$AK59="是",main!$BB$4,main!$BB$3)),(VLOOKUP(main!L59,main!$AO$4:$AQ$55,2,FALSE))*IF(main!$AK59="是",main!$BB$4,main!$BB$3))</f>
        <v>0</v>
      </c>
      <c r="E59" s="12">
        <f>IF(ISNUMBER(SEARCH("营",main!M59)),(-$Y59+50*IF(main!$AK59="是",main!$BB$4,main!$BB$3)),(VLOOKUP(main!M59,main!$AO$4:$AQ$55,2,FALSE))*IF(main!$AK59="是",main!$BB$4,main!$BB$3))</f>
        <v>0</v>
      </c>
      <c r="F59" s="12">
        <f>IF(ISNUMBER(SEARCH("营",main!N59)),(-$Y59+50*IF(main!$AK59="是",main!$BB$4,main!$BB$3)),(VLOOKUP(main!N59,main!$AO$4:$AQ$55,2,FALSE))*IF(main!$AK59="是",main!$BB$4,main!$BB$3))</f>
        <v>0</v>
      </c>
      <c r="G59" s="12">
        <f>IF(ISNUMBER(SEARCH("营",main!O59)),(-$Y59+50*IF(main!$AK59="是",main!$BB$4,main!$BB$3)),(VLOOKUP(main!O59,main!$AO$4:$AQ$55,2,FALSE))*IF(main!$AK59="是",main!$BB$4,main!$BB$3))</f>
        <v>0</v>
      </c>
      <c r="H59" s="12">
        <f>IF(ISNUMBER(SEARCH("营",main!P59)),(-$Y59+50*IF(main!$AK59="是",main!$BB$4,main!$BB$3)),(VLOOKUP(main!P59,main!$AO$4:$AQ$55,2,FALSE))*IF(main!$AK59="是",main!$BB$4,main!$BB$3))</f>
        <v>0</v>
      </c>
      <c r="I59" s="12">
        <f>IF(ISNUMBER(SEARCH("营",main!Q59)),(-$Y59+50*IF(main!$AK59="是",main!$BB$4,main!$BB$3)),(VLOOKUP(main!Q59,main!$AO$4:$AQ$55,2,FALSE))*IF(main!$AK59="是",main!$BB$4,main!$BB$3))</f>
        <v>136</v>
      </c>
      <c r="J59" s="12">
        <f>IF(ISNUMBER(SEARCH("营",main!R59)),(-$Y59+50*IF(main!$AK59="是",main!$BB$4,main!$BB$3)),(VLOOKUP(main!R59,main!$AO$4:$AQ$55,2,FALSE))*IF(main!$AK59="是",main!$BB$4,main!$BB$3))</f>
        <v>136</v>
      </c>
      <c r="K59" s="12">
        <f>IF(ISNUMBER(SEARCH("营",main!S59)),(-$Y59+50*IF(main!$AK59="是",main!$BB$4,main!$BB$3)),(VLOOKUP(main!S59,main!$AO$4:$AQ$55,2,FALSE))*IF(main!$AK59="是",main!$BB$4,main!$BB$3))</f>
        <v>136</v>
      </c>
      <c r="L59" s="12">
        <f>IF(ISNUMBER(SEARCH("营",main!T59)),(-$Y59+50*IF(main!$AK59="是",main!$BB$4,main!$BB$3)),(VLOOKUP(main!T59,main!$AO$4:$AQ$55,2,FALSE))*IF(main!$AK59="是",main!$BB$4,main!$BB$3))</f>
        <v>136</v>
      </c>
      <c r="M59" s="12">
        <f>IF(ISNUMBER(SEARCH("营",main!U59)),(-$Y59+50*IF(main!$AK59="是",main!$BB$4,main!$BB$3)),(VLOOKUP(main!U59,main!$AO$4:$AQ$55,2,FALSE))*IF(main!$AK59="是",main!$BB$4,main!$BB$3))</f>
        <v>136</v>
      </c>
      <c r="N59" s="12">
        <f>IF(ISNUMBER(SEARCH("营",main!V59)),(-$Y59+50*IF(main!$AK59="是",main!$BB$4,main!$BB$3)),(VLOOKUP(main!V59,main!$AO$4:$AQ$55,2,FALSE))*IF(main!$AK59="是",main!$BB$4,main!$BB$3))</f>
        <v>136</v>
      </c>
      <c r="O59" s="12">
        <f>IF(ISNUMBER(SEARCH("营",main!W59)),(-$Y59+50*IF(main!$AK59="是",main!$BB$4,main!$BB$3)),(VLOOKUP(main!W59,main!$AO$4:$AQ$55,2,FALSE))*IF(main!$AK59="是",main!$BB$4,main!$BB$3))</f>
        <v>136</v>
      </c>
      <c r="P59" s="12">
        <f>IF(ISNUMBER(SEARCH("营",main!X59)),(-$Y59+50*IF(main!$AK59="是",main!$BB$4,main!$BB$3)),(VLOOKUP(main!X59,main!$AO$4:$AQ$55,2,FALSE))*IF(main!$AK59="是",main!$BB$4,main!$BB$3))</f>
        <v>136</v>
      </c>
      <c r="Q59" s="12">
        <f>IF(ISNUMBER(SEARCH("营",main!Y59)),(-$Y59+50*IF(main!$AK59="是",main!$BB$4,main!$BB$3)),(VLOOKUP(main!Y59,main!$AO$4:$AQ$55,2,FALSE))*IF(main!$AK59="是",main!$BB$4,main!$BB$3))</f>
        <v>0</v>
      </c>
      <c r="R59" s="12">
        <f>IF(ISNUMBER(SEARCH("营",main!Z59)),(-$Y59+50*IF(main!$AK59="是",main!$BB$4,main!$BB$3)),(VLOOKUP(main!Z59,main!$AO$4:$AQ$55,2,FALSE))*IF(main!$AK59="是",main!$BB$4,main!$BB$3))</f>
        <v>0</v>
      </c>
      <c r="S59" s="12">
        <f>IF(ISNUMBER(SEARCH("营",main!AA59)),(-$Y59+50*IF(main!$AK59="是",main!$BB$4,main!$BB$3)),(VLOOKUP(main!AA59,main!$AO$4:$AQ$55,2,FALSE))*IF(main!$AK59="是",main!$BB$4,main!$BB$3))</f>
        <v>0</v>
      </c>
      <c r="T59" s="12">
        <f>IF(ISNUMBER(SEARCH("营",main!AB59)),(-$Y59+50*IF(main!$AK59="是",main!$BB$4,main!$BB$3)),(VLOOKUP(main!AB59,main!$AO$4:$AQ$55,2,FALSE))*IF(main!$AK59="是",main!$BB$4,main!$BB$3))</f>
        <v>0</v>
      </c>
      <c r="U59" s="12">
        <f>IF(ISNUMBER(SEARCH("营",main!AC59)),(-$Y59+50*IF(main!$AK59="是",main!$BB$4,main!$BB$3)),(VLOOKUP(main!AC59,main!$AO$4:$AQ$55,2,FALSE))*IF(main!$AK59="是",main!$BB$4,main!$BB$3))</f>
        <v>0</v>
      </c>
      <c r="V59" s="12">
        <f>IF(ISNUMBER(SEARCH("营",main!AD59)),(-$Y59+50*IF(main!$AK59="是",main!$BB$4,main!$BB$3)),(VLOOKUP(main!AD59,main!$AO$4:$AQ$55,2,FALSE))*IF(main!$AK59="是",main!$BB$4,main!$BB$3))</f>
        <v>0</v>
      </c>
      <c r="W59" s="12">
        <f>IF(ISNUMBER(SEARCH("营",main!AE59)),(-$Y59+50*IF(main!$AK59="是",main!$BB$4,main!$BB$3)),(VLOOKUP(main!AE59,main!$AO$4:$AQ$55,2,FALSE))*IF(main!$AK59="是",main!$BB$4,main!$BB$3))</f>
        <v>0</v>
      </c>
      <c r="X59" s="12">
        <f>IF(ISNUMBER(SEARCH("营",main!AF59)),(-$Y59+50*IF(main!$AK59="是",main!$BB$4,main!$BB$3)),(VLOOKUP(main!AF59,main!$AO$4:$AQ$55,2,FALSE))*IF(main!$AK59="是",main!$BB$4,main!$BB$3))</f>
        <v>0</v>
      </c>
      <c r="Y59" s="96">
        <v>150</v>
      </c>
      <c r="Z59" s="97">
        <v>46331</v>
      </c>
      <c r="AA59">
        <v>56</v>
      </c>
    </row>
    <row r="60" spans="1:27">
      <c r="A60" s="12">
        <f>IF(ISNUMBER(SEARCH("营",main!I60)),(-$Y60+50*IF(main!$AK60="是",main!$BB$4,main!$BB$3)),(VLOOKUP(main!I60,main!$AO$4:$AQ$55,2,FALSE))*IF(main!$AK60="是",main!$BB$4,main!$BB$3))</f>
        <v>0</v>
      </c>
      <c r="B60" s="12">
        <f>IF(ISNUMBER(SEARCH("营",main!J60)),(-$Y60+50*IF(main!$AK60="是",main!$BB$4,main!$BB$3)),(VLOOKUP(main!J60,main!$AO$4:$AQ$55,2,FALSE))*IF(main!$AK60="是",main!$BB$4,main!$BB$3))</f>
        <v>0</v>
      </c>
      <c r="C60" s="12">
        <f>IF(ISNUMBER(SEARCH("营",main!K60)),(-$Y60+50*IF(main!$AK60="是",main!$BB$4,main!$BB$3)),(VLOOKUP(main!K60,main!$AO$4:$AQ$55,2,FALSE))*IF(main!$AK60="是",main!$BB$4,main!$BB$3))</f>
        <v>0</v>
      </c>
      <c r="D60" s="12">
        <f>IF(ISNUMBER(SEARCH("营",main!L60)),(-$Y60+50*IF(main!$AK60="是",main!$BB$4,main!$BB$3)),(VLOOKUP(main!L60,main!$AO$4:$AQ$55,2,FALSE))*IF(main!$AK60="是",main!$BB$4,main!$BB$3))</f>
        <v>0</v>
      </c>
      <c r="E60" s="12">
        <f>IF(ISNUMBER(SEARCH("营",main!M60)),(-$Y60+50*IF(main!$AK60="是",main!$BB$4,main!$BB$3)),(VLOOKUP(main!M60,main!$AO$4:$AQ$55,2,FALSE))*IF(main!$AK60="是",main!$BB$4,main!$BB$3))</f>
        <v>0</v>
      </c>
      <c r="F60" s="12">
        <f>IF(ISNUMBER(SEARCH("营",main!N60)),(-$Y60+50*IF(main!$AK60="是",main!$BB$4,main!$BB$3)),(VLOOKUP(main!N60,main!$AO$4:$AQ$55,2,FALSE))*IF(main!$AK60="是",main!$BB$4,main!$BB$3))</f>
        <v>0</v>
      </c>
      <c r="G60" s="12">
        <f>IF(ISNUMBER(SEARCH("营",main!O60)),(-$Y60+50*IF(main!$AK60="是",main!$BB$4,main!$BB$3)),(VLOOKUP(main!O60,main!$AO$4:$AQ$55,2,FALSE))*IF(main!$AK60="是",main!$BB$4,main!$BB$3))</f>
        <v>0</v>
      </c>
      <c r="H60" s="12">
        <f>IF(ISNUMBER(SEARCH("营",main!P60)),(-$Y60+50*IF(main!$AK60="是",main!$BB$4,main!$BB$3)),(VLOOKUP(main!P60,main!$AO$4:$AQ$55,2,FALSE))*IF(main!$AK60="是",main!$BB$4,main!$BB$3))</f>
        <v>0</v>
      </c>
      <c r="I60" s="12">
        <f>IF(ISNUMBER(SEARCH("营",main!Q60)),(-$Y60+50*IF(main!$AK60="是",main!$BB$4,main!$BB$3)),(VLOOKUP(main!Q60,main!$AO$4:$AQ$55,2,FALSE))*IF(main!$AK60="是",main!$BB$4,main!$BB$3))</f>
        <v>136</v>
      </c>
      <c r="J60" s="12">
        <f>IF(ISNUMBER(SEARCH("营",main!R60)),(-$Y60+50*IF(main!$AK60="是",main!$BB$4,main!$BB$3)),(VLOOKUP(main!R60,main!$AO$4:$AQ$55,2,FALSE))*IF(main!$AK60="是",main!$BB$4,main!$BB$3))</f>
        <v>136</v>
      </c>
      <c r="K60" s="12">
        <f>IF(ISNUMBER(SEARCH("营",main!S60)),(-$Y60+50*IF(main!$AK60="是",main!$BB$4,main!$BB$3)),(VLOOKUP(main!S60,main!$AO$4:$AQ$55,2,FALSE))*IF(main!$AK60="是",main!$BB$4,main!$BB$3))</f>
        <v>136</v>
      </c>
      <c r="L60" s="12">
        <f>IF(ISNUMBER(SEARCH("营",main!T60)),(-$Y60+50*IF(main!$AK60="是",main!$BB$4,main!$BB$3)),(VLOOKUP(main!T60,main!$AO$4:$AQ$55,2,FALSE))*IF(main!$AK60="是",main!$BB$4,main!$BB$3))</f>
        <v>136</v>
      </c>
      <c r="M60" s="12">
        <f>IF(ISNUMBER(SEARCH("营",main!U60)),(-$Y60+50*IF(main!$AK60="是",main!$BB$4,main!$BB$3)),(VLOOKUP(main!U60,main!$AO$4:$AQ$55,2,FALSE))*IF(main!$AK60="是",main!$BB$4,main!$BB$3))</f>
        <v>136</v>
      </c>
      <c r="N60" s="12">
        <f>IF(ISNUMBER(SEARCH("营",main!V60)),(-$Y60+50*IF(main!$AK60="是",main!$BB$4,main!$BB$3)),(VLOOKUP(main!V60,main!$AO$4:$AQ$55,2,FALSE))*IF(main!$AK60="是",main!$BB$4,main!$BB$3))</f>
        <v>136</v>
      </c>
      <c r="O60" s="12">
        <f>IF(ISNUMBER(SEARCH("营",main!W60)),(-$Y60+50*IF(main!$AK60="是",main!$BB$4,main!$BB$3)),(VLOOKUP(main!W60,main!$AO$4:$AQ$55,2,FALSE))*IF(main!$AK60="是",main!$BB$4,main!$BB$3))</f>
        <v>136</v>
      </c>
      <c r="P60" s="12">
        <f>IF(ISNUMBER(SEARCH("营",main!X60)),(-$Y60+50*IF(main!$AK60="是",main!$BB$4,main!$BB$3)),(VLOOKUP(main!X60,main!$AO$4:$AQ$55,2,FALSE))*IF(main!$AK60="是",main!$BB$4,main!$BB$3))</f>
        <v>136</v>
      </c>
      <c r="Q60" s="12">
        <f>IF(ISNUMBER(SEARCH("营",main!Y60)),(-$Y60+50*IF(main!$AK60="是",main!$BB$4,main!$BB$3)),(VLOOKUP(main!Y60,main!$AO$4:$AQ$55,2,FALSE))*IF(main!$AK60="是",main!$BB$4,main!$BB$3))</f>
        <v>0</v>
      </c>
      <c r="R60" s="12">
        <f>IF(ISNUMBER(SEARCH("营",main!Z60)),(-$Y60+50*IF(main!$AK60="是",main!$BB$4,main!$BB$3)),(VLOOKUP(main!Z60,main!$AO$4:$AQ$55,2,FALSE))*IF(main!$AK60="是",main!$BB$4,main!$BB$3))</f>
        <v>0</v>
      </c>
      <c r="S60" s="12">
        <f>IF(ISNUMBER(SEARCH("营",main!AA60)),(-$Y60+50*IF(main!$AK60="是",main!$BB$4,main!$BB$3)),(VLOOKUP(main!AA60,main!$AO$4:$AQ$55,2,FALSE))*IF(main!$AK60="是",main!$BB$4,main!$BB$3))</f>
        <v>0</v>
      </c>
      <c r="T60" s="12">
        <f>IF(ISNUMBER(SEARCH("营",main!AB60)),(-$Y60+50*IF(main!$AK60="是",main!$BB$4,main!$BB$3)),(VLOOKUP(main!AB60,main!$AO$4:$AQ$55,2,FALSE))*IF(main!$AK60="是",main!$BB$4,main!$BB$3))</f>
        <v>0</v>
      </c>
      <c r="U60" s="12">
        <f>IF(ISNUMBER(SEARCH("营",main!AC60)),(-$Y60+50*IF(main!$AK60="是",main!$BB$4,main!$BB$3)),(VLOOKUP(main!AC60,main!$AO$4:$AQ$55,2,FALSE))*IF(main!$AK60="是",main!$BB$4,main!$BB$3))</f>
        <v>0</v>
      </c>
      <c r="V60" s="12">
        <f>IF(ISNUMBER(SEARCH("营",main!AD60)),(-$Y60+50*IF(main!$AK60="是",main!$BB$4,main!$BB$3)),(VLOOKUP(main!AD60,main!$AO$4:$AQ$55,2,FALSE))*IF(main!$AK60="是",main!$BB$4,main!$BB$3))</f>
        <v>0</v>
      </c>
      <c r="W60" s="12">
        <f>IF(ISNUMBER(SEARCH("营",main!AE60)),(-$Y60+50*IF(main!$AK60="是",main!$BB$4,main!$BB$3)),(VLOOKUP(main!AE60,main!$AO$4:$AQ$55,2,FALSE))*IF(main!$AK60="是",main!$BB$4,main!$BB$3))</f>
        <v>0</v>
      </c>
      <c r="X60" s="12">
        <f>IF(ISNUMBER(SEARCH("营",main!AF60)),(-$Y60+50*IF(main!$AK60="是",main!$BB$4,main!$BB$3)),(VLOOKUP(main!AF60,main!$AO$4:$AQ$55,2,FALSE))*IF(main!$AK60="是",main!$BB$4,main!$BB$3))</f>
        <v>0</v>
      </c>
      <c r="Y60" s="96">
        <v>150</v>
      </c>
      <c r="Z60" s="97">
        <v>46332</v>
      </c>
      <c r="AA60">
        <v>57</v>
      </c>
    </row>
    <row r="61" spans="1:27">
      <c r="A61" s="12">
        <f>IF(ISNUMBER(SEARCH("营",main!I61)),(-$Y61+50*IF(main!$AK61="是",main!$BB$4,main!$BB$3)),(VLOOKUP(main!I61,main!$AO$4:$AQ$55,2,FALSE))*IF(main!$AK61="是",main!$BB$4,main!$BB$3))</f>
        <v>0</v>
      </c>
      <c r="B61" s="12">
        <f>IF(ISNUMBER(SEARCH("营",main!J61)),(-$Y61+50*IF(main!$AK61="是",main!$BB$4,main!$BB$3)),(VLOOKUP(main!J61,main!$AO$4:$AQ$55,2,FALSE))*IF(main!$AK61="是",main!$BB$4,main!$BB$3))</f>
        <v>0</v>
      </c>
      <c r="C61" s="12">
        <f>IF(ISNUMBER(SEARCH("营",main!K61)),(-$Y61+50*IF(main!$AK61="是",main!$BB$4,main!$BB$3)),(VLOOKUP(main!K61,main!$AO$4:$AQ$55,2,FALSE))*IF(main!$AK61="是",main!$BB$4,main!$BB$3))</f>
        <v>0</v>
      </c>
      <c r="D61" s="12">
        <f>IF(ISNUMBER(SEARCH("营",main!L61)),(-$Y61+50*IF(main!$AK61="是",main!$BB$4,main!$BB$3)),(VLOOKUP(main!L61,main!$AO$4:$AQ$55,2,FALSE))*IF(main!$AK61="是",main!$BB$4,main!$BB$3))</f>
        <v>0</v>
      </c>
      <c r="E61" s="12">
        <f>IF(ISNUMBER(SEARCH("营",main!M61)),(-$Y61+50*IF(main!$AK61="是",main!$BB$4,main!$BB$3)),(VLOOKUP(main!M61,main!$AO$4:$AQ$55,2,FALSE))*IF(main!$AK61="是",main!$BB$4,main!$BB$3))</f>
        <v>0</v>
      </c>
      <c r="F61" s="12">
        <f>IF(ISNUMBER(SEARCH("营",main!N61)),(-$Y61+50*IF(main!$AK61="是",main!$BB$4,main!$BB$3)),(VLOOKUP(main!N61,main!$AO$4:$AQ$55,2,FALSE))*IF(main!$AK61="是",main!$BB$4,main!$BB$3))</f>
        <v>0</v>
      </c>
      <c r="G61" s="12">
        <f>IF(ISNUMBER(SEARCH("营",main!O61)),(-$Y61+50*IF(main!$AK61="是",main!$BB$4,main!$BB$3)),(VLOOKUP(main!O61,main!$AO$4:$AQ$55,2,FALSE))*IF(main!$AK61="是",main!$BB$4,main!$BB$3))</f>
        <v>0</v>
      </c>
      <c r="H61" s="12">
        <f>IF(ISNUMBER(SEARCH("营",main!P61)),(-$Y61+50*IF(main!$AK61="是",main!$BB$4,main!$BB$3)),(VLOOKUP(main!P61,main!$AO$4:$AQ$55,2,FALSE))*IF(main!$AK61="是",main!$BB$4,main!$BB$3))</f>
        <v>0</v>
      </c>
      <c r="I61" s="12">
        <f>IF(ISNUMBER(SEARCH("营",main!Q61)),(-$Y61+50*IF(main!$AK61="是",main!$BB$4,main!$BB$3)),(VLOOKUP(main!Q61,main!$AO$4:$AQ$55,2,FALSE))*IF(main!$AK61="是",main!$BB$4,main!$BB$3))</f>
        <v>136</v>
      </c>
      <c r="J61" s="12">
        <f>IF(ISNUMBER(SEARCH("营",main!R61)),(-$Y61+50*IF(main!$AK61="是",main!$BB$4,main!$BB$3)),(VLOOKUP(main!R61,main!$AO$4:$AQ$55,2,FALSE))*IF(main!$AK61="是",main!$BB$4,main!$BB$3))</f>
        <v>136</v>
      </c>
      <c r="K61" s="12">
        <f>IF(ISNUMBER(SEARCH("营",main!S61)),(-$Y61+50*IF(main!$AK61="是",main!$BB$4,main!$BB$3)),(VLOOKUP(main!S61,main!$AO$4:$AQ$55,2,FALSE))*IF(main!$AK61="是",main!$BB$4,main!$BB$3))</f>
        <v>136</v>
      </c>
      <c r="L61" s="12">
        <f>IF(ISNUMBER(SEARCH("营",main!T61)),(-$Y61+50*IF(main!$AK61="是",main!$BB$4,main!$BB$3)),(VLOOKUP(main!T61,main!$AO$4:$AQ$55,2,FALSE))*IF(main!$AK61="是",main!$BB$4,main!$BB$3))</f>
        <v>136</v>
      </c>
      <c r="M61" s="12">
        <f>IF(ISNUMBER(SEARCH("营",main!U61)),(-$Y61+50*IF(main!$AK61="是",main!$BB$4,main!$BB$3)),(VLOOKUP(main!U61,main!$AO$4:$AQ$55,2,FALSE))*IF(main!$AK61="是",main!$BB$4,main!$BB$3))</f>
        <v>136</v>
      </c>
      <c r="N61" s="12">
        <f>IF(ISNUMBER(SEARCH("营",main!V61)),(-$Y61+50*IF(main!$AK61="是",main!$BB$4,main!$BB$3)),(VLOOKUP(main!V61,main!$AO$4:$AQ$55,2,FALSE))*IF(main!$AK61="是",main!$BB$4,main!$BB$3))</f>
        <v>136</v>
      </c>
      <c r="O61" s="12">
        <f>IF(ISNUMBER(SEARCH("营",main!W61)),(-$Y61+50*IF(main!$AK61="是",main!$BB$4,main!$BB$3)),(VLOOKUP(main!W61,main!$AO$4:$AQ$55,2,FALSE))*IF(main!$AK61="是",main!$BB$4,main!$BB$3))</f>
        <v>136</v>
      </c>
      <c r="P61" s="12">
        <f>IF(ISNUMBER(SEARCH("营",main!X61)),(-$Y61+50*IF(main!$AK61="是",main!$BB$4,main!$BB$3)),(VLOOKUP(main!X61,main!$AO$4:$AQ$55,2,FALSE))*IF(main!$AK61="是",main!$BB$4,main!$BB$3))</f>
        <v>136</v>
      </c>
      <c r="Q61" s="12">
        <f>IF(ISNUMBER(SEARCH("营",main!Y61)),(-$Y61+50*IF(main!$AK61="是",main!$BB$4,main!$BB$3)),(VLOOKUP(main!Y61,main!$AO$4:$AQ$55,2,FALSE))*IF(main!$AK61="是",main!$BB$4,main!$BB$3))</f>
        <v>0</v>
      </c>
      <c r="R61" s="12">
        <f>IF(ISNUMBER(SEARCH("营",main!Z61)),(-$Y61+50*IF(main!$AK61="是",main!$BB$4,main!$BB$3)),(VLOOKUP(main!Z61,main!$AO$4:$AQ$55,2,FALSE))*IF(main!$AK61="是",main!$BB$4,main!$BB$3))</f>
        <v>0</v>
      </c>
      <c r="S61" s="12">
        <f>IF(ISNUMBER(SEARCH("营",main!AA61)),(-$Y61+50*IF(main!$AK61="是",main!$BB$4,main!$BB$3)),(VLOOKUP(main!AA61,main!$AO$4:$AQ$55,2,FALSE))*IF(main!$AK61="是",main!$BB$4,main!$BB$3))</f>
        <v>0</v>
      </c>
      <c r="T61" s="12">
        <f>IF(ISNUMBER(SEARCH("营",main!AB61)),(-$Y61+50*IF(main!$AK61="是",main!$BB$4,main!$BB$3)),(VLOOKUP(main!AB61,main!$AO$4:$AQ$55,2,FALSE))*IF(main!$AK61="是",main!$BB$4,main!$BB$3))</f>
        <v>0</v>
      </c>
      <c r="U61" s="12">
        <f>IF(ISNUMBER(SEARCH("营",main!AC61)),(-$Y61+50*IF(main!$AK61="是",main!$BB$4,main!$BB$3)),(VLOOKUP(main!AC61,main!$AO$4:$AQ$55,2,FALSE))*IF(main!$AK61="是",main!$BB$4,main!$BB$3))</f>
        <v>0</v>
      </c>
      <c r="V61" s="12">
        <f>IF(ISNUMBER(SEARCH("营",main!AD61)),(-$Y61+50*IF(main!$AK61="是",main!$BB$4,main!$BB$3)),(VLOOKUP(main!AD61,main!$AO$4:$AQ$55,2,FALSE))*IF(main!$AK61="是",main!$BB$4,main!$BB$3))</f>
        <v>0</v>
      </c>
      <c r="W61" s="12">
        <f>IF(ISNUMBER(SEARCH("营",main!AE61)),(-$Y61+50*IF(main!$AK61="是",main!$BB$4,main!$BB$3)),(VLOOKUP(main!AE61,main!$AO$4:$AQ$55,2,FALSE))*IF(main!$AK61="是",main!$BB$4,main!$BB$3))</f>
        <v>0</v>
      </c>
      <c r="X61" s="12">
        <f>IF(ISNUMBER(SEARCH("营",main!AF61)),(-$Y61+50*IF(main!$AK61="是",main!$BB$4,main!$BB$3)),(VLOOKUP(main!AF61,main!$AO$4:$AQ$55,2,FALSE))*IF(main!$AK61="是",main!$BB$4,main!$BB$3))</f>
        <v>0</v>
      </c>
      <c r="Y61" s="96">
        <v>150</v>
      </c>
      <c r="Z61" s="97">
        <v>46333</v>
      </c>
      <c r="AA61">
        <v>58</v>
      </c>
    </row>
    <row r="62" spans="1:27">
      <c r="A62" s="12">
        <f>IF(ISNUMBER(SEARCH("营",main!I62)),(-$Y62+50*IF(main!$AK62="是",main!$BB$4,main!$BB$3)),(VLOOKUP(main!I62,main!$AO$4:$AQ$55,2,FALSE))*IF(main!$AK62="是",main!$BB$4,main!$BB$3))</f>
        <v>0</v>
      </c>
      <c r="B62" s="12">
        <f>IF(ISNUMBER(SEARCH("营",main!J62)),(-$Y62+50*IF(main!$AK62="是",main!$BB$4,main!$BB$3)),(VLOOKUP(main!J62,main!$AO$4:$AQ$55,2,FALSE))*IF(main!$AK62="是",main!$BB$4,main!$BB$3))</f>
        <v>0</v>
      </c>
      <c r="C62" s="12">
        <f>IF(ISNUMBER(SEARCH("营",main!K62)),(-$Y62+50*IF(main!$AK62="是",main!$BB$4,main!$BB$3)),(VLOOKUP(main!K62,main!$AO$4:$AQ$55,2,FALSE))*IF(main!$AK62="是",main!$BB$4,main!$BB$3))</f>
        <v>0</v>
      </c>
      <c r="D62" s="12">
        <f>IF(ISNUMBER(SEARCH("营",main!L62)),(-$Y62+50*IF(main!$AK62="是",main!$BB$4,main!$BB$3)),(VLOOKUP(main!L62,main!$AO$4:$AQ$55,2,FALSE))*IF(main!$AK62="是",main!$BB$4,main!$BB$3))</f>
        <v>0</v>
      </c>
      <c r="E62" s="12">
        <f>IF(ISNUMBER(SEARCH("营",main!M62)),(-$Y62+50*IF(main!$AK62="是",main!$BB$4,main!$BB$3)),(VLOOKUP(main!M62,main!$AO$4:$AQ$55,2,FALSE))*IF(main!$AK62="是",main!$BB$4,main!$BB$3))</f>
        <v>0</v>
      </c>
      <c r="F62" s="12">
        <f>IF(ISNUMBER(SEARCH("营",main!N62)),(-$Y62+50*IF(main!$AK62="是",main!$BB$4,main!$BB$3)),(VLOOKUP(main!N62,main!$AO$4:$AQ$55,2,FALSE))*IF(main!$AK62="是",main!$BB$4,main!$BB$3))</f>
        <v>0</v>
      </c>
      <c r="G62" s="12">
        <f>IF(ISNUMBER(SEARCH("营",main!O62)),(-$Y62+50*IF(main!$AK62="是",main!$BB$4,main!$BB$3)),(VLOOKUP(main!O62,main!$AO$4:$AQ$55,2,FALSE))*IF(main!$AK62="是",main!$BB$4,main!$BB$3))</f>
        <v>0</v>
      </c>
      <c r="H62" s="12">
        <f>IF(ISNUMBER(SEARCH("营",main!P62)),(-$Y62+50*IF(main!$AK62="是",main!$BB$4,main!$BB$3)),(VLOOKUP(main!P62,main!$AO$4:$AQ$55,2,FALSE))*IF(main!$AK62="是",main!$BB$4,main!$BB$3))</f>
        <v>0</v>
      </c>
      <c r="I62" s="12">
        <f>IF(ISNUMBER(SEARCH("营",main!Q62)),(-$Y62+50*IF(main!$AK62="是",main!$BB$4,main!$BB$3)),(VLOOKUP(main!Q62,main!$AO$4:$AQ$55,2,FALSE))*IF(main!$AK62="是",main!$BB$4,main!$BB$3))</f>
        <v>136</v>
      </c>
      <c r="J62" s="12">
        <f>IF(ISNUMBER(SEARCH("营",main!R62)),(-$Y62+50*IF(main!$AK62="是",main!$BB$4,main!$BB$3)),(VLOOKUP(main!R62,main!$AO$4:$AQ$55,2,FALSE))*IF(main!$AK62="是",main!$BB$4,main!$BB$3))</f>
        <v>136</v>
      </c>
      <c r="K62" s="12">
        <f>IF(ISNUMBER(SEARCH("营",main!S62)),(-$Y62+50*IF(main!$AK62="是",main!$BB$4,main!$BB$3)),(VLOOKUP(main!S62,main!$AO$4:$AQ$55,2,FALSE))*IF(main!$AK62="是",main!$BB$4,main!$BB$3))</f>
        <v>136</v>
      </c>
      <c r="L62" s="12">
        <f>IF(ISNUMBER(SEARCH("营",main!T62)),(-$Y62+50*IF(main!$AK62="是",main!$BB$4,main!$BB$3)),(VLOOKUP(main!T62,main!$AO$4:$AQ$55,2,FALSE))*IF(main!$AK62="是",main!$BB$4,main!$BB$3))</f>
        <v>136</v>
      </c>
      <c r="M62" s="12">
        <f>IF(ISNUMBER(SEARCH("营",main!U62)),(-$Y62+50*IF(main!$AK62="是",main!$BB$4,main!$BB$3)),(VLOOKUP(main!U62,main!$AO$4:$AQ$55,2,FALSE))*IF(main!$AK62="是",main!$BB$4,main!$BB$3))</f>
        <v>136</v>
      </c>
      <c r="N62" s="12">
        <f>IF(ISNUMBER(SEARCH("营",main!V62)),(-$Y62+50*IF(main!$AK62="是",main!$BB$4,main!$BB$3)),(VLOOKUP(main!V62,main!$AO$4:$AQ$55,2,FALSE))*IF(main!$AK62="是",main!$BB$4,main!$BB$3))</f>
        <v>136</v>
      </c>
      <c r="O62" s="12">
        <f>IF(ISNUMBER(SEARCH("营",main!W62)),(-$Y62+50*IF(main!$AK62="是",main!$BB$4,main!$BB$3)),(VLOOKUP(main!W62,main!$AO$4:$AQ$55,2,FALSE))*IF(main!$AK62="是",main!$BB$4,main!$BB$3))</f>
        <v>136</v>
      </c>
      <c r="P62" s="12">
        <f>IF(ISNUMBER(SEARCH("营",main!X62)),(-$Y62+50*IF(main!$AK62="是",main!$BB$4,main!$BB$3)),(VLOOKUP(main!X62,main!$AO$4:$AQ$55,2,FALSE))*IF(main!$AK62="是",main!$BB$4,main!$BB$3))</f>
        <v>136</v>
      </c>
      <c r="Q62" s="12">
        <f>IF(ISNUMBER(SEARCH("营",main!Y62)),(-$Y62+50*IF(main!$AK62="是",main!$BB$4,main!$BB$3)),(VLOOKUP(main!Y62,main!$AO$4:$AQ$55,2,FALSE))*IF(main!$AK62="是",main!$BB$4,main!$BB$3))</f>
        <v>0</v>
      </c>
      <c r="R62" s="12">
        <f>IF(ISNUMBER(SEARCH("营",main!Z62)),(-$Y62+50*IF(main!$AK62="是",main!$BB$4,main!$BB$3)),(VLOOKUP(main!Z62,main!$AO$4:$AQ$55,2,FALSE))*IF(main!$AK62="是",main!$BB$4,main!$BB$3))</f>
        <v>0</v>
      </c>
      <c r="S62" s="12">
        <f>IF(ISNUMBER(SEARCH("营",main!AA62)),(-$Y62+50*IF(main!$AK62="是",main!$BB$4,main!$BB$3)),(VLOOKUP(main!AA62,main!$AO$4:$AQ$55,2,FALSE))*IF(main!$AK62="是",main!$BB$4,main!$BB$3))</f>
        <v>0</v>
      </c>
      <c r="T62" s="12">
        <f>IF(ISNUMBER(SEARCH("营",main!AB62)),(-$Y62+50*IF(main!$AK62="是",main!$BB$4,main!$BB$3)),(VLOOKUP(main!AB62,main!$AO$4:$AQ$55,2,FALSE))*IF(main!$AK62="是",main!$BB$4,main!$BB$3))</f>
        <v>0</v>
      </c>
      <c r="U62" s="12">
        <f>IF(ISNUMBER(SEARCH("营",main!AC62)),(-$Y62+50*IF(main!$AK62="是",main!$BB$4,main!$BB$3)),(VLOOKUP(main!AC62,main!$AO$4:$AQ$55,2,FALSE))*IF(main!$AK62="是",main!$BB$4,main!$BB$3))</f>
        <v>0</v>
      </c>
      <c r="V62" s="12">
        <f>IF(ISNUMBER(SEARCH("营",main!AD62)),(-$Y62+50*IF(main!$AK62="是",main!$BB$4,main!$BB$3)),(VLOOKUP(main!AD62,main!$AO$4:$AQ$55,2,FALSE))*IF(main!$AK62="是",main!$BB$4,main!$BB$3))</f>
        <v>0</v>
      </c>
      <c r="W62" s="12">
        <f>IF(ISNUMBER(SEARCH("营",main!AE62)),(-$Y62+50*IF(main!$AK62="是",main!$BB$4,main!$BB$3)),(VLOOKUP(main!AE62,main!$AO$4:$AQ$55,2,FALSE))*IF(main!$AK62="是",main!$BB$4,main!$BB$3))</f>
        <v>0</v>
      </c>
      <c r="X62" s="12">
        <f>IF(ISNUMBER(SEARCH("营",main!AF62)),(-$Y62+50*IF(main!$AK62="是",main!$BB$4,main!$BB$3)),(VLOOKUP(main!AF62,main!$AO$4:$AQ$55,2,FALSE))*IF(main!$AK62="是",main!$BB$4,main!$BB$3))</f>
        <v>0</v>
      </c>
      <c r="Y62" s="96">
        <v>150</v>
      </c>
      <c r="Z62" s="97">
        <v>46334</v>
      </c>
      <c r="AA62">
        <v>59</v>
      </c>
    </row>
    <row r="63" spans="1:27">
      <c r="A63" s="12">
        <f>IF(ISNUMBER(SEARCH("营",main!I63)),(-$Y63+50*IF(main!$AK63="是",main!$BB$4,main!$BB$3)),(VLOOKUP(main!I63,main!$AO$4:$AQ$55,2,FALSE))*IF(main!$AK63="是",main!$BB$4,main!$BB$3))</f>
        <v>0</v>
      </c>
      <c r="B63" s="12">
        <f>IF(ISNUMBER(SEARCH("营",main!J63)),(-$Y63+50*IF(main!$AK63="是",main!$BB$4,main!$BB$3)),(VLOOKUP(main!J63,main!$AO$4:$AQ$55,2,FALSE))*IF(main!$AK63="是",main!$BB$4,main!$BB$3))</f>
        <v>0</v>
      </c>
      <c r="C63" s="12">
        <f>IF(ISNUMBER(SEARCH("营",main!K63)),(-$Y63+50*IF(main!$AK63="是",main!$BB$4,main!$BB$3)),(VLOOKUP(main!K63,main!$AO$4:$AQ$55,2,FALSE))*IF(main!$AK63="是",main!$BB$4,main!$BB$3))</f>
        <v>0</v>
      </c>
      <c r="D63" s="12">
        <f>IF(ISNUMBER(SEARCH("营",main!L63)),(-$Y63+50*IF(main!$AK63="是",main!$BB$4,main!$BB$3)),(VLOOKUP(main!L63,main!$AO$4:$AQ$55,2,FALSE))*IF(main!$AK63="是",main!$BB$4,main!$BB$3))</f>
        <v>0</v>
      </c>
      <c r="E63" s="12">
        <f>IF(ISNUMBER(SEARCH("营",main!M63)),(-$Y63+50*IF(main!$AK63="是",main!$BB$4,main!$BB$3)),(VLOOKUP(main!M63,main!$AO$4:$AQ$55,2,FALSE))*IF(main!$AK63="是",main!$BB$4,main!$BB$3))</f>
        <v>0</v>
      </c>
      <c r="F63" s="12">
        <f>IF(ISNUMBER(SEARCH("营",main!N63)),(-$Y63+50*IF(main!$AK63="是",main!$BB$4,main!$BB$3)),(VLOOKUP(main!N63,main!$AO$4:$AQ$55,2,FALSE))*IF(main!$AK63="是",main!$BB$4,main!$BB$3))</f>
        <v>0</v>
      </c>
      <c r="G63" s="12">
        <f>IF(ISNUMBER(SEARCH("营",main!O63)),(-$Y63+50*IF(main!$AK63="是",main!$BB$4,main!$BB$3)),(VLOOKUP(main!O63,main!$AO$4:$AQ$55,2,FALSE))*IF(main!$AK63="是",main!$BB$4,main!$BB$3))</f>
        <v>0</v>
      </c>
      <c r="H63" s="12">
        <f>IF(ISNUMBER(SEARCH("营",main!P63)),(-$Y63+50*IF(main!$AK63="是",main!$BB$4,main!$BB$3)),(VLOOKUP(main!P63,main!$AO$4:$AQ$55,2,FALSE))*IF(main!$AK63="是",main!$BB$4,main!$BB$3))</f>
        <v>0</v>
      </c>
      <c r="I63" s="12">
        <f>IF(ISNUMBER(SEARCH("营",main!Q63)),(-$Y63+50*IF(main!$AK63="是",main!$BB$4,main!$BB$3)),(VLOOKUP(main!Q63,main!$AO$4:$AQ$55,2,FALSE))*IF(main!$AK63="是",main!$BB$4,main!$BB$3))</f>
        <v>136</v>
      </c>
      <c r="J63" s="12">
        <f>IF(ISNUMBER(SEARCH("营",main!R63)),(-$Y63+50*IF(main!$AK63="是",main!$BB$4,main!$BB$3)),(VLOOKUP(main!R63,main!$AO$4:$AQ$55,2,FALSE))*IF(main!$AK63="是",main!$BB$4,main!$BB$3))</f>
        <v>136</v>
      </c>
      <c r="K63" s="12">
        <f>IF(ISNUMBER(SEARCH("营",main!S63)),(-$Y63+50*IF(main!$AK63="是",main!$BB$4,main!$BB$3)),(VLOOKUP(main!S63,main!$AO$4:$AQ$55,2,FALSE))*IF(main!$AK63="是",main!$BB$4,main!$BB$3))</f>
        <v>136</v>
      </c>
      <c r="L63" s="12">
        <f>IF(ISNUMBER(SEARCH("营",main!T63)),(-$Y63+50*IF(main!$AK63="是",main!$BB$4,main!$BB$3)),(VLOOKUP(main!T63,main!$AO$4:$AQ$55,2,FALSE))*IF(main!$AK63="是",main!$BB$4,main!$BB$3))</f>
        <v>136</v>
      </c>
      <c r="M63" s="12">
        <f>IF(ISNUMBER(SEARCH("营",main!U63)),(-$Y63+50*IF(main!$AK63="是",main!$BB$4,main!$BB$3)),(VLOOKUP(main!U63,main!$AO$4:$AQ$55,2,FALSE))*IF(main!$AK63="是",main!$BB$4,main!$BB$3))</f>
        <v>136</v>
      </c>
      <c r="N63" s="12">
        <f>IF(ISNUMBER(SEARCH("营",main!V63)),(-$Y63+50*IF(main!$AK63="是",main!$BB$4,main!$BB$3)),(VLOOKUP(main!V63,main!$AO$4:$AQ$55,2,FALSE))*IF(main!$AK63="是",main!$BB$4,main!$BB$3))</f>
        <v>136</v>
      </c>
      <c r="O63" s="12">
        <f>IF(ISNUMBER(SEARCH("营",main!W63)),(-$Y63+50*IF(main!$AK63="是",main!$BB$4,main!$BB$3)),(VLOOKUP(main!W63,main!$AO$4:$AQ$55,2,FALSE))*IF(main!$AK63="是",main!$BB$4,main!$BB$3))</f>
        <v>136</v>
      </c>
      <c r="P63" s="12">
        <f>IF(ISNUMBER(SEARCH("营",main!X63)),(-$Y63+50*IF(main!$AK63="是",main!$BB$4,main!$BB$3)),(VLOOKUP(main!X63,main!$AO$4:$AQ$55,2,FALSE))*IF(main!$AK63="是",main!$BB$4,main!$BB$3))</f>
        <v>136</v>
      </c>
      <c r="Q63" s="12">
        <f>IF(ISNUMBER(SEARCH("营",main!Y63)),(-$Y63+50*IF(main!$AK63="是",main!$BB$4,main!$BB$3)),(VLOOKUP(main!Y63,main!$AO$4:$AQ$55,2,FALSE))*IF(main!$AK63="是",main!$BB$4,main!$BB$3))</f>
        <v>0</v>
      </c>
      <c r="R63" s="12">
        <f>IF(ISNUMBER(SEARCH("营",main!Z63)),(-$Y63+50*IF(main!$AK63="是",main!$BB$4,main!$BB$3)),(VLOOKUP(main!Z63,main!$AO$4:$AQ$55,2,FALSE))*IF(main!$AK63="是",main!$BB$4,main!$BB$3))</f>
        <v>0</v>
      </c>
      <c r="S63" s="12">
        <f>IF(ISNUMBER(SEARCH("营",main!AA63)),(-$Y63+50*IF(main!$AK63="是",main!$BB$4,main!$BB$3)),(VLOOKUP(main!AA63,main!$AO$4:$AQ$55,2,FALSE))*IF(main!$AK63="是",main!$BB$4,main!$BB$3))</f>
        <v>0</v>
      </c>
      <c r="T63" s="12">
        <f>IF(ISNUMBER(SEARCH("营",main!AB63)),(-$Y63+50*IF(main!$AK63="是",main!$BB$4,main!$BB$3)),(VLOOKUP(main!AB63,main!$AO$4:$AQ$55,2,FALSE))*IF(main!$AK63="是",main!$BB$4,main!$BB$3))</f>
        <v>0</v>
      </c>
      <c r="U63" s="12">
        <f>IF(ISNUMBER(SEARCH("营",main!AC63)),(-$Y63+50*IF(main!$AK63="是",main!$BB$4,main!$BB$3)),(VLOOKUP(main!AC63,main!$AO$4:$AQ$55,2,FALSE))*IF(main!$AK63="是",main!$BB$4,main!$BB$3))</f>
        <v>0</v>
      </c>
      <c r="V63" s="12">
        <f>IF(ISNUMBER(SEARCH("营",main!AD63)),(-$Y63+50*IF(main!$AK63="是",main!$BB$4,main!$BB$3)),(VLOOKUP(main!AD63,main!$AO$4:$AQ$55,2,FALSE))*IF(main!$AK63="是",main!$BB$4,main!$BB$3))</f>
        <v>0</v>
      </c>
      <c r="W63" s="12">
        <f>IF(ISNUMBER(SEARCH("营",main!AE63)),(-$Y63+50*IF(main!$AK63="是",main!$BB$4,main!$BB$3)),(VLOOKUP(main!AE63,main!$AO$4:$AQ$55,2,FALSE))*IF(main!$AK63="是",main!$BB$4,main!$BB$3))</f>
        <v>0</v>
      </c>
      <c r="X63" s="12">
        <f>IF(ISNUMBER(SEARCH("营",main!AF63)),(-$Y63+50*IF(main!$AK63="是",main!$BB$4,main!$BB$3)),(VLOOKUP(main!AF63,main!$AO$4:$AQ$55,2,FALSE))*IF(main!$AK63="是",main!$BB$4,main!$BB$3))</f>
        <v>0</v>
      </c>
      <c r="Y63" s="96">
        <v>150</v>
      </c>
      <c r="Z63" s="97">
        <v>46335</v>
      </c>
      <c r="AA63">
        <v>60</v>
      </c>
    </row>
    <row r="64" spans="1:27">
      <c r="A64" s="12">
        <f>IF(ISNUMBER(SEARCH("营",main!I64)),(-$Y64+50*IF(main!$AK64="是",main!$BB$4,main!$BB$3)),(VLOOKUP(main!I64,main!$AO$4:$AQ$55,2,FALSE))*IF(main!$AK64="是",main!$BB$4,main!$BB$3))</f>
        <v>0</v>
      </c>
      <c r="B64" s="12">
        <f>IF(ISNUMBER(SEARCH("营",main!J64)),(-$Y64+50*IF(main!$AK64="是",main!$BB$4,main!$BB$3)),(VLOOKUP(main!J64,main!$AO$4:$AQ$55,2,FALSE))*IF(main!$AK64="是",main!$BB$4,main!$BB$3))</f>
        <v>0</v>
      </c>
      <c r="C64" s="12">
        <f>IF(ISNUMBER(SEARCH("营",main!K64)),(-$Y64+50*IF(main!$AK64="是",main!$BB$4,main!$BB$3)),(VLOOKUP(main!K64,main!$AO$4:$AQ$55,2,FALSE))*IF(main!$AK64="是",main!$BB$4,main!$BB$3))</f>
        <v>0</v>
      </c>
      <c r="D64" s="12">
        <f>IF(ISNUMBER(SEARCH("营",main!L64)),(-$Y64+50*IF(main!$AK64="是",main!$BB$4,main!$BB$3)),(VLOOKUP(main!L64,main!$AO$4:$AQ$55,2,FALSE))*IF(main!$AK64="是",main!$BB$4,main!$BB$3))</f>
        <v>0</v>
      </c>
      <c r="E64" s="12">
        <f>IF(ISNUMBER(SEARCH("营",main!M64)),(-$Y64+50*IF(main!$AK64="是",main!$BB$4,main!$BB$3)),(VLOOKUP(main!M64,main!$AO$4:$AQ$55,2,FALSE))*IF(main!$AK64="是",main!$BB$4,main!$BB$3))</f>
        <v>0</v>
      </c>
      <c r="F64" s="12">
        <f>IF(ISNUMBER(SEARCH("营",main!N64)),(-$Y64+50*IF(main!$AK64="是",main!$BB$4,main!$BB$3)),(VLOOKUP(main!N64,main!$AO$4:$AQ$55,2,FALSE))*IF(main!$AK64="是",main!$BB$4,main!$BB$3))</f>
        <v>0</v>
      </c>
      <c r="G64" s="12">
        <f>IF(ISNUMBER(SEARCH("营",main!O64)),(-$Y64+50*IF(main!$AK64="是",main!$BB$4,main!$BB$3)),(VLOOKUP(main!O64,main!$AO$4:$AQ$55,2,FALSE))*IF(main!$AK64="是",main!$BB$4,main!$BB$3))</f>
        <v>0</v>
      </c>
      <c r="H64" s="12">
        <f>IF(ISNUMBER(SEARCH("营",main!P64)),(-$Y64+50*IF(main!$AK64="是",main!$BB$4,main!$BB$3)),(VLOOKUP(main!P64,main!$AO$4:$AQ$55,2,FALSE))*IF(main!$AK64="是",main!$BB$4,main!$BB$3))</f>
        <v>0</v>
      </c>
      <c r="I64" s="12">
        <f>IF(ISNUMBER(SEARCH("营",main!Q64)),(-$Y64+50*IF(main!$AK64="是",main!$BB$4,main!$BB$3)),(VLOOKUP(main!Q64,main!$AO$4:$AQ$55,2,FALSE))*IF(main!$AK64="是",main!$BB$4,main!$BB$3))</f>
        <v>136</v>
      </c>
      <c r="J64" s="12">
        <f>IF(ISNUMBER(SEARCH("营",main!R64)),(-$Y64+50*IF(main!$AK64="是",main!$BB$4,main!$BB$3)),(VLOOKUP(main!R64,main!$AO$4:$AQ$55,2,FALSE))*IF(main!$AK64="是",main!$BB$4,main!$BB$3))</f>
        <v>136</v>
      </c>
      <c r="K64" s="12">
        <f>IF(ISNUMBER(SEARCH("营",main!S64)),(-$Y64+50*IF(main!$AK64="是",main!$BB$4,main!$BB$3)),(VLOOKUP(main!S64,main!$AO$4:$AQ$55,2,FALSE))*IF(main!$AK64="是",main!$BB$4,main!$BB$3))</f>
        <v>136</v>
      </c>
      <c r="L64" s="12">
        <f>IF(ISNUMBER(SEARCH("营",main!T64)),(-$Y64+50*IF(main!$AK64="是",main!$BB$4,main!$BB$3)),(VLOOKUP(main!T64,main!$AO$4:$AQ$55,2,FALSE))*IF(main!$AK64="是",main!$BB$4,main!$BB$3))</f>
        <v>136</v>
      </c>
      <c r="M64" s="12">
        <f>IF(ISNUMBER(SEARCH("营",main!U64)),(-$Y64+50*IF(main!$AK64="是",main!$BB$4,main!$BB$3)),(VLOOKUP(main!U64,main!$AO$4:$AQ$55,2,FALSE))*IF(main!$AK64="是",main!$BB$4,main!$BB$3))</f>
        <v>136</v>
      </c>
      <c r="N64" s="12">
        <f>IF(ISNUMBER(SEARCH("营",main!V64)),(-$Y64+50*IF(main!$AK64="是",main!$BB$4,main!$BB$3)),(VLOOKUP(main!V64,main!$AO$4:$AQ$55,2,FALSE))*IF(main!$AK64="是",main!$BB$4,main!$BB$3))</f>
        <v>136</v>
      </c>
      <c r="O64" s="12">
        <f>IF(ISNUMBER(SEARCH("营",main!W64)),(-$Y64+50*IF(main!$AK64="是",main!$BB$4,main!$BB$3)),(VLOOKUP(main!W64,main!$AO$4:$AQ$55,2,FALSE))*IF(main!$AK64="是",main!$BB$4,main!$BB$3))</f>
        <v>0</v>
      </c>
      <c r="P64" s="12">
        <f>IF(ISNUMBER(SEARCH("营",main!X64)),(-$Y64+50*IF(main!$AK64="是",main!$BB$4,main!$BB$3)),(VLOOKUP(main!X64,main!$AO$4:$AQ$55,2,FALSE))*IF(main!$AK64="是",main!$BB$4,main!$BB$3))</f>
        <v>0</v>
      </c>
      <c r="Q64" s="12">
        <f>IF(ISNUMBER(SEARCH("营",main!Y64)),(-$Y64+50*IF(main!$AK64="是",main!$BB$4,main!$BB$3)),(VLOOKUP(main!Y64,main!$AO$4:$AQ$55,2,FALSE))*IF(main!$AK64="是",main!$BB$4,main!$BB$3))</f>
        <v>128</v>
      </c>
      <c r="R64" s="12">
        <f>IF(ISNUMBER(SEARCH("营",main!Z64)),(-$Y64+50*IF(main!$AK64="是",main!$BB$4,main!$BB$3)),(VLOOKUP(main!Z64,main!$AO$4:$AQ$55,2,FALSE))*IF(main!$AK64="是",main!$BB$4,main!$BB$3))</f>
        <v>128</v>
      </c>
      <c r="S64" s="12">
        <f>IF(ISNUMBER(SEARCH("营",main!AA64)),(-$Y64+50*IF(main!$AK64="是",main!$BB$4,main!$BB$3)),(VLOOKUP(main!AA64,main!$AO$4:$AQ$55,2,FALSE))*IF(main!$AK64="是",main!$BB$4,main!$BB$3))</f>
        <v>128</v>
      </c>
      <c r="T64" s="12">
        <f>IF(ISNUMBER(SEARCH("营",main!AB64)),(-$Y64+50*IF(main!$AK64="是",main!$BB$4,main!$BB$3)),(VLOOKUP(main!AB64,main!$AO$4:$AQ$55,2,FALSE))*IF(main!$AK64="是",main!$BB$4,main!$BB$3))</f>
        <v>128</v>
      </c>
      <c r="U64" s="12">
        <f>IF(ISNUMBER(SEARCH("营",main!AC64)),(-$Y64+50*IF(main!$AK64="是",main!$BB$4,main!$BB$3)),(VLOOKUP(main!AC64,main!$AO$4:$AQ$55,2,FALSE))*IF(main!$AK64="是",main!$BB$4,main!$BB$3))</f>
        <v>128</v>
      </c>
      <c r="V64" s="12">
        <f>IF(ISNUMBER(SEARCH("营",main!AD64)),(-$Y64+50*IF(main!$AK64="是",main!$BB$4,main!$BB$3)),(VLOOKUP(main!AD64,main!$AO$4:$AQ$55,2,FALSE))*IF(main!$AK64="是",main!$BB$4,main!$BB$3))</f>
        <v>128</v>
      </c>
      <c r="W64" s="12">
        <f>IF(ISNUMBER(SEARCH("营",main!AE64)),(-$Y64+50*IF(main!$AK64="是",main!$BB$4,main!$BB$3)),(VLOOKUP(main!AE64,main!$AO$4:$AQ$55,2,FALSE))*IF(main!$AK64="是",main!$BB$4,main!$BB$3))</f>
        <v>0</v>
      </c>
      <c r="X64" s="12">
        <f>IF(ISNUMBER(SEARCH("营",main!AF64)),(-$Y64+50*IF(main!$AK64="是",main!$BB$4,main!$BB$3)),(VLOOKUP(main!AF64,main!$AO$4:$AQ$55,2,FALSE))*IF(main!$AK64="是",main!$BB$4,main!$BB$3))</f>
        <v>0</v>
      </c>
      <c r="Y64" s="96">
        <v>150</v>
      </c>
      <c r="Z64" s="97">
        <v>46336</v>
      </c>
      <c r="AA64">
        <v>61</v>
      </c>
    </row>
    <row r="65" spans="1:27">
      <c r="A65" s="12">
        <f>IF(ISNUMBER(SEARCH("营",main!I65)),(-$Y65+50*IF(main!$AK65="是",main!$BB$4,main!$BB$3)),(VLOOKUP(main!I65,main!$AO$4:$AQ$55,2,FALSE))*IF(main!$AK65="是",main!$BB$4,main!$BB$3))</f>
        <v>0</v>
      </c>
      <c r="B65" s="12">
        <f>IF(ISNUMBER(SEARCH("营",main!J65)),(-$Y65+50*IF(main!$AK65="是",main!$BB$4,main!$BB$3)),(VLOOKUP(main!J65,main!$AO$4:$AQ$55,2,FALSE))*IF(main!$AK65="是",main!$BB$4,main!$BB$3))</f>
        <v>0</v>
      </c>
      <c r="C65" s="12">
        <f>IF(ISNUMBER(SEARCH("营",main!K65)),(-$Y65+50*IF(main!$AK65="是",main!$BB$4,main!$BB$3)),(VLOOKUP(main!K65,main!$AO$4:$AQ$55,2,FALSE))*IF(main!$AK65="是",main!$BB$4,main!$BB$3))</f>
        <v>0</v>
      </c>
      <c r="D65" s="12">
        <f>IF(ISNUMBER(SEARCH("营",main!L65)),(-$Y65+50*IF(main!$AK65="是",main!$BB$4,main!$BB$3)),(VLOOKUP(main!L65,main!$AO$4:$AQ$55,2,FALSE))*IF(main!$AK65="是",main!$BB$4,main!$BB$3))</f>
        <v>0</v>
      </c>
      <c r="E65" s="12">
        <f>IF(ISNUMBER(SEARCH("营",main!M65)),(-$Y65+50*IF(main!$AK65="是",main!$BB$4,main!$BB$3)),(VLOOKUP(main!M65,main!$AO$4:$AQ$55,2,FALSE))*IF(main!$AK65="是",main!$BB$4,main!$BB$3))</f>
        <v>0</v>
      </c>
      <c r="F65" s="12">
        <f>IF(ISNUMBER(SEARCH("营",main!N65)),(-$Y65+50*IF(main!$AK65="是",main!$BB$4,main!$BB$3)),(VLOOKUP(main!N65,main!$AO$4:$AQ$55,2,FALSE))*IF(main!$AK65="是",main!$BB$4,main!$BB$3))</f>
        <v>0</v>
      </c>
      <c r="G65" s="12">
        <f>IF(ISNUMBER(SEARCH("营",main!O65)),(-$Y65+50*IF(main!$AK65="是",main!$BB$4,main!$BB$3)),(VLOOKUP(main!O65,main!$AO$4:$AQ$55,2,FALSE))*IF(main!$AK65="是",main!$BB$4,main!$BB$3))</f>
        <v>0</v>
      </c>
      <c r="H65" s="12">
        <f>IF(ISNUMBER(SEARCH("营",main!P65)),(-$Y65+50*IF(main!$AK65="是",main!$BB$4,main!$BB$3)),(VLOOKUP(main!P65,main!$AO$4:$AQ$55,2,FALSE))*IF(main!$AK65="是",main!$BB$4,main!$BB$3))</f>
        <v>0</v>
      </c>
      <c r="I65" s="12">
        <f>IF(ISNUMBER(SEARCH("营",main!Q65)),(-$Y65+50*IF(main!$AK65="是",main!$BB$4,main!$BB$3)),(VLOOKUP(main!Q65,main!$AO$4:$AQ$55,2,FALSE))*IF(main!$AK65="是",main!$BB$4,main!$BB$3))</f>
        <v>0</v>
      </c>
      <c r="J65" s="12">
        <f>IF(ISNUMBER(SEARCH("营",main!R65)),(-$Y65+50*IF(main!$AK65="是",main!$BB$4,main!$BB$3)),(VLOOKUP(main!R65,main!$AO$4:$AQ$55,2,FALSE))*IF(main!$AK65="是",main!$BB$4,main!$BB$3))</f>
        <v>0</v>
      </c>
      <c r="K65" s="12">
        <f>IF(ISNUMBER(SEARCH("营",main!S65)),(-$Y65+50*IF(main!$AK65="是",main!$BB$4,main!$BB$3)),(VLOOKUP(main!S65,main!$AO$4:$AQ$55,2,FALSE))*IF(main!$AK65="是",main!$BB$4,main!$BB$3))</f>
        <v>0</v>
      </c>
      <c r="L65" s="12">
        <f>IF(ISNUMBER(SEARCH("营",main!T65)),(-$Y65+50*IF(main!$AK65="是",main!$BB$4,main!$BB$3)),(VLOOKUP(main!T65,main!$AO$4:$AQ$55,2,FALSE))*IF(main!$AK65="是",main!$BB$4,main!$BB$3))</f>
        <v>0</v>
      </c>
      <c r="M65" s="12">
        <f>IF(ISNUMBER(SEARCH("营",main!U65)),(-$Y65+50*IF(main!$AK65="是",main!$BB$4,main!$BB$3)),(VLOOKUP(main!U65,main!$AO$4:$AQ$55,2,FALSE))*IF(main!$AK65="是",main!$BB$4,main!$BB$3))</f>
        <v>0</v>
      </c>
      <c r="N65" s="12">
        <f>IF(ISNUMBER(SEARCH("营",main!V65)),(-$Y65+50*IF(main!$AK65="是",main!$BB$4,main!$BB$3)),(VLOOKUP(main!V65,main!$AO$4:$AQ$55,2,FALSE))*IF(main!$AK65="是",main!$BB$4,main!$BB$3))</f>
        <v>0</v>
      </c>
      <c r="O65" s="12">
        <f>IF(ISNUMBER(SEARCH("营",main!W65)),(-$Y65+50*IF(main!$AK65="是",main!$BB$4,main!$BB$3)),(VLOOKUP(main!W65,main!$AO$4:$AQ$55,2,FALSE))*IF(main!$AK65="是",main!$BB$4,main!$BB$3))</f>
        <v>0</v>
      </c>
      <c r="P65" s="12">
        <f>IF(ISNUMBER(SEARCH("营",main!X65)),(-$Y65+50*IF(main!$AK65="是",main!$BB$4,main!$BB$3)),(VLOOKUP(main!X65,main!$AO$4:$AQ$55,2,FALSE))*IF(main!$AK65="是",main!$BB$4,main!$BB$3))</f>
        <v>0</v>
      </c>
      <c r="Q65" s="12">
        <f>IF(ISNUMBER(SEARCH("营",main!Y65)),(-$Y65+50*IF(main!$AK65="是",main!$BB$4,main!$BB$3)),(VLOOKUP(main!Y65,main!$AO$4:$AQ$55,2,FALSE))*IF(main!$AK65="是",main!$BB$4,main!$BB$3))</f>
        <v>128</v>
      </c>
      <c r="R65" s="12">
        <f>IF(ISNUMBER(SEARCH("营",main!Z65)),(-$Y65+50*IF(main!$AK65="是",main!$BB$4,main!$BB$3)),(VLOOKUP(main!Z65,main!$AO$4:$AQ$55,2,FALSE))*IF(main!$AK65="是",main!$BB$4,main!$BB$3))</f>
        <v>128</v>
      </c>
      <c r="S65" s="12">
        <f>IF(ISNUMBER(SEARCH("营",main!AA65)),(-$Y65+50*IF(main!$AK65="是",main!$BB$4,main!$BB$3)),(VLOOKUP(main!AA65,main!$AO$4:$AQ$55,2,FALSE))*IF(main!$AK65="是",main!$BB$4,main!$BB$3))</f>
        <v>128</v>
      </c>
      <c r="T65" s="12">
        <f>IF(ISNUMBER(SEARCH("营",main!AB65)),(-$Y65+50*IF(main!$AK65="是",main!$BB$4,main!$BB$3)),(VLOOKUP(main!AB65,main!$AO$4:$AQ$55,2,FALSE))*IF(main!$AK65="是",main!$BB$4,main!$BB$3))</f>
        <v>128</v>
      </c>
      <c r="U65" s="12">
        <f>IF(ISNUMBER(SEARCH("营",main!AC65)),(-$Y65+50*IF(main!$AK65="是",main!$BB$4,main!$BB$3)),(VLOOKUP(main!AC65,main!$AO$4:$AQ$55,2,FALSE))*IF(main!$AK65="是",main!$BB$4,main!$BB$3))</f>
        <v>128</v>
      </c>
      <c r="V65" s="12">
        <f>IF(ISNUMBER(SEARCH("营",main!AD65)),(-$Y65+50*IF(main!$AK65="是",main!$BB$4,main!$BB$3)),(VLOOKUP(main!AD65,main!$AO$4:$AQ$55,2,FALSE))*IF(main!$AK65="是",main!$BB$4,main!$BB$3))</f>
        <v>128</v>
      </c>
      <c r="W65" s="12">
        <f>IF(ISNUMBER(SEARCH("营",main!AE65)),(-$Y65+50*IF(main!$AK65="是",main!$BB$4,main!$BB$3)),(VLOOKUP(main!AE65,main!$AO$4:$AQ$55,2,FALSE))*IF(main!$AK65="是",main!$BB$4,main!$BB$3))</f>
        <v>0</v>
      </c>
      <c r="X65" s="12">
        <f>IF(ISNUMBER(SEARCH("营",main!AF65)),(-$Y65+50*IF(main!$AK65="是",main!$BB$4,main!$BB$3)),(VLOOKUP(main!AF65,main!$AO$4:$AQ$55,2,FALSE))*IF(main!$AK65="是",main!$BB$4,main!$BB$3))</f>
        <v>0</v>
      </c>
      <c r="Y65" s="96">
        <v>150</v>
      </c>
      <c r="Z65" s="97">
        <v>46337</v>
      </c>
      <c r="AA65">
        <v>62</v>
      </c>
    </row>
    <row r="66" spans="1:27">
      <c r="A66" s="12">
        <f>IF(ISNUMBER(SEARCH("营",main!I66)),(-$Y66+50*IF(main!$AK66="是",main!$BB$4,main!$BB$3)),(VLOOKUP(main!I66,main!$AO$4:$AQ$55,2,FALSE))*IF(main!$AK66="是",main!$BB$4,main!$BB$3))</f>
        <v>0</v>
      </c>
      <c r="B66" s="12">
        <f>IF(ISNUMBER(SEARCH("营",main!J66)),(-$Y66+50*IF(main!$AK66="是",main!$BB$4,main!$BB$3)),(VLOOKUP(main!J66,main!$AO$4:$AQ$55,2,FALSE))*IF(main!$AK66="是",main!$BB$4,main!$BB$3))</f>
        <v>0</v>
      </c>
      <c r="C66" s="12">
        <f>IF(ISNUMBER(SEARCH("营",main!K66)),(-$Y66+50*IF(main!$AK66="是",main!$BB$4,main!$BB$3)),(VLOOKUP(main!K66,main!$AO$4:$AQ$55,2,FALSE))*IF(main!$AK66="是",main!$BB$4,main!$BB$3))</f>
        <v>0</v>
      </c>
      <c r="D66" s="12">
        <f>IF(ISNUMBER(SEARCH("营",main!L66)),(-$Y66+50*IF(main!$AK66="是",main!$BB$4,main!$BB$3)),(VLOOKUP(main!L66,main!$AO$4:$AQ$55,2,FALSE))*IF(main!$AK66="是",main!$BB$4,main!$BB$3))</f>
        <v>0</v>
      </c>
      <c r="E66" s="12">
        <f>IF(ISNUMBER(SEARCH("营",main!M66)),(-$Y66+50*IF(main!$AK66="是",main!$BB$4,main!$BB$3)),(VLOOKUP(main!M66,main!$AO$4:$AQ$55,2,FALSE))*IF(main!$AK66="是",main!$BB$4,main!$BB$3))</f>
        <v>0</v>
      </c>
      <c r="F66" s="12">
        <f>IF(ISNUMBER(SEARCH("营",main!N66)),(-$Y66+50*IF(main!$AK66="是",main!$BB$4,main!$BB$3)),(VLOOKUP(main!N66,main!$AO$4:$AQ$55,2,FALSE))*IF(main!$AK66="是",main!$BB$4,main!$BB$3))</f>
        <v>0</v>
      </c>
      <c r="G66" s="12">
        <f>IF(ISNUMBER(SEARCH("营",main!O66)),(-$Y66+50*IF(main!$AK66="是",main!$BB$4,main!$BB$3)),(VLOOKUP(main!O66,main!$AO$4:$AQ$55,2,FALSE))*IF(main!$AK66="是",main!$BB$4,main!$BB$3))</f>
        <v>0</v>
      </c>
      <c r="H66" s="12">
        <f>IF(ISNUMBER(SEARCH("营",main!P66)),(-$Y66+50*IF(main!$AK66="是",main!$BB$4,main!$BB$3)),(VLOOKUP(main!P66,main!$AO$4:$AQ$55,2,FALSE))*IF(main!$AK66="是",main!$BB$4,main!$BB$3))</f>
        <v>0</v>
      </c>
      <c r="I66" s="12">
        <f>IF(ISNUMBER(SEARCH("营",main!Q66)),(-$Y66+50*IF(main!$AK66="是",main!$BB$4,main!$BB$3)),(VLOOKUP(main!Q66,main!$AO$4:$AQ$55,2,FALSE))*IF(main!$AK66="是",main!$BB$4,main!$BB$3))</f>
        <v>120</v>
      </c>
      <c r="J66" s="12">
        <f>IF(ISNUMBER(SEARCH("营",main!R66)),(-$Y66+50*IF(main!$AK66="是",main!$BB$4,main!$BB$3)),(VLOOKUP(main!R66,main!$AO$4:$AQ$55,2,FALSE))*IF(main!$AK66="是",main!$BB$4,main!$BB$3))</f>
        <v>120</v>
      </c>
      <c r="K66" s="12">
        <f>IF(ISNUMBER(SEARCH("营",main!S66)),(-$Y66+50*IF(main!$AK66="是",main!$BB$4,main!$BB$3)),(VLOOKUP(main!S66,main!$AO$4:$AQ$55,2,FALSE))*IF(main!$AK66="是",main!$BB$4,main!$BB$3))</f>
        <v>120</v>
      </c>
      <c r="L66" s="12">
        <f>IF(ISNUMBER(SEARCH("营",main!T66)),(-$Y66+50*IF(main!$AK66="是",main!$BB$4,main!$BB$3)),(VLOOKUP(main!T66,main!$AO$4:$AQ$55,2,FALSE))*IF(main!$AK66="是",main!$BB$4,main!$BB$3))</f>
        <v>120</v>
      </c>
      <c r="M66" s="12">
        <f>IF(ISNUMBER(SEARCH("营",main!U66)),(-$Y66+50*IF(main!$AK66="是",main!$BB$4,main!$BB$3)),(VLOOKUP(main!U66,main!$AO$4:$AQ$55,2,FALSE))*IF(main!$AK66="是",main!$BB$4,main!$BB$3))</f>
        <v>120</v>
      </c>
      <c r="N66" s="12">
        <f>IF(ISNUMBER(SEARCH("营",main!V66)),(-$Y66+50*IF(main!$AK66="是",main!$BB$4,main!$BB$3)),(VLOOKUP(main!V66,main!$AO$4:$AQ$55,2,FALSE))*IF(main!$AK66="是",main!$BB$4,main!$BB$3))</f>
        <v>120</v>
      </c>
      <c r="O66" s="12">
        <f>IF(ISNUMBER(SEARCH("营",main!W66)),(-$Y66+50*IF(main!$AK66="是",main!$BB$4,main!$BB$3)),(VLOOKUP(main!W66,main!$AO$4:$AQ$55,2,FALSE))*IF(main!$AK66="是",main!$BB$4,main!$BB$3))</f>
        <v>0</v>
      </c>
      <c r="P66" s="12">
        <f>IF(ISNUMBER(SEARCH("营",main!X66)),(-$Y66+50*IF(main!$AK66="是",main!$BB$4,main!$BB$3)),(VLOOKUP(main!X66,main!$AO$4:$AQ$55,2,FALSE))*IF(main!$AK66="是",main!$BB$4,main!$BB$3))</f>
        <v>0</v>
      </c>
      <c r="Q66" s="12">
        <f>IF(ISNUMBER(SEARCH("营",main!Y66)),(-$Y66+50*IF(main!$AK66="是",main!$BB$4,main!$BB$3)),(VLOOKUP(main!Y66,main!$AO$4:$AQ$55,2,FALSE))*IF(main!$AK66="是",main!$BB$4,main!$BB$3))</f>
        <v>128</v>
      </c>
      <c r="R66" s="12">
        <f>IF(ISNUMBER(SEARCH("营",main!Z66)),(-$Y66+50*IF(main!$AK66="是",main!$BB$4,main!$BB$3)),(VLOOKUP(main!Z66,main!$AO$4:$AQ$55,2,FALSE))*IF(main!$AK66="是",main!$BB$4,main!$BB$3))</f>
        <v>128</v>
      </c>
      <c r="S66" s="12">
        <f>IF(ISNUMBER(SEARCH("营",main!AA66)),(-$Y66+50*IF(main!$AK66="是",main!$BB$4,main!$BB$3)),(VLOOKUP(main!AA66,main!$AO$4:$AQ$55,2,FALSE))*IF(main!$AK66="是",main!$BB$4,main!$BB$3))</f>
        <v>128</v>
      </c>
      <c r="T66" s="12">
        <f>IF(ISNUMBER(SEARCH("营",main!AB66)),(-$Y66+50*IF(main!$AK66="是",main!$BB$4,main!$BB$3)),(VLOOKUP(main!AB66,main!$AO$4:$AQ$55,2,FALSE))*IF(main!$AK66="是",main!$BB$4,main!$BB$3))</f>
        <v>128</v>
      </c>
      <c r="U66" s="12">
        <f>IF(ISNUMBER(SEARCH("营",main!AC66)),(-$Y66+50*IF(main!$AK66="是",main!$BB$4,main!$BB$3)),(VLOOKUP(main!AC66,main!$AO$4:$AQ$55,2,FALSE))*IF(main!$AK66="是",main!$BB$4,main!$BB$3))</f>
        <v>128</v>
      </c>
      <c r="V66" s="12">
        <f>IF(ISNUMBER(SEARCH("营",main!AD66)),(-$Y66+50*IF(main!$AK66="是",main!$BB$4,main!$BB$3)),(VLOOKUP(main!AD66,main!$AO$4:$AQ$55,2,FALSE))*IF(main!$AK66="是",main!$BB$4,main!$BB$3))</f>
        <v>128</v>
      </c>
      <c r="W66" s="12">
        <f>IF(ISNUMBER(SEARCH("营",main!AE66)),(-$Y66+50*IF(main!$AK66="是",main!$BB$4,main!$BB$3)),(VLOOKUP(main!AE66,main!$AO$4:$AQ$55,2,FALSE))*IF(main!$AK66="是",main!$BB$4,main!$BB$3))</f>
        <v>0</v>
      </c>
      <c r="X66" s="12">
        <f>IF(ISNUMBER(SEARCH("营",main!AF66)),(-$Y66+50*IF(main!$AK66="是",main!$BB$4,main!$BB$3)),(VLOOKUP(main!AF66,main!$AO$4:$AQ$55,2,FALSE))*IF(main!$AK66="是",main!$BB$4,main!$BB$3))</f>
        <v>0</v>
      </c>
      <c r="Y66" s="96">
        <v>150</v>
      </c>
      <c r="Z66" s="97">
        <v>46338</v>
      </c>
      <c r="AA66">
        <v>63</v>
      </c>
    </row>
    <row r="67" spans="1:27">
      <c r="A67" s="12">
        <f>IF(ISNUMBER(SEARCH("营",main!I67)),(-$Y67+50*IF(main!$AK67="是",main!$BB$4,main!$BB$3)),(VLOOKUP(main!I67,main!$AO$4:$AQ$55,2,FALSE))*IF(main!$AK67="是",main!$BB$4,main!$BB$3))</f>
        <v>0</v>
      </c>
      <c r="B67" s="12">
        <f>IF(ISNUMBER(SEARCH("营",main!J67)),(-$Y67+50*IF(main!$AK67="是",main!$BB$4,main!$BB$3)),(VLOOKUP(main!J67,main!$AO$4:$AQ$55,2,FALSE))*IF(main!$AK67="是",main!$BB$4,main!$BB$3))</f>
        <v>0</v>
      </c>
      <c r="C67" s="12">
        <f>IF(ISNUMBER(SEARCH("营",main!K67)),(-$Y67+50*IF(main!$AK67="是",main!$BB$4,main!$BB$3)),(VLOOKUP(main!K67,main!$AO$4:$AQ$55,2,FALSE))*IF(main!$AK67="是",main!$BB$4,main!$BB$3))</f>
        <v>0</v>
      </c>
      <c r="D67" s="12">
        <f>IF(ISNUMBER(SEARCH("营",main!L67)),(-$Y67+50*IF(main!$AK67="是",main!$BB$4,main!$BB$3)),(VLOOKUP(main!L67,main!$AO$4:$AQ$55,2,FALSE))*IF(main!$AK67="是",main!$BB$4,main!$BB$3))</f>
        <v>0</v>
      </c>
      <c r="E67" s="12">
        <f>IF(ISNUMBER(SEARCH("营",main!M67)),(-$Y67+50*IF(main!$AK67="是",main!$BB$4,main!$BB$3)),(VLOOKUP(main!M67,main!$AO$4:$AQ$55,2,FALSE))*IF(main!$AK67="是",main!$BB$4,main!$BB$3))</f>
        <v>0</v>
      </c>
      <c r="F67" s="12">
        <f>IF(ISNUMBER(SEARCH("营",main!N67)),(-$Y67+50*IF(main!$AK67="是",main!$BB$4,main!$BB$3)),(VLOOKUP(main!N67,main!$AO$4:$AQ$55,2,FALSE))*IF(main!$AK67="是",main!$BB$4,main!$BB$3))</f>
        <v>0</v>
      </c>
      <c r="G67" s="12">
        <f>IF(ISNUMBER(SEARCH("营",main!O67)),(-$Y67+50*IF(main!$AK67="是",main!$BB$4,main!$BB$3)),(VLOOKUP(main!O67,main!$AO$4:$AQ$55,2,FALSE))*IF(main!$AK67="是",main!$BB$4,main!$BB$3))</f>
        <v>0</v>
      </c>
      <c r="H67" s="12">
        <f>IF(ISNUMBER(SEARCH("营",main!P67)),(-$Y67+50*IF(main!$AK67="是",main!$BB$4,main!$BB$3)),(VLOOKUP(main!P67,main!$AO$4:$AQ$55,2,FALSE))*IF(main!$AK67="是",main!$BB$4,main!$BB$3))</f>
        <v>0</v>
      </c>
      <c r="I67" s="12">
        <f>IF(ISNUMBER(SEARCH("营",main!Q67)),(-$Y67+50*IF(main!$AK67="是",main!$BB$4,main!$BB$3)),(VLOOKUP(main!Q67,main!$AO$4:$AQ$55,2,FALSE))*IF(main!$AK67="是",main!$BB$4,main!$BB$3))</f>
        <v>120</v>
      </c>
      <c r="J67" s="12">
        <f>IF(ISNUMBER(SEARCH("营",main!R67)),(-$Y67+50*IF(main!$AK67="是",main!$BB$4,main!$BB$3)),(VLOOKUP(main!R67,main!$AO$4:$AQ$55,2,FALSE))*IF(main!$AK67="是",main!$BB$4,main!$BB$3))</f>
        <v>120</v>
      </c>
      <c r="K67" s="12">
        <f>IF(ISNUMBER(SEARCH("营",main!S67)),(-$Y67+50*IF(main!$AK67="是",main!$BB$4,main!$BB$3)),(VLOOKUP(main!S67,main!$AO$4:$AQ$55,2,FALSE))*IF(main!$AK67="是",main!$BB$4,main!$BB$3))</f>
        <v>120</v>
      </c>
      <c r="L67" s="12">
        <f>IF(ISNUMBER(SEARCH("营",main!T67)),(-$Y67+50*IF(main!$AK67="是",main!$BB$4,main!$BB$3)),(VLOOKUP(main!T67,main!$AO$4:$AQ$55,2,FALSE))*IF(main!$AK67="是",main!$BB$4,main!$BB$3))</f>
        <v>120</v>
      </c>
      <c r="M67" s="12">
        <f>IF(ISNUMBER(SEARCH("营",main!U67)),(-$Y67+50*IF(main!$AK67="是",main!$BB$4,main!$BB$3)),(VLOOKUP(main!U67,main!$AO$4:$AQ$55,2,FALSE))*IF(main!$AK67="是",main!$BB$4,main!$BB$3))</f>
        <v>120</v>
      </c>
      <c r="N67" s="12">
        <f>IF(ISNUMBER(SEARCH("营",main!V67)),(-$Y67+50*IF(main!$AK67="是",main!$BB$4,main!$BB$3)),(VLOOKUP(main!V67,main!$AO$4:$AQ$55,2,FALSE))*IF(main!$AK67="是",main!$BB$4,main!$BB$3))</f>
        <v>120</v>
      </c>
      <c r="O67" s="12">
        <f>IF(ISNUMBER(SEARCH("营",main!W67)),(-$Y67+50*IF(main!$AK67="是",main!$BB$4,main!$BB$3)),(VLOOKUP(main!W67,main!$AO$4:$AQ$55,2,FALSE))*IF(main!$AK67="是",main!$BB$4,main!$BB$3))</f>
        <v>0</v>
      </c>
      <c r="P67" s="12">
        <f>IF(ISNUMBER(SEARCH("营",main!X67)),(-$Y67+50*IF(main!$AK67="是",main!$BB$4,main!$BB$3)),(VLOOKUP(main!X67,main!$AO$4:$AQ$55,2,FALSE))*IF(main!$AK67="是",main!$BB$4,main!$BB$3))</f>
        <v>0</v>
      </c>
      <c r="Q67" s="12">
        <f>IF(ISNUMBER(SEARCH("营",main!Y67)),(-$Y67+50*IF(main!$AK67="是",main!$BB$4,main!$BB$3)),(VLOOKUP(main!Y67,main!$AO$4:$AQ$55,2,FALSE))*IF(main!$AK67="是",main!$BB$4,main!$BB$3))</f>
        <v>128</v>
      </c>
      <c r="R67" s="12">
        <f>IF(ISNUMBER(SEARCH("营",main!Z67)),(-$Y67+50*IF(main!$AK67="是",main!$BB$4,main!$BB$3)),(VLOOKUP(main!Z67,main!$AO$4:$AQ$55,2,FALSE))*IF(main!$AK67="是",main!$BB$4,main!$BB$3))</f>
        <v>128</v>
      </c>
      <c r="S67" s="12">
        <f>IF(ISNUMBER(SEARCH("营",main!AA67)),(-$Y67+50*IF(main!$AK67="是",main!$BB$4,main!$BB$3)),(VLOOKUP(main!AA67,main!$AO$4:$AQ$55,2,FALSE))*IF(main!$AK67="是",main!$BB$4,main!$BB$3))</f>
        <v>128</v>
      </c>
      <c r="T67" s="12">
        <f>IF(ISNUMBER(SEARCH("营",main!AB67)),(-$Y67+50*IF(main!$AK67="是",main!$BB$4,main!$BB$3)),(VLOOKUP(main!AB67,main!$AO$4:$AQ$55,2,FALSE))*IF(main!$AK67="是",main!$BB$4,main!$BB$3))</f>
        <v>128</v>
      </c>
      <c r="U67" s="12">
        <f>IF(ISNUMBER(SEARCH("营",main!AC67)),(-$Y67+50*IF(main!$AK67="是",main!$BB$4,main!$BB$3)),(VLOOKUP(main!AC67,main!$AO$4:$AQ$55,2,FALSE))*IF(main!$AK67="是",main!$BB$4,main!$BB$3))</f>
        <v>128</v>
      </c>
      <c r="V67" s="12">
        <f>IF(ISNUMBER(SEARCH("营",main!AD67)),(-$Y67+50*IF(main!$AK67="是",main!$BB$4,main!$BB$3)),(VLOOKUP(main!AD67,main!$AO$4:$AQ$55,2,FALSE))*IF(main!$AK67="是",main!$BB$4,main!$BB$3))</f>
        <v>128</v>
      </c>
      <c r="W67" s="12">
        <f>IF(ISNUMBER(SEARCH("营",main!AE67)),(-$Y67+50*IF(main!$AK67="是",main!$BB$4,main!$BB$3)),(VLOOKUP(main!AE67,main!$AO$4:$AQ$55,2,FALSE))*IF(main!$AK67="是",main!$BB$4,main!$BB$3))</f>
        <v>0</v>
      </c>
      <c r="X67" s="12">
        <f>IF(ISNUMBER(SEARCH("营",main!AF67)),(-$Y67+50*IF(main!$AK67="是",main!$BB$4,main!$BB$3)),(VLOOKUP(main!AF67,main!$AO$4:$AQ$55,2,FALSE))*IF(main!$AK67="是",main!$BB$4,main!$BB$3))</f>
        <v>0</v>
      </c>
      <c r="Y67" s="98">
        <v>100</v>
      </c>
      <c r="Z67" s="95">
        <v>46339</v>
      </c>
      <c r="AA67">
        <v>64</v>
      </c>
    </row>
    <row r="68" spans="1:27">
      <c r="A68" s="12">
        <f>IF(ISNUMBER(SEARCH("营",main!I68)),(-$Y68+50*IF(main!$AK68="是",main!$BB$4,main!$BB$3)),(VLOOKUP(main!I68,main!$AO$4:$AQ$55,2,FALSE))*IF(main!$AK68="是",main!$BB$4,main!$BB$3))</f>
        <v>0</v>
      </c>
      <c r="B68" s="12">
        <f>IF(ISNUMBER(SEARCH("营",main!J68)),(-$Y68+50*IF(main!$AK68="是",main!$BB$4,main!$BB$3)),(VLOOKUP(main!J68,main!$AO$4:$AQ$55,2,FALSE))*IF(main!$AK68="是",main!$BB$4,main!$BB$3))</f>
        <v>0</v>
      </c>
      <c r="C68" s="12">
        <f>IF(ISNUMBER(SEARCH("营",main!K68)),(-$Y68+50*IF(main!$AK68="是",main!$BB$4,main!$BB$3)),(VLOOKUP(main!K68,main!$AO$4:$AQ$55,2,FALSE))*IF(main!$AK68="是",main!$BB$4,main!$BB$3))</f>
        <v>0</v>
      </c>
      <c r="D68" s="12">
        <f>IF(ISNUMBER(SEARCH("营",main!L68)),(-$Y68+50*IF(main!$AK68="是",main!$BB$4,main!$BB$3)),(VLOOKUP(main!L68,main!$AO$4:$AQ$55,2,FALSE))*IF(main!$AK68="是",main!$BB$4,main!$BB$3))</f>
        <v>0</v>
      </c>
      <c r="E68" s="12">
        <f>IF(ISNUMBER(SEARCH("营",main!M68)),(-$Y68+50*IF(main!$AK68="是",main!$BB$4,main!$BB$3)),(VLOOKUP(main!M68,main!$AO$4:$AQ$55,2,FALSE))*IF(main!$AK68="是",main!$BB$4,main!$BB$3))</f>
        <v>0</v>
      </c>
      <c r="F68" s="12">
        <f>IF(ISNUMBER(SEARCH("营",main!N68)),(-$Y68+50*IF(main!$AK68="是",main!$BB$4,main!$BB$3)),(VLOOKUP(main!N68,main!$AO$4:$AQ$55,2,FALSE))*IF(main!$AK68="是",main!$BB$4,main!$BB$3))</f>
        <v>0</v>
      </c>
      <c r="G68" s="12">
        <f>IF(ISNUMBER(SEARCH("营",main!O68)),(-$Y68+50*IF(main!$AK68="是",main!$BB$4,main!$BB$3)),(VLOOKUP(main!O68,main!$AO$4:$AQ$55,2,FALSE))*IF(main!$AK68="是",main!$BB$4,main!$BB$3))</f>
        <v>0</v>
      </c>
      <c r="H68" s="12">
        <f>IF(ISNUMBER(SEARCH("营",main!P68)),(-$Y68+50*IF(main!$AK68="是",main!$BB$4,main!$BB$3)),(VLOOKUP(main!P68,main!$AO$4:$AQ$55,2,FALSE))*IF(main!$AK68="是",main!$BB$4,main!$BB$3))</f>
        <v>0</v>
      </c>
      <c r="I68" s="12">
        <f>IF(ISNUMBER(SEARCH("营",main!Q68)),(-$Y68+50*IF(main!$AK68="是",main!$BB$4,main!$BB$3)),(VLOOKUP(main!Q68,main!$AO$4:$AQ$55,2,FALSE))*IF(main!$AK68="是",main!$BB$4,main!$BB$3))</f>
        <v>120</v>
      </c>
      <c r="J68" s="12">
        <f>IF(ISNUMBER(SEARCH("营",main!R68)),(-$Y68+50*IF(main!$AK68="是",main!$BB$4,main!$BB$3)),(VLOOKUP(main!R68,main!$AO$4:$AQ$55,2,FALSE))*IF(main!$AK68="是",main!$BB$4,main!$BB$3))</f>
        <v>120</v>
      </c>
      <c r="K68" s="12">
        <f>IF(ISNUMBER(SEARCH("营",main!S68)),(-$Y68+50*IF(main!$AK68="是",main!$BB$4,main!$BB$3)),(VLOOKUP(main!S68,main!$AO$4:$AQ$55,2,FALSE))*IF(main!$AK68="是",main!$BB$4,main!$BB$3))</f>
        <v>120</v>
      </c>
      <c r="L68" s="12">
        <f>IF(ISNUMBER(SEARCH("营",main!T68)),(-$Y68+50*IF(main!$AK68="是",main!$BB$4,main!$BB$3)),(VLOOKUP(main!T68,main!$AO$4:$AQ$55,2,FALSE))*IF(main!$AK68="是",main!$BB$4,main!$BB$3))</f>
        <v>120</v>
      </c>
      <c r="M68" s="12">
        <f>IF(ISNUMBER(SEARCH("营",main!U68)),(-$Y68+50*IF(main!$AK68="是",main!$BB$4,main!$BB$3)),(VLOOKUP(main!U68,main!$AO$4:$AQ$55,2,FALSE))*IF(main!$AK68="是",main!$BB$4,main!$BB$3))</f>
        <v>120</v>
      </c>
      <c r="N68" s="12">
        <f>IF(ISNUMBER(SEARCH("营",main!V68)),(-$Y68+50*IF(main!$AK68="是",main!$BB$4,main!$BB$3)),(VLOOKUP(main!V68,main!$AO$4:$AQ$55,2,FALSE))*IF(main!$AK68="是",main!$BB$4,main!$BB$3))</f>
        <v>120</v>
      </c>
      <c r="O68" s="12">
        <f>IF(ISNUMBER(SEARCH("营",main!W68)),(-$Y68+50*IF(main!$AK68="是",main!$BB$4,main!$BB$3)),(VLOOKUP(main!W68,main!$AO$4:$AQ$55,2,FALSE))*IF(main!$AK68="是",main!$BB$4,main!$BB$3))</f>
        <v>0</v>
      </c>
      <c r="P68" s="12">
        <f>IF(ISNUMBER(SEARCH("营",main!X68)),(-$Y68+50*IF(main!$AK68="是",main!$BB$4,main!$BB$3)),(VLOOKUP(main!X68,main!$AO$4:$AQ$55,2,FALSE))*IF(main!$AK68="是",main!$BB$4,main!$BB$3))</f>
        <v>0</v>
      </c>
      <c r="Q68" s="12">
        <f>IF(ISNUMBER(SEARCH("营",main!Y68)),(-$Y68+50*IF(main!$AK68="是",main!$BB$4,main!$BB$3)),(VLOOKUP(main!Y68,main!$AO$4:$AQ$55,2,FALSE))*IF(main!$AK68="是",main!$BB$4,main!$BB$3))</f>
        <v>128</v>
      </c>
      <c r="R68" s="12">
        <f>IF(ISNUMBER(SEARCH("营",main!Z68)),(-$Y68+50*IF(main!$AK68="是",main!$BB$4,main!$BB$3)),(VLOOKUP(main!Z68,main!$AO$4:$AQ$55,2,FALSE))*IF(main!$AK68="是",main!$BB$4,main!$BB$3))</f>
        <v>128</v>
      </c>
      <c r="S68" s="12">
        <f>IF(ISNUMBER(SEARCH("营",main!AA68)),(-$Y68+50*IF(main!$AK68="是",main!$BB$4,main!$BB$3)),(VLOOKUP(main!AA68,main!$AO$4:$AQ$55,2,FALSE))*IF(main!$AK68="是",main!$BB$4,main!$BB$3))</f>
        <v>128</v>
      </c>
      <c r="T68" s="12">
        <f>IF(ISNUMBER(SEARCH("营",main!AB68)),(-$Y68+50*IF(main!$AK68="是",main!$BB$4,main!$BB$3)),(VLOOKUP(main!AB68,main!$AO$4:$AQ$55,2,FALSE))*IF(main!$AK68="是",main!$BB$4,main!$BB$3))</f>
        <v>128</v>
      </c>
      <c r="U68" s="12">
        <f>IF(ISNUMBER(SEARCH("营",main!AC68)),(-$Y68+50*IF(main!$AK68="是",main!$BB$4,main!$BB$3)),(VLOOKUP(main!AC68,main!$AO$4:$AQ$55,2,FALSE))*IF(main!$AK68="是",main!$BB$4,main!$BB$3))</f>
        <v>128</v>
      </c>
      <c r="V68" s="12">
        <f>IF(ISNUMBER(SEARCH("营",main!AD68)),(-$Y68+50*IF(main!$AK68="是",main!$BB$4,main!$BB$3)),(VLOOKUP(main!AD68,main!$AO$4:$AQ$55,2,FALSE))*IF(main!$AK68="是",main!$BB$4,main!$BB$3))</f>
        <v>128</v>
      </c>
      <c r="W68" s="12">
        <f>IF(ISNUMBER(SEARCH("营",main!AE68)),(-$Y68+50*IF(main!$AK68="是",main!$BB$4,main!$BB$3)),(VLOOKUP(main!AE68,main!$AO$4:$AQ$55,2,FALSE))*IF(main!$AK68="是",main!$BB$4,main!$BB$3))</f>
        <v>0</v>
      </c>
      <c r="X68" s="12">
        <f>IF(ISNUMBER(SEARCH("营",main!AF68)),(-$Y68+50*IF(main!$AK68="是",main!$BB$4,main!$BB$3)),(VLOOKUP(main!AF68,main!$AO$4:$AQ$55,2,FALSE))*IF(main!$AK68="是",main!$BB$4,main!$BB$3))</f>
        <v>0</v>
      </c>
      <c r="Y68" s="98">
        <v>100</v>
      </c>
      <c r="Z68" s="95">
        <v>46340</v>
      </c>
      <c r="AA68">
        <v>65</v>
      </c>
    </row>
    <row r="69" spans="1:27">
      <c r="A69" s="12">
        <f>IF(ISNUMBER(SEARCH("营",main!I69)),(-$Y69+50*IF(main!$AK69="是",main!$BB$4,main!$BB$3)),(VLOOKUP(main!I69,main!$AO$4:$AQ$55,2,FALSE))*IF(main!$AK69="是",main!$BB$4,main!$BB$3))</f>
        <v>0</v>
      </c>
      <c r="B69" s="12">
        <f>IF(ISNUMBER(SEARCH("营",main!J69)),(-$Y69+50*IF(main!$AK69="是",main!$BB$4,main!$BB$3)),(VLOOKUP(main!J69,main!$AO$4:$AQ$55,2,FALSE))*IF(main!$AK69="是",main!$BB$4,main!$BB$3))</f>
        <v>0</v>
      </c>
      <c r="C69" s="12">
        <f>IF(ISNUMBER(SEARCH("营",main!K69)),(-$Y69+50*IF(main!$AK69="是",main!$BB$4,main!$BB$3)),(VLOOKUP(main!K69,main!$AO$4:$AQ$55,2,FALSE))*IF(main!$AK69="是",main!$BB$4,main!$BB$3))</f>
        <v>0</v>
      </c>
      <c r="D69" s="12">
        <f>IF(ISNUMBER(SEARCH("营",main!L69)),(-$Y69+50*IF(main!$AK69="是",main!$BB$4,main!$BB$3)),(VLOOKUP(main!L69,main!$AO$4:$AQ$55,2,FALSE))*IF(main!$AK69="是",main!$BB$4,main!$BB$3))</f>
        <v>0</v>
      </c>
      <c r="E69" s="12">
        <f>IF(ISNUMBER(SEARCH("营",main!M69)),(-$Y69+50*IF(main!$AK69="是",main!$BB$4,main!$BB$3)),(VLOOKUP(main!M69,main!$AO$4:$AQ$55,2,FALSE))*IF(main!$AK69="是",main!$BB$4,main!$BB$3))</f>
        <v>0</v>
      </c>
      <c r="F69" s="12">
        <f>IF(ISNUMBER(SEARCH("营",main!N69)),(-$Y69+50*IF(main!$AK69="是",main!$BB$4,main!$BB$3)),(VLOOKUP(main!N69,main!$AO$4:$AQ$55,2,FALSE))*IF(main!$AK69="是",main!$BB$4,main!$BB$3))</f>
        <v>0</v>
      </c>
      <c r="G69" s="12">
        <f>IF(ISNUMBER(SEARCH("营",main!O69)),(-$Y69+50*IF(main!$AK69="是",main!$BB$4,main!$BB$3)),(VLOOKUP(main!O69,main!$AO$4:$AQ$55,2,FALSE))*IF(main!$AK69="是",main!$BB$4,main!$BB$3))</f>
        <v>0</v>
      </c>
      <c r="H69" s="12">
        <f>IF(ISNUMBER(SEARCH("营",main!P69)),(-$Y69+50*IF(main!$AK69="是",main!$BB$4,main!$BB$3)),(VLOOKUP(main!P69,main!$AO$4:$AQ$55,2,FALSE))*IF(main!$AK69="是",main!$BB$4,main!$BB$3))</f>
        <v>0</v>
      </c>
      <c r="I69" s="12">
        <f>IF(ISNUMBER(SEARCH("营",main!Q69)),(-$Y69+50*IF(main!$AK69="是",main!$BB$4,main!$BB$3)),(VLOOKUP(main!Q69,main!$AO$4:$AQ$55,2,FALSE))*IF(main!$AK69="是",main!$BB$4,main!$BB$3))</f>
        <v>120</v>
      </c>
      <c r="J69" s="12">
        <f>IF(ISNUMBER(SEARCH("营",main!R69)),(-$Y69+50*IF(main!$AK69="是",main!$BB$4,main!$BB$3)),(VLOOKUP(main!R69,main!$AO$4:$AQ$55,2,FALSE))*IF(main!$AK69="是",main!$BB$4,main!$BB$3))</f>
        <v>120</v>
      </c>
      <c r="K69" s="12">
        <f>IF(ISNUMBER(SEARCH("营",main!S69)),(-$Y69+50*IF(main!$AK69="是",main!$BB$4,main!$BB$3)),(VLOOKUP(main!S69,main!$AO$4:$AQ$55,2,FALSE))*IF(main!$AK69="是",main!$BB$4,main!$BB$3))</f>
        <v>120</v>
      </c>
      <c r="L69" s="12">
        <f>IF(ISNUMBER(SEARCH("营",main!T69)),(-$Y69+50*IF(main!$AK69="是",main!$BB$4,main!$BB$3)),(VLOOKUP(main!T69,main!$AO$4:$AQ$55,2,FALSE))*IF(main!$AK69="是",main!$BB$4,main!$BB$3))</f>
        <v>120</v>
      </c>
      <c r="M69" s="12">
        <f>IF(ISNUMBER(SEARCH("营",main!U69)),(-$Y69+50*IF(main!$AK69="是",main!$BB$4,main!$BB$3)),(VLOOKUP(main!U69,main!$AO$4:$AQ$55,2,FALSE))*IF(main!$AK69="是",main!$BB$4,main!$BB$3))</f>
        <v>120</v>
      </c>
      <c r="N69" s="12">
        <f>IF(ISNUMBER(SEARCH("营",main!V69)),(-$Y69+50*IF(main!$AK69="是",main!$BB$4,main!$BB$3)),(VLOOKUP(main!V69,main!$AO$4:$AQ$55,2,FALSE))*IF(main!$AK69="是",main!$BB$4,main!$BB$3))</f>
        <v>120</v>
      </c>
      <c r="O69" s="12">
        <f>IF(ISNUMBER(SEARCH("营",main!W69)),(-$Y69+50*IF(main!$AK69="是",main!$BB$4,main!$BB$3)),(VLOOKUP(main!W69,main!$AO$4:$AQ$55,2,FALSE))*IF(main!$AK69="是",main!$BB$4,main!$BB$3))</f>
        <v>0</v>
      </c>
      <c r="P69" s="12">
        <f>IF(ISNUMBER(SEARCH("营",main!X69)),(-$Y69+50*IF(main!$AK69="是",main!$BB$4,main!$BB$3)),(VLOOKUP(main!X69,main!$AO$4:$AQ$55,2,FALSE))*IF(main!$AK69="是",main!$BB$4,main!$BB$3))</f>
        <v>0</v>
      </c>
      <c r="Q69" s="12">
        <f>IF(ISNUMBER(SEARCH("营",main!Y69)),(-$Y69+50*IF(main!$AK69="是",main!$BB$4,main!$BB$3)),(VLOOKUP(main!Y69,main!$AO$4:$AQ$55,2,FALSE))*IF(main!$AK69="是",main!$BB$4,main!$BB$3))</f>
        <v>128</v>
      </c>
      <c r="R69" s="12">
        <f>IF(ISNUMBER(SEARCH("营",main!Z69)),(-$Y69+50*IF(main!$AK69="是",main!$BB$4,main!$BB$3)),(VLOOKUP(main!Z69,main!$AO$4:$AQ$55,2,FALSE))*IF(main!$AK69="是",main!$BB$4,main!$BB$3))</f>
        <v>128</v>
      </c>
      <c r="S69" s="12">
        <f>IF(ISNUMBER(SEARCH("营",main!AA69)),(-$Y69+50*IF(main!$AK69="是",main!$BB$4,main!$BB$3)),(VLOOKUP(main!AA69,main!$AO$4:$AQ$55,2,FALSE))*IF(main!$AK69="是",main!$BB$4,main!$BB$3))</f>
        <v>128</v>
      </c>
      <c r="T69" s="12">
        <f>IF(ISNUMBER(SEARCH("营",main!AB69)),(-$Y69+50*IF(main!$AK69="是",main!$BB$4,main!$BB$3)),(VLOOKUP(main!AB69,main!$AO$4:$AQ$55,2,FALSE))*IF(main!$AK69="是",main!$BB$4,main!$BB$3))</f>
        <v>0</v>
      </c>
      <c r="U69" s="12">
        <f>IF(ISNUMBER(SEARCH("营",main!AC69)),(-$Y69+50*IF(main!$AK69="是",main!$BB$4,main!$BB$3)),(VLOOKUP(main!AC69,main!$AO$4:$AQ$55,2,FALSE))*IF(main!$AK69="是",main!$BB$4,main!$BB$3))</f>
        <v>0</v>
      </c>
      <c r="V69" s="12">
        <f>IF(ISNUMBER(SEARCH("营",main!AD69)),(-$Y69+50*IF(main!$AK69="是",main!$BB$4,main!$BB$3)),(VLOOKUP(main!AD69,main!$AO$4:$AQ$55,2,FALSE))*IF(main!$AK69="是",main!$BB$4,main!$BB$3))</f>
        <v>0</v>
      </c>
      <c r="W69" s="12">
        <f>IF(ISNUMBER(SEARCH("营",main!AE69)),(-$Y69+50*IF(main!$AK69="是",main!$BB$4,main!$BB$3)),(VLOOKUP(main!AE69,main!$AO$4:$AQ$55,2,FALSE))*IF(main!$AK69="是",main!$BB$4,main!$BB$3))</f>
        <v>0</v>
      </c>
      <c r="X69" s="12">
        <f>IF(ISNUMBER(SEARCH("营",main!AF69)),(-$Y69+50*IF(main!$AK69="是",main!$BB$4,main!$BB$3)),(VLOOKUP(main!AF69,main!$AO$4:$AQ$55,2,FALSE))*IF(main!$AK69="是",main!$BB$4,main!$BB$3))</f>
        <v>0</v>
      </c>
      <c r="Y69" s="98">
        <v>100</v>
      </c>
      <c r="Z69" s="95">
        <v>46341</v>
      </c>
      <c r="AA69">
        <v>66</v>
      </c>
    </row>
    <row r="70" spans="1:27">
      <c r="A70" s="12">
        <f>IF(ISNUMBER(SEARCH("营",main!I70)),(-$Y70+50*IF(main!$AK70="是",main!$BB$4,main!$BB$3)),(VLOOKUP(main!I70,main!$AO$4:$AQ$55,2,FALSE))*IF(main!$AK70="是",main!$BB$4,main!$BB$3))</f>
        <v>0</v>
      </c>
      <c r="B70" s="12">
        <f>IF(ISNUMBER(SEARCH("营",main!J70)),(-$Y70+50*IF(main!$AK70="是",main!$BB$4,main!$BB$3)),(VLOOKUP(main!J70,main!$AO$4:$AQ$55,2,FALSE))*IF(main!$AK70="是",main!$BB$4,main!$BB$3))</f>
        <v>0</v>
      </c>
      <c r="C70" s="12">
        <f>IF(ISNUMBER(SEARCH("营",main!K70)),(-$Y70+50*IF(main!$AK70="是",main!$BB$4,main!$BB$3)),(VLOOKUP(main!K70,main!$AO$4:$AQ$55,2,FALSE))*IF(main!$AK70="是",main!$BB$4,main!$BB$3))</f>
        <v>0</v>
      </c>
      <c r="D70" s="12">
        <f>IF(ISNUMBER(SEARCH("营",main!L70)),(-$Y70+50*IF(main!$AK70="是",main!$BB$4,main!$BB$3)),(VLOOKUP(main!L70,main!$AO$4:$AQ$55,2,FALSE))*IF(main!$AK70="是",main!$BB$4,main!$BB$3))</f>
        <v>0</v>
      </c>
      <c r="E70" s="12">
        <f>IF(ISNUMBER(SEARCH("营",main!M70)),(-$Y70+50*IF(main!$AK70="是",main!$BB$4,main!$BB$3)),(VLOOKUP(main!M70,main!$AO$4:$AQ$55,2,FALSE))*IF(main!$AK70="是",main!$BB$4,main!$BB$3))</f>
        <v>0</v>
      </c>
      <c r="F70" s="12">
        <f>IF(ISNUMBER(SEARCH("营",main!N70)),(-$Y70+50*IF(main!$AK70="是",main!$BB$4,main!$BB$3)),(VLOOKUP(main!N70,main!$AO$4:$AQ$55,2,FALSE))*IF(main!$AK70="是",main!$BB$4,main!$BB$3))</f>
        <v>0</v>
      </c>
      <c r="G70" s="12">
        <f>IF(ISNUMBER(SEARCH("营",main!O70)),(-$Y70+50*IF(main!$AK70="是",main!$BB$4,main!$BB$3)),(VLOOKUP(main!O70,main!$AO$4:$AQ$55,2,FALSE))*IF(main!$AK70="是",main!$BB$4,main!$BB$3))</f>
        <v>0</v>
      </c>
      <c r="H70" s="12">
        <f>IF(ISNUMBER(SEARCH("营",main!P70)),(-$Y70+50*IF(main!$AK70="是",main!$BB$4,main!$BB$3)),(VLOOKUP(main!P70,main!$AO$4:$AQ$55,2,FALSE))*IF(main!$AK70="是",main!$BB$4,main!$BB$3))</f>
        <v>0</v>
      </c>
      <c r="I70" s="12">
        <f>IF(ISNUMBER(SEARCH("营",main!Q70)),(-$Y70+50*IF(main!$AK70="是",main!$BB$4,main!$BB$3)),(VLOOKUP(main!Q70,main!$AO$4:$AQ$55,2,FALSE))*IF(main!$AK70="是",main!$BB$4,main!$BB$3))</f>
        <v>120</v>
      </c>
      <c r="J70" s="12">
        <f>IF(ISNUMBER(SEARCH("营",main!R70)),(-$Y70+50*IF(main!$AK70="是",main!$BB$4,main!$BB$3)),(VLOOKUP(main!R70,main!$AO$4:$AQ$55,2,FALSE))*IF(main!$AK70="是",main!$BB$4,main!$BB$3))</f>
        <v>120</v>
      </c>
      <c r="K70" s="12">
        <f>IF(ISNUMBER(SEARCH("营",main!S70)),(-$Y70+50*IF(main!$AK70="是",main!$BB$4,main!$BB$3)),(VLOOKUP(main!S70,main!$AO$4:$AQ$55,2,FALSE))*IF(main!$AK70="是",main!$BB$4,main!$BB$3))</f>
        <v>120</v>
      </c>
      <c r="L70" s="12">
        <f>IF(ISNUMBER(SEARCH("营",main!T70)),(-$Y70+50*IF(main!$AK70="是",main!$BB$4,main!$BB$3)),(VLOOKUP(main!T70,main!$AO$4:$AQ$55,2,FALSE))*IF(main!$AK70="是",main!$BB$4,main!$BB$3))</f>
        <v>120</v>
      </c>
      <c r="M70" s="12">
        <f>IF(ISNUMBER(SEARCH("营",main!U70)),(-$Y70+50*IF(main!$AK70="是",main!$BB$4,main!$BB$3)),(VLOOKUP(main!U70,main!$AO$4:$AQ$55,2,FALSE))*IF(main!$AK70="是",main!$BB$4,main!$BB$3))</f>
        <v>120</v>
      </c>
      <c r="N70" s="12">
        <f>IF(ISNUMBER(SEARCH("营",main!V70)),(-$Y70+50*IF(main!$AK70="是",main!$BB$4,main!$BB$3)),(VLOOKUP(main!V70,main!$AO$4:$AQ$55,2,FALSE))*IF(main!$AK70="是",main!$BB$4,main!$BB$3))</f>
        <v>120</v>
      </c>
      <c r="O70" s="12">
        <f>IF(ISNUMBER(SEARCH("营",main!W70)),(-$Y70+50*IF(main!$AK70="是",main!$BB$4,main!$BB$3)),(VLOOKUP(main!W70,main!$AO$4:$AQ$55,2,FALSE))*IF(main!$AK70="是",main!$BB$4,main!$BB$3))</f>
        <v>0</v>
      </c>
      <c r="P70" s="12">
        <f>IF(ISNUMBER(SEARCH("营",main!X70)),(-$Y70+50*IF(main!$AK70="是",main!$BB$4,main!$BB$3)),(VLOOKUP(main!X70,main!$AO$4:$AQ$55,2,FALSE))*IF(main!$AK70="是",main!$BB$4,main!$BB$3))</f>
        <v>0</v>
      </c>
      <c r="Q70" s="12">
        <f>IF(ISNUMBER(SEARCH("营",main!Y70)),(-$Y70+50*IF(main!$AK70="是",main!$BB$4,main!$BB$3)),(VLOOKUP(main!Y70,main!$AO$4:$AQ$55,2,FALSE))*IF(main!$AK70="是",main!$BB$4,main!$BB$3))</f>
        <v>0</v>
      </c>
      <c r="R70" s="12">
        <f>IF(ISNUMBER(SEARCH("营",main!Z70)),(-$Y70+50*IF(main!$AK70="是",main!$BB$4,main!$BB$3)),(VLOOKUP(main!Z70,main!$AO$4:$AQ$55,2,FALSE))*IF(main!$AK70="是",main!$BB$4,main!$BB$3))</f>
        <v>0</v>
      </c>
      <c r="S70" s="12">
        <f>IF(ISNUMBER(SEARCH("营",main!AA70)),(-$Y70+50*IF(main!$AK70="是",main!$BB$4,main!$BB$3)),(VLOOKUP(main!AA70,main!$AO$4:$AQ$55,2,FALSE))*IF(main!$AK70="是",main!$BB$4,main!$BB$3))</f>
        <v>0</v>
      </c>
      <c r="T70" s="12">
        <f>IF(ISNUMBER(SEARCH("营",main!AB70)),(-$Y70+50*IF(main!$AK70="是",main!$BB$4,main!$BB$3)),(VLOOKUP(main!AB70,main!$AO$4:$AQ$55,2,FALSE))*IF(main!$AK70="是",main!$BB$4,main!$BB$3))</f>
        <v>0</v>
      </c>
      <c r="U70" s="12">
        <f>IF(ISNUMBER(SEARCH("营",main!AC70)),(-$Y70+50*IF(main!$AK70="是",main!$BB$4,main!$BB$3)),(VLOOKUP(main!AC70,main!$AO$4:$AQ$55,2,FALSE))*IF(main!$AK70="是",main!$BB$4,main!$BB$3))</f>
        <v>0</v>
      </c>
      <c r="V70" s="12">
        <f>IF(ISNUMBER(SEARCH("营",main!AD70)),(-$Y70+50*IF(main!$AK70="是",main!$BB$4,main!$BB$3)),(VLOOKUP(main!AD70,main!$AO$4:$AQ$55,2,FALSE))*IF(main!$AK70="是",main!$BB$4,main!$BB$3))</f>
        <v>0</v>
      </c>
      <c r="W70" s="12">
        <f>IF(ISNUMBER(SEARCH("营",main!AE70)),(-$Y70+50*IF(main!$AK70="是",main!$BB$4,main!$BB$3)),(VLOOKUP(main!AE70,main!$AO$4:$AQ$55,2,FALSE))*IF(main!$AK70="是",main!$BB$4,main!$BB$3))</f>
        <v>0</v>
      </c>
      <c r="X70" s="12">
        <f>IF(ISNUMBER(SEARCH("营",main!AF70)),(-$Y70+50*IF(main!$AK70="是",main!$BB$4,main!$BB$3)),(VLOOKUP(main!AF70,main!$AO$4:$AQ$55,2,FALSE))*IF(main!$AK70="是",main!$BB$4,main!$BB$3))</f>
        <v>0</v>
      </c>
      <c r="Y70" s="98">
        <v>100</v>
      </c>
      <c r="Z70" s="95">
        <v>46342</v>
      </c>
      <c r="AA70">
        <v>67</v>
      </c>
    </row>
    <row r="71" spans="1:27">
      <c r="A71" s="12">
        <f>IF(ISNUMBER(SEARCH("营",main!I71)),(-$Y71+50*IF(main!$AK71="是",main!$BB$4,main!$BB$3)),(VLOOKUP(main!I71,main!$AO$4:$AQ$55,2,FALSE))*IF(main!$AK71="是",main!$BB$4,main!$BB$3))</f>
        <v>0</v>
      </c>
      <c r="B71" s="12">
        <f>IF(ISNUMBER(SEARCH("营",main!J71)),(-$Y71+50*IF(main!$AK71="是",main!$BB$4,main!$BB$3)),(VLOOKUP(main!J71,main!$AO$4:$AQ$55,2,FALSE))*IF(main!$AK71="是",main!$BB$4,main!$BB$3))</f>
        <v>0</v>
      </c>
      <c r="C71" s="12">
        <f>IF(ISNUMBER(SEARCH("营",main!K71)),(-$Y71+50*IF(main!$AK71="是",main!$BB$4,main!$BB$3)),(VLOOKUP(main!K71,main!$AO$4:$AQ$55,2,FALSE))*IF(main!$AK71="是",main!$BB$4,main!$BB$3))</f>
        <v>0</v>
      </c>
      <c r="D71" s="12">
        <f>IF(ISNUMBER(SEARCH("营",main!L71)),(-$Y71+50*IF(main!$AK71="是",main!$BB$4,main!$BB$3)),(VLOOKUP(main!L71,main!$AO$4:$AQ$55,2,FALSE))*IF(main!$AK71="是",main!$BB$4,main!$BB$3))</f>
        <v>0</v>
      </c>
      <c r="E71" s="12">
        <f>IF(ISNUMBER(SEARCH("营",main!M71)),(-$Y71+50*IF(main!$AK71="是",main!$BB$4,main!$BB$3)),(VLOOKUP(main!M71,main!$AO$4:$AQ$55,2,FALSE))*IF(main!$AK71="是",main!$BB$4,main!$BB$3))</f>
        <v>0</v>
      </c>
      <c r="F71" s="12">
        <f>IF(ISNUMBER(SEARCH("营",main!N71)),(-$Y71+50*IF(main!$AK71="是",main!$BB$4,main!$BB$3)),(VLOOKUP(main!N71,main!$AO$4:$AQ$55,2,FALSE))*IF(main!$AK71="是",main!$BB$4,main!$BB$3))</f>
        <v>0</v>
      </c>
      <c r="G71" s="12">
        <f>IF(ISNUMBER(SEARCH("营",main!O71)),(-$Y71+50*IF(main!$AK71="是",main!$BB$4,main!$BB$3)),(VLOOKUP(main!O71,main!$AO$4:$AQ$55,2,FALSE))*IF(main!$AK71="是",main!$BB$4,main!$BB$3))</f>
        <v>0</v>
      </c>
      <c r="H71" s="12">
        <f>IF(ISNUMBER(SEARCH("营",main!P71)),(-$Y71+50*IF(main!$AK71="是",main!$BB$4,main!$BB$3)),(VLOOKUP(main!P71,main!$AO$4:$AQ$55,2,FALSE))*IF(main!$AK71="是",main!$BB$4,main!$BB$3))</f>
        <v>0</v>
      </c>
      <c r="I71" s="12">
        <f>IF(ISNUMBER(SEARCH("营",main!Q71)),(-$Y71+50*IF(main!$AK71="是",main!$BB$4,main!$BB$3)),(VLOOKUP(main!Q71,main!$AO$4:$AQ$55,2,FALSE))*IF(main!$AK71="是",main!$BB$4,main!$BB$3))</f>
        <v>120</v>
      </c>
      <c r="J71" s="12">
        <f>IF(ISNUMBER(SEARCH("营",main!R71)),(-$Y71+50*IF(main!$AK71="是",main!$BB$4,main!$BB$3)),(VLOOKUP(main!R71,main!$AO$4:$AQ$55,2,FALSE))*IF(main!$AK71="是",main!$BB$4,main!$BB$3))</f>
        <v>120</v>
      </c>
      <c r="K71" s="12">
        <f>IF(ISNUMBER(SEARCH("营",main!S71)),(-$Y71+50*IF(main!$AK71="是",main!$BB$4,main!$BB$3)),(VLOOKUP(main!S71,main!$AO$4:$AQ$55,2,FALSE))*IF(main!$AK71="是",main!$BB$4,main!$BB$3))</f>
        <v>120</v>
      </c>
      <c r="L71" s="12">
        <f>IF(ISNUMBER(SEARCH("营",main!T71)),(-$Y71+50*IF(main!$AK71="是",main!$BB$4,main!$BB$3)),(VLOOKUP(main!T71,main!$AO$4:$AQ$55,2,FALSE))*IF(main!$AK71="是",main!$BB$4,main!$BB$3))</f>
        <v>0</v>
      </c>
      <c r="M71" s="12">
        <f>IF(ISNUMBER(SEARCH("营",main!U71)),(-$Y71+50*IF(main!$AK71="是",main!$BB$4,main!$BB$3)),(VLOOKUP(main!U71,main!$AO$4:$AQ$55,2,FALSE))*IF(main!$AK71="是",main!$BB$4,main!$BB$3))</f>
        <v>0</v>
      </c>
      <c r="N71" s="12">
        <f>IF(ISNUMBER(SEARCH("营",main!V71)),(-$Y71+50*IF(main!$AK71="是",main!$BB$4,main!$BB$3)),(VLOOKUP(main!V71,main!$AO$4:$AQ$55,2,FALSE))*IF(main!$AK71="是",main!$BB$4,main!$BB$3))</f>
        <v>0</v>
      </c>
      <c r="O71" s="12">
        <f>IF(ISNUMBER(SEARCH("营",main!W71)),(-$Y71+50*IF(main!$AK71="是",main!$BB$4,main!$BB$3)),(VLOOKUP(main!W71,main!$AO$4:$AQ$55,2,FALSE))*IF(main!$AK71="是",main!$BB$4,main!$BB$3))</f>
        <v>0</v>
      </c>
      <c r="P71" s="12">
        <f>IF(ISNUMBER(SEARCH("营",main!X71)),(-$Y71+50*IF(main!$AK71="是",main!$BB$4,main!$BB$3)),(VLOOKUP(main!X71,main!$AO$4:$AQ$55,2,FALSE))*IF(main!$AK71="是",main!$BB$4,main!$BB$3))</f>
        <v>0</v>
      </c>
      <c r="Q71" s="12">
        <f>IF(ISNUMBER(SEARCH("营",main!Y71)),(-$Y71+50*IF(main!$AK71="是",main!$BB$4,main!$BB$3)),(VLOOKUP(main!Y71,main!$AO$4:$AQ$55,2,FALSE))*IF(main!$AK71="是",main!$BB$4,main!$BB$3))</f>
        <v>0</v>
      </c>
      <c r="R71" s="12">
        <f>IF(ISNUMBER(SEARCH("营",main!Z71)),(-$Y71+50*IF(main!$AK71="是",main!$BB$4,main!$BB$3)),(VLOOKUP(main!Z71,main!$AO$4:$AQ$55,2,FALSE))*IF(main!$AK71="是",main!$BB$4,main!$BB$3))</f>
        <v>0</v>
      </c>
      <c r="S71" s="12">
        <f>IF(ISNUMBER(SEARCH("营",main!AA71)),(-$Y71+50*IF(main!$AK71="是",main!$BB$4,main!$BB$3)),(VLOOKUP(main!AA71,main!$AO$4:$AQ$55,2,FALSE))*IF(main!$AK71="是",main!$BB$4,main!$BB$3))</f>
        <v>0</v>
      </c>
      <c r="T71" s="12">
        <f>IF(ISNUMBER(SEARCH("营",main!AB71)),(-$Y71+50*IF(main!$AK71="是",main!$BB$4,main!$BB$3)),(VLOOKUP(main!AB71,main!$AO$4:$AQ$55,2,FALSE))*IF(main!$AK71="是",main!$BB$4,main!$BB$3))</f>
        <v>0</v>
      </c>
      <c r="U71" s="12">
        <f>IF(ISNUMBER(SEARCH("营",main!AC71)),(-$Y71+50*IF(main!$AK71="是",main!$BB$4,main!$BB$3)),(VLOOKUP(main!AC71,main!$AO$4:$AQ$55,2,FALSE))*IF(main!$AK71="是",main!$BB$4,main!$BB$3))</f>
        <v>0</v>
      </c>
      <c r="V71" s="12">
        <f>IF(ISNUMBER(SEARCH("营",main!AD71)),(-$Y71+50*IF(main!$AK71="是",main!$BB$4,main!$BB$3)),(VLOOKUP(main!AD71,main!$AO$4:$AQ$55,2,FALSE))*IF(main!$AK71="是",main!$BB$4,main!$BB$3))</f>
        <v>0</v>
      </c>
      <c r="W71" s="12">
        <f>IF(ISNUMBER(SEARCH("营",main!AE71)),(-$Y71+50*IF(main!$AK71="是",main!$BB$4,main!$BB$3)),(VLOOKUP(main!AE71,main!$AO$4:$AQ$55,2,FALSE))*IF(main!$AK71="是",main!$BB$4,main!$BB$3))</f>
        <v>0</v>
      </c>
      <c r="X71" s="12">
        <f>IF(ISNUMBER(SEARCH("营",main!AF71)),(-$Y71+50*IF(main!$AK71="是",main!$BB$4,main!$BB$3)),(VLOOKUP(main!AF71,main!$AO$4:$AQ$55,2,FALSE))*IF(main!$AK71="是",main!$BB$4,main!$BB$3))</f>
        <v>0</v>
      </c>
      <c r="Y71" s="98">
        <v>100</v>
      </c>
      <c r="Z71" s="95">
        <v>46343</v>
      </c>
      <c r="AA71">
        <v>68</v>
      </c>
    </row>
    <row r="72" spans="1:27">
      <c r="A72" s="12">
        <f>IF(ISNUMBER(SEARCH("营",main!I72)),(-$Y72+50*IF(main!$AK72="是",main!$BB$4,main!$BB$3)),(VLOOKUP(main!I72,main!$AO$4:$AQ$55,2,FALSE))*IF(main!$AK72="是",main!$BB$4,main!$BB$3))</f>
        <v>0</v>
      </c>
      <c r="B72" s="12">
        <f>IF(ISNUMBER(SEARCH("营",main!J72)),(-$Y72+50*IF(main!$AK72="是",main!$BB$4,main!$BB$3)),(VLOOKUP(main!J72,main!$AO$4:$AQ$55,2,FALSE))*IF(main!$AK72="是",main!$BB$4,main!$BB$3))</f>
        <v>0</v>
      </c>
      <c r="C72" s="12">
        <f>IF(ISNUMBER(SEARCH("营",main!K72)),(-$Y72+50*IF(main!$AK72="是",main!$BB$4,main!$BB$3)),(VLOOKUP(main!K72,main!$AO$4:$AQ$55,2,FALSE))*IF(main!$AK72="是",main!$BB$4,main!$BB$3))</f>
        <v>0</v>
      </c>
      <c r="D72" s="12">
        <f>IF(ISNUMBER(SEARCH("营",main!L72)),(-$Y72+50*IF(main!$AK72="是",main!$BB$4,main!$BB$3)),(VLOOKUP(main!L72,main!$AO$4:$AQ$55,2,FALSE))*IF(main!$AK72="是",main!$BB$4,main!$BB$3))</f>
        <v>0</v>
      </c>
      <c r="E72" s="12">
        <f>IF(ISNUMBER(SEARCH("营",main!M72)),(-$Y72+50*IF(main!$AK72="是",main!$BB$4,main!$BB$3)),(VLOOKUP(main!M72,main!$AO$4:$AQ$55,2,FALSE))*IF(main!$AK72="是",main!$BB$4,main!$BB$3))</f>
        <v>0</v>
      </c>
      <c r="F72" s="12">
        <f>IF(ISNUMBER(SEARCH("营",main!N72)),(-$Y72+50*IF(main!$AK72="是",main!$BB$4,main!$BB$3)),(VLOOKUP(main!N72,main!$AO$4:$AQ$55,2,FALSE))*IF(main!$AK72="是",main!$BB$4,main!$BB$3))</f>
        <v>0</v>
      </c>
      <c r="G72" s="12">
        <f>IF(ISNUMBER(SEARCH("营",main!O72)),(-$Y72+50*IF(main!$AK72="是",main!$BB$4,main!$BB$3)),(VLOOKUP(main!O72,main!$AO$4:$AQ$55,2,FALSE))*IF(main!$AK72="是",main!$BB$4,main!$BB$3))</f>
        <v>0</v>
      </c>
      <c r="H72" s="12">
        <f>IF(ISNUMBER(SEARCH("营",main!P72)),(-$Y72+50*IF(main!$AK72="是",main!$BB$4,main!$BB$3)),(VLOOKUP(main!P72,main!$AO$4:$AQ$55,2,FALSE))*IF(main!$AK72="是",main!$BB$4,main!$BB$3))</f>
        <v>0</v>
      </c>
      <c r="I72" s="12">
        <f>IF(ISNUMBER(SEARCH("营",main!Q72)),(-$Y72+50*IF(main!$AK72="是",main!$BB$4,main!$BB$3)),(VLOOKUP(main!Q72,main!$AO$4:$AQ$55,2,FALSE))*IF(main!$AK72="是",main!$BB$4,main!$BB$3))</f>
        <v>0</v>
      </c>
      <c r="J72" s="12">
        <f>IF(ISNUMBER(SEARCH("营",main!R72)),(-$Y72+50*IF(main!$AK72="是",main!$BB$4,main!$BB$3)),(VLOOKUP(main!R72,main!$AO$4:$AQ$55,2,FALSE))*IF(main!$AK72="是",main!$BB$4,main!$BB$3))</f>
        <v>0</v>
      </c>
      <c r="K72" s="12">
        <f>IF(ISNUMBER(SEARCH("营",main!S72)),(-$Y72+50*IF(main!$AK72="是",main!$BB$4,main!$BB$3)),(VLOOKUP(main!S72,main!$AO$4:$AQ$55,2,FALSE))*IF(main!$AK72="是",main!$BB$4,main!$BB$3))</f>
        <v>0</v>
      </c>
      <c r="L72" s="12">
        <f>IF(ISNUMBER(SEARCH("营",main!T72)),(-$Y72+50*IF(main!$AK72="是",main!$BB$4,main!$BB$3)),(VLOOKUP(main!T72,main!$AO$4:$AQ$55,2,FALSE))*IF(main!$AK72="是",main!$BB$4,main!$BB$3))</f>
        <v>0</v>
      </c>
      <c r="M72" s="12">
        <f>IF(ISNUMBER(SEARCH("营",main!U72)),(-$Y72+50*IF(main!$AK72="是",main!$BB$4,main!$BB$3)),(VLOOKUP(main!U72,main!$AO$4:$AQ$55,2,FALSE))*IF(main!$AK72="是",main!$BB$4,main!$BB$3))</f>
        <v>0</v>
      </c>
      <c r="N72" s="12">
        <f>IF(ISNUMBER(SEARCH("营",main!V72)),(-$Y72+50*IF(main!$AK72="是",main!$BB$4,main!$BB$3)),(VLOOKUP(main!V72,main!$AO$4:$AQ$55,2,FALSE))*IF(main!$AK72="是",main!$BB$4,main!$BB$3))</f>
        <v>0</v>
      </c>
      <c r="O72" s="12">
        <f>IF(ISNUMBER(SEARCH("营",main!W72)),(-$Y72+50*IF(main!$AK72="是",main!$BB$4,main!$BB$3)),(VLOOKUP(main!W72,main!$AO$4:$AQ$55,2,FALSE))*IF(main!$AK72="是",main!$BB$4,main!$BB$3))</f>
        <v>0</v>
      </c>
      <c r="P72" s="12">
        <f>IF(ISNUMBER(SEARCH("营",main!X72)),(-$Y72+50*IF(main!$AK72="是",main!$BB$4,main!$BB$3)),(VLOOKUP(main!X72,main!$AO$4:$AQ$55,2,FALSE))*IF(main!$AK72="是",main!$BB$4,main!$BB$3))</f>
        <v>0</v>
      </c>
      <c r="Q72" s="12">
        <f>IF(ISNUMBER(SEARCH("营",main!Y72)),(-$Y72+50*IF(main!$AK72="是",main!$BB$4,main!$BB$3)),(VLOOKUP(main!Y72,main!$AO$4:$AQ$55,2,FALSE))*IF(main!$AK72="是",main!$BB$4,main!$BB$3))</f>
        <v>0</v>
      </c>
      <c r="R72" s="12">
        <f>IF(ISNUMBER(SEARCH("营",main!Z72)),(-$Y72+50*IF(main!$AK72="是",main!$BB$4,main!$BB$3)),(VLOOKUP(main!Z72,main!$AO$4:$AQ$55,2,FALSE))*IF(main!$AK72="是",main!$BB$4,main!$BB$3))</f>
        <v>0</v>
      </c>
      <c r="S72" s="12">
        <f>IF(ISNUMBER(SEARCH("营",main!AA72)),(-$Y72+50*IF(main!$AK72="是",main!$BB$4,main!$BB$3)),(VLOOKUP(main!AA72,main!$AO$4:$AQ$55,2,FALSE))*IF(main!$AK72="是",main!$BB$4,main!$BB$3))</f>
        <v>0</v>
      </c>
      <c r="T72" s="12">
        <f>IF(ISNUMBER(SEARCH("营",main!AB72)),(-$Y72+50*IF(main!$AK72="是",main!$BB$4,main!$BB$3)),(VLOOKUP(main!AB72,main!$AO$4:$AQ$55,2,FALSE))*IF(main!$AK72="是",main!$BB$4,main!$BB$3))</f>
        <v>0</v>
      </c>
      <c r="U72" s="12">
        <f>IF(ISNUMBER(SEARCH("营",main!AC72)),(-$Y72+50*IF(main!$AK72="是",main!$BB$4,main!$BB$3)),(VLOOKUP(main!AC72,main!$AO$4:$AQ$55,2,FALSE))*IF(main!$AK72="是",main!$BB$4,main!$BB$3))</f>
        <v>0</v>
      </c>
      <c r="V72" s="12">
        <f>IF(ISNUMBER(SEARCH("营",main!AD72)),(-$Y72+50*IF(main!$AK72="是",main!$BB$4,main!$BB$3)),(VLOOKUP(main!AD72,main!$AO$4:$AQ$55,2,FALSE))*IF(main!$AK72="是",main!$BB$4,main!$BB$3))</f>
        <v>0</v>
      </c>
      <c r="W72" s="12">
        <f>IF(ISNUMBER(SEARCH("营",main!AE72)),(-$Y72+50*IF(main!$AK72="是",main!$BB$4,main!$BB$3)),(VLOOKUP(main!AE72,main!$AO$4:$AQ$55,2,FALSE))*IF(main!$AK72="是",main!$BB$4,main!$BB$3))</f>
        <v>0</v>
      </c>
      <c r="X72" s="12">
        <f>IF(ISNUMBER(SEARCH("营",main!AF72)),(-$Y72+50*IF(main!$AK72="是",main!$BB$4,main!$BB$3)),(VLOOKUP(main!AF72,main!$AO$4:$AQ$55,2,FALSE))*IF(main!$AK72="是",main!$BB$4,main!$BB$3))</f>
        <v>0</v>
      </c>
      <c r="Y72" s="98">
        <v>100</v>
      </c>
      <c r="Z72" s="95">
        <v>46344</v>
      </c>
      <c r="AA72">
        <v>69</v>
      </c>
    </row>
    <row r="73" spans="1:27">
      <c r="A73" s="12">
        <f>IF(ISNUMBER(SEARCH("营",main!I73)),(-$Y73+50*IF(main!$AK73="是",main!$BB$4,main!$BB$3)),(VLOOKUP(main!I73,main!$AO$4:$AQ$55,2,FALSE))*IF(main!$AK73="是",main!$BB$4,main!$BB$3))</f>
        <v>0</v>
      </c>
      <c r="B73" s="12">
        <f>IF(ISNUMBER(SEARCH("营",main!J73)),(-$Y73+50*IF(main!$AK73="是",main!$BB$4,main!$BB$3)),(VLOOKUP(main!J73,main!$AO$4:$AQ$55,2,FALSE))*IF(main!$AK73="是",main!$BB$4,main!$BB$3))</f>
        <v>0</v>
      </c>
      <c r="C73" s="12">
        <f>IF(ISNUMBER(SEARCH("营",main!K73)),(-$Y73+50*IF(main!$AK73="是",main!$BB$4,main!$BB$3)),(VLOOKUP(main!K73,main!$AO$4:$AQ$55,2,FALSE))*IF(main!$AK73="是",main!$BB$4,main!$BB$3))</f>
        <v>0</v>
      </c>
      <c r="D73" s="12">
        <f>IF(ISNUMBER(SEARCH("营",main!L73)),(-$Y73+50*IF(main!$AK73="是",main!$BB$4,main!$BB$3)),(VLOOKUP(main!L73,main!$AO$4:$AQ$55,2,FALSE))*IF(main!$AK73="是",main!$BB$4,main!$BB$3))</f>
        <v>0</v>
      </c>
      <c r="E73" s="12">
        <f>IF(ISNUMBER(SEARCH("营",main!M73)),(-$Y73+50*IF(main!$AK73="是",main!$BB$4,main!$BB$3)),(VLOOKUP(main!M73,main!$AO$4:$AQ$55,2,FALSE))*IF(main!$AK73="是",main!$BB$4,main!$BB$3))</f>
        <v>0</v>
      </c>
      <c r="F73" s="12">
        <f>IF(ISNUMBER(SEARCH("营",main!N73)),(-$Y73+50*IF(main!$AK73="是",main!$BB$4,main!$BB$3)),(VLOOKUP(main!N73,main!$AO$4:$AQ$55,2,FALSE))*IF(main!$AK73="是",main!$BB$4,main!$BB$3))</f>
        <v>0</v>
      </c>
      <c r="G73" s="12">
        <f>IF(ISNUMBER(SEARCH("营",main!O73)),(-$Y73+50*IF(main!$AK73="是",main!$BB$4,main!$BB$3)),(VLOOKUP(main!O73,main!$AO$4:$AQ$55,2,FALSE))*IF(main!$AK73="是",main!$BB$4,main!$BB$3))</f>
        <v>0</v>
      </c>
      <c r="H73" s="12">
        <f>IF(ISNUMBER(SEARCH("营",main!P73)),(-$Y73+50*IF(main!$AK73="是",main!$BB$4,main!$BB$3)),(VLOOKUP(main!P73,main!$AO$4:$AQ$55,2,FALSE))*IF(main!$AK73="是",main!$BB$4,main!$BB$3))</f>
        <v>0</v>
      </c>
      <c r="I73" s="12">
        <f>IF(ISNUMBER(SEARCH("营",main!Q73)),(-$Y73+50*IF(main!$AK73="是",main!$BB$4,main!$BB$3)),(VLOOKUP(main!Q73,main!$AO$4:$AQ$55,2,FALSE))*IF(main!$AK73="是",main!$BB$4,main!$BB$3))</f>
        <v>0</v>
      </c>
      <c r="J73" s="12">
        <f>IF(ISNUMBER(SEARCH("营",main!R73)),(-$Y73+50*IF(main!$AK73="是",main!$BB$4,main!$BB$3)),(VLOOKUP(main!R73,main!$AO$4:$AQ$55,2,FALSE))*IF(main!$AK73="是",main!$BB$4,main!$BB$3))</f>
        <v>0</v>
      </c>
      <c r="K73" s="12">
        <f>IF(ISNUMBER(SEARCH("营",main!S73)),(-$Y73+50*IF(main!$AK73="是",main!$BB$4,main!$BB$3)),(VLOOKUP(main!S73,main!$AO$4:$AQ$55,2,FALSE))*IF(main!$AK73="是",main!$BB$4,main!$BB$3))</f>
        <v>0</v>
      </c>
      <c r="L73" s="12">
        <f>IF(ISNUMBER(SEARCH("营",main!T73)),(-$Y73+50*IF(main!$AK73="是",main!$BB$4,main!$BB$3)),(VLOOKUP(main!T73,main!$AO$4:$AQ$55,2,FALSE))*IF(main!$AK73="是",main!$BB$4,main!$BB$3))</f>
        <v>0</v>
      </c>
      <c r="M73" s="12">
        <f>IF(ISNUMBER(SEARCH("营",main!U73)),(-$Y73+50*IF(main!$AK73="是",main!$BB$4,main!$BB$3)),(VLOOKUP(main!U73,main!$AO$4:$AQ$55,2,FALSE))*IF(main!$AK73="是",main!$BB$4,main!$BB$3))</f>
        <v>0</v>
      </c>
      <c r="N73" s="12">
        <f>IF(ISNUMBER(SEARCH("营",main!V73)),(-$Y73+50*IF(main!$AK73="是",main!$BB$4,main!$BB$3)),(VLOOKUP(main!V73,main!$AO$4:$AQ$55,2,FALSE))*IF(main!$AK73="是",main!$BB$4,main!$BB$3))</f>
        <v>0</v>
      </c>
      <c r="O73" s="12">
        <f>IF(ISNUMBER(SEARCH("营",main!W73)),(-$Y73+50*IF(main!$AK73="是",main!$BB$4,main!$BB$3)),(VLOOKUP(main!W73,main!$AO$4:$AQ$55,2,FALSE))*IF(main!$AK73="是",main!$BB$4,main!$BB$3))</f>
        <v>0</v>
      </c>
      <c r="P73" s="12">
        <f>IF(ISNUMBER(SEARCH("营",main!X73)),(-$Y73+50*IF(main!$AK73="是",main!$BB$4,main!$BB$3)),(VLOOKUP(main!X73,main!$AO$4:$AQ$55,2,FALSE))*IF(main!$AK73="是",main!$BB$4,main!$BB$3))</f>
        <v>0</v>
      </c>
      <c r="Q73" s="12">
        <f>IF(ISNUMBER(SEARCH("营",main!Y73)),(-$Y73+50*IF(main!$AK73="是",main!$BB$4,main!$BB$3)),(VLOOKUP(main!Y73,main!$AO$4:$AQ$55,2,FALSE))*IF(main!$AK73="是",main!$BB$4,main!$BB$3))</f>
        <v>0</v>
      </c>
      <c r="R73" s="12">
        <f>IF(ISNUMBER(SEARCH("营",main!Z73)),(-$Y73+50*IF(main!$AK73="是",main!$BB$4,main!$BB$3)),(VLOOKUP(main!Z73,main!$AO$4:$AQ$55,2,FALSE))*IF(main!$AK73="是",main!$BB$4,main!$BB$3))</f>
        <v>0</v>
      </c>
      <c r="S73" s="12">
        <f>IF(ISNUMBER(SEARCH("营",main!AA73)),(-$Y73+50*IF(main!$AK73="是",main!$BB$4,main!$BB$3)),(VLOOKUP(main!AA73,main!$AO$4:$AQ$55,2,FALSE))*IF(main!$AK73="是",main!$BB$4,main!$BB$3))</f>
        <v>0</v>
      </c>
      <c r="T73" s="12">
        <f>IF(ISNUMBER(SEARCH("营",main!AB73)),(-$Y73+50*IF(main!$AK73="是",main!$BB$4,main!$BB$3)),(VLOOKUP(main!AB73,main!$AO$4:$AQ$55,2,FALSE))*IF(main!$AK73="是",main!$BB$4,main!$BB$3))</f>
        <v>0</v>
      </c>
      <c r="U73" s="12">
        <f>IF(ISNUMBER(SEARCH("营",main!AC73)),(-$Y73+50*IF(main!$AK73="是",main!$BB$4,main!$BB$3)),(VLOOKUP(main!AC73,main!$AO$4:$AQ$55,2,FALSE))*IF(main!$AK73="是",main!$BB$4,main!$BB$3))</f>
        <v>0</v>
      </c>
      <c r="V73" s="12">
        <f>IF(ISNUMBER(SEARCH("营",main!AD73)),(-$Y73+50*IF(main!$AK73="是",main!$BB$4,main!$BB$3)),(VLOOKUP(main!AD73,main!$AO$4:$AQ$55,2,FALSE))*IF(main!$AK73="是",main!$BB$4,main!$BB$3))</f>
        <v>0</v>
      </c>
      <c r="W73" s="12">
        <f>IF(ISNUMBER(SEARCH("营",main!AE73)),(-$Y73+50*IF(main!$AK73="是",main!$BB$4,main!$BB$3)),(VLOOKUP(main!AE73,main!$AO$4:$AQ$55,2,FALSE))*IF(main!$AK73="是",main!$BB$4,main!$BB$3))</f>
        <v>0</v>
      </c>
      <c r="X73" s="12">
        <f>IF(ISNUMBER(SEARCH("营",main!AF73)),(-$Y73+50*IF(main!$AK73="是",main!$BB$4,main!$BB$3)),(VLOOKUP(main!AF73,main!$AO$4:$AQ$55,2,FALSE))*IF(main!$AK73="是",main!$BB$4,main!$BB$3))</f>
        <v>0</v>
      </c>
      <c r="Y73" s="98">
        <v>100</v>
      </c>
      <c r="Z73" s="95">
        <v>46345</v>
      </c>
      <c r="AA73">
        <v>70</v>
      </c>
    </row>
    <row r="74" spans="1:27">
      <c r="A74" s="12">
        <f>IF(ISNUMBER(SEARCH("营",main!I74)),(-$Y74+50*IF(main!$AK74="是",main!$BB$4,main!$BB$3)),(VLOOKUP(main!I74,main!$AO$4:$AQ$55,2,FALSE))*IF(main!$AK74="是",main!$BB$4,main!$BB$3))</f>
        <v>0</v>
      </c>
      <c r="B74" s="12">
        <f>IF(ISNUMBER(SEARCH("营",main!J74)),(-$Y74+50*IF(main!$AK74="是",main!$BB$4,main!$BB$3)),(VLOOKUP(main!J74,main!$AO$4:$AQ$55,2,FALSE))*IF(main!$AK74="是",main!$BB$4,main!$BB$3))</f>
        <v>0</v>
      </c>
      <c r="C74" s="12">
        <f>IF(ISNUMBER(SEARCH("营",main!K74)),(-$Y74+50*IF(main!$AK74="是",main!$BB$4,main!$BB$3)),(VLOOKUP(main!K74,main!$AO$4:$AQ$55,2,FALSE))*IF(main!$AK74="是",main!$BB$4,main!$BB$3))</f>
        <v>0</v>
      </c>
      <c r="D74" s="12">
        <f>IF(ISNUMBER(SEARCH("营",main!L74)),(-$Y74+50*IF(main!$AK74="是",main!$BB$4,main!$BB$3)),(VLOOKUP(main!L74,main!$AO$4:$AQ$55,2,FALSE))*IF(main!$AK74="是",main!$BB$4,main!$BB$3))</f>
        <v>0</v>
      </c>
      <c r="E74" s="12">
        <f>IF(ISNUMBER(SEARCH("营",main!M74)),(-$Y74+50*IF(main!$AK74="是",main!$BB$4,main!$BB$3)),(VLOOKUP(main!M74,main!$AO$4:$AQ$55,2,FALSE))*IF(main!$AK74="是",main!$BB$4,main!$BB$3))</f>
        <v>0</v>
      </c>
      <c r="F74" s="12">
        <f>IF(ISNUMBER(SEARCH("营",main!N74)),(-$Y74+50*IF(main!$AK74="是",main!$BB$4,main!$BB$3)),(VLOOKUP(main!N74,main!$AO$4:$AQ$55,2,FALSE))*IF(main!$AK74="是",main!$BB$4,main!$BB$3))</f>
        <v>0</v>
      </c>
      <c r="G74" s="12">
        <f>IF(ISNUMBER(SEARCH("营",main!O74)),(-$Y74+50*IF(main!$AK74="是",main!$BB$4,main!$BB$3)),(VLOOKUP(main!O74,main!$AO$4:$AQ$55,2,FALSE))*IF(main!$AK74="是",main!$BB$4,main!$BB$3))</f>
        <v>0</v>
      </c>
      <c r="H74" s="12">
        <f>IF(ISNUMBER(SEARCH("营",main!P74)),(-$Y74+50*IF(main!$AK74="是",main!$BB$4,main!$BB$3)),(VLOOKUP(main!P74,main!$AO$4:$AQ$55,2,FALSE))*IF(main!$AK74="是",main!$BB$4,main!$BB$3))</f>
        <v>0</v>
      </c>
      <c r="I74" s="12">
        <f>IF(ISNUMBER(SEARCH("营",main!Q74)),(-$Y74+50*IF(main!$AK74="是",main!$BB$4,main!$BB$3)),(VLOOKUP(main!Q74,main!$AO$4:$AQ$55,2,FALSE))*IF(main!$AK74="是",main!$BB$4,main!$BB$3))</f>
        <v>0</v>
      </c>
      <c r="J74" s="12">
        <f>IF(ISNUMBER(SEARCH("营",main!R74)),(-$Y74+50*IF(main!$AK74="是",main!$BB$4,main!$BB$3)),(VLOOKUP(main!R74,main!$AO$4:$AQ$55,2,FALSE))*IF(main!$AK74="是",main!$BB$4,main!$BB$3))</f>
        <v>0</v>
      </c>
      <c r="K74" s="12">
        <f>IF(ISNUMBER(SEARCH("营",main!S74)),(-$Y74+50*IF(main!$AK74="是",main!$BB$4,main!$BB$3)),(VLOOKUP(main!S74,main!$AO$4:$AQ$55,2,FALSE))*IF(main!$AK74="是",main!$BB$4,main!$BB$3))</f>
        <v>0</v>
      </c>
      <c r="L74" s="12">
        <f>IF(ISNUMBER(SEARCH("营",main!T74)),(-$Y74+50*IF(main!$AK74="是",main!$BB$4,main!$BB$3)),(VLOOKUP(main!T74,main!$AO$4:$AQ$55,2,FALSE))*IF(main!$AK74="是",main!$BB$4,main!$BB$3))</f>
        <v>0</v>
      </c>
      <c r="M74" s="12">
        <f>IF(ISNUMBER(SEARCH("营",main!U74)),(-$Y74+50*IF(main!$AK74="是",main!$BB$4,main!$BB$3)),(VLOOKUP(main!U74,main!$AO$4:$AQ$55,2,FALSE))*IF(main!$AK74="是",main!$BB$4,main!$BB$3))</f>
        <v>0</v>
      </c>
      <c r="N74" s="12">
        <f>IF(ISNUMBER(SEARCH("营",main!V74)),(-$Y74+50*IF(main!$AK74="是",main!$BB$4,main!$BB$3)),(VLOOKUP(main!V74,main!$AO$4:$AQ$55,2,FALSE))*IF(main!$AK74="是",main!$BB$4,main!$BB$3))</f>
        <v>0</v>
      </c>
      <c r="O74" s="12">
        <f>IF(ISNUMBER(SEARCH("营",main!W74)),(-$Y74+50*IF(main!$AK74="是",main!$BB$4,main!$BB$3)),(VLOOKUP(main!W74,main!$AO$4:$AQ$55,2,FALSE))*IF(main!$AK74="是",main!$BB$4,main!$BB$3))</f>
        <v>0</v>
      </c>
      <c r="P74" s="12">
        <f>IF(ISNUMBER(SEARCH("营",main!X74)),(-$Y74+50*IF(main!$AK74="是",main!$BB$4,main!$BB$3)),(VLOOKUP(main!X74,main!$AO$4:$AQ$55,2,FALSE))*IF(main!$AK74="是",main!$BB$4,main!$BB$3))</f>
        <v>0</v>
      </c>
      <c r="Q74" s="12">
        <f>IF(ISNUMBER(SEARCH("营",main!Y74)),(-$Y74+50*IF(main!$AK74="是",main!$BB$4,main!$BB$3)),(VLOOKUP(main!Y74,main!$AO$4:$AQ$55,2,FALSE))*IF(main!$AK74="是",main!$BB$4,main!$BB$3))</f>
        <v>0</v>
      </c>
      <c r="R74" s="12">
        <f>IF(ISNUMBER(SEARCH("营",main!Z74)),(-$Y74+50*IF(main!$AK74="是",main!$BB$4,main!$BB$3)),(VLOOKUP(main!Z74,main!$AO$4:$AQ$55,2,FALSE))*IF(main!$AK74="是",main!$BB$4,main!$BB$3))</f>
        <v>0</v>
      </c>
      <c r="S74" s="12">
        <f>IF(ISNUMBER(SEARCH("营",main!AA74)),(-$Y74+50*IF(main!$AK74="是",main!$BB$4,main!$BB$3)),(VLOOKUP(main!AA74,main!$AO$4:$AQ$55,2,FALSE))*IF(main!$AK74="是",main!$BB$4,main!$BB$3))</f>
        <v>0</v>
      </c>
      <c r="T74" s="12">
        <f>IF(ISNUMBER(SEARCH("营",main!AB74)),(-$Y74+50*IF(main!$AK74="是",main!$BB$4,main!$BB$3)),(VLOOKUP(main!AB74,main!$AO$4:$AQ$55,2,FALSE))*IF(main!$AK74="是",main!$BB$4,main!$BB$3))</f>
        <v>0</v>
      </c>
      <c r="U74" s="12">
        <f>IF(ISNUMBER(SEARCH("营",main!AC74)),(-$Y74+50*IF(main!$AK74="是",main!$BB$4,main!$BB$3)),(VLOOKUP(main!AC74,main!$AO$4:$AQ$55,2,FALSE))*IF(main!$AK74="是",main!$BB$4,main!$BB$3))</f>
        <v>0</v>
      </c>
      <c r="V74" s="12">
        <f>IF(ISNUMBER(SEARCH("营",main!AD74)),(-$Y74+50*IF(main!$AK74="是",main!$BB$4,main!$BB$3)),(VLOOKUP(main!AD74,main!$AO$4:$AQ$55,2,FALSE))*IF(main!$AK74="是",main!$BB$4,main!$BB$3))</f>
        <v>0</v>
      </c>
      <c r="W74" s="12">
        <f>IF(ISNUMBER(SEARCH("营",main!AE74)),(-$Y74+50*IF(main!$AK74="是",main!$BB$4,main!$BB$3)),(VLOOKUP(main!AE74,main!$AO$4:$AQ$55,2,FALSE))*IF(main!$AK74="是",main!$BB$4,main!$BB$3))</f>
        <v>0</v>
      </c>
      <c r="X74" s="12">
        <f>IF(ISNUMBER(SEARCH("营",main!AF74)),(-$Y74+50*IF(main!$AK74="是",main!$BB$4,main!$BB$3)),(VLOOKUP(main!AF74,main!$AO$4:$AQ$55,2,FALSE))*IF(main!$AK74="是",main!$BB$4,main!$BB$3))</f>
        <v>0</v>
      </c>
      <c r="Y74" s="98">
        <v>100</v>
      </c>
      <c r="Z74" s="95">
        <v>46346</v>
      </c>
      <c r="AA74">
        <v>71</v>
      </c>
    </row>
    <row r="75" spans="1:27">
      <c r="A75" s="12">
        <f>IF(ISNUMBER(SEARCH("营",main!I75)),(-$Y75+50*IF(main!$AK75="是",main!$BB$4,main!$BB$3)),(VLOOKUP(main!I75,main!$AO$4:$AQ$55,2,FALSE))*IF(main!$AK75="是",main!$BB$4,main!$BB$3))</f>
        <v>0</v>
      </c>
      <c r="B75" s="12">
        <f>IF(ISNUMBER(SEARCH("营",main!J75)),(-$Y75+50*IF(main!$AK75="是",main!$BB$4,main!$BB$3)),(VLOOKUP(main!J75,main!$AO$4:$AQ$55,2,FALSE))*IF(main!$AK75="是",main!$BB$4,main!$BB$3))</f>
        <v>0</v>
      </c>
      <c r="C75" s="12">
        <f>IF(ISNUMBER(SEARCH("营",main!K75)),(-$Y75+50*IF(main!$AK75="是",main!$BB$4,main!$BB$3)),(VLOOKUP(main!K75,main!$AO$4:$AQ$55,2,FALSE))*IF(main!$AK75="是",main!$BB$4,main!$BB$3))</f>
        <v>0</v>
      </c>
      <c r="D75" s="12">
        <f>IF(ISNUMBER(SEARCH("营",main!L75)),(-$Y75+50*IF(main!$AK75="是",main!$BB$4,main!$BB$3)),(VLOOKUP(main!L75,main!$AO$4:$AQ$55,2,FALSE))*IF(main!$AK75="是",main!$BB$4,main!$BB$3))</f>
        <v>0</v>
      </c>
      <c r="E75" s="12">
        <f>IF(ISNUMBER(SEARCH("营",main!M75)),(-$Y75+50*IF(main!$AK75="是",main!$BB$4,main!$BB$3)),(VLOOKUP(main!M75,main!$AO$4:$AQ$55,2,FALSE))*IF(main!$AK75="是",main!$BB$4,main!$BB$3))</f>
        <v>0</v>
      </c>
      <c r="F75" s="12">
        <f>IF(ISNUMBER(SEARCH("营",main!N75)),(-$Y75+50*IF(main!$AK75="是",main!$BB$4,main!$BB$3)),(VLOOKUP(main!N75,main!$AO$4:$AQ$55,2,FALSE))*IF(main!$AK75="是",main!$BB$4,main!$BB$3))</f>
        <v>0</v>
      </c>
      <c r="G75" s="12">
        <f>IF(ISNUMBER(SEARCH("营",main!O75)),(-$Y75+50*IF(main!$AK75="是",main!$BB$4,main!$BB$3)),(VLOOKUP(main!O75,main!$AO$4:$AQ$55,2,FALSE))*IF(main!$AK75="是",main!$BB$4,main!$BB$3))</f>
        <v>0</v>
      </c>
      <c r="H75" s="12">
        <f>IF(ISNUMBER(SEARCH("营",main!P75)),(-$Y75+50*IF(main!$AK75="是",main!$BB$4,main!$BB$3)),(VLOOKUP(main!P75,main!$AO$4:$AQ$55,2,FALSE))*IF(main!$AK75="是",main!$BB$4,main!$BB$3))</f>
        <v>0</v>
      </c>
      <c r="I75" s="12">
        <f>IF(ISNUMBER(SEARCH("营",main!Q75)),(-$Y75+50*IF(main!$AK75="是",main!$BB$4,main!$BB$3)),(VLOOKUP(main!Q75,main!$AO$4:$AQ$55,2,FALSE))*IF(main!$AK75="是",main!$BB$4,main!$BB$3))</f>
        <v>0</v>
      </c>
      <c r="J75" s="12">
        <f>IF(ISNUMBER(SEARCH("营",main!R75)),(-$Y75+50*IF(main!$AK75="是",main!$BB$4,main!$BB$3)),(VLOOKUP(main!R75,main!$AO$4:$AQ$55,2,FALSE))*IF(main!$AK75="是",main!$BB$4,main!$BB$3))</f>
        <v>0</v>
      </c>
      <c r="K75" s="12">
        <f>IF(ISNUMBER(SEARCH("营",main!S75)),(-$Y75+50*IF(main!$AK75="是",main!$BB$4,main!$BB$3)),(VLOOKUP(main!S75,main!$AO$4:$AQ$55,2,FALSE))*IF(main!$AK75="是",main!$BB$4,main!$BB$3))</f>
        <v>0</v>
      </c>
      <c r="L75" s="12">
        <f>IF(ISNUMBER(SEARCH("营",main!T75)),(-$Y75+50*IF(main!$AK75="是",main!$BB$4,main!$BB$3)),(VLOOKUP(main!T75,main!$AO$4:$AQ$55,2,FALSE))*IF(main!$AK75="是",main!$BB$4,main!$BB$3))</f>
        <v>0</v>
      </c>
      <c r="M75" s="12">
        <f>IF(ISNUMBER(SEARCH("营",main!U75)),(-$Y75+50*IF(main!$AK75="是",main!$BB$4,main!$BB$3)),(VLOOKUP(main!U75,main!$AO$4:$AQ$55,2,FALSE))*IF(main!$AK75="是",main!$BB$4,main!$BB$3))</f>
        <v>0</v>
      </c>
      <c r="N75" s="12">
        <f>IF(ISNUMBER(SEARCH("营",main!V75)),(-$Y75+50*IF(main!$AK75="是",main!$BB$4,main!$BB$3)),(VLOOKUP(main!V75,main!$AO$4:$AQ$55,2,FALSE))*IF(main!$AK75="是",main!$BB$4,main!$BB$3))</f>
        <v>0</v>
      </c>
      <c r="O75" s="12">
        <f>IF(ISNUMBER(SEARCH("营",main!W75)),(-$Y75+50*IF(main!$AK75="是",main!$BB$4,main!$BB$3)),(VLOOKUP(main!W75,main!$AO$4:$AQ$55,2,FALSE))*IF(main!$AK75="是",main!$BB$4,main!$BB$3))</f>
        <v>0</v>
      </c>
      <c r="P75" s="12">
        <f>IF(ISNUMBER(SEARCH("营",main!X75)),(-$Y75+50*IF(main!$AK75="是",main!$BB$4,main!$BB$3)),(VLOOKUP(main!X75,main!$AO$4:$AQ$55,2,FALSE))*IF(main!$AK75="是",main!$BB$4,main!$BB$3))</f>
        <v>0</v>
      </c>
      <c r="Q75" s="12">
        <f>IF(ISNUMBER(SEARCH("营",main!Y75)),(-$Y75+50*IF(main!$AK75="是",main!$BB$4,main!$BB$3)),(VLOOKUP(main!Y75,main!$AO$4:$AQ$55,2,FALSE))*IF(main!$AK75="是",main!$BB$4,main!$BB$3))</f>
        <v>0</v>
      </c>
      <c r="R75" s="12">
        <f>IF(ISNUMBER(SEARCH("营",main!Z75)),(-$Y75+50*IF(main!$AK75="是",main!$BB$4,main!$BB$3)),(VLOOKUP(main!Z75,main!$AO$4:$AQ$55,2,FALSE))*IF(main!$AK75="是",main!$BB$4,main!$BB$3))</f>
        <v>0</v>
      </c>
      <c r="S75" s="12">
        <f>IF(ISNUMBER(SEARCH("营",main!AA75)),(-$Y75+50*IF(main!$AK75="是",main!$BB$4,main!$BB$3)),(VLOOKUP(main!AA75,main!$AO$4:$AQ$55,2,FALSE))*IF(main!$AK75="是",main!$BB$4,main!$BB$3))</f>
        <v>0</v>
      </c>
      <c r="T75" s="12">
        <f>IF(ISNUMBER(SEARCH("营",main!AB75)),(-$Y75+50*IF(main!$AK75="是",main!$BB$4,main!$BB$3)),(VLOOKUP(main!AB75,main!$AO$4:$AQ$55,2,FALSE))*IF(main!$AK75="是",main!$BB$4,main!$BB$3))</f>
        <v>0</v>
      </c>
      <c r="U75" s="12">
        <f>IF(ISNUMBER(SEARCH("营",main!AC75)),(-$Y75+50*IF(main!$AK75="是",main!$BB$4,main!$BB$3)),(VLOOKUP(main!AC75,main!$AO$4:$AQ$55,2,FALSE))*IF(main!$AK75="是",main!$BB$4,main!$BB$3))</f>
        <v>0</v>
      </c>
      <c r="V75" s="12">
        <f>IF(ISNUMBER(SEARCH("营",main!AD75)),(-$Y75+50*IF(main!$AK75="是",main!$BB$4,main!$BB$3)),(VLOOKUP(main!AD75,main!$AO$4:$AQ$55,2,FALSE))*IF(main!$AK75="是",main!$BB$4,main!$BB$3))</f>
        <v>0</v>
      </c>
      <c r="W75" s="12">
        <f>IF(ISNUMBER(SEARCH("营",main!AE75)),(-$Y75+50*IF(main!$AK75="是",main!$BB$4,main!$BB$3)),(VLOOKUP(main!AE75,main!$AO$4:$AQ$55,2,FALSE))*IF(main!$AK75="是",main!$BB$4,main!$BB$3))</f>
        <v>0</v>
      </c>
      <c r="X75" s="12">
        <f>IF(ISNUMBER(SEARCH("营",main!AF75)),(-$Y75+50*IF(main!$AK75="是",main!$BB$4,main!$BB$3)),(VLOOKUP(main!AF75,main!$AO$4:$AQ$55,2,FALSE))*IF(main!$AK75="是",main!$BB$4,main!$BB$3))</f>
        <v>0</v>
      </c>
      <c r="Y75" s="98">
        <v>100</v>
      </c>
      <c r="Z75" s="95">
        <v>46347</v>
      </c>
      <c r="AA75">
        <v>72</v>
      </c>
    </row>
    <row r="76" spans="1:27">
      <c r="A76" s="12">
        <f>IF(ISNUMBER(SEARCH("营",main!I76)),(-$Y76+50*IF(main!$AK76="是",main!$BB$4,main!$BB$3)),(VLOOKUP(main!I76,main!$AO$4:$AQ$55,2,FALSE))*IF(main!$AK76="是",main!$BB$4,main!$BB$3))</f>
        <v>0</v>
      </c>
      <c r="B76" s="12">
        <f>IF(ISNUMBER(SEARCH("营",main!J76)),(-$Y76+50*IF(main!$AK76="是",main!$BB$4,main!$BB$3)),(VLOOKUP(main!J76,main!$AO$4:$AQ$55,2,FALSE))*IF(main!$AK76="是",main!$BB$4,main!$BB$3))</f>
        <v>0</v>
      </c>
      <c r="C76" s="12">
        <f>IF(ISNUMBER(SEARCH("营",main!K76)),(-$Y76+50*IF(main!$AK76="是",main!$BB$4,main!$BB$3)),(VLOOKUP(main!K76,main!$AO$4:$AQ$55,2,FALSE))*IF(main!$AK76="是",main!$BB$4,main!$BB$3))</f>
        <v>0</v>
      </c>
      <c r="D76" s="12">
        <f>IF(ISNUMBER(SEARCH("营",main!L76)),(-$Y76+50*IF(main!$AK76="是",main!$BB$4,main!$BB$3)),(VLOOKUP(main!L76,main!$AO$4:$AQ$55,2,FALSE))*IF(main!$AK76="是",main!$BB$4,main!$BB$3))</f>
        <v>0</v>
      </c>
      <c r="E76" s="12">
        <f>IF(ISNUMBER(SEARCH("营",main!M76)),(-$Y76+50*IF(main!$AK76="是",main!$BB$4,main!$BB$3)),(VLOOKUP(main!M76,main!$AO$4:$AQ$55,2,FALSE))*IF(main!$AK76="是",main!$BB$4,main!$BB$3))</f>
        <v>0</v>
      </c>
      <c r="F76" s="12">
        <f>IF(ISNUMBER(SEARCH("营",main!N76)),(-$Y76+50*IF(main!$AK76="是",main!$BB$4,main!$BB$3)),(VLOOKUP(main!N76,main!$AO$4:$AQ$55,2,FALSE))*IF(main!$AK76="是",main!$BB$4,main!$BB$3))</f>
        <v>0</v>
      </c>
      <c r="G76" s="12">
        <f>IF(ISNUMBER(SEARCH("营",main!O76)),(-$Y76+50*IF(main!$AK76="是",main!$BB$4,main!$BB$3)),(VLOOKUP(main!O76,main!$AO$4:$AQ$55,2,FALSE))*IF(main!$AK76="是",main!$BB$4,main!$BB$3))</f>
        <v>0</v>
      </c>
      <c r="H76" s="12">
        <f>IF(ISNUMBER(SEARCH("营",main!P76)),(-$Y76+50*IF(main!$AK76="是",main!$BB$4,main!$BB$3)),(VLOOKUP(main!P76,main!$AO$4:$AQ$55,2,FALSE))*IF(main!$AK76="是",main!$BB$4,main!$BB$3))</f>
        <v>0</v>
      </c>
      <c r="I76" s="12">
        <f>IF(ISNUMBER(SEARCH("营",main!Q76)),(-$Y76+50*IF(main!$AK76="是",main!$BB$4,main!$BB$3)),(VLOOKUP(main!Q76,main!$AO$4:$AQ$55,2,FALSE))*IF(main!$AK76="是",main!$BB$4,main!$BB$3))</f>
        <v>0</v>
      </c>
      <c r="J76" s="12">
        <f>IF(ISNUMBER(SEARCH("营",main!R76)),(-$Y76+50*IF(main!$AK76="是",main!$BB$4,main!$BB$3)),(VLOOKUP(main!R76,main!$AO$4:$AQ$55,2,FALSE))*IF(main!$AK76="是",main!$BB$4,main!$BB$3))</f>
        <v>0</v>
      </c>
      <c r="K76" s="12">
        <f>IF(ISNUMBER(SEARCH("营",main!S76)),(-$Y76+50*IF(main!$AK76="是",main!$BB$4,main!$BB$3)),(VLOOKUP(main!S76,main!$AO$4:$AQ$55,2,FALSE))*IF(main!$AK76="是",main!$BB$4,main!$BB$3))</f>
        <v>0</v>
      </c>
      <c r="L76" s="12">
        <f>IF(ISNUMBER(SEARCH("营",main!T76)),(-$Y76+50*IF(main!$AK76="是",main!$BB$4,main!$BB$3)),(VLOOKUP(main!T76,main!$AO$4:$AQ$55,2,FALSE))*IF(main!$AK76="是",main!$BB$4,main!$BB$3))</f>
        <v>0</v>
      </c>
      <c r="M76" s="12">
        <f>IF(ISNUMBER(SEARCH("营",main!U76)),(-$Y76+50*IF(main!$AK76="是",main!$BB$4,main!$BB$3)),(VLOOKUP(main!U76,main!$AO$4:$AQ$55,2,FALSE))*IF(main!$AK76="是",main!$BB$4,main!$BB$3))</f>
        <v>0</v>
      </c>
      <c r="N76" s="12">
        <f>IF(ISNUMBER(SEARCH("营",main!V76)),(-$Y76+50*IF(main!$AK76="是",main!$BB$4,main!$BB$3)),(VLOOKUP(main!V76,main!$AO$4:$AQ$55,2,FALSE))*IF(main!$AK76="是",main!$BB$4,main!$BB$3))</f>
        <v>0</v>
      </c>
      <c r="O76" s="12">
        <f>IF(ISNUMBER(SEARCH("营",main!W76)),(-$Y76+50*IF(main!$AK76="是",main!$BB$4,main!$BB$3)),(VLOOKUP(main!W76,main!$AO$4:$AQ$55,2,FALSE))*IF(main!$AK76="是",main!$BB$4,main!$BB$3))</f>
        <v>0</v>
      </c>
      <c r="P76" s="12">
        <f>IF(ISNUMBER(SEARCH("营",main!X76)),(-$Y76+50*IF(main!$AK76="是",main!$BB$4,main!$BB$3)),(VLOOKUP(main!X76,main!$AO$4:$AQ$55,2,FALSE))*IF(main!$AK76="是",main!$BB$4,main!$BB$3))</f>
        <v>0</v>
      </c>
      <c r="Q76" s="12">
        <f>IF(ISNUMBER(SEARCH("营",main!Y76)),(-$Y76+50*IF(main!$AK76="是",main!$BB$4,main!$BB$3)),(VLOOKUP(main!Y76,main!$AO$4:$AQ$55,2,FALSE))*IF(main!$AK76="是",main!$BB$4,main!$BB$3))</f>
        <v>0</v>
      </c>
      <c r="R76" s="12">
        <f>IF(ISNUMBER(SEARCH("营",main!Z76)),(-$Y76+50*IF(main!$AK76="是",main!$BB$4,main!$BB$3)),(VLOOKUP(main!Z76,main!$AO$4:$AQ$55,2,FALSE))*IF(main!$AK76="是",main!$BB$4,main!$BB$3))</f>
        <v>0</v>
      </c>
      <c r="S76" s="12">
        <f>IF(ISNUMBER(SEARCH("营",main!AA76)),(-$Y76+50*IF(main!$AK76="是",main!$BB$4,main!$BB$3)),(VLOOKUP(main!AA76,main!$AO$4:$AQ$55,2,FALSE))*IF(main!$AK76="是",main!$BB$4,main!$BB$3))</f>
        <v>0</v>
      </c>
      <c r="T76" s="12">
        <f>IF(ISNUMBER(SEARCH("营",main!AB76)),(-$Y76+50*IF(main!$AK76="是",main!$BB$4,main!$BB$3)),(VLOOKUP(main!AB76,main!$AO$4:$AQ$55,2,FALSE))*IF(main!$AK76="是",main!$BB$4,main!$BB$3))</f>
        <v>0</v>
      </c>
      <c r="U76" s="12">
        <f>IF(ISNUMBER(SEARCH("营",main!AC76)),(-$Y76+50*IF(main!$AK76="是",main!$BB$4,main!$BB$3)),(VLOOKUP(main!AC76,main!$AO$4:$AQ$55,2,FALSE))*IF(main!$AK76="是",main!$BB$4,main!$BB$3))</f>
        <v>0</v>
      </c>
      <c r="V76" s="12">
        <f>IF(ISNUMBER(SEARCH("营",main!AD76)),(-$Y76+50*IF(main!$AK76="是",main!$BB$4,main!$BB$3)),(VLOOKUP(main!AD76,main!$AO$4:$AQ$55,2,FALSE))*IF(main!$AK76="是",main!$BB$4,main!$BB$3))</f>
        <v>0</v>
      </c>
      <c r="W76" s="12">
        <f>IF(ISNUMBER(SEARCH("营",main!AE76)),(-$Y76+50*IF(main!$AK76="是",main!$BB$4,main!$BB$3)),(VLOOKUP(main!AE76,main!$AO$4:$AQ$55,2,FALSE))*IF(main!$AK76="是",main!$BB$4,main!$BB$3))</f>
        <v>0</v>
      </c>
      <c r="X76" s="12">
        <f>IF(ISNUMBER(SEARCH("营",main!AF76)),(-$Y76+50*IF(main!$AK76="是",main!$BB$4,main!$BB$3)),(VLOOKUP(main!AF76,main!$AO$4:$AQ$55,2,FALSE))*IF(main!$AK76="是",main!$BB$4,main!$BB$3))</f>
        <v>0</v>
      </c>
      <c r="Y76" s="98">
        <v>100</v>
      </c>
      <c r="Z76" s="95">
        <v>46348</v>
      </c>
      <c r="AA76">
        <v>73</v>
      </c>
    </row>
    <row r="77" spans="1:27">
      <c r="A77" s="12">
        <f>IF(ISNUMBER(SEARCH("营",main!I77)),(-$Y77+50*IF(main!$AK77="是",main!$BB$4,main!$BB$3)),(VLOOKUP(main!I77,main!$AO$4:$AQ$55,2,FALSE))*IF(main!$AK77="是",main!$BB$4,main!$BB$3))</f>
        <v>0</v>
      </c>
      <c r="B77" s="12">
        <f>IF(ISNUMBER(SEARCH("营",main!J77)),(-$Y77+50*IF(main!$AK77="是",main!$BB$4,main!$BB$3)),(VLOOKUP(main!J77,main!$AO$4:$AQ$55,2,FALSE))*IF(main!$AK77="是",main!$BB$4,main!$BB$3))</f>
        <v>0</v>
      </c>
      <c r="C77" s="12">
        <f>IF(ISNUMBER(SEARCH("营",main!K77)),(-$Y77+50*IF(main!$AK77="是",main!$BB$4,main!$BB$3)),(VLOOKUP(main!K77,main!$AO$4:$AQ$55,2,FALSE))*IF(main!$AK77="是",main!$BB$4,main!$BB$3))</f>
        <v>0</v>
      </c>
      <c r="D77" s="12">
        <f>IF(ISNUMBER(SEARCH("营",main!L77)),(-$Y77+50*IF(main!$AK77="是",main!$BB$4,main!$BB$3)),(VLOOKUP(main!L77,main!$AO$4:$AQ$55,2,FALSE))*IF(main!$AK77="是",main!$BB$4,main!$BB$3))</f>
        <v>0</v>
      </c>
      <c r="E77" s="12">
        <f>IF(ISNUMBER(SEARCH("营",main!M77)),(-$Y77+50*IF(main!$AK77="是",main!$BB$4,main!$BB$3)),(VLOOKUP(main!M77,main!$AO$4:$AQ$55,2,FALSE))*IF(main!$AK77="是",main!$BB$4,main!$BB$3))</f>
        <v>0</v>
      </c>
      <c r="F77" s="12">
        <f>IF(ISNUMBER(SEARCH("营",main!N77)),(-$Y77+50*IF(main!$AK77="是",main!$BB$4,main!$BB$3)),(VLOOKUP(main!N77,main!$AO$4:$AQ$55,2,FALSE))*IF(main!$AK77="是",main!$BB$4,main!$BB$3))</f>
        <v>0</v>
      </c>
      <c r="G77" s="12">
        <f>IF(ISNUMBER(SEARCH("营",main!O77)),(-$Y77+50*IF(main!$AK77="是",main!$BB$4,main!$BB$3)),(VLOOKUP(main!O77,main!$AO$4:$AQ$55,2,FALSE))*IF(main!$AK77="是",main!$BB$4,main!$BB$3))</f>
        <v>0</v>
      </c>
      <c r="H77" s="12">
        <f>IF(ISNUMBER(SEARCH("营",main!P77)),(-$Y77+50*IF(main!$AK77="是",main!$BB$4,main!$BB$3)),(VLOOKUP(main!P77,main!$AO$4:$AQ$55,2,FALSE))*IF(main!$AK77="是",main!$BB$4,main!$BB$3))</f>
        <v>0</v>
      </c>
      <c r="I77" s="12">
        <f>IF(ISNUMBER(SEARCH("营",main!Q77)),(-$Y77+50*IF(main!$AK77="是",main!$BB$4,main!$BB$3)),(VLOOKUP(main!Q77,main!$AO$4:$AQ$55,2,FALSE))*IF(main!$AK77="是",main!$BB$4,main!$BB$3))</f>
        <v>0</v>
      </c>
      <c r="J77" s="12">
        <f>IF(ISNUMBER(SEARCH("营",main!R77)),(-$Y77+50*IF(main!$AK77="是",main!$BB$4,main!$BB$3)),(VLOOKUP(main!R77,main!$AO$4:$AQ$55,2,FALSE))*IF(main!$AK77="是",main!$BB$4,main!$BB$3))</f>
        <v>0</v>
      </c>
      <c r="K77" s="12">
        <f>IF(ISNUMBER(SEARCH("营",main!S77)),(-$Y77+50*IF(main!$AK77="是",main!$BB$4,main!$BB$3)),(VLOOKUP(main!S77,main!$AO$4:$AQ$55,2,FALSE))*IF(main!$AK77="是",main!$BB$4,main!$BB$3))</f>
        <v>0</v>
      </c>
      <c r="L77" s="12">
        <f>IF(ISNUMBER(SEARCH("营",main!T77)),(-$Y77+50*IF(main!$AK77="是",main!$BB$4,main!$BB$3)),(VLOOKUP(main!T77,main!$AO$4:$AQ$55,2,FALSE))*IF(main!$AK77="是",main!$BB$4,main!$BB$3))</f>
        <v>0</v>
      </c>
      <c r="M77" s="12">
        <f>IF(ISNUMBER(SEARCH("营",main!U77)),(-$Y77+50*IF(main!$AK77="是",main!$BB$4,main!$BB$3)),(VLOOKUP(main!U77,main!$AO$4:$AQ$55,2,FALSE))*IF(main!$AK77="是",main!$BB$4,main!$BB$3))</f>
        <v>0</v>
      </c>
      <c r="N77" s="12">
        <f>IF(ISNUMBER(SEARCH("营",main!V77)),(-$Y77+50*IF(main!$AK77="是",main!$BB$4,main!$BB$3)),(VLOOKUP(main!V77,main!$AO$4:$AQ$55,2,FALSE))*IF(main!$AK77="是",main!$BB$4,main!$BB$3))</f>
        <v>0</v>
      </c>
      <c r="O77" s="12">
        <f>IF(ISNUMBER(SEARCH("营",main!W77)),(-$Y77+50*IF(main!$AK77="是",main!$BB$4,main!$BB$3)),(VLOOKUP(main!W77,main!$AO$4:$AQ$55,2,FALSE))*IF(main!$AK77="是",main!$BB$4,main!$BB$3))</f>
        <v>0</v>
      </c>
      <c r="P77" s="12">
        <f>IF(ISNUMBER(SEARCH("营",main!X77)),(-$Y77+50*IF(main!$AK77="是",main!$BB$4,main!$BB$3)),(VLOOKUP(main!X77,main!$AO$4:$AQ$55,2,FALSE))*IF(main!$AK77="是",main!$BB$4,main!$BB$3))</f>
        <v>0</v>
      </c>
      <c r="Q77" s="12">
        <f>IF(ISNUMBER(SEARCH("营",main!Y77)),(-$Y77+50*IF(main!$AK77="是",main!$BB$4,main!$BB$3)),(VLOOKUP(main!Y77,main!$AO$4:$AQ$55,2,FALSE))*IF(main!$AK77="是",main!$BB$4,main!$BB$3))</f>
        <v>0</v>
      </c>
      <c r="R77" s="12">
        <f>IF(ISNUMBER(SEARCH("营",main!Z77)),(-$Y77+50*IF(main!$AK77="是",main!$BB$4,main!$BB$3)),(VLOOKUP(main!Z77,main!$AO$4:$AQ$55,2,FALSE))*IF(main!$AK77="是",main!$BB$4,main!$BB$3))</f>
        <v>0</v>
      </c>
      <c r="S77" s="12">
        <f>IF(ISNUMBER(SEARCH("营",main!AA77)),(-$Y77+50*IF(main!$AK77="是",main!$BB$4,main!$BB$3)),(VLOOKUP(main!AA77,main!$AO$4:$AQ$55,2,FALSE))*IF(main!$AK77="是",main!$BB$4,main!$BB$3))</f>
        <v>0</v>
      </c>
      <c r="T77" s="12">
        <f>IF(ISNUMBER(SEARCH("营",main!AB77)),(-$Y77+50*IF(main!$AK77="是",main!$BB$4,main!$BB$3)),(VLOOKUP(main!AB77,main!$AO$4:$AQ$55,2,FALSE))*IF(main!$AK77="是",main!$BB$4,main!$BB$3))</f>
        <v>0</v>
      </c>
      <c r="U77" s="12">
        <f>IF(ISNUMBER(SEARCH("营",main!AC77)),(-$Y77+50*IF(main!$AK77="是",main!$BB$4,main!$BB$3)),(VLOOKUP(main!AC77,main!$AO$4:$AQ$55,2,FALSE))*IF(main!$AK77="是",main!$BB$4,main!$BB$3))</f>
        <v>0</v>
      </c>
      <c r="V77" s="12">
        <f>IF(ISNUMBER(SEARCH("营",main!AD77)),(-$Y77+50*IF(main!$AK77="是",main!$BB$4,main!$BB$3)),(VLOOKUP(main!AD77,main!$AO$4:$AQ$55,2,FALSE))*IF(main!$AK77="是",main!$BB$4,main!$BB$3))</f>
        <v>0</v>
      </c>
      <c r="W77" s="12">
        <f>IF(ISNUMBER(SEARCH("营",main!AE77)),(-$Y77+50*IF(main!$AK77="是",main!$BB$4,main!$BB$3)),(VLOOKUP(main!AE77,main!$AO$4:$AQ$55,2,FALSE))*IF(main!$AK77="是",main!$BB$4,main!$BB$3))</f>
        <v>0</v>
      </c>
      <c r="X77" s="12">
        <f>IF(ISNUMBER(SEARCH("营",main!AF77)),(-$Y77+50*IF(main!$AK77="是",main!$BB$4,main!$BB$3)),(VLOOKUP(main!AF77,main!$AO$4:$AQ$55,2,FALSE))*IF(main!$AK77="是",main!$BB$4,main!$BB$3))</f>
        <v>0</v>
      </c>
      <c r="Y77" s="98">
        <v>100</v>
      </c>
      <c r="Z77" s="95">
        <v>46349</v>
      </c>
      <c r="AA77">
        <v>74</v>
      </c>
    </row>
    <row r="78" spans="1:27">
      <c r="A78" s="12">
        <f>IF(ISNUMBER(SEARCH("营",main!I78)),(-$Y78+50*IF(main!$AK78="是",main!$BB$4,main!$BB$3)),(VLOOKUP(main!I78,main!$AO$4:$AQ$55,2,FALSE))*IF(main!$AK78="是",main!$BB$4,main!$BB$3))</f>
        <v>0</v>
      </c>
      <c r="B78" s="12">
        <f>IF(ISNUMBER(SEARCH("营",main!J78)),(-$Y78+50*IF(main!$AK78="是",main!$BB$4,main!$BB$3)),(VLOOKUP(main!J78,main!$AO$4:$AQ$55,2,FALSE))*IF(main!$AK78="是",main!$BB$4,main!$BB$3))</f>
        <v>0</v>
      </c>
      <c r="C78" s="12">
        <f>IF(ISNUMBER(SEARCH("营",main!K78)),(-$Y78+50*IF(main!$AK78="是",main!$BB$4,main!$BB$3)),(VLOOKUP(main!K78,main!$AO$4:$AQ$55,2,FALSE))*IF(main!$AK78="是",main!$BB$4,main!$BB$3))</f>
        <v>0</v>
      </c>
      <c r="D78" s="12">
        <f>IF(ISNUMBER(SEARCH("营",main!L78)),(-$Y78+50*IF(main!$AK78="是",main!$BB$4,main!$BB$3)),(VLOOKUP(main!L78,main!$AO$4:$AQ$55,2,FALSE))*IF(main!$AK78="是",main!$BB$4,main!$BB$3))</f>
        <v>0</v>
      </c>
      <c r="E78" s="12">
        <f>IF(ISNUMBER(SEARCH("营",main!M78)),(-$Y78+50*IF(main!$AK78="是",main!$BB$4,main!$BB$3)),(VLOOKUP(main!M78,main!$AO$4:$AQ$55,2,FALSE))*IF(main!$AK78="是",main!$BB$4,main!$BB$3))</f>
        <v>0</v>
      </c>
      <c r="F78" s="12">
        <f>IF(ISNUMBER(SEARCH("营",main!N78)),(-$Y78+50*IF(main!$AK78="是",main!$BB$4,main!$BB$3)),(VLOOKUP(main!N78,main!$AO$4:$AQ$55,2,FALSE))*IF(main!$AK78="是",main!$BB$4,main!$BB$3))</f>
        <v>0</v>
      </c>
      <c r="G78" s="12">
        <f>IF(ISNUMBER(SEARCH("营",main!O78)),(-$Y78+50*IF(main!$AK78="是",main!$BB$4,main!$BB$3)),(VLOOKUP(main!O78,main!$AO$4:$AQ$55,2,FALSE))*IF(main!$AK78="是",main!$BB$4,main!$BB$3))</f>
        <v>0</v>
      </c>
      <c r="H78" s="12">
        <f>IF(ISNUMBER(SEARCH("营",main!P78)),(-$Y78+50*IF(main!$AK78="是",main!$BB$4,main!$BB$3)),(VLOOKUP(main!P78,main!$AO$4:$AQ$55,2,FALSE))*IF(main!$AK78="是",main!$BB$4,main!$BB$3))</f>
        <v>0</v>
      </c>
      <c r="I78" s="12">
        <f>IF(ISNUMBER(SEARCH("营",main!Q78)),(-$Y78+50*IF(main!$AK78="是",main!$BB$4,main!$BB$3)),(VLOOKUP(main!Q78,main!$AO$4:$AQ$55,2,FALSE))*IF(main!$AK78="是",main!$BB$4,main!$BB$3))</f>
        <v>0</v>
      </c>
      <c r="J78" s="12">
        <f>IF(ISNUMBER(SEARCH("营",main!R78)),(-$Y78+50*IF(main!$AK78="是",main!$BB$4,main!$BB$3)),(VLOOKUP(main!R78,main!$AO$4:$AQ$55,2,FALSE))*IF(main!$AK78="是",main!$BB$4,main!$BB$3))</f>
        <v>0</v>
      </c>
      <c r="K78" s="12">
        <f>IF(ISNUMBER(SEARCH("营",main!S78)),(-$Y78+50*IF(main!$AK78="是",main!$BB$4,main!$BB$3)),(VLOOKUP(main!S78,main!$AO$4:$AQ$55,2,FALSE))*IF(main!$AK78="是",main!$BB$4,main!$BB$3))</f>
        <v>0</v>
      </c>
      <c r="L78" s="12">
        <f>IF(ISNUMBER(SEARCH("营",main!T78)),(-$Y78+50*IF(main!$AK78="是",main!$BB$4,main!$BB$3)),(VLOOKUP(main!T78,main!$AO$4:$AQ$55,2,FALSE))*IF(main!$AK78="是",main!$BB$4,main!$BB$3))</f>
        <v>0</v>
      </c>
      <c r="M78" s="12">
        <f>IF(ISNUMBER(SEARCH("营",main!U78)),(-$Y78+50*IF(main!$AK78="是",main!$BB$4,main!$BB$3)),(VLOOKUP(main!U78,main!$AO$4:$AQ$55,2,FALSE))*IF(main!$AK78="是",main!$BB$4,main!$BB$3))</f>
        <v>0</v>
      </c>
      <c r="N78" s="12">
        <f>IF(ISNUMBER(SEARCH("营",main!V78)),(-$Y78+50*IF(main!$AK78="是",main!$BB$4,main!$BB$3)),(VLOOKUP(main!V78,main!$AO$4:$AQ$55,2,FALSE))*IF(main!$AK78="是",main!$BB$4,main!$BB$3))</f>
        <v>0</v>
      </c>
      <c r="O78" s="12">
        <f>IF(ISNUMBER(SEARCH("营",main!W78)),(-$Y78+50*IF(main!$AK78="是",main!$BB$4,main!$BB$3)),(VLOOKUP(main!W78,main!$AO$4:$AQ$55,2,FALSE))*IF(main!$AK78="是",main!$BB$4,main!$BB$3))</f>
        <v>0</v>
      </c>
      <c r="P78" s="12">
        <f>IF(ISNUMBER(SEARCH("营",main!X78)),(-$Y78+50*IF(main!$AK78="是",main!$BB$4,main!$BB$3)),(VLOOKUP(main!X78,main!$AO$4:$AQ$55,2,FALSE))*IF(main!$AK78="是",main!$BB$4,main!$BB$3))</f>
        <v>0</v>
      </c>
      <c r="Q78" s="12">
        <f>IF(ISNUMBER(SEARCH("营",main!Y78)),(-$Y78+50*IF(main!$AK78="是",main!$BB$4,main!$BB$3)),(VLOOKUP(main!Y78,main!$AO$4:$AQ$55,2,FALSE))*IF(main!$AK78="是",main!$BB$4,main!$BB$3))</f>
        <v>0</v>
      </c>
      <c r="R78" s="12">
        <f>IF(ISNUMBER(SEARCH("营",main!Z78)),(-$Y78+50*IF(main!$AK78="是",main!$BB$4,main!$BB$3)),(VLOOKUP(main!Z78,main!$AO$4:$AQ$55,2,FALSE))*IF(main!$AK78="是",main!$BB$4,main!$BB$3))</f>
        <v>0</v>
      </c>
      <c r="S78" s="12">
        <f>IF(ISNUMBER(SEARCH("营",main!AA78)),(-$Y78+50*IF(main!$AK78="是",main!$BB$4,main!$BB$3)),(VLOOKUP(main!AA78,main!$AO$4:$AQ$55,2,FALSE))*IF(main!$AK78="是",main!$BB$4,main!$BB$3))</f>
        <v>0</v>
      </c>
      <c r="T78" s="12">
        <f>IF(ISNUMBER(SEARCH("营",main!AB78)),(-$Y78+50*IF(main!$AK78="是",main!$BB$4,main!$BB$3)),(VLOOKUP(main!AB78,main!$AO$4:$AQ$55,2,FALSE))*IF(main!$AK78="是",main!$BB$4,main!$BB$3))</f>
        <v>0</v>
      </c>
      <c r="U78" s="12">
        <f>IF(ISNUMBER(SEARCH("营",main!AC78)),(-$Y78+50*IF(main!$AK78="是",main!$BB$4,main!$BB$3)),(VLOOKUP(main!AC78,main!$AO$4:$AQ$55,2,FALSE))*IF(main!$AK78="是",main!$BB$4,main!$BB$3))</f>
        <v>0</v>
      </c>
      <c r="V78" s="12">
        <f>IF(ISNUMBER(SEARCH("营",main!AD78)),(-$Y78+50*IF(main!$AK78="是",main!$BB$4,main!$BB$3)),(VLOOKUP(main!AD78,main!$AO$4:$AQ$55,2,FALSE))*IF(main!$AK78="是",main!$BB$4,main!$BB$3))</f>
        <v>0</v>
      </c>
      <c r="W78" s="12">
        <f>IF(ISNUMBER(SEARCH("营",main!AE78)),(-$Y78+50*IF(main!$AK78="是",main!$BB$4,main!$BB$3)),(VLOOKUP(main!AE78,main!$AO$4:$AQ$55,2,FALSE))*IF(main!$AK78="是",main!$BB$4,main!$BB$3))</f>
        <v>0</v>
      </c>
      <c r="X78" s="12">
        <f>IF(ISNUMBER(SEARCH("营",main!AF78)),(-$Y78+50*IF(main!$AK78="是",main!$BB$4,main!$BB$3)),(VLOOKUP(main!AF78,main!$AO$4:$AQ$55,2,FALSE))*IF(main!$AK78="是",main!$BB$4,main!$BB$3))</f>
        <v>0</v>
      </c>
      <c r="Y78" s="98">
        <v>100</v>
      </c>
      <c r="Z78" s="95">
        <v>46350</v>
      </c>
      <c r="AA78">
        <v>75</v>
      </c>
    </row>
    <row r="79" spans="1:27">
      <c r="A79" s="12">
        <f>IF(ISNUMBER(SEARCH("营",main!I79)),(-$Y79+50*IF(main!$AK79="是",main!$BB$4,main!$BB$3)),(VLOOKUP(main!I79,main!$AO$4:$AQ$55,2,FALSE))*IF(main!$AK79="是",main!$BB$4,main!$BB$3))</f>
        <v>0</v>
      </c>
      <c r="B79" s="12">
        <f>IF(ISNUMBER(SEARCH("营",main!J79)),(-$Y79+50*IF(main!$AK79="是",main!$BB$4,main!$BB$3)),(VLOOKUP(main!J79,main!$AO$4:$AQ$55,2,FALSE))*IF(main!$AK79="是",main!$BB$4,main!$BB$3))</f>
        <v>0</v>
      </c>
      <c r="C79" s="12">
        <f>IF(ISNUMBER(SEARCH("营",main!K79)),(-$Y79+50*IF(main!$AK79="是",main!$BB$4,main!$BB$3)),(VLOOKUP(main!K79,main!$AO$4:$AQ$55,2,FALSE))*IF(main!$AK79="是",main!$BB$4,main!$BB$3))</f>
        <v>0</v>
      </c>
      <c r="D79" s="12">
        <f>IF(ISNUMBER(SEARCH("营",main!L79)),(-$Y79+50*IF(main!$AK79="是",main!$BB$4,main!$BB$3)),(VLOOKUP(main!L79,main!$AO$4:$AQ$55,2,FALSE))*IF(main!$AK79="是",main!$BB$4,main!$BB$3))</f>
        <v>0</v>
      </c>
      <c r="E79" s="12">
        <f>IF(ISNUMBER(SEARCH("营",main!M79)),(-$Y79+50*IF(main!$AK79="是",main!$BB$4,main!$BB$3)),(VLOOKUP(main!M79,main!$AO$4:$AQ$55,2,FALSE))*IF(main!$AK79="是",main!$BB$4,main!$BB$3))</f>
        <v>0</v>
      </c>
      <c r="F79" s="12">
        <f>IF(ISNUMBER(SEARCH("营",main!N79)),(-$Y79+50*IF(main!$AK79="是",main!$BB$4,main!$BB$3)),(VLOOKUP(main!N79,main!$AO$4:$AQ$55,2,FALSE))*IF(main!$AK79="是",main!$BB$4,main!$BB$3))</f>
        <v>0</v>
      </c>
      <c r="G79" s="12">
        <f>IF(ISNUMBER(SEARCH("营",main!O79)),(-$Y79+50*IF(main!$AK79="是",main!$BB$4,main!$BB$3)),(VLOOKUP(main!O79,main!$AO$4:$AQ$55,2,FALSE))*IF(main!$AK79="是",main!$BB$4,main!$BB$3))</f>
        <v>0</v>
      </c>
      <c r="H79" s="12">
        <f>IF(ISNUMBER(SEARCH("营",main!P79)),(-$Y79+50*IF(main!$AK79="是",main!$BB$4,main!$BB$3)),(VLOOKUP(main!P79,main!$AO$4:$AQ$55,2,FALSE))*IF(main!$AK79="是",main!$BB$4,main!$BB$3))</f>
        <v>0</v>
      </c>
      <c r="I79" s="12">
        <f>IF(ISNUMBER(SEARCH("营",main!Q79)),(-$Y79+50*IF(main!$AK79="是",main!$BB$4,main!$BB$3)),(VLOOKUP(main!Q79,main!$AO$4:$AQ$55,2,FALSE))*IF(main!$AK79="是",main!$BB$4,main!$BB$3))</f>
        <v>0</v>
      </c>
      <c r="J79" s="12">
        <f>IF(ISNUMBER(SEARCH("营",main!R79)),(-$Y79+50*IF(main!$AK79="是",main!$BB$4,main!$BB$3)),(VLOOKUP(main!R79,main!$AO$4:$AQ$55,2,FALSE))*IF(main!$AK79="是",main!$BB$4,main!$BB$3))</f>
        <v>0</v>
      </c>
      <c r="K79" s="12">
        <f>IF(ISNUMBER(SEARCH("营",main!S79)),(-$Y79+50*IF(main!$AK79="是",main!$BB$4,main!$BB$3)),(VLOOKUP(main!S79,main!$AO$4:$AQ$55,2,FALSE))*IF(main!$AK79="是",main!$BB$4,main!$BB$3))</f>
        <v>0</v>
      </c>
      <c r="L79" s="12">
        <f>IF(ISNUMBER(SEARCH("营",main!T79)),(-$Y79+50*IF(main!$AK79="是",main!$BB$4,main!$BB$3)),(VLOOKUP(main!T79,main!$AO$4:$AQ$55,2,FALSE))*IF(main!$AK79="是",main!$BB$4,main!$BB$3))</f>
        <v>0</v>
      </c>
      <c r="M79" s="12">
        <f>IF(ISNUMBER(SEARCH("营",main!U79)),(-$Y79+50*IF(main!$AK79="是",main!$BB$4,main!$BB$3)),(VLOOKUP(main!U79,main!$AO$4:$AQ$55,2,FALSE))*IF(main!$AK79="是",main!$BB$4,main!$BB$3))</f>
        <v>0</v>
      </c>
      <c r="N79" s="12">
        <f>IF(ISNUMBER(SEARCH("营",main!V79)),(-$Y79+50*IF(main!$AK79="是",main!$BB$4,main!$BB$3)),(VLOOKUP(main!V79,main!$AO$4:$AQ$55,2,FALSE))*IF(main!$AK79="是",main!$BB$4,main!$BB$3))</f>
        <v>0</v>
      </c>
      <c r="O79" s="12">
        <f>IF(ISNUMBER(SEARCH("营",main!W79)),(-$Y79+50*IF(main!$AK79="是",main!$BB$4,main!$BB$3)),(VLOOKUP(main!W79,main!$AO$4:$AQ$55,2,FALSE))*IF(main!$AK79="是",main!$BB$4,main!$BB$3))</f>
        <v>0</v>
      </c>
      <c r="P79" s="12">
        <f>IF(ISNUMBER(SEARCH("营",main!X79)),(-$Y79+50*IF(main!$AK79="是",main!$BB$4,main!$BB$3)),(VLOOKUP(main!X79,main!$AO$4:$AQ$55,2,FALSE))*IF(main!$AK79="是",main!$BB$4,main!$BB$3))</f>
        <v>0</v>
      </c>
      <c r="Q79" s="12">
        <f>IF(ISNUMBER(SEARCH("营",main!Y79)),(-$Y79+50*IF(main!$AK79="是",main!$BB$4,main!$BB$3)),(VLOOKUP(main!Y79,main!$AO$4:$AQ$55,2,FALSE))*IF(main!$AK79="是",main!$BB$4,main!$BB$3))</f>
        <v>0</v>
      </c>
      <c r="R79" s="12">
        <f>IF(ISNUMBER(SEARCH("营",main!Z79)),(-$Y79+50*IF(main!$AK79="是",main!$BB$4,main!$BB$3)),(VLOOKUP(main!Z79,main!$AO$4:$AQ$55,2,FALSE))*IF(main!$AK79="是",main!$BB$4,main!$BB$3))</f>
        <v>0</v>
      </c>
      <c r="S79" s="12">
        <f>IF(ISNUMBER(SEARCH("营",main!AA79)),(-$Y79+50*IF(main!$AK79="是",main!$BB$4,main!$BB$3)),(VLOOKUP(main!AA79,main!$AO$4:$AQ$55,2,FALSE))*IF(main!$AK79="是",main!$BB$4,main!$BB$3))</f>
        <v>0</v>
      </c>
      <c r="T79" s="12">
        <f>IF(ISNUMBER(SEARCH("营",main!AB79)),(-$Y79+50*IF(main!$AK79="是",main!$BB$4,main!$BB$3)),(VLOOKUP(main!AB79,main!$AO$4:$AQ$55,2,FALSE))*IF(main!$AK79="是",main!$BB$4,main!$BB$3))</f>
        <v>0</v>
      </c>
      <c r="U79" s="12">
        <f>IF(ISNUMBER(SEARCH("营",main!AC79)),(-$Y79+50*IF(main!$AK79="是",main!$BB$4,main!$BB$3)),(VLOOKUP(main!AC79,main!$AO$4:$AQ$55,2,FALSE))*IF(main!$AK79="是",main!$BB$4,main!$BB$3))</f>
        <v>0</v>
      </c>
      <c r="V79" s="12">
        <f>IF(ISNUMBER(SEARCH("营",main!AD79)),(-$Y79+50*IF(main!$AK79="是",main!$BB$4,main!$BB$3)),(VLOOKUP(main!AD79,main!$AO$4:$AQ$55,2,FALSE))*IF(main!$AK79="是",main!$BB$4,main!$BB$3))</f>
        <v>0</v>
      </c>
      <c r="W79" s="12">
        <f>IF(ISNUMBER(SEARCH("营",main!AE79)),(-$Y79+50*IF(main!$AK79="是",main!$BB$4,main!$BB$3)),(VLOOKUP(main!AE79,main!$AO$4:$AQ$55,2,FALSE))*IF(main!$AK79="是",main!$BB$4,main!$BB$3))</f>
        <v>0</v>
      </c>
      <c r="X79" s="12">
        <f>IF(ISNUMBER(SEARCH("营",main!AF79)),(-$Y79+50*IF(main!$AK79="是",main!$BB$4,main!$BB$3)),(VLOOKUP(main!AF79,main!$AO$4:$AQ$55,2,FALSE))*IF(main!$AK79="是",main!$BB$4,main!$BB$3))</f>
        <v>0</v>
      </c>
      <c r="Y79" s="98">
        <v>100</v>
      </c>
      <c r="Z79" s="95">
        <v>46351</v>
      </c>
      <c r="AA79">
        <v>76</v>
      </c>
    </row>
    <row r="80" spans="1:27">
      <c r="A80" s="12">
        <f>IF(ISNUMBER(SEARCH("营",main!I80)),(-$Y80+50*IF(main!$AK80="是",main!$BB$4,main!$BB$3)),(VLOOKUP(main!I80,main!$AO$4:$AQ$55,2,FALSE))*IF(main!$AK80="是",main!$BB$4,main!$BB$3))</f>
        <v>0</v>
      </c>
      <c r="B80" s="12">
        <f>IF(ISNUMBER(SEARCH("营",main!J80)),(-$Y80+50*IF(main!$AK80="是",main!$BB$4,main!$BB$3)),(VLOOKUP(main!J80,main!$AO$4:$AQ$55,2,FALSE))*IF(main!$AK80="是",main!$BB$4,main!$BB$3))</f>
        <v>0</v>
      </c>
      <c r="C80" s="12">
        <f>IF(ISNUMBER(SEARCH("营",main!K80)),(-$Y80+50*IF(main!$AK80="是",main!$BB$4,main!$BB$3)),(VLOOKUP(main!K80,main!$AO$4:$AQ$55,2,FALSE))*IF(main!$AK80="是",main!$BB$4,main!$BB$3))</f>
        <v>0</v>
      </c>
      <c r="D80" s="12">
        <f>IF(ISNUMBER(SEARCH("营",main!L80)),(-$Y80+50*IF(main!$AK80="是",main!$BB$4,main!$BB$3)),(VLOOKUP(main!L80,main!$AO$4:$AQ$55,2,FALSE))*IF(main!$AK80="是",main!$BB$4,main!$BB$3))</f>
        <v>0</v>
      </c>
      <c r="E80" s="12">
        <f>IF(ISNUMBER(SEARCH("营",main!M80)),(-$Y80+50*IF(main!$AK80="是",main!$BB$4,main!$BB$3)),(VLOOKUP(main!M80,main!$AO$4:$AQ$55,2,FALSE))*IF(main!$AK80="是",main!$BB$4,main!$BB$3))</f>
        <v>0</v>
      </c>
      <c r="F80" s="12">
        <f>IF(ISNUMBER(SEARCH("营",main!N80)),(-$Y80+50*IF(main!$AK80="是",main!$BB$4,main!$BB$3)),(VLOOKUP(main!N80,main!$AO$4:$AQ$55,2,FALSE))*IF(main!$AK80="是",main!$BB$4,main!$BB$3))</f>
        <v>0</v>
      </c>
      <c r="G80" s="12">
        <f>IF(ISNUMBER(SEARCH("营",main!O80)),(-$Y80+50*IF(main!$AK80="是",main!$BB$4,main!$BB$3)),(VLOOKUP(main!O80,main!$AO$4:$AQ$55,2,FALSE))*IF(main!$AK80="是",main!$BB$4,main!$BB$3))</f>
        <v>0</v>
      </c>
      <c r="H80" s="12">
        <f>IF(ISNUMBER(SEARCH("营",main!P80)),(-$Y80+50*IF(main!$AK80="是",main!$BB$4,main!$BB$3)),(VLOOKUP(main!P80,main!$AO$4:$AQ$55,2,FALSE))*IF(main!$AK80="是",main!$BB$4,main!$BB$3))</f>
        <v>0</v>
      </c>
      <c r="I80" s="12">
        <f>IF(ISNUMBER(SEARCH("营",main!Q80)),(-$Y80+50*IF(main!$AK80="是",main!$BB$4,main!$BB$3)),(VLOOKUP(main!Q80,main!$AO$4:$AQ$55,2,FALSE))*IF(main!$AK80="是",main!$BB$4,main!$BB$3))</f>
        <v>0</v>
      </c>
      <c r="J80" s="12">
        <f>IF(ISNUMBER(SEARCH("营",main!R80)),(-$Y80+50*IF(main!$AK80="是",main!$BB$4,main!$BB$3)),(VLOOKUP(main!R80,main!$AO$4:$AQ$55,2,FALSE))*IF(main!$AK80="是",main!$BB$4,main!$BB$3))</f>
        <v>0</v>
      </c>
      <c r="K80" s="12">
        <f>IF(ISNUMBER(SEARCH("营",main!S80)),(-$Y80+50*IF(main!$AK80="是",main!$BB$4,main!$BB$3)),(VLOOKUP(main!S80,main!$AO$4:$AQ$55,2,FALSE))*IF(main!$AK80="是",main!$BB$4,main!$BB$3))</f>
        <v>0</v>
      </c>
      <c r="L80" s="12">
        <f>IF(ISNUMBER(SEARCH("营",main!T80)),(-$Y80+50*IF(main!$AK80="是",main!$BB$4,main!$BB$3)),(VLOOKUP(main!T80,main!$AO$4:$AQ$55,2,FALSE))*IF(main!$AK80="是",main!$BB$4,main!$BB$3))</f>
        <v>0</v>
      </c>
      <c r="M80" s="12">
        <f>IF(ISNUMBER(SEARCH("营",main!U80)),(-$Y80+50*IF(main!$AK80="是",main!$BB$4,main!$BB$3)),(VLOOKUP(main!U80,main!$AO$4:$AQ$55,2,FALSE))*IF(main!$AK80="是",main!$BB$4,main!$BB$3))</f>
        <v>0</v>
      </c>
      <c r="N80" s="12">
        <f>IF(ISNUMBER(SEARCH("营",main!V80)),(-$Y80+50*IF(main!$AK80="是",main!$BB$4,main!$BB$3)),(VLOOKUP(main!V80,main!$AO$4:$AQ$55,2,FALSE))*IF(main!$AK80="是",main!$BB$4,main!$BB$3))</f>
        <v>0</v>
      </c>
      <c r="O80" s="12">
        <f>IF(ISNUMBER(SEARCH("营",main!W80)),(-$Y80+50*IF(main!$AK80="是",main!$BB$4,main!$BB$3)),(VLOOKUP(main!W80,main!$AO$4:$AQ$55,2,FALSE))*IF(main!$AK80="是",main!$BB$4,main!$BB$3))</f>
        <v>0</v>
      </c>
      <c r="P80" s="12">
        <f>IF(ISNUMBER(SEARCH("营",main!X80)),(-$Y80+50*IF(main!$AK80="是",main!$BB$4,main!$BB$3)),(VLOOKUP(main!X80,main!$AO$4:$AQ$55,2,FALSE))*IF(main!$AK80="是",main!$BB$4,main!$BB$3))</f>
        <v>0</v>
      </c>
      <c r="Q80" s="12">
        <f>IF(ISNUMBER(SEARCH("营",main!Y80)),(-$Y80+50*IF(main!$AK80="是",main!$BB$4,main!$BB$3)),(VLOOKUP(main!Y80,main!$AO$4:$AQ$55,2,FALSE))*IF(main!$AK80="是",main!$BB$4,main!$BB$3))</f>
        <v>0</v>
      </c>
      <c r="R80" s="12">
        <f>IF(ISNUMBER(SEARCH("营",main!Z80)),(-$Y80+50*IF(main!$AK80="是",main!$BB$4,main!$BB$3)),(VLOOKUP(main!Z80,main!$AO$4:$AQ$55,2,FALSE))*IF(main!$AK80="是",main!$BB$4,main!$BB$3))</f>
        <v>0</v>
      </c>
      <c r="S80" s="12">
        <f>IF(ISNUMBER(SEARCH("营",main!AA80)),(-$Y80+50*IF(main!$AK80="是",main!$BB$4,main!$BB$3)),(VLOOKUP(main!AA80,main!$AO$4:$AQ$55,2,FALSE))*IF(main!$AK80="是",main!$BB$4,main!$BB$3))</f>
        <v>0</v>
      </c>
      <c r="T80" s="12">
        <f>IF(ISNUMBER(SEARCH("营",main!AB80)),(-$Y80+50*IF(main!$AK80="是",main!$BB$4,main!$BB$3)),(VLOOKUP(main!AB80,main!$AO$4:$AQ$55,2,FALSE))*IF(main!$AK80="是",main!$BB$4,main!$BB$3))</f>
        <v>0</v>
      </c>
      <c r="U80" s="12">
        <f>IF(ISNUMBER(SEARCH("营",main!AC80)),(-$Y80+50*IF(main!$AK80="是",main!$BB$4,main!$BB$3)),(VLOOKUP(main!AC80,main!$AO$4:$AQ$55,2,FALSE))*IF(main!$AK80="是",main!$BB$4,main!$BB$3))</f>
        <v>0</v>
      </c>
      <c r="V80" s="12">
        <f>IF(ISNUMBER(SEARCH("营",main!AD80)),(-$Y80+50*IF(main!$AK80="是",main!$BB$4,main!$BB$3)),(VLOOKUP(main!AD80,main!$AO$4:$AQ$55,2,FALSE))*IF(main!$AK80="是",main!$BB$4,main!$BB$3))</f>
        <v>0</v>
      </c>
      <c r="W80" s="12">
        <f>IF(ISNUMBER(SEARCH("营",main!AE80)),(-$Y80+50*IF(main!$AK80="是",main!$BB$4,main!$BB$3)),(VLOOKUP(main!AE80,main!$AO$4:$AQ$55,2,FALSE))*IF(main!$AK80="是",main!$BB$4,main!$BB$3))</f>
        <v>0</v>
      </c>
      <c r="X80" s="12">
        <f>IF(ISNUMBER(SEARCH("营",main!AF80)),(-$Y80+50*IF(main!$AK80="是",main!$BB$4,main!$BB$3)),(VLOOKUP(main!AF80,main!$AO$4:$AQ$55,2,FALSE))*IF(main!$AK80="是",main!$BB$4,main!$BB$3))</f>
        <v>0</v>
      </c>
      <c r="Y80" s="98">
        <v>100</v>
      </c>
      <c r="Z80" s="95">
        <v>46352</v>
      </c>
      <c r="AA80">
        <v>77</v>
      </c>
    </row>
    <row r="81" spans="1:27">
      <c r="A81" s="12">
        <f>IF(ISNUMBER(SEARCH("营",main!I81)),(-$Y81+50*IF(main!$AK81="是",main!$BB$4,main!$BB$3)),(VLOOKUP(main!I81,main!$AO$4:$AQ$55,2,FALSE))*IF(main!$AK81="是",main!$BB$4,main!$BB$3))</f>
        <v>0</v>
      </c>
      <c r="B81" s="12">
        <f>IF(ISNUMBER(SEARCH("营",main!J81)),(-$Y81+50*IF(main!$AK81="是",main!$BB$4,main!$BB$3)),(VLOOKUP(main!J81,main!$AO$4:$AQ$55,2,FALSE))*IF(main!$AK81="是",main!$BB$4,main!$BB$3))</f>
        <v>0</v>
      </c>
      <c r="C81" s="12">
        <f>IF(ISNUMBER(SEARCH("营",main!K81)),(-$Y81+50*IF(main!$AK81="是",main!$BB$4,main!$BB$3)),(VLOOKUP(main!K81,main!$AO$4:$AQ$55,2,FALSE))*IF(main!$AK81="是",main!$BB$4,main!$BB$3))</f>
        <v>0</v>
      </c>
      <c r="D81" s="12">
        <f>IF(ISNUMBER(SEARCH("营",main!L81)),(-$Y81+50*IF(main!$AK81="是",main!$BB$4,main!$BB$3)),(VLOOKUP(main!L81,main!$AO$4:$AQ$55,2,FALSE))*IF(main!$AK81="是",main!$BB$4,main!$BB$3))</f>
        <v>0</v>
      </c>
      <c r="E81" s="12">
        <f>IF(ISNUMBER(SEARCH("营",main!M81)),(-$Y81+50*IF(main!$AK81="是",main!$BB$4,main!$BB$3)),(VLOOKUP(main!M81,main!$AO$4:$AQ$55,2,FALSE))*IF(main!$AK81="是",main!$BB$4,main!$BB$3))</f>
        <v>0</v>
      </c>
      <c r="F81" s="12">
        <f>IF(ISNUMBER(SEARCH("营",main!N81)),(-$Y81+50*IF(main!$AK81="是",main!$BB$4,main!$BB$3)),(VLOOKUP(main!N81,main!$AO$4:$AQ$55,2,FALSE))*IF(main!$AK81="是",main!$BB$4,main!$BB$3))</f>
        <v>0</v>
      </c>
      <c r="G81" s="12">
        <f>IF(ISNUMBER(SEARCH("营",main!O81)),(-$Y81+50*IF(main!$AK81="是",main!$BB$4,main!$BB$3)),(VLOOKUP(main!O81,main!$AO$4:$AQ$55,2,FALSE))*IF(main!$AK81="是",main!$BB$4,main!$BB$3))</f>
        <v>0</v>
      </c>
      <c r="H81" s="12">
        <f>IF(ISNUMBER(SEARCH("营",main!P81)),(-$Y81+50*IF(main!$AK81="是",main!$BB$4,main!$BB$3)),(VLOOKUP(main!P81,main!$AO$4:$AQ$55,2,FALSE))*IF(main!$AK81="是",main!$BB$4,main!$BB$3))</f>
        <v>0</v>
      </c>
      <c r="I81" s="12">
        <f>IF(ISNUMBER(SEARCH("营",main!Q81)),(-$Y81+50*IF(main!$AK81="是",main!$BB$4,main!$BB$3)),(VLOOKUP(main!Q81,main!$AO$4:$AQ$55,2,FALSE))*IF(main!$AK81="是",main!$BB$4,main!$BB$3))</f>
        <v>0</v>
      </c>
      <c r="J81" s="12">
        <f>IF(ISNUMBER(SEARCH("营",main!R81)),(-$Y81+50*IF(main!$AK81="是",main!$BB$4,main!$BB$3)),(VLOOKUP(main!R81,main!$AO$4:$AQ$55,2,FALSE))*IF(main!$AK81="是",main!$BB$4,main!$BB$3))</f>
        <v>0</v>
      </c>
      <c r="K81" s="12">
        <f>IF(ISNUMBER(SEARCH("营",main!S81)),(-$Y81+50*IF(main!$AK81="是",main!$BB$4,main!$BB$3)),(VLOOKUP(main!S81,main!$AO$4:$AQ$55,2,FALSE))*IF(main!$AK81="是",main!$BB$4,main!$BB$3))</f>
        <v>0</v>
      </c>
      <c r="L81" s="12">
        <f>IF(ISNUMBER(SEARCH("营",main!T81)),(-$Y81+50*IF(main!$AK81="是",main!$BB$4,main!$BB$3)),(VLOOKUP(main!T81,main!$AO$4:$AQ$55,2,FALSE))*IF(main!$AK81="是",main!$BB$4,main!$BB$3))</f>
        <v>0</v>
      </c>
      <c r="M81" s="12">
        <f>IF(ISNUMBER(SEARCH("营",main!U81)),(-$Y81+50*IF(main!$AK81="是",main!$BB$4,main!$BB$3)),(VLOOKUP(main!U81,main!$AO$4:$AQ$55,2,FALSE))*IF(main!$AK81="是",main!$BB$4,main!$BB$3))</f>
        <v>0</v>
      </c>
      <c r="N81" s="12">
        <f>IF(ISNUMBER(SEARCH("营",main!V81)),(-$Y81+50*IF(main!$AK81="是",main!$BB$4,main!$BB$3)),(VLOOKUP(main!V81,main!$AO$4:$AQ$55,2,FALSE))*IF(main!$AK81="是",main!$BB$4,main!$BB$3))</f>
        <v>0</v>
      </c>
      <c r="O81" s="12">
        <f>IF(ISNUMBER(SEARCH("营",main!W81)),(-$Y81+50*IF(main!$AK81="是",main!$BB$4,main!$BB$3)),(VLOOKUP(main!W81,main!$AO$4:$AQ$55,2,FALSE))*IF(main!$AK81="是",main!$BB$4,main!$BB$3))</f>
        <v>0</v>
      </c>
      <c r="P81" s="12">
        <f>IF(ISNUMBER(SEARCH("营",main!X81)),(-$Y81+50*IF(main!$AK81="是",main!$BB$4,main!$BB$3)),(VLOOKUP(main!X81,main!$AO$4:$AQ$55,2,FALSE))*IF(main!$AK81="是",main!$BB$4,main!$BB$3))</f>
        <v>0</v>
      </c>
      <c r="Q81" s="12">
        <f>IF(ISNUMBER(SEARCH("营",main!Y81)),(-$Y81+50*IF(main!$AK81="是",main!$BB$4,main!$BB$3)),(VLOOKUP(main!Y81,main!$AO$4:$AQ$55,2,FALSE))*IF(main!$AK81="是",main!$BB$4,main!$BB$3))</f>
        <v>0</v>
      </c>
      <c r="R81" s="12">
        <f>IF(ISNUMBER(SEARCH("营",main!Z81)),(-$Y81+50*IF(main!$AK81="是",main!$BB$4,main!$BB$3)),(VLOOKUP(main!Z81,main!$AO$4:$AQ$55,2,FALSE))*IF(main!$AK81="是",main!$BB$4,main!$BB$3))</f>
        <v>0</v>
      </c>
      <c r="S81" s="12">
        <f>IF(ISNUMBER(SEARCH("营",main!AA81)),(-$Y81+50*IF(main!$AK81="是",main!$BB$4,main!$BB$3)),(VLOOKUP(main!AA81,main!$AO$4:$AQ$55,2,FALSE))*IF(main!$AK81="是",main!$BB$4,main!$BB$3))</f>
        <v>0</v>
      </c>
      <c r="T81" s="12">
        <f>IF(ISNUMBER(SEARCH("营",main!AB81)),(-$Y81+50*IF(main!$AK81="是",main!$BB$4,main!$BB$3)),(VLOOKUP(main!AB81,main!$AO$4:$AQ$55,2,FALSE))*IF(main!$AK81="是",main!$BB$4,main!$BB$3))</f>
        <v>0</v>
      </c>
      <c r="U81" s="12">
        <f>IF(ISNUMBER(SEARCH("营",main!AC81)),(-$Y81+50*IF(main!$AK81="是",main!$BB$4,main!$BB$3)),(VLOOKUP(main!AC81,main!$AO$4:$AQ$55,2,FALSE))*IF(main!$AK81="是",main!$BB$4,main!$BB$3))</f>
        <v>0</v>
      </c>
      <c r="V81" s="12">
        <f>IF(ISNUMBER(SEARCH("营",main!AD81)),(-$Y81+50*IF(main!$AK81="是",main!$BB$4,main!$BB$3)),(VLOOKUP(main!AD81,main!$AO$4:$AQ$55,2,FALSE))*IF(main!$AK81="是",main!$BB$4,main!$BB$3))</f>
        <v>0</v>
      </c>
      <c r="W81" s="12">
        <f>IF(ISNUMBER(SEARCH("营",main!AE81)),(-$Y81+50*IF(main!$AK81="是",main!$BB$4,main!$BB$3)),(VLOOKUP(main!AE81,main!$AO$4:$AQ$55,2,FALSE))*IF(main!$AK81="是",main!$BB$4,main!$BB$3))</f>
        <v>0</v>
      </c>
      <c r="X81" s="12">
        <f>IF(ISNUMBER(SEARCH("营",main!AF81)),(-$Y81+50*IF(main!$AK81="是",main!$BB$4,main!$BB$3)),(VLOOKUP(main!AF81,main!$AO$4:$AQ$55,2,FALSE))*IF(main!$AK81="是",main!$BB$4,main!$BB$3))</f>
        <v>0</v>
      </c>
      <c r="Y81" s="98">
        <v>100</v>
      </c>
      <c r="Z81" s="95">
        <v>46353</v>
      </c>
      <c r="AA81">
        <v>78</v>
      </c>
    </row>
    <row r="82" spans="1:27">
      <c r="A82" s="12">
        <f>IF(ISNUMBER(SEARCH("营",main!I82)),(-$Y82+50*IF(main!$AK82="是",main!$BB$4,main!$BB$3)),(VLOOKUP(main!I82,main!$AO$4:$AQ$55,2,FALSE))*IF(main!$AK82="是",main!$BB$4,main!$BB$3))</f>
        <v>0</v>
      </c>
      <c r="B82" s="12">
        <f>IF(ISNUMBER(SEARCH("营",main!J82)),(-$Y82+50*IF(main!$AK82="是",main!$BB$4,main!$BB$3)),(VLOOKUP(main!J82,main!$AO$4:$AQ$55,2,FALSE))*IF(main!$AK82="是",main!$BB$4,main!$BB$3))</f>
        <v>0</v>
      </c>
      <c r="C82" s="12">
        <f>IF(ISNUMBER(SEARCH("营",main!K82)),(-$Y82+50*IF(main!$AK82="是",main!$BB$4,main!$BB$3)),(VLOOKUP(main!K82,main!$AO$4:$AQ$55,2,FALSE))*IF(main!$AK82="是",main!$BB$4,main!$BB$3))</f>
        <v>0</v>
      </c>
      <c r="D82" s="12">
        <f>IF(ISNUMBER(SEARCH("营",main!L82)),(-$Y82+50*IF(main!$AK82="是",main!$BB$4,main!$BB$3)),(VLOOKUP(main!L82,main!$AO$4:$AQ$55,2,FALSE))*IF(main!$AK82="是",main!$BB$4,main!$BB$3))</f>
        <v>0</v>
      </c>
      <c r="E82" s="12">
        <f>IF(ISNUMBER(SEARCH("营",main!M82)),(-$Y82+50*IF(main!$AK82="是",main!$BB$4,main!$BB$3)),(VLOOKUP(main!M82,main!$AO$4:$AQ$55,2,FALSE))*IF(main!$AK82="是",main!$BB$4,main!$BB$3))</f>
        <v>0</v>
      </c>
      <c r="F82" s="12">
        <f>IF(ISNUMBER(SEARCH("营",main!N82)),(-$Y82+50*IF(main!$AK82="是",main!$BB$4,main!$BB$3)),(VLOOKUP(main!N82,main!$AO$4:$AQ$55,2,FALSE))*IF(main!$AK82="是",main!$BB$4,main!$BB$3))</f>
        <v>0</v>
      </c>
      <c r="G82" s="12">
        <f>IF(ISNUMBER(SEARCH("营",main!O82)),(-$Y82+50*IF(main!$AK82="是",main!$BB$4,main!$BB$3)),(VLOOKUP(main!O82,main!$AO$4:$AQ$55,2,FALSE))*IF(main!$AK82="是",main!$BB$4,main!$BB$3))</f>
        <v>0</v>
      </c>
      <c r="H82" s="12">
        <f>IF(ISNUMBER(SEARCH("营",main!P82)),(-$Y82+50*IF(main!$AK82="是",main!$BB$4,main!$BB$3)),(VLOOKUP(main!P82,main!$AO$4:$AQ$55,2,FALSE))*IF(main!$AK82="是",main!$BB$4,main!$BB$3))</f>
        <v>0</v>
      </c>
      <c r="I82" s="12">
        <f>IF(ISNUMBER(SEARCH("营",main!Q82)),(-$Y82+50*IF(main!$AK82="是",main!$BB$4,main!$BB$3)),(VLOOKUP(main!Q82,main!$AO$4:$AQ$55,2,FALSE))*IF(main!$AK82="是",main!$BB$4,main!$BB$3))</f>
        <v>0</v>
      </c>
      <c r="J82" s="12">
        <f>IF(ISNUMBER(SEARCH("营",main!R82)),(-$Y82+50*IF(main!$AK82="是",main!$BB$4,main!$BB$3)),(VLOOKUP(main!R82,main!$AO$4:$AQ$55,2,FALSE))*IF(main!$AK82="是",main!$BB$4,main!$BB$3))</f>
        <v>0</v>
      </c>
      <c r="K82" s="12">
        <f>IF(ISNUMBER(SEARCH("营",main!S82)),(-$Y82+50*IF(main!$AK82="是",main!$BB$4,main!$BB$3)),(VLOOKUP(main!S82,main!$AO$4:$AQ$55,2,FALSE))*IF(main!$AK82="是",main!$BB$4,main!$BB$3))</f>
        <v>0</v>
      </c>
      <c r="L82" s="12">
        <f>IF(ISNUMBER(SEARCH("营",main!T82)),(-$Y82+50*IF(main!$AK82="是",main!$BB$4,main!$BB$3)),(VLOOKUP(main!T82,main!$AO$4:$AQ$55,2,FALSE))*IF(main!$AK82="是",main!$BB$4,main!$BB$3))</f>
        <v>0</v>
      </c>
      <c r="M82" s="12">
        <f>IF(ISNUMBER(SEARCH("营",main!U82)),(-$Y82+50*IF(main!$AK82="是",main!$BB$4,main!$BB$3)),(VLOOKUP(main!U82,main!$AO$4:$AQ$55,2,FALSE))*IF(main!$AK82="是",main!$BB$4,main!$BB$3))</f>
        <v>0</v>
      </c>
      <c r="N82" s="12">
        <f>IF(ISNUMBER(SEARCH("营",main!V82)),(-$Y82+50*IF(main!$AK82="是",main!$BB$4,main!$BB$3)),(VLOOKUP(main!V82,main!$AO$4:$AQ$55,2,FALSE))*IF(main!$AK82="是",main!$BB$4,main!$BB$3))</f>
        <v>0</v>
      </c>
      <c r="O82" s="12">
        <f>IF(ISNUMBER(SEARCH("营",main!W82)),(-$Y82+50*IF(main!$AK82="是",main!$BB$4,main!$BB$3)),(VLOOKUP(main!W82,main!$AO$4:$AQ$55,2,FALSE))*IF(main!$AK82="是",main!$BB$4,main!$BB$3))</f>
        <v>0</v>
      </c>
      <c r="P82" s="12">
        <f>IF(ISNUMBER(SEARCH("营",main!X82)),(-$Y82+50*IF(main!$AK82="是",main!$BB$4,main!$BB$3)),(VLOOKUP(main!X82,main!$AO$4:$AQ$55,2,FALSE))*IF(main!$AK82="是",main!$BB$4,main!$BB$3))</f>
        <v>0</v>
      </c>
      <c r="Q82" s="12">
        <f>IF(ISNUMBER(SEARCH("营",main!Y82)),(-$Y82+50*IF(main!$AK82="是",main!$BB$4,main!$BB$3)),(VLOOKUP(main!Y82,main!$AO$4:$AQ$55,2,FALSE))*IF(main!$AK82="是",main!$BB$4,main!$BB$3))</f>
        <v>0</v>
      </c>
      <c r="R82" s="12">
        <f>IF(ISNUMBER(SEARCH("营",main!Z82)),(-$Y82+50*IF(main!$AK82="是",main!$BB$4,main!$BB$3)),(VLOOKUP(main!Z82,main!$AO$4:$AQ$55,2,FALSE))*IF(main!$AK82="是",main!$BB$4,main!$BB$3))</f>
        <v>0</v>
      </c>
      <c r="S82" s="12">
        <f>IF(ISNUMBER(SEARCH("营",main!AA82)),(-$Y82+50*IF(main!$AK82="是",main!$BB$4,main!$BB$3)),(VLOOKUP(main!AA82,main!$AO$4:$AQ$55,2,FALSE))*IF(main!$AK82="是",main!$BB$4,main!$BB$3))</f>
        <v>0</v>
      </c>
      <c r="T82" s="12">
        <f>IF(ISNUMBER(SEARCH("营",main!AB82)),(-$Y82+50*IF(main!$AK82="是",main!$BB$4,main!$BB$3)),(VLOOKUP(main!AB82,main!$AO$4:$AQ$55,2,FALSE))*IF(main!$AK82="是",main!$BB$4,main!$BB$3))</f>
        <v>0</v>
      </c>
      <c r="U82" s="12">
        <f>IF(ISNUMBER(SEARCH("营",main!AC82)),(-$Y82+50*IF(main!$AK82="是",main!$BB$4,main!$BB$3)),(VLOOKUP(main!AC82,main!$AO$4:$AQ$55,2,FALSE))*IF(main!$AK82="是",main!$BB$4,main!$BB$3))</f>
        <v>0</v>
      </c>
      <c r="V82" s="12">
        <f>IF(ISNUMBER(SEARCH("营",main!AD82)),(-$Y82+50*IF(main!$AK82="是",main!$BB$4,main!$BB$3)),(VLOOKUP(main!AD82,main!$AO$4:$AQ$55,2,FALSE))*IF(main!$AK82="是",main!$BB$4,main!$BB$3))</f>
        <v>0</v>
      </c>
      <c r="W82" s="12">
        <f>IF(ISNUMBER(SEARCH("营",main!AE82)),(-$Y82+50*IF(main!$AK82="是",main!$BB$4,main!$BB$3)),(VLOOKUP(main!AE82,main!$AO$4:$AQ$55,2,FALSE))*IF(main!$AK82="是",main!$BB$4,main!$BB$3))</f>
        <v>0</v>
      </c>
      <c r="X82" s="12">
        <f>IF(ISNUMBER(SEARCH("营",main!AF82)),(-$Y82+50*IF(main!$AK82="是",main!$BB$4,main!$BB$3)),(VLOOKUP(main!AF82,main!$AO$4:$AQ$55,2,FALSE))*IF(main!$AK82="是",main!$BB$4,main!$BB$3))</f>
        <v>0</v>
      </c>
      <c r="Y82" s="98">
        <v>100</v>
      </c>
      <c r="Z82" s="95">
        <v>46354</v>
      </c>
      <c r="AA82">
        <v>79</v>
      </c>
    </row>
    <row r="83" spans="1:27">
      <c r="A83" s="12">
        <f>IF(ISNUMBER(SEARCH("营",main!I83)),(-$Y83+50*IF(main!$AK83="是",main!$BB$4,main!$BB$3)),(VLOOKUP(main!I83,main!$AO$4:$AQ$55,2,FALSE))*IF(main!$AK83="是",main!$BB$4,main!$BB$3))</f>
        <v>0</v>
      </c>
      <c r="B83" s="12">
        <f>IF(ISNUMBER(SEARCH("营",main!J83)),(-$Y83+50*IF(main!$AK83="是",main!$BB$4,main!$BB$3)),(VLOOKUP(main!J83,main!$AO$4:$AQ$55,2,FALSE))*IF(main!$AK83="是",main!$BB$4,main!$BB$3))</f>
        <v>0</v>
      </c>
      <c r="C83" s="12">
        <f>IF(ISNUMBER(SEARCH("营",main!K83)),(-$Y83+50*IF(main!$AK83="是",main!$BB$4,main!$BB$3)),(VLOOKUP(main!K83,main!$AO$4:$AQ$55,2,FALSE))*IF(main!$AK83="是",main!$BB$4,main!$BB$3))</f>
        <v>0</v>
      </c>
      <c r="D83" s="12">
        <f>IF(ISNUMBER(SEARCH("营",main!L83)),(-$Y83+50*IF(main!$AK83="是",main!$BB$4,main!$BB$3)),(VLOOKUP(main!L83,main!$AO$4:$AQ$55,2,FALSE))*IF(main!$AK83="是",main!$BB$4,main!$BB$3))</f>
        <v>0</v>
      </c>
      <c r="E83" s="12">
        <f>IF(ISNUMBER(SEARCH("营",main!M83)),(-$Y83+50*IF(main!$AK83="是",main!$BB$4,main!$BB$3)),(VLOOKUP(main!M83,main!$AO$4:$AQ$55,2,FALSE))*IF(main!$AK83="是",main!$BB$4,main!$BB$3))</f>
        <v>0</v>
      </c>
      <c r="F83" s="12">
        <f>IF(ISNUMBER(SEARCH("营",main!N83)),(-$Y83+50*IF(main!$AK83="是",main!$BB$4,main!$BB$3)),(VLOOKUP(main!N83,main!$AO$4:$AQ$55,2,FALSE))*IF(main!$AK83="是",main!$BB$4,main!$BB$3))</f>
        <v>0</v>
      </c>
      <c r="G83" s="12">
        <f>IF(ISNUMBER(SEARCH("营",main!O83)),(-$Y83+50*IF(main!$AK83="是",main!$BB$4,main!$BB$3)),(VLOOKUP(main!O83,main!$AO$4:$AQ$55,2,FALSE))*IF(main!$AK83="是",main!$BB$4,main!$BB$3))</f>
        <v>0</v>
      </c>
      <c r="H83" s="12">
        <f>IF(ISNUMBER(SEARCH("营",main!P83)),(-$Y83+50*IF(main!$AK83="是",main!$BB$4,main!$BB$3)),(VLOOKUP(main!P83,main!$AO$4:$AQ$55,2,FALSE))*IF(main!$AK83="是",main!$BB$4,main!$BB$3))</f>
        <v>0</v>
      </c>
      <c r="I83" s="12">
        <f>IF(ISNUMBER(SEARCH("营",main!Q83)),(-$Y83+50*IF(main!$AK83="是",main!$BB$4,main!$BB$3)),(VLOOKUP(main!Q83,main!$AO$4:$AQ$55,2,FALSE))*IF(main!$AK83="是",main!$BB$4,main!$BB$3))</f>
        <v>0</v>
      </c>
      <c r="J83" s="12">
        <f>IF(ISNUMBER(SEARCH("营",main!R83)),(-$Y83+50*IF(main!$AK83="是",main!$BB$4,main!$BB$3)),(VLOOKUP(main!R83,main!$AO$4:$AQ$55,2,FALSE))*IF(main!$AK83="是",main!$BB$4,main!$BB$3))</f>
        <v>0</v>
      </c>
      <c r="K83" s="12">
        <f>IF(ISNUMBER(SEARCH("营",main!S83)),(-$Y83+50*IF(main!$AK83="是",main!$BB$4,main!$BB$3)),(VLOOKUP(main!S83,main!$AO$4:$AQ$55,2,FALSE))*IF(main!$AK83="是",main!$BB$4,main!$BB$3))</f>
        <v>0</v>
      </c>
      <c r="L83" s="12">
        <f>IF(ISNUMBER(SEARCH("营",main!T83)),(-$Y83+50*IF(main!$AK83="是",main!$BB$4,main!$BB$3)),(VLOOKUP(main!T83,main!$AO$4:$AQ$55,2,FALSE))*IF(main!$AK83="是",main!$BB$4,main!$BB$3))</f>
        <v>0</v>
      </c>
      <c r="M83" s="12">
        <f>IF(ISNUMBER(SEARCH("营",main!U83)),(-$Y83+50*IF(main!$AK83="是",main!$BB$4,main!$BB$3)),(VLOOKUP(main!U83,main!$AO$4:$AQ$55,2,FALSE))*IF(main!$AK83="是",main!$BB$4,main!$BB$3))</f>
        <v>0</v>
      </c>
      <c r="N83" s="12">
        <f>IF(ISNUMBER(SEARCH("营",main!V83)),(-$Y83+50*IF(main!$AK83="是",main!$BB$4,main!$BB$3)),(VLOOKUP(main!V83,main!$AO$4:$AQ$55,2,FALSE))*IF(main!$AK83="是",main!$BB$4,main!$BB$3))</f>
        <v>0</v>
      </c>
      <c r="O83" s="12">
        <f>IF(ISNUMBER(SEARCH("营",main!W83)),(-$Y83+50*IF(main!$AK83="是",main!$BB$4,main!$BB$3)),(VLOOKUP(main!W83,main!$AO$4:$AQ$55,2,FALSE))*IF(main!$AK83="是",main!$BB$4,main!$BB$3))</f>
        <v>0</v>
      </c>
      <c r="P83" s="12">
        <f>IF(ISNUMBER(SEARCH("营",main!X83)),(-$Y83+50*IF(main!$AK83="是",main!$BB$4,main!$BB$3)),(VLOOKUP(main!X83,main!$AO$4:$AQ$55,2,FALSE))*IF(main!$AK83="是",main!$BB$4,main!$BB$3))</f>
        <v>0</v>
      </c>
      <c r="Q83" s="12">
        <f>IF(ISNUMBER(SEARCH("营",main!Y83)),(-$Y83+50*IF(main!$AK83="是",main!$BB$4,main!$BB$3)),(VLOOKUP(main!Y83,main!$AO$4:$AQ$55,2,FALSE))*IF(main!$AK83="是",main!$BB$4,main!$BB$3))</f>
        <v>0</v>
      </c>
      <c r="R83" s="12">
        <f>IF(ISNUMBER(SEARCH("营",main!Z83)),(-$Y83+50*IF(main!$AK83="是",main!$BB$4,main!$BB$3)),(VLOOKUP(main!Z83,main!$AO$4:$AQ$55,2,FALSE))*IF(main!$AK83="是",main!$BB$4,main!$BB$3))</f>
        <v>0</v>
      </c>
      <c r="S83" s="12">
        <f>IF(ISNUMBER(SEARCH("营",main!AA83)),(-$Y83+50*IF(main!$AK83="是",main!$BB$4,main!$BB$3)),(VLOOKUP(main!AA83,main!$AO$4:$AQ$55,2,FALSE))*IF(main!$AK83="是",main!$BB$4,main!$BB$3))</f>
        <v>0</v>
      </c>
      <c r="T83" s="12">
        <f>IF(ISNUMBER(SEARCH("营",main!AB83)),(-$Y83+50*IF(main!$AK83="是",main!$BB$4,main!$BB$3)),(VLOOKUP(main!AB83,main!$AO$4:$AQ$55,2,FALSE))*IF(main!$AK83="是",main!$BB$4,main!$BB$3))</f>
        <v>0</v>
      </c>
      <c r="U83" s="12">
        <f>IF(ISNUMBER(SEARCH("营",main!AC83)),(-$Y83+50*IF(main!$AK83="是",main!$BB$4,main!$BB$3)),(VLOOKUP(main!AC83,main!$AO$4:$AQ$55,2,FALSE))*IF(main!$AK83="是",main!$BB$4,main!$BB$3))</f>
        <v>0</v>
      </c>
      <c r="V83" s="12">
        <f>IF(ISNUMBER(SEARCH("营",main!AD83)),(-$Y83+50*IF(main!$AK83="是",main!$BB$4,main!$BB$3)),(VLOOKUP(main!AD83,main!$AO$4:$AQ$55,2,FALSE))*IF(main!$AK83="是",main!$BB$4,main!$BB$3))</f>
        <v>0</v>
      </c>
      <c r="W83" s="12">
        <f>IF(ISNUMBER(SEARCH("营",main!AE83)),(-$Y83+50*IF(main!$AK83="是",main!$BB$4,main!$BB$3)),(VLOOKUP(main!AE83,main!$AO$4:$AQ$55,2,FALSE))*IF(main!$AK83="是",main!$BB$4,main!$BB$3))</f>
        <v>0</v>
      </c>
      <c r="X83" s="12">
        <f>IF(ISNUMBER(SEARCH("营",main!AF83)),(-$Y83+50*IF(main!$AK83="是",main!$BB$4,main!$BB$3)),(VLOOKUP(main!AF83,main!$AO$4:$AQ$55,2,FALSE))*IF(main!$AK83="是",main!$BB$4,main!$BB$3))</f>
        <v>0</v>
      </c>
      <c r="Y83" s="98">
        <v>100</v>
      </c>
      <c r="Z83" s="95">
        <v>46355</v>
      </c>
      <c r="AA83">
        <v>80</v>
      </c>
    </row>
    <row r="84" spans="1:27">
      <c r="A84" s="12">
        <f>IF(ISNUMBER(SEARCH("营",main!I84)),(-$Y84+50*IF(main!$AK84="是",main!$BB$4,main!$BB$3)),(VLOOKUP(main!I84,main!$AO$4:$AQ$55,2,FALSE))*IF(main!$AK84="是",main!$BB$4,main!$BB$3))</f>
        <v>0</v>
      </c>
      <c r="B84" s="12">
        <f>IF(ISNUMBER(SEARCH("营",main!J84)),(-$Y84+50*IF(main!$AK84="是",main!$BB$4,main!$BB$3)),(VLOOKUP(main!J84,main!$AO$4:$AQ$55,2,FALSE))*IF(main!$AK84="是",main!$BB$4,main!$BB$3))</f>
        <v>0</v>
      </c>
      <c r="C84" s="12">
        <f>IF(ISNUMBER(SEARCH("营",main!K84)),(-$Y84+50*IF(main!$AK84="是",main!$BB$4,main!$BB$3)),(VLOOKUP(main!K84,main!$AO$4:$AQ$55,2,FALSE))*IF(main!$AK84="是",main!$BB$4,main!$BB$3))</f>
        <v>0</v>
      </c>
      <c r="D84" s="12">
        <f>IF(ISNUMBER(SEARCH("营",main!L84)),(-$Y84+50*IF(main!$AK84="是",main!$BB$4,main!$BB$3)),(VLOOKUP(main!L84,main!$AO$4:$AQ$55,2,FALSE))*IF(main!$AK84="是",main!$BB$4,main!$BB$3))</f>
        <v>0</v>
      </c>
      <c r="E84" s="12">
        <f>IF(ISNUMBER(SEARCH("营",main!M84)),(-$Y84+50*IF(main!$AK84="是",main!$BB$4,main!$BB$3)),(VLOOKUP(main!M84,main!$AO$4:$AQ$55,2,FALSE))*IF(main!$AK84="是",main!$BB$4,main!$BB$3))</f>
        <v>0</v>
      </c>
      <c r="F84" s="12">
        <f>IF(ISNUMBER(SEARCH("营",main!N84)),(-$Y84+50*IF(main!$AK84="是",main!$BB$4,main!$BB$3)),(VLOOKUP(main!N84,main!$AO$4:$AQ$55,2,FALSE))*IF(main!$AK84="是",main!$BB$4,main!$BB$3))</f>
        <v>0</v>
      </c>
      <c r="G84" s="12">
        <f>IF(ISNUMBER(SEARCH("营",main!O84)),(-$Y84+50*IF(main!$AK84="是",main!$BB$4,main!$BB$3)),(VLOOKUP(main!O84,main!$AO$4:$AQ$55,2,FALSE))*IF(main!$AK84="是",main!$BB$4,main!$BB$3))</f>
        <v>0</v>
      </c>
      <c r="H84" s="12">
        <f>IF(ISNUMBER(SEARCH("营",main!P84)),(-$Y84+50*IF(main!$AK84="是",main!$BB$4,main!$BB$3)),(VLOOKUP(main!P84,main!$AO$4:$AQ$55,2,FALSE))*IF(main!$AK84="是",main!$BB$4,main!$BB$3))</f>
        <v>0</v>
      </c>
      <c r="I84" s="12">
        <f>IF(ISNUMBER(SEARCH("营",main!Q84)),(-$Y84+50*IF(main!$AK84="是",main!$BB$4,main!$BB$3)),(VLOOKUP(main!Q84,main!$AO$4:$AQ$55,2,FALSE))*IF(main!$AK84="是",main!$BB$4,main!$BB$3))</f>
        <v>0</v>
      </c>
      <c r="J84" s="12">
        <f>IF(ISNUMBER(SEARCH("营",main!R84)),(-$Y84+50*IF(main!$AK84="是",main!$BB$4,main!$BB$3)),(VLOOKUP(main!R84,main!$AO$4:$AQ$55,2,FALSE))*IF(main!$AK84="是",main!$BB$4,main!$BB$3))</f>
        <v>0</v>
      </c>
      <c r="K84" s="12">
        <f>IF(ISNUMBER(SEARCH("营",main!S84)),(-$Y84+50*IF(main!$AK84="是",main!$BB$4,main!$BB$3)),(VLOOKUP(main!S84,main!$AO$4:$AQ$55,2,FALSE))*IF(main!$AK84="是",main!$BB$4,main!$BB$3))</f>
        <v>0</v>
      </c>
      <c r="L84" s="12">
        <f>IF(ISNUMBER(SEARCH("营",main!T84)),(-$Y84+50*IF(main!$AK84="是",main!$BB$4,main!$BB$3)),(VLOOKUP(main!T84,main!$AO$4:$AQ$55,2,FALSE))*IF(main!$AK84="是",main!$BB$4,main!$BB$3))</f>
        <v>0</v>
      </c>
      <c r="M84" s="12">
        <f>IF(ISNUMBER(SEARCH("营",main!U84)),(-$Y84+50*IF(main!$AK84="是",main!$BB$4,main!$BB$3)),(VLOOKUP(main!U84,main!$AO$4:$AQ$55,2,FALSE))*IF(main!$AK84="是",main!$BB$4,main!$BB$3))</f>
        <v>0</v>
      </c>
      <c r="N84" s="12">
        <f>IF(ISNUMBER(SEARCH("营",main!V84)),(-$Y84+50*IF(main!$AK84="是",main!$BB$4,main!$BB$3)),(VLOOKUP(main!V84,main!$AO$4:$AQ$55,2,FALSE))*IF(main!$AK84="是",main!$BB$4,main!$BB$3))</f>
        <v>0</v>
      </c>
      <c r="O84" s="12">
        <f>IF(ISNUMBER(SEARCH("营",main!W84)),(-$Y84+50*IF(main!$AK84="是",main!$BB$4,main!$BB$3)),(VLOOKUP(main!W84,main!$AO$4:$AQ$55,2,FALSE))*IF(main!$AK84="是",main!$BB$4,main!$BB$3))</f>
        <v>0</v>
      </c>
      <c r="P84" s="12">
        <f>IF(ISNUMBER(SEARCH("营",main!X84)),(-$Y84+50*IF(main!$AK84="是",main!$BB$4,main!$BB$3)),(VLOOKUP(main!X84,main!$AO$4:$AQ$55,2,FALSE))*IF(main!$AK84="是",main!$BB$4,main!$BB$3))</f>
        <v>0</v>
      </c>
      <c r="Q84" s="12">
        <f>IF(ISNUMBER(SEARCH("营",main!Y84)),(-$Y84+50*IF(main!$AK84="是",main!$BB$4,main!$BB$3)),(VLOOKUP(main!Y84,main!$AO$4:$AQ$55,2,FALSE))*IF(main!$AK84="是",main!$BB$4,main!$BB$3))</f>
        <v>0</v>
      </c>
      <c r="R84" s="12">
        <f>IF(ISNUMBER(SEARCH("营",main!Z84)),(-$Y84+50*IF(main!$AK84="是",main!$BB$4,main!$BB$3)),(VLOOKUP(main!Z84,main!$AO$4:$AQ$55,2,FALSE))*IF(main!$AK84="是",main!$BB$4,main!$BB$3))</f>
        <v>0</v>
      </c>
      <c r="S84" s="12">
        <f>IF(ISNUMBER(SEARCH("营",main!AA84)),(-$Y84+50*IF(main!$AK84="是",main!$BB$4,main!$BB$3)),(VLOOKUP(main!AA84,main!$AO$4:$AQ$55,2,FALSE))*IF(main!$AK84="是",main!$BB$4,main!$BB$3))</f>
        <v>0</v>
      </c>
      <c r="T84" s="12">
        <f>IF(ISNUMBER(SEARCH("营",main!AB84)),(-$Y84+50*IF(main!$AK84="是",main!$BB$4,main!$BB$3)),(VLOOKUP(main!AB84,main!$AO$4:$AQ$55,2,FALSE))*IF(main!$AK84="是",main!$BB$4,main!$BB$3))</f>
        <v>0</v>
      </c>
      <c r="U84" s="12">
        <f>IF(ISNUMBER(SEARCH("营",main!AC84)),(-$Y84+50*IF(main!$AK84="是",main!$BB$4,main!$BB$3)),(VLOOKUP(main!AC84,main!$AO$4:$AQ$55,2,FALSE))*IF(main!$AK84="是",main!$BB$4,main!$BB$3))</f>
        <v>0</v>
      </c>
      <c r="V84" s="12">
        <f>IF(ISNUMBER(SEARCH("营",main!AD84)),(-$Y84+50*IF(main!$AK84="是",main!$BB$4,main!$BB$3)),(VLOOKUP(main!AD84,main!$AO$4:$AQ$55,2,FALSE))*IF(main!$AK84="是",main!$BB$4,main!$BB$3))</f>
        <v>0</v>
      </c>
      <c r="W84" s="12">
        <f>IF(ISNUMBER(SEARCH("营",main!AE84)),(-$Y84+50*IF(main!$AK84="是",main!$BB$4,main!$BB$3)),(VLOOKUP(main!AE84,main!$AO$4:$AQ$55,2,FALSE))*IF(main!$AK84="是",main!$BB$4,main!$BB$3))</f>
        <v>0</v>
      </c>
      <c r="X84" s="12">
        <f>IF(ISNUMBER(SEARCH("营",main!AF84)),(-$Y84+50*IF(main!$AK84="是",main!$BB$4,main!$BB$3)),(VLOOKUP(main!AF84,main!$AO$4:$AQ$55,2,FALSE))*IF(main!$AK84="是",main!$BB$4,main!$BB$3))</f>
        <v>0</v>
      </c>
      <c r="Y84" s="98">
        <v>100</v>
      </c>
      <c r="Z84" s="95">
        <v>46356</v>
      </c>
      <c r="AA84">
        <v>81</v>
      </c>
    </row>
    <row r="85" spans="1:27">
      <c r="A85" s="12">
        <f>IF(ISNUMBER(SEARCH("营",main!I85)),(-$Y85+50*IF(main!$AK85="是",main!$BB$4,main!$BB$3)),(VLOOKUP(main!I85,main!$AO$4:$AQ$55,2,FALSE))*IF(main!$AK85="是",main!$BB$4,main!$BB$3))</f>
        <v>0</v>
      </c>
      <c r="B85" s="12">
        <f>IF(ISNUMBER(SEARCH("营",main!J85)),(-$Y85+50*IF(main!$AK85="是",main!$BB$4,main!$BB$3)),(VLOOKUP(main!J85,main!$AO$4:$AQ$55,2,FALSE))*IF(main!$AK85="是",main!$BB$4,main!$BB$3))</f>
        <v>0</v>
      </c>
      <c r="C85" s="12">
        <f>IF(ISNUMBER(SEARCH("营",main!K85)),(-$Y85+50*IF(main!$AK85="是",main!$BB$4,main!$BB$3)),(VLOOKUP(main!K85,main!$AO$4:$AQ$55,2,FALSE))*IF(main!$AK85="是",main!$BB$4,main!$BB$3))</f>
        <v>0</v>
      </c>
      <c r="D85" s="12">
        <f>IF(ISNUMBER(SEARCH("营",main!L85)),(-$Y85+50*IF(main!$AK85="是",main!$BB$4,main!$BB$3)),(VLOOKUP(main!L85,main!$AO$4:$AQ$55,2,FALSE))*IF(main!$AK85="是",main!$BB$4,main!$BB$3))</f>
        <v>0</v>
      </c>
      <c r="E85" s="12">
        <f>IF(ISNUMBER(SEARCH("营",main!M85)),(-$Y85+50*IF(main!$AK85="是",main!$BB$4,main!$BB$3)),(VLOOKUP(main!M85,main!$AO$4:$AQ$55,2,FALSE))*IF(main!$AK85="是",main!$BB$4,main!$BB$3))</f>
        <v>0</v>
      </c>
      <c r="F85" s="12">
        <f>IF(ISNUMBER(SEARCH("营",main!N85)),(-$Y85+50*IF(main!$AK85="是",main!$BB$4,main!$BB$3)),(VLOOKUP(main!N85,main!$AO$4:$AQ$55,2,FALSE))*IF(main!$AK85="是",main!$BB$4,main!$BB$3))</f>
        <v>0</v>
      </c>
      <c r="G85" s="12">
        <f>IF(ISNUMBER(SEARCH("营",main!O85)),(-$Y85+50*IF(main!$AK85="是",main!$BB$4,main!$BB$3)),(VLOOKUP(main!O85,main!$AO$4:$AQ$55,2,FALSE))*IF(main!$AK85="是",main!$BB$4,main!$BB$3))</f>
        <v>0</v>
      </c>
      <c r="H85" s="12">
        <f>IF(ISNUMBER(SEARCH("营",main!P85)),(-$Y85+50*IF(main!$AK85="是",main!$BB$4,main!$BB$3)),(VLOOKUP(main!P85,main!$AO$4:$AQ$55,2,FALSE))*IF(main!$AK85="是",main!$BB$4,main!$BB$3))</f>
        <v>0</v>
      </c>
      <c r="I85" s="12">
        <f>IF(ISNUMBER(SEARCH("营",main!Q85)),(-$Y85+50*IF(main!$AK85="是",main!$BB$4,main!$BB$3)),(VLOOKUP(main!Q85,main!$AO$4:$AQ$55,2,FALSE))*IF(main!$AK85="是",main!$BB$4,main!$BB$3))</f>
        <v>0</v>
      </c>
      <c r="J85" s="12">
        <f>IF(ISNUMBER(SEARCH("营",main!R85)),(-$Y85+50*IF(main!$AK85="是",main!$BB$4,main!$BB$3)),(VLOOKUP(main!R85,main!$AO$4:$AQ$55,2,FALSE))*IF(main!$AK85="是",main!$BB$4,main!$BB$3))</f>
        <v>0</v>
      </c>
      <c r="K85" s="12">
        <f>IF(ISNUMBER(SEARCH("营",main!S85)),(-$Y85+50*IF(main!$AK85="是",main!$BB$4,main!$BB$3)),(VLOOKUP(main!S85,main!$AO$4:$AQ$55,2,FALSE))*IF(main!$AK85="是",main!$BB$4,main!$BB$3))</f>
        <v>0</v>
      </c>
      <c r="L85" s="12">
        <f>IF(ISNUMBER(SEARCH("营",main!T85)),(-$Y85+50*IF(main!$AK85="是",main!$BB$4,main!$BB$3)),(VLOOKUP(main!T85,main!$AO$4:$AQ$55,2,FALSE))*IF(main!$AK85="是",main!$BB$4,main!$BB$3))</f>
        <v>0</v>
      </c>
      <c r="M85" s="12">
        <f>IF(ISNUMBER(SEARCH("营",main!U85)),(-$Y85+50*IF(main!$AK85="是",main!$BB$4,main!$BB$3)),(VLOOKUP(main!U85,main!$AO$4:$AQ$55,2,FALSE))*IF(main!$AK85="是",main!$BB$4,main!$BB$3))</f>
        <v>0</v>
      </c>
      <c r="N85" s="12">
        <f>IF(ISNUMBER(SEARCH("营",main!V85)),(-$Y85+50*IF(main!$AK85="是",main!$BB$4,main!$BB$3)),(VLOOKUP(main!V85,main!$AO$4:$AQ$55,2,FALSE))*IF(main!$AK85="是",main!$BB$4,main!$BB$3))</f>
        <v>0</v>
      </c>
      <c r="O85" s="12">
        <f>IF(ISNUMBER(SEARCH("营",main!W85)),(-$Y85+50*IF(main!$AK85="是",main!$BB$4,main!$BB$3)),(VLOOKUP(main!W85,main!$AO$4:$AQ$55,2,FALSE))*IF(main!$AK85="是",main!$BB$4,main!$BB$3))</f>
        <v>0</v>
      </c>
      <c r="P85" s="12">
        <f>IF(ISNUMBER(SEARCH("营",main!X85)),(-$Y85+50*IF(main!$AK85="是",main!$BB$4,main!$BB$3)),(VLOOKUP(main!X85,main!$AO$4:$AQ$55,2,FALSE))*IF(main!$AK85="是",main!$BB$4,main!$BB$3))</f>
        <v>0</v>
      </c>
      <c r="Q85" s="12">
        <f>IF(ISNUMBER(SEARCH("营",main!Y85)),(-$Y85+50*IF(main!$AK85="是",main!$BB$4,main!$BB$3)),(VLOOKUP(main!Y85,main!$AO$4:$AQ$55,2,FALSE))*IF(main!$AK85="是",main!$BB$4,main!$BB$3))</f>
        <v>0</v>
      </c>
      <c r="R85" s="12">
        <f>IF(ISNUMBER(SEARCH("营",main!Z85)),(-$Y85+50*IF(main!$AK85="是",main!$BB$4,main!$BB$3)),(VLOOKUP(main!Z85,main!$AO$4:$AQ$55,2,FALSE))*IF(main!$AK85="是",main!$BB$4,main!$BB$3))</f>
        <v>0</v>
      </c>
      <c r="S85" s="12">
        <f>IF(ISNUMBER(SEARCH("营",main!AA85)),(-$Y85+50*IF(main!$AK85="是",main!$BB$4,main!$BB$3)),(VLOOKUP(main!AA85,main!$AO$4:$AQ$55,2,FALSE))*IF(main!$AK85="是",main!$BB$4,main!$BB$3))</f>
        <v>0</v>
      </c>
      <c r="T85" s="12">
        <f>IF(ISNUMBER(SEARCH("营",main!AB85)),(-$Y85+50*IF(main!$AK85="是",main!$BB$4,main!$BB$3)),(VLOOKUP(main!AB85,main!$AO$4:$AQ$55,2,FALSE))*IF(main!$AK85="是",main!$BB$4,main!$BB$3))</f>
        <v>0</v>
      </c>
      <c r="U85" s="12">
        <f>IF(ISNUMBER(SEARCH("营",main!AC85)),(-$Y85+50*IF(main!$AK85="是",main!$BB$4,main!$BB$3)),(VLOOKUP(main!AC85,main!$AO$4:$AQ$55,2,FALSE))*IF(main!$AK85="是",main!$BB$4,main!$BB$3))</f>
        <v>0</v>
      </c>
      <c r="V85" s="12">
        <f>IF(ISNUMBER(SEARCH("营",main!AD85)),(-$Y85+50*IF(main!$AK85="是",main!$BB$4,main!$BB$3)),(VLOOKUP(main!AD85,main!$AO$4:$AQ$55,2,FALSE))*IF(main!$AK85="是",main!$BB$4,main!$BB$3))</f>
        <v>0</v>
      </c>
      <c r="W85" s="12">
        <f>IF(ISNUMBER(SEARCH("营",main!AE85)),(-$Y85+50*IF(main!$AK85="是",main!$BB$4,main!$BB$3)),(VLOOKUP(main!AE85,main!$AO$4:$AQ$55,2,FALSE))*IF(main!$AK85="是",main!$BB$4,main!$BB$3))</f>
        <v>0</v>
      </c>
      <c r="X85" s="12">
        <f>IF(ISNUMBER(SEARCH("营",main!AF85)),(-$Y85+50*IF(main!$AK85="是",main!$BB$4,main!$BB$3)),(VLOOKUP(main!AF85,main!$AO$4:$AQ$55,2,FALSE))*IF(main!$AK85="是",main!$BB$4,main!$BB$3))</f>
        <v>0</v>
      </c>
      <c r="Y85" s="98">
        <v>100</v>
      </c>
      <c r="Z85" s="95">
        <v>46357</v>
      </c>
      <c r="AA85">
        <v>82</v>
      </c>
    </row>
    <row r="86" spans="1:27">
      <c r="A86" s="12">
        <f>IF(ISNUMBER(SEARCH("营",main!I86)),(-$Y86+50*IF(main!$AK86="是",main!$BB$4,main!$BB$3)),(VLOOKUP(main!I86,main!$AO$4:$AQ$55,2,FALSE))*IF(main!$AK86="是",main!$BB$4,main!$BB$3))</f>
        <v>0</v>
      </c>
      <c r="B86" s="12">
        <f>IF(ISNUMBER(SEARCH("营",main!J86)),(-$Y86+50*IF(main!$AK86="是",main!$BB$4,main!$BB$3)),(VLOOKUP(main!J86,main!$AO$4:$AQ$55,2,FALSE))*IF(main!$AK86="是",main!$BB$4,main!$BB$3))</f>
        <v>0</v>
      </c>
      <c r="C86" s="12">
        <f>IF(ISNUMBER(SEARCH("营",main!K86)),(-$Y86+50*IF(main!$AK86="是",main!$BB$4,main!$BB$3)),(VLOOKUP(main!K86,main!$AO$4:$AQ$55,2,FALSE))*IF(main!$AK86="是",main!$BB$4,main!$BB$3))</f>
        <v>0</v>
      </c>
      <c r="D86" s="12">
        <f>IF(ISNUMBER(SEARCH("营",main!L86)),(-$Y86+50*IF(main!$AK86="是",main!$BB$4,main!$BB$3)),(VLOOKUP(main!L86,main!$AO$4:$AQ$55,2,FALSE))*IF(main!$AK86="是",main!$BB$4,main!$BB$3))</f>
        <v>0</v>
      </c>
      <c r="E86" s="12">
        <f>IF(ISNUMBER(SEARCH("营",main!M86)),(-$Y86+50*IF(main!$AK86="是",main!$BB$4,main!$BB$3)),(VLOOKUP(main!M86,main!$AO$4:$AQ$55,2,FALSE))*IF(main!$AK86="是",main!$BB$4,main!$BB$3))</f>
        <v>0</v>
      </c>
      <c r="F86" s="12">
        <f>IF(ISNUMBER(SEARCH("营",main!N86)),(-$Y86+50*IF(main!$AK86="是",main!$BB$4,main!$BB$3)),(VLOOKUP(main!N86,main!$AO$4:$AQ$55,2,FALSE))*IF(main!$AK86="是",main!$BB$4,main!$BB$3))</f>
        <v>0</v>
      </c>
      <c r="G86" s="12">
        <f>IF(ISNUMBER(SEARCH("营",main!O86)),(-$Y86+50*IF(main!$AK86="是",main!$BB$4,main!$BB$3)),(VLOOKUP(main!O86,main!$AO$4:$AQ$55,2,FALSE))*IF(main!$AK86="是",main!$BB$4,main!$BB$3))</f>
        <v>0</v>
      </c>
      <c r="H86" s="12">
        <f>IF(ISNUMBER(SEARCH("营",main!P86)),(-$Y86+50*IF(main!$AK86="是",main!$BB$4,main!$BB$3)),(VLOOKUP(main!P86,main!$AO$4:$AQ$55,2,FALSE))*IF(main!$AK86="是",main!$BB$4,main!$BB$3))</f>
        <v>0</v>
      </c>
      <c r="I86" s="12">
        <f>IF(ISNUMBER(SEARCH("营",main!Q86)),(-$Y86+50*IF(main!$AK86="是",main!$BB$4,main!$BB$3)),(VLOOKUP(main!Q86,main!$AO$4:$AQ$55,2,FALSE))*IF(main!$AK86="是",main!$BB$4,main!$BB$3))</f>
        <v>0</v>
      </c>
      <c r="J86" s="12">
        <f>IF(ISNUMBER(SEARCH("营",main!R86)),(-$Y86+50*IF(main!$AK86="是",main!$BB$4,main!$BB$3)),(VLOOKUP(main!R86,main!$AO$4:$AQ$55,2,FALSE))*IF(main!$AK86="是",main!$BB$4,main!$BB$3))</f>
        <v>0</v>
      </c>
      <c r="K86" s="12">
        <f>IF(ISNUMBER(SEARCH("营",main!S86)),(-$Y86+50*IF(main!$AK86="是",main!$BB$4,main!$BB$3)),(VLOOKUP(main!S86,main!$AO$4:$AQ$55,2,FALSE))*IF(main!$AK86="是",main!$BB$4,main!$BB$3))</f>
        <v>0</v>
      </c>
      <c r="L86" s="12">
        <f>IF(ISNUMBER(SEARCH("营",main!T86)),(-$Y86+50*IF(main!$AK86="是",main!$BB$4,main!$BB$3)),(VLOOKUP(main!T86,main!$AO$4:$AQ$55,2,FALSE))*IF(main!$AK86="是",main!$BB$4,main!$BB$3))</f>
        <v>0</v>
      </c>
      <c r="M86" s="12">
        <f>IF(ISNUMBER(SEARCH("营",main!U86)),(-$Y86+50*IF(main!$AK86="是",main!$BB$4,main!$BB$3)),(VLOOKUP(main!U86,main!$AO$4:$AQ$55,2,FALSE))*IF(main!$AK86="是",main!$BB$4,main!$BB$3))</f>
        <v>0</v>
      </c>
      <c r="N86" s="12">
        <f>IF(ISNUMBER(SEARCH("营",main!V86)),(-$Y86+50*IF(main!$AK86="是",main!$BB$4,main!$BB$3)),(VLOOKUP(main!V86,main!$AO$4:$AQ$55,2,FALSE))*IF(main!$AK86="是",main!$BB$4,main!$BB$3))</f>
        <v>0</v>
      </c>
      <c r="O86" s="12">
        <f>IF(ISNUMBER(SEARCH("营",main!W86)),(-$Y86+50*IF(main!$AK86="是",main!$BB$4,main!$BB$3)),(VLOOKUP(main!W86,main!$AO$4:$AQ$55,2,FALSE))*IF(main!$AK86="是",main!$BB$4,main!$BB$3))</f>
        <v>0</v>
      </c>
      <c r="P86" s="12">
        <f>IF(ISNUMBER(SEARCH("营",main!X86)),(-$Y86+50*IF(main!$AK86="是",main!$BB$4,main!$BB$3)),(VLOOKUP(main!X86,main!$AO$4:$AQ$55,2,FALSE))*IF(main!$AK86="是",main!$BB$4,main!$BB$3))</f>
        <v>0</v>
      </c>
      <c r="Q86" s="12">
        <f>IF(ISNUMBER(SEARCH("营",main!Y86)),(-$Y86+50*IF(main!$AK86="是",main!$BB$4,main!$BB$3)),(VLOOKUP(main!Y86,main!$AO$4:$AQ$55,2,FALSE))*IF(main!$AK86="是",main!$BB$4,main!$BB$3))</f>
        <v>0</v>
      </c>
      <c r="R86" s="12">
        <f>IF(ISNUMBER(SEARCH("营",main!Z86)),(-$Y86+50*IF(main!$AK86="是",main!$BB$4,main!$BB$3)),(VLOOKUP(main!Z86,main!$AO$4:$AQ$55,2,FALSE))*IF(main!$AK86="是",main!$BB$4,main!$BB$3))</f>
        <v>0</v>
      </c>
      <c r="S86" s="12">
        <f>IF(ISNUMBER(SEARCH("营",main!AA86)),(-$Y86+50*IF(main!$AK86="是",main!$BB$4,main!$BB$3)),(VLOOKUP(main!AA86,main!$AO$4:$AQ$55,2,FALSE))*IF(main!$AK86="是",main!$BB$4,main!$BB$3))</f>
        <v>0</v>
      </c>
      <c r="T86" s="12">
        <f>IF(ISNUMBER(SEARCH("营",main!AB86)),(-$Y86+50*IF(main!$AK86="是",main!$BB$4,main!$BB$3)),(VLOOKUP(main!AB86,main!$AO$4:$AQ$55,2,FALSE))*IF(main!$AK86="是",main!$BB$4,main!$BB$3))</f>
        <v>0</v>
      </c>
      <c r="U86" s="12">
        <f>IF(ISNUMBER(SEARCH("营",main!AC86)),(-$Y86+50*IF(main!$AK86="是",main!$BB$4,main!$BB$3)),(VLOOKUP(main!AC86,main!$AO$4:$AQ$55,2,FALSE))*IF(main!$AK86="是",main!$BB$4,main!$BB$3))</f>
        <v>0</v>
      </c>
      <c r="V86" s="12">
        <f>IF(ISNUMBER(SEARCH("营",main!AD86)),(-$Y86+50*IF(main!$AK86="是",main!$BB$4,main!$BB$3)),(VLOOKUP(main!AD86,main!$AO$4:$AQ$55,2,FALSE))*IF(main!$AK86="是",main!$BB$4,main!$BB$3))</f>
        <v>0</v>
      </c>
      <c r="W86" s="12">
        <f>IF(ISNUMBER(SEARCH("营",main!AE86)),(-$Y86+50*IF(main!$AK86="是",main!$BB$4,main!$BB$3)),(VLOOKUP(main!AE86,main!$AO$4:$AQ$55,2,FALSE))*IF(main!$AK86="是",main!$BB$4,main!$BB$3))</f>
        <v>0</v>
      </c>
      <c r="X86" s="12">
        <f>IF(ISNUMBER(SEARCH("营",main!AF86)),(-$Y86+50*IF(main!$AK86="是",main!$BB$4,main!$BB$3)),(VLOOKUP(main!AF86,main!$AO$4:$AQ$55,2,FALSE))*IF(main!$AK86="是",main!$BB$4,main!$BB$3))</f>
        <v>0</v>
      </c>
      <c r="Y86" s="98">
        <v>100</v>
      </c>
      <c r="Z86" s="95">
        <v>46358</v>
      </c>
      <c r="AA86">
        <v>83</v>
      </c>
    </row>
    <row r="87" spans="1:27">
      <c r="A87" s="12">
        <f>IF(ISNUMBER(SEARCH("营",main!I87)),(-$Y87+50*IF(main!$AK87="是",main!$BB$4,main!$BB$3)),(VLOOKUP(main!I87,main!$AO$4:$AQ$55,2,FALSE))*IF(main!$AK87="是",main!$BB$4,main!$BB$3))</f>
        <v>0</v>
      </c>
      <c r="B87" s="12">
        <f>IF(ISNUMBER(SEARCH("营",main!J87)),(-$Y87+50*IF(main!$AK87="是",main!$BB$4,main!$BB$3)),(VLOOKUP(main!J87,main!$AO$4:$AQ$55,2,FALSE))*IF(main!$AK87="是",main!$BB$4,main!$BB$3))</f>
        <v>0</v>
      </c>
      <c r="C87" s="12">
        <f>IF(ISNUMBER(SEARCH("营",main!K87)),(-$Y87+50*IF(main!$AK87="是",main!$BB$4,main!$BB$3)),(VLOOKUP(main!K87,main!$AO$4:$AQ$55,2,FALSE))*IF(main!$AK87="是",main!$BB$4,main!$BB$3))</f>
        <v>0</v>
      </c>
      <c r="D87" s="12">
        <f>IF(ISNUMBER(SEARCH("营",main!L87)),(-$Y87+50*IF(main!$AK87="是",main!$BB$4,main!$BB$3)),(VLOOKUP(main!L87,main!$AO$4:$AQ$55,2,FALSE))*IF(main!$AK87="是",main!$BB$4,main!$BB$3))</f>
        <v>0</v>
      </c>
      <c r="E87" s="12">
        <f>IF(ISNUMBER(SEARCH("营",main!M87)),(-$Y87+50*IF(main!$AK87="是",main!$BB$4,main!$BB$3)),(VLOOKUP(main!M87,main!$AO$4:$AQ$55,2,FALSE))*IF(main!$AK87="是",main!$BB$4,main!$BB$3))</f>
        <v>0</v>
      </c>
      <c r="F87" s="12">
        <f>IF(ISNUMBER(SEARCH("营",main!N87)),(-$Y87+50*IF(main!$AK87="是",main!$BB$4,main!$BB$3)),(VLOOKUP(main!N87,main!$AO$4:$AQ$55,2,FALSE))*IF(main!$AK87="是",main!$BB$4,main!$BB$3))</f>
        <v>0</v>
      </c>
      <c r="G87" s="12">
        <f>IF(ISNUMBER(SEARCH("营",main!O87)),(-$Y87+50*IF(main!$AK87="是",main!$BB$4,main!$BB$3)),(VLOOKUP(main!O87,main!$AO$4:$AQ$55,2,FALSE))*IF(main!$AK87="是",main!$BB$4,main!$BB$3))</f>
        <v>0</v>
      </c>
      <c r="H87" s="12">
        <f>IF(ISNUMBER(SEARCH("营",main!P87)),(-$Y87+50*IF(main!$AK87="是",main!$BB$4,main!$BB$3)),(VLOOKUP(main!P87,main!$AO$4:$AQ$55,2,FALSE))*IF(main!$AK87="是",main!$BB$4,main!$BB$3))</f>
        <v>0</v>
      </c>
      <c r="I87" s="12">
        <f>IF(ISNUMBER(SEARCH("营",main!Q87)),(-$Y87+50*IF(main!$AK87="是",main!$BB$4,main!$BB$3)),(VLOOKUP(main!Q87,main!$AO$4:$AQ$55,2,FALSE))*IF(main!$AK87="是",main!$BB$4,main!$BB$3))</f>
        <v>0</v>
      </c>
      <c r="J87" s="12">
        <f>IF(ISNUMBER(SEARCH("营",main!R87)),(-$Y87+50*IF(main!$AK87="是",main!$BB$4,main!$BB$3)),(VLOOKUP(main!R87,main!$AO$4:$AQ$55,2,FALSE))*IF(main!$AK87="是",main!$BB$4,main!$BB$3))</f>
        <v>0</v>
      </c>
      <c r="K87" s="12">
        <f>IF(ISNUMBER(SEARCH("营",main!S87)),(-$Y87+50*IF(main!$AK87="是",main!$BB$4,main!$BB$3)),(VLOOKUP(main!S87,main!$AO$4:$AQ$55,2,FALSE))*IF(main!$AK87="是",main!$BB$4,main!$BB$3))</f>
        <v>0</v>
      </c>
      <c r="L87" s="12">
        <f>IF(ISNUMBER(SEARCH("营",main!T87)),(-$Y87+50*IF(main!$AK87="是",main!$BB$4,main!$BB$3)),(VLOOKUP(main!T87,main!$AO$4:$AQ$55,2,FALSE))*IF(main!$AK87="是",main!$BB$4,main!$BB$3))</f>
        <v>0</v>
      </c>
      <c r="M87" s="12">
        <f>IF(ISNUMBER(SEARCH("营",main!U87)),(-$Y87+50*IF(main!$AK87="是",main!$BB$4,main!$BB$3)),(VLOOKUP(main!U87,main!$AO$4:$AQ$55,2,FALSE))*IF(main!$AK87="是",main!$BB$4,main!$BB$3))</f>
        <v>0</v>
      </c>
      <c r="N87" s="12">
        <f>IF(ISNUMBER(SEARCH("营",main!V87)),(-$Y87+50*IF(main!$AK87="是",main!$BB$4,main!$BB$3)),(VLOOKUP(main!V87,main!$AO$4:$AQ$55,2,FALSE))*IF(main!$AK87="是",main!$BB$4,main!$BB$3))</f>
        <v>0</v>
      </c>
      <c r="O87" s="12">
        <f>IF(ISNUMBER(SEARCH("营",main!W87)),(-$Y87+50*IF(main!$AK87="是",main!$BB$4,main!$BB$3)),(VLOOKUP(main!W87,main!$AO$4:$AQ$55,2,FALSE))*IF(main!$AK87="是",main!$BB$4,main!$BB$3))</f>
        <v>0</v>
      </c>
      <c r="P87" s="12">
        <f>IF(ISNUMBER(SEARCH("营",main!X87)),(-$Y87+50*IF(main!$AK87="是",main!$BB$4,main!$BB$3)),(VLOOKUP(main!X87,main!$AO$4:$AQ$55,2,FALSE))*IF(main!$AK87="是",main!$BB$4,main!$BB$3))</f>
        <v>0</v>
      </c>
      <c r="Q87" s="12">
        <f>IF(ISNUMBER(SEARCH("营",main!Y87)),(-$Y87+50*IF(main!$AK87="是",main!$BB$4,main!$BB$3)),(VLOOKUP(main!Y87,main!$AO$4:$AQ$55,2,FALSE))*IF(main!$AK87="是",main!$BB$4,main!$BB$3))</f>
        <v>0</v>
      </c>
      <c r="R87" s="12">
        <f>IF(ISNUMBER(SEARCH("营",main!Z87)),(-$Y87+50*IF(main!$AK87="是",main!$BB$4,main!$BB$3)),(VLOOKUP(main!Z87,main!$AO$4:$AQ$55,2,FALSE))*IF(main!$AK87="是",main!$BB$4,main!$BB$3))</f>
        <v>0</v>
      </c>
      <c r="S87" s="12">
        <f>IF(ISNUMBER(SEARCH("营",main!AA87)),(-$Y87+50*IF(main!$AK87="是",main!$BB$4,main!$BB$3)),(VLOOKUP(main!AA87,main!$AO$4:$AQ$55,2,FALSE))*IF(main!$AK87="是",main!$BB$4,main!$BB$3))</f>
        <v>0</v>
      </c>
      <c r="T87" s="12">
        <f>IF(ISNUMBER(SEARCH("营",main!AB87)),(-$Y87+50*IF(main!$AK87="是",main!$BB$4,main!$BB$3)),(VLOOKUP(main!AB87,main!$AO$4:$AQ$55,2,FALSE))*IF(main!$AK87="是",main!$BB$4,main!$BB$3))</f>
        <v>0</v>
      </c>
      <c r="U87" s="12">
        <f>IF(ISNUMBER(SEARCH("营",main!AC87)),(-$Y87+50*IF(main!$AK87="是",main!$BB$4,main!$BB$3)),(VLOOKUP(main!AC87,main!$AO$4:$AQ$55,2,FALSE))*IF(main!$AK87="是",main!$BB$4,main!$BB$3))</f>
        <v>0</v>
      </c>
      <c r="V87" s="12">
        <f>IF(ISNUMBER(SEARCH("营",main!AD87)),(-$Y87+50*IF(main!$AK87="是",main!$BB$4,main!$BB$3)),(VLOOKUP(main!AD87,main!$AO$4:$AQ$55,2,FALSE))*IF(main!$AK87="是",main!$BB$4,main!$BB$3))</f>
        <v>0</v>
      </c>
      <c r="W87" s="12">
        <f>IF(ISNUMBER(SEARCH("营",main!AE87)),(-$Y87+50*IF(main!$AK87="是",main!$BB$4,main!$BB$3)),(VLOOKUP(main!AE87,main!$AO$4:$AQ$55,2,FALSE))*IF(main!$AK87="是",main!$BB$4,main!$BB$3))</f>
        <v>0</v>
      </c>
      <c r="X87" s="12">
        <f>IF(ISNUMBER(SEARCH("营",main!AF87)),(-$Y87+50*IF(main!$AK87="是",main!$BB$4,main!$BB$3)),(VLOOKUP(main!AF87,main!$AO$4:$AQ$55,2,FALSE))*IF(main!$AK87="是",main!$BB$4,main!$BB$3))</f>
        <v>0</v>
      </c>
      <c r="Y87" s="98">
        <v>100</v>
      </c>
      <c r="Z87" s="95">
        <v>46359</v>
      </c>
      <c r="AA87">
        <v>84</v>
      </c>
    </row>
    <row r="88" spans="1:27">
      <c r="A88" s="12">
        <f>IF(ISNUMBER(SEARCH("营",main!I88)),(-$Y88+50*IF(main!$AK88="是",main!$BB$4,main!$BB$3)),(VLOOKUP(main!I88,main!$AO$4:$AQ$55,2,FALSE))*IF(main!$AK88="是",main!$BB$4,main!$BB$3))</f>
        <v>0</v>
      </c>
      <c r="B88" s="12">
        <f>IF(ISNUMBER(SEARCH("营",main!J88)),(-$Y88+50*IF(main!$AK88="是",main!$BB$4,main!$BB$3)),(VLOOKUP(main!J88,main!$AO$4:$AQ$55,2,FALSE))*IF(main!$AK88="是",main!$BB$4,main!$BB$3))</f>
        <v>0</v>
      </c>
      <c r="C88" s="12">
        <f>IF(ISNUMBER(SEARCH("营",main!K88)),(-$Y88+50*IF(main!$AK88="是",main!$BB$4,main!$BB$3)),(VLOOKUP(main!K88,main!$AO$4:$AQ$55,2,FALSE))*IF(main!$AK88="是",main!$BB$4,main!$BB$3))</f>
        <v>0</v>
      </c>
      <c r="D88" s="12">
        <f>IF(ISNUMBER(SEARCH("营",main!L88)),(-$Y88+50*IF(main!$AK88="是",main!$BB$4,main!$BB$3)),(VLOOKUP(main!L88,main!$AO$4:$AQ$55,2,FALSE))*IF(main!$AK88="是",main!$BB$4,main!$BB$3))</f>
        <v>0</v>
      </c>
      <c r="E88" s="12">
        <f>IF(ISNUMBER(SEARCH("营",main!M88)),(-$Y88+50*IF(main!$AK88="是",main!$BB$4,main!$BB$3)),(VLOOKUP(main!M88,main!$AO$4:$AQ$55,2,FALSE))*IF(main!$AK88="是",main!$BB$4,main!$BB$3))</f>
        <v>0</v>
      </c>
      <c r="F88" s="12">
        <f>IF(ISNUMBER(SEARCH("营",main!N88)),(-$Y88+50*IF(main!$AK88="是",main!$BB$4,main!$BB$3)),(VLOOKUP(main!N88,main!$AO$4:$AQ$55,2,FALSE))*IF(main!$AK88="是",main!$BB$4,main!$BB$3))</f>
        <v>0</v>
      </c>
      <c r="G88" s="12">
        <f>IF(ISNUMBER(SEARCH("营",main!O88)),(-$Y88+50*IF(main!$AK88="是",main!$BB$4,main!$BB$3)),(VLOOKUP(main!O88,main!$AO$4:$AQ$55,2,FALSE))*IF(main!$AK88="是",main!$BB$4,main!$BB$3))</f>
        <v>0</v>
      </c>
      <c r="H88" s="12">
        <f>IF(ISNUMBER(SEARCH("营",main!P88)),(-$Y88+50*IF(main!$AK88="是",main!$BB$4,main!$BB$3)),(VLOOKUP(main!P88,main!$AO$4:$AQ$55,2,FALSE))*IF(main!$AK88="是",main!$BB$4,main!$BB$3))</f>
        <v>0</v>
      </c>
      <c r="I88" s="12">
        <f>IF(ISNUMBER(SEARCH("营",main!Q88)),(-$Y88+50*IF(main!$AK88="是",main!$BB$4,main!$BB$3)),(VLOOKUP(main!Q88,main!$AO$4:$AQ$55,2,FALSE))*IF(main!$AK88="是",main!$BB$4,main!$BB$3))</f>
        <v>0</v>
      </c>
      <c r="J88" s="12">
        <f>IF(ISNUMBER(SEARCH("营",main!R88)),(-$Y88+50*IF(main!$AK88="是",main!$BB$4,main!$BB$3)),(VLOOKUP(main!R88,main!$AO$4:$AQ$55,2,FALSE))*IF(main!$AK88="是",main!$BB$4,main!$BB$3))</f>
        <v>0</v>
      </c>
      <c r="K88" s="12">
        <f>IF(ISNUMBER(SEARCH("营",main!S88)),(-$Y88+50*IF(main!$AK88="是",main!$BB$4,main!$BB$3)),(VLOOKUP(main!S88,main!$AO$4:$AQ$55,2,FALSE))*IF(main!$AK88="是",main!$BB$4,main!$BB$3))</f>
        <v>0</v>
      </c>
      <c r="L88" s="12">
        <f>IF(ISNUMBER(SEARCH("营",main!T88)),(-$Y88+50*IF(main!$AK88="是",main!$BB$4,main!$BB$3)),(VLOOKUP(main!T88,main!$AO$4:$AQ$55,2,FALSE))*IF(main!$AK88="是",main!$BB$4,main!$BB$3))</f>
        <v>0</v>
      </c>
      <c r="M88" s="12">
        <f>IF(ISNUMBER(SEARCH("营",main!U88)),(-$Y88+50*IF(main!$AK88="是",main!$BB$4,main!$BB$3)),(VLOOKUP(main!U88,main!$AO$4:$AQ$55,2,FALSE))*IF(main!$AK88="是",main!$BB$4,main!$BB$3))</f>
        <v>0</v>
      </c>
      <c r="N88" s="12">
        <f>IF(ISNUMBER(SEARCH("营",main!V88)),(-$Y88+50*IF(main!$AK88="是",main!$BB$4,main!$BB$3)),(VLOOKUP(main!V88,main!$AO$4:$AQ$55,2,FALSE))*IF(main!$AK88="是",main!$BB$4,main!$BB$3))</f>
        <v>0</v>
      </c>
      <c r="O88" s="12">
        <f>IF(ISNUMBER(SEARCH("营",main!W88)),(-$Y88+50*IF(main!$AK88="是",main!$BB$4,main!$BB$3)),(VLOOKUP(main!W88,main!$AO$4:$AQ$55,2,FALSE))*IF(main!$AK88="是",main!$BB$4,main!$BB$3))</f>
        <v>0</v>
      </c>
      <c r="P88" s="12">
        <f>IF(ISNUMBER(SEARCH("营",main!X88)),(-$Y88+50*IF(main!$AK88="是",main!$BB$4,main!$BB$3)),(VLOOKUP(main!X88,main!$AO$4:$AQ$55,2,FALSE))*IF(main!$AK88="是",main!$BB$4,main!$BB$3))</f>
        <v>0</v>
      </c>
      <c r="Q88" s="12">
        <f>IF(ISNUMBER(SEARCH("营",main!Y88)),(-$Y88+50*IF(main!$AK88="是",main!$BB$4,main!$BB$3)),(VLOOKUP(main!Y88,main!$AO$4:$AQ$55,2,FALSE))*IF(main!$AK88="是",main!$BB$4,main!$BB$3))</f>
        <v>0</v>
      </c>
      <c r="R88" s="12">
        <f>IF(ISNUMBER(SEARCH("营",main!Z88)),(-$Y88+50*IF(main!$AK88="是",main!$BB$4,main!$BB$3)),(VLOOKUP(main!Z88,main!$AO$4:$AQ$55,2,FALSE))*IF(main!$AK88="是",main!$BB$4,main!$BB$3))</f>
        <v>0</v>
      </c>
      <c r="S88" s="12">
        <f>IF(ISNUMBER(SEARCH("营",main!AA88)),(-$Y88+50*IF(main!$AK88="是",main!$BB$4,main!$BB$3)),(VLOOKUP(main!AA88,main!$AO$4:$AQ$55,2,FALSE))*IF(main!$AK88="是",main!$BB$4,main!$BB$3))</f>
        <v>0</v>
      </c>
      <c r="T88" s="12">
        <f>IF(ISNUMBER(SEARCH("营",main!AB88)),(-$Y88+50*IF(main!$AK88="是",main!$BB$4,main!$BB$3)),(VLOOKUP(main!AB88,main!$AO$4:$AQ$55,2,FALSE))*IF(main!$AK88="是",main!$BB$4,main!$BB$3))</f>
        <v>0</v>
      </c>
      <c r="U88" s="12">
        <f>IF(ISNUMBER(SEARCH("营",main!AC88)),(-$Y88+50*IF(main!$AK88="是",main!$BB$4,main!$BB$3)),(VLOOKUP(main!AC88,main!$AO$4:$AQ$55,2,FALSE))*IF(main!$AK88="是",main!$BB$4,main!$BB$3))</f>
        <v>0</v>
      </c>
      <c r="V88" s="12">
        <f>IF(ISNUMBER(SEARCH("营",main!AD88)),(-$Y88+50*IF(main!$AK88="是",main!$BB$4,main!$BB$3)),(VLOOKUP(main!AD88,main!$AO$4:$AQ$55,2,FALSE))*IF(main!$AK88="是",main!$BB$4,main!$BB$3))</f>
        <v>0</v>
      </c>
      <c r="W88" s="12">
        <f>IF(ISNUMBER(SEARCH("营",main!AE88)),(-$Y88+50*IF(main!$AK88="是",main!$BB$4,main!$BB$3)),(VLOOKUP(main!AE88,main!$AO$4:$AQ$55,2,FALSE))*IF(main!$AK88="是",main!$BB$4,main!$BB$3))</f>
        <v>0</v>
      </c>
      <c r="X88" s="12">
        <f>IF(ISNUMBER(SEARCH("营",main!AF88)),(-$Y88+50*IF(main!$AK88="是",main!$BB$4,main!$BB$3)),(VLOOKUP(main!AF88,main!$AO$4:$AQ$55,2,FALSE))*IF(main!$AK88="是",main!$BB$4,main!$BB$3))</f>
        <v>0</v>
      </c>
      <c r="Y88" s="98">
        <v>100</v>
      </c>
      <c r="Z88" s="95">
        <v>46360</v>
      </c>
      <c r="AA88">
        <v>85</v>
      </c>
    </row>
    <row r="89" spans="1:27">
      <c r="A89" s="12">
        <f>IF(ISNUMBER(SEARCH("营",main!I89)),(-$Y89+50*IF(main!$AK89="是",main!$BB$4,main!$BB$3)),(VLOOKUP(main!I89,main!$AO$4:$AQ$55,2,FALSE))*IF(main!$AK89="是",main!$BB$4,main!$BB$3))</f>
        <v>0</v>
      </c>
      <c r="B89" s="12">
        <f>IF(ISNUMBER(SEARCH("营",main!J89)),(-$Y89+50*IF(main!$AK89="是",main!$BB$4,main!$BB$3)),(VLOOKUP(main!J89,main!$AO$4:$AQ$55,2,FALSE))*IF(main!$AK89="是",main!$BB$4,main!$BB$3))</f>
        <v>0</v>
      </c>
      <c r="C89" s="12">
        <f>IF(ISNUMBER(SEARCH("营",main!K89)),(-$Y89+50*IF(main!$AK89="是",main!$BB$4,main!$BB$3)),(VLOOKUP(main!K89,main!$AO$4:$AQ$55,2,FALSE))*IF(main!$AK89="是",main!$BB$4,main!$BB$3))</f>
        <v>0</v>
      </c>
      <c r="D89" s="12">
        <f>IF(ISNUMBER(SEARCH("营",main!L89)),(-$Y89+50*IF(main!$AK89="是",main!$BB$4,main!$BB$3)),(VLOOKUP(main!L89,main!$AO$4:$AQ$55,2,FALSE))*IF(main!$AK89="是",main!$BB$4,main!$BB$3))</f>
        <v>0</v>
      </c>
      <c r="E89" s="12">
        <f>IF(ISNUMBER(SEARCH("营",main!M89)),(-$Y89+50*IF(main!$AK89="是",main!$BB$4,main!$BB$3)),(VLOOKUP(main!M89,main!$AO$4:$AQ$55,2,FALSE))*IF(main!$AK89="是",main!$BB$4,main!$BB$3))</f>
        <v>0</v>
      </c>
      <c r="F89" s="12">
        <f>IF(ISNUMBER(SEARCH("营",main!N89)),(-$Y89+50*IF(main!$AK89="是",main!$BB$4,main!$BB$3)),(VLOOKUP(main!N89,main!$AO$4:$AQ$55,2,FALSE))*IF(main!$AK89="是",main!$BB$4,main!$BB$3))</f>
        <v>0</v>
      </c>
      <c r="G89" s="12">
        <f>IF(ISNUMBER(SEARCH("营",main!O89)),(-$Y89+50*IF(main!$AK89="是",main!$BB$4,main!$BB$3)),(VLOOKUP(main!O89,main!$AO$4:$AQ$55,2,FALSE))*IF(main!$AK89="是",main!$BB$4,main!$BB$3))</f>
        <v>0</v>
      </c>
      <c r="H89" s="12">
        <f>IF(ISNUMBER(SEARCH("营",main!P89)),(-$Y89+50*IF(main!$AK89="是",main!$BB$4,main!$BB$3)),(VLOOKUP(main!P89,main!$AO$4:$AQ$55,2,FALSE))*IF(main!$AK89="是",main!$BB$4,main!$BB$3))</f>
        <v>0</v>
      </c>
      <c r="I89" s="12">
        <f>IF(ISNUMBER(SEARCH("营",main!Q89)),(-$Y89+50*IF(main!$AK89="是",main!$BB$4,main!$BB$3)),(VLOOKUP(main!Q89,main!$AO$4:$AQ$55,2,FALSE))*IF(main!$AK89="是",main!$BB$4,main!$BB$3))</f>
        <v>0</v>
      </c>
      <c r="J89" s="12">
        <f>IF(ISNUMBER(SEARCH("营",main!R89)),(-$Y89+50*IF(main!$AK89="是",main!$BB$4,main!$BB$3)),(VLOOKUP(main!R89,main!$AO$4:$AQ$55,2,FALSE))*IF(main!$AK89="是",main!$BB$4,main!$BB$3))</f>
        <v>0</v>
      </c>
      <c r="K89" s="12">
        <f>IF(ISNUMBER(SEARCH("营",main!S89)),(-$Y89+50*IF(main!$AK89="是",main!$BB$4,main!$BB$3)),(VLOOKUP(main!S89,main!$AO$4:$AQ$55,2,FALSE))*IF(main!$AK89="是",main!$BB$4,main!$BB$3))</f>
        <v>0</v>
      </c>
      <c r="L89" s="12">
        <f>IF(ISNUMBER(SEARCH("营",main!T89)),(-$Y89+50*IF(main!$AK89="是",main!$BB$4,main!$BB$3)),(VLOOKUP(main!T89,main!$AO$4:$AQ$55,2,FALSE))*IF(main!$AK89="是",main!$BB$4,main!$BB$3))</f>
        <v>0</v>
      </c>
      <c r="M89" s="12">
        <f>IF(ISNUMBER(SEARCH("营",main!U89)),(-$Y89+50*IF(main!$AK89="是",main!$BB$4,main!$BB$3)),(VLOOKUP(main!U89,main!$AO$4:$AQ$55,2,FALSE))*IF(main!$AK89="是",main!$BB$4,main!$BB$3))</f>
        <v>0</v>
      </c>
      <c r="N89" s="12">
        <f>IF(ISNUMBER(SEARCH("营",main!V89)),(-$Y89+50*IF(main!$AK89="是",main!$BB$4,main!$BB$3)),(VLOOKUP(main!V89,main!$AO$4:$AQ$55,2,FALSE))*IF(main!$AK89="是",main!$BB$4,main!$BB$3))</f>
        <v>0</v>
      </c>
      <c r="O89" s="12">
        <f>IF(ISNUMBER(SEARCH("营",main!W89)),(-$Y89+50*IF(main!$AK89="是",main!$BB$4,main!$BB$3)),(VLOOKUP(main!W89,main!$AO$4:$AQ$55,2,FALSE))*IF(main!$AK89="是",main!$BB$4,main!$BB$3))</f>
        <v>0</v>
      </c>
      <c r="P89" s="12">
        <f>IF(ISNUMBER(SEARCH("营",main!X89)),(-$Y89+50*IF(main!$AK89="是",main!$BB$4,main!$BB$3)),(VLOOKUP(main!X89,main!$AO$4:$AQ$55,2,FALSE))*IF(main!$AK89="是",main!$BB$4,main!$BB$3))</f>
        <v>0</v>
      </c>
      <c r="Q89" s="12">
        <f>IF(ISNUMBER(SEARCH("营",main!Y89)),(-$Y89+50*IF(main!$AK89="是",main!$BB$4,main!$BB$3)),(VLOOKUP(main!Y89,main!$AO$4:$AQ$55,2,FALSE))*IF(main!$AK89="是",main!$BB$4,main!$BB$3))</f>
        <v>0</v>
      </c>
      <c r="R89" s="12">
        <f>IF(ISNUMBER(SEARCH("营",main!Z89)),(-$Y89+50*IF(main!$AK89="是",main!$BB$4,main!$BB$3)),(VLOOKUP(main!Z89,main!$AO$4:$AQ$55,2,FALSE))*IF(main!$AK89="是",main!$BB$4,main!$BB$3))</f>
        <v>0</v>
      </c>
      <c r="S89" s="12">
        <f>IF(ISNUMBER(SEARCH("营",main!AA89)),(-$Y89+50*IF(main!$AK89="是",main!$BB$4,main!$BB$3)),(VLOOKUP(main!AA89,main!$AO$4:$AQ$55,2,FALSE))*IF(main!$AK89="是",main!$BB$4,main!$BB$3))</f>
        <v>0</v>
      </c>
      <c r="T89" s="12">
        <f>IF(ISNUMBER(SEARCH("营",main!AB89)),(-$Y89+50*IF(main!$AK89="是",main!$BB$4,main!$BB$3)),(VLOOKUP(main!AB89,main!$AO$4:$AQ$55,2,FALSE))*IF(main!$AK89="是",main!$BB$4,main!$BB$3))</f>
        <v>0</v>
      </c>
      <c r="U89" s="12">
        <f>IF(ISNUMBER(SEARCH("营",main!AC89)),(-$Y89+50*IF(main!$AK89="是",main!$BB$4,main!$BB$3)),(VLOOKUP(main!AC89,main!$AO$4:$AQ$55,2,FALSE))*IF(main!$AK89="是",main!$BB$4,main!$BB$3))</f>
        <v>0</v>
      </c>
      <c r="V89" s="12">
        <f>IF(ISNUMBER(SEARCH("营",main!AD89)),(-$Y89+50*IF(main!$AK89="是",main!$BB$4,main!$BB$3)),(VLOOKUP(main!AD89,main!$AO$4:$AQ$55,2,FALSE))*IF(main!$AK89="是",main!$BB$4,main!$BB$3))</f>
        <v>0</v>
      </c>
      <c r="W89" s="12">
        <f>IF(ISNUMBER(SEARCH("营",main!AE89)),(-$Y89+50*IF(main!$AK89="是",main!$BB$4,main!$BB$3)),(VLOOKUP(main!AE89,main!$AO$4:$AQ$55,2,FALSE))*IF(main!$AK89="是",main!$BB$4,main!$BB$3))</f>
        <v>0</v>
      </c>
      <c r="X89" s="12">
        <f>IF(ISNUMBER(SEARCH("营",main!AF89)),(-$Y89+50*IF(main!$AK89="是",main!$BB$4,main!$BB$3)),(VLOOKUP(main!AF89,main!$AO$4:$AQ$55,2,FALSE))*IF(main!$AK89="是",main!$BB$4,main!$BB$3))</f>
        <v>0</v>
      </c>
      <c r="Y89" s="98">
        <v>100</v>
      </c>
      <c r="Z89" s="95">
        <v>46361</v>
      </c>
      <c r="AA89">
        <v>86</v>
      </c>
    </row>
    <row r="90" spans="1:27">
      <c r="A90" s="12">
        <f>IF(ISNUMBER(SEARCH("营",main!I90)),(-$Y90+50*IF(main!$AK90="是",main!$BB$4,main!$BB$3)),(VLOOKUP(main!I90,main!$AO$4:$AQ$55,2,FALSE))*IF(main!$AK90="是",main!$BB$4,main!$BB$3))</f>
        <v>0</v>
      </c>
      <c r="B90" s="12">
        <f>IF(ISNUMBER(SEARCH("营",main!J90)),(-$Y90+50*IF(main!$AK90="是",main!$BB$4,main!$BB$3)),(VLOOKUP(main!J90,main!$AO$4:$AQ$55,2,FALSE))*IF(main!$AK90="是",main!$BB$4,main!$BB$3))</f>
        <v>0</v>
      </c>
      <c r="C90" s="12">
        <f>IF(ISNUMBER(SEARCH("营",main!K90)),(-$Y90+50*IF(main!$AK90="是",main!$BB$4,main!$BB$3)),(VLOOKUP(main!K90,main!$AO$4:$AQ$55,2,FALSE))*IF(main!$AK90="是",main!$BB$4,main!$BB$3))</f>
        <v>0</v>
      </c>
      <c r="D90" s="12">
        <f>IF(ISNUMBER(SEARCH("营",main!L90)),(-$Y90+50*IF(main!$AK90="是",main!$BB$4,main!$BB$3)),(VLOOKUP(main!L90,main!$AO$4:$AQ$55,2,FALSE))*IF(main!$AK90="是",main!$BB$4,main!$BB$3))</f>
        <v>0</v>
      </c>
      <c r="E90" s="12">
        <f>IF(ISNUMBER(SEARCH("营",main!M90)),(-$Y90+50*IF(main!$AK90="是",main!$BB$4,main!$BB$3)),(VLOOKUP(main!M90,main!$AO$4:$AQ$55,2,FALSE))*IF(main!$AK90="是",main!$BB$4,main!$BB$3))</f>
        <v>0</v>
      </c>
      <c r="F90" s="12">
        <f>IF(ISNUMBER(SEARCH("营",main!N90)),(-$Y90+50*IF(main!$AK90="是",main!$BB$4,main!$BB$3)),(VLOOKUP(main!N90,main!$AO$4:$AQ$55,2,FALSE))*IF(main!$AK90="是",main!$BB$4,main!$BB$3))</f>
        <v>0</v>
      </c>
      <c r="G90" s="12">
        <f>IF(ISNUMBER(SEARCH("营",main!O90)),(-$Y90+50*IF(main!$AK90="是",main!$BB$4,main!$BB$3)),(VLOOKUP(main!O90,main!$AO$4:$AQ$55,2,FALSE))*IF(main!$AK90="是",main!$BB$4,main!$BB$3))</f>
        <v>0</v>
      </c>
      <c r="H90" s="12">
        <f>IF(ISNUMBER(SEARCH("营",main!P90)),(-$Y90+50*IF(main!$AK90="是",main!$BB$4,main!$BB$3)),(VLOOKUP(main!P90,main!$AO$4:$AQ$55,2,FALSE))*IF(main!$AK90="是",main!$BB$4,main!$BB$3))</f>
        <v>0</v>
      </c>
      <c r="I90" s="12">
        <f>IF(ISNUMBER(SEARCH("营",main!Q90)),(-$Y90+50*IF(main!$AK90="是",main!$BB$4,main!$BB$3)),(VLOOKUP(main!Q90,main!$AO$4:$AQ$55,2,FALSE))*IF(main!$AK90="是",main!$BB$4,main!$BB$3))</f>
        <v>0</v>
      </c>
      <c r="J90" s="12">
        <f>IF(ISNUMBER(SEARCH("营",main!R90)),(-$Y90+50*IF(main!$AK90="是",main!$BB$4,main!$BB$3)),(VLOOKUP(main!R90,main!$AO$4:$AQ$55,2,FALSE))*IF(main!$AK90="是",main!$BB$4,main!$BB$3))</f>
        <v>0</v>
      </c>
      <c r="K90" s="12">
        <f>IF(ISNUMBER(SEARCH("营",main!S90)),(-$Y90+50*IF(main!$AK90="是",main!$BB$4,main!$BB$3)),(VLOOKUP(main!S90,main!$AO$4:$AQ$55,2,FALSE))*IF(main!$AK90="是",main!$BB$4,main!$BB$3))</f>
        <v>0</v>
      </c>
      <c r="L90" s="12">
        <f>IF(ISNUMBER(SEARCH("营",main!T90)),(-$Y90+50*IF(main!$AK90="是",main!$BB$4,main!$BB$3)),(VLOOKUP(main!T90,main!$AO$4:$AQ$55,2,FALSE))*IF(main!$AK90="是",main!$BB$4,main!$BB$3))</f>
        <v>0</v>
      </c>
      <c r="M90" s="12">
        <f>IF(ISNUMBER(SEARCH("营",main!U90)),(-$Y90+50*IF(main!$AK90="是",main!$BB$4,main!$BB$3)),(VLOOKUP(main!U90,main!$AO$4:$AQ$55,2,FALSE))*IF(main!$AK90="是",main!$BB$4,main!$BB$3))</f>
        <v>0</v>
      </c>
      <c r="N90" s="12">
        <f>IF(ISNUMBER(SEARCH("营",main!V90)),(-$Y90+50*IF(main!$AK90="是",main!$BB$4,main!$BB$3)),(VLOOKUP(main!V90,main!$AO$4:$AQ$55,2,FALSE))*IF(main!$AK90="是",main!$BB$4,main!$BB$3))</f>
        <v>0</v>
      </c>
      <c r="O90" s="12">
        <f>IF(ISNUMBER(SEARCH("营",main!W90)),(-$Y90+50*IF(main!$AK90="是",main!$BB$4,main!$BB$3)),(VLOOKUP(main!W90,main!$AO$4:$AQ$55,2,FALSE))*IF(main!$AK90="是",main!$BB$4,main!$BB$3))</f>
        <v>0</v>
      </c>
      <c r="P90" s="12">
        <f>IF(ISNUMBER(SEARCH("营",main!X90)),(-$Y90+50*IF(main!$AK90="是",main!$BB$4,main!$BB$3)),(VLOOKUP(main!X90,main!$AO$4:$AQ$55,2,FALSE))*IF(main!$AK90="是",main!$BB$4,main!$BB$3))</f>
        <v>0</v>
      </c>
      <c r="Q90" s="12">
        <f>IF(ISNUMBER(SEARCH("营",main!Y90)),(-$Y90+50*IF(main!$AK90="是",main!$BB$4,main!$BB$3)),(VLOOKUP(main!Y90,main!$AO$4:$AQ$55,2,FALSE))*IF(main!$AK90="是",main!$BB$4,main!$BB$3))</f>
        <v>0</v>
      </c>
      <c r="R90" s="12">
        <f>IF(ISNUMBER(SEARCH("营",main!Z90)),(-$Y90+50*IF(main!$AK90="是",main!$BB$4,main!$BB$3)),(VLOOKUP(main!Z90,main!$AO$4:$AQ$55,2,FALSE))*IF(main!$AK90="是",main!$BB$4,main!$BB$3))</f>
        <v>0</v>
      </c>
      <c r="S90" s="12">
        <f>IF(ISNUMBER(SEARCH("营",main!AA90)),(-$Y90+50*IF(main!$AK90="是",main!$BB$4,main!$BB$3)),(VLOOKUP(main!AA90,main!$AO$4:$AQ$55,2,FALSE))*IF(main!$AK90="是",main!$BB$4,main!$BB$3))</f>
        <v>0</v>
      </c>
      <c r="T90" s="12">
        <f>IF(ISNUMBER(SEARCH("营",main!AB90)),(-$Y90+50*IF(main!$AK90="是",main!$BB$4,main!$BB$3)),(VLOOKUP(main!AB90,main!$AO$4:$AQ$55,2,FALSE))*IF(main!$AK90="是",main!$BB$4,main!$BB$3))</f>
        <v>0</v>
      </c>
      <c r="U90" s="12">
        <f>IF(ISNUMBER(SEARCH("营",main!AC90)),(-$Y90+50*IF(main!$AK90="是",main!$BB$4,main!$BB$3)),(VLOOKUP(main!AC90,main!$AO$4:$AQ$55,2,FALSE))*IF(main!$AK90="是",main!$BB$4,main!$BB$3))</f>
        <v>0</v>
      </c>
      <c r="V90" s="12">
        <f>IF(ISNUMBER(SEARCH("营",main!AD90)),(-$Y90+50*IF(main!$AK90="是",main!$BB$4,main!$BB$3)),(VLOOKUP(main!AD90,main!$AO$4:$AQ$55,2,FALSE))*IF(main!$AK90="是",main!$BB$4,main!$BB$3))</f>
        <v>0</v>
      </c>
      <c r="W90" s="12">
        <f>IF(ISNUMBER(SEARCH("营",main!AE90)),(-$Y90+50*IF(main!$AK90="是",main!$BB$4,main!$BB$3)),(VLOOKUP(main!AE90,main!$AO$4:$AQ$55,2,FALSE))*IF(main!$AK90="是",main!$BB$4,main!$BB$3))</f>
        <v>0</v>
      </c>
      <c r="X90" s="12">
        <f>IF(ISNUMBER(SEARCH("营",main!AF90)),(-$Y90+50*IF(main!$AK90="是",main!$BB$4,main!$BB$3)),(VLOOKUP(main!AF90,main!$AO$4:$AQ$55,2,FALSE))*IF(main!$AK90="是",main!$BB$4,main!$BB$3))</f>
        <v>0</v>
      </c>
      <c r="Y90" s="98">
        <v>100</v>
      </c>
      <c r="Z90" s="95">
        <v>46362</v>
      </c>
      <c r="AA90">
        <v>87</v>
      </c>
    </row>
    <row r="91" spans="1:27">
      <c r="A91" s="12">
        <f>IF(ISNUMBER(SEARCH("营",main!I91)),(-$Y91+50*IF(main!$AK91="是",main!$BB$4,main!$BB$3)),(VLOOKUP(main!I91,main!$AO$4:$AQ$55,2,FALSE))*IF(main!$AK91="是",main!$BB$4,main!$BB$3))</f>
        <v>0</v>
      </c>
      <c r="B91" s="12">
        <f>IF(ISNUMBER(SEARCH("营",main!J91)),(-$Y91+50*IF(main!$AK91="是",main!$BB$4,main!$BB$3)),(VLOOKUP(main!J91,main!$AO$4:$AQ$55,2,FALSE))*IF(main!$AK91="是",main!$BB$4,main!$BB$3))</f>
        <v>0</v>
      </c>
      <c r="C91" s="12">
        <f>IF(ISNUMBER(SEARCH("营",main!K91)),(-$Y91+50*IF(main!$AK91="是",main!$BB$4,main!$BB$3)),(VLOOKUP(main!K91,main!$AO$4:$AQ$55,2,FALSE))*IF(main!$AK91="是",main!$BB$4,main!$BB$3))</f>
        <v>0</v>
      </c>
      <c r="D91" s="12">
        <f>IF(ISNUMBER(SEARCH("营",main!L91)),(-$Y91+50*IF(main!$AK91="是",main!$BB$4,main!$BB$3)),(VLOOKUP(main!L91,main!$AO$4:$AQ$55,2,FALSE))*IF(main!$AK91="是",main!$BB$4,main!$BB$3))</f>
        <v>0</v>
      </c>
      <c r="E91" s="12">
        <f>IF(ISNUMBER(SEARCH("营",main!M91)),(-$Y91+50*IF(main!$AK91="是",main!$BB$4,main!$BB$3)),(VLOOKUP(main!M91,main!$AO$4:$AQ$55,2,FALSE))*IF(main!$AK91="是",main!$BB$4,main!$BB$3))</f>
        <v>0</v>
      </c>
      <c r="F91" s="12">
        <f>IF(ISNUMBER(SEARCH("营",main!N91)),(-$Y91+50*IF(main!$AK91="是",main!$BB$4,main!$BB$3)),(VLOOKUP(main!N91,main!$AO$4:$AQ$55,2,FALSE))*IF(main!$AK91="是",main!$BB$4,main!$BB$3))</f>
        <v>0</v>
      </c>
      <c r="G91" s="12">
        <f>IF(ISNUMBER(SEARCH("营",main!O91)),(-$Y91+50*IF(main!$AK91="是",main!$BB$4,main!$BB$3)),(VLOOKUP(main!O91,main!$AO$4:$AQ$55,2,FALSE))*IF(main!$AK91="是",main!$BB$4,main!$BB$3))</f>
        <v>0</v>
      </c>
      <c r="H91" s="12">
        <f>IF(ISNUMBER(SEARCH("营",main!P91)),(-$Y91+50*IF(main!$AK91="是",main!$BB$4,main!$BB$3)),(VLOOKUP(main!P91,main!$AO$4:$AQ$55,2,FALSE))*IF(main!$AK91="是",main!$BB$4,main!$BB$3))</f>
        <v>0</v>
      </c>
      <c r="I91" s="12">
        <f>IF(ISNUMBER(SEARCH("营",main!Q91)),(-$Y91+50*IF(main!$AK91="是",main!$BB$4,main!$BB$3)),(VLOOKUP(main!Q91,main!$AO$4:$AQ$55,2,FALSE))*IF(main!$AK91="是",main!$BB$4,main!$BB$3))</f>
        <v>0</v>
      </c>
      <c r="J91" s="12">
        <f>IF(ISNUMBER(SEARCH("营",main!R91)),(-$Y91+50*IF(main!$AK91="是",main!$BB$4,main!$BB$3)),(VLOOKUP(main!R91,main!$AO$4:$AQ$55,2,FALSE))*IF(main!$AK91="是",main!$BB$4,main!$BB$3))</f>
        <v>0</v>
      </c>
      <c r="K91" s="12">
        <f>IF(ISNUMBER(SEARCH("营",main!S91)),(-$Y91+50*IF(main!$AK91="是",main!$BB$4,main!$BB$3)),(VLOOKUP(main!S91,main!$AO$4:$AQ$55,2,FALSE))*IF(main!$AK91="是",main!$BB$4,main!$BB$3))</f>
        <v>0</v>
      </c>
      <c r="L91" s="12">
        <f>IF(ISNUMBER(SEARCH("营",main!T91)),(-$Y91+50*IF(main!$AK91="是",main!$BB$4,main!$BB$3)),(VLOOKUP(main!T91,main!$AO$4:$AQ$55,2,FALSE))*IF(main!$AK91="是",main!$BB$4,main!$BB$3))</f>
        <v>0</v>
      </c>
      <c r="M91" s="12">
        <f>IF(ISNUMBER(SEARCH("营",main!U91)),(-$Y91+50*IF(main!$AK91="是",main!$BB$4,main!$BB$3)),(VLOOKUP(main!U91,main!$AO$4:$AQ$55,2,FALSE))*IF(main!$AK91="是",main!$BB$4,main!$BB$3))</f>
        <v>0</v>
      </c>
      <c r="N91" s="12">
        <f>IF(ISNUMBER(SEARCH("营",main!V91)),(-$Y91+50*IF(main!$AK91="是",main!$BB$4,main!$BB$3)),(VLOOKUP(main!V91,main!$AO$4:$AQ$55,2,FALSE))*IF(main!$AK91="是",main!$BB$4,main!$BB$3))</f>
        <v>0</v>
      </c>
      <c r="O91" s="12">
        <f>IF(ISNUMBER(SEARCH("营",main!W91)),(-$Y91+50*IF(main!$AK91="是",main!$BB$4,main!$BB$3)),(VLOOKUP(main!W91,main!$AO$4:$AQ$55,2,FALSE))*IF(main!$AK91="是",main!$BB$4,main!$BB$3))</f>
        <v>0</v>
      </c>
      <c r="P91" s="12">
        <f>IF(ISNUMBER(SEARCH("营",main!X91)),(-$Y91+50*IF(main!$AK91="是",main!$BB$4,main!$BB$3)),(VLOOKUP(main!X91,main!$AO$4:$AQ$55,2,FALSE))*IF(main!$AK91="是",main!$BB$4,main!$BB$3))</f>
        <v>0</v>
      </c>
      <c r="Q91" s="12">
        <f>IF(ISNUMBER(SEARCH("营",main!Y91)),(-$Y91+50*IF(main!$AK91="是",main!$BB$4,main!$BB$3)),(VLOOKUP(main!Y91,main!$AO$4:$AQ$55,2,FALSE))*IF(main!$AK91="是",main!$BB$4,main!$BB$3))</f>
        <v>0</v>
      </c>
      <c r="R91" s="12">
        <f>IF(ISNUMBER(SEARCH("营",main!Z91)),(-$Y91+50*IF(main!$AK91="是",main!$BB$4,main!$BB$3)),(VLOOKUP(main!Z91,main!$AO$4:$AQ$55,2,FALSE))*IF(main!$AK91="是",main!$BB$4,main!$BB$3))</f>
        <v>0</v>
      </c>
      <c r="S91" s="12">
        <f>IF(ISNUMBER(SEARCH("营",main!AA91)),(-$Y91+50*IF(main!$AK91="是",main!$BB$4,main!$BB$3)),(VLOOKUP(main!AA91,main!$AO$4:$AQ$55,2,FALSE))*IF(main!$AK91="是",main!$BB$4,main!$BB$3))</f>
        <v>0</v>
      </c>
      <c r="T91" s="12">
        <f>IF(ISNUMBER(SEARCH("营",main!AB91)),(-$Y91+50*IF(main!$AK91="是",main!$BB$4,main!$BB$3)),(VLOOKUP(main!AB91,main!$AO$4:$AQ$55,2,FALSE))*IF(main!$AK91="是",main!$BB$4,main!$BB$3))</f>
        <v>0</v>
      </c>
      <c r="U91" s="12">
        <f>IF(ISNUMBER(SEARCH("营",main!AC91)),(-$Y91+50*IF(main!$AK91="是",main!$BB$4,main!$BB$3)),(VLOOKUP(main!AC91,main!$AO$4:$AQ$55,2,FALSE))*IF(main!$AK91="是",main!$BB$4,main!$BB$3))</f>
        <v>0</v>
      </c>
      <c r="V91" s="12">
        <f>IF(ISNUMBER(SEARCH("营",main!AD91)),(-$Y91+50*IF(main!$AK91="是",main!$BB$4,main!$BB$3)),(VLOOKUP(main!AD91,main!$AO$4:$AQ$55,2,FALSE))*IF(main!$AK91="是",main!$BB$4,main!$BB$3))</f>
        <v>0</v>
      </c>
      <c r="W91" s="12">
        <f>IF(ISNUMBER(SEARCH("营",main!AE91)),(-$Y91+50*IF(main!$AK91="是",main!$BB$4,main!$BB$3)),(VLOOKUP(main!AE91,main!$AO$4:$AQ$55,2,FALSE))*IF(main!$AK91="是",main!$BB$4,main!$BB$3))</f>
        <v>0</v>
      </c>
      <c r="X91" s="12">
        <f>IF(ISNUMBER(SEARCH("营",main!AF91)),(-$Y91+50*IF(main!$AK91="是",main!$BB$4,main!$BB$3)),(VLOOKUP(main!AF91,main!$AO$4:$AQ$55,2,FALSE))*IF(main!$AK91="是",main!$BB$4,main!$BB$3))</f>
        <v>0</v>
      </c>
      <c r="Y91" s="98">
        <v>100</v>
      </c>
      <c r="Z91" s="95">
        <v>46363</v>
      </c>
      <c r="AA91">
        <v>88</v>
      </c>
    </row>
    <row r="92" spans="1:27">
      <c r="A92" s="12">
        <f>IF(ISNUMBER(SEARCH("营",main!I92)),(-$Y92+50*IF(main!$AK92="是",main!$BB$4,main!$BB$3)),(VLOOKUP(main!I92,main!$AO$4:$AQ$55,2,FALSE))*IF(main!$AK92="是",main!$BB$4,main!$BB$3))</f>
        <v>0</v>
      </c>
      <c r="B92" s="12">
        <f>IF(ISNUMBER(SEARCH("营",main!J92)),(-$Y92+50*IF(main!$AK92="是",main!$BB$4,main!$BB$3)),(VLOOKUP(main!J92,main!$AO$4:$AQ$55,2,FALSE))*IF(main!$AK92="是",main!$BB$4,main!$BB$3))</f>
        <v>0</v>
      </c>
      <c r="C92" s="12">
        <f>IF(ISNUMBER(SEARCH("营",main!K92)),(-$Y92+50*IF(main!$AK92="是",main!$BB$4,main!$BB$3)),(VLOOKUP(main!K92,main!$AO$4:$AQ$55,2,FALSE))*IF(main!$AK92="是",main!$BB$4,main!$BB$3))</f>
        <v>0</v>
      </c>
      <c r="D92" s="12">
        <f>IF(ISNUMBER(SEARCH("营",main!L92)),(-$Y92+50*IF(main!$AK92="是",main!$BB$4,main!$BB$3)),(VLOOKUP(main!L92,main!$AO$4:$AQ$55,2,FALSE))*IF(main!$AK92="是",main!$BB$4,main!$BB$3))</f>
        <v>0</v>
      </c>
      <c r="E92" s="12">
        <f>IF(ISNUMBER(SEARCH("营",main!M92)),(-$Y92+50*IF(main!$AK92="是",main!$BB$4,main!$BB$3)),(VLOOKUP(main!M92,main!$AO$4:$AQ$55,2,FALSE))*IF(main!$AK92="是",main!$BB$4,main!$BB$3))</f>
        <v>0</v>
      </c>
      <c r="F92" s="12">
        <f>IF(ISNUMBER(SEARCH("营",main!N92)),(-$Y92+50*IF(main!$AK92="是",main!$BB$4,main!$BB$3)),(VLOOKUP(main!N92,main!$AO$4:$AQ$55,2,FALSE))*IF(main!$AK92="是",main!$BB$4,main!$BB$3))</f>
        <v>0</v>
      </c>
      <c r="G92" s="12">
        <f>IF(ISNUMBER(SEARCH("营",main!O92)),(-$Y92+50*IF(main!$AK92="是",main!$BB$4,main!$BB$3)),(VLOOKUP(main!O92,main!$AO$4:$AQ$55,2,FALSE))*IF(main!$AK92="是",main!$BB$4,main!$BB$3))</f>
        <v>0</v>
      </c>
      <c r="H92" s="12">
        <f>IF(ISNUMBER(SEARCH("营",main!P92)),(-$Y92+50*IF(main!$AK92="是",main!$BB$4,main!$BB$3)),(VLOOKUP(main!P92,main!$AO$4:$AQ$55,2,FALSE))*IF(main!$AK92="是",main!$BB$4,main!$BB$3))</f>
        <v>0</v>
      </c>
      <c r="I92" s="12">
        <f>IF(ISNUMBER(SEARCH("营",main!Q92)),(-$Y92+50*IF(main!$AK92="是",main!$BB$4,main!$BB$3)),(VLOOKUP(main!Q92,main!$AO$4:$AQ$55,2,FALSE))*IF(main!$AK92="是",main!$BB$4,main!$BB$3))</f>
        <v>0</v>
      </c>
      <c r="J92" s="12">
        <f>IF(ISNUMBER(SEARCH("营",main!R92)),(-$Y92+50*IF(main!$AK92="是",main!$BB$4,main!$BB$3)),(VLOOKUP(main!R92,main!$AO$4:$AQ$55,2,FALSE))*IF(main!$AK92="是",main!$BB$4,main!$BB$3))</f>
        <v>0</v>
      </c>
      <c r="K92" s="12">
        <f>IF(ISNUMBER(SEARCH("营",main!S92)),(-$Y92+50*IF(main!$AK92="是",main!$BB$4,main!$BB$3)),(VLOOKUP(main!S92,main!$AO$4:$AQ$55,2,FALSE))*IF(main!$AK92="是",main!$BB$4,main!$BB$3))</f>
        <v>0</v>
      </c>
      <c r="L92" s="12">
        <f>IF(ISNUMBER(SEARCH("营",main!T92)),(-$Y92+50*IF(main!$AK92="是",main!$BB$4,main!$BB$3)),(VLOOKUP(main!T92,main!$AO$4:$AQ$55,2,FALSE))*IF(main!$AK92="是",main!$BB$4,main!$BB$3))</f>
        <v>0</v>
      </c>
      <c r="M92" s="12">
        <f>IF(ISNUMBER(SEARCH("营",main!U92)),(-$Y92+50*IF(main!$AK92="是",main!$BB$4,main!$BB$3)),(VLOOKUP(main!U92,main!$AO$4:$AQ$55,2,FALSE))*IF(main!$AK92="是",main!$BB$4,main!$BB$3))</f>
        <v>0</v>
      </c>
      <c r="N92" s="12">
        <f>IF(ISNUMBER(SEARCH("营",main!V92)),(-$Y92+50*IF(main!$AK92="是",main!$BB$4,main!$BB$3)),(VLOOKUP(main!V92,main!$AO$4:$AQ$55,2,FALSE))*IF(main!$AK92="是",main!$BB$4,main!$BB$3))</f>
        <v>0</v>
      </c>
      <c r="O92" s="12">
        <f>IF(ISNUMBER(SEARCH("营",main!W92)),(-$Y92+50*IF(main!$AK92="是",main!$BB$4,main!$BB$3)),(VLOOKUP(main!W92,main!$AO$4:$AQ$55,2,FALSE))*IF(main!$AK92="是",main!$BB$4,main!$BB$3))</f>
        <v>0</v>
      </c>
      <c r="P92" s="12">
        <f>IF(ISNUMBER(SEARCH("营",main!X92)),(-$Y92+50*IF(main!$AK92="是",main!$BB$4,main!$BB$3)),(VLOOKUP(main!X92,main!$AO$4:$AQ$55,2,FALSE))*IF(main!$AK92="是",main!$BB$4,main!$BB$3))</f>
        <v>0</v>
      </c>
      <c r="Q92" s="12">
        <f>IF(ISNUMBER(SEARCH("营",main!Y92)),(-$Y92+50*IF(main!$AK92="是",main!$BB$4,main!$BB$3)),(VLOOKUP(main!Y92,main!$AO$4:$AQ$55,2,FALSE))*IF(main!$AK92="是",main!$BB$4,main!$BB$3))</f>
        <v>0</v>
      </c>
      <c r="R92" s="12">
        <f>IF(ISNUMBER(SEARCH("营",main!Z92)),(-$Y92+50*IF(main!$AK92="是",main!$BB$4,main!$BB$3)),(VLOOKUP(main!Z92,main!$AO$4:$AQ$55,2,FALSE))*IF(main!$AK92="是",main!$BB$4,main!$BB$3))</f>
        <v>0</v>
      </c>
      <c r="S92" s="12">
        <f>IF(ISNUMBER(SEARCH("营",main!AA92)),(-$Y92+50*IF(main!$AK92="是",main!$BB$4,main!$BB$3)),(VLOOKUP(main!AA92,main!$AO$4:$AQ$55,2,FALSE))*IF(main!$AK92="是",main!$BB$4,main!$BB$3))</f>
        <v>0</v>
      </c>
      <c r="T92" s="12">
        <f>IF(ISNUMBER(SEARCH("营",main!AB92)),(-$Y92+50*IF(main!$AK92="是",main!$BB$4,main!$BB$3)),(VLOOKUP(main!AB92,main!$AO$4:$AQ$55,2,FALSE))*IF(main!$AK92="是",main!$BB$4,main!$BB$3))</f>
        <v>0</v>
      </c>
      <c r="U92" s="12">
        <f>IF(ISNUMBER(SEARCH("营",main!AC92)),(-$Y92+50*IF(main!$AK92="是",main!$BB$4,main!$BB$3)),(VLOOKUP(main!AC92,main!$AO$4:$AQ$55,2,FALSE))*IF(main!$AK92="是",main!$BB$4,main!$BB$3))</f>
        <v>0</v>
      </c>
      <c r="V92" s="12">
        <f>IF(ISNUMBER(SEARCH("营",main!AD92)),(-$Y92+50*IF(main!$AK92="是",main!$BB$4,main!$BB$3)),(VLOOKUP(main!AD92,main!$AO$4:$AQ$55,2,FALSE))*IF(main!$AK92="是",main!$BB$4,main!$BB$3))</f>
        <v>0</v>
      </c>
      <c r="W92" s="12">
        <f>IF(ISNUMBER(SEARCH("营",main!AE92)),(-$Y92+50*IF(main!$AK92="是",main!$BB$4,main!$BB$3)),(VLOOKUP(main!AE92,main!$AO$4:$AQ$55,2,FALSE))*IF(main!$AK92="是",main!$BB$4,main!$BB$3))</f>
        <v>0</v>
      </c>
      <c r="X92" s="12">
        <f>IF(ISNUMBER(SEARCH("营",main!AF92)),(-$Y92+50*IF(main!$AK92="是",main!$BB$4,main!$BB$3)),(VLOOKUP(main!AF92,main!$AO$4:$AQ$55,2,FALSE))*IF(main!$AK92="是",main!$BB$4,main!$BB$3))</f>
        <v>0</v>
      </c>
      <c r="Y92" s="98">
        <v>100</v>
      </c>
      <c r="Z92" s="95">
        <v>46364</v>
      </c>
      <c r="AA92">
        <v>89</v>
      </c>
    </row>
    <row r="93" spans="1:27">
      <c r="A93" s="12">
        <f>IF(ISNUMBER(SEARCH("营",main!I93)),(-$Y93+50*IF(main!$AK93="是",main!$BB$4,main!$BB$3)),(VLOOKUP(main!I93,main!$AO$4:$AQ$55,2,FALSE))*IF(main!$AK93="是",main!$BB$4,main!$BB$3))</f>
        <v>0</v>
      </c>
      <c r="B93" s="12">
        <f>IF(ISNUMBER(SEARCH("营",main!J93)),(-$Y93+50*IF(main!$AK93="是",main!$BB$4,main!$BB$3)),(VLOOKUP(main!J93,main!$AO$4:$AQ$55,2,FALSE))*IF(main!$AK93="是",main!$BB$4,main!$BB$3))</f>
        <v>0</v>
      </c>
      <c r="C93" s="12">
        <f>IF(ISNUMBER(SEARCH("营",main!K93)),(-$Y93+50*IF(main!$AK93="是",main!$BB$4,main!$BB$3)),(VLOOKUP(main!K93,main!$AO$4:$AQ$55,2,FALSE))*IF(main!$AK93="是",main!$BB$4,main!$BB$3))</f>
        <v>0</v>
      </c>
      <c r="D93" s="12">
        <f>IF(ISNUMBER(SEARCH("营",main!L93)),(-$Y93+50*IF(main!$AK93="是",main!$BB$4,main!$BB$3)),(VLOOKUP(main!L93,main!$AO$4:$AQ$55,2,FALSE))*IF(main!$AK93="是",main!$BB$4,main!$BB$3))</f>
        <v>0</v>
      </c>
      <c r="E93" s="12">
        <f>IF(ISNUMBER(SEARCH("营",main!M93)),(-$Y93+50*IF(main!$AK93="是",main!$BB$4,main!$BB$3)),(VLOOKUP(main!M93,main!$AO$4:$AQ$55,2,FALSE))*IF(main!$AK93="是",main!$BB$4,main!$BB$3))</f>
        <v>0</v>
      </c>
      <c r="F93" s="12">
        <f>IF(ISNUMBER(SEARCH("营",main!N93)),(-$Y93+50*IF(main!$AK93="是",main!$BB$4,main!$BB$3)),(VLOOKUP(main!N93,main!$AO$4:$AQ$55,2,FALSE))*IF(main!$AK93="是",main!$BB$4,main!$BB$3))</f>
        <v>0</v>
      </c>
      <c r="G93" s="12">
        <f>IF(ISNUMBER(SEARCH("营",main!O93)),(-$Y93+50*IF(main!$AK93="是",main!$BB$4,main!$BB$3)),(VLOOKUP(main!O93,main!$AO$4:$AQ$55,2,FALSE))*IF(main!$AK93="是",main!$BB$4,main!$BB$3))</f>
        <v>0</v>
      </c>
      <c r="H93" s="12">
        <f>IF(ISNUMBER(SEARCH("营",main!P93)),(-$Y93+50*IF(main!$AK93="是",main!$BB$4,main!$BB$3)),(VLOOKUP(main!P93,main!$AO$4:$AQ$55,2,FALSE))*IF(main!$AK93="是",main!$BB$4,main!$BB$3))</f>
        <v>0</v>
      </c>
      <c r="I93" s="12">
        <f>IF(ISNUMBER(SEARCH("营",main!Q93)),(-$Y93+50*IF(main!$AK93="是",main!$BB$4,main!$BB$3)),(VLOOKUP(main!Q93,main!$AO$4:$AQ$55,2,FALSE))*IF(main!$AK93="是",main!$BB$4,main!$BB$3))</f>
        <v>0</v>
      </c>
      <c r="J93" s="12">
        <f>IF(ISNUMBER(SEARCH("营",main!R93)),(-$Y93+50*IF(main!$AK93="是",main!$BB$4,main!$BB$3)),(VLOOKUP(main!R93,main!$AO$4:$AQ$55,2,FALSE))*IF(main!$AK93="是",main!$BB$4,main!$BB$3))</f>
        <v>0</v>
      </c>
      <c r="K93" s="12">
        <f>IF(ISNUMBER(SEARCH("营",main!S93)),(-$Y93+50*IF(main!$AK93="是",main!$BB$4,main!$BB$3)),(VLOOKUP(main!S93,main!$AO$4:$AQ$55,2,FALSE))*IF(main!$AK93="是",main!$BB$4,main!$BB$3))</f>
        <v>0</v>
      </c>
      <c r="L93" s="12">
        <f>IF(ISNUMBER(SEARCH("营",main!T93)),(-$Y93+50*IF(main!$AK93="是",main!$BB$4,main!$BB$3)),(VLOOKUP(main!T93,main!$AO$4:$AQ$55,2,FALSE))*IF(main!$AK93="是",main!$BB$4,main!$BB$3))</f>
        <v>0</v>
      </c>
      <c r="M93" s="12">
        <f>IF(ISNUMBER(SEARCH("营",main!U93)),(-$Y93+50*IF(main!$AK93="是",main!$BB$4,main!$BB$3)),(VLOOKUP(main!U93,main!$AO$4:$AQ$55,2,FALSE))*IF(main!$AK93="是",main!$BB$4,main!$BB$3))</f>
        <v>0</v>
      </c>
      <c r="N93" s="12">
        <f>IF(ISNUMBER(SEARCH("营",main!V93)),(-$Y93+50*IF(main!$AK93="是",main!$BB$4,main!$BB$3)),(VLOOKUP(main!V93,main!$AO$4:$AQ$55,2,FALSE))*IF(main!$AK93="是",main!$BB$4,main!$BB$3))</f>
        <v>0</v>
      </c>
      <c r="O93" s="12">
        <f>IF(ISNUMBER(SEARCH("营",main!W93)),(-$Y93+50*IF(main!$AK93="是",main!$BB$4,main!$BB$3)),(VLOOKUP(main!W93,main!$AO$4:$AQ$55,2,FALSE))*IF(main!$AK93="是",main!$BB$4,main!$BB$3))</f>
        <v>0</v>
      </c>
      <c r="P93" s="12">
        <f>IF(ISNUMBER(SEARCH("营",main!X93)),(-$Y93+50*IF(main!$AK93="是",main!$BB$4,main!$BB$3)),(VLOOKUP(main!X93,main!$AO$4:$AQ$55,2,FALSE))*IF(main!$AK93="是",main!$BB$4,main!$BB$3))</f>
        <v>0</v>
      </c>
      <c r="Q93" s="12">
        <f>IF(ISNUMBER(SEARCH("营",main!Y93)),(-$Y93+50*IF(main!$AK93="是",main!$BB$4,main!$BB$3)),(VLOOKUP(main!Y93,main!$AO$4:$AQ$55,2,FALSE))*IF(main!$AK93="是",main!$BB$4,main!$BB$3))</f>
        <v>0</v>
      </c>
      <c r="R93" s="12">
        <f>IF(ISNUMBER(SEARCH("营",main!Z93)),(-$Y93+50*IF(main!$AK93="是",main!$BB$4,main!$BB$3)),(VLOOKUP(main!Z93,main!$AO$4:$AQ$55,2,FALSE))*IF(main!$AK93="是",main!$BB$4,main!$BB$3))</f>
        <v>0</v>
      </c>
      <c r="S93" s="12">
        <f>IF(ISNUMBER(SEARCH("营",main!AA93)),(-$Y93+50*IF(main!$AK93="是",main!$BB$4,main!$BB$3)),(VLOOKUP(main!AA93,main!$AO$4:$AQ$55,2,FALSE))*IF(main!$AK93="是",main!$BB$4,main!$BB$3))</f>
        <v>0</v>
      </c>
      <c r="T93" s="12">
        <f>IF(ISNUMBER(SEARCH("营",main!AB93)),(-$Y93+50*IF(main!$AK93="是",main!$BB$4,main!$BB$3)),(VLOOKUP(main!AB93,main!$AO$4:$AQ$55,2,FALSE))*IF(main!$AK93="是",main!$BB$4,main!$BB$3))</f>
        <v>0</v>
      </c>
      <c r="U93" s="12">
        <f>IF(ISNUMBER(SEARCH("营",main!AC93)),(-$Y93+50*IF(main!$AK93="是",main!$BB$4,main!$BB$3)),(VLOOKUP(main!AC93,main!$AO$4:$AQ$55,2,FALSE))*IF(main!$AK93="是",main!$BB$4,main!$BB$3))</f>
        <v>0</v>
      </c>
      <c r="V93" s="12">
        <f>IF(ISNUMBER(SEARCH("营",main!AD93)),(-$Y93+50*IF(main!$AK93="是",main!$BB$4,main!$BB$3)),(VLOOKUP(main!AD93,main!$AO$4:$AQ$55,2,FALSE))*IF(main!$AK93="是",main!$BB$4,main!$BB$3))</f>
        <v>0</v>
      </c>
      <c r="W93" s="12">
        <f>IF(ISNUMBER(SEARCH("营",main!AE93)),(-$Y93+50*IF(main!$AK93="是",main!$BB$4,main!$BB$3)),(VLOOKUP(main!AE93,main!$AO$4:$AQ$55,2,FALSE))*IF(main!$AK93="是",main!$BB$4,main!$BB$3))</f>
        <v>0</v>
      </c>
      <c r="X93" s="12">
        <f>IF(ISNUMBER(SEARCH("营",main!AF93)),(-$Y93+50*IF(main!$AK93="是",main!$BB$4,main!$BB$3)),(VLOOKUP(main!AF93,main!$AO$4:$AQ$55,2,FALSE))*IF(main!$AK93="是",main!$BB$4,main!$BB$3))</f>
        <v>0</v>
      </c>
      <c r="Y93" s="98">
        <v>100</v>
      </c>
      <c r="Z93" s="95">
        <v>46365</v>
      </c>
      <c r="AA93">
        <v>90</v>
      </c>
    </row>
    <row r="94" spans="1:27">
      <c r="A94" s="12">
        <f>IF(ISNUMBER(SEARCH("营",main!I94)),(-$Y94+50*IF(main!$AK94="是",main!$BB$4,main!$BB$3)),(VLOOKUP(main!I94,main!$AO$4:$AQ$55,2,FALSE))*IF(main!$AK94="是",main!$BB$4,main!$BB$3))</f>
        <v>0</v>
      </c>
      <c r="B94" s="12">
        <f>IF(ISNUMBER(SEARCH("营",main!J94)),(-$Y94+50*IF(main!$AK94="是",main!$BB$4,main!$BB$3)),(VLOOKUP(main!J94,main!$AO$4:$AQ$55,2,FALSE))*IF(main!$AK94="是",main!$BB$4,main!$BB$3))</f>
        <v>0</v>
      </c>
      <c r="C94" s="12">
        <f>IF(ISNUMBER(SEARCH("营",main!K94)),(-$Y94+50*IF(main!$AK94="是",main!$BB$4,main!$BB$3)),(VLOOKUP(main!K94,main!$AO$4:$AQ$55,2,FALSE))*IF(main!$AK94="是",main!$BB$4,main!$BB$3))</f>
        <v>0</v>
      </c>
      <c r="D94" s="12">
        <f>IF(ISNUMBER(SEARCH("营",main!L94)),(-$Y94+50*IF(main!$AK94="是",main!$BB$4,main!$BB$3)),(VLOOKUP(main!L94,main!$AO$4:$AQ$55,2,FALSE))*IF(main!$AK94="是",main!$BB$4,main!$BB$3))</f>
        <v>0</v>
      </c>
      <c r="E94" s="12">
        <f>IF(ISNUMBER(SEARCH("营",main!M94)),(-$Y94+50*IF(main!$AK94="是",main!$BB$4,main!$BB$3)),(VLOOKUP(main!M94,main!$AO$4:$AQ$55,2,FALSE))*IF(main!$AK94="是",main!$BB$4,main!$BB$3))</f>
        <v>0</v>
      </c>
      <c r="F94" s="12">
        <f>IF(ISNUMBER(SEARCH("营",main!N94)),(-$Y94+50*IF(main!$AK94="是",main!$BB$4,main!$BB$3)),(VLOOKUP(main!N94,main!$AO$4:$AQ$55,2,FALSE))*IF(main!$AK94="是",main!$BB$4,main!$BB$3))</f>
        <v>0</v>
      </c>
      <c r="G94" s="12">
        <f>IF(ISNUMBER(SEARCH("营",main!O94)),(-$Y94+50*IF(main!$AK94="是",main!$BB$4,main!$BB$3)),(VLOOKUP(main!O94,main!$AO$4:$AQ$55,2,FALSE))*IF(main!$AK94="是",main!$BB$4,main!$BB$3))</f>
        <v>0</v>
      </c>
      <c r="H94" s="12">
        <f>IF(ISNUMBER(SEARCH("营",main!P94)),(-$Y94+50*IF(main!$AK94="是",main!$BB$4,main!$BB$3)),(VLOOKUP(main!P94,main!$AO$4:$AQ$55,2,FALSE))*IF(main!$AK94="是",main!$BB$4,main!$BB$3))</f>
        <v>0</v>
      </c>
      <c r="I94" s="12">
        <f>IF(ISNUMBER(SEARCH("营",main!Q94)),(-$Y94+50*IF(main!$AK94="是",main!$BB$4,main!$BB$3)),(VLOOKUP(main!Q94,main!$AO$4:$AQ$55,2,FALSE))*IF(main!$AK94="是",main!$BB$4,main!$BB$3))</f>
        <v>0</v>
      </c>
      <c r="J94" s="12">
        <f>IF(ISNUMBER(SEARCH("营",main!R94)),(-$Y94+50*IF(main!$AK94="是",main!$BB$4,main!$BB$3)),(VLOOKUP(main!R94,main!$AO$4:$AQ$55,2,FALSE))*IF(main!$AK94="是",main!$BB$4,main!$BB$3))</f>
        <v>0</v>
      </c>
      <c r="K94" s="12">
        <f>IF(ISNUMBER(SEARCH("营",main!S94)),(-$Y94+50*IF(main!$AK94="是",main!$BB$4,main!$BB$3)),(VLOOKUP(main!S94,main!$AO$4:$AQ$55,2,FALSE))*IF(main!$AK94="是",main!$BB$4,main!$BB$3))</f>
        <v>0</v>
      </c>
      <c r="L94" s="12">
        <f>IF(ISNUMBER(SEARCH("营",main!T94)),(-$Y94+50*IF(main!$AK94="是",main!$BB$4,main!$BB$3)),(VLOOKUP(main!T94,main!$AO$4:$AQ$55,2,FALSE))*IF(main!$AK94="是",main!$BB$4,main!$BB$3))</f>
        <v>0</v>
      </c>
      <c r="M94" s="12">
        <f>IF(ISNUMBER(SEARCH("营",main!U94)),(-$Y94+50*IF(main!$AK94="是",main!$BB$4,main!$BB$3)),(VLOOKUP(main!U94,main!$AO$4:$AQ$55,2,FALSE))*IF(main!$AK94="是",main!$BB$4,main!$BB$3))</f>
        <v>0</v>
      </c>
      <c r="N94" s="12">
        <f>IF(ISNUMBER(SEARCH("营",main!V94)),(-$Y94+50*IF(main!$AK94="是",main!$BB$4,main!$BB$3)),(VLOOKUP(main!V94,main!$AO$4:$AQ$55,2,FALSE))*IF(main!$AK94="是",main!$BB$4,main!$BB$3))</f>
        <v>0</v>
      </c>
      <c r="O94" s="12">
        <f>IF(ISNUMBER(SEARCH("营",main!W94)),(-$Y94+50*IF(main!$AK94="是",main!$BB$4,main!$BB$3)),(VLOOKUP(main!W94,main!$AO$4:$AQ$55,2,FALSE))*IF(main!$AK94="是",main!$BB$4,main!$BB$3))</f>
        <v>0</v>
      </c>
      <c r="P94" s="12">
        <f>IF(ISNUMBER(SEARCH("营",main!X94)),(-$Y94+50*IF(main!$AK94="是",main!$BB$4,main!$BB$3)),(VLOOKUP(main!X94,main!$AO$4:$AQ$55,2,FALSE))*IF(main!$AK94="是",main!$BB$4,main!$BB$3))</f>
        <v>0</v>
      </c>
      <c r="Q94" s="12">
        <f>IF(ISNUMBER(SEARCH("营",main!Y94)),(-$Y94+50*IF(main!$AK94="是",main!$BB$4,main!$BB$3)),(VLOOKUP(main!Y94,main!$AO$4:$AQ$55,2,FALSE))*IF(main!$AK94="是",main!$BB$4,main!$BB$3))</f>
        <v>0</v>
      </c>
      <c r="R94" s="12">
        <f>IF(ISNUMBER(SEARCH("营",main!Z94)),(-$Y94+50*IF(main!$AK94="是",main!$BB$4,main!$BB$3)),(VLOOKUP(main!Z94,main!$AO$4:$AQ$55,2,FALSE))*IF(main!$AK94="是",main!$BB$4,main!$BB$3))</f>
        <v>0</v>
      </c>
      <c r="S94" s="12">
        <f>IF(ISNUMBER(SEARCH("营",main!AA94)),(-$Y94+50*IF(main!$AK94="是",main!$BB$4,main!$BB$3)),(VLOOKUP(main!AA94,main!$AO$4:$AQ$55,2,FALSE))*IF(main!$AK94="是",main!$BB$4,main!$BB$3))</f>
        <v>0</v>
      </c>
      <c r="T94" s="12">
        <f>IF(ISNUMBER(SEARCH("营",main!AB94)),(-$Y94+50*IF(main!$AK94="是",main!$BB$4,main!$BB$3)),(VLOOKUP(main!AB94,main!$AO$4:$AQ$55,2,FALSE))*IF(main!$AK94="是",main!$BB$4,main!$BB$3))</f>
        <v>0</v>
      </c>
      <c r="U94" s="12">
        <f>IF(ISNUMBER(SEARCH("营",main!AC94)),(-$Y94+50*IF(main!$AK94="是",main!$BB$4,main!$BB$3)),(VLOOKUP(main!AC94,main!$AO$4:$AQ$55,2,FALSE))*IF(main!$AK94="是",main!$BB$4,main!$BB$3))</f>
        <v>0</v>
      </c>
      <c r="V94" s="12">
        <f>IF(ISNUMBER(SEARCH("营",main!AD94)),(-$Y94+50*IF(main!$AK94="是",main!$BB$4,main!$BB$3)),(VLOOKUP(main!AD94,main!$AO$4:$AQ$55,2,FALSE))*IF(main!$AK94="是",main!$BB$4,main!$BB$3))</f>
        <v>0</v>
      </c>
      <c r="W94" s="12">
        <f>IF(ISNUMBER(SEARCH("营",main!AE94)),(-$Y94+50*IF(main!$AK94="是",main!$BB$4,main!$BB$3)),(VLOOKUP(main!AE94,main!$AO$4:$AQ$55,2,FALSE))*IF(main!$AK94="是",main!$BB$4,main!$BB$3))</f>
        <v>0</v>
      </c>
      <c r="X94" s="12">
        <f>IF(ISNUMBER(SEARCH("营",main!AF94)),(-$Y94+50*IF(main!$AK94="是",main!$BB$4,main!$BB$3)),(VLOOKUP(main!AF94,main!$AO$4:$AQ$55,2,FALSE))*IF(main!$AK94="是",main!$BB$4,main!$BB$3))</f>
        <v>0</v>
      </c>
      <c r="Y94" s="98">
        <v>100</v>
      </c>
      <c r="Z94" s="95">
        <v>46366</v>
      </c>
      <c r="AA94">
        <v>91</v>
      </c>
    </row>
    <row r="95" spans="1:27">
      <c r="A95" s="12">
        <f>IF(ISNUMBER(SEARCH("营",main!I95)),(-$Y95+50*IF(main!$AK95="是",main!$BB$4,main!$BB$3)),(VLOOKUP(main!I95,main!$AO$4:$AQ$55,2,FALSE))*IF(main!$AK95="是",main!$BB$4,main!$BB$3))</f>
        <v>0</v>
      </c>
      <c r="B95" s="12">
        <f>IF(ISNUMBER(SEARCH("营",main!J95)),(-$Y95+50*IF(main!$AK95="是",main!$BB$4,main!$BB$3)),(VLOOKUP(main!J95,main!$AO$4:$AQ$55,2,FALSE))*IF(main!$AK95="是",main!$BB$4,main!$BB$3))</f>
        <v>0</v>
      </c>
      <c r="C95" s="12">
        <f>IF(ISNUMBER(SEARCH("营",main!K95)),(-$Y95+50*IF(main!$AK95="是",main!$BB$4,main!$BB$3)),(VLOOKUP(main!K95,main!$AO$4:$AQ$55,2,FALSE))*IF(main!$AK95="是",main!$BB$4,main!$BB$3))</f>
        <v>0</v>
      </c>
      <c r="D95" s="12">
        <f>IF(ISNUMBER(SEARCH("营",main!L95)),(-$Y95+50*IF(main!$AK95="是",main!$BB$4,main!$BB$3)),(VLOOKUP(main!L95,main!$AO$4:$AQ$55,2,FALSE))*IF(main!$AK95="是",main!$BB$4,main!$BB$3))</f>
        <v>0</v>
      </c>
      <c r="E95" s="12">
        <f>IF(ISNUMBER(SEARCH("营",main!M95)),(-$Y95+50*IF(main!$AK95="是",main!$BB$4,main!$BB$3)),(VLOOKUP(main!M95,main!$AO$4:$AQ$55,2,FALSE))*IF(main!$AK95="是",main!$BB$4,main!$BB$3))</f>
        <v>0</v>
      </c>
      <c r="F95" s="12">
        <f>IF(ISNUMBER(SEARCH("营",main!N95)),(-$Y95+50*IF(main!$AK95="是",main!$BB$4,main!$BB$3)),(VLOOKUP(main!N95,main!$AO$4:$AQ$55,2,FALSE))*IF(main!$AK95="是",main!$BB$4,main!$BB$3))</f>
        <v>0</v>
      </c>
      <c r="G95" s="12">
        <f>IF(ISNUMBER(SEARCH("营",main!O95)),(-$Y95+50*IF(main!$AK95="是",main!$BB$4,main!$BB$3)),(VLOOKUP(main!O95,main!$AO$4:$AQ$55,2,FALSE))*IF(main!$AK95="是",main!$BB$4,main!$BB$3))</f>
        <v>0</v>
      </c>
      <c r="H95" s="12">
        <f>IF(ISNUMBER(SEARCH("营",main!P95)),(-$Y95+50*IF(main!$AK95="是",main!$BB$4,main!$BB$3)),(VLOOKUP(main!P95,main!$AO$4:$AQ$55,2,FALSE))*IF(main!$AK95="是",main!$BB$4,main!$BB$3))</f>
        <v>0</v>
      </c>
      <c r="I95" s="12">
        <f>IF(ISNUMBER(SEARCH("营",main!Q95)),(-$Y95+50*IF(main!$AK95="是",main!$BB$4,main!$BB$3)),(VLOOKUP(main!Q95,main!$AO$4:$AQ$55,2,FALSE))*IF(main!$AK95="是",main!$BB$4,main!$BB$3))</f>
        <v>0</v>
      </c>
      <c r="J95" s="12">
        <f>IF(ISNUMBER(SEARCH("营",main!R95)),(-$Y95+50*IF(main!$AK95="是",main!$BB$4,main!$BB$3)),(VLOOKUP(main!R95,main!$AO$4:$AQ$55,2,FALSE))*IF(main!$AK95="是",main!$BB$4,main!$BB$3))</f>
        <v>0</v>
      </c>
      <c r="K95" s="12">
        <f>IF(ISNUMBER(SEARCH("营",main!S95)),(-$Y95+50*IF(main!$AK95="是",main!$BB$4,main!$BB$3)),(VLOOKUP(main!S95,main!$AO$4:$AQ$55,2,FALSE))*IF(main!$AK95="是",main!$BB$4,main!$BB$3))</f>
        <v>0</v>
      </c>
      <c r="L95" s="12">
        <f>IF(ISNUMBER(SEARCH("营",main!T95)),(-$Y95+50*IF(main!$AK95="是",main!$BB$4,main!$BB$3)),(VLOOKUP(main!T95,main!$AO$4:$AQ$55,2,FALSE))*IF(main!$AK95="是",main!$BB$4,main!$BB$3))</f>
        <v>0</v>
      </c>
      <c r="M95" s="12">
        <f>IF(ISNUMBER(SEARCH("营",main!U95)),(-$Y95+50*IF(main!$AK95="是",main!$BB$4,main!$BB$3)),(VLOOKUP(main!U95,main!$AO$4:$AQ$55,2,FALSE))*IF(main!$AK95="是",main!$BB$4,main!$BB$3))</f>
        <v>0</v>
      </c>
      <c r="N95" s="12">
        <f>IF(ISNUMBER(SEARCH("营",main!V95)),(-$Y95+50*IF(main!$AK95="是",main!$BB$4,main!$BB$3)),(VLOOKUP(main!V95,main!$AO$4:$AQ$55,2,FALSE))*IF(main!$AK95="是",main!$BB$4,main!$BB$3))</f>
        <v>0</v>
      </c>
      <c r="O95" s="12">
        <f>IF(ISNUMBER(SEARCH("营",main!W95)),(-$Y95+50*IF(main!$AK95="是",main!$BB$4,main!$BB$3)),(VLOOKUP(main!W95,main!$AO$4:$AQ$55,2,FALSE))*IF(main!$AK95="是",main!$BB$4,main!$BB$3))</f>
        <v>0</v>
      </c>
      <c r="P95" s="12">
        <f>IF(ISNUMBER(SEARCH("营",main!X95)),(-$Y95+50*IF(main!$AK95="是",main!$BB$4,main!$BB$3)),(VLOOKUP(main!X95,main!$AO$4:$AQ$55,2,FALSE))*IF(main!$AK95="是",main!$BB$4,main!$BB$3))</f>
        <v>0</v>
      </c>
      <c r="Q95" s="12">
        <f>IF(ISNUMBER(SEARCH("营",main!Y95)),(-$Y95+50*IF(main!$AK95="是",main!$BB$4,main!$BB$3)),(VLOOKUP(main!Y95,main!$AO$4:$AQ$55,2,FALSE))*IF(main!$AK95="是",main!$BB$4,main!$BB$3))</f>
        <v>0</v>
      </c>
      <c r="R95" s="12">
        <f>IF(ISNUMBER(SEARCH("营",main!Z95)),(-$Y95+50*IF(main!$AK95="是",main!$BB$4,main!$BB$3)),(VLOOKUP(main!Z95,main!$AO$4:$AQ$55,2,FALSE))*IF(main!$AK95="是",main!$BB$4,main!$BB$3))</f>
        <v>0</v>
      </c>
      <c r="S95" s="12">
        <f>IF(ISNUMBER(SEARCH("营",main!AA95)),(-$Y95+50*IF(main!$AK95="是",main!$BB$4,main!$BB$3)),(VLOOKUP(main!AA95,main!$AO$4:$AQ$55,2,FALSE))*IF(main!$AK95="是",main!$BB$4,main!$BB$3))</f>
        <v>0</v>
      </c>
      <c r="T95" s="12">
        <f>IF(ISNUMBER(SEARCH("营",main!AB95)),(-$Y95+50*IF(main!$AK95="是",main!$BB$4,main!$BB$3)),(VLOOKUP(main!AB95,main!$AO$4:$AQ$55,2,FALSE))*IF(main!$AK95="是",main!$BB$4,main!$BB$3))</f>
        <v>0</v>
      </c>
      <c r="U95" s="12">
        <f>IF(ISNUMBER(SEARCH("营",main!AC95)),(-$Y95+50*IF(main!$AK95="是",main!$BB$4,main!$BB$3)),(VLOOKUP(main!AC95,main!$AO$4:$AQ$55,2,FALSE))*IF(main!$AK95="是",main!$BB$4,main!$BB$3))</f>
        <v>0</v>
      </c>
      <c r="V95" s="12">
        <f>IF(ISNUMBER(SEARCH("营",main!AD95)),(-$Y95+50*IF(main!$AK95="是",main!$BB$4,main!$BB$3)),(VLOOKUP(main!AD95,main!$AO$4:$AQ$55,2,FALSE))*IF(main!$AK95="是",main!$BB$4,main!$BB$3))</f>
        <v>0</v>
      </c>
      <c r="W95" s="12">
        <f>IF(ISNUMBER(SEARCH("营",main!AE95)),(-$Y95+50*IF(main!$AK95="是",main!$BB$4,main!$BB$3)),(VLOOKUP(main!AE95,main!$AO$4:$AQ$55,2,FALSE))*IF(main!$AK95="是",main!$BB$4,main!$BB$3))</f>
        <v>0</v>
      </c>
      <c r="X95" s="12">
        <f>IF(ISNUMBER(SEARCH("营",main!AF95)),(-$Y95+50*IF(main!$AK95="是",main!$BB$4,main!$BB$3)),(VLOOKUP(main!AF95,main!$AO$4:$AQ$55,2,FALSE))*IF(main!$AK95="是",main!$BB$4,main!$BB$3))</f>
        <v>0</v>
      </c>
      <c r="Y95" s="98">
        <v>100</v>
      </c>
      <c r="Z95" s="95">
        <v>46367</v>
      </c>
      <c r="AA95">
        <v>92</v>
      </c>
    </row>
    <row r="96" spans="1:27">
      <c r="A96" s="12">
        <f>IF(ISNUMBER(SEARCH("营",main!I96)),(-$Y96+50*IF(main!$AK96="是",main!$BB$4,main!$BB$3)),(VLOOKUP(main!I96,main!$AO$4:$AQ$55,2,FALSE))*IF(main!$AK96="是",main!$BB$4,main!$BB$3))</f>
        <v>0</v>
      </c>
      <c r="B96" s="12">
        <f>IF(ISNUMBER(SEARCH("营",main!J96)),(-$Y96+50*IF(main!$AK96="是",main!$BB$4,main!$BB$3)),(VLOOKUP(main!J96,main!$AO$4:$AQ$55,2,FALSE))*IF(main!$AK96="是",main!$BB$4,main!$BB$3))</f>
        <v>0</v>
      </c>
      <c r="C96" s="12">
        <f>IF(ISNUMBER(SEARCH("营",main!K96)),(-$Y96+50*IF(main!$AK96="是",main!$BB$4,main!$BB$3)),(VLOOKUP(main!K96,main!$AO$4:$AQ$55,2,FALSE))*IF(main!$AK96="是",main!$BB$4,main!$BB$3))</f>
        <v>0</v>
      </c>
      <c r="D96" s="12">
        <f>IF(ISNUMBER(SEARCH("营",main!L96)),(-$Y96+50*IF(main!$AK96="是",main!$BB$4,main!$BB$3)),(VLOOKUP(main!L96,main!$AO$4:$AQ$55,2,FALSE))*IF(main!$AK96="是",main!$BB$4,main!$BB$3))</f>
        <v>0</v>
      </c>
      <c r="E96" s="12">
        <f>IF(ISNUMBER(SEARCH("营",main!M96)),(-$Y96+50*IF(main!$AK96="是",main!$BB$4,main!$BB$3)),(VLOOKUP(main!M96,main!$AO$4:$AQ$55,2,FALSE))*IF(main!$AK96="是",main!$BB$4,main!$BB$3))</f>
        <v>0</v>
      </c>
      <c r="F96" s="12">
        <f>IF(ISNUMBER(SEARCH("营",main!N96)),(-$Y96+50*IF(main!$AK96="是",main!$BB$4,main!$BB$3)),(VLOOKUP(main!N96,main!$AO$4:$AQ$55,2,FALSE))*IF(main!$AK96="是",main!$BB$4,main!$BB$3))</f>
        <v>0</v>
      </c>
      <c r="G96" s="12">
        <f>IF(ISNUMBER(SEARCH("营",main!O96)),(-$Y96+50*IF(main!$AK96="是",main!$BB$4,main!$BB$3)),(VLOOKUP(main!O96,main!$AO$4:$AQ$55,2,FALSE))*IF(main!$AK96="是",main!$BB$4,main!$BB$3))</f>
        <v>0</v>
      </c>
      <c r="H96" s="12">
        <f>IF(ISNUMBER(SEARCH("营",main!P96)),(-$Y96+50*IF(main!$AK96="是",main!$BB$4,main!$BB$3)),(VLOOKUP(main!P96,main!$AO$4:$AQ$55,2,FALSE))*IF(main!$AK96="是",main!$BB$4,main!$BB$3))</f>
        <v>0</v>
      </c>
      <c r="I96" s="12">
        <f>IF(ISNUMBER(SEARCH("营",main!Q96)),(-$Y96+50*IF(main!$AK96="是",main!$BB$4,main!$BB$3)),(VLOOKUP(main!Q96,main!$AO$4:$AQ$55,2,FALSE))*IF(main!$AK96="是",main!$BB$4,main!$BB$3))</f>
        <v>0</v>
      </c>
      <c r="J96" s="12">
        <f>IF(ISNUMBER(SEARCH("营",main!R96)),(-$Y96+50*IF(main!$AK96="是",main!$BB$4,main!$BB$3)),(VLOOKUP(main!R96,main!$AO$4:$AQ$55,2,FALSE))*IF(main!$AK96="是",main!$BB$4,main!$BB$3))</f>
        <v>0</v>
      </c>
      <c r="K96" s="12">
        <f>IF(ISNUMBER(SEARCH("营",main!S96)),(-$Y96+50*IF(main!$AK96="是",main!$BB$4,main!$BB$3)),(VLOOKUP(main!S96,main!$AO$4:$AQ$55,2,FALSE))*IF(main!$AK96="是",main!$BB$4,main!$BB$3))</f>
        <v>0</v>
      </c>
      <c r="L96" s="12">
        <f>IF(ISNUMBER(SEARCH("营",main!T96)),(-$Y96+50*IF(main!$AK96="是",main!$BB$4,main!$BB$3)),(VLOOKUP(main!T96,main!$AO$4:$AQ$55,2,FALSE))*IF(main!$AK96="是",main!$BB$4,main!$BB$3))</f>
        <v>0</v>
      </c>
      <c r="M96" s="12">
        <f>IF(ISNUMBER(SEARCH("营",main!U96)),(-$Y96+50*IF(main!$AK96="是",main!$BB$4,main!$BB$3)),(VLOOKUP(main!U96,main!$AO$4:$AQ$55,2,FALSE))*IF(main!$AK96="是",main!$BB$4,main!$BB$3))</f>
        <v>0</v>
      </c>
      <c r="N96" s="12">
        <f>IF(ISNUMBER(SEARCH("营",main!V96)),(-$Y96+50*IF(main!$AK96="是",main!$BB$4,main!$BB$3)),(VLOOKUP(main!V96,main!$AO$4:$AQ$55,2,FALSE))*IF(main!$AK96="是",main!$BB$4,main!$BB$3))</f>
        <v>0</v>
      </c>
      <c r="O96" s="12">
        <f>IF(ISNUMBER(SEARCH("营",main!W96)),(-$Y96+50*IF(main!$AK96="是",main!$BB$4,main!$BB$3)),(VLOOKUP(main!W96,main!$AO$4:$AQ$55,2,FALSE))*IF(main!$AK96="是",main!$BB$4,main!$BB$3))</f>
        <v>0</v>
      </c>
      <c r="P96" s="12">
        <f>IF(ISNUMBER(SEARCH("营",main!X96)),(-$Y96+50*IF(main!$AK96="是",main!$BB$4,main!$BB$3)),(VLOOKUP(main!X96,main!$AO$4:$AQ$55,2,FALSE))*IF(main!$AK96="是",main!$BB$4,main!$BB$3))</f>
        <v>0</v>
      </c>
      <c r="Q96" s="12">
        <f>IF(ISNUMBER(SEARCH("营",main!Y96)),(-$Y96+50*IF(main!$AK96="是",main!$BB$4,main!$BB$3)),(VLOOKUP(main!Y96,main!$AO$4:$AQ$55,2,FALSE))*IF(main!$AK96="是",main!$BB$4,main!$BB$3))</f>
        <v>0</v>
      </c>
      <c r="R96" s="12">
        <f>IF(ISNUMBER(SEARCH("营",main!Z96)),(-$Y96+50*IF(main!$AK96="是",main!$BB$4,main!$BB$3)),(VLOOKUP(main!Z96,main!$AO$4:$AQ$55,2,FALSE))*IF(main!$AK96="是",main!$BB$4,main!$BB$3))</f>
        <v>0</v>
      </c>
      <c r="S96" s="12">
        <f>IF(ISNUMBER(SEARCH("营",main!AA96)),(-$Y96+50*IF(main!$AK96="是",main!$BB$4,main!$BB$3)),(VLOOKUP(main!AA96,main!$AO$4:$AQ$55,2,FALSE))*IF(main!$AK96="是",main!$BB$4,main!$BB$3))</f>
        <v>0</v>
      </c>
      <c r="T96" s="12">
        <f>IF(ISNUMBER(SEARCH("营",main!AB96)),(-$Y96+50*IF(main!$AK96="是",main!$BB$4,main!$BB$3)),(VLOOKUP(main!AB96,main!$AO$4:$AQ$55,2,FALSE))*IF(main!$AK96="是",main!$BB$4,main!$BB$3))</f>
        <v>0</v>
      </c>
      <c r="U96" s="12">
        <f>IF(ISNUMBER(SEARCH("营",main!AC96)),(-$Y96+50*IF(main!$AK96="是",main!$BB$4,main!$BB$3)),(VLOOKUP(main!AC96,main!$AO$4:$AQ$55,2,FALSE))*IF(main!$AK96="是",main!$BB$4,main!$BB$3))</f>
        <v>0</v>
      </c>
      <c r="V96" s="12">
        <f>IF(ISNUMBER(SEARCH("营",main!AD96)),(-$Y96+50*IF(main!$AK96="是",main!$BB$4,main!$BB$3)),(VLOOKUP(main!AD96,main!$AO$4:$AQ$55,2,FALSE))*IF(main!$AK96="是",main!$BB$4,main!$BB$3))</f>
        <v>0</v>
      </c>
      <c r="W96" s="12">
        <f>IF(ISNUMBER(SEARCH("营",main!AE96)),(-$Y96+50*IF(main!$AK96="是",main!$BB$4,main!$BB$3)),(VLOOKUP(main!AE96,main!$AO$4:$AQ$55,2,FALSE))*IF(main!$AK96="是",main!$BB$4,main!$BB$3))</f>
        <v>0</v>
      </c>
      <c r="X96" s="12">
        <f>IF(ISNUMBER(SEARCH("营",main!AF96)),(-$Y96+50*IF(main!$AK96="是",main!$BB$4,main!$BB$3)),(VLOOKUP(main!AF96,main!$AO$4:$AQ$55,2,FALSE))*IF(main!$AK96="是",main!$BB$4,main!$BB$3))</f>
        <v>0</v>
      </c>
      <c r="Y96" s="98">
        <v>100</v>
      </c>
      <c r="Z96" s="95">
        <v>46368</v>
      </c>
      <c r="AA96">
        <v>93</v>
      </c>
    </row>
    <row r="97" spans="1:27">
      <c r="A97" s="12">
        <f>IF(ISNUMBER(SEARCH("营",main!I97)),(-$Y97+50*IF(main!$AK97="是",main!$BB$4,main!$BB$3)),(VLOOKUP(main!I97,main!$AO$4:$AQ$55,2,FALSE))*IF(main!$AK97="是",main!$BB$4,main!$BB$3))</f>
        <v>0</v>
      </c>
      <c r="B97" s="12">
        <f>IF(ISNUMBER(SEARCH("营",main!J97)),(-$Y97+50*IF(main!$AK97="是",main!$BB$4,main!$BB$3)),(VLOOKUP(main!J97,main!$AO$4:$AQ$55,2,FALSE))*IF(main!$AK97="是",main!$BB$4,main!$BB$3))</f>
        <v>0</v>
      </c>
      <c r="C97" s="12">
        <f>IF(ISNUMBER(SEARCH("营",main!K97)),(-$Y97+50*IF(main!$AK97="是",main!$BB$4,main!$BB$3)),(VLOOKUP(main!K97,main!$AO$4:$AQ$55,2,FALSE))*IF(main!$AK97="是",main!$BB$4,main!$BB$3))</f>
        <v>0</v>
      </c>
      <c r="D97" s="12">
        <f>IF(ISNUMBER(SEARCH("营",main!L97)),(-$Y97+50*IF(main!$AK97="是",main!$BB$4,main!$BB$3)),(VLOOKUP(main!L97,main!$AO$4:$AQ$55,2,FALSE))*IF(main!$AK97="是",main!$BB$4,main!$BB$3))</f>
        <v>0</v>
      </c>
      <c r="E97" s="12">
        <f>IF(ISNUMBER(SEARCH("营",main!M97)),(-$Y97+50*IF(main!$AK97="是",main!$BB$4,main!$BB$3)),(VLOOKUP(main!M97,main!$AO$4:$AQ$55,2,FALSE))*IF(main!$AK97="是",main!$BB$4,main!$BB$3))</f>
        <v>0</v>
      </c>
      <c r="F97" s="12">
        <f>IF(ISNUMBER(SEARCH("营",main!N97)),(-$Y97+50*IF(main!$AK97="是",main!$BB$4,main!$BB$3)),(VLOOKUP(main!N97,main!$AO$4:$AQ$55,2,FALSE))*IF(main!$AK97="是",main!$BB$4,main!$BB$3))</f>
        <v>0</v>
      </c>
      <c r="G97" s="12">
        <f>IF(ISNUMBER(SEARCH("营",main!O97)),(-$Y97+50*IF(main!$AK97="是",main!$BB$4,main!$BB$3)),(VLOOKUP(main!O97,main!$AO$4:$AQ$55,2,FALSE))*IF(main!$AK97="是",main!$BB$4,main!$BB$3))</f>
        <v>0</v>
      </c>
      <c r="H97" s="12">
        <f>IF(ISNUMBER(SEARCH("营",main!P97)),(-$Y97+50*IF(main!$AK97="是",main!$BB$4,main!$BB$3)),(VLOOKUP(main!P97,main!$AO$4:$AQ$55,2,FALSE))*IF(main!$AK97="是",main!$BB$4,main!$BB$3))</f>
        <v>0</v>
      </c>
      <c r="I97" s="12">
        <f>IF(ISNUMBER(SEARCH("营",main!Q97)),(-$Y97+50*IF(main!$AK97="是",main!$BB$4,main!$BB$3)),(VLOOKUP(main!Q97,main!$AO$4:$AQ$55,2,FALSE))*IF(main!$AK97="是",main!$BB$4,main!$BB$3))</f>
        <v>0</v>
      </c>
      <c r="J97" s="12">
        <f>IF(ISNUMBER(SEARCH("营",main!R97)),(-$Y97+50*IF(main!$AK97="是",main!$BB$4,main!$BB$3)),(VLOOKUP(main!R97,main!$AO$4:$AQ$55,2,FALSE))*IF(main!$AK97="是",main!$BB$4,main!$BB$3))</f>
        <v>0</v>
      </c>
      <c r="K97" s="12">
        <f>IF(ISNUMBER(SEARCH("营",main!S97)),(-$Y97+50*IF(main!$AK97="是",main!$BB$4,main!$BB$3)),(VLOOKUP(main!S97,main!$AO$4:$AQ$55,2,FALSE))*IF(main!$AK97="是",main!$BB$4,main!$BB$3))</f>
        <v>0</v>
      </c>
      <c r="L97" s="12">
        <f>IF(ISNUMBER(SEARCH("营",main!T97)),(-$Y97+50*IF(main!$AK97="是",main!$BB$4,main!$BB$3)),(VLOOKUP(main!T97,main!$AO$4:$AQ$55,2,FALSE))*IF(main!$AK97="是",main!$BB$4,main!$BB$3))</f>
        <v>0</v>
      </c>
      <c r="M97" s="12">
        <f>IF(ISNUMBER(SEARCH("营",main!U97)),(-$Y97+50*IF(main!$AK97="是",main!$BB$4,main!$BB$3)),(VLOOKUP(main!U97,main!$AO$4:$AQ$55,2,FALSE))*IF(main!$AK97="是",main!$BB$4,main!$BB$3))</f>
        <v>0</v>
      </c>
      <c r="N97" s="12">
        <f>IF(ISNUMBER(SEARCH("营",main!V97)),(-$Y97+50*IF(main!$AK97="是",main!$BB$4,main!$BB$3)),(VLOOKUP(main!V97,main!$AO$4:$AQ$55,2,FALSE))*IF(main!$AK97="是",main!$BB$4,main!$BB$3))</f>
        <v>0</v>
      </c>
      <c r="O97" s="12">
        <f>IF(ISNUMBER(SEARCH("营",main!W97)),(-$Y97+50*IF(main!$AK97="是",main!$BB$4,main!$BB$3)),(VLOOKUP(main!W97,main!$AO$4:$AQ$55,2,FALSE))*IF(main!$AK97="是",main!$BB$4,main!$BB$3))</f>
        <v>0</v>
      </c>
      <c r="P97" s="12">
        <f>IF(ISNUMBER(SEARCH("营",main!X97)),(-$Y97+50*IF(main!$AK97="是",main!$BB$4,main!$BB$3)),(VLOOKUP(main!X97,main!$AO$4:$AQ$55,2,FALSE))*IF(main!$AK97="是",main!$BB$4,main!$BB$3))</f>
        <v>0</v>
      </c>
      <c r="Q97" s="12">
        <f>IF(ISNUMBER(SEARCH("营",main!Y97)),(-$Y97+50*IF(main!$AK97="是",main!$BB$4,main!$BB$3)),(VLOOKUP(main!Y97,main!$AO$4:$AQ$55,2,FALSE))*IF(main!$AK97="是",main!$BB$4,main!$BB$3))</f>
        <v>0</v>
      </c>
      <c r="R97" s="12">
        <f>IF(ISNUMBER(SEARCH("营",main!Z97)),(-$Y97+50*IF(main!$AK97="是",main!$BB$4,main!$BB$3)),(VLOOKUP(main!Z97,main!$AO$4:$AQ$55,2,FALSE))*IF(main!$AK97="是",main!$BB$4,main!$BB$3))</f>
        <v>0</v>
      </c>
      <c r="S97" s="12">
        <f>IF(ISNUMBER(SEARCH("营",main!AA97)),(-$Y97+50*IF(main!$AK97="是",main!$BB$4,main!$BB$3)),(VLOOKUP(main!AA97,main!$AO$4:$AQ$55,2,FALSE))*IF(main!$AK97="是",main!$BB$4,main!$BB$3))</f>
        <v>0</v>
      </c>
      <c r="T97" s="12">
        <f>IF(ISNUMBER(SEARCH("营",main!AB97)),(-$Y97+50*IF(main!$AK97="是",main!$BB$4,main!$BB$3)),(VLOOKUP(main!AB97,main!$AO$4:$AQ$55,2,FALSE))*IF(main!$AK97="是",main!$BB$4,main!$BB$3))</f>
        <v>0</v>
      </c>
      <c r="U97" s="12">
        <f>IF(ISNUMBER(SEARCH("营",main!AC97)),(-$Y97+50*IF(main!$AK97="是",main!$BB$4,main!$BB$3)),(VLOOKUP(main!AC97,main!$AO$4:$AQ$55,2,FALSE))*IF(main!$AK97="是",main!$BB$4,main!$BB$3))</f>
        <v>0</v>
      </c>
      <c r="V97" s="12">
        <f>IF(ISNUMBER(SEARCH("营",main!AD97)),(-$Y97+50*IF(main!$AK97="是",main!$BB$4,main!$BB$3)),(VLOOKUP(main!AD97,main!$AO$4:$AQ$55,2,FALSE))*IF(main!$AK97="是",main!$BB$4,main!$BB$3))</f>
        <v>0</v>
      </c>
      <c r="W97" s="12">
        <f>IF(ISNUMBER(SEARCH("营",main!AE97)),(-$Y97+50*IF(main!$AK97="是",main!$BB$4,main!$BB$3)),(VLOOKUP(main!AE97,main!$AO$4:$AQ$55,2,FALSE))*IF(main!$AK97="是",main!$BB$4,main!$BB$3))</f>
        <v>0</v>
      </c>
      <c r="X97" s="12">
        <f>IF(ISNUMBER(SEARCH("营",main!AF97)),(-$Y97+50*IF(main!$AK97="是",main!$BB$4,main!$BB$3)),(VLOOKUP(main!AF97,main!$AO$4:$AQ$55,2,FALSE))*IF(main!$AK97="是",main!$BB$4,main!$BB$3))</f>
        <v>0</v>
      </c>
      <c r="Y97" s="98">
        <v>100</v>
      </c>
      <c r="Z97" s="95">
        <v>46369</v>
      </c>
      <c r="AA97">
        <v>94</v>
      </c>
    </row>
    <row r="98" spans="1:27">
      <c r="A98" s="12">
        <f>IF(ISNUMBER(SEARCH("营",main!I98)),(-$Y98+50*IF(main!$AK98="是",main!$BB$4,main!$BB$3)),(VLOOKUP(main!I98,main!$AO$4:$AQ$55,2,FALSE))*IF(main!$AK98="是",main!$BB$4,main!$BB$3))</f>
        <v>0</v>
      </c>
      <c r="B98" s="12">
        <f>IF(ISNUMBER(SEARCH("营",main!J98)),(-$Y98+50*IF(main!$AK98="是",main!$BB$4,main!$BB$3)),(VLOOKUP(main!J98,main!$AO$4:$AQ$55,2,FALSE))*IF(main!$AK98="是",main!$BB$4,main!$BB$3))</f>
        <v>0</v>
      </c>
      <c r="C98" s="12">
        <f>IF(ISNUMBER(SEARCH("营",main!K98)),(-$Y98+50*IF(main!$AK98="是",main!$BB$4,main!$BB$3)),(VLOOKUP(main!K98,main!$AO$4:$AQ$55,2,FALSE))*IF(main!$AK98="是",main!$BB$4,main!$BB$3))</f>
        <v>0</v>
      </c>
      <c r="D98" s="12">
        <f>IF(ISNUMBER(SEARCH("营",main!L98)),(-$Y98+50*IF(main!$AK98="是",main!$BB$4,main!$BB$3)),(VLOOKUP(main!L98,main!$AO$4:$AQ$55,2,FALSE))*IF(main!$AK98="是",main!$BB$4,main!$BB$3))</f>
        <v>0</v>
      </c>
      <c r="E98" s="12">
        <f>IF(ISNUMBER(SEARCH("营",main!M98)),(-$Y98+50*IF(main!$AK98="是",main!$BB$4,main!$BB$3)),(VLOOKUP(main!M98,main!$AO$4:$AQ$55,2,FALSE))*IF(main!$AK98="是",main!$BB$4,main!$BB$3))</f>
        <v>0</v>
      </c>
      <c r="F98" s="12">
        <f>IF(ISNUMBER(SEARCH("营",main!N98)),(-$Y98+50*IF(main!$AK98="是",main!$BB$4,main!$BB$3)),(VLOOKUP(main!N98,main!$AO$4:$AQ$55,2,FALSE))*IF(main!$AK98="是",main!$BB$4,main!$BB$3))</f>
        <v>0</v>
      </c>
      <c r="G98" s="12">
        <f>IF(ISNUMBER(SEARCH("营",main!O98)),(-$Y98+50*IF(main!$AK98="是",main!$BB$4,main!$BB$3)),(VLOOKUP(main!O98,main!$AO$4:$AQ$55,2,FALSE))*IF(main!$AK98="是",main!$BB$4,main!$BB$3))</f>
        <v>0</v>
      </c>
      <c r="H98" s="12">
        <f>IF(ISNUMBER(SEARCH("营",main!P98)),(-$Y98+50*IF(main!$AK98="是",main!$BB$4,main!$BB$3)),(VLOOKUP(main!P98,main!$AO$4:$AQ$55,2,FALSE))*IF(main!$AK98="是",main!$BB$4,main!$BB$3))</f>
        <v>0</v>
      </c>
      <c r="I98" s="12">
        <f>IF(ISNUMBER(SEARCH("营",main!Q98)),(-$Y98+50*IF(main!$AK98="是",main!$BB$4,main!$BB$3)),(VLOOKUP(main!Q98,main!$AO$4:$AQ$55,2,FALSE))*IF(main!$AK98="是",main!$BB$4,main!$BB$3))</f>
        <v>0</v>
      </c>
      <c r="J98" s="12">
        <f>IF(ISNUMBER(SEARCH("营",main!R98)),(-$Y98+50*IF(main!$AK98="是",main!$BB$4,main!$BB$3)),(VLOOKUP(main!R98,main!$AO$4:$AQ$55,2,FALSE))*IF(main!$AK98="是",main!$BB$4,main!$BB$3))</f>
        <v>0</v>
      </c>
      <c r="K98" s="12">
        <f>IF(ISNUMBER(SEARCH("营",main!S98)),(-$Y98+50*IF(main!$AK98="是",main!$BB$4,main!$BB$3)),(VLOOKUP(main!S98,main!$AO$4:$AQ$55,2,FALSE))*IF(main!$AK98="是",main!$BB$4,main!$BB$3))</f>
        <v>0</v>
      </c>
      <c r="L98" s="12">
        <f>IF(ISNUMBER(SEARCH("营",main!T98)),(-$Y98+50*IF(main!$AK98="是",main!$BB$4,main!$BB$3)),(VLOOKUP(main!T98,main!$AO$4:$AQ$55,2,FALSE))*IF(main!$AK98="是",main!$BB$4,main!$BB$3))</f>
        <v>0</v>
      </c>
      <c r="M98" s="12">
        <f>IF(ISNUMBER(SEARCH("营",main!U98)),(-$Y98+50*IF(main!$AK98="是",main!$BB$4,main!$BB$3)),(VLOOKUP(main!U98,main!$AO$4:$AQ$55,2,FALSE))*IF(main!$AK98="是",main!$BB$4,main!$BB$3))</f>
        <v>0</v>
      </c>
      <c r="N98" s="12">
        <f>IF(ISNUMBER(SEARCH("营",main!V98)),(-$Y98+50*IF(main!$AK98="是",main!$BB$4,main!$BB$3)),(VLOOKUP(main!V98,main!$AO$4:$AQ$55,2,FALSE))*IF(main!$AK98="是",main!$BB$4,main!$BB$3))</f>
        <v>0</v>
      </c>
      <c r="O98" s="12">
        <f>IF(ISNUMBER(SEARCH("营",main!W98)),(-$Y98+50*IF(main!$AK98="是",main!$BB$4,main!$BB$3)),(VLOOKUP(main!W98,main!$AO$4:$AQ$55,2,FALSE))*IF(main!$AK98="是",main!$BB$4,main!$BB$3))</f>
        <v>0</v>
      </c>
      <c r="P98" s="12">
        <f>IF(ISNUMBER(SEARCH("营",main!X98)),(-$Y98+50*IF(main!$AK98="是",main!$BB$4,main!$BB$3)),(VLOOKUP(main!X98,main!$AO$4:$AQ$55,2,FALSE))*IF(main!$AK98="是",main!$BB$4,main!$BB$3))</f>
        <v>0</v>
      </c>
      <c r="Q98" s="12">
        <f>IF(ISNUMBER(SEARCH("营",main!Y98)),(-$Y98+50*IF(main!$AK98="是",main!$BB$4,main!$BB$3)),(VLOOKUP(main!Y98,main!$AO$4:$AQ$55,2,FALSE))*IF(main!$AK98="是",main!$BB$4,main!$BB$3))</f>
        <v>0</v>
      </c>
      <c r="R98" s="12">
        <f>IF(ISNUMBER(SEARCH("营",main!Z98)),(-$Y98+50*IF(main!$AK98="是",main!$BB$4,main!$BB$3)),(VLOOKUP(main!Z98,main!$AO$4:$AQ$55,2,FALSE))*IF(main!$AK98="是",main!$BB$4,main!$BB$3))</f>
        <v>0</v>
      </c>
      <c r="S98" s="12">
        <f>IF(ISNUMBER(SEARCH("营",main!AA98)),(-$Y98+50*IF(main!$AK98="是",main!$BB$4,main!$BB$3)),(VLOOKUP(main!AA98,main!$AO$4:$AQ$55,2,FALSE))*IF(main!$AK98="是",main!$BB$4,main!$BB$3))</f>
        <v>0</v>
      </c>
      <c r="T98" s="12">
        <f>IF(ISNUMBER(SEARCH("营",main!AB98)),(-$Y98+50*IF(main!$AK98="是",main!$BB$4,main!$BB$3)),(VLOOKUP(main!AB98,main!$AO$4:$AQ$55,2,FALSE))*IF(main!$AK98="是",main!$BB$4,main!$BB$3))</f>
        <v>0</v>
      </c>
      <c r="U98" s="12">
        <f>IF(ISNUMBER(SEARCH("营",main!AC98)),(-$Y98+50*IF(main!$AK98="是",main!$BB$4,main!$BB$3)),(VLOOKUP(main!AC98,main!$AO$4:$AQ$55,2,FALSE))*IF(main!$AK98="是",main!$BB$4,main!$BB$3))</f>
        <v>0</v>
      </c>
      <c r="V98" s="12">
        <f>IF(ISNUMBER(SEARCH("营",main!AD98)),(-$Y98+50*IF(main!$AK98="是",main!$BB$4,main!$BB$3)),(VLOOKUP(main!AD98,main!$AO$4:$AQ$55,2,FALSE))*IF(main!$AK98="是",main!$BB$4,main!$BB$3))</f>
        <v>0</v>
      </c>
      <c r="W98" s="12">
        <f>IF(ISNUMBER(SEARCH("营",main!AE98)),(-$Y98+50*IF(main!$AK98="是",main!$BB$4,main!$BB$3)),(VLOOKUP(main!AE98,main!$AO$4:$AQ$55,2,FALSE))*IF(main!$AK98="是",main!$BB$4,main!$BB$3))</f>
        <v>0</v>
      </c>
      <c r="X98" s="12">
        <f>IF(ISNUMBER(SEARCH("营",main!AF98)),(-$Y98+50*IF(main!$AK98="是",main!$BB$4,main!$BB$3)),(VLOOKUP(main!AF98,main!$AO$4:$AQ$55,2,FALSE))*IF(main!$AK98="是",main!$BB$4,main!$BB$3))</f>
        <v>0</v>
      </c>
      <c r="Y98" s="98">
        <v>100</v>
      </c>
      <c r="Z98" s="95">
        <v>46370</v>
      </c>
      <c r="AA98">
        <v>95</v>
      </c>
    </row>
    <row r="99" spans="1:27">
      <c r="A99" s="12">
        <f>IF(ISNUMBER(SEARCH("营",main!I99)),(-$Y99+50*IF(main!$AK99="是",main!$BB$4,main!$BB$3)),(VLOOKUP(main!I99,main!$AO$4:$AQ$55,2,FALSE))*IF(main!$AK99="是",main!$BB$4,main!$BB$3))</f>
        <v>0</v>
      </c>
      <c r="B99" s="12">
        <f>IF(ISNUMBER(SEARCH("营",main!J99)),(-$Y99+50*IF(main!$AK99="是",main!$BB$4,main!$BB$3)),(VLOOKUP(main!J99,main!$AO$4:$AQ$55,2,FALSE))*IF(main!$AK99="是",main!$BB$4,main!$BB$3))</f>
        <v>0</v>
      </c>
      <c r="C99" s="12">
        <f>IF(ISNUMBER(SEARCH("营",main!K99)),(-$Y99+50*IF(main!$AK99="是",main!$BB$4,main!$BB$3)),(VLOOKUP(main!K99,main!$AO$4:$AQ$55,2,FALSE))*IF(main!$AK99="是",main!$BB$4,main!$BB$3))</f>
        <v>0</v>
      </c>
      <c r="D99" s="12">
        <f>IF(ISNUMBER(SEARCH("营",main!L99)),(-$Y99+50*IF(main!$AK99="是",main!$BB$4,main!$BB$3)),(VLOOKUP(main!L99,main!$AO$4:$AQ$55,2,FALSE))*IF(main!$AK99="是",main!$BB$4,main!$BB$3))</f>
        <v>0</v>
      </c>
      <c r="E99" s="12">
        <f>IF(ISNUMBER(SEARCH("营",main!M99)),(-$Y99+50*IF(main!$AK99="是",main!$BB$4,main!$BB$3)),(VLOOKUP(main!M99,main!$AO$4:$AQ$55,2,FALSE))*IF(main!$AK99="是",main!$BB$4,main!$BB$3))</f>
        <v>0</v>
      </c>
      <c r="F99" s="12">
        <f>IF(ISNUMBER(SEARCH("营",main!N99)),(-$Y99+50*IF(main!$AK99="是",main!$BB$4,main!$BB$3)),(VLOOKUP(main!N99,main!$AO$4:$AQ$55,2,FALSE))*IF(main!$AK99="是",main!$BB$4,main!$BB$3))</f>
        <v>0</v>
      </c>
      <c r="G99" s="12">
        <f>IF(ISNUMBER(SEARCH("营",main!O99)),(-$Y99+50*IF(main!$AK99="是",main!$BB$4,main!$BB$3)),(VLOOKUP(main!O99,main!$AO$4:$AQ$55,2,FALSE))*IF(main!$AK99="是",main!$BB$4,main!$BB$3))</f>
        <v>0</v>
      </c>
      <c r="H99" s="12">
        <f>IF(ISNUMBER(SEARCH("营",main!P99)),(-$Y99+50*IF(main!$AK99="是",main!$BB$4,main!$BB$3)),(VLOOKUP(main!P99,main!$AO$4:$AQ$55,2,FALSE))*IF(main!$AK99="是",main!$BB$4,main!$BB$3))</f>
        <v>0</v>
      </c>
      <c r="I99" s="12">
        <f>IF(ISNUMBER(SEARCH("营",main!Q99)),(-$Y99+50*IF(main!$AK99="是",main!$BB$4,main!$BB$3)),(VLOOKUP(main!Q99,main!$AO$4:$AQ$55,2,FALSE))*IF(main!$AK99="是",main!$BB$4,main!$BB$3))</f>
        <v>0</v>
      </c>
      <c r="J99" s="12">
        <f>IF(ISNUMBER(SEARCH("营",main!R99)),(-$Y99+50*IF(main!$AK99="是",main!$BB$4,main!$BB$3)),(VLOOKUP(main!R99,main!$AO$4:$AQ$55,2,FALSE))*IF(main!$AK99="是",main!$BB$4,main!$BB$3))</f>
        <v>0</v>
      </c>
      <c r="K99" s="12">
        <f>IF(ISNUMBER(SEARCH("营",main!S99)),(-$Y99+50*IF(main!$AK99="是",main!$BB$4,main!$BB$3)),(VLOOKUP(main!S99,main!$AO$4:$AQ$55,2,FALSE))*IF(main!$AK99="是",main!$BB$4,main!$BB$3))</f>
        <v>0</v>
      </c>
      <c r="L99" s="12">
        <f>IF(ISNUMBER(SEARCH("营",main!T99)),(-$Y99+50*IF(main!$AK99="是",main!$BB$4,main!$BB$3)),(VLOOKUP(main!T99,main!$AO$4:$AQ$55,2,FALSE))*IF(main!$AK99="是",main!$BB$4,main!$BB$3))</f>
        <v>0</v>
      </c>
      <c r="M99" s="12">
        <f>IF(ISNUMBER(SEARCH("营",main!U99)),(-$Y99+50*IF(main!$AK99="是",main!$BB$4,main!$BB$3)),(VLOOKUP(main!U99,main!$AO$4:$AQ$55,2,FALSE))*IF(main!$AK99="是",main!$BB$4,main!$BB$3))</f>
        <v>0</v>
      </c>
      <c r="N99" s="12">
        <f>IF(ISNUMBER(SEARCH("营",main!V99)),(-$Y99+50*IF(main!$AK99="是",main!$BB$4,main!$BB$3)),(VLOOKUP(main!V99,main!$AO$4:$AQ$55,2,FALSE))*IF(main!$AK99="是",main!$BB$4,main!$BB$3))</f>
        <v>0</v>
      </c>
      <c r="O99" s="12">
        <f>IF(ISNUMBER(SEARCH("营",main!W99)),(-$Y99+50*IF(main!$AK99="是",main!$BB$4,main!$BB$3)),(VLOOKUP(main!W99,main!$AO$4:$AQ$55,2,FALSE))*IF(main!$AK99="是",main!$BB$4,main!$BB$3))</f>
        <v>0</v>
      </c>
      <c r="P99" s="12">
        <f>IF(ISNUMBER(SEARCH("营",main!X99)),(-$Y99+50*IF(main!$AK99="是",main!$BB$4,main!$BB$3)),(VLOOKUP(main!X99,main!$AO$4:$AQ$55,2,FALSE))*IF(main!$AK99="是",main!$BB$4,main!$BB$3))</f>
        <v>0</v>
      </c>
      <c r="Q99" s="12">
        <f>IF(ISNUMBER(SEARCH("营",main!Y99)),(-$Y99+50*IF(main!$AK99="是",main!$BB$4,main!$BB$3)),(VLOOKUP(main!Y99,main!$AO$4:$AQ$55,2,FALSE))*IF(main!$AK99="是",main!$BB$4,main!$BB$3))</f>
        <v>0</v>
      </c>
      <c r="R99" s="12">
        <f>IF(ISNUMBER(SEARCH("营",main!Z99)),(-$Y99+50*IF(main!$AK99="是",main!$BB$4,main!$BB$3)),(VLOOKUP(main!Z99,main!$AO$4:$AQ$55,2,FALSE))*IF(main!$AK99="是",main!$BB$4,main!$BB$3))</f>
        <v>0</v>
      </c>
      <c r="S99" s="12">
        <f>IF(ISNUMBER(SEARCH("营",main!AA99)),(-$Y99+50*IF(main!$AK99="是",main!$BB$4,main!$BB$3)),(VLOOKUP(main!AA99,main!$AO$4:$AQ$55,2,FALSE))*IF(main!$AK99="是",main!$BB$4,main!$BB$3))</f>
        <v>0</v>
      </c>
      <c r="T99" s="12">
        <f>IF(ISNUMBER(SEARCH("营",main!AB99)),(-$Y99+50*IF(main!$AK99="是",main!$BB$4,main!$BB$3)),(VLOOKUP(main!AB99,main!$AO$4:$AQ$55,2,FALSE))*IF(main!$AK99="是",main!$BB$4,main!$BB$3))</f>
        <v>0</v>
      </c>
      <c r="U99" s="12">
        <f>IF(ISNUMBER(SEARCH("营",main!AC99)),(-$Y99+50*IF(main!$AK99="是",main!$BB$4,main!$BB$3)),(VLOOKUP(main!AC99,main!$AO$4:$AQ$55,2,FALSE))*IF(main!$AK99="是",main!$BB$4,main!$BB$3))</f>
        <v>0</v>
      </c>
      <c r="V99" s="12">
        <f>IF(ISNUMBER(SEARCH("营",main!AD99)),(-$Y99+50*IF(main!$AK99="是",main!$BB$4,main!$BB$3)),(VLOOKUP(main!AD99,main!$AO$4:$AQ$55,2,FALSE))*IF(main!$AK99="是",main!$BB$4,main!$BB$3))</f>
        <v>0</v>
      </c>
      <c r="W99" s="12">
        <f>IF(ISNUMBER(SEARCH("营",main!AE99)),(-$Y99+50*IF(main!$AK99="是",main!$BB$4,main!$BB$3)),(VLOOKUP(main!AE99,main!$AO$4:$AQ$55,2,FALSE))*IF(main!$AK99="是",main!$BB$4,main!$BB$3))</f>
        <v>0</v>
      </c>
      <c r="X99" s="12">
        <f>IF(ISNUMBER(SEARCH("营",main!AF99)),(-$Y99+50*IF(main!$AK99="是",main!$BB$4,main!$BB$3)),(VLOOKUP(main!AF99,main!$AO$4:$AQ$55,2,FALSE))*IF(main!$AK99="是",main!$BB$4,main!$BB$3))</f>
        <v>0</v>
      </c>
      <c r="Y99" s="98">
        <v>100</v>
      </c>
      <c r="Z99" s="95">
        <v>46371</v>
      </c>
      <c r="AA99">
        <v>96</v>
      </c>
    </row>
    <row r="100" spans="1:27">
      <c r="A100" s="12">
        <f>IF(ISNUMBER(SEARCH("营",main!I100)),(-$Y100+50*IF(main!$AK100="是",main!$BB$4,main!$BB$3)),(VLOOKUP(main!I100,main!$AO$4:$AQ$55,2,FALSE))*IF(main!$AK100="是",main!$BB$4,main!$BB$3))</f>
        <v>0</v>
      </c>
      <c r="B100" s="12">
        <f>IF(ISNUMBER(SEARCH("营",main!J100)),(-$Y100+50*IF(main!$AK100="是",main!$BB$4,main!$BB$3)),(VLOOKUP(main!J100,main!$AO$4:$AQ$55,2,FALSE))*IF(main!$AK100="是",main!$BB$4,main!$BB$3))</f>
        <v>0</v>
      </c>
      <c r="C100" s="12">
        <f>IF(ISNUMBER(SEARCH("营",main!K100)),(-$Y100+50*IF(main!$AK100="是",main!$BB$4,main!$BB$3)),(VLOOKUP(main!K100,main!$AO$4:$AQ$55,2,FALSE))*IF(main!$AK100="是",main!$BB$4,main!$BB$3))</f>
        <v>0</v>
      </c>
      <c r="D100" s="12">
        <f>IF(ISNUMBER(SEARCH("营",main!L100)),(-$Y100+50*IF(main!$AK100="是",main!$BB$4,main!$BB$3)),(VLOOKUP(main!L100,main!$AO$4:$AQ$55,2,FALSE))*IF(main!$AK100="是",main!$BB$4,main!$BB$3))</f>
        <v>0</v>
      </c>
      <c r="E100" s="12">
        <f>IF(ISNUMBER(SEARCH("营",main!M100)),(-$Y100+50*IF(main!$AK100="是",main!$BB$4,main!$BB$3)),(VLOOKUP(main!M100,main!$AO$4:$AQ$55,2,FALSE))*IF(main!$AK100="是",main!$BB$4,main!$BB$3))</f>
        <v>0</v>
      </c>
      <c r="F100" s="12">
        <f>IF(ISNUMBER(SEARCH("营",main!N100)),(-$Y100+50*IF(main!$AK100="是",main!$BB$4,main!$BB$3)),(VLOOKUP(main!N100,main!$AO$4:$AQ$55,2,FALSE))*IF(main!$AK100="是",main!$BB$4,main!$BB$3))</f>
        <v>0</v>
      </c>
      <c r="G100" s="12">
        <f>IF(ISNUMBER(SEARCH("营",main!O100)),(-$Y100+50*IF(main!$AK100="是",main!$BB$4,main!$BB$3)),(VLOOKUP(main!O100,main!$AO$4:$AQ$55,2,FALSE))*IF(main!$AK100="是",main!$BB$4,main!$BB$3))</f>
        <v>0</v>
      </c>
      <c r="H100" s="12">
        <f>IF(ISNUMBER(SEARCH("营",main!P100)),(-$Y100+50*IF(main!$AK100="是",main!$BB$4,main!$BB$3)),(VLOOKUP(main!P100,main!$AO$4:$AQ$55,2,FALSE))*IF(main!$AK100="是",main!$BB$4,main!$BB$3))</f>
        <v>0</v>
      </c>
      <c r="I100" s="12">
        <f>IF(ISNUMBER(SEARCH("营",main!Q100)),(-$Y100+50*IF(main!$AK100="是",main!$BB$4,main!$BB$3)),(VLOOKUP(main!Q100,main!$AO$4:$AQ$55,2,FALSE))*IF(main!$AK100="是",main!$BB$4,main!$BB$3))</f>
        <v>0</v>
      </c>
      <c r="J100" s="12">
        <f>IF(ISNUMBER(SEARCH("营",main!R100)),(-$Y100+50*IF(main!$AK100="是",main!$BB$4,main!$BB$3)),(VLOOKUP(main!R100,main!$AO$4:$AQ$55,2,FALSE))*IF(main!$AK100="是",main!$BB$4,main!$BB$3))</f>
        <v>0</v>
      </c>
      <c r="K100" s="12">
        <f>IF(ISNUMBER(SEARCH("营",main!S100)),(-$Y100+50*IF(main!$AK100="是",main!$BB$4,main!$BB$3)),(VLOOKUP(main!S100,main!$AO$4:$AQ$55,2,FALSE))*IF(main!$AK100="是",main!$BB$4,main!$BB$3))</f>
        <v>0</v>
      </c>
      <c r="L100" s="12">
        <f>IF(ISNUMBER(SEARCH("营",main!T100)),(-$Y100+50*IF(main!$AK100="是",main!$BB$4,main!$BB$3)),(VLOOKUP(main!T100,main!$AO$4:$AQ$55,2,FALSE))*IF(main!$AK100="是",main!$BB$4,main!$BB$3))</f>
        <v>0</v>
      </c>
      <c r="M100" s="12">
        <f>IF(ISNUMBER(SEARCH("营",main!U100)),(-$Y100+50*IF(main!$AK100="是",main!$BB$4,main!$BB$3)),(VLOOKUP(main!U100,main!$AO$4:$AQ$55,2,FALSE))*IF(main!$AK100="是",main!$BB$4,main!$BB$3))</f>
        <v>0</v>
      </c>
      <c r="N100" s="12">
        <f>IF(ISNUMBER(SEARCH("营",main!V100)),(-$Y100+50*IF(main!$AK100="是",main!$BB$4,main!$BB$3)),(VLOOKUP(main!V100,main!$AO$4:$AQ$55,2,FALSE))*IF(main!$AK100="是",main!$BB$4,main!$BB$3))</f>
        <v>0</v>
      </c>
      <c r="O100" s="12">
        <f>IF(ISNUMBER(SEARCH("营",main!W100)),(-$Y100+50*IF(main!$AK100="是",main!$BB$4,main!$BB$3)),(VLOOKUP(main!W100,main!$AO$4:$AQ$55,2,FALSE))*IF(main!$AK100="是",main!$BB$4,main!$BB$3))</f>
        <v>0</v>
      </c>
      <c r="P100" s="12">
        <f>IF(ISNUMBER(SEARCH("营",main!X100)),(-$Y100+50*IF(main!$AK100="是",main!$BB$4,main!$BB$3)),(VLOOKUP(main!X100,main!$AO$4:$AQ$55,2,FALSE))*IF(main!$AK100="是",main!$BB$4,main!$BB$3))</f>
        <v>0</v>
      </c>
      <c r="Q100" s="12">
        <f>IF(ISNUMBER(SEARCH("营",main!Y100)),(-$Y100+50*IF(main!$AK100="是",main!$BB$4,main!$BB$3)),(VLOOKUP(main!Y100,main!$AO$4:$AQ$55,2,FALSE))*IF(main!$AK100="是",main!$BB$4,main!$BB$3))</f>
        <v>0</v>
      </c>
      <c r="R100" s="12">
        <f>IF(ISNUMBER(SEARCH("营",main!Z100)),(-$Y100+50*IF(main!$AK100="是",main!$BB$4,main!$BB$3)),(VLOOKUP(main!Z100,main!$AO$4:$AQ$55,2,FALSE))*IF(main!$AK100="是",main!$BB$4,main!$BB$3))</f>
        <v>0</v>
      </c>
      <c r="S100" s="12">
        <f>IF(ISNUMBER(SEARCH("营",main!AA100)),(-$Y100+50*IF(main!$AK100="是",main!$BB$4,main!$BB$3)),(VLOOKUP(main!AA100,main!$AO$4:$AQ$55,2,FALSE))*IF(main!$AK100="是",main!$BB$4,main!$BB$3))</f>
        <v>0</v>
      </c>
      <c r="T100" s="12">
        <f>IF(ISNUMBER(SEARCH("营",main!AB100)),(-$Y100+50*IF(main!$AK100="是",main!$BB$4,main!$BB$3)),(VLOOKUP(main!AB100,main!$AO$4:$AQ$55,2,FALSE))*IF(main!$AK100="是",main!$BB$4,main!$BB$3))</f>
        <v>0</v>
      </c>
      <c r="U100" s="12">
        <f>IF(ISNUMBER(SEARCH("营",main!AC100)),(-$Y100+50*IF(main!$AK100="是",main!$BB$4,main!$BB$3)),(VLOOKUP(main!AC100,main!$AO$4:$AQ$55,2,FALSE))*IF(main!$AK100="是",main!$BB$4,main!$BB$3))</f>
        <v>0</v>
      </c>
      <c r="V100" s="12">
        <f>IF(ISNUMBER(SEARCH("营",main!AD100)),(-$Y100+50*IF(main!$AK100="是",main!$BB$4,main!$BB$3)),(VLOOKUP(main!AD100,main!$AO$4:$AQ$55,2,FALSE))*IF(main!$AK100="是",main!$BB$4,main!$BB$3))</f>
        <v>0</v>
      </c>
      <c r="W100" s="12">
        <f>IF(ISNUMBER(SEARCH("营",main!AE100)),(-$Y100+50*IF(main!$AK100="是",main!$BB$4,main!$BB$3)),(VLOOKUP(main!AE100,main!$AO$4:$AQ$55,2,FALSE))*IF(main!$AK100="是",main!$BB$4,main!$BB$3))</f>
        <v>0</v>
      </c>
      <c r="X100" s="12">
        <f>IF(ISNUMBER(SEARCH("营",main!AF100)),(-$Y100+50*IF(main!$AK100="是",main!$BB$4,main!$BB$3)),(VLOOKUP(main!AF100,main!$AO$4:$AQ$55,2,FALSE))*IF(main!$AK100="是",main!$BB$4,main!$BB$3))</f>
        <v>0</v>
      </c>
      <c r="Y100" s="98">
        <v>100</v>
      </c>
      <c r="Z100" s="95">
        <v>46372</v>
      </c>
      <c r="AA100">
        <v>97</v>
      </c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2:X94"/>
  <sheetViews>
    <sheetView topLeftCell="A70" workbookViewId="0">
      <selection activeCell="H32" sqref="A24:H32"/>
    </sheetView>
  </sheetViews>
  <sheetFormatPr defaultColWidth="9" defaultRowHeight="15"/>
  <sheetData>
    <row r="2" spans="1:24">
      <c r="A2" s="132" t="s">
        <v>94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(VLOOKUP(main!I4,main!$AO$4:$AQ$55,3,FALSE))</f>
        <v>35</v>
      </c>
      <c r="B4" s="12">
        <f>(VLOOKUP(main!J4,main!$AO$4:$AQ$55,3,FALSE))</f>
        <v>35</v>
      </c>
      <c r="C4" s="12">
        <f>(VLOOKUP(main!K4,main!$AO$4:$AQ$55,3,FALSE))</f>
        <v>35</v>
      </c>
      <c r="D4" s="12">
        <f>(VLOOKUP(main!L4,main!$AO$4:$AQ$55,3,FALSE))</f>
        <v>35</v>
      </c>
      <c r="E4" s="12">
        <f>(VLOOKUP(main!M4,main!$AO$4:$AQ$55,3,FALSE))</f>
        <v>35</v>
      </c>
      <c r="F4" s="12">
        <f>(VLOOKUP(main!N4,main!$AO$4:$AQ$55,3,FALSE))</f>
        <v>35</v>
      </c>
      <c r="G4" s="13">
        <f>(VLOOKUP(main!O4,main!$AO$4:$AQ$55,3,FALSE))</f>
        <v>0</v>
      </c>
      <c r="H4" s="13">
        <f>(VLOOKUP(main!P4,main!$AO$4:$AQ$55,3,FALSE))</f>
        <v>0</v>
      </c>
      <c r="I4" s="12">
        <f>(VLOOKUP(main!Q4,main!$AO$4:$AQ$55,3,FALSE))</f>
        <v>50</v>
      </c>
      <c r="J4" s="12">
        <f>(VLOOKUP(main!R4,main!$AO$4:$AQ$55,3,FALSE))</f>
        <v>50</v>
      </c>
      <c r="K4" s="12">
        <f>(VLOOKUP(main!S4,main!$AO$4:$AQ$55,3,FALSE))</f>
        <v>50</v>
      </c>
      <c r="L4" s="12">
        <f>(VLOOKUP(main!T4,main!$AO$4:$AQ$55,3,FALSE))</f>
        <v>50</v>
      </c>
      <c r="M4" s="12">
        <f>(VLOOKUP(main!U4,main!$AO$4:$AQ$55,3,FALSE))</f>
        <v>50</v>
      </c>
      <c r="N4" s="12">
        <f>(VLOOKUP(main!V4,main!$AO$4:$AQ$55,3,FALSE))</f>
        <v>50</v>
      </c>
      <c r="O4" s="13">
        <f>(VLOOKUP(main!W4,main!$AO$4:$AQ$55,3,FALSE))</f>
        <v>0</v>
      </c>
      <c r="P4" s="13">
        <f>(VLOOKUP(main!X4,main!$AO$4:$AQ$55,3,FALSE))</f>
        <v>0</v>
      </c>
      <c r="Q4" s="12">
        <f>(VLOOKUP(main!Y4,main!$AO$4:$AQ$55,3,FALSE))</f>
        <v>0</v>
      </c>
      <c r="R4" s="12">
        <f>(VLOOKUP(main!Z4,main!$AO$4:$AQ$55,3,FALSE))</f>
        <v>0</v>
      </c>
      <c r="S4" s="12">
        <f>(VLOOKUP(main!AA4,main!$AO$4:$AQ$55,3,FALSE))</f>
        <v>0</v>
      </c>
      <c r="T4" s="12">
        <f>(VLOOKUP(main!AB4,main!$AO$4:$AQ$55,3,FALSE))</f>
        <v>0</v>
      </c>
      <c r="U4" s="12">
        <f>(VLOOKUP(main!AC4,main!$AO$4:$AQ$55,3,FALSE))</f>
        <v>0</v>
      </c>
      <c r="V4" s="12">
        <f>(VLOOKUP(main!AD4,main!$AO$4:$AQ$55,3,FALSE))</f>
        <v>0</v>
      </c>
      <c r="W4" s="13">
        <f>(VLOOKUP(main!AE4,main!$AO$4:$AQ$55,3,FALSE))</f>
        <v>0</v>
      </c>
      <c r="X4" s="13">
        <f>(VLOOKUP(main!AF4,main!$AO$4:$AQ$55,3,FALSE))</f>
        <v>0</v>
      </c>
    </row>
    <row r="5" spans="1:24">
      <c r="A5" s="12">
        <f>(VLOOKUP(main!I5,main!$AO$4:$AQ$55,3,FALSE))</f>
        <v>35</v>
      </c>
      <c r="B5" s="12">
        <f>(VLOOKUP(main!J5,main!$AO$4:$AQ$55,3,FALSE))</f>
        <v>35</v>
      </c>
      <c r="C5" s="12">
        <f>(VLOOKUP(main!K5,main!$AO$4:$AQ$55,3,FALSE))</f>
        <v>35</v>
      </c>
      <c r="D5" s="12">
        <f>(VLOOKUP(main!L5,main!$AO$4:$AQ$55,3,FALSE))</f>
        <v>35</v>
      </c>
      <c r="E5" s="12">
        <f>(VLOOKUP(main!M5,main!$AO$4:$AQ$55,3,FALSE))</f>
        <v>35</v>
      </c>
      <c r="F5" s="12">
        <f>(VLOOKUP(main!N5,main!$AO$4:$AQ$55,3,FALSE))</f>
        <v>35</v>
      </c>
      <c r="G5" s="13">
        <f>(VLOOKUP(main!O5,main!$AO$4:$AQ$55,3,FALSE))</f>
        <v>0</v>
      </c>
      <c r="H5" s="13">
        <f>(VLOOKUP(main!P5,main!$AO$4:$AQ$55,3,FALSE))</f>
        <v>0</v>
      </c>
      <c r="I5" s="12">
        <f>(VLOOKUP(main!Q5,main!$AO$4:$AQ$55,3,FALSE))</f>
        <v>50</v>
      </c>
      <c r="J5" s="12">
        <f>(VLOOKUP(main!R5,main!$AO$4:$AQ$55,3,FALSE))</f>
        <v>50</v>
      </c>
      <c r="K5" s="12">
        <f>(VLOOKUP(main!S5,main!$AO$4:$AQ$55,3,FALSE))</f>
        <v>50</v>
      </c>
      <c r="L5" s="12">
        <f>(VLOOKUP(main!T5,main!$AO$4:$AQ$55,3,FALSE))</f>
        <v>50</v>
      </c>
      <c r="M5" s="12">
        <f>(VLOOKUP(main!U5,main!$AO$4:$AQ$55,3,FALSE))</f>
        <v>50</v>
      </c>
      <c r="N5" s="12">
        <f>(VLOOKUP(main!V5,main!$AO$4:$AQ$55,3,FALSE))</f>
        <v>50</v>
      </c>
      <c r="O5" s="13">
        <f>(VLOOKUP(main!W5,main!$AO$4:$AQ$55,3,FALSE))</f>
        <v>0</v>
      </c>
      <c r="P5" s="13">
        <f>(VLOOKUP(main!X5,main!$AO$4:$AQ$55,3,FALSE))</f>
        <v>0</v>
      </c>
      <c r="Q5" s="12">
        <f>(VLOOKUP(main!Y5,main!$AO$4:$AQ$55,3,FALSE))</f>
        <v>0</v>
      </c>
      <c r="R5" s="12">
        <f>(VLOOKUP(main!Z5,main!$AO$4:$AQ$55,3,FALSE))</f>
        <v>0</v>
      </c>
      <c r="S5" s="12">
        <f>(VLOOKUP(main!AA5,main!$AO$4:$AQ$55,3,FALSE))</f>
        <v>0</v>
      </c>
      <c r="T5" s="12">
        <f>(VLOOKUP(main!AB5,main!$AO$4:$AQ$55,3,FALSE))</f>
        <v>0</v>
      </c>
      <c r="U5" s="12">
        <f>(VLOOKUP(main!AC5,main!$AO$4:$AQ$55,3,FALSE))</f>
        <v>0</v>
      </c>
      <c r="V5" s="12">
        <f>(VLOOKUP(main!AD5,main!$AO$4:$AQ$55,3,FALSE))</f>
        <v>0</v>
      </c>
      <c r="W5" s="13">
        <f>(VLOOKUP(main!AE5,main!$AO$4:$AQ$55,3,FALSE))</f>
        <v>0</v>
      </c>
      <c r="X5" s="13">
        <f>(VLOOKUP(main!AF5,main!$AO$4:$AQ$55,3,FALSE))</f>
        <v>0</v>
      </c>
    </row>
    <row r="6" spans="1:24">
      <c r="A6" s="12">
        <f>(VLOOKUP(main!I6,main!$AO$4:$AQ$55,3,FALSE))</f>
        <v>35</v>
      </c>
      <c r="B6" s="12">
        <f>(VLOOKUP(main!J6,main!$AO$4:$AQ$55,3,FALSE))</f>
        <v>35</v>
      </c>
      <c r="C6" s="12">
        <f>(VLOOKUP(main!K6,main!$AO$4:$AQ$55,3,FALSE))</f>
        <v>35</v>
      </c>
      <c r="D6" s="12">
        <f>(VLOOKUP(main!L6,main!$AO$4:$AQ$55,3,FALSE))</f>
        <v>35</v>
      </c>
      <c r="E6" s="12">
        <f>(VLOOKUP(main!M6,main!$AO$4:$AQ$55,3,FALSE))</f>
        <v>35</v>
      </c>
      <c r="F6" s="12">
        <f>(VLOOKUP(main!N6,main!$AO$4:$AQ$55,3,FALSE))</f>
        <v>35</v>
      </c>
      <c r="G6" s="13">
        <f>(VLOOKUP(main!O6,main!$AO$4:$AQ$55,3,FALSE))</f>
        <v>0</v>
      </c>
      <c r="H6" s="13">
        <f>(VLOOKUP(main!P6,main!$AO$4:$AQ$55,3,FALSE))</f>
        <v>0</v>
      </c>
      <c r="I6" s="12">
        <f>(VLOOKUP(main!Q6,main!$AO$4:$AQ$55,3,FALSE))</f>
        <v>50</v>
      </c>
      <c r="J6" s="12">
        <f>(VLOOKUP(main!R6,main!$AO$4:$AQ$55,3,FALSE))</f>
        <v>50</v>
      </c>
      <c r="K6" s="12">
        <f>(VLOOKUP(main!S6,main!$AO$4:$AQ$55,3,FALSE))</f>
        <v>50</v>
      </c>
      <c r="L6" s="12">
        <f>(VLOOKUP(main!T6,main!$AO$4:$AQ$55,3,FALSE))</f>
        <v>35</v>
      </c>
      <c r="M6" s="12">
        <f>(VLOOKUP(main!U6,main!$AO$4:$AQ$55,3,FALSE))</f>
        <v>45</v>
      </c>
      <c r="N6" s="12">
        <f>(VLOOKUP(main!V6,main!$AO$4:$AQ$55,3,FALSE))</f>
        <v>0</v>
      </c>
      <c r="O6" s="13">
        <f>(VLOOKUP(main!W6,main!$AO$4:$AQ$55,3,FALSE))</f>
        <v>0</v>
      </c>
      <c r="P6" s="13">
        <f>(VLOOKUP(main!X6,main!$AO$4:$AQ$55,3,FALSE))</f>
        <v>0</v>
      </c>
      <c r="Q6" s="12">
        <f>(VLOOKUP(main!Y6,main!$AO$4:$AQ$55,3,FALSE))</f>
        <v>0</v>
      </c>
      <c r="R6" s="12">
        <f>(VLOOKUP(main!Z6,main!$AO$4:$AQ$55,3,FALSE))</f>
        <v>0</v>
      </c>
      <c r="S6" s="12">
        <f>(VLOOKUP(main!AA6,main!$AO$4:$AQ$55,3,FALSE))</f>
        <v>0</v>
      </c>
      <c r="T6" s="12">
        <f>(VLOOKUP(main!AB6,main!$AO$4:$AQ$55,3,FALSE))</f>
        <v>0</v>
      </c>
      <c r="U6" s="12">
        <f>(VLOOKUP(main!AC6,main!$AO$4:$AQ$55,3,FALSE))</f>
        <v>0</v>
      </c>
      <c r="V6" s="12">
        <f>(VLOOKUP(main!AD6,main!$AO$4:$AQ$55,3,FALSE))</f>
        <v>0</v>
      </c>
      <c r="W6" s="13">
        <f>(VLOOKUP(main!AE6,main!$AO$4:$AQ$55,3,FALSE))</f>
        <v>0</v>
      </c>
      <c r="X6" s="13">
        <f>(VLOOKUP(main!AF6,main!$AO$4:$AQ$55,3,FALSE))</f>
        <v>0</v>
      </c>
    </row>
    <row r="7" spans="1:24">
      <c r="A7" s="12">
        <f>(VLOOKUP(main!I7,main!$AO$4:$AQ$55,3,FALSE))</f>
        <v>35</v>
      </c>
      <c r="B7" s="12">
        <f>(VLOOKUP(main!J7,main!$AO$4:$AQ$55,3,FALSE))</f>
        <v>45</v>
      </c>
      <c r="C7" s="12">
        <f>(VLOOKUP(main!K7,main!$AO$4:$AQ$55,3,FALSE))</f>
        <v>45</v>
      </c>
      <c r="D7" s="12">
        <f>(VLOOKUP(main!L7,main!$AO$4:$AQ$55,3,FALSE))</f>
        <v>45</v>
      </c>
      <c r="E7" s="12">
        <f>(VLOOKUP(main!M7,main!$AO$4:$AQ$55,3,FALSE))</f>
        <v>45</v>
      </c>
      <c r="F7" s="12">
        <f>(VLOOKUP(main!N7,main!$AO$4:$AQ$55,3,FALSE))</f>
        <v>45</v>
      </c>
      <c r="G7" s="13">
        <f>(VLOOKUP(main!O7,main!$AO$4:$AQ$55,3,FALSE))</f>
        <v>45</v>
      </c>
      <c r="H7" s="13">
        <f>(VLOOKUP(main!P7,main!$AO$4:$AQ$55,3,FALSE))</f>
        <v>0</v>
      </c>
      <c r="I7" s="12">
        <f>(VLOOKUP(main!Q7,main!$AO$4:$AQ$55,3,FALSE))</f>
        <v>40</v>
      </c>
      <c r="J7" s="12">
        <f>(VLOOKUP(main!R7,main!$AO$4:$AQ$55,3,FALSE))</f>
        <v>40</v>
      </c>
      <c r="K7" s="12">
        <f>(VLOOKUP(main!S7,main!$AO$4:$AQ$55,3,FALSE))</f>
        <v>40</v>
      </c>
      <c r="L7" s="12">
        <f>(VLOOKUP(main!T7,main!$AO$4:$AQ$55,3,FALSE))</f>
        <v>40</v>
      </c>
      <c r="M7" s="12">
        <f>(VLOOKUP(main!U7,main!$AO$4:$AQ$55,3,FALSE))</f>
        <v>40</v>
      </c>
      <c r="N7" s="12">
        <f>(VLOOKUP(main!V7,main!$AO$4:$AQ$55,3,FALSE))</f>
        <v>40</v>
      </c>
      <c r="O7" s="13">
        <f>(VLOOKUP(main!W7,main!$AO$4:$AQ$55,3,FALSE))</f>
        <v>40</v>
      </c>
      <c r="P7" s="13">
        <f>(VLOOKUP(main!X7,main!$AO$4:$AQ$55,3,FALSE))</f>
        <v>40</v>
      </c>
      <c r="Q7" s="12">
        <f>(VLOOKUP(main!Y7,main!$AO$4:$AQ$55,3,FALSE))</f>
        <v>0</v>
      </c>
      <c r="R7" s="12">
        <f>(VLOOKUP(main!Z7,main!$AO$4:$AQ$55,3,FALSE))</f>
        <v>0</v>
      </c>
      <c r="S7" s="12">
        <f>(VLOOKUP(main!AA7,main!$AO$4:$AQ$55,3,FALSE))</f>
        <v>0</v>
      </c>
      <c r="T7" s="12">
        <f>(VLOOKUP(main!AB7,main!$AO$4:$AQ$55,3,FALSE))</f>
        <v>0</v>
      </c>
      <c r="U7" s="12">
        <f>(VLOOKUP(main!AC7,main!$AO$4:$AQ$55,3,FALSE))</f>
        <v>0</v>
      </c>
      <c r="V7" s="12">
        <f>(VLOOKUP(main!AD7,main!$AO$4:$AQ$55,3,FALSE))</f>
        <v>0</v>
      </c>
      <c r="W7" s="13">
        <f>(VLOOKUP(main!AE7,main!$AO$4:$AQ$55,3,FALSE))</f>
        <v>0</v>
      </c>
      <c r="X7" s="13">
        <f>(VLOOKUP(main!AF7,main!$AO$4:$AQ$55,3,FALSE))</f>
        <v>0</v>
      </c>
    </row>
    <row r="8" spans="1:24">
      <c r="A8" s="12">
        <f>(VLOOKUP(main!I8,main!$AO$4:$AQ$55,3,FALSE))</f>
        <v>45</v>
      </c>
      <c r="B8" s="12">
        <f>(VLOOKUP(main!J8,main!$AO$4:$AQ$55,3,FALSE))</f>
        <v>45</v>
      </c>
      <c r="C8" s="12">
        <f>(VLOOKUP(main!K8,main!$AO$4:$AQ$55,3,FALSE))</f>
        <v>45</v>
      </c>
      <c r="D8" s="12">
        <f>(VLOOKUP(main!L8,main!$AO$4:$AQ$55,3,FALSE))</f>
        <v>45</v>
      </c>
      <c r="E8" s="12">
        <f>(VLOOKUP(main!M8,main!$AO$4:$AQ$55,3,FALSE))</f>
        <v>45</v>
      </c>
      <c r="F8" s="12">
        <f>(VLOOKUP(main!N8,main!$AO$4:$AQ$55,3,FALSE))</f>
        <v>45</v>
      </c>
      <c r="G8" s="13">
        <f>(VLOOKUP(main!O8,main!$AO$4:$AQ$55,3,FALSE))</f>
        <v>45</v>
      </c>
      <c r="H8" s="13">
        <f>(VLOOKUP(main!P8,main!$AO$4:$AQ$55,3,FALSE))</f>
        <v>45</v>
      </c>
      <c r="I8" s="12">
        <f>(VLOOKUP(main!Q8,main!$AO$4:$AQ$55,3,FALSE))</f>
        <v>30</v>
      </c>
      <c r="J8" s="12">
        <f>(VLOOKUP(main!R8,main!$AO$4:$AQ$55,3,FALSE))</f>
        <v>30</v>
      </c>
      <c r="K8" s="12">
        <f>(VLOOKUP(main!S8,main!$AO$4:$AQ$55,3,FALSE))</f>
        <v>30</v>
      </c>
      <c r="L8" s="12">
        <f>(VLOOKUP(main!T8,main!$AO$4:$AQ$55,3,FALSE))</f>
        <v>30</v>
      </c>
      <c r="M8" s="12">
        <f>(VLOOKUP(main!U8,main!$AO$4:$AQ$55,3,FALSE))</f>
        <v>30</v>
      </c>
      <c r="N8" s="12">
        <f>(VLOOKUP(main!V8,main!$AO$4:$AQ$55,3,FALSE))</f>
        <v>30</v>
      </c>
      <c r="O8" s="13">
        <f>(VLOOKUP(main!W8,main!$AO$4:$AQ$55,3,FALSE))</f>
        <v>30</v>
      </c>
      <c r="P8" s="13">
        <f>(VLOOKUP(main!X8,main!$AO$4:$AQ$55,3,FALSE))</f>
        <v>0</v>
      </c>
      <c r="Q8" s="12">
        <f>(VLOOKUP(main!Y8,main!$AO$4:$AQ$55,3,FALSE))</f>
        <v>0</v>
      </c>
      <c r="R8" s="12">
        <f>(VLOOKUP(main!Z8,main!$AO$4:$AQ$55,3,FALSE))</f>
        <v>0</v>
      </c>
      <c r="S8" s="12">
        <f>(VLOOKUP(main!AA8,main!$AO$4:$AQ$55,3,FALSE))</f>
        <v>0</v>
      </c>
      <c r="T8" s="12">
        <f>(VLOOKUP(main!AB8,main!$AO$4:$AQ$55,3,FALSE))</f>
        <v>0</v>
      </c>
      <c r="U8" s="12">
        <f>(VLOOKUP(main!AC8,main!$AO$4:$AQ$55,3,FALSE))</f>
        <v>0</v>
      </c>
      <c r="V8" s="12">
        <f>(VLOOKUP(main!AD8,main!$AO$4:$AQ$55,3,FALSE))</f>
        <v>0</v>
      </c>
      <c r="W8" s="13">
        <f>(VLOOKUP(main!AE8,main!$AO$4:$AQ$55,3,FALSE))</f>
        <v>0</v>
      </c>
      <c r="X8" s="13">
        <f>(VLOOKUP(main!AF8,main!$AO$4:$AQ$55,3,FALSE))</f>
        <v>0</v>
      </c>
    </row>
    <row r="9" spans="1:24">
      <c r="A9" s="12">
        <f>(VLOOKUP(main!I9,main!$AO$4:$AQ$55,3,FALSE))</f>
        <v>45</v>
      </c>
      <c r="B9" s="12">
        <f>(VLOOKUP(main!J9,main!$AO$4:$AQ$55,3,FALSE))</f>
        <v>45</v>
      </c>
      <c r="C9" s="12">
        <f>(VLOOKUP(main!K9,main!$AO$4:$AQ$55,3,FALSE))</f>
        <v>45</v>
      </c>
      <c r="D9" s="12">
        <f>(VLOOKUP(main!L9,main!$AO$4:$AQ$55,3,FALSE))</f>
        <v>45</v>
      </c>
      <c r="E9" s="12">
        <f>(VLOOKUP(main!M9,main!$AO$4:$AQ$55,3,FALSE))</f>
        <v>45</v>
      </c>
      <c r="F9" s="12">
        <f>(VLOOKUP(main!N9,main!$AO$4:$AQ$55,3,FALSE))</f>
        <v>45</v>
      </c>
      <c r="G9" s="13">
        <f>(VLOOKUP(main!O9,main!$AO$4:$AQ$55,3,FALSE))</f>
        <v>45</v>
      </c>
      <c r="H9" s="13">
        <f>(VLOOKUP(main!P9,main!$AO$4:$AQ$55,3,FALSE))</f>
        <v>45</v>
      </c>
      <c r="I9" s="12">
        <f>(VLOOKUP(main!Q9,main!$AO$4:$AQ$55,3,FALSE))</f>
        <v>0</v>
      </c>
      <c r="J9" s="12">
        <f>(VLOOKUP(main!R9,main!$AO$4:$AQ$55,3,FALSE))</f>
        <v>0</v>
      </c>
      <c r="K9" s="12">
        <f>(VLOOKUP(main!S9,main!$AO$4:$AQ$55,3,FALSE))</f>
        <v>0</v>
      </c>
      <c r="L9" s="12">
        <f>(VLOOKUP(main!T9,main!$AO$4:$AQ$55,3,FALSE))</f>
        <v>0</v>
      </c>
      <c r="M9" s="12">
        <f>(VLOOKUP(main!U9,main!$AO$4:$AQ$55,3,FALSE))</f>
        <v>0</v>
      </c>
      <c r="N9" s="12">
        <f>(VLOOKUP(main!V9,main!$AO$4:$AQ$55,3,FALSE))</f>
        <v>0</v>
      </c>
      <c r="O9" s="13">
        <f>(VLOOKUP(main!W9,main!$AO$4:$AQ$55,3,FALSE))</f>
        <v>0</v>
      </c>
      <c r="P9" s="13">
        <f>(VLOOKUP(main!X9,main!$AO$4:$AQ$55,3,FALSE))</f>
        <v>0</v>
      </c>
      <c r="Q9" s="12">
        <f>(VLOOKUP(main!Y9,main!$AO$4:$AQ$55,3,FALSE))</f>
        <v>0</v>
      </c>
      <c r="R9" s="12">
        <f>(VLOOKUP(main!Z9,main!$AO$4:$AQ$55,3,FALSE))</f>
        <v>0</v>
      </c>
      <c r="S9" s="12">
        <f>(VLOOKUP(main!AA9,main!$AO$4:$AQ$55,3,FALSE))</f>
        <v>0</v>
      </c>
      <c r="T9" s="12">
        <f>(VLOOKUP(main!AB9,main!$AO$4:$AQ$55,3,FALSE))</f>
        <v>0</v>
      </c>
      <c r="U9" s="12">
        <f>(VLOOKUP(main!AC9,main!$AO$4:$AQ$55,3,FALSE))</f>
        <v>0</v>
      </c>
      <c r="V9" s="12">
        <f>(VLOOKUP(main!AD9,main!$AO$4:$AQ$55,3,FALSE))</f>
        <v>0</v>
      </c>
      <c r="W9" s="13">
        <f>(VLOOKUP(main!AE9,main!$AO$4:$AQ$55,3,FALSE))</f>
        <v>0</v>
      </c>
      <c r="X9" s="13">
        <f>(VLOOKUP(main!AF9,main!$AO$4:$AQ$55,3,FALSE))</f>
        <v>0</v>
      </c>
    </row>
    <row r="10" spans="1:24">
      <c r="A10" s="12">
        <f>(VLOOKUP(main!I10,main!$AO$4:$AQ$55,3,FALSE))</f>
        <v>45</v>
      </c>
      <c r="B10" s="12">
        <f>(VLOOKUP(main!J10,main!$AO$4:$AQ$55,3,FALSE))</f>
        <v>45</v>
      </c>
      <c r="C10" s="12">
        <f>(VLOOKUP(main!K10,main!$AO$4:$AQ$55,3,FALSE))</f>
        <v>45</v>
      </c>
      <c r="D10" s="12">
        <f>(VLOOKUP(main!L10,main!$AO$4:$AQ$55,3,FALSE))</f>
        <v>45</v>
      </c>
      <c r="E10" s="12">
        <f>(VLOOKUP(main!M10,main!$AO$4:$AQ$55,3,FALSE))</f>
        <v>45</v>
      </c>
      <c r="F10" s="12">
        <f>(VLOOKUP(main!N10,main!$AO$4:$AQ$55,3,FALSE))</f>
        <v>45</v>
      </c>
      <c r="G10" s="13">
        <f>(VLOOKUP(main!O10,main!$AO$4:$AQ$55,3,FALSE))</f>
        <v>45</v>
      </c>
      <c r="H10" s="13">
        <f>(VLOOKUP(main!P10,main!$AO$4:$AQ$55,3,FALSE))</f>
        <v>45</v>
      </c>
      <c r="I10" s="12">
        <f>(VLOOKUP(main!Q10,main!$AO$4:$AQ$55,3,FALSE))</f>
        <v>300</v>
      </c>
      <c r="J10" s="12">
        <f>(VLOOKUP(main!R10,main!$AO$4:$AQ$55,3,FALSE))</f>
        <v>300</v>
      </c>
      <c r="K10" s="12">
        <f>(VLOOKUP(main!S10,main!$AO$4:$AQ$55,3,FALSE))</f>
        <v>300</v>
      </c>
      <c r="L10" s="12">
        <f>(VLOOKUP(main!T10,main!$AO$4:$AQ$55,3,FALSE))</f>
        <v>0</v>
      </c>
      <c r="M10" s="12">
        <f>(VLOOKUP(main!U10,main!$AO$4:$AQ$55,3,FALSE))</f>
        <v>0</v>
      </c>
      <c r="N10" s="12">
        <f>(VLOOKUP(main!V10,main!$AO$4:$AQ$55,3,FALSE))</f>
        <v>0</v>
      </c>
      <c r="O10" s="13">
        <f>(VLOOKUP(main!W10,main!$AO$4:$AQ$55,3,FALSE))</f>
        <v>0</v>
      </c>
      <c r="P10" s="13">
        <f>(VLOOKUP(main!X10,main!$AO$4:$AQ$55,3,FALSE))</f>
        <v>0</v>
      </c>
      <c r="Q10" s="12">
        <f>(VLOOKUP(main!Y10,main!$AO$4:$AQ$55,3,FALSE))</f>
        <v>0</v>
      </c>
      <c r="R10" s="12">
        <f>(VLOOKUP(main!Z10,main!$AO$4:$AQ$55,3,FALSE))</f>
        <v>0</v>
      </c>
      <c r="S10" s="12">
        <f>(VLOOKUP(main!AA10,main!$AO$4:$AQ$55,3,FALSE))</f>
        <v>0</v>
      </c>
      <c r="T10" s="12">
        <f>(VLOOKUP(main!AB10,main!$AO$4:$AQ$55,3,FALSE))</f>
        <v>0</v>
      </c>
      <c r="U10" s="12">
        <f>(VLOOKUP(main!AC10,main!$AO$4:$AQ$55,3,FALSE))</f>
        <v>0</v>
      </c>
      <c r="V10" s="12">
        <f>(VLOOKUP(main!AD10,main!$AO$4:$AQ$55,3,FALSE))</f>
        <v>0</v>
      </c>
      <c r="W10" s="13">
        <f>(VLOOKUP(main!AE10,main!$AO$4:$AQ$55,3,FALSE))</f>
        <v>0</v>
      </c>
      <c r="X10" s="13">
        <f>(VLOOKUP(main!AF10,main!$AO$4:$AQ$55,3,FALSE))</f>
        <v>0</v>
      </c>
    </row>
    <row r="11" spans="1:24">
      <c r="A11" s="12">
        <f>(VLOOKUP(main!I11,main!$AO$4:$AQ$55,3,FALSE))</f>
        <v>45</v>
      </c>
      <c r="B11" s="12">
        <f>(VLOOKUP(main!J11,main!$AO$4:$AQ$55,3,FALSE))</f>
        <v>45</v>
      </c>
      <c r="C11" s="12">
        <f>(VLOOKUP(main!K11,main!$AO$4:$AQ$55,3,FALSE))</f>
        <v>45</v>
      </c>
      <c r="D11" s="12">
        <f>(VLOOKUP(main!L11,main!$AO$4:$AQ$55,3,FALSE))</f>
        <v>45</v>
      </c>
      <c r="E11" s="12">
        <f>(VLOOKUP(main!M11,main!$AO$4:$AQ$55,3,FALSE))</f>
        <v>45</v>
      </c>
      <c r="F11" s="12">
        <f>(VLOOKUP(main!N11,main!$AO$4:$AQ$55,3,FALSE))</f>
        <v>45</v>
      </c>
      <c r="G11" s="13">
        <f>(VLOOKUP(main!O11,main!$AO$4:$AQ$55,3,FALSE))</f>
        <v>45</v>
      </c>
      <c r="H11" s="13">
        <f>(VLOOKUP(main!P11,main!$AO$4:$AQ$55,3,FALSE))</f>
        <v>45</v>
      </c>
      <c r="I11" s="12">
        <f>(VLOOKUP(main!Q11,main!$AO$4:$AQ$55,3,FALSE))</f>
        <v>45</v>
      </c>
      <c r="J11" s="12">
        <f>(VLOOKUP(main!R11,main!$AO$4:$AQ$55,3,FALSE))</f>
        <v>45</v>
      </c>
      <c r="K11" s="12">
        <f>(VLOOKUP(main!S11,main!$AO$4:$AQ$55,3,FALSE))</f>
        <v>45</v>
      </c>
      <c r="L11" s="12">
        <f>(VLOOKUP(main!T11,main!$AO$4:$AQ$55,3,FALSE))</f>
        <v>45</v>
      </c>
      <c r="M11" s="12">
        <f>(VLOOKUP(main!U11,main!$AO$4:$AQ$55,3,FALSE))</f>
        <v>45</v>
      </c>
      <c r="N11" s="12">
        <f>(VLOOKUP(main!V11,main!$AO$4:$AQ$55,3,FALSE))</f>
        <v>0</v>
      </c>
      <c r="O11" s="13">
        <f>(VLOOKUP(main!W11,main!$AO$4:$AQ$55,3,FALSE))</f>
        <v>0</v>
      </c>
      <c r="P11" s="13">
        <f>(VLOOKUP(main!X11,main!$AO$4:$AQ$55,3,FALSE))</f>
        <v>0</v>
      </c>
      <c r="Q11" s="12">
        <f>(VLOOKUP(main!Y11,main!$AO$4:$AQ$55,3,FALSE))</f>
        <v>0</v>
      </c>
      <c r="R11" s="12">
        <f>(VLOOKUP(main!Z11,main!$AO$4:$AQ$55,3,FALSE))</f>
        <v>0</v>
      </c>
      <c r="S11" s="12">
        <f>(VLOOKUP(main!AA11,main!$AO$4:$AQ$55,3,FALSE))</f>
        <v>0</v>
      </c>
      <c r="T11" s="12">
        <f>(VLOOKUP(main!AB11,main!$AO$4:$AQ$55,3,FALSE))</f>
        <v>0</v>
      </c>
      <c r="U11" s="12">
        <f>(VLOOKUP(main!AC11,main!$AO$4:$AQ$55,3,FALSE))</f>
        <v>0</v>
      </c>
      <c r="V11" s="12">
        <f>(VLOOKUP(main!AD11,main!$AO$4:$AQ$55,3,FALSE))</f>
        <v>0</v>
      </c>
      <c r="W11" s="13">
        <f>(VLOOKUP(main!AE11,main!$AO$4:$AQ$55,3,FALSE))</f>
        <v>0</v>
      </c>
      <c r="X11" s="13">
        <f>(VLOOKUP(main!AF11,main!$AO$4:$AQ$55,3,FALSE))</f>
        <v>0</v>
      </c>
    </row>
    <row r="12" spans="1:24">
      <c r="A12" s="12">
        <f>(VLOOKUP(main!I12,main!$AO$4:$AQ$55,3,FALSE))</f>
        <v>45</v>
      </c>
      <c r="B12" s="12">
        <f>(VLOOKUP(main!J12,main!$AO$4:$AQ$55,3,FALSE))</f>
        <v>45</v>
      </c>
      <c r="C12" s="12">
        <f>(VLOOKUP(main!K12,main!$AO$4:$AQ$55,3,FALSE))</f>
        <v>45</v>
      </c>
      <c r="D12" s="12">
        <f>(VLOOKUP(main!L12,main!$AO$4:$AQ$55,3,FALSE))</f>
        <v>45</v>
      </c>
      <c r="E12" s="12">
        <f>(VLOOKUP(main!M12,main!$AO$4:$AQ$55,3,FALSE))</f>
        <v>45</v>
      </c>
      <c r="F12" s="12">
        <f>(VLOOKUP(main!N12,main!$AO$4:$AQ$55,3,FALSE))</f>
        <v>45</v>
      </c>
      <c r="G12" s="13">
        <f>(VLOOKUP(main!O12,main!$AO$4:$AQ$55,3,FALSE))</f>
        <v>45</v>
      </c>
      <c r="H12" s="13">
        <f>(VLOOKUP(main!P12,main!$AO$4:$AQ$55,3,FALSE))</f>
        <v>45</v>
      </c>
      <c r="I12" s="12">
        <f>(VLOOKUP(main!Q12,main!$AO$4:$AQ$55,3,FALSE))</f>
        <v>45</v>
      </c>
      <c r="J12" s="12">
        <f>(VLOOKUP(main!R12,main!$AO$4:$AQ$55,3,FALSE))</f>
        <v>45</v>
      </c>
      <c r="K12" s="12">
        <f>(VLOOKUP(main!S12,main!$AO$4:$AQ$55,3,FALSE))</f>
        <v>45</v>
      </c>
      <c r="L12" s="12">
        <f>(VLOOKUP(main!T12,main!$AO$4:$AQ$55,3,FALSE))</f>
        <v>45</v>
      </c>
      <c r="M12" s="12">
        <f>(VLOOKUP(main!U12,main!$AO$4:$AQ$55,3,FALSE))</f>
        <v>45</v>
      </c>
      <c r="N12" s="12">
        <f>(VLOOKUP(main!V12,main!$AO$4:$AQ$55,3,FALSE))</f>
        <v>45</v>
      </c>
      <c r="O12" s="13">
        <f>(VLOOKUP(main!W12,main!$AO$4:$AQ$55,3,FALSE))</f>
        <v>45</v>
      </c>
      <c r="P12" s="13">
        <f>(VLOOKUP(main!X12,main!$AO$4:$AQ$55,3,FALSE))</f>
        <v>45</v>
      </c>
      <c r="Q12" s="12">
        <f>(VLOOKUP(main!Y12,main!$AO$4:$AQ$55,3,FALSE))</f>
        <v>0</v>
      </c>
      <c r="R12" s="12">
        <f>(VLOOKUP(main!Z12,main!$AO$4:$AQ$55,3,FALSE))</f>
        <v>0</v>
      </c>
      <c r="S12" s="12">
        <f>(VLOOKUP(main!AA12,main!$AO$4:$AQ$55,3,FALSE))</f>
        <v>0</v>
      </c>
      <c r="T12" s="12">
        <f>(VLOOKUP(main!AB12,main!$AO$4:$AQ$55,3,FALSE))</f>
        <v>0</v>
      </c>
      <c r="U12" s="12">
        <f>(VLOOKUP(main!AC12,main!$AO$4:$AQ$55,3,FALSE))</f>
        <v>0</v>
      </c>
      <c r="V12" s="12">
        <f>(VLOOKUP(main!AD12,main!$AO$4:$AQ$55,3,FALSE))</f>
        <v>0</v>
      </c>
      <c r="W12" s="13">
        <f>(VLOOKUP(main!AE12,main!$AO$4:$AQ$55,3,FALSE))</f>
        <v>0</v>
      </c>
      <c r="X12" s="13">
        <f>(VLOOKUP(main!AF12,main!$AO$4:$AQ$55,3,FALSE))</f>
        <v>0</v>
      </c>
    </row>
    <row r="13" spans="1:24">
      <c r="A13" s="12">
        <f>(VLOOKUP(main!I13,main!$AO$4:$AQ$55,3,FALSE))</f>
        <v>45</v>
      </c>
      <c r="B13" s="12">
        <f>(VLOOKUP(main!J13,main!$AO$4:$AQ$55,3,FALSE))</f>
        <v>45</v>
      </c>
      <c r="C13" s="12">
        <f>(VLOOKUP(main!K13,main!$AO$4:$AQ$55,3,FALSE))</f>
        <v>45</v>
      </c>
      <c r="D13" s="12">
        <f>(VLOOKUP(main!L13,main!$AO$4:$AQ$55,3,FALSE))</f>
        <v>45</v>
      </c>
      <c r="E13" s="12">
        <f>(VLOOKUP(main!M13,main!$AO$4:$AQ$55,3,FALSE))</f>
        <v>45</v>
      </c>
      <c r="F13" s="12">
        <f>(VLOOKUP(main!N13,main!$AO$4:$AQ$55,3,FALSE))</f>
        <v>45</v>
      </c>
      <c r="G13" s="13">
        <f>(VLOOKUP(main!O13,main!$AO$4:$AQ$55,3,FALSE))</f>
        <v>45</v>
      </c>
      <c r="H13" s="13">
        <f>(VLOOKUP(main!P13,main!$AO$4:$AQ$55,3,FALSE))</f>
        <v>45</v>
      </c>
      <c r="I13" s="12">
        <f>(VLOOKUP(main!Q13,main!$AO$4:$AQ$55,3,FALSE))</f>
        <v>0</v>
      </c>
      <c r="J13" s="12">
        <f>(VLOOKUP(main!R13,main!$AO$4:$AQ$55,3,FALSE))</f>
        <v>0</v>
      </c>
      <c r="K13" s="12">
        <f>(VLOOKUP(main!S13,main!$AO$4:$AQ$55,3,FALSE))</f>
        <v>0</v>
      </c>
      <c r="L13" s="12">
        <f>(VLOOKUP(main!T13,main!$AO$4:$AQ$55,3,FALSE))</f>
        <v>0</v>
      </c>
      <c r="M13" s="12">
        <f>(VLOOKUP(main!U13,main!$AO$4:$AQ$55,3,FALSE))</f>
        <v>0</v>
      </c>
      <c r="N13" s="12">
        <f>(VLOOKUP(main!V13,main!$AO$4:$AQ$55,3,FALSE))</f>
        <v>0</v>
      </c>
      <c r="O13" s="13">
        <f>(VLOOKUP(main!W13,main!$AO$4:$AQ$55,3,FALSE))</f>
        <v>0</v>
      </c>
      <c r="P13" s="13">
        <f>(VLOOKUP(main!X13,main!$AO$4:$AQ$55,3,FALSE))</f>
        <v>0</v>
      </c>
      <c r="Q13" s="12">
        <f>(VLOOKUP(main!Y13,main!$AO$4:$AQ$55,3,FALSE))</f>
        <v>0</v>
      </c>
      <c r="R13" s="12">
        <f>(VLOOKUP(main!Z13,main!$AO$4:$AQ$55,3,FALSE))</f>
        <v>0</v>
      </c>
      <c r="S13" s="12">
        <f>(VLOOKUP(main!AA13,main!$AO$4:$AQ$55,3,FALSE))</f>
        <v>0</v>
      </c>
      <c r="T13" s="12">
        <f>(VLOOKUP(main!AB13,main!$AO$4:$AQ$55,3,FALSE))</f>
        <v>0</v>
      </c>
      <c r="U13" s="12">
        <f>(VLOOKUP(main!AC13,main!$AO$4:$AQ$55,3,FALSE))</f>
        <v>0</v>
      </c>
      <c r="V13" s="12">
        <f>(VLOOKUP(main!AD13,main!$AO$4:$AQ$55,3,FALSE))</f>
        <v>0</v>
      </c>
      <c r="W13" s="13">
        <f>(VLOOKUP(main!AE13,main!$AO$4:$AQ$55,3,FALSE))</f>
        <v>0</v>
      </c>
      <c r="X13" s="13">
        <f>(VLOOKUP(main!AF13,main!$AO$4:$AQ$55,3,FALSE))</f>
        <v>0</v>
      </c>
    </row>
    <row r="14" spans="1:24">
      <c r="A14" s="12">
        <f>(VLOOKUP(main!I14,main!$AO$4:$AQ$55,3,FALSE))</f>
        <v>45</v>
      </c>
      <c r="B14" s="12">
        <f>(VLOOKUP(main!J14,main!$AO$4:$AQ$55,3,FALSE))</f>
        <v>45</v>
      </c>
      <c r="C14" s="12">
        <f>(VLOOKUP(main!K14,main!$AO$4:$AQ$55,3,FALSE))</f>
        <v>45</v>
      </c>
      <c r="D14" s="12">
        <f>(VLOOKUP(main!L14,main!$AO$4:$AQ$55,3,FALSE))</f>
        <v>45</v>
      </c>
      <c r="E14" s="12">
        <f>(VLOOKUP(main!M14,main!$AO$4:$AQ$55,3,FALSE))</f>
        <v>45</v>
      </c>
      <c r="F14" s="12">
        <f>(VLOOKUP(main!N14,main!$AO$4:$AQ$55,3,FALSE))</f>
        <v>45</v>
      </c>
      <c r="G14" s="13">
        <f>(VLOOKUP(main!O14,main!$AO$4:$AQ$55,3,FALSE))</f>
        <v>45</v>
      </c>
      <c r="H14" s="13">
        <f>(VLOOKUP(main!P14,main!$AO$4:$AQ$55,3,FALSE))</f>
        <v>45</v>
      </c>
      <c r="I14" s="12">
        <f>(VLOOKUP(main!Q14,main!$AO$4:$AQ$55,3,FALSE))</f>
        <v>0</v>
      </c>
      <c r="J14" s="12">
        <f>(VLOOKUP(main!R14,main!$AO$4:$AQ$55,3,FALSE))</f>
        <v>0</v>
      </c>
      <c r="K14" s="12">
        <f>(VLOOKUP(main!S14,main!$AO$4:$AQ$55,3,FALSE))</f>
        <v>0</v>
      </c>
      <c r="L14" s="12">
        <f>(VLOOKUP(main!T14,main!$AO$4:$AQ$55,3,FALSE))</f>
        <v>0</v>
      </c>
      <c r="M14" s="12">
        <f>(VLOOKUP(main!U14,main!$AO$4:$AQ$55,3,FALSE))</f>
        <v>0</v>
      </c>
      <c r="N14" s="12">
        <f>(VLOOKUP(main!V14,main!$AO$4:$AQ$55,3,FALSE))</f>
        <v>0</v>
      </c>
      <c r="O14" s="13">
        <f>(VLOOKUP(main!W14,main!$AO$4:$AQ$55,3,FALSE))</f>
        <v>0</v>
      </c>
      <c r="P14" s="13">
        <f>(VLOOKUP(main!X14,main!$AO$4:$AQ$55,3,FALSE))</f>
        <v>0</v>
      </c>
      <c r="Q14" s="12">
        <f>(VLOOKUP(main!Y14,main!$AO$4:$AQ$55,3,FALSE))</f>
        <v>0</v>
      </c>
      <c r="R14" s="12">
        <f>(VLOOKUP(main!Z14,main!$AO$4:$AQ$55,3,FALSE))</f>
        <v>0</v>
      </c>
      <c r="S14" s="12">
        <f>(VLOOKUP(main!AA14,main!$AO$4:$AQ$55,3,FALSE))</f>
        <v>0</v>
      </c>
      <c r="T14" s="12">
        <f>(VLOOKUP(main!AB14,main!$AO$4:$AQ$55,3,FALSE))</f>
        <v>0</v>
      </c>
      <c r="U14" s="12">
        <f>(VLOOKUP(main!AC14,main!$AO$4:$AQ$55,3,FALSE))</f>
        <v>0</v>
      </c>
      <c r="V14" s="12">
        <f>(VLOOKUP(main!AD14,main!$AO$4:$AQ$55,3,FALSE))</f>
        <v>0</v>
      </c>
      <c r="W14" s="13">
        <f>(VLOOKUP(main!AE14,main!$AO$4:$AQ$55,3,FALSE))</f>
        <v>0</v>
      </c>
      <c r="X14" s="13">
        <f>(VLOOKUP(main!AF14,main!$AO$4:$AQ$55,3,FALSE))</f>
        <v>0</v>
      </c>
    </row>
    <row r="15" spans="1:24">
      <c r="A15" s="12">
        <f>(VLOOKUP(main!I15,main!$AO$4:$AQ$55,3,FALSE))</f>
        <v>45</v>
      </c>
      <c r="B15" s="12">
        <f>(VLOOKUP(main!J15,main!$AO$4:$AQ$55,3,FALSE))</f>
        <v>45</v>
      </c>
      <c r="C15" s="12">
        <f>(VLOOKUP(main!K15,main!$AO$4:$AQ$55,3,FALSE))</f>
        <v>45</v>
      </c>
      <c r="D15" s="12">
        <f>(VLOOKUP(main!L15,main!$AO$4:$AQ$55,3,FALSE))</f>
        <v>45</v>
      </c>
      <c r="E15" s="12">
        <f>(VLOOKUP(main!M15,main!$AO$4:$AQ$55,3,FALSE))</f>
        <v>45</v>
      </c>
      <c r="F15" s="12">
        <f>(VLOOKUP(main!N15,main!$AO$4:$AQ$55,3,FALSE))</f>
        <v>45</v>
      </c>
      <c r="G15" s="13">
        <f>(VLOOKUP(main!O15,main!$AO$4:$AQ$55,3,FALSE))</f>
        <v>45</v>
      </c>
      <c r="H15" s="13">
        <f>(VLOOKUP(main!P15,main!$AO$4:$AQ$55,3,FALSE))</f>
        <v>45</v>
      </c>
      <c r="I15" s="12">
        <f>(VLOOKUP(main!Q15,main!$AO$4:$AQ$55,3,FALSE))</f>
        <v>0</v>
      </c>
      <c r="J15" s="12">
        <f>(VLOOKUP(main!R15,main!$AO$4:$AQ$55,3,FALSE))</f>
        <v>0</v>
      </c>
      <c r="K15" s="12">
        <f>(VLOOKUP(main!S15,main!$AO$4:$AQ$55,3,FALSE))</f>
        <v>0</v>
      </c>
      <c r="L15" s="12">
        <f>(VLOOKUP(main!T15,main!$AO$4:$AQ$55,3,FALSE))</f>
        <v>0</v>
      </c>
      <c r="M15" s="12">
        <f>(VLOOKUP(main!U15,main!$AO$4:$AQ$55,3,FALSE))</f>
        <v>0</v>
      </c>
      <c r="N15" s="12">
        <f>(VLOOKUP(main!V15,main!$AO$4:$AQ$55,3,FALSE))</f>
        <v>0</v>
      </c>
      <c r="O15" s="13">
        <f>(VLOOKUP(main!W15,main!$AO$4:$AQ$55,3,FALSE))</f>
        <v>0</v>
      </c>
      <c r="P15" s="13">
        <f>(VLOOKUP(main!X15,main!$AO$4:$AQ$55,3,FALSE))</f>
        <v>0</v>
      </c>
      <c r="Q15" s="12">
        <f>(VLOOKUP(main!Y15,main!$AO$4:$AQ$55,3,FALSE))</f>
        <v>0</v>
      </c>
      <c r="R15" s="12">
        <f>(VLOOKUP(main!Z15,main!$AO$4:$AQ$55,3,FALSE))</f>
        <v>0</v>
      </c>
      <c r="S15" s="12">
        <f>(VLOOKUP(main!AA15,main!$AO$4:$AQ$55,3,FALSE))</f>
        <v>0</v>
      </c>
      <c r="T15" s="12">
        <f>(VLOOKUP(main!AB15,main!$AO$4:$AQ$55,3,FALSE))</f>
        <v>0</v>
      </c>
      <c r="U15" s="12">
        <f>(VLOOKUP(main!AC15,main!$AO$4:$AQ$55,3,FALSE))</f>
        <v>0</v>
      </c>
      <c r="V15" s="12">
        <f>(VLOOKUP(main!AD15,main!$AO$4:$AQ$55,3,FALSE))</f>
        <v>0</v>
      </c>
      <c r="W15" s="13">
        <f>(VLOOKUP(main!AE15,main!$AO$4:$AQ$55,3,FALSE))</f>
        <v>0</v>
      </c>
      <c r="X15" s="13">
        <f>(VLOOKUP(main!AF15,main!$AO$4:$AQ$55,3,FALSE))</f>
        <v>0</v>
      </c>
    </row>
    <row r="16" spans="1:24">
      <c r="A16" s="12">
        <f>(VLOOKUP(main!I16,main!$AO$4:$AQ$55,3,FALSE))</f>
        <v>45</v>
      </c>
      <c r="B16" s="12">
        <f>(VLOOKUP(main!J16,main!$AO$4:$AQ$55,3,FALSE))</f>
        <v>45</v>
      </c>
      <c r="C16" s="12">
        <f>(VLOOKUP(main!K16,main!$AO$4:$AQ$55,3,FALSE))</f>
        <v>45</v>
      </c>
      <c r="D16" s="12">
        <f>(VLOOKUP(main!L16,main!$AO$4:$AQ$55,3,FALSE))</f>
        <v>45</v>
      </c>
      <c r="E16" s="12">
        <f>(VLOOKUP(main!M16,main!$AO$4:$AQ$55,3,FALSE))</f>
        <v>45</v>
      </c>
      <c r="F16" s="12">
        <f>(VLOOKUP(main!N16,main!$AO$4:$AQ$55,3,FALSE))</f>
        <v>45</v>
      </c>
      <c r="G16" s="13">
        <f>(VLOOKUP(main!O16,main!$AO$4:$AQ$55,3,FALSE))</f>
        <v>45</v>
      </c>
      <c r="H16" s="13">
        <f>(VLOOKUP(main!P16,main!$AO$4:$AQ$55,3,FALSE))</f>
        <v>45</v>
      </c>
      <c r="I16" s="12">
        <f>(VLOOKUP(main!Q16,main!$AO$4:$AQ$55,3,FALSE))</f>
        <v>30</v>
      </c>
      <c r="J16" s="12">
        <f>(VLOOKUP(main!R16,main!$AO$4:$AQ$55,3,FALSE))</f>
        <v>35</v>
      </c>
      <c r="K16" s="12">
        <f>(VLOOKUP(main!S16,main!$AO$4:$AQ$55,3,FALSE))</f>
        <v>35</v>
      </c>
      <c r="L16" s="12">
        <f>(VLOOKUP(main!T16,main!$AO$4:$AQ$55,3,FALSE))</f>
        <v>35</v>
      </c>
      <c r="M16" s="12">
        <f>(VLOOKUP(main!U16,main!$AO$4:$AQ$55,3,FALSE))</f>
        <v>35</v>
      </c>
      <c r="N16" s="12">
        <f>(VLOOKUP(main!V16,main!$AO$4:$AQ$55,3,FALSE))</f>
        <v>30</v>
      </c>
      <c r="O16" s="13">
        <f>(VLOOKUP(main!W16,main!$AO$4:$AQ$55,3,FALSE))</f>
        <v>40</v>
      </c>
      <c r="P16" s="13">
        <f>(VLOOKUP(main!X16,main!$AO$4:$AQ$55,3,FALSE))</f>
        <v>40</v>
      </c>
      <c r="Q16" s="12">
        <f>(VLOOKUP(main!Y16,main!$AO$4:$AQ$55,3,FALSE))</f>
        <v>40</v>
      </c>
      <c r="R16" s="12">
        <f>(VLOOKUP(main!Z16,main!$AO$4:$AQ$55,3,FALSE))</f>
        <v>40</v>
      </c>
      <c r="S16" s="12">
        <f>(VLOOKUP(main!AA16,main!$AO$4:$AQ$55,3,FALSE))</f>
        <v>40</v>
      </c>
      <c r="T16" s="12">
        <f>(VLOOKUP(main!AB16,main!$AO$4:$AQ$55,3,FALSE))</f>
        <v>40</v>
      </c>
      <c r="U16" s="12">
        <f>(VLOOKUP(main!AC16,main!$AO$4:$AQ$55,3,FALSE))</f>
        <v>30</v>
      </c>
      <c r="V16" s="12">
        <f>(VLOOKUP(main!AD16,main!$AO$4:$AQ$55,3,FALSE))</f>
        <v>40</v>
      </c>
      <c r="W16" s="13">
        <f>(VLOOKUP(main!AE16,main!$AO$4:$AQ$55,3,FALSE))</f>
        <v>0</v>
      </c>
      <c r="X16" s="13">
        <f>(VLOOKUP(main!AF16,main!$AO$4:$AQ$55,3,FALSE))</f>
        <v>0</v>
      </c>
    </row>
    <row r="17" spans="1:24">
      <c r="A17" s="12">
        <f>(VLOOKUP(main!I17,main!$AO$4:$AQ$55,3,FALSE))</f>
        <v>45</v>
      </c>
      <c r="B17" s="12">
        <f>(VLOOKUP(main!J17,main!$AO$4:$AQ$55,3,FALSE))</f>
        <v>45</v>
      </c>
      <c r="C17" s="12">
        <f>(VLOOKUP(main!K17,main!$AO$4:$AQ$55,3,FALSE))</f>
        <v>45</v>
      </c>
      <c r="D17" s="12">
        <f>(VLOOKUP(main!L17,main!$AO$4:$AQ$55,3,FALSE))</f>
        <v>45</v>
      </c>
      <c r="E17" s="12">
        <f>(VLOOKUP(main!M17,main!$AO$4:$AQ$55,3,FALSE))</f>
        <v>45</v>
      </c>
      <c r="F17" s="12">
        <f>(VLOOKUP(main!N17,main!$AO$4:$AQ$55,3,FALSE))</f>
        <v>45</v>
      </c>
      <c r="G17" s="13">
        <f>(VLOOKUP(main!O17,main!$AO$4:$AQ$55,3,FALSE))</f>
        <v>45</v>
      </c>
      <c r="H17" s="13">
        <f>(VLOOKUP(main!P17,main!$AO$4:$AQ$55,3,FALSE))</f>
        <v>45</v>
      </c>
      <c r="I17" s="12">
        <f>(VLOOKUP(main!Q17,main!$AO$4:$AQ$55,3,FALSE))</f>
        <v>45</v>
      </c>
      <c r="J17" s="12">
        <f>(VLOOKUP(main!R17,main!$AO$4:$AQ$55,3,FALSE))</f>
        <v>30</v>
      </c>
      <c r="K17" s="12">
        <f>(VLOOKUP(main!S17,main!$AO$4:$AQ$55,3,FALSE))</f>
        <v>45</v>
      </c>
      <c r="L17" s="12">
        <f>(VLOOKUP(main!T17,main!$AO$4:$AQ$55,3,FALSE))</f>
        <v>45</v>
      </c>
      <c r="M17" s="12">
        <f>(VLOOKUP(main!U17,main!$AO$4:$AQ$55,3,FALSE))</f>
        <v>45</v>
      </c>
      <c r="N17" s="12">
        <f>(VLOOKUP(main!V17,main!$AO$4:$AQ$55,3,FALSE))</f>
        <v>0</v>
      </c>
      <c r="O17" s="13">
        <f>(VLOOKUP(main!W17,main!$AO$4:$AQ$55,3,FALSE))</f>
        <v>45</v>
      </c>
      <c r="P17" s="13">
        <f>(VLOOKUP(main!X17,main!$AO$4:$AQ$55,3,FALSE))</f>
        <v>45</v>
      </c>
      <c r="Q17" s="12">
        <f>(VLOOKUP(main!Y17,main!$AO$4:$AQ$55,3,FALSE))</f>
        <v>45</v>
      </c>
      <c r="R17" s="12">
        <f>(VLOOKUP(main!Z17,main!$AO$4:$AQ$55,3,FALSE))</f>
        <v>45</v>
      </c>
      <c r="S17" s="12">
        <f>(VLOOKUP(main!AA17,main!$AO$4:$AQ$55,3,FALSE))</f>
        <v>45</v>
      </c>
      <c r="T17" s="12">
        <f>(VLOOKUP(main!AB17,main!$AO$4:$AQ$55,3,FALSE))</f>
        <v>45</v>
      </c>
      <c r="U17" s="12">
        <f>(VLOOKUP(main!AC17,main!$AO$4:$AQ$55,3,FALSE))</f>
        <v>45</v>
      </c>
      <c r="V17" s="12">
        <f>(VLOOKUP(main!AD17,main!$AO$4:$AQ$55,3,FALSE))</f>
        <v>45</v>
      </c>
      <c r="W17" s="13">
        <f>(VLOOKUP(main!AE17,main!$AO$4:$AQ$55,3,FALSE))</f>
        <v>45</v>
      </c>
      <c r="X17" s="13">
        <f>(VLOOKUP(main!AF17,main!$AO$4:$AQ$55,3,FALSE))</f>
        <v>0</v>
      </c>
    </row>
    <row r="18" spans="1:24">
      <c r="A18" s="12">
        <f>(VLOOKUP(main!I18,main!$AO$4:$AQ$55,3,FALSE))</f>
        <v>0</v>
      </c>
      <c r="B18" s="12">
        <f>(VLOOKUP(main!J18,main!$AO$4:$AQ$55,3,FALSE))</f>
        <v>0</v>
      </c>
      <c r="C18" s="12">
        <f>(VLOOKUP(main!K18,main!$AO$4:$AQ$55,3,FALSE))</f>
        <v>0</v>
      </c>
      <c r="D18" s="12">
        <f>(VLOOKUP(main!L18,main!$AO$4:$AQ$55,3,FALSE))</f>
        <v>0</v>
      </c>
      <c r="E18" s="12">
        <f>(VLOOKUP(main!M18,main!$AO$4:$AQ$55,3,FALSE))</f>
        <v>0</v>
      </c>
      <c r="F18" s="12">
        <f>(VLOOKUP(main!N18,main!$AO$4:$AQ$55,3,FALSE))</f>
        <v>0</v>
      </c>
      <c r="G18" s="13">
        <f>(VLOOKUP(main!O18,main!$AO$4:$AQ$55,3,FALSE))</f>
        <v>0</v>
      </c>
      <c r="H18" s="13">
        <f>(VLOOKUP(main!P18,main!$AO$4:$AQ$55,3,FALSE))</f>
        <v>0</v>
      </c>
      <c r="I18" s="12">
        <f>(VLOOKUP(main!Q18,main!$AO$4:$AQ$55,3,FALSE))</f>
        <v>0</v>
      </c>
      <c r="J18" s="12">
        <f>(VLOOKUP(main!R18,main!$AO$4:$AQ$55,3,FALSE))</f>
        <v>0</v>
      </c>
      <c r="K18" s="12">
        <f>(VLOOKUP(main!S18,main!$AO$4:$AQ$55,3,FALSE))</f>
        <v>0</v>
      </c>
      <c r="L18" s="12">
        <f>(VLOOKUP(main!T18,main!$AO$4:$AQ$55,3,FALSE))</f>
        <v>0</v>
      </c>
      <c r="M18" s="12">
        <f>(VLOOKUP(main!U18,main!$AO$4:$AQ$55,3,FALSE))</f>
        <v>0</v>
      </c>
      <c r="N18" s="12">
        <f>(VLOOKUP(main!V18,main!$AO$4:$AQ$55,3,FALSE))</f>
        <v>0</v>
      </c>
      <c r="O18" s="13">
        <f>(VLOOKUP(main!W18,main!$AO$4:$AQ$55,3,FALSE))</f>
        <v>0</v>
      </c>
      <c r="P18" s="13">
        <f>(VLOOKUP(main!X18,main!$AO$4:$AQ$55,3,FALSE))</f>
        <v>0</v>
      </c>
      <c r="Q18" s="12">
        <f>(VLOOKUP(main!Y18,main!$AO$4:$AQ$55,3,FALSE))</f>
        <v>0</v>
      </c>
      <c r="R18" s="12">
        <f>(VLOOKUP(main!Z18,main!$AO$4:$AQ$55,3,FALSE))</f>
        <v>0</v>
      </c>
      <c r="S18" s="12">
        <f>(VLOOKUP(main!AA18,main!$AO$4:$AQ$55,3,FALSE))</f>
        <v>0</v>
      </c>
      <c r="T18" s="12">
        <f>(VLOOKUP(main!AB18,main!$AO$4:$AQ$55,3,FALSE))</f>
        <v>0</v>
      </c>
      <c r="U18" s="12">
        <f>(VLOOKUP(main!AC18,main!$AO$4:$AQ$55,3,FALSE))</f>
        <v>0</v>
      </c>
      <c r="V18" s="12">
        <f>(VLOOKUP(main!AD18,main!$AO$4:$AQ$55,3,FALSE))</f>
        <v>0</v>
      </c>
      <c r="W18" s="13">
        <f>(VLOOKUP(main!AE18,main!$AO$4:$AQ$55,3,FALSE))</f>
        <v>0</v>
      </c>
      <c r="X18" s="13">
        <f>(VLOOKUP(main!AF18,main!$AO$4:$AQ$55,3,FALSE))</f>
        <v>0</v>
      </c>
    </row>
    <row r="19" spans="1:24">
      <c r="A19" s="12">
        <f>(VLOOKUP(main!I19,main!$AO$4:$AQ$55,3,FALSE))</f>
        <v>0</v>
      </c>
      <c r="B19" s="12">
        <f>(VLOOKUP(main!J19,main!$AO$4:$AQ$55,3,FALSE))</f>
        <v>0</v>
      </c>
      <c r="C19" s="12">
        <f>(VLOOKUP(main!K19,main!$AO$4:$AQ$55,3,FALSE))</f>
        <v>0</v>
      </c>
      <c r="D19" s="12">
        <f>(VLOOKUP(main!L19,main!$AO$4:$AQ$55,3,FALSE))</f>
        <v>0</v>
      </c>
      <c r="E19" s="12">
        <f>(VLOOKUP(main!M19,main!$AO$4:$AQ$55,3,FALSE))</f>
        <v>0</v>
      </c>
      <c r="F19" s="12">
        <f>(VLOOKUP(main!N19,main!$AO$4:$AQ$55,3,FALSE))</f>
        <v>0</v>
      </c>
      <c r="G19" s="13">
        <f>(VLOOKUP(main!O19,main!$AO$4:$AQ$55,3,FALSE))</f>
        <v>0</v>
      </c>
      <c r="H19" s="13">
        <f>(VLOOKUP(main!P19,main!$AO$4:$AQ$55,3,FALSE))</f>
        <v>0</v>
      </c>
      <c r="I19" s="12">
        <f>(VLOOKUP(main!Q19,main!$AO$4:$AQ$55,3,FALSE))</f>
        <v>0</v>
      </c>
      <c r="J19" s="12">
        <f>(VLOOKUP(main!R19,main!$AO$4:$AQ$55,3,FALSE))</f>
        <v>0</v>
      </c>
      <c r="K19" s="12">
        <f>(VLOOKUP(main!S19,main!$AO$4:$AQ$55,3,FALSE))</f>
        <v>0</v>
      </c>
      <c r="L19" s="12">
        <f>(VLOOKUP(main!T19,main!$AO$4:$AQ$55,3,FALSE))</f>
        <v>0</v>
      </c>
      <c r="M19" s="12">
        <f>(VLOOKUP(main!U19,main!$AO$4:$AQ$55,3,FALSE))</f>
        <v>0</v>
      </c>
      <c r="N19" s="12">
        <f>(VLOOKUP(main!V19,main!$AO$4:$AQ$55,3,FALSE))</f>
        <v>0</v>
      </c>
      <c r="O19" s="13">
        <f>(VLOOKUP(main!W19,main!$AO$4:$AQ$55,3,FALSE))</f>
        <v>0</v>
      </c>
      <c r="P19" s="13">
        <f>(VLOOKUP(main!X19,main!$AO$4:$AQ$55,3,FALSE))</f>
        <v>0</v>
      </c>
      <c r="Q19" s="12">
        <f>(VLOOKUP(main!Y19,main!$AO$4:$AQ$55,3,FALSE))</f>
        <v>0</v>
      </c>
      <c r="R19" s="12">
        <f>(VLOOKUP(main!Z19,main!$AO$4:$AQ$55,3,FALSE))</f>
        <v>0</v>
      </c>
      <c r="S19" s="12">
        <f>(VLOOKUP(main!AA19,main!$AO$4:$AQ$55,3,FALSE))</f>
        <v>0</v>
      </c>
      <c r="T19" s="12">
        <f>(VLOOKUP(main!AB19,main!$AO$4:$AQ$55,3,FALSE))</f>
        <v>0</v>
      </c>
      <c r="U19" s="12">
        <f>(VLOOKUP(main!AC19,main!$AO$4:$AQ$55,3,FALSE))</f>
        <v>0</v>
      </c>
      <c r="V19" s="12">
        <f>(VLOOKUP(main!AD19,main!$AO$4:$AQ$55,3,FALSE))</f>
        <v>0</v>
      </c>
      <c r="W19" s="13">
        <f>(VLOOKUP(main!AE19,main!$AO$4:$AQ$55,3,FALSE))</f>
        <v>0</v>
      </c>
      <c r="X19" s="13">
        <f>(VLOOKUP(main!AF19,main!$AO$4:$AQ$55,3,FALSE))</f>
        <v>0</v>
      </c>
    </row>
    <row r="20" spans="1:24">
      <c r="A20" s="12">
        <f>(VLOOKUP(main!I20,main!$AO$4:$AQ$55,3,FALSE))</f>
        <v>50</v>
      </c>
      <c r="B20" s="12">
        <f>(VLOOKUP(main!J20,main!$AO$4:$AQ$55,3,FALSE))</f>
        <v>50</v>
      </c>
      <c r="C20" s="12">
        <f>(VLOOKUP(main!K20,main!$AO$4:$AQ$55,3,FALSE))</f>
        <v>50</v>
      </c>
      <c r="D20" s="12">
        <f>(VLOOKUP(main!L20,main!$AO$4:$AQ$55,3,FALSE))</f>
        <v>50</v>
      </c>
      <c r="E20" s="12">
        <f>(VLOOKUP(main!M20,main!$AO$4:$AQ$55,3,FALSE))</f>
        <v>50</v>
      </c>
      <c r="F20" s="12">
        <f>(VLOOKUP(main!N20,main!$AO$4:$AQ$55,3,FALSE))</f>
        <v>50</v>
      </c>
      <c r="G20" s="13">
        <f>(VLOOKUP(main!O20,main!$AO$4:$AQ$55,3,FALSE))</f>
        <v>50</v>
      </c>
      <c r="H20" s="13">
        <f>(VLOOKUP(main!P20,main!$AO$4:$AQ$55,3,FALSE))</f>
        <v>50</v>
      </c>
      <c r="I20" s="12">
        <f>(VLOOKUP(main!Q20,main!$AO$4:$AQ$55,3,FALSE))</f>
        <v>55</v>
      </c>
      <c r="J20" s="12">
        <f>(VLOOKUP(main!R20,main!$AO$4:$AQ$55,3,FALSE))</f>
        <v>55</v>
      </c>
      <c r="K20" s="12">
        <f>(VLOOKUP(main!S20,main!$AO$4:$AQ$55,3,FALSE))</f>
        <v>55</v>
      </c>
      <c r="L20" s="12">
        <f>(VLOOKUP(main!T20,main!$AO$4:$AQ$55,3,FALSE))</f>
        <v>55</v>
      </c>
      <c r="M20" s="12">
        <f>(VLOOKUP(main!U20,main!$AO$4:$AQ$55,3,FALSE))</f>
        <v>55</v>
      </c>
      <c r="N20" s="12">
        <f>(VLOOKUP(main!V20,main!$AO$4:$AQ$55,3,FALSE))</f>
        <v>55</v>
      </c>
      <c r="O20" s="13">
        <f>(VLOOKUP(main!W20,main!$AO$4:$AQ$55,3,FALSE))</f>
        <v>55</v>
      </c>
      <c r="P20" s="13">
        <f>(VLOOKUP(main!X20,main!$AO$4:$AQ$55,3,FALSE))</f>
        <v>55</v>
      </c>
      <c r="Q20" s="12">
        <f>(VLOOKUP(main!Y20,main!$AO$4:$AQ$55,3,FALSE))</f>
        <v>60</v>
      </c>
      <c r="R20" s="12">
        <f>(VLOOKUP(main!Z20,main!$AO$4:$AQ$55,3,FALSE))</f>
        <v>60</v>
      </c>
      <c r="S20" s="12">
        <f>(VLOOKUP(main!AA20,main!$AO$4:$AQ$55,3,FALSE))</f>
        <v>60</v>
      </c>
      <c r="T20" s="12">
        <f>(VLOOKUP(main!AB20,main!$AO$4:$AQ$55,3,FALSE))</f>
        <v>60</v>
      </c>
      <c r="U20" s="12">
        <f>(VLOOKUP(main!AC20,main!$AO$4:$AQ$55,3,FALSE))</f>
        <v>60</v>
      </c>
      <c r="V20" s="12">
        <f>(VLOOKUP(main!AD20,main!$AO$4:$AQ$55,3,FALSE))</f>
        <v>60</v>
      </c>
      <c r="W20" s="13">
        <f>(VLOOKUP(main!AE20,main!$AO$4:$AQ$55,3,FALSE))</f>
        <v>60</v>
      </c>
      <c r="X20" s="13">
        <f>(VLOOKUP(main!AF20,main!$AO$4:$AQ$55,3,FALSE))</f>
        <v>60</v>
      </c>
    </row>
    <row r="21" spans="1:24">
      <c r="A21" s="12">
        <f>(VLOOKUP(main!I21,main!$AO$4:$AQ$55,3,FALSE))</f>
        <v>50</v>
      </c>
      <c r="B21" s="12">
        <f>(VLOOKUP(main!J21,main!$AO$4:$AQ$55,3,FALSE))</f>
        <v>50</v>
      </c>
      <c r="C21" s="12">
        <f>(VLOOKUP(main!K21,main!$AO$4:$AQ$55,3,FALSE))</f>
        <v>50</v>
      </c>
      <c r="D21" s="12">
        <f>(VLOOKUP(main!L21,main!$AO$4:$AQ$55,3,FALSE))</f>
        <v>50</v>
      </c>
      <c r="E21" s="12">
        <f>(VLOOKUP(main!M21,main!$AO$4:$AQ$55,3,FALSE))</f>
        <v>50</v>
      </c>
      <c r="F21" s="12">
        <f>(VLOOKUP(main!N21,main!$AO$4:$AQ$55,3,FALSE))</f>
        <v>50</v>
      </c>
      <c r="G21" s="13">
        <f>(VLOOKUP(main!O21,main!$AO$4:$AQ$55,3,FALSE))</f>
        <v>50</v>
      </c>
      <c r="H21" s="13">
        <f>(VLOOKUP(main!P21,main!$AO$4:$AQ$55,3,FALSE))</f>
        <v>50</v>
      </c>
      <c r="I21" s="12">
        <f>(VLOOKUP(main!Q21,main!$AO$4:$AQ$55,3,FALSE))</f>
        <v>55</v>
      </c>
      <c r="J21" s="12">
        <f>(VLOOKUP(main!R21,main!$AO$4:$AQ$55,3,FALSE))</f>
        <v>55</v>
      </c>
      <c r="K21" s="12">
        <f>(VLOOKUP(main!S21,main!$AO$4:$AQ$55,3,FALSE))</f>
        <v>55</v>
      </c>
      <c r="L21" s="12">
        <f>(VLOOKUP(main!T21,main!$AO$4:$AQ$55,3,FALSE))</f>
        <v>55</v>
      </c>
      <c r="M21" s="12">
        <f>(VLOOKUP(main!U21,main!$AO$4:$AQ$55,3,FALSE))</f>
        <v>55</v>
      </c>
      <c r="N21" s="12">
        <f>(VLOOKUP(main!V21,main!$AO$4:$AQ$55,3,FALSE))</f>
        <v>55</v>
      </c>
      <c r="O21" s="13">
        <f>(VLOOKUP(main!W21,main!$AO$4:$AQ$55,3,FALSE))</f>
        <v>55</v>
      </c>
      <c r="P21" s="13">
        <f>(VLOOKUP(main!X21,main!$AO$4:$AQ$55,3,FALSE))</f>
        <v>55</v>
      </c>
      <c r="Q21" s="12">
        <f>(VLOOKUP(main!Y21,main!$AO$4:$AQ$55,3,FALSE))</f>
        <v>60</v>
      </c>
      <c r="R21" s="12">
        <f>(VLOOKUP(main!Z21,main!$AO$4:$AQ$55,3,FALSE))</f>
        <v>60</v>
      </c>
      <c r="S21" s="12">
        <f>(VLOOKUP(main!AA21,main!$AO$4:$AQ$55,3,FALSE))</f>
        <v>60</v>
      </c>
      <c r="T21" s="12">
        <f>(VLOOKUP(main!AB21,main!$AO$4:$AQ$55,3,FALSE))</f>
        <v>60</v>
      </c>
      <c r="U21" s="12">
        <f>(VLOOKUP(main!AC21,main!$AO$4:$AQ$55,3,FALSE))</f>
        <v>60</v>
      </c>
      <c r="V21" s="12">
        <f>(VLOOKUP(main!AD21,main!$AO$4:$AQ$55,3,FALSE))</f>
        <v>60</v>
      </c>
      <c r="W21" s="13">
        <f>(VLOOKUP(main!AE21,main!$AO$4:$AQ$55,3,FALSE))</f>
        <v>60</v>
      </c>
      <c r="X21" s="13">
        <f>(VLOOKUP(main!AF21,main!$AO$4:$AQ$55,3,FALSE))</f>
        <v>60</v>
      </c>
    </row>
    <row r="22" spans="1:24">
      <c r="A22" s="12">
        <f>(VLOOKUP(main!I22,main!$AO$4:$AQ$55,3,FALSE))</f>
        <v>50</v>
      </c>
      <c r="B22" s="12">
        <f>(VLOOKUP(main!J22,main!$AO$4:$AQ$55,3,FALSE))</f>
        <v>50</v>
      </c>
      <c r="C22" s="12">
        <f>(VLOOKUP(main!K22,main!$AO$4:$AQ$55,3,FALSE))</f>
        <v>50</v>
      </c>
      <c r="D22" s="12">
        <f>(VLOOKUP(main!L22,main!$AO$4:$AQ$55,3,FALSE))</f>
        <v>50</v>
      </c>
      <c r="E22" s="12">
        <f>(VLOOKUP(main!M22,main!$AO$4:$AQ$55,3,FALSE))</f>
        <v>50</v>
      </c>
      <c r="F22" s="12">
        <f>(VLOOKUP(main!N22,main!$AO$4:$AQ$55,3,FALSE))</f>
        <v>50</v>
      </c>
      <c r="G22" s="13">
        <f>(VLOOKUP(main!O22,main!$AO$4:$AQ$55,3,FALSE))</f>
        <v>50</v>
      </c>
      <c r="H22" s="13">
        <f>(VLOOKUP(main!P22,main!$AO$4:$AQ$55,3,FALSE))</f>
        <v>50</v>
      </c>
      <c r="I22" s="12">
        <f>(VLOOKUP(main!Q22,main!$AO$4:$AQ$55,3,FALSE))</f>
        <v>55</v>
      </c>
      <c r="J22" s="12">
        <f>(VLOOKUP(main!R22,main!$AO$4:$AQ$55,3,FALSE))</f>
        <v>55</v>
      </c>
      <c r="K22" s="12">
        <f>(VLOOKUP(main!S22,main!$AO$4:$AQ$55,3,FALSE))</f>
        <v>55</v>
      </c>
      <c r="L22" s="12">
        <f>(VLOOKUP(main!T22,main!$AO$4:$AQ$55,3,FALSE))</f>
        <v>55</v>
      </c>
      <c r="M22" s="12">
        <f>(VLOOKUP(main!U22,main!$AO$4:$AQ$55,3,FALSE))</f>
        <v>55</v>
      </c>
      <c r="N22" s="12">
        <f>(VLOOKUP(main!V22,main!$AO$4:$AQ$55,3,FALSE))</f>
        <v>55</v>
      </c>
      <c r="O22" s="13">
        <f>(VLOOKUP(main!W22,main!$AO$4:$AQ$55,3,FALSE))</f>
        <v>55</v>
      </c>
      <c r="P22" s="13">
        <f>(VLOOKUP(main!X22,main!$AO$4:$AQ$55,3,FALSE))</f>
        <v>55</v>
      </c>
      <c r="Q22" s="12">
        <f>(VLOOKUP(main!Y22,main!$AO$4:$AQ$55,3,FALSE))</f>
        <v>60</v>
      </c>
      <c r="R22" s="12">
        <f>(VLOOKUP(main!Z22,main!$AO$4:$AQ$55,3,FALSE))</f>
        <v>60</v>
      </c>
      <c r="S22" s="12">
        <f>(VLOOKUP(main!AA22,main!$AO$4:$AQ$55,3,FALSE))</f>
        <v>60</v>
      </c>
      <c r="T22" s="12">
        <f>(VLOOKUP(main!AB22,main!$AO$4:$AQ$55,3,FALSE))</f>
        <v>60</v>
      </c>
      <c r="U22" s="12">
        <f>(VLOOKUP(main!AC22,main!$AO$4:$AQ$55,3,FALSE))</f>
        <v>60</v>
      </c>
      <c r="V22" s="12">
        <f>(VLOOKUP(main!AD22,main!$AO$4:$AQ$55,3,FALSE))</f>
        <v>60</v>
      </c>
      <c r="W22" s="13">
        <f>(VLOOKUP(main!AE22,main!$AO$4:$AQ$55,3,FALSE))</f>
        <v>60</v>
      </c>
      <c r="X22" s="13">
        <f>(VLOOKUP(main!AF22,main!$AO$4:$AQ$55,3,FALSE))</f>
        <v>60</v>
      </c>
    </row>
    <row r="23" spans="1:24">
      <c r="A23" s="12">
        <f>(VLOOKUP(main!I23,main!$AO$4:$AQ$55,3,FALSE))</f>
        <v>50</v>
      </c>
      <c r="B23" s="12">
        <f>(VLOOKUP(main!J23,main!$AO$4:$AQ$55,3,FALSE))</f>
        <v>50</v>
      </c>
      <c r="C23" s="12">
        <f>(VLOOKUP(main!K23,main!$AO$4:$AQ$55,3,FALSE))</f>
        <v>50</v>
      </c>
      <c r="D23" s="12">
        <f>(VLOOKUP(main!L23,main!$AO$4:$AQ$55,3,FALSE))</f>
        <v>50</v>
      </c>
      <c r="E23" s="12">
        <f>(VLOOKUP(main!M23,main!$AO$4:$AQ$55,3,FALSE))</f>
        <v>50</v>
      </c>
      <c r="F23" s="12">
        <f>(VLOOKUP(main!N23,main!$AO$4:$AQ$55,3,FALSE))</f>
        <v>50</v>
      </c>
      <c r="G23" s="13">
        <f>(VLOOKUP(main!O23,main!$AO$4:$AQ$55,3,FALSE))</f>
        <v>50</v>
      </c>
      <c r="H23" s="13">
        <f>(VLOOKUP(main!P23,main!$AO$4:$AQ$55,3,FALSE))</f>
        <v>50</v>
      </c>
      <c r="I23" s="12">
        <f>(VLOOKUP(main!Q23,main!$AO$4:$AQ$55,3,FALSE))</f>
        <v>55</v>
      </c>
      <c r="J23" s="12">
        <f>(VLOOKUP(main!R23,main!$AO$4:$AQ$55,3,FALSE))</f>
        <v>55</v>
      </c>
      <c r="K23" s="12">
        <f>(VLOOKUP(main!S23,main!$AO$4:$AQ$55,3,FALSE))</f>
        <v>55</v>
      </c>
      <c r="L23" s="12">
        <f>(VLOOKUP(main!T23,main!$AO$4:$AQ$55,3,FALSE))</f>
        <v>55</v>
      </c>
      <c r="M23" s="12">
        <f>(VLOOKUP(main!U23,main!$AO$4:$AQ$55,3,FALSE))</f>
        <v>55</v>
      </c>
      <c r="N23" s="12">
        <f>(VLOOKUP(main!V23,main!$AO$4:$AQ$55,3,FALSE))</f>
        <v>55</v>
      </c>
      <c r="O23" s="13">
        <f>(VLOOKUP(main!W23,main!$AO$4:$AQ$55,3,FALSE))</f>
        <v>55</v>
      </c>
      <c r="P23" s="13">
        <f>(VLOOKUP(main!X23,main!$AO$4:$AQ$55,3,FALSE))</f>
        <v>55</v>
      </c>
      <c r="Q23" s="12">
        <f>(VLOOKUP(main!Y23,main!$AO$4:$AQ$55,3,FALSE))</f>
        <v>60</v>
      </c>
      <c r="R23" s="12">
        <f>(VLOOKUP(main!Z23,main!$AO$4:$AQ$55,3,FALSE))</f>
        <v>60</v>
      </c>
      <c r="S23" s="12">
        <f>(VLOOKUP(main!AA23,main!$AO$4:$AQ$55,3,FALSE))</f>
        <v>60</v>
      </c>
      <c r="T23" s="12">
        <f>(VLOOKUP(main!AB23,main!$AO$4:$AQ$55,3,FALSE))</f>
        <v>60</v>
      </c>
      <c r="U23" s="12">
        <f>(VLOOKUP(main!AC23,main!$AO$4:$AQ$55,3,FALSE))</f>
        <v>60</v>
      </c>
      <c r="V23" s="12">
        <f>(VLOOKUP(main!AD23,main!$AO$4:$AQ$55,3,FALSE))</f>
        <v>60</v>
      </c>
      <c r="W23" s="13">
        <f>(VLOOKUP(main!AE23,main!$AO$4:$AQ$55,3,FALSE))</f>
        <v>60</v>
      </c>
      <c r="X23" s="13">
        <f>(VLOOKUP(main!AF23,main!$AO$4:$AQ$55,3,FALSE))</f>
        <v>60</v>
      </c>
    </row>
    <row r="24" spans="1:24">
      <c r="A24" s="12">
        <f>(VLOOKUP(main!I24,main!$AO$4:$AQ$55,3,FALSE))</f>
        <v>50</v>
      </c>
      <c r="B24" s="12">
        <f>(VLOOKUP(main!J24,main!$AO$4:$AQ$55,3,FALSE))</f>
        <v>50</v>
      </c>
      <c r="C24" s="12">
        <f>(VLOOKUP(main!K24,main!$AO$4:$AQ$55,3,FALSE))</f>
        <v>50</v>
      </c>
      <c r="D24" s="12">
        <f>(VLOOKUP(main!L24,main!$AO$4:$AQ$55,3,FALSE))</f>
        <v>50</v>
      </c>
      <c r="E24" s="12">
        <f>(VLOOKUP(main!M24,main!$AO$4:$AQ$55,3,FALSE))</f>
        <v>50</v>
      </c>
      <c r="F24" s="12">
        <f>(VLOOKUP(main!N24,main!$AO$4:$AQ$55,3,FALSE))</f>
        <v>50</v>
      </c>
      <c r="G24" s="13">
        <f>(VLOOKUP(main!O24,main!$AO$4:$AQ$55,3,FALSE))</f>
        <v>50</v>
      </c>
      <c r="H24" s="13">
        <f>(VLOOKUP(main!P24,main!$AO$4:$AQ$55,3,FALSE))</f>
        <v>50</v>
      </c>
      <c r="I24" s="12">
        <f>(VLOOKUP(main!Q24,main!$AO$4:$AQ$55,3,FALSE))</f>
        <v>55</v>
      </c>
      <c r="J24" s="12">
        <f>(VLOOKUP(main!R24,main!$AO$4:$AQ$55,3,FALSE))</f>
        <v>55</v>
      </c>
      <c r="K24" s="12">
        <f>(VLOOKUP(main!S24,main!$AO$4:$AQ$55,3,FALSE))</f>
        <v>55</v>
      </c>
      <c r="L24" s="12">
        <f>(VLOOKUP(main!T24,main!$AO$4:$AQ$55,3,FALSE))</f>
        <v>55</v>
      </c>
      <c r="M24" s="12">
        <f>(VLOOKUP(main!U24,main!$AO$4:$AQ$55,3,FALSE))</f>
        <v>55</v>
      </c>
      <c r="N24" s="12">
        <f>(VLOOKUP(main!V24,main!$AO$4:$AQ$55,3,FALSE))</f>
        <v>55</v>
      </c>
      <c r="O24" s="13">
        <f>(VLOOKUP(main!W24,main!$AO$4:$AQ$55,3,FALSE))</f>
        <v>55</v>
      </c>
      <c r="P24" s="13">
        <f>(VLOOKUP(main!X24,main!$AO$4:$AQ$55,3,FALSE))</f>
        <v>55</v>
      </c>
      <c r="Q24" s="12">
        <f>(VLOOKUP(main!Y24,main!$AO$4:$AQ$55,3,FALSE))</f>
        <v>60</v>
      </c>
      <c r="R24" s="12">
        <f>(VLOOKUP(main!Z24,main!$AO$4:$AQ$55,3,FALSE))</f>
        <v>60</v>
      </c>
      <c r="S24" s="12">
        <f>(VLOOKUP(main!AA24,main!$AO$4:$AQ$55,3,FALSE))</f>
        <v>60</v>
      </c>
      <c r="T24" s="12">
        <f>(VLOOKUP(main!AB24,main!$AO$4:$AQ$55,3,FALSE))</f>
        <v>60</v>
      </c>
      <c r="U24" s="12">
        <f>(VLOOKUP(main!AC24,main!$AO$4:$AQ$55,3,FALSE))</f>
        <v>60</v>
      </c>
      <c r="V24" s="12">
        <f>(VLOOKUP(main!AD24,main!$AO$4:$AQ$55,3,FALSE))</f>
        <v>60</v>
      </c>
      <c r="W24" s="13">
        <f>(VLOOKUP(main!AE24,main!$AO$4:$AQ$55,3,FALSE))</f>
        <v>60</v>
      </c>
      <c r="X24" s="13">
        <f>(VLOOKUP(main!AF24,main!$AO$4:$AQ$55,3,FALSE))</f>
        <v>60</v>
      </c>
    </row>
    <row r="25" spans="1:24">
      <c r="A25" s="12">
        <f>(VLOOKUP(main!I25,main!$AO$4:$AQ$55,3,FALSE))</f>
        <v>50</v>
      </c>
      <c r="B25" s="12">
        <f>(VLOOKUP(main!J25,main!$AO$4:$AQ$55,3,FALSE))</f>
        <v>50</v>
      </c>
      <c r="C25" s="12">
        <f>(VLOOKUP(main!K25,main!$AO$4:$AQ$55,3,FALSE))</f>
        <v>50</v>
      </c>
      <c r="D25" s="12">
        <f>(VLOOKUP(main!L25,main!$AO$4:$AQ$55,3,FALSE))</f>
        <v>50</v>
      </c>
      <c r="E25" s="12">
        <f>(VLOOKUP(main!M25,main!$AO$4:$AQ$55,3,FALSE))</f>
        <v>50</v>
      </c>
      <c r="F25" s="12">
        <f>(VLOOKUP(main!N25,main!$AO$4:$AQ$55,3,FALSE))</f>
        <v>50</v>
      </c>
      <c r="G25" s="13">
        <f>(VLOOKUP(main!O25,main!$AO$4:$AQ$55,3,FALSE))</f>
        <v>50</v>
      </c>
      <c r="H25" s="13">
        <f>(VLOOKUP(main!P25,main!$AO$4:$AQ$55,3,FALSE))</f>
        <v>50</v>
      </c>
      <c r="I25" s="12">
        <f>(VLOOKUP(main!Q25,main!$AO$4:$AQ$55,3,FALSE))</f>
        <v>55</v>
      </c>
      <c r="J25" s="12">
        <f>(VLOOKUP(main!R25,main!$AO$4:$AQ$55,3,FALSE))</f>
        <v>55</v>
      </c>
      <c r="K25" s="12">
        <f>(VLOOKUP(main!S25,main!$AO$4:$AQ$55,3,FALSE))</f>
        <v>55</v>
      </c>
      <c r="L25" s="12">
        <f>(VLOOKUP(main!T25,main!$AO$4:$AQ$55,3,FALSE))</f>
        <v>55</v>
      </c>
      <c r="M25" s="12">
        <f>(VLOOKUP(main!U25,main!$AO$4:$AQ$55,3,FALSE))</f>
        <v>55</v>
      </c>
      <c r="N25" s="12">
        <f>(VLOOKUP(main!V25,main!$AO$4:$AQ$55,3,FALSE))</f>
        <v>55</v>
      </c>
      <c r="O25" s="13">
        <f>(VLOOKUP(main!W25,main!$AO$4:$AQ$55,3,FALSE))</f>
        <v>55</v>
      </c>
      <c r="P25" s="13">
        <f>(VLOOKUP(main!X25,main!$AO$4:$AQ$55,3,FALSE))</f>
        <v>55</v>
      </c>
      <c r="Q25" s="12">
        <f>(VLOOKUP(main!Y25,main!$AO$4:$AQ$55,3,FALSE))</f>
        <v>60</v>
      </c>
      <c r="R25" s="12">
        <f>(VLOOKUP(main!Z25,main!$AO$4:$AQ$55,3,FALSE))</f>
        <v>60</v>
      </c>
      <c r="S25" s="12">
        <f>(VLOOKUP(main!AA25,main!$AO$4:$AQ$55,3,FALSE))</f>
        <v>60</v>
      </c>
      <c r="T25" s="12">
        <f>(VLOOKUP(main!AB25,main!$AO$4:$AQ$55,3,FALSE))</f>
        <v>60</v>
      </c>
      <c r="U25" s="12">
        <f>(VLOOKUP(main!AC25,main!$AO$4:$AQ$55,3,FALSE))</f>
        <v>60</v>
      </c>
      <c r="V25" s="12">
        <f>(VLOOKUP(main!AD25,main!$AO$4:$AQ$55,3,FALSE))</f>
        <v>60</v>
      </c>
      <c r="W25" s="13">
        <f>(VLOOKUP(main!AE25,main!$AO$4:$AQ$55,3,FALSE))</f>
        <v>60</v>
      </c>
      <c r="X25" s="13">
        <f>(VLOOKUP(main!AF25,main!$AO$4:$AQ$55,3,FALSE))</f>
        <v>60</v>
      </c>
    </row>
    <row r="26" spans="1:24">
      <c r="A26" s="12">
        <f>(VLOOKUP(main!I26,main!$AO$4:$AQ$55,3,FALSE))</f>
        <v>50</v>
      </c>
      <c r="B26" s="12">
        <f>(VLOOKUP(main!J26,main!$AO$4:$AQ$55,3,FALSE))</f>
        <v>50</v>
      </c>
      <c r="C26" s="12">
        <f>(VLOOKUP(main!K26,main!$AO$4:$AQ$55,3,FALSE))</f>
        <v>50</v>
      </c>
      <c r="D26" s="12">
        <f>(VLOOKUP(main!L26,main!$AO$4:$AQ$55,3,FALSE))</f>
        <v>50</v>
      </c>
      <c r="E26" s="12">
        <f>(VLOOKUP(main!M26,main!$AO$4:$AQ$55,3,FALSE))</f>
        <v>50</v>
      </c>
      <c r="F26" s="12">
        <f>(VLOOKUP(main!N26,main!$AO$4:$AQ$55,3,FALSE))</f>
        <v>50</v>
      </c>
      <c r="G26" s="13">
        <f>(VLOOKUP(main!O26,main!$AO$4:$AQ$55,3,FALSE))</f>
        <v>50</v>
      </c>
      <c r="H26" s="13">
        <f>(VLOOKUP(main!P26,main!$AO$4:$AQ$55,3,FALSE))</f>
        <v>50</v>
      </c>
      <c r="I26" s="12">
        <f>(VLOOKUP(main!Q26,main!$AO$4:$AQ$55,3,FALSE))</f>
        <v>55</v>
      </c>
      <c r="J26" s="12">
        <f>(VLOOKUP(main!R26,main!$AO$4:$AQ$55,3,FALSE))</f>
        <v>55</v>
      </c>
      <c r="K26" s="12">
        <f>(VLOOKUP(main!S26,main!$AO$4:$AQ$55,3,FALSE))</f>
        <v>55</v>
      </c>
      <c r="L26" s="12">
        <f>(VLOOKUP(main!T26,main!$AO$4:$AQ$55,3,FALSE))</f>
        <v>55</v>
      </c>
      <c r="M26" s="12">
        <f>(VLOOKUP(main!U26,main!$AO$4:$AQ$55,3,FALSE))</f>
        <v>55</v>
      </c>
      <c r="N26" s="12">
        <f>(VLOOKUP(main!V26,main!$AO$4:$AQ$55,3,FALSE))</f>
        <v>55</v>
      </c>
      <c r="O26" s="13">
        <f>(VLOOKUP(main!W26,main!$AO$4:$AQ$55,3,FALSE))</f>
        <v>55</v>
      </c>
      <c r="P26" s="13">
        <f>(VLOOKUP(main!X26,main!$AO$4:$AQ$55,3,FALSE))</f>
        <v>55</v>
      </c>
      <c r="Q26" s="12">
        <f>(VLOOKUP(main!Y26,main!$AO$4:$AQ$55,3,FALSE))</f>
        <v>60</v>
      </c>
      <c r="R26" s="12">
        <f>(VLOOKUP(main!Z26,main!$AO$4:$AQ$55,3,FALSE))</f>
        <v>60</v>
      </c>
      <c r="S26" s="12">
        <f>(VLOOKUP(main!AA26,main!$AO$4:$AQ$55,3,FALSE))</f>
        <v>60</v>
      </c>
      <c r="T26" s="12">
        <f>(VLOOKUP(main!AB26,main!$AO$4:$AQ$55,3,FALSE))</f>
        <v>60</v>
      </c>
      <c r="U26" s="12">
        <f>(VLOOKUP(main!AC26,main!$AO$4:$AQ$55,3,FALSE))</f>
        <v>60</v>
      </c>
      <c r="V26" s="12">
        <f>(VLOOKUP(main!AD26,main!$AO$4:$AQ$55,3,FALSE))</f>
        <v>60</v>
      </c>
      <c r="W26" s="13">
        <f>(VLOOKUP(main!AE26,main!$AO$4:$AQ$55,3,FALSE))</f>
        <v>60</v>
      </c>
      <c r="X26" s="13">
        <f>(VLOOKUP(main!AF26,main!$AO$4:$AQ$55,3,FALSE))</f>
        <v>60</v>
      </c>
    </row>
    <row r="27" spans="1:24">
      <c r="A27" s="12">
        <f>(VLOOKUP(main!I27,main!$AO$4:$AQ$55,3,FALSE))</f>
        <v>50</v>
      </c>
      <c r="B27" s="12">
        <f>(VLOOKUP(main!J27,main!$AO$4:$AQ$55,3,FALSE))</f>
        <v>50</v>
      </c>
      <c r="C27" s="12">
        <f>(VLOOKUP(main!K27,main!$AO$4:$AQ$55,3,FALSE))</f>
        <v>50</v>
      </c>
      <c r="D27" s="12">
        <f>(VLOOKUP(main!L27,main!$AO$4:$AQ$55,3,FALSE))</f>
        <v>50</v>
      </c>
      <c r="E27" s="12">
        <f>(VLOOKUP(main!M27,main!$AO$4:$AQ$55,3,FALSE))</f>
        <v>50</v>
      </c>
      <c r="F27" s="12">
        <f>(VLOOKUP(main!N27,main!$AO$4:$AQ$55,3,FALSE))</f>
        <v>50</v>
      </c>
      <c r="G27" s="13">
        <f>(VLOOKUP(main!O27,main!$AO$4:$AQ$55,3,FALSE))</f>
        <v>50</v>
      </c>
      <c r="H27" s="13">
        <f>(VLOOKUP(main!P27,main!$AO$4:$AQ$55,3,FALSE))</f>
        <v>50</v>
      </c>
      <c r="I27" s="12">
        <f>(VLOOKUP(main!Q27,main!$AO$4:$AQ$55,3,FALSE))</f>
        <v>55</v>
      </c>
      <c r="J27" s="12">
        <f>(VLOOKUP(main!R27,main!$AO$4:$AQ$55,3,FALSE))</f>
        <v>55</v>
      </c>
      <c r="K27" s="12">
        <f>(VLOOKUP(main!S27,main!$AO$4:$AQ$55,3,FALSE))</f>
        <v>55</v>
      </c>
      <c r="L27" s="12">
        <f>(VLOOKUP(main!T27,main!$AO$4:$AQ$55,3,FALSE))</f>
        <v>55</v>
      </c>
      <c r="M27" s="12">
        <f>(VLOOKUP(main!U27,main!$AO$4:$AQ$55,3,FALSE))</f>
        <v>55</v>
      </c>
      <c r="N27" s="12">
        <f>(VLOOKUP(main!V27,main!$AO$4:$AQ$55,3,FALSE))</f>
        <v>55</v>
      </c>
      <c r="O27" s="13">
        <f>(VLOOKUP(main!W27,main!$AO$4:$AQ$55,3,FALSE))</f>
        <v>55</v>
      </c>
      <c r="P27" s="13">
        <f>(VLOOKUP(main!X27,main!$AO$4:$AQ$55,3,FALSE))</f>
        <v>55</v>
      </c>
      <c r="Q27" s="12">
        <f>(VLOOKUP(main!Y27,main!$AO$4:$AQ$55,3,FALSE))</f>
        <v>60</v>
      </c>
      <c r="R27" s="12">
        <f>(VLOOKUP(main!Z27,main!$AO$4:$AQ$55,3,FALSE))</f>
        <v>60</v>
      </c>
      <c r="S27" s="12">
        <f>(VLOOKUP(main!AA27,main!$AO$4:$AQ$55,3,FALSE))</f>
        <v>60</v>
      </c>
      <c r="T27" s="12">
        <f>(VLOOKUP(main!AB27,main!$AO$4:$AQ$55,3,FALSE))</f>
        <v>60</v>
      </c>
      <c r="U27" s="12">
        <f>(VLOOKUP(main!AC27,main!$AO$4:$AQ$55,3,FALSE))</f>
        <v>60</v>
      </c>
      <c r="V27" s="12">
        <f>(VLOOKUP(main!AD27,main!$AO$4:$AQ$55,3,FALSE))</f>
        <v>60</v>
      </c>
      <c r="W27" s="13">
        <f>(VLOOKUP(main!AE27,main!$AO$4:$AQ$55,3,FALSE))</f>
        <v>60</v>
      </c>
      <c r="X27" s="13">
        <f>(VLOOKUP(main!AF27,main!$AO$4:$AQ$55,3,FALSE))</f>
        <v>60</v>
      </c>
    </row>
    <row r="28" spans="1:24">
      <c r="A28" s="12">
        <f>(VLOOKUP(main!I28,main!$AO$4:$AQ$55,3,FALSE))</f>
        <v>50</v>
      </c>
      <c r="B28" s="12">
        <f>(VLOOKUP(main!J28,main!$AO$4:$AQ$55,3,FALSE))</f>
        <v>50</v>
      </c>
      <c r="C28" s="12">
        <f>(VLOOKUP(main!K28,main!$AO$4:$AQ$55,3,FALSE))</f>
        <v>50</v>
      </c>
      <c r="D28" s="12">
        <f>(VLOOKUP(main!L28,main!$AO$4:$AQ$55,3,FALSE))</f>
        <v>50</v>
      </c>
      <c r="E28" s="12">
        <f>(VLOOKUP(main!M28,main!$AO$4:$AQ$55,3,FALSE))</f>
        <v>50</v>
      </c>
      <c r="F28" s="12">
        <f>(VLOOKUP(main!N28,main!$AO$4:$AQ$55,3,FALSE))</f>
        <v>50</v>
      </c>
      <c r="G28" s="13">
        <f>(VLOOKUP(main!O28,main!$AO$4:$AQ$55,3,FALSE))</f>
        <v>50</v>
      </c>
      <c r="H28" s="13">
        <f>(VLOOKUP(main!P28,main!$AO$4:$AQ$55,3,FALSE))</f>
        <v>50</v>
      </c>
      <c r="I28" s="12">
        <f>(VLOOKUP(main!Q28,main!$AO$4:$AQ$55,3,FALSE))</f>
        <v>55</v>
      </c>
      <c r="J28" s="12">
        <f>(VLOOKUP(main!R28,main!$AO$4:$AQ$55,3,FALSE))</f>
        <v>55</v>
      </c>
      <c r="K28" s="12">
        <f>(VLOOKUP(main!S28,main!$AO$4:$AQ$55,3,FALSE))</f>
        <v>55</v>
      </c>
      <c r="L28" s="12">
        <f>(VLOOKUP(main!T28,main!$AO$4:$AQ$55,3,FALSE))</f>
        <v>55</v>
      </c>
      <c r="M28" s="12">
        <f>(VLOOKUP(main!U28,main!$AO$4:$AQ$55,3,FALSE))</f>
        <v>55</v>
      </c>
      <c r="N28" s="12">
        <f>(VLOOKUP(main!V28,main!$AO$4:$AQ$55,3,FALSE))</f>
        <v>55</v>
      </c>
      <c r="O28" s="13">
        <f>(VLOOKUP(main!W28,main!$AO$4:$AQ$55,3,FALSE))</f>
        <v>55</v>
      </c>
      <c r="P28" s="13">
        <f>(VLOOKUP(main!X28,main!$AO$4:$AQ$55,3,FALSE))</f>
        <v>55</v>
      </c>
      <c r="Q28" s="12">
        <f>(VLOOKUP(main!Y28,main!$AO$4:$AQ$55,3,FALSE))</f>
        <v>60</v>
      </c>
      <c r="R28" s="12">
        <f>(VLOOKUP(main!Z28,main!$AO$4:$AQ$55,3,FALSE))</f>
        <v>60</v>
      </c>
      <c r="S28" s="12">
        <f>(VLOOKUP(main!AA28,main!$AO$4:$AQ$55,3,FALSE))</f>
        <v>60</v>
      </c>
      <c r="T28" s="12">
        <f>(VLOOKUP(main!AB28,main!$AO$4:$AQ$55,3,FALSE))</f>
        <v>60</v>
      </c>
      <c r="U28" s="12">
        <f>(VLOOKUP(main!AC28,main!$AO$4:$AQ$55,3,FALSE))</f>
        <v>60</v>
      </c>
      <c r="V28" s="12">
        <f>(VLOOKUP(main!AD28,main!$AO$4:$AQ$55,3,FALSE))</f>
        <v>60</v>
      </c>
      <c r="W28" s="13">
        <f>(VLOOKUP(main!AE28,main!$AO$4:$AQ$55,3,FALSE))</f>
        <v>60</v>
      </c>
      <c r="X28" s="13">
        <f>(VLOOKUP(main!AF28,main!$AO$4:$AQ$55,3,FALSE))</f>
        <v>60</v>
      </c>
    </row>
    <row r="29" spans="1:24">
      <c r="A29" s="12">
        <f>(VLOOKUP(main!I29,main!$AO$4:$AQ$55,3,FALSE))</f>
        <v>50</v>
      </c>
      <c r="B29" s="12">
        <f>(VLOOKUP(main!J29,main!$AO$4:$AQ$55,3,FALSE))</f>
        <v>50</v>
      </c>
      <c r="C29" s="12">
        <f>(VLOOKUP(main!K29,main!$AO$4:$AQ$55,3,FALSE))</f>
        <v>50</v>
      </c>
      <c r="D29" s="12">
        <f>(VLOOKUP(main!L29,main!$AO$4:$AQ$55,3,FALSE))</f>
        <v>50</v>
      </c>
      <c r="E29" s="12">
        <f>(VLOOKUP(main!M29,main!$AO$4:$AQ$55,3,FALSE))</f>
        <v>50</v>
      </c>
      <c r="F29" s="12">
        <f>(VLOOKUP(main!N29,main!$AO$4:$AQ$55,3,FALSE))</f>
        <v>50</v>
      </c>
      <c r="G29" s="13">
        <f>(VLOOKUP(main!O29,main!$AO$4:$AQ$55,3,FALSE))</f>
        <v>50</v>
      </c>
      <c r="H29" s="13">
        <f>(VLOOKUP(main!P29,main!$AO$4:$AQ$55,3,FALSE))</f>
        <v>50</v>
      </c>
      <c r="I29" s="12">
        <f>(VLOOKUP(main!Q29,main!$AO$4:$AQ$55,3,FALSE))</f>
        <v>55</v>
      </c>
      <c r="J29" s="12">
        <f>(VLOOKUP(main!R29,main!$AO$4:$AQ$55,3,FALSE))</f>
        <v>55</v>
      </c>
      <c r="K29" s="12">
        <f>(VLOOKUP(main!S29,main!$AO$4:$AQ$55,3,FALSE))</f>
        <v>55</v>
      </c>
      <c r="L29" s="12">
        <f>(VLOOKUP(main!T29,main!$AO$4:$AQ$55,3,FALSE))</f>
        <v>55</v>
      </c>
      <c r="M29" s="12">
        <f>(VLOOKUP(main!U29,main!$AO$4:$AQ$55,3,FALSE))</f>
        <v>55</v>
      </c>
      <c r="N29" s="12">
        <f>(VLOOKUP(main!V29,main!$AO$4:$AQ$55,3,FALSE))</f>
        <v>55</v>
      </c>
      <c r="O29" s="13">
        <f>(VLOOKUP(main!W29,main!$AO$4:$AQ$55,3,FALSE))</f>
        <v>55</v>
      </c>
      <c r="P29" s="13">
        <f>(VLOOKUP(main!X29,main!$AO$4:$AQ$55,3,FALSE))</f>
        <v>55</v>
      </c>
      <c r="Q29" s="12">
        <f>(VLOOKUP(main!Y29,main!$AO$4:$AQ$55,3,FALSE))</f>
        <v>60</v>
      </c>
      <c r="R29" s="12">
        <f>(VLOOKUP(main!Z29,main!$AO$4:$AQ$55,3,FALSE))</f>
        <v>60</v>
      </c>
      <c r="S29" s="12">
        <f>(VLOOKUP(main!AA29,main!$AO$4:$AQ$55,3,FALSE))</f>
        <v>60</v>
      </c>
      <c r="T29" s="12">
        <f>(VLOOKUP(main!AB29,main!$AO$4:$AQ$55,3,FALSE))</f>
        <v>60</v>
      </c>
      <c r="U29" s="12">
        <f>(VLOOKUP(main!AC29,main!$AO$4:$AQ$55,3,FALSE))</f>
        <v>60</v>
      </c>
      <c r="V29" s="12">
        <f>(VLOOKUP(main!AD29,main!$AO$4:$AQ$55,3,FALSE))</f>
        <v>60</v>
      </c>
      <c r="W29" s="13">
        <f>(VLOOKUP(main!AE29,main!$AO$4:$AQ$55,3,FALSE))</f>
        <v>60</v>
      </c>
      <c r="X29" s="13">
        <f>(VLOOKUP(main!AF29,main!$AO$4:$AQ$55,3,FALSE))</f>
        <v>60</v>
      </c>
    </row>
    <row r="30" spans="1:24">
      <c r="A30" s="12">
        <f>(VLOOKUP(main!I30,main!$AO$4:$AQ$55,3,FALSE))</f>
        <v>50</v>
      </c>
      <c r="B30" s="12">
        <f>(VLOOKUP(main!J30,main!$AO$4:$AQ$55,3,FALSE))</f>
        <v>50</v>
      </c>
      <c r="C30" s="12">
        <f>(VLOOKUP(main!K30,main!$AO$4:$AQ$55,3,FALSE))</f>
        <v>50</v>
      </c>
      <c r="D30" s="12">
        <f>(VLOOKUP(main!L30,main!$AO$4:$AQ$55,3,FALSE))</f>
        <v>50</v>
      </c>
      <c r="E30" s="12">
        <f>(VLOOKUP(main!M30,main!$AO$4:$AQ$55,3,FALSE))</f>
        <v>50</v>
      </c>
      <c r="F30" s="12">
        <f>(VLOOKUP(main!N30,main!$AO$4:$AQ$55,3,FALSE))</f>
        <v>50</v>
      </c>
      <c r="G30" s="13">
        <f>(VLOOKUP(main!O30,main!$AO$4:$AQ$55,3,FALSE))</f>
        <v>50</v>
      </c>
      <c r="H30" s="13">
        <f>(VLOOKUP(main!P30,main!$AO$4:$AQ$55,3,FALSE))</f>
        <v>50</v>
      </c>
      <c r="I30" s="12">
        <f>(VLOOKUP(main!Q30,main!$AO$4:$AQ$55,3,FALSE))</f>
        <v>55</v>
      </c>
      <c r="J30" s="12">
        <f>(VLOOKUP(main!R30,main!$AO$4:$AQ$55,3,FALSE))</f>
        <v>55</v>
      </c>
      <c r="K30" s="12">
        <f>(VLOOKUP(main!S30,main!$AO$4:$AQ$55,3,FALSE))</f>
        <v>55</v>
      </c>
      <c r="L30" s="12">
        <f>(VLOOKUP(main!T30,main!$AO$4:$AQ$55,3,FALSE))</f>
        <v>55</v>
      </c>
      <c r="M30" s="12">
        <f>(VLOOKUP(main!U30,main!$AO$4:$AQ$55,3,FALSE))</f>
        <v>55</v>
      </c>
      <c r="N30" s="12">
        <f>(VLOOKUP(main!V30,main!$AO$4:$AQ$55,3,FALSE))</f>
        <v>55</v>
      </c>
      <c r="O30" s="13">
        <f>(VLOOKUP(main!W30,main!$AO$4:$AQ$55,3,FALSE))</f>
        <v>55</v>
      </c>
      <c r="P30" s="13">
        <f>(VLOOKUP(main!X30,main!$AO$4:$AQ$55,3,FALSE))</f>
        <v>55</v>
      </c>
      <c r="Q30" s="12">
        <f>(VLOOKUP(main!Y30,main!$AO$4:$AQ$55,3,FALSE))</f>
        <v>60</v>
      </c>
      <c r="R30" s="12">
        <f>(VLOOKUP(main!Z30,main!$AO$4:$AQ$55,3,FALSE))</f>
        <v>60</v>
      </c>
      <c r="S30" s="12">
        <f>(VLOOKUP(main!AA30,main!$AO$4:$AQ$55,3,FALSE))</f>
        <v>60</v>
      </c>
      <c r="T30" s="12">
        <f>(VLOOKUP(main!AB30,main!$AO$4:$AQ$55,3,FALSE))</f>
        <v>60</v>
      </c>
      <c r="U30" s="12">
        <f>(VLOOKUP(main!AC30,main!$AO$4:$AQ$55,3,FALSE))</f>
        <v>60</v>
      </c>
      <c r="V30" s="12">
        <f>(VLOOKUP(main!AD30,main!$AO$4:$AQ$55,3,FALSE))</f>
        <v>60</v>
      </c>
      <c r="W30" s="13">
        <f>(VLOOKUP(main!AE30,main!$AO$4:$AQ$55,3,FALSE))</f>
        <v>60</v>
      </c>
      <c r="X30" s="13">
        <f>(VLOOKUP(main!AF30,main!$AO$4:$AQ$55,3,FALSE))</f>
        <v>60</v>
      </c>
    </row>
    <row r="31" spans="1:24">
      <c r="A31" s="12">
        <f>(VLOOKUP(main!I31,main!$AO$4:$AQ$55,3,FALSE))</f>
        <v>50</v>
      </c>
      <c r="B31" s="12">
        <f>(VLOOKUP(main!J31,main!$AO$4:$AQ$55,3,FALSE))</f>
        <v>50</v>
      </c>
      <c r="C31" s="12">
        <f>(VLOOKUP(main!K31,main!$AO$4:$AQ$55,3,FALSE))</f>
        <v>50</v>
      </c>
      <c r="D31" s="12">
        <f>(VLOOKUP(main!L31,main!$AO$4:$AQ$55,3,FALSE))</f>
        <v>50</v>
      </c>
      <c r="E31" s="12">
        <f>(VLOOKUP(main!M31,main!$AO$4:$AQ$55,3,FALSE))</f>
        <v>50</v>
      </c>
      <c r="F31" s="12">
        <f>(VLOOKUP(main!N31,main!$AO$4:$AQ$55,3,FALSE))</f>
        <v>50</v>
      </c>
      <c r="G31" s="13">
        <f>(VLOOKUP(main!O31,main!$AO$4:$AQ$55,3,FALSE))</f>
        <v>50</v>
      </c>
      <c r="H31" s="13">
        <f>(VLOOKUP(main!P31,main!$AO$4:$AQ$55,3,FALSE))</f>
        <v>50</v>
      </c>
      <c r="I31" s="12">
        <f>(VLOOKUP(main!Q31,main!$AO$4:$AQ$55,3,FALSE))</f>
        <v>55</v>
      </c>
      <c r="J31" s="12">
        <f>(VLOOKUP(main!R31,main!$AO$4:$AQ$55,3,FALSE))</f>
        <v>55</v>
      </c>
      <c r="K31" s="12">
        <f>(VLOOKUP(main!S31,main!$AO$4:$AQ$55,3,FALSE))</f>
        <v>55</v>
      </c>
      <c r="L31" s="12">
        <f>(VLOOKUP(main!T31,main!$AO$4:$AQ$55,3,FALSE))</f>
        <v>55</v>
      </c>
      <c r="M31" s="12">
        <f>(VLOOKUP(main!U31,main!$AO$4:$AQ$55,3,FALSE))</f>
        <v>55</v>
      </c>
      <c r="N31" s="12">
        <f>(VLOOKUP(main!V31,main!$AO$4:$AQ$55,3,FALSE))</f>
        <v>55</v>
      </c>
      <c r="O31" s="13">
        <f>(VLOOKUP(main!W31,main!$AO$4:$AQ$55,3,FALSE))</f>
        <v>55</v>
      </c>
      <c r="P31" s="13">
        <f>(VLOOKUP(main!X31,main!$AO$4:$AQ$55,3,FALSE))</f>
        <v>55</v>
      </c>
      <c r="Q31" s="12">
        <f>(VLOOKUP(main!Y31,main!$AO$4:$AQ$55,3,FALSE))</f>
        <v>60</v>
      </c>
      <c r="R31" s="12">
        <f>(VLOOKUP(main!Z31,main!$AO$4:$AQ$55,3,FALSE))</f>
        <v>60</v>
      </c>
      <c r="S31" s="12">
        <f>(VLOOKUP(main!AA31,main!$AO$4:$AQ$55,3,FALSE))</f>
        <v>60</v>
      </c>
      <c r="T31" s="12">
        <f>(VLOOKUP(main!AB31,main!$AO$4:$AQ$55,3,FALSE))</f>
        <v>60</v>
      </c>
      <c r="U31" s="12">
        <f>(VLOOKUP(main!AC31,main!$AO$4:$AQ$55,3,FALSE))</f>
        <v>60</v>
      </c>
      <c r="V31" s="12">
        <f>(VLOOKUP(main!AD31,main!$AO$4:$AQ$55,3,FALSE))</f>
        <v>60</v>
      </c>
      <c r="W31" s="13">
        <f>(VLOOKUP(main!AE31,main!$AO$4:$AQ$55,3,FALSE))</f>
        <v>60</v>
      </c>
      <c r="X31" s="13">
        <f>(VLOOKUP(main!AF31,main!$AO$4:$AQ$55,3,FALSE))</f>
        <v>60</v>
      </c>
    </row>
    <row r="32" spans="1:24">
      <c r="A32" s="12">
        <f>(VLOOKUP(main!I32,main!$AO$4:$AQ$55,3,FALSE))</f>
        <v>50</v>
      </c>
      <c r="B32" s="12">
        <f>(VLOOKUP(main!J32,main!$AO$4:$AQ$55,3,FALSE))</f>
        <v>50</v>
      </c>
      <c r="C32" s="12">
        <f>(VLOOKUP(main!K32,main!$AO$4:$AQ$55,3,FALSE))</f>
        <v>50</v>
      </c>
      <c r="D32" s="12">
        <f>(VLOOKUP(main!L32,main!$AO$4:$AQ$55,3,FALSE))</f>
        <v>50</v>
      </c>
      <c r="E32" s="12">
        <f>(VLOOKUP(main!M32,main!$AO$4:$AQ$55,3,FALSE))</f>
        <v>50</v>
      </c>
      <c r="F32" s="12">
        <f>(VLOOKUP(main!N32,main!$AO$4:$AQ$55,3,FALSE))</f>
        <v>50</v>
      </c>
      <c r="G32" s="13">
        <f>(VLOOKUP(main!O32,main!$AO$4:$AQ$55,3,FALSE))</f>
        <v>50</v>
      </c>
      <c r="H32" s="13">
        <f>(VLOOKUP(main!P32,main!$AO$4:$AQ$55,3,FALSE))</f>
        <v>50</v>
      </c>
      <c r="I32" s="12">
        <f>(VLOOKUP(main!Q32,main!$AO$4:$AQ$55,3,FALSE))</f>
        <v>55</v>
      </c>
      <c r="J32" s="12">
        <f>(VLOOKUP(main!R32,main!$AO$4:$AQ$55,3,FALSE))</f>
        <v>55</v>
      </c>
      <c r="K32" s="12">
        <f>(VLOOKUP(main!S32,main!$AO$4:$AQ$55,3,FALSE))</f>
        <v>55</v>
      </c>
      <c r="L32" s="12">
        <f>(VLOOKUP(main!T32,main!$AO$4:$AQ$55,3,FALSE))</f>
        <v>55</v>
      </c>
      <c r="M32" s="12">
        <f>(VLOOKUP(main!U32,main!$AO$4:$AQ$55,3,FALSE))</f>
        <v>55</v>
      </c>
      <c r="N32" s="12">
        <f>(VLOOKUP(main!V32,main!$AO$4:$AQ$55,3,FALSE))</f>
        <v>55</v>
      </c>
      <c r="O32" s="13">
        <f>(VLOOKUP(main!W32,main!$AO$4:$AQ$55,3,FALSE))</f>
        <v>55</v>
      </c>
      <c r="P32" s="13">
        <f>(VLOOKUP(main!X32,main!$AO$4:$AQ$55,3,FALSE))</f>
        <v>55</v>
      </c>
      <c r="Q32" s="12">
        <f>(VLOOKUP(main!Y32,main!$AO$4:$AQ$55,3,FALSE))</f>
        <v>60</v>
      </c>
      <c r="R32" s="12">
        <f>(VLOOKUP(main!Z32,main!$AO$4:$AQ$55,3,FALSE))</f>
        <v>60</v>
      </c>
      <c r="S32" s="12">
        <f>(VLOOKUP(main!AA32,main!$AO$4:$AQ$55,3,FALSE))</f>
        <v>60</v>
      </c>
      <c r="T32" s="12">
        <f>(VLOOKUP(main!AB32,main!$AO$4:$AQ$55,3,FALSE))</f>
        <v>60</v>
      </c>
      <c r="U32" s="12">
        <f>(VLOOKUP(main!AC32,main!$AO$4:$AQ$55,3,FALSE))</f>
        <v>60</v>
      </c>
      <c r="V32" s="12">
        <f>(VLOOKUP(main!AD32,main!$AO$4:$AQ$55,3,FALSE))</f>
        <v>60</v>
      </c>
      <c r="W32" s="13">
        <f>(VLOOKUP(main!AE32,main!$AO$4:$AQ$55,3,FALSE))</f>
        <v>60</v>
      </c>
      <c r="X32" s="13">
        <f>(VLOOKUP(main!AF32,main!$AO$4:$AQ$55,3,FALSE))</f>
        <v>60</v>
      </c>
    </row>
    <row r="33" spans="1:24">
      <c r="A33" s="12">
        <f>(VLOOKUP(main!I33,main!$AO$4:$AQ$55,3,FALSE))</f>
        <v>50</v>
      </c>
      <c r="B33" s="12">
        <f>(VLOOKUP(main!J33,main!$AO$4:$AQ$55,3,FALSE))</f>
        <v>50</v>
      </c>
      <c r="C33" s="12">
        <f>(VLOOKUP(main!K33,main!$AO$4:$AQ$55,3,FALSE))</f>
        <v>50</v>
      </c>
      <c r="D33" s="12">
        <f>(VLOOKUP(main!L33,main!$AO$4:$AQ$55,3,FALSE))</f>
        <v>50</v>
      </c>
      <c r="E33" s="12">
        <f>(VLOOKUP(main!M33,main!$AO$4:$AQ$55,3,FALSE))</f>
        <v>50</v>
      </c>
      <c r="F33" s="12">
        <f>(VLOOKUP(main!N33,main!$AO$4:$AQ$55,3,FALSE))</f>
        <v>50</v>
      </c>
      <c r="G33" s="13">
        <f>(VLOOKUP(main!O33,main!$AO$4:$AQ$55,3,FALSE))</f>
        <v>50</v>
      </c>
      <c r="H33" s="13">
        <f>(VLOOKUP(main!P33,main!$AO$4:$AQ$55,3,FALSE))</f>
        <v>50</v>
      </c>
      <c r="I33" s="12">
        <f>(VLOOKUP(main!Q33,main!$AO$4:$AQ$55,3,FALSE))</f>
        <v>55</v>
      </c>
      <c r="J33" s="12">
        <f>(VLOOKUP(main!R33,main!$AO$4:$AQ$55,3,FALSE))</f>
        <v>55</v>
      </c>
      <c r="K33" s="12">
        <f>(VLOOKUP(main!S33,main!$AO$4:$AQ$55,3,FALSE))</f>
        <v>55</v>
      </c>
      <c r="L33" s="12">
        <f>(VLOOKUP(main!T33,main!$AO$4:$AQ$55,3,FALSE))</f>
        <v>55</v>
      </c>
      <c r="M33" s="12">
        <f>(VLOOKUP(main!U33,main!$AO$4:$AQ$55,3,FALSE))</f>
        <v>55</v>
      </c>
      <c r="N33" s="12">
        <f>(VLOOKUP(main!V33,main!$AO$4:$AQ$55,3,FALSE))</f>
        <v>55</v>
      </c>
      <c r="O33" s="13">
        <f>(VLOOKUP(main!W33,main!$AO$4:$AQ$55,3,FALSE))</f>
        <v>55</v>
      </c>
      <c r="P33" s="13">
        <f>(VLOOKUP(main!X33,main!$AO$4:$AQ$55,3,FALSE))</f>
        <v>55</v>
      </c>
      <c r="Q33" s="12">
        <f>(VLOOKUP(main!Y33,main!$AO$4:$AQ$55,3,FALSE))</f>
        <v>60</v>
      </c>
      <c r="R33" s="12">
        <f>(VLOOKUP(main!Z33,main!$AO$4:$AQ$55,3,FALSE))</f>
        <v>60</v>
      </c>
      <c r="S33" s="12">
        <f>(VLOOKUP(main!AA33,main!$AO$4:$AQ$55,3,FALSE))</f>
        <v>60</v>
      </c>
      <c r="T33" s="12">
        <f>(VLOOKUP(main!AB33,main!$AO$4:$AQ$55,3,FALSE))</f>
        <v>60</v>
      </c>
      <c r="U33" s="12">
        <f>(VLOOKUP(main!AC33,main!$AO$4:$AQ$55,3,FALSE))</f>
        <v>60</v>
      </c>
      <c r="V33" s="12">
        <f>(VLOOKUP(main!AD33,main!$AO$4:$AQ$55,3,FALSE))</f>
        <v>60</v>
      </c>
      <c r="W33" s="13">
        <f>(VLOOKUP(main!AE33,main!$AO$4:$AQ$55,3,FALSE))</f>
        <v>60</v>
      </c>
      <c r="X33" s="13">
        <f>(VLOOKUP(main!AF33,main!$AO$4:$AQ$55,3,FALSE))</f>
        <v>60</v>
      </c>
    </row>
    <row r="34" spans="1:24">
      <c r="A34" s="12">
        <f>(VLOOKUP(main!I34,main!$AO$4:$AQ$55,3,FALSE))</f>
        <v>50</v>
      </c>
      <c r="B34" s="12">
        <f>(VLOOKUP(main!J34,main!$AO$4:$AQ$55,3,FALSE))</f>
        <v>50</v>
      </c>
      <c r="C34" s="12">
        <f>(VLOOKUP(main!K34,main!$AO$4:$AQ$55,3,FALSE))</f>
        <v>50</v>
      </c>
      <c r="D34" s="12">
        <f>(VLOOKUP(main!L34,main!$AO$4:$AQ$55,3,FALSE))</f>
        <v>50</v>
      </c>
      <c r="E34" s="12">
        <f>(VLOOKUP(main!M34,main!$AO$4:$AQ$55,3,FALSE))</f>
        <v>50</v>
      </c>
      <c r="F34" s="12">
        <f>(VLOOKUP(main!N34,main!$AO$4:$AQ$55,3,FALSE))</f>
        <v>50</v>
      </c>
      <c r="G34" s="13">
        <f>(VLOOKUP(main!O34,main!$AO$4:$AQ$55,3,FALSE))</f>
        <v>50</v>
      </c>
      <c r="H34" s="13">
        <f>(VLOOKUP(main!P34,main!$AO$4:$AQ$55,3,FALSE))</f>
        <v>50</v>
      </c>
      <c r="I34" s="12">
        <f>(VLOOKUP(main!Q34,main!$AO$4:$AQ$55,3,FALSE))</f>
        <v>55</v>
      </c>
      <c r="J34" s="12">
        <f>(VLOOKUP(main!R34,main!$AO$4:$AQ$55,3,FALSE))</f>
        <v>55</v>
      </c>
      <c r="K34" s="12">
        <f>(VLOOKUP(main!S34,main!$AO$4:$AQ$55,3,FALSE))</f>
        <v>55</v>
      </c>
      <c r="L34" s="12">
        <f>(VLOOKUP(main!T34,main!$AO$4:$AQ$55,3,FALSE))</f>
        <v>55</v>
      </c>
      <c r="M34" s="12">
        <f>(VLOOKUP(main!U34,main!$AO$4:$AQ$55,3,FALSE))</f>
        <v>55</v>
      </c>
      <c r="N34" s="12">
        <f>(VLOOKUP(main!V34,main!$AO$4:$AQ$55,3,FALSE))</f>
        <v>55</v>
      </c>
      <c r="O34" s="13">
        <f>(VLOOKUP(main!W34,main!$AO$4:$AQ$55,3,FALSE))</f>
        <v>55</v>
      </c>
      <c r="P34" s="13">
        <f>(VLOOKUP(main!X34,main!$AO$4:$AQ$55,3,FALSE))</f>
        <v>55</v>
      </c>
      <c r="Q34" s="12">
        <f>(VLOOKUP(main!Y34,main!$AO$4:$AQ$55,3,FALSE))</f>
        <v>60</v>
      </c>
      <c r="R34" s="12">
        <f>(VLOOKUP(main!Z34,main!$AO$4:$AQ$55,3,FALSE))</f>
        <v>60</v>
      </c>
      <c r="S34" s="12">
        <f>(VLOOKUP(main!AA34,main!$AO$4:$AQ$55,3,FALSE))</f>
        <v>60</v>
      </c>
      <c r="T34" s="12">
        <f>(VLOOKUP(main!AB34,main!$AO$4:$AQ$55,3,FALSE))</f>
        <v>60</v>
      </c>
      <c r="U34" s="12">
        <f>(VLOOKUP(main!AC34,main!$AO$4:$AQ$55,3,FALSE))</f>
        <v>60</v>
      </c>
      <c r="V34" s="12">
        <f>(VLOOKUP(main!AD34,main!$AO$4:$AQ$55,3,FALSE))</f>
        <v>60</v>
      </c>
      <c r="W34" s="13">
        <f>(VLOOKUP(main!AE34,main!$AO$4:$AQ$55,3,FALSE))</f>
        <v>60</v>
      </c>
      <c r="X34" s="13">
        <f>(VLOOKUP(main!AF34,main!$AO$4:$AQ$55,3,FALSE))</f>
        <v>60</v>
      </c>
    </row>
    <row r="35" spans="1:24">
      <c r="A35" s="12">
        <f>(VLOOKUP(main!I35,main!$AO$4:$AQ$55,3,FALSE))</f>
        <v>50</v>
      </c>
      <c r="B35" s="12">
        <f>(VLOOKUP(main!J35,main!$AO$4:$AQ$55,3,FALSE))</f>
        <v>50</v>
      </c>
      <c r="C35" s="12">
        <f>(VLOOKUP(main!K35,main!$AO$4:$AQ$55,3,FALSE))</f>
        <v>50</v>
      </c>
      <c r="D35" s="12">
        <f>(VLOOKUP(main!L35,main!$AO$4:$AQ$55,3,FALSE))</f>
        <v>50</v>
      </c>
      <c r="E35" s="12">
        <f>(VLOOKUP(main!M35,main!$AO$4:$AQ$55,3,FALSE))</f>
        <v>50</v>
      </c>
      <c r="F35" s="12">
        <f>(VLOOKUP(main!N35,main!$AO$4:$AQ$55,3,FALSE))</f>
        <v>50</v>
      </c>
      <c r="G35" s="13">
        <f>(VLOOKUP(main!O35,main!$AO$4:$AQ$55,3,FALSE))</f>
        <v>50</v>
      </c>
      <c r="H35" s="13">
        <f>(VLOOKUP(main!P35,main!$AO$4:$AQ$55,3,FALSE))</f>
        <v>50</v>
      </c>
      <c r="I35" s="12">
        <f>(VLOOKUP(main!Q35,main!$AO$4:$AQ$55,3,FALSE))</f>
        <v>55</v>
      </c>
      <c r="J35" s="12">
        <f>(VLOOKUP(main!R35,main!$AO$4:$AQ$55,3,FALSE))</f>
        <v>55</v>
      </c>
      <c r="K35" s="12">
        <f>(VLOOKUP(main!S35,main!$AO$4:$AQ$55,3,FALSE))</f>
        <v>55</v>
      </c>
      <c r="L35" s="12">
        <f>(VLOOKUP(main!T35,main!$AO$4:$AQ$55,3,FALSE))</f>
        <v>55</v>
      </c>
      <c r="M35" s="12">
        <f>(VLOOKUP(main!U35,main!$AO$4:$AQ$55,3,FALSE))</f>
        <v>55</v>
      </c>
      <c r="N35" s="12">
        <f>(VLOOKUP(main!V35,main!$AO$4:$AQ$55,3,FALSE))</f>
        <v>55</v>
      </c>
      <c r="O35" s="13">
        <f>(VLOOKUP(main!W35,main!$AO$4:$AQ$55,3,FALSE))</f>
        <v>55</v>
      </c>
      <c r="P35" s="13">
        <f>(VLOOKUP(main!X35,main!$AO$4:$AQ$55,3,FALSE))</f>
        <v>55</v>
      </c>
      <c r="Q35" s="12">
        <f>(VLOOKUP(main!Y35,main!$AO$4:$AQ$55,3,FALSE))</f>
        <v>60</v>
      </c>
      <c r="R35" s="12">
        <f>(VLOOKUP(main!Z35,main!$AO$4:$AQ$55,3,FALSE))</f>
        <v>60</v>
      </c>
      <c r="S35" s="12">
        <f>(VLOOKUP(main!AA35,main!$AO$4:$AQ$55,3,FALSE))</f>
        <v>60</v>
      </c>
      <c r="T35" s="12">
        <f>(VLOOKUP(main!AB35,main!$AO$4:$AQ$55,3,FALSE))</f>
        <v>60</v>
      </c>
      <c r="U35" s="12">
        <f>(VLOOKUP(main!AC35,main!$AO$4:$AQ$55,3,FALSE))</f>
        <v>60</v>
      </c>
      <c r="V35" s="12">
        <f>(VLOOKUP(main!AD35,main!$AO$4:$AQ$55,3,FALSE))</f>
        <v>60</v>
      </c>
      <c r="W35" s="13">
        <f>(VLOOKUP(main!AE35,main!$AO$4:$AQ$55,3,FALSE))</f>
        <v>60</v>
      </c>
      <c r="X35" s="13">
        <f>(VLOOKUP(main!AF35,main!$AO$4:$AQ$55,3,FALSE))</f>
        <v>60</v>
      </c>
    </row>
    <row r="36" spans="1:24">
      <c r="A36" s="12">
        <f>(VLOOKUP(main!I36,main!$AO$4:$AQ$55,3,FALSE))</f>
        <v>50</v>
      </c>
      <c r="B36" s="12">
        <f>(VLOOKUP(main!J36,main!$AO$4:$AQ$55,3,FALSE))</f>
        <v>50</v>
      </c>
      <c r="C36" s="12">
        <f>(VLOOKUP(main!K36,main!$AO$4:$AQ$55,3,FALSE))</f>
        <v>50</v>
      </c>
      <c r="D36" s="12">
        <f>(VLOOKUP(main!L36,main!$AO$4:$AQ$55,3,FALSE))</f>
        <v>50</v>
      </c>
      <c r="E36" s="12">
        <f>(VLOOKUP(main!M36,main!$AO$4:$AQ$55,3,FALSE))</f>
        <v>50</v>
      </c>
      <c r="F36" s="12">
        <f>(VLOOKUP(main!N36,main!$AO$4:$AQ$55,3,FALSE))</f>
        <v>50</v>
      </c>
      <c r="G36" s="13">
        <f>(VLOOKUP(main!O36,main!$AO$4:$AQ$55,3,FALSE))</f>
        <v>50</v>
      </c>
      <c r="H36" s="13">
        <f>(VLOOKUP(main!P36,main!$AO$4:$AQ$55,3,FALSE))</f>
        <v>50</v>
      </c>
      <c r="I36" s="12">
        <f>(VLOOKUP(main!Q36,main!$AO$4:$AQ$55,3,FALSE))</f>
        <v>55</v>
      </c>
      <c r="J36" s="12">
        <f>(VLOOKUP(main!R36,main!$AO$4:$AQ$55,3,FALSE))</f>
        <v>55</v>
      </c>
      <c r="K36" s="12">
        <f>(VLOOKUP(main!S36,main!$AO$4:$AQ$55,3,FALSE))</f>
        <v>55</v>
      </c>
      <c r="L36" s="12">
        <f>(VLOOKUP(main!T36,main!$AO$4:$AQ$55,3,FALSE))</f>
        <v>55</v>
      </c>
      <c r="M36" s="12">
        <f>(VLOOKUP(main!U36,main!$AO$4:$AQ$55,3,FALSE))</f>
        <v>55</v>
      </c>
      <c r="N36" s="12">
        <f>(VLOOKUP(main!V36,main!$AO$4:$AQ$55,3,FALSE))</f>
        <v>55</v>
      </c>
      <c r="O36" s="13">
        <f>(VLOOKUP(main!W36,main!$AO$4:$AQ$55,3,FALSE))</f>
        <v>55</v>
      </c>
      <c r="P36" s="13">
        <f>(VLOOKUP(main!X36,main!$AO$4:$AQ$55,3,FALSE))</f>
        <v>55</v>
      </c>
      <c r="Q36" s="12">
        <f>(VLOOKUP(main!Y36,main!$AO$4:$AQ$55,3,FALSE))</f>
        <v>60</v>
      </c>
      <c r="R36" s="12">
        <f>(VLOOKUP(main!Z36,main!$AO$4:$AQ$55,3,FALSE))</f>
        <v>60</v>
      </c>
      <c r="S36" s="12">
        <f>(VLOOKUP(main!AA36,main!$AO$4:$AQ$55,3,FALSE))</f>
        <v>60</v>
      </c>
      <c r="T36" s="12">
        <f>(VLOOKUP(main!AB36,main!$AO$4:$AQ$55,3,FALSE))</f>
        <v>60</v>
      </c>
      <c r="U36" s="12">
        <f>(VLOOKUP(main!AC36,main!$AO$4:$AQ$55,3,FALSE))</f>
        <v>60</v>
      </c>
      <c r="V36" s="12">
        <f>(VLOOKUP(main!AD36,main!$AO$4:$AQ$55,3,FALSE))</f>
        <v>60</v>
      </c>
      <c r="W36" s="13">
        <f>(VLOOKUP(main!AE36,main!$AO$4:$AQ$55,3,FALSE))</f>
        <v>60</v>
      </c>
      <c r="X36" s="13">
        <f>(VLOOKUP(main!AF36,main!$AO$4:$AQ$55,3,FALSE))</f>
        <v>60</v>
      </c>
    </row>
    <row r="37" spans="1:24">
      <c r="A37" s="12">
        <f>(VLOOKUP(main!I37,main!$AO$4:$AQ$55,3,FALSE))</f>
        <v>50</v>
      </c>
      <c r="B37" s="12">
        <f>(VLOOKUP(main!J37,main!$AO$4:$AQ$55,3,FALSE))</f>
        <v>50</v>
      </c>
      <c r="C37" s="12">
        <f>(VLOOKUP(main!K37,main!$AO$4:$AQ$55,3,FALSE))</f>
        <v>50</v>
      </c>
      <c r="D37" s="12">
        <f>(VLOOKUP(main!L37,main!$AO$4:$AQ$55,3,FALSE))</f>
        <v>50</v>
      </c>
      <c r="E37" s="12">
        <f>(VLOOKUP(main!M37,main!$AO$4:$AQ$55,3,FALSE))</f>
        <v>50</v>
      </c>
      <c r="F37" s="12">
        <f>(VLOOKUP(main!N37,main!$AO$4:$AQ$55,3,FALSE))</f>
        <v>50</v>
      </c>
      <c r="G37" s="13">
        <f>(VLOOKUP(main!O37,main!$AO$4:$AQ$55,3,FALSE))</f>
        <v>50</v>
      </c>
      <c r="H37" s="13">
        <f>(VLOOKUP(main!P37,main!$AO$4:$AQ$55,3,FALSE))</f>
        <v>50</v>
      </c>
      <c r="I37" s="12">
        <f>(VLOOKUP(main!Q37,main!$AO$4:$AQ$55,3,FALSE))</f>
        <v>55</v>
      </c>
      <c r="J37" s="12">
        <f>(VLOOKUP(main!R37,main!$AO$4:$AQ$55,3,FALSE))</f>
        <v>55</v>
      </c>
      <c r="K37" s="12">
        <f>(VLOOKUP(main!S37,main!$AO$4:$AQ$55,3,FALSE))</f>
        <v>55</v>
      </c>
      <c r="L37" s="12">
        <f>(VLOOKUP(main!T37,main!$AO$4:$AQ$55,3,FALSE))</f>
        <v>55</v>
      </c>
      <c r="M37" s="12">
        <f>(VLOOKUP(main!U37,main!$AO$4:$AQ$55,3,FALSE))</f>
        <v>55</v>
      </c>
      <c r="N37" s="12">
        <f>(VLOOKUP(main!V37,main!$AO$4:$AQ$55,3,FALSE))</f>
        <v>55</v>
      </c>
      <c r="O37" s="13">
        <f>(VLOOKUP(main!W37,main!$AO$4:$AQ$55,3,FALSE))</f>
        <v>55</v>
      </c>
      <c r="P37" s="13">
        <f>(VLOOKUP(main!X37,main!$AO$4:$AQ$55,3,FALSE))</f>
        <v>55</v>
      </c>
      <c r="Q37" s="12">
        <f>(VLOOKUP(main!Y37,main!$AO$4:$AQ$55,3,FALSE))</f>
        <v>60</v>
      </c>
      <c r="R37" s="12">
        <f>(VLOOKUP(main!Z37,main!$AO$4:$AQ$55,3,FALSE))</f>
        <v>60</v>
      </c>
      <c r="S37" s="12">
        <f>(VLOOKUP(main!AA37,main!$AO$4:$AQ$55,3,FALSE))</f>
        <v>60</v>
      </c>
      <c r="T37" s="12">
        <f>(VLOOKUP(main!AB37,main!$AO$4:$AQ$55,3,FALSE))</f>
        <v>60</v>
      </c>
      <c r="U37" s="12">
        <f>(VLOOKUP(main!AC37,main!$AO$4:$AQ$55,3,FALSE))</f>
        <v>60</v>
      </c>
      <c r="V37" s="12">
        <f>(VLOOKUP(main!AD37,main!$AO$4:$AQ$55,3,FALSE))</f>
        <v>60</v>
      </c>
      <c r="W37" s="13">
        <f>(VLOOKUP(main!AE37,main!$AO$4:$AQ$55,3,FALSE))</f>
        <v>60</v>
      </c>
      <c r="X37" s="13">
        <f>(VLOOKUP(main!AF37,main!$AO$4:$AQ$55,3,FALSE))</f>
        <v>60</v>
      </c>
    </row>
    <row r="38" spans="1:24">
      <c r="A38" s="12">
        <f>(VLOOKUP(main!I38,main!$AO$4:$AQ$55,3,FALSE))</f>
        <v>50</v>
      </c>
      <c r="B38" s="12">
        <f>(VLOOKUP(main!J38,main!$AO$4:$AQ$55,3,FALSE))</f>
        <v>50</v>
      </c>
      <c r="C38" s="12">
        <f>(VLOOKUP(main!K38,main!$AO$4:$AQ$55,3,FALSE))</f>
        <v>50</v>
      </c>
      <c r="D38" s="12">
        <f>(VLOOKUP(main!L38,main!$AO$4:$AQ$55,3,FALSE))</f>
        <v>50</v>
      </c>
      <c r="E38" s="12">
        <f>(VLOOKUP(main!M38,main!$AO$4:$AQ$55,3,FALSE))</f>
        <v>50</v>
      </c>
      <c r="F38" s="12">
        <f>(VLOOKUP(main!N38,main!$AO$4:$AQ$55,3,FALSE))</f>
        <v>50</v>
      </c>
      <c r="G38" s="13">
        <f>(VLOOKUP(main!O38,main!$AO$4:$AQ$55,3,FALSE))</f>
        <v>50</v>
      </c>
      <c r="H38" s="13">
        <f>(VLOOKUP(main!P38,main!$AO$4:$AQ$55,3,FALSE))</f>
        <v>50</v>
      </c>
      <c r="I38" s="12">
        <f>(VLOOKUP(main!Q38,main!$AO$4:$AQ$55,3,FALSE))</f>
        <v>55</v>
      </c>
      <c r="J38" s="12">
        <f>(VLOOKUP(main!R38,main!$AO$4:$AQ$55,3,FALSE))</f>
        <v>55</v>
      </c>
      <c r="K38" s="12">
        <f>(VLOOKUP(main!S38,main!$AO$4:$AQ$55,3,FALSE))</f>
        <v>55</v>
      </c>
      <c r="L38" s="12">
        <f>(VLOOKUP(main!T38,main!$AO$4:$AQ$55,3,FALSE))</f>
        <v>55</v>
      </c>
      <c r="M38" s="12">
        <f>(VLOOKUP(main!U38,main!$AO$4:$AQ$55,3,FALSE))</f>
        <v>55</v>
      </c>
      <c r="N38" s="12">
        <f>(VLOOKUP(main!V38,main!$AO$4:$AQ$55,3,FALSE))</f>
        <v>55</v>
      </c>
      <c r="O38" s="13">
        <f>(VLOOKUP(main!W38,main!$AO$4:$AQ$55,3,FALSE))</f>
        <v>55</v>
      </c>
      <c r="P38" s="13">
        <f>(VLOOKUP(main!X38,main!$AO$4:$AQ$55,3,FALSE))</f>
        <v>55</v>
      </c>
      <c r="Q38" s="12">
        <f>(VLOOKUP(main!Y38,main!$AO$4:$AQ$55,3,FALSE))</f>
        <v>60</v>
      </c>
      <c r="R38" s="12">
        <f>(VLOOKUP(main!Z38,main!$AO$4:$AQ$55,3,FALSE))</f>
        <v>60</v>
      </c>
      <c r="S38" s="12">
        <f>(VLOOKUP(main!AA38,main!$AO$4:$AQ$55,3,FALSE))</f>
        <v>60</v>
      </c>
      <c r="T38" s="12">
        <f>(VLOOKUP(main!AB38,main!$AO$4:$AQ$55,3,FALSE))</f>
        <v>60</v>
      </c>
      <c r="U38" s="12">
        <f>(VLOOKUP(main!AC38,main!$AO$4:$AQ$55,3,FALSE))</f>
        <v>60</v>
      </c>
      <c r="V38" s="12">
        <f>(VLOOKUP(main!AD38,main!$AO$4:$AQ$55,3,FALSE))</f>
        <v>60</v>
      </c>
      <c r="W38" s="13">
        <f>(VLOOKUP(main!AE38,main!$AO$4:$AQ$55,3,FALSE))</f>
        <v>60</v>
      </c>
      <c r="X38" s="13">
        <f>(VLOOKUP(main!AF38,main!$AO$4:$AQ$55,3,FALSE))</f>
        <v>60</v>
      </c>
    </row>
    <row r="39" spans="1:24">
      <c r="A39" s="12">
        <f>(VLOOKUP(main!I39,main!$AO$4:$AQ$55,3,FALSE))</f>
        <v>50</v>
      </c>
      <c r="B39" s="12">
        <f>(VLOOKUP(main!J39,main!$AO$4:$AQ$55,3,FALSE))</f>
        <v>50</v>
      </c>
      <c r="C39" s="12">
        <f>(VLOOKUP(main!K39,main!$AO$4:$AQ$55,3,FALSE))</f>
        <v>50</v>
      </c>
      <c r="D39" s="12">
        <f>(VLOOKUP(main!L39,main!$AO$4:$AQ$55,3,FALSE))</f>
        <v>50</v>
      </c>
      <c r="E39" s="12">
        <f>(VLOOKUP(main!M39,main!$AO$4:$AQ$55,3,FALSE))</f>
        <v>50</v>
      </c>
      <c r="F39" s="12">
        <f>(VLOOKUP(main!N39,main!$AO$4:$AQ$55,3,FALSE))</f>
        <v>50</v>
      </c>
      <c r="G39" s="13">
        <f>(VLOOKUP(main!O39,main!$AO$4:$AQ$55,3,FALSE))</f>
        <v>50</v>
      </c>
      <c r="H39" s="13">
        <f>(VLOOKUP(main!P39,main!$AO$4:$AQ$55,3,FALSE))</f>
        <v>50</v>
      </c>
      <c r="I39" s="12">
        <f>(VLOOKUP(main!Q39,main!$AO$4:$AQ$55,3,FALSE))</f>
        <v>55</v>
      </c>
      <c r="J39" s="12">
        <f>(VLOOKUP(main!R39,main!$AO$4:$AQ$55,3,FALSE))</f>
        <v>55</v>
      </c>
      <c r="K39" s="12">
        <f>(VLOOKUP(main!S39,main!$AO$4:$AQ$55,3,FALSE))</f>
        <v>55</v>
      </c>
      <c r="L39" s="12">
        <f>(VLOOKUP(main!T39,main!$AO$4:$AQ$55,3,FALSE))</f>
        <v>55</v>
      </c>
      <c r="M39" s="12">
        <f>(VLOOKUP(main!U39,main!$AO$4:$AQ$55,3,FALSE))</f>
        <v>55</v>
      </c>
      <c r="N39" s="12">
        <f>(VLOOKUP(main!V39,main!$AO$4:$AQ$55,3,FALSE))</f>
        <v>55</v>
      </c>
      <c r="O39" s="13">
        <f>(VLOOKUP(main!W39,main!$AO$4:$AQ$55,3,FALSE))</f>
        <v>55</v>
      </c>
      <c r="P39" s="13">
        <f>(VLOOKUP(main!X39,main!$AO$4:$AQ$55,3,FALSE))</f>
        <v>55</v>
      </c>
      <c r="Q39" s="12">
        <f>(VLOOKUP(main!Y39,main!$AO$4:$AQ$55,3,FALSE))</f>
        <v>60</v>
      </c>
      <c r="R39" s="12">
        <f>(VLOOKUP(main!Z39,main!$AO$4:$AQ$55,3,FALSE))</f>
        <v>60</v>
      </c>
      <c r="S39" s="12">
        <f>(VLOOKUP(main!AA39,main!$AO$4:$AQ$55,3,FALSE))</f>
        <v>60</v>
      </c>
      <c r="T39" s="12">
        <f>(VLOOKUP(main!AB39,main!$AO$4:$AQ$55,3,FALSE))</f>
        <v>60</v>
      </c>
      <c r="U39" s="12">
        <f>(VLOOKUP(main!AC39,main!$AO$4:$AQ$55,3,FALSE))</f>
        <v>60</v>
      </c>
      <c r="V39" s="12">
        <f>(VLOOKUP(main!AD39,main!$AO$4:$AQ$55,3,FALSE))</f>
        <v>60</v>
      </c>
      <c r="W39" s="13">
        <f>(VLOOKUP(main!AE39,main!$AO$4:$AQ$55,3,FALSE))</f>
        <v>60</v>
      </c>
      <c r="X39" s="13">
        <f>(VLOOKUP(main!AF39,main!$AO$4:$AQ$55,3,FALSE))</f>
        <v>60</v>
      </c>
    </row>
    <row r="40" spans="1:24">
      <c r="A40" s="12">
        <f>(VLOOKUP(main!I40,main!$AO$4:$AQ$55,3,FALSE))</f>
        <v>50</v>
      </c>
      <c r="B40" s="12">
        <f>(VLOOKUP(main!J40,main!$AO$4:$AQ$55,3,FALSE))</f>
        <v>50</v>
      </c>
      <c r="C40" s="12">
        <f>(VLOOKUP(main!K40,main!$AO$4:$AQ$55,3,FALSE))</f>
        <v>50</v>
      </c>
      <c r="D40" s="12">
        <f>(VLOOKUP(main!L40,main!$AO$4:$AQ$55,3,FALSE))</f>
        <v>50</v>
      </c>
      <c r="E40" s="12">
        <f>(VLOOKUP(main!M40,main!$AO$4:$AQ$55,3,FALSE))</f>
        <v>50</v>
      </c>
      <c r="F40" s="12">
        <f>(VLOOKUP(main!N40,main!$AO$4:$AQ$55,3,FALSE))</f>
        <v>50</v>
      </c>
      <c r="G40" s="13">
        <f>(VLOOKUP(main!O40,main!$AO$4:$AQ$55,3,FALSE))</f>
        <v>50</v>
      </c>
      <c r="H40" s="13">
        <f>(VLOOKUP(main!P40,main!$AO$4:$AQ$55,3,FALSE))</f>
        <v>50</v>
      </c>
      <c r="I40" s="12">
        <f>(VLOOKUP(main!Q40,main!$AO$4:$AQ$55,3,FALSE))</f>
        <v>55</v>
      </c>
      <c r="J40" s="12">
        <f>(VLOOKUP(main!R40,main!$AO$4:$AQ$55,3,FALSE))</f>
        <v>55</v>
      </c>
      <c r="K40" s="12">
        <f>(VLOOKUP(main!S40,main!$AO$4:$AQ$55,3,FALSE))</f>
        <v>55</v>
      </c>
      <c r="L40" s="12">
        <f>(VLOOKUP(main!T40,main!$AO$4:$AQ$55,3,FALSE))</f>
        <v>55</v>
      </c>
      <c r="M40" s="12">
        <f>(VLOOKUP(main!U40,main!$AO$4:$AQ$55,3,FALSE))</f>
        <v>55</v>
      </c>
      <c r="N40" s="12">
        <f>(VLOOKUP(main!V40,main!$AO$4:$AQ$55,3,FALSE))</f>
        <v>55</v>
      </c>
      <c r="O40" s="13">
        <f>(VLOOKUP(main!W40,main!$AO$4:$AQ$55,3,FALSE))</f>
        <v>55</v>
      </c>
      <c r="P40" s="13">
        <f>(VLOOKUP(main!X40,main!$AO$4:$AQ$55,3,FALSE))</f>
        <v>55</v>
      </c>
      <c r="Q40" s="12">
        <f>(VLOOKUP(main!Y40,main!$AO$4:$AQ$55,3,FALSE))</f>
        <v>60</v>
      </c>
      <c r="R40" s="12">
        <f>(VLOOKUP(main!Z40,main!$AO$4:$AQ$55,3,FALSE))</f>
        <v>60</v>
      </c>
      <c r="S40" s="12">
        <f>(VLOOKUP(main!AA40,main!$AO$4:$AQ$55,3,FALSE))</f>
        <v>60</v>
      </c>
      <c r="T40" s="12">
        <f>(VLOOKUP(main!AB40,main!$AO$4:$AQ$55,3,FALSE))</f>
        <v>60</v>
      </c>
      <c r="U40" s="12">
        <f>(VLOOKUP(main!AC40,main!$AO$4:$AQ$55,3,FALSE))</f>
        <v>60</v>
      </c>
      <c r="V40" s="12">
        <f>(VLOOKUP(main!AD40,main!$AO$4:$AQ$55,3,FALSE))</f>
        <v>45</v>
      </c>
      <c r="W40" s="13">
        <f>(VLOOKUP(main!AE40,main!$AO$4:$AQ$55,3,FALSE))</f>
        <v>45</v>
      </c>
      <c r="X40" s="13">
        <f>(VLOOKUP(main!AF40,main!$AO$4:$AQ$55,3,FALSE))</f>
        <v>45</v>
      </c>
    </row>
    <row r="41" spans="1:24">
      <c r="A41" s="12">
        <f>(VLOOKUP(main!I41,main!$AO$4:$AQ$55,3,FALSE))</f>
        <v>50</v>
      </c>
      <c r="B41" s="12">
        <f>(VLOOKUP(main!J41,main!$AO$4:$AQ$55,3,FALSE))</f>
        <v>50</v>
      </c>
      <c r="C41" s="12">
        <f>(VLOOKUP(main!K41,main!$AO$4:$AQ$55,3,FALSE))</f>
        <v>50</v>
      </c>
      <c r="D41" s="12">
        <f>(VLOOKUP(main!L41,main!$AO$4:$AQ$55,3,FALSE))</f>
        <v>50</v>
      </c>
      <c r="E41" s="12">
        <f>(VLOOKUP(main!M41,main!$AO$4:$AQ$55,3,FALSE))</f>
        <v>50</v>
      </c>
      <c r="F41" s="12">
        <f>(VLOOKUP(main!N41,main!$AO$4:$AQ$55,3,FALSE))</f>
        <v>50</v>
      </c>
      <c r="G41" s="13">
        <f>(VLOOKUP(main!O41,main!$AO$4:$AQ$55,3,FALSE))</f>
        <v>50</v>
      </c>
      <c r="H41" s="13">
        <f>(VLOOKUP(main!P41,main!$AO$4:$AQ$55,3,FALSE))</f>
        <v>50</v>
      </c>
      <c r="I41" s="12">
        <f>(VLOOKUP(main!Q41,main!$AO$4:$AQ$55,3,FALSE))</f>
        <v>55</v>
      </c>
      <c r="J41" s="12">
        <f>(VLOOKUP(main!R41,main!$AO$4:$AQ$55,3,FALSE))</f>
        <v>55</v>
      </c>
      <c r="K41" s="12">
        <f>(VLOOKUP(main!S41,main!$AO$4:$AQ$55,3,FALSE))</f>
        <v>55</v>
      </c>
      <c r="L41" s="12">
        <f>(VLOOKUP(main!T41,main!$AO$4:$AQ$55,3,FALSE))</f>
        <v>55</v>
      </c>
      <c r="M41" s="12">
        <f>(VLOOKUP(main!U41,main!$AO$4:$AQ$55,3,FALSE))</f>
        <v>55</v>
      </c>
      <c r="N41" s="12">
        <f>(VLOOKUP(main!V41,main!$AO$4:$AQ$55,3,FALSE))</f>
        <v>55</v>
      </c>
      <c r="O41" s="13">
        <f>(VLOOKUP(main!W41,main!$AO$4:$AQ$55,3,FALSE))</f>
        <v>55</v>
      </c>
      <c r="P41" s="13">
        <f>(VLOOKUP(main!X41,main!$AO$4:$AQ$55,3,FALSE))</f>
        <v>55</v>
      </c>
      <c r="Q41" s="12">
        <f>(VLOOKUP(main!Y41,main!$AO$4:$AQ$55,3,FALSE))</f>
        <v>30</v>
      </c>
      <c r="R41" s="12">
        <f>(VLOOKUP(main!Z41,main!$AO$4:$AQ$55,3,FALSE))</f>
        <v>30</v>
      </c>
      <c r="S41" s="12">
        <f>(VLOOKUP(main!AA41,main!$AO$4:$AQ$55,3,FALSE))</f>
        <v>30</v>
      </c>
      <c r="T41" s="12">
        <f>(VLOOKUP(main!AB41,main!$AO$4:$AQ$55,3,FALSE))</f>
        <v>30</v>
      </c>
      <c r="U41" s="12">
        <f>(VLOOKUP(main!AC41,main!$AO$4:$AQ$55,3,FALSE))</f>
        <v>30</v>
      </c>
      <c r="V41" s="12">
        <f>(VLOOKUP(main!AD41,main!$AO$4:$AQ$55,3,FALSE))</f>
        <v>30</v>
      </c>
      <c r="W41" s="13">
        <f>(VLOOKUP(main!AE41,main!$AO$4:$AQ$55,3,FALSE))</f>
        <v>30</v>
      </c>
      <c r="X41" s="13">
        <f>(VLOOKUP(main!AF41,main!$AO$4:$AQ$55,3,FALSE))</f>
        <v>30</v>
      </c>
    </row>
    <row r="42" spans="1:24">
      <c r="A42" s="12">
        <f>(VLOOKUP(main!I42,main!$AO$4:$AQ$55,3,FALSE))</f>
        <v>50</v>
      </c>
      <c r="B42" s="12">
        <f>(VLOOKUP(main!J42,main!$AO$4:$AQ$55,3,FALSE))</f>
        <v>50</v>
      </c>
      <c r="C42" s="12">
        <f>(VLOOKUP(main!K42,main!$AO$4:$AQ$55,3,FALSE))</f>
        <v>50</v>
      </c>
      <c r="D42" s="12">
        <f>(VLOOKUP(main!L42,main!$AO$4:$AQ$55,3,FALSE))</f>
        <v>50</v>
      </c>
      <c r="E42" s="12">
        <f>(VLOOKUP(main!M42,main!$AO$4:$AQ$55,3,FALSE))</f>
        <v>50</v>
      </c>
      <c r="F42" s="12">
        <f>(VLOOKUP(main!N42,main!$AO$4:$AQ$55,3,FALSE))</f>
        <v>50</v>
      </c>
      <c r="G42" s="13">
        <f>(VLOOKUP(main!O42,main!$AO$4:$AQ$55,3,FALSE))</f>
        <v>50</v>
      </c>
      <c r="H42" s="13">
        <f>(VLOOKUP(main!P42,main!$AO$4:$AQ$55,3,FALSE))</f>
        <v>50</v>
      </c>
      <c r="I42" s="12">
        <f>(VLOOKUP(main!Q42,main!$AO$4:$AQ$55,3,FALSE))</f>
        <v>55</v>
      </c>
      <c r="J42" s="12">
        <f>(VLOOKUP(main!R42,main!$AO$4:$AQ$55,3,FALSE))</f>
        <v>55</v>
      </c>
      <c r="K42" s="12">
        <f>(VLOOKUP(main!S42,main!$AO$4:$AQ$55,3,FALSE))</f>
        <v>55</v>
      </c>
      <c r="L42" s="12">
        <f>(VLOOKUP(main!T42,main!$AO$4:$AQ$55,3,FALSE))</f>
        <v>55</v>
      </c>
      <c r="M42" s="12">
        <f>(VLOOKUP(main!U42,main!$AO$4:$AQ$55,3,FALSE))</f>
        <v>55</v>
      </c>
      <c r="N42" s="12">
        <f>(VLOOKUP(main!V42,main!$AO$4:$AQ$55,3,FALSE))</f>
        <v>55</v>
      </c>
      <c r="O42" s="13">
        <f>(VLOOKUP(main!W42,main!$AO$4:$AQ$55,3,FALSE))</f>
        <v>55</v>
      </c>
      <c r="P42" s="13">
        <f>(VLOOKUP(main!X42,main!$AO$4:$AQ$55,3,FALSE))</f>
        <v>55</v>
      </c>
      <c r="Q42" s="12">
        <f>(VLOOKUP(main!Y42,main!$AO$4:$AQ$55,3,FALSE))</f>
        <v>30</v>
      </c>
      <c r="R42" s="12">
        <f>(VLOOKUP(main!Z42,main!$AO$4:$AQ$55,3,FALSE))</f>
        <v>30</v>
      </c>
      <c r="S42" s="12">
        <f>(VLOOKUP(main!AA42,main!$AO$4:$AQ$55,3,FALSE))</f>
        <v>30</v>
      </c>
      <c r="T42" s="12">
        <f>(VLOOKUP(main!AB42,main!$AO$4:$AQ$55,3,FALSE))</f>
        <v>30</v>
      </c>
      <c r="U42" s="12">
        <f>(VLOOKUP(main!AC42,main!$AO$4:$AQ$55,3,FALSE))</f>
        <v>30</v>
      </c>
      <c r="V42" s="12">
        <f>(VLOOKUP(main!AD42,main!$AO$4:$AQ$55,3,FALSE))</f>
        <v>30</v>
      </c>
      <c r="W42" s="13">
        <f>(VLOOKUP(main!AE42,main!$AO$4:$AQ$55,3,FALSE))</f>
        <v>30</v>
      </c>
      <c r="X42" s="13">
        <f>(VLOOKUP(main!AF42,main!$AO$4:$AQ$55,3,FALSE))</f>
        <v>30</v>
      </c>
    </row>
    <row r="43" spans="1:24">
      <c r="A43" s="12">
        <f>(VLOOKUP(main!I43,main!$AO$4:$AQ$55,3,FALSE))</f>
        <v>50</v>
      </c>
      <c r="B43" s="12">
        <f>(VLOOKUP(main!J43,main!$AO$4:$AQ$55,3,FALSE))</f>
        <v>50</v>
      </c>
      <c r="C43" s="12">
        <f>(VLOOKUP(main!K43,main!$AO$4:$AQ$55,3,FALSE))</f>
        <v>50</v>
      </c>
      <c r="D43" s="12">
        <f>(VLOOKUP(main!L43,main!$AO$4:$AQ$55,3,FALSE))</f>
        <v>50</v>
      </c>
      <c r="E43" s="12">
        <f>(VLOOKUP(main!M43,main!$AO$4:$AQ$55,3,FALSE))</f>
        <v>50</v>
      </c>
      <c r="F43" s="12">
        <f>(VLOOKUP(main!N43,main!$AO$4:$AQ$55,3,FALSE))</f>
        <v>50</v>
      </c>
      <c r="G43" s="13">
        <f>(VLOOKUP(main!O43,main!$AO$4:$AQ$55,3,FALSE))</f>
        <v>50</v>
      </c>
      <c r="H43" s="13">
        <f>(VLOOKUP(main!P43,main!$AO$4:$AQ$55,3,FALSE))</f>
        <v>50</v>
      </c>
      <c r="I43" s="12">
        <f>(VLOOKUP(main!Q43,main!$AO$4:$AQ$55,3,FALSE))</f>
        <v>55</v>
      </c>
      <c r="J43" s="12">
        <f>(VLOOKUP(main!R43,main!$AO$4:$AQ$55,3,FALSE))</f>
        <v>55</v>
      </c>
      <c r="K43" s="12">
        <f>(VLOOKUP(main!S43,main!$AO$4:$AQ$55,3,FALSE))</f>
        <v>55</v>
      </c>
      <c r="L43" s="12">
        <f>(VLOOKUP(main!T43,main!$AO$4:$AQ$55,3,FALSE))</f>
        <v>55</v>
      </c>
      <c r="M43" s="12">
        <f>(VLOOKUP(main!U43,main!$AO$4:$AQ$55,3,FALSE))</f>
        <v>55</v>
      </c>
      <c r="N43" s="12">
        <f>(VLOOKUP(main!V43,main!$AO$4:$AQ$55,3,FALSE))</f>
        <v>55</v>
      </c>
      <c r="O43" s="13">
        <f>(VLOOKUP(main!W43,main!$AO$4:$AQ$55,3,FALSE))</f>
        <v>55</v>
      </c>
      <c r="P43" s="13">
        <f>(VLOOKUP(main!X43,main!$AO$4:$AQ$55,3,FALSE))</f>
        <v>55</v>
      </c>
      <c r="Q43" s="12">
        <f>(VLOOKUP(main!Y43,main!$AO$4:$AQ$55,3,FALSE))</f>
        <v>30</v>
      </c>
      <c r="R43" s="12">
        <f>(VLOOKUP(main!Z43,main!$AO$4:$AQ$55,3,FALSE))</f>
        <v>30</v>
      </c>
      <c r="S43" s="12">
        <f>(VLOOKUP(main!AA43,main!$AO$4:$AQ$55,3,FALSE))</f>
        <v>30</v>
      </c>
      <c r="T43" s="12">
        <f>(VLOOKUP(main!AB43,main!$AO$4:$AQ$55,3,FALSE))</f>
        <v>30</v>
      </c>
      <c r="U43" s="12">
        <f>(VLOOKUP(main!AC43,main!$AO$4:$AQ$55,3,FALSE))</f>
        <v>30</v>
      </c>
      <c r="V43" s="12">
        <f>(VLOOKUP(main!AD43,main!$AO$4:$AQ$55,3,FALSE))</f>
        <v>30</v>
      </c>
      <c r="W43" s="13">
        <f>(VLOOKUP(main!AE43,main!$AO$4:$AQ$55,3,FALSE))</f>
        <v>30</v>
      </c>
      <c r="X43" s="13">
        <f>(VLOOKUP(main!AF43,main!$AO$4:$AQ$55,3,FALSE))</f>
        <v>30</v>
      </c>
    </row>
    <row r="44" spans="1:24">
      <c r="A44" s="12">
        <f>(VLOOKUP(main!I44,main!$AO$4:$AQ$55,3,FALSE))</f>
        <v>50</v>
      </c>
      <c r="B44" s="12">
        <f>(VLOOKUP(main!J44,main!$AO$4:$AQ$55,3,FALSE))</f>
        <v>50</v>
      </c>
      <c r="C44" s="12">
        <f>(VLOOKUP(main!K44,main!$AO$4:$AQ$55,3,FALSE))</f>
        <v>50</v>
      </c>
      <c r="D44" s="12">
        <f>(VLOOKUP(main!L44,main!$AO$4:$AQ$55,3,FALSE))</f>
        <v>50</v>
      </c>
      <c r="E44" s="12">
        <f>(VLOOKUP(main!M44,main!$AO$4:$AQ$55,3,FALSE))</f>
        <v>50</v>
      </c>
      <c r="F44" s="12">
        <f>(VLOOKUP(main!N44,main!$AO$4:$AQ$55,3,FALSE))</f>
        <v>50</v>
      </c>
      <c r="G44" s="13">
        <f>(VLOOKUP(main!O44,main!$AO$4:$AQ$55,3,FALSE))</f>
        <v>50</v>
      </c>
      <c r="H44" s="13">
        <f>(VLOOKUP(main!P44,main!$AO$4:$AQ$55,3,FALSE))</f>
        <v>50</v>
      </c>
      <c r="I44" s="12">
        <f>(VLOOKUP(main!Q44,main!$AO$4:$AQ$55,3,FALSE))</f>
        <v>55</v>
      </c>
      <c r="J44" s="12">
        <f>(VLOOKUP(main!R44,main!$AO$4:$AQ$55,3,FALSE))</f>
        <v>55</v>
      </c>
      <c r="K44" s="12">
        <f>(VLOOKUP(main!S44,main!$AO$4:$AQ$55,3,FALSE))</f>
        <v>55</v>
      </c>
      <c r="L44" s="12">
        <f>(VLOOKUP(main!T44,main!$AO$4:$AQ$55,3,FALSE))</f>
        <v>55</v>
      </c>
      <c r="M44" s="12">
        <f>(VLOOKUP(main!U44,main!$AO$4:$AQ$55,3,FALSE))</f>
        <v>55</v>
      </c>
      <c r="N44" s="12">
        <f>(VLOOKUP(main!V44,main!$AO$4:$AQ$55,3,FALSE))</f>
        <v>55</v>
      </c>
      <c r="O44" s="13">
        <f>(VLOOKUP(main!W44,main!$AO$4:$AQ$55,3,FALSE))</f>
        <v>55</v>
      </c>
      <c r="P44" s="13">
        <f>(VLOOKUP(main!X44,main!$AO$4:$AQ$55,3,FALSE))</f>
        <v>55</v>
      </c>
      <c r="Q44" s="12">
        <f>(VLOOKUP(main!Y44,main!$AO$4:$AQ$55,3,FALSE))</f>
        <v>50</v>
      </c>
      <c r="R44" s="12">
        <f>(VLOOKUP(main!Z44,main!$AO$4:$AQ$55,3,FALSE))</f>
        <v>50</v>
      </c>
      <c r="S44" s="12">
        <f>(VLOOKUP(main!AA44,main!$AO$4:$AQ$55,3,FALSE))</f>
        <v>50</v>
      </c>
      <c r="T44" s="12">
        <f>(VLOOKUP(main!AB44,main!$AO$4:$AQ$55,3,FALSE))</f>
        <v>55</v>
      </c>
      <c r="U44" s="12">
        <f>(VLOOKUP(main!AC44,main!$AO$4:$AQ$55,3,FALSE))</f>
        <v>55</v>
      </c>
      <c r="V44" s="12">
        <f>(VLOOKUP(main!AD44,main!$AO$4:$AQ$55,3,FALSE))</f>
        <v>55</v>
      </c>
      <c r="W44" s="13">
        <f>(VLOOKUP(main!AE44,main!$AO$4:$AQ$55,3,FALSE))</f>
        <v>60</v>
      </c>
      <c r="X44" s="13">
        <f>(VLOOKUP(main!AF44,main!$AO$4:$AQ$55,3,FALSE))</f>
        <v>0</v>
      </c>
    </row>
    <row r="45" spans="1:24">
      <c r="A45" s="12">
        <f>(VLOOKUP(main!I45,main!$AO$4:$AQ$55,3,FALSE))</f>
        <v>50</v>
      </c>
      <c r="B45" s="12">
        <f>(VLOOKUP(main!J45,main!$AO$4:$AQ$55,3,FALSE))</f>
        <v>50</v>
      </c>
      <c r="C45" s="12">
        <f>(VLOOKUP(main!K45,main!$AO$4:$AQ$55,3,FALSE))</f>
        <v>50</v>
      </c>
      <c r="D45" s="12">
        <f>(VLOOKUP(main!L45,main!$AO$4:$AQ$55,3,FALSE))</f>
        <v>50</v>
      </c>
      <c r="E45" s="12">
        <f>(VLOOKUP(main!M45,main!$AO$4:$AQ$55,3,FALSE))</f>
        <v>50</v>
      </c>
      <c r="F45" s="12">
        <f>(VLOOKUP(main!N45,main!$AO$4:$AQ$55,3,FALSE))</f>
        <v>50</v>
      </c>
      <c r="G45" s="13">
        <f>(VLOOKUP(main!O45,main!$AO$4:$AQ$55,3,FALSE))</f>
        <v>50</v>
      </c>
      <c r="H45" s="13">
        <f>(VLOOKUP(main!P45,main!$AO$4:$AQ$55,3,FALSE))</f>
        <v>50</v>
      </c>
      <c r="I45" s="12">
        <f>(VLOOKUP(main!Q45,main!$AO$4:$AQ$55,3,FALSE))</f>
        <v>55</v>
      </c>
      <c r="J45" s="12">
        <f>(VLOOKUP(main!R45,main!$AO$4:$AQ$55,3,FALSE))</f>
        <v>0</v>
      </c>
      <c r="K45" s="12">
        <f>(VLOOKUP(main!S45,main!$AO$4:$AQ$55,3,FALSE))</f>
        <v>0</v>
      </c>
      <c r="L45" s="12">
        <f>(VLOOKUP(main!T45,main!$AO$4:$AQ$55,3,FALSE))</f>
        <v>0</v>
      </c>
      <c r="M45" s="12">
        <f>(VLOOKUP(main!U45,main!$AO$4:$AQ$55,3,FALSE))</f>
        <v>0</v>
      </c>
      <c r="N45" s="12">
        <f>(VLOOKUP(main!V45,main!$AO$4:$AQ$55,3,FALSE))</f>
        <v>0</v>
      </c>
      <c r="O45" s="13">
        <f>(VLOOKUP(main!W45,main!$AO$4:$AQ$55,3,FALSE))</f>
        <v>0</v>
      </c>
      <c r="P45" s="13">
        <f>(VLOOKUP(main!X45,main!$AO$4:$AQ$55,3,FALSE))</f>
        <v>0</v>
      </c>
      <c r="Q45" s="12">
        <f>(VLOOKUP(main!Y45,main!$AO$4:$AQ$55,3,FALSE))</f>
        <v>500</v>
      </c>
      <c r="R45" s="12">
        <f>(VLOOKUP(main!Z45,main!$AO$4:$AQ$55,3,FALSE))</f>
        <v>500</v>
      </c>
      <c r="S45" s="12">
        <f>(VLOOKUP(main!AA45,main!$AO$4:$AQ$55,3,FALSE))</f>
        <v>1000</v>
      </c>
      <c r="T45" s="12">
        <f>(VLOOKUP(main!AB45,main!$AO$4:$AQ$55,3,FALSE))</f>
        <v>1000</v>
      </c>
      <c r="U45" s="12">
        <f>(VLOOKUP(main!AC45,main!$AO$4:$AQ$55,3,FALSE))</f>
        <v>520</v>
      </c>
      <c r="V45" s="12">
        <f>(VLOOKUP(main!AD45,main!$AO$4:$AQ$55,3,FALSE))</f>
        <v>520</v>
      </c>
      <c r="W45" s="13">
        <f>(VLOOKUP(main!AE45,main!$AO$4:$AQ$55,3,FALSE))</f>
        <v>520</v>
      </c>
      <c r="X45" s="13">
        <f>(VLOOKUP(main!AF45,main!$AO$4:$AQ$55,3,FALSE))</f>
        <v>0</v>
      </c>
    </row>
    <row r="46" spans="1:24">
      <c r="A46" s="12">
        <f>(VLOOKUP(main!I46,main!$AO$4:$AQ$55,3,FALSE))</f>
        <v>50</v>
      </c>
      <c r="B46" s="12">
        <f>(VLOOKUP(main!J46,main!$AO$4:$AQ$55,3,FALSE))</f>
        <v>50</v>
      </c>
      <c r="C46" s="12">
        <f>(VLOOKUP(main!K46,main!$AO$4:$AQ$55,3,FALSE))</f>
        <v>50</v>
      </c>
      <c r="D46" s="12">
        <f>(VLOOKUP(main!L46,main!$AO$4:$AQ$55,3,FALSE))</f>
        <v>50</v>
      </c>
      <c r="E46" s="12">
        <f>(VLOOKUP(main!M46,main!$AO$4:$AQ$55,3,FALSE))</f>
        <v>50</v>
      </c>
      <c r="F46" s="12">
        <f>(VLOOKUP(main!N46,main!$AO$4:$AQ$55,3,FALSE))</f>
        <v>50</v>
      </c>
      <c r="G46" s="13">
        <f>(VLOOKUP(main!O46,main!$AO$4:$AQ$55,3,FALSE))</f>
        <v>50</v>
      </c>
      <c r="H46" s="13">
        <f>(VLOOKUP(main!P46,main!$AO$4:$AQ$55,3,FALSE))</f>
        <v>50</v>
      </c>
      <c r="I46" s="12">
        <f>(VLOOKUP(main!Q46,main!$AO$4:$AQ$55,3,FALSE))</f>
        <v>0</v>
      </c>
      <c r="J46" s="12">
        <f>(VLOOKUP(main!R46,main!$AO$4:$AQ$55,3,FALSE))</f>
        <v>0</v>
      </c>
      <c r="K46" s="12">
        <f>(VLOOKUP(main!S46,main!$AO$4:$AQ$55,3,FALSE))</f>
        <v>0</v>
      </c>
      <c r="L46" s="12">
        <f>(VLOOKUP(main!T46,main!$AO$4:$AQ$55,3,FALSE))</f>
        <v>0</v>
      </c>
      <c r="M46" s="12">
        <f>(VLOOKUP(main!U46,main!$AO$4:$AQ$55,3,FALSE))</f>
        <v>0</v>
      </c>
      <c r="N46" s="12">
        <f>(VLOOKUP(main!V46,main!$AO$4:$AQ$55,3,FALSE))</f>
        <v>0</v>
      </c>
      <c r="O46" s="13">
        <f>(VLOOKUP(main!W46,main!$AO$4:$AQ$55,3,FALSE))</f>
        <v>0</v>
      </c>
      <c r="P46" s="13">
        <f>(VLOOKUP(main!X46,main!$AO$4:$AQ$55,3,FALSE))</f>
        <v>0</v>
      </c>
      <c r="Q46" s="12">
        <f>(VLOOKUP(main!Y46,main!$AO$4:$AQ$55,3,FALSE))</f>
        <v>0</v>
      </c>
      <c r="R46" s="12">
        <f>(VLOOKUP(main!Z46,main!$AO$4:$AQ$55,3,FALSE))</f>
        <v>0</v>
      </c>
      <c r="S46" s="12">
        <f>(VLOOKUP(main!AA46,main!$AO$4:$AQ$55,3,FALSE))</f>
        <v>0</v>
      </c>
      <c r="T46" s="12">
        <f>(VLOOKUP(main!AB46,main!$AO$4:$AQ$55,3,FALSE))</f>
        <v>0</v>
      </c>
      <c r="U46" s="12">
        <f>(VLOOKUP(main!AC46,main!$AO$4:$AQ$55,3,FALSE))</f>
        <v>0</v>
      </c>
      <c r="V46" s="12">
        <f>(VLOOKUP(main!AD46,main!$AO$4:$AQ$55,3,FALSE))</f>
        <v>0</v>
      </c>
      <c r="W46" s="13">
        <f>(VLOOKUP(main!AE46,main!$AO$4:$AQ$55,3,FALSE))</f>
        <v>0</v>
      </c>
      <c r="X46" s="13">
        <f>(VLOOKUP(main!AF46,main!$AO$4:$AQ$55,3,FALSE))</f>
        <v>0</v>
      </c>
    </row>
    <row r="47" spans="1:24">
      <c r="A47" s="12">
        <f>(VLOOKUP(main!I47,main!$AO$4:$AQ$55,3,FALSE))</f>
        <v>50</v>
      </c>
      <c r="B47" s="12">
        <f>(VLOOKUP(main!J47,main!$AO$4:$AQ$55,3,FALSE))</f>
        <v>50</v>
      </c>
      <c r="C47" s="12">
        <f>(VLOOKUP(main!K47,main!$AO$4:$AQ$55,3,FALSE))</f>
        <v>50</v>
      </c>
      <c r="D47" s="12">
        <f>(VLOOKUP(main!L47,main!$AO$4:$AQ$55,3,FALSE))</f>
        <v>50</v>
      </c>
      <c r="E47" s="12">
        <f>(VLOOKUP(main!M47,main!$AO$4:$AQ$55,3,FALSE))</f>
        <v>50</v>
      </c>
      <c r="F47" s="12">
        <f>(VLOOKUP(main!N47,main!$AO$4:$AQ$55,3,FALSE))</f>
        <v>50</v>
      </c>
      <c r="G47" s="13">
        <f>(VLOOKUP(main!O47,main!$AO$4:$AQ$55,3,FALSE))</f>
        <v>50</v>
      </c>
      <c r="H47" s="13">
        <f>(VLOOKUP(main!P47,main!$AO$4:$AQ$55,3,FALSE))</f>
        <v>50</v>
      </c>
      <c r="I47" s="12">
        <f>(VLOOKUP(main!Q47,main!$AO$4:$AQ$55,3,FALSE))</f>
        <v>0</v>
      </c>
      <c r="J47" s="12">
        <f>(VLOOKUP(main!R47,main!$AO$4:$AQ$55,3,FALSE))</f>
        <v>0</v>
      </c>
      <c r="K47" s="12">
        <f>(VLOOKUP(main!S47,main!$AO$4:$AQ$55,3,FALSE))</f>
        <v>0</v>
      </c>
      <c r="L47" s="12">
        <f>(VLOOKUP(main!T47,main!$AO$4:$AQ$55,3,FALSE))</f>
        <v>0</v>
      </c>
      <c r="M47" s="12">
        <f>(VLOOKUP(main!U47,main!$AO$4:$AQ$55,3,FALSE))</f>
        <v>0</v>
      </c>
      <c r="N47" s="12">
        <f>(VLOOKUP(main!V47,main!$AO$4:$AQ$55,3,FALSE))</f>
        <v>0</v>
      </c>
      <c r="O47" s="13">
        <f>(VLOOKUP(main!W47,main!$AO$4:$AQ$55,3,FALSE))</f>
        <v>0</v>
      </c>
      <c r="P47" s="13">
        <f>(VLOOKUP(main!X47,main!$AO$4:$AQ$55,3,FALSE))</f>
        <v>0</v>
      </c>
      <c r="Q47" s="12">
        <f>(VLOOKUP(main!Y47,main!$AO$4:$AQ$55,3,FALSE))</f>
        <v>0</v>
      </c>
      <c r="R47" s="12">
        <f>(VLOOKUP(main!Z47,main!$AO$4:$AQ$55,3,FALSE))</f>
        <v>0</v>
      </c>
      <c r="S47" s="12">
        <f>(VLOOKUP(main!AA47,main!$AO$4:$AQ$55,3,FALSE))</f>
        <v>0</v>
      </c>
      <c r="T47" s="12">
        <f>(VLOOKUP(main!AB47,main!$AO$4:$AQ$55,3,FALSE))</f>
        <v>0</v>
      </c>
      <c r="U47" s="12">
        <f>(VLOOKUP(main!AC47,main!$AO$4:$AQ$55,3,FALSE))</f>
        <v>0</v>
      </c>
      <c r="V47" s="12">
        <f>(VLOOKUP(main!AD47,main!$AO$4:$AQ$55,3,FALSE))</f>
        <v>0</v>
      </c>
      <c r="W47" s="13">
        <f>(VLOOKUP(main!AE47,main!$AO$4:$AQ$55,3,FALSE))</f>
        <v>0</v>
      </c>
      <c r="X47" s="13">
        <f>(VLOOKUP(main!AF47,main!$AO$4:$AQ$55,3,FALSE))</f>
        <v>0</v>
      </c>
    </row>
    <row r="48" spans="1:24">
      <c r="A48" s="12">
        <f>(VLOOKUP(main!I48,main!$AO$4:$AQ$55,3,FALSE))</f>
        <v>50</v>
      </c>
      <c r="B48" s="12">
        <f>(VLOOKUP(main!J48,main!$AO$4:$AQ$55,3,FALSE))</f>
        <v>50</v>
      </c>
      <c r="C48" s="12">
        <f>(VLOOKUP(main!K48,main!$AO$4:$AQ$55,3,FALSE))</f>
        <v>50</v>
      </c>
      <c r="D48" s="12">
        <f>(VLOOKUP(main!L48,main!$AO$4:$AQ$55,3,FALSE))</f>
        <v>50</v>
      </c>
      <c r="E48" s="12">
        <f>(VLOOKUP(main!M48,main!$AO$4:$AQ$55,3,FALSE))</f>
        <v>50</v>
      </c>
      <c r="F48" s="12">
        <f>(VLOOKUP(main!N48,main!$AO$4:$AQ$55,3,FALSE))</f>
        <v>50</v>
      </c>
      <c r="G48" s="13">
        <f>(VLOOKUP(main!O48,main!$AO$4:$AQ$55,3,FALSE))</f>
        <v>50</v>
      </c>
      <c r="H48" s="13">
        <f>(VLOOKUP(main!P48,main!$AO$4:$AQ$55,3,FALSE))</f>
        <v>50</v>
      </c>
      <c r="I48" s="12">
        <f>(VLOOKUP(main!Q48,main!$AO$4:$AQ$55,3,FALSE))</f>
        <v>45</v>
      </c>
      <c r="J48" s="12">
        <f>(VLOOKUP(main!R48,main!$AO$4:$AQ$55,3,FALSE))</f>
        <v>45</v>
      </c>
      <c r="K48" s="12">
        <f>(VLOOKUP(main!S48,main!$AO$4:$AQ$55,3,FALSE))</f>
        <v>45</v>
      </c>
      <c r="L48" s="12">
        <f>(VLOOKUP(main!T48,main!$AO$4:$AQ$55,3,FALSE))</f>
        <v>45</v>
      </c>
      <c r="M48" s="12">
        <f>(VLOOKUP(main!U48,main!$AO$4:$AQ$55,3,FALSE))</f>
        <v>45</v>
      </c>
      <c r="N48" s="12">
        <f>(VLOOKUP(main!V48,main!$AO$4:$AQ$55,3,FALSE))</f>
        <v>45</v>
      </c>
      <c r="O48" s="13">
        <f>(VLOOKUP(main!W48,main!$AO$4:$AQ$55,3,FALSE))</f>
        <v>45</v>
      </c>
      <c r="P48" s="13">
        <f>(VLOOKUP(main!X48,main!$AO$4:$AQ$55,3,FALSE))</f>
        <v>45</v>
      </c>
      <c r="Q48" s="12">
        <f>(VLOOKUP(main!Y48,main!$AO$4:$AQ$55,3,FALSE))</f>
        <v>45</v>
      </c>
      <c r="R48" s="12">
        <f>(VLOOKUP(main!Z48,main!$AO$4:$AQ$55,3,FALSE))</f>
        <v>45</v>
      </c>
      <c r="S48" s="12">
        <f>(VLOOKUP(main!AA48,main!$AO$4:$AQ$55,3,FALSE))</f>
        <v>45</v>
      </c>
      <c r="T48" s="12">
        <f>(VLOOKUP(main!AB48,main!$AO$4:$AQ$55,3,FALSE))</f>
        <v>45</v>
      </c>
      <c r="U48" s="12">
        <f>(VLOOKUP(main!AC48,main!$AO$4:$AQ$55,3,FALSE))</f>
        <v>45</v>
      </c>
      <c r="V48" s="12">
        <f>(VLOOKUP(main!AD48,main!$AO$4:$AQ$55,3,FALSE))</f>
        <v>45</v>
      </c>
      <c r="W48" s="13">
        <f>(VLOOKUP(main!AE48,main!$AO$4:$AQ$55,3,FALSE))</f>
        <v>0</v>
      </c>
      <c r="X48" s="13">
        <f>(VLOOKUP(main!AF48,main!$AO$4:$AQ$55,3,FALSE))</f>
        <v>0</v>
      </c>
    </row>
    <row r="49" spans="1:24">
      <c r="A49" s="12">
        <f>(VLOOKUP(main!I49,main!$AO$4:$AQ$55,3,FALSE))</f>
        <v>50</v>
      </c>
      <c r="B49" s="12">
        <f>(VLOOKUP(main!J49,main!$AO$4:$AQ$55,3,FALSE))</f>
        <v>50</v>
      </c>
      <c r="C49" s="12">
        <f>(VLOOKUP(main!K49,main!$AO$4:$AQ$55,3,FALSE))</f>
        <v>50</v>
      </c>
      <c r="D49" s="12">
        <f>(VLOOKUP(main!L49,main!$AO$4:$AQ$55,3,FALSE))</f>
        <v>50</v>
      </c>
      <c r="E49" s="12">
        <f>(VLOOKUP(main!M49,main!$AO$4:$AQ$55,3,FALSE))</f>
        <v>50</v>
      </c>
      <c r="F49" s="12">
        <f>(VLOOKUP(main!N49,main!$AO$4:$AQ$55,3,FALSE))</f>
        <v>50</v>
      </c>
      <c r="G49" s="13">
        <f>(VLOOKUP(main!O49,main!$AO$4:$AQ$55,3,FALSE))</f>
        <v>50</v>
      </c>
      <c r="H49" s="13">
        <f>(VLOOKUP(main!P49,main!$AO$4:$AQ$55,3,FALSE))</f>
        <v>50</v>
      </c>
      <c r="I49" s="12">
        <f>(VLOOKUP(main!Q49,main!$AO$4:$AQ$55,3,FALSE))</f>
        <v>45</v>
      </c>
      <c r="J49" s="12">
        <f>(VLOOKUP(main!R49,main!$AO$4:$AQ$55,3,FALSE))</f>
        <v>45</v>
      </c>
      <c r="K49" s="12">
        <f>(VLOOKUP(main!S49,main!$AO$4:$AQ$55,3,FALSE))</f>
        <v>45</v>
      </c>
      <c r="L49" s="12">
        <f>(VLOOKUP(main!T49,main!$AO$4:$AQ$55,3,FALSE))</f>
        <v>45</v>
      </c>
      <c r="M49" s="12">
        <f>(VLOOKUP(main!U49,main!$AO$4:$AQ$55,3,FALSE))</f>
        <v>45</v>
      </c>
      <c r="N49" s="12">
        <f>(VLOOKUP(main!V49,main!$AO$4:$AQ$55,3,FALSE))</f>
        <v>45</v>
      </c>
      <c r="O49" s="13">
        <f>(VLOOKUP(main!W49,main!$AO$4:$AQ$55,3,FALSE))</f>
        <v>45</v>
      </c>
      <c r="P49" s="13">
        <f>(VLOOKUP(main!X49,main!$AO$4:$AQ$55,3,FALSE))</f>
        <v>45</v>
      </c>
      <c r="Q49" s="12">
        <f>(VLOOKUP(main!Y49,main!$AO$4:$AQ$55,3,FALSE))</f>
        <v>45</v>
      </c>
      <c r="R49" s="12">
        <f>(VLOOKUP(main!Z49,main!$AO$4:$AQ$55,3,FALSE))</f>
        <v>45</v>
      </c>
      <c r="S49" s="12">
        <f>(VLOOKUP(main!AA49,main!$AO$4:$AQ$55,3,FALSE))</f>
        <v>45</v>
      </c>
      <c r="T49" s="12">
        <f>(VLOOKUP(main!AB49,main!$AO$4:$AQ$55,3,FALSE))</f>
        <v>45</v>
      </c>
      <c r="U49" s="12">
        <f>(VLOOKUP(main!AC49,main!$AO$4:$AQ$55,3,FALSE))</f>
        <v>45</v>
      </c>
      <c r="V49" s="12">
        <f>(VLOOKUP(main!AD49,main!$AO$4:$AQ$55,3,FALSE))</f>
        <v>45</v>
      </c>
      <c r="W49" s="13">
        <f>(VLOOKUP(main!AE49,main!$AO$4:$AQ$55,3,FALSE))</f>
        <v>0</v>
      </c>
      <c r="X49" s="13">
        <f>(VLOOKUP(main!AF49,main!$AO$4:$AQ$55,3,FALSE))</f>
        <v>0</v>
      </c>
    </row>
    <row r="50" spans="1:24">
      <c r="A50" s="12">
        <f>(VLOOKUP(main!I50,main!$AO$4:$AQ$55,3,FALSE))</f>
        <v>50</v>
      </c>
      <c r="B50" s="12">
        <f>(VLOOKUP(main!J50,main!$AO$4:$AQ$55,3,FALSE))</f>
        <v>50</v>
      </c>
      <c r="C50" s="12">
        <f>(VLOOKUP(main!K50,main!$AO$4:$AQ$55,3,FALSE))</f>
        <v>50</v>
      </c>
      <c r="D50" s="12">
        <f>(VLOOKUP(main!L50,main!$AO$4:$AQ$55,3,FALSE))</f>
        <v>50</v>
      </c>
      <c r="E50" s="12">
        <f>(VLOOKUP(main!M50,main!$AO$4:$AQ$55,3,FALSE))</f>
        <v>50</v>
      </c>
      <c r="F50" s="12">
        <f>(VLOOKUP(main!N50,main!$AO$4:$AQ$55,3,FALSE))</f>
        <v>50</v>
      </c>
      <c r="G50" s="13">
        <f>(VLOOKUP(main!O50,main!$AO$4:$AQ$55,3,FALSE))</f>
        <v>50</v>
      </c>
      <c r="H50" s="13">
        <f>(VLOOKUP(main!P50,main!$AO$4:$AQ$55,3,FALSE))</f>
        <v>50</v>
      </c>
      <c r="I50" s="12">
        <f>(VLOOKUP(main!Q50,main!$AO$4:$AQ$55,3,FALSE))</f>
        <v>45</v>
      </c>
      <c r="J50" s="12">
        <f>(VLOOKUP(main!R50,main!$AO$4:$AQ$55,3,FALSE))</f>
        <v>45</v>
      </c>
      <c r="K50" s="12">
        <f>(VLOOKUP(main!S50,main!$AO$4:$AQ$55,3,FALSE))</f>
        <v>45</v>
      </c>
      <c r="L50" s="12">
        <f>(VLOOKUP(main!T50,main!$AO$4:$AQ$55,3,FALSE))</f>
        <v>45</v>
      </c>
      <c r="M50" s="12">
        <f>(VLOOKUP(main!U50,main!$AO$4:$AQ$55,3,FALSE))</f>
        <v>45</v>
      </c>
      <c r="N50" s="12">
        <f>(VLOOKUP(main!V50,main!$AO$4:$AQ$55,3,FALSE))</f>
        <v>45</v>
      </c>
      <c r="O50" s="13">
        <f>(VLOOKUP(main!W50,main!$AO$4:$AQ$55,3,FALSE))</f>
        <v>45</v>
      </c>
      <c r="P50" s="13">
        <f>(VLOOKUP(main!X50,main!$AO$4:$AQ$55,3,FALSE))</f>
        <v>45</v>
      </c>
      <c r="Q50" s="12">
        <f>(VLOOKUP(main!Y50,main!$AO$4:$AQ$55,3,FALSE))</f>
        <v>45</v>
      </c>
      <c r="R50" s="12">
        <f>(VLOOKUP(main!Z50,main!$AO$4:$AQ$55,3,FALSE))</f>
        <v>45</v>
      </c>
      <c r="S50" s="12">
        <f>(VLOOKUP(main!AA50,main!$AO$4:$AQ$55,3,FALSE))</f>
        <v>45</v>
      </c>
      <c r="T50" s="12">
        <f>(VLOOKUP(main!AB50,main!$AO$4:$AQ$55,3,FALSE))</f>
        <v>45</v>
      </c>
      <c r="U50" s="12">
        <f>(VLOOKUP(main!AC50,main!$AO$4:$AQ$55,3,FALSE))</f>
        <v>45</v>
      </c>
      <c r="V50" s="12">
        <f>(VLOOKUP(main!AD50,main!$AO$4:$AQ$55,3,FALSE))</f>
        <v>45</v>
      </c>
      <c r="W50" s="13">
        <f>(VLOOKUP(main!AE50,main!$AO$4:$AQ$55,3,FALSE))</f>
        <v>0</v>
      </c>
      <c r="X50" s="13">
        <f>(VLOOKUP(main!AF50,main!$AO$4:$AQ$55,3,FALSE))</f>
        <v>0</v>
      </c>
    </row>
    <row r="51" spans="1:24">
      <c r="A51" s="12">
        <f>(VLOOKUP(main!I51,main!$AO$4:$AQ$55,3,FALSE))</f>
        <v>50</v>
      </c>
      <c r="B51" s="12">
        <f>(VLOOKUP(main!J51,main!$AO$4:$AQ$55,3,FALSE))</f>
        <v>50</v>
      </c>
      <c r="C51" s="12">
        <f>(VLOOKUP(main!K51,main!$AO$4:$AQ$55,3,FALSE))</f>
        <v>50</v>
      </c>
      <c r="D51" s="12">
        <f>(VLOOKUP(main!L51,main!$AO$4:$AQ$55,3,FALSE))</f>
        <v>50</v>
      </c>
      <c r="E51" s="12">
        <f>(VLOOKUP(main!M51,main!$AO$4:$AQ$55,3,FALSE))</f>
        <v>50</v>
      </c>
      <c r="F51" s="12">
        <f>(VLOOKUP(main!N51,main!$AO$4:$AQ$55,3,FALSE))</f>
        <v>50</v>
      </c>
      <c r="G51" s="13">
        <f>(VLOOKUP(main!O51,main!$AO$4:$AQ$55,3,FALSE))</f>
        <v>50</v>
      </c>
      <c r="H51" s="13">
        <f>(VLOOKUP(main!P51,main!$AO$4:$AQ$55,3,FALSE))</f>
        <v>50</v>
      </c>
      <c r="I51" s="12">
        <f>(VLOOKUP(main!Q51,main!$AO$4:$AQ$55,3,FALSE))</f>
        <v>45</v>
      </c>
      <c r="J51" s="12">
        <f>(VLOOKUP(main!R51,main!$AO$4:$AQ$55,3,FALSE))</f>
        <v>45</v>
      </c>
      <c r="K51" s="12">
        <f>(VLOOKUP(main!S51,main!$AO$4:$AQ$55,3,FALSE))</f>
        <v>45</v>
      </c>
      <c r="L51" s="12">
        <f>(VLOOKUP(main!T51,main!$AO$4:$AQ$55,3,FALSE))</f>
        <v>45</v>
      </c>
      <c r="M51" s="12">
        <f>(VLOOKUP(main!U51,main!$AO$4:$AQ$55,3,FALSE))</f>
        <v>45</v>
      </c>
      <c r="N51" s="12">
        <f>(VLOOKUP(main!V51,main!$AO$4:$AQ$55,3,FALSE))</f>
        <v>45</v>
      </c>
      <c r="O51" s="13">
        <f>(VLOOKUP(main!W51,main!$AO$4:$AQ$55,3,FALSE))</f>
        <v>45</v>
      </c>
      <c r="P51" s="13">
        <f>(VLOOKUP(main!X51,main!$AO$4:$AQ$55,3,FALSE))</f>
        <v>45</v>
      </c>
      <c r="Q51" s="12">
        <f>(VLOOKUP(main!Y51,main!$AO$4:$AQ$55,3,FALSE))</f>
        <v>45</v>
      </c>
      <c r="R51" s="12">
        <f>(VLOOKUP(main!Z51,main!$AO$4:$AQ$55,3,FALSE))</f>
        <v>45</v>
      </c>
      <c r="S51" s="12">
        <f>(VLOOKUP(main!AA51,main!$AO$4:$AQ$55,3,FALSE))</f>
        <v>45</v>
      </c>
      <c r="T51" s="12">
        <f>(VLOOKUP(main!AB51,main!$AO$4:$AQ$55,3,FALSE))</f>
        <v>45</v>
      </c>
      <c r="U51" s="12">
        <f>(VLOOKUP(main!AC51,main!$AO$4:$AQ$55,3,FALSE))</f>
        <v>45</v>
      </c>
      <c r="V51" s="12">
        <f>(VLOOKUP(main!AD51,main!$AO$4:$AQ$55,3,FALSE))</f>
        <v>45</v>
      </c>
      <c r="W51" s="13">
        <f>(VLOOKUP(main!AE51,main!$AO$4:$AQ$55,3,FALSE))</f>
        <v>0</v>
      </c>
      <c r="X51" s="13">
        <f>(VLOOKUP(main!AF51,main!$AO$4:$AQ$55,3,FALSE))</f>
        <v>0</v>
      </c>
    </row>
    <row r="52" spans="1:24">
      <c r="A52" s="12">
        <f>(VLOOKUP(main!I52,main!$AO$4:$AQ$55,3,FALSE))</f>
        <v>50</v>
      </c>
      <c r="B52" s="12">
        <f>(VLOOKUP(main!J52,main!$AO$4:$AQ$55,3,FALSE))</f>
        <v>50</v>
      </c>
      <c r="C52" s="12">
        <f>(VLOOKUP(main!K52,main!$AO$4:$AQ$55,3,FALSE))</f>
        <v>50</v>
      </c>
      <c r="D52" s="12">
        <f>(VLOOKUP(main!L52,main!$AO$4:$AQ$55,3,FALSE))</f>
        <v>50</v>
      </c>
      <c r="E52" s="12">
        <f>(VLOOKUP(main!M52,main!$AO$4:$AQ$55,3,FALSE))</f>
        <v>50</v>
      </c>
      <c r="F52" s="12">
        <f>(VLOOKUP(main!N52,main!$AO$4:$AQ$55,3,FALSE))</f>
        <v>50</v>
      </c>
      <c r="G52" s="13">
        <f>(VLOOKUP(main!O52,main!$AO$4:$AQ$55,3,FALSE))</f>
        <v>50</v>
      </c>
      <c r="H52" s="13">
        <f>(VLOOKUP(main!P52,main!$AO$4:$AQ$55,3,FALSE))</f>
        <v>50</v>
      </c>
      <c r="I52" s="12">
        <f>(VLOOKUP(main!Q52,main!$AO$4:$AQ$55,3,FALSE))</f>
        <v>45</v>
      </c>
      <c r="J52" s="12">
        <f>(VLOOKUP(main!R52,main!$AO$4:$AQ$55,3,FALSE))</f>
        <v>45</v>
      </c>
      <c r="K52" s="12">
        <f>(VLOOKUP(main!S52,main!$AO$4:$AQ$55,3,FALSE))</f>
        <v>45</v>
      </c>
      <c r="L52" s="12">
        <f>(VLOOKUP(main!T52,main!$AO$4:$AQ$55,3,FALSE))</f>
        <v>45</v>
      </c>
      <c r="M52" s="12">
        <f>(VLOOKUP(main!U52,main!$AO$4:$AQ$55,3,FALSE))</f>
        <v>45</v>
      </c>
      <c r="N52" s="12">
        <f>(VLOOKUP(main!V52,main!$AO$4:$AQ$55,3,FALSE))</f>
        <v>45</v>
      </c>
      <c r="O52" s="13">
        <f>(VLOOKUP(main!W52,main!$AO$4:$AQ$55,3,FALSE))</f>
        <v>45</v>
      </c>
      <c r="P52" s="13">
        <f>(VLOOKUP(main!X52,main!$AO$4:$AQ$55,3,FALSE))</f>
        <v>45</v>
      </c>
      <c r="Q52" s="12">
        <f>(VLOOKUP(main!Y52,main!$AO$4:$AQ$55,3,FALSE))</f>
        <v>45</v>
      </c>
      <c r="R52" s="12">
        <f>(VLOOKUP(main!Z52,main!$AO$4:$AQ$55,3,FALSE))</f>
        <v>45</v>
      </c>
      <c r="S52" s="12">
        <f>(VLOOKUP(main!AA52,main!$AO$4:$AQ$55,3,FALSE))</f>
        <v>45</v>
      </c>
      <c r="T52" s="12">
        <f>(VLOOKUP(main!AB52,main!$AO$4:$AQ$55,3,FALSE))</f>
        <v>45</v>
      </c>
      <c r="U52" s="12">
        <f>(VLOOKUP(main!AC52,main!$AO$4:$AQ$55,3,FALSE))</f>
        <v>45</v>
      </c>
      <c r="V52" s="12">
        <f>(VLOOKUP(main!AD52,main!$AO$4:$AQ$55,3,FALSE))</f>
        <v>45</v>
      </c>
      <c r="W52" s="13">
        <f>(VLOOKUP(main!AE52,main!$AO$4:$AQ$55,3,FALSE))</f>
        <v>0</v>
      </c>
      <c r="X52" s="13">
        <f>(VLOOKUP(main!AF52,main!$AO$4:$AQ$55,3,FALSE))</f>
        <v>0</v>
      </c>
    </row>
    <row r="53" spans="1:24">
      <c r="A53" s="12">
        <f>(VLOOKUP(main!I53,main!$AO$4:$AQ$55,3,FALSE))</f>
        <v>50</v>
      </c>
      <c r="B53" s="12">
        <f>(VLOOKUP(main!J53,main!$AO$4:$AQ$55,3,FALSE))</f>
        <v>50</v>
      </c>
      <c r="C53" s="12">
        <f>(VLOOKUP(main!K53,main!$AO$4:$AQ$55,3,FALSE))</f>
        <v>50</v>
      </c>
      <c r="D53" s="12">
        <f>(VLOOKUP(main!L53,main!$AO$4:$AQ$55,3,FALSE))</f>
        <v>50</v>
      </c>
      <c r="E53" s="12">
        <f>(VLOOKUP(main!M53,main!$AO$4:$AQ$55,3,FALSE))</f>
        <v>50</v>
      </c>
      <c r="F53" s="12">
        <f>(VLOOKUP(main!N53,main!$AO$4:$AQ$55,3,FALSE))</f>
        <v>50</v>
      </c>
      <c r="G53" s="13">
        <f>(VLOOKUP(main!O53,main!$AO$4:$AQ$55,3,FALSE))</f>
        <v>50</v>
      </c>
      <c r="H53" s="13">
        <f>(VLOOKUP(main!P53,main!$AO$4:$AQ$55,3,FALSE))</f>
        <v>50</v>
      </c>
      <c r="I53" s="12">
        <f>(VLOOKUP(main!Q53,main!$AO$4:$AQ$55,3,FALSE))</f>
        <v>45</v>
      </c>
      <c r="J53" s="12">
        <f>(VLOOKUP(main!R53,main!$AO$4:$AQ$55,3,FALSE))</f>
        <v>45</v>
      </c>
      <c r="K53" s="12">
        <f>(VLOOKUP(main!S53,main!$AO$4:$AQ$55,3,FALSE))</f>
        <v>45</v>
      </c>
      <c r="L53" s="12">
        <f>(VLOOKUP(main!T53,main!$AO$4:$AQ$55,3,FALSE))</f>
        <v>45</v>
      </c>
      <c r="M53" s="12">
        <f>(VLOOKUP(main!U53,main!$AO$4:$AQ$55,3,FALSE))</f>
        <v>45</v>
      </c>
      <c r="N53" s="12">
        <f>(VLOOKUP(main!V53,main!$AO$4:$AQ$55,3,FALSE))</f>
        <v>45</v>
      </c>
      <c r="O53" s="13">
        <f>(VLOOKUP(main!W53,main!$AO$4:$AQ$55,3,FALSE))</f>
        <v>45</v>
      </c>
      <c r="P53" s="13">
        <f>(VLOOKUP(main!X53,main!$AO$4:$AQ$55,3,FALSE))</f>
        <v>45</v>
      </c>
      <c r="Q53" s="12">
        <f>(VLOOKUP(main!Y53,main!$AO$4:$AQ$55,3,FALSE))</f>
        <v>45</v>
      </c>
      <c r="R53" s="12">
        <f>(VLOOKUP(main!Z53,main!$AO$4:$AQ$55,3,FALSE))</f>
        <v>45</v>
      </c>
      <c r="S53" s="12">
        <f>(VLOOKUP(main!AA53,main!$AO$4:$AQ$55,3,FALSE))</f>
        <v>45</v>
      </c>
      <c r="T53" s="12">
        <f>(VLOOKUP(main!AB53,main!$AO$4:$AQ$55,3,FALSE))</f>
        <v>45</v>
      </c>
      <c r="U53" s="12">
        <f>(VLOOKUP(main!AC53,main!$AO$4:$AQ$55,3,FALSE))</f>
        <v>45</v>
      </c>
      <c r="V53" s="12">
        <f>(VLOOKUP(main!AD53,main!$AO$4:$AQ$55,3,FALSE))</f>
        <v>45</v>
      </c>
      <c r="W53" s="13">
        <f>(VLOOKUP(main!AE53,main!$AO$4:$AQ$55,3,FALSE))</f>
        <v>0</v>
      </c>
      <c r="X53" s="13">
        <f>(VLOOKUP(main!AF53,main!$AO$4:$AQ$55,3,FALSE))</f>
        <v>0</v>
      </c>
    </row>
    <row r="54" spans="1:24">
      <c r="A54" s="12">
        <f>(VLOOKUP(main!I54,main!$AO$4:$AQ$55,3,FALSE))</f>
        <v>50</v>
      </c>
      <c r="B54" s="12">
        <f>(VLOOKUP(main!J54,main!$AO$4:$AQ$55,3,FALSE))</f>
        <v>50</v>
      </c>
      <c r="C54" s="12">
        <f>(VLOOKUP(main!K54,main!$AO$4:$AQ$55,3,FALSE))</f>
        <v>50</v>
      </c>
      <c r="D54" s="12">
        <f>(VLOOKUP(main!L54,main!$AO$4:$AQ$55,3,FALSE))</f>
        <v>50</v>
      </c>
      <c r="E54" s="12">
        <f>(VLOOKUP(main!M54,main!$AO$4:$AQ$55,3,FALSE))</f>
        <v>50</v>
      </c>
      <c r="F54" s="12">
        <f>(VLOOKUP(main!N54,main!$AO$4:$AQ$55,3,FALSE))</f>
        <v>50</v>
      </c>
      <c r="G54" s="13">
        <f>(VLOOKUP(main!O54,main!$AO$4:$AQ$55,3,FALSE))</f>
        <v>50</v>
      </c>
      <c r="H54" s="13">
        <f>(VLOOKUP(main!P54,main!$AO$4:$AQ$55,3,FALSE))</f>
        <v>50</v>
      </c>
      <c r="I54" s="12">
        <f>(VLOOKUP(main!Q54,main!$AO$4:$AQ$55,3,FALSE))</f>
        <v>45</v>
      </c>
      <c r="J54" s="12">
        <f>(VLOOKUP(main!R54,main!$AO$4:$AQ$55,3,FALSE))</f>
        <v>45</v>
      </c>
      <c r="K54" s="12">
        <f>(VLOOKUP(main!S54,main!$AO$4:$AQ$55,3,FALSE))</f>
        <v>45</v>
      </c>
      <c r="L54" s="12">
        <f>(VLOOKUP(main!T54,main!$AO$4:$AQ$55,3,FALSE))</f>
        <v>45</v>
      </c>
      <c r="M54" s="12">
        <f>(VLOOKUP(main!U54,main!$AO$4:$AQ$55,3,FALSE))</f>
        <v>45</v>
      </c>
      <c r="N54" s="12">
        <f>(VLOOKUP(main!V54,main!$AO$4:$AQ$55,3,FALSE))</f>
        <v>45</v>
      </c>
      <c r="O54" s="13">
        <f>(VLOOKUP(main!W54,main!$AO$4:$AQ$55,3,FALSE))</f>
        <v>45</v>
      </c>
      <c r="P54" s="13">
        <f>(VLOOKUP(main!X54,main!$AO$4:$AQ$55,3,FALSE))</f>
        <v>45</v>
      </c>
      <c r="Q54" s="12">
        <f>(VLOOKUP(main!Y54,main!$AO$4:$AQ$55,3,FALSE))</f>
        <v>45</v>
      </c>
      <c r="R54" s="12">
        <f>(VLOOKUP(main!Z54,main!$AO$4:$AQ$55,3,FALSE))</f>
        <v>45</v>
      </c>
      <c r="S54" s="12">
        <f>(VLOOKUP(main!AA54,main!$AO$4:$AQ$55,3,FALSE))</f>
        <v>45</v>
      </c>
      <c r="T54" s="12">
        <f>(VLOOKUP(main!AB54,main!$AO$4:$AQ$55,3,FALSE))</f>
        <v>45</v>
      </c>
      <c r="U54" s="12">
        <f>(VLOOKUP(main!AC54,main!$AO$4:$AQ$55,3,FALSE))</f>
        <v>45</v>
      </c>
      <c r="V54" s="12">
        <f>(VLOOKUP(main!AD54,main!$AO$4:$AQ$55,3,FALSE))</f>
        <v>45</v>
      </c>
      <c r="W54" s="13">
        <f>(VLOOKUP(main!AE54,main!$AO$4:$AQ$55,3,FALSE))</f>
        <v>0</v>
      </c>
      <c r="X54" s="13">
        <f>(VLOOKUP(main!AF54,main!$AO$4:$AQ$55,3,FALSE))</f>
        <v>0</v>
      </c>
    </row>
    <row r="55" spans="1:24">
      <c r="A55" s="12">
        <f>(VLOOKUP(main!I55,main!$AO$4:$AQ$55,3,FALSE))</f>
        <v>50</v>
      </c>
      <c r="B55" s="12">
        <f>(VLOOKUP(main!J55,main!$AO$4:$AQ$55,3,FALSE))</f>
        <v>50</v>
      </c>
      <c r="C55" s="12">
        <f>(VLOOKUP(main!K55,main!$AO$4:$AQ$55,3,FALSE))</f>
        <v>50</v>
      </c>
      <c r="D55" s="12">
        <f>(VLOOKUP(main!L55,main!$AO$4:$AQ$55,3,FALSE))</f>
        <v>50</v>
      </c>
      <c r="E55" s="12">
        <f>(VLOOKUP(main!M55,main!$AO$4:$AQ$55,3,FALSE))</f>
        <v>50</v>
      </c>
      <c r="F55" s="12">
        <f>(VLOOKUP(main!N55,main!$AO$4:$AQ$55,3,FALSE))</f>
        <v>50</v>
      </c>
      <c r="G55" s="13">
        <f>(VLOOKUP(main!O55,main!$AO$4:$AQ$55,3,FALSE))</f>
        <v>50</v>
      </c>
      <c r="H55" s="13">
        <f>(VLOOKUP(main!P55,main!$AO$4:$AQ$55,3,FALSE))</f>
        <v>50</v>
      </c>
      <c r="I55" s="12">
        <f>(VLOOKUP(main!Q55,main!$AO$4:$AQ$55,3,FALSE))</f>
        <v>45</v>
      </c>
      <c r="J55" s="12">
        <f>(VLOOKUP(main!R55,main!$AO$4:$AQ$55,3,FALSE))</f>
        <v>45</v>
      </c>
      <c r="K55" s="12">
        <f>(VLOOKUP(main!S55,main!$AO$4:$AQ$55,3,FALSE))</f>
        <v>45</v>
      </c>
      <c r="L55" s="12">
        <f>(VLOOKUP(main!T55,main!$AO$4:$AQ$55,3,FALSE))</f>
        <v>45</v>
      </c>
      <c r="M55" s="12">
        <f>(VLOOKUP(main!U55,main!$AO$4:$AQ$55,3,FALSE))</f>
        <v>45</v>
      </c>
      <c r="N55" s="12">
        <f>(VLOOKUP(main!V55,main!$AO$4:$AQ$55,3,FALSE))</f>
        <v>45</v>
      </c>
      <c r="O55" s="13">
        <f>(VLOOKUP(main!W55,main!$AO$4:$AQ$55,3,FALSE))</f>
        <v>45</v>
      </c>
      <c r="P55" s="13">
        <f>(VLOOKUP(main!X55,main!$AO$4:$AQ$55,3,FALSE))</f>
        <v>45</v>
      </c>
      <c r="Q55" s="12">
        <f>(VLOOKUP(main!Y55,main!$AO$4:$AQ$55,3,FALSE))</f>
        <v>45</v>
      </c>
      <c r="R55" s="12">
        <f>(VLOOKUP(main!Z55,main!$AO$4:$AQ$55,3,FALSE))</f>
        <v>45</v>
      </c>
      <c r="S55" s="12">
        <f>(VLOOKUP(main!AA55,main!$AO$4:$AQ$55,3,FALSE))</f>
        <v>45</v>
      </c>
      <c r="T55" s="12">
        <f>(VLOOKUP(main!AB55,main!$AO$4:$AQ$55,3,FALSE))</f>
        <v>45</v>
      </c>
      <c r="U55" s="12">
        <f>(VLOOKUP(main!AC55,main!$AO$4:$AQ$55,3,FALSE))</f>
        <v>45</v>
      </c>
      <c r="V55" s="12">
        <f>(VLOOKUP(main!AD55,main!$AO$4:$AQ$55,3,FALSE))</f>
        <v>45</v>
      </c>
      <c r="W55" s="13">
        <f>(VLOOKUP(main!AE55,main!$AO$4:$AQ$55,3,FALSE))</f>
        <v>0</v>
      </c>
      <c r="X55" s="13">
        <f>(VLOOKUP(main!AF55,main!$AO$4:$AQ$55,3,FALSE))</f>
        <v>0</v>
      </c>
    </row>
    <row r="56" spans="1:24">
      <c r="A56" s="12">
        <f>(VLOOKUP(main!I56,main!$AO$4:$AQ$55,3,FALSE))</f>
        <v>50</v>
      </c>
      <c r="B56" s="12">
        <f>(VLOOKUP(main!J56,main!$AO$4:$AQ$55,3,FALSE))</f>
        <v>50</v>
      </c>
      <c r="C56" s="12">
        <f>(VLOOKUP(main!K56,main!$AO$4:$AQ$55,3,FALSE))</f>
        <v>0</v>
      </c>
      <c r="D56" s="12">
        <f>(VLOOKUP(main!L56,main!$AO$4:$AQ$55,3,FALSE))</f>
        <v>0</v>
      </c>
      <c r="E56" s="12">
        <f>(VLOOKUP(main!M56,main!$AO$4:$AQ$55,3,FALSE))</f>
        <v>0</v>
      </c>
      <c r="F56" s="12">
        <f>(VLOOKUP(main!N56,main!$AO$4:$AQ$55,3,FALSE))</f>
        <v>0</v>
      </c>
      <c r="G56" s="13">
        <f>(VLOOKUP(main!O56,main!$AO$4:$AQ$55,3,FALSE))</f>
        <v>0</v>
      </c>
      <c r="H56" s="13">
        <f>(VLOOKUP(main!P56,main!$AO$4:$AQ$55,3,FALSE))</f>
        <v>0</v>
      </c>
      <c r="I56" s="12">
        <f>(VLOOKUP(main!Q56,main!$AO$4:$AQ$55,3,FALSE))</f>
        <v>45</v>
      </c>
      <c r="J56" s="12">
        <f>(VLOOKUP(main!R56,main!$AO$4:$AQ$55,3,FALSE))</f>
        <v>45</v>
      </c>
      <c r="K56" s="12">
        <f>(VLOOKUP(main!S56,main!$AO$4:$AQ$55,3,FALSE))</f>
        <v>45</v>
      </c>
      <c r="L56" s="12">
        <f>(VLOOKUP(main!T56,main!$AO$4:$AQ$55,3,FALSE))</f>
        <v>45</v>
      </c>
      <c r="M56" s="12">
        <f>(VLOOKUP(main!U56,main!$AO$4:$AQ$55,3,FALSE))</f>
        <v>45</v>
      </c>
      <c r="N56" s="12">
        <f>(VLOOKUP(main!V56,main!$AO$4:$AQ$55,3,FALSE))</f>
        <v>45</v>
      </c>
      <c r="O56" s="13">
        <f>(VLOOKUP(main!W56,main!$AO$4:$AQ$55,3,FALSE))</f>
        <v>45</v>
      </c>
      <c r="P56" s="13">
        <f>(VLOOKUP(main!X56,main!$AO$4:$AQ$55,3,FALSE))</f>
        <v>45</v>
      </c>
      <c r="Q56" s="12">
        <f>(VLOOKUP(main!Y56,main!$AO$4:$AQ$55,3,FALSE))</f>
        <v>45</v>
      </c>
      <c r="R56" s="12">
        <f>(VLOOKUP(main!Z56,main!$AO$4:$AQ$55,3,FALSE))</f>
        <v>45</v>
      </c>
      <c r="S56" s="12">
        <f>(VLOOKUP(main!AA56,main!$AO$4:$AQ$55,3,FALSE))</f>
        <v>45</v>
      </c>
      <c r="T56" s="12">
        <f>(VLOOKUP(main!AB56,main!$AO$4:$AQ$55,3,FALSE))</f>
        <v>45</v>
      </c>
      <c r="U56" s="12">
        <f>(VLOOKUP(main!AC56,main!$AO$4:$AQ$55,3,FALSE))</f>
        <v>45</v>
      </c>
      <c r="V56" s="12">
        <f>(VLOOKUP(main!AD56,main!$AO$4:$AQ$55,3,FALSE))</f>
        <v>45</v>
      </c>
      <c r="W56" s="13">
        <f>(VLOOKUP(main!AE56,main!$AO$4:$AQ$55,3,FALSE))</f>
        <v>0</v>
      </c>
      <c r="X56" s="13">
        <f>(VLOOKUP(main!AF56,main!$AO$4:$AQ$55,3,FALSE))</f>
        <v>0</v>
      </c>
    </row>
    <row r="57" spans="1:24">
      <c r="A57" s="12">
        <f>(VLOOKUP(main!I57,main!$AO$4:$AQ$55,3,FALSE))</f>
        <v>0</v>
      </c>
      <c r="B57" s="12">
        <f>(VLOOKUP(main!J57,main!$AO$4:$AQ$55,3,FALSE))</f>
        <v>0</v>
      </c>
      <c r="C57" s="12">
        <f>(VLOOKUP(main!K57,main!$AO$4:$AQ$55,3,FALSE))</f>
        <v>0</v>
      </c>
      <c r="D57" s="12">
        <f>(VLOOKUP(main!L57,main!$AO$4:$AQ$55,3,FALSE))</f>
        <v>0</v>
      </c>
      <c r="E57" s="12">
        <f>(VLOOKUP(main!M57,main!$AO$4:$AQ$55,3,FALSE))</f>
        <v>0</v>
      </c>
      <c r="F57" s="12">
        <f>(VLOOKUP(main!N57,main!$AO$4:$AQ$55,3,FALSE))</f>
        <v>0</v>
      </c>
      <c r="G57" s="13">
        <f>(VLOOKUP(main!O57,main!$AO$4:$AQ$55,3,FALSE))</f>
        <v>0</v>
      </c>
      <c r="H57" s="13">
        <f>(VLOOKUP(main!P57,main!$AO$4:$AQ$55,3,FALSE))</f>
        <v>0</v>
      </c>
      <c r="I57" s="12">
        <f>(VLOOKUP(main!Q57,main!$AO$4:$AQ$55,3,FALSE))</f>
        <v>45</v>
      </c>
      <c r="J57" s="12">
        <f>(VLOOKUP(main!R57,main!$AO$4:$AQ$55,3,FALSE))</f>
        <v>45</v>
      </c>
      <c r="K57" s="12">
        <f>(VLOOKUP(main!S57,main!$AO$4:$AQ$55,3,FALSE))</f>
        <v>45</v>
      </c>
      <c r="L57" s="12">
        <f>(VLOOKUP(main!T57,main!$AO$4:$AQ$55,3,FALSE))</f>
        <v>45</v>
      </c>
      <c r="M57" s="12">
        <f>(VLOOKUP(main!U57,main!$AO$4:$AQ$55,3,FALSE))</f>
        <v>45</v>
      </c>
      <c r="N57" s="12">
        <f>(VLOOKUP(main!V57,main!$AO$4:$AQ$55,3,FALSE))</f>
        <v>45</v>
      </c>
      <c r="O57" s="13">
        <f>(VLOOKUP(main!W57,main!$AO$4:$AQ$55,3,FALSE))</f>
        <v>45</v>
      </c>
      <c r="P57" s="13">
        <f>(VLOOKUP(main!X57,main!$AO$4:$AQ$55,3,FALSE))</f>
        <v>45</v>
      </c>
      <c r="Q57" s="12">
        <f>(VLOOKUP(main!Y57,main!$AO$4:$AQ$55,3,FALSE))</f>
        <v>45</v>
      </c>
      <c r="R57" s="12">
        <f>(VLOOKUP(main!Z57,main!$AO$4:$AQ$55,3,FALSE))</f>
        <v>45</v>
      </c>
      <c r="S57" s="12">
        <f>(VLOOKUP(main!AA57,main!$AO$4:$AQ$55,3,FALSE))</f>
        <v>45</v>
      </c>
      <c r="T57" s="12">
        <f>(VLOOKUP(main!AB57,main!$AO$4:$AQ$55,3,FALSE))</f>
        <v>45</v>
      </c>
      <c r="U57" s="12">
        <f>(VLOOKUP(main!AC57,main!$AO$4:$AQ$55,3,FALSE))</f>
        <v>0</v>
      </c>
      <c r="V57" s="12">
        <f>(VLOOKUP(main!AD57,main!$AO$4:$AQ$55,3,FALSE))</f>
        <v>0</v>
      </c>
      <c r="W57" s="13">
        <f>(VLOOKUP(main!AE57,main!$AO$4:$AQ$55,3,FALSE))</f>
        <v>0</v>
      </c>
      <c r="X57" s="13">
        <f>(VLOOKUP(main!AF57,main!$AO$4:$AQ$55,3,FALSE))</f>
        <v>0</v>
      </c>
    </row>
    <row r="58" spans="1:24">
      <c r="A58" s="12">
        <f>(VLOOKUP(main!I58,main!$AO$4:$AQ$55,3,FALSE))</f>
        <v>0</v>
      </c>
      <c r="B58" s="12">
        <f>(VLOOKUP(main!J58,main!$AO$4:$AQ$55,3,FALSE))</f>
        <v>0</v>
      </c>
      <c r="C58" s="12">
        <f>(VLOOKUP(main!K58,main!$AO$4:$AQ$55,3,FALSE))</f>
        <v>0</v>
      </c>
      <c r="D58" s="12">
        <f>(VLOOKUP(main!L58,main!$AO$4:$AQ$55,3,FALSE))</f>
        <v>0</v>
      </c>
      <c r="E58" s="12">
        <f>(VLOOKUP(main!M58,main!$AO$4:$AQ$55,3,FALSE))</f>
        <v>0</v>
      </c>
      <c r="F58" s="12">
        <f>(VLOOKUP(main!N58,main!$AO$4:$AQ$55,3,FALSE))</f>
        <v>0</v>
      </c>
      <c r="G58" s="13">
        <f>(VLOOKUP(main!O58,main!$AO$4:$AQ$55,3,FALSE))</f>
        <v>0</v>
      </c>
      <c r="H58" s="13">
        <f>(VLOOKUP(main!P58,main!$AO$4:$AQ$55,3,FALSE))</f>
        <v>0</v>
      </c>
      <c r="I58" s="12">
        <f>(VLOOKUP(main!Q58,main!$AO$4:$AQ$55,3,FALSE))</f>
        <v>45</v>
      </c>
      <c r="J58" s="12">
        <f>(VLOOKUP(main!R58,main!$AO$4:$AQ$55,3,FALSE))</f>
        <v>45</v>
      </c>
      <c r="K58" s="12">
        <f>(VLOOKUP(main!S58,main!$AO$4:$AQ$55,3,FALSE))</f>
        <v>45</v>
      </c>
      <c r="L58" s="12">
        <f>(VLOOKUP(main!T58,main!$AO$4:$AQ$55,3,FALSE))</f>
        <v>45</v>
      </c>
      <c r="M58" s="12">
        <f>(VLOOKUP(main!U58,main!$AO$4:$AQ$55,3,FALSE))</f>
        <v>45</v>
      </c>
      <c r="N58" s="12">
        <f>(VLOOKUP(main!V58,main!$AO$4:$AQ$55,3,FALSE))</f>
        <v>45</v>
      </c>
      <c r="O58" s="13">
        <f>(VLOOKUP(main!W58,main!$AO$4:$AQ$55,3,FALSE))</f>
        <v>45</v>
      </c>
      <c r="P58" s="13">
        <f>(VLOOKUP(main!X58,main!$AO$4:$AQ$55,3,FALSE))</f>
        <v>45</v>
      </c>
      <c r="Q58" s="12">
        <f>(VLOOKUP(main!Y58,main!$AO$4:$AQ$55,3,FALSE))</f>
        <v>0</v>
      </c>
      <c r="R58" s="12">
        <f>(VLOOKUP(main!Z58,main!$AO$4:$AQ$55,3,FALSE))</f>
        <v>0</v>
      </c>
      <c r="S58" s="12">
        <f>(VLOOKUP(main!AA58,main!$AO$4:$AQ$55,3,FALSE))</f>
        <v>0</v>
      </c>
      <c r="T58" s="12">
        <f>(VLOOKUP(main!AB58,main!$AO$4:$AQ$55,3,FALSE))</f>
        <v>0</v>
      </c>
      <c r="U58" s="12">
        <f>(VLOOKUP(main!AC58,main!$AO$4:$AQ$55,3,FALSE))</f>
        <v>0</v>
      </c>
      <c r="V58" s="12">
        <f>(VLOOKUP(main!AD58,main!$AO$4:$AQ$55,3,FALSE))</f>
        <v>0</v>
      </c>
      <c r="W58" s="13">
        <f>(VLOOKUP(main!AE58,main!$AO$4:$AQ$55,3,FALSE))</f>
        <v>0</v>
      </c>
      <c r="X58" s="13">
        <f>(VLOOKUP(main!AF58,main!$AO$4:$AQ$55,3,FALSE))</f>
        <v>0</v>
      </c>
    </row>
    <row r="59" spans="1:24">
      <c r="A59" s="12">
        <f>(VLOOKUP(main!I59,main!$AO$4:$AQ$55,3,FALSE))</f>
        <v>0</v>
      </c>
      <c r="B59" s="12">
        <f>(VLOOKUP(main!J59,main!$AO$4:$AQ$55,3,FALSE))</f>
        <v>0</v>
      </c>
      <c r="C59" s="12">
        <f>(VLOOKUP(main!K59,main!$AO$4:$AQ$55,3,FALSE))</f>
        <v>0</v>
      </c>
      <c r="D59" s="12">
        <f>(VLOOKUP(main!L59,main!$AO$4:$AQ$55,3,FALSE))</f>
        <v>0</v>
      </c>
      <c r="E59" s="12">
        <f>(VLOOKUP(main!M59,main!$AO$4:$AQ$55,3,FALSE))</f>
        <v>0</v>
      </c>
      <c r="F59" s="12">
        <f>(VLOOKUP(main!N59,main!$AO$4:$AQ$55,3,FALSE))</f>
        <v>0</v>
      </c>
      <c r="G59" s="13">
        <f>(VLOOKUP(main!O59,main!$AO$4:$AQ$55,3,FALSE))</f>
        <v>0</v>
      </c>
      <c r="H59" s="13">
        <f>(VLOOKUP(main!P59,main!$AO$4:$AQ$55,3,FALSE))</f>
        <v>0</v>
      </c>
      <c r="I59" s="12">
        <f>(VLOOKUP(main!Q59,main!$AO$4:$AQ$55,3,FALSE))</f>
        <v>45</v>
      </c>
      <c r="J59" s="12">
        <f>(VLOOKUP(main!R59,main!$AO$4:$AQ$55,3,FALSE))</f>
        <v>45</v>
      </c>
      <c r="K59" s="12">
        <f>(VLOOKUP(main!S59,main!$AO$4:$AQ$55,3,FALSE))</f>
        <v>45</v>
      </c>
      <c r="L59" s="12">
        <f>(VLOOKUP(main!T59,main!$AO$4:$AQ$55,3,FALSE))</f>
        <v>45</v>
      </c>
      <c r="M59" s="12">
        <f>(VLOOKUP(main!U59,main!$AO$4:$AQ$55,3,FALSE))</f>
        <v>45</v>
      </c>
      <c r="N59" s="12">
        <f>(VLOOKUP(main!V59,main!$AO$4:$AQ$55,3,FALSE))</f>
        <v>45</v>
      </c>
      <c r="O59" s="13">
        <f>(VLOOKUP(main!W59,main!$AO$4:$AQ$55,3,FALSE))</f>
        <v>45</v>
      </c>
      <c r="P59" s="13">
        <f>(VLOOKUP(main!X59,main!$AO$4:$AQ$55,3,FALSE))</f>
        <v>45</v>
      </c>
      <c r="Q59" s="12">
        <f>(VLOOKUP(main!Y59,main!$AO$4:$AQ$55,3,FALSE))</f>
        <v>0</v>
      </c>
      <c r="R59" s="12">
        <f>(VLOOKUP(main!Z59,main!$AO$4:$AQ$55,3,FALSE))</f>
        <v>0</v>
      </c>
      <c r="S59" s="12">
        <f>(VLOOKUP(main!AA59,main!$AO$4:$AQ$55,3,FALSE))</f>
        <v>0</v>
      </c>
      <c r="T59" s="12">
        <f>(VLOOKUP(main!AB59,main!$AO$4:$AQ$55,3,FALSE))</f>
        <v>0</v>
      </c>
      <c r="U59" s="12">
        <f>(VLOOKUP(main!AC59,main!$AO$4:$AQ$55,3,FALSE))</f>
        <v>0</v>
      </c>
      <c r="V59" s="12">
        <f>(VLOOKUP(main!AD59,main!$AO$4:$AQ$55,3,FALSE))</f>
        <v>0</v>
      </c>
      <c r="W59" s="13">
        <f>(VLOOKUP(main!AE59,main!$AO$4:$AQ$55,3,FALSE))</f>
        <v>0</v>
      </c>
      <c r="X59" s="13">
        <f>(VLOOKUP(main!AF59,main!$AO$4:$AQ$55,3,FALSE))</f>
        <v>0</v>
      </c>
    </row>
    <row r="60" spans="1:24">
      <c r="A60" s="12">
        <f>(VLOOKUP(main!I60,main!$AO$4:$AQ$55,3,FALSE))</f>
        <v>0</v>
      </c>
      <c r="B60" s="12">
        <f>(VLOOKUP(main!J60,main!$AO$4:$AQ$55,3,FALSE))</f>
        <v>0</v>
      </c>
      <c r="C60" s="12">
        <f>(VLOOKUP(main!K60,main!$AO$4:$AQ$55,3,FALSE))</f>
        <v>0</v>
      </c>
      <c r="D60" s="12">
        <f>(VLOOKUP(main!L60,main!$AO$4:$AQ$55,3,FALSE))</f>
        <v>0</v>
      </c>
      <c r="E60" s="12">
        <f>(VLOOKUP(main!M60,main!$AO$4:$AQ$55,3,FALSE))</f>
        <v>0</v>
      </c>
      <c r="F60" s="12">
        <f>(VLOOKUP(main!N60,main!$AO$4:$AQ$55,3,FALSE))</f>
        <v>0</v>
      </c>
      <c r="G60" s="13">
        <f>(VLOOKUP(main!O60,main!$AO$4:$AQ$55,3,FALSE))</f>
        <v>0</v>
      </c>
      <c r="H60" s="13">
        <f>(VLOOKUP(main!P60,main!$AO$4:$AQ$55,3,FALSE))</f>
        <v>0</v>
      </c>
      <c r="I60" s="12">
        <f>(VLOOKUP(main!Q60,main!$AO$4:$AQ$55,3,FALSE))</f>
        <v>45</v>
      </c>
      <c r="J60" s="12">
        <f>(VLOOKUP(main!R60,main!$AO$4:$AQ$55,3,FALSE))</f>
        <v>45</v>
      </c>
      <c r="K60" s="12">
        <f>(VLOOKUP(main!S60,main!$AO$4:$AQ$55,3,FALSE))</f>
        <v>45</v>
      </c>
      <c r="L60" s="12">
        <f>(VLOOKUP(main!T60,main!$AO$4:$AQ$55,3,FALSE))</f>
        <v>45</v>
      </c>
      <c r="M60" s="12">
        <f>(VLOOKUP(main!U60,main!$AO$4:$AQ$55,3,FALSE))</f>
        <v>45</v>
      </c>
      <c r="N60" s="12">
        <f>(VLOOKUP(main!V60,main!$AO$4:$AQ$55,3,FALSE))</f>
        <v>45</v>
      </c>
      <c r="O60" s="13">
        <f>(VLOOKUP(main!W60,main!$AO$4:$AQ$55,3,FALSE))</f>
        <v>45</v>
      </c>
      <c r="P60" s="13">
        <f>(VLOOKUP(main!X60,main!$AO$4:$AQ$55,3,FALSE))</f>
        <v>45</v>
      </c>
      <c r="Q60" s="12">
        <f>(VLOOKUP(main!Y60,main!$AO$4:$AQ$55,3,FALSE))</f>
        <v>0</v>
      </c>
      <c r="R60" s="12">
        <f>(VLOOKUP(main!Z60,main!$AO$4:$AQ$55,3,FALSE))</f>
        <v>0</v>
      </c>
      <c r="S60" s="12">
        <f>(VLOOKUP(main!AA60,main!$AO$4:$AQ$55,3,FALSE))</f>
        <v>0</v>
      </c>
      <c r="T60" s="12">
        <f>(VLOOKUP(main!AB60,main!$AO$4:$AQ$55,3,FALSE))</f>
        <v>0</v>
      </c>
      <c r="U60" s="12">
        <f>(VLOOKUP(main!AC60,main!$AO$4:$AQ$55,3,FALSE))</f>
        <v>0</v>
      </c>
      <c r="V60" s="12">
        <f>(VLOOKUP(main!AD60,main!$AO$4:$AQ$55,3,FALSE))</f>
        <v>0</v>
      </c>
      <c r="W60" s="13">
        <f>(VLOOKUP(main!AE60,main!$AO$4:$AQ$55,3,FALSE))</f>
        <v>0</v>
      </c>
      <c r="X60" s="13">
        <f>(VLOOKUP(main!AF60,main!$AO$4:$AQ$55,3,FALSE))</f>
        <v>0</v>
      </c>
    </row>
    <row r="61" spans="1:24">
      <c r="A61" s="12">
        <f>(VLOOKUP(main!I61,main!$AO$4:$AQ$55,3,FALSE))</f>
        <v>0</v>
      </c>
      <c r="B61" s="12">
        <f>(VLOOKUP(main!J61,main!$AO$4:$AQ$55,3,FALSE))</f>
        <v>0</v>
      </c>
      <c r="C61" s="12">
        <f>(VLOOKUP(main!K61,main!$AO$4:$AQ$55,3,FALSE))</f>
        <v>0</v>
      </c>
      <c r="D61" s="12">
        <f>(VLOOKUP(main!L61,main!$AO$4:$AQ$55,3,FALSE))</f>
        <v>0</v>
      </c>
      <c r="E61" s="12">
        <f>(VLOOKUP(main!M61,main!$AO$4:$AQ$55,3,FALSE))</f>
        <v>0</v>
      </c>
      <c r="F61" s="12">
        <f>(VLOOKUP(main!N61,main!$AO$4:$AQ$55,3,FALSE))</f>
        <v>0</v>
      </c>
      <c r="G61" s="13">
        <f>(VLOOKUP(main!O61,main!$AO$4:$AQ$55,3,FALSE))</f>
        <v>0</v>
      </c>
      <c r="H61" s="13">
        <f>(VLOOKUP(main!P61,main!$AO$4:$AQ$55,3,FALSE))</f>
        <v>0</v>
      </c>
      <c r="I61" s="12">
        <f>(VLOOKUP(main!Q61,main!$AO$4:$AQ$55,3,FALSE))</f>
        <v>45</v>
      </c>
      <c r="J61" s="12">
        <f>(VLOOKUP(main!R61,main!$AO$4:$AQ$55,3,FALSE))</f>
        <v>45</v>
      </c>
      <c r="K61" s="12">
        <f>(VLOOKUP(main!S61,main!$AO$4:$AQ$55,3,FALSE))</f>
        <v>45</v>
      </c>
      <c r="L61" s="12">
        <f>(VLOOKUP(main!T61,main!$AO$4:$AQ$55,3,FALSE))</f>
        <v>45</v>
      </c>
      <c r="M61" s="12">
        <f>(VLOOKUP(main!U61,main!$AO$4:$AQ$55,3,FALSE))</f>
        <v>45</v>
      </c>
      <c r="N61" s="12">
        <f>(VLOOKUP(main!V61,main!$AO$4:$AQ$55,3,FALSE))</f>
        <v>45</v>
      </c>
      <c r="O61" s="13">
        <f>(VLOOKUP(main!W61,main!$AO$4:$AQ$55,3,FALSE))</f>
        <v>45</v>
      </c>
      <c r="P61" s="13">
        <f>(VLOOKUP(main!X61,main!$AO$4:$AQ$55,3,FALSE))</f>
        <v>45</v>
      </c>
      <c r="Q61" s="12">
        <f>(VLOOKUP(main!Y61,main!$AO$4:$AQ$55,3,FALSE))</f>
        <v>0</v>
      </c>
      <c r="R61" s="12">
        <f>(VLOOKUP(main!Z61,main!$AO$4:$AQ$55,3,FALSE))</f>
        <v>0</v>
      </c>
      <c r="S61" s="12">
        <f>(VLOOKUP(main!AA61,main!$AO$4:$AQ$55,3,FALSE))</f>
        <v>0</v>
      </c>
      <c r="T61" s="12">
        <f>(VLOOKUP(main!AB61,main!$AO$4:$AQ$55,3,FALSE))</f>
        <v>0</v>
      </c>
      <c r="U61" s="12">
        <f>(VLOOKUP(main!AC61,main!$AO$4:$AQ$55,3,FALSE))</f>
        <v>0</v>
      </c>
      <c r="V61" s="12">
        <f>(VLOOKUP(main!AD61,main!$AO$4:$AQ$55,3,FALSE))</f>
        <v>0</v>
      </c>
      <c r="W61" s="13">
        <f>(VLOOKUP(main!AE61,main!$AO$4:$AQ$55,3,FALSE))</f>
        <v>0</v>
      </c>
      <c r="X61" s="13">
        <f>(VLOOKUP(main!AF61,main!$AO$4:$AQ$55,3,FALSE))</f>
        <v>0</v>
      </c>
    </row>
    <row r="62" spans="1:24">
      <c r="A62" s="12">
        <f>(VLOOKUP(main!I62,main!$AO$4:$AQ$55,3,FALSE))</f>
        <v>0</v>
      </c>
      <c r="B62" s="12">
        <f>(VLOOKUP(main!J62,main!$AO$4:$AQ$55,3,FALSE))</f>
        <v>0</v>
      </c>
      <c r="C62" s="12">
        <f>(VLOOKUP(main!K62,main!$AO$4:$AQ$55,3,FALSE))</f>
        <v>0</v>
      </c>
      <c r="D62" s="12">
        <f>(VLOOKUP(main!L62,main!$AO$4:$AQ$55,3,FALSE))</f>
        <v>0</v>
      </c>
      <c r="E62" s="12">
        <f>(VLOOKUP(main!M62,main!$AO$4:$AQ$55,3,FALSE))</f>
        <v>0</v>
      </c>
      <c r="F62" s="12">
        <f>(VLOOKUP(main!N62,main!$AO$4:$AQ$55,3,FALSE))</f>
        <v>0</v>
      </c>
      <c r="G62" s="13">
        <f>(VLOOKUP(main!O62,main!$AO$4:$AQ$55,3,FALSE))</f>
        <v>0</v>
      </c>
      <c r="H62" s="13">
        <f>(VLOOKUP(main!P62,main!$AO$4:$AQ$55,3,FALSE))</f>
        <v>0</v>
      </c>
      <c r="I62" s="12">
        <f>(VLOOKUP(main!Q62,main!$AO$4:$AQ$55,3,FALSE))</f>
        <v>45</v>
      </c>
      <c r="J62" s="12">
        <f>(VLOOKUP(main!R62,main!$AO$4:$AQ$55,3,FALSE))</f>
        <v>45</v>
      </c>
      <c r="K62" s="12">
        <f>(VLOOKUP(main!S62,main!$AO$4:$AQ$55,3,FALSE))</f>
        <v>45</v>
      </c>
      <c r="L62" s="12">
        <f>(VLOOKUP(main!T62,main!$AO$4:$AQ$55,3,FALSE))</f>
        <v>45</v>
      </c>
      <c r="M62" s="12">
        <f>(VLOOKUP(main!U62,main!$AO$4:$AQ$55,3,FALSE))</f>
        <v>45</v>
      </c>
      <c r="N62" s="12">
        <f>(VLOOKUP(main!V62,main!$AO$4:$AQ$55,3,FALSE))</f>
        <v>45</v>
      </c>
      <c r="O62" s="13">
        <f>(VLOOKUP(main!W62,main!$AO$4:$AQ$55,3,FALSE))</f>
        <v>45</v>
      </c>
      <c r="P62" s="13">
        <f>(VLOOKUP(main!X62,main!$AO$4:$AQ$55,3,FALSE))</f>
        <v>45</v>
      </c>
      <c r="Q62" s="12">
        <f>(VLOOKUP(main!Y62,main!$AO$4:$AQ$55,3,FALSE))</f>
        <v>0</v>
      </c>
      <c r="R62" s="12">
        <f>(VLOOKUP(main!Z62,main!$AO$4:$AQ$55,3,FALSE))</f>
        <v>0</v>
      </c>
      <c r="S62" s="12">
        <f>(VLOOKUP(main!AA62,main!$AO$4:$AQ$55,3,FALSE))</f>
        <v>0</v>
      </c>
      <c r="T62" s="12">
        <f>(VLOOKUP(main!AB62,main!$AO$4:$AQ$55,3,FALSE))</f>
        <v>0</v>
      </c>
      <c r="U62" s="12">
        <f>(VLOOKUP(main!AC62,main!$AO$4:$AQ$55,3,FALSE))</f>
        <v>0</v>
      </c>
      <c r="V62" s="12">
        <f>(VLOOKUP(main!AD62,main!$AO$4:$AQ$55,3,FALSE))</f>
        <v>0</v>
      </c>
      <c r="W62" s="13">
        <f>(VLOOKUP(main!AE62,main!$AO$4:$AQ$55,3,FALSE))</f>
        <v>0</v>
      </c>
      <c r="X62" s="13">
        <f>(VLOOKUP(main!AF62,main!$AO$4:$AQ$55,3,FALSE))</f>
        <v>0</v>
      </c>
    </row>
    <row r="63" spans="1:24">
      <c r="A63" s="12">
        <f>(VLOOKUP(main!I63,main!$AO$4:$AQ$55,3,FALSE))</f>
        <v>0</v>
      </c>
      <c r="B63" s="12">
        <f>(VLOOKUP(main!J63,main!$AO$4:$AQ$55,3,FALSE))</f>
        <v>0</v>
      </c>
      <c r="C63" s="12">
        <f>(VLOOKUP(main!K63,main!$AO$4:$AQ$55,3,FALSE))</f>
        <v>0</v>
      </c>
      <c r="D63" s="12">
        <f>(VLOOKUP(main!L63,main!$AO$4:$AQ$55,3,FALSE))</f>
        <v>0</v>
      </c>
      <c r="E63" s="12">
        <f>(VLOOKUP(main!M63,main!$AO$4:$AQ$55,3,FALSE))</f>
        <v>0</v>
      </c>
      <c r="F63" s="12">
        <f>(VLOOKUP(main!N63,main!$AO$4:$AQ$55,3,FALSE))</f>
        <v>0</v>
      </c>
      <c r="G63" s="13">
        <f>(VLOOKUP(main!O63,main!$AO$4:$AQ$55,3,FALSE))</f>
        <v>0</v>
      </c>
      <c r="H63" s="13">
        <f>(VLOOKUP(main!P63,main!$AO$4:$AQ$55,3,FALSE))</f>
        <v>0</v>
      </c>
      <c r="I63" s="12">
        <f>(VLOOKUP(main!Q63,main!$AO$4:$AQ$55,3,FALSE))</f>
        <v>45</v>
      </c>
      <c r="J63" s="12">
        <f>(VLOOKUP(main!R63,main!$AO$4:$AQ$55,3,FALSE))</f>
        <v>45</v>
      </c>
      <c r="K63" s="12">
        <f>(VLOOKUP(main!S63,main!$AO$4:$AQ$55,3,FALSE))</f>
        <v>45</v>
      </c>
      <c r="L63" s="12">
        <f>(VLOOKUP(main!T63,main!$AO$4:$AQ$55,3,FALSE))</f>
        <v>45</v>
      </c>
      <c r="M63" s="12">
        <f>(VLOOKUP(main!U63,main!$AO$4:$AQ$55,3,FALSE))</f>
        <v>45</v>
      </c>
      <c r="N63" s="12">
        <f>(VLOOKUP(main!V63,main!$AO$4:$AQ$55,3,FALSE))</f>
        <v>45</v>
      </c>
      <c r="O63" s="13">
        <f>(VLOOKUP(main!W63,main!$AO$4:$AQ$55,3,FALSE))</f>
        <v>45</v>
      </c>
      <c r="P63" s="13">
        <f>(VLOOKUP(main!X63,main!$AO$4:$AQ$55,3,FALSE))</f>
        <v>45</v>
      </c>
      <c r="Q63" s="12">
        <f>(VLOOKUP(main!Y63,main!$AO$4:$AQ$55,3,FALSE))</f>
        <v>0</v>
      </c>
      <c r="R63" s="12">
        <f>(VLOOKUP(main!Z63,main!$AO$4:$AQ$55,3,FALSE))</f>
        <v>0</v>
      </c>
      <c r="S63" s="12">
        <f>(VLOOKUP(main!AA63,main!$AO$4:$AQ$55,3,FALSE))</f>
        <v>0</v>
      </c>
      <c r="T63" s="12">
        <f>(VLOOKUP(main!AB63,main!$AO$4:$AQ$55,3,FALSE))</f>
        <v>0</v>
      </c>
      <c r="U63" s="12">
        <f>(VLOOKUP(main!AC63,main!$AO$4:$AQ$55,3,FALSE))</f>
        <v>0</v>
      </c>
      <c r="V63" s="12">
        <f>(VLOOKUP(main!AD63,main!$AO$4:$AQ$55,3,FALSE))</f>
        <v>0</v>
      </c>
      <c r="W63" s="13">
        <f>(VLOOKUP(main!AE63,main!$AO$4:$AQ$55,3,FALSE))</f>
        <v>0</v>
      </c>
      <c r="X63" s="13">
        <f>(VLOOKUP(main!AF63,main!$AO$4:$AQ$55,3,FALSE))</f>
        <v>0</v>
      </c>
    </row>
    <row r="64" spans="1:24">
      <c r="A64" s="12">
        <f>(VLOOKUP(main!I64,main!$AO$4:$AQ$55,3,FALSE))</f>
        <v>0</v>
      </c>
      <c r="B64" s="12">
        <f>(VLOOKUP(main!J64,main!$AO$4:$AQ$55,3,FALSE))</f>
        <v>0</v>
      </c>
      <c r="C64" s="12">
        <f>(VLOOKUP(main!K64,main!$AO$4:$AQ$55,3,FALSE))</f>
        <v>0</v>
      </c>
      <c r="D64" s="12">
        <f>(VLOOKUP(main!L64,main!$AO$4:$AQ$55,3,FALSE))</f>
        <v>0</v>
      </c>
      <c r="E64" s="12">
        <f>(VLOOKUP(main!M64,main!$AO$4:$AQ$55,3,FALSE))</f>
        <v>0</v>
      </c>
      <c r="F64" s="12">
        <f>(VLOOKUP(main!N64,main!$AO$4:$AQ$55,3,FALSE))</f>
        <v>0</v>
      </c>
      <c r="G64" s="13">
        <f>(VLOOKUP(main!O64,main!$AO$4:$AQ$55,3,FALSE))</f>
        <v>0</v>
      </c>
      <c r="H64" s="13">
        <f>(VLOOKUP(main!P64,main!$AO$4:$AQ$55,3,FALSE))</f>
        <v>0</v>
      </c>
      <c r="I64" s="12">
        <f>(VLOOKUP(main!Q64,main!$AO$4:$AQ$55,3,FALSE))</f>
        <v>45</v>
      </c>
      <c r="J64" s="12">
        <f>(VLOOKUP(main!R64,main!$AO$4:$AQ$55,3,FALSE))</f>
        <v>45</v>
      </c>
      <c r="K64" s="12">
        <f>(VLOOKUP(main!S64,main!$AO$4:$AQ$55,3,FALSE))</f>
        <v>45</v>
      </c>
      <c r="L64" s="12">
        <f>(VLOOKUP(main!T64,main!$AO$4:$AQ$55,3,FALSE))</f>
        <v>45</v>
      </c>
      <c r="M64" s="12">
        <f>(VLOOKUP(main!U64,main!$AO$4:$AQ$55,3,FALSE))</f>
        <v>45</v>
      </c>
      <c r="N64" s="12">
        <f>(VLOOKUP(main!V64,main!$AO$4:$AQ$55,3,FALSE))</f>
        <v>45</v>
      </c>
      <c r="O64" s="13">
        <f>(VLOOKUP(main!W64,main!$AO$4:$AQ$55,3,FALSE))</f>
        <v>0</v>
      </c>
      <c r="P64" s="13">
        <f>(VLOOKUP(main!X64,main!$AO$4:$AQ$55,3,FALSE))</f>
        <v>0</v>
      </c>
      <c r="Q64" s="12">
        <f>(VLOOKUP(main!Y64,main!$AO$4:$AQ$55,3,FALSE))</f>
        <v>40</v>
      </c>
      <c r="R64" s="12">
        <f>(VLOOKUP(main!Z64,main!$AO$4:$AQ$55,3,FALSE))</f>
        <v>40</v>
      </c>
      <c r="S64" s="12">
        <f>(VLOOKUP(main!AA64,main!$AO$4:$AQ$55,3,FALSE))</f>
        <v>40</v>
      </c>
      <c r="T64" s="12">
        <f>(VLOOKUP(main!AB64,main!$AO$4:$AQ$55,3,FALSE))</f>
        <v>40</v>
      </c>
      <c r="U64" s="12">
        <f>(VLOOKUP(main!AC64,main!$AO$4:$AQ$55,3,FALSE))</f>
        <v>40</v>
      </c>
      <c r="V64" s="12">
        <f>(VLOOKUP(main!AD64,main!$AO$4:$AQ$55,3,FALSE))</f>
        <v>40</v>
      </c>
      <c r="W64" s="13">
        <f>(VLOOKUP(main!AE64,main!$AO$4:$AQ$55,3,FALSE))</f>
        <v>0</v>
      </c>
      <c r="X64" s="13">
        <f>(VLOOKUP(main!AF64,main!$AO$4:$AQ$55,3,FALSE))</f>
        <v>0</v>
      </c>
    </row>
    <row r="65" spans="1:24">
      <c r="A65" s="12">
        <f>(VLOOKUP(main!I65,main!$AO$4:$AQ$55,3,FALSE))</f>
        <v>0</v>
      </c>
      <c r="B65" s="12">
        <f>(VLOOKUP(main!J65,main!$AO$4:$AQ$55,3,FALSE))</f>
        <v>0</v>
      </c>
      <c r="C65" s="12">
        <f>(VLOOKUP(main!K65,main!$AO$4:$AQ$55,3,FALSE))</f>
        <v>0</v>
      </c>
      <c r="D65" s="12">
        <f>(VLOOKUP(main!L65,main!$AO$4:$AQ$55,3,FALSE))</f>
        <v>0</v>
      </c>
      <c r="E65" s="12">
        <f>(VLOOKUP(main!M65,main!$AO$4:$AQ$55,3,FALSE))</f>
        <v>0</v>
      </c>
      <c r="F65" s="12">
        <f>(VLOOKUP(main!N65,main!$AO$4:$AQ$55,3,FALSE))</f>
        <v>0</v>
      </c>
      <c r="G65" s="13">
        <f>(VLOOKUP(main!O65,main!$AO$4:$AQ$55,3,FALSE))</f>
        <v>0</v>
      </c>
      <c r="H65" s="13">
        <f>(VLOOKUP(main!P65,main!$AO$4:$AQ$55,3,FALSE))</f>
        <v>0</v>
      </c>
      <c r="I65" s="12">
        <f>(VLOOKUP(main!Q65,main!$AO$4:$AQ$55,3,FALSE))</f>
        <v>0</v>
      </c>
      <c r="J65" s="12">
        <f>(VLOOKUP(main!R65,main!$AO$4:$AQ$55,3,FALSE))</f>
        <v>0</v>
      </c>
      <c r="K65" s="12">
        <f>(VLOOKUP(main!S65,main!$AO$4:$AQ$55,3,FALSE))</f>
        <v>0</v>
      </c>
      <c r="L65" s="12">
        <f>(VLOOKUP(main!T65,main!$AO$4:$AQ$55,3,FALSE))</f>
        <v>0</v>
      </c>
      <c r="M65" s="12">
        <f>(VLOOKUP(main!U65,main!$AO$4:$AQ$55,3,FALSE))</f>
        <v>0</v>
      </c>
      <c r="N65" s="12">
        <f>(VLOOKUP(main!V65,main!$AO$4:$AQ$55,3,FALSE))</f>
        <v>0</v>
      </c>
      <c r="O65" s="13">
        <f>(VLOOKUP(main!W65,main!$AO$4:$AQ$55,3,FALSE))</f>
        <v>0</v>
      </c>
      <c r="P65" s="13">
        <f>(VLOOKUP(main!X65,main!$AO$4:$AQ$55,3,FALSE))</f>
        <v>0</v>
      </c>
      <c r="Q65" s="12">
        <f>(VLOOKUP(main!Y65,main!$AO$4:$AQ$55,3,FALSE))</f>
        <v>40</v>
      </c>
      <c r="R65" s="12">
        <f>(VLOOKUP(main!Z65,main!$AO$4:$AQ$55,3,FALSE))</f>
        <v>40</v>
      </c>
      <c r="S65" s="12">
        <f>(VLOOKUP(main!AA65,main!$AO$4:$AQ$55,3,FALSE))</f>
        <v>40</v>
      </c>
      <c r="T65" s="12">
        <f>(VLOOKUP(main!AB65,main!$AO$4:$AQ$55,3,FALSE))</f>
        <v>40</v>
      </c>
      <c r="U65" s="12">
        <f>(VLOOKUP(main!AC65,main!$AO$4:$AQ$55,3,FALSE))</f>
        <v>40</v>
      </c>
      <c r="V65" s="12">
        <f>(VLOOKUP(main!AD65,main!$AO$4:$AQ$55,3,FALSE))</f>
        <v>40</v>
      </c>
      <c r="W65" s="13">
        <f>(VLOOKUP(main!AE65,main!$AO$4:$AQ$55,3,FALSE))</f>
        <v>0</v>
      </c>
      <c r="X65" s="13">
        <f>(VLOOKUP(main!AF65,main!$AO$4:$AQ$55,3,FALSE))</f>
        <v>0</v>
      </c>
    </row>
    <row r="66" spans="1:24">
      <c r="A66" s="12">
        <f>(VLOOKUP(main!I66,main!$AO$4:$AQ$55,3,FALSE))</f>
        <v>0</v>
      </c>
      <c r="B66" s="12">
        <f>(VLOOKUP(main!J66,main!$AO$4:$AQ$55,3,FALSE))</f>
        <v>0</v>
      </c>
      <c r="C66" s="12">
        <f>(VLOOKUP(main!K66,main!$AO$4:$AQ$55,3,FALSE))</f>
        <v>0</v>
      </c>
      <c r="D66" s="12">
        <f>(VLOOKUP(main!L66,main!$AO$4:$AQ$55,3,FALSE))</f>
        <v>0</v>
      </c>
      <c r="E66" s="12">
        <f>(VLOOKUP(main!M66,main!$AO$4:$AQ$55,3,FALSE))</f>
        <v>0</v>
      </c>
      <c r="F66" s="12">
        <f>(VLOOKUP(main!N66,main!$AO$4:$AQ$55,3,FALSE))</f>
        <v>0</v>
      </c>
      <c r="G66" s="13">
        <f>(VLOOKUP(main!O66,main!$AO$4:$AQ$55,3,FALSE))</f>
        <v>0</v>
      </c>
      <c r="H66" s="13">
        <f>(VLOOKUP(main!P66,main!$AO$4:$AQ$55,3,FALSE))</f>
        <v>0</v>
      </c>
      <c r="I66" s="12">
        <f>(VLOOKUP(main!Q66,main!$AO$4:$AQ$55,3,FALSE))</f>
        <v>40</v>
      </c>
      <c r="J66" s="12">
        <f>(VLOOKUP(main!R66,main!$AO$4:$AQ$55,3,FALSE))</f>
        <v>40</v>
      </c>
      <c r="K66" s="12">
        <f>(VLOOKUP(main!S66,main!$AO$4:$AQ$55,3,FALSE))</f>
        <v>40</v>
      </c>
      <c r="L66" s="12">
        <f>(VLOOKUP(main!T66,main!$AO$4:$AQ$55,3,FALSE))</f>
        <v>40</v>
      </c>
      <c r="M66" s="12">
        <f>(VLOOKUP(main!U66,main!$AO$4:$AQ$55,3,FALSE))</f>
        <v>40</v>
      </c>
      <c r="N66" s="12">
        <f>(VLOOKUP(main!V66,main!$AO$4:$AQ$55,3,FALSE))</f>
        <v>40</v>
      </c>
      <c r="O66" s="13">
        <f>(VLOOKUP(main!W66,main!$AO$4:$AQ$55,3,FALSE))</f>
        <v>0</v>
      </c>
      <c r="P66" s="13">
        <f>(VLOOKUP(main!X66,main!$AO$4:$AQ$55,3,FALSE))</f>
        <v>0</v>
      </c>
      <c r="Q66" s="12">
        <f>(VLOOKUP(main!Y66,main!$AO$4:$AQ$55,3,FALSE))</f>
        <v>40</v>
      </c>
      <c r="R66" s="12">
        <f>(VLOOKUP(main!Z66,main!$AO$4:$AQ$55,3,FALSE))</f>
        <v>40</v>
      </c>
      <c r="S66" s="12">
        <f>(VLOOKUP(main!AA66,main!$AO$4:$AQ$55,3,FALSE))</f>
        <v>40</v>
      </c>
      <c r="T66" s="12">
        <f>(VLOOKUP(main!AB66,main!$AO$4:$AQ$55,3,FALSE))</f>
        <v>40</v>
      </c>
      <c r="U66" s="12">
        <f>(VLOOKUP(main!AC66,main!$AO$4:$AQ$55,3,FALSE))</f>
        <v>40</v>
      </c>
      <c r="V66" s="12">
        <f>(VLOOKUP(main!AD66,main!$AO$4:$AQ$55,3,FALSE))</f>
        <v>40</v>
      </c>
      <c r="W66" s="13">
        <f>(VLOOKUP(main!AE66,main!$AO$4:$AQ$55,3,FALSE))</f>
        <v>0</v>
      </c>
      <c r="X66" s="13">
        <f>(VLOOKUP(main!AF66,main!$AO$4:$AQ$55,3,FALSE))</f>
        <v>0</v>
      </c>
    </row>
    <row r="67" spans="1:24">
      <c r="A67" s="12">
        <f>(VLOOKUP(main!I67,main!$AO$4:$AQ$55,3,FALSE))</f>
        <v>0</v>
      </c>
      <c r="B67" s="12">
        <f>(VLOOKUP(main!J67,main!$AO$4:$AQ$55,3,FALSE))</f>
        <v>0</v>
      </c>
      <c r="C67" s="12">
        <f>(VLOOKUP(main!K67,main!$AO$4:$AQ$55,3,FALSE))</f>
        <v>0</v>
      </c>
      <c r="D67" s="12">
        <f>(VLOOKUP(main!L67,main!$AO$4:$AQ$55,3,FALSE))</f>
        <v>0</v>
      </c>
      <c r="E67" s="12">
        <f>(VLOOKUP(main!M67,main!$AO$4:$AQ$55,3,FALSE))</f>
        <v>0</v>
      </c>
      <c r="F67" s="12">
        <f>(VLOOKUP(main!N67,main!$AO$4:$AQ$55,3,FALSE))</f>
        <v>0</v>
      </c>
      <c r="G67" s="13">
        <f>(VLOOKUP(main!O67,main!$AO$4:$AQ$55,3,FALSE))</f>
        <v>0</v>
      </c>
      <c r="H67" s="13">
        <f>(VLOOKUP(main!P67,main!$AO$4:$AQ$55,3,FALSE))</f>
        <v>0</v>
      </c>
      <c r="I67" s="12">
        <f>(VLOOKUP(main!Q67,main!$AO$4:$AQ$55,3,FALSE))</f>
        <v>40</v>
      </c>
      <c r="J67" s="12">
        <f>(VLOOKUP(main!R67,main!$AO$4:$AQ$55,3,FALSE))</f>
        <v>40</v>
      </c>
      <c r="K67" s="12">
        <f>(VLOOKUP(main!S67,main!$AO$4:$AQ$55,3,FALSE))</f>
        <v>40</v>
      </c>
      <c r="L67" s="12">
        <f>(VLOOKUP(main!T67,main!$AO$4:$AQ$55,3,FALSE))</f>
        <v>40</v>
      </c>
      <c r="M67" s="12">
        <f>(VLOOKUP(main!U67,main!$AO$4:$AQ$55,3,FALSE))</f>
        <v>40</v>
      </c>
      <c r="N67" s="12">
        <f>(VLOOKUP(main!V67,main!$AO$4:$AQ$55,3,FALSE))</f>
        <v>40</v>
      </c>
      <c r="O67" s="13">
        <f>(VLOOKUP(main!W67,main!$AO$4:$AQ$55,3,FALSE))</f>
        <v>0</v>
      </c>
      <c r="P67" s="13">
        <f>(VLOOKUP(main!X67,main!$AO$4:$AQ$55,3,FALSE))</f>
        <v>0</v>
      </c>
      <c r="Q67" s="12">
        <f>(VLOOKUP(main!Y67,main!$AO$4:$AQ$55,3,FALSE))</f>
        <v>40</v>
      </c>
      <c r="R67" s="12">
        <f>(VLOOKUP(main!Z67,main!$AO$4:$AQ$55,3,FALSE))</f>
        <v>40</v>
      </c>
      <c r="S67" s="12">
        <f>(VLOOKUP(main!AA67,main!$AO$4:$AQ$55,3,FALSE))</f>
        <v>40</v>
      </c>
      <c r="T67" s="12">
        <f>(VLOOKUP(main!AB67,main!$AO$4:$AQ$55,3,FALSE))</f>
        <v>40</v>
      </c>
      <c r="U67" s="12">
        <f>(VLOOKUP(main!AC67,main!$AO$4:$AQ$55,3,FALSE))</f>
        <v>40</v>
      </c>
      <c r="V67" s="12">
        <f>(VLOOKUP(main!AD67,main!$AO$4:$AQ$55,3,FALSE))</f>
        <v>40</v>
      </c>
      <c r="W67" s="13">
        <f>(VLOOKUP(main!AE67,main!$AO$4:$AQ$55,3,FALSE))</f>
        <v>0</v>
      </c>
      <c r="X67" s="13">
        <f>(VLOOKUP(main!AF67,main!$AO$4:$AQ$55,3,FALSE))</f>
        <v>0</v>
      </c>
    </row>
    <row r="68" spans="1:24">
      <c r="A68" s="12">
        <f>(VLOOKUP(main!I68,main!$AO$4:$AQ$55,3,FALSE))</f>
        <v>0</v>
      </c>
      <c r="B68" s="12">
        <f>(VLOOKUP(main!J68,main!$AO$4:$AQ$55,3,FALSE))</f>
        <v>0</v>
      </c>
      <c r="C68" s="12">
        <f>(VLOOKUP(main!K68,main!$AO$4:$AQ$55,3,FALSE))</f>
        <v>0</v>
      </c>
      <c r="D68" s="12">
        <f>(VLOOKUP(main!L68,main!$AO$4:$AQ$55,3,FALSE))</f>
        <v>0</v>
      </c>
      <c r="E68" s="12">
        <f>(VLOOKUP(main!M68,main!$AO$4:$AQ$55,3,FALSE))</f>
        <v>0</v>
      </c>
      <c r="F68" s="12">
        <f>(VLOOKUP(main!N68,main!$AO$4:$AQ$55,3,FALSE))</f>
        <v>0</v>
      </c>
      <c r="G68" s="13">
        <f>(VLOOKUP(main!O68,main!$AO$4:$AQ$55,3,FALSE))</f>
        <v>0</v>
      </c>
      <c r="H68" s="13">
        <f>(VLOOKUP(main!P68,main!$AO$4:$AQ$55,3,FALSE))</f>
        <v>0</v>
      </c>
      <c r="I68" s="12">
        <f>(VLOOKUP(main!Q68,main!$AO$4:$AQ$55,3,FALSE))</f>
        <v>40</v>
      </c>
      <c r="J68" s="12">
        <f>(VLOOKUP(main!R68,main!$AO$4:$AQ$55,3,FALSE))</f>
        <v>40</v>
      </c>
      <c r="K68" s="12">
        <f>(VLOOKUP(main!S68,main!$AO$4:$AQ$55,3,FALSE))</f>
        <v>40</v>
      </c>
      <c r="L68" s="12">
        <f>(VLOOKUP(main!T68,main!$AO$4:$AQ$55,3,FALSE))</f>
        <v>40</v>
      </c>
      <c r="M68" s="12">
        <f>(VLOOKUP(main!U68,main!$AO$4:$AQ$55,3,FALSE))</f>
        <v>40</v>
      </c>
      <c r="N68" s="12">
        <f>(VLOOKUP(main!V68,main!$AO$4:$AQ$55,3,FALSE))</f>
        <v>40</v>
      </c>
      <c r="O68" s="13">
        <f>(VLOOKUP(main!W68,main!$AO$4:$AQ$55,3,FALSE))</f>
        <v>0</v>
      </c>
      <c r="P68" s="13">
        <f>(VLOOKUP(main!X68,main!$AO$4:$AQ$55,3,FALSE))</f>
        <v>0</v>
      </c>
      <c r="Q68" s="12">
        <f>(VLOOKUP(main!Y68,main!$AO$4:$AQ$55,3,FALSE))</f>
        <v>40</v>
      </c>
      <c r="R68" s="12">
        <f>(VLOOKUP(main!Z68,main!$AO$4:$AQ$55,3,FALSE))</f>
        <v>40</v>
      </c>
      <c r="S68" s="12">
        <f>(VLOOKUP(main!AA68,main!$AO$4:$AQ$55,3,FALSE))</f>
        <v>40</v>
      </c>
      <c r="T68" s="12">
        <f>(VLOOKUP(main!AB68,main!$AO$4:$AQ$55,3,FALSE))</f>
        <v>40</v>
      </c>
      <c r="U68" s="12">
        <f>(VLOOKUP(main!AC68,main!$AO$4:$AQ$55,3,FALSE))</f>
        <v>40</v>
      </c>
      <c r="V68" s="12">
        <f>(VLOOKUP(main!AD68,main!$AO$4:$AQ$55,3,FALSE))</f>
        <v>40</v>
      </c>
      <c r="W68" s="13">
        <f>(VLOOKUP(main!AE68,main!$AO$4:$AQ$55,3,FALSE))</f>
        <v>0</v>
      </c>
      <c r="X68" s="13">
        <f>(VLOOKUP(main!AF68,main!$AO$4:$AQ$55,3,FALSE))</f>
        <v>0</v>
      </c>
    </row>
    <row r="69" spans="1:24">
      <c r="A69" s="12">
        <f>(VLOOKUP(main!I69,main!$AO$4:$AQ$55,3,FALSE))</f>
        <v>0</v>
      </c>
      <c r="B69" s="12">
        <f>(VLOOKUP(main!J69,main!$AO$4:$AQ$55,3,FALSE))</f>
        <v>0</v>
      </c>
      <c r="C69" s="12">
        <f>(VLOOKUP(main!K69,main!$AO$4:$AQ$55,3,FALSE))</f>
        <v>0</v>
      </c>
      <c r="D69" s="12">
        <f>(VLOOKUP(main!L69,main!$AO$4:$AQ$55,3,FALSE))</f>
        <v>0</v>
      </c>
      <c r="E69" s="12">
        <f>(VLOOKUP(main!M69,main!$AO$4:$AQ$55,3,FALSE))</f>
        <v>0</v>
      </c>
      <c r="F69" s="12">
        <f>(VLOOKUP(main!N69,main!$AO$4:$AQ$55,3,FALSE))</f>
        <v>0</v>
      </c>
      <c r="G69" s="13">
        <f>(VLOOKUP(main!O69,main!$AO$4:$AQ$55,3,FALSE))</f>
        <v>0</v>
      </c>
      <c r="H69" s="13">
        <f>(VLOOKUP(main!P69,main!$AO$4:$AQ$55,3,FALSE))</f>
        <v>0</v>
      </c>
      <c r="I69" s="12">
        <f>(VLOOKUP(main!Q69,main!$AO$4:$AQ$55,3,FALSE))</f>
        <v>40</v>
      </c>
      <c r="J69" s="12">
        <f>(VLOOKUP(main!R69,main!$AO$4:$AQ$55,3,FALSE))</f>
        <v>40</v>
      </c>
      <c r="K69" s="12">
        <f>(VLOOKUP(main!S69,main!$AO$4:$AQ$55,3,FALSE))</f>
        <v>40</v>
      </c>
      <c r="L69" s="12">
        <f>(VLOOKUP(main!T69,main!$AO$4:$AQ$55,3,FALSE))</f>
        <v>40</v>
      </c>
      <c r="M69" s="12">
        <f>(VLOOKUP(main!U69,main!$AO$4:$AQ$55,3,FALSE))</f>
        <v>40</v>
      </c>
      <c r="N69" s="12">
        <f>(VLOOKUP(main!V69,main!$AO$4:$AQ$55,3,FALSE))</f>
        <v>40</v>
      </c>
      <c r="O69" s="13">
        <f>(VLOOKUP(main!W69,main!$AO$4:$AQ$55,3,FALSE))</f>
        <v>0</v>
      </c>
      <c r="P69" s="13">
        <f>(VLOOKUP(main!X69,main!$AO$4:$AQ$55,3,FALSE))</f>
        <v>0</v>
      </c>
      <c r="Q69" s="12">
        <f>(VLOOKUP(main!Y69,main!$AO$4:$AQ$55,3,FALSE))</f>
        <v>40</v>
      </c>
      <c r="R69" s="12">
        <f>(VLOOKUP(main!Z69,main!$AO$4:$AQ$55,3,FALSE))</f>
        <v>40</v>
      </c>
      <c r="S69" s="12">
        <f>(VLOOKUP(main!AA69,main!$AO$4:$AQ$55,3,FALSE))</f>
        <v>40</v>
      </c>
      <c r="T69" s="12">
        <f>(VLOOKUP(main!AB69,main!$AO$4:$AQ$55,3,FALSE))</f>
        <v>0</v>
      </c>
      <c r="U69" s="12">
        <f>(VLOOKUP(main!AC69,main!$AO$4:$AQ$55,3,FALSE))</f>
        <v>0</v>
      </c>
      <c r="V69" s="12">
        <f>(VLOOKUP(main!AD69,main!$AO$4:$AQ$55,3,FALSE))</f>
        <v>0</v>
      </c>
      <c r="W69" s="13">
        <f>(VLOOKUP(main!AE69,main!$AO$4:$AQ$55,3,FALSE))</f>
        <v>0</v>
      </c>
      <c r="X69" s="13">
        <f>(VLOOKUP(main!AF69,main!$AO$4:$AQ$55,3,FALSE))</f>
        <v>0</v>
      </c>
    </row>
    <row r="70" spans="1:24">
      <c r="A70" s="12">
        <f>(VLOOKUP(main!I70,main!$AO$4:$AQ$55,3,FALSE))</f>
        <v>0</v>
      </c>
      <c r="B70" s="12">
        <f>(VLOOKUP(main!J70,main!$AO$4:$AQ$55,3,FALSE))</f>
        <v>0</v>
      </c>
      <c r="C70" s="12">
        <f>(VLOOKUP(main!K70,main!$AO$4:$AQ$55,3,FALSE))</f>
        <v>0</v>
      </c>
      <c r="D70" s="12">
        <f>(VLOOKUP(main!L70,main!$AO$4:$AQ$55,3,FALSE))</f>
        <v>0</v>
      </c>
      <c r="E70" s="12">
        <f>(VLOOKUP(main!M70,main!$AO$4:$AQ$55,3,FALSE))</f>
        <v>0</v>
      </c>
      <c r="F70" s="12">
        <f>(VLOOKUP(main!N70,main!$AO$4:$AQ$55,3,FALSE))</f>
        <v>0</v>
      </c>
      <c r="G70" s="13">
        <f>(VLOOKUP(main!O70,main!$AO$4:$AQ$55,3,FALSE))</f>
        <v>0</v>
      </c>
      <c r="H70" s="13">
        <f>(VLOOKUP(main!P70,main!$AO$4:$AQ$55,3,FALSE))</f>
        <v>0</v>
      </c>
      <c r="I70" s="12">
        <f>(VLOOKUP(main!Q70,main!$AO$4:$AQ$55,3,FALSE))</f>
        <v>40</v>
      </c>
      <c r="J70" s="12">
        <f>(VLOOKUP(main!R70,main!$AO$4:$AQ$55,3,FALSE))</f>
        <v>40</v>
      </c>
      <c r="K70" s="12">
        <f>(VLOOKUP(main!S70,main!$AO$4:$AQ$55,3,FALSE))</f>
        <v>40</v>
      </c>
      <c r="L70" s="12">
        <f>(VLOOKUP(main!T70,main!$AO$4:$AQ$55,3,FALSE))</f>
        <v>40</v>
      </c>
      <c r="M70" s="12">
        <f>(VLOOKUP(main!U70,main!$AO$4:$AQ$55,3,FALSE))</f>
        <v>40</v>
      </c>
      <c r="N70" s="12">
        <f>(VLOOKUP(main!V70,main!$AO$4:$AQ$55,3,FALSE))</f>
        <v>40</v>
      </c>
      <c r="O70" s="13">
        <f>(VLOOKUP(main!W70,main!$AO$4:$AQ$55,3,FALSE))</f>
        <v>0</v>
      </c>
      <c r="P70" s="13">
        <f>(VLOOKUP(main!X70,main!$AO$4:$AQ$55,3,FALSE))</f>
        <v>0</v>
      </c>
      <c r="Q70" s="12">
        <f>(VLOOKUP(main!Y70,main!$AO$4:$AQ$55,3,FALSE))</f>
        <v>0</v>
      </c>
      <c r="R70" s="12">
        <f>(VLOOKUP(main!Z70,main!$AO$4:$AQ$55,3,FALSE))</f>
        <v>0</v>
      </c>
      <c r="S70" s="12">
        <f>(VLOOKUP(main!AA70,main!$AO$4:$AQ$55,3,FALSE))</f>
        <v>0</v>
      </c>
      <c r="T70" s="12">
        <f>(VLOOKUP(main!AB70,main!$AO$4:$AQ$55,3,FALSE))</f>
        <v>0</v>
      </c>
      <c r="U70" s="12">
        <f>(VLOOKUP(main!AC70,main!$AO$4:$AQ$55,3,FALSE))</f>
        <v>0</v>
      </c>
      <c r="V70" s="12">
        <f>(VLOOKUP(main!AD70,main!$AO$4:$AQ$55,3,FALSE))</f>
        <v>0</v>
      </c>
      <c r="W70" s="13">
        <f>(VLOOKUP(main!AE70,main!$AO$4:$AQ$55,3,FALSE))</f>
        <v>0</v>
      </c>
      <c r="X70" s="13">
        <f>(VLOOKUP(main!AF70,main!$AO$4:$AQ$55,3,FALSE))</f>
        <v>0</v>
      </c>
    </row>
    <row r="71" spans="1:24">
      <c r="A71" s="12">
        <f>(VLOOKUP(main!I71,main!$AO$4:$AQ$55,3,FALSE))</f>
        <v>0</v>
      </c>
      <c r="B71" s="12">
        <f>(VLOOKUP(main!J71,main!$AO$4:$AQ$55,3,FALSE))</f>
        <v>0</v>
      </c>
      <c r="C71" s="12">
        <f>(VLOOKUP(main!K71,main!$AO$4:$AQ$55,3,FALSE))</f>
        <v>0</v>
      </c>
      <c r="D71" s="12">
        <f>(VLOOKUP(main!L71,main!$AO$4:$AQ$55,3,FALSE))</f>
        <v>0</v>
      </c>
      <c r="E71" s="12">
        <f>(VLOOKUP(main!M71,main!$AO$4:$AQ$55,3,FALSE))</f>
        <v>0</v>
      </c>
      <c r="F71" s="12">
        <f>(VLOOKUP(main!N71,main!$AO$4:$AQ$55,3,FALSE))</f>
        <v>0</v>
      </c>
      <c r="G71" s="13">
        <f>(VLOOKUP(main!O71,main!$AO$4:$AQ$55,3,FALSE))</f>
        <v>0</v>
      </c>
      <c r="H71" s="13">
        <f>(VLOOKUP(main!P71,main!$AO$4:$AQ$55,3,FALSE))</f>
        <v>0</v>
      </c>
      <c r="I71" s="12">
        <f>(VLOOKUP(main!Q71,main!$AO$4:$AQ$55,3,FALSE))</f>
        <v>40</v>
      </c>
      <c r="J71" s="12">
        <f>(VLOOKUP(main!R71,main!$AO$4:$AQ$55,3,FALSE))</f>
        <v>40</v>
      </c>
      <c r="K71" s="12">
        <f>(VLOOKUP(main!S71,main!$AO$4:$AQ$55,3,FALSE))</f>
        <v>40</v>
      </c>
      <c r="L71" s="12">
        <f>(VLOOKUP(main!T71,main!$AO$4:$AQ$55,3,FALSE))</f>
        <v>0</v>
      </c>
      <c r="M71" s="12">
        <f>(VLOOKUP(main!U71,main!$AO$4:$AQ$55,3,FALSE))</f>
        <v>0</v>
      </c>
      <c r="N71" s="12">
        <f>(VLOOKUP(main!V71,main!$AO$4:$AQ$55,3,FALSE))</f>
        <v>0</v>
      </c>
      <c r="O71" s="13">
        <f>(VLOOKUP(main!W71,main!$AO$4:$AQ$55,3,FALSE))</f>
        <v>0</v>
      </c>
      <c r="P71" s="13">
        <f>(VLOOKUP(main!X71,main!$AO$4:$AQ$55,3,FALSE))</f>
        <v>0</v>
      </c>
      <c r="Q71" s="12">
        <f>(VLOOKUP(main!Y71,main!$AO$4:$AQ$55,3,FALSE))</f>
        <v>0</v>
      </c>
      <c r="R71" s="12">
        <f>(VLOOKUP(main!Z71,main!$AO$4:$AQ$55,3,FALSE))</f>
        <v>0</v>
      </c>
      <c r="S71" s="12">
        <f>(VLOOKUP(main!AA71,main!$AO$4:$AQ$55,3,FALSE))</f>
        <v>0</v>
      </c>
      <c r="T71" s="12">
        <f>(VLOOKUP(main!AB71,main!$AO$4:$AQ$55,3,FALSE))</f>
        <v>0</v>
      </c>
      <c r="U71" s="12">
        <f>(VLOOKUP(main!AC71,main!$AO$4:$AQ$55,3,FALSE))</f>
        <v>0</v>
      </c>
      <c r="V71" s="12">
        <f>(VLOOKUP(main!AD71,main!$AO$4:$AQ$55,3,FALSE))</f>
        <v>0</v>
      </c>
      <c r="W71" s="13">
        <f>(VLOOKUP(main!AE71,main!$AO$4:$AQ$55,3,FALSE))</f>
        <v>0</v>
      </c>
      <c r="X71" s="13">
        <f>(VLOOKUP(main!AF71,main!$AO$4:$AQ$55,3,FALSE))</f>
        <v>0</v>
      </c>
    </row>
    <row r="72" spans="1:24">
      <c r="A72" s="12">
        <f>(VLOOKUP(main!I72,main!$AO$4:$AQ$55,3,FALSE))</f>
        <v>0</v>
      </c>
      <c r="B72" s="12">
        <f>(VLOOKUP(main!J72,main!$AO$4:$AQ$55,3,FALSE))</f>
        <v>0</v>
      </c>
      <c r="C72" s="12">
        <f>(VLOOKUP(main!K72,main!$AO$4:$AQ$55,3,FALSE))</f>
        <v>0</v>
      </c>
      <c r="D72" s="12">
        <f>(VLOOKUP(main!L72,main!$AO$4:$AQ$55,3,FALSE))</f>
        <v>0</v>
      </c>
      <c r="E72" s="12">
        <f>(VLOOKUP(main!M72,main!$AO$4:$AQ$55,3,FALSE))</f>
        <v>0</v>
      </c>
      <c r="F72" s="12">
        <f>(VLOOKUP(main!N72,main!$AO$4:$AQ$55,3,FALSE))</f>
        <v>0</v>
      </c>
      <c r="G72" s="13">
        <f>(VLOOKUP(main!O72,main!$AO$4:$AQ$55,3,FALSE))</f>
        <v>0</v>
      </c>
      <c r="H72" s="13">
        <f>(VLOOKUP(main!P72,main!$AO$4:$AQ$55,3,FALSE))</f>
        <v>0</v>
      </c>
      <c r="I72" s="12">
        <f>(VLOOKUP(main!Q72,main!$AO$4:$AQ$55,3,FALSE))</f>
        <v>0</v>
      </c>
      <c r="J72" s="12">
        <f>(VLOOKUP(main!R72,main!$AO$4:$AQ$55,3,FALSE))</f>
        <v>0</v>
      </c>
      <c r="K72" s="12">
        <f>(VLOOKUP(main!S72,main!$AO$4:$AQ$55,3,FALSE))</f>
        <v>0</v>
      </c>
      <c r="L72" s="12">
        <f>(VLOOKUP(main!T72,main!$AO$4:$AQ$55,3,FALSE))</f>
        <v>0</v>
      </c>
      <c r="M72" s="12">
        <f>(VLOOKUP(main!U72,main!$AO$4:$AQ$55,3,FALSE))</f>
        <v>0</v>
      </c>
      <c r="N72" s="12">
        <f>(VLOOKUP(main!V72,main!$AO$4:$AQ$55,3,FALSE))</f>
        <v>0</v>
      </c>
      <c r="O72" s="13">
        <f>(VLOOKUP(main!W72,main!$AO$4:$AQ$55,3,FALSE))</f>
        <v>0</v>
      </c>
      <c r="P72" s="13">
        <f>(VLOOKUP(main!X72,main!$AO$4:$AQ$55,3,FALSE))</f>
        <v>0</v>
      </c>
      <c r="Q72" s="12">
        <f>(VLOOKUP(main!Y72,main!$AO$4:$AQ$55,3,FALSE))</f>
        <v>0</v>
      </c>
      <c r="R72" s="12">
        <f>(VLOOKUP(main!Z72,main!$AO$4:$AQ$55,3,FALSE))</f>
        <v>0</v>
      </c>
      <c r="S72" s="12">
        <f>(VLOOKUP(main!AA72,main!$AO$4:$AQ$55,3,FALSE))</f>
        <v>0</v>
      </c>
      <c r="T72" s="12">
        <f>(VLOOKUP(main!AB72,main!$AO$4:$AQ$55,3,FALSE))</f>
        <v>0</v>
      </c>
      <c r="U72" s="12">
        <f>(VLOOKUP(main!AC72,main!$AO$4:$AQ$55,3,FALSE))</f>
        <v>0</v>
      </c>
      <c r="V72" s="12">
        <f>(VLOOKUP(main!AD72,main!$AO$4:$AQ$55,3,FALSE))</f>
        <v>0</v>
      </c>
      <c r="W72" s="13">
        <f>(VLOOKUP(main!AE72,main!$AO$4:$AQ$55,3,FALSE))</f>
        <v>0</v>
      </c>
      <c r="X72" s="13">
        <f>(VLOOKUP(main!AF72,main!$AO$4:$AQ$55,3,FALSE))</f>
        <v>0</v>
      </c>
    </row>
    <row r="73" spans="1:24">
      <c r="A73" s="12">
        <f>(VLOOKUP(main!I73,main!$AO$4:$AQ$55,3,FALSE))</f>
        <v>0</v>
      </c>
      <c r="B73" s="12">
        <f>(VLOOKUP(main!J73,main!$AO$4:$AQ$55,3,FALSE))</f>
        <v>0</v>
      </c>
      <c r="C73" s="12">
        <f>(VLOOKUP(main!K73,main!$AO$4:$AQ$55,3,FALSE))</f>
        <v>0</v>
      </c>
      <c r="D73" s="12">
        <f>(VLOOKUP(main!L73,main!$AO$4:$AQ$55,3,FALSE))</f>
        <v>0</v>
      </c>
      <c r="E73" s="12">
        <f>(VLOOKUP(main!M73,main!$AO$4:$AQ$55,3,FALSE))</f>
        <v>0</v>
      </c>
      <c r="F73" s="12">
        <f>(VLOOKUP(main!N73,main!$AO$4:$AQ$55,3,FALSE))</f>
        <v>0</v>
      </c>
      <c r="G73" s="13">
        <f>(VLOOKUP(main!O73,main!$AO$4:$AQ$55,3,FALSE))</f>
        <v>0</v>
      </c>
      <c r="H73" s="13">
        <f>(VLOOKUP(main!P73,main!$AO$4:$AQ$55,3,FALSE))</f>
        <v>0</v>
      </c>
      <c r="I73" s="12">
        <f>(VLOOKUP(main!Q73,main!$AO$4:$AQ$55,3,FALSE))</f>
        <v>0</v>
      </c>
      <c r="J73" s="12">
        <f>(VLOOKUP(main!R73,main!$AO$4:$AQ$55,3,FALSE))</f>
        <v>0</v>
      </c>
      <c r="K73" s="12">
        <f>(VLOOKUP(main!S73,main!$AO$4:$AQ$55,3,FALSE))</f>
        <v>0</v>
      </c>
      <c r="L73" s="12">
        <f>(VLOOKUP(main!T73,main!$AO$4:$AQ$55,3,FALSE))</f>
        <v>0</v>
      </c>
      <c r="M73" s="12">
        <f>(VLOOKUP(main!U73,main!$AO$4:$AQ$55,3,FALSE))</f>
        <v>0</v>
      </c>
      <c r="N73" s="12">
        <f>(VLOOKUP(main!V73,main!$AO$4:$AQ$55,3,FALSE))</f>
        <v>0</v>
      </c>
      <c r="O73" s="13">
        <f>(VLOOKUP(main!W73,main!$AO$4:$AQ$55,3,FALSE))</f>
        <v>0</v>
      </c>
      <c r="P73" s="13">
        <f>(VLOOKUP(main!X73,main!$AO$4:$AQ$55,3,FALSE))</f>
        <v>0</v>
      </c>
      <c r="Q73" s="12">
        <f>(VLOOKUP(main!Y73,main!$AO$4:$AQ$55,3,FALSE))</f>
        <v>0</v>
      </c>
      <c r="R73" s="12">
        <f>(VLOOKUP(main!Z73,main!$AO$4:$AQ$55,3,FALSE))</f>
        <v>0</v>
      </c>
      <c r="S73" s="12">
        <f>(VLOOKUP(main!AA73,main!$AO$4:$AQ$55,3,FALSE))</f>
        <v>0</v>
      </c>
      <c r="T73" s="12">
        <f>(VLOOKUP(main!AB73,main!$AO$4:$AQ$55,3,FALSE))</f>
        <v>0</v>
      </c>
      <c r="U73" s="12">
        <f>(VLOOKUP(main!AC73,main!$AO$4:$AQ$55,3,FALSE))</f>
        <v>0</v>
      </c>
      <c r="V73" s="12">
        <f>(VLOOKUP(main!AD73,main!$AO$4:$AQ$55,3,FALSE))</f>
        <v>0</v>
      </c>
      <c r="W73" s="13">
        <f>(VLOOKUP(main!AE73,main!$AO$4:$AQ$55,3,FALSE))</f>
        <v>0</v>
      </c>
      <c r="X73" s="13">
        <f>(VLOOKUP(main!AF73,main!$AO$4:$AQ$55,3,FALSE))</f>
        <v>0</v>
      </c>
    </row>
    <row r="74" spans="1:24">
      <c r="A74" s="12">
        <f>(VLOOKUP(main!I74,main!$AO$4:$AQ$55,3,FALSE))</f>
        <v>0</v>
      </c>
      <c r="B74" s="12">
        <f>(VLOOKUP(main!J74,main!$AO$4:$AQ$55,3,FALSE))</f>
        <v>0</v>
      </c>
      <c r="C74" s="12">
        <f>(VLOOKUP(main!K74,main!$AO$4:$AQ$55,3,FALSE))</f>
        <v>0</v>
      </c>
      <c r="D74" s="12">
        <f>(VLOOKUP(main!L74,main!$AO$4:$AQ$55,3,FALSE))</f>
        <v>0</v>
      </c>
      <c r="E74" s="12">
        <f>(VLOOKUP(main!M74,main!$AO$4:$AQ$55,3,FALSE))</f>
        <v>0</v>
      </c>
      <c r="F74" s="12">
        <f>(VLOOKUP(main!N74,main!$AO$4:$AQ$55,3,FALSE))</f>
        <v>0</v>
      </c>
      <c r="G74" s="13">
        <f>(VLOOKUP(main!O74,main!$AO$4:$AQ$55,3,FALSE))</f>
        <v>0</v>
      </c>
      <c r="H74" s="13">
        <f>(VLOOKUP(main!P74,main!$AO$4:$AQ$55,3,FALSE))</f>
        <v>0</v>
      </c>
      <c r="I74" s="12">
        <f>(VLOOKUP(main!Q74,main!$AO$4:$AQ$55,3,FALSE))</f>
        <v>0</v>
      </c>
      <c r="J74" s="12">
        <f>(VLOOKUP(main!R74,main!$AO$4:$AQ$55,3,FALSE))</f>
        <v>0</v>
      </c>
      <c r="K74" s="12">
        <f>(VLOOKUP(main!S74,main!$AO$4:$AQ$55,3,FALSE))</f>
        <v>0</v>
      </c>
      <c r="L74" s="12">
        <f>(VLOOKUP(main!T74,main!$AO$4:$AQ$55,3,FALSE))</f>
        <v>0</v>
      </c>
      <c r="M74" s="12">
        <f>(VLOOKUP(main!U74,main!$AO$4:$AQ$55,3,FALSE))</f>
        <v>0</v>
      </c>
      <c r="N74" s="12">
        <f>(VLOOKUP(main!V74,main!$AO$4:$AQ$55,3,FALSE))</f>
        <v>0</v>
      </c>
      <c r="O74" s="13">
        <f>(VLOOKUP(main!W74,main!$AO$4:$AQ$55,3,FALSE))</f>
        <v>0</v>
      </c>
      <c r="P74" s="13">
        <f>(VLOOKUP(main!X74,main!$AO$4:$AQ$55,3,FALSE))</f>
        <v>0</v>
      </c>
      <c r="Q74" s="12">
        <f>(VLOOKUP(main!Y74,main!$AO$4:$AQ$55,3,FALSE))</f>
        <v>0</v>
      </c>
      <c r="R74" s="12">
        <f>(VLOOKUP(main!Z74,main!$AO$4:$AQ$55,3,FALSE))</f>
        <v>0</v>
      </c>
      <c r="S74" s="12">
        <f>(VLOOKUP(main!AA74,main!$AO$4:$AQ$55,3,FALSE))</f>
        <v>0</v>
      </c>
      <c r="T74" s="12">
        <f>(VLOOKUP(main!AB74,main!$AO$4:$AQ$55,3,FALSE))</f>
        <v>0</v>
      </c>
      <c r="U74" s="12">
        <f>(VLOOKUP(main!AC74,main!$AO$4:$AQ$55,3,FALSE))</f>
        <v>0</v>
      </c>
      <c r="V74" s="12">
        <f>(VLOOKUP(main!AD74,main!$AO$4:$AQ$55,3,FALSE))</f>
        <v>0</v>
      </c>
      <c r="W74" s="13">
        <f>(VLOOKUP(main!AE74,main!$AO$4:$AQ$55,3,FALSE))</f>
        <v>0</v>
      </c>
      <c r="X74" s="13">
        <f>(VLOOKUP(main!AF74,main!$AO$4:$AQ$55,3,FALSE))</f>
        <v>0</v>
      </c>
    </row>
    <row r="75" spans="1:24">
      <c r="A75" s="12">
        <f>(VLOOKUP(main!I75,main!$AO$4:$AQ$55,3,FALSE))</f>
        <v>0</v>
      </c>
      <c r="B75" s="12">
        <f>(VLOOKUP(main!J75,main!$AO$4:$AQ$55,3,FALSE))</f>
        <v>0</v>
      </c>
      <c r="C75" s="12">
        <f>(VLOOKUP(main!K75,main!$AO$4:$AQ$55,3,FALSE))</f>
        <v>0</v>
      </c>
      <c r="D75" s="12">
        <f>(VLOOKUP(main!L75,main!$AO$4:$AQ$55,3,FALSE))</f>
        <v>0</v>
      </c>
      <c r="E75" s="12">
        <f>(VLOOKUP(main!M75,main!$AO$4:$AQ$55,3,FALSE))</f>
        <v>0</v>
      </c>
      <c r="F75" s="12">
        <f>(VLOOKUP(main!N75,main!$AO$4:$AQ$55,3,FALSE))</f>
        <v>0</v>
      </c>
      <c r="G75" s="13">
        <f>(VLOOKUP(main!O75,main!$AO$4:$AQ$55,3,FALSE))</f>
        <v>0</v>
      </c>
      <c r="H75" s="13">
        <f>(VLOOKUP(main!P75,main!$AO$4:$AQ$55,3,FALSE))</f>
        <v>0</v>
      </c>
      <c r="I75" s="12">
        <f>(VLOOKUP(main!Q75,main!$AO$4:$AQ$55,3,FALSE))</f>
        <v>0</v>
      </c>
      <c r="J75" s="12">
        <f>(VLOOKUP(main!R75,main!$AO$4:$AQ$55,3,FALSE))</f>
        <v>0</v>
      </c>
      <c r="K75" s="12">
        <f>(VLOOKUP(main!S75,main!$AO$4:$AQ$55,3,FALSE))</f>
        <v>0</v>
      </c>
      <c r="L75" s="12">
        <f>(VLOOKUP(main!T75,main!$AO$4:$AQ$55,3,FALSE))</f>
        <v>0</v>
      </c>
      <c r="M75" s="12">
        <f>(VLOOKUP(main!U75,main!$AO$4:$AQ$55,3,FALSE))</f>
        <v>0</v>
      </c>
      <c r="N75" s="12">
        <f>(VLOOKUP(main!V75,main!$AO$4:$AQ$55,3,FALSE))</f>
        <v>0</v>
      </c>
      <c r="O75" s="13">
        <f>(VLOOKUP(main!W75,main!$AO$4:$AQ$55,3,FALSE))</f>
        <v>0</v>
      </c>
      <c r="P75" s="13">
        <f>(VLOOKUP(main!X75,main!$AO$4:$AQ$55,3,FALSE))</f>
        <v>0</v>
      </c>
      <c r="Q75" s="12">
        <f>(VLOOKUP(main!Y75,main!$AO$4:$AQ$55,3,FALSE))</f>
        <v>0</v>
      </c>
      <c r="R75" s="12">
        <f>(VLOOKUP(main!Z75,main!$AO$4:$AQ$55,3,FALSE))</f>
        <v>0</v>
      </c>
      <c r="S75" s="12">
        <f>(VLOOKUP(main!AA75,main!$AO$4:$AQ$55,3,FALSE))</f>
        <v>0</v>
      </c>
      <c r="T75" s="12">
        <f>(VLOOKUP(main!AB75,main!$AO$4:$AQ$55,3,FALSE))</f>
        <v>0</v>
      </c>
      <c r="U75" s="12">
        <f>(VLOOKUP(main!AC75,main!$AO$4:$AQ$55,3,FALSE))</f>
        <v>0</v>
      </c>
      <c r="V75" s="12">
        <f>(VLOOKUP(main!AD75,main!$AO$4:$AQ$55,3,FALSE))</f>
        <v>0</v>
      </c>
      <c r="W75" s="13">
        <f>(VLOOKUP(main!AE75,main!$AO$4:$AQ$55,3,FALSE))</f>
        <v>0</v>
      </c>
      <c r="X75" s="13">
        <f>(VLOOKUP(main!AF75,main!$AO$4:$AQ$55,3,FALSE))</f>
        <v>0</v>
      </c>
    </row>
    <row r="76" spans="1:24">
      <c r="A76" s="12">
        <f>(VLOOKUP(main!I76,main!$AO$4:$AQ$55,3,FALSE))</f>
        <v>0</v>
      </c>
      <c r="B76" s="12">
        <f>(VLOOKUP(main!J76,main!$AO$4:$AQ$55,3,FALSE))</f>
        <v>0</v>
      </c>
      <c r="C76" s="12">
        <f>(VLOOKUP(main!K76,main!$AO$4:$AQ$55,3,FALSE))</f>
        <v>0</v>
      </c>
      <c r="D76" s="12">
        <f>(VLOOKUP(main!L76,main!$AO$4:$AQ$55,3,FALSE))</f>
        <v>0</v>
      </c>
      <c r="E76" s="12">
        <f>(VLOOKUP(main!M76,main!$AO$4:$AQ$55,3,FALSE))</f>
        <v>0</v>
      </c>
      <c r="F76" s="12">
        <f>(VLOOKUP(main!N76,main!$AO$4:$AQ$55,3,FALSE))</f>
        <v>0</v>
      </c>
      <c r="G76" s="13">
        <f>(VLOOKUP(main!O76,main!$AO$4:$AQ$55,3,FALSE))</f>
        <v>0</v>
      </c>
      <c r="H76" s="13">
        <f>(VLOOKUP(main!P76,main!$AO$4:$AQ$55,3,FALSE))</f>
        <v>0</v>
      </c>
      <c r="I76" s="12">
        <f>(VLOOKUP(main!Q76,main!$AO$4:$AQ$55,3,FALSE))</f>
        <v>0</v>
      </c>
      <c r="J76" s="12">
        <f>(VLOOKUP(main!R76,main!$AO$4:$AQ$55,3,FALSE))</f>
        <v>0</v>
      </c>
      <c r="K76" s="12">
        <f>(VLOOKUP(main!S76,main!$AO$4:$AQ$55,3,FALSE))</f>
        <v>0</v>
      </c>
      <c r="L76" s="12">
        <f>(VLOOKUP(main!T76,main!$AO$4:$AQ$55,3,FALSE))</f>
        <v>0</v>
      </c>
      <c r="M76" s="12">
        <f>(VLOOKUP(main!U76,main!$AO$4:$AQ$55,3,FALSE))</f>
        <v>0</v>
      </c>
      <c r="N76" s="12">
        <f>(VLOOKUP(main!V76,main!$AO$4:$AQ$55,3,FALSE))</f>
        <v>0</v>
      </c>
      <c r="O76" s="13">
        <f>(VLOOKUP(main!W76,main!$AO$4:$AQ$55,3,FALSE))</f>
        <v>0</v>
      </c>
      <c r="P76" s="13">
        <f>(VLOOKUP(main!X76,main!$AO$4:$AQ$55,3,FALSE))</f>
        <v>0</v>
      </c>
      <c r="Q76" s="12">
        <f>(VLOOKUP(main!Y76,main!$AO$4:$AQ$55,3,FALSE))</f>
        <v>0</v>
      </c>
      <c r="R76" s="12">
        <f>(VLOOKUP(main!Z76,main!$AO$4:$AQ$55,3,FALSE))</f>
        <v>0</v>
      </c>
      <c r="S76" s="12">
        <f>(VLOOKUP(main!AA76,main!$AO$4:$AQ$55,3,FALSE))</f>
        <v>0</v>
      </c>
      <c r="T76" s="12">
        <f>(VLOOKUP(main!AB76,main!$AO$4:$AQ$55,3,FALSE))</f>
        <v>0</v>
      </c>
      <c r="U76" s="12">
        <f>(VLOOKUP(main!AC76,main!$AO$4:$AQ$55,3,FALSE))</f>
        <v>0</v>
      </c>
      <c r="V76" s="12">
        <f>(VLOOKUP(main!AD76,main!$AO$4:$AQ$55,3,FALSE))</f>
        <v>0</v>
      </c>
      <c r="W76" s="13">
        <f>(VLOOKUP(main!AE76,main!$AO$4:$AQ$55,3,FALSE))</f>
        <v>0</v>
      </c>
      <c r="X76" s="13">
        <f>(VLOOKUP(main!AF76,main!$AO$4:$AQ$55,3,FALSE))</f>
        <v>0</v>
      </c>
    </row>
    <row r="77" spans="1:24">
      <c r="A77" s="12">
        <f>(VLOOKUP(main!I77,main!$AO$4:$AQ$55,3,FALSE))</f>
        <v>0</v>
      </c>
      <c r="B77" s="12">
        <f>(VLOOKUP(main!J77,main!$AO$4:$AQ$55,3,FALSE))</f>
        <v>0</v>
      </c>
      <c r="C77" s="12">
        <f>(VLOOKUP(main!K77,main!$AO$4:$AQ$55,3,FALSE))</f>
        <v>0</v>
      </c>
      <c r="D77" s="12">
        <f>(VLOOKUP(main!L77,main!$AO$4:$AQ$55,3,FALSE))</f>
        <v>0</v>
      </c>
      <c r="E77" s="12">
        <f>(VLOOKUP(main!M77,main!$AO$4:$AQ$55,3,FALSE))</f>
        <v>0</v>
      </c>
      <c r="F77" s="12">
        <f>(VLOOKUP(main!N77,main!$AO$4:$AQ$55,3,FALSE))</f>
        <v>0</v>
      </c>
      <c r="G77" s="13">
        <f>(VLOOKUP(main!O77,main!$AO$4:$AQ$55,3,FALSE))</f>
        <v>0</v>
      </c>
      <c r="H77" s="13">
        <f>(VLOOKUP(main!P77,main!$AO$4:$AQ$55,3,FALSE))</f>
        <v>0</v>
      </c>
      <c r="I77" s="12">
        <f>(VLOOKUP(main!Q77,main!$AO$4:$AQ$55,3,FALSE))</f>
        <v>0</v>
      </c>
      <c r="J77" s="12">
        <f>(VLOOKUP(main!R77,main!$AO$4:$AQ$55,3,FALSE))</f>
        <v>0</v>
      </c>
      <c r="K77" s="12">
        <f>(VLOOKUP(main!S77,main!$AO$4:$AQ$55,3,FALSE))</f>
        <v>0</v>
      </c>
      <c r="L77" s="12">
        <f>(VLOOKUP(main!T77,main!$AO$4:$AQ$55,3,FALSE))</f>
        <v>0</v>
      </c>
      <c r="M77" s="12">
        <f>(VLOOKUP(main!U77,main!$AO$4:$AQ$55,3,FALSE))</f>
        <v>0</v>
      </c>
      <c r="N77" s="12">
        <f>(VLOOKUP(main!V77,main!$AO$4:$AQ$55,3,FALSE))</f>
        <v>0</v>
      </c>
      <c r="O77" s="13">
        <f>(VLOOKUP(main!W77,main!$AO$4:$AQ$55,3,FALSE))</f>
        <v>0</v>
      </c>
      <c r="P77" s="13">
        <f>(VLOOKUP(main!X77,main!$AO$4:$AQ$55,3,FALSE))</f>
        <v>0</v>
      </c>
      <c r="Q77" s="12">
        <f>(VLOOKUP(main!Y77,main!$AO$4:$AQ$55,3,FALSE))</f>
        <v>0</v>
      </c>
      <c r="R77" s="12">
        <f>(VLOOKUP(main!Z77,main!$AO$4:$AQ$55,3,FALSE))</f>
        <v>0</v>
      </c>
      <c r="S77" s="12">
        <f>(VLOOKUP(main!AA77,main!$AO$4:$AQ$55,3,FALSE))</f>
        <v>0</v>
      </c>
      <c r="T77" s="12">
        <f>(VLOOKUP(main!AB77,main!$AO$4:$AQ$55,3,FALSE))</f>
        <v>0</v>
      </c>
      <c r="U77" s="12">
        <f>(VLOOKUP(main!AC77,main!$AO$4:$AQ$55,3,FALSE))</f>
        <v>0</v>
      </c>
      <c r="V77" s="12">
        <f>(VLOOKUP(main!AD77,main!$AO$4:$AQ$55,3,FALSE))</f>
        <v>0</v>
      </c>
      <c r="W77" s="13">
        <f>(VLOOKUP(main!AE77,main!$AO$4:$AQ$55,3,FALSE))</f>
        <v>0</v>
      </c>
      <c r="X77" s="13">
        <f>(VLOOKUP(main!AF77,main!$AO$4:$AQ$55,3,FALSE))</f>
        <v>0</v>
      </c>
    </row>
    <row r="78" spans="1:24">
      <c r="A78" s="12">
        <f>(VLOOKUP(main!I78,main!$AO$4:$AQ$55,3,FALSE))</f>
        <v>0</v>
      </c>
      <c r="B78" s="12">
        <f>(VLOOKUP(main!J78,main!$AO$4:$AQ$55,3,FALSE))</f>
        <v>0</v>
      </c>
      <c r="C78" s="12">
        <f>(VLOOKUP(main!K78,main!$AO$4:$AQ$55,3,FALSE))</f>
        <v>0</v>
      </c>
      <c r="D78" s="12">
        <f>(VLOOKUP(main!L78,main!$AO$4:$AQ$55,3,FALSE))</f>
        <v>0</v>
      </c>
      <c r="E78" s="12">
        <f>(VLOOKUP(main!M78,main!$AO$4:$AQ$55,3,FALSE))</f>
        <v>0</v>
      </c>
      <c r="F78" s="12">
        <f>(VLOOKUP(main!N78,main!$AO$4:$AQ$55,3,FALSE))</f>
        <v>0</v>
      </c>
      <c r="G78" s="13">
        <f>(VLOOKUP(main!O78,main!$AO$4:$AQ$55,3,FALSE))</f>
        <v>0</v>
      </c>
      <c r="H78" s="13">
        <f>(VLOOKUP(main!P78,main!$AO$4:$AQ$55,3,FALSE))</f>
        <v>0</v>
      </c>
      <c r="I78" s="12">
        <f>(VLOOKUP(main!Q78,main!$AO$4:$AQ$55,3,FALSE))</f>
        <v>0</v>
      </c>
      <c r="J78" s="12">
        <f>(VLOOKUP(main!R78,main!$AO$4:$AQ$55,3,FALSE))</f>
        <v>0</v>
      </c>
      <c r="K78" s="12">
        <f>(VLOOKUP(main!S78,main!$AO$4:$AQ$55,3,FALSE))</f>
        <v>0</v>
      </c>
      <c r="L78" s="12">
        <f>(VLOOKUP(main!T78,main!$AO$4:$AQ$55,3,FALSE))</f>
        <v>0</v>
      </c>
      <c r="M78" s="12">
        <f>(VLOOKUP(main!U78,main!$AO$4:$AQ$55,3,FALSE))</f>
        <v>0</v>
      </c>
      <c r="N78" s="12">
        <f>(VLOOKUP(main!V78,main!$AO$4:$AQ$55,3,FALSE))</f>
        <v>0</v>
      </c>
      <c r="O78" s="13">
        <f>(VLOOKUP(main!W78,main!$AO$4:$AQ$55,3,FALSE))</f>
        <v>0</v>
      </c>
      <c r="P78" s="13">
        <f>(VLOOKUP(main!X78,main!$AO$4:$AQ$55,3,FALSE))</f>
        <v>0</v>
      </c>
      <c r="Q78" s="12">
        <f>(VLOOKUP(main!Y78,main!$AO$4:$AQ$55,3,FALSE))</f>
        <v>0</v>
      </c>
      <c r="R78" s="12">
        <f>(VLOOKUP(main!Z78,main!$AO$4:$AQ$55,3,FALSE))</f>
        <v>0</v>
      </c>
      <c r="S78" s="12">
        <f>(VLOOKUP(main!AA78,main!$AO$4:$AQ$55,3,FALSE))</f>
        <v>0</v>
      </c>
      <c r="T78" s="12">
        <f>(VLOOKUP(main!AB78,main!$AO$4:$AQ$55,3,FALSE))</f>
        <v>0</v>
      </c>
      <c r="U78" s="12">
        <f>(VLOOKUP(main!AC78,main!$AO$4:$AQ$55,3,FALSE))</f>
        <v>0</v>
      </c>
      <c r="V78" s="12">
        <f>(VLOOKUP(main!AD78,main!$AO$4:$AQ$55,3,FALSE))</f>
        <v>0</v>
      </c>
      <c r="W78" s="13">
        <f>(VLOOKUP(main!AE78,main!$AO$4:$AQ$55,3,FALSE))</f>
        <v>0</v>
      </c>
      <c r="X78" s="13">
        <f>(VLOOKUP(main!AF78,main!$AO$4:$AQ$55,3,FALSE))</f>
        <v>0</v>
      </c>
    </row>
    <row r="79" spans="1:24">
      <c r="A79" s="12">
        <f>(VLOOKUP(main!I79,main!$AO$4:$AQ$55,3,FALSE))</f>
        <v>0</v>
      </c>
      <c r="B79" s="12">
        <f>(VLOOKUP(main!J79,main!$AO$4:$AQ$55,3,FALSE))</f>
        <v>0</v>
      </c>
      <c r="C79" s="12">
        <f>(VLOOKUP(main!K79,main!$AO$4:$AQ$55,3,FALSE))</f>
        <v>0</v>
      </c>
      <c r="D79" s="12">
        <f>(VLOOKUP(main!L79,main!$AO$4:$AQ$55,3,FALSE))</f>
        <v>0</v>
      </c>
      <c r="E79" s="12">
        <f>(VLOOKUP(main!M79,main!$AO$4:$AQ$55,3,FALSE))</f>
        <v>0</v>
      </c>
      <c r="F79" s="12">
        <f>(VLOOKUP(main!N79,main!$AO$4:$AQ$55,3,FALSE))</f>
        <v>0</v>
      </c>
      <c r="G79" s="13">
        <f>(VLOOKUP(main!O79,main!$AO$4:$AQ$55,3,FALSE))</f>
        <v>0</v>
      </c>
      <c r="H79" s="13">
        <f>(VLOOKUP(main!P79,main!$AO$4:$AQ$55,3,FALSE))</f>
        <v>0</v>
      </c>
      <c r="I79" s="12">
        <f>(VLOOKUP(main!Q79,main!$AO$4:$AQ$55,3,FALSE))</f>
        <v>0</v>
      </c>
      <c r="J79" s="12">
        <f>(VLOOKUP(main!R79,main!$AO$4:$AQ$55,3,FALSE))</f>
        <v>0</v>
      </c>
      <c r="K79" s="12">
        <f>(VLOOKUP(main!S79,main!$AO$4:$AQ$55,3,FALSE))</f>
        <v>0</v>
      </c>
      <c r="L79" s="12">
        <f>(VLOOKUP(main!T79,main!$AO$4:$AQ$55,3,FALSE))</f>
        <v>0</v>
      </c>
      <c r="M79" s="12">
        <f>(VLOOKUP(main!U79,main!$AO$4:$AQ$55,3,FALSE))</f>
        <v>0</v>
      </c>
      <c r="N79" s="12">
        <f>(VLOOKUP(main!V79,main!$AO$4:$AQ$55,3,FALSE))</f>
        <v>0</v>
      </c>
      <c r="O79" s="13">
        <f>(VLOOKUP(main!W79,main!$AO$4:$AQ$55,3,FALSE))</f>
        <v>0</v>
      </c>
      <c r="P79" s="13">
        <f>(VLOOKUP(main!X79,main!$AO$4:$AQ$55,3,FALSE))</f>
        <v>0</v>
      </c>
      <c r="Q79" s="12">
        <f>(VLOOKUP(main!Y79,main!$AO$4:$AQ$55,3,FALSE))</f>
        <v>0</v>
      </c>
      <c r="R79" s="12">
        <f>(VLOOKUP(main!Z79,main!$AO$4:$AQ$55,3,FALSE))</f>
        <v>0</v>
      </c>
      <c r="S79" s="12">
        <f>(VLOOKUP(main!AA79,main!$AO$4:$AQ$55,3,FALSE))</f>
        <v>0</v>
      </c>
      <c r="T79" s="12">
        <f>(VLOOKUP(main!AB79,main!$AO$4:$AQ$55,3,FALSE))</f>
        <v>0</v>
      </c>
      <c r="U79" s="12">
        <f>(VLOOKUP(main!AC79,main!$AO$4:$AQ$55,3,FALSE))</f>
        <v>0</v>
      </c>
      <c r="V79" s="12">
        <f>(VLOOKUP(main!AD79,main!$AO$4:$AQ$55,3,FALSE))</f>
        <v>0</v>
      </c>
      <c r="W79" s="13">
        <f>(VLOOKUP(main!AE79,main!$AO$4:$AQ$55,3,FALSE))</f>
        <v>0</v>
      </c>
      <c r="X79" s="13">
        <f>(VLOOKUP(main!AF79,main!$AO$4:$AQ$55,3,FALSE))</f>
        <v>0</v>
      </c>
    </row>
    <row r="80" spans="1:24">
      <c r="A80" s="12">
        <f>(VLOOKUP(main!I80,main!$AO$4:$AQ$55,3,FALSE))</f>
        <v>0</v>
      </c>
      <c r="B80" s="12">
        <f>(VLOOKUP(main!J80,main!$AO$4:$AQ$55,3,FALSE))</f>
        <v>0</v>
      </c>
      <c r="C80" s="12">
        <f>(VLOOKUP(main!K80,main!$AO$4:$AQ$55,3,FALSE))</f>
        <v>0</v>
      </c>
      <c r="D80" s="12">
        <f>(VLOOKUP(main!L80,main!$AO$4:$AQ$55,3,FALSE))</f>
        <v>0</v>
      </c>
      <c r="E80" s="12">
        <f>(VLOOKUP(main!M80,main!$AO$4:$AQ$55,3,FALSE))</f>
        <v>0</v>
      </c>
      <c r="F80" s="12">
        <f>(VLOOKUP(main!N80,main!$AO$4:$AQ$55,3,FALSE))</f>
        <v>0</v>
      </c>
      <c r="G80" s="13">
        <f>(VLOOKUP(main!O80,main!$AO$4:$AQ$55,3,FALSE))</f>
        <v>0</v>
      </c>
      <c r="H80" s="13">
        <f>(VLOOKUP(main!P80,main!$AO$4:$AQ$55,3,FALSE))</f>
        <v>0</v>
      </c>
      <c r="I80" s="12">
        <f>(VLOOKUP(main!Q80,main!$AO$4:$AQ$55,3,FALSE))</f>
        <v>0</v>
      </c>
      <c r="J80" s="12">
        <f>(VLOOKUP(main!R80,main!$AO$4:$AQ$55,3,FALSE))</f>
        <v>0</v>
      </c>
      <c r="K80" s="12">
        <f>(VLOOKUP(main!S80,main!$AO$4:$AQ$55,3,FALSE))</f>
        <v>0</v>
      </c>
      <c r="L80" s="12">
        <f>(VLOOKUP(main!T80,main!$AO$4:$AQ$55,3,FALSE))</f>
        <v>0</v>
      </c>
      <c r="M80" s="12">
        <f>(VLOOKUP(main!U80,main!$AO$4:$AQ$55,3,FALSE))</f>
        <v>0</v>
      </c>
      <c r="N80" s="12">
        <f>(VLOOKUP(main!V80,main!$AO$4:$AQ$55,3,FALSE))</f>
        <v>0</v>
      </c>
      <c r="O80" s="13">
        <f>(VLOOKUP(main!W80,main!$AO$4:$AQ$55,3,FALSE))</f>
        <v>0</v>
      </c>
      <c r="P80" s="13">
        <f>(VLOOKUP(main!X80,main!$AO$4:$AQ$55,3,FALSE))</f>
        <v>0</v>
      </c>
      <c r="Q80" s="12">
        <f>(VLOOKUP(main!Y80,main!$AO$4:$AQ$55,3,FALSE))</f>
        <v>0</v>
      </c>
      <c r="R80" s="12">
        <f>(VLOOKUP(main!Z80,main!$AO$4:$AQ$55,3,FALSE))</f>
        <v>0</v>
      </c>
      <c r="S80" s="12">
        <f>(VLOOKUP(main!AA80,main!$AO$4:$AQ$55,3,FALSE))</f>
        <v>0</v>
      </c>
      <c r="T80" s="12">
        <f>(VLOOKUP(main!AB80,main!$AO$4:$AQ$55,3,FALSE))</f>
        <v>0</v>
      </c>
      <c r="U80" s="12">
        <f>(VLOOKUP(main!AC80,main!$AO$4:$AQ$55,3,FALSE))</f>
        <v>0</v>
      </c>
      <c r="V80" s="12">
        <f>(VLOOKUP(main!AD80,main!$AO$4:$AQ$55,3,FALSE))</f>
        <v>0</v>
      </c>
      <c r="W80" s="13">
        <f>(VLOOKUP(main!AE80,main!$AO$4:$AQ$55,3,FALSE))</f>
        <v>0</v>
      </c>
      <c r="X80" s="13">
        <f>(VLOOKUP(main!AF80,main!$AO$4:$AQ$55,3,FALSE))</f>
        <v>0</v>
      </c>
    </row>
    <row r="81" spans="1:24">
      <c r="A81" s="12">
        <f>(VLOOKUP(main!I81,main!$AO$4:$AQ$55,3,FALSE))</f>
        <v>0</v>
      </c>
      <c r="B81" s="12">
        <f>(VLOOKUP(main!J81,main!$AO$4:$AQ$55,3,FALSE))</f>
        <v>0</v>
      </c>
      <c r="C81" s="12">
        <f>(VLOOKUP(main!K81,main!$AO$4:$AQ$55,3,FALSE))</f>
        <v>0</v>
      </c>
      <c r="D81" s="12">
        <f>(VLOOKUP(main!L81,main!$AO$4:$AQ$55,3,FALSE))</f>
        <v>0</v>
      </c>
      <c r="E81" s="12">
        <f>(VLOOKUP(main!M81,main!$AO$4:$AQ$55,3,FALSE))</f>
        <v>0</v>
      </c>
      <c r="F81" s="12">
        <f>(VLOOKUP(main!N81,main!$AO$4:$AQ$55,3,FALSE))</f>
        <v>0</v>
      </c>
      <c r="G81" s="13">
        <f>(VLOOKUP(main!O81,main!$AO$4:$AQ$55,3,FALSE))</f>
        <v>0</v>
      </c>
      <c r="H81" s="13">
        <f>(VLOOKUP(main!P81,main!$AO$4:$AQ$55,3,FALSE))</f>
        <v>0</v>
      </c>
      <c r="I81" s="12">
        <f>(VLOOKUP(main!Q81,main!$AO$4:$AQ$55,3,FALSE))</f>
        <v>0</v>
      </c>
      <c r="J81" s="12">
        <f>(VLOOKUP(main!R81,main!$AO$4:$AQ$55,3,FALSE))</f>
        <v>0</v>
      </c>
      <c r="K81" s="12">
        <f>(VLOOKUP(main!S81,main!$AO$4:$AQ$55,3,FALSE))</f>
        <v>0</v>
      </c>
      <c r="L81" s="12">
        <f>(VLOOKUP(main!T81,main!$AO$4:$AQ$55,3,FALSE))</f>
        <v>0</v>
      </c>
      <c r="M81" s="12">
        <f>(VLOOKUP(main!U81,main!$AO$4:$AQ$55,3,FALSE))</f>
        <v>0</v>
      </c>
      <c r="N81" s="12">
        <f>(VLOOKUP(main!V81,main!$AO$4:$AQ$55,3,FALSE))</f>
        <v>0</v>
      </c>
      <c r="O81" s="13">
        <f>(VLOOKUP(main!W81,main!$AO$4:$AQ$55,3,FALSE))</f>
        <v>0</v>
      </c>
      <c r="P81" s="13">
        <f>(VLOOKUP(main!X81,main!$AO$4:$AQ$55,3,FALSE))</f>
        <v>0</v>
      </c>
      <c r="Q81" s="12">
        <f>(VLOOKUP(main!Y81,main!$AO$4:$AQ$55,3,FALSE))</f>
        <v>0</v>
      </c>
      <c r="R81" s="12">
        <f>(VLOOKUP(main!Z81,main!$AO$4:$AQ$55,3,FALSE))</f>
        <v>0</v>
      </c>
      <c r="S81" s="12">
        <f>(VLOOKUP(main!AA81,main!$AO$4:$AQ$55,3,FALSE))</f>
        <v>0</v>
      </c>
      <c r="T81" s="12">
        <f>(VLOOKUP(main!AB81,main!$AO$4:$AQ$55,3,FALSE))</f>
        <v>0</v>
      </c>
      <c r="U81" s="12">
        <f>(VLOOKUP(main!AC81,main!$AO$4:$AQ$55,3,FALSE))</f>
        <v>0</v>
      </c>
      <c r="V81" s="12">
        <f>(VLOOKUP(main!AD81,main!$AO$4:$AQ$55,3,FALSE))</f>
        <v>0</v>
      </c>
      <c r="W81" s="13">
        <f>(VLOOKUP(main!AE81,main!$AO$4:$AQ$55,3,FALSE))</f>
        <v>0</v>
      </c>
      <c r="X81" s="13">
        <f>(VLOOKUP(main!AF81,main!$AO$4:$AQ$55,3,FALSE))</f>
        <v>0</v>
      </c>
    </row>
    <row r="82" spans="1:24">
      <c r="A82" s="12">
        <f>(VLOOKUP(main!I82,main!$AO$4:$AQ$55,3,FALSE))</f>
        <v>0</v>
      </c>
      <c r="B82" s="12">
        <f>(VLOOKUP(main!J82,main!$AO$4:$AQ$55,3,FALSE))</f>
        <v>0</v>
      </c>
      <c r="C82" s="12">
        <f>(VLOOKUP(main!K82,main!$AO$4:$AQ$55,3,FALSE))</f>
        <v>0</v>
      </c>
      <c r="D82" s="12">
        <f>(VLOOKUP(main!L82,main!$AO$4:$AQ$55,3,FALSE))</f>
        <v>0</v>
      </c>
      <c r="E82" s="12">
        <f>(VLOOKUP(main!M82,main!$AO$4:$AQ$55,3,FALSE))</f>
        <v>0</v>
      </c>
      <c r="F82" s="12">
        <f>(VLOOKUP(main!N82,main!$AO$4:$AQ$55,3,FALSE))</f>
        <v>0</v>
      </c>
      <c r="G82" s="13">
        <f>(VLOOKUP(main!O82,main!$AO$4:$AQ$55,3,FALSE))</f>
        <v>0</v>
      </c>
      <c r="H82" s="13">
        <f>(VLOOKUP(main!P82,main!$AO$4:$AQ$55,3,FALSE))</f>
        <v>0</v>
      </c>
      <c r="I82" s="12">
        <f>(VLOOKUP(main!Q82,main!$AO$4:$AQ$55,3,FALSE))</f>
        <v>0</v>
      </c>
      <c r="J82" s="12">
        <f>(VLOOKUP(main!R82,main!$AO$4:$AQ$55,3,FALSE))</f>
        <v>0</v>
      </c>
      <c r="K82" s="12">
        <f>(VLOOKUP(main!S82,main!$AO$4:$AQ$55,3,FALSE))</f>
        <v>0</v>
      </c>
      <c r="L82" s="12">
        <f>(VLOOKUP(main!T82,main!$AO$4:$AQ$55,3,FALSE))</f>
        <v>0</v>
      </c>
      <c r="M82" s="12">
        <f>(VLOOKUP(main!U82,main!$AO$4:$AQ$55,3,FALSE))</f>
        <v>0</v>
      </c>
      <c r="N82" s="12">
        <f>(VLOOKUP(main!V82,main!$AO$4:$AQ$55,3,FALSE))</f>
        <v>0</v>
      </c>
      <c r="O82" s="13">
        <f>(VLOOKUP(main!W82,main!$AO$4:$AQ$55,3,FALSE))</f>
        <v>0</v>
      </c>
      <c r="P82" s="13">
        <f>(VLOOKUP(main!X82,main!$AO$4:$AQ$55,3,FALSE))</f>
        <v>0</v>
      </c>
      <c r="Q82" s="12">
        <f>(VLOOKUP(main!Y82,main!$AO$4:$AQ$55,3,FALSE))</f>
        <v>0</v>
      </c>
      <c r="R82" s="12">
        <f>(VLOOKUP(main!Z82,main!$AO$4:$AQ$55,3,FALSE))</f>
        <v>0</v>
      </c>
      <c r="S82" s="12">
        <f>(VLOOKUP(main!AA82,main!$AO$4:$AQ$55,3,FALSE))</f>
        <v>0</v>
      </c>
      <c r="T82" s="12">
        <f>(VLOOKUP(main!AB82,main!$AO$4:$AQ$55,3,FALSE))</f>
        <v>0</v>
      </c>
      <c r="U82" s="12">
        <f>(VLOOKUP(main!AC82,main!$AO$4:$AQ$55,3,FALSE))</f>
        <v>0</v>
      </c>
      <c r="V82" s="12">
        <f>(VLOOKUP(main!AD82,main!$AO$4:$AQ$55,3,FALSE))</f>
        <v>0</v>
      </c>
      <c r="W82" s="13">
        <f>(VLOOKUP(main!AE82,main!$AO$4:$AQ$55,3,FALSE))</f>
        <v>0</v>
      </c>
      <c r="X82" s="13">
        <f>(VLOOKUP(main!AF82,main!$AO$4:$AQ$55,3,FALSE))</f>
        <v>0</v>
      </c>
    </row>
    <row r="83" spans="1:24">
      <c r="A83" s="12">
        <f>(VLOOKUP(main!I83,main!$AO$4:$AQ$55,3,FALSE))</f>
        <v>0</v>
      </c>
      <c r="B83" s="12">
        <f>(VLOOKUP(main!J83,main!$AO$4:$AQ$55,3,FALSE))</f>
        <v>0</v>
      </c>
      <c r="C83" s="12">
        <f>(VLOOKUP(main!K83,main!$AO$4:$AQ$55,3,FALSE))</f>
        <v>0</v>
      </c>
      <c r="D83" s="12">
        <f>(VLOOKUP(main!L83,main!$AO$4:$AQ$55,3,FALSE))</f>
        <v>0</v>
      </c>
      <c r="E83" s="12">
        <f>(VLOOKUP(main!M83,main!$AO$4:$AQ$55,3,FALSE))</f>
        <v>0</v>
      </c>
      <c r="F83" s="12">
        <f>(VLOOKUP(main!N83,main!$AO$4:$AQ$55,3,FALSE))</f>
        <v>0</v>
      </c>
      <c r="G83" s="13">
        <f>(VLOOKUP(main!O83,main!$AO$4:$AQ$55,3,FALSE))</f>
        <v>0</v>
      </c>
      <c r="H83" s="13">
        <f>(VLOOKUP(main!P83,main!$AO$4:$AQ$55,3,FALSE))</f>
        <v>0</v>
      </c>
      <c r="I83" s="12">
        <f>(VLOOKUP(main!Q83,main!$AO$4:$AQ$55,3,FALSE))</f>
        <v>0</v>
      </c>
      <c r="J83" s="12">
        <f>(VLOOKUP(main!R83,main!$AO$4:$AQ$55,3,FALSE))</f>
        <v>0</v>
      </c>
      <c r="K83" s="12">
        <f>(VLOOKUP(main!S83,main!$AO$4:$AQ$55,3,FALSE))</f>
        <v>0</v>
      </c>
      <c r="L83" s="12">
        <f>(VLOOKUP(main!T83,main!$AO$4:$AQ$55,3,FALSE))</f>
        <v>0</v>
      </c>
      <c r="M83" s="12">
        <f>(VLOOKUP(main!U83,main!$AO$4:$AQ$55,3,FALSE))</f>
        <v>0</v>
      </c>
      <c r="N83" s="12">
        <f>(VLOOKUP(main!V83,main!$AO$4:$AQ$55,3,FALSE))</f>
        <v>0</v>
      </c>
      <c r="O83" s="13">
        <f>(VLOOKUP(main!W83,main!$AO$4:$AQ$55,3,FALSE))</f>
        <v>0</v>
      </c>
      <c r="P83" s="13">
        <f>(VLOOKUP(main!X83,main!$AO$4:$AQ$55,3,FALSE))</f>
        <v>0</v>
      </c>
      <c r="Q83" s="12">
        <f>(VLOOKUP(main!Y83,main!$AO$4:$AQ$55,3,FALSE))</f>
        <v>0</v>
      </c>
      <c r="R83" s="12">
        <f>(VLOOKUP(main!Z83,main!$AO$4:$AQ$55,3,FALSE))</f>
        <v>0</v>
      </c>
      <c r="S83" s="12">
        <f>(VLOOKUP(main!AA83,main!$AO$4:$AQ$55,3,FALSE))</f>
        <v>0</v>
      </c>
      <c r="T83" s="12">
        <f>(VLOOKUP(main!AB83,main!$AO$4:$AQ$55,3,FALSE))</f>
        <v>0</v>
      </c>
      <c r="U83" s="12">
        <f>(VLOOKUP(main!AC83,main!$AO$4:$AQ$55,3,FALSE))</f>
        <v>0</v>
      </c>
      <c r="V83" s="12">
        <f>(VLOOKUP(main!AD83,main!$AO$4:$AQ$55,3,FALSE))</f>
        <v>0</v>
      </c>
      <c r="W83" s="13">
        <f>(VLOOKUP(main!AE83,main!$AO$4:$AQ$55,3,FALSE))</f>
        <v>0</v>
      </c>
      <c r="X83" s="13">
        <f>(VLOOKUP(main!AF83,main!$AO$4:$AQ$55,3,FALSE))</f>
        <v>0</v>
      </c>
    </row>
    <row r="84" spans="1:24">
      <c r="A84" s="12">
        <f>(VLOOKUP(main!I84,main!$AO$4:$AQ$55,3,FALSE))</f>
        <v>0</v>
      </c>
      <c r="B84" s="12">
        <f>(VLOOKUP(main!J84,main!$AO$4:$AQ$55,3,FALSE))</f>
        <v>0</v>
      </c>
      <c r="C84" s="12">
        <f>(VLOOKUP(main!K84,main!$AO$4:$AQ$55,3,FALSE))</f>
        <v>0</v>
      </c>
      <c r="D84" s="12">
        <f>(VLOOKUP(main!L84,main!$AO$4:$AQ$55,3,FALSE))</f>
        <v>0</v>
      </c>
      <c r="E84" s="12">
        <f>(VLOOKUP(main!M84,main!$AO$4:$AQ$55,3,FALSE))</f>
        <v>0</v>
      </c>
      <c r="F84" s="12">
        <f>(VLOOKUP(main!N84,main!$AO$4:$AQ$55,3,FALSE))</f>
        <v>0</v>
      </c>
      <c r="G84" s="13">
        <f>(VLOOKUP(main!O84,main!$AO$4:$AQ$55,3,FALSE))</f>
        <v>0</v>
      </c>
      <c r="H84" s="13">
        <f>(VLOOKUP(main!P84,main!$AO$4:$AQ$55,3,FALSE))</f>
        <v>0</v>
      </c>
      <c r="I84" s="12">
        <f>(VLOOKUP(main!Q84,main!$AO$4:$AQ$55,3,FALSE))</f>
        <v>0</v>
      </c>
      <c r="J84" s="12">
        <f>(VLOOKUP(main!R84,main!$AO$4:$AQ$55,3,FALSE))</f>
        <v>0</v>
      </c>
      <c r="K84" s="12">
        <f>(VLOOKUP(main!S84,main!$AO$4:$AQ$55,3,FALSE))</f>
        <v>0</v>
      </c>
      <c r="L84" s="12">
        <f>(VLOOKUP(main!T84,main!$AO$4:$AQ$55,3,FALSE))</f>
        <v>0</v>
      </c>
      <c r="M84" s="12">
        <f>(VLOOKUP(main!U84,main!$AO$4:$AQ$55,3,FALSE))</f>
        <v>0</v>
      </c>
      <c r="N84" s="12">
        <f>(VLOOKUP(main!V84,main!$AO$4:$AQ$55,3,FALSE))</f>
        <v>0</v>
      </c>
      <c r="O84" s="13">
        <f>(VLOOKUP(main!W84,main!$AO$4:$AQ$55,3,FALSE))</f>
        <v>0</v>
      </c>
      <c r="P84" s="13">
        <f>(VLOOKUP(main!X84,main!$AO$4:$AQ$55,3,FALSE))</f>
        <v>0</v>
      </c>
      <c r="Q84" s="12">
        <f>(VLOOKUP(main!Y84,main!$AO$4:$AQ$55,3,FALSE))</f>
        <v>0</v>
      </c>
      <c r="R84" s="12">
        <f>(VLOOKUP(main!Z84,main!$AO$4:$AQ$55,3,FALSE))</f>
        <v>0</v>
      </c>
      <c r="S84" s="12">
        <f>(VLOOKUP(main!AA84,main!$AO$4:$AQ$55,3,FALSE))</f>
        <v>0</v>
      </c>
      <c r="T84" s="12">
        <f>(VLOOKUP(main!AB84,main!$AO$4:$AQ$55,3,FALSE))</f>
        <v>0</v>
      </c>
      <c r="U84" s="12">
        <f>(VLOOKUP(main!AC84,main!$AO$4:$AQ$55,3,FALSE))</f>
        <v>0</v>
      </c>
      <c r="V84" s="12">
        <f>(VLOOKUP(main!AD84,main!$AO$4:$AQ$55,3,FALSE))</f>
        <v>0</v>
      </c>
      <c r="W84" s="13">
        <f>(VLOOKUP(main!AE84,main!$AO$4:$AQ$55,3,FALSE))</f>
        <v>0</v>
      </c>
      <c r="X84" s="13">
        <f>(VLOOKUP(main!AF84,main!$AO$4:$AQ$55,3,FALSE))</f>
        <v>0</v>
      </c>
    </row>
    <row r="85" spans="1:24">
      <c r="A85" s="12">
        <f>(VLOOKUP(main!I85,main!$AO$4:$AQ$55,3,FALSE))</f>
        <v>0</v>
      </c>
      <c r="B85" s="12">
        <f>(VLOOKUP(main!J85,main!$AO$4:$AQ$55,3,FALSE))</f>
        <v>0</v>
      </c>
      <c r="C85" s="12">
        <f>(VLOOKUP(main!K85,main!$AO$4:$AQ$55,3,FALSE))</f>
        <v>0</v>
      </c>
      <c r="D85" s="12">
        <f>(VLOOKUP(main!L85,main!$AO$4:$AQ$55,3,FALSE))</f>
        <v>0</v>
      </c>
      <c r="E85" s="12">
        <f>(VLOOKUP(main!M85,main!$AO$4:$AQ$55,3,FALSE))</f>
        <v>0</v>
      </c>
      <c r="F85" s="12">
        <f>(VLOOKUP(main!N85,main!$AO$4:$AQ$55,3,FALSE))</f>
        <v>0</v>
      </c>
      <c r="G85" s="13">
        <f>(VLOOKUP(main!O85,main!$AO$4:$AQ$55,3,FALSE))</f>
        <v>0</v>
      </c>
      <c r="H85" s="13">
        <f>(VLOOKUP(main!P85,main!$AO$4:$AQ$55,3,FALSE))</f>
        <v>0</v>
      </c>
      <c r="I85" s="12">
        <f>(VLOOKUP(main!Q85,main!$AO$4:$AQ$55,3,FALSE))</f>
        <v>0</v>
      </c>
      <c r="J85" s="12">
        <f>(VLOOKUP(main!R85,main!$AO$4:$AQ$55,3,FALSE))</f>
        <v>0</v>
      </c>
      <c r="K85" s="12">
        <f>(VLOOKUP(main!S85,main!$AO$4:$AQ$55,3,FALSE))</f>
        <v>0</v>
      </c>
      <c r="L85" s="12">
        <f>(VLOOKUP(main!T85,main!$AO$4:$AQ$55,3,FALSE))</f>
        <v>0</v>
      </c>
      <c r="M85" s="12">
        <f>(VLOOKUP(main!U85,main!$AO$4:$AQ$55,3,FALSE))</f>
        <v>0</v>
      </c>
      <c r="N85" s="12">
        <f>(VLOOKUP(main!V85,main!$AO$4:$AQ$55,3,FALSE))</f>
        <v>0</v>
      </c>
      <c r="O85" s="13">
        <f>(VLOOKUP(main!W85,main!$AO$4:$AQ$55,3,FALSE))</f>
        <v>0</v>
      </c>
      <c r="P85" s="13">
        <f>(VLOOKUP(main!X85,main!$AO$4:$AQ$55,3,FALSE))</f>
        <v>0</v>
      </c>
      <c r="Q85" s="12">
        <f>(VLOOKUP(main!Y85,main!$AO$4:$AQ$55,3,FALSE))</f>
        <v>0</v>
      </c>
      <c r="R85" s="12">
        <f>(VLOOKUP(main!Z85,main!$AO$4:$AQ$55,3,FALSE))</f>
        <v>0</v>
      </c>
      <c r="S85" s="12">
        <f>(VLOOKUP(main!AA85,main!$AO$4:$AQ$55,3,FALSE))</f>
        <v>0</v>
      </c>
      <c r="T85" s="12">
        <f>(VLOOKUP(main!AB85,main!$AO$4:$AQ$55,3,FALSE))</f>
        <v>0</v>
      </c>
      <c r="U85" s="12">
        <f>(VLOOKUP(main!AC85,main!$AO$4:$AQ$55,3,FALSE))</f>
        <v>0</v>
      </c>
      <c r="V85" s="12">
        <f>(VLOOKUP(main!AD85,main!$AO$4:$AQ$55,3,FALSE))</f>
        <v>0</v>
      </c>
      <c r="W85" s="13">
        <f>(VLOOKUP(main!AE85,main!$AO$4:$AQ$55,3,FALSE))</f>
        <v>0</v>
      </c>
      <c r="X85" s="13">
        <f>(VLOOKUP(main!AF85,main!$AO$4:$AQ$55,3,FALSE))</f>
        <v>0</v>
      </c>
    </row>
    <row r="86" spans="1:24">
      <c r="A86" s="12">
        <f>(VLOOKUP(main!I86,main!$AO$4:$AQ$55,3,FALSE))</f>
        <v>0</v>
      </c>
      <c r="B86" s="12">
        <f>(VLOOKUP(main!J86,main!$AO$4:$AQ$55,3,FALSE))</f>
        <v>0</v>
      </c>
      <c r="C86" s="12">
        <f>(VLOOKUP(main!K86,main!$AO$4:$AQ$55,3,FALSE))</f>
        <v>0</v>
      </c>
      <c r="D86" s="12">
        <f>(VLOOKUP(main!L86,main!$AO$4:$AQ$55,3,FALSE))</f>
        <v>0</v>
      </c>
      <c r="E86" s="12">
        <f>(VLOOKUP(main!M86,main!$AO$4:$AQ$55,3,FALSE))</f>
        <v>0</v>
      </c>
      <c r="F86" s="12">
        <f>(VLOOKUP(main!N86,main!$AO$4:$AQ$55,3,FALSE))</f>
        <v>0</v>
      </c>
      <c r="G86" s="13">
        <f>(VLOOKUP(main!O86,main!$AO$4:$AQ$55,3,FALSE))</f>
        <v>0</v>
      </c>
      <c r="H86" s="13">
        <f>(VLOOKUP(main!P86,main!$AO$4:$AQ$55,3,FALSE))</f>
        <v>0</v>
      </c>
      <c r="I86" s="12">
        <f>(VLOOKUP(main!Q86,main!$AO$4:$AQ$55,3,FALSE))</f>
        <v>0</v>
      </c>
      <c r="J86" s="12">
        <f>(VLOOKUP(main!R86,main!$AO$4:$AQ$55,3,FALSE))</f>
        <v>0</v>
      </c>
      <c r="K86" s="12">
        <f>(VLOOKUP(main!S86,main!$AO$4:$AQ$55,3,FALSE))</f>
        <v>0</v>
      </c>
      <c r="L86" s="12">
        <f>(VLOOKUP(main!T86,main!$AO$4:$AQ$55,3,FALSE))</f>
        <v>0</v>
      </c>
      <c r="M86" s="12">
        <f>(VLOOKUP(main!U86,main!$AO$4:$AQ$55,3,FALSE))</f>
        <v>0</v>
      </c>
      <c r="N86" s="12">
        <f>(VLOOKUP(main!V86,main!$AO$4:$AQ$55,3,FALSE))</f>
        <v>0</v>
      </c>
      <c r="O86" s="13">
        <f>(VLOOKUP(main!W86,main!$AO$4:$AQ$55,3,FALSE))</f>
        <v>0</v>
      </c>
      <c r="P86" s="13">
        <f>(VLOOKUP(main!X86,main!$AO$4:$AQ$55,3,FALSE))</f>
        <v>0</v>
      </c>
      <c r="Q86" s="12">
        <f>(VLOOKUP(main!Y86,main!$AO$4:$AQ$55,3,FALSE))</f>
        <v>0</v>
      </c>
      <c r="R86" s="12">
        <f>(VLOOKUP(main!Z86,main!$AO$4:$AQ$55,3,FALSE))</f>
        <v>0</v>
      </c>
      <c r="S86" s="12">
        <f>(VLOOKUP(main!AA86,main!$AO$4:$AQ$55,3,FALSE))</f>
        <v>0</v>
      </c>
      <c r="T86" s="12">
        <f>(VLOOKUP(main!AB86,main!$AO$4:$AQ$55,3,FALSE))</f>
        <v>0</v>
      </c>
      <c r="U86" s="12">
        <f>(VLOOKUP(main!AC86,main!$AO$4:$AQ$55,3,FALSE))</f>
        <v>0</v>
      </c>
      <c r="V86" s="12">
        <f>(VLOOKUP(main!AD86,main!$AO$4:$AQ$55,3,FALSE))</f>
        <v>0</v>
      </c>
      <c r="W86" s="13">
        <f>(VLOOKUP(main!AE86,main!$AO$4:$AQ$55,3,FALSE))</f>
        <v>0</v>
      </c>
      <c r="X86" s="13">
        <f>(VLOOKUP(main!AF86,main!$AO$4:$AQ$55,3,FALSE))</f>
        <v>0</v>
      </c>
    </row>
    <row r="87" spans="1:24">
      <c r="A87" s="12">
        <f>(VLOOKUP(main!I87,main!$AO$4:$AQ$55,3,FALSE))</f>
        <v>0</v>
      </c>
      <c r="B87" s="12">
        <f>(VLOOKUP(main!J87,main!$AO$4:$AQ$55,3,FALSE))</f>
        <v>0</v>
      </c>
      <c r="C87" s="12">
        <f>(VLOOKUP(main!K87,main!$AO$4:$AQ$55,3,FALSE))</f>
        <v>0</v>
      </c>
      <c r="D87" s="12">
        <f>(VLOOKUP(main!L87,main!$AO$4:$AQ$55,3,FALSE))</f>
        <v>0</v>
      </c>
      <c r="E87" s="12">
        <f>(VLOOKUP(main!M87,main!$AO$4:$AQ$55,3,FALSE))</f>
        <v>0</v>
      </c>
      <c r="F87" s="12">
        <f>(VLOOKUP(main!N87,main!$AO$4:$AQ$55,3,FALSE))</f>
        <v>0</v>
      </c>
      <c r="G87" s="13">
        <f>(VLOOKUP(main!O87,main!$AO$4:$AQ$55,3,FALSE))</f>
        <v>0</v>
      </c>
      <c r="H87" s="13">
        <f>(VLOOKUP(main!P87,main!$AO$4:$AQ$55,3,FALSE))</f>
        <v>0</v>
      </c>
      <c r="I87" s="12">
        <f>(VLOOKUP(main!Q87,main!$AO$4:$AQ$55,3,FALSE))</f>
        <v>0</v>
      </c>
      <c r="J87" s="12">
        <f>(VLOOKUP(main!R87,main!$AO$4:$AQ$55,3,FALSE))</f>
        <v>0</v>
      </c>
      <c r="K87" s="12">
        <f>(VLOOKUP(main!S87,main!$AO$4:$AQ$55,3,FALSE))</f>
        <v>0</v>
      </c>
      <c r="L87" s="12">
        <f>(VLOOKUP(main!T87,main!$AO$4:$AQ$55,3,FALSE))</f>
        <v>0</v>
      </c>
      <c r="M87" s="12">
        <f>(VLOOKUP(main!U87,main!$AO$4:$AQ$55,3,FALSE))</f>
        <v>0</v>
      </c>
      <c r="N87" s="12">
        <f>(VLOOKUP(main!V87,main!$AO$4:$AQ$55,3,FALSE))</f>
        <v>0</v>
      </c>
      <c r="O87" s="13">
        <f>(VLOOKUP(main!W87,main!$AO$4:$AQ$55,3,FALSE))</f>
        <v>0</v>
      </c>
      <c r="P87" s="13">
        <f>(VLOOKUP(main!X87,main!$AO$4:$AQ$55,3,FALSE))</f>
        <v>0</v>
      </c>
      <c r="Q87" s="12">
        <f>(VLOOKUP(main!Y87,main!$AO$4:$AQ$55,3,FALSE))</f>
        <v>0</v>
      </c>
      <c r="R87" s="12">
        <f>(VLOOKUP(main!Z87,main!$AO$4:$AQ$55,3,FALSE))</f>
        <v>0</v>
      </c>
      <c r="S87" s="12">
        <f>(VLOOKUP(main!AA87,main!$AO$4:$AQ$55,3,FALSE))</f>
        <v>0</v>
      </c>
      <c r="T87" s="12">
        <f>(VLOOKUP(main!AB87,main!$AO$4:$AQ$55,3,FALSE))</f>
        <v>0</v>
      </c>
      <c r="U87" s="12">
        <f>(VLOOKUP(main!AC87,main!$AO$4:$AQ$55,3,FALSE))</f>
        <v>0</v>
      </c>
      <c r="V87" s="12">
        <f>(VLOOKUP(main!AD87,main!$AO$4:$AQ$55,3,FALSE))</f>
        <v>0</v>
      </c>
      <c r="W87" s="13">
        <f>(VLOOKUP(main!AE87,main!$AO$4:$AQ$55,3,FALSE))</f>
        <v>0</v>
      </c>
      <c r="X87" s="13">
        <f>(VLOOKUP(main!AF87,main!$AO$4:$AQ$55,3,FALSE))</f>
        <v>0</v>
      </c>
    </row>
    <row r="88" spans="1:24">
      <c r="A88" s="12">
        <f>(VLOOKUP(main!I88,main!$AO$4:$AQ$55,3,FALSE))</f>
        <v>0</v>
      </c>
      <c r="B88" s="12">
        <f>(VLOOKUP(main!J88,main!$AO$4:$AQ$55,3,FALSE))</f>
        <v>0</v>
      </c>
      <c r="C88" s="12">
        <f>(VLOOKUP(main!K88,main!$AO$4:$AQ$55,3,FALSE))</f>
        <v>0</v>
      </c>
      <c r="D88" s="12">
        <f>(VLOOKUP(main!L88,main!$AO$4:$AQ$55,3,FALSE))</f>
        <v>0</v>
      </c>
      <c r="E88" s="12">
        <f>(VLOOKUP(main!M88,main!$AO$4:$AQ$55,3,FALSE))</f>
        <v>0</v>
      </c>
      <c r="F88" s="12">
        <f>(VLOOKUP(main!N88,main!$AO$4:$AQ$55,3,FALSE))</f>
        <v>0</v>
      </c>
      <c r="G88" s="13">
        <f>(VLOOKUP(main!O88,main!$AO$4:$AQ$55,3,FALSE))</f>
        <v>0</v>
      </c>
      <c r="H88" s="13">
        <f>(VLOOKUP(main!P88,main!$AO$4:$AQ$55,3,FALSE))</f>
        <v>0</v>
      </c>
      <c r="I88" s="12">
        <f>(VLOOKUP(main!Q88,main!$AO$4:$AQ$55,3,FALSE))</f>
        <v>0</v>
      </c>
      <c r="J88" s="12">
        <f>(VLOOKUP(main!R88,main!$AO$4:$AQ$55,3,FALSE))</f>
        <v>0</v>
      </c>
      <c r="K88" s="12">
        <f>(VLOOKUP(main!S88,main!$AO$4:$AQ$55,3,FALSE))</f>
        <v>0</v>
      </c>
      <c r="L88" s="12">
        <f>(VLOOKUP(main!T88,main!$AO$4:$AQ$55,3,FALSE))</f>
        <v>0</v>
      </c>
      <c r="M88" s="12">
        <f>(VLOOKUP(main!U88,main!$AO$4:$AQ$55,3,FALSE))</f>
        <v>0</v>
      </c>
      <c r="N88" s="12">
        <f>(VLOOKUP(main!V88,main!$AO$4:$AQ$55,3,FALSE))</f>
        <v>0</v>
      </c>
      <c r="O88" s="13">
        <f>(VLOOKUP(main!W88,main!$AO$4:$AQ$55,3,FALSE))</f>
        <v>0</v>
      </c>
      <c r="P88" s="13">
        <f>(VLOOKUP(main!X88,main!$AO$4:$AQ$55,3,FALSE))</f>
        <v>0</v>
      </c>
      <c r="Q88" s="12">
        <f>(VLOOKUP(main!Y88,main!$AO$4:$AQ$55,3,FALSE))</f>
        <v>0</v>
      </c>
      <c r="R88" s="12">
        <f>(VLOOKUP(main!Z88,main!$AO$4:$AQ$55,3,FALSE))</f>
        <v>0</v>
      </c>
      <c r="S88" s="12">
        <f>(VLOOKUP(main!AA88,main!$AO$4:$AQ$55,3,FALSE))</f>
        <v>0</v>
      </c>
      <c r="T88" s="12">
        <f>(VLOOKUP(main!AB88,main!$AO$4:$AQ$55,3,FALSE))</f>
        <v>0</v>
      </c>
      <c r="U88" s="12">
        <f>(VLOOKUP(main!AC88,main!$AO$4:$AQ$55,3,FALSE))</f>
        <v>0</v>
      </c>
      <c r="V88" s="12">
        <f>(VLOOKUP(main!AD88,main!$AO$4:$AQ$55,3,FALSE))</f>
        <v>0</v>
      </c>
      <c r="W88" s="13">
        <f>(VLOOKUP(main!AE88,main!$AO$4:$AQ$55,3,FALSE))</f>
        <v>0</v>
      </c>
      <c r="X88" s="13">
        <f>(VLOOKUP(main!AF88,main!$AO$4:$AQ$55,3,FALSE))</f>
        <v>0</v>
      </c>
    </row>
    <row r="89" spans="1:24">
      <c r="A89" s="12">
        <f>(VLOOKUP(main!I89,main!$AO$4:$AQ$55,3,FALSE))</f>
        <v>0</v>
      </c>
      <c r="B89" s="12">
        <f>(VLOOKUP(main!J89,main!$AO$4:$AQ$55,3,FALSE))</f>
        <v>0</v>
      </c>
      <c r="C89" s="12">
        <f>(VLOOKUP(main!K89,main!$AO$4:$AQ$55,3,FALSE))</f>
        <v>0</v>
      </c>
      <c r="D89" s="12">
        <f>(VLOOKUP(main!L89,main!$AO$4:$AQ$55,3,FALSE))</f>
        <v>0</v>
      </c>
      <c r="E89" s="12">
        <f>(VLOOKUP(main!M89,main!$AO$4:$AQ$55,3,FALSE))</f>
        <v>0</v>
      </c>
      <c r="F89" s="12">
        <f>(VLOOKUP(main!N89,main!$AO$4:$AQ$55,3,FALSE))</f>
        <v>0</v>
      </c>
      <c r="G89" s="13">
        <f>(VLOOKUP(main!O89,main!$AO$4:$AQ$55,3,FALSE))</f>
        <v>0</v>
      </c>
      <c r="H89" s="13">
        <f>(VLOOKUP(main!P89,main!$AO$4:$AQ$55,3,FALSE))</f>
        <v>0</v>
      </c>
      <c r="I89" s="12">
        <f>(VLOOKUP(main!Q89,main!$AO$4:$AQ$55,3,FALSE))</f>
        <v>0</v>
      </c>
      <c r="J89" s="12">
        <f>(VLOOKUP(main!R89,main!$AO$4:$AQ$55,3,FALSE))</f>
        <v>0</v>
      </c>
      <c r="K89" s="12">
        <f>(VLOOKUP(main!S89,main!$AO$4:$AQ$55,3,FALSE))</f>
        <v>0</v>
      </c>
      <c r="L89" s="12">
        <f>(VLOOKUP(main!T89,main!$AO$4:$AQ$55,3,FALSE))</f>
        <v>0</v>
      </c>
      <c r="M89" s="12">
        <f>(VLOOKUP(main!U89,main!$AO$4:$AQ$55,3,FALSE))</f>
        <v>0</v>
      </c>
      <c r="N89" s="12">
        <f>(VLOOKUP(main!V89,main!$AO$4:$AQ$55,3,FALSE))</f>
        <v>0</v>
      </c>
      <c r="O89" s="13">
        <f>(VLOOKUP(main!W89,main!$AO$4:$AQ$55,3,FALSE))</f>
        <v>0</v>
      </c>
      <c r="P89" s="13">
        <f>(VLOOKUP(main!X89,main!$AO$4:$AQ$55,3,FALSE))</f>
        <v>0</v>
      </c>
      <c r="Q89" s="12">
        <f>(VLOOKUP(main!Y89,main!$AO$4:$AQ$55,3,FALSE))</f>
        <v>0</v>
      </c>
      <c r="R89" s="12">
        <f>(VLOOKUP(main!Z89,main!$AO$4:$AQ$55,3,FALSE))</f>
        <v>0</v>
      </c>
      <c r="S89" s="12">
        <f>(VLOOKUP(main!AA89,main!$AO$4:$AQ$55,3,FALSE))</f>
        <v>0</v>
      </c>
      <c r="T89" s="12">
        <f>(VLOOKUP(main!AB89,main!$AO$4:$AQ$55,3,FALSE))</f>
        <v>0</v>
      </c>
      <c r="U89" s="12">
        <f>(VLOOKUP(main!AC89,main!$AO$4:$AQ$55,3,FALSE))</f>
        <v>0</v>
      </c>
      <c r="V89" s="12">
        <f>(VLOOKUP(main!AD89,main!$AO$4:$AQ$55,3,FALSE))</f>
        <v>0</v>
      </c>
      <c r="W89" s="13">
        <f>(VLOOKUP(main!AE89,main!$AO$4:$AQ$55,3,FALSE))</f>
        <v>0</v>
      </c>
      <c r="X89" s="13">
        <f>(VLOOKUP(main!AF89,main!$AO$4:$AQ$55,3,FALSE))</f>
        <v>0</v>
      </c>
    </row>
    <row r="90" spans="1:24">
      <c r="A90" s="12">
        <f>(VLOOKUP(main!I90,main!$AO$4:$AQ$55,3,FALSE))</f>
        <v>0</v>
      </c>
      <c r="B90" s="12">
        <f>(VLOOKUP(main!J90,main!$AO$4:$AQ$55,3,FALSE))</f>
        <v>0</v>
      </c>
      <c r="C90" s="12">
        <f>(VLOOKUP(main!K90,main!$AO$4:$AQ$55,3,FALSE))</f>
        <v>0</v>
      </c>
      <c r="D90" s="12">
        <f>(VLOOKUP(main!L90,main!$AO$4:$AQ$55,3,FALSE))</f>
        <v>0</v>
      </c>
      <c r="E90" s="12">
        <f>(VLOOKUP(main!M90,main!$AO$4:$AQ$55,3,FALSE))</f>
        <v>0</v>
      </c>
      <c r="F90" s="12">
        <f>(VLOOKUP(main!N90,main!$AO$4:$AQ$55,3,FALSE))</f>
        <v>0</v>
      </c>
      <c r="G90" s="13">
        <f>(VLOOKUP(main!O90,main!$AO$4:$AQ$55,3,FALSE))</f>
        <v>0</v>
      </c>
      <c r="H90" s="13">
        <f>(VLOOKUP(main!P90,main!$AO$4:$AQ$55,3,FALSE))</f>
        <v>0</v>
      </c>
      <c r="I90" s="12">
        <f>(VLOOKUP(main!Q90,main!$AO$4:$AQ$55,3,FALSE))</f>
        <v>0</v>
      </c>
      <c r="J90" s="12">
        <f>(VLOOKUP(main!R90,main!$AO$4:$AQ$55,3,FALSE))</f>
        <v>0</v>
      </c>
      <c r="K90" s="12">
        <f>(VLOOKUP(main!S90,main!$AO$4:$AQ$55,3,FALSE))</f>
        <v>0</v>
      </c>
      <c r="L90" s="12">
        <f>(VLOOKUP(main!T90,main!$AO$4:$AQ$55,3,FALSE))</f>
        <v>0</v>
      </c>
      <c r="M90" s="12">
        <f>(VLOOKUP(main!U90,main!$AO$4:$AQ$55,3,FALSE))</f>
        <v>0</v>
      </c>
      <c r="N90" s="12">
        <f>(VLOOKUP(main!V90,main!$AO$4:$AQ$55,3,FALSE))</f>
        <v>0</v>
      </c>
      <c r="O90" s="13">
        <f>(VLOOKUP(main!W90,main!$AO$4:$AQ$55,3,FALSE))</f>
        <v>0</v>
      </c>
      <c r="P90" s="13">
        <f>(VLOOKUP(main!X90,main!$AO$4:$AQ$55,3,FALSE))</f>
        <v>0</v>
      </c>
      <c r="Q90" s="12">
        <f>(VLOOKUP(main!Y90,main!$AO$4:$AQ$55,3,FALSE))</f>
        <v>0</v>
      </c>
      <c r="R90" s="12">
        <f>(VLOOKUP(main!Z90,main!$AO$4:$AQ$55,3,FALSE))</f>
        <v>0</v>
      </c>
      <c r="S90" s="12">
        <f>(VLOOKUP(main!AA90,main!$AO$4:$AQ$55,3,FALSE))</f>
        <v>0</v>
      </c>
      <c r="T90" s="12">
        <f>(VLOOKUP(main!AB90,main!$AO$4:$AQ$55,3,FALSE))</f>
        <v>0</v>
      </c>
      <c r="U90" s="12">
        <f>(VLOOKUP(main!AC90,main!$AO$4:$AQ$55,3,FALSE))</f>
        <v>0</v>
      </c>
      <c r="V90" s="12">
        <f>(VLOOKUP(main!AD90,main!$AO$4:$AQ$55,3,FALSE))</f>
        <v>0</v>
      </c>
      <c r="W90" s="13">
        <f>(VLOOKUP(main!AE90,main!$AO$4:$AQ$55,3,FALSE))</f>
        <v>0</v>
      </c>
      <c r="X90" s="13">
        <f>(VLOOKUP(main!AF90,main!$AO$4:$AQ$55,3,FALSE))</f>
        <v>0</v>
      </c>
    </row>
    <row r="91" spans="1:24">
      <c r="A91" s="12">
        <f>(VLOOKUP(main!I91,main!$AO$4:$AQ$55,3,FALSE))</f>
        <v>0</v>
      </c>
      <c r="B91" s="12">
        <f>(VLOOKUP(main!J91,main!$AO$4:$AQ$55,3,FALSE))</f>
        <v>0</v>
      </c>
      <c r="C91" s="12">
        <f>(VLOOKUP(main!K91,main!$AO$4:$AQ$55,3,FALSE))</f>
        <v>0</v>
      </c>
      <c r="D91" s="12">
        <f>(VLOOKUP(main!L91,main!$AO$4:$AQ$55,3,FALSE))</f>
        <v>0</v>
      </c>
      <c r="E91" s="12">
        <f>(VLOOKUP(main!M91,main!$AO$4:$AQ$55,3,FALSE))</f>
        <v>0</v>
      </c>
      <c r="F91" s="12">
        <f>(VLOOKUP(main!N91,main!$AO$4:$AQ$55,3,FALSE))</f>
        <v>0</v>
      </c>
      <c r="G91" s="13">
        <f>(VLOOKUP(main!O91,main!$AO$4:$AQ$55,3,FALSE))</f>
        <v>0</v>
      </c>
      <c r="H91" s="13">
        <f>(VLOOKUP(main!P91,main!$AO$4:$AQ$55,3,FALSE))</f>
        <v>0</v>
      </c>
      <c r="I91" s="12">
        <f>(VLOOKUP(main!Q91,main!$AO$4:$AQ$55,3,FALSE))</f>
        <v>0</v>
      </c>
      <c r="J91" s="12">
        <f>(VLOOKUP(main!R91,main!$AO$4:$AQ$55,3,FALSE))</f>
        <v>0</v>
      </c>
      <c r="K91" s="12">
        <f>(VLOOKUP(main!S91,main!$AO$4:$AQ$55,3,FALSE))</f>
        <v>0</v>
      </c>
      <c r="L91" s="12">
        <f>(VLOOKUP(main!T91,main!$AO$4:$AQ$55,3,FALSE))</f>
        <v>0</v>
      </c>
      <c r="M91" s="12">
        <f>(VLOOKUP(main!U91,main!$AO$4:$AQ$55,3,FALSE))</f>
        <v>0</v>
      </c>
      <c r="N91" s="12">
        <f>(VLOOKUP(main!V91,main!$AO$4:$AQ$55,3,FALSE))</f>
        <v>0</v>
      </c>
      <c r="O91" s="13">
        <f>(VLOOKUP(main!W91,main!$AO$4:$AQ$55,3,FALSE))</f>
        <v>0</v>
      </c>
      <c r="P91" s="13">
        <f>(VLOOKUP(main!X91,main!$AO$4:$AQ$55,3,FALSE))</f>
        <v>0</v>
      </c>
      <c r="Q91" s="12">
        <f>(VLOOKUP(main!Y91,main!$AO$4:$AQ$55,3,FALSE))</f>
        <v>0</v>
      </c>
      <c r="R91" s="12">
        <f>(VLOOKUP(main!Z91,main!$AO$4:$AQ$55,3,FALSE))</f>
        <v>0</v>
      </c>
      <c r="S91" s="12">
        <f>(VLOOKUP(main!AA91,main!$AO$4:$AQ$55,3,FALSE))</f>
        <v>0</v>
      </c>
      <c r="T91" s="12">
        <f>(VLOOKUP(main!AB91,main!$AO$4:$AQ$55,3,FALSE))</f>
        <v>0</v>
      </c>
      <c r="U91" s="12">
        <f>(VLOOKUP(main!AC91,main!$AO$4:$AQ$55,3,FALSE))</f>
        <v>0</v>
      </c>
      <c r="V91" s="12">
        <f>(VLOOKUP(main!AD91,main!$AO$4:$AQ$55,3,FALSE))</f>
        <v>0</v>
      </c>
      <c r="W91" s="13">
        <f>(VLOOKUP(main!AE91,main!$AO$4:$AQ$55,3,FALSE))</f>
        <v>0</v>
      </c>
      <c r="X91" s="13">
        <f>(VLOOKUP(main!AF91,main!$AO$4:$AQ$55,3,FALSE))</f>
        <v>0</v>
      </c>
    </row>
    <row r="92" spans="1:24">
      <c r="A92" s="12">
        <f>(VLOOKUP(main!I92,main!$AO$4:$AQ$55,3,FALSE))</f>
        <v>0</v>
      </c>
      <c r="B92" s="12">
        <f>(VLOOKUP(main!J92,main!$AO$4:$AQ$55,3,FALSE))</f>
        <v>0</v>
      </c>
      <c r="C92" s="12">
        <f>(VLOOKUP(main!K92,main!$AO$4:$AQ$55,3,FALSE))</f>
        <v>0</v>
      </c>
      <c r="D92" s="12">
        <f>(VLOOKUP(main!L92,main!$AO$4:$AQ$55,3,FALSE))</f>
        <v>0</v>
      </c>
      <c r="E92" s="12">
        <f>(VLOOKUP(main!M92,main!$AO$4:$AQ$55,3,FALSE))</f>
        <v>0</v>
      </c>
      <c r="F92" s="12">
        <f>(VLOOKUP(main!N92,main!$AO$4:$AQ$55,3,FALSE))</f>
        <v>0</v>
      </c>
      <c r="G92" s="13">
        <f>(VLOOKUP(main!O92,main!$AO$4:$AQ$55,3,FALSE))</f>
        <v>0</v>
      </c>
      <c r="H92" s="13">
        <f>(VLOOKUP(main!P92,main!$AO$4:$AQ$55,3,FALSE))</f>
        <v>0</v>
      </c>
      <c r="I92" s="12">
        <f>(VLOOKUP(main!Q92,main!$AO$4:$AQ$55,3,FALSE))</f>
        <v>0</v>
      </c>
      <c r="J92" s="12">
        <f>(VLOOKUP(main!R92,main!$AO$4:$AQ$55,3,FALSE))</f>
        <v>0</v>
      </c>
      <c r="K92" s="12">
        <f>(VLOOKUP(main!S92,main!$AO$4:$AQ$55,3,FALSE))</f>
        <v>0</v>
      </c>
      <c r="L92" s="12">
        <f>(VLOOKUP(main!T92,main!$AO$4:$AQ$55,3,FALSE))</f>
        <v>0</v>
      </c>
      <c r="M92" s="12">
        <f>(VLOOKUP(main!U92,main!$AO$4:$AQ$55,3,FALSE))</f>
        <v>0</v>
      </c>
      <c r="N92" s="12">
        <f>(VLOOKUP(main!V92,main!$AO$4:$AQ$55,3,FALSE))</f>
        <v>0</v>
      </c>
      <c r="O92" s="13">
        <f>(VLOOKUP(main!W92,main!$AO$4:$AQ$55,3,FALSE))</f>
        <v>0</v>
      </c>
      <c r="P92" s="13">
        <f>(VLOOKUP(main!X92,main!$AO$4:$AQ$55,3,FALSE))</f>
        <v>0</v>
      </c>
      <c r="Q92" s="12">
        <f>(VLOOKUP(main!Y92,main!$AO$4:$AQ$55,3,FALSE))</f>
        <v>0</v>
      </c>
      <c r="R92" s="12">
        <f>(VLOOKUP(main!Z92,main!$AO$4:$AQ$55,3,FALSE))</f>
        <v>0</v>
      </c>
      <c r="S92" s="12">
        <f>(VLOOKUP(main!AA92,main!$AO$4:$AQ$55,3,FALSE))</f>
        <v>0</v>
      </c>
      <c r="T92" s="12">
        <f>(VLOOKUP(main!AB92,main!$AO$4:$AQ$55,3,FALSE))</f>
        <v>0</v>
      </c>
      <c r="U92" s="12">
        <f>(VLOOKUP(main!AC92,main!$AO$4:$AQ$55,3,FALSE))</f>
        <v>0</v>
      </c>
      <c r="V92" s="12">
        <f>(VLOOKUP(main!AD92,main!$AO$4:$AQ$55,3,FALSE))</f>
        <v>0</v>
      </c>
      <c r="W92" s="13">
        <f>(VLOOKUP(main!AE92,main!$AO$4:$AQ$55,3,FALSE))</f>
        <v>0</v>
      </c>
      <c r="X92" s="13">
        <f>(VLOOKUP(main!AF92,main!$AO$4:$AQ$55,3,FALSE))</f>
        <v>0</v>
      </c>
    </row>
    <row r="93" spans="1:24">
      <c r="A93" s="12">
        <f>(VLOOKUP(main!I93,main!$AO$4:$AQ$55,3,FALSE))</f>
        <v>0</v>
      </c>
      <c r="B93" s="12">
        <f>(VLOOKUP(main!J93,main!$AO$4:$AQ$55,3,FALSE))</f>
        <v>0</v>
      </c>
      <c r="C93" s="12">
        <f>(VLOOKUP(main!K93,main!$AO$4:$AQ$55,3,FALSE))</f>
        <v>0</v>
      </c>
      <c r="D93" s="12">
        <f>(VLOOKUP(main!L93,main!$AO$4:$AQ$55,3,FALSE))</f>
        <v>0</v>
      </c>
      <c r="E93" s="12">
        <f>(VLOOKUP(main!M93,main!$AO$4:$AQ$55,3,FALSE))</f>
        <v>0</v>
      </c>
      <c r="F93" s="12">
        <f>(VLOOKUP(main!N93,main!$AO$4:$AQ$55,3,FALSE))</f>
        <v>0</v>
      </c>
      <c r="G93" s="13">
        <f>(VLOOKUP(main!O93,main!$AO$4:$AQ$55,3,FALSE))</f>
        <v>0</v>
      </c>
      <c r="H93" s="13">
        <f>(VLOOKUP(main!P93,main!$AO$4:$AQ$55,3,FALSE))</f>
        <v>0</v>
      </c>
      <c r="I93" s="12">
        <f>(VLOOKUP(main!Q93,main!$AO$4:$AQ$55,3,FALSE))</f>
        <v>0</v>
      </c>
      <c r="J93" s="12">
        <f>(VLOOKUP(main!R93,main!$AO$4:$AQ$55,3,FALSE))</f>
        <v>0</v>
      </c>
      <c r="K93" s="12">
        <f>(VLOOKUP(main!S93,main!$AO$4:$AQ$55,3,FALSE))</f>
        <v>0</v>
      </c>
      <c r="L93" s="12">
        <f>(VLOOKUP(main!T93,main!$AO$4:$AQ$55,3,FALSE))</f>
        <v>0</v>
      </c>
      <c r="M93" s="12">
        <f>(VLOOKUP(main!U93,main!$AO$4:$AQ$55,3,FALSE))</f>
        <v>0</v>
      </c>
      <c r="N93" s="12">
        <f>(VLOOKUP(main!V93,main!$AO$4:$AQ$55,3,FALSE))</f>
        <v>0</v>
      </c>
      <c r="O93" s="13">
        <f>(VLOOKUP(main!W93,main!$AO$4:$AQ$55,3,FALSE))</f>
        <v>0</v>
      </c>
      <c r="P93" s="13">
        <f>(VLOOKUP(main!X93,main!$AO$4:$AQ$55,3,FALSE))</f>
        <v>0</v>
      </c>
      <c r="Q93" s="12">
        <f>(VLOOKUP(main!Y93,main!$AO$4:$AQ$55,3,FALSE))</f>
        <v>0</v>
      </c>
      <c r="R93" s="12">
        <f>(VLOOKUP(main!Z93,main!$AO$4:$AQ$55,3,FALSE))</f>
        <v>0</v>
      </c>
      <c r="S93" s="12">
        <f>(VLOOKUP(main!AA93,main!$AO$4:$AQ$55,3,FALSE))</f>
        <v>0</v>
      </c>
      <c r="T93" s="12">
        <f>(VLOOKUP(main!AB93,main!$AO$4:$AQ$55,3,FALSE))</f>
        <v>0</v>
      </c>
      <c r="U93" s="12">
        <f>(VLOOKUP(main!AC93,main!$AO$4:$AQ$55,3,FALSE))</f>
        <v>0</v>
      </c>
      <c r="V93" s="12">
        <f>(VLOOKUP(main!AD93,main!$AO$4:$AQ$55,3,FALSE))</f>
        <v>0</v>
      </c>
      <c r="W93" s="13">
        <f>(VLOOKUP(main!AE93,main!$AO$4:$AQ$55,3,FALSE))</f>
        <v>0</v>
      </c>
      <c r="X93" s="13">
        <f>(VLOOKUP(main!AF93,main!$AO$4:$AQ$55,3,FALSE))</f>
        <v>0</v>
      </c>
    </row>
    <row r="94" spans="1:24">
      <c r="A94" s="12"/>
      <c r="B94" s="12"/>
      <c r="C94" s="12"/>
      <c r="D94" s="12"/>
      <c r="E94" s="12"/>
      <c r="F94" s="12"/>
      <c r="G94" s="13"/>
      <c r="H94" s="13"/>
      <c r="I94" s="12"/>
      <c r="J94" s="12"/>
      <c r="K94" s="12"/>
      <c r="L94" s="12"/>
      <c r="M94" s="12"/>
      <c r="N94" s="12"/>
      <c r="O94" s="13"/>
      <c r="P94" s="13"/>
      <c r="Q94" s="12"/>
      <c r="R94" s="12"/>
      <c r="S94" s="12"/>
      <c r="T94" s="12"/>
      <c r="U94" s="12"/>
      <c r="V94" s="12"/>
      <c r="W94" s="13"/>
      <c r="X94" s="13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2:X94"/>
  <sheetViews>
    <sheetView workbookViewId="0">
      <selection activeCell="E20" sqref="E20"/>
    </sheetView>
  </sheetViews>
  <sheetFormatPr defaultColWidth="9" defaultRowHeight="15"/>
  <sheetData>
    <row r="2" spans="1:24">
      <c r="A2" s="132" t="s">
        <v>94</v>
      </c>
      <c r="B2" s="133"/>
      <c r="C2" s="1" t="s">
        <v>3</v>
      </c>
      <c r="D2" s="1">
        <f>COUNTIF(A4:H94,"&lt;&gt;空")</f>
        <v>728</v>
      </c>
      <c r="E2" s="133" t="s">
        <v>4</v>
      </c>
      <c r="F2" s="133"/>
      <c r="G2" s="133"/>
      <c r="H2" s="134"/>
      <c r="I2" s="135" t="s">
        <v>5</v>
      </c>
      <c r="J2" s="136"/>
      <c r="K2" s="2" t="s">
        <v>3</v>
      </c>
      <c r="L2" s="2">
        <f>COUNTIF(I4:P94,"&lt;&gt;空")</f>
        <v>728</v>
      </c>
      <c r="M2" s="136" t="s">
        <v>4</v>
      </c>
      <c r="N2" s="136"/>
      <c r="O2" s="136"/>
      <c r="P2" s="137"/>
      <c r="Q2" s="138" t="s">
        <v>6</v>
      </c>
      <c r="R2" s="130"/>
      <c r="S2" s="4" t="s">
        <v>7</v>
      </c>
      <c r="T2" s="3">
        <f>COUNTIF(Q4:X94,"&lt;&gt;空")</f>
        <v>728</v>
      </c>
      <c r="U2" s="130" t="s">
        <v>4</v>
      </c>
      <c r="V2" s="130"/>
      <c r="W2" s="130"/>
      <c r="X2" s="131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(VLOOKUP(main!I4,main!$AO$4:$AR$55,4,FALSE))</f>
        <v>44.222109392472198</v>
      </c>
      <c r="B4" s="12">
        <f>(VLOOKUP(main!J4,main!$AO$4:$AR$55,4,FALSE))</f>
        <v>44.222109392472198</v>
      </c>
      <c r="C4" s="12">
        <f>(VLOOKUP(main!K4,main!$AO$4:$AR$55,4,FALSE))</f>
        <v>44.222109392472198</v>
      </c>
      <c r="D4" s="12">
        <f>(VLOOKUP(main!L4,main!$AO$4:$AR$55,4,FALSE))</f>
        <v>44.222109392472198</v>
      </c>
      <c r="E4" s="12">
        <f>(VLOOKUP(main!M4,main!$AO$4:$AR$55,4,FALSE))</f>
        <v>44.222109392472198</v>
      </c>
      <c r="F4" s="12">
        <f>(VLOOKUP(main!N4,main!$AO$4:$AR$55,4,FALSE))</f>
        <v>44.222109392472198</v>
      </c>
      <c r="G4" s="12">
        <f>(VLOOKUP(main!O4,main!$AO$4:$AR$55,4,FALSE))</f>
        <v>0</v>
      </c>
      <c r="H4" s="12">
        <f>(VLOOKUP(main!P4,main!$AO$4:$AR$55,4,FALSE))</f>
        <v>0</v>
      </c>
      <c r="I4" s="12">
        <f>(VLOOKUP(main!Q4,main!$AO$4:$AR$55,4,FALSE))</f>
        <v>36</v>
      </c>
      <c r="J4" s="12">
        <f>(VLOOKUP(main!R4,main!$AO$4:$AR$55,4,FALSE))</f>
        <v>36</v>
      </c>
      <c r="K4" s="12">
        <f>(VLOOKUP(main!S4,main!$AO$4:$AR$55,4,FALSE))</f>
        <v>36</v>
      </c>
      <c r="L4" s="12">
        <f>(VLOOKUP(main!T4,main!$AO$4:$AR$55,4,FALSE))</f>
        <v>36</v>
      </c>
      <c r="M4" s="12">
        <f>(VLOOKUP(main!U4,main!$AO$4:$AR$55,4,FALSE))</f>
        <v>36</v>
      </c>
      <c r="N4" s="12">
        <f>(VLOOKUP(main!V4,main!$AO$4:$AR$55,4,FALSE))</f>
        <v>36</v>
      </c>
      <c r="O4" s="12">
        <f>(VLOOKUP(main!W4,main!$AO$4:$AR$55,4,FALSE))</f>
        <v>0</v>
      </c>
      <c r="P4" s="12">
        <f>(VLOOKUP(main!X4,main!$AO$4:$AR$55,4,FALSE))</f>
        <v>0</v>
      </c>
      <c r="Q4" s="12">
        <f>(VLOOKUP(main!Y4,main!$AO$4:$AR$55,4,FALSE))</f>
        <v>0</v>
      </c>
      <c r="R4" s="12">
        <f>(VLOOKUP(main!Z4,main!$AO$4:$AR$55,4,FALSE))</f>
        <v>0</v>
      </c>
      <c r="S4" s="12">
        <f>(VLOOKUP(main!AA4,main!$AO$4:$AR$55,4,FALSE))</f>
        <v>0</v>
      </c>
      <c r="T4" s="12">
        <f>(VLOOKUP(main!AB4,main!$AO$4:$AR$55,4,FALSE))</f>
        <v>0</v>
      </c>
      <c r="U4" s="12">
        <f>(VLOOKUP(main!AC4,main!$AO$4:$AR$55,4,FALSE))</f>
        <v>0</v>
      </c>
      <c r="V4" s="12">
        <f>(VLOOKUP(main!AD4,main!$AO$4:$AR$55,4,FALSE))</f>
        <v>0</v>
      </c>
      <c r="W4" s="12">
        <f>(VLOOKUP(main!AE4,main!$AO$4:$AR$55,4,FALSE))</f>
        <v>0</v>
      </c>
      <c r="X4" s="12">
        <f>(VLOOKUP(main!AF4,main!$AO$4:$AR$55,4,FALSE))</f>
        <v>0</v>
      </c>
    </row>
    <row r="5" spans="1:24">
      <c r="A5" s="12">
        <f>(VLOOKUP(main!I5,main!$AO$4:$AR$55,4,FALSE))</f>
        <v>44.222109392472198</v>
      </c>
      <c r="B5" s="12">
        <f>(VLOOKUP(main!J5,main!$AO$4:$AR$55,4,FALSE))</f>
        <v>44.222109392472198</v>
      </c>
      <c r="C5" s="12">
        <f>(VLOOKUP(main!K5,main!$AO$4:$AR$55,4,FALSE))</f>
        <v>44.222109392472198</v>
      </c>
      <c r="D5" s="12">
        <f>(VLOOKUP(main!L5,main!$AO$4:$AR$55,4,FALSE))</f>
        <v>44.222109392472198</v>
      </c>
      <c r="E5" s="12">
        <f>(VLOOKUP(main!M5,main!$AO$4:$AR$55,4,FALSE))</f>
        <v>44.222109392472198</v>
      </c>
      <c r="F5" s="12">
        <f>(VLOOKUP(main!N5,main!$AO$4:$AR$55,4,FALSE))</f>
        <v>44.222109392472198</v>
      </c>
      <c r="G5" s="12">
        <f>(VLOOKUP(main!O5,main!$AO$4:$AR$55,4,FALSE))</f>
        <v>0</v>
      </c>
      <c r="H5" s="12">
        <f>(VLOOKUP(main!P5,main!$AO$4:$AR$55,4,FALSE))</f>
        <v>0</v>
      </c>
      <c r="I5" s="12">
        <f>(VLOOKUP(main!Q5,main!$AO$4:$AR$55,4,FALSE))</f>
        <v>36</v>
      </c>
      <c r="J5" s="12">
        <f>(VLOOKUP(main!R5,main!$AO$4:$AR$55,4,FALSE))</f>
        <v>36</v>
      </c>
      <c r="K5" s="12">
        <f>(VLOOKUP(main!S5,main!$AO$4:$AR$55,4,FALSE))</f>
        <v>36</v>
      </c>
      <c r="L5" s="12">
        <f>(VLOOKUP(main!T5,main!$AO$4:$AR$55,4,FALSE))</f>
        <v>36</v>
      </c>
      <c r="M5" s="12">
        <f>(VLOOKUP(main!U5,main!$AO$4:$AR$55,4,FALSE))</f>
        <v>36</v>
      </c>
      <c r="N5" s="12">
        <f>(VLOOKUP(main!V5,main!$AO$4:$AR$55,4,FALSE))</f>
        <v>36</v>
      </c>
      <c r="O5" s="12">
        <f>(VLOOKUP(main!W5,main!$AO$4:$AR$55,4,FALSE))</f>
        <v>0</v>
      </c>
      <c r="P5" s="12">
        <f>(VLOOKUP(main!X5,main!$AO$4:$AR$55,4,FALSE))</f>
        <v>0</v>
      </c>
      <c r="Q5" s="12">
        <f>(VLOOKUP(main!Y5,main!$AO$4:$AR$55,4,FALSE))</f>
        <v>0</v>
      </c>
      <c r="R5" s="12">
        <f>(VLOOKUP(main!Z5,main!$AO$4:$AR$55,4,FALSE))</f>
        <v>0</v>
      </c>
      <c r="S5" s="12">
        <f>(VLOOKUP(main!AA5,main!$AO$4:$AR$55,4,FALSE))</f>
        <v>0</v>
      </c>
      <c r="T5" s="12">
        <f>(VLOOKUP(main!AB5,main!$AO$4:$AR$55,4,FALSE))</f>
        <v>0</v>
      </c>
      <c r="U5" s="12">
        <f>(VLOOKUP(main!AC5,main!$AO$4:$AR$55,4,FALSE))</f>
        <v>0</v>
      </c>
      <c r="V5" s="12">
        <f>(VLOOKUP(main!AD5,main!$AO$4:$AR$55,4,FALSE))</f>
        <v>0</v>
      </c>
      <c r="W5" s="12">
        <f>(VLOOKUP(main!AE5,main!$AO$4:$AR$55,4,FALSE))</f>
        <v>0</v>
      </c>
      <c r="X5" s="12">
        <f>(VLOOKUP(main!AF5,main!$AO$4:$AR$55,4,FALSE))</f>
        <v>0</v>
      </c>
    </row>
    <row r="6" spans="1:24">
      <c r="A6" s="12">
        <f>(VLOOKUP(main!I6,main!$AO$4:$AR$55,4,FALSE))</f>
        <v>44.222109392472198</v>
      </c>
      <c r="B6" s="12">
        <f>(VLOOKUP(main!J6,main!$AO$4:$AR$55,4,FALSE))</f>
        <v>44.222109392472198</v>
      </c>
      <c r="C6" s="12">
        <f>(VLOOKUP(main!K6,main!$AO$4:$AR$55,4,FALSE))</f>
        <v>44.222109392472198</v>
      </c>
      <c r="D6" s="12">
        <f>(VLOOKUP(main!L6,main!$AO$4:$AR$55,4,FALSE))</f>
        <v>44.222109392472198</v>
      </c>
      <c r="E6" s="12">
        <f>(VLOOKUP(main!M6,main!$AO$4:$AR$55,4,FALSE))</f>
        <v>44.222109392472198</v>
      </c>
      <c r="F6" s="12">
        <f>(VLOOKUP(main!N6,main!$AO$4:$AR$55,4,FALSE))</f>
        <v>44.222109392472198</v>
      </c>
      <c r="G6" s="12">
        <f>(VLOOKUP(main!O6,main!$AO$4:$AR$55,4,FALSE))</f>
        <v>0</v>
      </c>
      <c r="H6" s="12">
        <f>(VLOOKUP(main!P6,main!$AO$4:$AR$55,4,FALSE))</f>
        <v>0</v>
      </c>
      <c r="I6" s="12">
        <f>(VLOOKUP(main!Q6,main!$AO$4:$AR$55,4,FALSE))</f>
        <v>36</v>
      </c>
      <c r="J6" s="12">
        <f>(VLOOKUP(main!R6,main!$AO$4:$AR$55,4,FALSE))</f>
        <v>36</v>
      </c>
      <c r="K6" s="12">
        <f>(VLOOKUP(main!S6,main!$AO$4:$AR$55,4,FALSE))</f>
        <v>36</v>
      </c>
      <c r="L6" s="12">
        <f>(VLOOKUP(main!T6,main!$AO$4:$AR$55,4,FALSE))</f>
        <v>44.222109392472198</v>
      </c>
      <c r="M6" s="12">
        <f>(VLOOKUP(main!U6,main!$AO$4:$AR$55,4,FALSE))</f>
        <v>13.9998549331786</v>
      </c>
      <c r="N6" s="12">
        <f>(VLOOKUP(main!V6,main!$AO$4:$AR$55,4,FALSE))</f>
        <v>0</v>
      </c>
      <c r="O6" s="12">
        <f>(VLOOKUP(main!W6,main!$AO$4:$AR$55,4,FALSE))</f>
        <v>0</v>
      </c>
      <c r="P6" s="12">
        <f>(VLOOKUP(main!X6,main!$AO$4:$AR$55,4,FALSE))</f>
        <v>0</v>
      </c>
      <c r="Q6" s="12">
        <f>(VLOOKUP(main!Y6,main!$AO$4:$AR$55,4,FALSE))</f>
        <v>0</v>
      </c>
      <c r="R6" s="12">
        <f>(VLOOKUP(main!Z6,main!$AO$4:$AR$55,4,FALSE))</f>
        <v>0</v>
      </c>
      <c r="S6" s="12">
        <f>(VLOOKUP(main!AA6,main!$AO$4:$AR$55,4,FALSE))</f>
        <v>0</v>
      </c>
      <c r="T6" s="12">
        <f>(VLOOKUP(main!AB6,main!$AO$4:$AR$55,4,FALSE))</f>
        <v>0</v>
      </c>
      <c r="U6" s="12">
        <f>(VLOOKUP(main!AC6,main!$AO$4:$AR$55,4,FALSE))</f>
        <v>0</v>
      </c>
      <c r="V6" s="12">
        <f>(VLOOKUP(main!AD6,main!$AO$4:$AR$55,4,FALSE))</f>
        <v>0</v>
      </c>
      <c r="W6" s="12">
        <f>(VLOOKUP(main!AE6,main!$AO$4:$AR$55,4,FALSE))</f>
        <v>0</v>
      </c>
      <c r="X6" s="12">
        <f>(VLOOKUP(main!AF6,main!$AO$4:$AR$55,4,FALSE))</f>
        <v>0</v>
      </c>
    </row>
    <row r="7" spans="1:24">
      <c r="A7" s="12">
        <f>(VLOOKUP(main!I7,main!$AO$4:$AR$55,4,FALSE))</f>
        <v>44.222109392472198</v>
      </c>
      <c r="B7" s="12">
        <f>(VLOOKUP(main!J7,main!$AO$4:$AR$55,4,FALSE))</f>
        <v>34</v>
      </c>
      <c r="C7" s="12">
        <f>(VLOOKUP(main!K7,main!$AO$4:$AR$55,4,FALSE))</f>
        <v>34</v>
      </c>
      <c r="D7" s="12">
        <f>(VLOOKUP(main!L7,main!$AO$4:$AR$55,4,FALSE))</f>
        <v>34</v>
      </c>
      <c r="E7" s="12">
        <f>(VLOOKUP(main!M7,main!$AO$4:$AR$55,4,FALSE))</f>
        <v>34</v>
      </c>
      <c r="F7" s="12">
        <f>(VLOOKUP(main!N7,main!$AO$4:$AR$55,4,FALSE))</f>
        <v>34</v>
      </c>
      <c r="G7" s="12">
        <f>(VLOOKUP(main!O7,main!$AO$4:$AR$55,4,FALSE))</f>
        <v>34</v>
      </c>
      <c r="H7" s="12">
        <f>(VLOOKUP(main!P7,main!$AO$4:$AR$55,4,FALSE))</f>
        <v>0</v>
      </c>
      <c r="I7" s="12">
        <f>(VLOOKUP(main!Q7,main!$AO$4:$AR$55,4,FALSE))</f>
        <v>29.110982162825401</v>
      </c>
      <c r="J7" s="12">
        <f>(VLOOKUP(main!R7,main!$AO$4:$AR$55,4,FALSE))</f>
        <v>29.110982162825401</v>
      </c>
      <c r="K7" s="12">
        <f>(VLOOKUP(main!S7,main!$AO$4:$AR$55,4,FALSE))</f>
        <v>29.110982162825401</v>
      </c>
      <c r="L7" s="12">
        <f>(VLOOKUP(main!T7,main!$AO$4:$AR$55,4,FALSE))</f>
        <v>29.110982162825401</v>
      </c>
      <c r="M7" s="12">
        <f>(VLOOKUP(main!U7,main!$AO$4:$AR$55,4,FALSE))</f>
        <v>29.110982162825401</v>
      </c>
      <c r="N7" s="12">
        <f>(VLOOKUP(main!V7,main!$AO$4:$AR$55,4,FALSE))</f>
        <v>29.110982162825401</v>
      </c>
      <c r="O7" s="12">
        <f>(VLOOKUP(main!W7,main!$AO$4:$AR$55,4,FALSE))</f>
        <v>29.110982162825401</v>
      </c>
      <c r="P7" s="12">
        <f>(VLOOKUP(main!X7,main!$AO$4:$AR$55,4,FALSE))</f>
        <v>29.110982162825401</v>
      </c>
      <c r="Q7" s="12">
        <f>(VLOOKUP(main!Y7,main!$AO$4:$AR$55,4,FALSE))</f>
        <v>0</v>
      </c>
      <c r="R7" s="12">
        <f>(VLOOKUP(main!Z7,main!$AO$4:$AR$55,4,FALSE))</f>
        <v>0</v>
      </c>
      <c r="S7" s="12">
        <f>(VLOOKUP(main!AA7,main!$AO$4:$AR$55,4,FALSE))</f>
        <v>0</v>
      </c>
      <c r="T7" s="12">
        <f>(VLOOKUP(main!AB7,main!$AO$4:$AR$55,4,FALSE))</f>
        <v>0</v>
      </c>
      <c r="U7" s="12">
        <f>(VLOOKUP(main!AC7,main!$AO$4:$AR$55,4,FALSE))</f>
        <v>0</v>
      </c>
      <c r="V7" s="12">
        <f>(VLOOKUP(main!AD7,main!$AO$4:$AR$55,4,FALSE))</f>
        <v>0</v>
      </c>
      <c r="W7" s="12">
        <f>(VLOOKUP(main!AE7,main!$AO$4:$AR$55,4,FALSE))</f>
        <v>0</v>
      </c>
      <c r="X7" s="12">
        <f>(VLOOKUP(main!AF7,main!$AO$4:$AR$55,4,FALSE))</f>
        <v>0</v>
      </c>
    </row>
    <row r="8" spans="1:24">
      <c r="A8" s="12">
        <f>(VLOOKUP(main!I8,main!$AO$4:$AR$55,4,FALSE))</f>
        <v>34</v>
      </c>
      <c r="B8" s="12">
        <f>(VLOOKUP(main!J8,main!$AO$4:$AR$55,4,FALSE))</f>
        <v>34</v>
      </c>
      <c r="C8" s="12">
        <f>(VLOOKUP(main!K8,main!$AO$4:$AR$55,4,FALSE))</f>
        <v>34</v>
      </c>
      <c r="D8" s="12">
        <f>(VLOOKUP(main!L8,main!$AO$4:$AR$55,4,FALSE))</f>
        <v>34</v>
      </c>
      <c r="E8" s="12">
        <f>(VLOOKUP(main!M8,main!$AO$4:$AR$55,4,FALSE))</f>
        <v>34</v>
      </c>
      <c r="F8" s="12">
        <f>(VLOOKUP(main!N8,main!$AO$4:$AR$55,4,FALSE))</f>
        <v>34</v>
      </c>
      <c r="G8" s="12">
        <f>(VLOOKUP(main!O8,main!$AO$4:$AR$55,4,FALSE))</f>
        <v>34</v>
      </c>
      <c r="H8" s="12">
        <f>(VLOOKUP(main!P8,main!$AO$4:$AR$55,4,FALSE))</f>
        <v>34</v>
      </c>
      <c r="I8" s="12">
        <f>(VLOOKUP(main!Q8,main!$AO$4:$AR$55,4,FALSE))</f>
        <v>10</v>
      </c>
      <c r="J8" s="12">
        <f>(VLOOKUP(main!R8,main!$AO$4:$AR$55,4,FALSE))</f>
        <v>10</v>
      </c>
      <c r="K8" s="12">
        <f>(VLOOKUP(main!S8,main!$AO$4:$AR$55,4,FALSE))</f>
        <v>10</v>
      </c>
      <c r="L8" s="12">
        <f>(VLOOKUP(main!T8,main!$AO$4:$AR$55,4,FALSE))</f>
        <v>10</v>
      </c>
      <c r="M8" s="12">
        <f>(VLOOKUP(main!U8,main!$AO$4:$AR$55,4,FALSE))</f>
        <v>10</v>
      </c>
      <c r="N8" s="12">
        <f>(VLOOKUP(main!V8,main!$AO$4:$AR$55,4,FALSE))</f>
        <v>10</v>
      </c>
      <c r="O8" s="12">
        <f>(VLOOKUP(main!W8,main!$AO$4:$AR$55,4,FALSE))</f>
        <v>10</v>
      </c>
      <c r="P8" s="12">
        <f>(VLOOKUP(main!X8,main!$AO$4:$AR$55,4,FALSE))</f>
        <v>0</v>
      </c>
      <c r="Q8" s="12">
        <f>(VLOOKUP(main!Y8,main!$AO$4:$AR$55,4,FALSE))</f>
        <v>0</v>
      </c>
      <c r="R8" s="12">
        <f>(VLOOKUP(main!Z8,main!$AO$4:$AR$55,4,FALSE))</f>
        <v>0</v>
      </c>
      <c r="S8" s="12">
        <f>(VLOOKUP(main!AA8,main!$AO$4:$AR$55,4,FALSE))</f>
        <v>0</v>
      </c>
      <c r="T8" s="12">
        <f>(VLOOKUP(main!AB8,main!$AO$4:$AR$55,4,FALSE))</f>
        <v>0</v>
      </c>
      <c r="U8" s="12">
        <f>(VLOOKUP(main!AC8,main!$AO$4:$AR$55,4,FALSE))</f>
        <v>0</v>
      </c>
      <c r="V8" s="12">
        <f>(VLOOKUP(main!AD8,main!$AO$4:$AR$55,4,FALSE))</f>
        <v>0</v>
      </c>
      <c r="W8" s="12">
        <f>(VLOOKUP(main!AE8,main!$AO$4:$AR$55,4,FALSE))</f>
        <v>0</v>
      </c>
      <c r="X8" s="12">
        <f>(VLOOKUP(main!AF8,main!$AO$4:$AR$55,4,FALSE))</f>
        <v>0</v>
      </c>
    </row>
    <row r="9" spans="1:24">
      <c r="A9" s="12">
        <f>(VLOOKUP(main!I9,main!$AO$4:$AR$55,4,FALSE))</f>
        <v>34</v>
      </c>
      <c r="B9" s="12">
        <f>(VLOOKUP(main!J9,main!$AO$4:$AR$55,4,FALSE))</f>
        <v>34</v>
      </c>
      <c r="C9" s="12">
        <f>(VLOOKUP(main!K9,main!$AO$4:$AR$55,4,FALSE))</f>
        <v>34</v>
      </c>
      <c r="D9" s="12">
        <f>(VLOOKUP(main!L9,main!$AO$4:$AR$55,4,FALSE))</f>
        <v>34</v>
      </c>
      <c r="E9" s="12">
        <f>(VLOOKUP(main!M9,main!$AO$4:$AR$55,4,FALSE))</f>
        <v>34</v>
      </c>
      <c r="F9" s="12">
        <f>(VLOOKUP(main!N9,main!$AO$4:$AR$55,4,FALSE))</f>
        <v>34</v>
      </c>
      <c r="G9" s="12">
        <f>(VLOOKUP(main!O9,main!$AO$4:$AR$55,4,FALSE))</f>
        <v>34</v>
      </c>
      <c r="H9" s="12">
        <f>(VLOOKUP(main!P9,main!$AO$4:$AR$55,4,FALSE))</f>
        <v>34</v>
      </c>
      <c r="I9" s="12">
        <f>(VLOOKUP(main!Q9,main!$AO$4:$AR$55,4,FALSE))</f>
        <v>10</v>
      </c>
      <c r="J9" s="12">
        <f>(VLOOKUP(main!R9,main!$AO$4:$AR$55,4,FALSE))</f>
        <v>10</v>
      </c>
      <c r="K9" s="12">
        <f>(VLOOKUP(main!S9,main!$AO$4:$AR$55,4,FALSE))</f>
        <v>0</v>
      </c>
      <c r="L9" s="12">
        <f>(VLOOKUP(main!T9,main!$AO$4:$AR$55,4,FALSE))</f>
        <v>0</v>
      </c>
      <c r="M9" s="12">
        <f>(VLOOKUP(main!U9,main!$AO$4:$AR$55,4,FALSE))</f>
        <v>0</v>
      </c>
      <c r="N9" s="12">
        <f>(VLOOKUP(main!V9,main!$AO$4:$AR$55,4,FALSE))</f>
        <v>0</v>
      </c>
      <c r="O9" s="12">
        <f>(VLOOKUP(main!W9,main!$AO$4:$AR$55,4,FALSE))</f>
        <v>0</v>
      </c>
      <c r="P9" s="12">
        <f>(VLOOKUP(main!X9,main!$AO$4:$AR$55,4,FALSE))</f>
        <v>0</v>
      </c>
      <c r="Q9" s="12">
        <f>(VLOOKUP(main!Y9,main!$AO$4:$AR$55,4,FALSE))</f>
        <v>0</v>
      </c>
      <c r="R9" s="12">
        <f>(VLOOKUP(main!Z9,main!$AO$4:$AR$55,4,FALSE))</f>
        <v>0</v>
      </c>
      <c r="S9" s="12">
        <f>(VLOOKUP(main!AA9,main!$AO$4:$AR$55,4,FALSE))</f>
        <v>0</v>
      </c>
      <c r="T9" s="12">
        <f>(VLOOKUP(main!AB9,main!$AO$4:$AR$55,4,FALSE))</f>
        <v>0</v>
      </c>
      <c r="U9" s="12">
        <f>(VLOOKUP(main!AC9,main!$AO$4:$AR$55,4,FALSE))</f>
        <v>0</v>
      </c>
      <c r="V9" s="12">
        <f>(VLOOKUP(main!AD9,main!$AO$4:$AR$55,4,FALSE))</f>
        <v>0</v>
      </c>
      <c r="W9" s="12">
        <f>(VLOOKUP(main!AE9,main!$AO$4:$AR$55,4,FALSE))</f>
        <v>0</v>
      </c>
      <c r="X9" s="12">
        <f>(VLOOKUP(main!AF9,main!$AO$4:$AR$55,4,FALSE))</f>
        <v>0</v>
      </c>
    </row>
    <row r="10" spans="1:24">
      <c r="A10" s="12">
        <f>(VLOOKUP(main!I10,main!$AO$4:$AR$55,4,FALSE))</f>
        <v>34</v>
      </c>
      <c r="B10" s="12">
        <f>(VLOOKUP(main!J10,main!$AO$4:$AR$55,4,FALSE))</f>
        <v>34</v>
      </c>
      <c r="C10" s="12">
        <f>(VLOOKUP(main!K10,main!$AO$4:$AR$55,4,FALSE))</f>
        <v>34</v>
      </c>
      <c r="D10" s="12">
        <f>(VLOOKUP(main!L10,main!$AO$4:$AR$55,4,FALSE))</f>
        <v>34</v>
      </c>
      <c r="E10" s="12">
        <f>(VLOOKUP(main!M10,main!$AO$4:$AR$55,4,FALSE))</f>
        <v>34</v>
      </c>
      <c r="F10" s="12">
        <f>(VLOOKUP(main!N10,main!$AO$4:$AR$55,4,FALSE))</f>
        <v>34</v>
      </c>
      <c r="G10" s="12">
        <f>(VLOOKUP(main!O10,main!$AO$4:$AR$55,4,FALSE))</f>
        <v>34</v>
      </c>
      <c r="H10" s="12">
        <f>(VLOOKUP(main!P10,main!$AO$4:$AR$55,4,FALSE))</f>
        <v>34</v>
      </c>
      <c r="I10" s="12">
        <f>(VLOOKUP(main!Q10,main!$AO$4:$AR$55,4,FALSE))</f>
        <v>0</v>
      </c>
      <c r="J10" s="12">
        <f>(VLOOKUP(main!R10,main!$AO$4:$AR$55,4,FALSE))</f>
        <v>0</v>
      </c>
      <c r="K10" s="12">
        <f>(VLOOKUP(main!S10,main!$AO$4:$AR$55,4,FALSE))</f>
        <v>0</v>
      </c>
      <c r="L10" s="12">
        <f>(VLOOKUP(main!T10,main!$AO$4:$AR$55,4,FALSE))</f>
        <v>0</v>
      </c>
      <c r="M10" s="12">
        <f>(VLOOKUP(main!U10,main!$AO$4:$AR$55,4,FALSE))</f>
        <v>0</v>
      </c>
      <c r="N10" s="12">
        <f>(VLOOKUP(main!V10,main!$AO$4:$AR$55,4,FALSE))</f>
        <v>0</v>
      </c>
      <c r="O10" s="12">
        <f>(VLOOKUP(main!W10,main!$AO$4:$AR$55,4,FALSE))</f>
        <v>0</v>
      </c>
      <c r="P10" s="12">
        <f>(VLOOKUP(main!X10,main!$AO$4:$AR$55,4,FALSE))</f>
        <v>0</v>
      </c>
      <c r="Q10" s="12">
        <f>(VLOOKUP(main!Y10,main!$AO$4:$AR$55,4,FALSE))</f>
        <v>0</v>
      </c>
      <c r="R10" s="12">
        <f>(VLOOKUP(main!Z10,main!$AO$4:$AR$55,4,FALSE))</f>
        <v>0</v>
      </c>
      <c r="S10" s="12">
        <f>(VLOOKUP(main!AA10,main!$AO$4:$AR$55,4,FALSE))</f>
        <v>0</v>
      </c>
      <c r="T10" s="12">
        <f>(VLOOKUP(main!AB10,main!$AO$4:$AR$55,4,FALSE))</f>
        <v>0</v>
      </c>
      <c r="U10" s="12">
        <f>(VLOOKUP(main!AC10,main!$AO$4:$AR$55,4,FALSE))</f>
        <v>0</v>
      </c>
      <c r="V10" s="12">
        <f>(VLOOKUP(main!AD10,main!$AO$4:$AR$55,4,FALSE))</f>
        <v>0</v>
      </c>
      <c r="W10" s="12">
        <f>(VLOOKUP(main!AE10,main!$AO$4:$AR$55,4,FALSE))</f>
        <v>0</v>
      </c>
      <c r="X10" s="12">
        <f>(VLOOKUP(main!AF10,main!$AO$4:$AR$55,4,FALSE))</f>
        <v>0</v>
      </c>
    </row>
    <row r="11" spans="1:24">
      <c r="A11" s="12">
        <f>(VLOOKUP(main!I11,main!$AO$4:$AR$55,4,FALSE))</f>
        <v>34</v>
      </c>
      <c r="B11" s="12">
        <f>(VLOOKUP(main!J11,main!$AO$4:$AR$55,4,FALSE))</f>
        <v>34</v>
      </c>
      <c r="C11" s="12">
        <f>(VLOOKUP(main!K11,main!$AO$4:$AR$55,4,FALSE))</f>
        <v>34</v>
      </c>
      <c r="D11" s="12">
        <f>(VLOOKUP(main!L11,main!$AO$4:$AR$55,4,FALSE))</f>
        <v>34</v>
      </c>
      <c r="E11" s="12">
        <f>(VLOOKUP(main!M11,main!$AO$4:$AR$55,4,FALSE))</f>
        <v>34</v>
      </c>
      <c r="F11" s="12">
        <f>(VLOOKUP(main!N11,main!$AO$4:$AR$55,4,FALSE))</f>
        <v>34</v>
      </c>
      <c r="G11" s="12">
        <f>(VLOOKUP(main!O11,main!$AO$4:$AR$55,4,FALSE))</f>
        <v>34</v>
      </c>
      <c r="H11" s="12">
        <f>(VLOOKUP(main!P11,main!$AO$4:$AR$55,4,FALSE))</f>
        <v>34</v>
      </c>
      <c r="I11" s="12">
        <f>(VLOOKUP(main!Q11,main!$AO$4:$AR$55,4,FALSE))</f>
        <v>0</v>
      </c>
      <c r="J11" s="12">
        <f>(VLOOKUP(main!R11,main!$AO$4:$AR$55,4,FALSE))</f>
        <v>0</v>
      </c>
      <c r="K11" s="12">
        <f>(VLOOKUP(main!S11,main!$AO$4:$AR$55,4,FALSE))</f>
        <v>0</v>
      </c>
      <c r="L11" s="12">
        <f>(VLOOKUP(main!T11,main!$AO$4:$AR$55,4,FALSE))</f>
        <v>0</v>
      </c>
      <c r="M11" s="12">
        <f>(VLOOKUP(main!U11,main!$AO$4:$AR$55,4,FALSE))</f>
        <v>0</v>
      </c>
      <c r="N11" s="12">
        <f>(VLOOKUP(main!V11,main!$AO$4:$AR$55,4,FALSE))</f>
        <v>0</v>
      </c>
      <c r="O11" s="12">
        <f>(VLOOKUP(main!W11,main!$AO$4:$AR$55,4,FALSE))</f>
        <v>0</v>
      </c>
      <c r="P11" s="12">
        <f>(VLOOKUP(main!X11,main!$AO$4:$AR$55,4,FALSE))</f>
        <v>0</v>
      </c>
      <c r="Q11" s="12">
        <f>(VLOOKUP(main!Y11,main!$AO$4:$AR$55,4,FALSE))</f>
        <v>0</v>
      </c>
      <c r="R11" s="12">
        <f>(VLOOKUP(main!Z11,main!$AO$4:$AR$55,4,FALSE))</f>
        <v>0</v>
      </c>
      <c r="S11" s="12">
        <f>(VLOOKUP(main!AA11,main!$AO$4:$AR$55,4,FALSE))</f>
        <v>0</v>
      </c>
      <c r="T11" s="12">
        <f>(VLOOKUP(main!AB11,main!$AO$4:$AR$55,4,FALSE))</f>
        <v>0</v>
      </c>
      <c r="U11" s="12">
        <f>(VLOOKUP(main!AC11,main!$AO$4:$AR$55,4,FALSE))</f>
        <v>0</v>
      </c>
      <c r="V11" s="12">
        <f>(VLOOKUP(main!AD11,main!$AO$4:$AR$55,4,FALSE))</f>
        <v>0</v>
      </c>
      <c r="W11" s="12">
        <f>(VLOOKUP(main!AE11,main!$AO$4:$AR$55,4,FALSE))</f>
        <v>0</v>
      </c>
      <c r="X11" s="12">
        <f>(VLOOKUP(main!AF11,main!$AO$4:$AR$55,4,FALSE))</f>
        <v>0</v>
      </c>
    </row>
    <row r="12" spans="1:24">
      <c r="A12" s="12">
        <f>(VLOOKUP(main!I12,main!$AO$4:$AR$55,4,FALSE))</f>
        <v>34</v>
      </c>
      <c r="B12" s="12">
        <f>(VLOOKUP(main!J12,main!$AO$4:$AR$55,4,FALSE))</f>
        <v>34</v>
      </c>
      <c r="C12" s="12">
        <f>(VLOOKUP(main!K12,main!$AO$4:$AR$55,4,FALSE))</f>
        <v>34</v>
      </c>
      <c r="D12" s="12">
        <f>(VLOOKUP(main!L12,main!$AO$4:$AR$55,4,FALSE))</f>
        <v>34</v>
      </c>
      <c r="E12" s="12">
        <f>(VLOOKUP(main!M12,main!$AO$4:$AR$55,4,FALSE))</f>
        <v>34</v>
      </c>
      <c r="F12" s="12">
        <f>(VLOOKUP(main!N12,main!$AO$4:$AR$55,4,FALSE))</f>
        <v>34</v>
      </c>
      <c r="G12" s="12">
        <f>(VLOOKUP(main!O12,main!$AO$4:$AR$55,4,FALSE))</f>
        <v>34</v>
      </c>
      <c r="H12" s="12">
        <f>(VLOOKUP(main!P12,main!$AO$4:$AR$55,4,FALSE))</f>
        <v>34</v>
      </c>
      <c r="I12" s="12">
        <f>(VLOOKUP(main!Q12,main!$AO$4:$AR$55,4,FALSE))</f>
        <v>34</v>
      </c>
      <c r="J12" s="12">
        <f>(VLOOKUP(main!R12,main!$AO$4:$AR$55,4,FALSE))</f>
        <v>34</v>
      </c>
      <c r="K12" s="12">
        <f>(VLOOKUP(main!S12,main!$AO$4:$AR$55,4,FALSE))</f>
        <v>34</v>
      </c>
      <c r="L12" s="12">
        <f>(VLOOKUP(main!T12,main!$AO$4:$AR$55,4,FALSE))</f>
        <v>34</v>
      </c>
      <c r="M12" s="12">
        <f>(VLOOKUP(main!U12,main!$AO$4:$AR$55,4,FALSE))</f>
        <v>34</v>
      </c>
      <c r="N12" s="12">
        <f>(VLOOKUP(main!V12,main!$AO$4:$AR$55,4,FALSE))</f>
        <v>34</v>
      </c>
      <c r="O12" s="12">
        <f>(VLOOKUP(main!W12,main!$AO$4:$AR$55,4,FALSE))</f>
        <v>34</v>
      </c>
      <c r="P12" s="12">
        <f>(VLOOKUP(main!X12,main!$AO$4:$AR$55,4,FALSE))</f>
        <v>34</v>
      </c>
      <c r="Q12" s="12">
        <f>(VLOOKUP(main!Y12,main!$AO$4:$AR$55,4,FALSE))</f>
        <v>0</v>
      </c>
      <c r="R12" s="12">
        <f>(VLOOKUP(main!Z12,main!$AO$4:$AR$55,4,FALSE))</f>
        <v>0</v>
      </c>
      <c r="S12" s="12">
        <f>(VLOOKUP(main!AA12,main!$AO$4:$AR$55,4,FALSE))</f>
        <v>0</v>
      </c>
      <c r="T12" s="12">
        <f>(VLOOKUP(main!AB12,main!$AO$4:$AR$55,4,FALSE))</f>
        <v>0</v>
      </c>
      <c r="U12" s="12">
        <f>(VLOOKUP(main!AC12,main!$AO$4:$AR$55,4,FALSE))</f>
        <v>0</v>
      </c>
      <c r="V12" s="12">
        <f>(VLOOKUP(main!AD12,main!$AO$4:$AR$55,4,FALSE))</f>
        <v>0</v>
      </c>
      <c r="W12" s="12">
        <f>(VLOOKUP(main!AE12,main!$AO$4:$AR$55,4,FALSE))</f>
        <v>0</v>
      </c>
      <c r="X12" s="12">
        <f>(VLOOKUP(main!AF12,main!$AO$4:$AR$55,4,FALSE))</f>
        <v>0</v>
      </c>
    </row>
    <row r="13" spans="1:24">
      <c r="A13" s="12">
        <f>(VLOOKUP(main!I13,main!$AO$4:$AR$55,4,FALSE))</f>
        <v>34</v>
      </c>
      <c r="B13" s="12">
        <f>(VLOOKUP(main!J13,main!$AO$4:$AR$55,4,FALSE))</f>
        <v>34</v>
      </c>
      <c r="C13" s="12">
        <f>(VLOOKUP(main!K13,main!$AO$4:$AR$55,4,FALSE))</f>
        <v>34</v>
      </c>
      <c r="D13" s="12">
        <f>(VLOOKUP(main!L13,main!$AO$4:$AR$55,4,FALSE))</f>
        <v>34</v>
      </c>
      <c r="E13" s="12">
        <f>(VLOOKUP(main!M13,main!$AO$4:$AR$55,4,FALSE))</f>
        <v>34</v>
      </c>
      <c r="F13" s="12">
        <f>(VLOOKUP(main!N13,main!$AO$4:$AR$55,4,FALSE))</f>
        <v>34</v>
      </c>
      <c r="G13" s="12">
        <f>(VLOOKUP(main!O13,main!$AO$4:$AR$55,4,FALSE))</f>
        <v>34</v>
      </c>
      <c r="H13" s="12">
        <f>(VLOOKUP(main!P13,main!$AO$4:$AR$55,4,FALSE))</f>
        <v>34</v>
      </c>
      <c r="I13" s="12">
        <f>(VLOOKUP(main!Q13,main!$AO$4:$AR$55,4,FALSE))</f>
        <v>0</v>
      </c>
      <c r="J13" s="12">
        <f>(VLOOKUP(main!R13,main!$AO$4:$AR$55,4,FALSE))</f>
        <v>0</v>
      </c>
      <c r="K13" s="12">
        <f>(VLOOKUP(main!S13,main!$AO$4:$AR$55,4,FALSE))</f>
        <v>0</v>
      </c>
      <c r="L13" s="12">
        <f>(VLOOKUP(main!T13,main!$AO$4:$AR$55,4,FALSE))</f>
        <v>0</v>
      </c>
      <c r="M13" s="12">
        <f>(VLOOKUP(main!U13,main!$AO$4:$AR$55,4,FALSE))</f>
        <v>0</v>
      </c>
      <c r="N13" s="12">
        <f>(VLOOKUP(main!V13,main!$AO$4:$AR$55,4,FALSE))</f>
        <v>0</v>
      </c>
      <c r="O13" s="12">
        <f>(VLOOKUP(main!W13,main!$AO$4:$AR$55,4,FALSE))</f>
        <v>0</v>
      </c>
      <c r="P13" s="12">
        <f>(VLOOKUP(main!X13,main!$AO$4:$AR$55,4,FALSE))</f>
        <v>0</v>
      </c>
      <c r="Q13" s="12">
        <f>(VLOOKUP(main!Y13,main!$AO$4:$AR$55,4,FALSE))</f>
        <v>0</v>
      </c>
      <c r="R13" s="12">
        <f>(VLOOKUP(main!Z13,main!$AO$4:$AR$55,4,FALSE))</f>
        <v>0</v>
      </c>
      <c r="S13" s="12">
        <f>(VLOOKUP(main!AA13,main!$AO$4:$AR$55,4,FALSE))</f>
        <v>0</v>
      </c>
      <c r="T13" s="12">
        <f>(VLOOKUP(main!AB13,main!$AO$4:$AR$55,4,FALSE))</f>
        <v>0</v>
      </c>
      <c r="U13" s="12">
        <f>(VLOOKUP(main!AC13,main!$AO$4:$AR$55,4,FALSE))</f>
        <v>0</v>
      </c>
      <c r="V13" s="12">
        <f>(VLOOKUP(main!AD13,main!$AO$4:$AR$55,4,FALSE))</f>
        <v>0</v>
      </c>
      <c r="W13" s="12">
        <f>(VLOOKUP(main!AE13,main!$AO$4:$AR$55,4,FALSE))</f>
        <v>0</v>
      </c>
      <c r="X13" s="12">
        <f>(VLOOKUP(main!AF13,main!$AO$4:$AR$55,4,FALSE))</f>
        <v>0</v>
      </c>
    </row>
    <row r="14" spans="1:24">
      <c r="A14" s="12">
        <f>(VLOOKUP(main!I14,main!$AO$4:$AR$55,4,FALSE))</f>
        <v>34</v>
      </c>
      <c r="B14" s="12">
        <f>(VLOOKUP(main!J14,main!$AO$4:$AR$55,4,FALSE))</f>
        <v>34</v>
      </c>
      <c r="C14" s="12">
        <f>(VLOOKUP(main!K14,main!$AO$4:$AR$55,4,FALSE))</f>
        <v>34</v>
      </c>
      <c r="D14" s="12">
        <f>(VLOOKUP(main!L14,main!$AO$4:$AR$55,4,FALSE))</f>
        <v>34</v>
      </c>
      <c r="E14" s="12">
        <f>(VLOOKUP(main!M14,main!$AO$4:$AR$55,4,FALSE))</f>
        <v>34</v>
      </c>
      <c r="F14" s="12">
        <f>(VLOOKUP(main!N14,main!$AO$4:$AR$55,4,FALSE))</f>
        <v>34</v>
      </c>
      <c r="G14" s="12">
        <f>(VLOOKUP(main!O14,main!$AO$4:$AR$55,4,FALSE))</f>
        <v>34</v>
      </c>
      <c r="H14" s="12">
        <f>(VLOOKUP(main!P14,main!$AO$4:$AR$55,4,FALSE))</f>
        <v>34</v>
      </c>
      <c r="I14" s="12">
        <f>(VLOOKUP(main!Q14,main!$AO$4:$AR$55,4,FALSE))</f>
        <v>0</v>
      </c>
      <c r="J14" s="12">
        <f>(VLOOKUP(main!R14,main!$AO$4:$AR$55,4,FALSE))</f>
        <v>0</v>
      </c>
      <c r="K14" s="12">
        <f>(VLOOKUP(main!S14,main!$AO$4:$AR$55,4,FALSE))</f>
        <v>0</v>
      </c>
      <c r="L14" s="12">
        <f>(VLOOKUP(main!T14,main!$AO$4:$AR$55,4,FALSE))</f>
        <v>0</v>
      </c>
      <c r="M14" s="12">
        <f>(VLOOKUP(main!U14,main!$AO$4:$AR$55,4,FALSE))</f>
        <v>0</v>
      </c>
      <c r="N14" s="12">
        <f>(VLOOKUP(main!V14,main!$AO$4:$AR$55,4,FALSE))</f>
        <v>0</v>
      </c>
      <c r="O14" s="12">
        <f>(VLOOKUP(main!W14,main!$AO$4:$AR$55,4,FALSE))</f>
        <v>0</v>
      </c>
      <c r="P14" s="12">
        <f>(VLOOKUP(main!X14,main!$AO$4:$AR$55,4,FALSE))</f>
        <v>0</v>
      </c>
      <c r="Q14" s="12">
        <f>(VLOOKUP(main!Y14,main!$AO$4:$AR$55,4,FALSE))</f>
        <v>0</v>
      </c>
      <c r="R14" s="12">
        <f>(VLOOKUP(main!Z14,main!$AO$4:$AR$55,4,FALSE))</f>
        <v>0</v>
      </c>
      <c r="S14" s="12">
        <f>(VLOOKUP(main!AA14,main!$AO$4:$AR$55,4,FALSE))</f>
        <v>0</v>
      </c>
      <c r="T14" s="12">
        <f>(VLOOKUP(main!AB14,main!$AO$4:$AR$55,4,FALSE))</f>
        <v>0</v>
      </c>
      <c r="U14" s="12">
        <f>(VLOOKUP(main!AC14,main!$AO$4:$AR$55,4,FALSE))</f>
        <v>0</v>
      </c>
      <c r="V14" s="12">
        <f>(VLOOKUP(main!AD14,main!$AO$4:$AR$55,4,FALSE))</f>
        <v>0</v>
      </c>
      <c r="W14" s="12">
        <f>(VLOOKUP(main!AE14,main!$AO$4:$AR$55,4,FALSE))</f>
        <v>0</v>
      </c>
      <c r="X14" s="12">
        <f>(VLOOKUP(main!AF14,main!$AO$4:$AR$55,4,FALSE))</f>
        <v>0</v>
      </c>
    </row>
    <row r="15" spans="1:24">
      <c r="A15" s="12">
        <f>(VLOOKUP(main!I15,main!$AO$4:$AR$55,4,FALSE))</f>
        <v>34</v>
      </c>
      <c r="B15" s="12">
        <f>(VLOOKUP(main!J15,main!$AO$4:$AR$55,4,FALSE))</f>
        <v>34</v>
      </c>
      <c r="C15" s="12">
        <f>(VLOOKUP(main!K15,main!$AO$4:$AR$55,4,FALSE))</f>
        <v>34</v>
      </c>
      <c r="D15" s="12">
        <f>(VLOOKUP(main!L15,main!$AO$4:$AR$55,4,FALSE))</f>
        <v>34</v>
      </c>
      <c r="E15" s="12">
        <f>(VLOOKUP(main!M15,main!$AO$4:$AR$55,4,FALSE))</f>
        <v>34</v>
      </c>
      <c r="F15" s="12">
        <f>(VLOOKUP(main!N15,main!$AO$4:$AR$55,4,FALSE))</f>
        <v>34</v>
      </c>
      <c r="G15" s="12">
        <f>(VLOOKUP(main!O15,main!$AO$4:$AR$55,4,FALSE))</f>
        <v>34</v>
      </c>
      <c r="H15" s="12">
        <f>(VLOOKUP(main!P15,main!$AO$4:$AR$55,4,FALSE))</f>
        <v>34</v>
      </c>
      <c r="I15" s="12">
        <f>(VLOOKUP(main!Q15,main!$AO$4:$AR$55,4,FALSE))</f>
        <v>0</v>
      </c>
      <c r="J15" s="12">
        <f>(VLOOKUP(main!R15,main!$AO$4:$AR$55,4,FALSE))</f>
        <v>0</v>
      </c>
      <c r="K15" s="12">
        <f>(VLOOKUP(main!S15,main!$AO$4:$AR$55,4,FALSE))</f>
        <v>0</v>
      </c>
      <c r="L15" s="12">
        <f>(VLOOKUP(main!T15,main!$AO$4:$AR$55,4,FALSE))</f>
        <v>0</v>
      </c>
      <c r="M15" s="12">
        <f>(VLOOKUP(main!U15,main!$AO$4:$AR$55,4,FALSE))</f>
        <v>0</v>
      </c>
      <c r="N15" s="12">
        <f>(VLOOKUP(main!V15,main!$AO$4:$AR$55,4,FALSE))</f>
        <v>0</v>
      </c>
      <c r="O15" s="12">
        <f>(VLOOKUP(main!W15,main!$AO$4:$AR$55,4,FALSE))</f>
        <v>0</v>
      </c>
      <c r="P15" s="12">
        <f>(VLOOKUP(main!X15,main!$AO$4:$AR$55,4,FALSE))</f>
        <v>0</v>
      </c>
      <c r="Q15" s="12">
        <f>(VLOOKUP(main!Y15,main!$AO$4:$AR$55,4,FALSE))</f>
        <v>0</v>
      </c>
      <c r="R15" s="12">
        <f>(VLOOKUP(main!Z15,main!$AO$4:$AR$55,4,FALSE))</f>
        <v>0</v>
      </c>
      <c r="S15" s="12">
        <f>(VLOOKUP(main!AA15,main!$AO$4:$AR$55,4,FALSE))</f>
        <v>0</v>
      </c>
      <c r="T15" s="12">
        <f>(VLOOKUP(main!AB15,main!$AO$4:$AR$55,4,FALSE))</f>
        <v>0</v>
      </c>
      <c r="U15" s="12">
        <f>(VLOOKUP(main!AC15,main!$AO$4:$AR$55,4,FALSE))</f>
        <v>0</v>
      </c>
      <c r="V15" s="12">
        <f>(VLOOKUP(main!AD15,main!$AO$4:$AR$55,4,FALSE))</f>
        <v>0</v>
      </c>
      <c r="W15" s="12">
        <f>(VLOOKUP(main!AE15,main!$AO$4:$AR$55,4,FALSE))</f>
        <v>0</v>
      </c>
      <c r="X15" s="12">
        <f>(VLOOKUP(main!AF15,main!$AO$4:$AR$55,4,FALSE))</f>
        <v>0</v>
      </c>
    </row>
    <row r="16" spans="1:24">
      <c r="A16" s="12">
        <f>(VLOOKUP(main!I16,main!$AO$4:$AR$55,4,FALSE))</f>
        <v>34</v>
      </c>
      <c r="B16" s="12">
        <f>(VLOOKUP(main!J16,main!$AO$4:$AR$55,4,FALSE))</f>
        <v>34</v>
      </c>
      <c r="C16" s="12">
        <f>(VLOOKUP(main!K16,main!$AO$4:$AR$55,4,FALSE))</f>
        <v>34</v>
      </c>
      <c r="D16" s="12">
        <f>(VLOOKUP(main!L16,main!$AO$4:$AR$55,4,FALSE))</f>
        <v>34</v>
      </c>
      <c r="E16" s="12">
        <f>(VLOOKUP(main!M16,main!$AO$4:$AR$55,4,FALSE))</f>
        <v>34</v>
      </c>
      <c r="F16" s="12">
        <f>(VLOOKUP(main!N16,main!$AO$4:$AR$55,4,FALSE))</f>
        <v>34</v>
      </c>
      <c r="G16" s="12">
        <f>(VLOOKUP(main!O16,main!$AO$4:$AR$55,4,FALSE))</f>
        <v>34</v>
      </c>
      <c r="H16" s="12">
        <f>(VLOOKUP(main!P16,main!$AO$4:$AR$55,4,FALSE))</f>
        <v>34</v>
      </c>
      <c r="I16" s="12">
        <f>(VLOOKUP(main!Q16,main!$AO$4:$AR$55,4,FALSE))</f>
        <v>10</v>
      </c>
      <c r="J16" s="12">
        <f>(VLOOKUP(main!R16,main!$AO$4:$AR$55,4,FALSE))</f>
        <v>44.222109392472198</v>
      </c>
      <c r="K16" s="12">
        <f>(VLOOKUP(main!S16,main!$AO$4:$AR$55,4,FALSE))</f>
        <v>44.222109392472198</v>
      </c>
      <c r="L16" s="12">
        <f>(VLOOKUP(main!T16,main!$AO$4:$AR$55,4,FALSE))</f>
        <v>44.222109392472198</v>
      </c>
      <c r="M16" s="12">
        <f>(VLOOKUP(main!U16,main!$AO$4:$AR$55,4,FALSE))</f>
        <v>44.222109392472198</v>
      </c>
      <c r="N16" s="12">
        <f>(VLOOKUP(main!V16,main!$AO$4:$AR$55,4,FALSE))</f>
        <v>10</v>
      </c>
      <c r="O16" s="12">
        <f>(VLOOKUP(main!W16,main!$AO$4:$AR$55,4,FALSE))</f>
        <v>39.110982162825401</v>
      </c>
      <c r="P16" s="12">
        <f>(VLOOKUP(main!X16,main!$AO$4:$AR$55,4,FALSE))</f>
        <v>39.110982162825401</v>
      </c>
      <c r="Q16" s="12">
        <f>(VLOOKUP(main!Y16,main!$AO$4:$AR$55,4,FALSE))</f>
        <v>39.110982162825401</v>
      </c>
      <c r="R16" s="12">
        <f>(VLOOKUP(main!Z16,main!$AO$4:$AR$55,4,FALSE))</f>
        <v>29.110982162825401</v>
      </c>
      <c r="S16" s="12">
        <f>(VLOOKUP(main!AA16,main!$AO$4:$AR$55,4,FALSE))</f>
        <v>39.110982162825401</v>
      </c>
      <c r="T16" s="12">
        <f>(VLOOKUP(main!AB16,main!$AO$4:$AR$55,4,FALSE))</f>
        <v>39.110982162825401</v>
      </c>
      <c r="U16" s="12">
        <f>(VLOOKUP(main!AC16,main!$AO$4:$AR$55,4,FALSE))</f>
        <v>10</v>
      </c>
      <c r="V16" s="12">
        <f>(VLOOKUP(main!AD16,main!$AO$4:$AR$55,4,FALSE))</f>
        <v>39.110982162825401</v>
      </c>
      <c r="W16" s="12">
        <f>(VLOOKUP(main!AE16,main!$AO$4:$AR$55,4,FALSE))</f>
        <v>10</v>
      </c>
      <c r="X16" s="12">
        <f>(VLOOKUP(main!AF16,main!$AO$4:$AR$55,4,FALSE))</f>
        <v>0</v>
      </c>
    </row>
    <row r="17" spans="1:24">
      <c r="A17" s="12">
        <f>(VLOOKUP(main!I17,main!$AO$4:$AR$55,4,FALSE))</f>
        <v>34</v>
      </c>
      <c r="B17" s="12">
        <f>(VLOOKUP(main!J17,main!$AO$4:$AR$55,4,FALSE))</f>
        <v>34</v>
      </c>
      <c r="C17" s="12">
        <f>(VLOOKUP(main!K17,main!$AO$4:$AR$55,4,FALSE))</f>
        <v>34</v>
      </c>
      <c r="D17" s="12">
        <f>(VLOOKUP(main!L17,main!$AO$4:$AR$55,4,FALSE))</f>
        <v>34</v>
      </c>
      <c r="E17" s="12">
        <f>(VLOOKUP(main!M17,main!$AO$4:$AR$55,4,FALSE))</f>
        <v>34</v>
      </c>
      <c r="F17" s="12">
        <f>(VLOOKUP(main!N17,main!$AO$4:$AR$55,4,FALSE))</f>
        <v>34</v>
      </c>
      <c r="G17" s="12">
        <f>(VLOOKUP(main!O17,main!$AO$4:$AR$55,4,FALSE))</f>
        <v>34</v>
      </c>
      <c r="H17" s="12">
        <f>(VLOOKUP(main!P17,main!$AO$4:$AR$55,4,FALSE))</f>
        <v>34</v>
      </c>
      <c r="I17" s="12">
        <f>(VLOOKUP(main!Q17,main!$AO$4:$AR$55,4,FALSE))</f>
        <v>34</v>
      </c>
      <c r="J17" s="12">
        <f>(VLOOKUP(main!R17,main!$AO$4:$AR$55,4,FALSE))</f>
        <v>10</v>
      </c>
      <c r="K17" s="12">
        <f>(VLOOKUP(main!S17,main!$AO$4:$AR$55,4,FALSE))</f>
        <v>34</v>
      </c>
      <c r="L17" s="12">
        <f>(VLOOKUP(main!T17,main!$AO$4:$AR$55,4,FALSE))</f>
        <v>34</v>
      </c>
      <c r="M17" s="12">
        <f>(VLOOKUP(main!U17,main!$AO$4:$AR$55,4,FALSE))</f>
        <v>34</v>
      </c>
      <c r="N17" s="12">
        <f>(VLOOKUP(main!V17,main!$AO$4:$AR$55,4,FALSE))</f>
        <v>10</v>
      </c>
      <c r="O17" s="12">
        <f>(VLOOKUP(main!W17,main!$AO$4:$AR$55,4,FALSE))</f>
        <v>34</v>
      </c>
      <c r="P17" s="12">
        <f>(VLOOKUP(main!X17,main!$AO$4:$AR$55,4,FALSE))</f>
        <v>34</v>
      </c>
      <c r="Q17" s="12">
        <f>(VLOOKUP(main!Y17,main!$AO$4:$AR$55,4,FALSE))</f>
        <v>34</v>
      </c>
      <c r="R17" s="12">
        <f>(VLOOKUP(main!Z17,main!$AO$4:$AR$55,4,FALSE))</f>
        <v>34</v>
      </c>
      <c r="S17" s="12">
        <f>(VLOOKUP(main!AA17,main!$AO$4:$AR$55,4,FALSE))</f>
        <v>34</v>
      </c>
      <c r="T17" s="12">
        <f>(VLOOKUP(main!AB17,main!$AO$4:$AR$55,4,FALSE))</f>
        <v>34</v>
      </c>
      <c r="U17" s="12">
        <f>(VLOOKUP(main!AC17,main!$AO$4:$AR$55,4,FALSE))</f>
        <v>34</v>
      </c>
      <c r="V17" s="12">
        <f>(VLOOKUP(main!AD17,main!$AO$4:$AR$55,4,FALSE))</f>
        <v>34</v>
      </c>
      <c r="W17" s="12">
        <f>(VLOOKUP(main!AE17,main!$AO$4:$AR$55,4,FALSE))</f>
        <v>34</v>
      </c>
      <c r="X17" s="12">
        <f>(VLOOKUP(main!AF17,main!$AO$4:$AR$55,4,FALSE))</f>
        <v>10</v>
      </c>
    </row>
    <row r="18" spans="1:24">
      <c r="A18" s="12">
        <f>(VLOOKUP(main!I18,main!$AO$4:$AR$55,4,FALSE))</f>
        <v>10</v>
      </c>
      <c r="B18" s="12">
        <f>(VLOOKUP(main!J18,main!$AO$4:$AR$55,4,FALSE))</f>
        <v>10</v>
      </c>
      <c r="C18" s="12">
        <f>(VLOOKUP(main!K18,main!$AO$4:$AR$55,4,FALSE))</f>
        <v>10</v>
      </c>
      <c r="D18" s="12">
        <f>(VLOOKUP(main!L18,main!$AO$4:$AR$55,4,FALSE))</f>
        <v>10</v>
      </c>
      <c r="E18" s="12">
        <f>(VLOOKUP(main!M18,main!$AO$4:$AR$55,4,FALSE))</f>
        <v>10</v>
      </c>
      <c r="F18" s="12">
        <f>(VLOOKUP(main!N18,main!$AO$4:$AR$55,4,FALSE))</f>
        <v>10</v>
      </c>
      <c r="G18" s="12">
        <f>(VLOOKUP(main!O18,main!$AO$4:$AR$55,4,FALSE))</f>
        <v>0</v>
      </c>
      <c r="H18" s="12">
        <f>(VLOOKUP(main!P18,main!$AO$4:$AR$55,4,FALSE))</f>
        <v>0</v>
      </c>
      <c r="I18" s="12">
        <f>(VLOOKUP(main!Q18,main!$AO$4:$AR$55,4,FALSE))</f>
        <v>0</v>
      </c>
      <c r="J18" s="12">
        <f>(VLOOKUP(main!R18,main!$AO$4:$AR$55,4,FALSE))</f>
        <v>0</v>
      </c>
      <c r="K18" s="12">
        <f>(VLOOKUP(main!S18,main!$AO$4:$AR$55,4,FALSE))</f>
        <v>0</v>
      </c>
      <c r="L18" s="12">
        <f>(VLOOKUP(main!T18,main!$AO$4:$AR$55,4,FALSE))</f>
        <v>0</v>
      </c>
      <c r="M18" s="12">
        <f>(VLOOKUP(main!U18,main!$AO$4:$AR$55,4,FALSE))</f>
        <v>0</v>
      </c>
      <c r="N18" s="12">
        <f>(VLOOKUP(main!V18,main!$AO$4:$AR$55,4,FALSE))</f>
        <v>0</v>
      </c>
      <c r="O18" s="12">
        <f>(VLOOKUP(main!W18,main!$AO$4:$AR$55,4,FALSE))</f>
        <v>0</v>
      </c>
      <c r="P18" s="12">
        <f>(VLOOKUP(main!X18,main!$AO$4:$AR$55,4,FALSE))</f>
        <v>0</v>
      </c>
      <c r="Q18" s="12">
        <f>(VLOOKUP(main!Y18,main!$AO$4:$AR$55,4,FALSE))</f>
        <v>0</v>
      </c>
      <c r="R18" s="12">
        <f>(VLOOKUP(main!Z18,main!$AO$4:$AR$55,4,FALSE))</f>
        <v>0</v>
      </c>
      <c r="S18" s="12">
        <f>(VLOOKUP(main!AA18,main!$AO$4:$AR$55,4,FALSE))</f>
        <v>0</v>
      </c>
      <c r="T18" s="12">
        <f>(VLOOKUP(main!AB18,main!$AO$4:$AR$55,4,FALSE))</f>
        <v>0</v>
      </c>
      <c r="U18" s="12">
        <f>(VLOOKUP(main!AC18,main!$AO$4:$AR$55,4,FALSE))</f>
        <v>0</v>
      </c>
      <c r="V18" s="12">
        <f>(VLOOKUP(main!AD18,main!$AO$4:$AR$55,4,FALSE))</f>
        <v>0</v>
      </c>
      <c r="W18" s="12">
        <f>(VLOOKUP(main!AE18,main!$AO$4:$AR$55,4,FALSE))</f>
        <v>0</v>
      </c>
      <c r="X18" s="12">
        <f>(VLOOKUP(main!AF18,main!$AO$4:$AR$55,4,FALSE))</f>
        <v>0</v>
      </c>
    </row>
    <row r="19" spans="1:24">
      <c r="A19" s="12">
        <f>(VLOOKUP(main!I19,main!$AO$4:$AR$55,4,FALSE))</f>
        <v>10</v>
      </c>
      <c r="B19" s="12">
        <f>(VLOOKUP(main!J19,main!$AO$4:$AR$55,4,FALSE))</f>
        <v>10</v>
      </c>
      <c r="C19" s="12">
        <f>(VLOOKUP(main!K19,main!$AO$4:$AR$55,4,FALSE))</f>
        <v>10</v>
      </c>
      <c r="D19" s="12">
        <f>(VLOOKUP(main!L19,main!$AO$4:$AR$55,4,FALSE))</f>
        <v>10</v>
      </c>
      <c r="E19" s="12">
        <f>(VLOOKUP(main!M19,main!$AO$4:$AR$55,4,FALSE))</f>
        <v>0</v>
      </c>
      <c r="F19" s="12">
        <f>(VLOOKUP(main!N19,main!$AO$4:$AR$55,4,FALSE))</f>
        <v>0</v>
      </c>
      <c r="G19" s="12">
        <f>(VLOOKUP(main!O19,main!$AO$4:$AR$55,4,FALSE))</f>
        <v>0</v>
      </c>
      <c r="H19" s="12">
        <f>(VLOOKUP(main!P19,main!$AO$4:$AR$55,4,FALSE))</f>
        <v>0</v>
      </c>
      <c r="I19" s="12">
        <f>(VLOOKUP(main!Q19,main!$AO$4:$AR$55,4,FALSE))</f>
        <v>0</v>
      </c>
      <c r="J19" s="12">
        <f>(VLOOKUP(main!R19,main!$AO$4:$AR$55,4,FALSE))</f>
        <v>0</v>
      </c>
      <c r="K19" s="12">
        <f>(VLOOKUP(main!S19,main!$AO$4:$AR$55,4,FALSE))</f>
        <v>0</v>
      </c>
      <c r="L19" s="12">
        <f>(VLOOKUP(main!T19,main!$AO$4:$AR$55,4,FALSE))</f>
        <v>0</v>
      </c>
      <c r="M19" s="12">
        <f>(VLOOKUP(main!U19,main!$AO$4:$AR$55,4,FALSE))</f>
        <v>0</v>
      </c>
      <c r="N19" s="12">
        <f>(VLOOKUP(main!V19,main!$AO$4:$AR$55,4,FALSE))</f>
        <v>0</v>
      </c>
      <c r="O19" s="12">
        <f>(VLOOKUP(main!W19,main!$AO$4:$AR$55,4,FALSE))</f>
        <v>0</v>
      </c>
      <c r="P19" s="12">
        <f>(VLOOKUP(main!X19,main!$AO$4:$AR$55,4,FALSE))</f>
        <v>0</v>
      </c>
      <c r="Q19" s="12">
        <f>(VLOOKUP(main!Y19,main!$AO$4:$AR$55,4,FALSE))</f>
        <v>0</v>
      </c>
      <c r="R19" s="12">
        <f>(VLOOKUP(main!Z19,main!$AO$4:$AR$55,4,FALSE))</f>
        <v>0</v>
      </c>
      <c r="S19" s="12">
        <f>(VLOOKUP(main!AA19,main!$AO$4:$AR$55,4,FALSE))</f>
        <v>0</v>
      </c>
      <c r="T19" s="12">
        <f>(VLOOKUP(main!AB19,main!$AO$4:$AR$55,4,FALSE))</f>
        <v>0</v>
      </c>
      <c r="U19" s="12">
        <f>(VLOOKUP(main!AC19,main!$AO$4:$AR$55,4,FALSE))</f>
        <v>0</v>
      </c>
      <c r="V19" s="12">
        <f>(VLOOKUP(main!AD19,main!$AO$4:$AR$55,4,FALSE))</f>
        <v>0</v>
      </c>
      <c r="W19" s="12">
        <f>(VLOOKUP(main!AE19,main!$AO$4:$AR$55,4,FALSE))</f>
        <v>0</v>
      </c>
      <c r="X19" s="12">
        <f>(VLOOKUP(main!AF19,main!$AO$4:$AR$55,4,FALSE))</f>
        <v>0</v>
      </c>
    </row>
    <row r="20" spans="1:24">
      <c r="A20" s="12">
        <f>(VLOOKUP(main!I20,main!$AO$4:$AR$55,4,FALSE))</f>
        <v>36</v>
      </c>
      <c r="B20" s="12">
        <f>(VLOOKUP(main!J20,main!$AO$4:$AR$55,4,FALSE))</f>
        <v>36</v>
      </c>
      <c r="C20" s="12">
        <f>(VLOOKUP(main!K20,main!$AO$4:$AR$55,4,FALSE))</f>
        <v>36</v>
      </c>
      <c r="D20" s="12">
        <f>(VLOOKUP(main!L20,main!$AO$4:$AR$55,4,FALSE))</f>
        <v>36</v>
      </c>
      <c r="E20" s="12">
        <f>(VLOOKUP(main!M20,main!$AO$4:$AR$55,4,FALSE))</f>
        <v>36</v>
      </c>
      <c r="F20" s="12">
        <f>(VLOOKUP(main!N20,main!$AO$4:$AR$55,4,FALSE))</f>
        <v>36</v>
      </c>
      <c r="G20" s="12">
        <f>(VLOOKUP(main!O20,main!$AO$4:$AR$55,4,FALSE))</f>
        <v>36</v>
      </c>
      <c r="H20" s="12">
        <f>(VLOOKUP(main!P20,main!$AO$4:$AR$55,4,FALSE))</f>
        <v>36</v>
      </c>
      <c r="I20" s="12">
        <f>(VLOOKUP(main!Q20,main!$AO$4:$AR$55,4,FALSE))</f>
        <v>38</v>
      </c>
      <c r="J20" s="12">
        <f>(VLOOKUP(main!R20,main!$AO$4:$AR$55,4,FALSE))</f>
        <v>38</v>
      </c>
      <c r="K20" s="12">
        <f>(VLOOKUP(main!S20,main!$AO$4:$AR$55,4,FALSE))</f>
        <v>38</v>
      </c>
      <c r="L20" s="12">
        <f>(VLOOKUP(main!T20,main!$AO$4:$AR$55,4,FALSE))</f>
        <v>38</v>
      </c>
      <c r="M20" s="12">
        <f>(VLOOKUP(main!U20,main!$AO$4:$AR$55,4,FALSE))</f>
        <v>38</v>
      </c>
      <c r="N20" s="12">
        <f>(VLOOKUP(main!V20,main!$AO$4:$AR$55,4,FALSE))</f>
        <v>38</v>
      </c>
      <c r="O20" s="12">
        <f>(VLOOKUP(main!W20,main!$AO$4:$AR$55,4,FALSE))</f>
        <v>38</v>
      </c>
      <c r="P20" s="12">
        <f>(VLOOKUP(main!X20,main!$AO$4:$AR$55,4,FALSE))</f>
        <v>38</v>
      </c>
      <c r="Q20" s="12">
        <f>(VLOOKUP(main!Y20,main!$AO$4:$AR$55,4,FALSE))</f>
        <v>40</v>
      </c>
      <c r="R20" s="12">
        <f>(VLOOKUP(main!Z20,main!$AO$4:$AR$55,4,FALSE))</f>
        <v>40</v>
      </c>
      <c r="S20" s="12">
        <f>(VLOOKUP(main!AA20,main!$AO$4:$AR$55,4,FALSE))</f>
        <v>40</v>
      </c>
      <c r="T20" s="12">
        <f>(VLOOKUP(main!AB20,main!$AO$4:$AR$55,4,FALSE))</f>
        <v>40</v>
      </c>
      <c r="U20" s="12">
        <f>(VLOOKUP(main!AC20,main!$AO$4:$AR$55,4,FALSE))</f>
        <v>40</v>
      </c>
      <c r="V20" s="12">
        <f>(VLOOKUP(main!AD20,main!$AO$4:$AR$55,4,FALSE))</f>
        <v>40</v>
      </c>
      <c r="W20" s="12">
        <f>(VLOOKUP(main!AE20,main!$AO$4:$AR$55,4,FALSE))</f>
        <v>40</v>
      </c>
      <c r="X20" s="12">
        <f>(VLOOKUP(main!AF20,main!$AO$4:$AR$55,4,FALSE))</f>
        <v>40</v>
      </c>
    </row>
    <row r="21" spans="1:24">
      <c r="A21" s="12">
        <f>(VLOOKUP(main!I21,main!$AO$4:$AR$55,4,FALSE))</f>
        <v>36</v>
      </c>
      <c r="B21" s="12">
        <f>(VLOOKUP(main!J21,main!$AO$4:$AR$55,4,FALSE))</f>
        <v>36</v>
      </c>
      <c r="C21" s="12">
        <f>(VLOOKUP(main!K21,main!$AO$4:$AR$55,4,FALSE))</f>
        <v>36</v>
      </c>
      <c r="D21" s="12">
        <f>(VLOOKUP(main!L21,main!$AO$4:$AR$55,4,FALSE))</f>
        <v>36</v>
      </c>
      <c r="E21" s="12">
        <f>(VLOOKUP(main!M21,main!$AO$4:$AR$55,4,FALSE))</f>
        <v>36</v>
      </c>
      <c r="F21" s="12">
        <f>(VLOOKUP(main!N21,main!$AO$4:$AR$55,4,FALSE))</f>
        <v>36</v>
      </c>
      <c r="G21" s="12">
        <f>(VLOOKUP(main!O21,main!$AO$4:$AR$55,4,FALSE))</f>
        <v>36</v>
      </c>
      <c r="H21" s="12">
        <f>(VLOOKUP(main!P21,main!$AO$4:$AR$55,4,FALSE))</f>
        <v>36</v>
      </c>
      <c r="I21" s="12">
        <f>(VLOOKUP(main!Q21,main!$AO$4:$AR$55,4,FALSE))</f>
        <v>38</v>
      </c>
      <c r="J21" s="12">
        <f>(VLOOKUP(main!R21,main!$AO$4:$AR$55,4,FALSE))</f>
        <v>38</v>
      </c>
      <c r="K21" s="12">
        <f>(VLOOKUP(main!S21,main!$AO$4:$AR$55,4,FALSE))</f>
        <v>38</v>
      </c>
      <c r="L21" s="12">
        <f>(VLOOKUP(main!T21,main!$AO$4:$AR$55,4,FALSE))</f>
        <v>38</v>
      </c>
      <c r="M21" s="12">
        <f>(VLOOKUP(main!U21,main!$AO$4:$AR$55,4,FALSE))</f>
        <v>38</v>
      </c>
      <c r="N21" s="12">
        <f>(VLOOKUP(main!V21,main!$AO$4:$AR$55,4,FALSE))</f>
        <v>38</v>
      </c>
      <c r="O21" s="12">
        <f>(VLOOKUP(main!W21,main!$AO$4:$AR$55,4,FALSE))</f>
        <v>38</v>
      </c>
      <c r="P21" s="12">
        <f>(VLOOKUP(main!X21,main!$AO$4:$AR$55,4,FALSE))</f>
        <v>38</v>
      </c>
      <c r="Q21" s="12">
        <f>(VLOOKUP(main!Y21,main!$AO$4:$AR$55,4,FALSE))</f>
        <v>40</v>
      </c>
      <c r="R21" s="12">
        <f>(VLOOKUP(main!Z21,main!$AO$4:$AR$55,4,FALSE))</f>
        <v>40</v>
      </c>
      <c r="S21" s="12">
        <f>(VLOOKUP(main!AA21,main!$AO$4:$AR$55,4,FALSE))</f>
        <v>40</v>
      </c>
      <c r="T21" s="12">
        <f>(VLOOKUP(main!AB21,main!$AO$4:$AR$55,4,FALSE))</f>
        <v>40</v>
      </c>
      <c r="U21" s="12">
        <f>(VLOOKUP(main!AC21,main!$AO$4:$AR$55,4,FALSE))</f>
        <v>40</v>
      </c>
      <c r="V21" s="12">
        <f>(VLOOKUP(main!AD21,main!$AO$4:$AR$55,4,FALSE))</f>
        <v>40</v>
      </c>
      <c r="W21" s="12">
        <f>(VLOOKUP(main!AE21,main!$AO$4:$AR$55,4,FALSE))</f>
        <v>40</v>
      </c>
      <c r="X21" s="12">
        <f>(VLOOKUP(main!AF21,main!$AO$4:$AR$55,4,FALSE))</f>
        <v>40</v>
      </c>
    </row>
    <row r="22" spans="1:24">
      <c r="A22" s="12">
        <f>(VLOOKUP(main!I22,main!$AO$4:$AR$55,4,FALSE))</f>
        <v>36</v>
      </c>
      <c r="B22" s="12">
        <f>(VLOOKUP(main!J22,main!$AO$4:$AR$55,4,FALSE))</f>
        <v>36</v>
      </c>
      <c r="C22" s="12">
        <f>(VLOOKUP(main!K22,main!$AO$4:$AR$55,4,FALSE))</f>
        <v>36</v>
      </c>
      <c r="D22" s="12">
        <f>(VLOOKUP(main!L22,main!$AO$4:$AR$55,4,FALSE))</f>
        <v>36</v>
      </c>
      <c r="E22" s="12">
        <f>(VLOOKUP(main!M22,main!$AO$4:$AR$55,4,FALSE))</f>
        <v>36</v>
      </c>
      <c r="F22" s="12">
        <f>(VLOOKUP(main!N22,main!$AO$4:$AR$55,4,FALSE))</f>
        <v>36</v>
      </c>
      <c r="G22" s="12">
        <f>(VLOOKUP(main!O22,main!$AO$4:$AR$55,4,FALSE))</f>
        <v>36</v>
      </c>
      <c r="H22" s="12">
        <f>(VLOOKUP(main!P22,main!$AO$4:$AR$55,4,FALSE))</f>
        <v>36</v>
      </c>
      <c r="I22" s="12">
        <f>(VLOOKUP(main!Q22,main!$AO$4:$AR$55,4,FALSE))</f>
        <v>38</v>
      </c>
      <c r="J22" s="12">
        <f>(VLOOKUP(main!R22,main!$AO$4:$AR$55,4,FALSE))</f>
        <v>38</v>
      </c>
      <c r="K22" s="12">
        <f>(VLOOKUP(main!S22,main!$AO$4:$AR$55,4,FALSE))</f>
        <v>38</v>
      </c>
      <c r="L22" s="12">
        <f>(VLOOKUP(main!T22,main!$AO$4:$AR$55,4,FALSE))</f>
        <v>38</v>
      </c>
      <c r="M22" s="12">
        <f>(VLOOKUP(main!U22,main!$AO$4:$AR$55,4,FALSE))</f>
        <v>38</v>
      </c>
      <c r="N22" s="12">
        <f>(VLOOKUP(main!V22,main!$AO$4:$AR$55,4,FALSE))</f>
        <v>38</v>
      </c>
      <c r="O22" s="12">
        <f>(VLOOKUP(main!W22,main!$AO$4:$AR$55,4,FALSE))</f>
        <v>38</v>
      </c>
      <c r="P22" s="12">
        <f>(VLOOKUP(main!X22,main!$AO$4:$AR$55,4,FALSE))</f>
        <v>38</v>
      </c>
      <c r="Q22" s="12">
        <f>(VLOOKUP(main!Y22,main!$AO$4:$AR$55,4,FALSE))</f>
        <v>40</v>
      </c>
      <c r="R22" s="12">
        <f>(VLOOKUP(main!Z22,main!$AO$4:$AR$55,4,FALSE))</f>
        <v>40</v>
      </c>
      <c r="S22" s="12">
        <f>(VLOOKUP(main!AA22,main!$AO$4:$AR$55,4,FALSE))</f>
        <v>40</v>
      </c>
      <c r="T22" s="12">
        <f>(VLOOKUP(main!AB22,main!$AO$4:$AR$55,4,FALSE))</f>
        <v>40</v>
      </c>
      <c r="U22" s="12">
        <f>(VLOOKUP(main!AC22,main!$AO$4:$AR$55,4,FALSE))</f>
        <v>40</v>
      </c>
      <c r="V22" s="12">
        <f>(VLOOKUP(main!AD22,main!$AO$4:$AR$55,4,FALSE))</f>
        <v>40</v>
      </c>
      <c r="W22" s="12">
        <f>(VLOOKUP(main!AE22,main!$AO$4:$AR$55,4,FALSE))</f>
        <v>40</v>
      </c>
      <c r="X22" s="12">
        <f>(VLOOKUP(main!AF22,main!$AO$4:$AR$55,4,FALSE))</f>
        <v>40</v>
      </c>
    </row>
    <row r="23" spans="1:24">
      <c r="A23" s="12">
        <f>(VLOOKUP(main!I23,main!$AO$4:$AR$55,4,FALSE))</f>
        <v>36</v>
      </c>
      <c r="B23" s="12">
        <f>(VLOOKUP(main!J23,main!$AO$4:$AR$55,4,FALSE))</f>
        <v>36</v>
      </c>
      <c r="C23" s="12">
        <f>(VLOOKUP(main!K23,main!$AO$4:$AR$55,4,FALSE))</f>
        <v>36</v>
      </c>
      <c r="D23" s="12">
        <f>(VLOOKUP(main!L23,main!$AO$4:$AR$55,4,FALSE))</f>
        <v>36</v>
      </c>
      <c r="E23" s="12">
        <f>(VLOOKUP(main!M23,main!$AO$4:$AR$55,4,FALSE))</f>
        <v>36</v>
      </c>
      <c r="F23" s="12">
        <f>(VLOOKUP(main!N23,main!$AO$4:$AR$55,4,FALSE))</f>
        <v>36</v>
      </c>
      <c r="G23" s="12">
        <f>(VLOOKUP(main!O23,main!$AO$4:$AR$55,4,FALSE))</f>
        <v>36</v>
      </c>
      <c r="H23" s="12">
        <f>(VLOOKUP(main!P23,main!$AO$4:$AR$55,4,FALSE))</f>
        <v>36</v>
      </c>
      <c r="I23" s="12">
        <f>(VLOOKUP(main!Q23,main!$AO$4:$AR$55,4,FALSE))</f>
        <v>38</v>
      </c>
      <c r="J23" s="12">
        <f>(VLOOKUP(main!R23,main!$AO$4:$AR$55,4,FALSE))</f>
        <v>38</v>
      </c>
      <c r="K23" s="12">
        <f>(VLOOKUP(main!S23,main!$AO$4:$AR$55,4,FALSE))</f>
        <v>38</v>
      </c>
      <c r="L23" s="12">
        <f>(VLOOKUP(main!T23,main!$AO$4:$AR$55,4,FALSE))</f>
        <v>38</v>
      </c>
      <c r="M23" s="12">
        <f>(VLOOKUP(main!U23,main!$AO$4:$AR$55,4,FALSE))</f>
        <v>38</v>
      </c>
      <c r="N23" s="12">
        <f>(VLOOKUP(main!V23,main!$AO$4:$AR$55,4,FALSE))</f>
        <v>38</v>
      </c>
      <c r="O23" s="12">
        <f>(VLOOKUP(main!W23,main!$AO$4:$AR$55,4,FALSE))</f>
        <v>38</v>
      </c>
      <c r="P23" s="12">
        <f>(VLOOKUP(main!X23,main!$AO$4:$AR$55,4,FALSE))</f>
        <v>38</v>
      </c>
      <c r="Q23" s="12">
        <f>(VLOOKUP(main!Y23,main!$AO$4:$AR$55,4,FALSE))</f>
        <v>40</v>
      </c>
      <c r="R23" s="12">
        <f>(VLOOKUP(main!Z23,main!$AO$4:$AR$55,4,FALSE))</f>
        <v>40</v>
      </c>
      <c r="S23" s="12">
        <f>(VLOOKUP(main!AA23,main!$AO$4:$AR$55,4,FALSE))</f>
        <v>40</v>
      </c>
      <c r="T23" s="12">
        <f>(VLOOKUP(main!AB23,main!$AO$4:$AR$55,4,FALSE))</f>
        <v>40</v>
      </c>
      <c r="U23" s="12">
        <f>(VLOOKUP(main!AC23,main!$AO$4:$AR$55,4,FALSE))</f>
        <v>40</v>
      </c>
      <c r="V23" s="12">
        <f>(VLOOKUP(main!AD23,main!$AO$4:$AR$55,4,FALSE))</f>
        <v>40</v>
      </c>
      <c r="W23" s="12">
        <f>(VLOOKUP(main!AE23,main!$AO$4:$AR$55,4,FALSE))</f>
        <v>40</v>
      </c>
      <c r="X23" s="12">
        <f>(VLOOKUP(main!AF23,main!$AO$4:$AR$55,4,FALSE))</f>
        <v>40</v>
      </c>
    </row>
    <row r="24" spans="1:24">
      <c r="A24" s="12">
        <f>(VLOOKUP(main!I24,main!$AO$4:$AR$55,4,FALSE))</f>
        <v>36</v>
      </c>
      <c r="B24" s="12">
        <f>(VLOOKUP(main!J24,main!$AO$4:$AR$55,4,FALSE))</f>
        <v>36</v>
      </c>
      <c r="C24" s="12">
        <f>(VLOOKUP(main!K24,main!$AO$4:$AR$55,4,FALSE))</f>
        <v>36</v>
      </c>
      <c r="D24" s="12">
        <f>(VLOOKUP(main!L24,main!$AO$4:$AR$55,4,FALSE))</f>
        <v>36</v>
      </c>
      <c r="E24" s="12">
        <f>(VLOOKUP(main!M24,main!$AO$4:$AR$55,4,FALSE))</f>
        <v>36</v>
      </c>
      <c r="F24" s="12">
        <f>(VLOOKUP(main!N24,main!$AO$4:$AR$55,4,FALSE))</f>
        <v>36</v>
      </c>
      <c r="G24" s="12">
        <f>(VLOOKUP(main!O24,main!$AO$4:$AR$55,4,FALSE))</f>
        <v>36</v>
      </c>
      <c r="H24" s="12">
        <f>(VLOOKUP(main!P24,main!$AO$4:$AR$55,4,FALSE))</f>
        <v>36</v>
      </c>
      <c r="I24" s="12">
        <f>(VLOOKUP(main!Q24,main!$AO$4:$AR$55,4,FALSE))</f>
        <v>38</v>
      </c>
      <c r="J24" s="12">
        <f>(VLOOKUP(main!R24,main!$AO$4:$AR$55,4,FALSE))</f>
        <v>38</v>
      </c>
      <c r="K24" s="12">
        <f>(VLOOKUP(main!S24,main!$AO$4:$AR$55,4,FALSE))</f>
        <v>38</v>
      </c>
      <c r="L24" s="12">
        <f>(VLOOKUP(main!T24,main!$AO$4:$AR$55,4,FALSE))</f>
        <v>38</v>
      </c>
      <c r="M24" s="12">
        <f>(VLOOKUP(main!U24,main!$AO$4:$AR$55,4,FALSE))</f>
        <v>38</v>
      </c>
      <c r="N24" s="12">
        <f>(VLOOKUP(main!V24,main!$AO$4:$AR$55,4,FALSE))</f>
        <v>38</v>
      </c>
      <c r="O24" s="12">
        <f>(VLOOKUP(main!W24,main!$AO$4:$AR$55,4,FALSE))</f>
        <v>38</v>
      </c>
      <c r="P24" s="12">
        <f>(VLOOKUP(main!X24,main!$AO$4:$AR$55,4,FALSE))</f>
        <v>38</v>
      </c>
      <c r="Q24" s="12">
        <f>(VLOOKUP(main!Y24,main!$AO$4:$AR$55,4,FALSE))</f>
        <v>40</v>
      </c>
      <c r="R24" s="12">
        <f>(VLOOKUP(main!Z24,main!$AO$4:$AR$55,4,FALSE))</f>
        <v>40</v>
      </c>
      <c r="S24" s="12">
        <f>(VLOOKUP(main!AA24,main!$AO$4:$AR$55,4,FALSE))</f>
        <v>40</v>
      </c>
      <c r="T24" s="12">
        <f>(VLOOKUP(main!AB24,main!$AO$4:$AR$55,4,FALSE))</f>
        <v>40</v>
      </c>
      <c r="U24" s="12">
        <f>(VLOOKUP(main!AC24,main!$AO$4:$AR$55,4,FALSE))</f>
        <v>40</v>
      </c>
      <c r="V24" s="12">
        <f>(VLOOKUP(main!AD24,main!$AO$4:$AR$55,4,FALSE))</f>
        <v>40</v>
      </c>
      <c r="W24" s="12">
        <f>(VLOOKUP(main!AE24,main!$AO$4:$AR$55,4,FALSE))</f>
        <v>40</v>
      </c>
      <c r="X24" s="12">
        <f>(VLOOKUP(main!AF24,main!$AO$4:$AR$55,4,FALSE))</f>
        <v>40</v>
      </c>
    </row>
    <row r="25" spans="1:24">
      <c r="A25" s="12">
        <f>(VLOOKUP(main!I25,main!$AO$4:$AR$55,4,FALSE))</f>
        <v>36</v>
      </c>
      <c r="B25" s="12">
        <f>(VLOOKUP(main!J25,main!$AO$4:$AR$55,4,FALSE))</f>
        <v>36</v>
      </c>
      <c r="C25" s="12">
        <f>(VLOOKUP(main!K25,main!$AO$4:$AR$55,4,FALSE))</f>
        <v>36</v>
      </c>
      <c r="D25" s="12">
        <f>(VLOOKUP(main!L25,main!$AO$4:$AR$55,4,FALSE))</f>
        <v>36</v>
      </c>
      <c r="E25" s="12">
        <f>(VLOOKUP(main!M25,main!$AO$4:$AR$55,4,FALSE))</f>
        <v>36</v>
      </c>
      <c r="F25" s="12">
        <f>(VLOOKUP(main!N25,main!$AO$4:$AR$55,4,FALSE))</f>
        <v>36</v>
      </c>
      <c r="G25" s="12">
        <f>(VLOOKUP(main!O25,main!$AO$4:$AR$55,4,FALSE))</f>
        <v>36</v>
      </c>
      <c r="H25" s="12">
        <f>(VLOOKUP(main!P25,main!$AO$4:$AR$55,4,FALSE))</f>
        <v>36</v>
      </c>
      <c r="I25" s="12">
        <f>(VLOOKUP(main!Q25,main!$AO$4:$AR$55,4,FALSE))</f>
        <v>38</v>
      </c>
      <c r="J25" s="12">
        <f>(VLOOKUP(main!R25,main!$AO$4:$AR$55,4,FALSE))</f>
        <v>38</v>
      </c>
      <c r="K25" s="12">
        <f>(VLOOKUP(main!S25,main!$AO$4:$AR$55,4,FALSE))</f>
        <v>38</v>
      </c>
      <c r="L25" s="12">
        <f>(VLOOKUP(main!T25,main!$AO$4:$AR$55,4,FALSE))</f>
        <v>38</v>
      </c>
      <c r="M25" s="12">
        <f>(VLOOKUP(main!U25,main!$AO$4:$AR$55,4,FALSE))</f>
        <v>38</v>
      </c>
      <c r="N25" s="12">
        <f>(VLOOKUP(main!V25,main!$AO$4:$AR$55,4,FALSE))</f>
        <v>38</v>
      </c>
      <c r="O25" s="12">
        <f>(VLOOKUP(main!W25,main!$AO$4:$AR$55,4,FALSE))</f>
        <v>38</v>
      </c>
      <c r="P25" s="12">
        <f>(VLOOKUP(main!X25,main!$AO$4:$AR$55,4,FALSE))</f>
        <v>38</v>
      </c>
      <c r="Q25" s="12">
        <f>(VLOOKUP(main!Y25,main!$AO$4:$AR$55,4,FALSE))</f>
        <v>40</v>
      </c>
      <c r="R25" s="12">
        <f>(VLOOKUP(main!Z25,main!$AO$4:$AR$55,4,FALSE))</f>
        <v>40</v>
      </c>
      <c r="S25" s="12">
        <f>(VLOOKUP(main!AA25,main!$AO$4:$AR$55,4,FALSE))</f>
        <v>40</v>
      </c>
      <c r="T25" s="12">
        <f>(VLOOKUP(main!AB25,main!$AO$4:$AR$55,4,FALSE))</f>
        <v>40</v>
      </c>
      <c r="U25" s="12">
        <f>(VLOOKUP(main!AC25,main!$AO$4:$AR$55,4,FALSE))</f>
        <v>40</v>
      </c>
      <c r="V25" s="12">
        <f>(VLOOKUP(main!AD25,main!$AO$4:$AR$55,4,FALSE))</f>
        <v>40</v>
      </c>
      <c r="W25" s="12">
        <f>(VLOOKUP(main!AE25,main!$AO$4:$AR$55,4,FALSE))</f>
        <v>40</v>
      </c>
      <c r="X25" s="12">
        <f>(VLOOKUP(main!AF25,main!$AO$4:$AR$55,4,FALSE))</f>
        <v>40</v>
      </c>
    </row>
    <row r="26" spans="1:24">
      <c r="A26" s="12">
        <f>(VLOOKUP(main!I26,main!$AO$4:$AR$55,4,FALSE))</f>
        <v>36</v>
      </c>
      <c r="B26" s="12">
        <f>(VLOOKUP(main!J26,main!$AO$4:$AR$55,4,FALSE))</f>
        <v>36</v>
      </c>
      <c r="C26" s="12">
        <f>(VLOOKUP(main!K26,main!$AO$4:$AR$55,4,FALSE))</f>
        <v>36</v>
      </c>
      <c r="D26" s="12">
        <f>(VLOOKUP(main!L26,main!$AO$4:$AR$55,4,FALSE))</f>
        <v>36</v>
      </c>
      <c r="E26" s="12">
        <f>(VLOOKUP(main!M26,main!$AO$4:$AR$55,4,FALSE))</f>
        <v>36</v>
      </c>
      <c r="F26" s="12">
        <f>(VLOOKUP(main!N26,main!$AO$4:$AR$55,4,FALSE))</f>
        <v>36</v>
      </c>
      <c r="G26" s="12">
        <f>(VLOOKUP(main!O26,main!$AO$4:$AR$55,4,FALSE))</f>
        <v>36</v>
      </c>
      <c r="H26" s="12">
        <f>(VLOOKUP(main!P26,main!$AO$4:$AR$55,4,FALSE))</f>
        <v>36</v>
      </c>
      <c r="I26" s="12">
        <f>(VLOOKUP(main!Q26,main!$AO$4:$AR$55,4,FALSE))</f>
        <v>38</v>
      </c>
      <c r="J26" s="12">
        <f>(VLOOKUP(main!R26,main!$AO$4:$AR$55,4,FALSE))</f>
        <v>38</v>
      </c>
      <c r="K26" s="12">
        <f>(VLOOKUP(main!S26,main!$AO$4:$AR$55,4,FALSE))</f>
        <v>38</v>
      </c>
      <c r="L26" s="12">
        <f>(VLOOKUP(main!T26,main!$AO$4:$AR$55,4,FALSE))</f>
        <v>38</v>
      </c>
      <c r="M26" s="12">
        <f>(VLOOKUP(main!U26,main!$AO$4:$AR$55,4,FALSE))</f>
        <v>38</v>
      </c>
      <c r="N26" s="12">
        <f>(VLOOKUP(main!V26,main!$AO$4:$AR$55,4,FALSE))</f>
        <v>38</v>
      </c>
      <c r="O26" s="12">
        <f>(VLOOKUP(main!W26,main!$AO$4:$AR$55,4,FALSE))</f>
        <v>38</v>
      </c>
      <c r="P26" s="12">
        <f>(VLOOKUP(main!X26,main!$AO$4:$AR$55,4,FALSE))</f>
        <v>38</v>
      </c>
      <c r="Q26" s="12">
        <f>(VLOOKUP(main!Y26,main!$AO$4:$AR$55,4,FALSE))</f>
        <v>40</v>
      </c>
      <c r="R26" s="12">
        <f>(VLOOKUP(main!Z26,main!$AO$4:$AR$55,4,FALSE))</f>
        <v>40</v>
      </c>
      <c r="S26" s="12">
        <f>(VLOOKUP(main!AA26,main!$AO$4:$AR$55,4,FALSE))</f>
        <v>40</v>
      </c>
      <c r="T26" s="12">
        <f>(VLOOKUP(main!AB26,main!$AO$4:$AR$55,4,FALSE))</f>
        <v>40</v>
      </c>
      <c r="U26" s="12">
        <f>(VLOOKUP(main!AC26,main!$AO$4:$AR$55,4,FALSE))</f>
        <v>40</v>
      </c>
      <c r="V26" s="12">
        <f>(VLOOKUP(main!AD26,main!$AO$4:$AR$55,4,FALSE))</f>
        <v>40</v>
      </c>
      <c r="W26" s="12">
        <f>(VLOOKUP(main!AE26,main!$AO$4:$AR$55,4,FALSE))</f>
        <v>40</v>
      </c>
      <c r="X26" s="12">
        <f>(VLOOKUP(main!AF26,main!$AO$4:$AR$55,4,FALSE))</f>
        <v>40</v>
      </c>
    </row>
    <row r="27" spans="1:24">
      <c r="A27" s="12">
        <f>(VLOOKUP(main!I27,main!$AO$4:$AR$55,4,FALSE))</f>
        <v>36</v>
      </c>
      <c r="B27" s="12">
        <f>(VLOOKUP(main!J27,main!$AO$4:$AR$55,4,FALSE))</f>
        <v>36</v>
      </c>
      <c r="C27" s="12">
        <f>(VLOOKUP(main!K27,main!$AO$4:$AR$55,4,FALSE))</f>
        <v>36</v>
      </c>
      <c r="D27" s="12">
        <f>(VLOOKUP(main!L27,main!$AO$4:$AR$55,4,FALSE))</f>
        <v>36</v>
      </c>
      <c r="E27" s="12">
        <f>(VLOOKUP(main!M27,main!$AO$4:$AR$55,4,FALSE))</f>
        <v>36</v>
      </c>
      <c r="F27" s="12">
        <f>(VLOOKUP(main!N27,main!$AO$4:$AR$55,4,FALSE))</f>
        <v>36</v>
      </c>
      <c r="G27" s="12">
        <f>(VLOOKUP(main!O27,main!$AO$4:$AR$55,4,FALSE))</f>
        <v>36</v>
      </c>
      <c r="H27" s="12">
        <f>(VLOOKUP(main!P27,main!$AO$4:$AR$55,4,FALSE))</f>
        <v>36</v>
      </c>
      <c r="I27" s="12">
        <f>(VLOOKUP(main!Q27,main!$AO$4:$AR$55,4,FALSE))</f>
        <v>38</v>
      </c>
      <c r="J27" s="12">
        <f>(VLOOKUP(main!R27,main!$AO$4:$AR$55,4,FALSE))</f>
        <v>38</v>
      </c>
      <c r="K27" s="12">
        <f>(VLOOKUP(main!S27,main!$AO$4:$AR$55,4,FALSE))</f>
        <v>38</v>
      </c>
      <c r="L27" s="12">
        <f>(VLOOKUP(main!T27,main!$AO$4:$AR$55,4,FALSE))</f>
        <v>38</v>
      </c>
      <c r="M27" s="12">
        <f>(VLOOKUP(main!U27,main!$AO$4:$AR$55,4,FALSE))</f>
        <v>38</v>
      </c>
      <c r="N27" s="12">
        <f>(VLOOKUP(main!V27,main!$AO$4:$AR$55,4,FALSE))</f>
        <v>38</v>
      </c>
      <c r="O27" s="12">
        <f>(VLOOKUP(main!W27,main!$AO$4:$AR$55,4,FALSE))</f>
        <v>38</v>
      </c>
      <c r="P27" s="12">
        <f>(VLOOKUP(main!X27,main!$AO$4:$AR$55,4,FALSE))</f>
        <v>38</v>
      </c>
      <c r="Q27" s="12">
        <f>(VLOOKUP(main!Y27,main!$AO$4:$AR$55,4,FALSE))</f>
        <v>40</v>
      </c>
      <c r="R27" s="12">
        <f>(VLOOKUP(main!Z27,main!$AO$4:$AR$55,4,FALSE))</f>
        <v>40</v>
      </c>
      <c r="S27" s="12">
        <f>(VLOOKUP(main!AA27,main!$AO$4:$AR$55,4,FALSE))</f>
        <v>40</v>
      </c>
      <c r="T27" s="12">
        <f>(VLOOKUP(main!AB27,main!$AO$4:$AR$55,4,FALSE))</f>
        <v>40</v>
      </c>
      <c r="U27" s="12">
        <f>(VLOOKUP(main!AC27,main!$AO$4:$AR$55,4,FALSE))</f>
        <v>40</v>
      </c>
      <c r="V27" s="12">
        <f>(VLOOKUP(main!AD27,main!$AO$4:$AR$55,4,FALSE))</f>
        <v>40</v>
      </c>
      <c r="W27" s="12">
        <f>(VLOOKUP(main!AE27,main!$AO$4:$AR$55,4,FALSE))</f>
        <v>40</v>
      </c>
      <c r="X27" s="12">
        <f>(VLOOKUP(main!AF27,main!$AO$4:$AR$55,4,FALSE))</f>
        <v>40</v>
      </c>
    </row>
    <row r="28" spans="1:24">
      <c r="A28" s="12">
        <f>(VLOOKUP(main!I28,main!$AO$4:$AR$55,4,FALSE))</f>
        <v>36</v>
      </c>
      <c r="B28" s="12">
        <f>(VLOOKUP(main!J28,main!$AO$4:$AR$55,4,FALSE))</f>
        <v>36</v>
      </c>
      <c r="C28" s="12">
        <f>(VLOOKUP(main!K28,main!$AO$4:$AR$55,4,FALSE))</f>
        <v>36</v>
      </c>
      <c r="D28" s="12">
        <f>(VLOOKUP(main!L28,main!$AO$4:$AR$55,4,FALSE))</f>
        <v>36</v>
      </c>
      <c r="E28" s="12">
        <f>(VLOOKUP(main!M28,main!$AO$4:$AR$55,4,FALSE))</f>
        <v>36</v>
      </c>
      <c r="F28" s="12">
        <f>(VLOOKUP(main!N28,main!$AO$4:$AR$55,4,FALSE))</f>
        <v>36</v>
      </c>
      <c r="G28" s="12">
        <f>(VLOOKUP(main!O28,main!$AO$4:$AR$55,4,FALSE))</f>
        <v>36</v>
      </c>
      <c r="H28" s="12">
        <f>(VLOOKUP(main!P28,main!$AO$4:$AR$55,4,FALSE))</f>
        <v>36</v>
      </c>
      <c r="I28" s="12">
        <f>(VLOOKUP(main!Q28,main!$AO$4:$AR$55,4,FALSE))</f>
        <v>38</v>
      </c>
      <c r="J28" s="12">
        <f>(VLOOKUP(main!R28,main!$AO$4:$AR$55,4,FALSE))</f>
        <v>38</v>
      </c>
      <c r="K28" s="12">
        <f>(VLOOKUP(main!S28,main!$AO$4:$AR$55,4,FALSE))</f>
        <v>38</v>
      </c>
      <c r="L28" s="12">
        <f>(VLOOKUP(main!T28,main!$AO$4:$AR$55,4,FALSE))</f>
        <v>38</v>
      </c>
      <c r="M28" s="12">
        <f>(VLOOKUP(main!U28,main!$AO$4:$AR$55,4,FALSE))</f>
        <v>38</v>
      </c>
      <c r="N28" s="12">
        <f>(VLOOKUP(main!V28,main!$AO$4:$AR$55,4,FALSE))</f>
        <v>38</v>
      </c>
      <c r="O28" s="12">
        <f>(VLOOKUP(main!W28,main!$AO$4:$AR$55,4,FALSE))</f>
        <v>38</v>
      </c>
      <c r="P28" s="12">
        <f>(VLOOKUP(main!X28,main!$AO$4:$AR$55,4,FALSE))</f>
        <v>38</v>
      </c>
      <c r="Q28" s="12">
        <f>(VLOOKUP(main!Y28,main!$AO$4:$AR$55,4,FALSE))</f>
        <v>40</v>
      </c>
      <c r="R28" s="12">
        <f>(VLOOKUP(main!Z28,main!$AO$4:$AR$55,4,FALSE))</f>
        <v>40</v>
      </c>
      <c r="S28" s="12">
        <f>(VLOOKUP(main!AA28,main!$AO$4:$AR$55,4,FALSE))</f>
        <v>40</v>
      </c>
      <c r="T28" s="12">
        <f>(VLOOKUP(main!AB28,main!$AO$4:$AR$55,4,FALSE))</f>
        <v>40</v>
      </c>
      <c r="U28" s="12">
        <f>(VLOOKUP(main!AC28,main!$AO$4:$AR$55,4,FALSE))</f>
        <v>40</v>
      </c>
      <c r="V28" s="12">
        <f>(VLOOKUP(main!AD28,main!$AO$4:$AR$55,4,FALSE))</f>
        <v>40</v>
      </c>
      <c r="W28" s="12">
        <f>(VLOOKUP(main!AE28,main!$AO$4:$AR$55,4,FALSE))</f>
        <v>40</v>
      </c>
      <c r="X28" s="12">
        <f>(VLOOKUP(main!AF28,main!$AO$4:$AR$55,4,FALSE))</f>
        <v>40</v>
      </c>
    </row>
    <row r="29" spans="1:24">
      <c r="A29" s="12">
        <f>(VLOOKUP(main!I29,main!$AO$4:$AR$55,4,FALSE))</f>
        <v>36</v>
      </c>
      <c r="B29" s="12">
        <f>(VLOOKUP(main!J29,main!$AO$4:$AR$55,4,FALSE))</f>
        <v>36</v>
      </c>
      <c r="C29" s="12">
        <f>(VLOOKUP(main!K29,main!$AO$4:$AR$55,4,FALSE))</f>
        <v>36</v>
      </c>
      <c r="D29" s="12">
        <f>(VLOOKUP(main!L29,main!$AO$4:$AR$55,4,FALSE))</f>
        <v>36</v>
      </c>
      <c r="E29" s="12">
        <f>(VLOOKUP(main!M29,main!$AO$4:$AR$55,4,FALSE))</f>
        <v>36</v>
      </c>
      <c r="F29" s="12">
        <f>(VLOOKUP(main!N29,main!$AO$4:$AR$55,4,FALSE))</f>
        <v>36</v>
      </c>
      <c r="G29" s="12">
        <f>(VLOOKUP(main!O29,main!$AO$4:$AR$55,4,FALSE))</f>
        <v>36</v>
      </c>
      <c r="H29" s="12">
        <f>(VLOOKUP(main!P29,main!$AO$4:$AR$55,4,FALSE))</f>
        <v>36</v>
      </c>
      <c r="I29" s="12">
        <f>(VLOOKUP(main!Q29,main!$AO$4:$AR$55,4,FALSE))</f>
        <v>38</v>
      </c>
      <c r="J29" s="12">
        <f>(VLOOKUP(main!R29,main!$AO$4:$AR$55,4,FALSE))</f>
        <v>38</v>
      </c>
      <c r="K29" s="12">
        <f>(VLOOKUP(main!S29,main!$AO$4:$AR$55,4,FALSE))</f>
        <v>38</v>
      </c>
      <c r="L29" s="12">
        <f>(VLOOKUP(main!T29,main!$AO$4:$AR$55,4,FALSE))</f>
        <v>38</v>
      </c>
      <c r="M29" s="12">
        <f>(VLOOKUP(main!U29,main!$AO$4:$AR$55,4,FALSE))</f>
        <v>38</v>
      </c>
      <c r="N29" s="12">
        <f>(VLOOKUP(main!V29,main!$AO$4:$AR$55,4,FALSE))</f>
        <v>38</v>
      </c>
      <c r="O29" s="12">
        <f>(VLOOKUP(main!W29,main!$AO$4:$AR$55,4,FALSE))</f>
        <v>38</v>
      </c>
      <c r="P29" s="12">
        <f>(VLOOKUP(main!X29,main!$AO$4:$AR$55,4,FALSE))</f>
        <v>38</v>
      </c>
      <c r="Q29" s="12">
        <f>(VLOOKUP(main!Y29,main!$AO$4:$AR$55,4,FALSE))</f>
        <v>40</v>
      </c>
      <c r="R29" s="12">
        <f>(VLOOKUP(main!Z29,main!$AO$4:$AR$55,4,FALSE))</f>
        <v>40</v>
      </c>
      <c r="S29" s="12">
        <f>(VLOOKUP(main!AA29,main!$AO$4:$AR$55,4,FALSE))</f>
        <v>40</v>
      </c>
      <c r="T29" s="12">
        <f>(VLOOKUP(main!AB29,main!$AO$4:$AR$55,4,FALSE))</f>
        <v>40</v>
      </c>
      <c r="U29" s="12">
        <f>(VLOOKUP(main!AC29,main!$AO$4:$AR$55,4,FALSE))</f>
        <v>40</v>
      </c>
      <c r="V29" s="12">
        <f>(VLOOKUP(main!AD29,main!$AO$4:$AR$55,4,FALSE))</f>
        <v>40</v>
      </c>
      <c r="W29" s="12">
        <f>(VLOOKUP(main!AE29,main!$AO$4:$AR$55,4,FALSE))</f>
        <v>40</v>
      </c>
      <c r="X29" s="12">
        <f>(VLOOKUP(main!AF29,main!$AO$4:$AR$55,4,FALSE))</f>
        <v>40</v>
      </c>
    </row>
    <row r="30" spans="1:24">
      <c r="A30" s="12">
        <f>(VLOOKUP(main!I30,main!$AO$4:$AR$55,4,FALSE))</f>
        <v>36</v>
      </c>
      <c r="B30" s="12">
        <f>(VLOOKUP(main!J30,main!$AO$4:$AR$55,4,FALSE))</f>
        <v>36</v>
      </c>
      <c r="C30" s="12">
        <f>(VLOOKUP(main!K30,main!$AO$4:$AR$55,4,FALSE))</f>
        <v>36</v>
      </c>
      <c r="D30" s="12">
        <f>(VLOOKUP(main!L30,main!$AO$4:$AR$55,4,FALSE))</f>
        <v>36</v>
      </c>
      <c r="E30" s="12">
        <f>(VLOOKUP(main!M30,main!$AO$4:$AR$55,4,FALSE))</f>
        <v>36</v>
      </c>
      <c r="F30" s="12">
        <f>(VLOOKUP(main!N30,main!$AO$4:$AR$55,4,FALSE))</f>
        <v>36</v>
      </c>
      <c r="G30" s="12">
        <f>(VLOOKUP(main!O30,main!$AO$4:$AR$55,4,FALSE))</f>
        <v>36</v>
      </c>
      <c r="H30" s="12">
        <f>(VLOOKUP(main!P30,main!$AO$4:$AR$55,4,FALSE))</f>
        <v>36</v>
      </c>
      <c r="I30" s="12">
        <f>(VLOOKUP(main!Q30,main!$AO$4:$AR$55,4,FALSE))</f>
        <v>38</v>
      </c>
      <c r="J30" s="12">
        <f>(VLOOKUP(main!R30,main!$AO$4:$AR$55,4,FALSE))</f>
        <v>38</v>
      </c>
      <c r="K30" s="12">
        <f>(VLOOKUP(main!S30,main!$AO$4:$AR$55,4,FALSE))</f>
        <v>38</v>
      </c>
      <c r="L30" s="12">
        <f>(VLOOKUP(main!T30,main!$AO$4:$AR$55,4,FALSE))</f>
        <v>38</v>
      </c>
      <c r="M30" s="12">
        <f>(VLOOKUP(main!U30,main!$AO$4:$AR$55,4,FALSE))</f>
        <v>38</v>
      </c>
      <c r="N30" s="12">
        <f>(VLOOKUP(main!V30,main!$AO$4:$AR$55,4,FALSE))</f>
        <v>38</v>
      </c>
      <c r="O30" s="12">
        <f>(VLOOKUP(main!W30,main!$AO$4:$AR$55,4,FALSE))</f>
        <v>38</v>
      </c>
      <c r="P30" s="12">
        <f>(VLOOKUP(main!X30,main!$AO$4:$AR$55,4,FALSE))</f>
        <v>38</v>
      </c>
      <c r="Q30" s="12">
        <f>(VLOOKUP(main!Y30,main!$AO$4:$AR$55,4,FALSE))</f>
        <v>40</v>
      </c>
      <c r="R30" s="12">
        <f>(VLOOKUP(main!Z30,main!$AO$4:$AR$55,4,FALSE))</f>
        <v>40</v>
      </c>
      <c r="S30" s="12">
        <f>(VLOOKUP(main!AA30,main!$AO$4:$AR$55,4,FALSE))</f>
        <v>40</v>
      </c>
      <c r="T30" s="12">
        <f>(VLOOKUP(main!AB30,main!$AO$4:$AR$55,4,FALSE))</f>
        <v>40</v>
      </c>
      <c r="U30" s="12">
        <f>(VLOOKUP(main!AC30,main!$AO$4:$AR$55,4,FALSE))</f>
        <v>40</v>
      </c>
      <c r="V30" s="12">
        <f>(VLOOKUP(main!AD30,main!$AO$4:$AR$55,4,FALSE))</f>
        <v>40</v>
      </c>
      <c r="W30" s="12">
        <f>(VLOOKUP(main!AE30,main!$AO$4:$AR$55,4,FALSE))</f>
        <v>40</v>
      </c>
      <c r="X30" s="12">
        <f>(VLOOKUP(main!AF30,main!$AO$4:$AR$55,4,FALSE))</f>
        <v>40</v>
      </c>
    </row>
    <row r="31" spans="1:24">
      <c r="A31" s="12">
        <f>(VLOOKUP(main!I31,main!$AO$4:$AR$55,4,FALSE))</f>
        <v>36</v>
      </c>
      <c r="B31" s="12">
        <f>(VLOOKUP(main!J31,main!$AO$4:$AR$55,4,FALSE))</f>
        <v>36</v>
      </c>
      <c r="C31" s="12">
        <f>(VLOOKUP(main!K31,main!$AO$4:$AR$55,4,FALSE))</f>
        <v>36</v>
      </c>
      <c r="D31" s="12">
        <f>(VLOOKUP(main!L31,main!$AO$4:$AR$55,4,FALSE))</f>
        <v>36</v>
      </c>
      <c r="E31" s="12">
        <f>(VLOOKUP(main!M31,main!$AO$4:$AR$55,4,FALSE))</f>
        <v>36</v>
      </c>
      <c r="F31" s="12">
        <f>(VLOOKUP(main!N31,main!$AO$4:$AR$55,4,FALSE))</f>
        <v>36</v>
      </c>
      <c r="G31" s="12">
        <f>(VLOOKUP(main!O31,main!$AO$4:$AR$55,4,FALSE))</f>
        <v>36</v>
      </c>
      <c r="H31" s="12">
        <f>(VLOOKUP(main!P31,main!$AO$4:$AR$55,4,FALSE))</f>
        <v>36</v>
      </c>
      <c r="I31" s="12">
        <f>(VLOOKUP(main!Q31,main!$AO$4:$AR$55,4,FALSE))</f>
        <v>38</v>
      </c>
      <c r="J31" s="12">
        <f>(VLOOKUP(main!R31,main!$AO$4:$AR$55,4,FALSE))</f>
        <v>38</v>
      </c>
      <c r="K31" s="12">
        <f>(VLOOKUP(main!S31,main!$AO$4:$AR$55,4,FALSE))</f>
        <v>38</v>
      </c>
      <c r="L31" s="12">
        <f>(VLOOKUP(main!T31,main!$AO$4:$AR$55,4,FALSE))</f>
        <v>38</v>
      </c>
      <c r="M31" s="12">
        <f>(VLOOKUP(main!U31,main!$AO$4:$AR$55,4,FALSE))</f>
        <v>38</v>
      </c>
      <c r="N31" s="12">
        <f>(VLOOKUP(main!V31,main!$AO$4:$AR$55,4,FALSE))</f>
        <v>38</v>
      </c>
      <c r="O31" s="12">
        <f>(VLOOKUP(main!W31,main!$AO$4:$AR$55,4,FALSE))</f>
        <v>38</v>
      </c>
      <c r="P31" s="12">
        <f>(VLOOKUP(main!X31,main!$AO$4:$AR$55,4,FALSE))</f>
        <v>38</v>
      </c>
      <c r="Q31" s="12">
        <f>(VLOOKUP(main!Y31,main!$AO$4:$AR$55,4,FALSE))</f>
        <v>40</v>
      </c>
      <c r="R31" s="12">
        <f>(VLOOKUP(main!Z31,main!$AO$4:$AR$55,4,FALSE))</f>
        <v>40</v>
      </c>
      <c r="S31" s="12">
        <f>(VLOOKUP(main!AA31,main!$AO$4:$AR$55,4,FALSE))</f>
        <v>40</v>
      </c>
      <c r="T31" s="12">
        <f>(VLOOKUP(main!AB31,main!$AO$4:$AR$55,4,FALSE))</f>
        <v>40</v>
      </c>
      <c r="U31" s="12">
        <f>(VLOOKUP(main!AC31,main!$AO$4:$AR$55,4,FALSE))</f>
        <v>40</v>
      </c>
      <c r="V31" s="12">
        <f>(VLOOKUP(main!AD31,main!$AO$4:$AR$55,4,FALSE))</f>
        <v>40</v>
      </c>
      <c r="W31" s="12">
        <f>(VLOOKUP(main!AE31,main!$AO$4:$AR$55,4,FALSE))</f>
        <v>40</v>
      </c>
      <c r="X31" s="12">
        <f>(VLOOKUP(main!AF31,main!$AO$4:$AR$55,4,FALSE))</f>
        <v>40</v>
      </c>
    </row>
    <row r="32" spans="1:24">
      <c r="A32" s="12">
        <f>(VLOOKUP(main!I32,main!$AO$4:$AR$55,4,FALSE))</f>
        <v>36</v>
      </c>
      <c r="B32" s="12">
        <f>(VLOOKUP(main!J32,main!$AO$4:$AR$55,4,FALSE))</f>
        <v>36</v>
      </c>
      <c r="C32" s="12">
        <f>(VLOOKUP(main!K32,main!$AO$4:$AR$55,4,FALSE))</f>
        <v>36</v>
      </c>
      <c r="D32" s="12">
        <f>(VLOOKUP(main!L32,main!$AO$4:$AR$55,4,FALSE))</f>
        <v>36</v>
      </c>
      <c r="E32" s="12">
        <f>(VLOOKUP(main!M32,main!$AO$4:$AR$55,4,FALSE))</f>
        <v>36</v>
      </c>
      <c r="F32" s="12">
        <f>(VLOOKUP(main!N32,main!$AO$4:$AR$55,4,FALSE))</f>
        <v>36</v>
      </c>
      <c r="G32" s="12">
        <f>(VLOOKUP(main!O32,main!$AO$4:$AR$55,4,FALSE))</f>
        <v>36</v>
      </c>
      <c r="H32" s="12">
        <f>(VLOOKUP(main!P32,main!$AO$4:$AR$55,4,FALSE))</f>
        <v>36</v>
      </c>
      <c r="I32" s="12">
        <f>(VLOOKUP(main!Q32,main!$AO$4:$AR$55,4,FALSE))</f>
        <v>38</v>
      </c>
      <c r="J32" s="12">
        <f>(VLOOKUP(main!R32,main!$AO$4:$AR$55,4,FALSE))</f>
        <v>38</v>
      </c>
      <c r="K32" s="12">
        <f>(VLOOKUP(main!S32,main!$AO$4:$AR$55,4,FALSE))</f>
        <v>38</v>
      </c>
      <c r="L32" s="12">
        <f>(VLOOKUP(main!T32,main!$AO$4:$AR$55,4,FALSE))</f>
        <v>38</v>
      </c>
      <c r="M32" s="12">
        <f>(VLOOKUP(main!U32,main!$AO$4:$AR$55,4,FALSE))</f>
        <v>38</v>
      </c>
      <c r="N32" s="12">
        <f>(VLOOKUP(main!V32,main!$AO$4:$AR$55,4,FALSE))</f>
        <v>38</v>
      </c>
      <c r="O32" s="12">
        <f>(VLOOKUP(main!W32,main!$AO$4:$AR$55,4,FALSE))</f>
        <v>38</v>
      </c>
      <c r="P32" s="12">
        <f>(VLOOKUP(main!X32,main!$AO$4:$AR$55,4,FALSE))</f>
        <v>38</v>
      </c>
      <c r="Q32" s="12">
        <f>(VLOOKUP(main!Y32,main!$AO$4:$AR$55,4,FALSE))</f>
        <v>40</v>
      </c>
      <c r="R32" s="12">
        <f>(VLOOKUP(main!Z32,main!$AO$4:$AR$55,4,FALSE))</f>
        <v>40</v>
      </c>
      <c r="S32" s="12">
        <f>(VLOOKUP(main!AA32,main!$AO$4:$AR$55,4,FALSE))</f>
        <v>40</v>
      </c>
      <c r="T32" s="12">
        <f>(VLOOKUP(main!AB32,main!$AO$4:$AR$55,4,FALSE))</f>
        <v>40</v>
      </c>
      <c r="U32" s="12">
        <f>(VLOOKUP(main!AC32,main!$AO$4:$AR$55,4,FALSE))</f>
        <v>40</v>
      </c>
      <c r="V32" s="12">
        <f>(VLOOKUP(main!AD32,main!$AO$4:$AR$55,4,FALSE))</f>
        <v>40</v>
      </c>
      <c r="W32" s="12">
        <f>(VLOOKUP(main!AE32,main!$AO$4:$AR$55,4,FALSE))</f>
        <v>40</v>
      </c>
      <c r="X32" s="12">
        <f>(VLOOKUP(main!AF32,main!$AO$4:$AR$55,4,FALSE))</f>
        <v>40</v>
      </c>
    </row>
    <row r="33" spans="1:24">
      <c r="A33" s="12">
        <f>(VLOOKUP(main!I33,main!$AO$4:$AR$55,4,FALSE))</f>
        <v>36</v>
      </c>
      <c r="B33" s="12">
        <f>(VLOOKUP(main!J33,main!$AO$4:$AR$55,4,FALSE))</f>
        <v>36</v>
      </c>
      <c r="C33" s="12">
        <f>(VLOOKUP(main!K33,main!$AO$4:$AR$55,4,FALSE))</f>
        <v>36</v>
      </c>
      <c r="D33" s="12">
        <f>(VLOOKUP(main!L33,main!$AO$4:$AR$55,4,FALSE))</f>
        <v>36</v>
      </c>
      <c r="E33" s="12">
        <f>(VLOOKUP(main!M33,main!$AO$4:$AR$55,4,FALSE))</f>
        <v>36</v>
      </c>
      <c r="F33" s="12">
        <f>(VLOOKUP(main!N33,main!$AO$4:$AR$55,4,FALSE))</f>
        <v>36</v>
      </c>
      <c r="G33" s="12">
        <f>(VLOOKUP(main!O33,main!$AO$4:$AR$55,4,FALSE))</f>
        <v>36</v>
      </c>
      <c r="H33" s="12">
        <f>(VLOOKUP(main!P33,main!$AO$4:$AR$55,4,FALSE))</f>
        <v>36</v>
      </c>
      <c r="I33" s="12">
        <f>(VLOOKUP(main!Q33,main!$AO$4:$AR$55,4,FALSE))</f>
        <v>38</v>
      </c>
      <c r="J33" s="12">
        <f>(VLOOKUP(main!R33,main!$AO$4:$AR$55,4,FALSE))</f>
        <v>38</v>
      </c>
      <c r="K33" s="12">
        <f>(VLOOKUP(main!S33,main!$AO$4:$AR$55,4,FALSE))</f>
        <v>38</v>
      </c>
      <c r="L33" s="12">
        <f>(VLOOKUP(main!T33,main!$AO$4:$AR$55,4,FALSE))</f>
        <v>38</v>
      </c>
      <c r="M33" s="12">
        <f>(VLOOKUP(main!U33,main!$AO$4:$AR$55,4,FALSE))</f>
        <v>38</v>
      </c>
      <c r="N33" s="12">
        <f>(VLOOKUP(main!V33,main!$AO$4:$AR$55,4,FALSE))</f>
        <v>38</v>
      </c>
      <c r="O33" s="12">
        <f>(VLOOKUP(main!W33,main!$AO$4:$AR$55,4,FALSE))</f>
        <v>38</v>
      </c>
      <c r="P33" s="12">
        <f>(VLOOKUP(main!X33,main!$AO$4:$AR$55,4,FALSE))</f>
        <v>38</v>
      </c>
      <c r="Q33" s="12">
        <f>(VLOOKUP(main!Y33,main!$AO$4:$AR$55,4,FALSE))</f>
        <v>40</v>
      </c>
      <c r="R33" s="12">
        <f>(VLOOKUP(main!Z33,main!$AO$4:$AR$55,4,FALSE))</f>
        <v>40</v>
      </c>
      <c r="S33" s="12">
        <f>(VLOOKUP(main!AA33,main!$AO$4:$AR$55,4,FALSE))</f>
        <v>40</v>
      </c>
      <c r="T33" s="12">
        <f>(VLOOKUP(main!AB33,main!$AO$4:$AR$55,4,FALSE))</f>
        <v>40</v>
      </c>
      <c r="U33" s="12">
        <f>(VLOOKUP(main!AC33,main!$AO$4:$AR$55,4,FALSE))</f>
        <v>40</v>
      </c>
      <c r="V33" s="12">
        <f>(VLOOKUP(main!AD33,main!$AO$4:$AR$55,4,FALSE))</f>
        <v>40</v>
      </c>
      <c r="W33" s="12">
        <f>(VLOOKUP(main!AE33,main!$AO$4:$AR$55,4,FALSE))</f>
        <v>40</v>
      </c>
      <c r="X33" s="12">
        <f>(VLOOKUP(main!AF33,main!$AO$4:$AR$55,4,FALSE))</f>
        <v>40</v>
      </c>
    </row>
    <row r="34" spans="1:24">
      <c r="A34" s="12">
        <f>(VLOOKUP(main!I34,main!$AO$4:$AR$55,4,FALSE))</f>
        <v>36</v>
      </c>
      <c r="B34" s="12">
        <f>(VLOOKUP(main!J34,main!$AO$4:$AR$55,4,FALSE))</f>
        <v>36</v>
      </c>
      <c r="C34" s="12">
        <f>(VLOOKUP(main!K34,main!$AO$4:$AR$55,4,FALSE))</f>
        <v>36</v>
      </c>
      <c r="D34" s="12">
        <f>(VLOOKUP(main!L34,main!$AO$4:$AR$55,4,FALSE))</f>
        <v>36</v>
      </c>
      <c r="E34" s="12">
        <f>(VLOOKUP(main!M34,main!$AO$4:$AR$55,4,FALSE))</f>
        <v>36</v>
      </c>
      <c r="F34" s="12">
        <f>(VLOOKUP(main!N34,main!$AO$4:$AR$55,4,FALSE))</f>
        <v>36</v>
      </c>
      <c r="G34" s="12">
        <f>(VLOOKUP(main!O34,main!$AO$4:$AR$55,4,FALSE))</f>
        <v>36</v>
      </c>
      <c r="H34" s="12">
        <f>(VLOOKUP(main!P34,main!$AO$4:$AR$55,4,FALSE))</f>
        <v>36</v>
      </c>
      <c r="I34" s="12">
        <f>(VLOOKUP(main!Q34,main!$AO$4:$AR$55,4,FALSE))</f>
        <v>38</v>
      </c>
      <c r="J34" s="12">
        <f>(VLOOKUP(main!R34,main!$AO$4:$AR$55,4,FALSE))</f>
        <v>38</v>
      </c>
      <c r="K34" s="12">
        <f>(VLOOKUP(main!S34,main!$AO$4:$AR$55,4,FALSE))</f>
        <v>38</v>
      </c>
      <c r="L34" s="12">
        <f>(VLOOKUP(main!T34,main!$AO$4:$AR$55,4,FALSE))</f>
        <v>38</v>
      </c>
      <c r="M34" s="12">
        <f>(VLOOKUP(main!U34,main!$AO$4:$AR$55,4,FALSE))</f>
        <v>38</v>
      </c>
      <c r="N34" s="12">
        <f>(VLOOKUP(main!V34,main!$AO$4:$AR$55,4,FALSE))</f>
        <v>38</v>
      </c>
      <c r="O34" s="12">
        <f>(VLOOKUP(main!W34,main!$AO$4:$AR$55,4,FALSE))</f>
        <v>38</v>
      </c>
      <c r="P34" s="12">
        <f>(VLOOKUP(main!X34,main!$AO$4:$AR$55,4,FALSE))</f>
        <v>38</v>
      </c>
      <c r="Q34" s="12">
        <f>(VLOOKUP(main!Y34,main!$AO$4:$AR$55,4,FALSE))</f>
        <v>40</v>
      </c>
      <c r="R34" s="12">
        <f>(VLOOKUP(main!Z34,main!$AO$4:$AR$55,4,FALSE))</f>
        <v>40</v>
      </c>
      <c r="S34" s="12">
        <f>(VLOOKUP(main!AA34,main!$AO$4:$AR$55,4,FALSE))</f>
        <v>40</v>
      </c>
      <c r="T34" s="12">
        <f>(VLOOKUP(main!AB34,main!$AO$4:$AR$55,4,FALSE))</f>
        <v>40</v>
      </c>
      <c r="U34" s="12">
        <f>(VLOOKUP(main!AC34,main!$AO$4:$AR$55,4,FALSE))</f>
        <v>40</v>
      </c>
      <c r="V34" s="12">
        <f>(VLOOKUP(main!AD34,main!$AO$4:$AR$55,4,FALSE))</f>
        <v>40</v>
      </c>
      <c r="W34" s="12">
        <f>(VLOOKUP(main!AE34,main!$AO$4:$AR$55,4,FALSE))</f>
        <v>40</v>
      </c>
      <c r="X34" s="12">
        <f>(VLOOKUP(main!AF34,main!$AO$4:$AR$55,4,FALSE))</f>
        <v>40</v>
      </c>
    </row>
    <row r="35" spans="1:24">
      <c r="A35" s="12">
        <f>(VLOOKUP(main!I35,main!$AO$4:$AR$55,4,FALSE))</f>
        <v>36</v>
      </c>
      <c r="B35" s="12">
        <f>(VLOOKUP(main!J35,main!$AO$4:$AR$55,4,FALSE))</f>
        <v>36</v>
      </c>
      <c r="C35" s="12">
        <f>(VLOOKUP(main!K35,main!$AO$4:$AR$55,4,FALSE))</f>
        <v>36</v>
      </c>
      <c r="D35" s="12">
        <f>(VLOOKUP(main!L35,main!$AO$4:$AR$55,4,FALSE))</f>
        <v>36</v>
      </c>
      <c r="E35" s="12">
        <f>(VLOOKUP(main!M35,main!$AO$4:$AR$55,4,FALSE))</f>
        <v>36</v>
      </c>
      <c r="F35" s="12">
        <f>(VLOOKUP(main!N35,main!$AO$4:$AR$55,4,FALSE))</f>
        <v>36</v>
      </c>
      <c r="G35" s="12">
        <f>(VLOOKUP(main!O35,main!$AO$4:$AR$55,4,FALSE))</f>
        <v>36</v>
      </c>
      <c r="H35" s="12">
        <f>(VLOOKUP(main!P35,main!$AO$4:$AR$55,4,FALSE))</f>
        <v>36</v>
      </c>
      <c r="I35" s="12">
        <f>(VLOOKUP(main!Q35,main!$AO$4:$AR$55,4,FALSE))</f>
        <v>38</v>
      </c>
      <c r="J35" s="12">
        <f>(VLOOKUP(main!R35,main!$AO$4:$AR$55,4,FALSE))</f>
        <v>38</v>
      </c>
      <c r="K35" s="12">
        <f>(VLOOKUP(main!S35,main!$AO$4:$AR$55,4,FALSE))</f>
        <v>38</v>
      </c>
      <c r="L35" s="12">
        <f>(VLOOKUP(main!T35,main!$AO$4:$AR$55,4,FALSE))</f>
        <v>38</v>
      </c>
      <c r="M35" s="12">
        <f>(VLOOKUP(main!U35,main!$AO$4:$AR$55,4,FALSE))</f>
        <v>38</v>
      </c>
      <c r="N35" s="12">
        <f>(VLOOKUP(main!V35,main!$AO$4:$AR$55,4,FALSE))</f>
        <v>38</v>
      </c>
      <c r="O35" s="12">
        <f>(VLOOKUP(main!W35,main!$AO$4:$AR$55,4,FALSE))</f>
        <v>38</v>
      </c>
      <c r="P35" s="12">
        <f>(VLOOKUP(main!X35,main!$AO$4:$AR$55,4,FALSE))</f>
        <v>38</v>
      </c>
      <c r="Q35" s="12">
        <f>(VLOOKUP(main!Y35,main!$AO$4:$AR$55,4,FALSE))</f>
        <v>40</v>
      </c>
      <c r="R35" s="12">
        <f>(VLOOKUP(main!Z35,main!$AO$4:$AR$55,4,FALSE))</f>
        <v>40</v>
      </c>
      <c r="S35" s="12">
        <f>(VLOOKUP(main!AA35,main!$AO$4:$AR$55,4,FALSE))</f>
        <v>40</v>
      </c>
      <c r="T35" s="12">
        <f>(VLOOKUP(main!AB35,main!$AO$4:$AR$55,4,FALSE))</f>
        <v>40</v>
      </c>
      <c r="U35" s="12">
        <f>(VLOOKUP(main!AC35,main!$AO$4:$AR$55,4,FALSE))</f>
        <v>40</v>
      </c>
      <c r="V35" s="12">
        <f>(VLOOKUP(main!AD35,main!$AO$4:$AR$55,4,FALSE))</f>
        <v>40</v>
      </c>
      <c r="W35" s="12">
        <f>(VLOOKUP(main!AE35,main!$AO$4:$AR$55,4,FALSE))</f>
        <v>40</v>
      </c>
      <c r="X35" s="12">
        <f>(VLOOKUP(main!AF35,main!$AO$4:$AR$55,4,FALSE))</f>
        <v>40</v>
      </c>
    </row>
    <row r="36" spans="1:24">
      <c r="A36" s="12">
        <f>(VLOOKUP(main!I36,main!$AO$4:$AR$55,4,FALSE))</f>
        <v>36</v>
      </c>
      <c r="B36" s="12">
        <f>(VLOOKUP(main!J36,main!$AO$4:$AR$55,4,FALSE))</f>
        <v>36</v>
      </c>
      <c r="C36" s="12">
        <f>(VLOOKUP(main!K36,main!$AO$4:$AR$55,4,FALSE))</f>
        <v>36</v>
      </c>
      <c r="D36" s="12">
        <f>(VLOOKUP(main!L36,main!$AO$4:$AR$55,4,FALSE))</f>
        <v>36</v>
      </c>
      <c r="E36" s="12">
        <f>(VLOOKUP(main!M36,main!$AO$4:$AR$55,4,FALSE))</f>
        <v>36</v>
      </c>
      <c r="F36" s="12">
        <f>(VLOOKUP(main!N36,main!$AO$4:$AR$55,4,FALSE))</f>
        <v>36</v>
      </c>
      <c r="G36" s="12">
        <f>(VLOOKUP(main!O36,main!$AO$4:$AR$55,4,FALSE))</f>
        <v>36</v>
      </c>
      <c r="H36" s="12">
        <f>(VLOOKUP(main!P36,main!$AO$4:$AR$55,4,FALSE))</f>
        <v>36</v>
      </c>
      <c r="I36" s="12">
        <f>(VLOOKUP(main!Q36,main!$AO$4:$AR$55,4,FALSE))</f>
        <v>38</v>
      </c>
      <c r="J36" s="12">
        <f>(VLOOKUP(main!R36,main!$AO$4:$AR$55,4,FALSE))</f>
        <v>38</v>
      </c>
      <c r="K36" s="12">
        <f>(VLOOKUP(main!S36,main!$AO$4:$AR$55,4,FALSE))</f>
        <v>38</v>
      </c>
      <c r="L36" s="12">
        <f>(VLOOKUP(main!T36,main!$AO$4:$AR$55,4,FALSE))</f>
        <v>38</v>
      </c>
      <c r="M36" s="12">
        <f>(VLOOKUP(main!U36,main!$AO$4:$AR$55,4,FALSE))</f>
        <v>38</v>
      </c>
      <c r="N36" s="12">
        <f>(VLOOKUP(main!V36,main!$AO$4:$AR$55,4,FALSE))</f>
        <v>38</v>
      </c>
      <c r="O36" s="12">
        <f>(VLOOKUP(main!W36,main!$AO$4:$AR$55,4,FALSE))</f>
        <v>38</v>
      </c>
      <c r="P36" s="12">
        <f>(VLOOKUP(main!X36,main!$AO$4:$AR$55,4,FALSE))</f>
        <v>38</v>
      </c>
      <c r="Q36" s="12">
        <f>(VLOOKUP(main!Y36,main!$AO$4:$AR$55,4,FALSE))</f>
        <v>40</v>
      </c>
      <c r="R36" s="12">
        <f>(VLOOKUP(main!Z36,main!$AO$4:$AR$55,4,FALSE))</f>
        <v>40</v>
      </c>
      <c r="S36" s="12">
        <f>(VLOOKUP(main!AA36,main!$AO$4:$AR$55,4,FALSE))</f>
        <v>40</v>
      </c>
      <c r="T36" s="12">
        <f>(VLOOKUP(main!AB36,main!$AO$4:$AR$55,4,FALSE))</f>
        <v>40</v>
      </c>
      <c r="U36" s="12">
        <f>(VLOOKUP(main!AC36,main!$AO$4:$AR$55,4,FALSE))</f>
        <v>40</v>
      </c>
      <c r="V36" s="12">
        <f>(VLOOKUP(main!AD36,main!$AO$4:$AR$55,4,FALSE))</f>
        <v>40</v>
      </c>
      <c r="W36" s="12">
        <f>(VLOOKUP(main!AE36,main!$AO$4:$AR$55,4,FALSE))</f>
        <v>40</v>
      </c>
      <c r="X36" s="12">
        <f>(VLOOKUP(main!AF36,main!$AO$4:$AR$55,4,FALSE))</f>
        <v>40</v>
      </c>
    </row>
    <row r="37" spans="1:24">
      <c r="A37" s="12">
        <f>(VLOOKUP(main!I37,main!$AO$4:$AR$55,4,FALSE))</f>
        <v>36</v>
      </c>
      <c r="B37" s="12">
        <f>(VLOOKUP(main!J37,main!$AO$4:$AR$55,4,FALSE))</f>
        <v>36</v>
      </c>
      <c r="C37" s="12">
        <f>(VLOOKUP(main!K37,main!$AO$4:$AR$55,4,FALSE))</f>
        <v>36</v>
      </c>
      <c r="D37" s="12">
        <f>(VLOOKUP(main!L37,main!$AO$4:$AR$55,4,FALSE))</f>
        <v>36</v>
      </c>
      <c r="E37" s="12">
        <f>(VLOOKUP(main!M37,main!$AO$4:$AR$55,4,FALSE))</f>
        <v>36</v>
      </c>
      <c r="F37" s="12">
        <f>(VLOOKUP(main!N37,main!$AO$4:$AR$55,4,FALSE))</f>
        <v>36</v>
      </c>
      <c r="G37" s="12">
        <f>(VLOOKUP(main!O37,main!$AO$4:$AR$55,4,FALSE))</f>
        <v>36</v>
      </c>
      <c r="H37" s="12">
        <f>(VLOOKUP(main!P37,main!$AO$4:$AR$55,4,FALSE))</f>
        <v>36</v>
      </c>
      <c r="I37" s="12">
        <f>(VLOOKUP(main!Q37,main!$AO$4:$AR$55,4,FALSE))</f>
        <v>38</v>
      </c>
      <c r="J37" s="12">
        <f>(VLOOKUP(main!R37,main!$AO$4:$AR$55,4,FALSE))</f>
        <v>38</v>
      </c>
      <c r="K37" s="12">
        <f>(VLOOKUP(main!S37,main!$AO$4:$AR$55,4,FALSE))</f>
        <v>38</v>
      </c>
      <c r="L37" s="12">
        <f>(VLOOKUP(main!T37,main!$AO$4:$AR$55,4,FALSE))</f>
        <v>38</v>
      </c>
      <c r="M37" s="12">
        <f>(VLOOKUP(main!U37,main!$AO$4:$AR$55,4,FALSE))</f>
        <v>38</v>
      </c>
      <c r="N37" s="12">
        <f>(VLOOKUP(main!V37,main!$AO$4:$AR$55,4,FALSE))</f>
        <v>38</v>
      </c>
      <c r="O37" s="12">
        <f>(VLOOKUP(main!W37,main!$AO$4:$AR$55,4,FALSE))</f>
        <v>38</v>
      </c>
      <c r="P37" s="12">
        <f>(VLOOKUP(main!X37,main!$AO$4:$AR$55,4,FALSE))</f>
        <v>38</v>
      </c>
      <c r="Q37" s="12">
        <f>(VLOOKUP(main!Y37,main!$AO$4:$AR$55,4,FALSE))</f>
        <v>40</v>
      </c>
      <c r="R37" s="12">
        <f>(VLOOKUP(main!Z37,main!$AO$4:$AR$55,4,FALSE))</f>
        <v>40</v>
      </c>
      <c r="S37" s="12">
        <f>(VLOOKUP(main!AA37,main!$AO$4:$AR$55,4,FALSE))</f>
        <v>40</v>
      </c>
      <c r="T37" s="12">
        <f>(VLOOKUP(main!AB37,main!$AO$4:$AR$55,4,FALSE))</f>
        <v>40</v>
      </c>
      <c r="U37" s="12">
        <f>(VLOOKUP(main!AC37,main!$AO$4:$AR$55,4,FALSE))</f>
        <v>40</v>
      </c>
      <c r="V37" s="12">
        <f>(VLOOKUP(main!AD37,main!$AO$4:$AR$55,4,FALSE))</f>
        <v>40</v>
      </c>
      <c r="W37" s="12">
        <f>(VLOOKUP(main!AE37,main!$AO$4:$AR$55,4,FALSE))</f>
        <v>40</v>
      </c>
      <c r="X37" s="12">
        <f>(VLOOKUP(main!AF37,main!$AO$4:$AR$55,4,FALSE))</f>
        <v>40</v>
      </c>
    </row>
    <row r="38" spans="1:24">
      <c r="A38" s="12">
        <f>(VLOOKUP(main!I38,main!$AO$4:$AR$55,4,FALSE))</f>
        <v>36</v>
      </c>
      <c r="B38" s="12">
        <f>(VLOOKUP(main!J38,main!$AO$4:$AR$55,4,FALSE))</f>
        <v>36</v>
      </c>
      <c r="C38" s="12">
        <f>(VLOOKUP(main!K38,main!$AO$4:$AR$55,4,FALSE))</f>
        <v>36</v>
      </c>
      <c r="D38" s="12">
        <f>(VLOOKUP(main!L38,main!$AO$4:$AR$55,4,FALSE))</f>
        <v>36</v>
      </c>
      <c r="E38" s="12">
        <f>(VLOOKUP(main!M38,main!$AO$4:$AR$55,4,FALSE))</f>
        <v>36</v>
      </c>
      <c r="F38" s="12">
        <f>(VLOOKUP(main!N38,main!$AO$4:$AR$55,4,FALSE))</f>
        <v>36</v>
      </c>
      <c r="G38" s="12">
        <f>(VLOOKUP(main!O38,main!$AO$4:$AR$55,4,FALSE))</f>
        <v>36</v>
      </c>
      <c r="H38" s="12">
        <f>(VLOOKUP(main!P38,main!$AO$4:$AR$55,4,FALSE))</f>
        <v>36</v>
      </c>
      <c r="I38" s="12">
        <f>(VLOOKUP(main!Q38,main!$AO$4:$AR$55,4,FALSE))</f>
        <v>38</v>
      </c>
      <c r="J38" s="12">
        <f>(VLOOKUP(main!R38,main!$AO$4:$AR$55,4,FALSE))</f>
        <v>38</v>
      </c>
      <c r="K38" s="12">
        <f>(VLOOKUP(main!S38,main!$AO$4:$AR$55,4,FALSE))</f>
        <v>38</v>
      </c>
      <c r="L38" s="12">
        <f>(VLOOKUP(main!T38,main!$AO$4:$AR$55,4,FALSE))</f>
        <v>38</v>
      </c>
      <c r="M38" s="12">
        <f>(VLOOKUP(main!U38,main!$AO$4:$AR$55,4,FALSE))</f>
        <v>38</v>
      </c>
      <c r="N38" s="12">
        <f>(VLOOKUP(main!V38,main!$AO$4:$AR$55,4,FALSE))</f>
        <v>38</v>
      </c>
      <c r="O38" s="12">
        <f>(VLOOKUP(main!W38,main!$AO$4:$AR$55,4,FALSE))</f>
        <v>38</v>
      </c>
      <c r="P38" s="12">
        <f>(VLOOKUP(main!X38,main!$AO$4:$AR$55,4,FALSE))</f>
        <v>38</v>
      </c>
      <c r="Q38" s="12">
        <f>(VLOOKUP(main!Y38,main!$AO$4:$AR$55,4,FALSE))</f>
        <v>40</v>
      </c>
      <c r="R38" s="12">
        <f>(VLOOKUP(main!Z38,main!$AO$4:$AR$55,4,FALSE))</f>
        <v>40</v>
      </c>
      <c r="S38" s="12">
        <f>(VLOOKUP(main!AA38,main!$AO$4:$AR$55,4,FALSE))</f>
        <v>40</v>
      </c>
      <c r="T38" s="12">
        <f>(VLOOKUP(main!AB38,main!$AO$4:$AR$55,4,FALSE))</f>
        <v>40</v>
      </c>
      <c r="U38" s="12">
        <f>(VLOOKUP(main!AC38,main!$AO$4:$AR$55,4,FALSE))</f>
        <v>40</v>
      </c>
      <c r="V38" s="12">
        <f>(VLOOKUP(main!AD38,main!$AO$4:$AR$55,4,FALSE))</f>
        <v>40</v>
      </c>
      <c r="W38" s="12">
        <f>(VLOOKUP(main!AE38,main!$AO$4:$AR$55,4,FALSE))</f>
        <v>40</v>
      </c>
      <c r="X38" s="12">
        <f>(VLOOKUP(main!AF38,main!$AO$4:$AR$55,4,FALSE))</f>
        <v>40</v>
      </c>
    </row>
    <row r="39" spans="1:24">
      <c r="A39" s="12">
        <f>(VLOOKUP(main!I39,main!$AO$4:$AR$55,4,FALSE))</f>
        <v>36</v>
      </c>
      <c r="B39" s="12">
        <f>(VLOOKUP(main!J39,main!$AO$4:$AR$55,4,FALSE))</f>
        <v>36</v>
      </c>
      <c r="C39" s="12">
        <f>(VLOOKUP(main!K39,main!$AO$4:$AR$55,4,FALSE))</f>
        <v>36</v>
      </c>
      <c r="D39" s="12">
        <f>(VLOOKUP(main!L39,main!$AO$4:$AR$55,4,FALSE))</f>
        <v>36</v>
      </c>
      <c r="E39" s="12">
        <f>(VLOOKUP(main!M39,main!$AO$4:$AR$55,4,FALSE))</f>
        <v>36</v>
      </c>
      <c r="F39" s="12">
        <f>(VLOOKUP(main!N39,main!$AO$4:$AR$55,4,FALSE))</f>
        <v>36</v>
      </c>
      <c r="G39" s="12">
        <f>(VLOOKUP(main!O39,main!$AO$4:$AR$55,4,FALSE))</f>
        <v>36</v>
      </c>
      <c r="H39" s="12">
        <f>(VLOOKUP(main!P39,main!$AO$4:$AR$55,4,FALSE))</f>
        <v>36</v>
      </c>
      <c r="I39" s="12">
        <f>(VLOOKUP(main!Q39,main!$AO$4:$AR$55,4,FALSE))</f>
        <v>38</v>
      </c>
      <c r="J39" s="12">
        <f>(VLOOKUP(main!R39,main!$AO$4:$AR$55,4,FALSE))</f>
        <v>38</v>
      </c>
      <c r="K39" s="12">
        <f>(VLOOKUP(main!S39,main!$AO$4:$AR$55,4,FALSE))</f>
        <v>38</v>
      </c>
      <c r="L39" s="12">
        <f>(VLOOKUP(main!T39,main!$AO$4:$AR$55,4,FALSE))</f>
        <v>38</v>
      </c>
      <c r="M39" s="12">
        <f>(VLOOKUP(main!U39,main!$AO$4:$AR$55,4,FALSE))</f>
        <v>38</v>
      </c>
      <c r="N39" s="12">
        <f>(VLOOKUP(main!V39,main!$AO$4:$AR$55,4,FALSE))</f>
        <v>38</v>
      </c>
      <c r="O39" s="12">
        <f>(VLOOKUP(main!W39,main!$AO$4:$AR$55,4,FALSE))</f>
        <v>38</v>
      </c>
      <c r="P39" s="12">
        <f>(VLOOKUP(main!X39,main!$AO$4:$AR$55,4,FALSE))</f>
        <v>38</v>
      </c>
      <c r="Q39" s="12">
        <f>(VLOOKUP(main!Y39,main!$AO$4:$AR$55,4,FALSE))</f>
        <v>40</v>
      </c>
      <c r="R39" s="12">
        <f>(VLOOKUP(main!Z39,main!$AO$4:$AR$55,4,FALSE))</f>
        <v>40</v>
      </c>
      <c r="S39" s="12">
        <f>(VLOOKUP(main!AA39,main!$AO$4:$AR$55,4,FALSE))</f>
        <v>40</v>
      </c>
      <c r="T39" s="12">
        <f>(VLOOKUP(main!AB39,main!$AO$4:$AR$55,4,FALSE))</f>
        <v>40</v>
      </c>
      <c r="U39" s="12">
        <f>(VLOOKUP(main!AC39,main!$AO$4:$AR$55,4,FALSE))</f>
        <v>40</v>
      </c>
      <c r="V39" s="12">
        <f>(VLOOKUP(main!AD39,main!$AO$4:$AR$55,4,FALSE))</f>
        <v>40</v>
      </c>
      <c r="W39" s="12">
        <f>(VLOOKUP(main!AE39,main!$AO$4:$AR$55,4,FALSE))</f>
        <v>40</v>
      </c>
      <c r="X39" s="12">
        <f>(VLOOKUP(main!AF39,main!$AO$4:$AR$55,4,FALSE))</f>
        <v>40</v>
      </c>
    </row>
    <row r="40" spans="1:24">
      <c r="A40" s="12">
        <f>(VLOOKUP(main!I40,main!$AO$4:$AR$55,4,FALSE))</f>
        <v>36</v>
      </c>
      <c r="B40" s="12">
        <f>(VLOOKUP(main!J40,main!$AO$4:$AR$55,4,FALSE))</f>
        <v>36</v>
      </c>
      <c r="C40" s="12">
        <f>(VLOOKUP(main!K40,main!$AO$4:$AR$55,4,FALSE))</f>
        <v>36</v>
      </c>
      <c r="D40" s="12">
        <f>(VLOOKUP(main!L40,main!$AO$4:$AR$55,4,FALSE))</f>
        <v>36</v>
      </c>
      <c r="E40" s="12">
        <f>(VLOOKUP(main!M40,main!$AO$4:$AR$55,4,FALSE))</f>
        <v>36</v>
      </c>
      <c r="F40" s="12">
        <f>(VLOOKUP(main!N40,main!$AO$4:$AR$55,4,FALSE))</f>
        <v>36</v>
      </c>
      <c r="G40" s="12">
        <f>(VLOOKUP(main!O40,main!$AO$4:$AR$55,4,FALSE))</f>
        <v>36</v>
      </c>
      <c r="H40" s="12">
        <f>(VLOOKUP(main!P40,main!$AO$4:$AR$55,4,FALSE))</f>
        <v>36</v>
      </c>
      <c r="I40" s="12">
        <f>(VLOOKUP(main!Q40,main!$AO$4:$AR$55,4,FALSE))</f>
        <v>38</v>
      </c>
      <c r="J40" s="12">
        <f>(VLOOKUP(main!R40,main!$AO$4:$AR$55,4,FALSE))</f>
        <v>38</v>
      </c>
      <c r="K40" s="12">
        <f>(VLOOKUP(main!S40,main!$AO$4:$AR$55,4,FALSE))</f>
        <v>38</v>
      </c>
      <c r="L40" s="12">
        <f>(VLOOKUP(main!T40,main!$AO$4:$AR$55,4,FALSE))</f>
        <v>38</v>
      </c>
      <c r="M40" s="12">
        <f>(VLOOKUP(main!U40,main!$AO$4:$AR$55,4,FALSE))</f>
        <v>38</v>
      </c>
      <c r="N40" s="12">
        <f>(VLOOKUP(main!V40,main!$AO$4:$AR$55,4,FALSE))</f>
        <v>38</v>
      </c>
      <c r="O40" s="12">
        <f>(VLOOKUP(main!W40,main!$AO$4:$AR$55,4,FALSE))</f>
        <v>38</v>
      </c>
      <c r="P40" s="12">
        <f>(VLOOKUP(main!X40,main!$AO$4:$AR$55,4,FALSE))</f>
        <v>38</v>
      </c>
      <c r="Q40" s="12">
        <f>(VLOOKUP(main!Y40,main!$AO$4:$AR$55,4,FALSE))</f>
        <v>40</v>
      </c>
      <c r="R40" s="12">
        <f>(VLOOKUP(main!Z40,main!$AO$4:$AR$55,4,FALSE))</f>
        <v>40</v>
      </c>
      <c r="S40" s="12">
        <f>(VLOOKUP(main!AA40,main!$AO$4:$AR$55,4,FALSE))</f>
        <v>40</v>
      </c>
      <c r="T40" s="12">
        <f>(VLOOKUP(main!AB40,main!$AO$4:$AR$55,4,FALSE))</f>
        <v>40</v>
      </c>
      <c r="U40" s="12">
        <f>(VLOOKUP(main!AC40,main!$AO$4:$AR$55,4,FALSE))</f>
        <v>40</v>
      </c>
      <c r="V40" s="12">
        <f>(VLOOKUP(main!AD40,main!$AO$4:$AR$55,4,FALSE))</f>
        <v>13.9998549331786</v>
      </c>
      <c r="W40" s="12">
        <f>(VLOOKUP(main!AE40,main!$AO$4:$AR$55,4,FALSE))</f>
        <v>13.9998549331786</v>
      </c>
      <c r="X40" s="12">
        <f>(VLOOKUP(main!AF40,main!$AO$4:$AR$55,4,FALSE))</f>
        <v>13.9998549331786</v>
      </c>
    </row>
    <row r="41" spans="1:24">
      <c r="A41" s="12">
        <f>(VLOOKUP(main!I41,main!$AO$4:$AR$55,4,FALSE))</f>
        <v>36</v>
      </c>
      <c r="B41" s="12">
        <f>(VLOOKUP(main!J41,main!$AO$4:$AR$55,4,FALSE))</f>
        <v>36</v>
      </c>
      <c r="C41" s="12">
        <f>(VLOOKUP(main!K41,main!$AO$4:$AR$55,4,FALSE))</f>
        <v>36</v>
      </c>
      <c r="D41" s="12">
        <f>(VLOOKUP(main!L41,main!$AO$4:$AR$55,4,FALSE))</f>
        <v>36</v>
      </c>
      <c r="E41" s="12">
        <f>(VLOOKUP(main!M41,main!$AO$4:$AR$55,4,FALSE))</f>
        <v>36</v>
      </c>
      <c r="F41" s="12">
        <f>(VLOOKUP(main!N41,main!$AO$4:$AR$55,4,FALSE))</f>
        <v>36</v>
      </c>
      <c r="G41" s="12">
        <f>(VLOOKUP(main!O41,main!$AO$4:$AR$55,4,FALSE))</f>
        <v>36</v>
      </c>
      <c r="H41" s="12">
        <f>(VLOOKUP(main!P41,main!$AO$4:$AR$55,4,FALSE))</f>
        <v>36</v>
      </c>
      <c r="I41" s="12">
        <f>(VLOOKUP(main!Q41,main!$AO$4:$AR$55,4,FALSE))</f>
        <v>38</v>
      </c>
      <c r="J41" s="12">
        <f>(VLOOKUP(main!R41,main!$AO$4:$AR$55,4,FALSE))</f>
        <v>38</v>
      </c>
      <c r="K41" s="12">
        <f>(VLOOKUP(main!S41,main!$AO$4:$AR$55,4,FALSE))</f>
        <v>38</v>
      </c>
      <c r="L41" s="12">
        <f>(VLOOKUP(main!T41,main!$AO$4:$AR$55,4,FALSE))</f>
        <v>38</v>
      </c>
      <c r="M41" s="12">
        <f>(VLOOKUP(main!U41,main!$AO$4:$AR$55,4,FALSE))</f>
        <v>38</v>
      </c>
      <c r="N41" s="12">
        <f>(VLOOKUP(main!V41,main!$AO$4:$AR$55,4,FALSE))</f>
        <v>38</v>
      </c>
      <c r="O41" s="12">
        <f>(VLOOKUP(main!W41,main!$AO$4:$AR$55,4,FALSE))</f>
        <v>38</v>
      </c>
      <c r="P41" s="12">
        <f>(VLOOKUP(main!X41,main!$AO$4:$AR$55,4,FALSE))</f>
        <v>38</v>
      </c>
      <c r="Q41" s="12">
        <f>(VLOOKUP(main!Y41,main!$AO$4:$AR$55,4,FALSE))</f>
        <v>10</v>
      </c>
      <c r="R41" s="12">
        <f>(VLOOKUP(main!Z41,main!$AO$4:$AR$55,4,FALSE))</f>
        <v>10</v>
      </c>
      <c r="S41" s="12">
        <f>(VLOOKUP(main!AA41,main!$AO$4:$AR$55,4,FALSE))</f>
        <v>10</v>
      </c>
      <c r="T41" s="12">
        <f>(VLOOKUP(main!AB41,main!$AO$4:$AR$55,4,FALSE))</f>
        <v>10</v>
      </c>
      <c r="U41" s="12">
        <f>(VLOOKUP(main!AC41,main!$AO$4:$AR$55,4,FALSE))</f>
        <v>10</v>
      </c>
      <c r="V41" s="12">
        <f>(VLOOKUP(main!AD41,main!$AO$4:$AR$55,4,FALSE))</f>
        <v>10</v>
      </c>
      <c r="W41" s="12">
        <f>(VLOOKUP(main!AE41,main!$AO$4:$AR$55,4,FALSE))</f>
        <v>10</v>
      </c>
      <c r="X41" s="12">
        <f>(VLOOKUP(main!AF41,main!$AO$4:$AR$55,4,FALSE))</f>
        <v>10</v>
      </c>
    </row>
    <row r="42" spans="1:24">
      <c r="A42" s="12">
        <f>(VLOOKUP(main!I42,main!$AO$4:$AR$55,4,FALSE))</f>
        <v>36</v>
      </c>
      <c r="B42" s="12">
        <f>(VLOOKUP(main!J42,main!$AO$4:$AR$55,4,FALSE))</f>
        <v>36</v>
      </c>
      <c r="C42" s="12">
        <f>(VLOOKUP(main!K42,main!$AO$4:$AR$55,4,FALSE))</f>
        <v>36</v>
      </c>
      <c r="D42" s="12">
        <f>(VLOOKUP(main!L42,main!$AO$4:$AR$55,4,FALSE))</f>
        <v>36</v>
      </c>
      <c r="E42" s="12">
        <f>(VLOOKUP(main!M42,main!$AO$4:$AR$55,4,FALSE))</f>
        <v>36</v>
      </c>
      <c r="F42" s="12">
        <f>(VLOOKUP(main!N42,main!$AO$4:$AR$55,4,FALSE))</f>
        <v>36</v>
      </c>
      <c r="G42" s="12">
        <f>(VLOOKUP(main!O42,main!$AO$4:$AR$55,4,FALSE))</f>
        <v>36</v>
      </c>
      <c r="H42" s="12">
        <f>(VLOOKUP(main!P42,main!$AO$4:$AR$55,4,FALSE))</f>
        <v>36</v>
      </c>
      <c r="I42" s="12">
        <f>(VLOOKUP(main!Q42,main!$AO$4:$AR$55,4,FALSE))</f>
        <v>38</v>
      </c>
      <c r="J42" s="12">
        <f>(VLOOKUP(main!R42,main!$AO$4:$AR$55,4,FALSE))</f>
        <v>38</v>
      </c>
      <c r="K42" s="12">
        <f>(VLOOKUP(main!S42,main!$AO$4:$AR$55,4,FALSE))</f>
        <v>38</v>
      </c>
      <c r="L42" s="12">
        <f>(VLOOKUP(main!T42,main!$AO$4:$AR$55,4,FALSE))</f>
        <v>38</v>
      </c>
      <c r="M42" s="12">
        <f>(VLOOKUP(main!U42,main!$AO$4:$AR$55,4,FALSE))</f>
        <v>38</v>
      </c>
      <c r="N42" s="12">
        <f>(VLOOKUP(main!V42,main!$AO$4:$AR$55,4,FALSE))</f>
        <v>38</v>
      </c>
      <c r="O42" s="12">
        <f>(VLOOKUP(main!W42,main!$AO$4:$AR$55,4,FALSE))</f>
        <v>38</v>
      </c>
      <c r="P42" s="12">
        <f>(VLOOKUP(main!X42,main!$AO$4:$AR$55,4,FALSE))</f>
        <v>38</v>
      </c>
      <c r="Q42" s="12">
        <f>(VLOOKUP(main!Y42,main!$AO$4:$AR$55,4,FALSE))</f>
        <v>10</v>
      </c>
      <c r="R42" s="12">
        <f>(VLOOKUP(main!Z42,main!$AO$4:$AR$55,4,FALSE))</f>
        <v>10</v>
      </c>
      <c r="S42" s="12">
        <f>(VLOOKUP(main!AA42,main!$AO$4:$AR$55,4,FALSE))</f>
        <v>10</v>
      </c>
      <c r="T42" s="12">
        <f>(VLOOKUP(main!AB42,main!$AO$4:$AR$55,4,FALSE))</f>
        <v>10</v>
      </c>
      <c r="U42" s="12">
        <f>(VLOOKUP(main!AC42,main!$AO$4:$AR$55,4,FALSE))</f>
        <v>10</v>
      </c>
      <c r="V42" s="12">
        <f>(VLOOKUP(main!AD42,main!$AO$4:$AR$55,4,FALSE))</f>
        <v>10</v>
      </c>
      <c r="W42" s="12">
        <f>(VLOOKUP(main!AE42,main!$AO$4:$AR$55,4,FALSE))</f>
        <v>10</v>
      </c>
      <c r="X42" s="12">
        <f>(VLOOKUP(main!AF42,main!$AO$4:$AR$55,4,FALSE))</f>
        <v>10</v>
      </c>
    </row>
    <row r="43" spans="1:24">
      <c r="A43" s="12">
        <f>(VLOOKUP(main!I43,main!$AO$4:$AR$55,4,FALSE))</f>
        <v>36</v>
      </c>
      <c r="B43" s="12">
        <f>(VLOOKUP(main!J43,main!$AO$4:$AR$55,4,FALSE))</f>
        <v>36</v>
      </c>
      <c r="C43" s="12">
        <f>(VLOOKUP(main!K43,main!$AO$4:$AR$55,4,FALSE))</f>
        <v>36</v>
      </c>
      <c r="D43" s="12">
        <f>(VLOOKUP(main!L43,main!$AO$4:$AR$55,4,FALSE))</f>
        <v>36</v>
      </c>
      <c r="E43" s="12">
        <f>(VLOOKUP(main!M43,main!$AO$4:$AR$55,4,FALSE))</f>
        <v>36</v>
      </c>
      <c r="F43" s="12">
        <f>(VLOOKUP(main!N43,main!$AO$4:$AR$55,4,FALSE))</f>
        <v>36</v>
      </c>
      <c r="G43" s="12">
        <f>(VLOOKUP(main!O43,main!$AO$4:$AR$55,4,FALSE))</f>
        <v>36</v>
      </c>
      <c r="H43" s="12">
        <f>(VLOOKUP(main!P43,main!$AO$4:$AR$55,4,FALSE))</f>
        <v>36</v>
      </c>
      <c r="I43" s="12">
        <f>(VLOOKUP(main!Q43,main!$AO$4:$AR$55,4,FALSE))</f>
        <v>38</v>
      </c>
      <c r="J43" s="12">
        <f>(VLOOKUP(main!R43,main!$AO$4:$AR$55,4,FALSE))</f>
        <v>38</v>
      </c>
      <c r="K43" s="12">
        <f>(VLOOKUP(main!S43,main!$AO$4:$AR$55,4,FALSE))</f>
        <v>38</v>
      </c>
      <c r="L43" s="12">
        <f>(VLOOKUP(main!T43,main!$AO$4:$AR$55,4,FALSE))</f>
        <v>38</v>
      </c>
      <c r="M43" s="12">
        <f>(VLOOKUP(main!U43,main!$AO$4:$AR$55,4,FALSE))</f>
        <v>38</v>
      </c>
      <c r="N43" s="12">
        <f>(VLOOKUP(main!V43,main!$AO$4:$AR$55,4,FALSE))</f>
        <v>38</v>
      </c>
      <c r="O43" s="12">
        <f>(VLOOKUP(main!W43,main!$AO$4:$AR$55,4,FALSE))</f>
        <v>38</v>
      </c>
      <c r="P43" s="12">
        <f>(VLOOKUP(main!X43,main!$AO$4:$AR$55,4,FALSE))</f>
        <v>38</v>
      </c>
      <c r="Q43" s="12">
        <f>(VLOOKUP(main!Y43,main!$AO$4:$AR$55,4,FALSE))</f>
        <v>10</v>
      </c>
      <c r="R43" s="12">
        <f>(VLOOKUP(main!Z43,main!$AO$4:$AR$55,4,FALSE))</f>
        <v>10</v>
      </c>
      <c r="S43" s="12">
        <f>(VLOOKUP(main!AA43,main!$AO$4:$AR$55,4,FALSE))</f>
        <v>10</v>
      </c>
      <c r="T43" s="12">
        <f>(VLOOKUP(main!AB43,main!$AO$4:$AR$55,4,FALSE))</f>
        <v>10</v>
      </c>
      <c r="U43" s="12">
        <f>(VLOOKUP(main!AC43,main!$AO$4:$AR$55,4,FALSE))</f>
        <v>10</v>
      </c>
      <c r="V43" s="12">
        <f>(VLOOKUP(main!AD43,main!$AO$4:$AR$55,4,FALSE))</f>
        <v>10</v>
      </c>
      <c r="W43" s="12">
        <f>(VLOOKUP(main!AE43,main!$AO$4:$AR$55,4,FALSE))</f>
        <v>10</v>
      </c>
      <c r="X43" s="12">
        <f>(VLOOKUP(main!AF43,main!$AO$4:$AR$55,4,FALSE))</f>
        <v>10</v>
      </c>
    </row>
    <row r="44" spans="1:24">
      <c r="A44" s="12">
        <f>(VLOOKUP(main!I44,main!$AO$4:$AR$55,4,FALSE))</f>
        <v>36</v>
      </c>
      <c r="B44" s="12">
        <f>(VLOOKUP(main!J44,main!$AO$4:$AR$55,4,FALSE))</f>
        <v>36</v>
      </c>
      <c r="C44" s="12">
        <f>(VLOOKUP(main!K44,main!$AO$4:$AR$55,4,FALSE))</f>
        <v>36</v>
      </c>
      <c r="D44" s="12">
        <f>(VLOOKUP(main!L44,main!$AO$4:$AR$55,4,FALSE))</f>
        <v>36</v>
      </c>
      <c r="E44" s="12">
        <f>(VLOOKUP(main!M44,main!$AO$4:$AR$55,4,FALSE))</f>
        <v>36</v>
      </c>
      <c r="F44" s="12">
        <f>(VLOOKUP(main!N44,main!$AO$4:$AR$55,4,FALSE))</f>
        <v>36</v>
      </c>
      <c r="G44" s="12">
        <f>(VLOOKUP(main!O44,main!$AO$4:$AR$55,4,FALSE))</f>
        <v>36</v>
      </c>
      <c r="H44" s="12">
        <f>(VLOOKUP(main!P44,main!$AO$4:$AR$55,4,FALSE))</f>
        <v>36</v>
      </c>
      <c r="I44" s="12">
        <f>(VLOOKUP(main!Q44,main!$AO$4:$AR$55,4,FALSE))</f>
        <v>38</v>
      </c>
      <c r="J44" s="12">
        <f>(VLOOKUP(main!R44,main!$AO$4:$AR$55,4,FALSE))</f>
        <v>38</v>
      </c>
      <c r="K44" s="12">
        <f>(VLOOKUP(main!S44,main!$AO$4:$AR$55,4,FALSE))</f>
        <v>38</v>
      </c>
      <c r="L44" s="12">
        <f>(VLOOKUP(main!T44,main!$AO$4:$AR$55,4,FALSE))</f>
        <v>38</v>
      </c>
      <c r="M44" s="12">
        <f>(VLOOKUP(main!U44,main!$AO$4:$AR$55,4,FALSE))</f>
        <v>38</v>
      </c>
      <c r="N44" s="12">
        <f>(VLOOKUP(main!V44,main!$AO$4:$AR$55,4,FALSE))</f>
        <v>38</v>
      </c>
      <c r="O44" s="12">
        <f>(VLOOKUP(main!W44,main!$AO$4:$AR$55,4,FALSE))</f>
        <v>38</v>
      </c>
      <c r="P44" s="12">
        <f>(VLOOKUP(main!X44,main!$AO$4:$AR$55,4,FALSE))</f>
        <v>38</v>
      </c>
      <c r="Q44" s="12">
        <f>(VLOOKUP(main!Y44,main!$AO$4:$AR$55,4,FALSE))</f>
        <v>0</v>
      </c>
      <c r="R44" s="12">
        <f>(VLOOKUP(main!Z44,main!$AO$4:$AR$55,4,FALSE))</f>
        <v>0</v>
      </c>
      <c r="S44" s="12">
        <f>(VLOOKUP(main!AA44,main!$AO$4:$AR$55,4,FALSE))</f>
        <v>0</v>
      </c>
      <c r="T44" s="12">
        <f>(VLOOKUP(main!AB44,main!$AO$4:$AR$55,4,FALSE))</f>
        <v>0</v>
      </c>
      <c r="U44" s="12">
        <f>(VLOOKUP(main!AC44,main!$AO$4:$AR$55,4,FALSE))</f>
        <v>0</v>
      </c>
      <c r="V44" s="12">
        <f>(VLOOKUP(main!AD44,main!$AO$4:$AR$55,4,FALSE))</f>
        <v>0</v>
      </c>
      <c r="W44" s="12">
        <f>(VLOOKUP(main!AE44,main!$AO$4:$AR$55,4,FALSE))</f>
        <v>0</v>
      </c>
      <c r="X44" s="12">
        <f>(VLOOKUP(main!AF44,main!$AO$4:$AR$55,4,FALSE))</f>
        <v>0</v>
      </c>
    </row>
    <row r="45" spans="1:24">
      <c r="A45" s="12">
        <f>(VLOOKUP(main!I45,main!$AO$4:$AR$55,4,FALSE))</f>
        <v>36</v>
      </c>
      <c r="B45" s="12">
        <f>(VLOOKUP(main!J45,main!$AO$4:$AR$55,4,FALSE))</f>
        <v>36</v>
      </c>
      <c r="C45" s="12">
        <f>(VLOOKUP(main!K45,main!$AO$4:$AR$55,4,FALSE))</f>
        <v>36</v>
      </c>
      <c r="D45" s="12">
        <f>(VLOOKUP(main!L45,main!$AO$4:$AR$55,4,FALSE))</f>
        <v>36</v>
      </c>
      <c r="E45" s="12">
        <f>(VLOOKUP(main!M45,main!$AO$4:$AR$55,4,FALSE))</f>
        <v>36</v>
      </c>
      <c r="F45" s="12">
        <f>(VLOOKUP(main!N45,main!$AO$4:$AR$55,4,FALSE))</f>
        <v>36</v>
      </c>
      <c r="G45" s="12">
        <f>(VLOOKUP(main!O45,main!$AO$4:$AR$55,4,FALSE))</f>
        <v>36</v>
      </c>
      <c r="H45" s="12">
        <f>(VLOOKUP(main!P45,main!$AO$4:$AR$55,4,FALSE))</f>
        <v>36</v>
      </c>
      <c r="I45" s="12">
        <f>(VLOOKUP(main!Q45,main!$AO$4:$AR$55,4,FALSE))</f>
        <v>38</v>
      </c>
      <c r="J45" s="12">
        <f>(VLOOKUP(main!R45,main!$AO$4:$AR$55,4,FALSE))</f>
        <v>0</v>
      </c>
      <c r="K45" s="12">
        <f>(VLOOKUP(main!S45,main!$AO$4:$AR$55,4,FALSE))</f>
        <v>0</v>
      </c>
      <c r="L45" s="12">
        <f>(VLOOKUP(main!T45,main!$AO$4:$AR$55,4,FALSE))</f>
        <v>0</v>
      </c>
      <c r="M45" s="12">
        <f>(VLOOKUP(main!U45,main!$AO$4:$AR$55,4,FALSE))</f>
        <v>0</v>
      </c>
      <c r="N45" s="12">
        <f>(VLOOKUP(main!V45,main!$AO$4:$AR$55,4,FALSE))</f>
        <v>0</v>
      </c>
      <c r="O45" s="12">
        <f>(VLOOKUP(main!W45,main!$AO$4:$AR$55,4,FALSE))</f>
        <v>0</v>
      </c>
      <c r="P45" s="12">
        <f>(VLOOKUP(main!X45,main!$AO$4:$AR$55,4,FALSE))</f>
        <v>0</v>
      </c>
      <c r="Q45" s="12">
        <f>(VLOOKUP(main!Y45,main!$AO$4:$AR$55,4,FALSE))</f>
        <v>0</v>
      </c>
      <c r="R45" s="12">
        <f>(VLOOKUP(main!Z45,main!$AO$4:$AR$55,4,FALSE))</f>
        <v>0</v>
      </c>
      <c r="S45" s="12">
        <f>(VLOOKUP(main!AA45,main!$AO$4:$AR$55,4,FALSE))</f>
        <v>60</v>
      </c>
      <c r="T45" s="12">
        <f>(VLOOKUP(main!AB45,main!$AO$4:$AR$55,4,FALSE))</f>
        <v>60</v>
      </c>
      <c r="U45" s="12">
        <f>(VLOOKUP(main!AC45,main!$AO$4:$AR$55,4,FALSE))</f>
        <v>0</v>
      </c>
      <c r="V45" s="12">
        <f>(VLOOKUP(main!AD45,main!$AO$4:$AR$55,4,FALSE))</f>
        <v>0</v>
      </c>
      <c r="W45" s="12">
        <f>(VLOOKUP(main!AE45,main!$AO$4:$AR$55,4,FALSE))</f>
        <v>0</v>
      </c>
      <c r="X45" s="12">
        <f>(VLOOKUP(main!AF45,main!$AO$4:$AR$55,4,FALSE))</f>
        <v>0</v>
      </c>
    </row>
    <row r="46" spans="1:24">
      <c r="A46" s="12">
        <f>(VLOOKUP(main!I46,main!$AO$4:$AR$55,4,FALSE))</f>
        <v>36</v>
      </c>
      <c r="B46" s="12">
        <f>(VLOOKUP(main!J46,main!$AO$4:$AR$55,4,FALSE))</f>
        <v>36</v>
      </c>
      <c r="C46" s="12">
        <f>(VLOOKUP(main!K46,main!$AO$4:$AR$55,4,FALSE))</f>
        <v>36</v>
      </c>
      <c r="D46" s="12">
        <f>(VLOOKUP(main!L46,main!$AO$4:$AR$55,4,FALSE))</f>
        <v>36</v>
      </c>
      <c r="E46" s="12">
        <f>(VLOOKUP(main!M46,main!$AO$4:$AR$55,4,FALSE))</f>
        <v>36</v>
      </c>
      <c r="F46" s="12">
        <f>(VLOOKUP(main!N46,main!$AO$4:$AR$55,4,FALSE))</f>
        <v>36</v>
      </c>
      <c r="G46" s="12">
        <f>(VLOOKUP(main!O46,main!$AO$4:$AR$55,4,FALSE))</f>
        <v>36</v>
      </c>
      <c r="H46" s="12">
        <f>(VLOOKUP(main!P46,main!$AO$4:$AR$55,4,FALSE))</f>
        <v>36</v>
      </c>
      <c r="I46" s="12">
        <f>(VLOOKUP(main!Q46,main!$AO$4:$AR$55,4,FALSE))</f>
        <v>0</v>
      </c>
      <c r="J46" s="12">
        <f>(VLOOKUP(main!R46,main!$AO$4:$AR$55,4,FALSE))</f>
        <v>0</v>
      </c>
      <c r="K46" s="12">
        <f>(VLOOKUP(main!S46,main!$AO$4:$AR$55,4,FALSE))</f>
        <v>0</v>
      </c>
      <c r="L46" s="12">
        <f>(VLOOKUP(main!T46,main!$AO$4:$AR$55,4,FALSE))</f>
        <v>0</v>
      </c>
      <c r="M46" s="12">
        <f>(VLOOKUP(main!U46,main!$AO$4:$AR$55,4,FALSE))</f>
        <v>0</v>
      </c>
      <c r="N46" s="12">
        <f>(VLOOKUP(main!V46,main!$AO$4:$AR$55,4,FALSE))</f>
        <v>0</v>
      </c>
      <c r="O46" s="12">
        <f>(VLOOKUP(main!W46,main!$AO$4:$AR$55,4,FALSE))</f>
        <v>0</v>
      </c>
      <c r="P46" s="12">
        <f>(VLOOKUP(main!X46,main!$AO$4:$AR$55,4,FALSE))</f>
        <v>0</v>
      </c>
      <c r="Q46" s="12">
        <f>(VLOOKUP(main!Y46,main!$AO$4:$AR$55,4,FALSE))</f>
        <v>0</v>
      </c>
      <c r="R46" s="12">
        <f>(VLOOKUP(main!Z46,main!$AO$4:$AR$55,4,FALSE))</f>
        <v>0</v>
      </c>
      <c r="S46" s="12">
        <f>(VLOOKUP(main!AA46,main!$AO$4:$AR$55,4,FALSE))</f>
        <v>0</v>
      </c>
      <c r="T46" s="12">
        <f>(VLOOKUP(main!AB46,main!$AO$4:$AR$55,4,FALSE))</f>
        <v>0</v>
      </c>
      <c r="U46" s="12">
        <f>(VLOOKUP(main!AC46,main!$AO$4:$AR$55,4,FALSE))</f>
        <v>0</v>
      </c>
      <c r="V46" s="12">
        <f>(VLOOKUP(main!AD46,main!$AO$4:$AR$55,4,FALSE))</f>
        <v>0</v>
      </c>
      <c r="W46" s="12">
        <f>(VLOOKUP(main!AE46,main!$AO$4:$AR$55,4,FALSE))</f>
        <v>0</v>
      </c>
      <c r="X46" s="12">
        <f>(VLOOKUP(main!AF46,main!$AO$4:$AR$55,4,FALSE))</f>
        <v>0</v>
      </c>
    </row>
    <row r="47" spans="1:24">
      <c r="A47" s="12">
        <f>(VLOOKUP(main!I47,main!$AO$4:$AR$55,4,FALSE))</f>
        <v>36</v>
      </c>
      <c r="B47" s="12">
        <f>(VLOOKUP(main!J47,main!$AO$4:$AR$55,4,FALSE))</f>
        <v>36</v>
      </c>
      <c r="C47" s="12">
        <f>(VLOOKUP(main!K47,main!$AO$4:$AR$55,4,FALSE))</f>
        <v>36</v>
      </c>
      <c r="D47" s="12">
        <f>(VLOOKUP(main!L47,main!$AO$4:$AR$55,4,FALSE))</f>
        <v>36</v>
      </c>
      <c r="E47" s="12">
        <f>(VLOOKUP(main!M47,main!$AO$4:$AR$55,4,FALSE))</f>
        <v>36</v>
      </c>
      <c r="F47" s="12">
        <f>(VLOOKUP(main!N47,main!$AO$4:$AR$55,4,FALSE))</f>
        <v>36</v>
      </c>
      <c r="G47" s="12">
        <f>(VLOOKUP(main!O47,main!$AO$4:$AR$55,4,FALSE))</f>
        <v>36</v>
      </c>
      <c r="H47" s="12">
        <f>(VLOOKUP(main!P47,main!$AO$4:$AR$55,4,FALSE))</f>
        <v>36</v>
      </c>
      <c r="I47" s="12">
        <f>(VLOOKUP(main!Q47,main!$AO$4:$AR$55,4,FALSE))</f>
        <v>0</v>
      </c>
      <c r="J47" s="12">
        <f>(VLOOKUP(main!R47,main!$AO$4:$AR$55,4,FALSE))</f>
        <v>0</v>
      </c>
      <c r="K47" s="12">
        <f>(VLOOKUP(main!S47,main!$AO$4:$AR$55,4,FALSE))</f>
        <v>0</v>
      </c>
      <c r="L47" s="12">
        <f>(VLOOKUP(main!T47,main!$AO$4:$AR$55,4,FALSE))</f>
        <v>0</v>
      </c>
      <c r="M47" s="12">
        <f>(VLOOKUP(main!U47,main!$AO$4:$AR$55,4,FALSE))</f>
        <v>0</v>
      </c>
      <c r="N47" s="12">
        <f>(VLOOKUP(main!V47,main!$AO$4:$AR$55,4,FALSE))</f>
        <v>0</v>
      </c>
      <c r="O47" s="12">
        <f>(VLOOKUP(main!W47,main!$AO$4:$AR$55,4,FALSE))</f>
        <v>0</v>
      </c>
      <c r="P47" s="12">
        <f>(VLOOKUP(main!X47,main!$AO$4:$AR$55,4,FALSE))</f>
        <v>0</v>
      </c>
      <c r="Q47" s="12">
        <f>(VLOOKUP(main!Y47,main!$AO$4:$AR$55,4,FALSE))</f>
        <v>0</v>
      </c>
      <c r="R47" s="12">
        <f>(VLOOKUP(main!Z47,main!$AO$4:$AR$55,4,FALSE))</f>
        <v>0</v>
      </c>
      <c r="S47" s="12">
        <f>(VLOOKUP(main!AA47,main!$AO$4:$AR$55,4,FALSE))</f>
        <v>0</v>
      </c>
      <c r="T47" s="12">
        <f>(VLOOKUP(main!AB47,main!$AO$4:$AR$55,4,FALSE))</f>
        <v>0</v>
      </c>
      <c r="U47" s="12">
        <f>(VLOOKUP(main!AC47,main!$AO$4:$AR$55,4,FALSE))</f>
        <v>0</v>
      </c>
      <c r="V47" s="12">
        <f>(VLOOKUP(main!AD47,main!$AO$4:$AR$55,4,FALSE))</f>
        <v>0</v>
      </c>
      <c r="W47" s="12">
        <f>(VLOOKUP(main!AE47,main!$AO$4:$AR$55,4,FALSE))</f>
        <v>0</v>
      </c>
      <c r="X47" s="12">
        <f>(VLOOKUP(main!AF47,main!$AO$4:$AR$55,4,FALSE))</f>
        <v>0</v>
      </c>
    </row>
    <row r="48" spans="1:24">
      <c r="A48" s="12">
        <f>(VLOOKUP(main!I48,main!$AO$4:$AR$55,4,FALSE))</f>
        <v>36</v>
      </c>
      <c r="B48" s="12">
        <f>(VLOOKUP(main!J48,main!$AO$4:$AR$55,4,FALSE))</f>
        <v>36</v>
      </c>
      <c r="C48" s="12">
        <f>(VLOOKUP(main!K48,main!$AO$4:$AR$55,4,FALSE))</f>
        <v>36</v>
      </c>
      <c r="D48" s="12">
        <f>(VLOOKUP(main!L48,main!$AO$4:$AR$55,4,FALSE))</f>
        <v>36</v>
      </c>
      <c r="E48" s="12">
        <f>(VLOOKUP(main!M48,main!$AO$4:$AR$55,4,FALSE))</f>
        <v>36</v>
      </c>
      <c r="F48" s="12">
        <f>(VLOOKUP(main!N48,main!$AO$4:$AR$55,4,FALSE))</f>
        <v>36</v>
      </c>
      <c r="G48" s="12">
        <f>(VLOOKUP(main!O48,main!$AO$4:$AR$55,4,FALSE))</f>
        <v>36</v>
      </c>
      <c r="H48" s="12">
        <f>(VLOOKUP(main!P48,main!$AO$4:$AR$55,4,FALSE))</f>
        <v>36</v>
      </c>
      <c r="I48" s="12">
        <f>(VLOOKUP(main!Q48,main!$AO$4:$AR$55,4,FALSE))</f>
        <v>34</v>
      </c>
      <c r="J48" s="12">
        <f>(VLOOKUP(main!R48,main!$AO$4:$AR$55,4,FALSE))</f>
        <v>34</v>
      </c>
      <c r="K48" s="12">
        <f>(VLOOKUP(main!S48,main!$AO$4:$AR$55,4,FALSE))</f>
        <v>34</v>
      </c>
      <c r="L48" s="12">
        <f>(VLOOKUP(main!T48,main!$AO$4:$AR$55,4,FALSE))</f>
        <v>34</v>
      </c>
      <c r="M48" s="12">
        <f>(VLOOKUP(main!U48,main!$AO$4:$AR$55,4,FALSE))</f>
        <v>34</v>
      </c>
      <c r="N48" s="12">
        <f>(VLOOKUP(main!V48,main!$AO$4:$AR$55,4,FALSE))</f>
        <v>34</v>
      </c>
      <c r="O48" s="12">
        <f>(VLOOKUP(main!W48,main!$AO$4:$AR$55,4,FALSE))</f>
        <v>34</v>
      </c>
      <c r="P48" s="12">
        <f>(VLOOKUP(main!X48,main!$AO$4:$AR$55,4,FALSE))</f>
        <v>34</v>
      </c>
      <c r="Q48" s="12">
        <f>(VLOOKUP(main!Y48,main!$AO$4:$AR$55,4,FALSE))</f>
        <v>34</v>
      </c>
      <c r="R48" s="12">
        <f>(VLOOKUP(main!Z48,main!$AO$4:$AR$55,4,FALSE))</f>
        <v>34</v>
      </c>
      <c r="S48" s="12">
        <f>(VLOOKUP(main!AA48,main!$AO$4:$AR$55,4,FALSE))</f>
        <v>34</v>
      </c>
      <c r="T48" s="12">
        <f>(VLOOKUP(main!AB48,main!$AO$4:$AR$55,4,FALSE))</f>
        <v>34</v>
      </c>
      <c r="U48" s="12">
        <f>(VLOOKUP(main!AC48,main!$AO$4:$AR$55,4,FALSE))</f>
        <v>34</v>
      </c>
      <c r="V48" s="12">
        <f>(VLOOKUP(main!AD48,main!$AO$4:$AR$55,4,FALSE))</f>
        <v>34</v>
      </c>
      <c r="W48" s="12">
        <f>(VLOOKUP(main!AE48,main!$AO$4:$AR$55,4,FALSE))</f>
        <v>0</v>
      </c>
      <c r="X48" s="12">
        <f>(VLOOKUP(main!AF48,main!$AO$4:$AR$55,4,FALSE))</f>
        <v>0</v>
      </c>
    </row>
    <row r="49" spans="1:24">
      <c r="A49" s="12">
        <f>(VLOOKUP(main!I49,main!$AO$4:$AR$55,4,FALSE))</f>
        <v>36</v>
      </c>
      <c r="B49" s="12">
        <f>(VLOOKUP(main!J49,main!$AO$4:$AR$55,4,FALSE))</f>
        <v>36</v>
      </c>
      <c r="C49" s="12">
        <f>(VLOOKUP(main!K49,main!$AO$4:$AR$55,4,FALSE))</f>
        <v>36</v>
      </c>
      <c r="D49" s="12">
        <f>(VLOOKUP(main!L49,main!$AO$4:$AR$55,4,FALSE))</f>
        <v>36</v>
      </c>
      <c r="E49" s="12">
        <f>(VLOOKUP(main!M49,main!$AO$4:$AR$55,4,FALSE))</f>
        <v>36</v>
      </c>
      <c r="F49" s="12">
        <f>(VLOOKUP(main!N49,main!$AO$4:$AR$55,4,FALSE))</f>
        <v>36</v>
      </c>
      <c r="G49" s="12">
        <f>(VLOOKUP(main!O49,main!$AO$4:$AR$55,4,FALSE))</f>
        <v>36</v>
      </c>
      <c r="H49" s="12">
        <f>(VLOOKUP(main!P49,main!$AO$4:$AR$55,4,FALSE))</f>
        <v>36</v>
      </c>
      <c r="I49" s="12">
        <f>(VLOOKUP(main!Q49,main!$AO$4:$AR$55,4,FALSE))</f>
        <v>34</v>
      </c>
      <c r="J49" s="12">
        <f>(VLOOKUP(main!R49,main!$AO$4:$AR$55,4,FALSE))</f>
        <v>34</v>
      </c>
      <c r="K49" s="12">
        <f>(VLOOKUP(main!S49,main!$AO$4:$AR$55,4,FALSE))</f>
        <v>34</v>
      </c>
      <c r="L49" s="12">
        <f>(VLOOKUP(main!T49,main!$AO$4:$AR$55,4,FALSE))</f>
        <v>34</v>
      </c>
      <c r="M49" s="12">
        <f>(VLOOKUP(main!U49,main!$AO$4:$AR$55,4,FALSE))</f>
        <v>34</v>
      </c>
      <c r="N49" s="12">
        <f>(VLOOKUP(main!V49,main!$AO$4:$AR$55,4,FALSE))</f>
        <v>34</v>
      </c>
      <c r="O49" s="12">
        <f>(VLOOKUP(main!W49,main!$AO$4:$AR$55,4,FALSE))</f>
        <v>34</v>
      </c>
      <c r="P49" s="12">
        <f>(VLOOKUP(main!X49,main!$AO$4:$AR$55,4,FALSE))</f>
        <v>34</v>
      </c>
      <c r="Q49" s="12">
        <f>(VLOOKUP(main!Y49,main!$AO$4:$AR$55,4,FALSE))</f>
        <v>34</v>
      </c>
      <c r="R49" s="12">
        <f>(VLOOKUP(main!Z49,main!$AO$4:$AR$55,4,FALSE))</f>
        <v>34</v>
      </c>
      <c r="S49" s="12">
        <f>(VLOOKUP(main!AA49,main!$AO$4:$AR$55,4,FALSE))</f>
        <v>34</v>
      </c>
      <c r="T49" s="12">
        <f>(VLOOKUP(main!AB49,main!$AO$4:$AR$55,4,FALSE))</f>
        <v>34</v>
      </c>
      <c r="U49" s="12">
        <f>(VLOOKUP(main!AC49,main!$AO$4:$AR$55,4,FALSE))</f>
        <v>34</v>
      </c>
      <c r="V49" s="12">
        <f>(VLOOKUP(main!AD49,main!$AO$4:$AR$55,4,FALSE))</f>
        <v>34</v>
      </c>
      <c r="W49" s="12">
        <f>(VLOOKUP(main!AE49,main!$AO$4:$AR$55,4,FALSE))</f>
        <v>0</v>
      </c>
      <c r="X49" s="12">
        <f>(VLOOKUP(main!AF49,main!$AO$4:$AR$55,4,FALSE))</f>
        <v>0</v>
      </c>
    </row>
    <row r="50" spans="1:24">
      <c r="A50" s="12">
        <f>(VLOOKUP(main!I50,main!$AO$4:$AR$55,4,FALSE))</f>
        <v>36</v>
      </c>
      <c r="B50" s="12">
        <f>(VLOOKUP(main!J50,main!$AO$4:$AR$55,4,FALSE))</f>
        <v>36</v>
      </c>
      <c r="C50" s="12">
        <f>(VLOOKUP(main!K50,main!$AO$4:$AR$55,4,FALSE))</f>
        <v>36</v>
      </c>
      <c r="D50" s="12">
        <f>(VLOOKUP(main!L50,main!$AO$4:$AR$55,4,FALSE))</f>
        <v>36</v>
      </c>
      <c r="E50" s="12">
        <f>(VLOOKUP(main!M50,main!$AO$4:$AR$55,4,FALSE))</f>
        <v>36</v>
      </c>
      <c r="F50" s="12">
        <f>(VLOOKUP(main!N50,main!$AO$4:$AR$55,4,FALSE))</f>
        <v>36</v>
      </c>
      <c r="G50" s="12">
        <f>(VLOOKUP(main!O50,main!$AO$4:$AR$55,4,FALSE))</f>
        <v>36</v>
      </c>
      <c r="H50" s="12">
        <f>(VLOOKUP(main!P50,main!$AO$4:$AR$55,4,FALSE))</f>
        <v>36</v>
      </c>
      <c r="I50" s="12">
        <f>(VLOOKUP(main!Q50,main!$AO$4:$AR$55,4,FALSE))</f>
        <v>34</v>
      </c>
      <c r="J50" s="12">
        <f>(VLOOKUP(main!R50,main!$AO$4:$AR$55,4,FALSE))</f>
        <v>34</v>
      </c>
      <c r="K50" s="12">
        <f>(VLOOKUP(main!S50,main!$AO$4:$AR$55,4,FALSE))</f>
        <v>34</v>
      </c>
      <c r="L50" s="12">
        <f>(VLOOKUP(main!T50,main!$AO$4:$AR$55,4,FALSE))</f>
        <v>34</v>
      </c>
      <c r="M50" s="12">
        <f>(VLOOKUP(main!U50,main!$AO$4:$AR$55,4,FALSE))</f>
        <v>34</v>
      </c>
      <c r="N50" s="12">
        <f>(VLOOKUP(main!V50,main!$AO$4:$AR$55,4,FALSE))</f>
        <v>34</v>
      </c>
      <c r="O50" s="12">
        <f>(VLOOKUP(main!W50,main!$AO$4:$AR$55,4,FALSE))</f>
        <v>34</v>
      </c>
      <c r="P50" s="12">
        <f>(VLOOKUP(main!X50,main!$AO$4:$AR$55,4,FALSE))</f>
        <v>34</v>
      </c>
      <c r="Q50" s="12">
        <f>(VLOOKUP(main!Y50,main!$AO$4:$AR$55,4,FALSE))</f>
        <v>34</v>
      </c>
      <c r="R50" s="12">
        <f>(VLOOKUP(main!Z50,main!$AO$4:$AR$55,4,FALSE))</f>
        <v>34</v>
      </c>
      <c r="S50" s="12">
        <f>(VLOOKUP(main!AA50,main!$AO$4:$AR$55,4,FALSE))</f>
        <v>34</v>
      </c>
      <c r="T50" s="12">
        <f>(VLOOKUP(main!AB50,main!$AO$4:$AR$55,4,FALSE))</f>
        <v>34</v>
      </c>
      <c r="U50" s="12">
        <f>(VLOOKUP(main!AC50,main!$AO$4:$AR$55,4,FALSE))</f>
        <v>34</v>
      </c>
      <c r="V50" s="12">
        <f>(VLOOKUP(main!AD50,main!$AO$4:$AR$55,4,FALSE))</f>
        <v>34</v>
      </c>
      <c r="W50" s="12">
        <f>(VLOOKUP(main!AE50,main!$AO$4:$AR$55,4,FALSE))</f>
        <v>0</v>
      </c>
      <c r="X50" s="12">
        <f>(VLOOKUP(main!AF50,main!$AO$4:$AR$55,4,FALSE))</f>
        <v>0</v>
      </c>
    </row>
    <row r="51" spans="1:24">
      <c r="A51" s="12">
        <f>(VLOOKUP(main!I51,main!$AO$4:$AR$55,4,FALSE))</f>
        <v>36</v>
      </c>
      <c r="B51" s="12">
        <f>(VLOOKUP(main!J51,main!$AO$4:$AR$55,4,FALSE))</f>
        <v>36</v>
      </c>
      <c r="C51" s="12">
        <f>(VLOOKUP(main!K51,main!$AO$4:$AR$55,4,FALSE))</f>
        <v>36</v>
      </c>
      <c r="D51" s="12">
        <f>(VLOOKUP(main!L51,main!$AO$4:$AR$55,4,FALSE))</f>
        <v>36</v>
      </c>
      <c r="E51" s="12">
        <f>(VLOOKUP(main!M51,main!$AO$4:$AR$55,4,FALSE))</f>
        <v>36</v>
      </c>
      <c r="F51" s="12">
        <f>(VLOOKUP(main!N51,main!$AO$4:$AR$55,4,FALSE))</f>
        <v>36</v>
      </c>
      <c r="G51" s="12">
        <f>(VLOOKUP(main!O51,main!$AO$4:$AR$55,4,FALSE))</f>
        <v>36</v>
      </c>
      <c r="H51" s="12">
        <f>(VLOOKUP(main!P51,main!$AO$4:$AR$55,4,FALSE))</f>
        <v>36</v>
      </c>
      <c r="I51" s="12">
        <f>(VLOOKUP(main!Q51,main!$AO$4:$AR$55,4,FALSE))</f>
        <v>34</v>
      </c>
      <c r="J51" s="12">
        <f>(VLOOKUP(main!R51,main!$AO$4:$AR$55,4,FALSE))</f>
        <v>34</v>
      </c>
      <c r="K51" s="12">
        <f>(VLOOKUP(main!S51,main!$AO$4:$AR$55,4,FALSE))</f>
        <v>34</v>
      </c>
      <c r="L51" s="12">
        <f>(VLOOKUP(main!T51,main!$AO$4:$AR$55,4,FALSE))</f>
        <v>34</v>
      </c>
      <c r="M51" s="12">
        <f>(VLOOKUP(main!U51,main!$AO$4:$AR$55,4,FALSE))</f>
        <v>34</v>
      </c>
      <c r="N51" s="12">
        <f>(VLOOKUP(main!V51,main!$AO$4:$AR$55,4,FALSE))</f>
        <v>34</v>
      </c>
      <c r="O51" s="12">
        <f>(VLOOKUP(main!W51,main!$AO$4:$AR$55,4,FALSE))</f>
        <v>34</v>
      </c>
      <c r="P51" s="12">
        <f>(VLOOKUP(main!X51,main!$AO$4:$AR$55,4,FALSE))</f>
        <v>34</v>
      </c>
      <c r="Q51" s="12">
        <f>(VLOOKUP(main!Y51,main!$AO$4:$AR$55,4,FALSE))</f>
        <v>34</v>
      </c>
      <c r="R51" s="12">
        <f>(VLOOKUP(main!Z51,main!$AO$4:$AR$55,4,FALSE))</f>
        <v>34</v>
      </c>
      <c r="S51" s="12">
        <f>(VLOOKUP(main!AA51,main!$AO$4:$AR$55,4,FALSE))</f>
        <v>34</v>
      </c>
      <c r="T51" s="12">
        <f>(VLOOKUP(main!AB51,main!$AO$4:$AR$55,4,FALSE))</f>
        <v>34</v>
      </c>
      <c r="U51" s="12">
        <f>(VLOOKUP(main!AC51,main!$AO$4:$AR$55,4,FALSE))</f>
        <v>34</v>
      </c>
      <c r="V51" s="12">
        <f>(VLOOKUP(main!AD51,main!$AO$4:$AR$55,4,FALSE))</f>
        <v>34</v>
      </c>
      <c r="W51" s="12">
        <f>(VLOOKUP(main!AE51,main!$AO$4:$AR$55,4,FALSE))</f>
        <v>0</v>
      </c>
      <c r="X51" s="12">
        <f>(VLOOKUP(main!AF51,main!$AO$4:$AR$55,4,FALSE))</f>
        <v>0</v>
      </c>
    </row>
    <row r="52" spans="1:24">
      <c r="A52" s="12">
        <f>(VLOOKUP(main!I52,main!$AO$4:$AR$55,4,FALSE))</f>
        <v>36</v>
      </c>
      <c r="B52" s="12">
        <f>(VLOOKUP(main!J52,main!$AO$4:$AR$55,4,FALSE))</f>
        <v>36</v>
      </c>
      <c r="C52" s="12">
        <f>(VLOOKUP(main!K52,main!$AO$4:$AR$55,4,FALSE))</f>
        <v>36</v>
      </c>
      <c r="D52" s="12">
        <f>(VLOOKUP(main!L52,main!$AO$4:$AR$55,4,FALSE))</f>
        <v>36</v>
      </c>
      <c r="E52" s="12">
        <f>(VLOOKUP(main!M52,main!$AO$4:$AR$55,4,FALSE))</f>
        <v>36</v>
      </c>
      <c r="F52" s="12">
        <f>(VLOOKUP(main!N52,main!$AO$4:$AR$55,4,FALSE))</f>
        <v>36</v>
      </c>
      <c r="G52" s="12">
        <f>(VLOOKUP(main!O52,main!$AO$4:$AR$55,4,FALSE))</f>
        <v>36</v>
      </c>
      <c r="H52" s="12">
        <f>(VLOOKUP(main!P52,main!$AO$4:$AR$55,4,FALSE))</f>
        <v>36</v>
      </c>
      <c r="I52" s="12">
        <f>(VLOOKUP(main!Q52,main!$AO$4:$AR$55,4,FALSE))</f>
        <v>34</v>
      </c>
      <c r="J52" s="12">
        <f>(VLOOKUP(main!R52,main!$AO$4:$AR$55,4,FALSE))</f>
        <v>34</v>
      </c>
      <c r="K52" s="12">
        <f>(VLOOKUP(main!S52,main!$AO$4:$AR$55,4,FALSE))</f>
        <v>34</v>
      </c>
      <c r="L52" s="12">
        <f>(VLOOKUP(main!T52,main!$AO$4:$AR$55,4,FALSE))</f>
        <v>34</v>
      </c>
      <c r="M52" s="12">
        <f>(VLOOKUP(main!U52,main!$AO$4:$AR$55,4,FALSE))</f>
        <v>34</v>
      </c>
      <c r="N52" s="12">
        <f>(VLOOKUP(main!V52,main!$AO$4:$AR$55,4,FALSE))</f>
        <v>34</v>
      </c>
      <c r="O52" s="12">
        <f>(VLOOKUP(main!W52,main!$AO$4:$AR$55,4,FALSE))</f>
        <v>34</v>
      </c>
      <c r="P52" s="12">
        <f>(VLOOKUP(main!X52,main!$AO$4:$AR$55,4,FALSE))</f>
        <v>34</v>
      </c>
      <c r="Q52" s="12">
        <f>(VLOOKUP(main!Y52,main!$AO$4:$AR$55,4,FALSE))</f>
        <v>34</v>
      </c>
      <c r="R52" s="12">
        <f>(VLOOKUP(main!Z52,main!$AO$4:$AR$55,4,FALSE))</f>
        <v>34</v>
      </c>
      <c r="S52" s="12">
        <f>(VLOOKUP(main!AA52,main!$AO$4:$AR$55,4,FALSE))</f>
        <v>34</v>
      </c>
      <c r="T52" s="12">
        <f>(VLOOKUP(main!AB52,main!$AO$4:$AR$55,4,FALSE))</f>
        <v>34</v>
      </c>
      <c r="U52" s="12">
        <f>(VLOOKUP(main!AC52,main!$AO$4:$AR$55,4,FALSE))</f>
        <v>34</v>
      </c>
      <c r="V52" s="12">
        <f>(VLOOKUP(main!AD52,main!$AO$4:$AR$55,4,FALSE))</f>
        <v>34</v>
      </c>
      <c r="W52" s="12">
        <f>(VLOOKUP(main!AE52,main!$AO$4:$AR$55,4,FALSE))</f>
        <v>0</v>
      </c>
      <c r="X52" s="12">
        <f>(VLOOKUP(main!AF52,main!$AO$4:$AR$55,4,FALSE))</f>
        <v>0</v>
      </c>
    </row>
    <row r="53" spans="1:24">
      <c r="A53" s="12">
        <f>(VLOOKUP(main!I53,main!$AO$4:$AR$55,4,FALSE))</f>
        <v>36</v>
      </c>
      <c r="B53" s="12">
        <f>(VLOOKUP(main!J53,main!$AO$4:$AR$55,4,FALSE))</f>
        <v>36</v>
      </c>
      <c r="C53" s="12">
        <f>(VLOOKUP(main!K53,main!$AO$4:$AR$55,4,FALSE))</f>
        <v>36</v>
      </c>
      <c r="D53" s="12">
        <f>(VLOOKUP(main!L53,main!$AO$4:$AR$55,4,FALSE))</f>
        <v>36</v>
      </c>
      <c r="E53" s="12">
        <f>(VLOOKUP(main!M53,main!$AO$4:$AR$55,4,FALSE))</f>
        <v>36</v>
      </c>
      <c r="F53" s="12">
        <f>(VLOOKUP(main!N53,main!$AO$4:$AR$55,4,FALSE))</f>
        <v>36</v>
      </c>
      <c r="G53" s="12">
        <f>(VLOOKUP(main!O53,main!$AO$4:$AR$55,4,FALSE))</f>
        <v>36</v>
      </c>
      <c r="H53" s="12">
        <f>(VLOOKUP(main!P53,main!$AO$4:$AR$55,4,FALSE))</f>
        <v>36</v>
      </c>
      <c r="I53" s="12">
        <f>(VLOOKUP(main!Q53,main!$AO$4:$AR$55,4,FALSE))</f>
        <v>34</v>
      </c>
      <c r="J53" s="12">
        <f>(VLOOKUP(main!R53,main!$AO$4:$AR$55,4,FALSE))</f>
        <v>34</v>
      </c>
      <c r="K53" s="12">
        <f>(VLOOKUP(main!S53,main!$AO$4:$AR$55,4,FALSE))</f>
        <v>34</v>
      </c>
      <c r="L53" s="12">
        <f>(VLOOKUP(main!T53,main!$AO$4:$AR$55,4,FALSE))</f>
        <v>34</v>
      </c>
      <c r="M53" s="12">
        <f>(VLOOKUP(main!U53,main!$AO$4:$AR$55,4,FALSE))</f>
        <v>34</v>
      </c>
      <c r="N53" s="12">
        <f>(VLOOKUP(main!V53,main!$AO$4:$AR$55,4,FALSE))</f>
        <v>34</v>
      </c>
      <c r="O53" s="12">
        <f>(VLOOKUP(main!W53,main!$AO$4:$AR$55,4,FALSE))</f>
        <v>34</v>
      </c>
      <c r="P53" s="12">
        <f>(VLOOKUP(main!X53,main!$AO$4:$AR$55,4,FALSE))</f>
        <v>34</v>
      </c>
      <c r="Q53" s="12">
        <f>(VLOOKUP(main!Y53,main!$AO$4:$AR$55,4,FALSE))</f>
        <v>34</v>
      </c>
      <c r="R53" s="12">
        <f>(VLOOKUP(main!Z53,main!$AO$4:$AR$55,4,FALSE))</f>
        <v>34</v>
      </c>
      <c r="S53" s="12">
        <f>(VLOOKUP(main!AA53,main!$AO$4:$AR$55,4,FALSE))</f>
        <v>34</v>
      </c>
      <c r="T53" s="12">
        <f>(VLOOKUP(main!AB53,main!$AO$4:$AR$55,4,FALSE))</f>
        <v>34</v>
      </c>
      <c r="U53" s="12">
        <f>(VLOOKUP(main!AC53,main!$AO$4:$AR$55,4,FALSE))</f>
        <v>34</v>
      </c>
      <c r="V53" s="12">
        <f>(VLOOKUP(main!AD53,main!$AO$4:$AR$55,4,FALSE))</f>
        <v>34</v>
      </c>
      <c r="W53" s="12">
        <f>(VLOOKUP(main!AE53,main!$AO$4:$AR$55,4,FALSE))</f>
        <v>0</v>
      </c>
      <c r="X53" s="12">
        <f>(VLOOKUP(main!AF53,main!$AO$4:$AR$55,4,FALSE))</f>
        <v>0</v>
      </c>
    </row>
    <row r="54" spans="1:24">
      <c r="A54" s="12">
        <f>(VLOOKUP(main!I54,main!$AO$4:$AR$55,4,FALSE))</f>
        <v>36</v>
      </c>
      <c r="B54" s="12">
        <f>(VLOOKUP(main!J54,main!$AO$4:$AR$55,4,FALSE))</f>
        <v>36</v>
      </c>
      <c r="C54" s="12">
        <f>(VLOOKUP(main!K54,main!$AO$4:$AR$55,4,FALSE))</f>
        <v>36</v>
      </c>
      <c r="D54" s="12">
        <f>(VLOOKUP(main!L54,main!$AO$4:$AR$55,4,FALSE))</f>
        <v>36</v>
      </c>
      <c r="E54" s="12">
        <f>(VLOOKUP(main!M54,main!$AO$4:$AR$55,4,FALSE))</f>
        <v>36</v>
      </c>
      <c r="F54" s="12">
        <f>(VLOOKUP(main!N54,main!$AO$4:$AR$55,4,FALSE))</f>
        <v>36</v>
      </c>
      <c r="G54" s="12">
        <f>(VLOOKUP(main!O54,main!$AO$4:$AR$55,4,FALSE))</f>
        <v>36</v>
      </c>
      <c r="H54" s="12">
        <f>(VLOOKUP(main!P54,main!$AO$4:$AR$55,4,FALSE))</f>
        <v>36</v>
      </c>
      <c r="I54" s="12">
        <f>(VLOOKUP(main!Q54,main!$AO$4:$AR$55,4,FALSE))</f>
        <v>34</v>
      </c>
      <c r="J54" s="12">
        <f>(VLOOKUP(main!R54,main!$AO$4:$AR$55,4,FALSE))</f>
        <v>34</v>
      </c>
      <c r="K54" s="12">
        <f>(VLOOKUP(main!S54,main!$AO$4:$AR$55,4,FALSE))</f>
        <v>34</v>
      </c>
      <c r="L54" s="12">
        <f>(VLOOKUP(main!T54,main!$AO$4:$AR$55,4,FALSE))</f>
        <v>34</v>
      </c>
      <c r="M54" s="12">
        <f>(VLOOKUP(main!U54,main!$AO$4:$AR$55,4,FALSE))</f>
        <v>34</v>
      </c>
      <c r="N54" s="12">
        <f>(VLOOKUP(main!V54,main!$AO$4:$AR$55,4,FALSE))</f>
        <v>34</v>
      </c>
      <c r="O54" s="12">
        <f>(VLOOKUP(main!W54,main!$AO$4:$AR$55,4,FALSE))</f>
        <v>34</v>
      </c>
      <c r="P54" s="12">
        <f>(VLOOKUP(main!X54,main!$AO$4:$AR$55,4,FALSE))</f>
        <v>34</v>
      </c>
      <c r="Q54" s="12">
        <f>(VLOOKUP(main!Y54,main!$AO$4:$AR$55,4,FALSE))</f>
        <v>34</v>
      </c>
      <c r="R54" s="12">
        <f>(VLOOKUP(main!Z54,main!$AO$4:$AR$55,4,FALSE))</f>
        <v>34</v>
      </c>
      <c r="S54" s="12">
        <f>(VLOOKUP(main!AA54,main!$AO$4:$AR$55,4,FALSE))</f>
        <v>34</v>
      </c>
      <c r="T54" s="12">
        <f>(VLOOKUP(main!AB54,main!$AO$4:$AR$55,4,FALSE))</f>
        <v>34</v>
      </c>
      <c r="U54" s="12">
        <f>(VLOOKUP(main!AC54,main!$AO$4:$AR$55,4,FALSE))</f>
        <v>34</v>
      </c>
      <c r="V54" s="12">
        <f>(VLOOKUP(main!AD54,main!$AO$4:$AR$55,4,FALSE))</f>
        <v>34</v>
      </c>
      <c r="W54" s="12">
        <f>(VLOOKUP(main!AE54,main!$AO$4:$AR$55,4,FALSE))</f>
        <v>0</v>
      </c>
      <c r="X54" s="12">
        <f>(VLOOKUP(main!AF54,main!$AO$4:$AR$55,4,FALSE))</f>
        <v>0</v>
      </c>
    </row>
    <row r="55" spans="1:24">
      <c r="A55" s="12">
        <f>(VLOOKUP(main!I55,main!$AO$4:$AR$55,4,FALSE))</f>
        <v>36</v>
      </c>
      <c r="B55" s="12">
        <f>(VLOOKUP(main!J55,main!$AO$4:$AR$55,4,FALSE))</f>
        <v>36</v>
      </c>
      <c r="C55" s="12">
        <f>(VLOOKUP(main!K55,main!$AO$4:$AR$55,4,FALSE))</f>
        <v>36</v>
      </c>
      <c r="D55" s="12">
        <f>(VLOOKUP(main!L55,main!$AO$4:$AR$55,4,FALSE))</f>
        <v>36</v>
      </c>
      <c r="E55" s="12">
        <f>(VLOOKUP(main!M55,main!$AO$4:$AR$55,4,FALSE))</f>
        <v>36</v>
      </c>
      <c r="F55" s="12">
        <f>(VLOOKUP(main!N55,main!$AO$4:$AR$55,4,FALSE))</f>
        <v>36</v>
      </c>
      <c r="G55" s="12">
        <f>(VLOOKUP(main!O55,main!$AO$4:$AR$55,4,FALSE))</f>
        <v>36</v>
      </c>
      <c r="H55" s="12">
        <f>(VLOOKUP(main!P55,main!$AO$4:$AR$55,4,FALSE))</f>
        <v>36</v>
      </c>
      <c r="I55" s="12">
        <f>(VLOOKUP(main!Q55,main!$AO$4:$AR$55,4,FALSE))</f>
        <v>34</v>
      </c>
      <c r="J55" s="12">
        <f>(VLOOKUP(main!R55,main!$AO$4:$AR$55,4,FALSE))</f>
        <v>34</v>
      </c>
      <c r="K55" s="12">
        <f>(VLOOKUP(main!S55,main!$AO$4:$AR$55,4,FALSE))</f>
        <v>34</v>
      </c>
      <c r="L55" s="12">
        <f>(VLOOKUP(main!T55,main!$AO$4:$AR$55,4,FALSE))</f>
        <v>34</v>
      </c>
      <c r="M55" s="12">
        <f>(VLOOKUP(main!U55,main!$AO$4:$AR$55,4,FALSE))</f>
        <v>34</v>
      </c>
      <c r="N55" s="12">
        <f>(VLOOKUP(main!V55,main!$AO$4:$AR$55,4,FALSE))</f>
        <v>34</v>
      </c>
      <c r="O55" s="12">
        <f>(VLOOKUP(main!W55,main!$AO$4:$AR$55,4,FALSE))</f>
        <v>34</v>
      </c>
      <c r="P55" s="12">
        <f>(VLOOKUP(main!X55,main!$AO$4:$AR$55,4,FALSE))</f>
        <v>34</v>
      </c>
      <c r="Q55" s="12">
        <f>(VLOOKUP(main!Y55,main!$AO$4:$AR$55,4,FALSE))</f>
        <v>34</v>
      </c>
      <c r="R55" s="12">
        <f>(VLOOKUP(main!Z55,main!$AO$4:$AR$55,4,FALSE))</f>
        <v>34</v>
      </c>
      <c r="S55" s="12">
        <f>(VLOOKUP(main!AA55,main!$AO$4:$AR$55,4,FALSE))</f>
        <v>34</v>
      </c>
      <c r="T55" s="12">
        <f>(VLOOKUP(main!AB55,main!$AO$4:$AR$55,4,FALSE))</f>
        <v>34</v>
      </c>
      <c r="U55" s="12">
        <f>(VLOOKUP(main!AC55,main!$AO$4:$AR$55,4,FALSE))</f>
        <v>34</v>
      </c>
      <c r="V55" s="12">
        <f>(VLOOKUP(main!AD55,main!$AO$4:$AR$55,4,FALSE))</f>
        <v>34</v>
      </c>
      <c r="W55" s="12">
        <f>(VLOOKUP(main!AE55,main!$AO$4:$AR$55,4,FALSE))</f>
        <v>0</v>
      </c>
      <c r="X55" s="12">
        <f>(VLOOKUP(main!AF55,main!$AO$4:$AR$55,4,FALSE))</f>
        <v>0</v>
      </c>
    </row>
    <row r="56" spans="1:24">
      <c r="A56" s="12">
        <f>(VLOOKUP(main!I56,main!$AO$4:$AR$55,4,FALSE))</f>
        <v>36</v>
      </c>
      <c r="B56" s="12">
        <f>(VLOOKUP(main!J56,main!$AO$4:$AR$55,4,FALSE))</f>
        <v>36</v>
      </c>
      <c r="C56" s="12">
        <f>(VLOOKUP(main!K56,main!$AO$4:$AR$55,4,FALSE))</f>
        <v>0</v>
      </c>
      <c r="D56" s="12">
        <f>(VLOOKUP(main!L56,main!$AO$4:$AR$55,4,FALSE))</f>
        <v>0</v>
      </c>
      <c r="E56" s="12">
        <f>(VLOOKUP(main!M56,main!$AO$4:$AR$55,4,FALSE))</f>
        <v>0</v>
      </c>
      <c r="F56" s="12">
        <f>(VLOOKUP(main!N56,main!$AO$4:$AR$55,4,FALSE))</f>
        <v>0</v>
      </c>
      <c r="G56" s="12">
        <f>(VLOOKUP(main!O56,main!$AO$4:$AR$55,4,FALSE))</f>
        <v>0</v>
      </c>
      <c r="H56" s="12">
        <f>(VLOOKUP(main!P56,main!$AO$4:$AR$55,4,FALSE))</f>
        <v>0</v>
      </c>
      <c r="I56" s="12">
        <f>(VLOOKUP(main!Q56,main!$AO$4:$AR$55,4,FALSE))</f>
        <v>34</v>
      </c>
      <c r="J56" s="12">
        <f>(VLOOKUP(main!R56,main!$AO$4:$AR$55,4,FALSE))</f>
        <v>34</v>
      </c>
      <c r="K56" s="12">
        <f>(VLOOKUP(main!S56,main!$AO$4:$AR$55,4,FALSE))</f>
        <v>34</v>
      </c>
      <c r="L56" s="12">
        <f>(VLOOKUP(main!T56,main!$AO$4:$AR$55,4,FALSE))</f>
        <v>34</v>
      </c>
      <c r="M56" s="12">
        <f>(VLOOKUP(main!U56,main!$AO$4:$AR$55,4,FALSE))</f>
        <v>34</v>
      </c>
      <c r="N56" s="12">
        <f>(VLOOKUP(main!V56,main!$AO$4:$AR$55,4,FALSE))</f>
        <v>34</v>
      </c>
      <c r="O56" s="12">
        <f>(VLOOKUP(main!W56,main!$AO$4:$AR$55,4,FALSE))</f>
        <v>34</v>
      </c>
      <c r="P56" s="12">
        <f>(VLOOKUP(main!X56,main!$AO$4:$AR$55,4,FALSE))</f>
        <v>34</v>
      </c>
      <c r="Q56" s="12">
        <f>(VLOOKUP(main!Y56,main!$AO$4:$AR$55,4,FALSE))</f>
        <v>34</v>
      </c>
      <c r="R56" s="12">
        <f>(VLOOKUP(main!Z56,main!$AO$4:$AR$55,4,FALSE))</f>
        <v>34</v>
      </c>
      <c r="S56" s="12">
        <f>(VLOOKUP(main!AA56,main!$AO$4:$AR$55,4,FALSE))</f>
        <v>34</v>
      </c>
      <c r="T56" s="12">
        <f>(VLOOKUP(main!AB56,main!$AO$4:$AR$55,4,FALSE))</f>
        <v>34</v>
      </c>
      <c r="U56" s="12">
        <f>(VLOOKUP(main!AC56,main!$AO$4:$AR$55,4,FALSE))</f>
        <v>34</v>
      </c>
      <c r="V56" s="12">
        <f>(VLOOKUP(main!AD56,main!$AO$4:$AR$55,4,FALSE))</f>
        <v>34</v>
      </c>
      <c r="W56" s="12">
        <f>(VLOOKUP(main!AE56,main!$AO$4:$AR$55,4,FALSE))</f>
        <v>0</v>
      </c>
      <c r="X56" s="12">
        <f>(VLOOKUP(main!AF56,main!$AO$4:$AR$55,4,FALSE))</f>
        <v>0</v>
      </c>
    </row>
    <row r="57" spans="1:24">
      <c r="A57" s="12">
        <f>(VLOOKUP(main!I57,main!$AO$4:$AR$55,4,FALSE))</f>
        <v>0</v>
      </c>
      <c r="B57" s="12">
        <f>(VLOOKUP(main!J57,main!$AO$4:$AR$55,4,FALSE))</f>
        <v>0</v>
      </c>
      <c r="C57" s="12">
        <f>(VLOOKUP(main!K57,main!$AO$4:$AR$55,4,FALSE))</f>
        <v>0</v>
      </c>
      <c r="D57" s="12">
        <f>(VLOOKUP(main!L57,main!$AO$4:$AR$55,4,FALSE))</f>
        <v>0</v>
      </c>
      <c r="E57" s="12">
        <f>(VLOOKUP(main!M57,main!$AO$4:$AR$55,4,FALSE))</f>
        <v>0</v>
      </c>
      <c r="F57" s="12">
        <f>(VLOOKUP(main!N57,main!$AO$4:$AR$55,4,FALSE))</f>
        <v>0</v>
      </c>
      <c r="G57" s="12">
        <f>(VLOOKUP(main!O57,main!$AO$4:$AR$55,4,FALSE))</f>
        <v>0</v>
      </c>
      <c r="H57" s="12">
        <f>(VLOOKUP(main!P57,main!$AO$4:$AR$55,4,FALSE))</f>
        <v>0</v>
      </c>
      <c r="I57" s="12">
        <f>(VLOOKUP(main!Q57,main!$AO$4:$AR$55,4,FALSE))</f>
        <v>34</v>
      </c>
      <c r="J57" s="12">
        <f>(VLOOKUP(main!R57,main!$AO$4:$AR$55,4,FALSE))</f>
        <v>34</v>
      </c>
      <c r="K57" s="12">
        <f>(VLOOKUP(main!S57,main!$AO$4:$AR$55,4,FALSE))</f>
        <v>34</v>
      </c>
      <c r="L57" s="12">
        <f>(VLOOKUP(main!T57,main!$AO$4:$AR$55,4,FALSE))</f>
        <v>34</v>
      </c>
      <c r="M57" s="12">
        <f>(VLOOKUP(main!U57,main!$AO$4:$AR$55,4,FALSE))</f>
        <v>34</v>
      </c>
      <c r="N57" s="12">
        <f>(VLOOKUP(main!V57,main!$AO$4:$AR$55,4,FALSE))</f>
        <v>34</v>
      </c>
      <c r="O57" s="12">
        <f>(VLOOKUP(main!W57,main!$AO$4:$AR$55,4,FALSE))</f>
        <v>34</v>
      </c>
      <c r="P57" s="12">
        <f>(VLOOKUP(main!X57,main!$AO$4:$AR$55,4,FALSE))</f>
        <v>34</v>
      </c>
      <c r="Q57" s="12">
        <f>(VLOOKUP(main!Y57,main!$AO$4:$AR$55,4,FALSE))</f>
        <v>34</v>
      </c>
      <c r="R57" s="12">
        <f>(VLOOKUP(main!Z57,main!$AO$4:$AR$55,4,FALSE))</f>
        <v>34</v>
      </c>
      <c r="S57" s="12">
        <f>(VLOOKUP(main!AA57,main!$AO$4:$AR$55,4,FALSE))</f>
        <v>34</v>
      </c>
      <c r="T57" s="12">
        <f>(VLOOKUP(main!AB57,main!$AO$4:$AR$55,4,FALSE))</f>
        <v>34</v>
      </c>
      <c r="U57" s="12">
        <f>(VLOOKUP(main!AC57,main!$AO$4:$AR$55,4,FALSE))</f>
        <v>0</v>
      </c>
      <c r="V57" s="12">
        <f>(VLOOKUP(main!AD57,main!$AO$4:$AR$55,4,FALSE))</f>
        <v>0</v>
      </c>
      <c r="W57" s="12">
        <f>(VLOOKUP(main!AE57,main!$AO$4:$AR$55,4,FALSE))</f>
        <v>0</v>
      </c>
      <c r="X57" s="12">
        <f>(VLOOKUP(main!AF57,main!$AO$4:$AR$55,4,FALSE))</f>
        <v>0</v>
      </c>
    </row>
    <row r="58" spans="1:24">
      <c r="A58" s="12">
        <f>(VLOOKUP(main!I58,main!$AO$4:$AR$55,4,FALSE))</f>
        <v>0</v>
      </c>
      <c r="B58" s="12">
        <f>(VLOOKUP(main!J58,main!$AO$4:$AR$55,4,FALSE))</f>
        <v>0</v>
      </c>
      <c r="C58" s="12">
        <f>(VLOOKUP(main!K58,main!$AO$4:$AR$55,4,FALSE))</f>
        <v>0</v>
      </c>
      <c r="D58" s="12">
        <f>(VLOOKUP(main!L58,main!$AO$4:$AR$55,4,FALSE))</f>
        <v>0</v>
      </c>
      <c r="E58" s="12">
        <f>(VLOOKUP(main!M58,main!$AO$4:$AR$55,4,FALSE))</f>
        <v>0</v>
      </c>
      <c r="F58" s="12">
        <f>(VLOOKUP(main!N58,main!$AO$4:$AR$55,4,FALSE))</f>
        <v>0</v>
      </c>
      <c r="G58" s="12">
        <f>(VLOOKUP(main!O58,main!$AO$4:$AR$55,4,FALSE))</f>
        <v>0</v>
      </c>
      <c r="H58" s="12">
        <f>(VLOOKUP(main!P58,main!$AO$4:$AR$55,4,FALSE))</f>
        <v>0</v>
      </c>
      <c r="I58" s="12">
        <f>(VLOOKUP(main!Q58,main!$AO$4:$AR$55,4,FALSE))</f>
        <v>34</v>
      </c>
      <c r="J58" s="12">
        <f>(VLOOKUP(main!R58,main!$AO$4:$AR$55,4,FALSE))</f>
        <v>34</v>
      </c>
      <c r="K58" s="12">
        <f>(VLOOKUP(main!S58,main!$AO$4:$AR$55,4,FALSE))</f>
        <v>34</v>
      </c>
      <c r="L58" s="12">
        <f>(VLOOKUP(main!T58,main!$AO$4:$AR$55,4,FALSE))</f>
        <v>34</v>
      </c>
      <c r="M58" s="12">
        <f>(VLOOKUP(main!U58,main!$AO$4:$AR$55,4,FALSE))</f>
        <v>34</v>
      </c>
      <c r="N58" s="12">
        <f>(VLOOKUP(main!V58,main!$AO$4:$AR$55,4,FALSE))</f>
        <v>34</v>
      </c>
      <c r="O58" s="12">
        <f>(VLOOKUP(main!W58,main!$AO$4:$AR$55,4,FALSE))</f>
        <v>34</v>
      </c>
      <c r="P58" s="12">
        <f>(VLOOKUP(main!X58,main!$AO$4:$AR$55,4,FALSE))</f>
        <v>34</v>
      </c>
      <c r="Q58" s="12">
        <f>(VLOOKUP(main!Y58,main!$AO$4:$AR$55,4,FALSE))</f>
        <v>0</v>
      </c>
      <c r="R58" s="12">
        <f>(VLOOKUP(main!Z58,main!$AO$4:$AR$55,4,FALSE))</f>
        <v>0</v>
      </c>
      <c r="S58" s="12">
        <f>(VLOOKUP(main!AA58,main!$AO$4:$AR$55,4,FALSE))</f>
        <v>0</v>
      </c>
      <c r="T58" s="12">
        <f>(VLOOKUP(main!AB58,main!$AO$4:$AR$55,4,FALSE))</f>
        <v>0</v>
      </c>
      <c r="U58" s="12">
        <f>(VLOOKUP(main!AC58,main!$AO$4:$AR$55,4,FALSE))</f>
        <v>0</v>
      </c>
      <c r="V58" s="12">
        <f>(VLOOKUP(main!AD58,main!$AO$4:$AR$55,4,FALSE))</f>
        <v>0</v>
      </c>
      <c r="W58" s="12">
        <f>(VLOOKUP(main!AE58,main!$AO$4:$AR$55,4,FALSE))</f>
        <v>0</v>
      </c>
      <c r="X58" s="12">
        <f>(VLOOKUP(main!AF58,main!$AO$4:$AR$55,4,FALSE))</f>
        <v>0</v>
      </c>
    </row>
    <row r="59" spans="1:24">
      <c r="A59" s="12">
        <f>(VLOOKUP(main!I59,main!$AO$4:$AR$55,4,FALSE))</f>
        <v>0</v>
      </c>
      <c r="B59" s="12">
        <f>(VLOOKUP(main!J59,main!$AO$4:$AR$55,4,FALSE))</f>
        <v>0</v>
      </c>
      <c r="C59" s="12">
        <f>(VLOOKUP(main!K59,main!$AO$4:$AR$55,4,FALSE))</f>
        <v>0</v>
      </c>
      <c r="D59" s="12">
        <f>(VLOOKUP(main!L59,main!$AO$4:$AR$55,4,FALSE))</f>
        <v>0</v>
      </c>
      <c r="E59" s="12">
        <f>(VLOOKUP(main!M59,main!$AO$4:$AR$55,4,FALSE))</f>
        <v>0</v>
      </c>
      <c r="F59" s="12">
        <f>(VLOOKUP(main!N59,main!$AO$4:$AR$55,4,FALSE))</f>
        <v>0</v>
      </c>
      <c r="G59" s="12">
        <f>(VLOOKUP(main!O59,main!$AO$4:$AR$55,4,FALSE))</f>
        <v>0</v>
      </c>
      <c r="H59" s="12">
        <f>(VLOOKUP(main!P59,main!$AO$4:$AR$55,4,FALSE))</f>
        <v>0</v>
      </c>
      <c r="I59" s="12">
        <f>(VLOOKUP(main!Q59,main!$AO$4:$AR$55,4,FALSE))</f>
        <v>34</v>
      </c>
      <c r="J59" s="12">
        <f>(VLOOKUP(main!R59,main!$AO$4:$AR$55,4,FALSE))</f>
        <v>34</v>
      </c>
      <c r="K59" s="12">
        <f>(VLOOKUP(main!S59,main!$AO$4:$AR$55,4,FALSE))</f>
        <v>34</v>
      </c>
      <c r="L59" s="12">
        <f>(VLOOKUP(main!T59,main!$AO$4:$AR$55,4,FALSE))</f>
        <v>34</v>
      </c>
      <c r="M59" s="12">
        <f>(VLOOKUP(main!U59,main!$AO$4:$AR$55,4,FALSE))</f>
        <v>34</v>
      </c>
      <c r="N59" s="12">
        <f>(VLOOKUP(main!V59,main!$AO$4:$AR$55,4,FALSE))</f>
        <v>34</v>
      </c>
      <c r="O59" s="12">
        <f>(VLOOKUP(main!W59,main!$AO$4:$AR$55,4,FALSE))</f>
        <v>34</v>
      </c>
      <c r="P59" s="12">
        <f>(VLOOKUP(main!X59,main!$AO$4:$AR$55,4,FALSE))</f>
        <v>34</v>
      </c>
      <c r="Q59" s="12">
        <f>(VLOOKUP(main!Y59,main!$AO$4:$AR$55,4,FALSE))</f>
        <v>0</v>
      </c>
      <c r="R59" s="12">
        <f>(VLOOKUP(main!Z59,main!$AO$4:$AR$55,4,FALSE))</f>
        <v>0</v>
      </c>
      <c r="S59" s="12">
        <f>(VLOOKUP(main!AA59,main!$AO$4:$AR$55,4,FALSE))</f>
        <v>0</v>
      </c>
      <c r="T59" s="12">
        <f>(VLOOKUP(main!AB59,main!$AO$4:$AR$55,4,FALSE))</f>
        <v>0</v>
      </c>
      <c r="U59" s="12">
        <f>(VLOOKUP(main!AC59,main!$AO$4:$AR$55,4,FALSE))</f>
        <v>0</v>
      </c>
      <c r="V59" s="12">
        <f>(VLOOKUP(main!AD59,main!$AO$4:$AR$55,4,FALSE))</f>
        <v>0</v>
      </c>
      <c r="W59" s="12">
        <f>(VLOOKUP(main!AE59,main!$AO$4:$AR$55,4,FALSE))</f>
        <v>0</v>
      </c>
      <c r="X59" s="12">
        <f>(VLOOKUP(main!AF59,main!$AO$4:$AR$55,4,FALSE))</f>
        <v>0</v>
      </c>
    </row>
    <row r="60" spans="1:24">
      <c r="A60" s="12">
        <f>(VLOOKUP(main!I60,main!$AO$4:$AR$55,4,FALSE))</f>
        <v>0</v>
      </c>
      <c r="B60" s="12">
        <f>(VLOOKUP(main!J60,main!$AO$4:$AR$55,4,FALSE))</f>
        <v>0</v>
      </c>
      <c r="C60" s="12">
        <f>(VLOOKUP(main!K60,main!$AO$4:$AR$55,4,FALSE))</f>
        <v>0</v>
      </c>
      <c r="D60" s="12">
        <f>(VLOOKUP(main!L60,main!$AO$4:$AR$55,4,FALSE))</f>
        <v>0</v>
      </c>
      <c r="E60" s="12">
        <f>(VLOOKUP(main!M60,main!$AO$4:$AR$55,4,FALSE))</f>
        <v>0</v>
      </c>
      <c r="F60" s="12">
        <f>(VLOOKUP(main!N60,main!$AO$4:$AR$55,4,FALSE))</f>
        <v>0</v>
      </c>
      <c r="G60" s="12">
        <f>(VLOOKUP(main!O60,main!$AO$4:$AR$55,4,FALSE))</f>
        <v>0</v>
      </c>
      <c r="H60" s="12">
        <f>(VLOOKUP(main!P60,main!$AO$4:$AR$55,4,FALSE))</f>
        <v>0</v>
      </c>
      <c r="I60" s="12">
        <f>(VLOOKUP(main!Q60,main!$AO$4:$AR$55,4,FALSE))</f>
        <v>34</v>
      </c>
      <c r="J60" s="12">
        <f>(VLOOKUP(main!R60,main!$AO$4:$AR$55,4,FALSE))</f>
        <v>34</v>
      </c>
      <c r="K60" s="12">
        <f>(VLOOKUP(main!S60,main!$AO$4:$AR$55,4,FALSE))</f>
        <v>34</v>
      </c>
      <c r="L60" s="12">
        <f>(VLOOKUP(main!T60,main!$AO$4:$AR$55,4,FALSE))</f>
        <v>34</v>
      </c>
      <c r="M60" s="12">
        <f>(VLOOKUP(main!U60,main!$AO$4:$AR$55,4,FALSE))</f>
        <v>34</v>
      </c>
      <c r="N60" s="12">
        <f>(VLOOKUP(main!V60,main!$AO$4:$AR$55,4,FALSE))</f>
        <v>34</v>
      </c>
      <c r="O60" s="12">
        <f>(VLOOKUP(main!W60,main!$AO$4:$AR$55,4,FALSE))</f>
        <v>34</v>
      </c>
      <c r="P60" s="12">
        <f>(VLOOKUP(main!X60,main!$AO$4:$AR$55,4,FALSE))</f>
        <v>34</v>
      </c>
      <c r="Q60" s="12">
        <f>(VLOOKUP(main!Y60,main!$AO$4:$AR$55,4,FALSE))</f>
        <v>0</v>
      </c>
      <c r="R60" s="12">
        <f>(VLOOKUP(main!Z60,main!$AO$4:$AR$55,4,FALSE))</f>
        <v>0</v>
      </c>
      <c r="S60" s="12">
        <f>(VLOOKUP(main!AA60,main!$AO$4:$AR$55,4,FALSE))</f>
        <v>0</v>
      </c>
      <c r="T60" s="12">
        <f>(VLOOKUP(main!AB60,main!$AO$4:$AR$55,4,FALSE))</f>
        <v>0</v>
      </c>
      <c r="U60" s="12">
        <f>(VLOOKUP(main!AC60,main!$AO$4:$AR$55,4,FALSE))</f>
        <v>0</v>
      </c>
      <c r="V60" s="12">
        <f>(VLOOKUP(main!AD60,main!$AO$4:$AR$55,4,FALSE))</f>
        <v>0</v>
      </c>
      <c r="W60" s="12">
        <f>(VLOOKUP(main!AE60,main!$AO$4:$AR$55,4,FALSE))</f>
        <v>0</v>
      </c>
      <c r="X60" s="12">
        <f>(VLOOKUP(main!AF60,main!$AO$4:$AR$55,4,FALSE))</f>
        <v>0</v>
      </c>
    </row>
    <row r="61" spans="1:24">
      <c r="A61" s="12">
        <f>(VLOOKUP(main!I61,main!$AO$4:$AR$55,4,FALSE))</f>
        <v>0</v>
      </c>
      <c r="B61" s="12">
        <f>(VLOOKUP(main!J61,main!$AO$4:$AR$55,4,FALSE))</f>
        <v>0</v>
      </c>
      <c r="C61" s="12">
        <f>(VLOOKUP(main!K61,main!$AO$4:$AR$55,4,FALSE))</f>
        <v>0</v>
      </c>
      <c r="D61" s="12">
        <f>(VLOOKUP(main!L61,main!$AO$4:$AR$55,4,FALSE))</f>
        <v>0</v>
      </c>
      <c r="E61" s="12">
        <f>(VLOOKUP(main!M61,main!$AO$4:$AR$55,4,FALSE))</f>
        <v>0</v>
      </c>
      <c r="F61" s="12">
        <f>(VLOOKUP(main!N61,main!$AO$4:$AR$55,4,FALSE))</f>
        <v>0</v>
      </c>
      <c r="G61" s="12">
        <f>(VLOOKUP(main!O61,main!$AO$4:$AR$55,4,FALSE))</f>
        <v>0</v>
      </c>
      <c r="H61" s="12">
        <f>(VLOOKUP(main!P61,main!$AO$4:$AR$55,4,FALSE))</f>
        <v>0</v>
      </c>
      <c r="I61" s="12">
        <f>(VLOOKUP(main!Q61,main!$AO$4:$AR$55,4,FALSE))</f>
        <v>34</v>
      </c>
      <c r="J61" s="12">
        <f>(VLOOKUP(main!R61,main!$AO$4:$AR$55,4,FALSE))</f>
        <v>34</v>
      </c>
      <c r="K61" s="12">
        <f>(VLOOKUP(main!S61,main!$AO$4:$AR$55,4,FALSE))</f>
        <v>34</v>
      </c>
      <c r="L61" s="12">
        <f>(VLOOKUP(main!T61,main!$AO$4:$AR$55,4,FALSE))</f>
        <v>34</v>
      </c>
      <c r="M61" s="12">
        <f>(VLOOKUP(main!U61,main!$AO$4:$AR$55,4,FALSE))</f>
        <v>34</v>
      </c>
      <c r="N61" s="12">
        <f>(VLOOKUP(main!V61,main!$AO$4:$AR$55,4,FALSE))</f>
        <v>34</v>
      </c>
      <c r="O61" s="12">
        <f>(VLOOKUP(main!W61,main!$AO$4:$AR$55,4,FALSE))</f>
        <v>34</v>
      </c>
      <c r="P61" s="12">
        <f>(VLOOKUP(main!X61,main!$AO$4:$AR$55,4,FALSE))</f>
        <v>34</v>
      </c>
      <c r="Q61" s="12">
        <f>(VLOOKUP(main!Y61,main!$AO$4:$AR$55,4,FALSE))</f>
        <v>0</v>
      </c>
      <c r="R61" s="12">
        <f>(VLOOKUP(main!Z61,main!$AO$4:$AR$55,4,FALSE))</f>
        <v>0</v>
      </c>
      <c r="S61" s="12">
        <f>(VLOOKUP(main!AA61,main!$AO$4:$AR$55,4,FALSE))</f>
        <v>0</v>
      </c>
      <c r="T61" s="12">
        <f>(VLOOKUP(main!AB61,main!$AO$4:$AR$55,4,FALSE))</f>
        <v>0</v>
      </c>
      <c r="U61" s="12">
        <f>(VLOOKUP(main!AC61,main!$AO$4:$AR$55,4,FALSE))</f>
        <v>0</v>
      </c>
      <c r="V61" s="12">
        <f>(VLOOKUP(main!AD61,main!$AO$4:$AR$55,4,FALSE))</f>
        <v>0</v>
      </c>
      <c r="W61" s="12">
        <f>(VLOOKUP(main!AE61,main!$AO$4:$AR$55,4,FALSE))</f>
        <v>0</v>
      </c>
      <c r="X61" s="12">
        <f>(VLOOKUP(main!AF61,main!$AO$4:$AR$55,4,FALSE))</f>
        <v>0</v>
      </c>
    </row>
    <row r="62" spans="1:24">
      <c r="A62" s="12">
        <f>(VLOOKUP(main!I62,main!$AO$4:$AR$55,4,FALSE))</f>
        <v>0</v>
      </c>
      <c r="B62" s="12">
        <f>(VLOOKUP(main!J62,main!$AO$4:$AR$55,4,FALSE))</f>
        <v>0</v>
      </c>
      <c r="C62" s="12">
        <f>(VLOOKUP(main!K62,main!$AO$4:$AR$55,4,FALSE))</f>
        <v>0</v>
      </c>
      <c r="D62" s="12">
        <f>(VLOOKUP(main!L62,main!$AO$4:$AR$55,4,FALSE))</f>
        <v>0</v>
      </c>
      <c r="E62" s="12">
        <f>(VLOOKUP(main!M62,main!$AO$4:$AR$55,4,FALSE))</f>
        <v>0</v>
      </c>
      <c r="F62" s="12">
        <f>(VLOOKUP(main!N62,main!$AO$4:$AR$55,4,FALSE))</f>
        <v>0</v>
      </c>
      <c r="G62" s="12">
        <f>(VLOOKUP(main!O62,main!$AO$4:$AR$55,4,FALSE))</f>
        <v>0</v>
      </c>
      <c r="H62" s="12">
        <f>(VLOOKUP(main!P62,main!$AO$4:$AR$55,4,FALSE))</f>
        <v>0</v>
      </c>
      <c r="I62" s="12">
        <f>(VLOOKUP(main!Q62,main!$AO$4:$AR$55,4,FALSE))</f>
        <v>34</v>
      </c>
      <c r="J62" s="12">
        <f>(VLOOKUP(main!R62,main!$AO$4:$AR$55,4,FALSE))</f>
        <v>34</v>
      </c>
      <c r="K62" s="12">
        <f>(VLOOKUP(main!S62,main!$AO$4:$AR$55,4,FALSE))</f>
        <v>34</v>
      </c>
      <c r="L62" s="12">
        <f>(VLOOKUP(main!T62,main!$AO$4:$AR$55,4,FALSE))</f>
        <v>34</v>
      </c>
      <c r="M62" s="12">
        <f>(VLOOKUP(main!U62,main!$AO$4:$AR$55,4,FALSE))</f>
        <v>34</v>
      </c>
      <c r="N62" s="12">
        <f>(VLOOKUP(main!V62,main!$AO$4:$AR$55,4,FALSE))</f>
        <v>34</v>
      </c>
      <c r="O62" s="12">
        <f>(VLOOKUP(main!W62,main!$AO$4:$AR$55,4,FALSE))</f>
        <v>34</v>
      </c>
      <c r="P62" s="12">
        <f>(VLOOKUP(main!X62,main!$AO$4:$AR$55,4,FALSE))</f>
        <v>34</v>
      </c>
      <c r="Q62" s="12">
        <f>(VLOOKUP(main!Y62,main!$AO$4:$AR$55,4,FALSE))</f>
        <v>0</v>
      </c>
      <c r="R62" s="12">
        <f>(VLOOKUP(main!Z62,main!$AO$4:$AR$55,4,FALSE))</f>
        <v>0</v>
      </c>
      <c r="S62" s="12">
        <f>(VLOOKUP(main!AA62,main!$AO$4:$AR$55,4,FALSE))</f>
        <v>0</v>
      </c>
      <c r="T62" s="12">
        <f>(VLOOKUP(main!AB62,main!$AO$4:$AR$55,4,FALSE))</f>
        <v>0</v>
      </c>
      <c r="U62" s="12">
        <f>(VLOOKUP(main!AC62,main!$AO$4:$AR$55,4,FALSE))</f>
        <v>0</v>
      </c>
      <c r="V62" s="12">
        <f>(VLOOKUP(main!AD62,main!$AO$4:$AR$55,4,FALSE))</f>
        <v>0</v>
      </c>
      <c r="W62" s="12">
        <f>(VLOOKUP(main!AE62,main!$AO$4:$AR$55,4,FALSE))</f>
        <v>0</v>
      </c>
      <c r="X62" s="12">
        <f>(VLOOKUP(main!AF62,main!$AO$4:$AR$55,4,FALSE))</f>
        <v>0</v>
      </c>
    </row>
    <row r="63" spans="1:24">
      <c r="A63" s="12">
        <f>(VLOOKUP(main!I63,main!$AO$4:$AR$55,4,FALSE))</f>
        <v>0</v>
      </c>
      <c r="B63" s="12">
        <f>(VLOOKUP(main!J63,main!$AO$4:$AR$55,4,FALSE))</f>
        <v>0</v>
      </c>
      <c r="C63" s="12">
        <f>(VLOOKUP(main!K63,main!$AO$4:$AR$55,4,FALSE))</f>
        <v>0</v>
      </c>
      <c r="D63" s="12">
        <f>(VLOOKUP(main!L63,main!$AO$4:$AR$55,4,FALSE))</f>
        <v>0</v>
      </c>
      <c r="E63" s="12">
        <f>(VLOOKUP(main!M63,main!$AO$4:$AR$55,4,FALSE))</f>
        <v>0</v>
      </c>
      <c r="F63" s="12">
        <f>(VLOOKUP(main!N63,main!$AO$4:$AR$55,4,FALSE))</f>
        <v>0</v>
      </c>
      <c r="G63" s="12">
        <f>(VLOOKUP(main!O63,main!$AO$4:$AR$55,4,FALSE))</f>
        <v>0</v>
      </c>
      <c r="H63" s="12">
        <f>(VLOOKUP(main!P63,main!$AO$4:$AR$55,4,FALSE))</f>
        <v>0</v>
      </c>
      <c r="I63" s="12">
        <f>(VLOOKUP(main!Q63,main!$AO$4:$AR$55,4,FALSE))</f>
        <v>34</v>
      </c>
      <c r="J63" s="12">
        <f>(VLOOKUP(main!R63,main!$AO$4:$AR$55,4,FALSE))</f>
        <v>34</v>
      </c>
      <c r="K63" s="12">
        <f>(VLOOKUP(main!S63,main!$AO$4:$AR$55,4,FALSE))</f>
        <v>34</v>
      </c>
      <c r="L63" s="12">
        <f>(VLOOKUP(main!T63,main!$AO$4:$AR$55,4,FALSE))</f>
        <v>34</v>
      </c>
      <c r="M63" s="12">
        <f>(VLOOKUP(main!U63,main!$AO$4:$AR$55,4,FALSE))</f>
        <v>34</v>
      </c>
      <c r="N63" s="12">
        <f>(VLOOKUP(main!V63,main!$AO$4:$AR$55,4,FALSE))</f>
        <v>34</v>
      </c>
      <c r="O63" s="12">
        <f>(VLOOKUP(main!W63,main!$AO$4:$AR$55,4,FALSE))</f>
        <v>34</v>
      </c>
      <c r="P63" s="12">
        <f>(VLOOKUP(main!X63,main!$AO$4:$AR$55,4,FALSE))</f>
        <v>34</v>
      </c>
      <c r="Q63" s="12">
        <f>(VLOOKUP(main!Y63,main!$AO$4:$AR$55,4,FALSE))</f>
        <v>0</v>
      </c>
      <c r="R63" s="12">
        <f>(VLOOKUP(main!Z63,main!$AO$4:$AR$55,4,FALSE))</f>
        <v>0</v>
      </c>
      <c r="S63" s="12">
        <f>(VLOOKUP(main!AA63,main!$AO$4:$AR$55,4,FALSE))</f>
        <v>0</v>
      </c>
      <c r="T63" s="12">
        <f>(VLOOKUP(main!AB63,main!$AO$4:$AR$55,4,FALSE))</f>
        <v>0</v>
      </c>
      <c r="U63" s="12">
        <f>(VLOOKUP(main!AC63,main!$AO$4:$AR$55,4,FALSE))</f>
        <v>0</v>
      </c>
      <c r="V63" s="12">
        <f>(VLOOKUP(main!AD63,main!$AO$4:$AR$55,4,FALSE))</f>
        <v>0</v>
      </c>
      <c r="W63" s="12">
        <f>(VLOOKUP(main!AE63,main!$AO$4:$AR$55,4,FALSE))</f>
        <v>0</v>
      </c>
      <c r="X63" s="12">
        <f>(VLOOKUP(main!AF63,main!$AO$4:$AR$55,4,FALSE))</f>
        <v>0</v>
      </c>
    </row>
    <row r="64" spans="1:24">
      <c r="A64" s="12">
        <f>(VLOOKUP(main!I64,main!$AO$4:$AR$55,4,FALSE))</f>
        <v>0</v>
      </c>
      <c r="B64" s="12">
        <f>(VLOOKUP(main!J64,main!$AO$4:$AR$55,4,FALSE))</f>
        <v>0</v>
      </c>
      <c r="C64" s="12">
        <f>(VLOOKUP(main!K64,main!$AO$4:$AR$55,4,FALSE))</f>
        <v>0</v>
      </c>
      <c r="D64" s="12">
        <f>(VLOOKUP(main!L64,main!$AO$4:$AR$55,4,FALSE))</f>
        <v>0</v>
      </c>
      <c r="E64" s="12">
        <f>(VLOOKUP(main!M64,main!$AO$4:$AR$55,4,FALSE))</f>
        <v>0</v>
      </c>
      <c r="F64" s="12">
        <f>(VLOOKUP(main!N64,main!$AO$4:$AR$55,4,FALSE))</f>
        <v>0</v>
      </c>
      <c r="G64" s="12">
        <f>(VLOOKUP(main!O64,main!$AO$4:$AR$55,4,FALSE))</f>
        <v>0</v>
      </c>
      <c r="H64" s="12">
        <f>(VLOOKUP(main!P64,main!$AO$4:$AR$55,4,FALSE))</f>
        <v>0</v>
      </c>
      <c r="I64" s="12">
        <f>(VLOOKUP(main!Q64,main!$AO$4:$AR$55,4,FALSE))</f>
        <v>34</v>
      </c>
      <c r="J64" s="12">
        <f>(VLOOKUP(main!R64,main!$AO$4:$AR$55,4,FALSE))</f>
        <v>34</v>
      </c>
      <c r="K64" s="12">
        <f>(VLOOKUP(main!S64,main!$AO$4:$AR$55,4,FALSE))</f>
        <v>34</v>
      </c>
      <c r="L64" s="12">
        <f>(VLOOKUP(main!T64,main!$AO$4:$AR$55,4,FALSE))</f>
        <v>34</v>
      </c>
      <c r="M64" s="12">
        <f>(VLOOKUP(main!U64,main!$AO$4:$AR$55,4,FALSE))</f>
        <v>34</v>
      </c>
      <c r="N64" s="12">
        <f>(VLOOKUP(main!V64,main!$AO$4:$AR$55,4,FALSE))</f>
        <v>34</v>
      </c>
      <c r="O64" s="12">
        <f>(VLOOKUP(main!W64,main!$AO$4:$AR$55,4,FALSE))</f>
        <v>0</v>
      </c>
      <c r="P64" s="12">
        <f>(VLOOKUP(main!X64,main!$AO$4:$AR$55,4,FALSE))</f>
        <v>0</v>
      </c>
      <c r="Q64" s="12">
        <f>(VLOOKUP(main!Y64,main!$AO$4:$AR$55,4,FALSE))</f>
        <v>39.110982162825401</v>
      </c>
      <c r="R64" s="12">
        <f>(VLOOKUP(main!Z64,main!$AO$4:$AR$55,4,FALSE))</f>
        <v>39.110982162825401</v>
      </c>
      <c r="S64" s="12">
        <f>(VLOOKUP(main!AA64,main!$AO$4:$AR$55,4,FALSE))</f>
        <v>39.110982162825401</v>
      </c>
      <c r="T64" s="12">
        <f>(VLOOKUP(main!AB64,main!$AO$4:$AR$55,4,FALSE))</f>
        <v>39.110982162825401</v>
      </c>
      <c r="U64" s="12">
        <f>(VLOOKUP(main!AC64,main!$AO$4:$AR$55,4,FALSE))</f>
        <v>39.110982162825401</v>
      </c>
      <c r="V64" s="12">
        <f>(VLOOKUP(main!AD64,main!$AO$4:$AR$55,4,FALSE))</f>
        <v>39.110982162825401</v>
      </c>
      <c r="W64" s="12">
        <f>(VLOOKUP(main!AE64,main!$AO$4:$AR$55,4,FALSE))</f>
        <v>0</v>
      </c>
      <c r="X64" s="12">
        <f>(VLOOKUP(main!AF64,main!$AO$4:$AR$55,4,FALSE))</f>
        <v>0</v>
      </c>
    </row>
    <row r="65" spans="1:24">
      <c r="A65" s="12">
        <f>(VLOOKUP(main!I65,main!$AO$4:$AR$55,4,FALSE))</f>
        <v>0</v>
      </c>
      <c r="B65" s="12">
        <f>(VLOOKUP(main!J65,main!$AO$4:$AR$55,4,FALSE))</f>
        <v>0</v>
      </c>
      <c r="C65" s="12">
        <f>(VLOOKUP(main!K65,main!$AO$4:$AR$55,4,FALSE))</f>
        <v>0</v>
      </c>
      <c r="D65" s="12">
        <f>(VLOOKUP(main!L65,main!$AO$4:$AR$55,4,FALSE))</f>
        <v>0</v>
      </c>
      <c r="E65" s="12">
        <f>(VLOOKUP(main!M65,main!$AO$4:$AR$55,4,FALSE))</f>
        <v>0</v>
      </c>
      <c r="F65" s="12">
        <f>(VLOOKUP(main!N65,main!$AO$4:$AR$55,4,FALSE))</f>
        <v>0</v>
      </c>
      <c r="G65" s="12">
        <f>(VLOOKUP(main!O65,main!$AO$4:$AR$55,4,FALSE))</f>
        <v>0</v>
      </c>
      <c r="H65" s="12">
        <f>(VLOOKUP(main!P65,main!$AO$4:$AR$55,4,FALSE))</f>
        <v>0</v>
      </c>
      <c r="I65" s="12">
        <f>(VLOOKUP(main!Q65,main!$AO$4:$AR$55,4,FALSE))</f>
        <v>0</v>
      </c>
      <c r="J65" s="12">
        <f>(VLOOKUP(main!R65,main!$AO$4:$AR$55,4,FALSE))</f>
        <v>0</v>
      </c>
      <c r="K65" s="12">
        <f>(VLOOKUP(main!S65,main!$AO$4:$AR$55,4,FALSE))</f>
        <v>0</v>
      </c>
      <c r="L65" s="12">
        <f>(VLOOKUP(main!T65,main!$AO$4:$AR$55,4,FALSE))</f>
        <v>0</v>
      </c>
      <c r="M65" s="12">
        <f>(VLOOKUP(main!U65,main!$AO$4:$AR$55,4,FALSE))</f>
        <v>0</v>
      </c>
      <c r="N65" s="12">
        <f>(VLOOKUP(main!V65,main!$AO$4:$AR$55,4,FALSE))</f>
        <v>0</v>
      </c>
      <c r="O65" s="12">
        <f>(VLOOKUP(main!W65,main!$AO$4:$AR$55,4,FALSE))</f>
        <v>0</v>
      </c>
      <c r="P65" s="12">
        <f>(VLOOKUP(main!X65,main!$AO$4:$AR$55,4,FALSE))</f>
        <v>0</v>
      </c>
      <c r="Q65" s="12">
        <f>(VLOOKUP(main!Y65,main!$AO$4:$AR$55,4,FALSE))</f>
        <v>39.110982162825401</v>
      </c>
      <c r="R65" s="12">
        <f>(VLOOKUP(main!Z65,main!$AO$4:$AR$55,4,FALSE))</f>
        <v>39.110982162825401</v>
      </c>
      <c r="S65" s="12">
        <f>(VLOOKUP(main!AA65,main!$AO$4:$AR$55,4,FALSE))</f>
        <v>39.110982162825401</v>
      </c>
      <c r="T65" s="12">
        <f>(VLOOKUP(main!AB65,main!$AO$4:$AR$55,4,FALSE))</f>
        <v>39.110982162825401</v>
      </c>
      <c r="U65" s="12">
        <f>(VLOOKUP(main!AC65,main!$AO$4:$AR$55,4,FALSE))</f>
        <v>39.110982162825401</v>
      </c>
      <c r="V65" s="12">
        <f>(VLOOKUP(main!AD65,main!$AO$4:$AR$55,4,FALSE))</f>
        <v>39.110982162825401</v>
      </c>
      <c r="W65" s="12">
        <f>(VLOOKUP(main!AE65,main!$AO$4:$AR$55,4,FALSE))</f>
        <v>0</v>
      </c>
      <c r="X65" s="12">
        <f>(VLOOKUP(main!AF65,main!$AO$4:$AR$55,4,FALSE))</f>
        <v>0</v>
      </c>
    </row>
    <row r="66" spans="1:24">
      <c r="A66" s="12">
        <f>(VLOOKUP(main!I66,main!$AO$4:$AR$55,4,FALSE))</f>
        <v>0</v>
      </c>
      <c r="B66" s="12">
        <f>(VLOOKUP(main!J66,main!$AO$4:$AR$55,4,FALSE))</f>
        <v>0</v>
      </c>
      <c r="C66" s="12">
        <f>(VLOOKUP(main!K66,main!$AO$4:$AR$55,4,FALSE))</f>
        <v>0</v>
      </c>
      <c r="D66" s="12">
        <f>(VLOOKUP(main!L66,main!$AO$4:$AR$55,4,FALSE))</f>
        <v>0</v>
      </c>
      <c r="E66" s="12">
        <f>(VLOOKUP(main!M66,main!$AO$4:$AR$55,4,FALSE))</f>
        <v>0</v>
      </c>
      <c r="F66" s="12">
        <f>(VLOOKUP(main!N66,main!$AO$4:$AR$55,4,FALSE))</f>
        <v>0</v>
      </c>
      <c r="G66" s="12">
        <f>(VLOOKUP(main!O66,main!$AO$4:$AR$55,4,FALSE))</f>
        <v>0</v>
      </c>
      <c r="H66" s="12">
        <f>(VLOOKUP(main!P66,main!$AO$4:$AR$55,4,FALSE))</f>
        <v>0</v>
      </c>
      <c r="I66" s="12">
        <f>(VLOOKUP(main!Q66,main!$AO$4:$AR$55,4,FALSE))</f>
        <v>29.110982162825401</v>
      </c>
      <c r="J66" s="12">
        <f>(VLOOKUP(main!R66,main!$AO$4:$AR$55,4,FALSE))</f>
        <v>29.110982162825401</v>
      </c>
      <c r="K66" s="12">
        <f>(VLOOKUP(main!S66,main!$AO$4:$AR$55,4,FALSE))</f>
        <v>29.110982162825401</v>
      </c>
      <c r="L66" s="12">
        <f>(VLOOKUP(main!T66,main!$AO$4:$AR$55,4,FALSE))</f>
        <v>29.110982162825401</v>
      </c>
      <c r="M66" s="12">
        <f>(VLOOKUP(main!U66,main!$AO$4:$AR$55,4,FALSE))</f>
        <v>29.110982162825401</v>
      </c>
      <c r="N66" s="12">
        <f>(VLOOKUP(main!V66,main!$AO$4:$AR$55,4,FALSE))</f>
        <v>29.110982162825401</v>
      </c>
      <c r="O66" s="12">
        <f>(VLOOKUP(main!W66,main!$AO$4:$AR$55,4,FALSE))</f>
        <v>0</v>
      </c>
      <c r="P66" s="12">
        <f>(VLOOKUP(main!X66,main!$AO$4:$AR$55,4,FALSE))</f>
        <v>0</v>
      </c>
      <c r="Q66" s="12">
        <f>(VLOOKUP(main!Y66,main!$AO$4:$AR$55,4,FALSE))</f>
        <v>39.110982162825401</v>
      </c>
      <c r="R66" s="12">
        <f>(VLOOKUP(main!Z66,main!$AO$4:$AR$55,4,FALSE))</f>
        <v>39.110982162825401</v>
      </c>
      <c r="S66" s="12">
        <f>(VLOOKUP(main!AA66,main!$AO$4:$AR$55,4,FALSE))</f>
        <v>39.110982162825401</v>
      </c>
      <c r="T66" s="12">
        <f>(VLOOKUP(main!AB66,main!$AO$4:$AR$55,4,FALSE))</f>
        <v>39.110982162825401</v>
      </c>
      <c r="U66" s="12">
        <f>(VLOOKUP(main!AC66,main!$AO$4:$AR$55,4,FALSE))</f>
        <v>39.110982162825401</v>
      </c>
      <c r="V66" s="12">
        <f>(VLOOKUP(main!AD66,main!$AO$4:$AR$55,4,FALSE))</f>
        <v>39.110982162825401</v>
      </c>
      <c r="W66" s="12">
        <f>(VLOOKUP(main!AE66,main!$AO$4:$AR$55,4,FALSE))</f>
        <v>0</v>
      </c>
      <c r="X66" s="12">
        <f>(VLOOKUP(main!AF66,main!$AO$4:$AR$55,4,FALSE))</f>
        <v>0</v>
      </c>
    </row>
    <row r="67" spans="1:24">
      <c r="A67" s="12">
        <f>(VLOOKUP(main!I67,main!$AO$4:$AR$55,4,FALSE))</f>
        <v>0</v>
      </c>
      <c r="B67" s="12">
        <f>(VLOOKUP(main!J67,main!$AO$4:$AR$55,4,FALSE))</f>
        <v>0</v>
      </c>
      <c r="C67" s="12">
        <f>(VLOOKUP(main!K67,main!$AO$4:$AR$55,4,FALSE))</f>
        <v>0</v>
      </c>
      <c r="D67" s="12">
        <f>(VLOOKUP(main!L67,main!$AO$4:$AR$55,4,FALSE))</f>
        <v>0</v>
      </c>
      <c r="E67" s="12">
        <f>(VLOOKUP(main!M67,main!$AO$4:$AR$55,4,FALSE))</f>
        <v>0</v>
      </c>
      <c r="F67" s="12">
        <f>(VLOOKUP(main!N67,main!$AO$4:$AR$55,4,FALSE))</f>
        <v>0</v>
      </c>
      <c r="G67" s="12">
        <f>(VLOOKUP(main!O67,main!$AO$4:$AR$55,4,FALSE))</f>
        <v>0</v>
      </c>
      <c r="H67" s="12">
        <f>(VLOOKUP(main!P67,main!$AO$4:$AR$55,4,FALSE))</f>
        <v>0</v>
      </c>
      <c r="I67" s="12">
        <f>(VLOOKUP(main!Q67,main!$AO$4:$AR$55,4,FALSE))</f>
        <v>29.110982162825401</v>
      </c>
      <c r="J67" s="12">
        <f>(VLOOKUP(main!R67,main!$AO$4:$AR$55,4,FALSE))</f>
        <v>29.110982162825401</v>
      </c>
      <c r="K67" s="12">
        <f>(VLOOKUP(main!S67,main!$AO$4:$AR$55,4,FALSE))</f>
        <v>29.110982162825401</v>
      </c>
      <c r="L67" s="12">
        <f>(VLOOKUP(main!T67,main!$AO$4:$AR$55,4,FALSE))</f>
        <v>29.110982162825401</v>
      </c>
      <c r="M67" s="12">
        <f>(VLOOKUP(main!U67,main!$AO$4:$AR$55,4,FALSE))</f>
        <v>29.110982162825401</v>
      </c>
      <c r="N67" s="12">
        <f>(VLOOKUP(main!V67,main!$AO$4:$AR$55,4,FALSE))</f>
        <v>29.110982162825401</v>
      </c>
      <c r="O67" s="12">
        <f>(VLOOKUP(main!W67,main!$AO$4:$AR$55,4,FALSE))</f>
        <v>0</v>
      </c>
      <c r="P67" s="12">
        <f>(VLOOKUP(main!X67,main!$AO$4:$AR$55,4,FALSE))</f>
        <v>0</v>
      </c>
      <c r="Q67" s="12">
        <f>(VLOOKUP(main!Y67,main!$AO$4:$AR$55,4,FALSE))</f>
        <v>39.110982162825401</v>
      </c>
      <c r="R67" s="12">
        <f>(VLOOKUP(main!Z67,main!$AO$4:$AR$55,4,FALSE))</f>
        <v>39.110982162825401</v>
      </c>
      <c r="S67" s="12">
        <f>(VLOOKUP(main!AA67,main!$AO$4:$AR$55,4,FALSE))</f>
        <v>39.110982162825401</v>
      </c>
      <c r="T67" s="12">
        <f>(VLOOKUP(main!AB67,main!$AO$4:$AR$55,4,FALSE))</f>
        <v>39.110982162825401</v>
      </c>
      <c r="U67" s="12">
        <f>(VLOOKUP(main!AC67,main!$AO$4:$AR$55,4,FALSE))</f>
        <v>39.110982162825401</v>
      </c>
      <c r="V67" s="12">
        <f>(VLOOKUP(main!AD67,main!$AO$4:$AR$55,4,FALSE))</f>
        <v>39.110982162825401</v>
      </c>
      <c r="W67" s="12">
        <f>(VLOOKUP(main!AE67,main!$AO$4:$AR$55,4,FALSE))</f>
        <v>0</v>
      </c>
      <c r="X67" s="12">
        <f>(VLOOKUP(main!AF67,main!$AO$4:$AR$55,4,FALSE))</f>
        <v>0</v>
      </c>
    </row>
    <row r="68" spans="1:24">
      <c r="A68" s="12">
        <f>(VLOOKUP(main!I68,main!$AO$4:$AR$55,4,FALSE))</f>
        <v>0</v>
      </c>
      <c r="B68" s="12">
        <f>(VLOOKUP(main!J68,main!$AO$4:$AR$55,4,FALSE))</f>
        <v>0</v>
      </c>
      <c r="C68" s="12">
        <f>(VLOOKUP(main!K68,main!$AO$4:$AR$55,4,FALSE))</f>
        <v>0</v>
      </c>
      <c r="D68" s="12">
        <f>(VLOOKUP(main!L68,main!$AO$4:$AR$55,4,FALSE))</f>
        <v>0</v>
      </c>
      <c r="E68" s="12">
        <f>(VLOOKUP(main!M68,main!$AO$4:$AR$55,4,FALSE))</f>
        <v>0</v>
      </c>
      <c r="F68" s="12">
        <f>(VLOOKUP(main!N68,main!$AO$4:$AR$55,4,FALSE))</f>
        <v>0</v>
      </c>
      <c r="G68" s="12">
        <f>(VLOOKUP(main!O68,main!$AO$4:$AR$55,4,FALSE))</f>
        <v>0</v>
      </c>
      <c r="H68" s="12">
        <f>(VLOOKUP(main!P68,main!$AO$4:$AR$55,4,FALSE))</f>
        <v>0</v>
      </c>
      <c r="I68" s="12">
        <f>(VLOOKUP(main!Q68,main!$AO$4:$AR$55,4,FALSE))</f>
        <v>29.110982162825401</v>
      </c>
      <c r="J68" s="12">
        <f>(VLOOKUP(main!R68,main!$AO$4:$AR$55,4,FALSE))</f>
        <v>29.110982162825401</v>
      </c>
      <c r="K68" s="12">
        <f>(VLOOKUP(main!S68,main!$AO$4:$AR$55,4,FALSE))</f>
        <v>29.110982162825401</v>
      </c>
      <c r="L68" s="12">
        <f>(VLOOKUP(main!T68,main!$AO$4:$AR$55,4,FALSE))</f>
        <v>29.110982162825401</v>
      </c>
      <c r="M68" s="12">
        <f>(VLOOKUP(main!U68,main!$AO$4:$AR$55,4,FALSE))</f>
        <v>29.110982162825401</v>
      </c>
      <c r="N68" s="12">
        <f>(VLOOKUP(main!V68,main!$AO$4:$AR$55,4,FALSE))</f>
        <v>29.110982162825401</v>
      </c>
      <c r="O68" s="12">
        <f>(VLOOKUP(main!W68,main!$AO$4:$AR$55,4,FALSE))</f>
        <v>0</v>
      </c>
      <c r="P68" s="12">
        <f>(VLOOKUP(main!X68,main!$AO$4:$AR$55,4,FALSE))</f>
        <v>0</v>
      </c>
      <c r="Q68" s="12">
        <f>(VLOOKUP(main!Y68,main!$AO$4:$AR$55,4,FALSE))</f>
        <v>39.110982162825401</v>
      </c>
      <c r="R68" s="12">
        <f>(VLOOKUP(main!Z68,main!$AO$4:$AR$55,4,FALSE))</f>
        <v>39.110982162825401</v>
      </c>
      <c r="S68" s="12">
        <f>(VLOOKUP(main!AA68,main!$AO$4:$AR$55,4,FALSE))</f>
        <v>39.110982162825401</v>
      </c>
      <c r="T68" s="12">
        <f>(VLOOKUP(main!AB68,main!$AO$4:$AR$55,4,FALSE))</f>
        <v>39.110982162825401</v>
      </c>
      <c r="U68" s="12">
        <f>(VLOOKUP(main!AC68,main!$AO$4:$AR$55,4,FALSE))</f>
        <v>39.110982162825401</v>
      </c>
      <c r="V68" s="12">
        <f>(VLOOKUP(main!AD68,main!$AO$4:$AR$55,4,FALSE))</f>
        <v>39.110982162825401</v>
      </c>
      <c r="W68" s="12">
        <f>(VLOOKUP(main!AE68,main!$AO$4:$AR$55,4,FALSE))</f>
        <v>0</v>
      </c>
      <c r="X68" s="12">
        <f>(VLOOKUP(main!AF68,main!$AO$4:$AR$55,4,FALSE))</f>
        <v>0</v>
      </c>
    </row>
    <row r="69" spans="1:24">
      <c r="A69" s="12">
        <f>(VLOOKUP(main!I69,main!$AO$4:$AR$55,4,FALSE))</f>
        <v>0</v>
      </c>
      <c r="B69" s="12">
        <f>(VLOOKUP(main!J69,main!$AO$4:$AR$55,4,FALSE))</f>
        <v>0</v>
      </c>
      <c r="C69" s="12">
        <f>(VLOOKUP(main!K69,main!$AO$4:$AR$55,4,FALSE))</f>
        <v>0</v>
      </c>
      <c r="D69" s="12">
        <f>(VLOOKUP(main!L69,main!$AO$4:$AR$55,4,FALSE))</f>
        <v>0</v>
      </c>
      <c r="E69" s="12">
        <f>(VLOOKUP(main!M69,main!$AO$4:$AR$55,4,FALSE))</f>
        <v>0</v>
      </c>
      <c r="F69" s="12">
        <f>(VLOOKUP(main!N69,main!$AO$4:$AR$55,4,FALSE))</f>
        <v>0</v>
      </c>
      <c r="G69" s="12">
        <f>(VLOOKUP(main!O69,main!$AO$4:$AR$55,4,FALSE))</f>
        <v>0</v>
      </c>
      <c r="H69" s="12">
        <f>(VLOOKUP(main!P69,main!$AO$4:$AR$55,4,FALSE))</f>
        <v>0</v>
      </c>
      <c r="I69" s="12">
        <f>(VLOOKUP(main!Q69,main!$AO$4:$AR$55,4,FALSE))</f>
        <v>29.110982162825401</v>
      </c>
      <c r="J69" s="12">
        <f>(VLOOKUP(main!R69,main!$AO$4:$AR$55,4,FALSE))</f>
        <v>29.110982162825401</v>
      </c>
      <c r="K69" s="12">
        <f>(VLOOKUP(main!S69,main!$AO$4:$AR$55,4,FALSE))</f>
        <v>29.110982162825401</v>
      </c>
      <c r="L69" s="12">
        <f>(VLOOKUP(main!T69,main!$AO$4:$AR$55,4,FALSE))</f>
        <v>29.110982162825401</v>
      </c>
      <c r="M69" s="12">
        <f>(VLOOKUP(main!U69,main!$AO$4:$AR$55,4,FALSE))</f>
        <v>29.110982162825401</v>
      </c>
      <c r="N69" s="12">
        <f>(VLOOKUP(main!V69,main!$AO$4:$AR$55,4,FALSE))</f>
        <v>29.110982162825401</v>
      </c>
      <c r="O69" s="12">
        <f>(VLOOKUP(main!W69,main!$AO$4:$AR$55,4,FALSE))</f>
        <v>0</v>
      </c>
      <c r="P69" s="12">
        <f>(VLOOKUP(main!X69,main!$AO$4:$AR$55,4,FALSE))</f>
        <v>0</v>
      </c>
      <c r="Q69" s="12">
        <f>(VLOOKUP(main!Y69,main!$AO$4:$AR$55,4,FALSE))</f>
        <v>39.110982162825401</v>
      </c>
      <c r="R69" s="12">
        <f>(VLOOKUP(main!Z69,main!$AO$4:$AR$55,4,FALSE))</f>
        <v>39.110982162825401</v>
      </c>
      <c r="S69" s="12">
        <f>(VLOOKUP(main!AA69,main!$AO$4:$AR$55,4,FALSE))</f>
        <v>39.110982162825401</v>
      </c>
      <c r="T69" s="12">
        <f>(VLOOKUP(main!AB69,main!$AO$4:$AR$55,4,FALSE))</f>
        <v>0</v>
      </c>
      <c r="U69" s="12">
        <f>(VLOOKUP(main!AC69,main!$AO$4:$AR$55,4,FALSE))</f>
        <v>0</v>
      </c>
      <c r="V69" s="12">
        <f>(VLOOKUP(main!AD69,main!$AO$4:$AR$55,4,FALSE))</f>
        <v>0</v>
      </c>
      <c r="W69" s="12">
        <f>(VLOOKUP(main!AE69,main!$AO$4:$AR$55,4,FALSE))</f>
        <v>0</v>
      </c>
      <c r="X69" s="12">
        <f>(VLOOKUP(main!AF69,main!$AO$4:$AR$55,4,FALSE))</f>
        <v>0</v>
      </c>
    </row>
    <row r="70" spans="1:24">
      <c r="A70" s="12">
        <f>(VLOOKUP(main!I70,main!$AO$4:$AR$55,4,FALSE))</f>
        <v>0</v>
      </c>
      <c r="B70" s="12">
        <f>(VLOOKUP(main!J70,main!$AO$4:$AR$55,4,FALSE))</f>
        <v>0</v>
      </c>
      <c r="C70" s="12">
        <f>(VLOOKUP(main!K70,main!$AO$4:$AR$55,4,FALSE))</f>
        <v>0</v>
      </c>
      <c r="D70" s="12">
        <f>(VLOOKUP(main!L70,main!$AO$4:$AR$55,4,FALSE))</f>
        <v>0</v>
      </c>
      <c r="E70" s="12">
        <f>(VLOOKUP(main!M70,main!$AO$4:$AR$55,4,FALSE))</f>
        <v>0</v>
      </c>
      <c r="F70" s="12">
        <f>(VLOOKUP(main!N70,main!$AO$4:$AR$55,4,FALSE))</f>
        <v>0</v>
      </c>
      <c r="G70" s="12">
        <f>(VLOOKUP(main!O70,main!$AO$4:$AR$55,4,FALSE))</f>
        <v>0</v>
      </c>
      <c r="H70" s="12">
        <f>(VLOOKUP(main!P70,main!$AO$4:$AR$55,4,FALSE))</f>
        <v>0</v>
      </c>
      <c r="I70" s="12">
        <f>(VLOOKUP(main!Q70,main!$AO$4:$AR$55,4,FALSE))</f>
        <v>29.110982162825401</v>
      </c>
      <c r="J70" s="12">
        <f>(VLOOKUP(main!R70,main!$AO$4:$AR$55,4,FALSE))</f>
        <v>29.110982162825401</v>
      </c>
      <c r="K70" s="12">
        <f>(VLOOKUP(main!S70,main!$AO$4:$AR$55,4,FALSE))</f>
        <v>29.110982162825401</v>
      </c>
      <c r="L70" s="12">
        <f>(VLOOKUP(main!T70,main!$AO$4:$AR$55,4,FALSE))</f>
        <v>29.110982162825401</v>
      </c>
      <c r="M70" s="12">
        <f>(VLOOKUP(main!U70,main!$AO$4:$AR$55,4,FALSE))</f>
        <v>29.110982162825401</v>
      </c>
      <c r="N70" s="12">
        <f>(VLOOKUP(main!V70,main!$AO$4:$AR$55,4,FALSE))</f>
        <v>29.110982162825401</v>
      </c>
      <c r="O70" s="12">
        <f>(VLOOKUP(main!W70,main!$AO$4:$AR$55,4,FALSE))</f>
        <v>0</v>
      </c>
      <c r="P70" s="12">
        <f>(VLOOKUP(main!X70,main!$AO$4:$AR$55,4,FALSE))</f>
        <v>0</v>
      </c>
      <c r="Q70" s="12">
        <f>(VLOOKUP(main!Y70,main!$AO$4:$AR$55,4,FALSE))</f>
        <v>0</v>
      </c>
      <c r="R70" s="12">
        <f>(VLOOKUP(main!Z70,main!$AO$4:$AR$55,4,FALSE))</f>
        <v>0</v>
      </c>
      <c r="S70" s="12">
        <f>(VLOOKUP(main!AA70,main!$AO$4:$AR$55,4,FALSE))</f>
        <v>0</v>
      </c>
      <c r="T70" s="12">
        <f>(VLOOKUP(main!AB70,main!$AO$4:$AR$55,4,FALSE))</f>
        <v>0</v>
      </c>
      <c r="U70" s="12">
        <f>(VLOOKUP(main!AC70,main!$AO$4:$AR$55,4,FALSE))</f>
        <v>0</v>
      </c>
      <c r="V70" s="12">
        <f>(VLOOKUP(main!AD70,main!$AO$4:$AR$55,4,FALSE))</f>
        <v>0</v>
      </c>
      <c r="W70" s="12">
        <f>(VLOOKUP(main!AE70,main!$AO$4:$AR$55,4,FALSE))</f>
        <v>0</v>
      </c>
      <c r="X70" s="12">
        <f>(VLOOKUP(main!AF70,main!$AO$4:$AR$55,4,FALSE))</f>
        <v>0</v>
      </c>
    </row>
    <row r="71" spans="1:24">
      <c r="A71" s="12">
        <f>(VLOOKUP(main!I71,main!$AO$4:$AR$55,4,FALSE))</f>
        <v>0</v>
      </c>
      <c r="B71" s="12">
        <f>(VLOOKUP(main!J71,main!$AO$4:$AR$55,4,FALSE))</f>
        <v>0</v>
      </c>
      <c r="C71" s="12">
        <f>(VLOOKUP(main!K71,main!$AO$4:$AR$55,4,FALSE))</f>
        <v>0</v>
      </c>
      <c r="D71" s="12">
        <f>(VLOOKUP(main!L71,main!$AO$4:$AR$55,4,FALSE))</f>
        <v>0</v>
      </c>
      <c r="E71" s="12">
        <f>(VLOOKUP(main!M71,main!$AO$4:$AR$55,4,FALSE))</f>
        <v>0</v>
      </c>
      <c r="F71" s="12">
        <f>(VLOOKUP(main!N71,main!$AO$4:$AR$55,4,FALSE))</f>
        <v>0</v>
      </c>
      <c r="G71" s="12">
        <f>(VLOOKUP(main!O71,main!$AO$4:$AR$55,4,FALSE))</f>
        <v>0</v>
      </c>
      <c r="H71" s="12">
        <f>(VLOOKUP(main!P71,main!$AO$4:$AR$55,4,FALSE))</f>
        <v>0</v>
      </c>
      <c r="I71" s="12">
        <f>(VLOOKUP(main!Q71,main!$AO$4:$AR$55,4,FALSE))</f>
        <v>29.110982162825401</v>
      </c>
      <c r="J71" s="12">
        <f>(VLOOKUP(main!R71,main!$AO$4:$AR$55,4,FALSE))</f>
        <v>29.110982162825401</v>
      </c>
      <c r="K71" s="12">
        <f>(VLOOKUP(main!S71,main!$AO$4:$AR$55,4,FALSE))</f>
        <v>29.110982162825401</v>
      </c>
      <c r="L71" s="12">
        <f>(VLOOKUP(main!T71,main!$AO$4:$AR$55,4,FALSE))</f>
        <v>0</v>
      </c>
      <c r="M71" s="12">
        <f>(VLOOKUP(main!U71,main!$AO$4:$AR$55,4,FALSE))</f>
        <v>0</v>
      </c>
      <c r="N71" s="12">
        <f>(VLOOKUP(main!V71,main!$AO$4:$AR$55,4,FALSE))</f>
        <v>0</v>
      </c>
      <c r="O71" s="12">
        <f>(VLOOKUP(main!W71,main!$AO$4:$AR$55,4,FALSE))</f>
        <v>0</v>
      </c>
      <c r="P71" s="12">
        <f>(VLOOKUP(main!X71,main!$AO$4:$AR$55,4,FALSE))</f>
        <v>0</v>
      </c>
      <c r="Q71" s="12">
        <f>(VLOOKUP(main!Y71,main!$AO$4:$AR$55,4,FALSE))</f>
        <v>0</v>
      </c>
      <c r="R71" s="12">
        <f>(VLOOKUP(main!Z71,main!$AO$4:$AR$55,4,FALSE))</f>
        <v>0</v>
      </c>
      <c r="S71" s="12">
        <f>(VLOOKUP(main!AA71,main!$AO$4:$AR$55,4,FALSE))</f>
        <v>0</v>
      </c>
      <c r="T71" s="12">
        <f>(VLOOKUP(main!AB71,main!$AO$4:$AR$55,4,FALSE))</f>
        <v>0</v>
      </c>
      <c r="U71" s="12">
        <f>(VLOOKUP(main!AC71,main!$AO$4:$AR$55,4,FALSE))</f>
        <v>0</v>
      </c>
      <c r="V71" s="12">
        <f>(VLOOKUP(main!AD71,main!$AO$4:$AR$55,4,FALSE))</f>
        <v>0</v>
      </c>
      <c r="W71" s="12">
        <f>(VLOOKUP(main!AE71,main!$AO$4:$AR$55,4,FALSE))</f>
        <v>0</v>
      </c>
      <c r="X71" s="12">
        <f>(VLOOKUP(main!AF71,main!$AO$4:$AR$55,4,FALSE))</f>
        <v>0</v>
      </c>
    </row>
    <row r="72" spans="1:24">
      <c r="A72" s="12">
        <f>(VLOOKUP(main!I72,main!$AO$4:$AR$55,4,FALSE))</f>
        <v>0</v>
      </c>
      <c r="B72" s="12">
        <f>(VLOOKUP(main!J72,main!$AO$4:$AR$55,4,FALSE))</f>
        <v>0</v>
      </c>
      <c r="C72" s="12">
        <f>(VLOOKUP(main!K72,main!$AO$4:$AR$55,4,FALSE))</f>
        <v>0</v>
      </c>
      <c r="D72" s="12">
        <f>(VLOOKUP(main!L72,main!$AO$4:$AR$55,4,FALSE))</f>
        <v>0</v>
      </c>
      <c r="E72" s="12">
        <f>(VLOOKUP(main!M72,main!$AO$4:$AR$55,4,FALSE))</f>
        <v>0</v>
      </c>
      <c r="F72" s="12">
        <f>(VLOOKUP(main!N72,main!$AO$4:$AR$55,4,FALSE))</f>
        <v>0</v>
      </c>
      <c r="G72" s="12">
        <f>(VLOOKUP(main!O72,main!$AO$4:$AR$55,4,FALSE))</f>
        <v>0</v>
      </c>
      <c r="H72" s="12">
        <f>(VLOOKUP(main!P72,main!$AO$4:$AR$55,4,FALSE))</f>
        <v>0</v>
      </c>
      <c r="I72" s="12">
        <f>(VLOOKUP(main!Q72,main!$AO$4:$AR$55,4,FALSE))</f>
        <v>0</v>
      </c>
      <c r="J72" s="12">
        <f>(VLOOKUP(main!R72,main!$AO$4:$AR$55,4,FALSE))</f>
        <v>0</v>
      </c>
      <c r="K72" s="12">
        <f>(VLOOKUP(main!S72,main!$AO$4:$AR$55,4,FALSE))</f>
        <v>0</v>
      </c>
      <c r="L72" s="12">
        <f>(VLOOKUP(main!T72,main!$AO$4:$AR$55,4,FALSE))</f>
        <v>0</v>
      </c>
      <c r="M72" s="12">
        <f>(VLOOKUP(main!U72,main!$AO$4:$AR$55,4,FALSE))</f>
        <v>0</v>
      </c>
      <c r="N72" s="12">
        <f>(VLOOKUP(main!V72,main!$AO$4:$AR$55,4,FALSE))</f>
        <v>0</v>
      </c>
      <c r="O72" s="12">
        <f>(VLOOKUP(main!W72,main!$AO$4:$AR$55,4,FALSE))</f>
        <v>0</v>
      </c>
      <c r="P72" s="12">
        <f>(VLOOKUP(main!X72,main!$AO$4:$AR$55,4,FALSE))</f>
        <v>0</v>
      </c>
      <c r="Q72" s="12">
        <f>(VLOOKUP(main!Y72,main!$AO$4:$AR$55,4,FALSE))</f>
        <v>0</v>
      </c>
      <c r="R72" s="12">
        <f>(VLOOKUP(main!Z72,main!$AO$4:$AR$55,4,FALSE))</f>
        <v>0</v>
      </c>
      <c r="S72" s="12">
        <f>(VLOOKUP(main!AA72,main!$AO$4:$AR$55,4,FALSE))</f>
        <v>0</v>
      </c>
      <c r="T72" s="12">
        <f>(VLOOKUP(main!AB72,main!$AO$4:$AR$55,4,FALSE))</f>
        <v>0</v>
      </c>
      <c r="U72" s="12">
        <f>(VLOOKUP(main!AC72,main!$AO$4:$AR$55,4,FALSE))</f>
        <v>0</v>
      </c>
      <c r="V72" s="12">
        <f>(VLOOKUP(main!AD72,main!$AO$4:$AR$55,4,FALSE))</f>
        <v>0</v>
      </c>
      <c r="W72" s="12">
        <f>(VLOOKUP(main!AE72,main!$AO$4:$AR$55,4,FALSE))</f>
        <v>0</v>
      </c>
      <c r="X72" s="12">
        <f>(VLOOKUP(main!AF72,main!$AO$4:$AR$55,4,FALSE))</f>
        <v>0</v>
      </c>
    </row>
    <row r="73" spans="1:24">
      <c r="A73" s="12">
        <f>(VLOOKUP(main!I73,main!$AO$4:$AR$55,4,FALSE))</f>
        <v>0</v>
      </c>
      <c r="B73" s="12">
        <f>(VLOOKUP(main!J73,main!$AO$4:$AR$55,4,FALSE))</f>
        <v>0</v>
      </c>
      <c r="C73" s="12">
        <f>(VLOOKUP(main!K73,main!$AO$4:$AR$55,4,FALSE))</f>
        <v>0</v>
      </c>
      <c r="D73" s="12">
        <f>(VLOOKUP(main!L73,main!$AO$4:$AR$55,4,FALSE))</f>
        <v>0</v>
      </c>
      <c r="E73" s="12">
        <f>(VLOOKUP(main!M73,main!$AO$4:$AR$55,4,FALSE))</f>
        <v>0</v>
      </c>
      <c r="F73" s="12">
        <f>(VLOOKUP(main!N73,main!$AO$4:$AR$55,4,FALSE))</f>
        <v>0</v>
      </c>
      <c r="G73" s="12">
        <f>(VLOOKUP(main!O73,main!$AO$4:$AR$55,4,FALSE))</f>
        <v>0</v>
      </c>
      <c r="H73" s="12">
        <f>(VLOOKUP(main!P73,main!$AO$4:$AR$55,4,FALSE))</f>
        <v>0</v>
      </c>
      <c r="I73" s="12">
        <f>(VLOOKUP(main!Q73,main!$AO$4:$AR$55,4,FALSE))</f>
        <v>0</v>
      </c>
      <c r="J73" s="12">
        <f>(VLOOKUP(main!R73,main!$AO$4:$AR$55,4,FALSE))</f>
        <v>0</v>
      </c>
      <c r="K73" s="12">
        <f>(VLOOKUP(main!S73,main!$AO$4:$AR$55,4,FALSE))</f>
        <v>0</v>
      </c>
      <c r="L73" s="12">
        <f>(VLOOKUP(main!T73,main!$AO$4:$AR$55,4,FALSE))</f>
        <v>0</v>
      </c>
      <c r="M73" s="12">
        <f>(VLOOKUP(main!U73,main!$AO$4:$AR$55,4,FALSE))</f>
        <v>0</v>
      </c>
      <c r="N73" s="12">
        <f>(VLOOKUP(main!V73,main!$AO$4:$AR$55,4,FALSE))</f>
        <v>0</v>
      </c>
      <c r="O73" s="12">
        <f>(VLOOKUP(main!W73,main!$AO$4:$AR$55,4,FALSE))</f>
        <v>0</v>
      </c>
      <c r="P73" s="12">
        <f>(VLOOKUP(main!X73,main!$AO$4:$AR$55,4,FALSE))</f>
        <v>0</v>
      </c>
      <c r="Q73" s="12">
        <f>(VLOOKUP(main!Y73,main!$AO$4:$AR$55,4,FALSE))</f>
        <v>0</v>
      </c>
      <c r="R73" s="12">
        <f>(VLOOKUP(main!Z73,main!$AO$4:$AR$55,4,FALSE))</f>
        <v>0</v>
      </c>
      <c r="S73" s="12">
        <f>(VLOOKUP(main!AA73,main!$AO$4:$AR$55,4,FALSE))</f>
        <v>0</v>
      </c>
      <c r="T73" s="12">
        <f>(VLOOKUP(main!AB73,main!$AO$4:$AR$55,4,FALSE))</f>
        <v>0</v>
      </c>
      <c r="U73" s="12">
        <f>(VLOOKUP(main!AC73,main!$AO$4:$AR$55,4,FALSE))</f>
        <v>0</v>
      </c>
      <c r="V73" s="12">
        <f>(VLOOKUP(main!AD73,main!$AO$4:$AR$55,4,FALSE))</f>
        <v>0</v>
      </c>
      <c r="W73" s="12">
        <f>(VLOOKUP(main!AE73,main!$AO$4:$AR$55,4,FALSE))</f>
        <v>0</v>
      </c>
      <c r="X73" s="12">
        <f>(VLOOKUP(main!AF73,main!$AO$4:$AR$55,4,FALSE))</f>
        <v>0</v>
      </c>
    </row>
    <row r="74" spans="1:24">
      <c r="A74" s="12">
        <f>(VLOOKUP(main!I74,main!$AO$4:$AR$55,4,FALSE))</f>
        <v>0</v>
      </c>
      <c r="B74" s="12">
        <f>(VLOOKUP(main!J74,main!$AO$4:$AR$55,4,FALSE))</f>
        <v>0</v>
      </c>
      <c r="C74" s="12">
        <f>(VLOOKUP(main!K74,main!$AO$4:$AR$55,4,FALSE))</f>
        <v>0</v>
      </c>
      <c r="D74" s="12">
        <f>(VLOOKUP(main!L74,main!$AO$4:$AR$55,4,FALSE))</f>
        <v>0</v>
      </c>
      <c r="E74" s="12">
        <f>(VLOOKUP(main!M74,main!$AO$4:$AR$55,4,FALSE))</f>
        <v>0</v>
      </c>
      <c r="F74" s="12">
        <f>(VLOOKUP(main!N74,main!$AO$4:$AR$55,4,FALSE))</f>
        <v>0</v>
      </c>
      <c r="G74" s="12">
        <f>(VLOOKUP(main!O74,main!$AO$4:$AR$55,4,FALSE))</f>
        <v>0</v>
      </c>
      <c r="H74" s="12">
        <f>(VLOOKUP(main!P74,main!$AO$4:$AR$55,4,FALSE))</f>
        <v>0</v>
      </c>
      <c r="I74" s="12">
        <f>(VLOOKUP(main!Q74,main!$AO$4:$AR$55,4,FALSE))</f>
        <v>0</v>
      </c>
      <c r="J74" s="12">
        <f>(VLOOKUP(main!R74,main!$AO$4:$AR$55,4,FALSE))</f>
        <v>0</v>
      </c>
      <c r="K74" s="12">
        <f>(VLOOKUP(main!S74,main!$AO$4:$AR$55,4,FALSE))</f>
        <v>0</v>
      </c>
      <c r="L74" s="12">
        <f>(VLOOKUP(main!T74,main!$AO$4:$AR$55,4,FALSE))</f>
        <v>0</v>
      </c>
      <c r="M74" s="12">
        <f>(VLOOKUP(main!U74,main!$AO$4:$AR$55,4,FALSE))</f>
        <v>0</v>
      </c>
      <c r="N74" s="12">
        <f>(VLOOKUP(main!V74,main!$AO$4:$AR$55,4,FALSE))</f>
        <v>0</v>
      </c>
      <c r="O74" s="12">
        <f>(VLOOKUP(main!W74,main!$AO$4:$AR$55,4,FALSE))</f>
        <v>0</v>
      </c>
      <c r="P74" s="12">
        <f>(VLOOKUP(main!X74,main!$AO$4:$AR$55,4,FALSE))</f>
        <v>0</v>
      </c>
      <c r="Q74" s="12">
        <f>(VLOOKUP(main!Y74,main!$AO$4:$AR$55,4,FALSE))</f>
        <v>0</v>
      </c>
      <c r="R74" s="12">
        <f>(VLOOKUP(main!Z74,main!$AO$4:$AR$55,4,FALSE))</f>
        <v>0</v>
      </c>
      <c r="S74" s="12">
        <f>(VLOOKUP(main!AA74,main!$AO$4:$AR$55,4,FALSE))</f>
        <v>0</v>
      </c>
      <c r="T74" s="12">
        <f>(VLOOKUP(main!AB74,main!$AO$4:$AR$55,4,FALSE))</f>
        <v>0</v>
      </c>
      <c r="U74" s="12">
        <f>(VLOOKUP(main!AC74,main!$AO$4:$AR$55,4,FALSE))</f>
        <v>0</v>
      </c>
      <c r="V74" s="12">
        <f>(VLOOKUP(main!AD74,main!$AO$4:$AR$55,4,FALSE))</f>
        <v>0</v>
      </c>
      <c r="W74" s="12">
        <f>(VLOOKUP(main!AE74,main!$AO$4:$AR$55,4,FALSE))</f>
        <v>0</v>
      </c>
      <c r="X74" s="12">
        <f>(VLOOKUP(main!AF74,main!$AO$4:$AR$55,4,FALSE))</f>
        <v>0</v>
      </c>
    </row>
    <row r="75" spans="1:24">
      <c r="A75" s="12">
        <f>(VLOOKUP(main!I75,main!$AO$4:$AR$55,4,FALSE))</f>
        <v>0</v>
      </c>
      <c r="B75" s="12">
        <f>(VLOOKUP(main!J75,main!$AO$4:$AR$55,4,FALSE))</f>
        <v>0</v>
      </c>
      <c r="C75" s="12">
        <f>(VLOOKUP(main!K75,main!$AO$4:$AR$55,4,FALSE))</f>
        <v>0</v>
      </c>
      <c r="D75" s="12">
        <f>(VLOOKUP(main!L75,main!$AO$4:$AR$55,4,FALSE))</f>
        <v>0</v>
      </c>
      <c r="E75" s="12">
        <f>(VLOOKUP(main!M75,main!$AO$4:$AR$55,4,FALSE))</f>
        <v>0</v>
      </c>
      <c r="F75" s="12">
        <f>(VLOOKUP(main!N75,main!$AO$4:$AR$55,4,FALSE))</f>
        <v>0</v>
      </c>
      <c r="G75" s="12">
        <f>(VLOOKUP(main!O75,main!$AO$4:$AR$55,4,FALSE))</f>
        <v>0</v>
      </c>
      <c r="H75" s="12">
        <f>(VLOOKUP(main!P75,main!$AO$4:$AR$55,4,FALSE))</f>
        <v>0</v>
      </c>
      <c r="I75" s="12">
        <f>(VLOOKUP(main!Q75,main!$AO$4:$AR$55,4,FALSE))</f>
        <v>0</v>
      </c>
      <c r="J75" s="12">
        <f>(VLOOKUP(main!R75,main!$AO$4:$AR$55,4,FALSE))</f>
        <v>0</v>
      </c>
      <c r="K75" s="12">
        <f>(VLOOKUP(main!S75,main!$AO$4:$AR$55,4,FALSE))</f>
        <v>0</v>
      </c>
      <c r="L75" s="12">
        <f>(VLOOKUP(main!T75,main!$AO$4:$AR$55,4,FALSE))</f>
        <v>0</v>
      </c>
      <c r="M75" s="12">
        <f>(VLOOKUP(main!U75,main!$AO$4:$AR$55,4,FALSE))</f>
        <v>0</v>
      </c>
      <c r="N75" s="12">
        <f>(VLOOKUP(main!V75,main!$AO$4:$AR$55,4,FALSE))</f>
        <v>0</v>
      </c>
      <c r="O75" s="12">
        <f>(VLOOKUP(main!W75,main!$AO$4:$AR$55,4,FALSE))</f>
        <v>0</v>
      </c>
      <c r="P75" s="12">
        <f>(VLOOKUP(main!X75,main!$AO$4:$AR$55,4,FALSE))</f>
        <v>0</v>
      </c>
      <c r="Q75" s="12">
        <f>(VLOOKUP(main!Y75,main!$AO$4:$AR$55,4,FALSE))</f>
        <v>0</v>
      </c>
      <c r="R75" s="12">
        <f>(VLOOKUP(main!Z75,main!$AO$4:$AR$55,4,FALSE))</f>
        <v>0</v>
      </c>
      <c r="S75" s="12">
        <f>(VLOOKUP(main!AA75,main!$AO$4:$AR$55,4,FALSE))</f>
        <v>0</v>
      </c>
      <c r="T75" s="12">
        <f>(VLOOKUP(main!AB75,main!$AO$4:$AR$55,4,FALSE))</f>
        <v>0</v>
      </c>
      <c r="U75" s="12">
        <f>(VLOOKUP(main!AC75,main!$AO$4:$AR$55,4,FALSE))</f>
        <v>0</v>
      </c>
      <c r="V75" s="12">
        <f>(VLOOKUP(main!AD75,main!$AO$4:$AR$55,4,FALSE))</f>
        <v>0</v>
      </c>
      <c r="W75" s="12">
        <f>(VLOOKUP(main!AE75,main!$AO$4:$AR$55,4,FALSE))</f>
        <v>0</v>
      </c>
      <c r="X75" s="12">
        <f>(VLOOKUP(main!AF75,main!$AO$4:$AR$55,4,FALSE))</f>
        <v>0</v>
      </c>
    </row>
    <row r="76" spans="1:24">
      <c r="A76" s="12">
        <f>(VLOOKUP(main!I76,main!$AO$4:$AR$55,4,FALSE))</f>
        <v>0</v>
      </c>
      <c r="B76" s="12">
        <f>(VLOOKUP(main!J76,main!$AO$4:$AR$55,4,FALSE))</f>
        <v>0</v>
      </c>
      <c r="C76" s="12">
        <f>(VLOOKUP(main!K76,main!$AO$4:$AR$55,4,FALSE))</f>
        <v>0</v>
      </c>
      <c r="D76" s="12">
        <f>(VLOOKUP(main!L76,main!$AO$4:$AR$55,4,FALSE))</f>
        <v>0</v>
      </c>
      <c r="E76" s="12">
        <f>(VLOOKUP(main!M76,main!$AO$4:$AR$55,4,FALSE))</f>
        <v>0</v>
      </c>
      <c r="F76" s="12">
        <f>(VLOOKUP(main!N76,main!$AO$4:$AR$55,4,FALSE))</f>
        <v>0</v>
      </c>
      <c r="G76" s="12">
        <f>(VLOOKUP(main!O76,main!$AO$4:$AR$55,4,FALSE))</f>
        <v>0</v>
      </c>
      <c r="H76" s="12">
        <f>(VLOOKUP(main!P76,main!$AO$4:$AR$55,4,FALSE))</f>
        <v>0</v>
      </c>
      <c r="I76" s="12">
        <f>(VLOOKUP(main!Q76,main!$AO$4:$AR$55,4,FALSE))</f>
        <v>0</v>
      </c>
      <c r="J76" s="12">
        <f>(VLOOKUP(main!R76,main!$AO$4:$AR$55,4,FALSE))</f>
        <v>0</v>
      </c>
      <c r="K76" s="12">
        <f>(VLOOKUP(main!S76,main!$AO$4:$AR$55,4,FALSE))</f>
        <v>0</v>
      </c>
      <c r="L76" s="12">
        <f>(VLOOKUP(main!T76,main!$AO$4:$AR$55,4,FALSE))</f>
        <v>0</v>
      </c>
      <c r="M76" s="12">
        <f>(VLOOKUP(main!U76,main!$AO$4:$AR$55,4,FALSE))</f>
        <v>0</v>
      </c>
      <c r="N76" s="12">
        <f>(VLOOKUP(main!V76,main!$AO$4:$AR$55,4,FALSE))</f>
        <v>0</v>
      </c>
      <c r="O76" s="12">
        <f>(VLOOKUP(main!W76,main!$AO$4:$AR$55,4,FALSE))</f>
        <v>0</v>
      </c>
      <c r="P76" s="12">
        <f>(VLOOKUP(main!X76,main!$AO$4:$AR$55,4,FALSE))</f>
        <v>0</v>
      </c>
      <c r="Q76" s="12">
        <f>(VLOOKUP(main!Y76,main!$AO$4:$AR$55,4,FALSE))</f>
        <v>0</v>
      </c>
      <c r="R76" s="12">
        <f>(VLOOKUP(main!Z76,main!$AO$4:$AR$55,4,FALSE))</f>
        <v>0</v>
      </c>
      <c r="S76" s="12">
        <f>(VLOOKUP(main!AA76,main!$AO$4:$AR$55,4,FALSE))</f>
        <v>0</v>
      </c>
      <c r="T76" s="12">
        <f>(VLOOKUP(main!AB76,main!$AO$4:$AR$55,4,FALSE))</f>
        <v>0</v>
      </c>
      <c r="U76" s="12">
        <f>(VLOOKUP(main!AC76,main!$AO$4:$AR$55,4,FALSE))</f>
        <v>0</v>
      </c>
      <c r="V76" s="12">
        <f>(VLOOKUP(main!AD76,main!$AO$4:$AR$55,4,FALSE))</f>
        <v>0</v>
      </c>
      <c r="W76" s="12">
        <f>(VLOOKUP(main!AE76,main!$AO$4:$AR$55,4,FALSE))</f>
        <v>0</v>
      </c>
      <c r="X76" s="12">
        <f>(VLOOKUP(main!AF76,main!$AO$4:$AR$55,4,FALSE))</f>
        <v>0</v>
      </c>
    </row>
    <row r="77" spans="1:24">
      <c r="A77" s="12">
        <f>(VLOOKUP(main!I77,main!$AO$4:$AR$55,4,FALSE))</f>
        <v>0</v>
      </c>
      <c r="B77" s="12">
        <f>(VLOOKUP(main!J77,main!$AO$4:$AR$55,4,FALSE))</f>
        <v>0</v>
      </c>
      <c r="C77" s="12">
        <f>(VLOOKUP(main!K77,main!$AO$4:$AR$55,4,FALSE))</f>
        <v>0</v>
      </c>
      <c r="D77" s="12">
        <f>(VLOOKUP(main!L77,main!$AO$4:$AR$55,4,FALSE))</f>
        <v>0</v>
      </c>
      <c r="E77" s="12">
        <f>(VLOOKUP(main!M77,main!$AO$4:$AR$55,4,FALSE))</f>
        <v>0</v>
      </c>
      <c r="F77" s="12">
        <f>(VLOOKUP(main!N77,main!$AO$4:$AR$55,4,FALSE))</f>
        <v>0</v>
      </c>
      <c r="G77" s="12">
        <f>(VLOOKUP(main!O77,main!$AO$4:$AR$55,4,FALSE))</f>
        <v>0</v>
      </c>
      <c r="H77" s="12">
        <f>(VLOOKUP(main!P77,main!$AO$4:$AR$55,4,FALSE))</f>
        <v>0</v>
      </c>
      <c r="I77" s="12">
        <f>(VLOOKUP(main!Q77,main!$AO$4:$AR$55,4,FALSE))</f>
        <v>0</v>
      </c>
      <c r="J77" s="12">
        <f>(VLOOKUP(main!R77,main!$AO$4:$AR$55,4,FALSE))</f>
        <v>0</v>
      </c>
      <c r="K77" s="12">
        <f>(VLOOKUP(main!S77,main!$AO$4:$AR$55,4,FALSE))</f>
        <v>0</v>
      </c>
      <c r="L77" s="12">
        <f>(VLOOKUP(main!T77,main!$AO$4:$AR$55,4,FALSE))</f>
        <v>0</v>
      </c>
      <c r="M77" s="12">
        <f>(VLOOKUP(main!U77,main!$AO$4:$AR$55,4,FALSE))</f>
        <v>0</v>
      </c>
      <c r="N77" s="12">
        <f>(VLOOKUP(main!V77,main!$AO$4:$AR$55,4,FALSE))</f>
        <v>0</v>
      </c>
      <c r="O77" s="12">
        <f>(VLOOKUP(main!W77,main!$AO$4:$AR$55,4,FALSE))</f>
        <v>0</v>
      </c>
      <c r="P77" s="12">
        <f>(VLOOKUP(main!X77,main!$AO$4:$AR$55,4,FALSE))</f>
        <v>0</v>
      </c>
      <c r="Q77" s="12">
        <f>(VLOOKUP(main!Y77,main!$AO$4:$AR$55,4,FALSE))</f>
        <v>0</v>
      </c>
      <c r="R77" s="12">
        <f>(VLOOKUP(main!Z77,main!$AO$4:$AR$55,4,FALSE))</f>
        <v>0</v>
      </c>
      <c r="S77" s="12">
        <f>(VLOOKUP(main!AA77,main!$AO$4:$AR$55,4,FALSE))</f>
        <v>0</v>
      </c>
      <c r="T77" s="12">
        <f>(VLOOKUP(main!AB77,main!$AO$4:$AR$55,4,FALSE))</f>
        <v>0</v>
      </c>
      <c r="U77" s="12">
        <f>(VLOOKUP(main!AC77,main!$AO$4:$AR$55,4,FALSE))</f>
        <v>0</v>
      </c>
      <c r="V77" s="12">
        <f>(VLOOKUP(main!AD77,main!$AO$4:$AR$55,4,FALSE))</f>
        <v>0</v>
      </c>
      <c r="W77" s="12">
        <f>(VLOOKUP(main!AE77,main!$AO$4:$AR$55,4,FALSE))</f>
        <v>0</v>
      </c>
      <c r="X77" s="12">
        <f>(VLOOKUP(main!AF77,main!$AO$4:$AR$55,4,FALSE))</f>
        <v>0</v>
      </c>
    </row>
    <row r="78" spans="1:24">
      <c r="A78" s="12">
        <f>(VLOOKUP(main!I78,main!$AO$4:$AR$55,4,FALSE))</f>
        <v>0</v>
      </c>
      <c r="B78" s="12">
        <f>(VLOOKUP(main!J78,main!$AO$4:$AR$55,4,FALSE))</f>
        <v>0</v>
      </c>
      <c r="C78" s="12">
        <f>(VLOOKUP(main!K78,main!$AO$4:$AR$55,4,FALSE))</f>
        <v>0</v>
      </c>
      <c r="D78" s="12">
        <f>(VLOOKUP(main!L78,main!$AO$4:$AR$55,4,FALSE))</f>
        <v>0</v>
      </c>
      <c r="E78" s="12">
        <f>(VLOOKUP(main!M78,main!$AO$4:$AR$55,4,FALSE))</f>
        <v>0</v>
      </c>
      <c r="F78" s="12">
        <f>(VLOOKUP(main!N78,main!$AO$4:$AR$55,4,FALSE))</f>
        <v>0</v>
      </c>
      <c r="G78" s="12">
        <f>(VLOOKUP(main!O78,main!$AO$4:$AR$55,4,FALSE))</f>
        <v>0</v>
      </c>
      <c r="H78" s="12">
        <f>(VLOOKUP(main!P78,main!$AO$4:$AR$55,4,FALSE))</f>
        <v>0</v>
      </c>
      <c r="I78" s="12">
        <f>(VLOOKUP(main!Q78,main!$AO$4:$AR$55,4,FALSE))</f>
        <v>0</v>
      </c>
      <c r="J78" s="12">
        <f>(VLOOKUP(main!R78,main!$AO$4:$AR$55,4,FALSE))</f>
        <v>0</v>
      </c>
      <c r="K78" s="12">
        <f>(VLOOKUP(main!S78,main!$AO$4:$AR$55,4,FALSE))</f>
        <v>0</v>
      </c>
      <c r="L78" s="12">
        <f>(VLOOKUP(main!T78,main!$AO$4:$AR$55,4,FALSE))</f>
        <v>0</v>
      </c>
      <c r="M78" s="12">
        <f>(VLOOKUP(main!U78,main!$AO$4:$AR$55,4,FALSE))</f>
        <v>0</v>
      </c>
      <c r="N78" s="12">
        <f>(VLOOKUP(main!V78,main!$AO$4:$AR$55,4,FALSE))</f>
        <v>0</v>
      </c>
      <c r="O78" s="12">
        <f>(VLOOKUP(main!W78,main!$AO$4:$AR$55,4,FALSE))</f>
        <v>0</v>
      </c>
      <c r="P78" s="12">
        <f>(VLOOKUP(main!X78,main!$AO$4:$AR$55,4,FALSE))</f>
        <v>0</v>
      </c>
      <c r="Q78" s="12">
        <f>(VLOOKUP(main!Y78,main!$AO$4:$AR$55,4,FALSE))</f>
        <v>0</v>
      </c>
      <c r="R78" s="12">
        <f>(VLOOKUP(main!Z78,main!$AO$4:$AR$55,4,FALSE))</f>
        <v>0</v>
      </c>
      <c r="S78" s="12">
        <f>(VLOOKUP(main!AA78,main!$AO$4:$AR$55,4,FALSE))</f>
        <v>0</v>
      </c>
      <c r="T78" s="12">
        <f>(VLOOKUP(main!AB78,main!$AO$4:$AR$55,4,FALSE))</f>
        <v>0</v>
      </c>
      <c r="U78" s="12">
        <f>(VLOOKUP(main!AC78,main!$AO$4:$AR$55,4,FALSE))</f>
        <v>0</v>
      </c>
      <c r="V78" s="12">
        <f>(VLOOKUP(main!AD78,main!$AO$4:$AR$55,4,FALSE))</f>
        <v>0</v>
      </c>
      <c r="W78" s="12">
        <f>(VLOOKUP(main!AE78,main!$AO$4:$AR$55,4,FALSE))</f>
        <v>0</v>
      </c>
      <c r="X78" s="12">
        <f>(VLOOKUP(main!AF78,main!$AO$4:$AR$55,4,FALSE))</f>
        <v>0</v>
      </c>
    </row>
    <row r="79" spans="1:24">
      <c r="A79" s="12">
        <f>(VLOOKUP(main!I79,main!$AO$4:$AR$55,4,FALSE))</f>
        <v>0</v>
      </c>
      <c r="B79" s="12">
        <f>(VLOOKUP(main!J79,main!$AO$4:$AR$55,4,FALSE))</f>
        <v>0</v>
      </c>
      <c r="C79" s="12">
        <f>(VLOOKUP(main!K79,main!$AO$4:$AR$55,4,FALSE))</f>
        <v>0</v>
      </c>
      <c r="D79" s="12">
        <f>(VLOOKUP(main!L79,main!$AO$4:$AR$55,4,FALSE))</f>
        <v>0</v>
      </c>
      <c r="E79" s="12">
        <f>(VLOOKUP(main!M79,main!$AO$4:$AR$55,4,FALSE))</f>
        <v>0</v>
      </c>
      <c r="F79" s="12">
        <f>(VLOOKUP(main!N79,main!$AO$4:$AR$55,4,FALSE))</f>
        <v>0</v>
      </c>
      <c r="G79" s="12">
        <f>(VLOOKUP(main!O79,main!$AO$4:$AR$55,4,FALSE))</f>
        <v>0</v>
      </c>
      <c r="H79" s="12">
        <f>(VLOOKUP(main!P79,main!$AO$4:$AR$55,4,FALSE))</f>
        <v>0</v>
      </c>
      <c r="I79" s="12">
        <f>(VLOOKUP(main!Q79,main!$AO$4:$AR$55,4,FALSE))</f>
        <v>0</v>
      </c>
      <c r="J79" s="12">
        <f>(VLOOKUP(main!R79,main!$AO$4:$AR$55,4,FALSE))</f>
        <v>0</v>
      </c>
      <c r="K79" s="12">
        <f>(VLOOKUP(main!S79,main!$AO$4:$AR$55,4,FALSE))</f>
        <v>0</v>
      </c>
      <c r="L79" s="12">
        <f>(VLOOKUP(main!T79,main!$AO$4:$AR$55,4,FALSE))</f>
        <v>0</v>
      </c>
      <c r="M79" s="12">
        <f>(VLOOKUP(main!U79,main!$AO$4:$AR$55,4,FALSE))</f>
        <v>0</v>
      </c>
      <c r="N79" s="12">
        <f>(VLOOKUP(main!V79,main!$AO$4:$AR$55,4,FALSE))</f>
        <v>0</v>
      </c>
      <c r="O79" s="12">
        <f>(VLOOKUP(main!W79,main!$AO$4:$AR$55,4,FALSE))</f>
        <v>0</v>
      </c>
      <c r="P79" s="12">
        <f>(VLOOKUP(main!X79,main!$AO$4:$AR$55,4,FALSE))</f>
        <v>0</v>
      </c>
      <c r="Q79" s="12">
        <f>(VLOOKUP(main!Y79,main!$AO$4:$AR$55,4,FALSE))</f>
        <v>0</v>
      </c>
      <c r="R79" s="12">
        <f>(VLOOKUP(main!Z79,main!$AO$4:$AR$55,4,FALSE))</f>
        <v>0</v>
      </c>
      <c r="S79" s="12">
        <f>(VLOOKUP(main!AA79,main!$AO$4:$AR$55,4,FALSE))</f>
        <v>0</v>
      </c>
      <c r="T79" s="12">
        <f>(VLOOKUP(main!AB79,main!$AO$4:$AR$55,4,FALSE))</f>
        <v>0</v>
      </c>
      <c r="U79" s="12">
        <f>(VLOOKUP(main!AC79,main!$AO$4:$AR$55,4,FALSE))</f>
        <v>0</v>
      </c>
      <c r="V79" s="12">
        <f>(VLOOKUP(main!AD79,main!$AO$4:$AR$55,4,FALSE))</f>
        <v>0</v>
      </c>
      <c r="W79" s="12">
        <f>(VLOOKUP(main!AE79,main!$AO$4:$AR$55,4,FALSE))</f>
        <v>0</v>
      </c>
      <c r="X79" s="12">
        <f>(VLOOKUP(main!AF79,main!$AO$4:$AR$55,4,FALSE))</f>
        <v>0</v>
      </c>
    </row>
    <row r="80" spans="1:24">
      <c r="A80" s="12">
        <f>(VLOOKUP(main!I80,main!$AO$4:$AR$55,4,FALSE))</f>
        <v>0</v>
      </c>
      <c r="B80" s="12">
        <f>(VLOOKUP(main!J80,main!$AO$4:$AR$55,4,FALSE))</f>
        <v>0</v>
      </c>
      <c r="C80" s="12">
        <f>(VLOOKUP(main!K80,main!$AO$4:$AR$55,4,FALSE))</f>
        <v>0</v>
      </c>
      <c r="D80" s="12">
        <f>(VLOOKUP(main!L80,main!$AO$4:$AR$55,4,FALSE))</f>
        <v>0</v>
      </c>
      <c r="E80" s="12">
        <f>(VLOOKUP(main!M80,main!$AO$4:$AR$55,4,FALSE))</f>
        <v>0</v>
      </c>
      <c r="F80" s="12">
        <f>(VLOOKUP(main!N80,main!$AO$4:$AR$55,4,FALSE))</f>
        <v>0</v>
      </c>
      <c r="G80" s="12">
        <f>(VLOOKUP(main!O80,main!$AO$4:$AR$55,4,FALSE))</f>
        <v>0</v>
      </c>
      <c r="H80" s="12">
        <f>(VLOOKUP(main!P80,main!$AO$4:$AR$55,4,FALSE))</f>
        <v>0</v>
      </c>
      <c r="I80" s="12">
        <f>(VLOOKUP(main!Q80,main!$AO$4:$AR$55,4,FALSE))</f>
        <v>0</v>
      </c>
      <c r="J80" s="12">
        <f>(VLOOKUP(main!R80,main!$AO$4:$AR$55,4,FALSE))</f>
        <v>0</v>
      </c>
      <c r="K80" s="12">
        <f>(VLOOKUP(main!S80,main!$AO$4:$AR$55,4,FALSE))</f>
        <v>0</v>
      </c>
      <c r="L80" s="12">
        <f>(VLOOKUP(main!T80,main!$AO$4:$AR$55,4,FALSE))</f>
        <v>0</v>
      </c>
      <c r="M80" s="12">
        <f>(VLOOKUP(main!U80,main!$AO$4:$AR$55,4,FALSE))</f>
        <v>0</v>
      </c>
      <c r="N80" s="12">
        <f>(VLOOKUP(main!V80,main!$AO$4:$AR$55,4,FALSE))</f>
        <v>0</v>
      </c>
      <c r="O80" s="12">
        <f>(VLOOKUP(main!W80,main!$AO$4:$AR$55,4,FALSE))</f>
        <v>0</v>
      </c>
      <c r="P80" s="12">
        <f>(VLOOKUP(main!X80,main!$AO$4:$AR$55,4,FALSE))</f>
        <v>0</v>
      </c>
      <c r="Q80" s="12">
        <f>(VLOOKUP(main!Y80,main!$AO$4:$AR$55,4,FALSE))</f>
        <v>0</v>
      </c>
      <c r="R80" s="12">
        <f>(VLOOKUP(main!Z80,main!$AO$4:$AR$55,4,FALSE))</f>
        <v>0</v>
      </c>
      <c r="S80" s="12">
        <f>(VLOOKUP(main!AA80,main!$AO$4:$AR$55,4,FALSE))</f>
        <v>0</v>
      </c>
      <c r="T80" s="12">
        <f>(VLOOKUP(main!AB80,main!$AO$4:$AR$55,4,FALSE))</f>
        <v>0</v>
      </c>
      <c r="U80" s="12">
        <f>(VLOOKUP(main!AC80,main!$AO$4:$AR$55,4,FALSE))</f>
        <v>0</v>
      </c>
      <c r="V80" s="12">
        <f>(VLOOKUP(main!AD80,main!$AO$4:$AR$55,4,FALSE))</f>
        <v>0</v>
      </c>
      <c r="W80" s="12">
        <f>(VLOOKUP(main!AE80,main!$AO$4:$AR$55,4,FALSE))</f>
        <v>0</v>
      </c>
      <c r="X80" s="12">
        <f>(VLOOKUP(main!AF80,main!$AO$4:$AR$55,4,FALSE))</f>
        <v>0</v>
      </c>
    </row>
    <row r="81" spans="1:24">
      <c r="A81" s="12">
        <f>(VLOOKUP(main!I81,main!$AO$4:$AR$55,4,FALSE))</f>
        <v>0</v>
      </c>
      <c r="B81" s="12">
        <f>(VLOOKUP(main!J81,main!$AO$4:$AR$55,4,FALSE))</f>
        <v>0</v>
      </c>
      <c r="C81" s="12">
        <f>(VLOOKUP(main!K81,main!$AO$4:$AR$55,4,FALSE))</f>
        <v>0</v>
      </c>
      <c r="D81" s="12">
        <f>(VLOOKUP(main!L81,main!$AO$4:$AR$55,4,FALSE))</f>
        <v>0</v>
      </c>
      <c r="E81" s="12">
        <f>(VLOOKUP(main!M81,main!$AO$4:$AR$55,4,FALSE))</f>
        <v>0</v>
      </c>
      <c r="F81" s="12">
        <f>(VLOOKUP(main!N81,main!$AO$4:$AR$55,4,FALSE))</f>
        <v>0</v>
      </c>
      <c r="G81" s="12">
        <f>(VLOOKUP(main!O81,main!$AO$4:$AR$55,4,FALSE))</f>
        <v>0</v>
      </c>
      <c r="H81" s="12">
        <f>(VLOOKUP(main!P81,main!$AO$4:$AR$55,4,FALSE))</f>
        <v>0</v>
      </c>
      <c r="I81" s="12">
        <f>(VLOOKUP(main!Q81,main!$AO$4:$AR$55,4,FALSE))</f>
        <v>0</v>
      </c>
      <c r="J81" s="12">
        <f>(VLOOKUP(main!R81,main!$AO$4:$AR$55,4,FALSE))</f>
        <v>0</v>
      </c>
      <c r="K81" s="12">
        <f>(VLOOKUP(main!S81,main!$AO$4:$AR$55,4,FALSE))</f>
        <v>0</v>
      </c>
      <c r="L81" s="12">
        <f>(VLOOKUP(main!T81,main!$AO$4:$AR$55,4,FALSE))</f>
        <v>0</v>
      </c>
      <c r="M81" s="12">
        <f>(VLOOKUP(main!U81,main!$AO$4:$AR$55,4,FALSE))</f>
        <v>0</v>
      </c>
      <c r="N81" s="12">
        <f>(VLOOKUP(main!V81,main!$AO$4:$AR$55,4,FALSE))</f>
        <v>0</v>
      </c>
      <c r="O81" s="12">
        <f>(VLOOKUP(main!W81,main!$AO$4:$AR$55,4,FALSE))</f>
        <v>0</v>
      </c>
      <c r="P81" s="12">
        <f>(VLOOKUP(main!X81,main!$AO$4:$AR$55,4,FALSE))</f>
        <v>0</v>
      </c>
      <c r="Q81" s="12">
        <f>(VLOOKUP(main!Y81,main!$AO$4:$AR$55,4,FALSE))</f>
        <v>0</v>
      </c>
      <c r="R81" s="12">
        <f>(VLOOKUP(main!Z81,main!$AO$4:$AR$55,4,FALSE))</f>
        <v>0</v>
      </c>
      <c r="S81" s="12">
        <f>(VLOOKUP(main!AA81,main!$AO$4:$AR$55,4,FALSE))</f>
        <v>0</v>
      </c>
      <c r="T81" s="12">
        <f>(VLOOKUP(main!AB81,main!$AO$4:$AR$55,4,FALSE))</f>
        <v>0</v>
      </c>
      <c r="U81" s="12">
        <f>(VLOOKUP(main!AC81,main!$AO$4:$AR$55,4,FALSE))</f>
        <v>0</v>
      </c>
      <c r="V81" s="12">
        <f>(VLOOKUP(main!AD81,main!$AO$4:$AR$55,4,FALSE))</f>
        <v>0</v>
      </c>
      <c r="W81" s="12">
        <f>(VLOOKUP(main!AE81,main!$AO$4:$AR$55,4,FALSE))</f>
        <v>0</v>
      </c>
      <c r="X81" s="12">
        <f>(VLOOKUP(main!AF81,main!$AO$4:$AR$55,4,FALSE))</f>
        <v>0</v>
      </c>
    </row>
    <row r="82" spans="1:24">
      <c r="A82" s="12">
        <f>(VLOOKUP(main!I82,main!$AO$4:$AR$55,4,FALSE))</f>
        <v>0</v>
      </c>
      <c r="B82" s="12">
        <f>(VLOOKUP(main!J82,main!$AO$4:$AR$55,4,FALSE))</f>
        <v>0</v>
      </c>
      <c r="C82" s="12">
        <f>(VLOOKUP(main!K82,main!$AO$4:$AR$55,4,FALSE))</f>
        <v>0</v>
      </c>
      <c r="D82" s="12">
        <f>(VLOOKUP(main!L82,main!$AO$4:$AR$55,4,FALSE))</f>
        <v>0</v>
      </c>
      <c r="E82" s="12">
        <f>(VLOOKUP(main!M82,main!$AO$4:$AR$55,4,FALSE))</f>
        <v>0</v>
      </c>
      <c r="F82" s="12">
        <f>(VLOOKUP(main!N82,main!$AO$4:$AR$55,4,FALSE))</f>
        <v>0</v>
      </c>
      <c r="G82" s="12">
        <f>(VLOOKUP(main!O82,main!$AO$4:$AR$55,4,FALSE))</f>
        <v>0</v>
      </c>
      <c r="H82" s="12">
        <f>(VLOOKUP(main!P82,main!$AO$4:$AR$55,4,FALSE))</f>
        <v>0</v>
      </c>
      <c r="I82" s="12">
        <f>(VLOOKUP(main!Q82,main!$AO$4:$AR$55,4,FALSE))</f>
        <v>0</v>
      </c>
      <c r="J82" s="12">
        <f>(VLOOKUP(main!R82,main!$AO$4:$AR$55,4,FALSE))</f>
        <v>0</v>
      </c>
      <c r="K82" s="12">
        <f>(VLOOKUP(main!S82,main!$AO$4:$AR$55,4,FALSE))</f>
        <v>0</v>
      </c>
      <c r="L82" s="12">
        <f>(VLOOKUP(main!T82,main!$AO$4:$AR$55,4,FALSE))</f>
        <v>0</v>
      </c>
      <c r="M82" s="12">
        <f>(VLOOKUP(main!U82,main!$AO$4:$AR$55,4,FALSE))</f>
        <v>0</v>
      </c>
      <c r="N82" s="12">
        <f>(VLOOKUP(main!V82,main!$AO$4:$AR$55,4,FALSE))</f>
        <v>0</v>
      </c>
      <c r="O82" s="12">
        <f>(VLOOKUP(main!W82,main!$AO$4:$AR$55,4,FALSE))</f>
        <v>0</v>
      </c>
      <c r="P82" s="12">
        <f>(VLOOKUP(main!X82,main!$AO$4:$AR$55,4,FALSE))</f>
        <v>0</v>
      </c>
      <c r="Q82" s="12">
        <f>(VLOOKUP(main!Y82,main!$AO$4:$AR$55,4,FALSE))</f>
        <v>0</v>
      </c>
      <c r="R82" s="12">
        <f>(VLOOKUP(main!Z82,main!$AO$4:$AR$55,4,FALSE))</f>
        <v>0</v>
      </c>
      <c r="S82" s="12">
        <f>(VLOOKUP(main!AA82,main!$AO$4:$AR$55,4,FALSE))</f>
        <v>0</v>
      </c>
      <c r="T82" s="12">
        <f>(VLOOKUP(main!AB82,main!$AO$4:$AR$55,4,FALSE))</f>
        <v>0</v>
      </c>
      <c r="U82" s="12">
        <f>(VLOOKUP(main!AC82,main!$AO$4:$AR$55,4,FALSE))</f>
        <v>0</v>
      </c>
      <c r="V82" s="12">
        <f>(VLOOKUP(main!AD82,main!$AO$4:$AR$55,4,FALSE))</f>
        <v>0</v>
      </c>
      <c r="W82" s="12">
        <f>(VLOOKUP(main!AE82,main!$AO$4:$AR$55,4,FALSE))</f>
        <v>0</v>
      </c>
      <c r="X82" s="12">
        <f>(VLOOKUP(main!AF82,main!$AO$4:$AR$55,4,FALSE))</f>
        <v>0</v>
      </c>
    </row>
    <row r="83" spans="1:24">
      <c r="A83" s="12">
        <f>(VLOOKUP(main!I83,main!$AO$4:$AR$55,4,FALSE))</f>
        <v>0</v>
      </c>
      <c r="B83" s="12">
        <f>(VLOOKUP(main!J83,main!$AO$4:$AR$55,4,FALSE))</f>
        <v>0</v>
      </c>
      <c r="C83" s="12">
        <f>(VLOOKUP(main!K83,main!$AO$4:$AR$55,4,FALSE))</f>
        <v>0</v>
      </c>
      <c r="D83" s="12">
        <f>(VLOOKUP(main!L83,main!$AO$4:$AR$55,4,FALSE))</f>
        <v>0</v>
      </c>
      <c r="E83" s="12">
        <f>(VLOOKUP(main!M83,main!$AO$4:$AR$55,4,FALSE))</f>
        <v>0</v>
      </c>
      <c r="F83" s="12">
        <f>(VLOOKUP(main!N83,main!$AO$4:$AR$55,4,FALSE))</f>
        <v>0</v>
      </c>
      <c r="G83" s="12">
        <f>(VLOOKUP(main!O83,main!$AO$4:$AR$55,4,FALSE))</f>
        <v>0</v>
      </c>
      <c r="H83" s="12">
        <f>(VLOOKUP(main!P83,main!$AO$4:$AR$55,4,FALSE))</f>
        <v>0</v>
      </c>
      <c r="I83" s="12">
        <f>(VLOOKUP(main!Q83,main!$AO$4:$AR$55,4,FALSE))</f>
        <v>0</v>
      </c>
      <c r="J83" s="12">
        <f>(VLOOKUP(main!R83,main!$AO$4:$AR$55,4,FALSE))</f>
        <v>0</v>
      </c>
      <c r="K83" s="12">
        <f>(VLOOKUP(main!S83,main!$AO$4:$AR$55,4,FALSE))</f>
        <v>0</v>
      </c>
      <c r="L83" s="12">
        <f>(VLOOKUP(main!T83,main!$AO$4:$AR$55,4,FALSE))</f>
        <v>0</v>
      </c>
      <c r="M83" s="12">
        <f>(VLOOKUP(main!U83,main!$AO$4:$AR$55,4,FALSE))</f>
        <v>0</v>
      </c>
      <c r="N83" s="12">
        <f>(VLOOKUP(main!V83,main!$AO$4:$AR$55,4,FALSE))</f>
        <v>0</v>
      </c>
      <c r="O83" s="12">
        <f>(VLOOKUP(main!W83,main!$AO$4:$AR$55,4,FALSE))</f>
        <v>0</v>
      </c>
      <c r="P83" s="12">
        <f>(VLOOKUP(main!X83,main!$AO$4:$AR$55,4,FALSE))</f>
        <v>0</v>
      </c>
      <c r="Q83" s="12">
        <f>(VLOOKUP(main!Y83,main!$AO$4:$AR$55,4,FALSE))</f>
        <v>0</v>
      </c>
      <c r="R83" s="12">
        <f>(VLOOKUP(main!Z83,main!$AO$4:$AR$55,4,FALSE))</f>
        <v>0</v>
      </c>
      <c r="S83" s="12">
        <f>(VLOOKUP(main!AA83,main!$AO$4:$AR$55,4,FALSE))</f>
        <v>0</v>
      </c>
      <c r="T83" s="12">
        <f>(VLOOKUP(main!AB83,main!$AO$4:$AR$55,4,FALSE))</f>
        <v>0</v>
      </c>
      <c r="U83" s="12">
        <f>(VLOOKUP(main!AC83,main!$AO$4:$AR$55,4,FALSE))</f>
        <v>0</v>
      </c>
      <c r="V83" s="12">
        <f>(VLOOKUP(main!AD83,main!$AO$4:$AR$55,4,FALSE))</f>
        <v>0</v>
      </c>
      <c r="W83" s="12">
        <f>(VLOOKUP(main!AE83,main!$AO$4:$AR$55,4,FALSE))</f>
        <v>0</v>
      </c>
      <c r="X83" s="12">
        <f>(VLOOKUP(main!AF83,main!$AO$4:$AR$55,4,FALSE))</f>
        <v>0</v>
      </c>
    </row>
    <row r="84" spans="1:24">
      <c r="A84" s="12">
        <f>(VLOOKUP(main!I84,main!$AO$4:$AR$55,4,FALSE))</f>
        <v>0</v>
      </c>
      <c r="B84" s="12">
        <f>(VLOOKUP(main!J84,main!$AO$4:$AR$55,4,FALSE))</f>
        <v>0</v>
      </c>
      <c r="C84" s="12">
        <f>(VLOOKUP(main!K84,main!$AO$4:$AR$55,4,FALSE))</f>
        <v>0</v>
      </c>
      <c r="D84" s="12">
        <f>(VLOOKUP(main!L84,main!$AO$4:$AR$55,4,FALSE))</f>
        <v>0</v>
      </c>
      <c r="E84" s="12">
        <f>(VLOOKUP(main!M84,main!$AO$4:$AR$55,4,FALSE))</f>
        <v>0</v>
      </c>
      <c r="F84" s="12">
        <f>(VLOOKUP(main!N84,main!$AO$4:$AR$55,4,FALSE))</f>
        <v>0</v>
      </c>
      <c r="G84" s="12">
        <f>(VLOOKUP(main!O84,main!$AO$4:$AR$55,4,FALSE))</f>
        <v>0</v>
      </c>
      <c r="H84" s="12">
        <f>(VLOOKUP(main!P84,main!$AO$4:$AR$55,4,FALSE))</f>
        <v>0</v>
      </c>
      <c r="I84" s="12">
        <f>(VLOOKUP(main!Q84,main!$AO$4:$AR$55,4,FALSE))</f>
        <v>0</v>
      </c>
      <c r="J84" s="12">
        <f>(VLOOKUP(main!R84,main!$AO$4:$AR$55,4,FALSE))</f>
        <v>0</v>
      </c>
      <c r="K84" s="12">
        <f>(VLOOKUP(main!S84,main!$AO$4:$AR$55,4,FALSE))</f>
        <v>0</v>
      </c>
      <c r="L84" s="12">
        <f>(VLOOKUP(main!T84,main!$AO$4:$AR$55,4,FALSE))</f>
        <v>0</v>
      </c>
      <c r="M84" s="12">
        <f>(VLOOKUP(main!U84,main!$AO$4:$AR$55,4,FALSE))</f>
        <v>0</v>
      </c>
      <c r="N84" s="12">
        <f>(VLOOKUP(main!V84,main!$AO$4:$AR$55,4,FALSE))</f>
        <v>0</v>
      </c>
      <c r="O84" s="12">
        <f>(VLOOKUP(main!W84,main!$AO$4:$AR$55,4,FALSE))</f>
        <v>0</v>
      </c>
      <c r="P84" s="12">
        <f>(VLOOKUP(main!X84,main!$AO$4:$AR$55,4,FALSE))</f>
        <v>0</v>
      </c>
      <c r="Q84" s="12">
        <f>(VLOOKUP(main!Y84,main!$AO$4:$AR$55,4,FALSE))</f>
        <v>0</v>
      </c>
      <c r="R84" s="12">
        <f>(VLOOKUP(main!Z84,main!$AO$4:$AR$55,4,FALSE))</f>
        <v>0</v>
      </c>
      <c r="S84" s="12">
        <f>(VLOOKUP(main!AA84,main!$AO$4:$AR$55,4,FALSE))</f>
        <v>0</v>
      </c>
      <c r="T84" s="12">
        <f>(VLOOKUP(main!AB84,main!$AO$4:$AR$55,4,FALSE))</f>
        <v>0</v>
      </c>
      <c r="U84" s="12">
        <f>(VLOOKUP(main!AC84,main!$AO$4:$AR$55,4,FALSE))</f>
        <v>0</v>
      </c>
      <c r="V84" s="12">
        <f>(VLOOKUP(main!AD84,main!$AO$4:$AR$55,4,FALSE))</f>
        <v>0</v>
      </c>
      <c r="W84" s="12">
        <f>(VLOOKUP(main!AE84,main!$AO$4:$AR$55,4,FALSE))</f>
        <v>0</v>
      </c>
      <c r="X84" s="12">
        <f>(VLOOKUP(main!AF84,main!$AO$4:$AR$55,4,FALSE))</f>
        <v>0</v>
      </c>
    </row>
    <row r="85" spans="1:24">
      <c r="A85" s="12">
        <f>(VLOOKUP(main!I85,main!$AO$4:$AR$55,4,FALSE))</f>
        <v>0</v>
      </c>
      <c r="B85" s="12">
        <f>(VLOOKUP(main!J85,main!$AO$4:$AR$55,4,FALSE))</f>
        <v>0</v>
      </c>
      <c r="C85" s="12">
        <f>(VLOOKUP(main!K85,main!$AO$4:$AR$55,4,FALSE))</f>
        <v>0</v>
      </c>
      <c r="D85" s="12">
        <f>(VLOOKUP(main!L85,main!$AO$4:$AR$55,4,FALSE))</f>
        <v>0</v>
      </c>
      <c r="E85" s="12">
        <f>(VLOOKUP(main!M85,main!$AO$4:$AR$55,4,FALSE))</f>
        <v>0</v>
      </c>
      <c r="F85" s="12">
        <f>(VLOOKUP(main!N85,main!$AO$4:$AR$55,4,FALSE))</f>
        <v>0</v>
      </c>
      <c r="G85" s="12">
        <f>(VLOOKUP(main!O85,main!$AO$4:$AR$55,4,FALSE))</f>
        <v>0</v>
      </c>
      <c r="H85" s="12">
        <f>(VLOOKUP(main!P85,main!$AO$4:$AR$55,4,FALSE))</f>
        <v>0</v>
      </c>
      <c r="I85" s="12">
        <f>(VLOOKUP(main!Q85,main!$AO$4:$AR$55,4,FALSE))</f>
        <v>0</v>
      </c>
      <c r="J85" s="12">
        <f>(VLOOKUP(main!R85,main!$AO$4:$AR$55,4,FALSE))</f>
        <v>0</v>
      </c>
      <c r="K85" s="12">
        <f>(VLOOKUP(main!S85,main!$AO$4:$AR$55,4,FALSE))</f>
        <v>0</v>
      </c>
      <c r="L85" s="12">
        <f>(VLOOKUP(main!T85,main!$AO$4:$AR$55,4,FALSE))</f>
        <v>0</v>
      </c>
      <c r="M85" s="12">
        <f>(VLOOKUP(main!U85,main!$AO$4:$AR$55,4,FALSE))</f>
        <v>0</v>
      </c>
      <c r="N85" s="12">
        <f>(VLOOKUP(main!V85,main!$AO$4:$AR$55,4,FALSE))</f>
        <v>0</v>
      </c>
      <c r="O85" s="12">
        <f>(VLOOKUP(main!W85,main!$AO$4:$AR$55,4,FALSE))</f>
        <v>0</v>
      </c>
      <c r="P85" s="12">
        <f>(VLOOKUP(main!X85,main!$AO$4:$AR$55,4,FALSE))</f>
        <v>0</v>
      </c>
      <c r="Q85" s="12">
        <f>(VLOOKUP(main!Y85,main!$AO$4:$AR$55,4,FALSE))</f>
        <v>0</v>
      </c>
      <c r="R85" s="12">
        <f>(VLOOKUP(main!Z85,main!$AO$4:$AR$55,4,FALSE))</f>
        <v>0</v>
      </c>
      <c r="S85" s="12">
        <f>(VLOOKUP(main!AA85,main!$AO$4:$AR$55,4,FALSE))</f>
        <v>0</v>
      </c>
      <c r="T85" s="12">
        <f>(VLOOKUP(main!AB85,main!$AO$4:$AR$55,4,FALSE))</f>
        <v>0</v>
      </c>
      <c r="U85" s="12">
        <f>(VLOOKUP(main!AC85,main!$AO$4:$AR$55,4,FALSE))</f>
        <v>0</v>
      </c>
      <c r="V85" s="12">
        <f>(VLOOKUP(main!AD85,main!$AO$4:$AR$55,4,FALSE))</f>
        <v>0</v>
      </c>
      <c r="W85" s="12">
        <f>(VLOOKUP(main!AE85,main!$AO$4:$AR$55,4,FALSE))</f>
        <v>0</v>
      </c>
      <c r="X85" s="12">
        <f>(VLOOKUP(main!AF85,main!$AO$4:$AR$55,4,FALSE))</f>
        <v>0</v>
      </c>
    </row>
    <row r="86" spans="1:24">
      <c r="A86" s="12">
        <f>(VLOOKUP(main!I86,main!$AO$4:$AR$55,4,FALSE))</f>
        <v>0</v>
      </c>
      <c r="B86" s="12">
        <f>(VLOOKUP(main!J86,main!$AO$4:$AR$55,4,FALSE))</f>
        <v>0</v>
      </c>
      <c r="C86" s="12">
        <f>(VLOOKUP(main!K86,main!$AO$4:$AR$55,4,FALSE))</f>
        <v>0</v>
      </c>
      <c r="D86" s="12">
        <f>(VLOOKUP(main!L86,main!$AO$4:$AR$55,4,FALSE))</f>
        <v>0</v>
      </c>
      <c r="E86" s="12">
        <f>(VLOOKUP(main!M86,main!$AO$4:$AR$55,4,FALSE))</f>
        <v>0</v>
      </c>
      <c r="F86" s="12">
        <f>(VLOOKUP(main!N86,main!$AO$4:$AR$55,4,FALSE))</f>
        <v>0</v>
      </c>
      <c r="G86" s="12">
        <f>(VLOOKUP(main!O86,main!$AO$4:$AR$55,4,FALSE))</f>
        <v>0</v>
      </c>
      <c r="H86" s="12">
        <f>(VLOOKUP(main!P86,main!$AO$4:$AR$55,4,FALSE))</f>
        <v>0</v>
      </c>
      <c r="I86" s="12">
        <f>(VLOOKUP(main!Q86,main!$AO$4:$AR$55,4,FALSE))</f>
        <v>0</v>
      </c>
      <c r="J86" s="12">
        <f>(VLOOKUP(main!R86,main!$AO$4:$AR$55,4,FALSE))</f>
        <v>0</v>
      </c>
      <c r="K86" s="12">
        <f>(VLOOKUP(main!S86,main!$AO$4:$AR$55,4,FALSE))</f>
        <v>0</v>
      </c>
      <c r="L86" s="12">
        <f>(VLOOKUP(main!T86,main!$AO$4:$AR$55,4,FALSE))</f>
        <v>0</v>
      </c>
      <c r="M86" s="12">
        <f>(VLOOKUP(main!U86,main!$AO$4:$AR$55,4,FALSE))</f>
        <v>0</v>
      </c>
      <c r="N86" s="12">
        <f>(VLOOKUP(main!V86,main!$AO$4:$AR$55,4,FALSE))</f>
        <v>0</v>
      </c>
      <c r="O86" s="12">
        <f>(VLOOKUP(main!W86,main!$AO$4:$AR$55,4,FALSE))</f>
        <v>0</v>
      </c>
      <c r="P86" s="12">
        <f>(VLOOKUP(main!X86,main!$AO$4:$AR$55,4,FALSE))</f>
        <v>0</v>
      </c>
      <c r="Q86" s="12">
        <f>(VLOOKUP(main!Y86,main!$AO$4:$AR$55,4,FALSE))</f>
        <v>0</v>
      </c>
      <c r="R86" s="12">
        <f>(VLOOKUP(main!Z86,main!$AO$4:$AR$55,4,FALSE))</f>
        <v>0</v>
      </c>
      <c r="S86" s="12">
        <f>(VLOOKUP(main!AA86,main!$AO$4:$AR$55,4,FALSE))</f>
        <v>0</v>
      </c>
      <c r="T86" s="12">
        <f>(VLOOKUP(main!AB86,main!$AO$4:$AR$55,4,FALSE))</f>
        <v>0</v>
      </c>
      <c r="U86" s="12">
        <f>(VLOOKUP(main!AC86,main!$AO$4:$AR$55,4,FALSE))</f>
        <v>0</v>
      </c>
      <c r="V86" s="12">
        <f>(VLOOKUP(main!AD86,main!$AO$4:$AR$55,4,FALSE))</f>
        <v>0</v>
      </c>
      <c r="W86" s="12">
        <f>(VLOOKUP(main!AE86,main!$AO$4:$AR$55,4,FALSE))</f>
        <v>0</v>
      </c>
      <c r="X86" s="12">
        <f>(VLOOKUP(main!AF86,main!$AO$4:$AR$55,4,FALSE))</f>
        <v>0</v>
      </c>
    </row>
    <row r="87" spans="1:24">
      <c r="A87" s="12">
        <f>(VLOOKUP(main!I87,main!$AO$4:$AR$55,4,FALSE))</f>
        <v>0</v>
      </c>
      <c r="B87" s="12">
        <f>(VLOOKUP(main!J87,main!$AO$4:$AR$55,4,FALSE))</f>
        <v>0</v>
      </c>
      <c r="C87" s="12">
        <f>(VLOOKUP(main!K87,main!$AO$4:$AR$55,4,FALSE))</f>
        <v>0</v>
      </c>
      <c r="D87" s="12">
        <f>(VLOOKUP(main!L87,main!$AO$4:$AR$55,4,FALSE))</f>
        <v>0</v>
      </c>
      <c r="E87" s="12">
        <f>(VLOOKUP(main!M87,main!$AO$4:$AR$55,4,FALSE))</f>
        <v>0</v>
      </c>
      <c r="F87" s="12">
        <f>(VLOOKUP(main!N87,main!$AO$4:$AR$55,4,FALSE))</f>
        <v>0</v>
      </c>
      <c r="G87" s="12">
        <f>(VLOOKUP(main!O87,main!$AO$4:$AR$55,4,FALSE))</f>
        <v>0</v>
      </c>
      <c r="H87" s="12">
        <f>(VLOOKUP(main!P87,main!$AO$4:$AR$55,4,FALSE))</f>
        <v>0</v>
      </c>
      <c r="I87" s="12">
        <f>(VLOOKUP(main!Q87,main!$AO$4:$AR$55,4,FALSE))</f>
        <v>0</v>
      </c>
      <c r="J87" s="12">
        <f>(VLOOKUP(main!R87,main!$AO$4:$AR$55,4,FALSE))</f>
        <v>0</v>
      </c>
      <c r="K87" s="12">
        <f>(VLOOKUP(main!S87,main!$AO$4:$AR$55,4,FALSE))</f>
        <v>0</v>
      </c>
      <c r="L87" s="12">
        <f>(VLOOKUP(main!T87,main!$AO$4:$AR$55,4,FALSE))</f>
        <v>0</v>
      </c>
      <c r="M87" s="12">
        <f>(VLOOKUP(main!U87,main!$AO$4:$AR$55,4,FALSE))</f>
        <v>0</v>
      </c>
      <c r="N87" s="12">
        <f>(VLOOKUP(main!V87,main!$AO$4:$AR$55,4,FALSE))</f>
        <v>0</v>
      </c>
      <c r="O87" s="12">
        <f>(VLOOKUP(main!W87,main!$AO$4:$AR$55,4,FALSE))</f>
        <v>0</v>
      </c>
      <c r="P87" s="12">
        <f>(VLOOKUP(main!X87,main!$AO$4:$AR$55,4,FALSE))</f>
        <v>0</v>
      </c>
      <c r="Q87" s="12">
        <f>(VLOOKUP(main!Y87,main!$AO$4:$AR$55,4,FALSE))</f>
        <v>0</v>
      </c>
      <c r="R87" s="12">
        <f>(VLOOKUP(main!Z87,main!$AO$4:$AR$55,4,FALSE))</f>
        <v>0</v>
      </c>
      <c r="S87" s="12">
        <f>(VLOOKUP(main!AA87,main!$AO$4:$AR$55,4,FALSE))</f>
        <v>0</v>
      </c>
      <c r="T87" s="12">
        <f>(VLOOKUP(main!AB87,main!$AO$4:$AR$55,4,FALSE))</f>
        <v>0</v>
      </c>
      <c r="U87" s="12">
        <f>(VLOOKUP(main!AC87,main!$AO$4:$AR$55,4,FALSE))</f>
        <v>0</v>
      </c>
      <c r="V87" s="12">
        <f>(VLOOKUP(main!AD87,main!$AO$4:$AR$55,4,FALSE))</f>
        <v>0</v>
      </c>
      <c r="W87" s="12">
        <f>(VLOOKUP(main!AE87,main!$AO$4:$AR$55,4,FALSE))</f>
        <v>0</v>
      </c>
      <c r="X87" s="12">
        <f>(VLOOKUP(main!AF87,main!$AO$4:$AR$55,4,FALSE))</f>
        <v>0</v>
      </c>
    </row>
    <row r="88" spans="1:24">
      <c r="A88" s="12">
        <f>(VLOOKUP(main!I88,main!$AO$4:$AR$55,4,FALSE))</f>
        <v>0</v>
      </c>
      <c r="B88" s="12">
        <f>(VLOOKUP(main!J88,main!$AO$4:$AR$55,4,FALSE))</f>
        <v>0</v>
      </c>
      <c r="C88" s="12">
        <f>(VLOOKUP(main!K88,main!$AO$4:$AR$55,4,FALSE))</f>
        <v>0</v>
      </c>
      <c r="D88" s="12">
        <f>(VLOOKUP(main!L88,main!$AO$4:$AR$55,4,FALSE))</f>
        <v>0</v>
      </c>
      <c r="E88" s="12">
        <f>(VLOOKUP(main!M88,main!$AO$4:$AR$55,4,FALSE))</f>
        <v>0</v>
      </c>
      <c r="F88" s="12">
        <f>(VLOOKUP(main!N88,main!$AO$4:$AR$55,4,FALSE))</f>
        <v>0</v>
      </c>
      <c r="G88" s="12">
        <f>(VLOOKUP(main!O88,main!$AO$4:$AR$55,4,FALSE))</f>
        <v>0</v>
      </c>
      <c r="H88" s="12">
        <f>(VLOOKUP(main!P88,main!$AO$4:$AR$55,4,FALSE))</f>
        <v>0</v>
      </c>
      <c r="I88" s="12">
        <f>(VLOOKUP(main!Q88,main!$AO$4:$AR$55,4,FALSE))</f>
        <v>0</v>
      </c>
      <c r="J88" s="12">
        <f>(VLOOKUP(main!R88,main!$AO$4:$AR$55,4,FALSE))</f>
        <v>0</v>
      </c>
      <c r="K88" s="12">
        <f>(VLOOKUP(main!S88,main!$AO$4:$AR$55,4,FALSE))</f>
        <v>0</v>
      </c>
      <c r="L88" s="12">
        <f>(VLOOKUP(main!T88,main!$AO$4:$AR$55,4,FALSE))</f>
        <v>0</v>
      </c>
      <c r="M88" s="12">
        <f>(VLOOKUP(main!U88,main!$AO$4:$AR$55,4,FALSE))</f>
        <v>0</v>
      </c>
      <c r="N88" s="12">
        <f>(VLOOKUP(main!V88,main!$AO$4:$AR$55,4,FALSE))</f>
        <v>0</v>
      </c>
      <c r="O88" s="12">
        <f>(VLOOKUP(main!W88,main!$AO$4:$AR$55,4,FALSE))</f>
        <v>0</v>
      </c>
      <c r="P88" s="12">
        <f>(VLOOKUP(main!X88,main!$AO$4:$AR$55,4,FALSE))</f>
        <v>0</v>
      </c>
      <c r="Q88" s="12">
        <f>(VLOOKUP(main!Y88,main!$AO$4:$AR$55,4,FALSE))</f>
        <v>0</v>
      </c>
      <c r="R88" s="12">
        <f>(VLOOKUP(main!Z88,main!$AO$4:$AR$55,4,FALSE))</f>
        <v>0</v>
      </c>
      <c r="S88" s="12">
        <f>(VLOOKUP(main!AA88,main!$AO$4:$AR$55,4,FALSE))</f>
        <v>0</v>
      </c>
      <c r="T88" s="12">
        <f>(VLOOKUP(main!AB88,main!$AO$4:$AR$55,4,FALSE))</f>
        <v>0</v>
      </c>
      <c r="U88" s="12">
        <f>(VLOOKUP(main!AC88,main!$AO$4:$AR$55,4,FALSE))</f>
        <v>0</v>
      </c>
      <c r="V88" s="12">
        <f>(VLOOKUP(main!AD88,main!$AO$4:$AR$55,4,FALSE))</f>
        <v>0</v>
      </c>
      <c r="W88" s="12">
        <f>(VLOOKUP(main!AE88,main!$AO$4:$AR$55,4,FALSE))</f>
        <v>0</v>
      </c>
      <c r="X88" s="12">
        <f>(VLOOKUP(main!AF88,main!$AO$4:$AR$55,4,FALSE))</f>
        <v>0</v>
      </c>
    </row>
    <row r="89" spans="1:24">
      <c r="A89" s="12">
        <f>(VLOOKUP(main!I89,main!$AO$4:$AR$55,4,FALSE))</f>
        <v>0</v>
      </c>
      <c r="B89" s="12">
        <f>(VLOOKUP(main!J89,main!$AO$4:$AR$55,4,FALSE))</f>
        <v>0</v>
      </c>
      <c r="C89" s="12">
        <f>(VLOOKUP(main!K89,main!$AO$4:$AR$55,4,FALSE))</f>
        <v>0</v>
      </c>
      <c r="D89" s="12">
        <f>(VLOOKUP(main!L89,main!$AO$4:$AR$55,4,FALSE))</f>
        <v>0</v>
      </c>
      <c r="E89" s="12">
        <f>(VLOOKUP(main!M89,main!$AO$4:$AR$55,4,FALSE))</f>
        <v>0</v>
      </c>
      <c r="F89" s="12">
        <f>(VLOOKUP(main!N89,main!$AO$4:$AR$55,4,FALSE))</f>
        <v>0</v>
      </c>
      <c r="G89" s="12">
        <f>(VLOOKUP(main!O89,main!$AO$4:$AR$55,4,FALSE))</f>
        <v>0</v>
      </c>
      <c r="H89" s="12">
        <f>(VLOOKUP(main!P89,main!$AO$4:$AR$55,4,FALSE))</f>
        <v>0</v>
      </c>
      <c r="I89" s="12">
        <f>(VLOOKUP(main!Q89,main!$AO$4:$AR$55,4,FALSE))</f>
        <v>0</v>
      </c>
      <c r="J89" s="12">
        <f>(VLOOKUP(main!R89,main!$AO$4:$AR$55,4,FALSE))</f>
        <v>0</v>
      </c>
      <c r="K89" s="12">
        <f>(VLOOKUP(main!S89,main!$AO$4:$AR$55,4,FALSE))</f>
        <v>0</v>
      </c>
      <c r="L89" s="12">
        <f>(VLOOKUP(main!T89,main!$AO$4:$AR$55,4,FALSE))</f>
        <v>0</v>
      </c>
      <c r="M89" s="12">
        <f>(VLOOKUP(main!U89,main!$AO$4:$AR$55,4,FALSE))</f>
        <v>0</v>
      </c>
      <c r="N89" s="12">
        <f>(VLOOKUP(main!V89,main!$AO$4:$AR$55,4,FALSE))</f>
        <v>0</v>
      </c>
      <c r="O89" s="12">
        <f>(VLOOKUP(main!W89,main!$AO$4:$AR$55,4,FALSE))</f>
        <v>0</v>
      </c>
      <c r="P89" s="12">
        <f>(VLOOKUP(main!X89,main!$AO$4:$AR$55,4,FALSE))</f>
        <v>0</v>
      </c>
      <c r="Q89" s="12">
        <f>(VLOOKUP(main!Y89,main!$AO$4:$AR$55,4,FALSE))</f>
        <v>0</v>
      </c>
      <c r="R89" s="12">
        <f>(VLOOKUP(main!Z89,main!$AO$4:$AR$55,4,FALSE))</f>
        <v>0</v>
      </c>
      <c r="S89" s="12">
        <f>(VLOOKUP(main!AA89,main!$AO$4:$AR$55,4,FALSE))</f>
        <v>0</v>
      </c>
      <c r="T89" s="12">
        <f>(VLOOKUP(main!AB89,main!$AO$4:$AR$55,4,FALSE))</f>
        <v>0</v>
      </c>
      <c r="U89" s="12">
        <f>(VLOOKUP(main!AC89,main!$AO$4:$AR$55,4,FALSE))</f>
        <v>0</v>
      </c>
      <c r="V89" s="12">
        <f>(VLOOKUP(main!AD89,main!$AO$4:$AR$55,4,FALSE))</f>
        <v>0</v>
      </c>
      <c r="W89" s="12">
        <f>(VLOOKUP(main!AE89,main!$AO$4:$AR$55,4,FALSE))</f>
        <v>0</v>
      </c>
      <c r="X89" s="12">
        <f>(VLOOKUP(main!AF89,main!$AO$4:$AR$55,4,FALSE))</f>
        <v>0</v>
      </c>
    </row>
    <row r="90" spans="1:24">
      <c r="A90" s="12">
        <f>(VLOOKUP(main!I90,main!$AO$4:$AR$55,4,FALSE))</f>
        <v>0</v>
      </c>
      <c r="B90" s="12">
        <f>(VLOOKUP(main!J90,main!$AO$4:$AR$55,4,FALSE))</f>
        <v>0</v>
      </c>
      <c r="C90" s="12">
        <f>(VLOOKUP(main!K90,main!$AO$4:$AR$55,4,FALSE))</f>
        <v>0</v>
      </c>
      <c r="D90" s="12">
        <f>(VLOOKUP(main!L90,main!$AO$4:$AR$55,4,FALSE))</f>
        <v>0</v>
      </c>
      <c r="E90" s="12">
        <f>(VLOOKUP(main!M90,main!$AO$4:$AR$55,4,FALSE))</f>
        <v>0</v>
      </c>
      <c r="F90" s="12">
        <f>(VLOOKUP(main!N90,main!$AO$4:$AR$55,4,FALSE))</f>
        <v>0</v>
      </c>
      <c r="G90" s="12">
        <f>(VLOOKUP(main!O90,main!$AO$4:$AR$55,4,FALSE))</f>
        <v>0</v>
      </c>
      <c r="H90" s="12">
        <f>(VLOOKUP(main!P90,main!$AO$4:$AR$55,4,FALSE))</f>
        <v>0</v>
      </c>
      <c r="I90" s="12">
        <f>(VLOOKUP(main!Q90,main!$AO$4:$AR$55,4,FALSE))</f>
        <v>0</v>
      </c>
      <c r="J90" s="12">
        <f>(VLOOKUP(main!R90,main!$AO$4:$AR$55,4,FALSE))</f>
        <v>0</v>
      </c>
      <c r="K90" s="12">
        <f>(VLOOKUP(main!S90,main!$AO$4:$AR$55,4,FALSE))</f>
        <v>0</v>
      </c>
      <c r="L90" s="12">
        <f>(VLOOKUP(main!T90,main!$AO$4:$AR$55,4,FALSE))</f>
        <v>0</v>
      </c>
      <c r="M90" s="12">
        <f>(VLOOKUP(main!U90,main!$AO$4:$AR$55,4,FALSE))</f>
        <v>0</v>
      </c>
      <c r="N90" s="12">
        <f>(VLOOKUP(main!V90,main!$AO$4:$AR$55,4,FALSE))</f>
        <v>0</v>
      </c>
      <c r="O90" s="12">
        <f>(VLOOKUP(main!W90,main!$AO$4:$AR$55,4,FALSE))</f>
        <v>0</v>
      </c>
      <c r="P90" s="12">
        <f>(VLOOKUP(main!X90,main!$AO$4:$AR$55,4,FALSE))</f>
        <v>0</v>
      </c>
      <c r="Q90" s="12">
        <f>(VLOOKUP(main!Y90,main!$AO$4:$AR$55,4,FALSE))</f>
        <v>0</v>
      </c>
      <c r="R90" s="12">
        <f>(VLOOKUP(main!Z90,main!$AO$4:$AR$55,4,FALSE))</f>
        <v>0</v>
      </c>
      <c r="S90" s="12">
        <f>(VLOOKUP(main!AA90,main!$AO$4:$AR$55,4,FALSE))</f>
        <v>0</v>
      </c>
      <c r="T90" s="12">
        <f>(VLOOKUP(main!AB90,main!$AO$4:$AR$55,4,FALSE))</f>
        <v>0</v>
      </c>
      <c r="U90" s="12">
        <f>(VLOOKUP(main!AC90,main!$AO$4:$AR$55,4,FALSE))</f>
        <v>0</v>
      </c>
      <c r="V90" s="12">
        <f>(VLOOKUP(main!AD90,main!$AO$4:$AR$55,4,FALSE))</f>
        <v>0</v>
      </c>
      <c r="W90" s="12">
        <f>(VLOOKUP(main!AE90,main!$AO$4:$AR$55,4,FALSE))</f>
        <v>0</v>
      </c>
      <c r="X90" s="12">
        <f>(VLOOKUP(main!AF90,main!$AO$4:$AR$55,4,FALSE))</f>
        <v>0</v>
      </c>
    </row>
    <row r="91" spans="1:24">
      <c r="A91" s="12">
        <f>(VLOOKUP(main!I91,main!$AO$4:$AR$55,4,FALSE))</f>
        <v>0</v>
      </c>
      <c r="B91" s="12">
        <f>(VLOOKUP(main!J91,main!$AO$4:$AR$55,4,FALSE))</f>
        <v>0</v>
      </c>
      <c r="C91" s="12">
        <f>(VLOOKUP(main!K91,main!$AO$4:$AR$55,4,FALSE))</f>
        <v>0</v>
      </c>
      <c r="D91" s="12">
        <f>(VLOOKUP(main!L91,main!$AO$4:$AR$55,4,FALSE))</f>
        <v>0</v>
      </c>
      <c r="E91" s="12">
        <f>(VLOOKUP(main!M91,main!$AO$4:$AR$55,4,FALSE))</f>
        <v>0</v>
      </c>
      <c r="F91" s="12">
        <f>(VLOOKUP(main!N91,main!$AO$4:$AR$55,4,FALSE))</f>
        <v>0</v>
      </c>
      <c r="G91" s="12">
        <f>(VLOOKUP(main!O91,main!$AO$4:$AR$55,4,FALSE))</f>
        <v>0</v>
      </c>
      <c r="H91" s="12">
        <f>(VLOOKUP(main!P91,main!$AO$4:$AR$55,4,FALSE))</f>
        <v>0</v>
      </c>
      <c r="I91" s="12">
        <f>(VLOOKUP(main!Q91,main!$AO$4:$AR$55,4,FALSE))</f>
        <v>0</v>
      </c>
      <c r="J91" s="12">
        <f>(VLOOKUP(main!R91,main!$AO$4:$AR$55,4,FALSE))</f>
        <v>0</v>
      </c>
      <c r="K91" s="12">
        <f>(VLOOKUP(main!S91,main!$AO$4:$AR$55,4,FALSE))</f>
        <v>0</v>
      </c>
      <c r="L91" s="12">
        <f>(VLOOKUP(main!T91,main!$AO$4:$AR$55,4,FALSE))</f>
        <v>0</v>
      </c>
      <c r="M91" s="12">
        <f>(VLOOKUP(main!U91,main!$AO$4:$AR$55,4,FALSE))</f>
        <v>0</v>
      </c>
      <c r="N91" s="12">
        <f>(VLOOKUP(main!V91,main!$AO$4:$AR$55,4,FALSE))</f>
        <v>0</v>
      </c>
      <c r="O91" s="12">
        <f>(VLOOKUP(main!W91,main!$AO$4:$AR$55,4,FALSE))</f>
        <v>0</v>
      </c>
      <c r="P91" s="12">
        <f>(VLOOKUP(main!X91,main!$AO$4:$AR$55,4,FALSE))</f>
        <v>0</v>
      </c>
      <c r="Q91" s="12">
        <f>(VLOOKUP(main!Y91,main!$AO$4:$AR$55,4,FALSE))</f>
        <v>0</v>
      </c>
      <c r="R91" s="12">
        <f>(VLOOKUP(main!Z91,main!$AO$4:$AR$55,4,FALSE))</f>
        <v>0</v>
      </c>
      <c r="S91" s="12">
        <f>(VLOOKUP(main!AA91,main!$AO$4:$AR$55,4,FALSE))</f>
        <v>0</v>
      </c>
      <c r="T91" s="12">
        <f>(VLOOKUP(main!AB91,main!$AO$4:$AR$55,4,FALSE))</f>
        <v>0</v>
      </c>
      <c r="U91" s="12">
        <f>(VLOOKUP(main!AC91,main!$AO$4:$AR$55,4,FALSE))</f>
        <v>0</v>
      </c>
      <c r="V91" s="12">
        <f>(VLOOKUP(main!AD91,main!$AO$4:$AR$55,4,FALSE))</f>
        <v>0</v>
      </c>
      <c r="W91" s="12">
        <f>(VLOOKUP(main!AE91,main!$AO$4:$AR$55,4,FALSE))</f>
        <v>0</v>
      </c>
      <c r="X91" s="12">
        <f>(VLOOKUP(main!AF91,main!$AO$4:$AR$55,4,FALSE))</f>
        <v>0</v>
      </c>
    </row>
    <row r="92" spans="1:24">
      <c r="A92" s="12">
        <f>(VLOOKUP(main!I92,main!$AO$4:$AR$55,4,FALSE))</f>
        <v>0</v>
      </c>
      <c r="B92" s="12">
        <f>(VLOOKUP(main!J92,main!$AO$4:$AR$55,4,FALSE))</f>
        <v>0</v>
      </c>
      <c r="C92" s="12">
        <f>(VLOOKUP(main!K92,main!$AO$4:$AR$55,4,FALSE))</f>
        <v>0</v>
      </c>
      <c r="D92" s="12">
        <f>(VLOOKUP(main!L92,main!$AO$4:$AR$55,4,FALSE))</f>
        <v>0</v>
      </c>
      <c r="E92" s="12">
        <f>(VLOOKUP(main!M92,main!$AO$4:$AR$55,4,FALSE))</f>
        <v>0</v>
      </c>
      <c r="F92" s="12">
        <f>(VLOOKUP(main!N92,main!$AO$4:$AR$55,4,FALSE))</f>
        <v>0</v>
      </c>
      <c r="G92" s="12">
        <f>(VLOOKUP(main!O92,main!$AO$4:$AR$55,4,FALSE))</f>
        <v>0</v>
      </c>
      <c r="H92" s="12">
        <f>(VLOOKUP(main!P92,main!$AO$4:$AR$55,4,FALSE))</f>
        <v>0</v>
      </c>
      <c r="I92" s="12">
        <f>(VLOOKUP(main!Q92,main!$AO$4:$AR$55,4,FALSE))</f>
        <v>0</v>
      </c>
      <c r="J92" s="12">
        <f>(VLOOKUP(main!R92,main!$AO$4:$AR$55,4,FALSE))</f>
        <v>0</v>
      </c>
      <c r="K92" s="12">
        <f>(VLOOKUP(main!S92,main!$AO$4:$AR$55,4,FALSE))</f>
        <v>0</v>
      </c>
      <c r="L92" s="12">
        <f>(VLOOKUP(main!T92,main!$AO$4:$AR$55,4,FALSE))</f>
        <v>0</v>
      </c>
      <c r="M92" s="12">
        <f>(VLOOKUP(main!U92,main!$AO$4:$AR$55,4,FALSE))</f>
        <v>0</v>
      </c>
      <c r="N92" s="12">
        <f>(VLOOKUP(main!V92,main!$AO$4:$AR$55,4,FALSE))</f>
        <v>0</v>
      </c>
      <c r="O92" s="12">
        <f>(VLOOKUP(main!W92,main!$AO$4:$AR$55,4,FALSE))</f>
        <v>0</v>
      </c>
      <c r="P92" s="12">
        <f>(VLOOKUP(main!X92,main!$AO$4:$AR$55,4,FALSE))</f>
        <v>0</v>
      </c>
      <c r="Q92" s="12">
        <f>(VLOOKUP(main!Y92,main!$AO$4:$AR$55,4,FALSE))</f>
        <v>0</v>
      </c>
      <c r="R92" s="12">
        <f>(VLOOKUP(main!Z92,main!$AO$4:$AR$55,4,FALSE))</f>
        <v>0</v>
      </c>
      <c r="S92" s="12">
        <f>(VLOOKUP(main!AA92,main!$AO$4:$AR$55,4,FALSE))</f>
        <v>0</v>
      </c>
      <c r="T92" s="12">
        <f>(VLOOKUP(main!AB92,main!$AO$4:$AR$55,4,FALSE))</f>
        <v>0</v>
      </c>
      <c r="U92" s="12">
        <f>(VLOOKUP(main!AC92,main!$AO$4:$AR$55,4,FALSE))</f>
        <v>0</v>
      </c>
      <c r="V92" s="12">
        <f>(VLOOKUP(main!AD92,main!$AO$4:$AR$55,4,FALSE))</f>
        <v>0</v>
      </c>
      <c r="W92" s="12">
        <f>(VLOOKUP(main!AE92,main!$AO$4:$AR$55,4,FALSE))</f>
        <v>0</v>
      </c>
      <c r="X92" s="12">
        <f>(VLOOKUP(main!AF92,main!$AO$4:$AR$55,4,FALSE))</f>
        <v>0</v>
      </c>
    </row>
    <row r="93" spans="1:24">
      <c r="A93" s="12">
        <f>(VLOOKUP(main!I93,main!$AO$4:$AR$55,4,FALSE))</f>
        <v>0</v>
      </c>
      <c r="B93" s="12">
        <f>(VLOOKUP(main!J93,main!$AO$4:$AR$55,4,FALSE))</f>
        <v>0</v>
      </c>
      <c r="C93" s="12">
        <f>(VLOOKUP(main!K93,main!$AO$4:$AR$55,4,FALSE))</f>
        <v>0</v>
      </c>
      <c r="D93" s="12">
        <f>(VLOOKUP(main!L93,main!$AO$4:$AR$55,4,FALSE))</f>
        <v>0</v>
      </c>
      <c r="E93" s="12">
        <f>(VLOOKUP(main!M93,main!$AO$4:$AR$55,4,FALSE))</f>
        <v>0</v>
      </c>
      <c r="F93" s="12">
        <f>(VLOOKUP(main!N93,main!$AO$4:$AR$55,4,FALSE))</f>
        <v>0</v>
      </c>
      <c r="G93" s="12">
        <f>(VLOOKUP(main!O93,main!$AO$4:$AR$55,4,FALSE))</f>
        <v>0</v>
      </c>
      <c r="H93" s="12">
        <f>(VLOOKUP(main!P93,main!$AO$4:$AR$55,4,FALSE))</f>
        <v>0</v>
      </c>
      <c r="I93" s="12">
        <f>(VLOOKUP(main!Q93,main!$AO$4:$AR$55,4,FALSE))</f>
        <v>0</v>
      </c>
      <c r="J93" s="12">
        <f>(VLOOKUP(main!R93,main!$AO$4:$AR$55,4,FALSE))</f>
        <v>0</v>
      </c>
      <c r="K93" s="12">
        <f>(VLOOKUP(main!S93,main!$AO$4:$AR$55,4,FALSE))</f>
        <v>0</v>
      </c>
      <c r="L93" s="12">
        <f>(VLOOKUP(main!T93,main!$AO$4:$AR$55,4,FALSE))</f>
        <v>0</v>
      </c>
      <c r="M93" s="12">
        <f>(VLOOKUP(main!U93,main!$AO$4:$AR$55,4,FALSE))</f>
        <v>0</v>
      </c>
      <c r="N93" s="12">
        <f>(VLOOKUP(main!V93,main!$AO$4:$AR$55,4,FALSE))</f>
        <v>0</v>
      </c>
      <c r="O93" s="12">
        <f>(VLOOKUP(main!W93,main!$AO$4:$AR$55,4,FALSE))</f>
        <v>0</v>
      </c>
      <c r="P93" s="12">
        <f>(VLOOKUP(main!X93,main!$AO$4:$AR$55,4,FALSE))</f>
        <v>0</v>
      </c>
      <c r="Q93" s="12">
        <f>(VLOOKUP(main!Y93,main!$AO$4:$AR$55,4,FALSE))</f>
        <v>0</v>
      </c>
      <c r="R93" s="12">
        <f>(VLOOKUP(main!Z93,main!$AO$4:$AR$55,4,FALSE))</f>
        <v>0</v>
      </c>
      <c r="S93" s="12">
        <f>(VLOOKUP(main!AA93,main!$AO$4:$AR$55,4,FALSE))</f>
        <v>0</v>
      </c>
      <c r="T93" s="12">
        <f>(VLOOKUP(main!AB93,main!$AO$4:$AR$55,4,FALSE))</f>
        <v>0</v>
      </c>
      <c r="U93" s="12">
        <f>(VLOOKUP(main!AC93,main!$AO$4:$AR$55,4,FALSE))</f>
        <v>0</v>
      </c>
      <c r="V93" s="12">
        <f>(VLOOKUP(main!AD93,main!$AO$4:$AR$55,4,FALSE))</f>
        <v>0</v>
      </c>
      <c r="W93" s="12">
        <f>(VLOOKUP(main!AE93,main!$AO$4:$AR$55,4,FALSE))</f>
        <v>0</v>
      </c>
      <c r="X93" s="12">
        <f>(VLOOKUP(main!AF93,main!$AO$4:$AR$55,4,FALSE))</f>
        <v>0</v>
      </c>
    </row>
    <row r="94" spans="1:2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瞭望塔</vt:lpstr>
      <vt:lpstr>粮草</vt:lpstr>
      <vt:lpstr>经验</vt:lpstr>
      <vt:lpstr>亏损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Cortana</dc:creator>
  <cp:lastModifiedBy>Jiang, Ruoli</cp:lastModifiedBy>
  <dcterms:created xsi:type="dcterms:W3CDTF">2021-06-17T16:09:00Z</dcterms:created>
  <dcterms:modified xsi:type="dcterms:W3CDTF">2026-09-15T19:10:54Z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7EC2433DCD8B47F59166A880BC0CFAC6_13</vt:lpwstr>
  </property>
  <property fmtid="{D5CDD505-2E9C-101B-9397-08002B2CF9AE}" pid="4" name="CalculationRule">
    <vt:i4>0</vt:i4>
  </property>
</Properties>
</file>