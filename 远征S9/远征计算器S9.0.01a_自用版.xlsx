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9\"/>
    </mc:Choice>
  </mc:AlternateContent>
  <xr:revisionPtr revIDLastSave="0" documentId="13_ncr:1_{C1FCA4E3-F43A-4DF0-A225-A3C0353D3377}" xr6:coauthVersionLast="47" xr6:coauthVersionMax="47" xr10:uidLastSave="{00000000-0000-0000-0000-000000000000}"/>
  <bookViews>
    <workbookView xWindow="28680" yWindow="-120" windowWidth="29040" windowHeight="15840" firstSheet="6" activeTab="13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9.0.19" sheetId="57" r:id="rId7"/>
    <sheet name="9.0.10" sheetId="55" r:id="rId8"/>
    <sheet name="9.0.6" sheetId="53" r:id="rId9"/>
    <sheet name="猜" sheetId="58" r:id="rId10"/>
    <sheet name="八卦前规划1" sheetId="14" r:id="rId11"/>
    <sheet name="八卦后规划1" sheetId="15" r:id="rId12"/>
    <sheet name="八卦后规划2" sheetId="31" r:id="rId13"/>
    <sheet name="八卦后规划3" sheetId="4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U2" i="57" l="1"/>
  <c r="D79" i="57" a="1"/>
  <c r="D79" i="57" s="1"/>
  <c r="D85" i="57" a="1"/>
  <c r="D85" i="57" s="1"/>
  <c r="D40" i="57" a="1"/>
  <c r="D40" i="57" s="1"/>
  <c r="D26" i="57" a="1"/>
  <c r="D26" i="57" s="1"/>
  <c r="D11" i="57" l="1" a="1"/>
  <c r="D11" i="57" s="1"/>
  <c r="I11" i="14"/>
  <c r="C2" i="57" a="1"/>
  <c r="C2" i="57" s="1"/>
  <c r="AG94" i="58"/>
  <c r="F94" i="58" a="1"/>
  <c r="F94" i="58" s="1"/>
  <c r="D94" i="58" a="1"/>
  <c r="D94" i="58" s="1"/>
  <c r="AG93" i="58"/>
  <c r="F93" i="58" a="1"/>
  <c r="F93" i="58" s="1"/>
  <c r="D93" i="58" a="1"/>
  <c r="D93" i="58" s="1"/>
  <c r="AG92" i="58"/>
  <c r="F92" i="58" a="1"/>
  <c r="F92" i="58" s="1"/>
  <c r="D92" i="58" a="1"/>
  <c r="D92" i="58" s="1"/>
  <c r="AG91" i="58"/>
  <c r="D91" i="58" s="1" a="1"/>
  <c r="D91" i="58" s="1"/>
  <c r="F91" i="58" a="1"/>
  <c r="F91" i="58" s="1"/>
  <c r="AG90" i="58"/>
  <c r="F90" i="58" a="1"/>
  <c r="F90" i="58" s="1"/>
  <c r="D90" i="58" a="1"/>
  <c r="D90" i="58" s="1"/>
  <c r="AG89" i="58"/>
  <c r="F89" i="58" a="1"/>
  <c r="F89" i="58" s="1"/>
  <c r="D89" i="58" a="1"/>
  <c r="D89" i="58" s="1"/>
  <c r="AG88" i="58"/>
  <c r="F88" i="58" a="1"/>
  <c r="F88" i="58" s="1"/>
  <c r="D88" i="58" a="1"/>
  <c r="D88" i="58" s="1"/>
  <c r="AG87" i="58"/>
  <c r="F87" i="58" a="1"/>
  <c r="F87" i="58" s="1"/>
  <c r="D87" i="58" a="1"/>
  <c r="D87" i="58" s="1"/>
  <c r="AG86" i="58"/>
  <c r="D86" i="58" s="1" a="1"/>
  <c r="D86" i="58" s="1"/>
  <c r="F86" i="58" a="1"/>
  <c r="F86" i="58" s="1"/>
  <c r="AG85" i="58"/>
  <c r="F85" i="58" a="1"/>
  <c r="F85" i="58" s="1"/>
  <c r="D85" i="58" a="1"/>
  <c r="D85" i="58" s="1"/>
  <c r="AG84" i="58"/>
  <c r="D84" i="58" s="1" a="1"/>
  <c r="D84" i="58" s="1"/>
  <c r="F84" i="58" a="1"/>
  <c r="F84" i="58" s="1"/>
  <c r="AG83" i="58"/>
  <c r="F83" i="58" a="1"/>
  <c r="F83" i="58" s="1"/>
  <c r="D83" i="58" a="1"/>
  <c r="D83" i="58" s="1"/>
  <c r="AG82" i="58"/>
  <c r="F82" i="58" a="1"/>
  <c r="F82" i="58" s="1"/>
  <c r="D82" i="58" a="1"/>
  <c r="D82" i="58" s="1"/>
  <c r="AG81" i="58"/>
  <c r="F81" i="58" a="1"/>
  <c r="F81" i="58" s="1"/>
  <c r="D81" i="58" a="1"/>
  <c r="D81" i="58" s="1"/>
  <c r="AG80" i="58"/>
  <c r="F80" i="58" a="1"/>
  <c r="F80" i="58" s="1"/>
  <c r="D80" i="58" a="1"/>
  <c r="D80" i="58" s="1"/>
  <c r="AG79" i="58"/>
  <c r="D79" i="58" s="1" a="1"/>
  <c r="D79" i="58" s="1"/>
  <c r="F79" i="58" a="1"/>
  <c r="F79" i="58" s="1"/>
  <c r="AG78" i="58"/>
  <c r="F78" i="58" a="1"/>
  <c r="F78" i="58" s="1"/>
  <c r="D78" i="58" a="1"/>
  <c r="D78" i="58" s="1"/>
  <c r="AG77" i="58"/>
  <c r="F77" i="58" a="1"/>
  <c r="F77" i="58" s="1"/>
  <c r="D77" i="58" a="1"/>
  <c r="D77" i="58" s="1"/>
  <c r="AG76" i="58"/>
  <c r="F76" i="58" a="1"/>
  <c r="F76" i="58" s="1"/>
  <c r="D76" i="58" a="1"/>
  <c r="D76" i="58" s="1"/>
  <c r="AG75" i="58"/>
  <c r="F75" i="58" a="1"/>
  <c r="F75" i="58" s="1"/>
  <c r="D75" i="58" a="1"/>
  <c r="D75" i="58" s="1"/>
  <c r="AG74" i="58"/>
  <c r="D74" i="58" s="1" a="1"/>
  <c r="D74" i="58" s="1"/>
  <c r="F74" i="58" a="1"/>
  <c r="F74" i="58" s="1"/>
  <c r="AG73" i="58"/>
  <c r="F73" i="58" a="1"/>
  <c r="F73" i="58" s="1"/>
  <c r="D73" i="58" a="1"/>
  <c r="D73" i="58" s="1"/>
  <c r="AG72" i="58"/>
  <c r="D72" i="58" s="1" a="1"/>
  <c r="D72" i="58" s="1"/>
  <c r="F72" i="58" a="1"/>
  <c r="F72" i="58" s="1"/>
  <c r="AG71" i="58"/>
  <c r="F71" i="58" a="1"/>
  <c r="F71" i="58" s="1"/>
  <c r="D71" i="58" a="1"/>
  <c r="D71" i="58" s="1"/>
  <c r="AG70" i="58"/>
  <c r="F70" i="58" a="1"/>
  <c r="F70" i="58" s="1"/>
  <c r="D70" i="58" a="1"/>
  <c r="D70" i="58" s="1"/>
  <c r="AG69" i="58"/>
  <c r="F69" i="58" a="1"/>
  <c r="F69" i="58" s="1"/>
  <c r="D69" i="58" a="1"/>
  <c r="D69" i="58" s="1"/>
  <c r="AG68" i="58"/>
  <c r="F68" i="58" a="1"/>
  <c r="F68" i="58" s="1"/>
  <c r="D68" i="58" a="1"/>
  <c r="D68" i="58" s="1"/>
  <c r="AG67" i="58"/>
  <c r="D67" i="58" s="1" a="1"/>
  <c r="D67" i="58" s="1"/>
  <c r="F67" i="58" a="1"/>
  <c r="F67" i="58" s="1"/>
  <c r="AG66" i="58"/>
  <c r="F66" i="58" a="1"/>
  <c r="F66" i="58" s="1"/>
  <c r="D66" i="58" a="1"/>
  <c r="D66" i="58" s="1"/>
  <c r="AG65" i="58"/>
  <c r="F65" i="58" a="1"/>
  <c r="F65" i="58" s="1"/>
  <c r="D65" i="58" a="1"/>
  <c r="D65" i="58" s="1"/>
  <c r="AG64" i="58"/>
  <c r="F64" i="58" a="1"/>
  <c r="F64" i="58" s="1"/>
  <c r="D64" i="58" a="1"/>
  <c r="D64" i="58" s="1"/>
  <c r="AG63" i="58"/>
  <c r="F63" i="58" a="1"/>
  <c r="F63" i="58" s="1"/>
  <c r="D63" i="58" a="1"/>
  <c r="D63" i="58" s="1"/>
  <c r="AG62" i="58"/>
  <c r="D62" i="58" s="1" a="1"/>
  <c r="D62" i="58" s="1"/>
  <c r="F62" i="58" a="1"/>
  <c r="F62" i="58" s="1"/>
  <c r="AG61" i="58"/>
  <c r="F61" i="58" a="1"/>
  <c r="F61" i="58" s="1"/>
  <c r="D61" i="58" a="1"/>
  <c r="D61" i="58" s="1"/>
  <c r="AG60" i="58"/>
  <c r="D60" i="58" s="1" a="1"/>
  <c r="D60" i="58" s="1"/>
  <c r="F60" i="58" a="1"/>
  <c r="F60" i="58" s="1"/>
  <c r="AG59" i="58"/>
  <c r="F59" i="58" a="1"/>
  <c r="F59" i="58" s="1"/>
  <c r="D59" i="58" a="1"/>
  <c r="D59" i="58" s="1"/>
  <c r="AG58" i="58"/>
  <c r="F58" i="58" a="1"/>
  <c r="F58" i="58" s="1"/>
  <c r="D58" i="58" a="1"/>
  <c r="D58" i="58" s="1"/>
  <c r="AG57" i="58"/>
  <c r="F57" i="58" a="1"/>
  <c r="F57" i="58" s="1"/>
  <c r="D57" i="58" a="1"/>
  <c r="D57" i="58" s="1"/>
  <c r="AG56" i="58"/>
  <c r="F56" i="58" a="1"/>
  <c r="F56" i="58" s="1"/>
  <c r="D56" i="58" a="1"/>
  <c r="D56" i="58" s="1"/>
  <c r="AG55" i="58"/>
  <c r="D55" i="58" s="1" a="1"/>
  <c r="D55" i="58" s="1"/>
  <c r="F55" i="58" a="1"/>
  <c r="F55" i="58" s="1"/>
  <c r="AG54" i="58"/>
  <c r="F54" i="58" a="1"/>
  <c r="F54" i="58" s="1"/>
  <c r="D54" i="58" a="1"/>
  <c r="D54" i="58" s="1"/>
  <c r="AG53" i="58"/>
  <c r="F53" i="58" a="1"/>
  <c r="F53" i="58" s="1"/>
  <c r="D53" i="58" a="1"/>
  <c r="D53" i="58" s="1"/>
  <c r="AG52" i="58"/>
  <c r="F52" i="58" a="1"/>
  <c r="F52" i="58" s="1"/>
  <c r="D52" i="58" a="1"/>
  <c r="D52" i="58" s="1"/>
  <c r="AG51" i="58"/>
  <c r="F51" i="58" a="1"/>
  <c r="F51" i="58" s="1"/>
  <c r="D51" i="58" a="1"/>
  <c r="D51" i="58" s="1"/>
  <c r="AG50" i="58"/>
  <c r="D50" i="58" s="1" a="1"/>
  <c r="D50" i="58" s="1"/>
  <c r="F50" i="58" a="1"/>
  <c r="F50" i="58" s="1"/>
  <c r="AG49" i="58"/>
  <c r="F49" i="58" a="1"/>
  <c r="F49" i="58" s="1"/>
  <c r="D49" i="58" a="1"/>
  <c r="D49" i="58" s="1"/>
  <c r="AG48" i="58"/>
  <c r="D48" i="58" s="1" a="1"/>
  <c r="D48" i="58" s="1"/>
  <c r="F48" i="58" a="1"/>
  <c r="F48" i="58" s="1"/>
  <c r="AG47" i="58"/>
  <c r="F47" i="58" a="1"/>
  <c r="F47" i="58" s="1"/>
  <c r="D47" i="58" a="1"/>
  <c r="D47" i="58" s="1"/>
  <c r="AG46" i="58"/>
  <c r="F46" i="58" a="1"/>
  <c r="F46" i="58" s="1"/>
  <c r="D46" i="58" a="1"/>
  <c r="D46" i="58" s="1"/>
  <c r="AG45" i="58"/>
  <c r="F45" i="58" a="1"/>
  <c r="F45" i="58" s="1"/>
  <c r="D45" i="58" a="1"/>
  <c r="D45" i="58" s="1"/>
  <c r="AG44" i="58"/>
  <c r="F44" i="58" a="1"/>
  <c r="F44" i="58" s="1"/>
  <c r="D44" i="58" a="1"/>
  <c r="D44" i="58" s="1"/>
  <c r="AG43" i="58"/>
  <c r="D43" i="58" s="1" a="1"/>
  <c r="D43" i="58" s="1"/>
  <c r="F43" i="58" a="1"/>
  <c r="F43" i="58" s="1"/>
  <c r="AG42" i="58"/>
  <c r="F42" i="58" a="1"/>
  <c r="F42" i="58" s="1"/>
  <c r="D42" i="58" a="1"/>
  <c r="D42" i="58" s="1"/>
  <c r="AS41" i="58"/>
  <c r="AR41" i="58"/>
  <c r="AG41" i="58"/>
  <c r="F41" i="58" a="1"/>
  <c r="F41" i="58" s="1"/>
  <c r="D41" i="58" a="1"/>
  <c r="D41" i="58" s="1"/>
  <c r="AG40" i="58"/>
  <c r="D40" i="58" s="1" a="1"/>
  <c r="D40" i="58" s="1"/>
  <c r="F40" i="58" a="1"/>
  <c r="F40" i="58" s="1"/>
  <c r="BC39" i="58"/>
  <c r="AG39" i="58"/>
  <c r="F39" i="58" a="1"/>
  <c r="F39" i="58" s="1"/>
  <c r="D39" i="58" a="1"/>
  <c r="D39" i="58" s="1"/>
  <c r="AG38" i="58"/>
  <c r="F38" i="58" a="1"/>
  <c r="F38" i="58" s="1"/>
  <c r="D38" i="58" a="1"/>
  <c r="D38" i="58" s="1"/>
  <c r="AG37" i="58"/>
  <c r="F37" i="58" a="1"/>
  <c r="F37" i="58" s="1"/>
  <c r="D37" i="58" a="1"/>
  <c r="D37" i="58" s="1"/>
  <c r="AG36" i="58"/>
  <c r="F36" i="58" a="1"/>
  <c r="F36" i="58" s="1"/>
  <c r="D36" i="58" a="1"/>
  <c r="D36" i="58" s="1"/>
  <c r="AG35" i="58"/>
  <c r="D35" i="58" s="1" a="1"/>
  <c r="D35" i="58" s="1"/>
  <c r="F35" i="58" a="1"/>
  <c r="F35" i="58" s="1"/>
  <c r="AG34" i="58"/>
  <c r="F34" i="58" a="1"/>
  <c r="F34" i="58" s="1"/>
  <c r="D34" i="58" a="1"/>
  <c r="D34" i="58" s="1"/>
  <c r="AG33" i="58"/>
  <c r="D33" i="58" s="1" a="1"/>
  <c r="D33" i="58" s="1"/>
  <c r="F33" i="58" a="1"/>
  <c r="F33" i="58" s="1"/>
  <c r="AG32" i="58"/>
  <c r="F32" i="58" a="1"/>
  <c r="F32" i="58" s="1"/>
  <c r="D32" i="58" a="1"/>
  <c r="D32" i="58" s="1"/>
  <c r="AG31" i="58"/>
  <c r="F31" i="58" a="1"/>
  <c r="F31" i="58" s="1"/>
  <c r="D31" i="58" a="1"/>
  <c r="D31" i="58" s="1"/>
  <c r="AG30" i="58"/>
  <c r="D30" i="58" s="1" a="1"/>
  <c r="D30" i="58" s="1"/>
  <c r="F30" i="58" a="1"/>
  <c r="F30" i="58" s="1"/>
  <c r="BB29" i="58"/>
  <c r="AT29" i="58"/>
  <c r="AX29" i="58" s="1"/>
  <c r="AS29" i="58"/>
  <c r="AW29" i="58" s="1"/>
  <c r="AR29" i="58"/>
  <c r="AV29" i="58" s="1"/>
  <c r="AG29" i="58"/>
  <c r="D29" i="58" s="1" a="1"/>
  <c r="D29" i="58" s="1"/>
  <c r="F29" i="58" a="1"/>
  <c r="F29" i="58" s="1"/>
  <c r="BB28" i="58"/>
  <c r="AT28" i="58"/>
  <c r="AX28" i="58" s="1"/>
  <c r="AS28" i="58"/>
  <c r="AW28" i="58" s="1"/>
  <c r="AR28" i="58"/>
  <c r="AV28" i="58" s="1"/>
  <c r="AG28" i="58"/>
  <c r="F28" i="58" a="1"/>
  <c r="F28" i="58" s="1"/>
  <c r="D28" i="58" a="1"/>
  <c r="D28" i="58" s="1"/>
  <c r="BB27" i="58"/>
  <c r="AX27" i="58"/>
  <c r="AW27" i="58"/>
  <c r="AV27" i="58"/>
  <c r="AP27" i="58"/>
  <c r="AG27" i="58"/>
  <c r="F27" i="58" a="1"/>
  <c r="F27" i="58" s="1"/>
  <c r="D27" i="58" a="1"/>
  <c r="D27" i="58" s="1"/>
  <c r="BB26" i="58"/>
  <c r="BA26" i="58"/>
  <c r="AT26" i="58"/>
  <c r="AX26" i="58" s="1"/>
  <c r="AS26" i="58"/>
  <c r="AW26" i="58" s="1"/>
  <c r="AR26" i="58"/>
  <c r="AV26" i="58" s="1"/>
  <c r="AP26" i="58"/>
  <c r="AG26" i="58"/>
  <c r="F26" i="58" a="1"/>
  <c r="F26" i="58" s="1"/>
  <c r="D26" i="58" a="1"/>
  <c r="D26" i="58" s="1"/>
  <c r="BB25" i="58"/>
  <c r="BA25" i="58" s="1"/>
  <c r="AT25" i="58"/>
  <c r="AX25" i="58" s="1"/>
  <c r="AS25" i="58"/>
  <c r="AW25" i="58" s="1"/>
  <c r="AR25" i="58"/>
  <c r="AV25" i="58" s="1"/>
  <c r="AP25" i="58"/>
  <c r="AG25" i="58"/>
  <c r="D25" i="58" s="1" a="1"/>
  <c r="D25" i="58" s="1"/>
  <c r="F25" i="58"/>
  <c r="F25" i="58" a="1"/>
  <c r="BB24" i="58"/>
  <c r="BA24" i="58"/>
  <c r="AT24" i="58"/>
  <c r="AX24" i="58" s="1"/>
  <c r="AS24" i="58"/>
  <c r="AW24" i="58" s="1"/>
  <c r="AR24" i="58"/>
  <c r="AP24" i="58"/>
  <c r="AG24" i="58"/>
  <c r="D24" i="58" s="1" a="1"/>
  <c r="D24" i="58" s="1"/>
  <c r="F24" i="58" a="1"/>
  <c r="F24" i="58" s="1"/>
  <c r="BB23" i="58"/>
  <c r="BA23" i="58"/>
  <c r="AT23" i="58"/>
  <c r="AX23" i="58" s="1"/>
  <c r="AS23" i="58"/>
  <c r="AW23" i="58" s="1"/>
  <c r="AR23" i="58"/>
  <c r="AV23" i="58" s="1"/>
  <c r="AG23" i="58"/>
  <c r="D23" i="58" s="1" a="1"/>
  <c r="D23" i="58" s="1"/>
  <c r="F23" i="58" a="1"/>
  <c r="F23" i="58" s="1"/>
  <c r="BB22" i="58"/>
  <c r="BA22" i="58"/>
  <c r="AT22" i="58"/>
  <c r="AS22" i="58"/>
  <c r="AW22" i="58" s="1"/>
  <c r="AR22" i="58"/>
  <c r="AV22" i="58" s="1"/>
  <c r="AG22" i="58"/>
  <c r="D22" i="58" s="1" a="1"/>
  <c r="D22" i="58" s="1"/>
  <c r="F22" i="58" a="1"/>
  <c r="F22" i="58" s="1"/>
  <c r="BB21" i="58"/>
  <c r="BA21" i="58"/>
  <c r="AT21" i="58"/>
  <c r="AX21" i="58" s="1"/>
  <c r="AS21" i="58"/>
  <c r="AW21" i="58" s="1"/>
  <c r="AR21" i="58"/>
  <c r="AG21" i="58"/>
  <c r="F21" i="58" a="1"/>
  <c r="F21" i="58" s="1"/>
  <c r="D21" i="58" a="1"/>
  <c r="D21" i="58" s="1"/>
  <c r="BB20" i="58"/>
  <c r="BA20" i="58" s="1"/>
  <c r="AT20" i="58"/>
  <c r="AX20" i="58" s="1"/>
  <c r="AS20" i="58"/>
  <c r="AW20" i="58" s="1"/>
  <c r="AR20" i="58"/>
  <c r="AV20" i="58" s="1"/>
  <c r="AG20" i="58"/>
  <c r="D20" i="58" s="1" a="1"/>
  <c r="D20" i="58" s="1"/>
  <c r="F20" i="58" a="1"/>
  <c r="F20" i="58" s="1"/>
  <c r="BB19" i="58"/>
  <c r="BA19" i="58" s="1"/>
  <c r="AT19" i="58"/>
  <c r="AS19" i="58"/>
  <c r="AW19" i="58" s="1"/>
  <c r="AR19" i="58"/>
  <c r="AV19" i="58" s="1"/>
  <c r="AG19" i="58"/>
  <c r="F19" i="58" a="1"/>
  <c r="F19" i="58" s="1"/>
  <c r="D19" i="58" a="1"/>
  <c r="D19" i="58" s="1"/>
  <c r="BB18" i="58"/>
  <c r="BA18" i="58"/>
  <c r="AT18" i="58"/>
  <c r="AX18" i="58" s="1"/>
  <c r="AS18" i="58"/>
  <c r="AW18" i="58" s="1"/>
  <c r="AR18" i="58"/>
  <c r="AG18" i="58"/>
  <c r="F18" i="58" a="1"/>
  <c r="F18" i="58" s="1"/>
  <c r="D18" i="58" a="1"/>
  <c r="D18" i="58" s="1"/>
  <c r="BB17" i="58"/>
  <c r="BA17" i="58" s="1"/>
  <c r="AT17" i="58"/>
  <c r="AX17" i="58" s="1"/>
  <c r="AS17" i="58"/>
  <c r="AW17" i="58" s="1"/>
  <c r="AR17" i="58"/>
  <c r="AV17" i="58" s="1"/>
  <c r="AG17" i="58"/>
  <c r="D17" i="58" s="1" a="1"/>
  <c r="D17" i="58" s="1"/>
  <c r="F17" i="58" a="1"/>
  <c r="F17" i="58" s="1"/>
  <c r="BB16" i="58"/>
  <c r="BA16" i="58" s="1"/>
  <c r="AT16" i="58"/>
  <c r="AS16" i="58"/>
  <c r="AW16" i="58" s="1"/>
  <c r="AR16" i="58"/>
  <c r="AV16" i="58" s="1"/>
  <c r="AP16" i="58"/>
  <c r="AG16" i="58"/>
  <c r="F16" i="58" a="1"/>
  <c r="F16" i="58" s="1"/>
  <c r="D16" i="58" a="1"/>
  <c r="D16" i="58" s="1"/>
  <c r="BB15" i="58"/>
  <c r="BA15" i="58"/>
  <c r="AT15" i="58"/>
  <c r="AX15" i="58" s="1"/>
  <c r="AS15" i="58"/>
  <c r="AW15" i="58" s="1"/>
  <c r="AR15" i="58"/>
  <c r="AV15" i="58" s="1"/>
  <c r="AG15" i="58"/>
  <c r="F15" i="58" a="1"/>
  <c r="F15" i="58" s="1"/>
  <c r="D15" i="58" a="1"/>
  <c r="D15" i="58" s="1"/>
  <c r="BB14" i="58"/>
  <c r="BA14" i="58"/>
  <c r="AT14" i="58"/>
  <c r="AX14" i="58" s="1"/>
  <c r="AS14" i="58"/>
  <c r="AW14" i="58" s="1"/>
  <c r="AR14" i="58"/>
  <c r="AV14" i="58" s="1"/>
  <c r="AG14" i="58"/>
  <c r="D14" i="58" s="1" a="1"/>
  <c r="D14" i="58" s="1"/>
  <c r="F14" i="58" a="1"/>
  <c r="F14" i="58" s="1"/>
  <c r="BB13" i="58"/>
  <c r="BA13" i="58" s="1"/>
  <c r="AT13" i="58"/>
  <c r="AX13" i="58" s="1"/>
  <c r="AS13" i="58"/>
  <c r="AW13" i="58" s="1"/>
  <c r="AR13" i="58"/>
  <c r="AV13" i="58" s="1"/>
  <c r="AG13" i="58"/>
  <c r="F13" i="58" a="1"/>
  <c r="F13" i="58" s="1"/>
  <c r="D13" i="58" a="1"/>
  <c r="D13" i="58" s="1"/>
  <c r="BB12" i="58"/>
  <c r="BA12" i="58"/>
  <c r="AT12" i="58"/>
  <c r="AX12" i="58" s="1"/>
  <c r="AS12" i="58"/>
  <c r="AW12" i="58" s="1"/>
  <c r="AR12" i="58"/>
  <c r="AV12" i="58" s="1"/>
  <c r="AP12" i="58"/>
  <c r="AG12" i="58"/>
  <c r="F12" i="58" a="1"/>
  <c r="F12" i="58" s="1"/>
  <c r="D12" i="58" a="1"/>
  <c r="D12" i="58" s="1"/>
  <c r="BB11" i="58"/>
  <c r="BA11" i="58"/>
  <c r="AT11" i="58"/>
  <c r="AX11" i="58" s="1"/>
  <c r="AS11" i="58"/>
  <c r="AW11" i="58" s="1"/>
  <c r="AR11" i="58"/>
  <c r="AV11" i="58" s="1"/>
  <c r="AQ11" i="58"/>
  <c r="AP11" i="58"/>
  <c r="AG11" i="58"/>
  <c r="D11" i="58" s="1" a="1"/>
  <c r="D11" i="58" s="1"/>
  <c r="F11" i="58" a="1"/>
  <c r="F11" i="58" s="1"/>
  <c r="BB10" i="58"/>
  <c r="BA10" i="58"/>
  <c r="AT10" i="58"/>
  <c r="AX10" i="58" s="1"/>
  <c r="AS10" i="58"/>
  <c r="AW10" i="58" s="1"/>
  <c r="AR10" i="58"/>
  <c r="AP10" i="58"/>
  <c r="AG10" i="58"/>
  <c r="F10" i="58" a="1"/>
  <c r="F10" i="58" s="1"/>
  <c r="D10" i="58" a="1"/>
  <c r="D10" i="58" s="1"/>
  <c r="BB9" i="58"/>
  <c r="BA9" i="58" s="1"/>
  <c r="AT9" i="58"/>
  <c r="AX9" i="58" s="1"/>
  <c r="AS9" i="58"/>
  <c r="AW9" i="58" s="1"/>
  <c r="AR9" i="58"/>
  <c r="AV9" i="58" s="1"/>
  <c r="AG9" i="58"/>
  <c r="D9" i="58" s="1" a="1"/>
  <c r="D9" i="58" s="1"/>
  <c r="F9" i="58" a="1"/>
  <c r="F9" i="58" s="1"/>
  <c r="BB8" i="58"/>
  <c r="BA8" i="58" s="1"/>
  <c r="AT8" i="58"/>
  <c r="AX8" i="58" s="1"/>
  <c r="AS8" i="58"/>
  <c r="AW8" i="58" s="1"/>
  <c r="AR8" i="58"/>
  <c r="AV8" i="58" s="1"/>
  <c r="AG8" i="58"/>
  <c r="F8" i="58" a="1"/>
  <c r="F8" i="58" s="1"/>
  <c r="D8" i="58" a="1"/>
  <c r="D8" i="58" s="1"/>
  <c r="BB7" i="58"/>
  <c r="BA7" i="58"/>
  <c r="AT7" i="58"/>
  <c r="AX7" i="58" s="1"/>
  <c r="AS7" i="58"/>
  <c r="AW7" i="58" s="1"/>
  <c r="AR7" i="58"/>
  <c r="AG7" i="58"/>
  <c r="F7" i="58" a="1"/>
  <c r="F7" i="58" s="1"/>
  <c r="D7" i="58" a="1"/>
  <c r="D7" i="58" s="1"/>
  <c r="BB6" i="58"/>
  <c r="BA6" i="58" s="1"/>
  <c r="AT6" i="58"/>
  <c r="AX6" i="58" s="1"/>
  <c r="AS6" i="58"/>
  <c r="AW6" i="58" s="1"/>
  <c r="AR6" i="58"/>
  <c r="AV6" i="58" s="1"/>
  <c r="AG6" i="58"/>
  <c r="D6" i="58" s="1" a="1"/>
  <c r="D6" i="58" s="1"/>
  <c r="F6" i="58" a="1"/>
  <c r="F6" i="58" s="1"/>
  <c r="BB5" i="58"/>
  <c r="AQ5" i="58" s="1"/>
  <c r="AT5" i="58"/>
  <c r="AX5" i="58" s="1"/>
  <c r="AS5" i="58"/>
  <c r="AW5" i="58" s="1"/>
  <c r="AR5" i="58"/>
  <c r="AP5" i="58"/>
  <c r="AG5" i="58"/>
  <c r="F5" i="58" a="1"/>
  <c r="F5" i="58" s="1"/>
  <c r="D5" i="58" a="1"/>
  <c r="D5" i="58" s="1"/>
  <c r="BB4" i="58"/>
  <c r="AQ4" i="58" s="1"/>
  <c r="BA4" i="58"/>
  <c r="AT4" i="58"/>
  <c r="AX4" i="58" s="1"/>
  <c r="AS4" i="58"/>
  <c r="AW4" i="58" s="1"/>
  <c r="AR4" i="58"/>
  <c r="AV4" i="58" s="1"/>
  <c r="AP4" i="58"/>
  <c r="C2" i="58" s="1" a="1"/>
  <c r="C2" i="58" s="1"/>
  <c r="AG4" i="58"/>
  <c r="D4" i="58" s="1" a="1"/>
  <c r="D4" i="58" s="1"/>
  <c r="F4" i="58" a="1"/>
  <c r="F4" i="58" s="1"/>
  <c r="AJ2" i="58"/>
  <c r="AI2" i="58"/>
  <c r="AH2" i="58"/>
  <c r="AG2" i="58"/>
  <c r="AB2" i="58"/>
  <c r="T2" i="58"/>
  <c r="L2" i="58"/>
  <c r="A1" i="58"/>
  <c r="AU24" i="58" l="1"/>
  <c r="AU18" i="58"/>
  <c r="AU5" i="58"/>
  <c r="AU10" i="58"/>
  <c r="AU21" i="58"/>
  <c r="AU7" i="58"/>
  <c r="AU16" i="58"/>
  <c r="AU28" i="58"/>
  <c r="AU19" i="58"/>
  <c r="AU13" i="58"/>
  <c r="AV21" i="58"/>
  <c r="AV5" i="58"/>
  <c r="AV7" i="58"/>
  <c r="AU8" i="58"/>
  <c r="AV18" i="58"/>
  <c r="AV24" i="58"/>
  <c r="AU4" i="58"/>
  <c r="AV10" i="58"/>
  <c r="AU22" i="58"/>
  <c r="G84" i="58"/>
  <c r="E93" i="58"/>
  <c r="E81" i="58"/>
  <c r="E69" i="58"/>
  <c r="E57" i="58"/>
  <c r="E45" i="58"/>
  <c r="E30" i="58"/>
  <c r="E86" i="58"/>
  <c r="E74" i="58"/>
  <c r="E62" i="58"/>
  <c r="E50" i="58"/>
  <c r="E40" i="58"/>
  <c r="E35" i="58"/>
  <c r="E23" i="58"/>
  <c r="E20" i="58"/>
  <c r="E17" i="58"/>
  <c r="E42" i="58"/>
  <c r="E18" i="58"/>
  <c r="E91" i="58"/>
  <c r="E79" i="58"/>
  <c r="E67" i="58"/>
  <c r="E55" i="58"/>
  <c r="E43" i="58"/>
  <c r="E14" i="58"/>
  <c r="E9" i="58"/>
  <c r="E6" i="58"/>
  <c r="E4" i="58"/>
  <c r="E47" i="58"/>
  <c r="E84" i="58"/>
  <c r="E72" i="58"/>
  <c r="E60" i="58"/>
  <c r="E48" i="58"/>
  <c r="E33" i="58"/>
  <c r="E29" i="58"/>
  <c r="E83" i="58"/>
  <c r="E15" i="58"/>
  <c r="E89" i="58"/>
  <c r="E77" i="58"/>
  <c r="E65" i="58"/>
  <c r="E53" i="58"/>
  <c r="E38" i="58"/>
  <c r="E25" i="58"/>
  <c r="E66" i="58"/>
  <c r="E94" i="58"/>
  <c r="E82" i="58"/>
  <c r="E70" i="58"/>
  <c r="E58" i="58"/>
  <c r="E46" i="58"/>
  <c r="E31" i="58"/>
  <c r="E22" i="58"/>
  <c r="E19" i="58"/>
  <c r="E11" i="58"/>
  <c r="E5" i="58"/>
  <c r="E24" i="58"/>
  <c r="E21" i="58"/>
  <c r="E32" i="58"/>
  <c r="E87" i="58"/>
  <c r="E75" i="58"/>
  <c r="E63" i="58"/>
  <c r="E51" i="58"/>
  <c r="E41" i="58"/>
  <c r="E36" i="58"/>
  <c r="E28" i="58"/>
  <c r="E27" i="58"/>
  <c r="E16" i="58"/>
  <c r="E13" i="58"/>
  <c r="E8" i="58"/>
  <c r="E78" i="58"/>
  <c r="E39" i="58"/>
  <c r="E59" i="58"/>
  <c r="E92" i="58"/>
  <c r="E80" i="58"/>
  <c r="E68" i="58"/>
  <c r="E56" i="58"/>
  <c r="E44" i="58"/>
  <c r="E85" i="58"/>
  <c r="E73" i="58"/>
  <c r="E61" i="58"/>
  <c r="E49" i="58"/>
  <c r="E34" i="58"/>
  <c r="E90" i="58"/>
  <c r="E54" i="58"/>
  <c r="E10" i="58"/>
  <c r="E7" i="58"/>
  <c r="E88" i="58"/>
  <c r="E76" i="58"/>
  <c r="E64" i="58"/>
  <c r="E52" i="58"/>
  <c r="E37" i="58"/>
  <c r="E26" i="58"/>
  <c r="E12" i="58"/>
  <c r="E71" i="58"/>
  <c r="G35" i="58"/>
  <c r="G40" i="58"/>
  <c r="G17" i="58"/>
  <c r="G20" i="58"/>
  <c r="G50" i="58"/>
  <c r="G23" i="58"/>
  <c r="G62" i="58"/>
  <c r="G4" i="58"/>
  <c r="G6" i="58"/>
  <c r="G9" i="58"/>
  <c r="G14" i="58"/>
  <c r="G43" i="58"/>
  <c r="G55" i="58"/>
  <c r="G67" i="58"/>
  <c r="G79" i="58"/>
  <c r="G91" i="58"/>
  <c r="G12" i="58"/>
  <c r="G26" i="58"/>
  <c r="G37" i="58"/>
  <c r="G52" i="58"/>
  <c r="G64" i="58"/>
  <c r="G76" i="58"/>
  <c r="G88" i="58"/>
  <c r="G45" i="58"/>
  <c r="G7" i="58"/>
  <c r="G10" i="58"/>
  <c r="AU11" i="58"/>
  <c r="AU25" i="58"/>
  <c r="AU29" i="58"/>
  <c r="G32" i="58"/>
  <c r="G47" i="58"/>
  <c r="G59" i="58"/>
  <c r="G71" i="58"/>
  <c r="G83" i="58"/>
  <c r="G15" i="58"/>
  <c r="BA5" i="58"/>
  <c r="AU6" i="58"/>
  <c r="AU9" i="58"/>
  <c r="AU14" i="58"/>
  <c r="AX16" i="58"/>
  <c r="G18" i="58"/>
  <c r="AX19" i="58"/>
  <c r="G21" i="58"/>
  <c r="AX22" i="58"/>
  <c r="G24" i="58"/>
  <c r="G39" i="58"/>
  <c r="G42" i="58"/>
  <c r="G54" i="58"/>
  <c r="G66" i="58"/>
  <c r="G78" i="58"/>
  <c r="G90" i="58"/>
  <c r="G86" i="58"/>
  <c r="G57" i="58"/>
  <c r="G81" i="58"/>
  <c r="G93" i="58"/>
  <c r="G5" i="58"/>
  <c r="AU17" i="58"/>
  <c r="AU20" i="58"/>
  <c r="AU23" i="58"/>
  <c r="G34" i="58"/>
  <c r="G49" i="58"/>
  <c r="G61" i="58"/>
  <c r="G73" i="58"/>
  <c r="G85" i="58"/>
  <c r="G44" i="58"/>
  <c r="G56" i="58"/>
  <c r="G68" i="58"/>
  <c r="G80" i="58"/>
  <c r="G92" i="58"/>
  <c r="G74" i="58"/>
  <c r="G27" i="58"/>
  <c r="G28" i="58"/>
  <c r="G36" i="58"/>
  <c r="G41" i="58"/>
  <c r="G51" i="58"/>
  <c r="G63" i="58"/>
  <c r="G75" i="58"/>
  <c r="G87" i="58"/>
  <c r="G69" i="58"/>
  <c r="G8" i="58"/>
  <c r="G13" i="58"/>
  <c r="G16" i="58"/>
  <c r="F2" i="58"/>
  <c r="G11" i="58"/>
  <c r="AU12" i="58"/>
  <c r="AU15" i="58"/>
  <c r="G19" i="58"/>
  <c r="G22" i="58"/>
  <c r="AU26" i="58"/>
  <c r="G31" i="58"/>
  <c r="G46" i="58"/>
  <c r="G58" i="58"/>
  <c r="G70" i="58"/>
  <c r="G82" i="58"/>
  <c r="G94" i="58"/>
  <c r="G30" i="58"/>
  <c r="G25" i="58"/>
  <c r="G38" i="58"/>
  <c r="G53" i="58"/>
  <c r="G65" i="58"/>
  <c r="G77" i="58"/>
  <c r="G89" i="58"/>
  <c r="G29" i="58"/>
  <c r="G33" i="58"/>
  <c r="G48" i="58"/>
  <c r="G60" i="58"/>
  <c r="G72" i="58"/>
  <c r="AG94" i="57"/>
  <c r="F94" i="57" a="1"/>
  <c r="F94" i="57" s="1"/>
  <c r="D94" i="57" a="1"/>
  <c r="D94" i="57" s="1"/>
  <c r="AG93" i="57"/>
  <c r="F93" i="57" a="1"/>
  <c r="F93" i="57" s="1"/>
  <c r="D93" i="57" a="1"/>
  <c r="D93" i="57" s="1"/>
  <c r="AG92" i="57"/>
  <c r="F92" i="57" a="1"/>
  <c r="F92" i="57" s="1"/>
  <c r="D92" i="57" a="1"/>
  <c r="D92" i="57" s="1"/>
  <c r="AG91" i="57"/>
  <c r="D91" i="57" s="1" a="1"/>
  <c r="D91" i="57" s="1"/>
  <c r="F91" i="57" a="1"/>
  <c r="F91" i="57" s="1"/>
  <c r="AG90" i="57"/>
  <c r="F90" i="57" a="1"/>
  <c r="F90" i="57" s="1"/>
  <c r="D90" i="57" a="1"/>
  <c r="D90" i="57" s="1"/>
  <c r="AG89" i="57"/>
  <c r="F89" i="57" a="1"/>
  <c r="F89" i="57" s="1"/>
  <c r="D89" i="57" a="1"/>
  <c r="D89" i="57" s="1"/>
  <c r="AG88" i="57"/>
  <c r="F88" i="57" a="1"/>
  <c r="F88" i="57" s="1"/>
  <c r="D88" i="57" a="1"/>
  <c r="D88" i="57" s="1"/>
  <c r="AG87" i="57"/>
  <c r="F87" i="57" a="1"/>
  <c r="F87" i="57" s="1"/>
  <c r="D87" i="57" a="1"/>
  <c r="D87" i="57" s="1"/>
  <c r="AG86" i="57"/>
  <c r="D86" i="57" s="1" a="1"/>
  <c r="D86" i="57" s="1"/>
  <c r="F86" i="57" a="1"/>
  <c r="F86" i="57" s="1"/>
  <c r="AG85" i="57"/>
  <c r="F85" i="57" a="1"/>
  <c r="F85" i="57" s="1"/>
  <c r="AG84" i="57"/>
  <c r="D84" i="57" s="1" a="1"/>
  <c r="D84" i="57" s="1"/>
  <c r="F84" i="57" a="1"/>
  <c r="F84" i="57" s="1"/>
  <c r="AG83" i="57"/>
  <c r="F83" i="57" a="1"/>
  <c r="F83" i="57" s="1"/>
  <c r="D83" i="57" a="1"/>
  <c r="D83" i="57" s="1"/>
  <c r="AG82" i="57"/>
  <c r="F82" i="57" a="1"/>
  <c r="F82" i="57" s="1"/>
  <c r="D82" i="57" a="1"/>
  <c r="D82" i="57" s="1"/>
  <c r="AG81" i="57"/>
  <c r="F81" i="57" a="1"/>
  <c r="F81" i="57" s="1"/>
  <c r="D81" i="57" a="1"/>
  <c r="D81" i="57" s="1"/>
  <c r="AG80" i="57"/>
  <c r="F80" i="57" a="1"/>
  <c r="F80" i="57" s="1"/>
  <c r="D80" i="57" a="1"/>
  <c r="D80" i="57" s="1"/>
  <c r="AG79" i="57"/>
  <c r="F79" i="57" a="1"/>
  <c r="F79" i="57" s="1"/>
  <c r="AG78" i="57"/>
  <c r="F78" i="57" a="1"/>
  <c r="F78" i="57" s="1"/>
  <c r="D78" i="57" a="1"/>
  <c r="D78" i="57" s="1"/>
  <c r="AG77" i="57"/>
  <c r="F77" i="57" a="1"/>
  <c r="F77" i="57" s="1"/>
  <c r="D77" i="57" a="1"/>
  <c r="D77" i="57" s="1"/>
  <c r="AG76" i="57"/>
  <c r="F76" i="57" a="1"/>
  <c r="F76" i="57" s="1"/>
  <c r="D76" i="57" a="1"/>
  <c r="D76" i="57" s="1"/>
  <c r="AG75" i="57"/>
  <c r="F75" i="57" a="1"/>
  <c r="F75" i="57" s="1"/>
  <c r="D75" i="57" a="1"/>
  <c r="D75" i="57" s="1"/>
  <c r="AG74" i="57"/>
  <c r="D74" i="57" s="1" a="1"/>
  <c r="D74" i="57" s="1"/>
  <c r="F74" i="57" a="1"/>
  <c r="F74" i="57" s="1"/>
  <c r="AG73" i="57"/>
  <c r="F73" i="57" a="1"/>
  <c r="F73" i="57" s="1"/>
  <c r="D73" i="57" a="1"/>
  <c r="D73" i="57" s="1"/>
  <c r="AG72" i="57"/>
  <c r="D72" i="57" s="1" a="1"/>
  <c r="D72" i="57" s="1"/>
  <c r="F72" i="57" a="1"/>
  <c r="F72" i="57" s="1"/>
  <c r="AG71" i="57"/>
  <c r="F71" i="57" a="1"/>
  <c r="F71" i="57" s="1"/>
  <c r="D71" i="57" a="1"/>
  <c r="D71" i="57" s="1"/>
  <c r="AG70" i="57"/>
  <c r="F70" i="57" a="1"/>
  <c r="F70" i="57" s="1"/>
  <c r="D70" i="57" a="1"/>
  <c r="D70" i="57" s="1"/>
  <c r="AG69" i="57"/>
  <c r="F69" i="57" a="1"/>
  <c r="F69" i="57" s="1"/>
  <c r="D69" i="57" a="1"/>
  <c r="D69" i="57" s="1"/>
  <c r="AG68" i="57"/>
  <c r="F68" i="57" a="1"/>
  <c r="F68" i="57" s="1"/>
  <c r="D68" i="57" a="1"/>
  <c r="D68" i="57" s="1"/>
  <c r="AG67" i="57"/>
  <c r="D67" i="57" s="1" a="1"/>
  <c r="D67" i="57" s="1"/>
  <c r="F67" i="57" a="1"/>
  <c r="F67" i="57" s="1"/>
  <c r="AG66" i="57"/>
  <c r="F66" i="57" a="1"/>
  <c r="F66" i="57" s="1"/>
  <c r="D66" i="57" a="1"/>
  <c r="D66" i="57" s="1"/>
  <c r="AG65" i="57"/>
  <c r="F65" i="57" a="1"/>
  <c r="F65" i="57" s="1"/>
  <c r="D65" i="57" a="1"/>
  <c r="D65" i="57" s="1"/>
  <c r="AG64" i="57"/>
  <c r="F64" i="57" a="1"/>
  <c r="F64" i="57" s="1"/>
  <c r="D64" i="57" a="1"/>
  <c r="D64" i="57" s="1"/>
  <c r="AG63" i="57"/>
  <c r="F63" i="57" a="1"/>
  <c r="F63" i="57" s="1"/>
  <c r="D63" i="57" a="1"/>
  <c r="D63" i="57" s="1"/>
  <c r="AG62" i="57"/>
  <c r="D62" i="57" s="1" a="1"/>
  <c r="D62" i="57" s="1"/>
  <c r="F62" i="57" a="1"/>
  <c r="F62" i="57" s="1"/>
  <c r="AG61" i="57"/>
  <c r="F61" i="57" a="1"/>
  <c r="F61" i="57" s="1"/>
  <c r="D61" i="57" a="1"/>
  <c r="D61" i="57" s="1"/>
  <c r="AG60" i="57"/>
  <c r="D60" i="57" s="1" a="1"/>
  <c r="D60" i="57" s="1"/>
  <c r="F60" i="57" a="1"/>
  <c r="F60" i="57" s="1"/>
  <c r="AG59" i="57"/>
  <c r="F59" i="57" a="1"/>
  <c r="F59" i="57" s="1"/>
  <c r="D59" i="57" a="1"/>
  <c r="D59" i="57" s="1"/>
  <c r="AG58" i="57"/>
  <c r="F58" i="57" a="1"/>
  <c r="F58" i="57" s="1"/>
  <c r="D58" i="57" a="1"/>
  <c r="D58" i="57" s="1"/>
  <c r="AG57" i="57"/>
  <c r="F57" i="57" a="1"/>
  <c r="F57" i="57" s="1"/>
  <c r="D57" i="57" a="1"/>
  <c r="D57" i="57" s="1"/>
  <c r="AG56" i="57"/>
  <c r="F56" i="57" a="1"/>
  <c r="F56" i="57" s="1"/>
  <c r="D56" i="57" a="1"/>
  <c r="D56" i="57" s="1"/>
  <c r="AG55" i="57"/>
  <c r="D55" i="57" s="1" a="1"/>
  <c r="D55" i="57" s="1"/>
  <c r="F55" i="57" a="1"/>
  <c r="F55" i="57" s="1"/>
  <c r="AG54" i="57"/>
  <c r="F54" i="57" a="1"/>
  <c r="F54" i="57" s="1"/>
  <c r="D54" i="57" a="1"/>
  <c r="D54" i="57" s="1"/>
  <c r="AG53" i="57"/>
  <c r="F53" i="57" a="1"/>
  <c r="F53" i="57" s="1"/>
  <c r="D53" i="57" a="1"/>
  <c r="D53" i="57" s="1"/>
  <c r="AG52" i="57"/>
  <c r="F52" i="57" a="1"/>
  <c r="F52" i="57" s="1"/>
  <c r="D52" i="57" a="1"/>
  <c r="D52" i="57" s="1"/>
  <c r="AG51" i="57"/>
  <c r="F51" i="57" a="1"/>
  <c r="F51" i="57" s="1"/>
  <c r="D51" i="57" a="1"/>
  <c r="D51" i="57" s="1"/>
  <c r="AG50" i="57"/>
  <c r="D50" i="57" s="1" a="1"/>
  <c r="D50" i="57" s="1"/>
  <c r="F50" i="57" a="1"/>
  <c r="F50" i="57" s="1"/>
  <c r="AG49" i="57"/>
  <c r="F49" i="57" a="1"/>
  <c r="F49" i="57" s="1"/>
  <c r="D49" i="57" a="1"/>
  <c r="D49" i="57" s="1"/>
  <c r="AG48" i="57"/>
  <c r="D48" i="57" s="1" a="1"/>
  <c r="D48" i="57" s="1"/>
  <c r="F48" i="57" a="1"/>
  <c r="F48" i="57" s="1"/>
  <c r="AG47" i="57"/>
  <c r="F47" i="57" a="1"/>
  <c r="F47" i="57" s="1"/>
  <c r="D47" i="57" a="1"/>
  <c r="D47" i="57" s="1"/>
  <c r="AG46" i="57"/>
  <c r="F46" i="57" a="1"/>
  <c r="F46" i="57" s="1"/>
  <c r="D46" i="57" a="1"/>
  <c r="D46" i="57" s="1"/>
  <c r="AG45" i="57"/>
  <c r="F45" i="57" a="1"/>
  <c r="F45" i="57" s="1"/>
  <c r="D45" i="57" a="1"/>
  <c r="D45" i="57" s="1"/>
  <c r="AG44" i="57"/>
  <c r="F44" i="57" a="1"/>
  <c r="F44" i="57" s="1"/>
  <c r="D44" i="57" a="1"/>
  <c r="D44" i="57" s="1"/>
  <c r="AG43" i="57"/>
  <c r="D43" i="57" s="1" a="1"/>
  <c r="D43" i="57" s="1"/>
  <c r="F43" i="57" a="1"/>
  <c r="F43" i="57" s="1"/>
  <c r="AG42" i="57"/>
  <c r="F42" i="57" a="1"/>
  <c r="F42" i="57" s="1"/>
  <c r="D42" i="57" a="1"/>
  <c r="D42" i="57" s="1"/>
  <c r="AS41" i="57"/>
  <c r="AR41" i="57"/>
  <c r="AG41" i="57"/>
  <c r="F41" i="57" a="1"/>
  <c r="F41" i="57" s="1"/>
  <c r="D41" i="57" a="1"/>
  <c r="D41" i="57" s="1"/>
  <c r="AG40" i="57"/>
  <c r="F40" i="57" a="1"/>
  <c r="F40" i="57" s="1"/>
  <c r="BC39" i="57"/>
  <c r="AG39" i="57"/>
  <c r="F39" i="57" a="1"/>
  <c r="F39" i="57" s="1"/>
  <c r="D39" i="57" a="1"/>
  <c r="D39" i="57" s="1"/>
  <c r="AG38" i="57"/>
  <c r="F38" i="57" a="1"/>
  <c r="F38" i="57" s="1"/>
  <c r="D38" i="57" a="1"/>
  <c r="D38" i="57" s="1"/>
  <c r="AG37" i="57"/>
  <c r="F37" i="57" a="1"/>
  <c r="F37" i="57" s="1"/>
  <c r="D37" i="57" a="1"/>
  <c r="D37" i="57" s="1"/>
  <c r="AG36" i="57"/>
  <c r="F36" i="57" a="1"/>
  <c r="F36" i="57" s="1"/>
  <c r="D36" i="57" a="1"/>
  <c r="D36" i="57" s="1"/>
  <c r="AG35" i="57"/>
  <c r="F35" i="57" a="1"/>
  <c r="F35" i="57" s="1"/>
  <c r="D35" i="57" a="1"/>
  <c r="D35" i="57" s="1"/>
  <c r="AG34" i="57"/>
  <c r="F34" i="57" a="1"/>
  <c r="F34" i="57" s="1"/>
  <c r="D34" i="57" a="1"/>
  <c r="D34" i="57" s="1"/>
  <c r="AG33" i="57"/>
  <c r="D33" i="57" s="1" a="1"/>
  <c r="D33" i="57" s="1"/>
  <c r="F33" i="57" a="1"/>
  <c r="F33" i="57" s="1"/>
  <c r="AG32" i="57"/>
  <c r="F32" i="57" a="1"/>
  <c r="F32" i="57" s="1"/>
  <c r="D32" i="57" a="1"/>
  <c r="D32" i="57" s="1"/>
  <c r="AG31" i="57"/>
  <c r="F31" i="57" a="1"/>
  <c r="F31" i="57" s="1"/>
  <c r="D31" i="57" a="1"/>
  <c r="D31" i="57" s="1"/>
  <c r="AG30" i="57"/>
  <c r="D30" i="57" s="1" a="1"/>
  <c r="D30" i="57" s="1"/>
  <c r="F30" i="57" a="1"/>
  <c r="F30" i="57" s="1"/>
  <c r="BB29" i="57"/>
  <c r="AT29" i="57"/>
  <c r="AX29" i="57" s="1"/>
  <c r="AS29" i="57"/>
  <c r="AW29" i="57" s="1"/>
  <c r="AR29" i="57"/>
  <c r="AV29" i="57" s="1"/>
  <c r="AG29" i="57"/>
  <c r="D29" i="57" s="1" a="1"/>
  <c r="D29" i="57" s="1"/>
  <c r="F29" i="57" a="1"/>
  <c r="F29" i="57" s="1"/>
  <c r="BB28" i="57"/>
  <c r="AT28" i="57"/>
  <c r="AX28" i="57" s="1"/>
  <c r="AS28" i="57"/>
  <c r="AR28" i="57"/>
  <c r="AV28" i="57" s="1"/>
  <c r="AG28" i="57"/>
  <c r="F28" i="57" a="1"/>
  <c r="F28" i="57" s="1"/>
  <c r="D28" i="57" a="1"/>
  <c r="D28" i="57" s="1"/>
  <c r="BB27" i="57"/>
  <c r="AX27" i="57"/>
  <c r="AW27" i="57"/>
  <c r="AV27" i="57"/>
  <c r="AP27" i="57"/>
  <c r="AG27" i="57"/>
  <c r="F27" i="57" a="1"/>
  <c r="F27" i="57" s="1"/>
  <c r="D27" i="57" a="1"/>
  <c r="D27" i="57" s="1"/>
  <c r="BB26" i="57"/>
  <c r="BA26" i="57"/>
  <c r="AT26" i="57"/>
  <c r="AX26" i="57" s="1"/>
  <c r="AS26" i="57"/>
  <c r="AW26" i="57" s="1"/>
  <c r="AR26" i="57"/>
  <c r="AV26" i="57" s="1"/>
  <c r="AP26" i="57"/>
  <c r="AG26" i="57"/>
  <c r="F26" i="57" a="1"/>
  <c r="F26" i="57" s="1"/>
  <c r="BB25" i="57"/>
  <c r="BA25" i="57"/>
  <c r="AT25" i="57"/>
  <c r="AX25" i="57" s="1"/>
  <c r="AS25" i="57"/>
  <c r="AW25" i="57" s="1"/>
  <c r="AR25" i="57"/>
  <c r="AV25" i="57" s="1"/>
  <c r="AP25" i="57"/>
  <c r="AG25" i="57"/>
  <c r="D25" i="57" s="1" a="1"/>
  <c r="D25" i="57" s="1"/>
  <c r="F25" i="57" a="1"/>
  <c r="F25" i="57" s="1"/>
  <c r="BB24" i="57"/>
  <c r="BA24" i="57"/>
  <c r="AT24" i="57"/>
  <c r="AX24" i="57" s="1"/>
  <c r="AS24" i="57"/>
  <c r="AW24" i="57" s="1"/>
  <c r="AR24" i="57"/>
  <c r="AP24" i="57"/>
  <c r="AG24" i="57"/>
  <c r="F24" i="57" a="1"/>
  <c r="F24" i="57" s="1"/>
  <c r="D24" i="57" a="1"/>
  <c r="D24" i="57" s="1"/>
  <c r="BB23" i="57"/>
  <c r="BA23" i="57"/>
  <c r="AT23" i="57"/>
  <c r="AX23" i="57" s="1"/>
  <c r="AS23" i="57"/>
  <c r="AW23" i="57" s="1"/>
  <c r="AR23" i="57"/>
  <c r="AV23" i="57" s="1"/>
  <c r="AG23" i="57"/>
  <c r="F23" i="57" a="1"/>
  <c r="F23" i="57" s="1"/>
  <c r="D23" i="57" a="1"/>
  <c r="D23" i="57" s="1"/>
  <c r="BB22" i="57"/>
  <c r="BA22" i="57"/>
  <c r="AT22" i="57"/>
  <c r="AX22" i="57" s="1"/>
  <c r="AS22" i="57"/>
  <c r="AW22" i="57" s="1"/>
  <c r="AR22" i="57"/>
  <c r="AV22" i="57" s="1"/>
  <c r="AG22" i="57"/>
  <c r="D22" i="57" s="1" a="1"/>
  <c r="D22" i="57" s="1"/>
  <c r="F22" i="57" a="1"/>
  <c r="F22" i="57" s="1"/>
  <c r="BB21" i="57"/>
  <c r="BA21" i="57" s="1"/>
  <c r="AT21" i="57"/>
  <c r="AX21" i="57" s="1"/>
  <c r="AS21" i="57"/>
  <c r="AW21" i="57" s="1"/>
  <c r="AR21" i="57"/>
  <c r="AV21" i="57" s="1"/>
  <c r="AG21" i="57"/>
  <c r="F21" i="57" a="1"/>
  <c r="F21" i="57" s="1"/>
  <c r="D21" i="57" a="1"/>
  <c r="D21" i="57" s="1"/>
  <c r="BB20" i="57"/>
  <c r="BA20" i="57" s="1"/>
  <c r="AT20" i="57"/>
  <c r="AX20" i="57" s="1"/>
  <c r="AS20" i="57"/>
  <c r="AW20" i="57" s="1"/>
  <c r="AR20" i="57"/>
  <c r="AV20" i="57" s="1"/>
  <c r="AG20" i="57"/>
  <c r="F20" i="57" a="1"/>
  <c r="F20" i="57" s="1"/>
  <c r="D20" i="57" a="1"/>
  <c r="D20" i="57" s="1"/>
  <c r="BB19" i="57"/>
  <c r="BA19" i="57" s="1"/>
  <c r="AT19" i="57"/>
  <c r="AX19" i="57" s="1"/>
  <c r="AS19" i="57"/>
  <c r="AW19" i="57" s="1"/>
  <c r="AR19" i="57"/>
  <c r="AV19" i="57" s="1"/>
  <c r="AG19" i="57"/>
  <c r="F19" i="57" a="1"/>
  <c r="F19" i="57" s="1"/>
  <c r="D19" i="57" a="1"/>
  <c r="D19" i="57" s="1"/>
  <c r="BB18" i="57"/>
  <c r="BA18" i="57" s="1"/>
  <c r="AT18" i="57"/>
  <c r="AX18" i="57" s="1"/>
  <c r="AS18" i="57"/>
  <c r="AW18" i="57" s="1"/>
  <c r="AR18" i="57"/>
  <c r="AV18" i="57" s="1"/>
  <c r="AG18" i="57"/>
  <c r="F18" i="57" a="1"/>
  <c r="F18" i="57" s="1"/>
  <c r="D18" i="57" a="1"/>
  <c r="D18" i="57" s="1"/>
  <c r="BB17" i="57"/>
  <c r="BA17" i="57" s="1"/>
  <c r="AT17" i="57"/>
  <c r="AX17" i="57" s="1"/>
  <c r="AS17" i="57"/>
  <c r="AW17" i="57" s="1"/>
  <c r="AR17" i="57"/>
  <c r="AV17" i="57" s="1"/>
  <c r="AG17" i="57"/>
  <c r="F17" i="57" a="1"/>
  <c r="F17" i="57" s="1"/>
  <c r="D17" i="57" a="1"/>
  <c r="D17" i="57" s="1"/>
  <c r="BB16" i="57"/>
  <c r="BA16" i="57" s="1"/>
  <c r="AT16" i="57"/>
  <c r="AX16" i="57" s="1"/>
  <c r="AS16" i="57"/>
  <c r="AW16" i="57" s="1"/>
  <c r="AR16" i="57"/>
  <c r="AV16" i="57" s="1"/>
  <c r="AP16" i="57"/>
  <c r="AG16" i="57"/>
  <c r="F16" i="57" a="1"/>
  <c r="F16" i="57" s="1"/>
  <c r="D16" i="57" a="1"/>
  <c r="D16" i="57" s="1"/>
  <c r="BB15" i="57"/>
  <c r="BA15" i="57"/>
  <c r="AT15" i="57"/>
  <c r="AX15" i="57" s="1"/>
  <c r="AS15" i="57"/>
  <c r="AR15" i="57"/>
  <c r="AV15" i="57" s="1"/>
  <c r="AG15" i="57"/>
  <c r="F15" i="57" a="1"/>
  <c r="F15" i="57" s="1"/>
  <c r="D15" i="57" a="1"/>
  <c r="D15" i="57" s="1"/>
  <c r="BB14" i="57"/>
  <c r="BA14" i="57"/>
  <c r="AT14" i="57"/>
  <c r="AX14" i="57" s="1"/>
  <c r="AS14" i="57"/>
  <c r="AW14" i="57" s="1"/>
  <c r="AR14" i="57"/>
  <c r="AV14" i="57" s="1"/>
  <c r="AG14" i="57"/>
  <c r="D14" i="57" s="1" a="1"/>
  <c r="D14" i="57" s="1"/>
  <c r="F14" i="57" a="1"/>
  <c r="F14" i="57" s="1"/>
  <c r="BB13" i="57"/>
  <c r="BA13" i="57" s="1"/>
  <c r="AT13" i="57"/>
  <c r="AX13" i="57" s="1"/>
  <c r="AS13" i="57"/>
  <c r="AW13" i="57" s="1"/>
  <c r="AR13" i="57"/>
  <c r="AV13" i="57" s="1"/>
  <c r="AG13" i="57"/>
  <c r="F13" i="57" a="1"/>
  <c r="F13" i="57" s="1"/>
  <c r="D13" i="57" a="1"/>
  <c r="D13" i="57" s="1"/>
  <c r="BB12" i="57"/>
  <c r="BA12" i="57"/>
  <c r="AT12" i="57"/>
  <c r="AX12" i="57" s="1"/>
  <c r="AS12" i="57"/>
  <c r="AW12" i="57" s="1"/>
  <c r="AR12" i="57"/>
  <c r="AV12" i="57" s="1"/>
  <c r="AP12" i="57"/>
  <c r="AG12" i="57"/>
  <c r="D12" i="57" s="1" a="1"/>
  <c r="D12" i="57" s="1"/>
  <c r="F12" i="57" a="1"/>
  <c r="F12" i="57" s="1"/>
  <c r="BB11" i="57"/>
  <c r="BA11" i="57"/>
  <c r="AT11" i="57"/>
  <c r="AX11" i="57" s="1"/>
  <c r="AS11" i="57"/>
  <c r="AW11" i="57" s="1"/>
  <c r="AR11" i="57"/>
  <c r="AV11" i="57" s="1"/>
  <c r="AQ11" i="57"/>
  <c r="AP11" i="57"/>
  <c r="AG11" i="57"/>
  <c r="F11" i="57" a="1"/>
  <c r="F11" i="57" s="1"/>
  <c r="BB10" i="57"/>
  <c r="BA10" i="57" s="1"/>
  <c r="AT10" i="57"/>
  <c r="AX10" i="57" s="1"/>
  <c r="AS10" i="57"/>
  <c r="AW10" i="57" s="1"/>
  <c r="AR10" i="57"/>
  <c r="AV10" i="57" s="1"/>
  <c r="AP10" i="57"/>
  <c r="AG10" i="57"/>
  <c r="F10" i="57"/>
  <c r="F10" i="57" a="1"/>
  <c r="D10" i="57" a="1"/>
  <c r="D10" i="57" s="1"/>
  <c r="BB9" i="57"/>
  <c r="BA9" i="57"/>
  <c r="AT9" i="57"/>
  <c r="AX9" i="57" s="1"/>
  <c r="AS9" i="57"/>
  <c r="AW9" i="57" s="1"/>
  <c r="AR9" i="57"/>
  <c r="AV9" i="57" s="1"/>
  <c r="AG9" i="57"/>
  <c r="D9" i="57" s="1" a="1"/>
  <c r="D9" i="57" s="1"/>
  <c r="F9" i="57"/>
  <c r="F9" i="57" a="1"/>
  <c r="BB8" i="57"/>
  <c r="BA8" i="57" s="1"/>
  <c r="AT8" i="57"/>
  <c r="AX8" i="57" s="1"/>
  <c r="AS8" i="57"/>
  <c r="AW8" i="57" s="1"/>
  <c r="AR8" i="57"/>
  <c r="AV8" i="57" s="1"/>
  <c r="AG8" i="57"/>
  <c r="F8" i="57"/>
  <c r="F8" i="57" a="1"/>
  <c r="D8" i="57" a="1"/>
  <c r="D8" i="57" s="1"/>
  <c r="BB7" i="57"/>
  <c r="BA7" i="57"/>
  <c r="AT7" i="57"/>
  <c r="AX7" i="57" s="1"/>
  <c r="AS7" i="57"/>
  <c r="AR7" i="57"/>
  <c r="AV7" i="57" s="1"/>
  <c r="AG7" i="57"/>
  <c r="F7" i="57"/>
  <c r="F7" i="57" a="1"/>
  <c r="D7" i="57" a="1"/>
  <c r="D7" i="57" s="1"/>
  <c r="BB6" i="57"/>
  <c r="BA6" i="57"/>
  <c r="AT6" i="57"/>
  <c r="AX6" i="57" s="1"/>
  <c r="AS6" i="57"/>
  <c r="AW6" i="57" s="1"/>
  <c r="AR6" i="57"/>
  <c r="AV6" i="57" s="1"/>
  <c r="AG6" i="57"/>
  <c r="D6" i="57" s="1" a="1"/>
  <c r="D6" i="57" s="1"/>
  <c r="F6" i="57"/>
  <c r="F6" i="57" a="1"/>
  <c r="BB5" i="57"/>
  <c r="BA5" i="57" s="1"/>
  <c r="AT5" i="57"/>
  <c r="AX5" i="57" s="1"/>
  <c r="AS5" i="57"/>
  <c r="AW5" i="57" s="1"/>
  <c r="AR5" i="57"/>
  <c r="AV5" i="57" s="1"/>
  <c r="AQ5" i="57"/>
  <c r="AP5" i="57"/>
  <c r="AG5" i="57"/>
  <c r="F5" i="57" a="1"/>
  <c r="F5" i="57" s="1"/>
  <c r="D5" i="57" a="1"/>
  <c r="D5" i="57" s="1"/>
  <c r="BB4" i="57"/>
  <c r="AQ4" i="57" s="1"/>
  <c r="BA4" i="57"/>
  <c r="AT4" i="57"/>
  <c r="AX4" i="57" s="1"/>
  <c r="AS4" i="57"/>
  <c r="AW4" i="57" s="1"/>
  <c r="AR4" i="57"/>
  <c r="AV4" i="57" s="1"/>
  <c r="AP4" i="57"/>
  <c r="AG4" i="57"/>
  <c r="D4" i="57" s="1" a="1"/>
  <c r="D4" i="57" s="1"/>
  <c r="F4" i="57"/>
  <c r="F4" i="57" a="1"/>
  <c r="AJ2" i="57"/>
  <c r="AI2" i="57"/>
  <c r="AH2" i="57"/>
  <c r="AB2" i="57"/>
  <c r="T2" i="57"/>
  <c r="L2" i="57"/>
  <c r="A1" i="57"/>
  <c r="AG2" i="57" l="1"/>
  <c r="AU1" i="58"/>
  <c r="AX2" i="58"/>
  <c r="AU2" i="58"/>
  <c r="E96" i="58"/>
  <c r="AU15" i="57"/>
  <c r="AU7" i="57"/>
  <c r="AU13" i="57"/>
  <c r="AU28" i="57"/>
  <c r="AW7" i="57"/>
  <c r="AU10" i="57"/>
  <c r="AU19" i="57"/>
  <c r="AW28" i="57"/>
  <c r="AU8" i="57"/>
  <c r="AW15" i="57"/>
  <c r="AU18" i="57"/>
  <c r="AU24" i="57"/>
  <c r="AU22" i="57"/>
  <c r="AU9" i="57"/>
  <c r="AU16" i="57"/>
  <c r="AU21" i="57"/>
  <c r="E93" i="57"/>
  <c r="E81" i="57"/>
  <c r="E69" i="57"/>
  <c r="E57" i="57"/>
  <c r="E45" i="57"/>
  <c r="E30" i="57"/>
  <c r="E86" i="57"/>
  <c r="E74" i="57"/>
  <c r="E62" i="57"/>
  <c r="E50" i="57"/>
  <c r="E40" i="57"/>
  <c r="E35" i="57"/>
  <c r="E23" i="57"/>
  <c r="E20" i="57"/>
  <c r="E17" i="57"/>
  <c r="E9" i="57"/>
  <c r="E6" i="57"/>
  <c r="E4" i="57"/>
  <c r="E91" i="57"/>
  <c r="E79" i="57"/>
  <c r="E67" i="57"/>
  <c r="E55" i="57"/>
  <c r="E43" i="57"/>
  <c r="E14" i="57"/>
  <c r="E84" i="57"/>
  <c r="E72" i="57"/>
  <c r="E60" i="57"/>
  <c r="E48" i="57"/>
  <c r="E33" i="57"/>
  <c r="E29" i="57"/>
  <c r="E89" i="57"/>
  <c r="E77" i="57"/>
  <c r="E65" i="57"/>
  <c r="E53" i="57"/>
  <c r="E38" i="57"/>
  <c r="E25" i="57"/>
  <c r="E15" i="57"/>
  <c r="E94" i="57"/>
  <c r="E82" i="57"/>
  <c r="E70" i="57"/>
  <c r="E58" i="57"/>
  <c r="E46" i="57"/>
  <c r="E31" i="57"/>
  <c r="E22" i="57"/>
  <c r="E19" i="57"/>
  <c r="E11" i="57"/>
  <c r="E5" i="57"/>
  <c r="E87" i="57"/>
  <c r="E75" i="57"/>
  <c r="E63" i="57"/>
  <c r="E51" i="57"/>
  <c r="E41" i="57"/>
  <c r="E36" i="57"/>
  <c r="E28" i="57"/>
  <c r="E27" i="57"/>
  <c r="E16" i="57"/>
  <c r="E13" i="57"/>
  <c r="E8" i="57"/>
  <c r="E92" i="57"/>
  <c r="E80" i="57"/>
  <c r="E68" i="57"/>
  <c r="E56" i="57"/>
  <c r="E44" i="57"/>
  <c r="E85" i="57"/>
  <c r="E73" i="57"/>
  <c r="E61" i="57"/>
  <c r="E49" i="57"/>
  <c r="E34" i="57"/>
  <c r="E90" i="57"/>
  <c r="E78" i="57"/>
  <c r="E66" i="57"/>
  <c r="E54" i="57"/>
  <c r="E42" i="57"/>
  <c r="E39" i="57"/>
  <c r="E24" i="57"/>
  <c r="E21" i="57"/>
  <c r="E18" i="57"/>
  <c r="E10" i="57"/>
  <c r="E7" i="57"/>
  <c r="E83" i="57"/>
  <c r="E71" i="57"/>
  <c r="E59" i="57"/>
  <c r="E47" i="57"/>
  <c r="E32" i="57"/>
  <c r="E88" i="57"/>
  <c r="E76" i="57"/>
  <c r="E64" i="57"/>
  <c r="E52" i="57"/>
  <c r="E37" i="57"/>
  <c r="E26" i="57"/>
  <c r="E12" i="57"/>
  <c r="G84" i="57"/>
  <c r="G4" i="57"/>
  <c r="G6" i="57"/>
  <c r="G9" i="57"/>
  <c r="G14" i="57"/>
  <c r="AV24" i="57"/>
  <c r="G43" i="57"/>
  <c r="G55" i="57"/>
  <c r="G67" i="57"/>
  <c r="G79" i="57"/>
  <c r="G91" i="57"/>
  <c r="G40" i="57"/>
  <c r="G50" i="57"/>
  <c r="G62" i="57"/>
  <c r="G74" i="57"/>
  <c r="G86" i="57"/>
  <c r="AU5" i="57"/>
  <c r="G23" i="57"/>
  <c r="G35" i="57"/>
  <c r="G30" i="57"/>
  <c r="G45" i="57"/>
  <c r="G57" i="57"/>
  <c r="G69" i="57"/>
  <c r="G81" i="57"/>
  <c r="G93" i="57"/>
  <c r="G20" i="57"/>
  <c r="G26" i="57"/>
  <c r="G37" i="57"/>
  <c r="G52" i="57"/>
  <c r="G64" i="57"/>
  <c r="G76" i="57"/>
  <c r="G88" i="57"/>
  <c r="G12" i="57"/>
  <c r="G7" i="57"/>
  <c r="G10" i="57"/>
  <c r="AU11" i="57"/>
  <c r="G15" i="57"/>
  <c r="AU25" i="57"/>
  <c r="AU29" i="57"/>
  <c r="G32" i="57"/>
  <c r="G47" i="57"/>
  <c r="G59" i="57"/>
  <c r="G71" i="57"/>
  <c r="G83" i="57"/>
  <c r="AU6" i="57"/>
  <c r="AU14" i="57"/>
  <c r="G18" i="57"/>
  <c r="G21" i="57"/>
  <c r="G24" i="57"/>
  <c r="G39" i="57"/>
  <c r="G42" i="57"/>
  <c r="G54" i="57"/>
  <c r="G66" i="57"/>
  <c r="G78" i="57"/>
  <c r="G90" i="57"/>
  <c r="G5" i="57"/>
  <c r="AU17" i="57"/>
  <c r="AU20" i="57"/>
  <c r="AU23" i="57"/>
  <c r="G34" i="57"/>
  <c r="G49" i="57"/>
  <c r="G61" i="57"/>
  <c r="G73" i="57"/>
  <c r="G85" i="57"/>
  <c r="G44" i="57"/>
  <c r="G56" i="57"/>
  <c r="G68" i="57"/>
  <c r="G80" i="57"/>
  <c r="G92" i="57"/>
  <c r="AU4" i="57"/>
  <c r="G13" i="57"/>
  <c r="G16" i="57"/>
  <c r="G27" i="57"/>
  <c r="G28" i="57"/>
  <c r="G36" i="57"/>
  <c r="G41" i="57"/>
  <c r="G51" i="57"/>
  <c r="G63" i="57"/>
  <c r="G75" i="57"/>
  <c r="G87" i="57"/>
  <c r="G17" i="57"/>
  <c r="G11" i="57"/>
  <c r="AU12" i="57"/>
  <c r="G19" i="57"/>
  <c r="G22" i="57"/>
  <c r="AU26" i="57"/>
  <c r="G31" i="57"/>
  <c r="G46" i="57"/>
  <c r="G58" i="57"/>
  <c r="G70" i="57"/>
  <c r="G82" i="57"/>
  <c r="G94" i="57"/>
  <c r="G8" i="57"/>
  <c r="F2" i="57"/>
  <c r="G25" i="57"/>
  <c r="G38" i="57"/>
  <c r="G53" i="57"/>
  <c r="G65" i="57"/>
  <c r="G77" i="57"/>
  <c r="G89" i="57"/>
  <c r="G29" i="57"/>
  <c r="G33" i="57"/>
  <c r="G48" i="57"/>
  <c r="G60" i="57"/>
  <c r="G72" i="57"/>
  <c r="AX2" i="57" l="1"/>
  <c r="AU1" i="57"/>
  <c r="E96" i="57"/>
  <c r="D90" i="55" l="1" a="1"/>
  <c r="D90" i="55" s="1"/>
  <c r="D88" i="55" a="1"/>
  <c r="D88" i="55" s="1"/>
  <c r="D87" i="55" a="1"/>
  <c r="D87" i="55" s="1"/>
  <c r="D85" i="55" a="1"/>
  <c r="D85" i="55" s="1"/>
  <c r="AG94" i="55" l="1"/>
  <c r="F94" i="55" a="1"/>
  <c r="F94" i="55" s="1"/>
  <c r="D94" i="55" a="1"/>
  <c r="D94" i="55" s="1"/>
  <c r="AG93" i="55"/>
  <c r="F93" i="55" a="1"/>
  <c r="F93" i="55" s="1"/>
  <c r="D93" i="55" a="1"/>
  <c r="D93" i="55" s="1"/>
  <c r="AG92" i="55"/>
  <c r="F92" i="55" a="1"/>
  <c r="F92" i="55" s="1"/>
  <c r="D92" i="55" a="1"/>
  <c r="D92" i="55" s="1"/>
  <c r="AG91" i="55"/>
  <c r="D91" i="55" s="1" a="1"/>
  <c r="D91" i="55" s="1"/>
  <c r="F91" i="55" a="1"/>
  <c r="F91" i="55" s="1"/>
  <c r="AG90" i="55"/>
  <c r="F90" i="55" a="1"/>
  <c r="F90" i="55" s="1"/>
  <c r="AG89" i="55"/>
  <c r="F89" i="55" a="1"/>
  <c r="F89" i="55" s="1"/>
  <c r="D89" i="55" a="1"/>
  <c r="D89" i="55" s="1"/>
  <c r="AG88" i="55"/>
  <c r="F88" i="55" a="1"/>
  <c r="F88" i="55" s="1"/>
  <c r="AG87" i="55"/>
  <c r="F87" i="55" a="1"/>
  <c r="F87" i="55" s="1"/>
  <c r="AG86" i="55"/>
  <c r="D86" i="55" s="1" a="1"/>
  <c r="D86" i="55" s="1"/>
  <c r="F86" i="55" a="1"/>
  <c r="F86" i="55" s="1"/>
  <c r="AG85" i="55"/>
  <c r="F85" i="55" a="1"/>
  <c r="F85" i="55" s="1"/>
  <c r="AG84" i="55"/>
  <c r="D84" i="55" s="1" a="1"/>
  <c r="D84" i="55" s="1"/>
  <c r="F84" i="55" a="1"/>
  <c r="F84" i="55" s="1"/>
  <c r="AG83" i="55"/>
  <c r="D83" i="55" s="1" a="1"/>
  <c r="D83" i="55" s="1"/>
  <c r="F83" i="55" a="1"/>
  <c r="F83" i="55" s="1"/>
  <c r="AG82" i="55"/>
  <c r="D82" i="55" s="1" a="1"/>
  <c r="D82" i="55" s="1"/>
  <c r="F82" i="55" a="1"/>
  <c r="F82" i="55" s="1"/>
  <c r="AG81" i="55"/>
  <c r="F81" i="55" a="1"/>
  <c r="F81" i="55" s="1"/>
  <c r="D81" i="55" a="1"/>
  <c r="D81" i="55" s="1"/>
  <c r="AG80" i="55"/>
  <c r="F80" i="55" a="1"/>
  <c r="F80" i="55" s="1"/>
  <c r="D80" i="55" a="1"/>
  <c r="D80" i="55" s="1"/>
  <c r="AG79" i="55"/>
  <c r="D79" i="55" s="1" a="1"/>
  <c r="D79" i="55" s="1"/>
  <c r="F79" i="55" a="1"/>
  <c r="F79" i="55" s="1"/>
  <c r="AG78" i="55"/>
  <c r="D78" i="55" s="1" a="1"/>
  <c r="D78" i="55" s="1"/>
  <c r="F78" i="55" a="1"/>
  <c r="F78" i="55" s="1"/>
  <c r="AG77" i="55"/>
  <c r="F77" i="55" a="1"/>
  <c r="F77" i="55" s="1"/>
  <c r="D77" i="55" a="1"/>
  <c r="D77" i="55" s="1"/>
  <c r="AG76" i="55"/>
  <c r="F76" i="55" a="1"/>
  <c r="F76" i="55" s="1"/>
  <c r="D76" i="55" a="1"/>
  <c r="D76" i="55" s="1"/>
  <c r="AG75" i="55"/>
  <c r="D75" i="55" s="1" a="1"/>
  <c r="D75" i="55" s="1"/>
  <c r="F75" i="55" a="1"/>
  <c r="F75" i="55" s="1"/>
  <c r="AG74" i="55"/>
  <c r="D74" i="55" s="1" a="1"/>
  <c r="D74" i="55" s="1"/>
  <c r="F74" i="55" a="1"/>
  <c r="F74" i="55" s="1"/>
  <c r="AG73" i="55"/>
  <c r="F73" i="55" a="1"/>
  <c r="F73" i="55" s="1"/>
  <c r="D73" i="55" a="1"/>
  <c r="D73" i="55" s="1"/>
  <c r="AG72" i="55"/>
  <c r="F72" i="55" a="1"/>
  <c r="F72" i="55" s="1"/>
  <c r="D72" i="55" a="1"/>
  <c r="D72" i="55" s="1"/>
  <c r="AG71" i="55"/>
  <c r="D71" i="55" s="1" a="1"/>
  <c r="D71" i="55" s="1"/>
  <c r="F71" i="55" a="1"/>
  <c r="F71" i="55" s="1"/>
  <c r="AG70" i="55"/>
  <c r="F70" i="55" a="1"/>
  <c r="F70" i="55" s="1"/>
  <c r="D70" i="55" a="1"/>
  <c r="D70" i="55" s="1"/>
  <c r="AG69" i="55"/>
  <c r="D69" i="55" s="1" a="1"/>
  <c r="D69" i="55" s="1"/>
  <c r="F69" i="55" a="1"/>
  <c r="F69" i="55" s="1"/>
  <c r="AG68" i="55"/>
  <c r="F68" i="55" a="1"/>
  <c r="F68" i="55" s="1"/>
  <c r="D68" i="55" a="1"/>
  <c r="D68" i="55" s="1"/>
  <c r="AG67" i="55"/>
  <c r="D67" i="55" s="1" a="1"/>
  <c r="D67" i="55" s="1"/>
  <c r="F67" i="55" a="1"/>
  <c r="F67" i="55" s="1"/>
  <c r="AG66" i="55"/>
  <c r="D66" i="55" s="1" a="1"/>
  <c r="D66" i="55" s="1"/>
  <c r="F66" i="55" a="1"/>
  <c r="F66" i="55" s="1"/>
  <c r="AG65" i="55"/>
  <c r="D65" i="55" s="1" a="1"/>
  <c r="D65" i="55" s="1"/>
  <c r="F65" i="55" a="1"/>
  <c r="F65" i="55" s="1"/>
  <c r="AG64" i="55"/>
  <c r="F64" i="55" a="1"/>
  <c r="F64" i="55" s="1"/>
  <c r="D64" i="55" a="1"/>
  <c r="D64" i="55" s="1"/>
  <c r="AG63" i="55"/>
  <c r="D63" i="55" s="1" a="1"/>
  <c r="D63" i="55" s="1"/>
  <c r="F63" i="55" a="1"/>
  <c r="F63" i="55" s="1"/>
  <c r="AG62" i="55"/>
  <c r="D62" i="55" s="1" a="1"/>
  <c r="D62" i="55" s="1"/>
  <c r="F62" i="55" a="1"/>
  <c r="F62" i="55" s="1"/>
  <c r="AG61" i="55"/>
  <c r="F61" i="55" a="1"/>
  <c r="F61" i="55" s="1"/>
  <c r="D61" i="55" a="1"/>
  <c r="D61" i="55" s="1"/>
  <c r="AG60" i="55"/>
  <c r="D60" i="55" s="1" a="1"/>
  <c r="D60" i="55" s="1"/>
  <c r="F60" i="55" a="1"/>
  <c r="F60" i="55" s="1"/>
  <c r="AG59" i="55"/>
  <c r="D59" i="55" s="1" a="1"/>
  <c r="D59" i="55" s="1"/>
  <c r="F59" i="55" a="1"/>
  <c r="F59" i="55" s="1"/>
  <c r="AG58" i="55"/>
  <c r="F58" i="55" a="1"/>
  <c r="F58" i="55" s="1"/>
  <c r="D58" i="55" a="1"/>
  <c r="D58" i="55" s="1"/>
  <c r="AG57" i="55"/>
  <c r="F57" i="55" a="1"/>
  <c r="F57" i="55" s="1"/>
  <c r="D57" i="55" a="1"/>
  <c r="D57" i="55" s="1"/>
  <c r="AG56" i="55"/>
  <c r="D56" i="55" s="1" a="1"/>
  <c r="D56" i="55" s="1"/>
  <c r="F56" i="55" a="1"/>
  <c r="F56" i="55" s="1"/>
  <c r="AG55" i="55"/>
  <c r="D55" i="55" s="1" a="1"/>
  <c r="D55" i="55" s="1"/>
  <c r="F55" i="55" a="1"/>
  <c r="F55" i="55" s="1"/>
  <c r="AG54" i="55"/>
  <c r="D54" i="55" s="1" a="1"/>
  <c r="D54" i="55" s="1"/>
  <c r="F54" i="55" a="1"/>
  <c r="F54" i="55" s="1"/>
  <c r="AG53" i="55"/>
  <c r="F53" i="55" a="1"/>
  <c r="F53" i="55" s="1"/>
  <c r="D53" i="55" a="1"/>
  <c r="D53" i="55" s="1"/>
  <c r="AG52" i="55"/>
  <c r="F52" i="55" a="1"/>
  <c r="F52" i="55" s="1"/>
  <c r="D52" i="55" a="1"/>
  <c r="D52" i="55" s="1"/>
  <c r="AG51" i="55"/>
  <c r="D51" i="55" s="1" a="1"/>
  <c r="D51" i="55" s="1"/>
  <c r="F51" i="55" a="1"/>
  <c r="F51" i="55" s="1"/>
  <c r="AG50" i="55"/>
  <c r="D50" i="55" s="1" a="1"/>
  <c r="D50" i="55" s="1"/>
  <c r="F50" i="55" a="1"/>
  <c r="F50" i="55" s="1"/>
  <c r="AG49" i="55"/>
  <c r="F49" i="55" a="1"/>
  <c r="F49" i="55" s="1"/>
  <c r="D49" i="55" a="1"/>
  <c r="D49" i="55" s="1"/>
  <c r="AG48" i="55"/>
  <c r="F48" i="55" a="1"/>
  <c r="F48" i="55" s="1"/>
  <c r="D48" i="55" a="1"/>
  <c r="D48" i="55" s="1"/>
  <c r="AG47" i="55"/>
  <c r="D47" i="55" s="1" a="1"/>
  <c r="D47" i="55" s="1"/>
  <c r="F47" i="55" a="1"/>
  <c r="F47" i="55" s="1"/>
  <c r="AG46" i="55"/>
  <c r="F46" i="55" a="1"/>
  <c r="F46" i="55" s="1"/>
  <c r="D46" i="55" a="1"/>
  <c r="D46" i="55" s="1"/>
  <c r="AG45" i="55"/>
  <c r="F45" i="55" a="1"/>
  <c r="F45" i="55" s="1"/>
  <c r="D45" i="55" a="1"/>
  <c r="D45" i="55" s="1"/>
  <c r="AG44" i="55"/>
  <c r="F44" i="55" a="1"/>
  <c r="F44" i="55" s="1"/>
  <c r="D44" i="55" a="1"/>
  <c r="D44" i="55" s="1"/>
  <c r="AG43" i="55"/>
  <c r="D43" i="55" s="1" a="1"/>
  <c r="D43" i="55" s="1"/>
  <c r="F43" i="55" a="1"/>
  <c r="F43" i="55" s="1"/>
  <c r="AG42" i="55"/>
  <c r="D42" i="55" s="1" a="1"/>
  <c r="D42" i="55" s="1"/>
  <c r="F42" i="55" a="1"/>
  <c r="F42" i="55" s="1"/>
  <c r="AS41" i="55"/>
  <c r="AR41" i="55"/>
  <c r="AG41" i="55"/>
  <c r="D41" i="55" s="1" a="1"/>
  <c r="D41" i="55" s="1"/>
  <c r="F41" i="55" a="1"/>
  <c r="F41" i="55" s="1"/>
  <c r="AG40" i="55"/>
  <c r="D40" i="55" s="1" a="1"/>
  <c r="D40" i="55" s="1"/>
  <c r="F40" i="55" a="1"/>
  <c r="F40" i="55" s="1"/>
  <c r="BC39" i="55"/>
  <c r="AG39" i="55"/>
  <c r="D39" i="55" s="1" a="1"/>
  <c r="D39" i="55" s="1"/>
  <c r="F39" i="55" a="1"/>
  <c r="F39" i="55" s="1"/>
  <c r="AG38" i="55"/>
  <c r="F38" i="55" a="1"/>
  <c r="F38" i="55" s="1"/>
  <c r="D38" i="55" a="1"/>
  <c r="D38" i="55" s="1"/>
  <c r="AG37" i="55"/>
  <c r="F37" i="55" a="1"/>
  <c r="F37" i="55" s="1"/>
  <c r="D37" i="55" a="1"/>
  <c r="D37" i="55" s="1"/>
  <c r="AG36" i="55"/>
  <c r="D36" i="55" s="1" a="1"/>
  <c r="D36" i="55" s="1"/>
  <c r="F36" i="55" a="1"/>
  <c r="F36" i="55" s="1"/>
  <c r="AG35" i="55"/>
  <c r="D35" i="55" s="1" a="1"/>
  <c r="D35" i="55" s="1"/>
  <c r="F35" i="55" a="1"/>
  <c r="F35" i="55" s="1"/>
  <c r="AG34" i="55"/>
  <c r="F34" i="55" a="1"/>
  <c r="F34" i="55" s="1"/>
  <c r="D34" i="55" a="1"/>
  <c r="D34" i="55" s="1"/>
  <c r="AG33" i="55"/>
  <c r="F33" i="55" a="1"/>
  <c r="F33" i="55" s="1"/>
  <c r="D33" i="55" a="1"/>
  <c r="D33" i="55" s="1"/>
  <c r="AG32" i="55"/>
  <c r="D32" i="55" s="1" a="1"/>
  <c r="D32" i="55" s="1"/>
  <c r="F32" i="55" a="1"/>
  <c r="F32" i="55" s="1"/>
  <c r="AG31" i="55"/>
  <c r="D31" i="55" s="1" a="1"/>
  <c r="D31" i="55" s="1"/>
  <c r="F31" i="55" a="1"/>
  <c r="F31" i="55" s="1"/>
  <c r="AG30" i="55"/>
  <c r="F30" i="55" a="1"/>
  <c r="F30" i="55" s="1"/>
  <c r="D30" i="55" a="1"/>
  <c r="D30" i="55" s="1"/>
  <c r="BB29" i="55"/>
  <c r="AT29" i="55"/>
  <c r="AX29" i="55" s="1"/>
  <c r="AS29" i="55"/>
  <c r="AW29" i="55" s="1"/>
  <c r="AR29" i="55"/>
  <c r="AV29" i="55" s="1"/>
  <c r="AG29" i="55"/>
  <c r="F29" i="55" a="1"/>
  <c r="F29" i="55" s="1"/>
  <c r="D29" i="55" a="1"/>
  <c r="D29" i="55" s="1"/>
  <c r="BB28" i="55"/>
  <c r="AT28" i="55"/>
  <c r="AX28" i="55" s="1"/>
  <c r="AS28" i="55"/>
  <c r="AW28" i="55" s="1"/>
  <c r="AR28" i="55"/>
  <c r="AV28" i="55" s="1"/>
  <c r="AG28" i="55"/>
  <c r="F28" i="55" a="1"/>
  <c r="F28" i="55" s="1"/>
  <c r="D28" i="55" a="1"/>
  <c r="D28" i="55" s="1"/>
  <c r="BB27" i="55"/>
  <c r="AX27" i="55"/>
  <c r="AW27" i="55"/>
  <c r="AV27" i="55"/>
  <c r="AP27" i="55"/>
  <c r="AG27" i="55"/>
  <c r="F27" i="55" a="1"/>
  <c r="F27" i="55" s="1"/>
  <c r="D27" i="55" a="1"/>
  <c r="D27" i="55" s="1"/>
  <c r="BB26" i="55"/>
  <c r="BA26" i="55" s="1"/>
  <c r="AT26" i="55"/>
  <c r="AX26" i="55" s="1"/>
  <c r="AS26" i="55"/>
  <c r="AW26" i="55" s="1"/>
  <c r="AR26" i="55"/>
  <c r="AV26" i="55" s="1"/>
  <c r="AP26" i="55"/>
  <c r="AG26" i="55"/>
  <c r="F26" i="55" a="1"/>
  <c r="F26" i="55" s="1"/>
  <c r="D26" i="55" a="1"/>
  <c r="D26" i="55" s="1"/>
  <c r="BB25" i="55"/>
  <c r="BA25" i="55" s="1"/>
  <c r="AT25" i="55"/>
  <c r="AX25" i="55" s="1"/>
  <c r="AS25" i="55"/>
  <c r="AW25" i="55" s="1"/>
  <c r="AR25" i="55"/>
  <c r="AV25" i="55" s="1"/>
  <c r="AP25" i="55"/>
  <c r="AG25" i="55"/>
  <c r="D25" i="55" s="1" a="1"/>
  <c r="D25" i="55" s="1"/>
  <c r="F25" i="55" a="1"/>
  <c r="F25" i="55" s="1"/>
  <c r="BB24" i="55"/>
  <c r="BA24" i="55" s="1"/>
  <c r="AT24" i="55"/>
  <c r="AX24" i="55" s="1"/>
  <c r="AS24" i="55"/>
  <c r="AW24" i="55" s="1"/>
  <c r="AR24" i="55"/>
  <c r="AP24" i="55"/>
  <c r="AG24" i="55"/>
  <c r="D24" i="55" s="1" a="1"/>
  <c r="D24" i="55" s="1"/>
  <c r="F24" i="55" a="1"/>
  <c r="F24" i="55" s="1"/>
  <c r="BB23" i="55"/>
  <c r="BA23" i="55" s="1"/>
  <c r="AT23" i="55"/>
  <c r="AX23" i="55" s="1"/>
  <c r="AS23" i="55"/>
  <c r="AW23" i="55" s="1"/>
  <c r="AR23" i="55"/>
  <c r="AV23" i="55" s="1"/>
  <c r="AG23" i="55"/>
  <c r="F23" i="55" a="1"/>
  <c r="F23" i="55" s="1"/>
  <c r="D23" i="55" a="1"/>
  <c r="D23" i="55" s="1"/>
  <c r="BB22" i="55"/>
  <c r="BA22" i="55"/>
  <c r="AT22" i="55"/>
  <c r="AX22" i="55" s="1"/>
  <c r="AS22" i="55"/>
  <c r="AW22" i="55" s="1"/>
  <c r="AR22" i="55"/>
  <c r="AV22" i="55" s="1"/>
  <c r="AG22" i="55"/>
  <c r="D22" i="55" s="1" a="1"/>
  <c r="D22" i="55" s="1"/>
  <c r="F22" i="55" a="1"/>
  <c r="F22" i="55" s="1"/>
  <c r="BB21" i="55"/>
  <c r="BA21" i="55" s="1"/>
  <c r="AT21" i="55"/>
  <c r="AX21" i="55" s="1"/>
  <c r="AS21" i="55"/>
  <c r="AW21" i="55" s="1"/>
  <c r="AR21" i="55"/>
  <c r="AV21" i="55" s="1"/>
  <c r="AG21" i="55"/>
  <c r="D21" i="55" s="1" a="1"/>
  <c r="D21" i="55" s="1"/>
  <c r="F21" i="55" a="1"/>
  <c r="F21" i="55" s="1"/>
  <c r="BB20" i="55"/>
  <c r="BA20" i="55" s="1"/>
  <c r="AT20" i="55"/>
  <c r="AX20" i="55" s="1"/>
  <c r="AS20" i="55"/>
  <c r="AW20" i="55" s="1"/>
  <c r="AR20" i="55"/>
  <c r="AV20" i="55" s="1"/>
  <c r="AG20" i="55"/>
  <c r="D20" i="55" s="1" a="1"/>
  <c r="D20" i="55" s="1"/>
  <c r="F20" i="55" a="1"/>
  <c r="F20" i="55" s="1"/>
  <c r="BB19" i="55"/>
  <c r="BA19" i="55" s="1"/>
  <c r="AT19" i="55"/>
  <c r="AX19" i="55" s="1"/>
  <c r="AS19" i="55"/>
  <c r="AW19" i="55" s="1"/>
  <c r="AR19" i="55"/>
  <c r="AV19" i="55" s="1"/>
  <c r="AG19" i="55"/>
  <c r="F19" i="55" a="1"/>
  <c r="F19" i="55" s="1"/>
  <c r="D19" i="55" a="1"/>
  <c r="D19" i="55" s="1"/>
  <c r="BB18" i="55"/>
  <c r="BA18" i="55" s="1"/>
  <c r="AT18" i="55"/>
  <c r="AX18" i="55" s="1"/>
  <c r="AS18" i="55"/>
  <c r="AW18" i="55" s="1"/>
  <c r="AR18" i="55"/>
  <c r="AV18" i="55" s="1"/>
  <c r="AG18" i="55"/>
  <c r="D18" i="55" s="1" a="1"/>
  <c r="D18" i="55" s="1"/>
  <c r="F18" i="55" a="1"/>
  <c r="F18" i="55" s="1"/>
  <c r="BB17" i="55"/>
  <c r="BA17" i="55" s="1"/>
  <c r="AT17" i="55"/>
  <c r="AX17" i="55" s="1"/>
  <c r="AS17" i="55"/>
  <c r="AW17" i="55" s="1"/>
  <c r="AR17" i="55"/>
  <c r="AV17" i="55" s="1"/>
  <c r="AG17" i="55"/>
  <c r="D17" i="55" s="1" a="1"/>
  <c r="D17" i="55" s="1"/>
  <c r="F17" i="55" a="1"/>
  <c r="F17" i="55" s="1"/>
  <c r="BB16" i="55"/>
  <c r="BA16" i="55" s="1"/>
  <c r="AT16" i="55"/>
  <c r="AX16" i="55" s="1"/>
  <c r="AS16" i="55"/>
  <c r="AW16" i="55" s="1"/>
  <c r="AR16" i="55"/>
  <c r="AV16" i="55" s="1"/>
  <c r="AP16" i="55"/>
  <c r="AG16" i="55"/>
  <c r="D16" i="55" s="1" a="1"/>
  <c r="D16" i="55" s="1"/>
  <c r="F16" i="55" a="1"/>
  <c r="F16" i="55" s="1"/>
  <c r="BB15" i="55"/>
  <c r="BA15" i="55" s="1"/>
  <c r="AT15" i="55"/>
  <c r="AS15" i="55"/>
  <c r="AW15" i="55" s="1"/>
  <c r="AR15" i="55"/>
  <c r="AV15" i="55" s="1"/>
  <c r="AG15" i="55"/>
  <c r="D15" i="55" s="1" a="1"/>
  <c r="D15" i="55" s="1"/>
  <c r="F15" i="55" a="1"/>
  <c r="F15" i="55" s="1"/>
  <c r="BB14" i="55"/>
  <c r="BA14" i="55"/>
  <c r="AT14" i="55"/>
  <c r="AX14" i="55" s="1"/>
  <c r="AS14" i="55"/>
  <c r="AW14" i="55" s="1"/>
  <c r="AR14" i="55"/>
  <c r="AV14" i="55" s="1"/>
  <c r="AG14" i="55"/>
  <c r="D14" i="55" s="1" a="1"/>
  <c r="D14" i="55" s="1"/>
  <c r="F14" i="55" a="1"/>
  <c r="F14" i="55" s="1"/>
  <c r="BB13" i="55"/>
  <c r="BA13" i="55" s="1"/>
  <c r="AT13" i="55"/>
  <c r="AX13" i="55" s="1"/>
  <c r="AS13" i="55"/>
  <c r="AW13" i="55" s="1"/>
  <c r="AR13" i="55"/>
  <c r="AV13" i="55" s="1"/>
  <c r="AG13" i="55"/>
  <c r="F13" i="55" a="1"/>
  <c r="F13" i="55" s="1"/>
  <c r="D13" i="55" a="1"/>
  <c r="D13" i="55" s="1"/>
  <c r="BB12" i="55"/>
  <c r="BA12" i="55"/>
  <c r="AT12" i="55"/>
  <c r="AX12" i="55" s="1"/>
  <c r="AS12" i="55"/>
  <c r="AW12" i="55" s="1"/>
  <c r="AR12" i="55"/>
  <c r="AV12" i="55" s="1"/>
  <c r="AP12" i="55"/>
  <c r="AG12" i="55"/>
  <c r="F12" i="55" a="1"/>
  <c r="F12" i="55" s="1"/>
  <c r="D12" i="55" a="1"/>
  <c r="D12" i="55" s="1"/>
  <c r="BB11" i="55"/>
  <c r="BA11" i="55" s="1"/>
  <c r="AT11" i="55"/>
  <c r="AX11" i="55" s="1"/>
  <c r="AS11" i="55"/>
  <c r="AW11" i="55" s="1"/>
  <c r="AR11" i="55"/>
  <c r="AV11" i="55" s="1"/>
  <c r="AP11" i="55"/>
  <c r="AG11" i="55"/>
  <c r="F11" i="55" a="1"/>
  <c r="F11" i="55" s="1"/>
  <c r="D11" i="55" a="1"/>
  <c r="D11" i="55" s="1"/>
  <c r="BB10" i="55"/>
  <c r="BA10" i="55" s="1"/>
  <c r="AT10" i="55"/>
  <c r="AX10" i="55" s="1"/>
  <c r="AS10" i="55"/>
  <c r="AW10" i="55" s="1"/>
  <c r="AR10" i="55"/>
  <c r="AV10" i="55" s="1"/>
  <c r="AP10" i="55"/>
  <c r="AG10" i="55"/>
  <c r="D10" i="55" s="1" a="1"/>
  <c r="D10" i="55" s="1"/>
  <c r="F10" i="55" a="1"/>
  <c r="F10" i="55" s="1"/>
  <c r="BB9" i="55"/>
  <c r="BA9" i="55"/>
  <c r="AT9" i="55"/>
  <c r="AX9" i="55" s="1"/>
  <c r="AS9" i="55"/>
  <c r="AW9" i="55" s="1"/>
  <c r="AR9" i="55"/>
  <c r="AV9" i="55" s="1"/>
  <c r="AG9" i="55"/>
  <c r="D9" i="55" s="1" a="1"/>
  <c r="D9" i="55" s="1"/>
  <c r="F9" i="55" a="1"/>
  <c r="F9" i="55" s="1"/>
  <c r="BB8" i="55"/>
  <c r="BA8" i="55" s="1"/>
  <c r="AT8" i="55"/>
  <c r="AX8" i="55" s="1"/>
  <c r="AS8" i="55"/>
  <c r="AW8" i="55" s="1"/>
  <c r="AR8" i="55"/>
  <c r="AV8" i="55" s="1"/>
  <c r="AG8" i="55"/>
  <c r="F8" i="55" a="1"/>
  <c r="F8" i="55" s="1"/>
  <c r="D8" i="55" a="1"/>
  <c r="D8" i="55" s="1"/>
  <c r="BB7" i="55"/>
  <c r="BA7" i="55"/>
  <c r="AT7" i="55"/>
  <c r="AX7" i="55" s="1"/>
  <c r="AS7" i="55"/>
  <c r="AW7" i="55" s="1"/>
  <c r="AR7" i="55"/>
  <c r="AV7" i="55" s="1"/>
  <c r="AG7" i="55"/>
  <c r="D7" i="55" s="1" a="1"/>
  <c r="D7" i="55" s="1"/>
  <c r="F7" i="55" a="1"/>
  <c r="F7" i="55" s="1"/>
  <c r="BB6" i="55"/>
  <c r="BA6" i="55" s="1"/>
  <c r="AT6" i="55"/>
  <c r="AX6" i="55" s="1"/>
  <c r="AS6" i="55"/>
  <c r="AW6" i="55" s="1"/>
  <c r="AR6" i="55"/>
  <c r="AV6" i="55" s="1"/>
  <c r="AG6" i="55"/>
  <c r="F6" i="55" a="1"/>
  <c r="F6" i="55" s="1"/>
  <c r="D6" i="55" a="1"/>
  <c r="D6" i="55" s="1"/>
  <c r="BB5" i="55"/>
  <c r="BA5" i="55" s="1"/>
  <c r="AT5" i="55"/>
  <c r="AX5" i="55" s="1"/>
  <c r="AS5" i="55"/>
  <c r="AW5" i="55" s="1"/>
  <c r="AR5" i="55"/>
  <c r="AV5" i="55" s="1"/>
  <c r="AP5" i="55"/>
  <c r="AG5" i="55"/>
  <c r="F5" i="55" a="1"/>
  <c r="F5" i="55" s="1"/>
  <c r="D5" i="55" a="1"/>
  <c r="D5" i="55" s="1"/>
  <c r="BB4" i="55"/>
  <c r="BA4" i="55" s="1"/>
  <c r="AT4" i="55"/>
  <c r="AX4" i="55" s="1"/>
  <c r="AS4" i="55"/>
  <c r="AW4" i="55" s="1"/>
  <c r="AR4" i="55"/>
  <c r="AV4" i="55" s="1"/>
  <c r="AP4" i="55"/>
  <c r="C2" i="55" s="1" a="1"/>
  <c r="C2" i="55" s="1"/>
  <c r="AG4" i="55"/>
  <c r="D4" i="55" s="1" a="1"/>
  <c r="D4" i="55" s="1"/>
  <c r="F4" i="55"/>
  <c r="G4" i="55" s="1"/>
  <c r="F4" i="55" a="1"/>
  <c r="AJ2" i="55"/>
  <c r="AI2" i="55"/>
  <c r="AH2" i="55"/>
  <c r="AB2" i="55"/>
  <c r="T2" i="55"/>
  <c r="L2" i="55"/>
  <c r="A1" i="55"/>
  <c r="AQ5" i="55" l="1"/>
  <c r="AU15" i="55"/>
  <c r="AG2" i="55"/>
  <c r="AU24" i="55"/>
  <c r="AU9" i="55"/>
  <c r="AX15" i="55"/>
  <c r="AU22" i="55"/>
  <c r="AU14" i="55"/>
  <c r="AU8" i="55"/>
  <c r="AU6" i="55"/>
  <c r="AU19" i="55"/>
  <c r="AU13" i="55"/>
  <c r="AU28" i="55"/>
  <c r="AU4" i="55"/>
  <c r="AU5" i="55"/>
  <c r="AU12" i="55"/>
  <c r="AU16" i="55"/>
  <c r="G84" i="55"/>
  <c r="G20" i="55"/>
  <c r="G23" i="55"/>
  <c r="G17" i="55"/>
  <c r="E93" i="55"/>
  <c r="E81" i="55"/>
  <c r="E69" i="55"/>
  <c r="E57" i="55"/>
  <c r="E45" i="55"/>
  <c r="E30" i="55"/>
  <c r="E15" i="55"/>
  <c r="E86" i="55"/>
  <c r="E74" i="55"/>
  <c r="E62" i="55"/>
  <c r="E50" i="55"/>
  <c r="E40" i="55"/>
  <c r="E35" i="55"/>
  <c r="E23" i="55"/>
  <c r="E20" i="55"/>
  <c r="E17" i="55"/>
  <c r="E14" i="55"/>
  <c r="E4" i="55"/>
  <c r="E91" i="55"/>
  <c r="E79" i="55"/>
  <c r="E67" i="55"/>
  <c r="E55" i="55"/>
  <c r="E43" i="55"/>
  <c r="E9" i="55"/>
  <c r="E6" i="55"/>
  <c r="E10" i="55"/>
  <c r="E84" i="55"/>
  <c r="E72" i="55"/>
  <c r="E60" i="55"/>
  <c r="E48" i="55"/>
  <c r="E33" i="55"/>
  <c r="E29" i="55"/>
  <c r="E89" i="55"/>
  <c r="E77" i="55"/>
  <c r="E65" i="55"/>
  <c r="E53" i="55"/>
  <c r="E38" i="55"/>
  <c r="E25" i="55"/>
  <c r="E94" i="55"/>
  <c r="E82" i="55"/>
  <c r="E70" i="55"/>
  <c r="E58" i="55"/>
  <c r="E46" i="55"/>
  <c r="E31" i="55"/>
  <c r="E22" i="55"/>
  <c r="E19" i="55"/>
  <c r="E11" i="55"/>
  <c r="E87" i="55"/>
  <c r="E75" i="55"/>
  <c r="E63" i="55"/>
  <c r="E51" i="55"/>
  <c r="E41" i="55"/>
  <c r="E36" i="55"/>
  <c r="E28" i="55"/>
  <c r="E27" i="55"/>
  <c r="E16" i="55"/>
  <c r="E13" i="55"/>
  <c r="E8" i="55"/>
  <c r="E32" i="55"/>
  <c r="E92" i="55"/>
  <c r="E80" i="55"/>
  <c r="E68" i="55"/>
  <c r="E56" i="55"/>
  <c r="E44" i="55"/>
  <c r="E85" i="55"/>
  <c r="E73" i="55"/>
  <c r="E61" i="55"/>
  <c r="E49" i="55"/>
  <c r="E34" i="55"/>
  <c r="E5" i="55"/>
  <c r="E90" i="55"/>
  <c r="E78" i="55"/>
  <c r="E66" i="55"/>
  <c r="E54" i="55"/>
  <c r="E42" i="55"/>
  <c r="E39" i="55"/>
  <c r="E24" i="55"/>
  <c r="E21" i="55"/>
  <c r="E18" i="55"/>
  <c r="E83" i="55"/>
  <c r="E71" i="55"/>
  <c r="E59" i="55"/>
  <c r="E47" i="55"/>
  <c r="E7" i="55"/>
  <c r="E88" i="55"/>
  <c r="E76" i="55"/>
  <c r="E64" i="55"/>
  <c r="E52" i="55"/>
  <c r="E37" i="55"/>
  <c r="E26" i="55"/>
  <c r="E12" i="55"/>
  <c r="G6" i="55"/>
  <c r="G9" i="55"/>
  <c r="AQ11" i="55"/>
  <c r="G14" i="55"/>
  <c r="AV24" i="55"/>
  <c r="G43" i="55"/>
  <c r="G55" i="55"/>
  <c r="G67" i="55"/>
  <c r="G79" i="55"/>
  <c r="G91" i="55"/>
  <c r="G40" i="55"/>
  <c r="G62" i="55"/>
  <c r="G74" i="55"/>
  <c r="G86" i="55"/>
  <c r="G50" i="55"/>
  <c r="G30" i="55"/>
  <c r="G45" i="55"/>
  <c r="G57" i="55"/>
  <c r="G69" i="55"/>
  <c r="G81" i="55"/>
  <c r="G93" i="55"/>
  <c r="G35" i="55"/>
  <c r="AQ4" i="55"/>
  <c r="G26" i="55"/>
  <c r="G37" i="55"/>
  <c r="G52" i="55"/>
  <c r="G64" i="55"/>
  <c r="G76" i="55"/>
  <c r="G88" i="55"/>
  <c r="G12" i="55"/>
  <c r="AU25" i="55"/>
  <c r="AU29" i="55"/>
  <c r="G32" i="55"/>
  <c r="G47" i="55"/>
  <c r="G59" i="55"/>
  <c r="G71" i="55"/>
  <c r="G83" i="55"/>
  <c r="G7" i="55"/>
  <c r="G10" i="55"/>
  <c r="AU11" i="55"/>
  <c r="G15" i="55"/>
  <c r="G18" i="55"/>
  <c r="G21" i="55"/>
  <c r="G24" i="55"/>
  <c r="G39" i="55"/>
  <c r="G42" i="55"/>
  <c r="G54" i="55"/>
  <c r="G66" i="55"/>
  <c r="G78" i="55"/>
  <c r="G90" i="55"/>
  <c r="G5" i="55"/>
  <c r="AU17" i="55"/>
  <c r="AU20" i="55"/>
  <c r="AU23" i="55"/>
  <c r="G34" i="55"/>
  <c r="G49" i="55"/>
  <c r="G61" i="55"/>
  <c r="G73" i="55"/>
  <c r="G85" i="55"/>
  <c r="G44" i="55"/>
  <c r="G56" i="55"/>
  <c r="G68" i="55"/>
  <c r="G80" i="55"/>
  <c r="G92" i="55"/>
  <c r="G8" i="55"/>
  <c r="G13" i="55"/>
  <c r="G16" i="55"/>
  <c r="G27" i="55"/>
  <c r="G28" i="55"/>
  <c r="G36" i="55"/>
  <c r="G41" i="55"/>
  <c r="G51" i="55"/>
  <c r="G63" i="55"/>
  <c r="G75" i="55"/>
  <c r="G87" i="55"/>
  <c r="F2" i="55"/>
  <c r="AU7" i="55"/>
  <c r="G19" i="55"/>
  <c r="G22" i="55"/>
  <c r="AU26" i="55"/>
  <c r="G31" i="55"/>
  <c r="G46" i="55"/>
  <c r="G58" i="55"/>
  <c r="G70" i="55"/>
  <c r="G82" i="55"/>
  <c r="G94" i="55"/>
  <c r="G11" i="55"/>
  <c r="AU10" i="55"/>
  <c r="AU18" i="55"/>
  <c r="AU21" i="55"/>
  <c r="G25" i="55"/>
  <c r="G38" i="55"/>
  <c r="G53" i="55"/>
  <c r="G65" i="55"/>
  <c r="G77" i="55"/>
  <c r="G89" i="55"/>
  <c r="G29" i="55"/>
  <c r="G33" i="55"/>
  <c r="G48" i="55"/>
  <c r="G60" i="55"/>
  <c r="G72" i="55"/>
  <c r="AU1" i="55" l="1"/>
  <c r="AX2" i="55"/>
  <c r="AU2" i="55"/>
  <c r="E96" i="55"/>
  <c r="D90" i="53" l="1" a="1"/>
  <c r="D90" i="53" s="1"/>
  <c r="D87" i="53" a="1"/>
  <c r="D87" i="53" s="1"/>
  <c r="C2" i="53" a="1"/>
  <c r="C2" i="53" s="1"/>
  <c r="D84" i="53" a="1"/>
  <c r="D84" i="53" s="1"/>
  <c r="D83" i="53" a="1"/>
  <c r="D83" i="53" s="1"/>
  <c r="D85" i="53" l="1" a="1"/>
  <c r="D85" i="53" s="1"/>
  <c r="AG94" i="53"/>
  <c r="F94" i="53" a="1"/>
  <c r="F94" i="53" s="1"/>
  <c r="D94" i="53" a="1"/>
  <c r="D94" i="53" s="1"/>
  <c r="AG93" i="53"/>
  <c r="F93" i="53" a="1"/>
  <c r="F93" i="53" s="1"/>
  <c r="D93" i="53" a="1"/>
  <c r="D93" i="53" s="1"/>
  <c r="AG92" i="53"/>
  <c r="D92" i="53" s="1" a="1"/>
  <c r="D92" i="53" s="1"/>
  <c r="F92" i="53" a="1"/>
  <c r="F92" i="53" s="1"/>
  <c r="AG91" i="53"/>
  <c r="D91" i="53" s="1" a="1"/>
  <c r="D91" i="53" s="1"/>
  <c r="F91" i="53" a="1"/>
  <c r="F91" i="53" s="1"/>
  <c r="AG90" i="53"/>
  <c r="F90" i="53" a="1"/>
  <c r="F90" i="53" s="1"/>
  <c r="AG89" i="53"/>
  <c r="D89" i="53" s="1" a="1"/>
  <c r="D89" i="53" s="1"/>
  <c r="F89" i="53" a="1"/>
  <c r="F89" i="53" s="1"/>
  <c r="AG88" i="53"/>
  <c r="F88" i="53" a="1"/>
  <c r="F88" i="53" s="1"/>
  <c r="D88" i="53" a="1"/>
  <c r="D88" i="53" s="1"/>
  <c r="AG87" i="53"/>
  <c r="F87" i="53" a="1"/>
  <c r="F87" i="53" s="1"/>
  <c r="AG86" i="53"/>
  <c r="D86" i="53" s="1" a="1"/>
  <c r="D86" i="53" s="1"/>
  <c r="F86" i="53" a="1"/>
  <c r="F86" i="53" s="1"/>
  <c r="AG85" i="53"/>
  <c r="F85" i="53" a="1"/>
  <c r="F85" i="53" s="1"/>
  <c r="AG84" i="53"/>
  <c r="F84" i="53" a="1"/>
  <c r="F84" i="53" s="1"/>
  <c r="AG83" i="53"/>
  <c r="F83" i="53" a="1"/>
  <c r="F83" i="53" s="1"/>
  <c r="AG82" i="53"/>
  <c r="F82" i="53" a="1"/>
  <c r="F82" i="53" s="1"/>
  <c r="D82" i="53" a="1"/>
  <c r="D82" i="53" s="1"/>
  <c r="AG81" i="53"/>
  <c r="D81" i="53" s="1" a="1"/>
  <c r="D81" i="53" s="1"/>
  <c r="F81" i="53" a="1"/>
  <c r="F81" i="53" s="1"/>
  <c r="AG80" i="53"/>
  <c r="F80" i="53" a="1"/>
  <c r="F80" i="53" s="1"/>
  <c r="D80" i="53" a="1"/>
  <c r="D80" i="53" s="1"/>
  <c r="AG79" i="53"/>
  <c r="F79" i="53" a="1"/>
  <c r="F79" i="53" s="1"/>
  <c r="D79" i="53" a="1"/>
  <c r="D79" i="53" s="1"/>
  <c r="AG78" i="53"/>
  <c r="F78" i="53" a="1"/>
  <c r="F78" i="53" s="1"/>
  <c r="D78" i="53" a="1"/>
  <c r="D78" i="53" s="1"/>
  <c r="AG77" i="53"/>
  <c r="D77" i="53" s="1" a="1"/>
  <c r="D77" i="53" s="1"/>
  <c r="F77" i="53" a="1"/>
  <c r="F77" i="53" s="1"/>
  <c r="AG76" i="53"/>
  <c r="D76" i="53" s="1" a="1"/>
  <c r="D76" i="53" s="1"/>
  <c r="F76" i="53" a="1"/>
  <c r="F76" i="53" s="1"/>
  <c r="AG75" i="53"/>
  <c r="D75" i="53" s="1" a="1"/>
  <c r="D75" i="53" s="1"/>
  <c r="F75" i="53" a="1"/>
  <c r="F75" i="53" s="1"/>
  <c r="AG74" i="53"/>
  <c r="D74" i="53" s="1" a="1"/>
  <c r="D74" i="53" s="1"/>
  <c r="F74" i="53" a="1"/>
  <c r="F74" i="53" s="1"/>
  <c r="AG73" i="53"/>
  <c r="D73" i="53" s="1" a="1"/>
  <c r="D73" i="53" s="1"/>
  <c r="F73" i="53" a="1"/>
  <c r="F73" i="53" s="1"/>
  <c r="AG72" i="53"/>
  <c r="D72" i="53" s="1" a="1"/>
  <c r="D72" i="53" s="1"/>
  <c r="F72" i="53" a="1"/>
  <c r="F72" i="53" s="1"/>
  <c r="AG71" i="53"/>
  <c r="F71" i="53" a="1"/>
  <c r="F71" i="53" s="1"/>
  <c r="D71" i="53" a="1"/>
  <c r="D71" i="53" s="1"/>
  <c r="AG70" i="53"/>
  <c r="F70" i="53" a="1"/>
  <c r="F70" i="53" s="1"/>
  <c r="D70" i="53" a="1"/>
  <c r="D70" i="53" s="1"/>
  <c r="AG69" i="53"/>
  <c r="F69" i="53" a="1"/>
  <c r="F69" i="53" s="1"/>
  <c r="D69" i="53" a="1"/>
  <c r="D69" i="53" s="1"/>
  <c r="AG68" i="53"/>
  <c r="D68" i="53" s="1" a="1"/>
  <c r="D68" i="53" s="1"/>
  <c r="F68" i="53" a="1"/>
  <c r="F68" i="53" s="1"/>
  <c r="AG67" i="53"/>
  <c r="D67" i="53" s="1" a="1"/>
  <c r="D67" i="53" s="1"/>
  <c r="F67" i="53" a="1"/>
  <c r="F67" i="53" s="1"/>
  <c r="AG66" i="53"/>
  <c r="F66" i="53" a="1"/>
  <c r="F66" i="53" s="1"/>
  <c r="D66" i="53" a="1"/>
  <c r="D66" i="53" s="1"/>
  <c r="AG65" i="53"/>
  <c r="D65" i="53" s="1" a="1"/>
  <c r="D65" i="53" s="1"/>
  <c r="F65" i="53" a="1"/>
  <c r="F65" i="53" s="1"/>
  <c r="AG64" i="53"/>
  <c r="F64" i="53" a="1"/>
  <c r="F64" i="53" s="1"/>
  <c r="D64" i="53" a="1"/>
  <c r="D64" i="53" s="1"/>
  <c r="AG63" i="53"/>
  <c r="D63" i="53" s="1" a="1"/>
  <c r="D63" i="53" s="1"/>
  <c r="F63" i="53" a="1"/>
  <c r="F63" i="53" s="1"/>
  <c r="AG62" i="53"/>
  <c r="D62" i="53" s="1" a="1"/>
  <c r="D62" i="53" s="1"/>
  <c r="F62" i="53" a="1"/>
  <c r="F62" i="53" s="1"/>
  <c r="AG61" i="53"/>
  <c r="D61" i="53" s="1" a="1"/>
  <c r="D61" i="53" s="1"/>
  <c r="F61" i="53" a="1"/>
  <c r="F61" i="53" s="1"/>
  <c r="AG60" i="53"/>
  <c r="D60" i="53" s="1" a="1"/>
  <c r="D60" i="53" s="1"/>
  <c r="F60" i="53" a="1"/>
  <c r="F60" i="53" s="1"/>
  <c r="AG59" i="53"/>
  <c r="D59" i="53" s="1" a="1"/>
  <c r="D59" i="53" s="1"/>
  <c r="F59" i="53" a="1"/>
  <c r="F59" i="53" s="1"/>
  <c r="AG58" i="53"/>
  <c r="D58" i="53" s="1" a="1"/>
  <c r="D58" i="53" s="1"/>
  <c r="F58" i="53" a="1"/>
  <c r="F58" i="53" s="1"/>
  <c r="AG57" i="53"/>
  <c r="D57" i="53" s="1" a="1"/>
  <c r="D57" i="53" s="1"/>
  <c r="F57" i="53" a="1"/>
  <c r="F57" i="53" s="1"/>
  <c r="AG56" i="53"/>
  <c r="F56" i="53" a="1"/>
  <c r="F56" i="53" s="1"/>
  <c r="D56" i="53" a="1"/>
  <c r="D56" i="53" s="1"/>
  <c r="AG55" i="53"/>
  <c r="F55" i="53" a="1"/>
  <c r="F55" i="53" s="1"/>
  <c r="D55" i="53" a="1"/>
  <c r="D55" i="53" s="1"/>
  <c r="AG54" i="53"/>
  <c r="D54" i="53" s="1" a="1"/>
  <c r="D54" i="53" s="1"/>
  <c r="F54" i="53" a="1"/>
  <c r="F54" i="53" s="1"/>
  <c r="AG53" i="53"/>
  <c r="D53" i="53" s="1" a="1"/>
  <c r="D53" i="53" s="1"/>
  <c r="F53" i="53" a="1"/>
  <c r="F53" i="53" s="1"/>
  <c r="AG52" i="53"/>
  <c r="D52" i="53" s="1" a="1"/>
  <c r="D52" i="53" s="1"/>
  <c r="F52" i="53" a="1"/>
  <c r="F52" i="53" s="1"/>
  <c r="AG51" i="53"/>
  <c r="D51" i="53" s="1" a="1"/>
  <c r="D51" i="53" s="1"/>
  <c r="F51" i="53" a="1"/>
  <c r="F51" i="53" s="1"/>
  <c r="AG50" i="53"/>
  <c r="F50" i="53" a="1"/>
  <c r="F50" i="53" s="1"/>
  <c r="D50" i="53" a="1"/>
  <c r="D50" i="53" s="1"/>
  <c r="AG49" i="53"/>
  <c r="D49" i="53" s="1" a="1"/>
  <c r="D49" i="53" s="1"/>
  <c r="F49" i="53" a="1"/>
  <c r="F49" i="53" s="1"/>
  <c r="AG48" i="53"/>
  <c r="F48" i="53" a="1"/>
  <c r="F48" i="53" s="1"/>
  <c r="D48" i="53" a="1"/>
  <c r="D48" i="53" s="1"/>
  <c r="AG47" i="53"/>
  <c r="F47" i="53" a="1"/>
  <c r="F47" i="53" s="1"/>
  <c r="D47" i="53" a="1"/>
  <c r="D47" i="53" s="1"/>
  <c r="AG46" i="53"/>
  <c r="F46" i="53" a="1"/>
  <c r="F46" i="53" s="1"/>
  <c r="D46" i="53" a="1"/>
  <c r="D46" i="53" s="1"/>
  <c r="AG45" i="53"/>
  <c r="D45" i="53" s="1" a="1"/>
  <c r="D45" i="53" s="1"/>
  <c r="F45" i="53" a="1"/>
  <c r="F45" i="53" s="1"/>
  <c r="AG44" i="53"/>
  <c r="D44" i="53" s="1" a="1"/>
  <c r="D44" i="53" s="1"/>
  <c r="F44" i="53" a="1"/>
  <c r="F44" i="53" s="1"/>
  <c r="AG43" i="53"/>
  <c r="D43" i="53" s="1" a="1"/>
  <c r="D43" i="53" s="1"/>
  <c r="F43" i="53" a="1"/>
  <c r="F43" i="53" s="1"/>
  <c r="AG42" i="53"/>
  <c r="D42" i="53" s="1" a="1"/>
  <c r="D42" i="53" s="1"/>
  <c r="F42" i="53" a="1"/>
  <c r="F42" i="53" s="1"/>
  <c r="AS41" i="53"/>
  <c r="AR41" i="53"/>
  <c r="AG41" i="53"/>
  <c r="D41" i="53" s="1" a="1"/>
  <c r="D41" i="53" s="1"/>
  <c r="F41" i="53" a="1"/>
  <c r="F41" i="53" s="1"/>
  <c r="AG40" i="53"/>
  <c r="D40" i="53" s="1" a="1"/>
  <c r="D40" i="53" s="1"/>
  <c r="F40" i="53" a="1"/>
  <c r="F40" i="53" s="1"/>
  <c r="BC39" i="53"/>
  <c r="AG39" i="53"/>
  <c r="F39" i="53" a="1"/>
  <c r="F39" i="53" s="1"/>
  <c r="D39" i="53" a="1"/>
  <c r="D39" i="53" s="1"/>
  <c r="AG38" i="53"/>
  <c r="D38" i="53" s="1" a="1"/>
  <c r="D38" i="53" s="1"/>
  <c r="F38" i="53" a="1"/>
  <c r="F38" i="53" s="1"/>
  <c r="AG37" i="53"/>
  <c r="D37" i="53" s="1" a="1"/>
  <c r="D37" i="53" s="1"/>
  <c r="F37" i="53" a="1"/>
  <c r="F37" i="53" s="1"/>
  <c r="AG36" i="53"/>
  <c r="D36" i="53" s="1" a="1"/>
  <c r="D36" i="53" s="1"/>
  <c r="F36" i="53" a="1"/>
  <c r="F36" i="53" s="1"/>
  <c r="AG35" i="53"/>
  <c r="D35" i="53" s="1" a="1"/>
  <c r="D35" i="53" s="1"/>
  <c r="F35" i="53" a="1"/>
  <c r="F35" i="53" s="1"/>
  <c r="AG34" i="53"/>
  <c r="F34" i="53" a="1"/>
  <c r="F34" i="53" s="1"/>
  <c r="D34" i="53" a="1"/>
  <c r="D34" i="53" s="1"/>
  <c r="AG33" i="53"/>
  <c r="D33" i="53" s="1" a="1"/>
  <c r="D33" i="53" s="1"/>
  <c r="F33" i="53" a="1"/>
  <c r="F33" i="53" s="1"/>
  <c r="AG32" i="53"/>
  <c r="D32" i="53" s="1" a="1"/>
  <c r="D32" i="53" s="1"/>
  <c r="F32" i="53" a="1"/>
  <c r="F32" i="53" s="1"/>
  <c r="AG31" i="53"/>
  <c r="F31" i="53" a="1"/>
  <c r="F31" i="53" s="1"/>
  <c r="D31" i="53" a="1"/>
  <c r="D31" i="53" s="1"/>
  <c r="AG30" i="53"/>
  <c r="D30" i="53" s="1" a="1"/>
  <c r="D30" i="53" s="1"/>
  <c r="F30" i="53" a="1"/>
  <c r="F30" i="53" s="1"/>
  <c r="BB29" i="53"/>
  <c r="AT29" i="53"/>
  <c r="AX29" i="53" s="1"/>
  <c r="AS29" i="53"/>
  <c r="AW29" i="53" s="1"/>
  <c r="AR29" i="53"/>
  <c r="AG29" i="53"/>
  <c r="D29" i="53" s="1" a="1"/>
  <c r="D29" i="53" s="1"/>
  <c r="F29" i="53" a="1"/>
  <c r="F29" i="53" s="1"/>
  <c r="BB28" i="53"/>
  <c r="AT28" i="53"/>
  <c r="AX28" i="53" s="1"/>
  <c r="AS28" i="53"/>
  <c r="AW28" i="53" s="1"/>
  <c r="AR28" i="53"/>
  <c r="AV28" i="53" s="1"/>
  <c r="AG28" i="53"/>
  <c r="D28" i="53" s="1" a="1"/>
  <c r="D28" i="53" s="1"/>
  <c r="F28" i="53" a="1"/>
  <c r="F28" i="53" s="1"/>
  <c r="BB27" i="53"/>
  <c r="AX27" i="53"/>
  <c r="AW27" i="53"/>
  <c r="AV27" i="53"/>
  <c r="AP27" i="53"/>
  <c r="AG27" i="53"/>
  <c r="D27" i="53" s="1" a="1"/>
  <c r="D27" i="53" s="1"/>
  <c r="F27" i="53" a="1"/>
  <c r="F27" i="53" s="1"/>
  <c r="BB26" i="53"/>
  <c r="BA26" i="53"/>
  <c r="AT26" i="53"/>
  <c r="AX26" i="53" s="1"/>
  <c r="AS26" i="53"/>
  <c r="AW26" i="53" s="1"/>
  <c r="AR26" i="53"/>
  <c r="AV26" i="53" s="1"/>
  <c r="AP26" i="53"/>
  <c r="AG26" i="53"/>
  <c r="D26" i="53" s="1" a="1"/>
  <c r="D26" i="53" s="1"/>
  <c r="F26" i="53" a="1"/>
  <c r="F26" i="53" s="1"/>
  <c r="BB25" i="53"/>
  <c r="BA25" i="53"/>
  <c r="AT25" i="53"/>
  <c r="AX25" i="53" s="1"/>
  <c r="AS25" i="53"/>
  <c r="AW25" i="53" s="1"/>
  <c r="AR25" i="53"/>
  <c r="AV25" i="53" s="1"/>
  <c r="AP25" i="53"/>
  <c r="AG25" i="53"/>
  <c r="D25" i="53" s="1" a="1"/>
  <c r="D25" i="53" s="1"/>
  <c r="F25" i="53" a="1"/>
  <c r="F25" i="53" s="1"/>
  <c r="BB24" i="53"/>
  <c r="BA24" i="53"/>
  <c r="AT24" i="53"/>
  <c r="AX24" i="53" s="1"/>
  <c r="AS24" i="53"/>
  <c r="AW24" i="53" s="1"/>
  <c r="AR24" i="53"/>
  <c r="AV24" i="53" s="1"/>
  <c r="AP24" i="53"/>
  <c r="AG24" i="53"/>
  <c r="D24" i="53" s="1" a="1"/>
  <c r="D24" i="53" s="1"/>
  <c r="F24" i="53" a="1"/>
  <c r="F24" i="53" s="1"/>
  <c r="BB23" i="53"/>
  <c r="BA23" i="53"/>
  <c r="AT23" i="53"/>
  <c r="AX23" i="53" s="1"/>
  <c r="AS23" i="53"/>
  <c r="AW23" i="53" s="1"/>
  <c r="AR23" i="53"/>
  <c r="AV23" i="53" s="1"/>
  <c r="AG23" i="53"/>
  <c r="D23" i="53" s="1" a="1"/>
  <c r="D23" i="53" s="1"/>
  <c r="F23" i="53" a="1"/>
  <c r="F23" i="53" s="1"/>
  <c r="BB22" i="53"/>
  <c r="BA22" i="53" s="1"/>
  <c r="AT22" i="53"/>
  <c r="AX22" i="53" s="1"/>
  <c r="AS22" i="53"/>
  <c r="AW22" i="53" s="1"/>
  <c r="AR22" i="53"/>
  <c r="AV22" i="53" s="1"/>
  <c r="AG22" i="53"/>
  <c r="F22" i="53" a="1"/>
  <c r="F22" i="53" s="1"/>
  <c r="D22" i="53" a="1"/>
  <c r="D22" i="53" s="1"/>
  <c r="BB21" i="53"/>
  <c r="BA21" i="53" s="1"/>
  <c r="AT21" i="53"/>
  <c r="AX21" i="53" s="1"/>
  <c r="AS21" i="53"/>
  <c r="AW21" i="53" s="1"/>
  <c r="AR21" i="53"/>
  <c r="AV21" i="53" s="1"/>
  <c r="AG21" i="53"/>
  <c r="F21" i="53" a="1"/>
  <c r="F21" i="53" s="1"/>
  <c r="D21" i="53" a="1"/>
  <c r="D21" i="53" s="1"/>
  <c r="BB20" i="53"/>
  <c r="BA20" i="53" s="1"/>
  <c r="AT20" i="53"/>
  <c r="AX20" i="53" s="1"/>
  <c r="AS20" i="53"/>
  <c r="AW20" i="53" s="1"/>
  <c r="AR20" i="53"/>
  <c r="AG20" i="53"/>
  <c r="F20" i="53" a="1"/>
  <c r="F20" i="53" s="1"/>
  <c r="D20" i="53" a="1"/>
  <c r="D20" i="53" s="1"/>
  <c r="BB19" i="53"/>
  <c r="BA19" i="53" s="1"/>
  <c r="AT19" i="53"/>
  <c r="AX19" i="53" s="1"/>
  <c r="AS19" i="53"/>
  <c r="AW19" i="53" s="1"/>
  <c r="AR19" i="53"/>
  <c r="AG19" i="53"/>
  <c r="D19" i="53" s="1" a="1"/>
  <c r="D19" i="53" s="1"/>
  <c r="F19" i="53" a="1"/>
  <c r="F19" i="53" s="1"/>
  <c r="BB18" i="53"/>
  <c r="BA18" i="53" s="1"/>
  <c r="AT18" i="53"/>
  <c r="AX18" i="53" s="1"/>
  <c r="AS18" i="53"/>
  <c r="AW18" i="53" s="1"/>
  <c r="AR18" i="53"/>
  <c r="AG18" i="53"/>
  <c r="F18" i="53" a="1"/>
  <c r="F18" i="53" s="1"/>
  <c r="D18" i="53" a="1"/>
  <c r="D18" i="53" s="1"/>
  <c r="BB17" i="53"/>
  <c r="BA17" i="53" s="1"/>
  <c r="AT17" i="53"/>
  <c r="AX17" i="53" s="1"/>
  <c r="AS17" i="53"/>
  <c r="AW17" i="53" s="1"/>
  <c r="AR17" i="53"/>
  <c r="AV17" i="53" s="1"/>
  <c r="AG17" i="53"/>
  <c r="D17" i="53" s="1" a="1"/>
  <c r="D17" i="53" s="1"/>
  <c r="F17" i="53" a="1"/>
  <c r="F17" i="53" s="1"/>
  <c r="BB16" i="53"/>
  <c r="BA16" i="53" s="1"/>
  <c r="AT16" i="53"/>
  <c r="AX16" i="53" s="1"/>
  <c r="AS16" i="53"/>
  <c r="AW16" i="53" s="1"/>
  <c r="AR16" i="53"/>
  <c r="AP16" i="53"/>
  <c r="AG16" i="53"/>
  <c r="F16" i="53" a="1"/>
  <c r="F16" i="53" s="1"/>
  <c r="D16" i="53" a="1"/>
  <c r="D16" i="53" s="1"/>
  <c r="BB15" i="53"/>
  <c r="BA15" i="53" s="1"/>
  <c r="AT15" i="53"/>
  <c r="AX15" i="53" s="1"/>
  <c r="AS15" i="53"/>
  <c r="AW15" i="53" s="1"/>
  <c r="AR15" i="53"/>
  <c r="AV15" i="53" s="1"/>
  <c r="AG15" i="53"/>
  <c r="F15" i="53" a="1"/>
  <c r="F15" i="53" s="1"/>
  <c r="D15" i="53" a="1"/>
  <c r="D15" i="53" s="1"/>
  <c r="BB14" i="53"/>
  <c r="BA14" i="53" s="1"/>
  <c r="AT14" i="53"/>
  <c r="AX14" i="53" s="1"/>
  <c r="AS14" i="53"/>
  <c r="AW14" i="53" s="1"/>
  <c r="AR14" i="53"/>
  <c r="AV14" i="53" s="1"/>
  <c r="AG14" i="53"/>
  <c r="F14" i="53" a="1"/>
  <c r="F14" i="53" s="1"/>
  <c r="D14" i="53" a="1"/>
  <c r="D14" i="53" s="1"/>
  <c r="BB13" i="53"/>
  <c r="BA13" i="53" s="1"/>
  <c r="AT13" i="53"/>
  <c r="AX13" i="53" s="1"/>
  <c r="AS13" i="53"/>
  <c r="AW13" i="53" s="1"/>
  <c r="AR13" i="53"/>
  <c r="AV13" i="53" s="1"/>
  <c r="AG13" i="53"/>
  <c r="F13" i="53" a="1"/>
  <c r="F13" i="53" s="1"/>
  <c r="D13" i="53" a="1"/>
  <c r="D13" i="53" s="1"/>
  <c r="BB12" i="53"/>
  <c r="BA12" i="53" s="1"/>
  <c r="AT12" i="53"/>
  <c r="AX12" i="53" s="1"/>
  <c r="AS12" i="53"/>
  <c r="AW12" i="53" s="1"/>
  <c r="AR12" i="53"/>
  <c r="AV12" i="53" s="1"/>
  <c r="AP12" i="53"/>
  <c r="AG12" i="53"/>
  <c r="F12" i="53" a="1"/>
  <c r="F12" i="53" s="1"/>
  <c r="D12" i="53" a="1"/>
  <c r="D12" i="53" s="1"/>
  <c r="BB11" i="53"/>
  <c r="BA11" i="53"/>
  <c r="AT11" i="53"/>
  <c r="AX11" i="53" s="1"/>
  <c r="AS11" i="53"/>
  <c r="AW11" i="53" s="1"/>
  <c r="AR11" i="53"/>
  <c r="AV11" i="53" s="1"/>
  <c r="AQ11" i="53"/>
  <c r="AP11" i="53"/>
  <c r="AG11" i="53"/>
  <c r="D11" i="53" s="1" a="1"/>
  <c r="D11" i="53" s="1"/>
  <c r="F11" i="53" a="1"/>
  <c r="F11" i="53" s="1"/>
  <c r="BB10" i="53"/>
  <c r="BA10" i="53" s="1"/>
  <c r="AT10" i="53"/>
  <c r="AX10" i="53" s="1"/>
  <c r="AS10" i="53"/>
  <c r="AW10" i="53" s="1"/>
  <c r="AR10" i="53"/>
  <c r="AV10" i="53" s="1"/>
  <c r="AP10" i="53"/>
  <c r="AG10" i="53"/>
  <c r="D10" i="53" s="1" a="1"/>
  <c r="D10" i="53" s="1"/>
  <c r="F10" i="53" a="1"/>
  <c r="F10" i="53" s="1"/>
  <c r="BB9" i="53"/>
  <c r="BA9" i="53"/>
  <c r="AT9" i="53"/>
  <c r="AX9" i="53" s="1"/>
  <c r="AS9" i="53"/>
  <c r="AW9" i="53" s="1"/>
  <c r="AR9" i="53"/>
  <c r="AV9" i="53" s="1"/>
  <c r="AG9" i="53"/>
  <c r="D9" i="53" s="1" a="1"/>
  <c r="D9" i="53" s="1"/>
  <c r="F9" i="53" a="1"/>
  <c r="F9" i="53" s="1"/>
  <c r="BB8" i="53"/>
  <c r="BA8" i="53"/>
  <c r="AT8" i="53"/>
  <c r="AX8" i="53" s="1"/>
  <c r="AS8" i="53"/>
  <c r="AW8" i="53" s="1"/>
  <c r="AR8" i="53"/>
  <c r="AV8" i="53" s="1"/>
  <c r="AG8" i="53"/>
  <c r="F8" i="53" a="1"/>
  <c r="F8" i="53" s="1"/>
  <c r="D8" i="53" a="1"/>
  <c r="D8" i="53" s="1"/>
  <c r="BB7" i="53"/>
  <c r="BA7" i="53"/>
  <c r="AT7" i="53"/>
  <c r="AX7" i="53" s="1"/>
  <c r="AS7" i="53"/>
  <c r="AW7" i="53" s="1"/>
  <c r="AR7" i="53"/>
  <c r="AG7" i="53"/>
  <c r="F7" i="53" a="1"/>
  <c r="F7" i="53" s="1"/>
  <c r="D7" i="53" a="1"/>
  <c r="D7" i="53" s="1"/>
  <c r="BB6" i="53"/>
  <c r="BA6" i="53"/>
  <c r="AT6" i="53"/>
  <c r="AX6" i="53" s="1"/>
  <c r="AS6" i="53"/>
  <c r="AW6" i="53" s="1"/>
  <c r="AR6" i="53"/>
  <c r="AG6" i="53"/>
  <c r="D6" i="53" s="1" a="1"/>
  <c r="D6" i="53" s="1"/>
  <c r="F6" i="53" a="1"/>
  <c r="F6" i="53" s="1"/>
  <c r="BB5" i="53"/>
  <c r="BA5" i="53"/>
  <c r="AT5" i="53"/>
  <c r="AX5" i="53" s="1"/>
  <c r="AS5" i="53"/>
  <c r="AW5" i="53" s="1"/>
  <c r="AR5" i="53"/>
  <c r="AQ5" i="53"/>
  <c r="AP5" i="53"/>
  <c r="AG5" i="53"/>
  <c r="D5" i="53" s="1" a="1"/>
  <c r="D5" i="53" s="1"/>
  <c r="F5" i="53" a="1"/>
  <c r="F5" i="53" s="1"/>
  <c r="BB4" i="53"/>
  <c r="BA4" i="53"/>
  <c r="AT4" i="53"/>
  <c r="AX4" i="53" s="1"/>
  <c r="AS4" i="53"/>
  <c r="AW4" i="53" s="1"/>
  <c r="AR4" i="53"/>
  <c r="AV4" i="53" s="1"/>
  <c r="AQ4" i="53"/>
  <c r="AP4" i="53"/>
  <c r="AG4" i="53"/>
  <c r="F4" i="53" a="1"/>
  <c r="F4" i="53" s="1"/>
  <c r="D4" i="53" a="1"/>
  <c r="D4" i="53" s="1"/>
  <c r="AJ2" i="53"/>
  <c r="AI2" i="53"/>
  <c r="AH2" i="53"/>
  <c r="AB2" i="53"/>
  <c r="T2" i="53"/>
  <c r="L2" i="53"/>
  <c r="A1" i="53"/>
  <c r="F2" i="53" l="1"/>
  <c r="AU29" i="53"/>
  <c r="AU7" i="53"/>
  <c r="AU5" i="53"/>
  <c r="AU6" i="53"/>
  <c r="AU15" i="53"/>
  <c r="AV6" i="53"/>
  <c r="AU26" i="53"/>
  <c r="AV29" i="53"/>
  <c r="AU13" i="53"/>
  <c r="E15" i="53"/>
  <c r="G92" i="53"/>
  <c r="G84" i="53"/>
  <c r="G76" i="53"/>
  <c r="G68" i="53"/>
  <c r="G60" i="53"/>
  <c r="G52" i="53"/>
  <c r="G44" i="53"/>
  <c r="G33" i="53"/>
  <c r="G26" i="53"/>
  <c r="G93" i="53"/>
  <c r="G85" i="53"/>
  <c r="G77" i="53"/>
  <c r="G69" i="53"/>
  <c r="G61" i="53"/>
  <c r="G53" i="53"/>
  <c r="G45" i="53"/>
  <c r="G34" i="53"/>
  <c r="G25" i="53"/>
  <c r="G94" i="53"/>
  <c r="G86" i="53"/>
  <c r="G78" i="53"/>
  <c r="G70" i="53"/>
  <c r="G62" i="53"/>
  <c r="G54" i="53"/>
  <c r="G46" i="53"/>
  <c r="G35" i="53"/>
  <c r="G24" i="53"/>
  <c r="G23" i="53"/>
  <c r="G22" i="53"/>
  <c r="G21" i="53"/>
  <c r="G20" i="53"/>
  <c r="G19" i="53"/>
  <c r="G18" i="53"/>
  <c r="G17" i="53"/>
  <c r="G87" i="53"/>
  <c r="G79" i="53"/>
  <c r="G71" i="53"/>
  <c r="G63" i="53"/>
  <c r="G55" i="53"/>
  <c r="G47" i="53"/>
  <c r="G36" i="53"/>
  <c r="G28" i="53"/>
  <c r="G16" i="53"/>
  <c r="G15" i="53"/>
  <c r="G14" i="53"/>
  <c r="G13" i="53"/>
  <c r="G88" i="53"/>
  <c r="G80" i="53"/>
  <c r="G72" i="53"/>
  <c r="G64" i="53"/>
  <c r="G56" i="53"/>
  <c r="G48" i="53"/>
  <c r="G37" i="53"/>
  <c r="G29" i="53"/>
  <c r="G89" i="53"/>
  <c r="G81" i="53"/>
  <c r="G73" i="53"/>
  <c r="G65" i="53"/>
  <c r="G57" i="53"/>
  <c r="G49" i="53"/>
  <c r="G38" i="53"/>
  <c r="G30" i="53"/>
  <c r="G90" i="53"/>
  <c r="G82" i="53"/>
  <c r="G74" i="53"/>
  <c r="G66" i="53"/>
  <c r="G58" i="53"/>
  <c r="G50" i="53"/>
  <c r="G42" i="53"/>
  <c r="G40" i="53"/>
  <c r="G39" i="53"/>
  <c r="G31" i="53"/>
  <c r="G91" i="53"/>
  <c r="G83" i="53"/>
  <c r="G75" i="53"/>
  <c r="G67" i="53"/>
  <c r="G59" i="53"/>
  <c r="G51" i="53"/>
  <c r="G43" i="53"/>
  <c r="G41" i="53"/>
  <c r="G32" i="53"/>
  <c r="G27" i="53"/>
  <c r="G8" i="53"/>
  <c r="G5" i="53"/>
  <c r="G4" i="53"/>
  <c r="G6" i="53"/>
  <c r="G9" i="53"/>
  <c r="G7" i="53"/>
  <c r="G10" i="53"/>
  <c r="G12" i="53"/>
  <c r="G11" i="53"/>
  <c r="E4" i="53"/>
  <c r="AG2" i="53"/>
  <c r="AU10" i="53"/>
  <c r="AU8" i="53"/>
  <c r="E13" i="53"/>
  <c r="E89" i="53"/>
  <c r="E81" i="53"/>
  <c r="E73" i="53"/>
  <c r="E65" i="53"/>
  <c r="E57" i="53"/>
  <c r="E49" i="53"/>
  <c r="E38" i="53"/>
  <c r="E30" i="53"/>
  <c r="E90" i="53"/>
  <c r="E82" i="53"/>
  <c r="E74" i="53"/>
  <c r="E66" i="53"/>
  <c r="E58" i="53"/>
  <c r="E50" i="53"/>
  <c r="E42" i="53"/>
  <c r="E40" i="53"/>
  <c r="E39" i="53"/>
  <c r="E31" i="53"/>
  <c r="E91" i="53"/>
  <c r="E83" i="53"/>
  <c r="E75" i="53"/>
  <c r="E67" i="53"/>
  <c r="E59" i="53"/>
  <c r="E51" i="53"/>
  <c r="E43" i="53"/>
  <c r="E41" i="53"/>
  <c r="E32" i="53"/>
  <c r="E27" i="53"/>
  <c r="E10" i="53"/>
  <c r="E9" i="53"/>
  <c r="E8" i="53"/>
  <c r="E7" i="53"/>
  <c r="E6" i="53"/>
  <c r="E92" i="53"/>
  <c r="E84" i="53"/>
  <c r="E76" i="53"/>
  <c r="E68" i="53"/>
  <c r="E60" i="53"/>
  <c r="E52" i="53"/>
  <c r="E44" i="53"/>
  <c r="E33" i="53"/>
  <c r="E26" i="53"/>
  <c r="E93" i="53"/>
  <c r="E85" i="53"/>
  <c r="E77" i="53"/>
  <c r="E69" i="53"/>
  <c r="E61" i="53"/>
  <c r="E53" i="53"/>
  <c r="E45" i="53"/>
  <c r="E34" i="53"/>
  <c r="E25" i="53"/>
  <c r="E94" i="53"/>
  <c r="E86" i="53"/>
  <c r="E78" i="53"/>
  <c r="E70" i="53"/>
  <c r="E62" i="53"/>
  <c r="E54" i="53"/>
  <c r="E46" i="53"/>
  <c r="E35" i="53"/>
  <c r="E24" i="53"/>
  <c r="E23" i="53"/>
  <c r="E22" i="53"/>
  <c r="E21" i="53"/>
  <c r="E20" i="53"/>
  <c r="E19" i="53"/>
  <c r="E18" i="53"/>
  <c r="E17" i="53"/>
  <c r="E87" i="53"/>
  <c r="E79" i="53"/>
  <c r="E71" i="53"/>
  <c r="E63" i="53"/>
  <c r="E55" i="53"/>
  <c r="E47" i="53"/>
  <c r="E36" i="53"/>
  <c r="E28" i="53"/>
  <c r="E88" i="53"/>
  <c r="E80" i="53"/>
  <c r="E72" i="53"/>
  <c r="E64" i="53"/>
  <c r="E56" i="53"/>
  <c r="E48" i="53"/>
  <c r="E37" i="53"/>
  <c r="E29" i="53"/>
  <c r="AU16" i="53"/>
  <c r="AU17" i="53"/>
  <c r="AV5" i="53"/>
  <c r="AU18" i="53"/>
  <c r="E5" i="53"/>
  <c r="E11" i="53"/>
  <c r="AU4" i="53"/>
  <c r="E12" i="53"/>
  <c r="AU12" i="53"/>
  <c r="AU14" i="53"/>
  <c r="AU9" i="53"/>
  <c r="AU11" i="53"/>
  <c r="E14" i="53"/>
  <c r="E16" i="53"/>
  <c r="AV16" i="53"/>
  <c r="AV19" i="53"/>
  <c r="AU19" i="53"/>
  <c r="AV20" i="53"/>
  <c r="AU20" i="53"/>
  <c r="AV7" i="53"/>
  <c r="AV18" i="53"/>
  <c r="AU28" i="53"/>
  <c r="AU21" i="53"/>
  <c r="AU22" i="53"/>
  <c r="AU23" i="53"/>
  <c r="AU24" i="53"/>
  <c r="AU25" i="53"/>
  <c r="AX2" i="53" l="1"/>
  <c r="E96" i="53"/>
  <c r="AU2" i="53"/>
  <c r="AU1" i="53"/>
  <c r="I24" i="31" l="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L4" i="45"/>
  <c r="H6" i="45"/>
  <c r="I6" i="45"/>
  <c r="S1" i="45"/>
  <c r="L3" i="45"/>
  <c r="J3" i="45"/>
  <c r="N3" i="45" s="1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K13" i="45" l="1"/>
  <c r="K12" i="45"/>
  <c r="K11" i="45"/>
  <c r="K10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<sst xmlns="http://schemas.openxmlformats.org/spreadsheetml/2006/main" count="24831" uniqueCount="106">
  <si>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</si>
  <si>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</si>
  <si>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</si>
  <si>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</si>
  <si>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</si>
  <si>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</si>
  <si>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</si>
  <si>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</si>
  <si>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</si>
  <si>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</si>
  <si>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</si>
  <si>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</si>
  <si>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</si>
  <si>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</si>
  <si>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</si>
  <si>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</si>
  <si>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</si>
  <si>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</si>
  <si>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</si>
  <si>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</si>
  <si>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</si>
  <si>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</si>
  <si>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</si>
  <si>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</si>
  <si>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</si>
  <si>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</si>
  <si>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</si>
  <si>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</si>
  <si>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</si>
  <si>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</si>
  <si>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</si>
  <si>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</si>
  <si>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</si>
  <si>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</si>
  <si>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</si>
  <si>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</si>
  <si>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</si>
  <si>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</si>
  <si>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</si>
  <si>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</si>
  <si>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</si>
  <si>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</si>
  <si>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</si>
  <si>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</si>
  <si>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</si>
  <si>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</si>
  <si>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</si>
  <si>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</si>
  <si>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</si>
  <si>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</si>
  <si>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</si>
  <si>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</si>
  <si>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</si>
  <si>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</si>
  <si>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</si>
  <si>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</si>
  <si>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</si>
  <si>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</si>
  <si>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</si>
  <si>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</si>
  <si>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</si>
  <si>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</si>
  <si>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</si>
  <si>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</si>
  <si>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</si>
  <si>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</si>
  <si>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</si>
  <si>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</si>
  <si>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</si>
  <si>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</si>
  <si>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</si>
  <si>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</si>
  <si>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</si>
  <si>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</si>
  <si>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</si>
  <si>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</si>
  <si>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</si>
  <si>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</si>
  <si>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</si>
  <si>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</si>
  <si>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</si>
  <si>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</si>
  <si>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</si>
  <si>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</si>
  <si>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</si>
  <si>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</si>
  <si>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</si>
  <si>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</si>
  <si>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</si>
  <si>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</si>
  <si>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</si>
  <si>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</si>
  <si>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</si>
  <si>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</si>
  <si>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</si>
  <si>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</si>
  <si>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</si>
  <si>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</si>
  <si>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</si>
  <si>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</si>
  <si>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</si>
  <si>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version 8.0.0</t>
  </si>
  <si>
    <t>八卦后亏损</t>
    <phoneticPr fontId="13" type="noConversion"/>
  </si>
  <si>
    <t>路线1-2</t>
  </si>
  <si>
    <t>每日粮草</t>
  </si>
  <si>
    <t>version 9.0.19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</si>
</sst>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C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1" fillId="19" borderId="2" xfId="0" applyFont="1" applyFill="1" applyBorder="1" applyAlignment="1"/>
    <xf numFmtId="0" fontId="0" fillId="19" borderId="5" xfId="0" applyFill="1" applyBorder="1"/>
    <xf numFmtId="0" fontId="11" fillId="2" borderId="0" xfId="0" applyFont="1" applyFill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1" fillId="19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18" fillId="14" borderId="0" xfId="0" applyFont="1" applyFill="1"/>
    <xf numFmtId="0" fontId="1" fillId="21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0" fillId="0" borderId="0" xfId="0" applyAlignment="1">
      <alignment horizontal="center" wrapText="1"/>
    </xf>
    <xf numFmtId="0" fontId="1" fillId="21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21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4" fontId="0" fillId="35" borderId="0" xfId="0" applyNumberFormat="1" applyFill="1"/>
    <xf numFmtId="0" fontId="8" fillId="33" borderId="15" xfId="0" applyFont="1" applyFill="1" applyBorder="1"/>
    <xf numFmtId="0" fontId="7" fillId="2" borderId="15" xfId="0" applyFont="1" applyFill="1" applyBorder="1" applyAlignment="1">
      <alignment vertical="top"/>
    </xf>
    <xf numFmtId="0" fontId="8" fillId="10" borderId="15" xfId="0" applyFont="1" applyFill="1" applyBorder="1"/>
    <xf numFmtId="0" fontId="8" fillId="11" borderId="15" xfId="0" applyFont="1" applyFill="1" applyBorder="1"/>
    <xf numFmtId="0" fontId="7" fillId="2" borderId="0" xfId="0" applyFont="1" applyFill="1"/>
    <xf numFmtId="0" fontId="8" fillId="5" borderId="15" xfId="0" applyFont="1" applyFill="1" applyBorder="1" applyAlignment="1">
      <alignment vertical="top"/>
    </xf>
    <xf numFmtId="0" fontId="8" fillId="2" borderId="15" xfId="0" applyFont="1" applyFill="1" applyBorder="1" applyAlignment="1">
      <alignment vertical="top"/>
    </xf>
    <xf numFmtId="0" fontId="7" fillId="7" borderId="15" xfId="0" applyFont="1" applyFill="1" applyBorder="1" applyAlignment="1">
      <alignment vertical="top"/>
    </xf>
    <xf numFmtId="0" fontId="8" fillId="7" borderId="15" xfId="0" applyFont="1" applyFill="1" applyBorder="1" applyAlignment="1">
      <alignment vertical="top"/>
    </xf>
    <xf numFmtId="0" fontId="8" fillId="19" borderId="15" xfId="0" applyFont="1" applyFill="1" applyBorder="1"/>
    <xf numFmtId="0" fontId="7" fillId="8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7" fillId="2" borderId="25" xfId="0" applyFont="1" applyFill="1" applyBorder="1" applyAlignment="1">
      <alignment vertical="top"/>
    </xf>
    <xf numFmtId="0" fontId="7" fillId="2" borderId="26" xfId="0" applyFont="1" applyFill="1" applyBorder="1" applyAlignment="1">
      <alignment vertical="top"/>
    </xf>
    <xf numFmtId="0" fontId="8" fillId="2" borderId="27" xfId="0" applyFont="1" applyFill="1" applyBorder="1" applyAlignment="1">
      <alignment vertical="top"/>
    </xf>
    <xf numFmtId="0" fontId="7" fillId="2" borderId="20" xfId="0" applyFont="1" applyFill="1" applyBorder="1" applyAlignment="1">
      <alignment vertical="top"/>
    </xf>
    <xf numFmtId="0" fontId="7" fillId="2" borderId="21" xfId="0" applyFont="1" applyFill="1" applyBorder="1" applyAlignment="1">
      <alignment vertical="top"/>
    </xf>
    <xf numFmtId="0" fontId="7" fillId="2" borderId="22" xfId="0" applyFont="1" applyFill="1" applyBorder="1" applyAlignment="1">
      <alignment vertical="top"/>
    </xf>
    <xf numFmtId="0" fontId="7" fillId="2" borderId="23" xfId="0" applyFont="1" applyFill="1" applyBorder="1" applyAlignment="1">
      <alignment vertical="top"/>
    </xf>
    <xf numFmtId="0" fontId="7" fillId="2" borderId="24" xfId="0" applyFont="1" applyFill="1" applyBorder="1" applyAlignment="1">
      <alignment vertical="top"/>
    </xf>
    <xf numFmtId="0" fontId="7" fillId="2" borderId="19" xfId="0" applyFont="1" applyFill="1" applyBorder="1" applyAlignment="1">
      <alignment vertical="top"/>
    </xf>
    <xf numFmtId="0" fontId="7" fillId="7" borderId="19" xfId="0" applyFont="1" applyFill="1" applyBorder="1" applyAlignment="1">
      <alignment vertical="top"/>
    </xf>
    <xf numFmtId="0" fontId="8" fillId="8" borderId="15" xfId="0" applyFont="1" applyFill="1" applyBorder="1" applyAlignment="1">
      <alignment vertical="top"/>
    </xf>
    <xf numFmtId="0" fontId="8" fillId="4" borderId="15" xfId="0" applyFont="1" applyFill="1" applyBorder="1" applyAlignment="1">
      <alignment vertical="top"/>
    </xf>
    <xf numFmtId="0" fontId="7" fillId="17" borderId="0" xfId="0" applyFont="1" applyFill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15">
        <f ca="1">(_xlfn.DAYS(TODAY(),A4)+2)/((_xlfn.DAYS(A94,A4))+1)</f>
        <v>5.9780219780219781</v>
      </c>
      <c r="B1" s="216"/>
      <c r="C1" s="216"/>
      <c r="D1" s="216"/>
      <c r="E1" s="216"/>
      <c r="F1" s="216"/>
      <c r="G1" s="217"/>
      <c r="H1" s="218" t="s">
        <v>37</v>
      </c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20"/>
      <c r="AG1" s="42"/>
      <c r="AH1" s="42"/>
      <c r="AI1" s="42"/>
      <c r="AL1" s="214" t="s">
        <v>42</v>
      </c>
      <c r="AM1" s="214"/>
      <c r="AN1" s="214"/>
    </row>
    <row r="2" spans="1:51" ht="16.2" customHeight="1" thickBot="1">
      <c r="A2" t="s">
        <v>74</v>
      </c>
      <c r="B2" s="51"/>
      <c r="C2" s="222" t="s">
        <v>35</v>
      </c>
      <c r="D2" s="223"/>
      <c r="E2" s="224">
        <f>SUM(E4:E94)+SUM(G4:G94)</f>
        <v>61465</v>
      </c>
      <c r="F2" s="224"/>
      <c r="G2" s="225"/>
      <c r="H2" s="226" t="s">
        <v>48</v>
      </c>
      <c r="I2" s="227"/>
      <c r="J2" s="100" t="s">
        <v>46</v>
      </c>
      <c r="K2" s="100">
        <f>COUNTIF(H4:O94,"&lt;&gt;空")-3</f>
        <v>553</v>
      </c>
      <c r="L2" s="227" t="s">
        <v>45</v>
      </c>
      <c r="M2" s="227"/>
      <c r="N2" s="227"/>
      <c r="O2" s="228"/>
      <c r="P2" s="229" t="s">
        <v>49</v>
      </c>
      <c r="Q2" s="209"/>
      <c r="R2" s="99" t="s">
        <v>46</v>
      </c>
      <c r="S2" s="99">
        <f>COUNTIF(P4:W94,"&lt;&gt;空")</f>
        <v>470</v>
      </c>
      <c r="T2" s="209" t="s">
        <v>45</v>
      </c>
      <c r="U2" s="209"/>
      <c r="V2" s="209"/>
      <c r="W2" s="210"/>
      <c r="X2" s="229" t="s">
        <v>33</v>
      </c>
      <c r="Y2" s="209"/>
      <c r="Z2" s="58" t="s">
        <v>44</v>
      </c>
      <c r="AA2" s="99">
        <f>COUNTIF(X4:AE94,"&lt;&gt;空")</f>
        <v>0</v>
      </c>
      <c r="AB2" s="209" t="s">
        <v>45</v>
      </c>
      <c r="AC2" s="209"/>
      <c r="AD2" s="209"/>
      <c r="AE2" s="210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11" t="s">
        <v>29</v>
      </c>
      <c r="AL2" s="221"/>
      <c r="AM2" s="221"/>
      <c r="AN2" s="221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1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13" t="s">
        <v>34</v>
      </c>
      <c r="AW5" s="213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14"/>
      <c r="AW6" s="214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14"/>
      <c r="AW7" s="214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14"/>
      <c r="AW8" s="214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15">
        <f ca="1">(_xlfn.DAYS(TODAY(),A4)+2)/((_xlfn.DAYS(A94,A4))+1)</f>
        <v>5.9780219780219781</v>
      </c>
      <c r="B1" s="216"/>
      <c r="C1" s="216"/>
      <c r="D1" s="216"/>
      <c r="E1" s="216"/>
      <c r="F1" s="216"/>
      <c r="G1" s="217"/>
      <c r="H1" s="218" t="s">
        <v>37</v>
      </c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20"/>
      <c r="AG1" s="42"/>
      <c r="AH1" s="42"/>
      <c r="AI1" s="42"/>
      <c r="AL1" s="214" t="s">
        <v>42</v>
      </c>
      <c r="AM1" s="214"/>
      <c r="AN1" s="214"/>
    </row>
    <row r="2" spans="1:51" ht="16.2" customHeight="1" thickBot="1">
      <c r="A2" t="s">
        <v>73</v>
      </c>
      <c r="B2" s="51"/>
      <c r="C2" s="222" t="s">
        <v>35</v>
      </c>
      <c r="D2" s="223"/>
      <c r="E2" s="224">
        <f>SUM(E4:E94)+SUM(G4:G94)</f>
        <v>61405</v>
      </c>
      <c r="F2" s="224"/>
      <c r="G2" s="225"/>
      <c r="H2" s="226" t="s">
        <v>48</v>
      </c>
      <c r="I2" s="227"/>
      <c r="J2" s="73" t="s">
        <v>46</v>
      </c>
      <c r="K2" s="73">
        <f>COUNTIF(H18:O94,"&lt;&gt;空")-3</f>
        <v>221</v>
      </c>
      <c r="L2" s="227" t="s">
        <v>45</v>
      </c>
      <c r="M2" s="227"/>
      <c r="N2" s="227"/>
      <c r="O2" s="228"/>
      <c r="P2" s="230" t="s">
        <v>49</v>
      </c>
      <c r="Q2" s="231"/>
      <c r="R2" s="74" t="s">
        <v>46</v>
      </c>
      <c r="S2" s="74">
        <f>COUNTIF(P4:W94,"&lt;&gt;空")</f>
        <v>303</v>
      </c>
      <c r="T2" s="231" t="s">
        <v>45</v>
      </c>
      <c r="U2" s="231"/>
      <c r="V2" s="231"/>
      <c r="W2" s="232"/>
      <c r="X2" s="229" t="s">
        <v>33</v>
      </c>
      <c r="Y2" s="209"/>
      <c r="Z2" s="58" t="s">
        <v>44</v>
      </c>
      <c r="AA2" s="72">
        <f>COUNTIF(X4:AE94,"&lt;&gt;空")</f>
        <v>412</v>
      </c>
      <c r="AB2" s="209" t="s">
        <v>45</v>
      </c>
      <c r="AC2" s="209"/>
      <c r="AD2" s="209"/>
      <c r="AE2" s="210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11" t="s">
        <v>29</v>
      </c>
      <c r="AL2" s="221"/>
      <c r="AM2" s="221"/>
      <c r="AN2" s="221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1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13" t="s">
        <v>34</v>
      </c>
      <c r="AW5" s="213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14"/>
      <c r="AW6" s="214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14"/>
      <c r="AW7" s="214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14"/>
      <c r="AW8" s="214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15">
        <f ca="1">(_xlfn.DAYS(TODAY(),A4)+2)/((_xlfn.DAYS(A94,A4))+1)</f>
        <v>5.9780219780219781</v>
      </c>
      <c r="B1" s="216"/>
      <c r="C1" s="216"/>
      <c r="D1" s="216"/>
      <c r="E1" s="216"/>
      <c r="F1" s="216"/>
      <c r="G1" s="217"/>
      <c r="H1" s="218" t="s">
        <v>37</v>
      </c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20"/>
      <c r="AG1" s="42"/>
      <c r="AH1" s="42"/>
      <c r="AI1" s="42"/>
      <c r="AL1" s="214" t="s">
        <v>42</v>
      </c>
      <c r="AM1" s="214"/>
      <c r="AN1" s="214"/>
    </row>
    <row r="2" spans="1:51" ht="16.2" customHeight="1" thickBot="1">
      <c r="A2" t="s">
        <v>62</v>
      </c>
      <c r="B2" s="51"/>
      <c r="C2" s="222" t="s">
        <v>35</v>
      </c>
      <c r="D2" s="223"/>
      <c r="E2" s="224">
        <f>SUM(E4:E94)+SUM(G4:G94)</f>
        <v>61375</v>
      </c>
      <c r="F2" s="224"/>
      <c r="G2" s="225"/>
      <c r="H2" s="226" t="s">
        <v>48</v>
      </c>
      <c r="I2" s="227"/>
      <c r="J2" s="64" t="s">
        <v>46</v>
      </c>
      <c r="K2" s="64">
        <f>COUNTIF(H4:O94,"&lt;&gt;空")</f>
        <v>309</v>
      </c>
      <c r="L2" s="227" t="s">
        <v>45</v>
      </c>
      <c r="M2" s="227"/>
      <c r="N2" s="227"/>
      <c r="O2" s="228"/>
      <c r="P2" s="230" t="s">
        <v>49</v>
      </c>
      <c r="Q2" s="231"/>
      <c r="R2" s="65" t="s">
        <v>46</v>
      </c>
      <c r="S2" s="65">
        <f>COUNTIF(P4:W94,"&lt;&gt;空")</f>
        <v>302</v>
      </c>
      <c r="T2" s="231" t="s">
        <v>45</v>
      </c>
      <c r="U2" s="231"/>
      <c r="V2" s="231"/>
      <c r="W2" s="232"/>
      <c r="X2" s="229" t="s">
        <v>33</v>
      </c>
      <c r="Y2" s="209"/>
      <c r="Z2" s="58" t="s">
        <v>44</v>
      </c>
      <c r="AA2" s="63">
        <f>COUNTIF(X4:AE94,"&lt;&gt;空")</f>
        <v>412</v>
      </c>
      <c r="AB2" s="209" t="s">
        <v>45</v>
      </c>
      <c r="AC2" s="209"/>
      <c r="AD2" s="209"/>
      <c r="AE2" s="210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11" t="s">
        <v>29</v>
      </c>
      <c r="AL2" s="221"/>
      <c r="AM2" s="221"/>
      <c r="AN2" s="221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1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13" t="s">
        <v>34</v>
      </c>
      <c r="AW5" s="213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14"/>
      <c r="AW6" s="214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14"/>
      <c r="AW7" s="214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14"/>
      <c r="AW8" s="214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  <col min="41" max="41" width="10" bestFit="1" customWidth="1"/>
  </cols>
  <sheetData>
    <row r="1" spans="1:51" ht="28.2" customHeight="1" thickBot="1">
      <c r="A1" s="215">
        <f ca="1">(_xlfn.DAYS(TODAY(),A4)+2)/((_xlfn.DAYS(A94,A4))+1)</f>
        <v>5.9780219780219781</v>
      </c>
      <c r="B1" s="216"/>
      <c r="C1" s="216"/>
      <c r="D1" s="216"/>
      <c r="E1" s="216"/>
      <c r="F1" s="216"/>
      <c r="G1" s="217"/>
      <c r="H1" s="218" t="s">
        <v>37</v>
      </c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20"/>
      <c r="AG1" s="42"/>
      <c r="AH1" s="42"/>
      <c r="AI1" s="42"/>
      <c r="AL1" s="214" t="s">
        <v>42</v>
      </c>
      <c r="AM1" s="214"/>
      <c r="AN1" s="214"/>
    </row>
    <row r="2" spans="1:51" ht="16.2" customHeight="1" thickBot="1">
      <c r="A2" t="s">
        <v>62</v>
      </c>
      <c r="B2" s="51"/>
      <c r="C2" s="222" t="s">
        <v>35</v>
      </c>
      <c r="D2" s="223"/>
      <c r="E2" s="224">
        <f>SUM(E4:E94)+SUM(G4:G94)</f>
        <v>61245</v>
      </c>
      <c r="F2" s="224"/>
      <c r="G2" s="225"/>
      <c r="H2" s="226" t="s">
        <v>48</v>
      </c>
      <c r="I2" s="227"/>
      <c r="J2" s="54" t="s">
        <v>46</v>
      </c>
      <c r="K2" s="54">
        <f>COUNTIF(H4:O94,"&lt;&gt;空")</f>
        <v>406</v>
      </c>
      <c r="L2" s="227" t="s">
        <v>45</v>
      </c>
      <c r="M2" s="227"/>
      <c r="N2" s="227"/>
      <c r="O2" s="228"/>
      <c r="P2" s="230" t="s">
        <v>49</v>
      </c>
      <c r="Q2" s="231"/>
      <c r="R2" s="52" t="s">
        <v>46</v>
      </c>
      <c r="S2" s="52">
        <f>COUNTIF(P4:W94,"&lt;&gt;空")</f>
        <v>184</v>
      </c>
      <c r="T2" s="231" t="s">
        <v>45</v>
      </c>
      <c r="U2" s="231"/>
      <c r="V2" s="231"/>
      <c r="W2" s="232"/>
      <c r="X2" s="229" t="s">
        <v>33</v>
      </c>
      <c r="Y2" s="209"/>
      <c r="Z2" s="58" t="s">
        <v>44</v>
      </c>
      <c r="AA2" s="59">
        <f>COUNTIF(X4:AE94,"&lt;&gt;空")</f>
        <v>434</v>
      </c>
      <c r="AB2" s="209" t="s">
        <v>45</v>
      </c>
      <c r="AC2" s="209"/>
      <c r="AD2" s="209"/>
      <c r="AE2" s="210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11" t="s">
        <v>29</v>
      </c>
      <c r="AL2" s="221"/>
      <c r="AM2" s="221"/>
      <c r="AN2" s="221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12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13" t="s">
        <v>34</v>
      </c>
      <c r="AW5" s="213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14"/>
      <c r="AW6" s="214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14"/>
      <c r="AW7" s="214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14"/>
      <c r="AW8" s="214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6.33203125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15">
        <f ca="1">(_xlfn.DAYS(TODAY(),A4)+2)/((_xlfn.DAYS(A94,A4))+1)</f>
        <v>3.9780219780219781</v>
      </c>
      <c r="B1" s="216"/>
      <c r="C1" s="216"/>
      <c r="D1" s="216"/>
      <c r="E1" s="216"/>
      <c r="F1" s="216"/>
      <c r="G1" s="216"/>
      <c r="H1" s="217"/>
      <c r="I1" s="218" t="s">
        <v>37</v>
      </c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/>
      <c r="AH1" s="42"/>
      <c r="AI1" s="42"/>
      <c r="AJ1" s="42"/>
      <c r="AM1" s="214" t="s">
        <v>42</v>
      </c>
      <c r="AN1" s="214"/>
      <c r="AO1" s="214"/>
      <c r="AP1" s="138"/>
      <c r="AS1" t="s">
        <v>82</v>
      </c>
      <c r="AT1">
        <f>SUM(D4:D94)+150*AT18+160*AT28</f>
        <v>16400</v>
      </c>
    </row>
    <row r="2" spans="1:53" ht="16.2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22" t="s">
        <v>35</v>
      </c>
      <c r="E2" s="223"/>
      <c r="F2" s="224">
        <f>SUM(F4:F94)+SUM(H4:H94)</f>
        <v>11730</v>
      </c>
      <c r="G2" s="224"/>
      <c r="H2" s="225"/>
      <c r="I2" s="235" t="s">
        <v>48</v>
      </c>
      <c r="J2" s="236"/>
      <c r="K2" s="140" t="s">
        <v>46</v>
      </c>
      <c r="L2" s="140">
        <f>COUNTIF(I4:P94,"&lt;&gt;空")</f>
        <v>26</v>
      </c>
      <c r="M2" s="236" t="s">
        <v>45</v>
      </c>
      <c r="N2" s="236"/>
      <c r="O2" s="236"/>
      <c r="P2" s="237"/>
      <c r="Q2" s="238" t="s">
        <v>49</v>
      </c>
      <c r="R2" s="239"/>
      <c r="S2" s="141" t="s">
        <v>46</v>
      </c>
      <c r="T2" s="141">
        <f>COUNTIF(Q4:X94,"&lt;&gt;空")</f>
        <v>42</v>
      </c>
      <c r="U2" s="239" t="s">
        <v>45</v>
      </c>
      <c r="V2" s="239"/>
      <c r="W2" s="239"/>
      <c r="X2" s="240"/>
      <c r="Y2" s="241" t="s">
        <v>33</v>
      </c>
      <c r="Z2" s="233"/>
      <c r="AA2" s="134" t="s">
        <v>44</v>
      </c>
      <c r="AB2" s="139">
        <f>COUNTIF(Y4:AF94,"&lt;&gt;空")</f>
        <v>36</v>
      </c>
      <c r="AC2" s="233" t="s">
        <v>45</v>
      </c>
      <c r="AD2" s="233"/>
      <c r="AE2" s="233"/>
      <c r="AF2" s="234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11" t="s">
        <v>29</v>
      </c>
      <c r="AL2" s="142">
        <f>L2+T2+AB2</f>
        <v>104</v>
      </c>
      <c r="AM2" s="221"/>
      <c r="AN2" s="221"/>
      <c r="AO2" s="221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13" t="s">
        <v>34</v>
      </c>
      <c r="AY5" s="213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14"/>
      <c r="AY6" s="214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14"/>
      <c r="AY7" s="214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14"/>
      <c r="AY8" s="214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6.33203125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15">
        <f ca="1">(_xlfn.DAYS(TODAY(),A4)+2)/((_xlfn.DAYS(A94,A4))+1)</f>
        <v>3.9780219780219781</v>
      </c>
      <c r="B1" s="216"/>
      <c r="C1" s="216"/>
      <c r="D1" s="216"/>
      <c r="E1" s="216"/>
      <c r="F1" s="216"/>
      <c r="G1" s="216"/>
      <c r="H1" s="217"/>
      <c r="I1" s="218" t="s">
        <v>37</v>
      </c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/>
      <c r="AH1" s="42"/>
      <c r="AI1" s="42"/>
      <c r="AJ1" s="42"/>
      <c r="AM1" s="214" t="s">
        <v>42</v>
      </c>
      <c r="AN1" s="214"/>
      <c r="AO1" s="214"/>
      <c r="AP1" s="138"/>
      <c r="AS1" t="s">
        <v>82</v>
      </c>
      <c r="AT1">
        <f>SUM(D4:D94)+150*AT18+160*AT28</f>
        <v>14660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22" t="s">
        <v>35</v>
      </c>
      <c r="E2" s="223"/>
      <c r="F2" s="224">
        <f>SUM(F4:F94)+SUM(H4:H94)</f>
        <v>11730</v>
      </c>
      <c r="G2" s="224"/>
      <c r="H2" s="225"/>
      <c r="I2" s="235" t="s">
        <v>48</v>
      </c>
      <c r="J2" s="236"/>
      <c r="K2" s="140" t="s">
        <v>46</v>
      </c>
      <c r="L2" s="140">
        <f>COUNTIF(I4:P94,"&lt;&gt;空")</f>
        <v>35</v>
      </c>
      <c r="M2" s="236" t="s">
        <v>45</v>
      </c>
      <c r="N2" s="236"/>
      <c r="O2" s="236"/>
      <c r="P2" s="237"/>
      <c r="Q2" s="238" t="s">
        <v>49</v>
      </c>
      <c r="R2" s="239"/>
      <c r="S2" s="141" t="s">
        <v>46</v>
      </c>
      <c r="T2" s="141">
        <f>COUNTIF(Q4:X94,"&lt;&gt;空")</f>
        <v>42</v>
      </c>
      <c r="U2" s="239" t="s">
        <v>45</v>
      </c>
      <c r="V2" s="239"/>
      <c r="W2" s="239"/>
      <c r="X2" s="240"/>
      <c r="Y2" s="241" t="s">
        <v>33</v>
      </c>
      <c r="Z2" s="233"/>
      <c r="AA2" s="134" t="s">
        <v>44</v>
      </c>
      <c r="AB2" s="139">
        <f>COUNTIF(Y4:AF94,"&lt;&gt;空")</f>
        <v>16</v>
      </c>
      <c r="AC2" s="233" t="s">
        <v>45</v>
      </c>
      <c r="AD2" s="233"/>
      <c r="AE2" s="233"/>
      <c r="AF2" s="234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11" t="s">
        <v>29</v>
      </c>
      <c r="AL2" s="142">
        <f>L2+T2+AB2</f>
        <v>93</v>
      </c>
      <c r="AM2" s="221"/>
      <c r="AN2" s="221"/>
      <c r="AO2" s="221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13" t="s">
        <v>34</v>
      </c>
      <c r="AY5" s="213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14"/>
      <c r="AY6" s="214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14"/>
      <c r="AY7" s="214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14"/>
      <c r="AY8" s="214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54B2-52BA-48EA-A941-9B04A4178A30}">
  <dimension ref="A1:BC96"/>
  <sheetViews>
    <sheetView zoomScaleNormal="100" workbookViewId="0">
      <pane xSplit="8" ySplit="3" topLeftCell="AH4" activePane="bottomRight" state="frozen"/>
      <selection pane="topRight" activeCell="I1" sqref="I1"/>
      <selection pane="bottomLeft" activeCell="A4" sqref="A4"/>
      <selection pane="bottomRight" activeCell="AP20" sqref="AP20"/>
    </sheetView>
  </sheetViews>
  <sheetFormatPr defaultRowHeight="14.4"/>
  <cols>
    <col min="1" max="1" width="11.88671875" bestFit="1" customWidth="1"/>
    <col min="2" max="2" width="8.6640625" customWidth="1"/>
    <col min="3" max="3" width="7.88671875" customWidth="1"/>
    <col min="4" max="4" width="5.6640625" bestFit="1" customWidth="1"/>
    <col min="5" max="5" width="6.6640625" customWidth="1"/>
    <col min="6" max="6" width="5.6640625" bestFit="1" customWidth="1"/>
    <col min="7" max="7" width="6.6640625" customWidth="1"/>
    <col min="8" max="8" width="5" bestFit="1" customWidth="1"/>
    <col min="9" max="32" width="5.66406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15">
        <f ca="1">(_xlfn.DAYS(TODAY(),A4)+2)/((_xlfn.DAYS(A94,A4))+1)</f>
        <v>1.9780219780219781</v>
      </c>
      <c r="B1" s="216"/>
      <c r="C1" s="216"/>
      <c r="D1" s="216"/>
      <c r="E1" s="216"/>
      <c r="F1" s="216"/>
      <c r="G1" s="216"/>
      <c r="H1" s="217"/>
      <c r="I1" s="218" t="s">
        <v>37</v>
      </c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/>
      <c r="AH1" s="42"/>
      <c r="AI1" s="42"/>
      <c r="AJ1" s="42"/>
      <c r="AM1" s="214" t="s">
        <v>42</v>
      </c>
      <c r="AN1" s="214"/>
      <c r="AO1" s="214"/>
      <c r="AP1" s="178"/>
      <c r="AQ1" s="178"/>
      <c r="AT1" t="s">
        <v>82</v>
      </c>
      <c r="AU1">
        <f>SUM(D4:D94)+150*AU18+160*AU28</f>
        <v>153170</v>
      </c>
    </row>
    <row r="2" spans="1:55" ht="16.2" customHeight="1" thickBot="1">
      <c r="A2" t="s">
        <v>105</v>
      </c>
      <c r="B2" s="120" t="s">
        <v>84</v>
      </c>
      <c r="C2" s="119" cm="1">
        <f t="array" ref="C2">SUM(VLOOKUP(I4:P9,$AM$4:$AP$44,4,FALSE))+SUM(VLOOKUP(Q4:AF11,$AM$4:$AP$44,4,FALSE))+SUM(AG4:AG11)*10</f>
        <v>3663.1053245567914</v>
      </c>
      <c r="D2" s="222" t="s">
        <v>35</v>
      </c>
      <c r="E2" s="223"/>
      <c r="F2" s="224">
        <f>SUM(F4:F94)+SUM(H4:H94)</f>
        <v>65010</v>
      </c>
      <c r="G2" s="224"/>
      <c r="H2" s="225"/>
      <c r="I2" s="242" t="s">
        <v>48</v>
      </c>
      <c r="J2" s="243"/>
      <c r="K2" s="181" t="s">
        <v>46</v>
      </c>
      <c r="L2" s="181">
        <f>COUNTIF(I4:P94,"&lt;&gt;空")</f>
        <v>34</v>
      </c>
      <c r="M2" s="243" t="s">
        <v>45</v>
      </c>
      <c r="N2" s="243"/>
      <c r="O2" s="243"/>
      <c r="P2" s="244"/>
      <c r="Q2" s="230" t="s">
        <v>49</v>
      </c>
      <c r="R2" s="231"/>
      <c r="S2" s="179" t="s">
        <v>46</v>
      </c>
      <c r="T2" s="179">
        <f>COUNTIF(Q4:X94,"&lt;&gt;空")</f>
        <v>557</v>
      </c>
      <c r="U2" s="231" t="s">
        <v>45</v>
      </c>
      <c r="V2" s="231"/>
      <c r="W2" s="231"/>
      <c r="X2" s="232"/>
      <c r="Y2" s="238" t="s">
        <v>33</v>
      </c>
      <c r="Z2" s="239"/>
      <c r="AA2" s="153" t="s">
        <v>44</v>
      </c>
      <c r="AB2" s="180">
        <f>COUNTIF(Y4:AF94,"&lt;&gt;空")</f>
        <v>484</v>
      </c>
      <c r="AC2" s="239" t="s">
        <v>45</v>
      </c>
      <c r="AD2" s="239"/>
      <c r="AE2" s="239"/>
      <c r="AF2" s="240"/>
      <c r="AG2" s="41">
        <f>SUM(AG4:AG94)</f>
        <v>32</v>
      </c>
      <c r="AH2" s="41">
        <f>SUM(AH4:AH94)</f>
        <v>3</v>
      </c>
      <c r="AI2" s="41">
        <f>SUM(AI4:AI94)</f>
        <v>15</v>
      </c>
      <c r="AJ2" s="41">
        <f>SUM(AJ4:AJ94)</f>
        <v>14</v>
      </c>
      <c r="AK2" s="211" t="s">
        <v>29</v>
      </c>
      <c r="AM2" s="221"/>
      <c r="AN2" s="221"/>
      <c r="AO2" s="221"/>
      <c r="AP2" s="117"/>
      <c r="AQ2" s="117"/>
      <c r="AT2" t="s">
        <v>60</v>
      </c>
      <c r="AU2">
        <f>SUM(AU4:AU29)</f>
        <v>1075</v>
      </c>
      <c r="AW2" t="s">
        <v>61</v>
      </c>
      <c r="AX2" s="4">
        <f>SUM(AV4:AX29)+7000</f>
        <v>65010</v>
      </c>
      <c r="AY2" s="10"/>
      <c r="AZ2" s="11" t="s">
        <v>32</v>
      </c>
    </row>
    <row r="3" spans="1:55" ht="29.4" thickBot="1">
      <c r="A3" s="17" t="s">
        <v>36</v>
      </c>
      <c r="B3" s="16" t="s">
        <v>104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182">
        <v>44820</v>
      </c>
      <c r="B4" s="89">
        <v>800</v>
      </c>
      <c r="C4" s="89">
        <v>6000</v>
      </c>
      <c r="D4" s="89" cm="1">
        <f t="array" ref="D4">(SUM(VLOOKUP(I4:AF4,$AM$4:$AO$44,2,FALSE))+AG4*10)*IF(AK4="是",$AZ$4,$AZ$3)</f>
        <v>2930</v>
      </c>
      <c r="E4" s="89">
        <f>SUM($B$4:B4)+SUM($C$4:C4)-SUM($D$4:D4)</f>
        <v>3870</v>
      </c>
      <c r="F4" s="89" cm="1">
        <f t="array" ref="F4">SUM(VLOOKUP(I4:AF4,$AM$4:$AO$44,3,FALSE))</f>
        <v>1355</v>
      </c>
      <c r="G4" s="89">
        <f>SUM($F$4:F4)+SUM($H$4:H4)</f>
        <v>1855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5" t="s">
        <v>16</v>
      </c>
      <c r="O4" s="92" t="s">
        <v>23</v>
      </c>
      <c r="P4" s="92" t="s">
        <v>23</v>
      </c>
      <c r="Q4" s="95" t="s">
        <v>16</v>
      </c>
      <c r="R4" s="95" t="s">
        <v>16</v>
      </c>
      <c r="S4" s="95" t="s">
        <v>16</v>
      </c>
      <c r="T4" s="95" t="s">
        <v>16</v>
      </c>
      <c r="U4" s="95" t="s">
        <v>16</v>
      </c>
      <c r="V4" s="95" t="s">
        <v>16</v>
      </c>
      <c r="W4" s="92" t="s">
        <v>23</v>
      </c>
      <c r="X4" s="92" t="s">
        <v>23</v>
      </c>
      <c r="Y4" s="104" t="s">
        <v>17</v>
      </c>
      <c r="Z4" s="183" t="s">
        <v>87</v>
      </c>
      <c r="AA4" s="104" t="s">
        <v>17</v>
      </c>
      <c r="AB4" s="184" t="s">
        <v>18</v>
      </c>
      <c r="AC4" s="184" t="s">
        <v>18</v>
      </c>
      <c r="AD4" s="98" t="s">
        <v>88</v>
      </c>
      <c r="AE4" s="184" t="s">
        <v>18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14</v>
      </c>
      <c r="AS4" s="19">
        <f t="shared" ref="AS4:AS26" si="1">COUNTIF($Q$4:$X$94,AM4)</f>
        <v>7</v>
      </c>
      <c r="AT4" s="19">
        <f t="shared" ref="AT4:AT26" si="2">COUNTIF($Y$4:$AF$94,AM4)</f>
        <v>4</v>
      </c>
      <c r="AU4" s="19">
        <f>AR4+AS4+AT4</f>
        <v>25</v>
      </c>
      <c r="AV4" s="50">
        <f>AR4*$AO4</f>
        <v>490</v>
      </c>
      <c r="AW4" s="50">
        <f t="shared" ref="AW4:AX19" si="3">AS4*$AO4</f>
        <v>245</v>
      </c>
      <c r="AX4" s="50">
        <f t="shared" si="3"/>
        <v>140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82">
        <v>44821</v>
      </c>
      <c r="B5" s="89">
        <v>1600</v>
      </c>
      <c r="C5" s="89"/>
      <c r="D5" s="89" cm="1">
        <f t="array" ref="D5">(SUM(VLOOKUP(I5:AF5,$AM$4:$AO$44,2,FALSE))+AG5*10)*IF(AK5="是",$AZ$4,$AZ$3)</f>
        <v>1770</v>
      </c>
      <c r="E5" s="89">
        <f>SUM($B$4:B5)+SUM($C$4:C5)-SUM($D$4:D5)</f>
        <v>3700</v>
      </c>
      <c r="F5" s="89" cm="1">
        <f t="array" ref="F5">SUM(VLOOKUP(I5:AF5,$AM$4:$AO$44,3,FALSE))</f>
        <v>510</v>
      </c>
      <c r="G5" s="89">
        <f>SUM($F$4:F5)+SUM($H$4:H5)</f>
        <v>2365</v>
      </c>
      <c r="H5" s="89">
        <v>0</v>
      </c>
      <c r="I5" s="88" t="s">
        <v>23</v>
      </c>
      <c r="J5" s="88" t="s">
        <v>23</v>
      </c>
      <c r="K5" s="88" t="s">
        <v>23</v>
      </c>
      <c r="L5" s="88" t="s">
        <v>23</v>
      </c>
      <c r="M5" s="88" t="s">
        <v>23</v>
      </c>
      <c r="N5" s="88" t="s">
        <v>23</v>
      </c>
      <c r="O5" s="92" t="s">
        <v>23</v>
      </c>
      <c r="P5" s="92" t="s">
        <v>23</v>
      </c>
      <c r="Q5" s="184" t="s">
        <v>18</v>
      </c>
      <c r="R5" s="184" t="s">
        <v>18</v>
      </c>
      <c r="S5" s="184" t="s">
        <v>18</v>
      </c>
      <c r="T5" s="184" t="s">
        <v>18</v>
      </c>
      <c r="U5" s="185" t="s">
        <v>12</v>
      </c>
      <c r="V5" s="184" t="s">
        <v>18</v>
      </c>
      <c r="W5" s="92" t="s">
        <v>23</v>
      </c>
      <c r="X5" s="92" t="s">
        <v>23</v>
      </c>
      <c r="Y5" s="184" t="s">
        <v>18</v>
      </c>
      <c r="Z5" s="185" t="s">
        <v>12</v>
      </c>
      <c r="AA5" s="104" t="s">
        <v>17</v>
      </c>
      <c r="AB5" s="186" t="s">
        <v>13</v>
      </c>
      <c r="AC5" s="95" t="s">
        <v>16</v>
      </c>
      <c r="AD5" s="95" t="s">
        <v>16</v>
      </c>
      <c r="AE5" s="95" t="s">
        <v>16</v>
      </c>
      <c r="AF5" s="95" t="s">
        <v>16</v>
      </c>
      <c r="AG5" s="93">
        <f t="shared" ref="AG5:AG68" si="4">AH5+AI5+AJ5</f>
        <v>4</v>
      </c>
      <c r="AH5" s="93"/>
      <c r="AI5" s="93">
        <v>4</v>
      </c>
      <c r="AJ5" s="93"/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6</v>
      </c>
      <c r="AS5" s="19">
        <f t="shared" si="1"/>
        <v>15</v>
      </c>
      <c r="AT5" s="19">
        <f t="shared" si="2"/>
        <v>19</v>
      </c>
      <c r="AU5" s="19">
        <f t="shared" ref="AU5:AU26" si="6">AR5+AS5+AT5</f>
        <v>40</v>
      </c>
      <c r="AV5" s="50">
        <f t="shared" ref="AV5:AX29" si="7">AR5*$AO5</f>
        <v>240</v>
      </c>
      <c r="AW5" s="50">
        <f t="shared" si="3"/>
        <v>600</v>
      </c>
      <c r="AX5" s="50">
        <f t="shared" si="3"/>
        <v>760</v>
      </c>
      <c r="AY5" s="213" t="s">
        <v>34</v>
      </c>
      <c r="AZ5" s="213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82">
        <v>44822</v>
      </c>
      <c r="B6" s="89">
        <v>1600</v>
      </c>
      <c r="C6" s="89"/>
      <c r="D6" s="89" cm="1">
        <f t="array" ref="D6">(SUM(VLOOKUP(I6:AF6,$AM$4:$AO$44,2,FALSE))+AG6*10)*IF(AK6="是",$AZ$4,$AZ$3)</f>
        <v>1950</v>
      </c>
      <c r="E6" s="89">
        <f>SUM($B$4:B6)+SUM($C$4:C6)-SUM($D$4:D6)</f>
        <v>3350</v>
      </c>
      <c r="F6" s="89" cm="1">
        <f t="array" ref="F6">SUM(VLOOKUP(I6:AF6,$AM$4:$AO$44,3,FALSE))</f>
        <v>525</v>
      </c>
      <c r="G6" s="89">
        <f>SUM($F$4:F6)+SUM($H$4:H6)</f>
        <v>2890</v>
      </c>
      <c r="H6" s="89">
        <v>0</v>
      </c>
      <c r="I6" s="88" t="s">
        <v>23</v>
      </c>
      <c r="J6" s="88" t="s">
        <v>23</v>
      </c>
      <c r="K6" s="88" t="s">
        <v>23</v>
      </c>
      <c r="L6" s="88" t="s">
        <v>23</v>
      </c>
      <c r="M6" s="88" t="s">
        <v>23</v>
      </c>
      <c r="N6" s="88" t="s">
        <v>23</v>
      </c>
      <c r="O6" s="92" t="s">
        <v>23</v>
      </c>
      <c r="P6" s="92" t="s">
        <v>23</v>
      </c>
      <c r="Q6" s="98" t="s">
        <v>89</v>
      </c>
      <c r="R6" s="184" t="s">
        <v>18</v>
      </c>
      <c r="S6" s="104" t="s">
        <v>17</v>
      </c>
      <c r="T6" s="104" t="s">
        <v>17</v>
      </c>
      <c r="U6" s="104" t="s">
        <v>17</v>
      </c>
      <c r="V6" s="104" t="s">
        <v>17</v>
      </c>
      <c r="W6" s="92" t="s">
        <v>23</v>
      </c>
      <c r="X6" s="92" t="s">
        <v>23</v>
      </c>
      <c r="Y6" s="185" t="s">
        <v>12</v>
      </c>
      <c r="Z6" s="104" t="s">
        <v>17</v>
      </c>
      <c r="AA6" s="104" t="s">
        <v>17</v>
      </c>
      <c r="AB6" s="104" t="s">
        <v>17</v>
      </c>
      <c r="AC6" s="186" t="s">
        <v>13</v>
      </c>
      <c r="AD6" s="104" t="s">
        <v>17</v>
      </c>
      <c r="AE6" s="104" t="s">
        <v>17</v>
      </c>
      <c r="AF6" s="184" t="s">
        <v>18</v>
      </c>
      <c r="AG6" s="93">
        <f t="shared" si="4"/>
        <v>10</v>
      </c>
      <c r="AH6" s="93"/>
      <c r="AI6" s="93">
        <v>5</v>
      </c>
      <c r="AJ6" s="93">
        <v>5</v>
      </c>
      <c r="AK6" s="9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6</v>
      </c>
      <c r="AS6" s="19">
        <f t="shared" si="1"/>
        <v>75</v>
      </c>
      <c r="AT6" s="19">
        <f t="shared" si="2"/>
        <v>146</v>
      </c>
      <c r="AU6" s="19">
        <f t="shared" si="6"/>
        <v>227</v>
      </c>
      <c r="AV6" s="50">
        <f t="shared" si="7"/>
        <v>270</v>
      </c>
      <c r="AW6" s="50">
        <f t="shared" si="3"/>
        <v>3375</v>
      </c>
      <c r="AX6" s="50">
        <f t="shared" si="3"/>
        <v>6570</v>
      </c>
      <c r="AY6" s="214"/>
      <c r="AZ6" s="214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82">
        <v>44823</v>
      </c>
      <c r="B7" s="88">
        <v>1600</v>
      </c>
      <c r="C7" s="88"/>
      <c r="D7" s="89" cm="1">
        <f t="array" ref="D7">(SUM(VLOOKUP(I7:AF7,$AM$4:$AO$44,2,FALSE))+AG7*10)*IF(AK7="是",$AZ$4,$AZ$3)</f>
        <v>1940</v>
      </c>
      <c r="E7" s="89">
        <f>SUM($B$4:B7)+SUM($C$4:C7)-SUM($D$4:D7)</f>
        <v>3010</v>
      </c>
      <c r="F7" s="89" cm="1">
        <f t="array" ref="F7">SUM(VLOOKUP(I7:AF7,$AM$4:$AO$44,3,FALSE))</f>
        <v>495</v>
      </c>
      <c r="G7" s="89">
        <f>SUM($F$4:F7)+SUM($H$4:H7)</f>
        <v>3685</v>
      </c>
      <c r="H7" s="88">
        <v>300</v>
      </c>
      <c r="I7" s="88" t="s">
        <v>23</v>
      </c>
      <c r="J7" s="88" t="s">
        <v>23</v>
      </c>
      <c r="K7" s="88" t="s">
        <v>23</v>
      </c>
      <c r="L7" s="88" t="s">
        <v>23</v>
      </c>
      <c r="M7" s="88" t="s">
        <v>23</v>
      </c>
      <c r="N7" s="88" t="s">
        <v>23</v>
      </c>
      <c r="O7" s="92" t="s">
        <v>23</v>
      </c>
      <c r="P7" s="92" t="s">
        <v>23</v>
      </c>
      <c r="Q7" s="104" t="s">
        <v>17</v>
      </c>
      <c r="R7" s="104" t="s">
        <v>17</v>
      </c>
      <c r="S7" s="185" t="s">
        <v>12</v>
      </c>
      <c r="T7" s="104" t="s">
        <v>17</v>
      </c>
      <c r="U7" s="104" t="s">
        <v>17</v>
      </c>
      <c r="V7" s="104" t="s">
        <v>17</v>
      </c>
      <c r="W7" s="92" t="s">
        <v>23</v>
      </c>
      <c r="X7" s="92" t="s">
        <v>23</v>
      </c>
      <c r="Y7" s="184" t="s">
        <v>18</v>
      </c>
      <c r="Z7" s="184" t="s">
        <v>18</v>
      </c>
      <c r="AA7" s="184" t="s">
        <v>18</v>
      </c>
      <c r="AB7" s="184" t="s">
        <v>18</v>
      </c>
      <c r="AC7" s="98" t="s">
        <v>89</v>
      </c>
      <c r="AD7" s="104" t="s">
        <v>17</v>
      </c>
      <c r="AE7" s="92" t="s">
        <v>23</v>
      </c>
      <c r="AF7" s="92" t="s">
        <v>23</v>
      </c>
      <c r="AG7" s="93">
        <f t="shared" si="4"/>
        <v>8</v>
      </c>
      <c r="AH7" s="93"/>
      <c r="AI7" s="93"/>
      <c r="AJ7" s="93">
        <v>8</v>
      </c>
      <c r="AK7" s="9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0</v>
      </c>
      <c r="AS7" s="19">
        <f t="shared" si="1"/>
        <v>173</v>
      </c>
      <c r="AT7" s="19">
        <f t="shared" si="2"/>
        <v>93</v>
      </c>
      <c r="AU7" s="143">
        <f t="shared" si="6"/>
        <v>266</v>
      </c>
      <c r="AV7" s="50">
        <f t="shared" si="7"/>
        <v>0</v>
      </c>
      <c r="AW7" s="50">
        <f t="shared" si="3"/>
        <v>8650</v>
      </c>
      <c r="AX7" s="50">
        <f t="shared" si="3"/>
        <v>4650</v>
      </c>
      <c r="AY7" s="214"/>
      <c r="AZ7" s="214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82">
        <v>44824</v>
      </c>
      <c r="B8" s="88">
        <v>1600</v>
      </c>
      <c r="C8" s="88"/>
      <c r="D8" s="89" cm="1">
        <f t="array" ref="D8">(SUM(VLOOKUP(I8:AF8,$AM$4:$AO$44,2,FALSE))+AG8*10)*IF(AK8="是",$AZ$4,$AZ$3)</f>
        <v>1720</v>
      </c>
      <c r="E8" s="89">
        <f>SUM($B$4:B8)+SUM($C$4:C8)-SUM($D$4:D8)</f>
        <v>2890</v>
      </c>
      <c r="F8" s="89" cm="1">
        <f t="array" ref="F8">SUM(VLOOKUP(I8:AF8,$AM$4:$AO$44,3,FALSE))</f>
        <v>470</v>
      </c>
      <c r="G8" s="89">
        <f>SUM($F$4:F8)+SUM($H$4:H8)</f>
        <v>4155</v>
      </c>
      <c r="H8" s="88">
        <v>0</v>
      </c>
      <c r="I8" s="88" t="s">
        <v>23</v>
      </c>
      <c r="J8" s="88" t="s">
        <v>23</v>
      </c>
      <c r="K8" s="88" t="s">
        <v>23</v>
      </c>
      <c r="L8" s="88" t="s">
        <v>23</v>
      </c>
      <c r="M8" s="88" t="s">
        <v>23</v>
      </c>
      <c r="N8" s="88" t="s">
        <v>23</v>
      </c>
      <c r="O8" s="92" t="s">
        <v>23</v>
      </c>
      <c r="P8" s="92" t="s">
        <v>23</v>
      </c>
      <c r="Q8" s="104" t="s">
        <v>17</v>
      </c>
      <c r="R8" s="185" t="s">
        <v>12</v>
      </c>
      <c r="S8" s="104" t="s">
        <v>17</v>
      </c>
      <c r="T8" s="184" t="s">
        <v>18</v>
      </c>
      <c r="U8" s="95" t="s">
        <v>16</v>
      </c>
      <c r="V8" s="184" t="s">
        <v>18</v>
      </c>
      <c r="W8" s="92" t="s">
        <v>23</v>
      </c>
      <c r="X8" s="92" t="s">
        <v>23</v>
      </c>
      <c r="Y8" s="104" t="s">
        <v>17</v>
      </c>
      <c r="Z8" s="104" t="s">
        <v>17</v>
      </c>
      <c r="AA8" s="185" t="s">
        <v>12</v>
      </c>
      <c r="AB8" s="104" t="s">
        <v>17</v>
      </c>
      <c r="AC8" s="104" t="s">
        <v>17</v>
      </c>
      <c r="AD8" s="184" t="s">
        <v>18</v>
      </c>
      <c r="AE8" s="92" t="s">
        <v>23</v>
      </c>
      <c r="AF8" s="92" t="s">
        <v>23</v>
      </c>
      <c r="AG8" s="93">
        <f t="shared" si="4"/>
        <v>0</v>
      </c>
      <c r="AH8" s="93"/>
      <c r="AI8" s="93"/>
      <c r="AJ8" s="93"/>
      <c r="AK8" s="9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0</v>
      </c>
      <c r="AS8" s="19">
        <f t="shared" si="1"/>
        <v>76</v>
      </c>
      <c r="AT8" s="19">
        <f t="shared" si="2"/>
        <v>160</v>
      </c>
      <c r="AU8" s="143">
        <f t="shared" si="6"/>
        <v>236</v>
      </c>
      <c r="AV8" s="50">
        <f t="shared" si="7"/>
        <v>0</v>
      </c>
      <c r="AW8" s="50">
        <f t="shared" si="3"/>
        <v>4180</v>
      </c>
      <c r="AX8" s="50">
        <f t="shared" si="3"/>
        <v>8800</v>
      </c>
      <c r="AY8" s="214"/>
      <c r="AZ8" s="214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82">
        <v>44825</v>
      </c>
      <c r="B9" s="88">
        <v>1600</v>
      </c>
      <c r="C9" s="88"/>
      <c r="D9" s="187" cm="1">
        <f t="array" ref="D9">(SUM(VLOOKUP(I9:AF9,$AM$4:$AO$44,2,FALSE))+AG9*10)*IF(AK9="是",$AZ$4,$AZ$3)-50</f>
        <v>2150</v>
      </c>
      <c r="E9" s="89">
        <f>SUM($B$4:B9)+SUM($C$4:C9)-SUM($D$4:D9)</f>
        <v>2340</v>
      </c>
      <c r="F9" s="89" cm="1">
        <f t="array" ref="F9">SUM(VLOOKUP(I9:AF9,$AM$4:$AO$44,3,FALSE))</f>
        <v>845</v>
      </c>
      <c r="G9" s="89">
        <f>SUM($F$4:F9)+SUM($H$4:H9)</f>
        <v>5200</v>
      </c>
      <c r="H9" s="88">
        <v>200</v>
      </c>
      <c r="I9" s="88" t="s">
        <v>23</v>
      </c>
      <c r="J9" s="88" t="s">
        <v>23</v>
      </c>
      <c r="K9" s="88" t="s">
        <v>23</v>
      </c>
      <c r="L9" s="88" t="s">
        <v>23</v>
      </c>
      <c r="M9" s="88" t="s">
        <v>23</v>
      </c>
      <c r="N9" s="88" t="s">
        <v>23</v>
      </c>
      <c r="O9" s="92" t="s">
        <v>23</v>
      </c>
      <c r="P9" s="92" t="s">
        <v>23</v>
      </c>
      <c r="Q9" s="98" t="s">
        <v>89</v>
      </c>
      <c r="R9" s="184" t="s">
        <v>18</v>
      </c>
      <c r="S9" s="184" t="s">
        <v>18</v>
      </c>
      <c r="T9" s="184" t="s">
        <v>18</v>
      </c>
      <c r="U9" s="98" t="s">
        <v>88</v>
      </c>
      <c r="V9" s="184" t="s">
        <v>18</v>
      </c>
      <c r="W9" s="92" t="s">
        <v>23</v>
      </c>
      <c r="X9" s="92" t="s">
        <v>23</v>
      </c>
      <c r="Y9" s="184" t="s">
        <v>18</v>
      </c>
      <c r="Z9" s="188" t="s">
        <v>6</v>
      </c>
      <c r="AA9" s="184" t="s">
        <v>18</v>
      </c>
      <c r="AB9" s="98" t="s">
        <v>88</v>
      </c>
      <c r="AC9" s="184" t="s">
        <v>18</v>
      </c>
      <c r="AD9" s="184" t="s">
        <v>18</v>
      </c>
      <c r="AE9" s="92" t="s">
        <v>23</v>
      </c>
      <c r="AF9" s="92" t="s">
        <v>23</v>
      </c>
      <c r="AG9" s="93">
        <f t="shared" si="4"/>
        <v>2</v>
      </c>
      <c r="AH9" s="93"/>
      <c r="AI9" s="93">
        <v>2</v>
      </c>
      <c r="AJ9" s="93"/>
      <c r="AK9" s="94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171</v>
      </c>
      <c r="AT9" s="19">
        <f t="shared" si="2"/>
        <v>23</v>
      </c>
      <c r="AU9" s="143">
        <f t="shared" si="6"/>
        <v>194</v>
      </c>
      <c r="AV9" s="50">
        <f t="shared" si="7"/>
        <v>0</v>
      </c>
      <c r="AW9" s="50">
        <f t="shared" si="3"/>
        <v>10260</v>
      </c>
      <c r="AX9" s="50">
        <f t="shared" si="3"/>
        <v>1380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82">
        <v>44826</v>
      </c>
      <c r="B10" s="88">
        <v>1600</v>
      </c>
      <c r="C10" s="88"/>
      <c r="D10" s="89" cm="1">
        <f t="array" ref="D10">(SUM(VLOOKUP(I10:AF10,$AM$4:$AO$44,2,FALSE))+AG10*10)*IF(AK10="是",$AZ$4,$AZ$3)</f>
        <v>1680</v>
      </c>
      <c r="E10" s="89">
        <f>SUM($B$4:B10)+SUM($C$4:C10)-SUM($D$4:D10)</f>
        <v>2260</v>
      </c>
      <c r="F10" s="89" cm="1">
        <f t="array" ref="F10">SUM(VLOOKUP(I10:AF10,$AM$4:$AO$44,3,FALSE))</f>
        <v>475</v>
      </c>
      <c r="G10" s="89">
        <f>SUM($F$4:F10)+SUM($H$4:H10)</f>
        <v>5675</v>
      </c>
      <c r="H10" s="88">
        <v>0</v>
      </c>
      <c r="I10" s="88" t="s">
        <v>23</v>
      </c>
      <c r="J10" s="88" t="s">
        <v>23</v>
      </c>
      <c r="K10" s="88" t="s">
        <v>23</v>
      </c>
      <c r="L10" s="88" t="s">
        <v>23</v>
      </c>
      <c r="M10" s="88" t="s">
        <v>23</v>
      </c>
      <c r="N10" s="88" t="s">
        <v>23</v>
      </c>
      <c r="O10" s="92" t="s">
        <v>23</v>
      </c>
      <c r="P10" s="92" t="s">
        <v>23</v>
      </c>
      <c r="Q10" s="104" t="s">
        <v>17</v>
      </c>
      <c r="R10" s="104" t="s">
        <v>17</v>
      </c>
      <c r="S10" s="104" t="s">
        <v>17</v>
      </c>
      <c r="T10" s="104" t="s">
        <v>17</v>
      </c>
      <c r="U10" s="184" t="s">
        <v>18</v>
      </c>
      <c r="V10" s="184" t="s">
        <v>18</v>
      </c>
      <c r="W10" s="92" t="s">
        <v>23</v>
      </c>
      <c r="X10" s="92" t="s">
        <v>23</v>
      </c>
      <c r="Y10" s="184" t="s">
        <v>18</v>
      </c>
      <c r="Z10" s="184" t="s">
        <v>18</v>
      </c>
      <c r="AA10" s="186" t="s">
        <v>13</v>
      </c>
      <c r="AB10" s="184" t="s">
        <v>18</v>
      </c>
      <c r="AC10" s="184" t="s">
        <v>18</v>
      </c>
      <c r="AD10" s="98" t="s">
        <v>89</v>
      </c>
      <c r="AE10" s="92" t="s">
        <v>23</v>
      </c>
      <c r="AF10" s="92" t="s">
        <v>23</v>
      </c>
      <c r="AG10" s="93">
        <f t="shared" si="4"/>
        <v>0</v>
      </c>
      <c r="AH10" s="93"/>
      <c r="AI10" s="93"/>
      <c r="AJ10" s="93"/>
      <c r="AK10" s="94" t="s">
        <v>30</v>
      </c>
      <c r="AM10" s="144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82">
        <v>44827</v>
      </c>
      <c r="B11" s="88">
        <v>1600</v>
      </c>
      <c r="C11" s="88"/>
      <c r="D11" s="105" cm="1">
        <f t="array" ref="D11">(SUM(VLOOKUP(I11:AF11,$AM$4:$AO$44,2,FALSE))+AG11*10)*IF(AK11="是",$AZ$4,$AZ$3)-336</f>
        <v>1684</v>
      </c>
      <c r="E11" s="89">
        <f>SUM($B$4:B11)+SUM($C$4:C11)-SUM($D$4:D11)</f>
        <v>2176</v>
      </c>
      <c r="F11" s="89" cm="1">
        <f t="array" ref="F11">SUM(VLOOKUP(I11:AF11,$AM$4:$AO$44,3,FALSE))</f>
        <v>535</v>
      </c>
      <c r="G11" s="89">
        <f>SUM($F$4:F11)+SUM($H$4:H11)</f>
        <v>6210</v>
      </c>
      <c r="H11" s="88">
        <v>0</v>
      </c>
      <c r="I11" s="88" t="s">
        <v>23</v>
      </c>
      <c r="J11" s="88" t="s">
        <v>23</v>
      </c>
      <c r="K11" s="88" t="s">
        <v>23</v>
      </c>
      <c r="L11" s="88" t="s">
        <v>23</v>
      </c>
      <c r="M11" s="88" t="s">
        <v>23</v>
      </c>
      <c r="N11" s="88" t="s">
        <v>23</v>
      </c>
      <c r="O11" s="92" t="s">
        <v>23</v>
      </c>
      <c r="P11" s="92" t="s">
        <v>23</v>
      </c>
      <c r="Q11" s="184" t="s">
        <v>18</v>
      </c>
      <c r="R11" s="98" t="s">
        <v>89</v>
      </c>
      <c r="S11" s="184" t="s">
        <v>18</v>
      </c>
      <c r="T11" s="184" t="s">
        <v>18</v>
      </c>
      <c r="U11" s="184" t="s">
        <v>18</v>
      </c>
      <c r="V11" s="188" t="s">
        <v>6</v>
      </c>
      <c r="W11" s="92" t="s">
        <v>23</v>
      </c>
      <c r="X11" s="92" t="s">
        <v>23</v>
      </c>
      <c r="Y11" s="184" t="s">
        <v>18</v>
      </c>
      <c r="Z11" s="184" t="s">
        <v>18</v>
      </c>
      <c r="AA11" s="184" t="s">
        <v>18</v>
      </c>
      <c r="AB11" s="184" t="s">
        <v>18</v>
      </c>
      <c r="AC11" s="184" t="s">
        <v>18</v>
      </c>
      <c r="AD11" s="184" t="s">
        <v>18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94" t="s">
        <v>30</v>
      </c>
      <c r="AM11" s="145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1</v>
      </c>
      <c r="AS11" s="19">
        <f t="shared" si="1"/>
        <v>1</v>
      </c>
      <c r="AT11" s="19">
        <f t="shared" si="2"/>
        <v>1</v>
      </c>
      <c r="AU11" s="143">
        <f t="shared" si="6"/>
        <v>3</v>
      </c>
      <c r="AV11" s="50">
        <f t="shared" si="7"/>
        <v>40</v>
      </c>
      <c r="AW11" s="50">
        <f t="shared" si="3"/>
        <v>40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82">
        <v>44828</v>
      </c>
      <c r="B12" s="88">
        <v>1600</v>
      </c>
      <c r="C12" s="88"/>
      <c r="D12" s="89" cm="1">
        <f t="array" ref="D12">(SUM(VLOOKUP(I12:AF12,$AM$4:$AO$44,2,FALSE))+AG12*10)*IF(AK12="是",$AZ$4,$AZ$3)</f>
        <v>1536</v>
      </c>
      <c r="E12" s="89">
        <f>SUM($B$4:B12)+SUM($C$4:C12)-SUM($D$4:D12)</f>
        <v>2240</v>
      </c>
      <c r="F12" s="89" cm="1">
        <f t="array" ref="F12">SUM(VLOOKUP(I12:AF12,$AM$4:$AO$44,3,FALSE))</f>
        <v>525</v>
      </c>
      <c r="G12" s="89">
        <f>SUM($F$4:F12)+SUM($H$4:H12)</f>
        <v>6735</v>
      </c>
      <c r="H12" s="88">
        <v>0</v>
      </c>
      <c r="I12" s="88" t="s">
        <v>23</v>
      </c>
      <c r="J12" s="88" t="s">
        <v>23</v>
      </c>
      <c r="K12" s="88" t="s">
        <v>23</v>
      </c>
      <c r="L12" s="88" t="s">
        <v>23</v>
      </c>
      <c r="M12" s="88" t="s">
        <v>23</v>
      </c>
      <c r="N12" s="88" t="s">
        <v>23</v>
      </c>
      <c r="O12" s="92" t="s">
        <v>23</v>
      </c>
      <c r="P12" s="92" t="s">
        <v>23</v>
      </c>
      <c r="Q12" s="184" t="s">
        <v>18</v>
      </c>
      <c r="R12" s="184" t="s">
        <v>18</v>
      </c>
      <c r="S12" s="185" t="s">
        <v>12</v>
      </c>
      <c r="T12" s="184" t="s">
        <v>18</v>
      </c>
      <c r="U12" s="184" t="s">
        <v>18</v>
      </c>
      <c r="V12" s="184" t="s">
        <v>18</v>
      </c>
      <c r="W12" s="92" t="s">
        <v>23</v>
      </c>
      <c r="X12" s="92" t="s">
        <v>23</v>
      </c>
      <c r="Y12" s="184" t="s">
        <v>18</v>
      </c>
      <c r="Z12" s="184" t="s">
        <v>18</v>
      </c>
      <c r="AA12" s="184" t="s">
        <v>18</v>
      </c>
      <c r="AB12" s="184" t="s">
        <v>18</v>
      </c>
      <c r="AC12" s="184" t="s">
        <v>18</v>
      </c>
      <c r="AD12" s="184" t="s">
        <v>18</v>
      </c>
      <c r="AE12" s="92" t="s">
        <v>23</v>
      </c>
      <c r="AF12" s="92" t="s">
        <v>23</v>
      </c>
      <c r="AG12" s="93">
        <f t="shared" si="4"/>
        <v>0</v>
      </c>
      <c r="AH12" s="93"/>
      <c r="AI12" s="93"/>
      <c r="AJ12" s="93"/>
      <c r="AK12" s="94" t="s">
        <v>31</v>
      </c>
      <c r="AM12" s="146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0</v>
      </c>
      <c r="AS12" s="19">
        <f t="shared" si="1"/>
        <v>3</v>
      </c>
      <c r="AT12" s="19">
        <f t="shared" si="2"/>
        <v>3</v>
      </c>
      <c r="AU12" s="143">
        <f t="shared" si="6"/>
        <v>6</v>
      </c>
      <c r="AV12" s="50">
        <f t="shared" si="7"/>
        <v>0</v>
      </c>
      <c r="AW12" s="50">
        <f t="shared" si="3"/>
        <v>135</v>
      </c>
      <c r="AX12" s="50">
        <f t="shared" si="3"/>
        <v>135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82">
        <v>44829</v>
      </c>
      <c r="B13" s="88">
        <v>1600</v>
      </c>
      <c r="C13" s="88"/>
      <c r="D13" s="89" cm="1">
        <f t="array" ref="D13">(SUM(VLOOKUP(I13:AF13,$AM$4:$AO$44,2,FALSE))+AG13*10)*IF(AK13="是",$AZ$4,$AZ$3)</f>
        <v>1536</v>
      </c>
      <c r="E13" s="89">
        <f>SUM($B$4:B13)+SUM($C$4:C13)-SUM($D$4:D13)</f>
        <v>2304</v>
      </c>
      <c r="F13" s="89" cm="1">
        <f t="array" ref="F13">SUM(VLOOKUP(I13:AF13,$AM$4:$AO$44,3,FALSE))</f>
        <v>525</v>
      </c>
      <c r="G13" s="89">
        <f>SUM($F$4:F13)+SUM($H$4:H13)</f>
        <v>7260</v>
      </c>
      <c r="H13" s="88">
        <v>0</v>
      </c>
      <c r="I13" s="88" t="s">
        <v>23</v>
      </c>
      <c r="J13" s="88" t="s">
        <v>23</v>
      </c>
      <c r="K13" s="88" t="s">
        <v>23</v>
      </c>
      <c r="L13" s="88" t="s">
        <v>23</v>
      </c>
      <c r="M13" s="88" t="s">
        <v>23</v>
      </c>
      <c r="N13" s="88" t="s">
        <v>23</v>
      </c>
      <c r="O13" s="92" t="s">
        <v>23</v>
      </c>
      <c r="P13" s="92" t="s">
        <v>23</v>
      </c>
      <c r="Q13" s="184" t="s">
        <v>18</v>
      </c>
      <c r="R13" s="184" t="s">
        <v>18</v>
      </c>
      <c r="S13" s="184" t="s">
        <v>18</v>
      </c>
      <c r="T13" s="184" t="s">
        <v>18</v>
      </c>
      <c r="U13" s="184" t="s">
        <v>18</v>
      </c>
      <c r="V13" s="185" t="s">
        <v>12</v>
      </c>
      <c r="W13" s="92" t="s">
        <v>23</v>
      </c>
      <c r="X13" s="92" t="s">
        <v>23</v>
      </c>
      <c r="Y13" s="184" t="s">
        <v>18</v>
      </c>
      <c r="Z13" s="184" t="s">
        <v>18</v>
      </c>
      <c r="AA13" s="184" t="s">
        <v>18</v>
      </c>
      <c r="AB13" s="184" t="s">
        <v>18</v>
      </c>
      <c r="AC13" s="184" t="s">
        <v>18</v>
      </c>
      <c r="AD13" s="184" t="s">
        <v>18</v>
      </c>
      <c r="AE13" s="92" t="s">
        <v>23</v>
      </c>
      <c r="AF13" s="92" t="s">
        <v>23</v>
      </c>
      <c r="AG13" s="93">
        <f t="shared" si="4"/>
        <v>0</v>
      </c>
      <c r="AH13" s="93"/>
      <c r="AI13" s="93"/>
      <c r="AJ13" s="93"/>
      <c r="AK13" s="94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11"/>
        <v>0</v>
      </c>
      <c r="AS13" s="19">
        <f t="shared" si="1"/>
        <v>3</v>
      </c>
      <c r="AT13" s="19">
        <f t="shared" si="2"/>
        <v>1</v>
      </c>
      <c r="AU13" s="143">
        <f t="shared" si="6"/>
        <v>4</v>
      </c>
      <c r="AV13" s="50">
        <f t="shared" si="7"/>
        <v>0</v>
      </c>
      <c r="AW13" s="50">
        <f t="shared" si="3"/>
        <v>150</v>
      </c>
      <c r="AX13" s="50">
        <f t="shared" si="3"/>
        <v>50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82">
        <v>44830</v>
      </c>
      <c r="B14" s="89">
        <v>1600</v>
      </c>
      <c r="C14" s="89"/>
      <c r="D14" s="89" cm="1">
        <f t="array" ref="D14">(SUM(VLOOKUP(I14:AF14,$AM$4:$AO$44,2,FALSE))+AG14*10)*IF(AK14="是",$AZ$4,$AZ$3)</f>
        <v>1544</v>
      </c>
      <c r="E14" s="89">
        <f>SUM($B$4:B14)+SUM($C$4:C14)-SUM($D$4:D14)</f>
        <v>2360</v>
      </c>
      <c r="F14" s="89" cm="1">
        <f t="array" ref="F14">SUM(VLOOKUP(I14:AF14,$AM$4:$AO$44,3,FALSE))</f>
        <v>525</v>
      </c>
      <c r="G14" s="89">
        <f>SUM($F$4:F14)+SUM($H$4:H14)</f>
        <v>8085</v>
      </c>
      <c r="H14" s="89">
        <v>300</v>
      </c>
      <c r="I14" s="88" t="s">
        <v>23</v>
      </c>
      <c r="J14" s="88" t="s">
        <v>23</v>
      </c>
      <c r="K14" s="88" t="s">
        <v>23</v>
      </c>
      <c r="L14" s="88" t="s">
        <v>23</v>
      </c>
      <c r="M14" s="88" t="s">
        <v>23</v>
      </c>
      <c r="N14" s="88" t="s">
        <v>23</v>
      </c>
      <c r="O14" s="92" t="s">
        <v>23</v>
      </c>
      <c r="P14" s="92" t="s">
        <v>23</v>
      </c>
      <c r="Q14" s="184" t="s">
        <v>18</v>
      </c>
      <c r="R14" s="184" t="s">
        <v>18</v>
      </c>
      <c r="S14" s="184" t="s">
        <v>18</v>
      </c>
      <c r="T14" s="184" t="s">
        <v>18</v>
      </c>
      <c r="U14" s="184" t="s">
        <v>18</v>
      </c>
      <c r="V14" s="184" t="s">
        <v>18</v>
      </c>
      <c r="W14" s="92" t="s">
        <v>23</v>
      </c>
      <c r="X14" s="92" t="s">
        <v>23</v>
      </c>
      <c r="Y14" s="184" t="s">
        <v>18</v>
      </c>
      <c r="Z14" s="184" t="s">
        <v>18</v>
      </c>
      <c r="AA14" s="185" t="s">
        <v>12</v>
      </c>
      <c r="AB14" s="184" t="s">
        <v>18</v>
      </c>
      <c r="AC14" s="184" t="s">
        <v>18</v>
      </c>
      <c r="AD14" s="184" t="s">
        <v>18</v>
      </c>
      <c r="AE14" s="92" t="s">
        <v>23</v>
      </c>
      <c r="AF14" s="92" t="s">
        <v>23</v>
      </c>
      <c r="AG14" s="93">
        <f t="shared" si="4"/>
        <v>1</v>
      </c>
      <c r="AH14" s="93"/>
      <c r="AI14" s="93">
        <v>1</v>
      </c>
      <c r="AJ14" s="93"/>
      <c r="AK14" s="94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11"/>
        <v>0</v>
      </c>
      <c r="AS14" s="19">
        <f t="shared" si="1"/>
        <v>1</v>
      </c>
      <c r="AT14" s="19">
        <f t="shared" si="2"/>
        <v>2</v>
      </c>
      <c r="AU14" s="143">
        <f t="shared" si="6"/>
        <v>3</v>
      </c>
      <c r="AV14" s="50">
        <f t="shared" si="7"/>
        <v>0</v>
      </c>
      <c r="AW14" s="50">
        <f t="shared" si="3"/>
        <v>55</v>
      </c>
      <c r="AX14" s="50">
        <f t="shared" si="3"/>
        <v>110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82">
        <v>44831</v>
      </c>
      <c r="B15" s="89">
        <v>1600</v>
      </c>
      <c r="C15" s="89"/>
      <c r="D15" s="89" cm="1">
        <f t="array" ref="D15">(SUM(VLOOKUP(I15:AF15,$AM$4:$AO$44,2,FALSE))+AG15*10)*IF(AK15="是",$AZ$4,$AZ$3)</f>
        <v>1624</v>
      </c>
      <c r="E15" s="89">
        <f>SUM($B$4:B15)+SUM($C$4:C15)-SUM($D$4:D15)</f>
        <v>2336</v>
      </c>
      <c r="F15" s="89" cm="1">
        <f t="array" ref="F15">SUM(VLOOKUP(I15:AF15,$AM$4:$AO$44,3,FALSE))</f>
        <v>585</v>
      </c>
      <c r="G15" s="89">
        <f>SUM($F$4:F15)+SUM($H$4:H15)</f>
        <v>8670</v>
      </c>
      <c r="H15" s="89">
        <v>0</v>
      </c>
      <c r="I15" s="88" t="s">
        <v>23</v>
      </c>
      <c r="J15" s="88" t="s">
        <v>23</v>
      </c>
      <c r="K15" s="88" t="s">
        <v>23</v>
      </c>
      <c r="L15" s="88" t="s">
        <v>23</v>
      </c>
      <c r="M15" s="88" t="s">
        <v>23</v>
      </c>
      <c r="N15" s="88" t="s">
        <v>23</v>
      </c>
      <c r="O15" s="92" t="s">
        <v>23</v>
      </c>
      <c r="P15" s="92" t="s">
        <v>23</v>
      </c>
      <c r="Q15" s="184" t="s">
        <v>18</v>
      </c>
      <c r="R15" s="184" t="s">
        <v>18</v>
      </c>
      <c r="S15" s="184" t="s">
        <v>18</v>
      </c>
      <c r="T15" s="184" t="s">
        <v>18</v>
      </c>
      <c r="U15" s="184" t="s">
        <v>18</v>
      </c>
      <c r="V15" s="184" t="s">
        <v>18</v>
      </c>
      <c r="W15" s="186" t="s">
        <v>47</v>
      </c>
      <c r="X15" s="184" t="s">
        <v>18</v>
      </c>
      <c r="Y15" s="184" t="s">
        <v>18</v>
      </c>
      <c r="Z15" s="184" t="s">
        <v>18</v>
      </c>
      <c r="AA15" s="184" t="s">
        <v>18</v>
      </c>
      <c r="AB15" s="184" t="s">
        <v>18</v>
      </c>
      <c r="AC15" s="184" t="s">
        <v>18</v>
      </c>
      <c r="AD15" s="184" t="s">
        <v>18</v>
      </c>
      <c r="AE15" s="92" t="s">
        <v>23</v>
      </c>
      <c r="AF15" s="92" t="s">
        <v>23</v>
      </c>
      <c r="AG15" s="93">
        <f t="shared" si="4"/>
        <v>2</v>
      </c>
      <c r="AH15" s="93"/>
      <c r="AI15" s="93">
        <v>2</v>
      </c>
      <c r="AJ15" s="93"/>
      <c r="AK15" s="94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0</v>
      </c>
      <c r="AT15" s="19">
        <f t="shared" si="2"/>
        <v>1</v>
      </c>
      <c r="AU15" s="143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82">
        <v>44832</v>
      </c>
      <c r="B16" s="89">
        <v>1600</v>
      </c>
      <c r="C16" s="89"/>
      <c r="D16" s="89" cm="1">
        <f t="array" ref="D16">(SUM(VLOOKUP(I16:AF16,$AM$4:$AO$44,2,FALSE))+AG16*10)*IF(AK16="是",$AZ$4,$AZ$3)</f>
        <v>1536</v>
      </c>
      <c r="E16" s="89">
        <f>SUM($B$4:B16)+SUM($C$4:C16)-SUM($D$4:D16)</f>
        <v>2400</v>
      </c>
      <c r="F16" s="89" cm="1">
        <f t="array" ref="F16">SUM(VLOOKUP(I16:AF16,$AM$4:$AO$44,3,FALSE))</f>
        <v>525</v>
      </c>
      <c r="G16" s="89">
        <f>SUM($F$4:F16)+SUM($H$4:H16)</f>
        <v>9395</v>
      </c>
      <c r="H16" s="89">
        <v>200</v>
      </c>
      <c r="I16" s="88" t="s">
        <v>23</v>
      </c>
      <c r="J16" s="88" t="s">
        <v>23</v>
      </c>
      <c r="K16" s="88" t="s">
        <v>23</v>
      </c>
      <c r="L16" s="88" t="s">
        <v>23</v>
      </c>
      <c r="M16" s="88" t="s">
        <v>23</v>
      </c>
      <c r="N16" s="88" t="s">
        <v>23</v>
      </c>
      <c r="O16" s="92" t="s">
        <v>23</v>
      </c>
      <c r="P16" s="92" t="s">
        <v>23</v>
      </c>
      <c r="Q16" s="185" t="s">
        <v>12</v>
      </c>
      <c r="R16" s="184" t="s">
        <v>18</v>
      </c>
      <c r="S16" s="184" t="s">
        <v>18</v>
      </c>
      <c r="T16" s="184" t="s">
        <v>18</v>
      </c>
      <c r="U16" s="184" t="s">
        <v>18</v>
      </c>
      <c r="V16" s="184" t="s">
        <v>18</v>
      </c>
      <c r="W16" s="92" t="s">
        <v>23</v>
      </c>
      <c r="X16" s="92" t="s">
        <v>23</v>
      </c>
      <c r="Y16" s="184" t="s">
        <v>18</v>
      </c>
      <c r="Z16" s="184" t="s">
        <v>18</v>
      </c>
      <c r="AA16" s="184" t="s">
        <v>18</v>
      </c>
      <c r="AB16" s="184" t="s">
        <v>18</v>
      </c>
      <c r="AC16" s="184" t="s">
        <v>18</v>
      </c>
      <c r="AD16" s="184" t="s">
        <v>18</v>
      </c>
      <c r="AE16" s="92" t="s">
        <v>23</v>
      </c>
      <c r="AF16" s="92" t="s">
        <v>23</v>
      </c>
      <c r="AG16" s="93">
        <f t="shared" si="4"/>
        <v>0</v>
      </c>
      <c r="AH16" s="93"/>
      <c r="AI16" s="93"/>
      <c r="AJ16" s="93"/>
      <c r="AK16" s="94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82">
        <v>44833</v>
      </c>
      <c r="B17" s="89">
        <v>1600</v>
      </c>
      <c r="C17" s="89"/>
      <c r="D17" s="89" cm="1">
        <f t="array" ref="D17">(SUM(VLOOKUP(I17:AF17,$AM$4:$AO$44,2,FALSE))+AG17*10)*IF(AK17="是",$AZ$4,$AZ$3)</f>
        <v>1424</v>
      </c>
      <c r="E17" s="89">
        <f>SUM($B$4:B17)+SUM($C$4:C17)-SUM($D$4:D17)</f>
        <v>2576</v>
      </c>
      <c r="F17" s="89" cm="1">
        <f t="array" ref="F17">SUM(VLOOKUP(I17:AF17,$AM$4:$AO$44,3,FALSE))</f>
        <v>510</v>
      </c>
      <c r="G17" s="89">
        <f>SUM($F$4:F17)+SUM($H$4:H17)</f>
        <v>9905</v>
      </c>
      <c r="H17" s="89">
        <v>0</v>
      </c>
      <c r="I17" s="88" t="s">
        <v>23</v>
      </c>
      <c r="J17" s="88" t="s">
        <v>23</v>
      </c>
      <c r="K17" s="88" t="s">
        <v>23</v>
      </c>
      <c r="L17" s="88" t="s">
        <v>23</v>
      </c>
      <c r="M17" s="88" t="s">
        <v>23</v>
      </c>
      <c r="N17" s="88" t="s">
        <v>23</v>
      </c>
      <c r="O17" s="92" t="s">
        <v>23</v>
      </c>
      <c r="P17" s="92" t="s">
        <v>23</v>
      </c>
      <c r="Q17" s="189" t="s">
        <v>7</v>
      </c>
      <c r="R17" s="184" t="s">
        <v>18</v>
      </c>
      <c r="S17" s="184" t="s">
        <v>18</v>
      </c>
      <c r="T17" s="185" t="s">
        <v>12</v>
      </c>
      <c r="U17" s="184" t="s">
        <v>18</v>
      </c>
      <c r="V17" s="184" t="s">
        <v>18</v>
      </c>
      <c r="W17" s="92" t="s">
        <v>23</v>
      </c>
      <c r="X17" s="92" t="s">
        <v>23</v>
      </c>
      <c r="Y17" s="184" t="s">
        <v>18</v>
      </c>
      <c r="Z17" s="184" t="s">
        <v>18</v>
      </c>
      <c r="AA17" s="184" t="s">
        <v>18</v>
      </c>
      <c r="AB17" s="185" t="s">
        <v>12</v>
      </c>
      <c r="AC17" s="184" t="s">
        <v>18</v>
      </c>
      <c r="AD17" s="184" t="s">
        <v>18</v>
      </c>
      <c r="AE17" s="92" t="s">
        <v>23</v>
      </c>
      <c r="AF17" s="92" t="s">
        <v>23</v>
      </c>
      <c r="AG17" s="93">
        <f t="shared" si="4"/>
        <v>0</v>
      </c>
      <c r="AH17" s="93"/>
      <c r="AI17" s="93"/>
      <c r="AJ17" s="93"/>
      <c r="AK17" s="94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6</v>
      </c>
      <c r="AS17" s="19">
        <f t="shared" si="1"/>
        <v>18</v>
      </c>
      <c r="AT17" s="19">
        <f t="shared" si="2"/>
        <v>16</v>
      </c>
      <c r="AU17" s="143">
        <f t="shared" si="6"/>
        <v>40</v>
      </c>
      <c r="AV17" s="50">
        <f t="shared" si="7"/>
        <v>180</v>
      </c>
      <c r="AW17" s="50">
        <f t="shared" si="3"/>
        <v>540</v>
      </c>
      <c r="AX17" s="50">
        <f t="shared" si="3"/>
        <v>480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82">
        <v>44834</v>
      </c>
      <c r="B18" s="89">
        <v>1600</v>
      </c>
      <c r="C18" s="89"/>
      <c r="D18" s="89" cm="1">
        <f t="array" ref="D18">(SUM(VLOOKUP(I18:AF18,$AM$4:$AO$44,2,FALSE))+AG18*10)*IF(AK18="是",$AZ$4,$AZ$3)</f>
        <v>1680</v>
      </c>
      <c r="E18" s="89">
        <f>SUM($B$4:B18)+SUM($C$4:C18)-SUM($D$4:D18)</f>
        <v>2496</v>
      </c>
      <c r="F18" s="89" cm="1">
        <f t="array" ref="F18">SUM(VLOOKUP(I18:AF18,$AM$4:$AO$44,3,FALSE))</f>
        <v>570</v>
      </c>
      <c r="G18" s="89">
        <f>SUM($F$4:F18)+SUM($H$4:H18)</f>
        <v>10475</v>
      </c>
      <c r="H18" s="89">
        <v>0</v>
      </c>
      <c r="I18" s="88" t="s">
        <v>23</v>
      </c>
      <c r="J18" s="88" t="s">
        <v>23</v>
      </c>
      <c r="K18" s="88" t="s">
        <v>23</v>
      </c>
      <c r="L18" s="88" t="s">
        <v>23</v>
      </c>
      <c r="M18" s="88" t="s">
        <v>23</v>
      </c>
      <c r="N18" s="88" t="s">
        <v>23</v>
      </c>
      <c r="O18" s="92" t="s">
        <v>23</v>
      </c>
      <c r="P18" s="92" t="s">
        <v>23</v>
      </c>
      <c r="Q18" s="190" t="s">
        <v>19</v>
      </c>
      <c r="R18" s="190" t="s">
        <v>19</v>
      </c>
      <c r="S18" s="190" t="s">
        <v>19</v>
      </c>
      <c r="T18" s="190" t="s">
        <v>19</v>
      </c>
      <c r="U18" s="190" t="s">
        <v>19</v>
      </c>
      <c r="V18" s="190" t="s">
        <v>19</v>
      </c>
      <c r="W18" s="92" t="s">
        <v>23</v>
      </c>
      <c r="X18" s="92" t="s">
        <v>23</v>
      </c>
      <c r="Y18" s="184" t="s">
        <v>18</v>
      </c>
      <c r="Z18" s="184" t="s">
        <v>18</v>
      </c>
      <c r="AA18" s="184" t="s">
        <v>18</v>
      </c>
      <c r="AB18" s="184" t="s">
        <v>18</v>
      </c>
      <c r="AC18" s="184" t="s">
        <v>18</v>
      </c>
      <c r="AD18" s="184" t="s">
        <v>18</v>
      </c>
      <c r="AE18" s="92" t="s">
        <v>23</v>
      </c>
      <c r="AF18" s="92" t="s">
        <v>23</v>
      </c>
      <c r="AG18" s="93">
        <f t="shared" si="4"/>
        <v>0</v>
      </c>
      <c r="AH18" s="93"/>
      <c r="AI18" s="93"/>
      <c r="AJ18" s="93"/>
      <c r="AK18" s="94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0</v>
      </c>
      <c r="AS18" s="19">
        <f t="shared" si="1"/>
        <v>0</v>
      </c>
      <c r="AT18" s="19">
        <f t="shared" si="2"/>
        <v>3</v>
      </c>
      <c r="AU18" s="143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82">
        <v>44835</v>
      </c>
      <c r="B19" s="89">
        <v>1600</v>
      </c>
      <c r="C19" s="89"/>
      <c r="D19" s="89" cm="1">
        <f t="array" ref="D19">(SUM(VLOOKUP(I19:AF19,$AM$4:$AO$44,2,FALSE))+AG19*10)*IF(AK19="是",$AZ$4,$AZ$3)</f>
        <v>1584</v>
      </c>
      <c r="E19" s="89">
        <f>SUM($B$4:B19)+SUM($C$4:C19)-SUM($D$4:D19)</f>
        <v>2512</v>
      </c>
      <c r="F19" s="89" cm="1">
        <f t="array" ref="F19">SUM(VLOOKUP(I19:AF19,$AM$4:$AO$44,3,FALSE))</f>
        <v>555</v>
      </c>
      <c r="G19" s="89">
        <f>SUM($F$4:F19)+SUM($H$4:H19)</f>
        <v>11030</v>
      </c>
      <c r="H19" s="89">
        <v>0</v>
      </c>
      <c r="I19" s="88" t="s">
        <v>23</v>
      </c>
      <c r="J19" s="88" t="s">
        <v>23</v>
      </c>
      <c r="K19" s="88" t="s">
        <v>23</v>
      </c>
      <c r="L19" s="88" t="s">
        <v>23</v>
      </c>
      <c r="M19" s="88" t="s">
        <v>23</v>
      </c>
      <c r="N19" s="88" t="s">
        <v>23</v>
      </c>
      <c r="O19" s="92" t="s">
        <v>23</v>
      </c>
      <c r="P19" s="92" t="s">
        <v>23</v>
      </c>
      <c r="Q19" s="190" t="s">
        <v>19</v>
      </c>
      <c r="R19" s="190" t="s">
        <v>19</v>
      </c>
      <c r="S19" s="190" t="s">
        <v>19</v>
      </c>
      <c r="T19" s="190" t="s">
        <v>19</v>
      </c>
      <c r="U19" s="190" t="s">
        <v>19</v>
      </c>
      <c r="V19" s="190" t="s">
        <v>19</v>
      </c>
      <c r="W19" s="92" t="s">
        <v>23</v>
      </c>
      <c r="X19" s="92" t="s">
        <v>23</v>
      </c>
      <c r="Y19" s="184" t="s">
        <v>18</v>
      </c>
      <c r="Z19" s="184" t="s">
        <v>18</v>
      </c>
      <c r="AA19" s="184" t="s">
        <v>18</v>
      </c>
      <c r="AB19" s="185" t="s">
        <v>12</v>
      </c>
      <c r="AC19" s="184" t="s">
        <v>18</v>
      </c>
      <c r="AD19" s="184" t="s">
        <v>18</v>
      </c>
      <c r="AE19" s="92" t="s">
        <v>23</v>
      </c>
      <c r="AF19" s="92" t="s">
        <v>23</v>
      </c>
      <c r="AG19" s="93">
        <f t="shared" si="4"/>
        <v>0</v>
      </c>
      <c r="AH19" s="93"/>
      <c r="AI19" s="93"/>
      <c r="AJ19" s="93"/>
      <c r="AK19" s="94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0</v>
      </c>
      <c r="AS19" s="19">
        <f t="shared" si="1"/>
        <v>1</v>
      </c>
      <c r="AT19" s="19">
        <f t="shared" si="2"/>
        <v>2</v>
      </c>
      <c r="AU19" s="143">
        <f t="shared" si="6"/>
        <v>3</v>
      </c>
      <c r="AV19" s="50">
        <f t="shared" si="7"/>
        <v>0</v>
      </c>
      <c r="AW19" s="50">
        <f t="shared" si="3"/>
        <v>200</v>
      </c>
      <c r="AX19" s="50">
        <f t="shared" si="3"/>
        <v>400</v>
      </c>
      <c r="BA19" s="53">
        <f t="shared" si="10"/>
        <v>1</v>
      </c>
      <c r="BB19">
        <f t="shared" si="9"/>
        <v>200</v>
      </c>
      <c r="BC19">
        <v>3</v>
      </c>
    </row>
    <row r="20" spans="1:55">
      <c r="A20" s="182">
        <v>44836</v>
      </c>
      <c r="B20" s="89">
        <v>1600</v>
      </c>
      <c r="C20" s="89"/>
      <c r="D20" s="89" cm="1">
        <f t="array" ref="D20">(SUM(VLOOKUP(I20:AF20,$AM$4:$AO$44,2,FALSE))+AG20*10)*IF(AK20="是",$AZ$4,$AZ$3)</f>
        <v>1680</v>
      </c>
      <c r="E20" s="89">
        <f>SUM($B$4:B20)+SUM($C$4:C20)-SUM($D$4:D20)</f>
        <v>2432</v>
      </c>
      <c r="F20" s="89" cm="1">
        <f t="array" ref="F20">SUM(VLOOKUP(I20:AF20,$AM$4:$AO$44,3,FALSE))</f>
        <v>570</v>
      </c>
      <c r="G20" s="89">
        <f>SUM($F$4:F20)+SUM($H$4:H20)</f>
        <v>11600</v>
      </c>
      <c r="H20" s="89">
        <v>0</v>
      </c>
      <c r="I20" s="88" t="s">
        <v>23</v>
      </c>
      <c r="J20" s="88" t="s">
        <v>23</v>
      </c>
      <c r="K20" s="88" t="s">
        <v>23</v>
      </c>
      <c r="L20" s="88" t="s">
        <v>23</v>
      </c>
      <c r="M20" s="88" t="s">
        <v>23</v>
      </c>
      <c r="N20" s="88" t="s">
        <v>23</v>
      </c>
      <c r="O20" s="92" t="s">
        <v>23</v>
      </c>
      <c r="P20" s="92" t="s">
        <v>23</v>
      </c>
      <c r="Q20" s="190" t="s">
        <v>19</v>
      </c>
      <c r="R20" s="190" t="s">
        <v>19</v>
      </c>
      <c r="S20" s="190" t="s">
        <v>19</v>
      </c>
      <c r="T20" s="190" t="s">
        <v>19</v>
      </c>
      <c r="U20" s="190" t="s">
        <v>19</v>
      </c>
      <c r="V20" s="190" t="s">
        <v>19</v>
      </c>
      <c r="W20" s="92" t="s">
        <v>23</v>
      </c>
      <c r="X20" s="92" t="s">
        <v>23</v>
      </c>
      <c r="Y20" s="184" t="s">
        <v>18</v>
      </c>
      <c r="Z20" s="184" t="s">
        <v>18</v>
      </c>
      <c r="AA20" s="184" t="s">
        <v>18</v>
      </c>
      <c r="AB20" s="184" t="s">
        <v>18</v>
      </c>
      <c r="AC20" s="184" t="s">
        <v>18</v>
      </c>
      <c r="AD20" s="184" t="s">
        <v>18</v>
      </c>
      <c r="AE20" s="92" t="s">
        <v>23</v>
      </c>
      <c r="AF20" s="92" t="s">
        <v>23</v>
      </c>
      <c r="AG20" s="93">
        <f t="shared" si="4"/>
        <v>0</v>
      </c>
      <c r="AH20" s="93"/>
      <c r="AI20" s="93"/>
      <c r="AJ20" s="93"/>
      <c r="AK20" s="94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0</v>
      </c>
      <c r="AS20" s="19">
        <f t="shared" si="1"/>
        <v>3</v>
      </c>
      <c r="AT20" s="19">
        <f t="shared" si="2"/>
        <v>2</v>
      </c>
      <c r="AU20" s="143">
        <f t="shared" si="6"/>
        <v>5</v>
      </c>
      <c r="AV20" s="50">
        <f t="shared" si="7"/>
        <v>0</v>
      </c>
      <c r="AW20" s="50">
        <f t="shared" si="7"/>
        <v>135</v>
      </c>
      <c r="AX20" s="50">
        <f t="shared" si="7"/>
        <v>90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82">
        <v>44837</v>
      </c>
      <c r="B21" s="88">
        <v>1600</v>
      </c>
      <c r="C21" s="88"/>
      <c r="D21" s="89" cm="1">
        <f t="array" ref="D21">(SUM(VLOOKUP(I21:AF21,$AM$4:$AO$44,2,FALSE))+AG21*10)*IF(AK21="是",$AZ$4,$AZ$3)</f>
        <v>1560</v>
      </c>
      <c r="E21" s="89">
        <f>SUM($B$4:B21)+SUM($C$4:C21)-SUM($D$4:D21)</f>
        <v>2472</v>
      </c>
      <c r="F21" s="89" cm="1">
        <f t="array" ref="F21">SUM(VLOOKUP(I21:AF21,$AM$4:$AO$44,3,FALSE))</f>
        <v>600</v>
      </c>
      <c r="G21" s="89">
        <f>SUM($F$4:F21)+SUM($H$4:H21)</f>
        <v>12400</v>
      </c>
      <c r="H21" s="88">
        <v>200</v>
      </c>
      <c r="I21" s="88" t="s">
        <v>23</v>
      </c>
      <c r="J21" s="88" t="s">
        <v>23</v>
      </c>
      <c r="K21" s="88" t="s">
        <v>23</v>
      </c>
      <c r="L21" s="88" t="s">
        <v>23</v>
      </c>
      <c r="M21" s="88" t="s">
        <v>23</v>
      </c>
      <c r="N21" s="88" t="s">
        <v>23</v>
      </c>
      <c r="O21" s="92" t="s">
        <v>23</v>
      </c>
      <c r="P21" s="92" t="s">
        <v>23</v>
      </c>
      <c r="Q21" s="190" t="s">
        <v>19</v>
      </c>
      <c r="R21" s="190" t="s">
        <v>19</v>
      </c>
      <c r="S21" s="190" t="s">
        <v>19</v>
      </c>
      <c r="T21" s="186" t="s">
        <v>47</v>
      </c>
      <c r="U21" s="190" t="s">
        <v>19</v>
      </c>
      <c r="V21" s="185" t="s">
        <v>12</v>
      </c>
      <c r="W21" s="190" t="s">
        <v>19</v>
      </c>
      <c r="X21" s="190" t="s">
        <v>19</v>
      </c>
      <c r="Y21" s="184" t="s">
        <v>18</v>
      </c>
      <c r="Z21" s="184" t="s">
        <v>18</v>
      </c>
      <c r="AA21" s="184" t="s">
        <v>18</v>
      </c>
      <c r="AB21" s="184" t="s">
        <v>18</v>
      </c>
      <c r="AC21" s="184" t="s">
        <v>18</v>
      </c>
      <c r="AD21" s="184" t="s">
        <v>18</v>
      </c>
      <c r="AE21" s="92" t="s">
        <v>23</v>
      </c>
      <c r="AF21" s="92" t="s">
        <v>23</v>
      </c>
      <c r="AG21" s="93">
        <f t="shared" si="4"/>
        <v>0</v>
      </c>
      <c r="AH21" s="93"/>
      <c r="AI21" s="93"/>
      <c r="AJ21" s="93"/>
      <c r="AK21" s="94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82">
        <v>44838</v>
      </c>
      <c r="B22" s="88">
        <v>1600</v>
      </c>
      <c r="C22" s="88"/>
      <c r="D22" s="89" cm="1">
        <f t="array" ref="D22">(SUM(VLOOKUP(I22:AF22,$AM$4:$AO$44,2,FALSE))+AG22*10)*IF(AK22="是",$AZ$4,$AZ$3)</f>
        <v>1680</v>
      </c>
      <c r="E22" s="89">
        <f>SUM($B$4:B22)+SUM($C$4:C22)-SUM($D$4:D22)</f>
        <v>2392</v>
      </c>
      <c r="F22" s="89" cm="1">
        <f t="array" ref="F22">SUM(VLOOKUP(I22:AF22,$AM$4:$AO$44,3,FALSE))</f>
        <v>570</v>
      </c>
      <c r="G22" s="89">
        <f>SUM($F$4:F22)+SUM($H$4:H22)</f>
        <v>13070</v>
      </c>
      <c r="H22" s="88">
        <v>100</v>
      </c>
      <c r="I22" s="88" t="s">
        <v>23</v>
      </c>
      <c r="J22" s="88" t="s">
        <v>23</v>
      </c>
      <c r="K22" s="88" t="s">
        <v>23</v>
      </c>
      <c r="L22" s="88" t="s">
        <v>23</v>
      </c>
      <c r="M22" s="88" t="s">
        <v>23</v>
      </c>
      <c r="N22" s="88" t="s">
        <v>23</v>
      </c>
      <c r="O22" s="92" t="s">
        <v>23</v>
      </c>
      <c r="P22" s="92" t="s">
        <v>23</v>
      </c>
      <c r="Q22" s="190" t="s">
        <v>19</v>
      </c>
      <c r="R22" s="190" t="s">
        <v>19</v>
      </c>
      <c r="S22" s="190" t="s">
        <v>19</v>
      </c>
      <c r="T22" s="190" t="s">
        <v>19</v>
      </c>
      <c r="U22" s="190" t="s">
        <v>19</v>
      </c>
      <c r="V22" s="190" t="s">
        <v>19</v>
      </c>
      <c r="W22" s="92" t="s">
        <v>23</v>
      </c>
      <c r="X22" s="92" t="s">
        <v>23</v>
      </c>
      <c r="Y22" s="184" t="s">
        <v>18</v>
      </c>
      <c r="Z22" s="184" t="s">
        <v>18</v>
      </c>
      <c r="AA22" s="184" t="s">
        <v>18</v>
      </c>
      <c r="AB22" s="184" t="s">
        <v>18</v>
      </c>
      <c r="AC22" s="184" t="s">
        <v>18</v>
      </c>
      <c r="AD22" s="184" t="s">
        <v>18</v>
      </c>
      <c r="AE22" s="92" t="s">
        <v>23</v>
      </c>
      <c r="AF22" s="92" t="s">
        <v>23</v>
      </c>
      <c r="AG22" s="93">
        <f t="shared" si="4"/>
        <v>0</v>
      </c>
      <c r="AH22" s="93"/>
      <c r="AI22" s="93"/>
      <c r="AJ22" s="93"/>
      <c r="AK22" s="94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2</v>
      </c>
      <c r="AT22" s="19">
        <f t="shared" si="2"/>
        <v>0</v>
      </c>
      <c r="AU22" s="143">
        <f t="shared" si="6"/>
        <v>2</v>
      </c>
      <c r="AV22" s="50">
        <f t="shared" si="7"/>
        <v>0</v>
      </c>
      <c r="AW22" s="50">
        <f t="shared" si="7"/>
        <v>2000</v>
      </c>
      <c r="AX22" s="50">
        <f t="shared" si="7"/>
        <v>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82">
        <v>44839</v>
      </c>
      <c r="B23" s="88">
        <v>1600</v>
      </c>
      <c r="C23" s="88"/>
      <c r="D23" s="89" cm="1">
        <f t="array" ref="D23">(SUM(VLOOKUP(I23:AF23,$AM$4:$AO$44,2,FALSE))+AG23*10)*IF(AK23="是",$AZ$4,$AZ$3)</f>
        <v>1624</v>
      </c>
      <c r="E23" s="89">
        <f>SUM($B$4:B23)+SUM($C$4:C23)-SUM($D$4:D23)</f>
        <v>2368</v>
      </c>
      <c r="F23" s="89" cm="1">
        <f t="array" ref="F23">SUM(VLOOKUP(I23:AF23,$AM$4:$AO$44,3,FALSE))</f>
        <v>545</v>
      </c>
      <c r="G23" s="89">
        <f>SUM($F$4:F23)+SUM($H$4:H23)</f>
        <v>13815</v>
      </c>
      <c r="H23" s="88">
        <v>200</v>
      </c>
      <c r="I23" s="88" t="s">
        <v>23</v>
      </c>
      <c r="J23" s="88" t="s">
        <v>23</v>
      </c>
      <c r="K23" s="88" t="s">
        <v>23</v>
      </c>
      <c r="L23" s="88" t="s">
        <v>23</v>
      </c>
      <c r="M23" s="88" t="s">
        <v>23</v>
      </c>
      <c r="N23" s="88" t="s">
        <v>23</v>
      </c>
      <c r="O23" s="92" t="s">
        <v>23</v>
      </c>
      <c r="P23" s="92" t="s">
        <v>23</v>
      </c>
      <c r="Q23" s="190" t="s">
        <v>19</v>
      </c>
      <c r="R23" s="184" t="s">
        <v>18</v>
      </c>
      <c r="S23" s="184" t="s">
        <v>18</v>
      </c>
      <c r="T23" s="184" t="s">
        <v>18</v>
      </c>
      <c r="U23" s="184" t="s">
        <v>18</v>
      </c>
      <c r="V23" s="184" t="s">
        <v>18</v>
      </c>
      <c r="W23" s="92" t="s">
        <v>23</v>
      </c>
      <c r="X23" s="92" t="s">
        <v>23</v>
      </c>
      <c r="Y23" s="189" t="s">
        <v>7</v>
      </c>
      <c r="Z23" s="184" t="s">
        <v>18</v>
      </c>
      <c r="AA23" s="184" t="s">
        <v>18</v>
      </c>
      <c r="AB23" s="184" t="s">
        <v>18</v>
      </c>
      <c r="AC23" s="184" t="s">
        <v>18</v>
      </c>
      <c r="AD23" s="184" t="s">
        <v>18</v>
      </c>
      <c r="AE23" s="92" t="s">
        <v>23</v>
      </c>
      <c r="AF23" s="92" t="s">
        <v>23</v>
      </c>
      <c r="AG23" s="93">
        <f t="shared" si="4"/>
        <v>0</v>
      </c>
      <c r="AH23" s="93"/>
      <c r="AI23" s="93"/>
      <c r="AJ23" s="93"/>
      <c r="AK23" s="94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0</v>
      </c>
      <c r="AS23" s="19">
        <f t="shared" si="1"/>
        <v>1</v>
      </c>
      <c r="AT23" s="19">
        <f t="shared" si="2"/>
        <v>1</v>
      </c>
      <c r="AU23" s="143">
        <f t="shared" si="6"/>
        <v>2</v>
      </c>
      <c r="AV23" s="50">
        <f t="shared" si="7"/>
        <v>0</v>
      </c>
      <c r="AW23" s="50">
        <f t="shared" si="7"/>
        <v>500</v>
      </c>
      <c r="AX23" s="50">
        <f t="shared" si="7"/>
        <v>500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82">
        <v>44840</v>
      </c>
      <c r="B24" s="88">
        <v>1600</v>
      </c>
      <c r="C24" s="88"/>
      <c r="D24" s="89" cm="1">
        <f t="array" ref="D24">(SUM(VLOOKUP(I24:AF24,$AM$4:$AO$44,2,FALSE))+AG24*10)*IF(AK24="是",$AZ$4,$AZ$3)</f>
        <v>1424</v>
      </c>
      <c r="E24" s="89">
        <f>SUM($B$4:B24)+SUM($C$4:C24)-SUM($D$4:D24)</f>
        <v>2544</v>
      </c>
      <c r="F24" s="89" cm="1">
        <f t="array" ref="F24">SUM(VLOOKUP(I24:AF24,$AM$4:$AO$44,3,FALSE))</f>
        <v>500</v>
      </c>
      <c r="G24" s="89">
        <f>SUM($F$4:F24)+SUM($H$4:H24)</f>
        <v>14315</v>
      </c>
      <c r="H24" s="88">
        <v>0</v>
      </c>
      <c r="I24" s="88" t="s">
        <v>23</v>
      </c>
      <c r="J24" s="88" t="s">
        <v>23</v>
      </c>
      <c r="K24" s="88" t="s">
        <v>23</v>
      </c>
      <c r="L24" s="88" t="s">
        <v>23</v>
      </c>
      <c r="M24" s="88" t="s">
        <v>23</v>
      </c>
      <c r="N24" s="88" t="s">
        <v>23</v>
      </c>
      <c r="O24" s="92" t="s">
        <v>23</v>
      </c>
      <c r="P24" s="92" t="s">
        <v>23</v>
      </c>
      <c r="Q24" s="185" t="s">
        <v>12</v>
      </c>
      <c r="R24" s="184" t="s">
        <v>18</v>
      </c>
      <c r="S24" s="184" t="s">
        <v>18</v>
      </c>
      <c r="T24" s="184" t="s">
        <v>18</v>
      </c>
      <c r="U24" s="184" t="s">
        <v>18</v>
      </c>
      <c r="V24" s="184" t="s">
        <v>18</v>
      </c>
      <c r="W24" s="92" t="s">
        <v>23</v>
      </c>
      <c r="X24" s="92" t="s">
        <v>23</v>
      </c>
      <c r="Y24" s="185" t="s">
        <v>12</v>
      </c>
      <c r="Z24" s="184" t="s">
        <v>18</v>
      </c>
      <c r="AA24" s="184" t="s">
        <v>18</v>
      </c>
      <c r="AB24" s="184" t="s">
        <v>18</v>
      </c>
      <c r="AC24" s="104" t="s">
        <v>17</v>
      </c>
      <c r="AD24" s="104" t="s">
        <v>17</v>
      </c>
      <c r="AE24" s="92" t="s">
        <v>23</v>
      </c>
      <c r="AF24" s="92" t="s">
        <v>23</v>
      </c>
      <c r="AG24" s="93">
        <f t="shared" si="4"/>
        <v>0</v>
      </c>
      <c r="AH24" s="93"/>
      <c r="AI24" s="93"/>
      <c r="AJ24" s="93"/>
      <c r="AK24" s="94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82">
        <v>44841</v>
      </c>
      <c r="B25" s="88">
        <v>1600</v>
      </c>
      <c r="C25" s="88"/>
      <c r="D25" s="89" cm="1">
        <f t="array" ref="D25">(SUM(VLOOKUP(I25:AF25,$AM$4:$AO$44,2,FALSE))+AG25*10)*IF(AK25="是",$AZ$4,$AZ$3)</f>
        <v>1008</v>
      </c>
      <c r="E25" s="89">
        <f>SUM($B$4:B25)+SUM($C$4:C25)-SUM($D$4:D25)</f>
        <v>3136</v>
      </c>
      <c r="F25" s="89" cm="1">
        <f t="array" ref="F25">SUM(VLOOKUP(I25:AF25,$AM$4:$AO$44,3,FALSE))</f>
        <v>415</v>
      </c>
      <c r="G25" s="89">
        <f>SUM($F$4:F25)+SUM($H$4:H25)</f>
        <v>14730</v>
      </c>
      <c r="H25" s="88">
        <v>0</v>
      </c>
      <c r="I25" s="88" t="s">
        <v>23</v>
      </c>
      <c r="J25" s="88" t="s">
        <v>23</v>
      </c>
      <c r="K25" s="88" t="s">
        <v>23</v>
      </c>
      <c r="L25" s="88" t="s">
        <v>23</v>
      </c>
      <c r="M25" s="88" t="s">
        <v>23</v>
      </c>
      <c r="N25" s="88" t="s">
        <v>23</v>
      </c>
      <c r="O25" s="92" t="s">
        <v>23</v>
      </c>
      <c r="P25" s="92" t="s">
        <v>23</v>
      </c>
      <c r="Q25" s="184" t="s">
        <v>18</v>
      </c>
      <c r="R25" s="186" t="s">
        <v>47</v>
      </c>
      <c r="S25" s="190" t="s">
        <v>19</v>
      </c>
      <c r="T25" s="190" t="s">
        <v>19</v>
      </c>
      <c r="U25" s="190" t="s">
        <v>19</v>
      </c>
      <c r="V25" s="190" t="s">
        <v>19</v>
      </c>
      <c r="W25" s="190" t="s">
        <v>19</v>
      </c>
      <c r="X25" s="190" t="s">
        <v>19</v>
      </c>
      <c r="Y25" s="104" t="s">
        <v>17</v>
      </c>
      <c r="Z25" s="185" t="s">
        <v>12</v>
      </c>
      <c r="AA25" s="88" t="s">
        <v>23</v>
      </c>
      <c r="AB25" s="88" t="s">
        <v>23</v>
      </c>
      <c r="AC25" s="88" t="s">
        <v>23</v>
      </c>
      <c r="AD25" s="88" t="s">
        <v>23</v>
      </c>
      <c r="AE25" s="92" t="s">
        <v>23</v>
      </c>
      <c r="AF25" s="92" t="s">
        <v>23</v>
      </c>
      <c r="AG25" s="93">
        <f t="shared" si="4"/>
        <v>0</v>
      </c>
      <c r="AH25" s="93"/>
      <c r="AI25" s="93"/>
      <c r="AJ25" s="93"/>
      <c r="AK25" s="94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82">
        <v>44842</v>
      </c>
      <c r="B26" s="88">
        <v>1600</v>
      </c>
      <c r="C26" s="88"/>
      <c r="D26" s="89" cm="1">
        <f t="array" ref="D26">(SUM(VLOOKUP(I26:AF26,$AM$4:$AO$44,2,FALSE))+AG26*10)*IF(AK26="是",$AZ$4,$AZ$3)</f>
        <v>864</v>
      </c>
      <c r="E26" s="89">
        <f>SUM($B$4:B26)+SUM($C$4:C26)-SUM($D$4:D26)</f>
        <v>3872</v>
      </c>
      <c r="F26" s="89" cm="1">
        <f t="array" ref="F26">SUM(VLOOKUP(I26:AF26,$AM$4:$AO$44,3,FALSE))</f>
        <v>300</v>
      </c>
      <c r="G26" s="89">
        <f>SUM($F$4:F26)+SUM($H$4:H26)</f>
        <v>15030</v>
      </c>
      <c r="H26" s="88">
        <v>0</v>
      </c>
      <c r="I26" s="88" t="s">
        <v>23</v>
      </c>
      <c r="J26" s="88" t="s">
        <v>23</v>
      </c>
      <c r="K26" s="88" t="s">
        <v>23</v>
      </c>
      <c r="L26" s="88" t="s">
        <v>23</v>
      </c>
      <c r="M26" s="88" t="s">
        <v>23</v>
      </c>
      <c r="N26" s="88" t="s">
        <v>23</v>
      </c>
      <c r="O26" s="92" t="s">
        <v>23</v>
      </c>
      <c r="P26" s="92" t="s">
        <v>23</v>
      </c>
      <c r="Q26" s="190" t="s">
        <v>19</v>
      </c>
      <c r="R26" s="190" t="s">
        <v>19</v>
      </c>
      <c r="S26" s="190" t="s">
        <v>19</v>
      </c>
      <c r="T26" s="190" t="s">
        <v>19</v>
      </c>
      <c r="U26" s="190" t="s">
        <v>19</v>
      </c>
      <c r="V26" s="190" t="s">
        <v>19</v>
      </c>
      <c r="W26" s="92" t="s">
        <v>23</v>
      </c>
      <c r="X26" s="92" t="s">
        <v>23</v>
      </c>
      <c r="Y26" s="88" t="s">
        <v>23</v>
      </c>
      <c r="Z26" s="88" t="s">
        <v>23</v>
      </c>
      <c r="AA26" s="88" t="s">
        <v>23</v>
      </c>
      <c r="AB26" s="88" t="s">
        <v>23</v>
      </c>
      <c r="AC26" s="88" t="s">
        <v>23</v>
      </c>
      <c r="AD26" s="88" t="s">
        <v>23</v>
      </c>
      <c r="AE26" s="92" t="s">
        <v>23</v>
      </c>
      <c r="AF26" s="92" t="s">
        <v>23</v>
      </c>
      <c r="AG26" s="93">
        <f t="shared" si="4"/>
        <v>0</v>
      </c>
      <c r="AH26" s="93"/>
      <c r="AI26" s="93"/>
      <c r="AJ26" s="93"/>
      <c r="AK26" s="94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82">
        <v>44843</v>
      </c>
      <c r="B27" s="88">
        <v>1600</v>
      </c>
      <c r="C27" s="88"/>
      <c r="D27" s="89" cm="1">
        <f t="array" ref="D27">(SUM(VLOOKUP(I27:AF27,$AM$4:$AO$44,2,FALSE))+AG27*10)*IF(AK27="是",$AZ$4,$AZ$3)</f>
        <v>864</v>
      </c>
      <c r="E27" s="89">
        <f>SUM($B$4:B27)+SUM($C$4:C27)-SUM($D$4:D27)</f>
        <v>4608</v>
      </c>
      <c r="F27" s="89" cm="1">
        <f t="array" ref="F27">SUM(VLOOKUP(I27:AF27,$AM$4:$AO$44,3,FALSE))</f>
        <v>300</v>
      </c>
      <c r="G27" s="89">
        <f>SUM($F$4:F27)+SUM($H$4:H27)</f>
        <v>15330</v>
      </c>
      <c r="H27" s="88">
        <v>0</v>
      </c>
      <c r="I27" s="88" t="s">
        <v>23</v>
      </c>
      <c r="J27" s="88" t="s">
        <v>23</v>
      </c>
      <c r="K27" s="88" t="s">
        <v>23</v>
      </c>
      <c r="L27" s="88" t="s">
        <v>23</v>
      </c>
      <c r="M27" s="88" t="s">
        <v>23</v>
      </c>
      <c r="N27" s="88" t="s">
        <v>23</v>
      </c>
      <c r="O27" s="92" t="s">
        <v>23</v>
      </c>
      <c r="P27" s="92" t="s">
        <v>23</v>
      </c>
      <c r="Q27" s="190" t="s">
        <v>19</v>
      </c>
      <c r="R27" s="190" t="s">
        <v>19</v>
      </c>
      <c r="S27" s="190" t="s">
        <v>19</v>
      </c>
      <c r="T27" s="190" t="s">
        <v>19</v>
      </c>
      <c r="U27" s="190" t="s">
        <v>19</v>
      </c>
      <c r="V27" s="190" t="s">
        <v>19</v>
      </c>
      <c r="W27" s="92" t="s">
        <v>23</v>
      </c>
      <c r="X27" s="92" t="s">
        <v>23</v>
      </c>
      <c r="Y27" s="88" t="s">
        <v>23</v>
      </c>
      <c r="Z27" s="88" t="s">
        <v>23</v>
      </c>
      <c r="AA27" s="88" t="s">
        <v>23</v>
      </c>
      <c r="AB27" s="88" t="s">
        <v>23</v>
      </c>
      <c r="AC27" s="88" t="s">
        <v>23</v>
      </c>
      <c r="AD27" s="88" t="s">
        <v>23</v>
      </c>
      <c r="AE27" s="92" t="s">
        <v>23</v>
      </c>
      <c r="AF27" s="92" t="s">
        <v>23</v>
      </c>
      <c r="AG27" s="93">
        <f t="shared" si="4"/>
        <v>0</v>
      </c>
      <c r="AH27" s="93"/>
      <c r="AI27" s="93"/>
      <c r="AJ27" s="93"/>
      <c r="AK27" s="94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" thickBot="1">
      <c r="A28" s="182">
        <v>44844</v>
      </c>
      <c r="B28" s="89">
        <v>1600</v>
      </c>
      <c r="C28" s="89"/>
      <c r="D28" s="89" cm="1">
        <f t="array" ref="D28">(SUM(VLOOKUP(I28:AF28,$AM$4:$AO$44,2,FALSE))+AG28*10)*IF(AK28="是",$AZ$4,$AZ$3)</f>
        <v>840</v>
      </c>
      <c r="E28" s="89">
        <f>SUM($B$4:B28)+SUM($C$4:C28)-SUM($D$4:D28)</f>
        <v>5368</v>
      </c>
      <c r="F28" s="89" cm="1">
        <f t="array" ref="F28">SUM(VLOOKUP(I28:AF28,$AM$4:$AO$44,3,FALSE))</f>
        <v>300</v>
      </c>
      <c r="G28" s="89">
        <f>SUM($F$4:F28)+SUM($H$4:H28)</f>
        <v>15930</v>
      </c>
      <c r="H28" s="89">
        <v>300</v>
      </c>
      <c r="I28" s="88" t="s">
        <v>23</v>
      </c>
      <c r="J28" s="88" t="s">
        <v>23</v>
      </c>
      <c r="K28" s="88" t="s">
        <v>23</v>
      </c>
      <c r="L28" s="88" t="s">
        <v>23</v>
      </c>
      <c r="M28" s="88" t="s">
        <v>23</v>
      </c>
      <c r="N28" s="88" t="s">
        <v>23</v>
      </c>
      <c r="O28" s="92" t="s">
        <v>23</v>
      </c>
      <c r="P28" s="92" t="s">
        <v>23</v>
      </c>
      <c r="Q28" s="191" t="s">
        <v>8</v>
      </c>
      <c r="R28" s="190" t="s">
        <v>19</v>
      </c>
      <c r="S28" s="190" t="s">
        <v>19</v>
      </c>
      <c r="T28" s="190" t="s">
        <v>19</v>
      </c>
      <c r="U28" s="190" t="s">
        <v>19</v>
      </c>
      <c r="V28" s="190" t="s">
        <v>19</v>
      </c>
      <c r="W28" s="92" t="s">
        <v>23</v>
      </c>
      <c r="X28" s="92" t="s">
        <v>23</v>
      </c>
      <c r="Y28" s="88" t="s">
        <v>23</v>
      </c>
      <c r="Z28" s="88" t="s">
        <v>23</v>
      </c>
      <c r="AA28" s="88" t="s">
        <v>23</v>
      </c>
      <c r="AB28" s="88" t="s">
        <v>23</v>
      </c>
      <c r="AC28" s="88" t="s">
        <v>23</v>
      </c>
      <c r="AD28" s="88" t="s">
        <v>23</v>
      </c>
      <c r="AE28" s="92" t="s">
        <v>23</v>
      </c>
      <c r="AF28" s="92" t="s">
        <v>23</v>
      </c>
      <c r="AG28" s="93">
        <f t="shared" si="4"/>
        <v>0</v>
      </c>
      <c r="AH28" s="93"/>
      <c r="AI28" s="93"/>
      <c r="AJ28" s="93"/>
      <c r="AK28" s="94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1</v>
      </c>
      <c r="AS28" s="19">
        <f>COUNTIF($Q$4:$X$94,AM28)</f>
        <v>7</v>
      </c>
      <c r="AT28" s="19">
        <f>COUNTIF($Y$4:$AF$94,AM28)</f>
        <v>4</v>
      </c>
      <c r="AU28" s="143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82">
        <v>44845</v>
      </c>
      <c r="B29" s="89">
        <v>1600</v>
      </c>
      <c r="C29" s="89"/>
      <c r="D29" s="89" cm="1">
        <f t="array" ref="D29">(SUM(VLOOKUP(I29:AF29,$AM$4:$AO$44,2,FALSE))+AG29*10)*IF(AK29="是",$AZ$4,$AZ$3)</f>
        <v>864</v>
      </c>
      <c r="E29" s="89">
        <f>SUM($B$4:B29)+SUM($C$4:C29)-SUM($D$4:D29)</f>
        <v>6104</v>
      </c>
      <c r="F29" s="89" cm="1">
        <f t="array" ref="F29">SUM(VLOOKUP(I29:AF29,$AM$4:$AO$44,3,FALSE))</f>
        <v>300</v>
      </c>
      <c r="G29" s="89">
        <f>SUM($F$4:F29)+SUM($H$4:H29)</f>
        <v>16230</v>
      </c>
      <c r="H29" s="89">
        <v>0</v>
      </c>
      <c r="I29" s="88" t="s">
        <v>23</v>
      </c>
      <c r="J29" s="88" t="s">
        <v>23</v>
      </c>
      <c r="K29" s="88" t="s">
        <v>23</v>
      </c>
      <c r="L29" s="88" t="s">
        <v>23</v>
      </c>
      <c r="M29" s="88" t="s">
        <v>23</v>
      </c>
      <c r="N29" s="88" t="s">
        <v>23</v>
      </c>
      <c r="O29" s="92" t="s">
        <v>23</v>
      </c>
      <c r="P29" s="92" t="s">
        <v>23</v>
      </c>
      <c r="Q29" s="190" t="s">
        <v>19</v>
      </c>
      <c r="R29" s="190" t="s">
        <v>19</v>
      </c>
      <c r="S29" s="190" t="s">
        <v>19</v>
      </c>
      <c r="T29" s="190" t="s">
        <v>19</v>
      </c>
      <c r="U29" s="190" t="s">
        <v>19</v>
      </c>
      <c r="V29" s="190" t="s">
        <v>19</v>
      </c>
      <c r="W29" s="92" t="s">
        <v>23</v>
      </c>
      <c r="X29" s="92" t="s">
        <v>23</v>
      </c>
      <c r="Y29" s="88" t="s">
        <v>23</v>
      </c>
      <c r="Z29" s="88" t="s">
        <v>23</v>
      </c>
      <c r="AA29" s="88" t="s">
        <v>23</v>
      </c>
      <c r="AB29" s="88" t="s">
        <v>23</v>
      </c>
      <c r="AC29" s="88" t="s">
        <v>23</v>
      </c>
      <c r="AD29" s="88" t="s">
        <v>23</v>
      </c>
      <c r="AE29" s="92" t="s">
        <v>23</v>
      </c>
      <c r="AF29" s="92" t="s">
        <v>23</v>
      </c>
      <c r="AG29" s="93">
        <f t="shared" si="4"/>
        <v>0</v>
      </c>
      <c r="AH29" s="93"/>
      <c r="AI29" s="93"/>
      <c r="AJ29" s="93"/>
      <c r="AK29" s="94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0</v>
      </c>
      <c r="AS29" s="123">
        <f>COUNTIF($Q$4:$X$94,AM29)</f>
        <v>0</v>
      </c>
      <c r="AT29" s="123">
        <f>COUNTIF($Y$4:$AF$94,AM29)</f>
        <v>3</v>
      </c>
      <c r="AU29" s="123">
        <f>AR29+AS29+AT29</f>
        <v>3</v>
      </c>
      <c r="AV29" s="4">
        <f t="shared" si="7"/>
        <v>0</v>
      </c>
      <c r="AW29" s="4">
        <f t="shared" si="7"/>
        <v>0</v>
      </c>
      <c r="AX29" s="4">
        <f t="shared" si="7"/>
        <v>1560</v>
      </c>
      <c r="BB29">
        <f t="shared" si="9"/>
        <v>40</v>
      </c>
      <c r="BC29">
        <v>3</v>
      </c>
    </row>
    <row r="30" spans="1:55">
      <c r="A30" s="182">
        <v>44846</v>
      </c>
      <c r="B30" s="89">
        <v>1600</v>
      </c>
      <c r="C30" s="89"/>
      <c r="D30" s="89" cm="1">
        <f t="array" ref="D30">(SUM(VLOOKUP(I30:AF30,$AM$4:$AO$44,2,FALSE))+AG30*10)*IF(AK30="是",$AZ$4,$AZ$3)</f>
        <v>760</v>
      </c>
      <c r="E30" s="89">
        <f>SUM($B$4:B30)+SUM($C$4:C30)-SUM($D$4:D30)</f>
        <v>6944</v>
      </c>
      <c r="F30" s="89" cm="1">
        <f t="array" ref="F30">SUM(VLOOKUP(I30:AF30,$AM$4:$AO$44,3,FALSE))</f>
        <v>280</v>
      </c>
      <c r="G30" s="89">
        <f>SUM($F$4:F30)+SUM($H$4:H30)</f>
        <v>16710</v>
      </c>
      <c r="H30" s="89">
        <v>200</v>
      </c>
      <c r="I30" s="88" t="s">
        <v>23</v>
      </c>
      <c r="J30" s="88" t="s">
        <v>23</v>
      </c>
      <c r="K30" s="88" t="s">
        <v>23</v>
      </c>
      <c r="L30" s="88" t="s">
        <v>23</v>
      </c>
      <c r="M30" s="88" t="s">
        <v>23</v>
      </c>
      <c r="N30" s="88" t="s">
        <v>23</v>
      </c>
      <c r="O30" s="92" t="s">
        <v>23</v>
      </c>
      <c r="P30" s="92" t="s">
        <v>23</v>
      </c>
      <c r="Q30" s="190" t="s">
        <v>19</v>
      </c>
      <c r="R30" s="190" t="s">
        <v>19</v>
      </c>
      <c r="S30" s="190" t="s">
        <v>19</v>
      </c>
      <c r="T30" s="185" t="s">
        <v>12</v>
      </c>
      <c r="U30" s="190" t="s">
        <v>19</v>
      </c>
      <c r="V30" s="190" t="s">
        <v>19</v>
      </c>
      <c r="W30" s="92" t="s">
        <v>23</v>
      </c>
      <c r="X30" s="92" t="s">
        <v>23</v>
      </c>
      <c r="Y30" s="88" t="s">
        <v>23</v>
      </c>
      <c r="Z30" s="88" t="s">
        <v>23</v>
      </c>
      <c r="AA30" s="88" t="s">
        <v>23</v>
      </c>
      <c r="AB30" s="88" t="s">
        <v>23</v>
      </c>
      <c r="AC30" s="88" t="s">
        <v>23</v>
      </c>
      <c r="AD30" s="88" t="s">
        <v>23</v>
      </c>
      <c r="AE30" s="92" t="s">
        <v>23</v>
      </c>
      <c r="AF30" s="92" t="s">
        <v>23</v>
      </c>
      <c r="AG30" s="93">
        <f t="shared" si="4"/>
        <v>0</v>
      </c>
      <c r="AH30" s="93"/>
      <c r="AI30" s="93"/>
      <c r="AJ30" s="93"/>
      <c r="AK30" s="94" t="s">
        <v>31</v>
      </c>
      <c r="AM30" s="19"/>
      <c r="AN30" s="19"/>
      <c r="AO30" s="19"/>
      <c r="AP30" s="50"/>
      <c r="AQ30" s="50"/>
    </row>
    <row r="31" spans="1:55">
      <c r="A31" s="182">
        <v>44847</v>
      </c>
      <c r="B31" s="89">
        <v>1600</v>
      </c>
      <c r="C31" s="89"/>
      <c r="D31" s="89" cm="1">
        <f t="array" ref="D31">(SUM(VLOOKUP(I31:AF31,$AM$4:$AO$44,2,FALSE))+AG31*10)*IF(AK31="是",$AZ$4,$AZ$3)</f>
        <v>864</v>
      </c>
      <c r="E31" s="89">
        <f>SUM($B$4:B31)+SUM($C$4:C31)-SUM($D$4:D31)</f>
        <v>7680</v>
      </c>
      <c r="F31" s="89" cm="1">
        <f t="array" ref="F31">SUM(VLOOKUP(I31:AF31,$AM$4:$AO$44,3,FALSE))</f>
        <v>300</v>
      </c>
      <c r="G31" s="89">
        <f>SUM($F$4:F31)+SUM($H$4:H31)</f>
        <v>17010</v>
      </c>
      <c r="H31" s="89">
        <v>0</v>
      </c>
      <c r="I31" s="88" t="s">
        <v>23</v>
      </c>
      <c r="J31" s="88" t="s">
        <v>23</v>
      </c>
      <c r="K31" s="88" t="s">
        <v>23</v>
      </c>
      <c r="L31" s="88" t="s">
        <v>23</v>
      </c>
      <c r="M31" s="88" t="s">
        <v>23</v>
      </c>
      <c r="N31" s="88" t="s">
        <v>23</v>
      </c>
      <c r="O31" s="92" t="s">
        <v>23</v>
      </c>
      <c r="P31" s="92" t="s">
        <v>23</v>
      </c>
      <c r="Q31" s="190" t="s">
        <v>19</v>
      </c>
      <c r="R31" s="190" t="s">
        <v>19</v>
      </c>
      <c r="S31" s="190" t="s">
        <v>19</v>
      </c>
      <c r="T31" s="190" t="s">
        <v>19</v>
      </c>
      <c r="U31" s="190" t="s">
        <v>19</v>
      </c>
      <c r="V31" s="190" t="s">
        <v>19</v>
      </c>
      <c r="W31" s="92" t="s">
        <v>23</v>
      </c>
      <c r="X31" s="92" t="s">
        <v>23</v>
      </c>
      <c r="Y31" s="88" t="s">
        <v>23</v>
      </c>
      <c r="Z31" s="88" t="s">
        <v>23</v>
      </c>
      <c r="AA31" s="88" t="s">
        <v>23</v>
      </c>
      <c r="AB31" s="88" t="s">
        <v>23</v>
      </c>
      <c r="AC31" s="88" t="s">
        <v>23</v>
      </c>
      <c r="AD31" s="88" t="s">
        <v>23</v>
      </c>
      <c r="AE31" s="92" t="s">
        <v>23</v>
      </c>
      <c r="AF31" s="92" t="s">
        <v>23</v>
      </c>
      <c r="AG31" s="93">
        <f t="shared" si="4"/>
        <v>0</v>
      </c>
      <c r="AH31" s="93"/>
      <c r="AI31" s="93"/>
      <c r="AJ31" s="93"/>
      <c r="AK31" s="94" t="s">
        <v>31</v>
      </c>
      <c r="AM31" s="19"/>
      <c r="AN31" s="19"/>
      <c r="AO31" s="19"/>
      <c r="AP31" s="50"/>
      <c r="AQ31" s="50"/>
    </row>
    <row r="32" spans="1:55">
      <c r="A32" s="182">
        <v>44848</v>
      </c>
      <c r="B32" s="89">
        <v>1600</v>
      </c>
      <c r="C32" s="89"/>
      <c r="D32" s="89" cm="1">
        <f t="array" ref="D32">(SUM(VLOOKUP(I32:AF32,$AM$4:$AO$44,2,FALSE))+AG32*10)*IF(AK32="是",$AZ$4,$AZ$3)</f>
        <v>864</v>
      </c>
      <c r="E32" s="89">
        <f>SUM($B$4:B32)+SUM($C$4:C32)-SUM($D$4:D32)</f>
        <v>8416</v>
      </c>
      <c r="F32" s="89" cm="1">
        <f t="array" ref="F32">SUM(VLOOKUP(I32:AF32,$AM$4:$AO$44,3,FALSE))</f>
        <v>300</v>
      </c>
      <c r="G32" s="89">
        <f>SUM($F$4:F32)+SUM($H$4:H32)</f>
        <v>17310</v>
      </c>
      <c r="H32" s="89">
        <v>0</v>
      </c>
      <c r="I32" s="88" t="s">
        <v>23</v>
      </c>
      <c r="J32" s="88" t="s">
        <v>23</v>
      </c>
      <c r="K32" s="88" t="s">
        <v>23</v>
      </c>
      <c r="L32" s="88" t="s">
        <v>23</v>
      </c>
      <c r="M32" s="88" t="s">
        <v>23</v>
      </c>
      <c r="N32" s="88" t="s">
        <v>23</v>
      </c>
      <c r="O32" s="92" t="s">
        <v>23</v>
      </c>
      <c r="P32" s="92" t="s">
        <v>23</v>
      </c>
      <c r="Q32" s="190" t="s">
        <v>19</v>
      </c>
      <c r="R32" s="190" t="s">
        <v>19</v>
      </c>
      <c r="S32" s="190" t="s">
        <v>19</v>
      </c>
      <c r="T32" s="190" t="s">
        <v>19</v>
      </c>
      <c r="U32" s="190" t="s">
        <v>19</v>
      </c>
      <c r="V32" s="190" t="s">
        <v>19</v>
      </c>
      <c r="W32" s="92" t="s">
        <v>23</v>
      </c>
      <c r="X32" s="92" t="s">
        <v>23</v>
      </c>
      <c r="Y32" s="88" t="s">
        <v>23</v>
      </c>
      <c r="Z32" s="88" t="s">
        <v>23</v>
      </c>
      <c r="AA32" s="88" t="s">
        <v>23</v>
      </c>
      <c r="AB32" s="88" t="s">
        <v>23</v>
      </c>
      <c r="AC32" s="88" t="s">
        <v>23</v>
      </c>
      <c r="AD32" s="88" t="s">
        <v>23</v>
      </c>
      <c r="AE32" s="92" t="s">
        <v>23</v>
      </c>
      <c r="AF32" s="92" t="s">
        <v>23</v>
      </c>
      <c r="AG32" s="93">
        <f t="shared" si="4"/>
        <v>0</v>
      </c>
      <c r="AH32" s="93"/>
      <c r="AI32" s="93"/>
      <c r="AJ32" s="93"/>
      <c r="AK32" s="94" t="s">
        <v>31</v>
      </c>
      <c r="AM32" s="19"/>
      <c r="AN32" s="19"/>
      <c r="AO32" s="19"/>
      <c r="AP32" s="50"/>
      <c r="AQ32" s="50"/>
    </row>
    <row r="33" spans="1:55">
      <c r="A33" s="182">
        <v>44849</v>
      </c>
      <c r="B33" s="89">
        <v>1600</v>
      </c>
      <c r="C33" s="89"/>
      <c r="D33" s="89" cm="1">
        <f t="array" ref="D33">(SUM(VLOOKUP(I33:AF33,$AM$4:$AO$44,2,FALSE))+AG33*10)*IF(AK33="是",$AZ$4,$AZ$3)</f>
        <v>760</v>
      </c>
      <c r="E33" s="89">
        <f>SUM($B$4:B33)+SUM($C$4:C33)-SUM($D$4:D33)</f>
        <v>9256</v>
      </c>
      <c r="F33" s="89" cm="1">
        <f t="array" ref="F33">SUM(VLOOKUP(I33:AF33,$AM$4:$AO$44,3,FALSE))</f>
        <v>280</v>
      </c>
      <c r="G33" s="89">
        <f>SUM($F$4:F33)+SUM($H$4:H33)</f>
        <v>17590</v>
      </c>
      <c r="H33" s="89">
        <v>0</v>
      </c>
      <c r="I33" s="88" t="s">
        <v>23</v>
      </c>
      <c r="J33" s="88" t="s">
        <v>23</v>
      </c>
      <c r="K33" s="88" t="s">
        <v>23</v>
      </c>
      <c r="L33" s="88" t="s">
        <v>23</v>
      </c>
      <c r="M33" s="88" t="s">
        <v>23</v>
      </c>
      <c r="N33" s="88" t="s">
        <v>23</v>
      </c>
      <c r="O33" s="92" t="s">
        <v>23</v>
      </c>
      <c r="P33" s="92" t="s">
        <v>23</v>
      </c>
      <c r="Q33" s="190" t="s">
        <v>19</v>
      </c>
      <c r="R33" s="190" t="s">
        <v>19</v>
      </c>
      <c r="S33" s="190" t="s">
        <v>19</v>
      </c>
      <c r="T33" s="190" t="s">
        <v>19</v>
      </c>
      <c r="U33" s="185" t="s">
        <v>12</v>
      </c>
      <c r="V33" s="190" t="s">
        <v>19</v>
      </c>
      <c r="W33" s="92" t="s">
        <v>23</v>
      </c>
      <c r="X33" s="92" t="s">
        <v>23</v>
      </c>
      <c r="Y33" s="88" t="s">
        <v>23</v>
      </c>
      <c r="Z33" s="88" t="s">
        <v>23</v>
      </c>
      <c r="AA33" s="88" t="s">
        <v>23</v>
      </c>
      <c r="AB33" s="88" t="s">
        <v>23</v>
      </c>
      <c r="AC33" s="88" t="s">
        <v>23</v>
      </c>
      <c r="AD33" s="88" t="s">
        <v>23</v>
      </c>
      <c r="AE33" s="92" t="s">
        <v>23</v>
      </c>
      <c r="AF33" s="92" t="s">
        <v>23</v>
      </c>
      <c r="AG33" s="93">
        <f t="shared" si="4"/>
        <v>0</v>
      </c>
      <c r="AH33" s="93"/>
      <c r="AI33" s="93"/>
      <c r="AJ33" s="93"/>
      <c r="AK33" s="94" t="s">
        <v>31</v>
      </c>
      <c r="AM33" s="19"/>
      <c r="AN33" s="19"/>
      <c r="AO33" s="19"/>
      <c r="AP33" s="50"/>
      <c r="AQ33" s="50"/>
    </row>
    <row r="34" spans="1:55">
      <c r="A34" s="182">
        <v>44850</v>
      </c>
      <c r="B34" s="89">
        <v>1600</v>
      </c>
      <c r="C34" s="89"/>
      <c r="D34" s="89" cm="1">
        <f t="array" ref="D34">(SUM(VLOOKUP(I34:AF34,$AM$4:$AO$44,2,FALSE))+AG34*10)*IF(AK34="是",$AZ$4,$AZ$3)</f>
        <v>864</v>
      </c>
      <c r="E34" s="89">
        <f>SUM($B$4:B34)+SUM($C$4:C34)-SUM($D$4:D34)</f>
        <v>9992</v>
      </c>
      <c r="F34" s="89" cm="1">
        <f t="array" ref="F34">SUM(VLOOKUP(I34:AF34,$AM$4:$AO$44,3,FALSE))</f>
        <v>300</v>
      </c>
      <c r="G34" s="89">
        <f>SUM($F$4:F34)+SUM($H$4:H34)</f>
        <v>17890</v>
      </c>
      <c r="H34" s="89">
        <v>0</v>
      </c>
      <c r="I34" s="88" t="s">
        <v>23</v>
      </c>
      <c r="J34" s="88" t="s">
        <v>23</v>
      </c>
      <c r="K34" s="88" t="s">
        <v>23</v>
      </c>
      <c r="L34" s="88" t="s">
        <v>23</v>
      </c>
      <c r="M34" s="88" t="s">
        <v>23</v>
      </c>
      <c r="N34" s="88" t="s">
        <v>23</v>
      </c>
      <c r="O34" s="92" t="s">
        <v>23</v>
      </c>
      <c r="P34" s="92" t="s">
        <v>23</v>
      </c>
      <c r="Q34" s="190" t="s">
        <v>19</v>
      </c>
      <c r="R34" s="190" t="s">
        <v>19</v>
      </c>
      <c r="S34" s="190" t="s">
        <v>19</v>
      </c>
      <c r="T34" s="190" t="s">
        <v>19</v>
      </c>
      <c r="U34" s="190" t="s">
        <v>19</v>
      </c>
      <c r="V34" s="190" t="s">
        <v>19</v>
      </c>
      <c r="W34" s="92" t="s">
        <v>23</v>
      </c>
      <c r="X34" s="92" t="s">
        <v>23</v>
      </c>
      <c r="Y34" s="88" t="s">
        <v>23</v>
      </c>
      <c r="Z34" s="88" t="s">
        <v>23</v>
      </c>
      <c r="AA34" s="88" t="s">
        <v>23</v>
      </c>
      <c r="AB34" s="88" t="s">
        <v>23</v>
      </c>
      <c r="AC34" s="88" t="s">
        <v>23</v>
      </c>
      <c r="AD34" s="88" t="s">
        <v>23</v>
      </c>
      <c r="AE34" s="92" t="s">
        <v>23</v>
      </c>
      <c r="AF34" s="92" t="s">
        <v>23</v>
      </c>
      <c r="AG34" s="93">
        <f t="shared" si="4"/>
        <v>0</v>
      </c>
      <c r="AH34" s="93"/>
      <c r="AI34" s="93"/>
      <c r="AJ34" s="93"/>
      <c r="AK34" s="94" t="s">
        <v>31</v>
      </c>
      <c r="AM34" s="19"/>
      <c r="AN34" s="19"/>
      <c r="AO34" s="19"/>
      <c r="AP34" s="50"/>
      <c r="AQ34" s="50"/>
    </row>
    <row r="35" spans="1:55">
      <c r="A35" s="182">
        <v>44851</v>
      </c>
      <c r="B35" s="88">
        <v>1600</v>
      </c>
      <c r="C35" s="88"/>
      <c r="D35" s="89" cm="1">
        <f t="array" ref="D35">(SUM(VLOOKUP(I35:AF35,$AM$4:$AO$44,2,FALSE))+AG35*10)*IF(AK35="是",$AZ$4,$AZ$3)</f>
        <v>848</v>
      </c>
      <c r="E35" s="89">
        <f>SUM($B$4:B35)+SUM($C$4:C35)-SUM($D$4:D35)</f>
        <v>10744</v>
      </c>
      <c r="F35" s="89" cm="1">
        <f t="array" ref="F35">SUM(VLOOKUP(I35:AF35,$AM$4:$AO$44,3,FALSE))</f>
        <v>350</v>
      </c>
      <c r="G35" s="89">
        <f>SUM($F$4:F35)+SUM($H$4:H35)</f>
        <v>18440</v>
      </c>
      <c r="H35" s="88">
        <v>200</v>
      </c>
      <c r="I35" s="88" t="s">
        <v>23</v>
      </c>
      <c r="J35" s="88" t="s">
        <v>23</v>
      </c>
      <c r="K35" s="88" t="s">
        <v>23</v>
      </c>
      <c r="L35" s="88" t="s">
        <v>23</v>
      </c>
      <c r="M35" s="88" t="s">
        <v>23</v>
      </c>
      <c r="N35" s="88" t="s">
        <v>23</v>
      </c>
      <c r="O35" s="92" t="s">
        <v>23</v>
      </c>
      <c r="P35" s="92" t="s">
        <v>23</v>
      </c>
      <c r="Q35" s="190" t="s">
        <v>19</v>
      </c>
      <c r="R35" s="190" t="s">
        <v>19</v>
      </c>
      <c r="S35" s="190" t="s">
        <v>19</v>
      </c>
      <c r="T35" s="186" t="s">
        <v>47</v>
      </c>
      <c r="U35" s="190" t="s">
        <v>19</v>
      </c>
      <c r="V35" s="190" t="s">
        <v>19</v>
      </c>
      <c r="W35" s="190" t="s">
        <v>19</v>
      </c>
      <c r="X35" s="190" t="s">
        <v>19</v>
      </c>
      <c r="Y35" s="88" t="s">
        <v>23</v>
      </c>
      <c r="Z35" s="88" t="s">
        <v>23</v>
      </c>
      <c r="AA35" s="88" t="s">
        <v>23</v>
      </c>
      <c r="AB35" s="88" t="s">
        <v>23</v>
      </c>
      <c r="AC35" s="88" t="s">
        <v>23</v>
      </c>
      <c r="AD35" s="88" t="s">
        <v>23</v>
      </c>
      <c r="AE35" s="92" t="s">
        <v>23</v>
      </c>
      <c r="AF35" s="92" t="s">
        <v>23</v>
      </c>
      <c r="AG35" s="93">
        <f t="shared" si="4"/>
        <v>0</v>
      </c>
      <c r="AH35" s="93"/>
      <c r="AI35" s="93"/>
      <c r="AJ35" s="93"/>
      <c r="AK35" s="94" t="s">
        <v>31</v>
      </c>
      <c r="AM35" s="19"/>
      <c r="AN35" s="19"/>
      <c r="AO35" s="19"/>
      <c r="AP35" s="50"/>
      <c r="AQ35" s="50"/>
    </row>
    <row r="36" spans="1:55">
      <c r="A36" s="182">
        <v>44852</v>
      </c>
      <c r="B36" s="88">
        <v>1600</v>
      </c>
      <c r="C36" s="88"/>
      <c r="D36" s="89" cm="1">
        <f t="array" ref="D36">(SUM(VLOOKUP(I36:AF36,$AM$4:$AO$44,2,FALSE))+AG36*10)*IF(AK36="是",$AZ$4,$AZ$3)</f>
        <v>864</v>
      </c>
      <c r="E36" s="89">
        <f>SUM($B$4:B36)+SUM($C$4:C36)-SUM($D$4:D36)</f>
        <v>11480</v>
      </c>
      <c r="F36" s="89" cm="1">
        <f t="array" ref="F36">SUM(VLOOKUP(I36:AF36,$AM$4:$AO$44,3,FALSE))</f>
        <v>300</v>
      </c>
      <c r="G36" s="89">
        <f>SUM($F$4:F36)+SUM($H$4:H36)</f>
        <v>18840</v>
      </c>
      <c r="H36" s="88">
        <v>100</v>
      </c>
      <c r="I36" s="88" t="s">
        <v>23</v>
      </c>
      <c r="J36" s="88" t="s">
        <v>23</v>
      </c>
      <c r="K36" s="88" t="s">
        <v>23</v>
      </c>
      <c r="L36" s="88" t="s">
        <v>23</v>
      </c>
      <c r="M36" s="88" t="s">
        <v>23</v>
      </c>
      <c r="N36" s="88" t="s">
        <v>23</v>
      </c>
      <c r="O36" s="92" t="s">
        <v>23</v>
      </c>
      <c r="P36" s="92" t="s">
        <v>23</v>
      </c>
      <c r="Q36" s="190" t="s">
        <v>19</v>
      </c>
      <c r="R36" s="190" t="s">
        <v>19</v>
      </c>
      <c r="S36" s="190" t="s">
        <v>19</v>
      </c>
      <c r="T36" s="190" t="s">
        <v>19</v>
      </c>
      <c r="U36" s="190" t="s">
        <v>19</v>
      </c>
      <c r="V36" s="190" t="s">
        <v>19</v>
      </c>
      <c r="W36" s="92" t="s">
        <v>23</v>
      </c>
      <c r="X36" s="92" t="s">
        <v>23</v>
      </c>
      <c r="Y36" s="88" t="s">
        <v>23</v>
      </c>
      <c r="Z36" s="88" t="s">
        <v>23</v>
      </c>
      <c r="AA36" s="88" t="s">
        <v>23</v>
      </c>
      <c r="AB36" s="88" t="s">
        <v>23</v>
      </c>
      <c r="AC36" s="88" t="s">
        <v>23</v>
      </c>
      <c r="AD36" s="88" t="s">
        <v>23</v>
      </c>
      <c r="AE36" s="92" t="s">
        <v>23</v>
      </c>
      <c r="AF36" s="92" t="s">
        <v>23</v>
      </c>
      <c r="AG36" s="93">
        <f t="shared" si="4"/>
        <v>0</v>
      </c>
      <c r="AH36" s="93"/>
      <c r="AI36" s="93"/>
      <c r="AJ36" s="93"/>
      <c r="AK36" s="94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 ht="15" thickBot="1">
      <c r="A37" s="182">
        <v>44853</v>
      </c>
      <c r="B37" s="88">
        <v>1600</v>
      </c>
      <c r="C37" s="88"/>
      <c r="D37" s="89" cm="1">
        <f t="array" ref="D37">(SUM(VLOOKUP(I37:AF37,$AM$4:$AO$44,2,FALSE))+AG37*10)*IF(AK37="是",$AZ$4,$AZ$3)</f>
        <v>864</v>
      </c>
      <c r="E37" s="89">
        <f>SUM($B$4:B37)+SUM($C$4:C37)-SUM($D$4:D37)</f>
        <v>12216</v>
      </c>
      <c r="F37" s="89" cm="1">
        <f t="array" ref="F37">SUM(VLOOKUP(I37:AF37,$AM$4:$AO$44,3,FALSE))</f>
        <v>300</v>
      </c>
      <c r="G37" s="89">
        <f>SUM($F$4:F37)+SUM($H$4:H37)</f>
        <v>19340</v>
      </c>
      <c r="H37" s="88">
        <v>200</v>
      </c>
      <c r="I37" s="88" t="s">
        <v>23</v>
      </c>
      <c r="J37" s="88" t="s">
        <v>23</v>
      </c>
      <c r="K37" s="88" t="s">
        <v>23</v>
      </c>
      <c r="L37" s="88" t="s">
        <v>23</v>
      </c>
      <c r="M37" s="88" t="s">
        <v>23</v>
      </c>
      <c r="N37" s="88" t="s">
        <v>23</v>
      </c>
      <c r="O37" s="92" t="s">
        <v>23</v>
      </c>
      <c r="P37" s="92" t="s">
        <v>23</v>
      </c>
      <c r="Q37" s="190" t="s">
        <v>19</v>
      </c>
      <c r="R37" s="190" t="s">
        <v>19</v>
      </c>
      <c r="S37" s="190" t="s">
        <v>19</v>
      </c>
      <c r="T37" s="190" t="s">
        <v>19</v>
      </c>
      <c r="U37" s="190" t="s">
        <v>19</v>
      </c>
      <c r="V37" s="190" t="s">
        <v>19</v>
      </c>
      <c r="W37" s="92" t="s">
        <v>23</v>
      </c>
      <c r="X37" s="92" t="s">
        <v>23</v>
      </c>
      <c r="Y37" s="88" t="s">
        <v>23</v>
      </c>
      <c r="Z37" s="88" t="s">
        <v>23</v>
      </c>
      <c r="AA37" s="88" t="s">
        <v>23</v>
      </c>
      <c r="AB37" s="88" t="s">
        <v>23</v>
      </c>
      <c r="AC37" s="88" t="s">
        <v>23</v>
      </c>
      <c r="AD37" s="88" t="s">
        <v>23</v>
      </c>
      <c r="AE37" s="92" t="s">
        <v>23</v>
      </c>
      <c r="AF37" s="92" t="s">
        <v>23</v>
      </c>
      <c r="AG37" s="93">
        <f t="shared" si="4"/>
        <v>0</v>
      </c>
      <c r="AH37" s="93"/>
      <c r="AI37" s="93"/>
      <c r="AJ37" s="93"/>
      <c r="AK37" s="94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82">
        <v>44854</v>
      </c>
      <c r="B38" s="88">
        <v>1600</v>
      </c>
      <c r="C38" s="88"/>
      <c r="D38" s="89" cm="1">
        <f t="array" ref="D38">(SUM(VLOOKUP(I38:AF38,$AM$4:$AO$44,2,FALSE))+AG38*10)*IF(AK38="是",$AZ$4,$AZ$3)</f>
        <v>1680</v>
      </c>
      <c r="E38" s="89">
        <f>SUM($B$4:B38)+SUM($C$4:C38)-SUM($D$4:D38)</f>
        <v>12136</v>
      </c>
      <c r="F38" s="89" cm="1">
        <f t="array" ref="F38">SUM(VLOOKUP(I38:AF38,$AM$4:$AO$44,3,FALSE))</f>
        <v>570</v>
      </c>
      <c r="G38" s="89">
        <f>SUM($F$4:F38)+SUM($H$4:H38)</f>
        <v>19910</v>
      </c>
      <c r="H38" s="88">
        <v>0</v>
      </c>
      <c r="I38" s="88" t="s">
        <v>23</v>
      </c>
      <c r="J38" s="88" t="s">
        <v>23</v>
      </c>
      <c r="K38" s="88" t="s">
        <v>23</v>
      </c>
      <c r="L38" s="88" t="s">
        <v>23</v>
      </c>
      <c r="M38" s="88" t="s">
        <v>23</v>
      </c>
      <c r="N38" s="88" t="s">
        <v>23</v>
      </c>
      <c r="O38" s="92" t="s">
        <v>23</v>
      </c>
      <c r="P38" s="92" t="s">
        <v>23</v>
      </c>
      <c r="Q38" s="190" t="s">
        <v>19</v>
      </c>
      <c r="R38" s="190" t="s">
        <v>19</v>
      </c>
      <c r="S38" s="190" t="s">
        <v>19</v>
      </c>
      <c r="T38" s="190" t="s">
        <v>19</v>
      </c>
      <c r="U38" s="190" t="s">
        <v>19</v>
      </c>
      <c r="V38" s="190" t="s">
        <v>19</v>
      </c>
      <c r="W38" s="92" t="s">
        <v>23</v>
      </c>
      <c r="X38" s="92" t="s">
        <v>23</v>
      </c>
      <c r="Y38" s="199" t="s">
        <v>18</v>
      </c>
      <c r="Z38" s="200" t="s">
        <v>18</v>
      </c>
      <c r="AA38" s="200" t="s">
        <v>18</v>
      </c>
      <c r="AB38" s="200" t="s">
        <v>18</v>
      </c>
      <c r="AC38" s="200" t="s">
        <v>18</v>
      </c>
      <c r="AD38" s="201" t="s">
        <v>18</v>
      </c>
      <c r="AE38" s="92" t="s">
        <v>23</v>
      </c>
      <c r="AF38" s="92" t="s">
        <v>23</v>
      </c>
      <c r="AG38" s="93">
        <f t="shared" si="4"/>
        <v>0</v>
      </c>
      <c r="AH38" s="93"/>
      <c r="AI38" s="93"/>
      <c r="AJ38" s="93"/>
      <c r="AK38" s="94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82">
        <v>44855</v>
      </c>
      <c r="B39" s="88">
        <v>1600</v>
      </c>
      <c r="C39" s="88"/>
      <c r="D39" s="89" cm="1">
        <f t="array" ref="D39">(SUM(VLOOKUP(I39:AF39,$AM$4:$AO$44,2,FALSE))+AG39*10)*IF(AK39="是",$AZ$4,$AZ$3)</f>
        <v>1776</v>
      </c>
      <c r="E39" s="89">
        <f>SUM($B$4:B39)+SUM($C$4:C39)-SUM($D$4:D39)</f>
        <v>11960</v>
      </c>
      <c r="F39" s="89" cm="1">
        <f t="array" ref="F39">SUM(VLOOKUP(I39:AF39,$AM$4:$AO$44,3,FALSE))</f>
        <v>1045</v>
      </c>
      <c r="G39" s="89">
        <f>SUM($F$4:F39)+SUM($H$4:H39)</f>
        <v>20955</v>
      </c>
      <c r="H39" s="88">
        <v>0</v>
      </c>
      <c r="I39" s="88" t="s">
        <v>23</v>
      </c>
      <c r="J39" s="88" t="s">
        <v>23</v>
      </c>
      <c r="K39" s="88" t="s">
        <v>23</v>
      </c>
      <c r="L39" s="88" t="s">
        <v>23</v>
      </c>
      <c r="M39" s="88" t="s">
        <v>23</v>
      </c>
      <c r="N39" s="88" t="s">
        <v>23</v>
      </c>
      <c r="O39" s="92" t="s">
        <v>23</v>
      </c>
      <c r="P39" s="92" t="s">
        <v>23</v>
      </c>
      <c r="Q39" s="192" t="s">
        <v>41</v>
      </c>
      <c r="R39" s="193" t="s">
        <v>20</v>
      </c>
      <c r="S39" s="193" t="s">
        <v>20</v>
      </c>
      <c r="T39" s="193" t="s">
        <v>20</v>
      </c>
      <c r="U39" s="193" t="s">
        <v>20</v>
      </c>
      <c r="V39" s="193" t="s">
        <v>20</v>
      </c>
      <c r="W39" s="92" t="s">
        <v>23</v>
      </c>
      <c r="X39" s="92" t="s">
        <v>23</v>
      </c>
      <c r="Y39" s="202" t="s">
        <v>18</v>
      </c>
      <c r="Z39" s="184" t="s">
        <v>18</v>
      </c>
      <c r="AA39" s="184" t="s">
        <v>18</v>
      </c>
      <c r="AB39" s="184" t="s">
        <v>18</v>
      </c>
      <c r="AC39" s="184" t="s">
        <v>18</v>
      </c>
      <c r="AD39" s="203" t="s">
        <v>18</v>
      </c>
      <c r="AE39" s="92" t="s">
        <v>23</v>
      </c>
      <c r="AF39" s="92" t="s">
        <v>23</v>
      </c>
      <c r="AG39" s="93">
        <f t="shared" si="4"/>
        <v>0</v>
      </c>
      <c r="AH39" s="93"/>
      <c r="AI39" s="93"/>
      <c r="AJ39" s="93"/>
      <c r="AK39" s="94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 ht="15" thickBot="1">
      <c r="A40" s="182">
        <v>44856</v>
      </c>
      <c r="B40" s="88">
        <v>1600</v>
      </c>
      <c r="C40" s="88"/>
      <c r="D40" s="187" cm="1">
        <f t="array" ref="D40">(SUM(VLOOKUP(I40:AF40,$AM$4:$AO$44,2,FALSE))+AG40*10)*IF(AK40="是",$AZ$4,$AZ$3)-40</f>
        <v>1736</v>
      </c>
      <c r="E40" s="89">
        <f>SUM($B$4:B40)+SUM($C$4:C40)-SUM($D$4:D40)</f>
        <v>11824</v>
      </c>
      <c r="F40" s="89" cm="1">
        <f t="array" ref="F40">SUM(VLOOKUP(I40:AF40,$AM$4:$AO$44,3,FALSE))</f>
        <v>1615</v>
      </c>
      <c r="G40" s="89">
        <f>SUM($F$4:F40)+SUM($H$4:H40)</f>
        <v>22570</v>
      </c>
      <c r="H40" s="88">
        <v>0</v>
      </c>
      <c r="I40" s="88" t="s">
        <v>23</v>
      </c>
      <c r="J40" s="88" t="s">
        <v>23</v>
      </c>
      <c r="K40" s="88" t="s">
        <v>23</v>
      </c>
      <c r="L40" s="88" t="s">
        <v>23</v>
      </c>
      <c r="M40" s="88" t="s">
        <v>23</v>
      </c>
      <c r="N40" s="88" t="s">
        <v>23</v>
      </c>
      <c r="O40" s="92" t="s">
        <v>23</v>
      </c>
      <c r="P40" s="92" t="s">
        <v>23</v>
      </c>
      <c r="Q40" s="194" t="s">
        <v>21</v>
      </c>
      <c r="R40" s="186" t="s">
        <v>47</v>
      </c>
      <c r="S40" s="194" t="s">
        <v>21</v>
      </c>
      <c r="T40" s="193" t="s">
        <v>20</v>
      </c>
      <c r="U40" s="193" t="s">
        <v>20</v>
      </c>
      <c r="V40" s="193" t="s">
        <v>20</v>
      </c>
      <c r="W40" s="194" t="s">
        <v>21</v>
      </c>
      <c r="X40" s="195" t="s">
        <v>15</v>
      </c>
      <c r="Y40" s="196" t="s">
        <v>18</v>
      </c>
      <c r="Z40" s="197" t="s">
        <v>18</v>
      </c>
      <c r="AA40" s="197" t="s">
        <v>18</v>
      </c>
      <c r="AB40" s="197" t="s">
        <v>18</v>
      </c>
      <c r="AC40" s="197" t="s">
        <v>18</v>
      </c>
      <c r="AD40" s="198" t="s">
        <v>7</v>
      </c>
      <c r="AE40" s="92" t="s">
        <v>23</v>
      </c>
      <c r="AF40" s="92" t="s">
        <v>23</v>
      </c>
      <c r="AG40" s="93">
        <f t="shared" si="4"/>
        <v>0</v>
      </c>
      <c r="AH40" s="93"/>
      <c r="AI40" s="93"/>
      <c r="AJ40" s="93"/>
      <c r="AK40" s="94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82">
        <v>44857</v>
      </c>
      <c r="B41" s="88">
        <v>1600</v>
      </c>
      <c r="C41" s="88"/>
      <c r="D41" s="89" cm="1">
        <f t="array" ref="D41">(SUM(VLOOKUP(I41:AF41,$AM$4:$AO$44,2,FALSE))+AG41*10)*IF(AK41="是",$AZ$4,$AZ$3)</f>
        <v>1784</v>
      </c>
      <c r="E41" s="89">
        <f>SUM($B$4:B41)+SUM($C$4:C41)-SUM($D$4:D41)</f>
        <v>11640</v>
      </c>
      <c r="F41" s="89" cm="1">
        <f t="array" ref="F41">SUM(VLOOKUP(I41:AF41,$AM$4:$AO$44,3,FALSE))</f>
        <v>635</v>
      </c>
      <c r="G41" s="89">
        <f>SUM($F$4:F41)+SUM($H$4:H41)</f>
        <v>23205</v>
      </c>
      <c r="H41" s="88">
        <v>0</v>
      </c>
      <c r="I41" s="88" t="s">
        <v>23</v>
      </c>
      <c r="J41" s="88" t="s">
        <v>23</v>
      </c>
      <c r="K41" s="88" t="s">
        <v>23</v>
      </c>
      <c r="L41" s="88" t="s">
        <v>23</v>
      </c>
      <c r="M41" s="88" t="s">
        <v>23</v>
      </c>
      <c r="N41" s="88" t="s">
        <v>23</v>
      </c>
      <c r="O41" s="92" t="s">
        <v>23</v>
      </c>
      <c r="P41" s="92" t="s">
        <v>23</v>
      </c>
      <c r="Q41" s="194" t="s">
        <v>21</v>
      </c>
      <c r="R41" s="194" t="s">
        <v>21</v>
      </c>
      <c r="S41" s="194" t="s">
        <v>21</v>
      </c>
      <c r="T41" s="194" t="s">
        <v>21</v>
      </c>
      <c r="U41" s="194" t="s">
        <v>21</v>
      </c>
      <c r="V41" s="193" t="s">
        <v>20</v>
      </c>
      <c r="W41" s="92" t="s">
        <v>23</v>
      </c>
      <c r="X41" s="92" t="s">
        <v>23</v>
      </c>
      <c r="Y41" s="204" t="s">
        <v>18</v>
      </c>
      <c r="Z41" s="204" t="s">
        <v>18</v>
      </c>
      <c r="AA41" s="204" t="s">
        <v>18</v>
      </c>
      <c r="AB41" s="204" t="s">
        <v>18</v>
      </c>
      <c r="AC41" s="205" t="s">
        <v>19</v>
      </c>
      <c r="AD41" s="205" t="s">
        <v>19</v>
      </c>
      <c r="AE41" s="92" t="s">
        <v>23</v>
      </c>
      <c r="AF41" s="92" t="s">
        <v>23</v>
      </c>
      <c r="AG41" s="93">
        <f t="shared" si="4"/>
        <v>0</v>
      </c>
      <c r="AH41" s="93"/>
      <c r="AI41" s="93"/>
      <c r="AJ41" s="93"/>
      <c r="AK41" s="94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82">
        <v>44858</v>
      </c>
      <c r="B42" s="89">
        <v>1600</v>
      </c>
      <c r="C42" s="89"/>
      <c r="D42" s="89" cm="1">
        <f t="array" ref="D42">(SUM(VLOOKUP(I42:AF42,$AM$4:$AO$44,2,FALSE))+AG42*10)*IF(AK42="是",$AZ$4,$AZ$3)</f>
        <v>1696</v>
      </c>
      <c r="E42" s="89">
        <f>SUM($B$4:B42)+SUM($C$4:C42)-SUM($D$4:D42)</f>
        <v>11544</v>
      </c>
      <c r="F42" s="89" cm="1">
        <f t="array" ref="F42">SUM(VLOOKUP(I42:AF42,$AM$4:$AO$44,3,FALSE))</f>
        <v>625</v>
      </c>
      <c r="G42" s="89">
        <f>SUM($F$4:F42)+SUM($H$4:H42)</f>
        <v>24130</v>
      </c>
      <c r="H42" s="89">
        <v>300</v>
      </c>
      <c r="I42" s="88" t="s">
        <v>23</v>
      </c>
      <c r="J42" s="88" t="s">
        <v>23</v>
      </c>
      <c r="K42" s="88" t="s">
        <v>23</v>
      </c>
      <c r="L42" s="88" t="s">
        <v>23</v>
      </c>
      <c r="M42" s="88" t="s">
        <v>23</v>
      </c>
      <c r="N42" s="88" t="s">
        <v>23</v>
      </c>
      <c r="O42" s="92" t="s">
        <v>23</v>
      </c>
      <c r="P42" s="92" t="s">
        <v>23</v>
      </c>
      <c r="Q42" s="193" t="s">
        <v>20</v>
      </c>
      <c r="R42" s="193" t="s">
        <v>20</v>
      </c>
      <c r="S42" s="193" t="s">
        <v>20</v>
      </c>
      <c r="T42" s="194" t="s">
        <v>21</v>
      </c>
      <c r="U42" s="194" t="s">
        <v>21</v>
      </c>
      <c r="V42" s="194" t="s">
        <v>21</v>
      </c>
      <c r="W42" s="92" t="s">
        <v>23</v>
      </c>
      <c r="X42" s="92" t="s">
        <v>23</v>
      </c>
      <c r="Y42" s="190" t="s">
        <v>19</v>
      </c>
      <c r="Z42" s="190" t="s">
        <v>19</v>
      </c>
      <c r="AA42" s="190" t="s">
        <v>19</v>
      </c>
      <c r="AB42" s="190" t="s">
        <v>19</v>
      </c>
      <c r="AC42" s="185" t="s">
        <v>12</v>
      </c>
      <c r="AD42" s="190" t="s">
        <v>19</v>
      </c>
      <c r="AE42" s="92" t="s">
        <v>23</v>
      </c>
      <c r="AF42" s="92" t="s">
        <v>23</v>
      </c>
      <c r="AG42" s="93">
        <f t="shared" si="4"/>
        <v>0</v>
      </c>
      <c r="AH42" s="93"/>
      <c r="AI42" s="93"/>
      <c r="AJ42" s="93"/>
      <c r="AK42" s="94" t="s">
        <v>31</v>
      </c>
      <c r="AL42" s="107"/>
    </row>
    <row r="43" spans="1:55">
      <c r="A43" s="182">
        <v>44859</v>
      </c>
      <c r="B43" s="89">
        <v>1600</v>
      </c>
      <c r="C43" s="89"/>
      <c r="D43" s="89" cm="1">
        <f t="array" ref="D43">(SUM(VLOOKUP(I43:AF43,$AM$4:$AO$44,2,FALSE))+AG43*10)*IF(AK43="是",$AZ$4,$AZ$3)</f>
        <v>1808</v>
      </c>
      <c r="E43" s="89">
        <f>SUM($B$4:B43)+SUM($C$4:C43)-SUM($D$4:D43)</f>
        <v>11336</v>
      </c>
      <c r="F43" s="89" cm="1">
        <f t="array" ref="F43">SUM(VLOOKUP(I43:AF43,$AM$4:$AO$44,3,FALSE))</f>
        <v>650</v>
      </c>
      <c r="G43" s="89">
        <f>SUM($F$4:F43)+SUM($H$4:H43)</f>
        <v>24780</v>
      </c>
      <c r="H43" s="89">
        <v>0</v>
      </c>
      <c r="I43" s="88" t="s">
        <v>23</v>
      </c>
      <c r="J43" s="88" t="s">
        <v>23</v>
      </c>
      <c r="K43" s="88" t="s">
        <v>23</v>
      </c>
      <c r="L43" s="88" t="s">
        <v>23</v>
      </c>
      <c r="M43" s="88" t="s">
        <v>23</v>
      </c>
      <c r="N43" s="88" t="s">
        <v>23</v>
      </c>
      <c r="O43" s="92" t="s">
        <v>23</v>
      </c>
      <c r="P43" s="92" t="s">
        <v>23</v>
      </c>
      <c r="Q43" s="193" t="s">
        <v>20</v>
      </c>
      <c r="R43" s="193" t="s">
        <v>20</v>
      </c>
      <c r="S43" s="194" t="s">
        <v>21</v>
      </c>
      <c r="T43" s="194" t="s">
        <v>21</v>
      </c>
      <c r="U43" s="194" t="s">
        <v>21</v>
      </c>
      <c r="V43" s="194" t="s">
        <v>21</v>
      </c>
      <c r="W43" s="92" t="s">
        <v>23</v>
      </c>
      <c r="X43" s="92" t="s">
        <v>23</v>
      </c>
      <c r="Y43" s="190" t="s">
        <v>19</v>
      </c>
      <c r="Z43" s="190" t="s">
        <v>19</v>
      </c>
      <c r="AA43" s="190" t="s">
        <v>19</v>
      </c>
      <c r="AB43" s="190" t="s">
        <v>19</v>
      </c>
      <c r="AC43" s="190" t="s">
        <v>19</v>
      </c>
      <c r="AD43" s="190" t="s">
        <v>19</v>
      </c>
      <c r="AE43" s="92" t="s">
        <v>23</v>
      </c>
      <c r="AF43" s="92" t="s">
        <v>23</v>
      </c>
      <c r="AG43" s="93">
        <f t="shared" si="4"/>
        <v>0</v>
      </c>
      <c r="AH43" s="93"/>
      <c r="AI43" s="93"/>
      <c r="AJ43" s="93"/>
      <c r="AK43" s="94" t="s">
        <v>31</v>
      </c>
      <c r="AL43" s="107"/>
    </row>
    <row r="44" spans="1:55">
      <c r="A44" s="182">
        <v>44860</v>
      </c>
      <c r="B44" s="89">
        <v>1600</v>
      </c>
      <c r="C44" s="89"/>
      <c r="D44" s="89" cm="1">
        <f t="array" ref="D44">(SUM(VLOOKUP(I44:AF44,$AM$4:$AO$44,2,FALSE))+AG44*10)*IF(AK44="是",$AZ$4,$AZ$3)</f>
        <v>1808</v>
      </c>
      <c r="E44" s="89">
        <f>SUM($B$4:B44)+SUM($C$4:C44)-SUM($D$4:D44)</f>
        <v>11128</v>
      </c>
      <c r="F44" s="89" cm="1">
        <f t="array" ref="F44">SUM(VLOOKUP(I44:AF44,$AM$4:$AO$44,3,FALSE))</f>
        <v>710</v>
      </c>
      <c r="G44" s="89">
        <f>SUM($F$4:F44)+SUM($H$4:H44)</f>
        <v>25690</v>
      </c>
      <c r="H44" s="89">
        <v>200</v>
      </c>
      <c r="I44" s="88" t="s">
        <v>23</v>
      </c>
      <c r="J44" s="88" t="s">
        <v>23</v>
      </c>
      <c r="K44" s="88" t="s">
        <v>23</v>
      </c>
      <c r="L44" s="88" t="s">
        <v>23</v>
      </c>
      <c r="M44" s="88" t="s">
        <v>23</v>
      </c>
      <c r="N44" s="88" t="s">
        <v>23</v>
      </c>
      <c r="O44" s="92" t="s">
        <v>23</v>
      </c>
      <c r="P44" s="92" t="s">
        <v>23</v>
      </c>
      <c r="Q44" s="194" t="s">
        <v>21</v>
      </c>
      <c r="R44" s="194" t="s">
        <v>21</v>
      </c>
      <c r="S44" s="194" t="s">
        <v>21</v>
      </c>
      <c r="T44" s="194" t="s">
        <v>21</v>
      </c>
      <c r="U44" s="194" t="s">
        <v>21</v>
      </c>
      <c r="V44" s="194" t="s">
        <v>21</v>
      </c>
      <c r="W44" s="92" t="s">
        <v>23</v>
      </c>
      <c r="X44" s="92" t="s">
        <v>23</v>
      </c>
      <c r="Y44" s="190" t="s">
        <v>19</v>
      </c>
      <c r="Z44" s="190" t="s">
        <v>19</v>
      </c>
      <c r="AA44" s="186" t="s">
        <v>47</v>
      </c>
      <c r="AB44" s="190" t="s">
        <v>19</v>
      </c>
      <c r="AC44" s="190" t="s">
        <v>19</v>
      </c>
      <c r="AD44" s="190" t="s">
        <v>19</v>
      </c>
      <c r="AE44" s="190" t="s">
        <v>19</v>
      </c>
      <c r="AF44" s="190" t="s">
        <v>19</v>
      </c>
      <c r="AG44" s="93">
        <f t="shared" si="4"/>
        <v>0</v>
      </c>
      <c r="AH44" s="93"/>
      <c r="AI44" s="93"/>
      <c r="AJ44" s="93"/>
      <c r="AK44" s="94" t="s">
        <v>31</v>
      </c>
      <c r="AL44" s="107"/>
    </row>
    <row r="45" spans="1:55">
      <c r="A45" s="182">
        <v>44861</v>
      </c>
      <c r="B45" s="89">
        <v>1600</v>
      </c>
      <c r="C45" s="89"/>
      <c r="D45" s="89" cm="1">
        <f t="array" ref="D45">(SUM(VLOOKUP(I45:AF45,$AM$4:$AO$44,2,FALSE))+AG45*10)*IF(AK45="是",$AZ$4,$AZ$3)</f>
        <v>1936</v>
      </c>
      <c r="E45" s="89">
        <f>SUM($B$4:B45)+SUM($C$4:C45)-SUM($D$4:D45)</f>
        <v>10792</v>
      </c>
      <c r="F45" s="89" cm="1">
        <f t="array" ref="F45">SUM(VLOOKUP(I45:AF45,$AM$4:$AO$44,3,FALSE))</f>
        <v>1145</v>
      </c>
      <c r="G45" s="89">
        <f>SUM($F$4:F45)+SUM($H$4:H45)</f>
        <v>26835</v>
      </c>
      <c r="H45" s="89">
        <v>0</v>
      </c>
      <c r="I45" s="88" t="s">
        <v>23</v>
      </c>
      <c r="J45" s="88" t="s">
        <v>23</v>
      </c>
      <c r="K45" s="88" t="s">
        <v>23</v>
      </c>
      <c r="L45" s="88" t="s">
        <v>23</v>
      </c>
      <c r="M45" s="88" t="s">
        <v>23</v>
      </c>
      <c r="N45" s="88" t="s">
        <v>23</v>
      </c>
      <c r="O45" s="92" t="s">
        <v>23</v>
      </c>
      <c r="P45" s="92" t="s">
        <v>23</v>
      </c>
      <c r="Q45" s="194" t="s">
        <v>21</v>
      </c>
      <c r="R45" s="194" t="s">
        <v>21</v>
      </c>
      <c r="S45" s="194" t="s">
        <v>21</v>
      </c>
      <c r="T45" s="194" t="s">
        <v>21</v>
      </c>
      <c r="U45" s="194" t="s">
        <v>21</v>
      </c>
      <c r="V45" s="194" t="s">
        <v>21</v>
      </c>
      <c r="W45" s="92" t="s">
        <v>23</v>
      </c>
      <c r="X45" s="92" t="s">
        <v>23</v>
      </c>
      <c r="Y45" s="192" t="s">
        <v>41</v>
      </c>
      <c r="Z45" s="193" t="s">
        <v>20</v>
      </c>
      <c r="AA45" s="194" t="s">
        <v>21</v>
      </c>
      <c r="AB45" s="194" t="s">
        <v>21</v>
      </c>
      <c r="AC45" s="193" t="s">
        <v>20</v>
      </c>
      <c r="AD45" s="193" t="s">
        <v>20</v>
      </c>
      <c r="AE45" s="92" t="s">
        <v>23</v>
      </c>
      <c r="AF45" s="92" t="s">
        <v>23</v>
      </c>
      <c r="AG45" s="93">
        <f t="shared" si="4"/>
        <v>0</v>
      </c>
      <c r="AH45" s="93"/>
      <c r="AI45" s="93"/>
      <c r="AJ45" s="93"/>
      <c r="AK45" s="94" t="s">
        <v>31</v>
      </c>
      <c r="AL45" s="107"/>
    </row>
    <row r="46" spans="1:55">
      <c r="A46" s="182">
        <v>44862</v>
      </c>
      <c r="B46" s="89">
        <v>1600</v>
      </c>
      <c r="C46" s="89"/>
      <c r="D46" s="89" cm="1">
        <f t="array" ref="D46">(SUM(VLOOKUP(I46:AF46,$AM$4:$AO$44,2,FALSE))+AG46*10)*IF(AK46="是",$AZ$4,$AZ$3)</f>
        <v>1872</v>
      </c>
      <c r="E46" s="89">
        <f>SUM($B$4:B46)+SUM($C$4:C46)-SUM($D$4:D46)</f>
        <v>10520</v>
      </c>
      <c r="F46" s="89" cm="1">
        <f t="array" ref="F46">SUM(VLOOKUP(I46:AF46,$AM$4:$AO$44,3,FALSE))</f>
        <v>690</v>
      </c>
      <c r="G46" s="89">
        <f>SUM($F$4:F46)+SUM($H$4:H46)</f>
        <v>27525</v>
      </c>
      <c r="H46" s="89">
        <v>0</v>
      </c>
      <c r="I46" s="88" t="s">
        <v>23</v>
      </c>
      <c r="J46" s="88" t="s">
        <v>23</v>
      </c>
      <c r="K46" s="88" t="s">
        <v>23</v>
      </c>
      <c r="L46" s="88" t="s">
        <v>23</v>
      </c>
      <c r="M46" s="88" t="s">
        <v>23</v>
      </c>
      <c r="N46" s="88" t="s">
        <v>23</v>
      </c>
      <c r="O46" s="92" t="s">
        <v>23</v>
      </c>
      <c r="P46" s="92" t="s">
        <v>23</v>
      </c>
      <c r="Q46" s="194" t="s">
        <v>21</v>
      </c>
      <c r="R46" s="194" t="s">
        <v>21</v>
      </c>
      <c r="S46" s="194" t="s">
        <v>21</v>
      </c>
      <c r="T46" s="194" t="s">
        <v>21</v>
      </c>
      <c r="U46" s="194" t="s">
        <v>21</v>
      </c>
      <c r="V46" s="194" t="s">
        <v>21</v>
      </c>
      <c r="W46" s="92" t="s">
        <v>23</v>
      </c>
      <c r="X46" s="92" t="s">
        <v>23</v>
      </c>
      <c r="Y46" s="193" t="s">
        <v>20</v>
      </c>
      <c r="Z46" s="193" t="s">
        <v>20</v>
      </c>
      <c r="AA46" s="193" t="s">
        <v>20</v>
      </c>
      <c r="AB46" s="193" t="s">
        <v>20</v>
      </c>
      <c r="AC46" s="193" t="s">
        <v>20</v>
      </c>
      <c r="AD46" s="193" t="s">
        <v>20</v>
      </c>
      <c r="AE46" s="92" t="s">
        <v>23</v>
      </c>
      <c r="AF46" s="92" t="s">
        <v>23</v>
      </c>
      <c r="AG46" s="93">
        <f t="shared" si="4"/>
        <v>0</v>
      </c>
      <c r="AH46" s="93"/>
      <c r="AI46" s="93"/>
      <c r="AJ46" s="93"/>
      <c r="AK46" s="94" t="s">
        <v>31</v>
      </c>
      <c r="AL46" s="107"/>
    </row>
    <row r="47" spans="1:55">
      <c r="A47" s="182">
        <v>44863</v>
      </c>
      <c r="B47" s="89">
        <v>1600</v>
      </c>
      <c r="C47" s="89"/>
      <c r="D47" s="89" cm="1">
        <f t="array" ref="D47">(SUM(VLOOKUP(I47:AF47,$AM$4:$AO$44,2,FALSE))+AG47*10)*IF(AK47="是",$AZ$4,$AZ$3)</f>
        <v>1872</v>
      </c>
      <c r="E47" s="89">
        <f>SUM($B$4:B47)+SUM($C$4:C47)-SUM($D$4:D47)</f>
        <v>10248</v>
      </c>
      <c r="F47" s="89" cm="1">
        <f t="array" ref="F47">SUM(VLOOKUP(I47:AF47,$AM$4:$AO$44,3,FALSE))</f>
        <v>690</v>
      </c>
      <c r="G47" s="89">
        <f>SUM($F$4:F47)+SUM($H$4:H47)</f>
        <v>28215</v>
      </c>
      <c r="H47" s="89">
        <v>0</v>
      </c>
      <c r="I47" s="88" t="s">
        <v>23</v>
      </c>
      <c r="J47" s="88" t="s">
        <v>23</v>
      </c>
      <c r="K47" s="88" t="s">
        <v>23</v>
      </c>
      <c r="L47" s="88" t="s">
        <v>23</v>
      </c>
      <c r="M47" s="88" t="s">
        <v>23</v>
      </c>
      <c r="N47" s="88" t="s">
        <v>23</v>
      </c>
      <c r="O47" s="92" t="s">
        <v>23</v>
      </c>
      <c r="P47" s="92" t="s">
        <v>23</v>
      </c>
      <c r="Q47" s="194" t="s">
        <v>21</v>
      </c>
      <c r="R47" s="194" t="s">
        <v>21</v>
      </c>
      <c r="S47" s="194" t="s">
        <v>21</v>
      </c>
      <c r="T47" s="194" t="s">
        <v>21</v>
      </c>
      <c r="U47" s="194" t="s">
        <v>21</v>
      </c>
      <c r="V47" s="194" t="s">
        <v>21</v>
      </c>
      <c r="W47" s="92" t="s">
        <v>23</v>
      </c>
      <c r="X47" s="92" t="s">
        <v>23</v>
      </c>
      <c r="Y47" s="193" t="s">
        <v>20</v>
      </c>
      <c r="Z47" s="193" t="s">
        <v>20</v>
      </c>
      <c r="AA47" s="193" t="s">
        <v>20</v>
      </c>
      <c r="AB47" s="193" t="s">
        <v>20</v>
      </c>
      <c r="AC47" s="193" t="s">
        <v>20</v>
      </c>
      <c r="AD47" s="193" t="s">
        <v>20</v>
      </c>
      <c r="AE47" s="92" t="s">
        <v>23</v>
      </c>
      <c r="AF47" s="92" t="s">
        <v>23</v>
      </c>
      <c r="AG47" s="93">
        <f t="shared" si="4"/>
        <v>0</v>
      </c>
      <c r="AH47" s="93"/>
      <c r="AI47" s="93"/>
      <c r="AJ47" s="93"/>
      <c r="AK47" s="94" t="s">
        <v>31</v>
      </c>
      <c r="AL47" s="107"/>
    </row>
    <row r="48" spans="1:55">
      <c r="A48" s="182">
        <v>44864</v>
      </c>
      <c r="B48" s="89">
        <v>1600</v>
      </c>
      <c r="C48" s="89"/>
      <c r="D48" s="89" cm="1">
        <f t="array" ref="D48">(SUM(VLOOKUP(I48:AF48,$AM$4:$AO$44,2,FALSE))+AG48*10)*IF(AK48="是",$AZ$4,$AZ$3)</f>
        <v>1840</v>
      </c>
      <c r="E48" s="89">
        <f>SUM($B$4:B48)+SUM($C$4:C48)-SUM($D$4:D48)</f>
        <v>10008</v>
      </c>
      <c r="F48" s="89" cm="1">
        <f t="array" ref="F48">SUM(VLOOKUP(I48:AF48,$AM$4:$AO$44,3,FALSE))</f>
        <v>670</v>
      </c>
      <c r="G48" s="89">
        <f>SUM($F$4:F48)+SUM($H$4:H48)</f>
        <v>28885</v>
      </c>
      <c r="H48" s="89">
        <v>0</v>
      </c>
      <c r="I48" s="88" t="s">
        <v>23</v>
      </c>
      <c r="J48" s="88" t="s">
        <v>23</v>
      </c>
      <c r="K48" s="88" t="s">
        <v>23</v>
      </c>
      <c r="L48" s="88" t="s">
        <v>23</v>
      </c>
      <c r="M48" s="88" t="s">
        <v>23</v>
      </c>
      <c r="N48" s="88" t="s">
        <v>23</v>
      </c>
      <c r="O48" s="92" t="s">
        <v>23</v>
      </c>
      <c r="P48" s="92" t="s">
        <v>23</v>
      </c>
      <c r="Q48" s="194" t="s">
        <v>21</v>
      </c>
      <c r="R48" s="193" t="s">
        <v>20</v>
      </c>
      <c r="S48" s="193" t="s">
        <v>20</v>
      </c>
      <c r="T48" s="193" t="s">
        <v>20</v>
      </c>
      <c r="U48" s="194" t="s">
        <v>21</v>
      </c>
      <c r="V48" s="193" t="s">
        <v>20</v>
      </c>
      <c r="W48" s="92" t="s">
        <v>23</v>
      </c>
      <c r="X48" s="92" t="s">
        <v>23</v>
      </c>
      <c r="Y48" s="193" t="s">
        <v>20</v>
      </c>
      <c r="Z48" s="193" t="s">
        <v>20</v>
      </c>
      <c r="AA48" s="193" t="s">
        <v>20</v>
      </c>
      <c r="AB48" s="193" t="s">
        <v>20</v>
      </c>
      <c r="AC48" s="193" t="s">
        <v>20</v>
      </c>
      <c r="AD48" s="193" t="s">
        <v>20</v>
      </c>
      <c r="AE48" s="92" t="s">
        <v>23</v>
      </c>
      <c r="AF48" s="92" t="s">
        <v>23</v>
      </c>
      <c r="AG48" s="93">
        <f t="shared" si="4"/>
        <v>0</v>
      </c>
      <c r="AH48" s="93"/>
      <c r="AI48" s="93"/>
      <c r="AJ48" s="93"/>
      <c r="AK48" s="94" t="s">
        <v>31</v>
      </c>
      <c r="AL48" s="107"/>
    </row>
    <row r="49" spans="1:38">
      <c r="A49" s="182">
        <v>44865</v>
      </c>
      <c r="B49" s="88">
        <v>1600</v>
      </c>
      <c r="C49" s="88"/>
      <c r="D49" s="89" cm="1">
        <f t="array" ref="D49">(SUM(VLOOKUP(I49:AF49,$AM$4:$AO$44,2,FALSE))+AG49*10)*IF(AK49="是",$AZ$4,$AZ$3)</f>
        <v>1840</v>
      </c>
      <c r="E49" s="89">
        <f>SUM($B$4:B49)+SUM($C$4:C49)-SUM($D$4:D49)</f>
        <v>9768</v>
      </c>
      <c r="F49" s="89" cm="1">
        <f t="array" ref="F49">SUM(VLOOKUP(I49:AF49,$AM$4:$AO$44,3,FALSE))</f>
        <v>690</v>
      </c>
      <c r="G49" s="89">
        <f>SUM($F$4:F49)+SUM($H$4:H49)</f>
        <v>29775</v>
      </c>
      <c r="H49" s="88">
        <v>200</v>
      </c>
      <c r="I49" s="88" t="s">
        <v>23</v>
      </c>
      <c r="J49" s="88" t="s">
        <v>23</v>
      </c>
      <c r="K49" s="88" t="s">
        <v>23</v>
      </c>
      <c r="L49" s="88" t="s">
        <v>23</v>
      </c>
      <c r="M49" s="88" t="s">
        <v>23</v>
      </c>
      <c r="N49" s="88" t="s">
        <v>23</v>
      </c>
      <c r="O49" s="92" t="s">
        <v>23</v>
      </c>
      <c r="P49" s="92" t="s">
        <v>23</v>
      </c>
      <c r="Q49" s="194" t="s">
        <v>21</v>
      </c>
      <c r="R49" s="193" t="s">
        <v>20</v>
      </c>
      <c r="S49" s="194" t="s">
        <v>21</v>
      </c>
      <c r="T49" s="194" t="s">
        <v>21</v>
      </c>
      <c r="U49" s="194" t="s">
        <v>21</v>
      </c>
      <c r="V49" s="194" t="s">
        <v>21</v>
      </c>
      <c r="W49" s="92" t="s">
        <v>23</v>
      </c>
      <c r="X49" s="92" t="s">
        <v>23</v>
      </c>
      <c r="Y49" s="194" t="s">
        <v>21</v>
      </c>
      <c r="Z49" s="193" t="s">
        <v>20</v>
      </c>
      <c r="AA49" s="206" t="s">
        <v>9</v>
      </c>
      <c r="AB49" s="193" t="s">
        <v>20</v>
      </c>
      <c r="AC49" s="193" t="s">
        <v>20</v>
      </c>
      <c r="AD49" s="193" t="s">
        <v>20</v>
      </c>
      <c r="AE49" s="92" t="s">
        <v>23</v>
      </c>
      <c r="AF49" s="92" t="s">
        <v>23</v>
      </c>
      <c r="AG49" s="93">
        <f t="shared" si="4"/>
        <v>0</v>
      </c>
      <c r="AH49" s="93"/>
      <c r="AI49" s="93"/>
      <c r="AJ49" s="93"/>
      <c r="AK49" s="94" t="s">
        <v>31</v>
      </c>
      <c r="AL49" s="107"/>
    </row>
    <row r="50" spans="1:38">
      <c r="A50" s="182">
        <v>44866</v>
      </c>
      <c r="B50" s="88">
        <v>1600</v>
      </c>
      <c r="C50" s="88"/>
      <c r="D50" s="89" cm="1">
        <f t="array" ref="D50">(SUM(VLOOKUP(I50:AF50,$AM$4:$AO$44,2,FALSE))+AG50*10)*IF(AK50="是",$AZ$4,$AZ$3)</f>
        <v>1856</v>
      </c>
      <c r="E50" s="89">
        <f>SUM($B$4:B50)+SUM($C$4:C50)-SUM($D$4:D50)</f>
        <v>9512</v>
      </c>
      <c r="F50" s="89" cm="1">
        <f t="array" ref="F50">SUM(VLOOKUP(I50:AF50,$AM$4:$AO$44,3,FALSE))</f>
        <v>680</v>
      </c>
      <c r="G50" s="89">
        <f>SUM($F$4:F50)+SUM($H$4:H50)</f>
        <v>30555</v>
      </c>
      <c r="H50" s="88">
        <v>100</v>
      </c>
      <c r="I50" s="88" t="s">
        <v>23</v>
      </c>
      <c r="J50" s="88" t="s">
        <v>23</v>
      </c>
      <c r="K50" s="88" t="s">
        <v>23</v>
      </c>
      <c r="L50" s="88" t="s">
        <v>23</v>
      </c>
      <c r="M50" s="88" t="s">
        <v>23</v>
      </c>
      <c r="N50" s="88" t="s">
        <v>23</v>
      </c>
      <c r="O50" s="92" t="s">
        <v>23</v>
      </c>
      <c r="P50" s="92" t="s">
        <v>23</v>
      </c>
      <c r="Q50" s="194" t="s">
        <v>21</v>
      </c>
      <c r="R50" s="194" t="s">
        <v>21</v>
      </c>
      <c r="S50" s="194" t="s">
        <v>21</v>
      </c>
      <c r="T50" s="194" t="s">
        <v>21</v>
      </c>
      <c r="U50" s="194" t="s">
        <v>21</v>
      </c>
      <c r="V50" s="193" t="s">
        <v>20</v>
      </c>
      <c r="W50" s="92" t="s">
        <v>23</v>
      </c>
      <c r="X50" s="92" t="s">
        <v>23</v>
      </c>
      <c r="Y50" s="193" t="s">
        <v>20</v>
      </c>
      <c r="Z50" s="193" t="s">
        <v>20</v>
      </c>
      <c r="AA50" s="193" t="s">
        <v>20</v>
      </c>
      <c r="AB50" s="193" t="s">
        <v>20</v>
      </c>
      <c r="AC50" s="190" t="s">
        <v>19</v>
      </c>
      <c r="AD50" s="193" t="s">
        <v>20</v>
      </c>
      <c r="AE50" s="92" t="s">
        <v>23</v>
      </c>
      <c r="AF50" s="92" t="s">
        <v>23</v>
      </c>
      <c r="AG50" s="93">
        <f t="shared" si="4"/>
        <v>0</v>
      </c>
      <c r="AH50" s="93"/>
      <c r="AI50" s="93"/>
      <c r="AJ50" s="93"/>
      <c r="AK50" s="94" t="s">
        <v>31</v>
      </c>
      <c r="AL50" s="107"/>
    </row>
    <row r="51" spans="1:38">
      <c r="A51" s="182">
        <v>44867</v>
      </c>
      <c r="B51" s="88">
        <v>1600</v>
      </c>
      <c r="C51" s="88"/>
      <c r="D51" s="89" cm="1">
        <f t="array" ref="D51">(SUM(VLOOKUP(I51:AF51,$AM$4:$AO$44,2,FALSE))+AG51*10)*IF(AK51="是",$AZ$4,$AZ$3)</f>
        <v>1904</v>
      </c>
      <c r="E51" s="89">
        <f>SUM($B$4:B51)+SUM($C$4:C51)-SUM($D$4:D51)</f>
        <v>9208</v>
      </c>
      <c r="F51" s="89" cm="1">
        <f t="array" ref="F51">SUM(VLOOKUP(I51:AF51,$AM$4:$AO$44,3,FALSE))</f>
        <v>1205</v>
      </c>
      <c r="G51" s="89">
        <f>SUM($F$4:F51)+SUM($H$4:H51)</f>
        <v>31960</v>
      </c>
      <c r="H51" s="88">
        <v>200</v>
      </c>
      <c r="I51" s="88" t="s">
        <v>23</v>
      </c>
      <c r="J51" s="88" t="s">
        <v>23</v>
      </c>
      <c r="K51" s="88" t="s">
        <v>23</v>
      </c>
      <c r="L51" s="88" t="s">
        <v>23</v>
      </c>
      <c r="M51" s="88" t="s">
        <v>23</v>
      </c>
      <c r="N51" s="88" t="s">
        <v>23</v>
      </c>
      <c r="O51" s="92" t="s">
        <v>23</v>
      </c>
      <c r="P51" s="92" t="s">
        <v>23</v>
      </c>
      <c r="Q51" s="193" t="s">
        <v>20</v>
      </c>
      <c r="R51" s="194" t="s">
        <v>21</v>
      </c>
      <c r="S51" s="194" t="s">
        <v>21</v>
      </c>
      <c r="T51" s="194" t="s">
        <v>21</v>
      </c>
      <c r="U51" s="194" t="s">
        <v>21</v>
      </c>
      <c r="V51" s="194" t="s">
        <v>21</v>
      </c>
      <c r="W51" s="92" t="s">
        <v>23</v>
      </c>
      <c r="X51" s="92" t="s">
        <v>23</v>
      </c>
      <c r="Y51" s="193" t="s">
        <v>20</v>
      </c>
      <c r="Z51" s="193" t="s">
        <v>20</v>
      </c>
      <c r="AA51" s="193" t="s">
        <v>20</v>
      </c>
      <c r="AB51" s="193" t="s">
        <v>20</v>
      </c>
      <c r="AC51" s="193" t="s">
        <v>20</v>
      </c>
      <c r="AD51" s="193" t="s">
        <v>20</v>
      </c>
      <c r="AE51" s="183" t="s">
        <v>87</v>
      </c>
      <c r="AF51" s="92" t="s">
        <v>23</v>
      </c>
      <c r="AG51" s="93">
        <f t="shared" si="4"/>
        <v>0</v>
      </c>
      <c r="AH51" s="93"/>
      <c r="AI51" s="93"/>
      <c r="AJ51" s="93"/>
      <c r="AK51" s="94" t="s">
        <v>31</v>
      </c>
      <c r="AL51" s="107"/>
    </row>
    <row r="52" spans="1:38">
      <c r="A52" s="182">
        <v>44868</v>
      </c>
      <c r="B52" s="88">
        <v>1600</v>
      </c>
      <c r="C52" s="88"/>
      <c r="D52" s="89" cm="1">
        <f t="array" ref="D52">(SUM(VLOOKUP(I52:AF52,$AM$4:$AO$44,2,FALSE))+AG52*10)*IF(AK52="是",$AZ$4,$AZ$3)</f>
        <v>1840</v>
      </c>
      <c r="E52" s="89">
        <f>SUM($B$4:B52)+SUM($C$4:C52)-SUM($D$4:D52)</f>
        <v>8968</v>
      </c>
      <c r="F52" s="89" cm="1">
        <f t="array" ref="F52">SUM(VLOOKUP(I52:AF52,$AM$4:$AO$44,3,FALSE))</f>
        <v>730</v>
      </c>
      <c r="G52" s="89">
        <f>SUM($F$4:F52)+SUM($H$4:H52)</f>
        <v>32690</v>
      </c>
      <c r="H52" s="88">
        <v>0</v>
      </c>
      <c r="I52" s="88" t="s">
        <v>23</v>
      </c>
      <c r="J52" s="88" t="s">
        <v>23</v>
      </c>
      <c r="K52" s="88" t="s">
        <v>23</v>
      </c>
      <c r="L52" s="88" t="s">
        <v>23</v>
      </c>
      <c r="M52" s="88" t="s">
        <v>23</v>
      </c>
      <c r="N52" s="88" t="s">
        <v>23</v>
      </c>
      <c r="O52" s="92" t="s">
        <v>23</v>
      </c>
      <c r="P52" s="92" t="s">
        <v>23</v>
      </c>
      <c r="Q52" s="194" t="s">
        <v>21</v>
      </c>
      <c r="R52" s="193" t="s">
        <v>20</v>
      </c>
      <c r="S52" s="193" t="s">
        <v>20</v>
      </c>
      <c r="T52" s="193" t="s">
        <v>20</v>
      </c>
      <c r="U52" s="194" t="s">
        <v>21</v>
      </c>
      <c r="V52" s="194" t="s">
        <v>21</v>
      </c>
      <c r="W52" s="92" t="s">
        <v>23</v>
      </c>
      <c r="X52" s="92" t="s">
        <v>23</v>
      </c>
      <c r="Y52" s="193" t="s">
        <v>20</v>
      </c>
      <c r="Z52" s="193" t="s">
        <v>20</v>
      </c>
      <c r="AA52" s="193" t="s">
        <v>20</v>
      </c>
      <c r="AB52" s="186" t="s">
        <v>47</v>
      </c>
      <c r="AC52" s="193" t="s">
        <v>20</v>
      </c>
      <c r="AD52" s="193" t="s">
        <v>20</v>
      </c>
      <c r="AE52" s="193" t="s">
        <v>20</v>
      </c>
      <c r="AF52" s="193" t="s">
        <v>20</v>
      </c>
      <c r="AG52" s="93">
        <f t="shared" si="4"/>
        <v>0</v>
      </c>
      <c r="AH52" s="93"/>
      <c r="AI52" s="93"/>
      <c r="AJ52" s="93"/>
      <c r="AK52" s="94" t="s">
        <v>31</v>
      </c>
      <c r="AL52" s="107"/>
    </row>
    <row r="53" spans="1:38">
      <c r="A53" s="182">
        <v>44869</v>
      </c>
      <c r="B53" s="88">
        <v>1600</v>
      </c>
      <c r="C53" s="88"/>
      <c r="D53" s="89" cm="1">
        <f t="array" ref="D53">(SUM(VLOOKUP(I53:AF53,$AM$4:$AO$44,2,FALSE))+AG53*10)*IF(AK53="是",$AZ$4,$AZ$3)</f>
        <v>1872</v>
      </c>
      <c r="E53" s="89">
        <f>SUM($B$4:B53)+SUM($C$4:C53)-SUM($D$4:D53)</f>
        <v>8696</v>
      </c>
      <c r="F53" s="89" cm="1">
        <f t="array" ref="F53">SUM(VLOOKUP(I53:AF53,$AM$4:$AO$44,3,FALSE))</f>
        <v>750</v>
      </c>
      <c r="G53" s="89">
        <f>SUM($F$4:F53)+SUM($H$4:H53)</f>
        <v>33440</v>
      </c>
      <c r="H53" s="88">
        <v>0</v>
      </c>
      <c r="I53" s="88" t="s">
        <v>23</v>
      </c>
      <c r="J53" s="88" t="s">
        <v>23</v>
      </c>
      <c r="K53" s="88" t="s">
        <v>23</v>
      </c>
      <c r="L53" s="88" t="s">
        <v>23</v>
      </c>
      <c r="M53" s="88" t="s">
        <v>23</v>
      </c>
      <c r="N53" s="88" t="s">
        <v>23</v>
      </c>
      <c r="O53" s="92" t="s">
        <v>23</v>
      </c>
      <c r="P53" s="92" t="s">
        <v>23</v>
      </c>
      <c r="Q53" s="193" t="s">
        <v>20</v>
      </c>
      <c r="R53" s="194" t="s">
        <v>21</v>
      </c>
      <c r="S53" s="194" t="s">
        <v>21</v>
      </c>
      <c r="T53" s="186" t="s">
        <v>47</v>
      </c>
      <c r="U53" s="194" t="s">
        <v>21</v>
      </c>
      <c r="V53" s="194" t="s">
        <v>21</v>
      </c>
      <c r="W53" s="193" t="s">
        <v>20</v>
      </c>
      <c r="X53" s="194" t="s">
        <v>21</v>
      </c>
      <c r="Y53" s="193" t="s">
        <v>20</v>
      </c>
      <c r="Z53" s="193" t="s">
        <v>20</v>
      </c>
      <c r="AA53" s="194" t="s">
        <v>21</v>
      </c>
      <c r="AB53" s="194" t="s">
        <v>21</v>
      </c>
      <c r="AC53" s="193" t="s">
        <v>20</v>
      </c>
      <c r="AD53" s="193" t="s">
        <v>20</v>
      </c>
      <c r="AE53" s="92" t="s">
        <v>23</v>
      </c>
      <c r="AF53" s="92" t="s">
        <v>23</v>
      </c>
      <c r="AG53" s="93">
        <f t="shared" si="4"/>
        <v>0</v>
      </c>
      <c r="AH53" s="93"/>
      <c r="AI53" s="93"/>
      <c r="AJ53" s="93"/>
      <c r="AK53" s="94" t="s">
        <v>31</v>
      </c>
      <c r="AL53" s="107"/>
    </row>
    <row r="54" spans="1:38">
      <c r="A54" s="182">
        <v>44870</v>
      </c>
      <c r="B54" s="88">
        <v>1600</v>
      </c>
      <c r="C54" s="88"/>
      <c r="D54" s="89" cm="1">
        <f t="array" ref="D54">(SUM(VLOOKUP(I54:AF54,$AM$4:$AO$44,2,FALSE))+AG54*10)*IF(AK54="是",$AZ$4,$AZ$3)</f>
        <v>1856</v>
      </c>
      <c r="E54" s="89">
        <f>SUM($B$4:B54)+SUM($C$4:C54)-SUM($D$4:D54)</f>
        <v>8440</v>
      </c>
      <c r="F54" s="89" cm="1">
        <f t="array" ref="F54">SUM(VLOOKUP(I54:AF54,$AM$4:$AO$44,3,FALSE))</f>
        <v>680</v>
      </c>
      <c r="G54" s="89">
        <f>SUM($F$4:F54)+SUM($H$4:H54)</f>
        <v>34120</v>
      </c>
      <c r="H54" s="88">
        <v>0</v>
      </c>
      <c r="I54" s="88" t="s">
        <v>23</v>
      </c>
      <c r="J54" s="88" t="s">
        <v>23</v>
      </c>
      <c r="K54" s="88" t="s">
        <v>23</v>
      </c>
      <c r="L54" s="88" t="s">
        <v>23</v>
      </c>
      <c r="M54" s="88" t="s">
        <v>23</v>
      </c>
      <c r="N54" s="88" t="s">
        <v>23</v>
      </c>
      <c r="O54" s="92" t="s">
        <v>23</v>
      </c>
      <c r="P54" s="92" t="s">
        <v>23</v>
      </c>
      <c r="Q54" s="194" t="s">
        <v>21</v>
      </c>
      <c r="R54" s="194" t="s">
        <v>21</v>
      </c>
      <c r="S54" s="193" t="s">
        <v>20</v>
      </c>
      <c r="T54" s="193" t="s">
        <v>20</v>
      </c>
      <c r="U54" s="193" t="s">
        <v>20</v>
      </c>
      <c r="V54" s="193" t="s">
        <v>20</v>
      </c>
      <c r="W54" s="92" t="s">
        <v>23</v>
      </c>
      <c r="X54" s="92" t="s">
        <v>23</v>
      </c>
      <c r="Y54" s="193" t="s">
        <v>20</v>
      </c>
      <c r="Z54" s="193" t="s">
        <v>20</v>
      </c>
      <c r="AA54" s="193" t="s">
        <v>20</v>
      </c>
      <c r="AB54" s="193" t="s">
        <v>20</v>
      </c>
      <c r="AC54" s="194" t="s">
        <v>21</v>
      </c>
      <c r="AD54" s="194" t="s">
        <v>21</v>
      </c>
      <c r="AE54" s="92" t="s">
        <v>23</v>
      </c>
      <c r="AF54" s="92" t="s">
        <v>23</v>
      </c>
      <c r="AG54" s="93">
        <f t="shared" si="4"/>
        <v>0</v>
      </c>
      <c r="AH54" s="93"/>
      <c r="AI54" s="93"/>
      <c r="AJ54" s="93"/>
      <c r="AK54" s="94" t="s">
        <v>31</v>
      </c>
      <c r="AL54" s="107"/>
    </row>
    <row r="55" spans="1:38">
      <c r="A55" s="182">
        <v>44871</v>
      </c>
      <c r="B55" s="88">
        <v>1600</v>
      </c>
      <c r="C55" s="88"/>
      <c r="D55" s="89" cm="1">
        <f t="array" ref="D55">(SUM(VLOOKUP(I55:AF55,$AM$4:$AO$44,2,FALSE))+AG55*10)*IF(AK55="是",$AZ$4,$AZ$3)</f>
        <v>1872</v>
      </c>
      <c r="E55" s="89">
        <f>SUM($B$4:B55)+SUM($C$4:C55)-SUM($D$4:D55)</f>
        <v>8168</v>
      </c>
      <c r="F55" s="89" cm="1">
        <f t="array" ref="F55">SUM(VLOOKUP(I55:AF55,$AM$4:$AO$44,3,FALSE))</f>
        <v>690</v>
      </c>
      <c r="G55" s="89">
        <f>SUM($F$4:F55)+SUM($H$4:H55)</f>
        <v>34810</v>
      </c>
      <c r="H55" s="88">
        <v>0</v>
      </c>
      <c r="I55" s="88" t="s">
        <v>23</v>
      </c>
      <c r="J55" s="88" t="s">
        <v>23</v>
      </c>
      <c r="K55" s="88" t="s">
        <v>23</v>
      </c>
      <c r="L55" s="88" t="s">
        <v>23</v>
      </c>
      <c r="M55" s="88" t="s">
        <v>23</v>
      </c>
      <c r="N55" s="88" t="s">
        <v>23</v>
      </c>
      <c r="O55" s="92" t="s">
        <v>23</v>
      </c>
      <c r="P55" s="92" t="s">
        <v>23</v>
      </c>
      <c r="Q55" s="193" t="s">
        <v>20</v>
      </c>
      <c r="R55" s="194" t="s">
        <v>21</v>
      </c>
      <c r="S55" s="194" t="s">
        <v>21</v>
      </c>
      <c r="T55" s="194" t="s">
        <v>21</v>
      </c>
      <c r="U55" s="194" t="s">
        <v>21</v>
      </c>
      <c r="V55" s="194" t="s">
        <v>21</v>
      </c>
      <c r="W55" s="92" t="s">
        <v>23</v>
      </c>
      <c r="X55" s="92" t="s">
        <v>23</v>
      </c>
      <c r="Y55" s="194" t="s">
        <v>21</v>
      </c>
      <c r="Z55" s="193" t="s">
        <v>20</v>
      </c>
      <c r="AA55" s="193" t="s">
        <v>20</v>
      </c>
      <c r="AB55" s="193" t="s">
        <v>20</v>
      </c>
      <c r="AC55" s="193" t="s">
        <v>20</v>
      </c>
      <c r="AD55" s="193" t="s">
        <v>20</v>
      </c>
      <c r="AE55" s="92" t="s">
        <v>23</v>
      </c>
      <c r="AF55" s="92" t="s">
        <v>23</v>
      </c>
      <c r="AG55" s="93">
        <f t="shared" si="4"/>
        <v>0</v>
      </c>
      <c r="AH55" s="93"/>
      <c r="AI55" s="93"/>
      <c r="AJ55" s="93"/>
      <c r="AK55" s="94" t="s">
        <v>31</v>
      </c>
      <c r="AL55" s="107"/>
    </row>
    <row r="56" spans="1:38">
      <c r="A56" s="182">
        <v>44872</v>
      </c>
      <c r="B56" s="89">
        <v>1600</v>
      </c>
      <c r="C56" s="89"/>
      <c r="D56" s="89" cm="1">
        <f t="array" ref="D56">(SUM(VLOOKUP(I56:AF56,$AM$4:$AO$44,2,FALSE))+AG56*10)*IF(AK56="是",$AZ$4,$AZ$3)</f>
        <v>1776</v>
      </c>
      <c r="E56" s="89">
        <f>SUM($B$4:B56)+SUM($C$4:C56)-SUM($D$4:D56)</f>
        <v>7992</v>
      </c>
      <c r="F56" s="89" cm="1">
        <f t="array" ref="F56">SUM(VLOOKUP(I56:AF56,$AM$4:$AO$44,3,FALSE))</f>
        <v>675</v>
      </c>
      <c r="G56" s="89">
        <f>SUM($F$4:F56)+SUM($H$4:H56)</f>
        <v>35785</v>
      </c>
      <c r="H56" s="89">
        <v>300</v>
      </c>
      <c r="I56" s="88" t="s">
        <v>23</v>
      </c>
      <c r="J56" s="88" t="s">
        <v>23</v>
      </c>
      <c r="K56" s="88" t="s">
        <v>23</v>
      </c>
      <c r="L56" s="88" t="s">
        <v>23</v>
      </c>
      <c r="M56" s="88" t="s">
        <v>23</v>
      </c>
      <c r="N56" s="88" t="s">
        <v>23</v>
      </c>
      <c r="O56" s="92" t="s">
        <v>23</v>
      </c>
      <c r="P56" s="92" t="s">
        <v>23</v>
      </c>
      <c r="Q56" s="194" t="s">
        <v>21</v>
      </c>
      <c r="R56" s="194" t="s">
        <v>21</v>
      </c>
      <c r="S56" s="194" t="s">
        <v>21</v>
      </c>
      <c r="T56" s="194" t="s">
        <v>21</v>
      </c>
      <c r="U56" s="194" t="s">
        <v>21</v>
      </c>
      <c r="V56" s="194" t="s">
        <v>21</v>
      </c>
      <c r="W56" s="92" t="s">
        <v>23</v>
      </c>
      <c r="X56" s="92" t="s">
        <v>23</v>
      </c>
      <c r="Y56" s="194" t="s">
        <v>21</v>
      </c>
      <c r="Z56" s="194" t="s">
        <v>21</v>
      </c>
      <c r="AA56" s="193" t="s">
        <v>20</v>
      </c>
      <c r="AB56" s="193" t="s">
        <v>20</v>
      </c>
      <c r="AC56" s="193" t="s">
        <v>20</v>
      </c>
      <c r="AD56" s="185" t="s">
        <v>12</v>
      </c>
      <c r="AE56" s="92" t="s">
        <v>23</v>
      </c>
      <c r="AF56" s="92" t="s">
        <v>23</v>
      </c>
      <c r="AG56" s="93">
        <f t="shared" si="4"/>
        <v>0</v>
      </c>
      <c r="AH56" s="93"/>
      <c r="AI56" s="93"/>
      <c r="AJ56" s="93"/>
      <c r="AK56" s="94" t="s">
        <v>31</v>
      </c>
      <c r="AL56" s="107"/>
    </row>
    <row r="57" spans="1:38">
      <c r="A57" s="182">
        <v>44873</v>
      </c>
      <c r="B57" s="89">
        <v>1600</v>
      </c>
      <c r="C57" s="89"/>
      <c r="D57" s="89" cm="1">
        <f t="array" ref="D57">(SUM(VLOOKUP(I57:AF57,$AM$4:$AO$44,2,FALSE))+AG57*10)*IF(AK57="是",$AZ$4,$AZ$3)</f>
        <v>1872</v>
      </c>
      <c r="E57" s="89">
        <f>SUM($B$4:B57)+SUM($C$4:C57)-SUM($D$4:D57)</f>
        <v>7720</v>
      </c>
      <c r="F57" s="89" cm="1">
        <f t="array" ref="F57">SUM(VLOOKUP(I57:AF57,$AM$4:$AO$44,3,FALSE))</f>
        <v>690</v>
      </c>
      <c r="G57" s="89">
        <f>SUM($F$4:F57)+SUM($H$4:H57)</f>
        <v>36475</v>
      </c>
      <c r="H57" s="89">
        <v>0</v>
      </c>
      <c r="I57" s="88" t="s">
        <v>23</v>
      </c>
      <c r="J57" s="88" t="s">
        <v>23</v>
      </c>
      <c r="K57" s="88" t="s">
        <v>23</v>
      </c>
      <c r="L57" s="88" t="s">
        <v>23</v>
      </c>
      <c r="M57" s="88" t="s">
        <v>23</v>
      </c>
      <c r="N57" s="88" t="s">
        <v>23</v>
      </c>
      <c r="O57" s="92" t="s">
        <v>23</v>
      </c>
      <c r="P57" s="92" t="s">
        <v>23</v>
      </c>
      <c r="Q57" s="194" t="s">
        <v>21</v>
      </c>
      <c r="R57" s="194" t="s">
        <v>21</v>
      </c>
      <c r="S57" s="194" t="s">
        <v>21</v>
      </c>
      <c r="T57" s="194" t="s">
        <v>21</v>
      </c>
      <c r="U57" s="194" t="s">
        <v>21</v>
      </c>
      <c r="V57" s="194" t="s">
        <v>21</v>
      </c>
      <c r="W57" s="92" t="s">
        <v>23</v>
      </c>
      <c r="X57" s="92" t="s">
        <v>23</v>
      </c>
      <c r="Y57" s="193" t="s">
        <v>20</v>
      </c>
      <c r="Z57" s="193" t="s">
        <v>20</v>
      </c>
      <c r="AA57" s="193" t="s">
        <v>20</v>
      </c>
      <c r="AB57" s="193" t="s">
        <v>20</v>
      </c>
      <c r="AC57" s="193" t="s">
        <v>20</v>
      </c>
      <c r="AD57" s="193" t="s">
        <v>20</v>
      </c>
      <c r="AE57" s="92" t="s">
        <v>23</v>
      </c>
      <c r="AF57" s="92" t="s">
        <v>23</v>
      </c>
      <c r="AG57" s="93">
        <f t="shared" si="4"/>
        <v>0</v>
      </c>
      <c r="AH57" s="93"/>
      <c r="AI57" s="93"/>
      <c r="AJ57" s="93"/>
      <c r="AK57" s="94" t="s">
        <v>31</v>
      </c>
      <c r="AL57" s="107"/>
    </row>
    <row r="58" spans="1:38">
      <c r="A58" s="182">
        <v>44874</v>
      </c>
      <c r="B58" s="89">
        <v>1600</v>
      </c>
      <c r="C58" s="89"/>
      <c r="D58" s="89" cm="1">
        <f t="array" ref="D58">(SUM(VLOOKUP(I58:AF58,$AM$4:$AO$44,2,FALSE))+AG58*10)*IF(AK58="是",$AZ$4,$AZ$3)</f>
        <v>1872</v>
      </c>
      <c r="E58" s="89">
        <f>SUM($B$4:B58)+SUM($C$4:C58)-SUM($D$4:D58)</f>
        <v>7448</v>
      </c>
      <c r="F58" s="89" cm="1">
        <f t="array" ref="F58">SUM(VLOOKUP(I58:AF58,$AM$4:$AO$44,3,FALSE))</f>
        <v>750</v>
      </c>
      <c r="G58" s="89">
        <f>SUM($F$4:F58)+SUM($H$4:H58)</f>
        <v>37425</v>
      </c>
      <c r="H58" s="89">
        <v>200</v>
      </c>
      <c r="I58" s="88" t="s">
        <v>23</v>
      </c>
      <c r="J58" s="88" t="s">
        <v>23</v>
      </c>
      <c r="K58" s="88" t="s">
        <v>23</v>
      </c>
      <c r="L58" s="88" t="s">
        <v>23</v>
      </c>
      <c r="M58" s="88" t="s">
        <v>23</v>
      </c>
      <c r="N58" s="88" t="s">
        <v>23</v>
      </c>
      <c r="O58" s="92" t="s">
        <v>23</v>
      </c>
      <c r="P58" s="92" t="s">
        <v>23</v>
      </c>
      <c r="Q58" s="194" t="s">
        <v>21</v>
      </c>
      <c r="R58" s="194" t="s">
        <v>21</v>
      </c>
      <c r="S58" s="194" t="s">
        <v>21</v>
      </c>
      <c r="T58" s="186" t="s">
        <v>47</v>
      </c>
      <c r="U58" s="194" t="s">
        <v>21</v>
      </c>
      <c r="V58" s="194" t="s">
        <v>21</v>
      </c>
      <c r="W58" s="194" t="s">
        <v>21</v>
      </c>
      <c r="X58" s="194" t="s">
        <v>21</v>
      </c>
      <c r="Y58" s="193" t="s">
        <v>20</v>
      </c>
      <c r="Z58" s="193" t="s">
        <v>20</v>
      </c>
      <c r="AA58" s="193" t="s">
        <v>20</v>
      </c>
      <c r="AB58" s="193" t="s">
        <v>20</v>
      </c>
      <c r="AC58" s="193" t="s">
        <v>20</v>
      </c>
      <c r="AD58" s="193" t="s">
        <v>20</v>
      </c>
      <c r="AE58" s="92" t="s">
        <v>23</v>
      </c>
      <c r="AF58" s="92" t="s">
        <v>23</v>
      </c>
      <c r="AG58" s="93">
        <f t="shared" si="4"/>
        <v>0</v>
      </c>
      <c r="AH58" s="93"/>
      <c r="AI58" s="93"/>
      <c r="AJ58" s="93"/>
      <c r="AK58" s="94" t="s">
        <v>31</v>
      </c>
      <c r="AL58" s="107"/>
    </row>
    <row r="59" spans="1:38">
      <c r="A59" s="182">
        <v>44875</v>
      </c>
      <c r="B59" s="89">
        <v>1600</v>
      </c>
      <c r="C59" s="89"/>
      <c r="D59" s="89" cm="1">
        <f t="array" ref="D59">(SUM(VLOOKUP(I59:AF59,$AM$4:$AO$44,2,FALSE))+AG59*10)*IF(AK59="是",$AZ$4,$AZ$3)</f>
        <v>1872</v>
      </c>
      <c r="E59" s="89">
        <f>SUM($B$4:B59)+SUM($C$4:C59)-SUM($D$4:D59)</f>
        <v>7176</v>
      </c>
      <c r="F59" s="89" cm="1">
        <f t="array" ref="F59">SUM(VLOOKUP(I59:AF59,$AM$4:$AO$44,3,FALSE))</f>
        <v>690</v>
      </c>
      <c r="G59" s="89">
        <f>SUM($F$4:F59)+SUM($H$4:H59)</f>
        <v>38115</v>
      </c>
      <c r="H59" s="89">
        <v>0</v>
      </c>
      <c r="I59" s="88" t="s">
        <v>23</v>
      </c>
      <c r="J59" s="88" t="s">
        <v>23</v>
      </c>
      <c r="K59" s="88" t="s">
        <v>23</v>
      </c>
      <c r="L59" s="88" t="s">
        <v>23</v>
      </c>
      <c r="M59" s="88" t="s">
        <v>23</v>
      </c>
      <c r="N59" s="88" t="s">
        <v>23</v>
      </c>
      <c r="O59" s="92" t="s">
        <v>23</v>
      </c>
      <c r="P59" s="92" t="s">
        <v>23</v>
      </c>
      <c r="Q59" s="194" t="s">
        <v>21</v>
      </c>
      <c r="R59" s="194" t="s">
        <v>21</v>
      </c>
      <c r="S59" s="194" t="s">
        <v>21</v>
      </c>
      <c r="T59" s="194" t="s">
        <v>21</v>
      </c>
      <c r="U59" s="194" t="s">
        <v>21</v>
      </c>
      <c r="V59" s="194" t="s">
        <v>21</v>
      </c>
      <c r="W59" s="92" t="s">
        <v>23</v>
      </c>
      <c r="X59" s="92" t="s">
        <v>23</v>
      </c>
      <c r="Y59" s="193" t="s">
        <v>20</v>
      </c>
      <c r="Z59" s="193" t="s">
        <v>20</v>
      </c>
      <c r="AA59" s="193" t="s">
        <v>20</v>
      </c>
      <c r="AB59" s="193" t="s">
        <v>20</v>
      </c>
      <c r="AC59" s="193" t="s">
        <v>20</v>
      </c>
      <c r="AD59" s="193" t="s">
        <v>20</v>
      </c>
      <c r="AE59" s="92" t="s">
        <v>23</v>
      </c>
      <c r="AF59" s="92" t="s">
        <v>23</v>
      </c>
      <c r="AG59" s="93">
        <f t="shared" si="4"/>
        <v>0</v>
      </c>
      <c r="AH59" s="93"/>
      <c r="AI59" s="93"/>
      <c r="AJ59" s="93"/>
      <c r="AK59" s="94" t="s">
        <v>31</v>
      </c>
      <c r="AL59" s="107"/>
    </row>
    <row r="60" spans="1:38">
      <c r="A60" s="182">
        <v>44876</v>
      </c>
      <c r="B60" s="89">
        <v>1600</v>
      </c>
      <c r="C60" s="89"/>
      <c r="D60" s="89" cm="1">
        <f t="array" ref="D60">(SUM(VLOOKUP(I60:AF60,$AM$4:$AO$44,2,FALSE))+AG60*10)*IF(AK60="是",$AZ$4,$AZ$3)</f>
        <v>1864</v>
      </c>
      <c r="E60" s="89">
        <f>SUM($B$4:B60)+SUM($C$4:C60)-SUM($D$4:D60)</f>
        <v>6912</v>
      </c>
      <c r="F60" s="89" cm="1">
        <f t="array" ref="F60">SUM(VLOOKUP(I60:AF60,$AM$4:$AO$44,3,FALSE))</f>
        <v>745</v>
      </c>
      <c r="G60" s="89">
        <f>SUM($F$4:F60)+SUM($H$4:H60)</f>
        <v>38860</v>
      </c>
      <c r="H60" s="89">
        <v>0</v>
      </c>
      <c r="I60" s="88" t="s">
        <v>23</v>
      </c>
      <c r="J60" s="88" t="s">
        <v>23</v>
      </c>
      <c r="K60" s="88" t="s">
        <v>23</v>
      </c>
      <c r="L60" s="88" t="s">
        <v>23</v>
      </c>
      <c r="M60" s="88" t="s">
        <v>23</v>
      </c>
      <c r="N60" s="88" t="s">
        <v>23</v>
      </c>
      <c r="O60" s="92" t="s">
        <v>23</v>
      </c>
      <c r="P60" s="92" t="s">
        <v>23</v>
      </c>
      <c r="Q60" s="194" t="s">
        <v>21</v>
      </c>
      <c r="R60" s="194" t="s">
        <v>21</v>
      </c>
      <c r="S60" s="194" t="s">
        <v>21</v>
      </c>
      <c r="T60" s="194" t="s">
        <v>21</v>
      </c>
      <c r="U60" s="194" t="s">
        <v>21</v>
      </c>
      <c r="V60" s="194" t="s">
        <v>21</v>
      </c>
      <c r="W60" s="92" t="s">
        <v>23</v>
      </c>
      <c r="X60" s="92" t="s">
        <v>23</v>
      </c>
      <c r="Y60" s="193" t="s">
        <v>20</v>
      </c>
      <c r="Z60" s="186" t="s">
        <v>47</v>
      </c>
      <c r="AA60" s="193" t="s">
        <v>20</v>
      </c>
      <c r="AB60" s="193" t="s">
        <v>20</v>
      </c>
      <c r="AC60" s="193" t="s">
        <v>20</v>
      </c>
      <c r="AD60" s="193" t="s">
        <v>20</v>
      </c>
      <c r="AE60" s="193" t="s">
        <v>20</v>
      </c>
      <c r="AF60" s="193" t="s">
        <v>20</v>
      </c>
      <c r="AG60" s="93">
        <f t="shared" si="4"/>
        <v>0</v>
      </c>
      <c r="AH60" s="93"/>
      <c r="AI60" s="93"/>
      <c r="AJ60" s="93"/>
      <c r="AK60" s="94" t="s">
        <v>31</v>
      </c>
      <c r="AL60" s="107"/>
    </row>
    <row r="61" spans="1:38">
      <c r="A61" s="182">
        <v>44877</v>
      </c>
      <c r="B61" s="89">
        <v>1600</v>
      </c>
      <c r="C61" s="89"/>
      <c r="D61" s="89" cm="1">
        <f t="array" ref="D61">(SUM(VLOOKUP(I61:AF61,$AM$4:$AO$44,2,FALSE))+AG61*10)*IF(AK61="是",$AZ$4,$AZ$3)</f>
        <v>1872</v>
      </c>
      <c r="E61" s="89">
        <f>SUM($B$4:B61)+SUM($C$4:C61)-SUM($D$4:D61)</f>
        <v>6640</v>
      </c>
      <c r="F61" s="89" cm="1">
        <f t="array" ref="F61">SUM(VLOOKUP(I61:AF61,$AM$4:$AO$44,3,FALSE))</f>
        <v>690</v>
      </c>
      <c r="G61" s="89">
        <f>SUM($F$4:F61)+SUM($H$4:H61)</f>
        <v>39550</v>
      </c>
      <c r="H61" s="89">
        <v>0</v>
      </c>
      <c r="I61" s="88" t="s">
        <v>23</v>
      </c>
      <c r="J61" s="88" t="s">
        <v>23</v>
      </c>
      <c r="K61" s="88" t="s">
        <v>23</v>
      </c>
      <c r="L61" s="88" t="s">
        <v>23</v>
      </c>
      <c r="M61" s="88" t="s">
        <v>23</v>
      </c>
      <c r="N61" s="88" t="s">
        <v>23</v>
      </c>
      <c r="O61" s="92" t="s">
        <v>23</v>
      </c>
      <c r="P61" s="92" t="s">
        <v>23</v>
      </c>
      <c r="Q61" s="194" t="s">
        <v>21</v>
      </c>
      <c r="R61" s="194" t="s">
        <v>21</v>
      </c>
      <c r="S61" s="194" t="s">
        <v>21</v>
      </c>
      <c r="T61" s="194" t="s">
        <v>21</v>
      </c>
      <c r="U61" s="194" t="s">
        <v>21</v>
      </c>
      <c r="V61" s="194" t="s">
        <v>21</v>
      </c>
      <c r="W61" s="92" t="s">
        <v>23</v>
      </c>
      <c r="X61" s="92" t="s">
        <v>23</v>
      </c>
      <c r="Y61" s="193" t="s">
        <v>20</v>
      </c>
      <c r="Z61" s="193" t="s">
        <v>20</v>
      </c>
      <c r="AA61" s="193" t="s">
        <v>20</v>
      </c>
      <c r="AB61" s="193" t="s">
        <v>20</v>
      </c>
      <c r="AC61" s="193" t="s">
        <v>20</v>
      </c>
      <c r="AD61" s="193" t="s">
        <v>20</v>
      </c>
      <c r="AE61" s="92" t="s">
        <v>23</v>
      </c>
      <c r="AF61" s="92" t="s">
        <v>23</v>
      </c>
      <c r="AG61" s="93">
        <f t="shared" si="4"/>
        <v>0</v>
      </c>
      <c r="AH61" s="93"/>
      <c r="AI61" s="93"/>
      <c r="AJ61" s="93"/>
      <c r="AK61" s="94" t="s">
        <v>31</v>
      </c>
      <c r="AL61" s="107"/>
    </row>
    <row r="62" spans="1:38">
      <c r="A62" s="182">
        <v>44878</v>
      </c>
      <c r="B62" s="89">
        <v>1600</v>
      </c>
      <c r="C62" s="89"/>
      <c r="D62" s="89" cm="1">
        <f t="array" ref="D62">(SUM(VLOOKUP(I62:AF62,$AM$4:$AO$44,2,FALSE))+AG62*10)*IF(AK62="是",$AZ$4,$AZ$3)</f>
        <v>1880</v>
      </c>
      <c r="E62" s="89">
        <f>SUM($B$4:B62)+SUM($C$4:C62)-SUM($D$4:D62)</f>
        <v>6360</v>
      </c>
      <c r="F62" s="89" cm="1">
        <f t="array" ref="F62">SUM(VLOOKUP(I62:AF62,$AM$4:$AO$44,3,FALSE))</f>
        <v>720</v>
      </c>
      <c r="G62" s="89">
        <f>SUM($F$4:F62)+SUM($H$4:H62)</f>
        <v>40270</v>
      </c>
      <c r="H62" s="89">
        <v>0</v>
      </c>
      <c r="I62" s="88" t="s">
        <v>23</v>
      </c>
      <c r="J62" s="88" t="s">
        <v>23</v>
      </c>
      <c r="K62" s="88" t="s">
        <v>23</v>
      </c>
      <c r="L62" s="88" t="s">
        <v>23</v>
      </c>
      <c r="M62" s="88" t="s">
        <v>23</v>
      </c>
      <c r="N62" s="88" t="s">
        <v>23</v>
      </c>
      <c r="O62" s="92" t="s">
        <v>23</v>
      </c>
      <c r="P62" s="92" t="s">
        <v>23</v>
      </c>
      <c r="Q62" s="194" t="s">
        <v>21</v>
      </c>
      <c r="R62" s="194" t="s">
        <v>21</v>
      </c>
      <c r="S62" s="194" t="s">
        <v>21</v>
      </c>
      <c r="T62" s="194" t="s">
        <v>21</v>
      </c>
      <c r="U62" s="194" t="s">
        <v>21</v>
      </c>
      <c r="V62" s="194" t="s">
        <v>21</v>
      </c>
      <c r="W62" s="92" t="s">
        <v>23</v>
      </c>
      <c r="X62" s="92" t="s">
        <v>23</v>
      </c>
      <c r="Y62" s="194" t="s">
        <v>21</v>
      </c>
      <c r="Z62" s="194" t="s">
        <v>21</v>
      </c>
      <c r="AA62" s="194" t="s">
        <v>21</v>
      </c>
      <c r="AB62" s="194" t="s">
        <v>21</v>
      </c>
      <c r="AC62" s="194" t="s">
        <v>21</v>
      </c>
      <c r="AD62" s="207" t="s">
        <v>10</v>
      </c>
      <c r="AE62" s="92" t="s">
        <v>23</v>
      </c>
      <c r="AF62" s="92" t="s">
        <v>23</v>
      </c>
      <c r="AG62" s="93">
        <f t="shared" si="4"/>
        <v>0</v>
      </c>
      <c r="AH62" s="93"/>
      <c r="AI62" s="93"/>
      <c r="AJ62" s="93"/>
      <c r="AK62" s="94" t="s">
        <v>31</v>
      </c>
      <c r="AL62" s="107"/>
    </row>
    <row r="63" spans="1:38">
      <c r="A63" s="182">
        <v>44879</v>
      </c>
      <c r="B63" s="88">
        <v>1600</v>
      </c>
      <c r="C63" s="88"/>
      <c r="D63" s="89" cm="1">
        <f t="array" ref="D63">(SUM(VLOOKUP(I63:AF63,$AM$4:$AO$44,2,FALSE))+AG63*10)*IF(AK63="是",$AZ$4,$AZ$3)</f>
        <v>1880</v>
      </c>
      <c r="E63" s="89">
        <f>SUM($B$4:B63)+SUM($C$4:C63)-SUM($D$4:D63)</f>
        <v>6080</v>
      </c>
      <c r="F63" s="89" cm="1">
        <f t="array" ref="F63">SUM(VLOOKUP(I63:AF63,$AM$4:$AO$44,3,FALSE))</f>
        <v>695</v>
      </c>
      <c r="G63" s="89">
        <f>SUM($F$4:F63)+SUM($H$4:H63)</f>
        <v>41265</v>
      </c>
      <c r="H63" s="88">
        <v>300</v>
      </c>
      <c r="I63" s="88" t="s">
        <v>23</v>
      </c>
      <c r="J63" s="88" t="s">
        <v>23</v>
      </c>
      <c r="K63" s="88" t="s">
        <v>23</v>
      </c>
      <c r="L63" s="88" t="s">
        <v>23</v>
      </c>
      <c r="M63" s="88" t="s">
        <v>23</v>
      </c>
      <c r="N63" s="88" t="s">
        <v>23</v>
      </c>
      <c r="O63" s="92" t="s">
        <v>23</v>
      </c>
      <c r="P63" s="92" t="s">
        <v>23</v>
      </c>
      <c r="Q63" s="194" t="s">
        <v>21</v>
      </c>
      <c r="R63" s="194" t="s">
        <v>21</v>
      </c>
      <c r="S63" s="194" t="s">
        <v>21</v>
      </c>
      <c r="T63" s="194" t="s">
        <v>21</v>
      </c>
      <c r="U63" s="194" t="s">
        <v>21</v>
      </c>
      <c r="V63" s="194" t="s">
        <v>21</v>
      </c>
      <c r="W63" s="92" t="s">
        <v>23</v>
      </c>
      <c r="X63" s="92" t="s">
        <v>23</v>
      </c>
      <c r="Y63" s="194" t="s">
        <v>21</v>
      </c>
      <c r="Z63" s="193" t="s">
        <v>20</v>
      </c>
      <c r="AA63" s="193" t="s">
        <v>20</v>
      </c>
      <c r="AB63" s="193" t="s">
        <v>20</v>
      </c>
      <c r="AC63" s="193" t="s">
        <v>20</v>
      </c>
      <c r="AD63" s="193" t="s">
        <v>20</v>
      </c>
      <c r="AE63" s="92" t="s">
        <v>23</v>
      </c>
      <c r="AF63" s="92" t="s">
        <v>23</v>
      </c>
      <c r="AG63" s="93">
        <f t="shared" si="4"/>
        <v>0</v>
      </c>
      <c r="AH63" s="93"/>
      <c r="AI63" s="93"/>
      <c r="AJ63" s="93"/>
      <c r="AK63" s="94" t="s">
        <v>31</v>
      </c>
      <c r="AL63" s="107"/>
    </row>
    <row r="64" spans="1:38">
      <c r="A64" s="182">
        <v>44880</v>
      </c>
      <c r="B64" s="88">
        <v>1600</v>
      </c>
      <c r="C64" s="88"/>
      <c r="D64" s="89" cm="1">
        <f t="array" ref="D64">(SUM(VLOOKUP(I64:AF64,$AM$4:$AO$44,2,FALSE))+AG64*10)*IF(AK64="是",$AZ$4,$AZ$3)</f>
        <v>1872</v>
      </c>
      <c r="E64" s="89">
        <f>SUM($B$4:B64)+SUM($C$4:C64)-SUM($D$4:D64)</f>
        <v>5808</v>
      </c>
      <c r="F64" s="89" cm="1">
        <f t="array" ref="F64">SUM(VLOOKUP(I64:AF64,$AM$4:$AO$44,3,FALSE))</f>
        <v>690</v>
      </c>
      <c r="G64" s="89">
        <f>SUM($F$4:F64)+SUM($H$4:H64)</f>
        <v>41955</v>
      </c>
      <c r="H64" s="88">
        <v>0</v>
      </c>
      <c r="I64" s="88" t="s">
        <v>23</v>
      </c>
      <c r="J64" s="88" t="s">
        <v>23</v>
      </c>
      <c r="K64" s="88" t="s">
        <v>23</v>
      </c>
      <c r="L64" s="88" t="s">
        <v>23</v>
      </c>
      <c r="M64" s="88" t="s">
        <v>23</v>
      </c>
      <c r="N64" s="88" t="s">
        <v>23</v>
      </c>
      <c r="O64" s="92" t="s">
        <v>23</v>
      </c>
      <c r="P64" s="92" t="s">
        <v>23</v>
      </c>
      <c r="Q64" s="194" t="s">
        <v>21</v>
      </c>
      <c r="R64" s="194" t="s">
        <v>21</v>
      </c>
      <c r="S64" s="194" t="s">
        <v>21</v>
      </c>
      <c r="T64" s="194" t="s">
        <v>21</v>
      </c>
      <c r="U64" s="194" t="s">
        <v>21</v>
      </c>
      <c r="V64" s="194" t="s">
        <v>21</v>
      </c>
      <c r="W64" s="92" t="s">
        <v>23</v>
      </c>
      <c r="X64" s="92" t="s">
        <v>23</v>
      </c>
      <c r="Y64" s="193" t="s">
        <v>20</v>
      </c>
      <c r="Z64" s="193" t="s">
        <v>20</v>
      </c>
      <c r="AA64" s="193" t="s">
        <v>20</v>
      </c>
      <c r="AB64" s="193" t="s">
        <v>20</v>
      </c>
      <c r="AC64" s="193" t="s">
        <v>20</v>
      </c>
      <c r="AD64" s="193" t="s">
        <v>20</v>
      </c>
      <c r="AE64" s="92" t="s">
        <v>23</v>
      </c>
      <c r="AF64" s="92" t="s">
        <v>23</v>
      </c>
      <c r="AG64" s="93">
        <f t="shared" si="4"/>
        <v>0</v>
      </c>
      <c r="AH64" s="93"/>
      <c r="AI64" s="93"/>
      <c r="AJ64" s="93"/>
      <c r="AK64" s="94" t="s">
        <v>31</v>
      </c>
      <c r="AL64" s="107"/>
    </row>
    <row r="65" spans="1:38">
      <c r="A65" s="182">
        <v>44881</v>
      </c>
      <c r="B65" s="88">
        <v>1600</v>
      </c>
      <c r="C65" s="88"/>
      <c r="D65" s="89" cm="1">
        <f t="array" ref="D65">(SUM(VLOOKUP(I65:AF65,$AM$4:$AO$44,2,FALSE))+AG65*10)*IF(AK65="是",$AZ$4,$AZ$3)</f>
        <v>1872</v>
      </c>
      <c r="E65" s="89">
        <f>SUM($B$4:B65)+SUM($C$4:C65)-SUM($D$4:D65)</f>
        <v>5536</v>
      </c>
      <c r="F65" s="89" cm="1">
        <f t="array" ref="F65">SUM(VLOOKUP(I65:AF65,$AM$4:$AO$44,3,FALSE))</f>
        <v>690</v>
      </c>
      <c r="G65" s="89">
        <f>SUM($F$4:F65)+SUM($H$4:H65)</f>
        <v>42845</v>
      </c>
      <c r="H65" s="88">
        <v>200</v>
      </c>
      <c r="I65" s="88" t="s">
        <v>23</v>
      </c>
      <c r="J65" s="88" t="s">
        <v>23</v>
      </c>
      <c r="K65" s="88" t="s">
        <v>23</v>
      </c>
      <c r="L65" s="88" t="s">
        <v>23</v>
      </c>
      <c r="M65" s="88" t="s">
        <v>23</v>
      </c>
      <c r="N65" s="88" t="s">
        <v>23</v>
      </c>
      <c r="O65" s="92" t="s">
        <v>23</v>
      </c>
      <c r="P65" s="92" t="s">
        <v>23</v>
      </c>
      <c r="Q65" s="194" t="s">
        <v>21</v>
      </c>
      <c r="R65" s="194" t="s">
        <v>21</v>
      </c>
      <c r="S65" s="194" t="s">
        <v>21</v>
      </c>
      <c r="T65" s="194" t="s">
        <v>21</v>
      </c>
      <c r="U65" s="194" t="s">
        <v>21</v>
      </c>
      <c r="V65" s="194" t="s">
        <v>21</v>
      </c>
      <c r="W65" s="92" t="s">
        <v>23</v>
      </c>
      <c r="X65" s="92" t="s">
        <v>23</v>
      </c>
      <c r="Y65" s="193" t="s">
        <v>20</v>
      </c>
      <c r="Z65" s="193" t="s">
        <v>20</v>
      </c>
      <c r="AA65" s="193" t="s">
        <v>20</v>
      </c>
      <c r="AB65" s="193" t="s">
        <v>20</v>
      </c>
      <c r="AC65" s="193" t="s">
        <v>20</v>
      </c>
      <c r="AD65" s="193" t="s">
        <v>20</v>
      </c>
      <c r="AE65" s="92" t="s">
        <v>23</v>
      </c>
      <c r="AF65" s="92" t="s">
        <v>23</v>
      </c>
      <c r="AG65" s="93">
        <f t="shared" si="4"/>
        <v>0</v>
      </c>
      <c r="AH65" s="93"/>
      <c r="AI65" s="93"/>
      <c r="AJ65" s="93"/>
      <c r="AK65" s="94" t="s">
        <v>31</v>
      </c>
      <c r="AL65" s="107"/>
    </row>
    <row r="66" spans="1:38">
      <c r="A66" s="182">
        <v>44882</v>
      </c>
      <c r="B66" s="88">
        <v>1600</v>
      </c>
      <c r="C66" s="88"/>
      <c r="D66" s="89" cm="1">
        <f t="array" ref="D66">(SUM(VLOOKUP(I66:AF66,$AM$4:$AO$44,2,FALSE))+AG66*10)*IF(AK66="是",$AZ$4,$AZ$3)</f>
        <v>1760</v>
      </c>
      <c r="E66" s="89">
        <f>SUM($B$4:B66)+SUM($C$4:C66)-SUM($D$4:D66)</f>
        <v>5376</v>
      </c>
      <c r="F66" s="89" cm="1">
        <f t="array" ref="F66">SUM(VLOOKUP(I66:AF66,$AM$4:$AO$44,3,FALSE))</f>
        <v>665</v>
      </c>
      <c r="G66" s="89">
        <f>SUM($F$4:F66)+SUM($H$4:H66)</f>
        <v>43510</v>
      </c>
      <c r="H66" s="88">
        <v>0</v>
      </c>
      <c r="I66" s="88" t="s">
        <v>23</v>
      </c>
      <c r="J66" s="88" t="s">
        <v>23</v>
      </c>
      <c r="K66" s="88" t="s">
        <v>23</v>
      </c>
      <c r="L66" s="88" t="s">
        <v>23</v>
      </c>
      <c r="M66" s="88" t="s">
        <v>23</v>
      </c>
      <c r="N66" s="88" t="s">
        <v>23</v>
      </c>
      <c r="O66" s="92" t="s">
        <v>23</v>
      </c>
      <c r="P66" s="92" t="s">
        <v>23</v>
      </c>
      <c r="Q66" s="194" t="s">
        <v>21</v>
      </c>
      <c r="R66" s="194" t="s">
        <v>21</v>
      </c>
      <c r="S66" s="194" t="s">
        <v>21</v>
      </c>
      <c r="T66" s="194" t="s">
        <v>21</v>
      </c>
      <c r="U66" s="194" t="s">
        <v>21</v>
      </c>
      <c r="V66" s="194" t="s">
        <v>21</v>
      </c>
      <c r="W66" s="92" t="s">
        <v>23</v>
      </c>
      <c r="X66" s="92" t="s">
        <v>23</v>
      </c>
      <c r="Y66" s="193" t="s">
        <v>20</v>
      </c>
      <c r="Z66" s="193" t="s">
        <v>20</v>
      </c>
      <c r="AA66" s="193" t="s">
        <v>20</v>
      </c>
      <c r="AB66" s="193" t="s">
        <v>20</v>
      </c>
      <c r="AC66" s="185" t="s">
        <v>12</v>
      </c>
      <c r="AD66" s="193" t="s">
        <v>20</v>
      </c>
      <c r="AE66" s="92" t="s">
        <v>23</v>
      </c>
      <c r="AF66" s="92" t="s">
        <v>23</v>
      </c>
      <c r="AG66" s="93">
        <f t="shared" si="4"/>
        <v>0</v>
      </c>
      <c r="AH66" s="93"/>
      <c r="AI66" s="93"/>
      <c r="AJ66" s="93"/>
      <c r="AK66" s="94" t="s">
        <v>31</v>
      </c>
      <c r="AL66" s="107"/>
    </row>
    <row r="67" spans="1:38">
      <c r="A67" s="182">
        <v>44883</v>
      </c>
      <c r="B67" s="88">
        <v>1600</v>
      </c>
      <c r="C67" s="88"/>
      <c r="D67" s="89" cm="1">
        <f t="array" ref="D67">(SUM(VLOOKUP(I67:AF67,$AM$4:$AO$44,2,FALSE))+AG67*10)*IF(AK67="是",$AZ$4,$AZ$3)</f>
        <v>1872</v>
      </c>
      <c r="E67" s="89">
        <f>SUM($B$4:B67)+SUM($C$4:C67)-SUM($D$4:D67)</f>
        <v>5104</v>
      </c>
      <c r="F67" s="89" cm="1">
        <f t="array" ref="F67">SUM(VLOOKUP(I67:AF67,$AM$4:$AO$44,3,FALSE))</f>
        <v>690</v>
      </c>
      <c r="G67" s="89">
        <f>SUM($F$4:F67)+SUM($H$4:H67)</f>
        <v>44200</v>
      </c>
      <c r="H67" s="88">
        <v>0</v>
      </c>
      <c r="I67" s="88" t="s">
        <v>23</v>
      </c>
      <c r="J67" s="88" t="s">
        <v>23</v>
      </c>
      <c r="K67" s="88" t="s">
        <v>23</v>
      </c>
      <c r="L67" s="88" t="s">
        <v>23</v>
      </c>
      <c r="M67" s="88" t="s">
        <v>23</v>
      </c>
      <c r="N67" s="88" t="s">
        <v>23</v>
      </c>
      <c r="O67" s="92" t="s">
        <v>23</v>
      </c>
      <c r="P67" s="92" t="s">
        <v>23</v>
      </c>
      <c r="Q67" s="194" t="s">
        <v>21</v>
      </c>
      <c r="R67" s="194" t="s">
        <v>21</v>
      </c>
      <c r="S67" s="194" t="s">
        <v>21</v>
      </c>
      <c r="T67" s="194" t="s">
        <v>21</v>
      </c>
      <c r="U67" s="194" t="s">
        <v>21</v>
      </c>
      <c r="V67" s="194" t="s">
        <v>21</v>
      </c>
      <c r="W67" s="92" t="s">
        <v>23</v>
      </c>
      <c r="X67" s="92" t="s">
        <v>23</v>
      </c>
      <c r="Y67" s="193" t="s">
        <v>20</v>
      </c>
      <c r="Z67" s="193" t="s">
        <v>20</v>
      </c>
      <c r="AA67" s="193" t="s">
        <v>20</v>
      </c>
      <c r="AB67" s="193" t="s">
        <v>20</v>
      </c>
      <c r="AC67" s="193" t="s">
        <v>20</v>
      </c>
      <c r="AD67" s="193" t="s">
        <v>20</v>
      </c>
      <c r="AE67" s="92" t="s">
        <v>23</v>
      </c>
      <c r="AF67" s="92" t="s">
        <v>23</v>
      </c>
      <c r="AG67" s="93">
        <f t="shared" si="4"/>
        <v>0</v>
      </c>
      <c r="AH67" s="93"/>
      <c r="AI67" s="93"/>
      <c r="AJ67" s="93"/>
      <c r="AK67" s="94" t="s">
        <v>31</v>
      </c>
      <c r="AL67" s="107"/>
    </row>
    <row r="68" spans="1:38">
      <c r="A68" s="182">
        <v>44884</v>
      </c>
      <c r="B68" s="88">
        <v>1600</v>
      </c>
      <c r="C68" s="88"/>
      <c r="D68" s="89" cm="1">
        <f t="array" ref="D68">(SUM(VLOOKUP(I68:AF68,$AM$4:$AO$44,2,FALSE))+AG68*10)*IF(AK68="是",$AZ$4,$AZ$3)</f>
        <v>1880</v>
      </c>
      <c r="E68" s="89">
        <f>SUM($B$4:B68)+SUM($C$4:C68)-SUM($D$4:D68)</f>
        <v>4824</v>
      </c>
      <c r="F68" s="89" cm="1">
        <f t="array" ref="F68">SUM(VLOOKUP(I68:AF68,$AM$4:$AO$44,3,FALSE))</f>
        <v>695</v>
      </c>
      <c r="G68" s="89">
        <f>SUM($F$4:F68)+SUM($H$4:H68)</f>
        <v>44895</v>
      </c>
      <c r="H68" s="88">
        <v>0</v>
      </c>
      <c r="I68" s="88" t="s">
        <v>23</v>
      </c>
      <c r="J68" s="88" t="s">
        <v>23</v>
      </c>
      <c r="K68" s="88" t="s">
        <v>23</v>
      </c>
      <c r="L68" s="88" t="s">
        <v>23</v>
      </c>
      <c r="M68" s="88" t="s">
        <v>23</v>
      </c>
      <c r="N68" s="88" t="s">
        <v>23</v>
      </c>
      <c r="O68" s="92" t="s">
        <v>23</v>
      </c>
      <c r="P68" s="92" t="s">
        <v>23</v>
      </c>
      <c r="Q68" s="194" t="s">
        <v>21</v>
      </c>
      <c r="R68" s="194" t="s">
        <v>21</v>
      </c>
      <c r="S68" s="194" t="s">
        <v>21</v>
      </c>
      <c r="T68" s="194" t="s">
        <v>21</v>
      </c>
      <c r="U68" s="194" t="s">
        <v>21</v>
      </c>
      <c r="V68" s="194" t="s">
        <v>21</v>
      </c>
      <c r="W68" s="92" t="s">
        <v>23</v>
      </c>
      <c r="X68" s="92" t="s">
        <v>23</v>
      </c>
      <c r="Y68" s="193" t="s">
        <v>20</v>
      </c>
      <c r="Z68" s="193" t="s">
        <v>20</v>
      </c>
      <c r="AA68" s="193" t="s">
        <v>20</v>
      </c>
      <c r="AB68" s="193" t="s">
        <v>20</v>
      </c>
      <c r="AC68" s="193" t="s">
        <v>20</v>
      </c>
      <c r="AD68" s="194" t="s">
        <v>21</v>
      </c>
      <c r="AE68" s="92" t="s">
        <v>23</v>
      </c>
      <c r="AF68" s="92" t="s">
        <v>23</v>
      </c>
      <c r="AG68" s="93">
        <f t="shared" si="4"/>
        <v>0</v>
      </c>
      <c r="AH68" s="93"/>
      <c r="AI68" s="93"/>
      <c r="AJ68" s="93"/>
      <c r="AK68" s="94" t="s">
        <v>31</v>
      </c>
      <c r="AL68" s="107"/>
    </row>
    <row r="69" spans="1:38">
      <c r="A69" s="182">
        <v>44885</v>
      </c>
      <c r="B69" s="88">
        <v>1600</v>
      </c>
      <c r="C69" s="88"/>
      <c r="D69" s="89" cm="1">
        <f t="array" ref="D69">(SUM(VLOOKUP(I69:AF69,$AM$4:$AO$44,2,FALSE))+AG69*10)*IF(AK69="是",$AZ$4,$AZ$3)</f>
        <v>1904</v>
      </c>
      <c r="E69" s="89">
        <f>SUM($B$4:B69)+SUM($C$4:C69)-SUM($D$4:D69)</f>
        <v>4520</v>
      </c>
      <c r="F69" s="89" cm="1">
        <f t="array" ref="F69">SUM(VLOOKUP(I69:AF69,$AM$4:$AO$44,3,FALSE))</f>
        <v>710</v>
      </c>
      <c r="G69" s="89">
        <f>SUM($F$4:F69)+SUM($H$4:H69)</f>
        <v>45605</v>
      </c>
      <c r="H69" s="88">
        <v>0</v>
      </c>
      <c r="I69" s="88" t="s">
        <v>23</v>
      </c>
      <c r="J69" s="88" t="s">
        <v>23</v>
      </c>
      <c r="K69" s="88" t="s">
        <v>23</v>
      </c>
      <c r="L69" s="88" t="s">
        <v>23</v>
      </c>
      <c r="M69" s="88" t="s">
        <v>23</v>
      </c>
      <c r="N69" s="88" t="s">
        <v>23</v>
      </c>
      <c r="O69" s="92" t="s">
        <v>23</v>
      </c>
      <c r="P69" s="92" t="s">
        <v>23</v>
      </c>
      <c r="Q69" s="194" t="s">
        <v>21</v>
      </c>
      <c r="R69" s="194" t="s">
        <v>21</v>
      </c>
      <c r="S69" s="194" t="s">
        <v>21</v>
      </c>
      <c r="T69" s="194" t="s">
        <v>21</v>
      </c>
      <c r="U69" s="194" t="s">
        <v>21</v>
      </c>
      <c r="V69" s="194" t="s">
        <v>21</v>
      </c>
      <c r="W69" s="92" t="s">
        <v>23</v>
      </c>
      <c r="X69" s="92" t="s">
        <v>23</v>
      </c>
      <c r="Y69" s="194" t="s">
        <v>21</v>
      </c>
      <c r="Z69" s="193" t="s">
        <v>20</v>
      </c>
      <c r="AA69" s="194" t="s">
        <v>21</v>
      </c>
      <c r="AB69" s="194" t="s">
        <v>21</v>
      </c>
      <c r="AC69" s="194" t="s">
        <v>21</v>
      </c>
      <c r="AD69" s="193" t="s">
        <v>20</v>
      </c>
      <c r="AE69" s="92" t="s">
        <v>23</v>
      </c>
      <c r="AF69" s="92" t="s">
        <v>23</v>
      </c>
      <c r="AG69" s="93">
        <f t="shared" ref="AG69:AG94" si="15">AH69+AI69+AJ69</f>
        <v>0</v>
      </c>
      <c r="AH69" s="93"/>
      <c r="AI69" s="93"/>
      <c r="AJ69" s="93"/>
      <c r="AK69" s="94" t="s">
        <v>31</v>
      </c>
      <c r="AL69" s="107"/>
    </row>
    <row r="70" spans="1:38">
      <c r="A70" s="182">
        <v>44886</v>
      </c>
      <c r="B70" s="89">
        <v>1600</v>
      </c>
      <c r="C70" s="89"/>
      <c r="D70" s="89" cm="1">
        <f t="array" ref="D70">(SUM(VLOOKUP(I70:AF70,$AM$4:$AO$44,2,FALSE))+AG70*10)*IF(AK70="是",$AZ$4,$AZ$3)</f>
        <v>1888</v>
      </c>
      <c r="E70" s="89">
        <f>SUM($B$4:B70)+SUM($C$4:C70)-SUM($D$4:D70)</f>
        <v>4232</v>
      </c>
      <c r="F70" s="89" cm="1">
        <f t="array" ref="F70">SUM(VLOOKUP(I70:AF70,$AM$4:$AO$44,3,FALSE))</f>
        <v>700</v>
      </c>
      <c r="G70" s="89">
        <f>SUM($F$4:F70)+SUM($H$4:H70)</f>
        <v>46605</v>
      </c>
      <c r="H70" s="89">
        <v>300</v>
      </c>
      <c r="I70" s="88" t="s">
        <v>23</v>
      </c>
      <c r="J70" s="88" t="s">
        <v>23</v>
      </c>
      <c r="K70" s="88" t="s">
        <v>23</v>
      </c>
      <c r="L70" s="88" t="s">
        <v>23</v>
      </c>
      <c r="M70" s="88" t="s">
        <v>23</v>
      </c>
      <c r="N70" s="88" t="s">
        <v>23</v>
      </c>
      <c r="O70" s="92" t="s">
        <v>23</v>
      </c>
      <c r="P70" s="92" t="s">
        <v>23</v>
      </c>
      <c r="Q70" s="194" t="s">
        <v>21</v>
      </c>
      <c r="R70" s="194" t="s">
        <v>21</v>
      </c>
      <c r="S70" s="194" t="s">
        <v>21</v>
      </c>
      <c r="T70" s="194" t="s">
        <v>21</v>
      </c>
      <c r="U70" s="194" t="s">
        <v>21</v>
      </c>
      <c r="V70" s="194" t="s">
        <v>21</v>
      </c>
      <c r="W70" s="92" t="s">
        <v>23</v>
      </c>
      <c r="X70" s="92" t="s">
        <v>23</v>
      </c>
      <c r="Y70" s="193" t="s">
        <v>20</v>
      </c>
      <c r="Z70" s="193" t="s">
        <v>20</v>
      </c>
      <c r="AA70" s="193" t="s">
        <v>20</v>
      </c>
      <c r="AB70" s="193" t="s">
        <v>20</v>
      </c>
      <c r="AC70" s="194" t="s">
        <v>21</v>
      </c>
      <c r="AD70" s="194" t="s">
        <v>21</v>
      </c>
      <c r="AE70" s="92" t="s">
        <v>23</v>
      </c>
      <c r="AF70" s="92" t="s">
        <v>23</v>
      </c>
      <c r="AG70" s="93">
        <f t="shared" si="15"/>
        <v>0</v>
      </c>
      <c r="AH70" s="93"/>
      <c r="AI70" s="93"/>
      <c r="AJ70" s="93"/>
      <c r="AK70" s="94" t="s">
        <v>31</v>
      </c>
      <c r="AL70" s="107"/>
    </row>
    <row r="71" spans="1:38">
      <c r="A71" s="182">
        <v>44887</v>
      </c>
      <c r="B71" s="89">
        <v>1600</v>
      </c>
      <c r="C71" s="89"/>
      <c r="D71" s="89" cm="1">
        <f t="array" ref="D71">(SUM(VLOOKUP(I71:AF71,$AM$4:$AO$44,2,FALSE))+AG71*10)*IF(AK71="是",$AZ$4,$AZ$3)</f>
        <v>1872</v>
      </c>
      <c r="E71" s="89">
        <f>SUM($B$4:B71)+SUM($C$4:C71)-SUM($D$4:D71)</f>
        <v>3960</v>
      </c>
      <c r="F71" s="89" cm="1">
        <f t="array" ref="F71">SUM(VLOOKUP(I71:AF71,$AM$4:$AO$44,3,FALSE))</f>
        <v>690</v>
      </c>
      <c r="G71" s="89">
        <f>SUM($F$4:F71)+SUM($H$4:H71)</f>
        <v>47295</v>
      </c>
      <c r="H71" s="89">
        <v>0</v>
      </c>
      <c r="I71" s="88" t="s">
        <v>23</v>
      </c>
      <c r="J71" s="88" t="s">
        <v>23</v>
      </c>
      <c r="K71" s="88" t="s">
        <v>23</v>
      </c>
      <c r="L71" s="88" t="s">
        <v>23</v>
      </c>
      <c r="M71" s="88" t="s">
        <v>23</v>
      </c>
      <c r="N71" s="88" t="s">
        <v>23</v>
      </c>
      <c r="O71" s="92" t="s">
        <v>23</v>
      </c>
      <c r="P71" s="92" t="s">
        <v>23</v>
      </c>
      <c r="Q71" s="194" t="s">
        <v>21</v>
      </c>
      <c r="R71" s="194" t="s">
        <v>21</v>
      </c>
      <c r="S71" s="194" t="s">
        <v>21</v>
      </c>
      <c r="T71" s="194" t="s">
        <v>21</v>
      </c>
      <c r="U71" s="194" t="s">
        <v>21</v>
      </c>
      <c r="V71" s="194" t="s">
        <v>21</v>
      </c>
      <c r="W71" s="92" t="s">
        <v>23</v>
      </c>
      <c r="X71" s="92" t="s">
        <v>23</v>
      </c>
      <c r="Y71" s="193" t="s">
        <v>20</v>
      </c>
      <c r="Z71" s="193" t="s">
        <v>20</v>
      </c>
      <c r="AA71" s="193" t="s">
        <v>20</v>
      </c>
      <c r="AB71" s="193" t="s">
        <v>20</v>
      </c>
      <c r="AC71" s="193" t="s">
        <v>20</v>
      </c>
      <c r="AD71" s="193" t="s">
        <v>20</v>
      </c>
      <c r="AE71" s="92" t="s">
        <v>23</v>
      </c>
      <c r="AF71" s="92" t="s">
        <v>23</v>
      </c>
      <c r="AG71" s="93">
        <f t="shared" si="15"/>
        <v>0</v>
      </c>
      <c r="AH71" s="93"/>
      <c r="AI71" s="93"/>
      <c r="AJ71" s="93"/>
      <c r="AK71" s="94" t="s">
        <v>31</v>
      </c>
      <c r="AL71" s="107"/>
    </row>
    <row r="72" spans="1:38">
      <c r="A72" s="182">
        <v>44888</v>
      </c>
      <c r="B72" s="89">
        <v>1600</v>
      </c>
      <c r="C72" s="89"/>
      <c r="D72" s="89" cm="1">
        <f t="array" ref="D72">(SUM(VLOOKUP(I72:AF72,$AM$4:$AO$44,2,FALSE))+AG72*10)*IF(AK72="是",$AZ$4,$AZ$3)</f>
        <v>1888</v>
      </c>
      <c r="E72" s="89">
        <f>SUM($B$4:B72)+SUM($C$4:C72)-SUM($D$4:D72)</f>
        <v>3672</v>
      </c>
      <c r="F72" s="89" cm="1">
        <f t="array" ref="F72">SUM(VLOOKUP(I72:AF72,$AM$4:$AO$44,3,FALSE))</f>
        <v>1675</v>
      </c>
      <c r="G72" s="89">
        <f>SUM($F$4:F72)+SUM($H$4:H72)</f>
        <v>49170</v>
      </c>
      <c r="H72" s="89">
        <v>200</v>
      </c>
      <c r="I72" s="88" t="s">
        <v>23</v>
      </c>
      <c r="J72" s="88" t="s">
        <v>23</v>
      </c>
      <c r="K72" s="88" t="s">
        <v>23</v>
      </c>
      <c r="L72" s="88" t="s">
        <v>23</v>
      </c>
      <c r="M72" s="88" t="s">
        <v>23</v>
      </c>
      <c r="N72" s="88" t="s">
        <v>23</v>
      </c>
      <c r="O72" s="92" t="s">
        <v>23</v>
      </c>
      <c r="P72" s="92" t="s">
        <v>23</v>
      </c>
      <c r="Q72" s="194" t="s">
        <v>21</v>
      </c>
      <c r="R72" s="194" t="s">
        <v>21</v>
      </c>
      <c r="S72" s="194" t="s">
        <v>21</v>
      </c>
      <c r="T72" s="195" t="s">
        <v>15</v>
      </c>
      <c r="U72" s="193" t="s">
        <v>20</v>
      </c>
      <c r="V72" s="193" t="s">
        <v>20</v>
      </c>
      <c r="W72" s="92" t="s">
        <v>23</v>
      </c>
      <c r="X72" s="92" t="s">
        <v>23</v>
      </c>
      <c r="Y72" s="193" t="s">
        <v>20</v>
      </c>
      <c r="Z72" s="193" t="s">
        <v>20</v>
      </c>
      <c r="AA72" s="193" t="s">
        <v>20</v>
      </c>
      <c r="AB72" s="193" t="s">
        <v>20</v>
      </c>
      <c r="AC72" s="186" t="s">
        <v>47</v>
      </c>
      <c r="AD72" s="193" t="s">
        <v>20</v>
      </c>
      <c r="AE72" s="193" t="s">
        <v>20</v>
      </c>
      <c r="AF72" s="193" t="s">
        <v>20</v>
      </c>
      <c r="AG72" s="93">
        <f t="shared" si="15"/>
        <v>0</v>
      </c>
      <c r="AH72" s="93"/>
      <c r="AI72" s="93"/>
      <c r="AJ72" s="93"/>
      <c r="AK72" s="94" t="s">
        <v>31</v>
      </c>
      <c r="AL72" s="107"/>
    </row>
    <row r="73" spans="1:38">
      <c r="A73" s="182">
        <v>44889</v>
      </c>
      <c r="B73" s="89">
        <v>1600</v>
      </c>
      <c r="C73" s="89"/>
      <c r="D73" s="89" cm="1">
        <f t="array" ref="D73">(SUM(VLOOKUP(I73:AF73,$AM$4:$AO$44,2,FALSE))+AG73*10)*IF(AK73="是",$AZ$4,$AZ$3)</f>
        <v>1864</v>
      </c>
      <c r="E73" s="89">
        <f>SUM($B$4:B73)+SUM($C$4:C73)-SUM($D$4:D73)</f>
        <v>3408</v>
      </c>
      <c r="F73" s="89" cm="1">
        <f t="array" ref="F73">SUM(VLOOKUP(I73:AF73,$AM$4:$AO$44,3,FALSE))</f>
        <v>1180</v>
      </c>
      <c r="G73" s="89">
        <f>SUM($F$4:F73)+SUM($H$4:H73)</f>
        <v>50350</v>
      </c>
      <c r="H73" s="89">
        <v>0</v>
      </c>
      <c r="I73" s="88" t="s">
        <v>23</v>
      </c>
      <c r="J73" s="88" t="s">
        <v>23</v>
      </c>
      <c r="K73" s="88" t="s">
        <v>23</v>
      </c>
      <c r="L73" s="88" t="s">
        <v>23</v>
      </c>
      <c r="M73" s="88" t="s">
        <v>23</v>
      </c>
      <c r="N73" s="88" t="s">
        <v>23</v>
      </c>
      <c r="O73" s="92" t="s">
        <v>23</v>
      </c>
      <c r="P73" s="92" t="s">
        <v>23</v>
      </c>
      <c r="Q73" s="193" t="s">
        <v>20</v>
      </c>
      <c r="R73" s="193" t="s">
        <v>20</v>
      </c>
      <c r="S73" s="193" t="s">
        <v>20</v>
      </c>
      <c r="T73" s="193" t="s">
        <v>20</v>
      </c>
      <c r="U73" s="193" t="s">
        <v>20</v>
      </c>
      <c r="V73" s="193" t="s">
        <v>20</v>
      </c>
      <c r="W73" s="92" t="s">
        <v>23</v>
      </c>
      <c r="X73" s="92" t="s">
        <v>23</v>
      </c>
      <c r="Y73" s="193" t="s">
        <v>20</v>
      </c>
      <c r="Z73" s="183" t="s">
        <v>87</v>
      </c>
      <c r="AA73" s="193" t="s">
        <v>20</v>
      </c>
      <c r="AB73" s="193" t="s">
        <v>20</v>
      </c>
      <c r="AC73" s="193" t="s">
        <v>20</v>
      </c>
      <c r="AD73" s="193" t="s">
        <v>20</v>
      </c>
      <c r="AE73" s="193" t="s">
        <v>20</v>
      </c>
      <c r="AF73" s="92" t="s">
        <v>23</v>
      </c>
      <c r="AG73" s="93">
        <f t="shared" si="15"/>
        <v>0</v>
      </c>
      <c r="AH73" s="93"/>
      <c r="AI73" s="93"/>
      <c r="AJ73" s="93"/>
      <c r="AK73" s="94" t="s">
        <v>31</v>
      </c>
      <c r="AL73" s="107"/>
    </row>
    <row r="74" spans="1:38">
      <c r="A74" s="182">
        <v>44890</v>
      </c>
      <c r="B74" s="89">
        <v>1600</v>
      </c>
      <c r="C74" s="89"/>
      <c r="D74" s="89" cm="1">
        <f t="array" ref="D74">(SUM(VLOOKUP(I74:AF74,$AM$4:$AO$44,2,FALSE))+AG74*10)*IF(AK74="是",$AZ$4,$AZ$3)</f>
        <v>1792</v>
      </c>
      <c r="E74" s="89">
        <f>SUM($B$4:B74)+SUM($C$4:C74)-SUM($D$4:D74)</f>
        <v>3216</v>
      </c>
      <c r="F74" s="89" cm="1">
        <f t="array" ref="F74">SUM(VLOOKUP(I74:AF74,$AM$4:$AO$44,3,FALSE))</f>
        <v>660</v>
      </c>
      <c r="G74" s="89">
        <f>SUM($F$4:F74)+SUM($H$4:H74)</f>
        <v>51010</v>
      </c>
      <c r="H74" s="89">
        <v>0</v>
      </c>
      <c r="I74" s="88" t="s">
        <v>23</v>
      </c>
      <c r="J74" s="88" t="s">
        <v>23</v>
      </c>
      <c r="K74" s="88" t="s">
        <v>23</v>
      </c>
      <c r="L74" s="88" t="s">
        <v>23</v>
      </c>
      <c r="M74" s="88" t="s">
        <v>23</v>
      </c>
      <c r="N74" s="88" t="s">
        <v>23</v>
      </c>
      <c r="O74" s="92" t="s">
        <v>23</v>
      </c>
      <c r="P74" s="92" t="s">
        <v>23</v>
      </c>
      <c r="Q74" s="193" t="s">
        <v>20</v>
      </c>
      <c r="R74" s="193" t="s">
        <v>20</v>
      </c>
      <c r="S74" s="193" t="s">
        <v>20</v>
      </c>
      <c r="T74" s="193" t="s">
        <v>20</v>
      </c>
      <c r="U74" s="193" t="s">
        <v>20</v>
      </c>
      <c r="V74" s="193" t="s">
        <v>20</v>
      </c>
      <c r="W74" s="92" t="s">
        <v>23</v>
      </c>
      <c r="X74" s="92" t="s">
        <v>23</v>
      </c>
      <c r="Y74" s="193" t="s">
        <v>20</v>
      </c>
      <c r="Z74" s="193" t="s">
        <v>20</v>
      </c>
      <c r="AA74" s="193" t="s">
        <v>20</v>
      </c>
      <c r="AB74" s="193" t="s">
        <v>20</v>
      </c>
      <c r="AC74" s="206" t="s">
        <v>9</v>
      </c>
      <c r="AD74" s="193" t="s">
        <v>20</v>
      </c>
      <c r="AE74" s="92" t="s">
        <v>23</v>
      </c>
      <c r="AF74" s="92" t="s">
        <v>23</v>
      </c>
      <c r="AG74" s="93">
        <f t="shared" si="15"/>
        <v>0</v>
      </c>
      <c r="AH74" s="93"/>
      <c r="AI74" s="93"/>
      <c r="AJ74" s="93"/>
      <c r="AK74" s="94" t="s">
        <v>31</v>
      </c>
      <c r="AL74" s="107"/>
    </row>
    <row r="75" spans="1:38">
      <c r="A75" s="182">
        <v>44891</v>
      </c>
      <c r="B75" s="89">
        <v>1600</v>
      </c>
      <c r="C75" s="89"/>
      <c r="D75" s="89" cm="1">
        <f t="array" ref="D75">(SUM(VLOOKUP(I75:AF75,$AM$4:$AO$44,2,FALSE))+AG75*10)*IF(AK75="是",$AZ$4,$AZ$3)</f>
        <v>1680</v>
      </c>
      <c r="E75" s="89">
        <f>SUM($B$4:B75)+SUM($C$4:C75)-SUM($D$4:D75)</f>
        <v>3136</v>
      </c>
      <c r="F75" s="89" cm="1">
        <f t="array" ref="F75">SUM(VLOOKUP(I75:AF75,$AM$4:$AO$44,3,FALSE))</f>
        <v>630</v>
      </c>
      <c r="G75" s="89">
        <f>SUM($F$4:F75)+SUM($H$4:H75)</f>
        <v>51640</v>
      </c>
      <c r="H75" s="89">
        <v>0</v>
      </c>
      <c r="I75" s="88" t="s">
        <v>23</v>
      </c>
      <c r="J75" s="88" t="s">
        <v>23</v>
      </c>
      <c r="K75" s="88" t="s">
        <v>23</v>
      </c>
      <c r="L75" s="88" t="s">
        <v>23</v>
      </c>
      <c r="M75" s="88" t="s">
        <v>23</v>
      </c>
      <c r="N75" s="88" t="s">
        <v>23</v>
      </c>
      <c r="O75" s="92" t="s">
        <v>23</v>
      </c>
      <c r="P75" s="92" t="s">
        <v>23</v>
      </c>
      <c r="Q75" s="191" t="s">
        <v>8</v>
      </c>
      <c r="R75" s="193" t="s">
        <v>20</v>
      </c>
      <c r="S75" s="193" t="s">
        <v>20</v>
      </c>
      <c r="T75" s="185" t="s">
        <v>12</v>
      </c>
      <c r="U75" s="193" t="s">
        <v>20</v>
      </c>
      <c r="V75" s="193" t="s">
        <v>20</v>
      </c>
      <c r="W75" s="92" t="s">
        <v>23</v>
      </c>
      <c r="X75" s="92" t="s">
        <v>23</v>
      </c>
      <c r="Y75" s="193" t="s">
        <v>20</v>
      </c>
      <c r="Z75" s="193" t="s">
        <v>20</v>
      </c>
      <c r="AA75" s="193" t="s">
        <v>20</v>
      </c>
      <c r="AB75" s="193" t="s">
        <v>20</v>
      </c>
      <c r="AC75" s="193" t="s">
        <v>20</v>
      </c>
      <c r="AD75" s="193" t="s">
        <v>20</v>
      </c>
      <c r="AE75" s="92" t="s">
        <v>23</v>
      </c>
      <c r="AF75" s="92" t="s">
        <v>23</v>
      </c>
      <c r="AG75" s="93">
        <f t="shared" si="15"/>
        <v>0</v>
      </c>
      <c r="AH75" s="93"/>
      <c r="AI75" s="93"/>
      <c r="AJ75" s="93"/>
      <c r="AK75" s="94" t="s">
        <v>31</v>
      </c>
      <c r="AL75" s="107"/>
    </row>
    <row r="76" spans="1:38">
      <c r="A76" s="182">
        <v>44892</v>
      </c>
      <c r="B76" s="89">
        <v>1600</v>
      </c>
      <c r="C76" s="89"/>
      <c r="D76" s="89" cm="1">
        <f t="array" ref="D76">(SUM(VLOOKUP(I76:AF76,$AM$4:$AO$44,2,FALSE))+AG76*10)*IF(AK76="是",$AZ$4,$AZ$3)</f>
        <v>1792</v>
      </c>
      <c r="E76" s="89">
        <f>SUM($B$4:B76)+SUM($C$4:C76)-SUM($D$4:D76)</f>
        <v>2944</v>
      </c>
      <c r="F76" s="89" cm="1">
        <f t="array" ref="F76">SUM(VLOOKUP(I76:AF76,$AM$4:$AO$44,3,FALSE))</f>
        <v>635</v>
      </c>
      <c r="G76" s="89">
        <f>SUM($F$4:F76)+SUM($H$4:H76)</f>
        <v>52275</v>
      </c>
      <c r="H76" s="89">
        <v>0</v>
      </c>
      <c r="I76" s="88" t="s">
        <v>23</v>
      </c>
      <c r="J76" s="88" t="s">
        <v>23</v>
      </c>
      <c r="K76" s="88" t="s">
        <v>23</v>
      </c>
      <c r="L76" s="88" t="s">
        <v>23</v>
      </c>
      <c r="M76" s="88" t="s">
        <v>23</v>
      </c>
      <c r="N76" s="88" t="s">
        <v>23</v>
      </c>
      <c r="O76" s="92" t="s">
        <v>23</v>
      </c>
      <c r="P76" s="92" t="s">
        <v>23</v>
      </c>
      <c r="Q76" s="193" t="s">
        <v>20</v>
      </c>
      <c r="R76" s="193" t="s">
        <v>20</v>
      </c>
      <c r="S76" s="193" t="s">
        <v>20</v>
      </c>
      <c r="T76" s="193" t="s">
        <v>20</v>
      </c>
      <c r="U76" s="193" t="s">
        <v>20</v>
      </c>
      <c r="V76" s="193" t="s">
        <v>20</v>
      </c>
      <c r="W76" s="92" t="s">
        <v>23</v>
      </c>
      <c r="X76" s="92" t="s">
        <v>23</v>
      </c>
      <c r="Y76" s="193" t="s">
        <v>20</v>
      </c>
      <c r="Z76" s="190" t="s">
        <v>19</v>
      </c>
      <c r="AA76" s="190" t="s">
        <v>19</v>
      </c>
      <c r="AB76" s="190" t="s">
        <v>19</v>
      </c>
      <c r="AC76" s="190" t="s">
        <v>19</v>
      </c>
      <c r="AD76" s="190" t="s">
        <v>19</v>
      </c>
      <c r="AE76" s="92" t="s">
        <v>23</v>
      </c>
      <c r="AF76" s="92" t="s">
        <v>23</v>
      </c>
      <c r="AG76" s="93">
        <f t="shared" si="15"/>
        <v>1</v>
      </c>
      <c r="AH76" s="93"/>
      <c r="AI76" s="93"/>
      <c r="AJ76" s="93">
        <v>1</v>
      </c>
      <c r="AK76" s="94" t="s">
        <v>31</v>
      </c>
      <c r="AL76" s="107"/>
    </row>
    <row r="77" spans="1:38">
      <c r="A77" s="182">
        <v>44893</v>
      </c>
      <c r="B77" s="88">
        <v>1600</v>
      </c>
      <c r="C77" s="88"/>
      <c r="D77" s="89" cm="1">
        <f t="array" ref="D77">(SUM(VLOOKUP(I77:AF77,$AM$4:$AO$44,2,FALSE))+AG77*10)*IF(AK77="是",$AZ$4,$AZ$3)</f>
        <v>1632</v>
      </c>
      <c r="E77" s="89">
        <f>SUM($B$4:B77)+SUM($C$4:C77)-SUM($D$4:D77)</f>
        <v>2912</v>
      </c>
      <c r="F77" s="89" cm="1">
        <f t="array" ref="F77">SUM(VLOOKUP(I77:AF77,$AM$4:$AO$44,3,FALSE))</f>
        <v>585</v>
      </c>
      <c r="G77" s="89">
        <f>SUM($F$4:F77)+SUM($H$4:H77)</f>
        <v>53160</v>
      </c>
      <c r="H77" s="88">
        <v>300</v>
      </c>
      <c r="I77" s="88" t="s">
        <v>23</v>
      </c>
      <c r="J77" s="88" t="s">
        <v>23</v>
      </c>
      <c r="K77" s="88" t="s">
        <v>23</v>
      </c>
      <c r="L77" s="88" t="s">
        <v>23</v>
      </c>
      <c r="M77" s="88" t="s">
        <v>23</v>
      </c>
      <c r="N77" s="88" t="s">
        <v>23</v>
      </c>
      <c r="O77" s="92" t="s">
        <v>23</v>
      </c>
      <c r="P77" s="92" t="s">
        <v>23</v>
      </c>
      <c r="Q77" s="193" t="s">
        <v>20</v>
      </c>
      <c r="R77" s="190" t="s">
        <v>19</v>
      </c>
      <c r="S77" s="190" t="s">
        <v>19</v>
      </c>
      <c r="T77" s="190" t="s">
        <v>19</v>
      </c>
      <c r="U77" s="190" t="s">
        <v>19</v>
      </c>
      <c r="V77" s="190" t="s">
        <v>19</v>
      </c>
      <c r="W77" s="92" t="s">
        <v>23</v>
      </c>
      <c r="X77" s="92" t="s">
        <v>23</v>
      </c>
      <c r="Y77" s="190" t="s">
        <v>19</v>
      </c>
      <c r="Z77" s="185" t="s">
        <v>12</v>
      </c>
      <c r="AA77" s="190" t="s">
        <v>19</v>
      </c>
      <c r="AB77" s="190" t="s">
        <v>19</v>
      </c>
      <c r="AC77" s="190" t="s">
        <v>19</v>
      </c>
      <c r="AD77" s="190" t="s">
        <v>19</v>
      </c>
      <c r="AE77" s="92" t="s">
        <v>23</v>
      </c>
      <c r="AF77" s="92" t="s">
        <v>23</v>
      </c>
      <c r="AG77" s="93">
        <f t="shared" si="15"/>
        <v>0</v>
      </c>
      <c r="AH77" s="93"/>
      <c r="AI77" s="93"/>
      <c r="AJ77" s="93"/>
      <c r="AK77" s="94" t="s">
        <v>31</v>
      </c>
      <c r="AL77" s="107"/>
    </row>
    <row r="78" spans="1:38">
      <c r="A78" s="182">
        <v>44894</v>
      </c>
      <c r="B78" s="88">
        <v>1600</v>
      </c>
      <c r="C78" s="88"/>
      <c r="D78" s="89" cm="1">
        <f t="array" ref="D78">(SUM(VLOOKUP(I78:AF78,$AM$4:$AO$44,2,FALSE))+AG78*10)*IF(AK78="是",$AZ$4,$AZ$3)</f>
        <v>2040</v>
      </c>
      <c r="E78" s="89">
        <f>SUM($B$4:B78)+SUM($C$4:C78)-SUM($D$4:D78)</f>
        <v>2472</v>
      </c>
      <c r="F78" s="89" cm="1">
        <f t="array" ref="F78">SUM(VLOOKUP(I78:AF78,$AM$4:$AO$44,3,FALSE))</f>
        <v>745</v>
      </c>
      <c r="G78" s="89">
        <f>SUM($F$4:F78)+SUM($H$4:H78)</f>
        <v>53905</v>
      </c>
      <c r="H78" s="88">
        <v>0</v>
      </c>
      <c r="I78" s="95" t="s">
        <v>16</v>
      </c>
      <c r="J78" s="185" t="s">
        <v>12</v>
      </c>
      <c r="K78" s="95" t="s">
        <v>16</v>
      </c>
      <c r="L78" s="95" t="s">
        <v>16</v>
      </c>
      <c r="M78" s="185" t="s">
        <v>12</v>
      </c>
      <c r="N78" s="88" t="s">
        <v>23</v>
      </c>
      <c r="O78" s="92" t="s">
        <v>23</v>
      </c>
      <c r="P78" s="92" t="s">
        <v>23</v>
      </c>
      <c r="Q78" s="190" t="s">
        <v>19</v>
      </c>
      <c r="R78" s="190" t="s">
        <v>19</v>
      </c>
      <c r="S78" s="190" t="s">
        <v>19</v>
      </c>
      <c r="T78" s="190" t="s">
        <v>19</v>
      </c>
      <c r="U78" s="190" t="s">
        <v>19</v>
      </c>
      <c r="V78" s="185" t="s">
        <v>12</v>
      </c>
      <c r="W78" s="92" t="s">
        <v>23</v>
      </c>
      <c r="X78" s="92" t="s">
        <v>23</v>
      </c>
      <c r="Y78" s="190" t="s">
        <v>19</v>
      </c>
      <c r="Z78" s="191" t="s">
        <v>8</v>
      </c>
      <c r="AA78" s="190" t="s">
        <v>19</v>
      </c>
      <c r="AB78" s="190" t="s">
        <v>19</v>
      </c>
      <c r="AC78" s="190" t="s">
        <v>19</v>
      </c>
      <c r="AD78" s="190" t="s">
        <v>19</v>
      </c>
      <c r="AE78" s="92" t="s">
        <v>23</v>
      </c>
      <c r="AF78" s="92" t="s">
        <v>23</v>
      </c>
      <c r="AG78" s="93">
        <f t="shared" si="15"/>
        <v>0</v>
      </c>
      <c r="AH78" s="93"/>
      <c r="AI78" s="93"/>
      <c r="AJ78" s="93"/>
      <c r="AK78" s="94" t="s">
        <v>31</v>
      </c>
      <c r="AL78" s="107"/>
    </row>
    <row r="79" spans="1:38">
      <c r="A79" s="182">
        <v>44895</v>
      </c>
      <c r="B79" s="88">
        <v>1600</v>
      </c>
      <c r="C79" s="88"/>
      <c r="D79" s="208" cm="1">
        <f t="array" ref="D79">(SUM(VLOOKUP(I79:AF79,$AM$4:$AO$44,2,FALSE))+AG79*10)*IF(AK79="是",$AZ$4,$AZ$3)-40</f>
        <v>2344</v>
      </c>
      <c r="E79" s="89">
        <f>SUM($B$4:B79)+SUM($C$4:C79)-SUM($D$4:D79)</f>
        <v>1728</v>
      </c>
      <c r="F79" s="89" cm="1">
        <f t="array" ref="F79">SUM(VLOOKUP(I79:AF79,$AM$4:$AO$44,3,FALSE))</f>
        <v>880</v>
      </c>
      <c r="G79" s="89">
        <f>SUM($F$4:F79)+SUM($H$4:H79)</f>
        <v>54985</v>
      </c>
      <c r="H79" s="88">
        <v>200</v>
      </c>
      <c r="I79" s="184" t="s">
        <v>18</v>
      </c>
      <c r="J79" s="184" t="s">
        <v>18</v>
      </c>
      <c r="K79" s="184" t="s">
        <v>18</v>
      </c>
      <c r="L79" s="184" t="s">
        <v>18</v>
      </c>
      <c r="M79" s="186" t="s">
        <v>47</v>
      </c>
      <c r="N79" s="104" t="s">
        <v>17</v>
      </c>
      <c r="O79" s="104" t="s">
        <v>17</v>
      </c>
      <c r="P79" s="188" t="s">
        <v>6</v>
      </c>
      <c r="Q79" s="190" t="s">
        <v>19</v>
      </c>
      <c r="R79" s="190" t="s">
        <v>19</v>
      </c>
      <c r="S79" s="190" t="s">
        <v>19</v>
      </c>
      <c r="T79" s="190" t="s">
        <v>19</v>
      </c>
      <c r="U79" s="190" t="s">
        <v>19</v>
      </c>
      <c r="V79" s="185" t="s">
        <v>12</v>
      </c>
      <c r="W79" s="92" t="s">
        <v>23</v>
      </c>
      <c r="X79" s="92" t="s">
        <v>23</v>
      </c>
      <c r="Y79" s="190" t="s">
        <v>19</v>
      </c>
      <c r="Z79" s="190" t="s">
        <v>19</v>
      </c>
      <c r="AA79" s="190" t="s">
        <v>19</v>
      </c>
      <c r="AB79" s="190" t="s">
        <v>19</v>
      </c>
      <c r="AC79" s="190" t="s">
        <v>19</v>
      </c>
      <c r="AD79" s="190" t="s">
        <v>19</v>
      </c>
      <c r="AE79" s="92" t="s">
        <v>23</v>
      </c>
      <c r="AF79" s="92" t="s">
        <v>23</v>
      </c>
      <c r="AG79" s="93">
        <f t="shared" si="15"/>
        <v>0</v>
      </c>
      <c r="AH79" s="93"/>
      <c r="AI79" s="93"/>
      <c r="AJ79" s="93"/>
      <c r="AK79" s="94" t="s">
        <v>31</v>
      </c>
      <c r="AL79" s="107"/>
    </row>
    <row r="80" spans="1:38">
      <c r="A80" s="182">
        <v>44896</v>
      </c>
      <c r="B80" s="88">
        <v>1600</v>
      </c>
      <c r="C80" s="88"/>
      <c r="D80" s="89" cm="1">
        <f t="array" ref="D80">(SUM(VLOOKUP(I80:AF80,$AM$4:$AO$44,2,FALSE))+AG80*10)*IF(AK80="是",$AZ$4,$AZ$3)</f>
        <v>2320</v>
      </c>
      <c r="E80" s="89">
        <f>SUM($B$4:B80)+SUM($C$4:C80)-SUM($D$4:D80)</f>
        <v>1008</v>
      </c>
      <c r="F80" s="89" cm="1">
        <f t="array" ref="F80">SUM(VLOOKUP(I80:AF80,$AM$4:$AO$44,3,FALSE))</f>
        <v>805</v>
      </c>
      <c r="G80" s="89">
        <f>SUM($F$4:F80)+SUM($H$4:H80)</f>
        <v>55790</v>
      </c>
      <c r="H80" s="88">
        <v>0</v>
      </c>
      <c r="I80" s="95" t="s">
        <v>16</v>
      </c>
      <c r="J80" s="185" t="s">
        <v>12</v>
      </c>
      <c r="K80" s="104" t="s">
        <v>17</v>
      </c>
      <c r="L80" s="185" t="s">
        <v>12</v>
      </c>
      <c r="M80" s="104" t="s">
        <v>17</v>
      </c>
      <c r="N80" s="184" t="s">
        <v>18</v>
      </c>
      <c r="O80" s="92" t="s">
        <v>23</v>
      </c>
      <c r="P80" s="92" t="s">
        <v>23</v>
      </c>
      <c r="Q80" s="190" t="s">
        <v>19</v>
      </c>
      <c r="R80" s="190" t="s">
        <v>19</v>
      </c>
      <c r="S80" s="190" t="s">
        <v>19</v>
      </c>
      <c r="T80" s="184" t="s">
        <v>18</v>
      </c>
      <c r="U80" s="184" t="s">
        <v>18</v>
      </c>
      <c r="V80" s="184" t="s">
        <v>18</v>
      </c>
      <c r="W80" s="92" t="s">
        <v>23</v>
      </c>
      <c r="X80" s="92" t="s">
        <v>23</v>
      </c>
      <c r="Y80" s="190" t="s">
        <v>19</v>
      </c>
      <c r="Z80" s="190" t="s">
        <v>19</v>
      </c>
      <c r="AA80" s="190" t="s">
        <v>19</v>
      </c>
      <c r="AB80" s="190" t="s">
        <v>19</v>
      </c>
      <c r="AC80" s="190" t="s">
        <v>19</v>
      </c>
      <c r="AD80" s="190" t="s">
        <v>19</v>
      </c>
      <c r="AE80" s="92" t="s">
        <v>23</v>
      </c>
      <c r="AF80" s="92" t="s">
        <v>23</v>
      </c>
      <c r="AG80" s="93">
        <f t="shared" si="15"/>
        <v>3</v>
      </c>
      <c r="AH80" s="93">
        <v>3</v>
      </c>
      <c r="AI80" s="93"/>
      <c r="AJ80" s="93"/>
      <c r="AK80" s="94" t="s">
        <v>31</v>
      </c>
      <c r="AL80" s="107"/>
    </row>
    <row r="81" spans="1:43">
      <c r="A81" s="182">
        <v>44897</v>
      </c>
      <c r="B81" s="88">
        <v>1600</v>
      </c>
      <c r="C81" s="88"/>
      <c r="D81" s="89" cm="1">
        <f t="array" ref="D81">(SUM(VLOOKUP(I81:AF81,$AM$4:$AO$44,2,FALSE))+AG81*10)*IF(AK81="是",$AZ$4,$AZ$3)</f>
        <v>1984</v>
      </c>
      <c r="E81" s="89">
        <f>SUM($B$4:B81)+SUM($C$4:C81)-SUM($D$4:D81)</f>
        <v>624</v>
      </c>
      <c r="F81" s="89" cm="1">
        <f t="array" ref="F81">SUM(VLOOKUP(I81:AF81,$AM$4:$AO$44,3,FALSE))</f>
        <v>695</v>
      </c>
      <c r="G81" s="89">
        <f>SUM($F$4:F81)+SUM($H$4:H81)</f>
        <v>56485</v>
      </c>
      <c r="H81" s="88">
        <v>0</v>
      </c>
      <c r="I81" s="184" t="s">
        <v>18</v>
      </c>
      <c r="J81" s="104" t="s">
        <v>17</v>
      </c>
      <c r="K81" s="104" t="s">
        <v>17</v>
      </c>
      <c r="L81" s="88" t="s">
        <v>23</v>
      </c>
      <c r="M81" s="88" t="s">
        <v>23</v>
      </c>
      <c r="N81" s="88" t="s">
        <v>23</v>
      </c>
      <c r="O81" s="92" t="s">
        <v>23</v>
      </c>
      <c r="P81" s="92" t="s">
        <v>23</v>
      </c>
      <c r="Q81" s="185" t="s">
        <v>12</v>
      </c>
      <c r="R81" s="184" t="s">
        <v>18</v>
      </c>
      <c r="S81" s="184" t="s">
        <v>18</v>
      </c>
      <c r="T81" s="190" t="s">
        <v>19</v>
      </c>
      <c r="U81" s="190" t="s">
        <v>19</v>
      </c>
      <c r="V81" s="191" t="s">
        <v>8</v>
      </c>
      <c r="W81" s="92" t="s">
        <v>23</v>
      </c>
      <c r="X81" s="92" t="s">
        <v>23</v>
      </c>
      <c r="Y81" s="190" t="s">
        <v>19</v>
      </c>
      <c r="Z81" s="190" t="s">
        <v>19</v>
      </c>
      <c r="AA81" s="190" t="s">
        <v>19</v>
      </c>
      <c r="AB81" s="190" t="s">
        <v>19</v>
      </c>
      <c r="AC81" s="190" t="s">
        <v>19</v>
      </c>
      <c r="AD81" s="190" t="s">
        <v>19</v>
      </c>
      <c r="AE81" s="92" t="s">
        <v>23</v>
      </c>
      <c r="AF81" s="92" t="s">
        <v>23</v>
      </c>
      <c r="AG81" s="93">
        <f t="shared" si="15"/>
        <v>1</v>
      </c>
      <c r="AH81" s="93"/>
      <c r="AI81" s="93">
        <v>1</v>
      </c>
      <c r="AJ81" s="93"/>
      <c r="AK81" s="94" t="s">
        <v>31</v>
      </c>
      <c r="AL81" s="107"/>
    </row>
    <row r="82" spans="1:43">
      <c r="A82" s="182">
        <v>44898</v>
      </c>
      <c r="B82" s="88">
        <v>1600</v>
      </c>
      <c r="C82" s="88"/>
      <c r="D82" s="89" cm="1">
        <f t="array" ref="D82">(SUM(VLOOKUP(I82:AF82,$AM$4:$AO$44,2,FALSE))+AG82*10)*IF(AK82="是",$AZ$4,$AZ$3)</f>
        <v>1728</v>
      </c>
      <c r="E82" s="89">
        <f>SUM($B$4:B82)+SUM($C$4:C82)-SUM($D$4:D82)</f>
        <v>496</v>
      </c>
      <c r="F82" s="89" cm="1">
        <f t="array" ref="F82">SUM(VLOOKUP(I82:AF82,$AM$4:$AO$44,3,FALSE))</f>
        <v>600</v>
      </c>
      <c r="G82" s="89">
        <f>SUM($F$4:F82)+SUM($H$4:H82)</f>
        <v>57085</v>
      </c>
      <c r="H82" s="88">
        <v>0</v>
      </c>
      <c r="I82" s="88" t="s">
        <v>23</v>
      </c>
      <c r="J82" s="88" t="s">
        <v>23</v>
      </c>
      <c r="K82" s="88" t="s">
        <v>23</v>
      </c>
      <c r="L82" s="88" t="s">
        <v>23</v>
      </c>
      <c r="M82" s="88" t="s">
        <v>23</v>
      </c>
      <c r="N82" s="88" t="s">
        <v>23</v>
      </c>
      <c r="O82" s="92" t="s">
        <v>23</v>
      </c>
      <c r="P82" s="92" t="s">
        <v>23</v>
      </c>
      <c r="Q82" s="190" t="s">
        <v>19</v>
      </c>
      <c r="R82" s="190" t="s">
        <v>19</v>
      </c>
      <c r="S82" s="190" t="s">
        <v>19</v>
      </c>
      <c r="T82" s="190" t="s">
        <v>19</v>
      </c>
      <c r="U82" s="190" t="s">
        <v>19</v>
      </c>
      <c r="V82" s="190" t="s">
        <v>19</v>
      </c>
      <c r="W82" s="92" t="s">
        <v>23</v>
      </c>
      <c r="X82" s="92" t="s">
        <v>23</v>
      </c>
      <c r="Y82" s="190" t="s">
        <v>19</v>
      </c>
      <c r="Z82" s="190" t="s">
        <v>19</v>
      </c>
      <c r="AA82" s="190" t="s">
        <v>19</v>
      </c>
      <c r="AB82" s="190" t="s">
        <v>19</v>
      </c>
      <c r="AC82" s="190" t="s">
        <v>19</v>
      </c>
      <c r="AD82" s="190" t="s">
        <v>19</v>
      </c>
      <c r="AE82" s="92" t="s">
        <v>23</v>
      </c>
      <c r="AF82" s="92" t="s">
        <v>23</v>
      </c>
      <c r="AG82" s="93">
        <f t="shared" si="15"/>
        <v>0</v>
      </c>
      <c r="AH82" s="93"/>
      <c r="AI82" s="93"/>
      <c r="AJ82" s="93"/>
      <c r="AK82" s="94" t="s">
        <v>31</v>
      </c>
      <c r="AL82" s="107"/>
    </row>
    <row r="83" spans="1:43">
      <c r="A83" s="182">
        <v>44899</v>
      </c>
      <c r="B83" s="88">
        <v>1600</v>
      </c>
      <c r="C83" s="88"/>
      <c r="D83" s="89" cm="1">
        <f t="array" ref="D83">(SUM(VLOOKUP(I83:AF83,$AM$4:$AO$44,2,FALSE))+AG83*10)*IF(AK83="是",$AZ$4,$AZ$3)</f>
        <v>1624</v>
      </c>
      <c r="E83" s="89">
        <f>SUM($B$4:B83)+SUM($C$4:C83)-SUM($D$4:D83)</f>
        <v>472</v>
      </c>
      <c r="F83" s="89" cm="1">
        <f t="array" ref="F83">SUM(VLOOKUP(I83:AF83,$AM$4:$AO$44,3,FALSE))</f>
        <v>580</v>
      </c>
      <c r="G83" s="89">
        <f>SUM($F$4:F83)+SUM($H$4:H83)</f>
        <v>57665</v>
      </c>
      <c r="H83" s="88">
        <v>0</v>
      </c>
      <c r="I83" s="88" t="s">
        <v>23</v>
      </c>
      <c r="J83" s="88" t="s">
        <v>23</v>
      </c>
      <c r="K83" s="88" t="s">
        <v>23</v>
      </c>
      <c r="L83" s="88" t="s">
        <v>23</v>
      </c>
      <c r="M83" s="88" t="s">
        <v>23</v>
      </c>
      <c r="N83" s="88" t="s">
        <v>23</v>
      </c>
      <c r="O83" s="92" t="s">
        <v>23</v>
      </c>
      <c r="P83" s="92" t="s">
        <v>23</v>
      </c>
      <c r="Q83" s="190" t="s">
        <v>19</v>
      </c>
      <c r="R83" s="190" t="s">
        <v>19</v>
      </c>
      <c r="S83" s="190" t="s">
        <v>19</v>
      </c>
      <c r="T83" s="190" t="s">
        <v>19</v>
      </c>
      <c r="U83" s="190" t="s">
        <v>19</v>
      </c>
      <c r="V83" s="190" t="s">
        <v>19</v>
      </c>
      <c r="W83" s="92" t="s">
        <v>23</v>
      </c>
      <c r="X83" s="92" t="s">
        <v>23</v>
      </c>
      <c r="Y83" s="190" t="s">
        <v>19</v>
      </c>
      <c r="Z83" s="190" t="s">
        <v>19</v>
      </c>
      <c r="AA83" s="190" t="s">
        <v>19</v>
      </c>
      <c r="AB83" s="190" t="s">
        <v>19</v>
      </c>
      <c r="AC83" s="185" t="s">
        <v>12</v>
      </c>
      <c r="AD83" s="190" t="s">
        <v>19</v>
      </c>
      <c r="AE83" s="92" t="s">
        <v>23</v>
      </c>
      <c r="AF83" s="92" t="s">
        <v>23</v>
      </c>
      <c r="AG83" s="93">
        <f t="shared" si="15"/>
        <v>0</v>
      </c>
      <c r="AH83" s="93"/>
      <c r="AI83" s="93"/>
      <c r="AJ83" s="93"/>
      <c r="AK83" s="94" t="s">
        <v>31</v>
      </c>
      <c r="AL83" s="107"/>
    </row>
    <row r="84" spans="1:43">
      <c r="A84" s="182">
        <v>44900</v>
      </c>
      <c r="B84" s="89">
        <v>1600</v>
      </c>
      <c r="C84" s="89"/>
      <c r="D84" s="89" cm="1">
        <f t="array" ref="D84">(SUM(VLOOKUP(I84:AF84,$AM$4:$AO$44,2,FALSE))+AG84*10)*IF(AK84="是",$AZ$4,$AZ$3)</f>
        <v>1624</v>
      </c>
      <c r="E84" s="89">
        <f>SUM($B$4:B84)+SUM($C$4:C84)-SUM($D$4:D84)</f>
        <v>448</v>
      </c>
      <c r="F84" s="89" cm="1">
        <f t="array" ref="F84">SUM(VLOOKUP(I84:AF84,$AM$4:$AO$44,3,FALSE))</f>
        <v>580</v>
      </c>
      <c r="G84" s="89">
        <f>SUM($F$4:F84)+SUM($H$4:H84)</f>
        <v>58545</v>
      </c>
      <c r="H84" s="89">
        <v>300</v>
      </c>
      <c r="I84" s="88" t="s">
        <v>23</v>
      </c>
      <c r="J84" s="88" t="s">
        <v>23</v>
      </c>
      <c r="K84" s="88" t="s">
        <v>23</v>
      </c>
      <c r="L84" s="88" t="s">
        <v>23</v>
      </c>
      <c r="M84" s="88" t="s">
        <v>23</v>
      </c>
      <c r="N84" s="88" t="s">
        <v>23</v>
      </c>
      <c r="O84" s="92" t="s">
        <v>23</v>
      </c>
      <c r="P84" s="92" t="s">
        <v>23</v>
      </c>
      <c r="Q84" s="190" t="s">
        <v>19</v>
      </c>
      <c r="R84" s="190" t="s">
        <v>19</v>
      </c>
      <c r="S84" s="190" t="s">
        <v>19</v>
      </c>
      <c r="T84" s="190" t="s">
        <v>19</v>
      </c>
      <c r="U84" s="190" t="s">
        <v>19</v>
      </c>
      <c r="V84" s="185" t="s">
        <v>12</v>
      </c>
      <c r="W84" s="92" t="s">
        <v>23</v>
      </c>
      <c r="X84" s="92" t="s">
        <v>23</v>
      </c>
      <c r="Y84" s="190" t="s">
        <v>19</v>
      </c>
      <c r="Z84" s="190" t="s">
        <v>19</v>
      </c>
      <c r="AA84" s="190" t="s">
        <v>19</v>
      </c>
      <c r="AB84" s="190" t="s">
        <v>19</v>
      </c>
      <c r="AC84" s="190" t="s">
        <v>19</v>
      </c>
      <c r="AD84" s="190" t="s">
        <v>19</v>
      </c>
      <c r="AE84" s="92" t="s">
        <v>23</v>
      </c>
      <c r="AF84" s="92" t="s">
        <v>23</v>
      </c>
      <c r="AG84" s="93">
        <f t="shared" si="15"/>
        <v>0</v>
      </c>
      <c r="AH84" s="93"/>
      <c r="AI84" s="93"/>
      <c r="AJ84" s="93"/>
      <c r="AK84" s="94" t="s">
        <v>31</v>
      </c>
      <c r="AL84" s="107"/>
      <c r="AM84" s="88"/>
      <c r="AN84" s="88"/>
      <c r="AO84" s="88"/>
      <c r="AP84" s="88"/>
      <c r="AQ84" s="88"/>
    </row>
    <row r="85" spans="1:43">
      <c r="A85" s="182">
        <v>44901</v>
      </c>
      <c r="B85" s="89">
        <v>1600</v>
      </c>
      <c r="C85" s="89"/>
      <c r="D85" s="89" cm="1">
        <f t="array" ref="D85">(SUM(VLOOKUP(I85:AF85,$AM$4:$AO$44,2,FALSE))+AG85*10)*IF(AK85="是",$AZ$4,$AZ$3)</f>
        <v>1704</v>
      </c>
      <c r="E85" s="89">
        <f>SUM($B$4:B85)+SUM($C$4:C85)-SUM($D$4:D85)</f>
        <v>344</v>
      </c>
      <c r="F85" s="89" cm="1">
        <f t="array" ref="F85">SUM(VLOOKUP(I85:AF85,$AM$4:$AO$44,3,FALSE))</f>
        <v>585</v>
      </c>
      <c r="G85" s="89">
        <f>SUM($F$4:F85)+SUM($H$4:H85)</f>
        <v>59130</v>
      </c>
      <c r="H85" s="89">
        <v>0</v>
      </c>
      <c r="I85" s="88" t="s">
        <v>23</v>
      </c>
      <c r="J85" s="88" t="s">
        <v>23</v>
      </c>
      <c r="K85" s="88" t="s">
        <v>23</v>
      </c>
      <c r="L85" s="88" t="s">
        <v>23</v>
      </c>
      <c r="M85" s="88" t="s">
        <v>23</v>
      </c>
      <c r="N85" s="88" t="s">
        <v>23</v>
      </c>
      <c r="O85" s="92" t="s">
        <v>23</v>
      </c>
      <c r="P85" s="92" t="s">
        <v>23</v>
      </c>
      <c r="Q85" s="190" t="s">
        <v>19</v>
      </c>
      <c r="R85" s="190" t="s">
        <v>19</v>
      </c>
      <c r="S85" s="184" t="s">
        <v>18</v>
      </c>
      <c r="T85" s="184" t="s">
        <v>18</v>
      </c>
      <c r="U85" s="184" t="s">
        <v>18</v>
      </c>
      <c r="V85" s="190" t="s">
        <v>19</v>
      </c>
      <c r="W85" s="92" t="s">
        <v>23</v>
      </c>
      <c r="X85" s="92" t="s">
        <v>23</v>
      </c>
      <c r="Y85" s="190" t="s">
        <v>19</v>
      </c>
      <c r="Z85" s="190" t="s">
        <v>19</v>
      </c>
      <c r="AA85" s="190" t="s">
        <v>19</v>
      </c>
      <c r="AB85" s="190" t="s">
        <v>19</v>
      </c>
      <c r="AC85" s="190" t="s">
        <v>19</v>
      </c>
      <c r="AD85" s="190" t="s">
        <v>19</v>
      </c>
      <c r="AE85" s="92" t="s">
        <v>23</v>
      </c>
      <c r="AF85" s="92" t="s">
        <v>23</v>
      </c>
      <c r="AG85" s="93">
        <f t="shared" si="15"/>
        <v>0</v>
      </c>
      <c r="AH85" s="93"/>
      <c r="AI85" s="93"/>
      <c r="AJ85" s="93"/>
      <c r="AK85" s="94" t="s">
        <v>31</v>
      </c>
      <c r="AL85" s="107"/>
      <c r="AM85" s="88"/>
      <c r="AN85" s="88"/>
      <c r="AO85" s="88"/>
      <c r="AP85" s="88"/>
      <c r="AQ85" s="88"/>
    </row>
    <row r="86" spans="1:43">
      <c r="A86" s="182">
        <v>44902</v>
      </c>
      <c r="B86" s="89">
        <v>1600</v>
      </c>
      <c r="C86" s="89"/>
      <c r="D86" s="89" cm="1">
        <f t="array" ref="D86">(SUM(VLOOKUP(I86:AF86,$AM$4:$AO$44,2,FALSE))+AG86*10)*IF(AK86="是",$AZ$4,$AZ$3)</f>
        <v>1584</v>
      </c>
      <c r="E86" s="89">
        <f>SUM($B$4:B86)+SUM($C$4:C86)-SUM($D$4:D86)</f>
        <v>360</v>
      </c>
      <c r="F86" s="89" cm="1">
        <f t="array" ref="F86">SUM(VLOOKUP(I86:AF86,$AM$4:$AO$44,3,FALSE))</f>
        <v>565</v>
      </c>
      <c r="G86" s="89">
        <f>SUM($F$4:F86)+SUM($H$4:H86)</f>
        <v>59895</v>
      </c>
      <c r="H86" s="89">
        <v>200</v>
      </c>
      <c r="I86" s="88" t="s">
        <v>23</v>
      </c>
      <c r="J86" s="88" t="s">
        <v>23</v>
      </c>
      <c r="K86" s="88" t="s">
        <v>23</v>
      </c>
      <c r="L86" s="88" t="s">
        <v>23</v>
      </c>
      <c r="M86" s="88" t="s">
        <v>23</v>
      </c>
      <c r="N86" s="88" t="s">
        <v>23</v>
      </c>
      <c r="O86" s="92" t="s">
        <v>23</v>
      </c>
      <c r="P86" s="92" t="s">
        <v>23</v>
      </c>
      <c r="Q86" s="190" t="s">
        <v>19</v>
      </c>
      <c r="R86" s="189" t="s">
        <v>7</v>
      </c>
      <c r="S86" s="184" t="s">
        <v>18</v>
      </c>
      <c r="T86" s="184" t="s">
        <v>18</v>
      </c>
      <c r="U86" s="190" t="s">
        <v>19</v>
      </c>
      <c r="V86" s="190" t="s">
        <v>19</v>
      </c>
      <c r="W86" s="92" t="s">
        <v>23</v>
      </c>
      <c r="X86" s="92" t="s">
        <v>23</v>
      </c>
      <c r="Y86" s="185" t="s">
        <v>12</v>
      </c>
      <c r="Z86" s="190" t="s">
        <v>19</v>
      </c>
      <c r="AA86" s="190" t="s">
        <v>19</v>
      </c>
      <c r="AB86" s="190" t="s">
        <v>19</v>
      </c>
      <c r="AC86" s="190" t="s">
        <v>19</v>
      </c>
      <c r="AD86" s="190" t="s">
        <v>19</v>
      </c>
      <c r="AE86" s="92" t="s">
        <v>23</v>
      </c>
      <c r="AF86" s="92" t="s">
        <v>23</v>
      </c>
      <c r="AG86" s="93">
        <f t="shared" si="15"/>
        <v>0</v>
      </c>
      <c r="AH86" s="93"/>
      <c r="AI86" s="93"/>
      <c r="AJ86" s="93"/>
      <c r="AK86" s="94" t="s">
        <v>31</v>
      </c>
      <c r="AL86" s="107"/>
    </row>
    <row r="87" spans="1:43">
      <c r="A87" s="182">
        <v>44903</v>
      </c>
      <c r="B87" s="89">
        <v>1600</v>
      </c>
      <c r="C87" s="89"/>
      <c r="D87" s="89" cm="1">
        <f t="array" ref="D87">(SUM(VLOOKUP(I87:AF87,$AM$4:$AO$44,2,FALSE))+AG87*10)*IF(AK87="是",$AZ$4,$AZ$3)</f>
        <v>1688</v>
      </c>
      <c r="E87" s="89">
        <f>SUM($B$4:B87)+SUM($C$4:C87)-SUM($D$4:D87)</f>
        <v>272</v>
      </c>
      <c r="F87" s="89" cm="1">
        <f t="array" ref="F87">SUM(VLOOKUP(I87:AF87,$AM$4:$AO$44,3,FALSE))</f>
        <v>585</v>
      </c>
      <c r="G87" s="89">
        <f>SUM($F$4:F87)+SUM($H$4:H87)</f>
        <v>60480</v>
      </c>
      <c r="H87" s="89">
        <v>0</v>
      </c>
      <c r="I87" s="88" t="s">
        <v>23</v>
      </c>
      <c r="J87" s="88" t="s">
        <v>23</v>
      </c>
      <c r="K87" s="88" t="s">
        <v>23</v>
      </c>
      <c r="L87" s="88" t="s">
        <v>23</v>
      </c>
      <c r="M87" s="88" t="s">
        <v>23</v>
      </c>
      <c r="N87" s="88" t="s">
        <v>23</v>
      </c>
      <c r="O87" s="92" t="s">
        <v>23</v>
      </c>
      <c r="P87" s="92" t="s">
        <v>23</v>
      </c>
      <c r="Q87" s="190" t="s">
        <v>19</v>
      </c>
      <c r="R87" s="190" t="s">
        <v>19</v>
      </c>
      <c r="S87" s="190" t="s">
        <v>19</v>
      </c>
      <c r="T87" s="189" t="s">
        <v>7</v>
      </c>
      <c r="U87" s="184" t="s">
        <v>18</v>
      </c>
      <c r="V87" s="184" t="s">
        <v>18</v>
      </c>
      <c r="W87" s="92" t="s">
        <v>23</v>
      </c>
      <c r="X87" s="92" t="s">
        <v>23</v>
      </c>
      <c r="Y87" s="190" t="s">
        <v>19</v>
      </c>
      <c r="Z87" s="190" t="s">
        <v>19</v>
      </c>
      <c r="AA87" s="190" t="s">
        <v>19</v>
      </c>
      <c r="AB87" s="190" t="s">
        <v>19</v>
      </c>
      <c r="AC87" s="190" t="s">
        <v>19</v>
      </c>
      <c r="AD87" s="190" t="s">
        <v>19</v>
      </c>
      <c r="AE87" s="92" t="s">
        <v>23</v>
      </c>
      <c r="AF87" s="92" t="s">
        <v>23</v>
      </c>
      <c r="AG87" s="93">
        <f t="shared" si="15"/>
        <v>0</v>
      </c>
      <c r="AH87" s="93"/>
      <c r="AI87" s="93"/>
      <c r="AJ87" s="93"/>
      <c r="AK87" s="94" t="s">
        <v>31</v>
      </c>
      <c r="AL87" s="107"/>
    </row>
    <row r="88" spans="1:43">
      <c r="A88" s="182">
        <v>44904</v>
      </c>
      <c r="B88" s="89">
        <v>1600</v>
      </c>
      <c r="C88" s="89"/>
      <c r="D88" s="89" cm="1">
        <f t="array" ref="D88">(SUM(VLOOKUP(I88:AF88,$AM$4:$AO$44,2,FALSE))+AG88*10)*IF(AK88="是",$AZ$4,$AZ$3)</f>
        <v>1552</v>
      </c>
      <c r="E88" s="89">
        <f>SUM($B$4:B88)+SUM($C$4:C88)-SUM($D$4:D88)</f>
        <v>320</v>
      </c>
      <c r="F88" s="89" cm="1">
        <f t="array" ref="F88">SUM(VLOOKUP(I88:AF88,$AM$4:$AO$44,3,FALSE))</f>
        <v>545</v>
      </c>
      <c r="G88" s="89">
        <f>SUM($F$4:F88)+SUM($H$4:H88)</f>
        <v>61025</v>
      </c>
      <c r="H88" s="89">
        <v>0</v>
      </c>
      <c r="I88" s="88" t="s">
        <v>23</v>
      </c>
      <c r="J88" s="88" t="s">
        <v>23</v>
      </c>
      <c r="K88" s="88" t="s">
        <v>23</v>
      </c>
      <c r="L88" s="88" t="s">
        <v>23</v>
      </c>
      <c r="M88" s="88" t="s">
        <v>23</v>
      </c>
      <c r="N88" s="88" t="s">
        <v>23</v>
      </c>
      <c r="O88" s="92" t="s">
        <v>23</v>
      </c>
      <c r="P88" s="92" t="s">
        <v>23</v>
      </c>
      <c r="Q88" s="184" t="s">
        <v>18</v>
      </c>
      <c r="R88" s="184" t="s">
        <v>18</v>
      </c>
      <c r="S88" s="185" t="s">
        <v>12</v>
      </c>
      <c r="T88" s="190" t="s">
        <v>19</v>
      </c>
      <c r="U88" s="190" t="s">
        <v>19</v>
      </c>
      <c r="V88" s="190" t="s">
        <v>19</v>
      </c>
      <c r="W88" s="92" t="s">
        <v>23</v>
      </c>
      <c r="X88" s="92" t="s">
        <v>23</v>
      </c>
      <c r="Y88" s="189" t="s">
        <v>7</v>
      </c>
      <c r="Z88" s="184" t="s">
        <v>18</v>
      </c>
      <c r="AA88" s="184" t="s">
        <v>18</v>
      </c>
      <c r="AB88" s="190" t="s">
        <v>19</v>
      </c>
      <c r="AC88" s="184" t="s">
        <v>18</v>
      </c>
      <c r="AD88" s="184" t="s">
        <v>18</v>
      </c>
      <c r="AE88" s="92" t="s">
        <v>23</v>
      </c>
      <c r="AF88" s="92" t="s">
        <v>23</v>
      </c>
      <c r="AG88" s="93">
        <f t="shared" si="15"/>
        <v>0</v>
      </c>
      <c r="AH88" s="93"/>
      <c r="AI88" s="93"/>
      <c r="AJ88" s="93"/>
      <c r="AK88" s="94" t="s">
        <v>31</v>
      </c>
      <c r="AL88" s="107"/>
    </row>
    <row r="89" spans="1:43">
      <c r="A89" s="182">
        <v>44905</v>
      </c>
      <c r="B89" s="89">
        <v>1600</v>
      </c>
      <c r="C89" s="89"/>
      <c r="D89" s="89" cm="1">
        <f t="array" ref="D89">(SUM(VLOOKUP(I89:AF89,$AM$4:$AO$44,2,FALSE))+AG89*10)*IF(AK89="是",$AZ$4,$AZ$3)</f>
        <v>1616</v>
      </c>
      <c r="E89" s="89">
        <f>SUM($B$4:B89)+SUM($C$4:C89)-SUM($D$4:D89)</f>
        <v>304</v>
      </c>
      <c r="F89" s="89" cm="1">
        <f t="array" ref="F89">SUM(VLOOKUP(I89:AF89,$AM$4:$AO$44,3,FALSE))</f>
        <v>575</v>
      </c>
      <c r="G89" s="89">
        <f>SUM($F$4:F89)+SUM($H$4:H89)</f>
        <v>61600</v>
      </c>
      <c r="H89" s="89">
        <v>0</v>
      </c>
      <c r="I89" s="88" t="s">
        <v>23</v>
      </c>
      <c r="J89" s="88" t="s">
        <v>23</v>
      </c>
      <c r="K89" s="88" t="s">
        <v>23</v>
      </c>
      <c r="L89" s="88" t="s">
        <v>23</v>
      </c>
      <c r="M89" s="88" t="s">
        <v>23</v>
      </c>
      <c r="N89" s="88" t="s">
        <v>23</v>
      </c>
      <c r="O89" s="92" t="s">
        <v>23</v>
      </c>
      <c r="P89" s="92" t="s">
        <v>23</v>
      </c>
      <c r="Q89" s="193" t="s">
        <v>20</v>
      </c>
      <c r="R89" s="193" t="s">
        <v>20</v>
      </c>
      <c r="S89" s="193" t="s">
        <v>20</v>
      </c>
      <c r="T89" s="193" t="s">
        <v>20</v>
      </c>
      <c r="U89" s="185" t="s">
        <v>12</v>
      </c>
      <c r="V89" s="193" t="s">
        <v>20</v>
      </c>
      <c r="W89" s="92" t="s">
        <v>23</v>
      </c>
      <c r="X89" s="92" t="s">
        <v>23</v>
      </c>
      <c r="Y89" s="184" t="s">
        <v>18</v>
      </c>
      <c r="Z89" s="184" t="s">
        <v>18</v>
      </c>
      <c r="AA89" s="184" t="s">
        <v>18</v>
      </c>
      <c r="AB89" s="184" t="s">
        <v>18</v>
      </c>
      <c r="AC89" s="184" t="s">
        <v>18</v>
      </c>
      <c r="AD89" s="184" t="s">
        <v>18</v>
      </c>
      <c r="AE89" s="92" t="s">
        <v>23</v>
      </c>
      <c r="AF89" s="92" t="s">
        <v>23</v>
      </c>
      <c r="AG89" s="93">
        <f t="shared" si="15"/>
        <v>0</v>
      </c>
      <c r="AH89" s="93"/>
      <c r="AI89" s="93"/>
      <c r="AJ89" s="93"/>
      <c r="AK89" s="94" t="s">
        <v>31</v>
      </c>
      <c r="AL89" s="107"/>
    </row>
    <row r="90" spans="1:43">
      <c r="A90" s="182">
        <v>44906</v>
      </c>
      <c r="B90" s="89">
        <v>1600</v>
      </c>
      <c r="C90" s="89"/>
      <c r="D90" s="89" cm="1">
        <f t="array" ref="D90">(SUM(VLOOKUP(I90:AF90,$AM$4:$AO$44,2,FALSE))+AG90*10)*IF(AK90="是",$AZ$4,$AZ$3)</f>
        <v>1696</v>
      </c>
      <c r="E90" s="89">
        <f>SUM($B$4:B90)+SUM($C$4:C90)-SUM($D$4:D90)</f>
        <v>208</v>
      </c>
      <c r="F90" s="89" cm="1">
        <f t="array" ref="F90">SUM(VLOOKUP(I90:AF90,$AM$4:$AO$44,3,FALSE))</f>
        <v>600</v>
      </c>
      <c r="G90" s="89">
        <f>SUM($F$4:F90)+SUM($H$4:H90)</f>
        <v>62200</v>
      </c>
      <c r="H90" s="89">
        <v>0</v>
      </c>
      <c r="I90" s="88" t="s">
        <v>23</v>
      </c>
      <c r="J90" s="88" t="s">
        <v>23</v>
      </c>
      <c r="K90" s="88" t="s">
        <v>23</v>
      </c>
      <c r="L90" s="88" t="s">
        <v>23</v>
      </c>
      <c r="M90" s="88" t="s">
        <v>23</v>
      </c>
      <c r="N90" s="88" t="s">
        <v>23</v>
      </c>
      <c r="O90" s="92" t="s">
        <v>23</v>
      </c>
      <c r="P90" s="92" t="s">
        <v>23</v>
      </c>
      <c r="Q90" s="193" t="s">
        <v>20</v>
      </c>
      <c r="R90" s="193" t="s">
        <v>20</v>
      </c>
      <c r="S90" s="193" t="s">
        <v>20</v>
      </c>
      <c r="T90" s="193" t="s">
        <v>20</v>
      </c>
      <c r="U90" s="193" t="s">
        <v>20</v>
      </c>
      <c r="V90" s="206" t="s">
        <v>9</v>
      </c>
      <c r="W90" s="92" t="s">
        <v>23</v>
      </c>
      <c r="X90" s="92" t="s">
        <v>23</v>
      </c>
      <c r="Y90" s="184" t="s">
        <v>18</v>
      </c>
      <c r="Z90" s="184" t="s">
        <v>18</v>
      </c>
      <c r="AA90" s="184" t="s">
        <v>18</v>
      </c>
      <c r="AB90" s="184" t="s">
        <v>18</v>
      </c>
      <c r="AC90" s="184" t="s">
        <v>18</v>
      </c>
      <c r="AD90" s="184" t="s">
        <v>18</v>
      </c>
      <c r="AE90" s="92" t="s">
        <v>23</v>
      </c>
      <c r="AF90" s="92" t="s">
        <v>23</v>
      </c>
      <c r="AG90" s="93">
        <f t="shared" si="15"/>
        <v>0</v>
      </c>
      <c r="AH90" s="93"/>
      <c r="AI90" s="93"/>
      <c r="AJ90" s="93"/>
      <c r="AK90" s="94" t="s">
        <v>31</v>
      </c>
      <c r="AL90" s="107"/>
    </row>
    <row r="91" spans="1:43">
      <c r="A91" s="182">
        <v>44907</v>
      </c>
      <c r="B91" s="88">
        <v>1600</v>
      </c>
      <c r="C91" s="88"/>
      <c r="D91" s="89" cm="1">
        <f t="array" ref="D91">(SUM(VLOOKUP(I91:AF91,$AM$4:$AO$44,2,FALSE))+AG91*10)*IF(AK91="是",$AZ$4,$AZ$3)</f>
        <v>1760</v>
      </c>
      <c r="E91" s="89">
        <f>SUM($B$4:B91)+SUM($C$4:C91)-SUM($D$4:D91)</f>
        <v>48</v>
      </c>
      <c r="F91" s="89" cm="1">
        <f t="array" ref="F91">SUM(VLOOKUP(I91:AF91,$AM$4:$AO$44,3,FALSE))</f>
        <v>620</v>
      </c>
      <c r="G91" s="89">
        <f>SUM($F$4:F91)+SUM($H$4:H91)</f>
        <v>63120</v>
      </c>
      <c r="H91" s="88">
        <v>300</v>
      </c>
      <c r="I91" s="88" t="s">
        <v>23</v>
      </c>
      <c r="J91" s="88" t="s">
        <v>23</v>
      </c>
      <c r="K91" s="88" t="s">
        <v>23</v>
      </c>
      <c r="L91" s="88" t="s">
        <v>23</v>
      </c>
      <c r="M91" s="88" t="s">
        <v>23</v>
      </c>
      <c r="N91" s="88" t="s">
        <v>23</v>
      </c>
      <c r="O91" s="92" t="s">
        <v>23</v>
      </c>
      <c r="P91" s="92" t="s">
        <v>23</v>
      </c>
      <c r="Q91" s="193" t="s">
        <v>20</v>
      </c>
      <c r="R91" s="193" t="s">
        <v>20</v>
      </c>
      <c r="S91" s="193" t="s">
        <v>20</v>
      </c>
      <c r="T91" s="193" t="s">
        <v>20</v>
      </c>
      <c r="U91" s="193" t="s">
        <v>20</v>
      </c>
      <c r="V91" s="193" t="s">
        <v>20</v>
      </c>
      <c r="W91" s="92" t="s">
        <v>23</v>
      </c>
      <c r="X91" s="92" t="s">
        <v>23</v>
      </c>
      <c r="Y91" s="184" t="s">
        <v>18</v>
      </c>
      <c r="Z91" s="190" t="s">
        <v>19</v>
      </c>
      <c r="AA91" s="190" t="s">
        <v>19</v>
      </c>
      <c r="AB91" s="190" t="s">
        <v>19</v>
      </c>
      <c r="AC91" s="190" t="s">
        <v>19</v>
      </c>
      <c r="AD91" s="184" t="s">
        <v>18</v>
      </c>
      <c r="AE91" s="92" t="s">
        <v>23</v>
      </c>
      <c r="AF91" s="92" t="s">
        <v>23</v>
      </c>
      <c r="AG91" s="93">
        <f t="shared" si="15"/>
        <v>0</v>
      </c>
      <c r="AH91" s="93"/>
      <c r="AI91" s="93"/>
      <c r="AJ91" s="93"/>
      <c r="AK91" s="94" t="s">
        <v>31</v>
      </c>
      <c r="AL91" s="107"/>
    </row>
    <row r="92" spans="1:43">
      <c r="A92" s="182">
        <v>44908</v>
      </c>
      <c r="B92" s="88">
        <v>1600</v>
      </c>
      <c r="C92" s="88"/>
      <c r="D92" s="89" cm="1">
        <f t="array" ref="D92">(SUM(VLOOKUP(I92:AF92,$AM$4:$AO$44,2,FALSE))+AG92*10)*IF(AK92="是",$AZ$4,$AZ$3)</f>
        <v>1568</v>
      </c>
      <c r="E92" s="89">
        <f>SUM($B$4:B92)+SUM($C$4:C92)-SUM($D$4:D92)</f>
        <v>80</v>
      </c>
      <c r="F92" s="89" cm="1">
        <f t="array" ref="F92">SUM(VLOOKUP(I92:AF92,$AM$4:$AO$44,3,FALSE))</f>
        <v>540</v>
      </c>
      <c r="G92" s="89">
        <f>SUM($F$4:F92)+SUM($H$4:H92)</f>
        <v>63660</v>
      </c>
      <c r="H92" s="88">
        <v>0</v>
      </c>
      <c r="I92" s="88" t="s">
        <v>23</v>
      </c>
      <c r="J92" s="88" t="s">
        <v>23</v>
      </c>
      <c r="K92" s="88" t="s">
        <v>23</v>
      </c>
      <c r="L92" s="88" t="s">
        <v>23</v>
      </c>
      <c r="M92" s="88" t="s">
        <v>23</v>
      </c>
      <c r="N92" s="88" t="s">
        <v>23</v>
      </c>
      <c r="O92" s="92" t="s">
        <v>23</v>
      </c>
      <c r="P92" s="92" t="s">
        <v>23</v>
      </c>
      <c r="Q92" s="193" t="s">
        <v>20</v>
      </c>
      <c r="R92" s="193" t="s">
        <v>20</v>
      </c>
      <c r="S92" s="193" t="s">
        <v>20</v>
      </c>
      <c r="T92" s="193" t="s">
        <v>20</v>
      </c>
      <c r="U92" s="190" t="s">
        <v>19</v>
      </c>
      <c r="V92" s="88" t="s">
        <v>23</v>
      </c>
      <c r="W92" s="92" t="s">
        <v>23</v>
      </c>
      <c r="X92" s="92" t="s">
        <v>23</v>
      </c>
      <c r="Y92" s="184" t="s">
        <v>18</v>
      </c>
      <c r="Z92" s="184" t="s">
        <v>18</v>
      </c>
      <c r="AA92" s="184" t="s">
        <v>18</v>
      </c>
      <c r="AB92" s="184" t="s">
        <v>18</v>
      </c>
      <c r="AC92" s="184" t="s">
        <v>18</v>
      </c>
      <c r="AD92" s="184" t="s">
        <v>18</v>
      </c>
      <c r="AE92" s="92" t="s">
        <v>23</v>
      </c>
      <c r="AF92" s="92" t="s">
        <v>23</v>
      </c>
      <c r="AG92" s="93">
        <f t="shared" si="15"/>
        <v>0</v>
      </c>
      <c r="AH92" s="93"/>
      <c r="AI92" s="93"/>
      <c r="AJ92" s="93"/>
      <c r="AK92" s="94" t="s">
        <v>31</v>
      </c>
      <c r="AL92" s="107"/>
    </row>
    <row r="93" spans="1:43">
      <c r="A93" s="115">
        <v>44909</v>
      </c>
      <c r="B93" s="109">
        <v>1600</v>
      </c>
      <c r="C93" s="109"/>
      <c r="D93" s="108" cm="1">
        <f t="array" ref="D93">(SUM(VLOOKUP(I93:AF93,$AM$4:$AO$44,2,FALSE))+AG93*10)*IF(AK93="是",$AZ$4,$AZ$3)</f>
        <v>1600</v>
      </c>
      <c r="E93" s="169">
        <f>SUM($B$4:B93)+SUM($C$4:C93)-SUM($D$4:D93)</f>
        <v>80</v>
      </c>
      <c r="F93" s="108" cm="1">
        <f t="array" ref="F93">SUM(VLOOKUP(I93:AF93,$AM$4:$AO$44,3,FALSE))</f>
        <v>570</v>
      </c>
      <c r="G93" s="122">
        <f>SUM($F$4:F93)+SUM($H$4:H93)</f>
        <v>64430</v>
      </c>
      <c r="H93" s="109">
        <v>200</v>
      </c>
      <c r="I93" s="20" t="s">
        <v>16</v>
      </c>
      <c r="J93" s="28" t="s">
        <v>12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109" t="s">
        <v>23</v>
      </c>
      <c r="W93" s="110" t="s">
        <v>23</v>
      </c>
      <c r="X93" s="110" t="s">
        <v>23</v>
      </c>
      <c r="Y93" s="22" t="s">
        <v>18</v>
      </c>
      <c r="Z93" s="22" t="s">
        <v>18</v>
      </c>
      <c r="AA93" s="28" t="s">
        <v>12</v>
      </c>
      <c r="AB93" s="22" t="s">
        <v>18</v>
      </c>
      <c r="AC93" s="22" t="s">
        <v>18</v>
      </c>
      <c r="AD93" s="22" t="s">
        <v>18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3" ht="15" thickBot="1">
      <c r="A94" s="115">
        <v>44910</v>
      </c>
      <c r="B94" s="109">
        <v>1600</v>
      </c>
      <c r="C94" s="109"/>
      <c r="D94" s="108" cm="1">
        <f t="array" ref="D94">(SUM(VLOOKUP(I94:AF94,$AM$4:$AO$44,2,FALSE))+AG94*10)*IF(AK94="是",$AZ$4,$AZ$3)</f>
        <v>1680</v>
      </c>
      <c r="E94" s="169">
        <f>SUM($B$4:B94)+SUM($C$4:C94)-SUM($D$4:D94)</f>
        <v>0</v>
      </c>
      <c r="F94" s="108" cm="1">
        <f t="array" ref="F94">SUM(VLOOKUP(I94:AF94,$AM$4:$AO$44,3,FALSE))</f>
        <v>580</v>
      </c>
      <c r="G94" s="122">
        <f>SUM($F$4:F94)+SUM($H$4:H94)</f>
        <v>65010</v>
      </c>
      <c r="H94" s="109">
        <v>0</v>
      </c>
      <c r="I94" s="20" t="s">
        <v>16</v>
      </c>
      <c r="J94" s="20" t="s">
        <v>16</v>
      </c>
      <c r="K94" s="20" t="s">
        <v>16</v>
      </c>
      <c r="L94" s="28" t="s">
        <v>12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109" t="s">
        <v>23</v>
      </c>
      <c r="W94" s="110" t="s">
        <v>23</v>
      </c>
      <c r="X94" s="110" t="s">
        <v>23</v>
      </c>
      <c r="Y94" s="22" t="s">
        <v>18</v>
      </c>
      <c r="Z94" s="21" t="s">
        <v>17</v>
      </c>
      <c r="AA94" s="21" t="s">
        <v>17</v>
      </c>
      <c r="AB94" s="21" t="s">
        <v>17</v>
      </c>
      <c r="AC94" s="28" t="s">
        <v>12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{DA83866B-C5CF-48EF-8291-3728A9CCCC7B}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83866B-C5CF-48EF-8291-3728A9CCCC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C3AB-C49C-4405-9A18-B2F115333CAA}">
  <dimension ref="A1:BC96"/>
  <sheetViews>
    <sheetView zoomScaleNormal="100" workbookViewId="0">
      <pane xSplit="8" ySplit="3" topLeftCell="I70" activePane="bottomRight" state="frozen"/>
      <selection pane="topRight" activeCell="I1" sqref="I1"/>
      <selection pane="bottomLeft" activeCell="A4" sqref="A4"/>
      <selection pane="bottomRight" activeCell="Q7" sqref="Q7:AD7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4" ht="28.2" customHeight="1" thickBot="1">
      <c r="A1" s="215">
        <f ca="1">(_xlfn.DAYS(TODAY(),A4)+2)/((_xlfn.DAYS(A94,A4))+1)</f>
        <v>1.9780219780219781</v>
      </c>
      <c r="B1" s="216"/>
      <c r="C1" s="216"/>
      <c r="D1" s="216"/>
      <c r="E1" s="216"/>
      <c r="F1" s="216"/>
      <c r="G1" s="216"/>
      <c r="H1" s="217"/>
      <c r="I1" s="218" t="s">
        <v>37</v>
      </c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/>
      <c r="AH1" s="42"/>
      <c r="AI1" s="42"/>
      <c r="AJ1" s="42"/>
      <c r="AM1" s="214" t="s">
        <v>42</v>
      </c>
      <c r="AN1" s="214"/>
      <c r="AO1" s="214"/>
      <c r="AP1" s="174"/>
      <c r="AQ1" s="174"/>
      <c r="AT1" t="s">
        <v>82</v>
      </c>
      <c r="AU1">
        <f>SUM(D4:D94)+150*AU18+160*AU28</f>
        <v>153162</v>
      </c>
    </row>
    <row r="2" spans="1:54" ht="16.2" customHeight="1" thickBot="1">
      <c r="A2" t="s">
        <v>101</v>
      </c>
      <c r="B2" s="120" t="s">
        <v>84</v>
      </c>
      <c r="C2" s="119" cm="1">
        <f t="array" ref="C2">SUM(VLOOKUP(I4:P9,$AM$4:$AP$44,4,FALSE))+SUM(VLOOKUP(Q4:AF11,$AM$4:$AP$44,4,FALSE))+SUM(AG4:AG9)*10</f>
        <v>3327.9943423939658</v>
      </c>
      <c r="D2" s="222" t="s">
        <v>35</v>
      </c>
      <c r="E2" s="223"/>
      <c r="F2" s="224">
        <f>SUM(F4:F94)+SUM(H4:H94)</f>
        <v>65005</v>
      </c>
      <c r="G2" s="224"/>
      <c r="H2" s="225"/>
      <c r="I2" s="242" t="s">
        <v>48</v>
      </c>
      <c r="J2" s="243"/>
      <c r="K2" s="177" t="s">
        <v>46</v>
      </c>
      <c r="L2" s="177">
        <f>COUNTIF(I4:P94,"&lt;&gt;空")</f>
        <v>32</v>
      </c>
      <c r="M2" s="243" t="s">
        <v>45</v>
      </c>
      <c r="N2" s="243"/>
      <c r="O2" s="243"/>
      <c r="P2" s="244"/>
      <c r="Q2" s="230" t="s">
        <v>49</v>
      </c>
      <c r="R2" s="231"/>
      <c r="S2" s="175" t="s">
        <v>46</v>
      </c>
      <c r="T2" s="175">
        <f>COUNTIF(Q4:X94,"&lt;&gt;空")</f>
        <v>531</v>
      </c>
      <c r="U2" s="231" t="s">
        <v>45</v>
      </c>
      <c r="V2" s="231"/>
      <c r="W2" s="231"/>
      <c r="X2" s="232"/>
      <c r="Y2" s="238" t="s">
        <v>33</v>
      </c>
      <c r="Z2" s="239"/>
      <c r="AA2" s="153" t="s">
        <v>44</v>
      </c>
      <c r="AB2" s="176">
        <f>COUNTIF(Y4:AF94,"&lt;&gt;空")</f>
        <v>513</v>
      </c>
      <c r="AC2" s="239" t="s">
        <v>45</v>
      </c>
      <c r="AD2" s="239"/>
      <c r="AE2" s="239"/>
      <c r="AF2" s="240"/>
      <c r="AG2" s="41">
        <f>SUM(AG4:AG94)</f>
        <v>26</v>
      </c>
      <c r="AH2" s="41">
        <f>SUM(AH4:AH94)</f>
        <v>0</v>
      </c>
      <c r="AI2" s="41">
        <f>SUM(AI4:AI94)</f>
        <v>12</v>
      </c>
      <c r="AJ2" s="41">
        <f>SUM(AJ4:AJ94)</f>
        <v>14</v>
      </c>
      <c r="AK2" s="211" t="s">
        <v>29</v>
      </c>
      <c r="AM2" s="221"/>
      <c r="AN2" s="221"/>
      <c r="AO2" s="221"/>
      <c r="AP2" s="117"/>
      <c r="AQ2" s="117"/>
      <c r="AT2" t="s">
        <v>60</v>
      </c>
      <c r="AU2">
        <f>SUM(AU4:AU29)</f>
        <v>1076</v>
      </c>
      <c r="AW2" t="s">
        <v>61</v>
      </c>
      <c r="AX2" s="4">
        <f>SUM(AV4:AX29)+7000</f>
        <v>65005</v>
      </c>
      <c r="AY2" s="10"/>
      <c r="AZ2" s="11" t="s">
        <v>32</v>
      </c>
    </row>
    <row r="3" spans="1:54" ht="29.4" thickBot="1">
      <c r="A3" s="17" t="s">
        <v>36</v>
      </c>
      <c r="B3" s="16" t="s">
        <v>104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4" ht="15" thickBot="1">
      <c r="A4" s="115">
        <v>44820</v>
      </c>
      <c r="B4" s="108">
        <v>800</v>
      </c>
      <c r="C4" s="108">
        <v>6000</v>
      </c>
      <c r="D4" s="108" cm="1">
        <f t="array" ref="D4">(SUM(VLOOKUP(I4:AF4,$AM$4:$AO$44,2,FALSE))+AG4*10)*IF(AK4="是",$AZ$4,$AZ$3)</f>
        <v>2930</v>
      </c>
      <c r="E4" s="169">
        <f>SUM($B$4:B4)+SUM($C$4:C4)-SUM($D$4:D4)</f>
        <v>3870</v>
      </c>
      <c r="F4" s="108" cm="1">
        <f t="array" ref="F4">SUM(VLOOKUP(I4:AF4,$AM$4:$AO$44,3,FALSE))</f>
        <v>1355</v>
      </c>
      <c r="G4" s="122">
        <f>SUM($F$4:F4)+SUM($H$4:H4)</f>
        <v>1855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0" t="s">
        <v>16</v>
      </c>
      <c r="R4" s="20" t="s">
        <v>16</v>
      </c>
      <c r="S4" s="20" t="s">
        <v>16</v>
      </c>
      <c r="T4" s="20" t="s">
        <v>16</v>
      </c>
      <c r="U4" s="20" t="s">
        <v>16</v>
      </c>
      <c r="V4" s="20" t="s">
        <v>16</v>
      </c>
      <c r="W4" s="110" t="s">
        <v>23</v>
      </c>
      <c r="X4" s="110" t="s">
        <v>23</v>
      </c>
      <c r="Y4" s="21" t="s">
        <v>17</v>
      </c>
      <c r="Z4" s="124" t="s">
        <v>87</v>
      </c>
      <c r="AA4" s="21" t="s">
        <v>17</v>
      </c>
      <c r="AB4" s="22" t="s">
        <v>18</v>
      </c>
      <c r="AC4" s="22" t="s">
        <v>18</v>
      </c>
      <c r="AD4" s="30" t="s">
        <v>88</v>
      </c>
      <c r="AE4" s="22" t="s">
        <v>18</v>
      </c>
      <c r="AF4" s="110" t="s">
        <v>23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14</v>
      </c>
      <c r="AS4" s="19">
        <f t="shared" ref="AS4:AS26" si="1">COUNTIF($Q$4:$X$94,AM4)</f>
        <v>7</v>
      </c>
      <c r="AT4" s="19">
        <f t="shared" ref="AT4:AT26" si="2">COUNTIF($Y$4:$AF$94,AM4)</f>
        <v>4</v>
      </c>
      <c r="AU4" s="19">
        <f>AR4+AS4+AT4</f>
        <v>25</v>
      </c>
      <c r="AV4" s="50">
        <f>AR4*$AO4</f>
        <v>490</v>
      </c>
      <c r="AW4" s="50">
        <f t="shared" ref="AW4:AX19" si="3">AS4*$AO4</f>
        <v>245</v>
      </c>
      <c r="AX4" s="50">
        <f t="shared" si="3"/>
        <v>140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</row>
    <row r="5" spans="1:54">
      <c r="A5" s="115">
        <v>44821</v>
      </c>
      <c r="B5" s="108">
        <v>1600</v>
      </c>
      <c r="C5" s="108"/>
      <c r="D5" s="108" cm="1">
        <f t="array" ref="D5">(SUM(VLOOKUP(I5:AF5,$AM$4:$AO$44,2,FALSE))+AG5*10)*IF(AK5="是",$AZ$4,$AZ$3)</f>
        <v>1770</v>
      </c>
      <c r="E5" s="169">
        <f>SUM($B$4:B5)+SUM($C$4:C5)-SUM($D$4:D5)</f>
        <v>3700</v>
      </c>
      <c r="F5" s="108" cm="1">
        <f t="array" ref="F5">SUM(VLOOKUP(I5:AF5,$AM$4:$AO$44,3,FALSE))</f>
        <v>510</v>
      </c>
      <c r="G5" s="122">
        <f>SUM($F$4:F5)+SUM($H$4:H5)</f>
        <v>2365</v>
      </c>
      <c r="H5" s="108">
        <v>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22" t="s">
        <v>18</v>
      </c>
      <c r="R5" s="22" t="s">
        <v>18</v>
      </c>
      <c r="S5" s="22" t="s">
        <v>18</v>
      </c>
      <c r="T5" s="22" t="s">
        <v>18</v>
      </c>
      <c r="U5" s="28" t="s">
        <v>12</v>
      </c>
      <c r="V5" s="22" t="s">
        <v>18</v>
      </c>
      <c r="W5" s="110" t="s">
        <v>23</v>
      </c>
      <c r="X5" s="110" t="s">
        <v>23</v>
      </c>
      <c r="Y5" s="22" t="s">
        <v>18</v>
      </c>
      <c r="Z5" s="28" t="s">
        <v>12</v>
      </c>
      <c r="AA5" s="21" t="s">
        <v>17</v>
      </c>
      <c r="AB5" s="29" t="s">
        <v>13</v>
      </c>
      <c r="AC5" s="20" t="s">
        <v>16</v>
      </c>
      <c r="AD5" s="20" t="s">
        <v>16</v>
      </c>
      <c r="AE5" s="20" t="s">
        <v>16</v>
      </c>
      <c r="AF5" s="20" t="s">
        <v>16</v>
      </c>
      <c r="AG5" s="111">
        <f t="shared" ref="AG5:AG68" si="4">AH5+AI5+AJ5</f>
        <v>4</v>
      </c>
      <c r="AH5" s="111"/>
      <c r="AI5" s="111">
        <v>4</v>
      </c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6</v>
      </c>
      <c r="AS5" s="19">
        <f t="shared" si="1"/>
        <v>17</v>
      </c>
      <c r="AT5" s="19">
        <f t="shared" si="2"/>
        <v>26</v>
      </c>
      <c r="AU5" s="19">
        <f t="shared" ref="AU5:AU26" si="6">AR5+AS5+AT5</f>
        <v>49</v>
      </c>
      <c r="AV5" s="50">
        <f t="shared" ref="AV5:AX29" si="7">AR5*$AO5</f>
        <v>240</v>
      </c>
      <c r="AW5" s="50">
        <f t="shared" si="3"/>
        <v>680</v>
      </c>
      <c r="AX5" s="50">
        <f t="shared" si="3"/>
        <v>1040</v>
      </c>
      <c r="AY5" s="213" t="s">
        <v>34</v>
      </c>
      <c r="AZ5" s="213"/>
      <c r="BA5" s="53">
        <f t="shared" ref="BA5" si="8">AO5/BB5</f>
        <v>0.3125</v>
      </c>
      <c r="BB5">
        <f t="shared" ref="BB5:BB29" si="9">AN5*0.8</f>
        <v>128</v>
      </c>
    </row>
    <row r="6" spans="1:54">
      <c r="A6" s="115">
        <v>44822</v>
      </c>
      <c r="B6" s="108">
        <v>1600</v>
      </c>
      <c r="C6" s="108"/>
      <c r="D6" s="108" cm="1">
        <f t="array" ref="D6">(SUM(VLOOKUP(I6:AF6,$AM$4:$AO$44,2,FALSE))+AG6*10)*IF(AK6="是",$AZ$4,$AZ$3)</f>
        <v>1950</v>
      </c>
      <c r="E6" s="169">
        <f>SUM($B$4:B6)+SUM($C$4:C6)-SUM($D$4:D6)</f>
        <v>3350</v>
      </c>
      <c r="F6" s="108" cm="1">
        <f t="array" ref="F6">SUM(VLOOKUP(I6:AF6,$AM$4:$AO$44,3,FALSE))</f>
        <v>525</v>
      </c>
      <c r="G6" s="122">
        <f>SUM($F$4:F6)+SUM($H$4:H6)</f>
        <v>2890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30" t="s">
        <v>89</v>
      </c>
      <c r="R6" s="22" t="s">
        <v>18</v>
      </c>
      <c r="S6" s="21" t="s">
        <v>17</v>
      </c>
      <c r="T6" s="21" t="s">
        <v>17</v>
      </c>
      <c r="U6" s="21" t="s">
        <v>17</v>
      </c>
      <c r="V6" s="21" t="s">
        <v>17</v>
      </c>
      <c r="W6" s="110" t="s">
        <v>23</v>
      </c>
      <c r="X6" s="110" t="s">
        <v>23</v>
      </c>
      <c r="Y6" s="28" t="s">
        <v>12</v>
      </c>
      <c r="Z6" s="21" t="s">
        <v>17</v>
      </c>
      <c r="AA6" s="21" t="s">
        <v>17</v>
      </c>
      <c r="AB6" s="21" t="s">
        <v>17</v>
      </c>
      <c r="AC6" s="29" t="s">
        <v>13</v>
      </c>
      <c r="AD6" s="21" t="s">
        <v>17</v>
      </c>
      <c r="AE6" s="21" t="s">
        <v>17</v>
      </c>
      <c r="AF6" s="22" t="s">
        <v>18</v>
      </c>
      <c r="AG6" s="111">
        <f t="shared" si="4"/>
        <v>10</v>
      </c>
      <c r="AH6" s="111"/>
      <c r="AI6" s="111">
        <v>5</v>
      </c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4</v>
      </c>
      <c r="AS6" s="19">
        <f t="shared" si="1"/>
        <v>115</v>
      </c>
      <c r="AT6" s="19">
        <f t="shared" si="2"/>
        <v>97</v>
      </c>
      <c r="AU6" s="19">
        <f t="shared" si="6"/>
        <v>216</v>
      </c>
      <c r="AV6" s="50">
        <f t="shared" si="7"/>
        <v>180</v>
      </c>
      <c r="AW6" s="50">
        <f t="shared" si="3"/>
        <v>5175</v>
      </c>
      <c r="AX6" s="50">
        <f t="shared" si="3"/>
        <v>4365</v>
      </c>
      <c r="AY6" s="214"/>
      <c r="AZ6" s="214"/>
      <c r="BA6" s="53">
        <f>AO6/BB6</f>
        <v>0.33088235294117646</v>
      </c>
      <c r="BB6">
        <f t="shared" si="9"/>
        <v>136</v>
      </c>
    </row>
    <row r="7" spans="1:54">
      <c r="A7" s="115">
        <v>44823</v>
      </c>
      <c r="B7" s="109">
        <v>1600</v>
      </c>
      <c r="C7" s="109"/>
      <c r="D7" s="108" cm="1">
        <f t="array" ref="D7">(SUM(VLOOKUP(I7:AF7,$AM$4:$AO$44,2,FALSE))+AG7*10)*IF(AK7="是",$AZ$4,$AZ$3)</f>
        <v>1940</v>
      </c>
      <c r="E7" s="169">
        <f>SUM($B$4:B7)+SUM($C$4:C7)-SUM($D$4:D7)</f>
        <v>3010</v>
      </c>
      <c r="F7" s="108" cm="1">
        <f t="array" ref="F7">SUM(VLOOKUP(I7:AF7,$AM$4:$AO$44,3,FALSE))</f>
        <v>495</v>
      </c>
      <c r="G7" s="122">
        <f>SUM($F$4:F7)+SUM($H$4:H7)</f>
        <v>3685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21" t="s">
        <v>17</v>
      </c>
      <c r="R7" s="21" t="s">
        <v>17</v>
      </c>
      <c r="S7" s="28" t="s">
        <v>12</v>
      </c>
      <c r="T7" s="21" t="s">
        <v>17</v>
      </c>
      <c r="U7" s="21" t="s">
        <v>17</v>
      </c>
      <c r="V7" s="21" t="s">
        <v>17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30" t="s">
        <v>89</v>
      </c>
      <c r="AD7" s="21" t="s">
        <v>17</v>
      </c>
      <c r="AE7" s="110" t="s">
        <v>23</v>
      </c>
      <c r="AF7" s="110" t="s">
        <v>23</v>
      </c>
      <c r="AG7" s="111">
        <f t="shared" si="4"/>
        <v>8</v>
      </c>
      <c r="AH7" s="111"/>
      <c r="AI7" s="111"/>
      <c r="AJ7" s="111">
        <v>8</v>
      </c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0</v>
      </c>
      <c r="AS7" s="19">
        <f t="shared" si="1"/>
        <v>114</v>
      </c>
      <c r="AT7" s="19">
        <f t="shared" si="2"/>
        <v>153</v>
      </c>
      <c r="AU7" s="143">
        <f t="shared" si="6"/>
        <v>267</v>
      </c>
      <c r="AV7" s="50">
        <f t="shared" si="7"/>
        <v>0</v>
      </c>
      <c r="AW7" s="50">
        <f t="shared" si="3"/>
        <v>5700</v>
      </c>
      <c r="AX7" s="50">
        <f t="shared" si="3"/>
        <v>7650</v>
      </c>
      <c r="AY7" s="214"/>
      <c r="AZ7" s="214"/>
      <c r="BA7" s="53">
        <f t="shared" ref="BA7:BA26" si="10">AO7/BB7</f>
        <v>0.34722222222222221</v>
      </c>
      <c r="BB7">
        <f t="shared" si="9"/>
        <v>144</v>
      </c>
    </row>
    <row r="8" spans="1:54">
      <c r="A8" s="115">
        <v>44824</v>
      </c>
      <c r="B8" s="109">
        <v>1600</v>
      </c>
      <c r="C8" s="109"/>
      <c r="D8" s="108" cm="1">
        <f t="array" ref="D8">(SUM(VLOOKUP(I8:AF8,$AM$4:$AO$44,2,FALSE))+AG8*10)*IF(AK8="是",$AZ$4,$AZ$3)</f>
        <v>1720</v>
      </c>
      <c r="E8" s="169">
        <f>SUM($B$4:B8)+SUM($C$4:C8)-SUM($D$4:D8)</f>
        <v>2890</v>
      </c>
      <c r="F8" s="108" cm="1">
        <f t="array" ref="F8">SUM(VLOOKUP(I8:AF8,$AM$4:$AO$44,3,FALSE))</f>
        <v>470</v>
      </c>
      <c r="G8" s="122">
        <f>SUM($F$4:F8)+SUM($H$4:H8)</f>
        <v>4155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21" t="s">
        <v>17</v>
      </c>
      <c r="R8" s="28" t="s">
        <v>12</v>
      </c>
      <c r="S8" s="21" t="s">
        <v>17</v>
      </c>
      <c r="T8" s="22" t="s">
        <v>18</v>
      </c>
      <c r="U8" s="20" t="s">
        <v>16</v>
      </c>
      <c r="V8" s="22" t="s">
        <v>18</v>
      </c>
      <c r="W8" s="110" t="s">
        <v>23</v>
      </c>
      <c r="X8" s="110" t="s">
        <v>23</v>
      </c>
      <c r="Y8" s="21" t="s">
        <v>17</v>
      </c>
      <c r="Z8" s="21" t="s">
        <v>17</v>
      </c>
      <c r="AA8" s="28" t="s">
        <v>12</v>
      </c>
      <c r="AB8" s="21" t="s">
        <v>17</v>
      </c>
      <c r="AC8" s="21" t="s">
        <v>17</v>
      </c>
      <c r="AD8" s="22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0</v>
      </c>
      <c r="AS8" s="19">
        <f t="shared" si="1"/>
        <v>171</v>
      </c>
      <c r="AT8" s="19">
        <f t="shared" si="2"/>
        <v>65</v>
      </c>
      <c r="AU8" s="143">
        <f t="shared" si="6"/>
        <v>236</v>
      </c>
      <c r="AV8" s="50">
        <f t="shared" si="7"/>
        <v>0</v>
      </c>
      <c r="AW8" s="50">
        <f t="shared" si="3"/>
        <v>9405</v>
      </c>
      <c r="AX8" s="50">
        <f t="shared" si="3"/>
        <v>3575</v>
      </c>
      <c r="AY8" s="214"/>
      <c r="AZ8" s="214"/>
      <c r="BA8" s="53">
        <f t="shared" si="10"/>
        <v>0.36184210526315791</v>
      </c>
      <c r="BB8">
        <f t="shared" si="9"/>
        <v>152</v>
      </c>
    </row>
    <row r="9" spans="1:54">
      <c r="A9" s="115">
        <v>44825</v>
      </c>
      <c r="B9" s="109">
        <v>1600</v>
      </c>
      <c r="C9" s="109"/>
      <c r="D9" s="155" cm="1">
        <f t="array" ref="D9">(SUM(VLOOKUP(I9:AF9,$AM$4:$AO$44,2,FALSE))+AG9*10)*IF(AK9="是",$AZ$4,$AZ$3)-50</f>
        <v>2150</v>
      </c>
      <c r="E9" s="169">
        <f>SUM($B$4:B9)+SUM($C$4:C9)-SUM($D$4:D9)</f>
        <v>2340</v>
      </c>
      <c r="F9" s="108" cm="1">
        <f t="array" ref="F9">SUM(VLOOKUP(I9:AF9,$AM$4:$AO$44,3,FALSE))</f>
        <v>845</v>
      </c>
      <c r="G9" s="122">
        <f>SUM($F$4:F9)+SUM($H$4:H9)</f>
        <v>5200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30" t="s">
        <v>89</v>
      </c>
      <c r="R9" s="22" t="s">
        <v>18</v>
      </c>
      <c r="S9" s="22" t="s">
        <v>18</v>
      </c>
      <c r="T9" s="22" t="s">
        <v>18</v>
      </c>
      <c r="U9" s="30" t="s">
        <v>88</v>
      </c>
      <c r="V9" s="22" t="s">
        <v>18</v>
      </c>
      <c r="W9" s="110" t="s">
        <v>23</v>
      </c>
      <c r="X9" s="110" t="s">
        <v>23</v>
      </c>
      <c r="Y9" s="22" t="s">
        <v>18</v>
      </c>
      <c r="Z9" s="145" t="s">
        <v>6</v>
      </c>
      <c r="AA9" s="22" t="s">
        <v>18</v>
      </c>
      <c r="AB9" s="30" t="s">
        <v>88</v>
      </c>
      <c r="AC9" s="22" t="s">
        <v>18</v>
      </c>
      <c r="AD9" s="22" t="s">
        <v>18</v>
      </c>
      <c r="AE9" s="110" t="s">
        <v>23</v>
      </c>
      <c r="AF9" s="110" t="s">
        <v>23</v>
      </c>
      <c r="AG9" s="111">
        <f t="shared" si="4"/>
        <v>2</v>
      </c>
      <c r="AH9" s="111"/>
      <c r="AI9" s="111">
        <v>2</v>
      </c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71</v>
      </c>
      <c r="AT9" s="19">
        <f t="shared" si="2"/>
        <v>123</v>
      </c>
      <c r="AU9" s="143">
        <f t="shared" si="6"/>
        <v>194</v>
      </c>
      <c r="AV9" s="50">
        <f t="shared" si="7"/>
        <v>0</v>
      </c>
      <c r="AW9" s="50">
        <f t="shared" si="3"/>
        <v>4260</v>
      </c>
      <c r="AX9" s="50">
        <f t="shared" si="3"/>
        <v>7380</v>
      </c>
      <c r="BA9" s="53">
        <f t="shared" si="10"/>
        <v>0.375</v>
      </c>
      <c r="BB9">
        <f t="shared" si="9"/>
        <v>160</v>
      </c>
    </row>
    <row r="10" spans="1:54">
      <c r="A10" s="115">
        <v>44826</v>
      </c>
      <c r="B10" s="109">
        <v>1600</v>
      </c>
      <c r="C10" s="109"/>
      <c r="D10" s="108" cm="1">
        <f t="array" ref="D10">(SUM(VLOOKUP(I10:AF10,$AM$4:$AO$44,2,FALSE))+AG10*10)*IF(AK10="是",$AZ$4,$AZ$3)</f>
        <v>1680</v>
      </c>
      <c r="E10" s="169">
        <f>SUM($B$4:B10)+SUM($C$4:C10)-SUM($D$4:D10)</f>
        <v>2260</v>
      </c>
      <c r="F10" s="108" cm="1">
        <f t="array" ref="F10">SUM(VLOOKUP(I10:AF10,$AM$4:$AO$44,3,FALSE))</f>
        <v>475</v>
      </c>
      <c r="G10" s="122">
        <f>SUM($F$4:F10)+SUM($H$4:H10)</f>
        <v>5675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1" t="s">
        <v>17</v>
      </c>
      <c r="R10" s="21" t="s">
        <v>17</v>
      </c>
      <c r="S10" s="21" t="s">
        <v>17</v>
      </c>
      <c r="T10" s="21" t="s">
        <v>17</v>
      </c>
      <c r="U10" s="22" t="s">
        <v>18</v>
      </c>
      <c r="V10" s="22" t="s">
        <v>18</v>
      </c>
      <c r="W10" s="110" t="s">
        <v>23</v>
      </c>
      <c r="X10" s="110" t="s">
        <v>23</v>
      </c>
      <c r="Y10" s="22" t="s">
        <v>18</v>
      </c>
      <c r="Z10" s="22" t="s">
        <v>18</v>
      </c>
      <c r="AA10" s="29" t="s">
        <v>13</v>
      </c>
      <c r="AB10" s="22" t="s">
        <v>18</v>
      </c>
      <c r="AC10" s="22" t="s">
        <v>18</v>
      </c>
      <c r="AD10" s="30" t="s">
        <v>89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30</v>
      </c>
      <c r="AM10" s="144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</row>
    <row r="11" spans="1:54">
      <c r="A11" s="115">
        <v>44827</v>
      </c>
      <c r="B11" s="109">
        <v>1600</v>
      </c>
      <c r="C11" s="109"/>
      <c r="D11" s="108" cm="1">
        <f t="array" ref="D11">(SUM(VLOOKUP(I11:AF11,$AM$4:$AO$44,2,FALSE))+AG11*10)*IF(AK11="是",$AZ$4,$AZ$3)</f>
        <v>340</v>
      </c>
      <c r="E11" s="169">
        <f>SUM($B$4:B11)+SUM($C$4:C11)-SUM($D$4:D11)</f>
        <v>3520</v>
      </c>
      <c r="F11" s="108" cm="1">
        <f t="array" ref="F11">SUM(VLOOKUP(I11:AF11,$AM$4:$AO$44,3,FALSE))</f>
        <v>90</v>
      </c>
      <c r="G11" s="122">
        <f>SUM($F$4:F11)+SUM($H$4:H11)</f>
        <v>5765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22" t="s">
        <v>18</v>
      </c>
      <c r="R11" s="30" t="s">
        <v>89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30</v>
      </c>
      <c r="AM11" s="145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1</v>
      </c>
      <c r="AS11" s="19">
        <f t="shared" si="1"/>
        <v>2</v>
      </c>
      <c r="AT11" s="19">
        <f t="shared" si="2"/>
        <v>2</v>
      </c>
      <c r="AU11" s="143">
        <f t="shared" si="6"/>
        <v>5</v>
      </c>
      <c r="AV11" s="50">
        <f t="shared" si="7"/>
        <v>40</v>
      </c>
      <c r="AW11" s="50">
        <f t="shared" si="3"/>
        <v>80</v>
      </c>
      <c r="AX11" s="50">
        <f t="shared" si="3"/>
        <v>80</v>
      </c>
      <c r="BA11" s="53">
        <f t="shared" si="10"/>
        <v>0.33333333333333331</v>
      </c>
      <c r="BB11">
        <f t="shared" si="9"/>
        <v>120</v>
      </c>
    </row>
    <row r="12" spans="1:54">
      <c r="A12" s="115">
        <v>44828</v>
      </c>
      <c r="B12" s="109">
        <v>1600</v>
      </c>
      <c r="C12" s="109"/>
      <c r="D12" s="108" cm="1">
        <f t="array" ref="D12">(SUM(VLOOKUP(I12:AF12,$AM$4:$AO$44,2,FALSE))+AG12*10)*IF(AK12="是",$AZ$4,$AZ$3)</f>
        <v>1616</v>
      </c>
      <c r="E12" s="169">
        <f>SUM($B$4:B12)+SUM($C$4:C12)-SUM($D$4:D12)</f>
        <v>3504</v>
      </c>
      <c r="F12" s="108" cm="1">
        <f t="array" ref="F12">SUM(VLOOKUP(I12:AF12,$AM$4:$AO$44,3,FALSE))</f>
        <v>535</v>
      </c>
      <c r="G12" s="122">
        <f>SUM($F$4:F12)+SUM($H$4:H12)</f>
        <v>6300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22" t="s">
        <v>18</v>
      </c>
      <c r="R12" s="22" t="s">
        <v>18</v>
      </c>
      <c r="S12" s="22" t="s">
        <v>18</v>
      </c>
      <c r="T12" s="145" t="s">
        <v>6</v>
      </c>
      <c r="U12" s="22" t="s">
        <v>18</v>
      </c>
      <c r="V12" s="22" t="s">
        <v>18</v>
      </c>
      <c r="W12" s="110" t="s">
        <v>23</v>
      </c>
      <c r="X12" s="110" t="s">
        <v>23</v>
      </c>
      <c r="Y12" s="22" t="s">
        <v>18</v>
      </c>
      <c r="Z12" s="22" t="s">
        <v>18</v>
      </c>
      <c r="AA12" s="22" t="s">
        <v>18</v>
      </c>
      <c r="AB12" s="22" t="s">
        <v>18</v>
      </c>
      <c r="AC12" s="22" t="s">
        <v>18</v>
      </c>
      <c r="AD12" s="22" t="s">
        <v>18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6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0</v>
      </c>
      <c r="AS12" s="19">
        <f t="shared" si="1"/>
        <v>1</v>
      </c>
      <c r="AT12" s="19">
        <f t="shared" si="2"/>
        <v>5</v>
      </c>
      <c r="AU12" s="143">
        <f t="shared" si="6"/>
        <v>6</v>
      </c>
      <c r="AV12" s="50">
        <f t="shared" si="7"/>
        <v>0</v>
      </c>
      <c r="AW12" s="50">
        <f t="shared" si="3"/>
        <v>45</v>
      </c>
      <c r="AX12" s="50">
        <f t="shared" si="3"/>
        <v>225</v>
      </c>
      <c r="BA12" s="53">
        <f t="shared" si="10"/>
        <v>0.375</v>
      </c>
      <c r="BB12">
        <f t="shared" si="9"/>
        <v>120</v>
      </c>
    </row>
    <row r="13" spans="1:54">
      <c r="A13" s="115">
        <v>44829</v>
      </c>
      <c r="B13" s="109">
        <v>1600</v>
      </c>
      <c r="C13" s="109"/>
      <c r="D13" s="108" cm="1">
        <f t="array" ref="D13">(SUM(VLOOKUP(I13:AF13,$AM$4:$AO$44,2,FALSE))+AG13*10)*IF(AK13="是",$AZ$4,$AZ$3)</f>
        <v>1632</v>
      </c>
      <c r="E13" s="169">
        <f>SUM($B$4:B13)+SUM($C$4:C13)-SUM($D$4:D13)</f>
        <v>3472</v>
      </c>
      <c r="F13" s="108" cm="1">
        <f t="array" ref="F13">SUM(VLOOKUP(I13:AF13,$AM$4:$AO$44,3,FALSE))</f>
        <v>540</v>
      </c>
      <c r="G13" s="122">
        <f>SUM($F$4:F13)+SUM($H$4:H13)</f>
        <v>6840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22" t="s">
        <v>18</v>
      </c>
      <c r="R13" s="22" t="s">
        <v>18</v>
      </c>
      <c r="S13" s="22" t="s">
        <v>18</v>
      </c>
      <c r="T13" s="22" t="s">
        <v>18</v>
      </c>
      <c r="U13" s="22" t="s">
        <v>18</v>
      </c>
      <c r="V13" s="22" t="s">
        <v>18</v>
      </c>
      <c r="W13" s="110" t="s">
        <v>23</v>
      </c>
      <c r="X13" s="110" t="s">
        <v>23</v>
      </c>
      <c r="Y13" s="22" t="s">
        <v>18</v>
      </c>
      <c r="Z13" s="22" t="s">
        <v>18</v>
      </c>
      <c r="AA13" s="22" t="s">
        <v>18</v>
      </c>
      <c r="AB13" s="22" t="s">
        <v>18</v>
      </c>
      <c r="AC13" s="22" t="s">
        <v>18</v>
      </c>
      <c r="AD13" s="22" t="s">
        <v>18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11"/>
        <v>0</v>
      </c>
      <c r="AS13" s="19">
        <f t="shared" si="1"/>
        <v>1</v>
      </c>
      <c r="AT13" s="19">
        <f t="shared" si="2"/>
        <v>3</v>
      </c>
      <c r="AU13" s="143">
        <f t="shared" si="6"/>
        <v>4</v>
      </c>
      <c r="AV13" s="50">
        <f t="shared" si="7"/>
        <v>0</v>
      </c>
      <c r="AW13" s="50">
        <f t="shared" si="3"/>
        <v>50</v>
      </c>
      <c r="AX13" s="50">
        <f t="shared" si="3"/>
        <v>150</v>
      </c>
      <c r="BA13" s="53">
        <f t="shared" si="10"/>
        <v>0.41666666666666669</v>
      </c>
      <c r="BB13">
        <f t="shared" si="9"/>
        <v>120</v>
      </c>
    </row>
    <row r="14" spans="1:54">
      <c r="A14" s="115">
        <v>44830</v>
      </c>
      <c r="B14" s="108">
        <v>1600</v>
      </c>
      <c r="C14" s="108"/>
      <c r="D14" s="108" cm="1">
        <f t="array" ref="D14">(SUM(VLOOKUP(I14:AF14,$AM$4:$AO$44,2,FALSE))+AG14*10)*IF(AK14="是",$AZ$4,$AZ$3)</f>
        <v>1536</v>
      </c>
      <c r="E14" s="169">
        <f>SUM($B$4:B14)+SUM($C$4:C14)-SUM($D$4:D14)</f>
        <v>3536</v>
      </c>
      <c r="F14" s="108" cm="1">
        <f t="array" ref="F14">SUM(VLOOKUP(I14:AF14,$AM$4:$AO$44,3,FALSE))</f>
        <v>525</v>
      </c>
      <c r="G14" s="122">
        <f>SUM($F$4:F14)+SUM($H$4:H14)</f>
        <v>7665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22" t="s">
        <v>18</v>
      </c>
      <c r="R14" s="22" t="s">
        <v>18</v>
      </c>
      <c r="S14" s="22" t="s">
        <v>18</v>
      </c>
      <c r="T14" s="22" t="s">
        <v>18</v>
      </c>
      <c r="U14" s="28" t="s">
        <v>12</v>
      </c>
      <c r="V14" s="22" t="s">
        <v>18</v>
      </c>
      <c r="W14" s="110" t="s">
        <v>23</v>
      </c>
      <c r="X14" s="110" t="s">
        <v>23</v>
      </c>
      <c r="Y14" s="22" t="s">
        <v>18</v>
      </c>
      <c r="Z14" s="22" t="s">
        <v>18</v>
      </c>
      <c r="AA14" s="22" t="s">
        <v>18</v>
      </c>
      <c r="AB14" s="22" t="s">
        <v>18</v>
      </c>
      <c r="AC14" s="22" t="s">
        <v>18</v>
      </c>
      <c r="AD14" s="22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11"/>
        <v>0</v>
      </c>
      <c r="AS14" s="19">
        <f t="shared" si="1"/>
        <v>2</v>
      </c>
      <c r="AT14" s="19">
        <f t="shared" si="2"/>
        <v>1</v>
      </c>
      <c r="AU14" s="143">
        <f t="shared" si="6"/>
        <v>3</v>
      </c>
      <c r="AV14" s="50">
        <f t="shared" si="7"/>
        <v>0</v>
      </c>
      <c r="AW14" s="50">
        <f t="shared" si="3"/>
        <v>110</v>
      </c>
      <c r="AX14" s="50">
        <f t="shared" si="3"/>
        <v>55</v>
      </c>
      <c r="BA14" s="53">
        <f t="shared" si="10"/>
        <v>0.45833333333333331</v>
      </c>
      <c r="BB14">
        <f t="shared" si="9"/>
        <v>120</v>
      </c>
    </row>
    <row r="15" spans="1:54">
      <c r="A15" s="115">
        <v>44831</v>
      </c>
      <c r="B15" s="108">
        <v>1600</v>
      </c>
      <c r="C15" s="108"/>
      <c r="D15" s="108" cm="1">
        <f t="array" ref="D15">(SUM(VLOOKUP(I15:AF15,$AM$4:$AO$44,2,FALSE))+AG15*10)*IF(AK15="是",$AZ$4,$AZ$3)</f>
        <v>1536</v>
      </c>
      <c r="E15" s="169">
        <f>SUM($B$4:B15)+SUM($C$4:C15)-SUM($D$4:D15)</f>
        <v>3600</v>
      </c>
      <c r="F15" s="108" cm="1">
        <f t="array" ref="F15">SUM(VLOOKUP(I15:AF15,$AM$4:$AO$44,3,FALSE))</f>
        <v>525</v>
      </c>
      <c r="G15" s="122">
        <f>SUM($F$4:F15)+SUM($H$4:H15)</f>
        <v>8190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22" t="s">
        <v>18</v>
      </c>
      <c r="R15" s="22" t="s">
        <v>18</v>
      </c>
      <c r="S15" s="22" t="s">
        <v>18</v>
      </c>
      <c r="T15" s="22" t="s">
        <v>18</v>
      </c>
      <c r="U15" s="22" t="s">
        <v>18</v>
      </c>
      <c r="V15" s="22" t="s">
        <v>18</v>
      </c>
      <c r="W15" s="110" t="s">
        <v>23</v>
      </c>
      <c r="X15" s="110" t="s">
        <v>23</v>
      </c>
      <c r="Y15" s="28" t="s">
        <v>12</v>
      </c>
      <c r="Z15" s="22" t="s">
        <v>18</v>
      </c>
      <c r="AA15" s="22" t="s">
        <v>18</v>
      </c>
      <c r="AB15" s="22" t="s">
        <v>18</v>
      </c>
      <c r="AC15" s="22" t="s">
        <v>18</v>
      </c>
      <c r="AD15" s="22" t="s">
        <v>18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1</v>
      </c>
      <c r="AT15" s="19">
        <f t="shared" si="2"/>
        <v>0</v>
      </c>
      <c r="AU15" s="143">
        <f t="shared" si="6"/>
        <v>1</v>
      </c>
      <c r="AV15" s="50">
        <f t="shared" si="7"/>
        <v>0</v>
      </c>
      <c r="AW15" s="50">
        <f t="shared" si="3"/>
        <v>60</v>
      </c>
      <c r="AX15" s="50">
        <f t="shared" si="3"/>
        <v>0</v>
      </c>
      <c r="BA15" s="53">
        <f t="shared" si="10"/>
        <v>0.5</v>
      </c>
      <c r="BB15">
        <f t="shared" si="9"/>
        <v>120</v>
      </c>
    </row>
    <row r="16" spans="1:54">
      <c r="A16" s="115">
        <v>44832</v>
      </c>
      <c r="B16" s="108">
        <v>1600</v>
      </c>
      <c r="C16" s="108"/>
      <c r="D16" s="108" cm="1">
        <f t="array" ref="D16">(SUM(VLOOKUP(I16:AF16,$AM$4:$AO$44,2,FALSE))+AG16*10)*IF(AK16="是",$AZ$4,$AZ$3)</f>
        <v>1632</v>
      </c>
      <c r="E16" s="169">
        <f>SUM($B$4:B16)+SUM($C$4:C16)-SUM($D$4:D16)</f>
        <v>3568</v>
      </c>
      <c r="F16" s="108" cm="1">
        <f t="array" ref="F16">SUM(VLOOKUP(I16:AF16,$AM$4:$AO$44,3,FALSE))</f>
        <v>540</v>
      </c>
      <c r="G16" s="122">
        <f>SUM($F$4:F16)+SUM($H$4:H16)</f>
        <v>8930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2" t="s">
        <v>18</v>
      </c>
      <c r="R16" s="22" t="s">
        <v>18</v>
      </c>
      <c r="S16" s="22" t="s">
        <v>18</v>
      </c>
      <c r="T16" s="22" t="s">
        <v>18</v>
      </c>
      <c r="U16" s="22" t="s">
        <v>18</v>
      </c>
      <c r="V16" s="22" t="s">
        <v>18</v>
      </c>
      <c r="W16" s="110" t="s">
        <v>23</v>
      </c>
      <c r="X16" s="110" t="s">
        <v>23</v>
      </c>
      <c r="Y16" s="22" t="s">
        <v>18</v>
      </c>
      <c r="Z16" s="22" t="s">
        <v>18</v>
      </c>
      <c r="AA16" s="22" t="s">
        <v>18</v>
      </c>
      <c r="AB16" s="22" t="s">
        <v>18</v>
      </c>
      <c r="AC16" s="22" t="s">
        <v>18</v>
      </c>
      <c r="AD16" s="22" t="s">
        <v>18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</row>
    <row r="17" spans="1:54">
      <c r="A17" s="115">
        <v>44833</v>
      </c>
      <c r="B17" s="108">
        <v>1600</v>
      </c>
      <c r="C17" s="108"/>
      <c r="D17" s="108" cm="1">
        <f t="array" ref="D17">(SUM(VLOOKUP(I17:AF17,$AM$4:$AO$44,2,FALSE))+AG17*10)*IF(AK17="是",$AZ$4,$AZ$3)</f>
        <v>1528</v>
      </c>
      <c r="E17" s="169">
        <f>SUM($B$4:B17)+SUM($C$4:C17)-SUM($D$4:D17)</f>
        <v>3640</v>
      </c>
      <c r="F17" s="108" cm="1">
        <f t="array" ref="F17">SUM(VLOOKUP(I17:AF17,$AM$4:$AO$44,3,FALSE))</f>
        <v>520</v>
      </c>
      <c r="G17" s="122">
        <f>SUM($F$4:F17)+SUM($H$4:H17)</f>
        <v>9450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2" t="s">
        <v>18</v>
      </c>
      <c r="R17" s="22" t="s">
        <v>18</v>
      </c>
      <c r="S17" s="22" t="s">
        <v>18</v>
      </c>
      <c r="T17" s="28" t="s">
        <v>12</v>
      </c>
      <c r="U17" s="21" t="s">
        <v>17</v>
      </c>
      <c r="V17" s="22" t="s">
        <v>18</v>
      </c>
      <c r="W17" s="110" t="s">
        <v>23</v>
      </c>
      <c r="X17" s="110" t="s">
        <v>23</v>
      </c>
      <c r="Y17" s="22" t="s">
        <v>18</v>
      </c>
      <c r="Z17" s="22" t="s">
        <v>18</v>
      </c>
      <c r="AA17" s="22" t="s">
        <v>18</v>
      </c>
      <c r="AB17" s="22" t="s">
        <v>18</v>
      </c>
      <c r="AC17" s="22" t="s">
        <v>18</v>
      </c>
      <c r="AD17" s="22" t="s">
        <v>18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6</v>
      </c>
      <c r="AS17" s="19">
        <f t="shared" si="1"/>
        <v>13</v>
      </c>
      <c r="AT17" s="19">
        <f t="shared" si="2"/>
        <v>21</v>
      </c>
      <c r="AU17" s="143">
        <f t="shared" si="6"/>
        <v>40</v>
      </c>
      <c r="AV17" s="50">
        <f t="shared" si="7"/>
        <v>180</v>
      </c>
      <c r="AW17" s="50">
        <f t="shared" si="3"/>
        <v>390</v>
      </c>
      <c r="AX17" s="50">
        <f t="shared" si="3"/>
        <v>630</v>
      </c>
      <c r="BA17" s="53">
        <f t="shared" si="10"/>
        <v>0.75</v>
      </c>
      <c r="BB17">
        <f t="shared" si="9"/>
        <v>40</v>
      </c>
    </row>
    <row r="18" spans="1:54">
      <c r="A18" s="115">
        <v>44834</v>
      </c>
      <c r="B18" s="108">
        <v>1600</v>
      </c>
      <c r="C18" s="108"/>
      <c r="D18" s="108" cm="1">
        <f t="array" ref="D18">(SUM(VLOOKUP(I18:AF18,$AM$4:$AO$44,2,FALSE))+AG18*10)*IF(AK18="是",$AZ$4,$AZ$3)</f>
        <v>1536</v>
      </c>
      <c r="E18" s="169">
        <f>SUM($B$4:B18)+SUM($C$4:C18)-SUM($D$4:D18)</f>
        <v>3704</v>
      </c>
      <c r="F18" s="108" cm="1">
        <f t="array" ref="F18">SUM(VLOOKUP(I18:AF18,$AM$4:$AO$44,3,FALSE))</f>
        <v>525</v>
      </c>
      <c r="G18" s="122">
        <f>SUM($F$4:F18)+SUM($H$4:H18)</f>
        <v>9975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2" t="s">
        <v>18</v>
      </c>
      <c r="R18" s="22" t="s">
        <v>18</v>
      </c>
      <c r="S18" s="22" t="s">
        <v>18</v>
      </c>
      <c r="T18" s="22" t="s">
        <v>18</v>
      </c>
      <c r="U18" s="22" t="s">
        <v>18</v>
      </c>
      <c r="V18" s="22" t="s">
        <v>18</v>
      </c>
      <c r="W18" s="110" t="s">
        <v>23</v>
      </c>
      <c r="X18" s="110" t="s">
        <v>23</v>
      </c>
      <c r="Y18" s="22" t="s">
        <v>18</v>
      </c>
      <c r="Z18" s="28" t="s">
        <v>12</v>
      </c>
      <c r="AA18" s="22" t="s">
        <v>18</v>
      </c>
      <c r="AB18" s="22" t="s">
        <v>18</v>
      </c>
      <c r="AC18" s="22" t="s">
        <v>18</v>
      </c>
      <c r="AD18" s="22" t="s">
        <v>18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0</v>
      </c>
      <c r="AS18" s="19">
        <f t="shared" si="1"/>
        <v>0</v>
      </c>
      <c r="AT18" s="19">
        <f t="shared" si="2"/>
        <v>3</v>
      </c>
      <c r="AU18" s="143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</row>
    <row r="19" spans="1:54">
      <c r="A19" s="115">
        <v>44835</v>
      </c>
      <c r="B19" s="108">
        <v>1600</v>
      </c>
      <c r="C19" s="108"/>
      <c r="D19" s="108" cm="1">
        <f t="array" ref="D19">(SUM(VLOOKUP(I19:AF19,$AM$4:$AO$44,2,FALSE))+AG19*10)*IF(AK19="是",$AZ$4,$AZ$3)</f>
        <v>1536</v>
      </c>
      <c r="E19" s="169">
        <f>SUM($B$4:B19)+SUM($C$4:C19)-SUM($D$4:D19)</f>
        <v>3768</v>
      </c>
      <c r="F19" s="108" cm="1">
        <f t="array" ref="F19">SUM(VLOOKUP(I19:AF19,$AM$4:$AO$44,3,FALSE))</f>
        <v>525</v>
      </c>
      <c r="G19" s="122">
        <f>SUM($F$4:F19)+SUM($H$4:H19)</f>
        <v>10500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2" t="s">
        <v>18</v>
      </c>
      <c r="R19" s="22" t="s">
        <v>18</v>
      </c>
      <c r="S19" s="22" t="s">
        <v>18</v>
      </c>
      <c r="T19" s="22" t="s">
        <v>18</v>
      </c>
      <c r="U19" s="22" t="s">
        <v>18</v>
      </c>
      <c r="V19" s="22" t="s">
        <v>18</v>
      </c>
      <c r="W19" s="110" t="s">
        <v>23</v>
      </c>
      <c r="X19" s="110" t="s">
        <v>23</v>
      </c>
      <c r="Y19" s="22" t="s">
        <v>18</v>
      </c>
      <c r="Z19" s="22" t="s">
        <v>18</v>
      </c>
      <c r="AA19" s="28" t="s">
        <v>12</v>
      </c>
      <c r="AB19" s="22" t="s">
        <v>18</v>
      </c>
      <c r="AC19" s="22" t="s">
        <v>18</v>
      </c>
      <c r="AD19" s="22" t="s">
        <v>18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0</v>
      </c>
      <c r="AS19" s="19">
        <f t="shared" si="1"/>
        <v>1</v>
      </c>
      <c r="AT19" s="19">
        <f t="shared" si="2"/>
        <v>2</v>
      </c>
      <c r="AU19" s="143">
        <f t="shared" si="6"/>
        <v>3</v>
      </c>
      <c r="AV19" s="50">
        <f t="shared" si="7"/>
        <v>0</v>
      </c>
      <c r="AW19" s="50">
        <f t="shared" si="3"/>
        <v>200</v>
      </c>
      <c r="AX19" s="50">
        <f t="shared" si="3"/>
        <v>400</v>
      </c>
      <c r="BA19" s="53">
        <f t="shared" si="10"/>
        <v>1</v>
      </c>
      <c r="BB19">
        <f t="shared" si="9"/>
        <v>200</v>
      </c>
    </row>
    <row r="20" spans="1:54">
      <c r="A20" s="115">
        <v>44836</v>
      </c>
      <c r="B20" s="108">
        <v>1600</v>
      </c>
      <c r="C20" s="108"/>
      <c r="D20" s="108" cm="1">
        <f t="array" ref="D20">(SUM(VLOOKUP(I20:AF20,$AM$4:$AO$44,2,FALSE))+AG20*10)*IF(AK20="是",$AZ$4,$AZ$3)</f>
        <v>1632</v>
      </c>
      <c r="E20" s="169">
        <f>SUM($B$4:B20)+SUM($C$4:C20)-SUM($D$4:D20)</f>
        <v>3736</v>
      </c>
      <c r="F20" s="108" cm="1">
        <f t="array" ref="F20">SUM(VLOOKUP(I20:AF20,$AM$4:$AO$44,3,FALSE))</f>
        <v>535</v>
      </c>
      <c r="G20" s="122">
        <f>SUM($F$4:F20)+SUM($H$4:H20)</f>
        <v>11035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2" t="s">
        <v>18</v>
      </c>
      <c r="R20" s="22" t="s">
        <v>18</v>
      </c>
      <c r="S20" s="22" t="s">
        <v>18</v>
      </c>
      <c r="T20" s="21" t="s">
        <v>17</v>
      </c>
      <c r="U20" s="22" t="s">
        <v>18</v>
      </c>
      <c r="V20" s="22" t="s">
        <v>18</v>
      </c>
      <c r="W20" s="110" t="s">
        <v>23</v>
      </c>
      <c r="X20" s="110" t="s">
        <v>23</v>
      </c>
      <c r="Y20" s="22" t="s">
        <v>18</v>
      </c>
      <c r="Z20" s="22" t="s">
        <v>18</v>
      </c>
      <c r="AA20" s="22" t="s">
        <v>18</v>
      </c>
      <c r="AB20" s="22" t="s">
        <v>18</v>
      </c>
      <c r="AC20" s="22" t="s">
        <v>18</v>
      </c>
      <c r="AD20" s="22" t="s">
        <v>18</v>
      </c>
      <c r="AE20" s="110" t="s">
        <v>23</v>
      </c>
      <c r="AF20" s="110" t="s">
        <v>23</v>
      </c>
      <c r="AG20" s="111">
        <f t="shared" si="4"/>
        <v>1</v>
      </c>
      <c r="AH20" s="111"/>
      <c r="AI20" s="111">
        <v>1</v>
      </c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0</v>
      </c>
      <c r="AS20" s="19">
        <f t="shared" si="1"/>
        <v>3</v>
      </c>
      <c r="AT20" s="19">
        <f t="shared" si="2"/>
        <v>2</v>
      </c>
      <c r="AU20" s="143">
        <f t="shared" si="6"/>
        <v>5</v>
      </c>
      <c r="AV20" s="50">
        <f t="shared" si="7"/>
        <v>0</v>
      </c>
      <c r="AW20" s="50">
        <f t="shared" si="7"/>
        <v>135</v>
      </c>
      <c r="AX20" s="50">
        <f t="shared" si="7"/>
        <v>90</v>
      </c>
      <c r="BA20" s="53">
        <f t="shared" si="10"/>
        <v>0.33088235294117646</v>
      </c>
      <c r="BB20">
        <f t="shared" si="9"/>
        <v>136</v>
      </c>
    </row>
    <row r="21" spans="1:54">
      <c r="A21" s="115">
        <v>44837</v>
      </c>
      <c r="B21" s="109">
        <v>1600</v>
      </c>
      <c r="C21" s="109"/>
      <c r="D21" s="108" cm="1">
        <f t="array" ref="D21">(SUM(VLOOKUP(I21:AF21,$AM$4:$AO$44,2,FALSE))+AG21*10)*IF(AK21="是",$AZ$4,$AZ$3)</f>
        <v>1616</v>
      </c>
      <c r="E21" s="169">
        <f>SUM($B$4:B21)+SUM($C$4:C21)-SUM($D$4:D21)</f>
        <v>3720</v>
      </c>
      <c r="F21" s="108" cm="1">
        <f t="array" ref="F21">SUM(VLOOKUP(I21:AF21,$AM$4:$AO$44,3,FALSE))</f>
        <v>540</v>
      </c>
      <c r="G21" s="122">
        <f>SUM($F$4:F21)+SUM($H$4:H21)</f>
        <v>11775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2" t="s">
        <v>18</v>
      </c>
      <c r="R21" s="22" t="s">
        <v>18</v>
      </c>
      <c r="S21" s="22" t="s">
        <v>18</v>
      </c>
      <c r="T21" s="22" t="s">
        <v>18</v>
      </c>
      <c r="U21" s="22" t="s">
        <v>18</v>
      </c>
      <c r="V21" s="22" t="s">
        <v>18</v>
      </c>
      <c r="W21" s="110" t="s">
        <v>23</v>
      </c>
      <c r="X21" s="110" t="s">
        <v>23</v>
      </c>
      <c r="Y21" s="22" t="s">
        <v>18</v>
      </c>
      <c r="Z21" s="22" t="s">
        <v>18</v>
      </c>
      <c r="AA21" s="22" t="s">
        <v>18</v>
      </c>
      <c r="AB21" s="146" t="s">
        <v>7</v>
      </c>
      <c r="AC21" s="22" t="s">
        <v>18</v>
      </c>
      <c r="AD21" s="22" t="s">
        <v>18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</row>
    <row r="22" spans="1:54">
      <c r="A22" s="115">
        <v>44838</v>
      </c>
      <c r="B22" s="109">
        <v>1600</v>
      </c>
      <c r="C22" s="109"/>
      <c r="D22" s="108" cm="1">
        <f t="array" ref="D22">(SUM(VLOOKUP(I22:AF22,$AM$4:$AO$44,2,FALSE))+AG22*10)*IF(AK22="是",$AZ$4,$AZ$3)</f>
        <v>816</v>
      </c>
      <c r="E22" s="169">
        <f>SUM($B$4:B22)+SUM($C$4:C22)-SUM($D$4:D22)</f>
        <v>4504</v>
      </c>
      <c r="F22" s="108" cm="1">
        <f t="array" ref="F22">SUM(VLOOKUP(I22:AF22,$AM$4:$AO$44,3,FALSE))</f>
        <v>270</v>
      </c>
      <c r="G22" s="122">
        <f>SUM($F$4:F22)+SUM($H$4:H22)</f>
        <v>12145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22" t="s">
        <v>18</v>
      </c>
      <c r="R22" s="22" t="s">
        <v>18</v>
      </c>
      <c r="S22" s="22" t="s">
        <v>18</v>
      </c>
      <c r="T22" s="22" t="s">
        <v>18</v>
      </c>
      <c r="U22" s="22" t="s">
        <v>18</v>
      </c>
      <c r="V22" s="22" t="s">
        <v>18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1</v>
      </c>
      <c r="AT22" s="19">
        <f t="shared" si="2"/>
        <v>1</v>
      </c>
      <c r="AU22" s="143">
        <f t="shared" si="6"/>
        <v>2</v>
      </c>
      <c r="AV22" s="50">
        <f t="shared" si="7"/>
        <v>0</v>
      </c>
      <c r="AW22" s="50">
        <f t="shared" si="7"/>
        <v>1000</v>
      </c>
      <c r="AX22" s="50">
        <f t="shared" si="7"/>
        <v>1000</v>
      </c>
      <c r="BA22" s="53">
        <f t="shared" si="10"/>
        <v>5</v>
      </c>
      <c r="BB22">
        <f t="shared" si="9"/>
        <v>200</v>
      </c>
    </row>
    <row r="23" spans="1:54">
      <c r="A23" s="115">
        <v>44839</v>
      </c>
      <c r="B23" s="109">
        <v>1600</v>
      </c>
      <c r="C23" s="109"/>
      <c r="D23" s="108" cm="1">
        <f t="array" ref="D23">(SUM(VLOOKUP(I23:AF23,$AM$4:$AO$44,2,FALSE))+AG23*10)*IF(AK23="是",$AZ$4,$AZ$3)</f>
        <v>992</v>
      </c>
      <c r="E23" s="169">
        <f>SUM($B$4:B23)+SUM($C$4:C23)-SUM($D$4:D23)</f>
        <v>5112</v>
      </c>
      <c r="F23" s="108" cm="1">
        <f t="array" ref="F23">SUM(VLOOKUP(I23:AF23,$AM$4:$AO$44,3,FALSE))</f>
        <v>345</v>
      </c>
      <c r="G23" s="122">
        <f>SUM($F$4:F23)+SUM($H$4:H23)</f>
        <v>12690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22" t="s">
        <v>18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22" t="s">
        <v>18</v>
      </c>
      <c r="AD23" s="28" t="s">
        <v>12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0</v>
      </c>
      <c r="AS23" s="19">
        <f t="shared" si="1"/>
        <v>1</v>
      </c>
      <c r="AT23" s="19">
        <f t="shared" si="2"/>
        <v>1</v>
      </c>
      <c r="AU23" s="143">
        <f t="shared" si="6"/>
        <v>2</v>
      </c>
      <c r="AV23" s="50">
        <f t="shared" si="7"/>
        <v>0</v>
      </c>
      <c r="AW23" s="50">
        <f t="shared" si="7"/>
        <v>500</v>
      </c>
      <c r="AX23" s="50">
        <f t="shared" si="7"/>
        <v>500</v>
      </c>
      <c r="BA23" s="53">
        <f t="shared" si="10"/>
        <v>2.5</v>
      </c>
      <c r="BB23">
        <f t="shared" si="9"/>
        <v>200</v>
      </c>
    </row>
    <row r="24" spans="1:54" ht="14.25" customHeight="1">
      <c r="A24" s="115">
        <v>44840</v>
      </c>
      <c r="B24" s="109">
        <v>1600</v>
      </c>
      <c r="C24" s="109"/>
      <c r="D24" s="108" cm="1">
        <f t="array" ref="D24">(SUM(VLOOKUP(I24:AF24,$AM$4:$AO$44,2,FALSE))+AG24*10)*IF(AK24="是",$AZ$4,$AZ$3)</f>
        <v>1120</v>
      </c>
      <c r="E24" s="169">
        <f>SUM($B$4:B24)+SUM($C$4:C24)-SUM($D$4:D24)</f>
        <v>5592</v>
      </c>
      <c r="F24" s="108" cm="1">
        <f t="array" ref="F24">SUM(VLOOKUP(I24:AF24,$AM$4:$AO$44,3,FALSE))</f>
        <v>450</v>
      </c>
      <c r="G24" s="122">
        <f>SUM($F$4:F24)+SUM($H$4:H24)</f>
        <v>13140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29" t="s">
        <v>47</v>
      </c>
      <c r="R24" s="22" t="s">
        <v>18</v>
      </c>
      <c r="S24" s="28" t="s">
        <v>12</v>
      </c>
      <c r="T24" s="22" t="s">
        <v>18</v>
      </c>
      <c r="U24" s="22" t="s">
        <v>18</v>
      </c>
      <c r="V24" s="22" t="s">
        <v>18</v>
      </c>
      <c r="W24" s="110" t="s">
        <v>23</v>
      </c>
      <c r="X24" s="110" t="s">
        <v>23</v>
      </c>
      <c r="Y24" s="22" t="s">
        <v>18</v>
      </c>
      <c r="Z24" s="22" t="s">
        <v>18</v>
      </c>
      <c r="AA24" s="21" t="s">
        <v>17</v>
      </c>
      <c r="AB24" s="21" t="s">
        <v>17</v>
      </c>
      <c r="AC24" s="21" t="s">
        <v>17</v>
      </c>
      <c r="AD24" s="28" t="s">
        <v>12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</row>
    <row r="25" spans="1:54">
      <c r="A25" s="115">
        <v>44841</v>
      </c>
      <c r="B25" s="109">
        <v>1600</v>
      </c>
      <c r="C25" s="109"/>
      <c r="D25" s="108" cm="1">
        <f t="array" ref="D25">(SUM(VLOOKUP(I25:AF25,$AM$4:$AO$44,2,FALSE))+AG25*10)*IF(AK25="是",$AZ$4,$AZ$3)</f>
        <v>1576</v>
      </c>
      <c r="E25" s="169">
        <f>SUM($B$4:B25)+SUM($C$4:C25)-SUM($D$4:D25)</f>
        <v>5616</v>
      </c>
      <c r="F25" s="108" cm="1">
        <f t="array" ref="F25">SUM(VLOOKUP(I25:AF25,$AM$4:$AO$44,3,FALSE))</f>
        <v>510</v>
      </c>
      <c r="G25" s="122">
        <f>SUM($F$4:F25)+SUM($H$4:H25)</f>
        <v>13650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2" t="s">
        <v>18</v>
      </c>
      <c r="R25" s="22" t="s">
        <v>18</v>
      </c>
      <c r="S25" s="22" t="s">
        <v>18</v>
      </c>
      <c r="T25" s="22" t="s">
        <v>18</v>
      </c>
      <c r="U25" s="22" t="s">
        <v>18</v>
      </c>
      <c r="V25" s="22" t="s">
        <v>18</v>
      </c>
      <c r="W25" s="110" t="s">
        <v>23</v>
      </c>
      <c r="X25" s="110" t="s">
        <v>23</v>
      </c>
      <c r="Y25" s="21" t="s">
        <v>17</v>
      </c>
      <c r="Z25" s="21" t="s">
        <v>17</v>
      </c>
      <c r="AA25" s="21" t="s">
        <v>17</v>
      </c>
      <c r="AB25" s="21" t="s">
        <v>17</v>
      </c>
      <c r="AC25" s="145" t="s">
        <v>6</v>
      </c>
      <c r="AD25" s="21" t="s">
        <v>17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</row>
    <row r="26" spans="1:54">
      <c r="A26" s="115">
        <v>44842</v>
      </c>
      <c r="B26" s="109">
        <v>1600</v>
      </c>
      <c r="C26" s="109"/>
      <c r="D26" s="108" cm="1">
        <f t="array" ref="D26">(SUM(VLOOKUP(I26:AF26,$AM$4:$AO$44,2,FALSE))+AG26*10)*IF(AK26="是",$AZ$4,$AZ$3)</f>
        <v>1512</v>
      </c>
      <c r="E26" s="169">
        <f>SUM($B$4:B26)+SUM($C$4:C26)-SUM($D$4:D26)</f>
        <v>5704</v>
      </c>
      <c r="F26" s="108" cm="1">
        <f t="array" ref="F26">SUM(VLOOKUP(I26:AF26,$AM$4:$AO$44,3,FALSE))</f>
        <v>520</v>
      </c>
      <c r="G26" s="122">
        <f>SUM($F$4:F26)+SUM($H$4:H26)</f>
        <v>14170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22" t="s">
        <v>18</v>
      </c>
      <c r="R26" s="23" t="s">
        <v>19</v>
      </c>
      <c r="S26" s="23" t="s">
        <v>19</v>
      </c>
      <c r="T26" s="23" t="s">
        <v>19</v>
      </c>
      <c r="U26" s="22" t="s">
        <v>18</v>
      </c>
      <c r="V26" s="146" t="s">
        <v>7</v>
      </c>
      <c r="W26" s="110" t="s">
        <v>23</v>
      </c>
      <c r="X26" s="110" t="s">
        <v>23</v>
      </c>
      <c r="Y26" s="21" t="s">
        <v>17</v>
      </c>
      <c r="Z26" s="28" t="s">
        <v>12</v>
      </c>
      <c r="AA26" s="21" t="s">
        <v>17</v>
      </c>
      <c r="AB26" s="21" t="s">
        <v>17</v>
      </c>
      <c r="AC26" s="21" t="s">
        <v>17</v>
      </c>
      <c r="AD26" s="22" t="s">
        <v>18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</row>
    <row r="27" spans="1:54">
      <c r="A27" s="115">
        <v>44843</v>
      </c>
      <c r="B27" s="109">
        <v>1600</v>
      </c>
      <c r="C27" s="109"/>
      <c r="D27" s="108" cm="1">
        <f t="array" ref="D27">(SUM(VLOOKUP(I27:AF27,$AM$4:$AO$44,2,FALSE))+AG27*10)*IF(AK27="是",$AZ$4,$AZ$3)</f>
        <v>992</v>
      </c>
      <c r="E27" s="169">
        <f>SUM($B$4:B27)+SUM($C$4:C27)-SUM($D$4:D27)</f>
        <v>6312</v>
      </c>
      <c r="F27" s="108" cm="1">
        <f t="array" ref="F27">SUM(VLOOKUP(I27:AF27,$AM$4:$AO$44,3,FALSE))</f>
        <v>345</v>
      </c>
      <c r="G27" s="122">
        <f>SUM($F$4:F27)+SUM($H$4:H27)</f>
        <v>14515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22" t="s">
        <v>18</v>
      </c>
      <c r="R27" s="28" t="s">
        <v>12</v>
      </c>
      <c r="S27" s="22" t="s">
        <v>18</v>
      </c>
      <c r="T27" s="22" t="s">
        <v>18</v>
      </c>
      <c r="U27" s="22" t="s">
        <v>18</v>
      </c>
      <c r="V27" s="22" t="s">
        <v>18</v>
      </c>
      <c r="W27" s="110" t="s">
        <v>23</v>
      </c>
      <c r="X27" s="110" t="s">
        <v>23</v>
      </c>
      <c r="Y27" s="22" t="s">
        <v>18</v>
      </c>
      <c r="Z27" s="22" t="s">
        <v>18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</row>
    <row r="28" spans="1:54" ht="15" thickBot="1">
      <c r="A28" s="115">
        <v>44844</v>
      </c>
      <c r="B28" s="108">
        <v>1600</v>
      </c>
      <c r="C28" s="108"/>
      <c r="D28" s="108" cm="1">
        <f t="array" ref="D28">(SUM(VLOOKUP(I28:AF28,$AM$4:$AO$44,2,FALSE))+AG28*10)*IF(AK28="是",$AZ$4,$AZ$3)</f>
        <v>1424</v>
      </c>
      <c r="E28" s="169">
        <f>SUM($B$4:B28)+SUM($C$4:C28)-SUM($D$4:D28)</f>
        <v>6488</v>
      </c>
      <c r="F28" s="108" cm="1">
        <f t="array" ref="F28">SUM(VLOOKUP(I28:AF28,$AM$4:$AO$44,3,FALSE))</f>
        <v>505</v>
      </c>
      <c r="G28" s="122">
        <f>SUM($F$4:F28)+SUM($H$4:H28)</f>
        <v>15320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22" t="s">
        <v>18</v>
      </c>
      <c r="R28" s="22" t="s">
        <v>18</v>
      </c>
      <c r="S28" s="28" t="s">
        <v>12</v>
      </c>
      <c r="T28" s="22" t="s">
        <v>18</v>
      </c>
      <c r="U28" s="22" t="s">
        <v>18</v>
      </c>
      <c r="V28" s="145" t="s">
        <v>6</v>
      </c>
      <c r="W28" s="110" t="s">
        <v>23</v>
      </c>
      <c r="X28" s="110" t="s">
        <v>23</v>
      </c>
      <c r="Y28" s="28" t="s">
        <v>12</v>
      </c>
      <c r="Z28" s="22" t="s">
        <v>18</v>
      </c>
      <c r="AA28" s="22" t="s">
        <v>18</v>
      </c>
      <c r="AB28" s="22" t="s">
        <v>18</v>
      </c>
      <c r="AC28" s="22" t="s">
        <v>18</v>
      </c>
      <c r="AD28" s="22" t="s">
        <v>18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1</v>
      </c>
      <c r="AS28" s="19">
        <f>COUNTIF($Q$4:$X$94,AM28)</f>
        <v>8</v>
      </c>
      <c r="AT28" s="19">
        <f>COUNTIF($Y$4:$AF$94,AM28)</f>
        <v>3</v>
      </c>
      <c r="AU28" s="143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</row>
    <row r="29" spans="1:54">
      <c r="A29" s="115">
        <v>44845</v>
      </c>
      <c r="B29" s="108">
        <v>1600</v>
      </c>
      <c r="C29" s="108"/>
      <c r="D29" s="108" cm="1">
        <f t="array" ref="D29">(SUM(VLOOKUP(I29:AF29,$AM$4:$AO$44,2,FALSE))+AG29*10)*IF(AK29="是",$AZ$4,$AZ$3)</f>
        <v>1600</v>
      </c>
      <c r="E29" s="169">
        <f>SUM($B$4:B29)+SUM($C$4:C29)-SUM($D$4:D29)</f>
        <v>6488</v>
      </c>
      <c r="F29" s="108" cm="1">
        <f t="array" ref="F29">SUM(VLOOKUP(I29:AF29,$AM$4:$AO$44,3,FALSE))</f>
        <v>540</v>
      </c>
      <c r="G29" s="122">
        <f>SUM($F$4:F29)+SUM($H$4:H29)</f>
        <v>15860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22" t="s">
        <v>18</v>
      </c>
      <c r="R29" s="22" t="s">
        <v>18</v>
      </c>
      <c r="S29" s="22" t="s">
        <v>18</v>
      </c>
      <c r="T29" s="22" t="s">
        <v>18</v>
      </c>
      <c r="U29" s="22" t="s">
        <v>18</v>
      </c>
      <c r="V29" s="22" t="s">
        <v>18</v>
      </c>
      <c r="W29" s="110" t="s">
        <v>23</v>
      </c>
      <c r="X29" s="110" t="s">
        <v>23</v>
      </c>
      <c r="Y29" s="22" t="s">
        <v>18</v>
      </c>
      <c r="Z29" s="146" t="s">
        <v>7</v>
      </c>
      <c r="AA29" s="22" t="s">
        <v>18</v>
      </c>
      <c r="AB29" s="22" t="s">
        <v>18</v>
      </c>
      <c r="AC29" s="146" t="s">
        <v>7</v>
      </c>
      <c r="AD29" s="22" t="s">
        <v>18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0</v>
      </c>
      <c r="AS29" s="123">
        <f>COUNTIF($Q$4:$X$94,AM29)</f>
        <v>2</v>
      </c>
      <c r="AT29" s="123">
        <f>COUNTIF($Y$4:$AF$94,AM29)</f>
        <v>1</v>
      </c>
      <c r="AU29" s="123">
        <f>AR29+AS29+AT29</f>
        <v>3</v>
      </c>
      <c r="AV29" s="4">
        <f t="shared" si="7"/>
        <v>0</v>
      </c>
      <c r="AW29" s="4">
        <f t="shared" si="7"/>
        <v>1040</v>
      </c>
      <c r="AX29" s="4">
        <f t="shared" si="7"/>
        <v>520</v>
      </c>
      <c r="BB29">
        <f t="shared" si="9"/>
        <v>40</v>
      </c>
    </row>
    <row r="30" spans="1:54">
      <c r="A30" s="115">
        <v>44846</v>
      </c>
      <c r="B30" s="108">
        <v>1600</v>
      </c>
      <c r="C30" s="108"/>
      <c r="D30" s="108" cm="1">
        <f t="array" ref="D30">(SUM(VLOOKUP(I30:AF30,$AM$4:$AO$44,2,FALSE))+AG30*10)*IF(AK30="是",$AZ$4,$AZ$3)</f>
        <v>1400</v>
      </c>
      <c r="E30" s="169">
        <f>SUM($B$4:B30)+SUM($C$4:C30)-SUM($D$4:D30)</f>
        <v>6688</v>
      </c>
      <c r="F30" s="108" cm="1">
        <f t="array" ref="F30">SUM(VLOOKUP(I30:AF30,$AM$4:$AO$44,3,FALSE))</f>
        <v>535</v>
      </c>
      <c r="G30" s="122">
        <f>SUM($F$4:F30)+SUM($H$4:H30)</f>
        <v>16595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2" t="s">
        <v>18</v>
      </c>
      <c r="R30" s="22" t="s">
        <v>18</v>
      </c>
      <c r="S30" s="22" t="s">
        <v>18</v>
      </c>
      <c r="T30" s="29" t="s">
        <v>47</v>
      </c>
      <c r="U30" s="23" t="s">
        <v>19</v>
      </c>
      <c r="V30" s="23" t="s">
        <v>19</v>
      </c>
      <c r="W30" s="110" t="s">
        <v>23</v>
      </c>
      <c r="X30" s="110" t="s">
        <v>23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23" t="s">
        <v>19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4">
      <c r="A31" s="115">
        <v>44847</v>
      </c>
      <c r="B31" s="108">
        <v>1600</v>
      </c>
      <c r="C31" s="108"/>
      <c r="D31" s="108" cm="1">
        <f t="array" ref="D31">(SUM(VLOOKUP(I31:AF31,$AM$4:$AO$44,2,FALSE))+AG31*10)*IF(AK31="是",$AZ$4,$AZ$3)</f>
        <v>1256</v>
      </c>
      <c r="E31" s="169">
        <f>SUM($B$4:B31)+SUM($C$4:C31)-SUM($D$4:D31)</f>
        <v>7032</v>
      </c>
      <c r="F31" s="108" cm="1">
        <f t="array" ref="F31">SUM(VLOOKUP(I31:AF31,$AM$4:$AO$44,3,FALSE))</f>
        <v>485</v>
      </c>
      <c r="G31" s="122">
        <f>SUM($F$4:F31)+SUM($H$4:H31)</f>
        <v>17080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23" t="s">
        <v>19</v>
      </c>
      <c r="R31" s="23" t="s">
        <v>19</v>
      </c>
      <c r="S31" s="22" t="s">
        <v>18</v>
      </c>
      <c r="T31" s="22" t="s">
        <v>18</v>
      </c>
      <c r="U31" s="22" t="s">
        <v>18</v>
      </c>
      <c r="V31" s="109" t="s">
        <v>23</v>
      </c>
      <c r="W31" s="110" t="s">
        <v>23</v>
      </c>
      <c r="X31" s="110" t="s">
        <v>23</v>
      </c>
      <c r="Y31" s="23" t="s">
        <v>19</v>
      </c>
      <c r="Z31" s="23" t="s">
        <v>19</v>
      </c>
      <c r="AA31" s="23" t="s">
        <v>19</v>
      </c>
      <c r="AB31" s="29" t="s">
        <v>47</v>
      </c>
      <c r="AC31" s="23" t="s">
        <v>19</v>
      </c>
      <c r="AD31" s="23" t="s">
        <v>19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4">
      <c r="A32" s="115">
        <v>44848</v>
      </c>
      <c r="B32" s="108">
        <v>1600</v>
      </c>
      <c r="C32" s="108"/>
      <c r="D32" s="108" cm="1">
        <f t="array" ref="D32">(SUM(VLOOKUP(I32:AF32,$AM$4:$AO$44,2,FALSE))+AG32*10)*IF(AK32="是",$AZ$4,$AZ$3)</f>
        <v>1624</v>
      </c>
      <c r="E32" s="169">
        <f>SUM($B$4:B32)+SUM($C$4:C32)-SUM($D$4:D32)</f>
        <v>7008</v>
      </c>
      <c r="F32" s="108" cm="1">
        <f t="array" ref="F32">SUM(VLOOKUP(I32:AF32,$AM$4:$AO$44,3,FALSE))</f>
        <v>580</v>
      </c>
      <c r="G32" s="122">
        <f>SUM($F$4:F32)+SUM($H$4:H32)</f>
        <v>17660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23" t="s">
        <v>19</v>
      </c>
      <c r="R32" s="23" t="s">
        <v>19</v>
      </c>
      <c r="S32" s="23" t="s">
        <v>19</v>
      </c>
      <c r="T32" s="23" t="s">
        <v>19</v>
      </c>
      <c r="U32" s="23" t="s">
        <v>19</v>
      </c>
      <c r="V32" s="23" t="s">
        <v>19</v>
      </c>
      <c r="W32" s="110" t="s">
        <v>23</v>
      </c>
      <c r="X32" s="110" t="s">
        <v>23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8" t="s">
        <v>12</v>
      </c>
      <c r="AD32" s="23" t="s">
        <v>19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44849</v>
      </c>
      <c r="B33" s="108">
        <v>1600</v>
      </c>
      <c r="C33" s="108"/>
      <c r="D33" s="108" cm="1">
        <f t="array" ref="D33">(SUM(VLOOKUP(I33:AF33,$AM$4:$AO$44,2,FALSE))+AG33*10)*IF(AK33="是",$AZ$4,$AZ$3)</f>
        <v>1728</v>
      </c>
      <c r="E33" s="169">
        <f>SUM($B$4:B33)+SUM($C$4:C33)-SUM($D$4:D33)</f>
        <v>6880</v>
      </c>
      <c r="F33" s="108" cm="1">
        <f t="array" ref="F33">SUM(VLOOKUP(I33:AF33,$AM$4:$AO$44,3,FALSE))</f>
        <v>600</v>
      </c>
      <c r="G33" s="122">
        <f>SUM($F$4:F33)+SUM($H$4:H33)</f>
        <v>18260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23" t="s">
        <v>19</v>
      </c>
      <c r="W33" s="110" t="s">
        <v>23</v>
      </c>
      <c r="X33" s="110" t="s">
        <v>23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23" t="s">
        <v>19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15">
        <v>44850</v>
      </c>
      <c r="B34" s="108">
        <v>1600</v>
      </c>
      <c r="C34" s="108"/>
      <c r="D34" s="108" cm="1">
        <f t="array" ref="D34">(SUM(VLOOKUP(I34:AF34,$AM$4:$AO$44,2,FALSE))+AG34*10)*IF(AK34="是",$AZ$4,$AZ$3)</f>
        <v>1720</v>
      </c>
      <c r="E34" s="169">
        <f>SUM($B$4:B34)+SUM($C$4:C34)-SUM($D$4:D34)</f>
        <v>6760</v>
      </c>
      <c r="F34" s="108" cm="1">
        <f t="array" ref="F34">SUM(VLOOKUP(I34:AF34,$AM$4:$AO$44,3,FALSE))</f>
        <v>595</v>
      </c>
      <c r="G34" s="122">
        <f>SUM($F$4:F34)+SUM($H$4:H34)</f>
        <v>18855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3" t="s">
        <v>19</v>
      </c>
      <c r="R34" s="23" t="s">
        <v>19</v>
      </c>
      <c r="S34" s="23" t="s">
        <v>19</v>
      </c>
      <c r="T34" s="23" t="s">
        <v>19</v>
      </c>
      <c r="U34" s="23" t="s">
        <v>19</v>
      </c>
      <c r="V34" s="23" t="s">
        <v>19</v>
      </c>
      <c r="W34" s="110" t="s">
        <v>23</v>
      </c>
      <c r="X34" s="110" t="s">
        <v>23</v>
      </c>
      <c r="Y34" s="23" t="s">
        <v>19</v>
      </c>
      <c r="Z34" s="22" t="s">
        <v>18</v>
      </c>
      <c r="AA34" s="23" t="s">
        <v>19</v>
      </c>
      <c r="AB34" s="23" t="s">
        <v>19</v>
      </c>
      <c r="AC34" s="23" t="s">
        <v>19</v>
      </c>
      <c r="AD34" s="23" t="s">
        <v>19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44851</v>
      </c>
      <c r="B35" s="109">
        <v>1600</v>
      </c>
      <c r="C35" s="109"/>
      <c r="D35" s="108" cm="1">
        <f t="array" ref="D35">(SUM(VLOOKUP(I35:AF35,$AM$4:$AO$44,2,FALSE))+AG35*10)*IF(AK35="是",$AZ$4,$AZ$3)</f>
        <v>1320</v>
      </c>
      <c r="E35" s="169">
        <f>SUM($B$4:B35)+SUM($C$4:C35)-SUM($D$4:D35)</f>
        <v>7040</v>
      </c>
      <c r="F35" s="108" cm="1">
        <f t="array" ref="F35">SUM(VLOOKUP(I35:AF35,$AM$4:$AO$44,3,FALSE))</f>
        <v>530</v>
      </c>
      <c r="G35" s="122">
        <f>SUM($F$4:F35)+SUM($H$4:H35)</f>
        <v>19585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3" t="s">
        <v>19</v>
      </c>
      <c r="R35" s="23" t="s">
        <v>19</v>
      </c>
      <c r="S35" s="23" t="s">
        <v>19</v>
      </c>
      <c r="T35" s="23" t="s">
        <v>19</v>
      </c>
      <c r="U35" s="29" t="s">
        <v>47</v>
      </c>
      <c r="V35" s="23" t="s">
        <v>19</v>
      </c>
      <c r="W35" s="110" t="s">
        <v>23</v>
      </c>
      <c r="X35" s="110" t="s">
        <v>23</v>
      </c>
      <c r="Y35" s="23" t="s">
        <v>19</v>
      </c>
      <c r="Z35" s="23" t="s">
        <v>19</v>
      </c>
      <c r="AA35" s="23" t="s">
        <v>19</v>
      </c>
      <c r="AB35" s="23" t="s">
        <v>19</v>
      </c>
      <c r="AC35" s="23" t="s">
        <v>19</v>
      </c>
      <c r="AD35" s="28" t="s">
        <v>12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44852</v>
      </c>
      <c r="B36" s="109">
        <v>1600</v>
      </c>
      <c r="C36" s="109"/>
      <c r="D36" s="108" cm="1">
        <f t="array" ref="D36">(SUM(VLOOKUP(I36:AF36,$AM$4:$AO$44,2,FALSE))+AG36*10)*IF(AK36="是",$AZ$4,$AZ$3)</f>
        <v>1624</v>
      </c>
      <c r="E36" s="169">
        <f>SUM($B$4:B36)+SUM($C$4:C36)-SUM($D$4:D36)</f>
        <v>7016</v>
      </c>
      <c r="F36" s="108" cm="1">
        <f t="array" ref="F36">SUM(VLOOKUP(I36:AF36,$AM$4:$AO$44,3,FALSE))</f>
        <v>580</v>
      </c>
      <c r="G36" s="122">
        <f>SUM($F$4:F36)+SUM($H$4:H36)</f>
        <v>20265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8" t="s">
        <v>12</v>
      </c>
      <c r="R36" s="23" t="s">
        <v>19</v>
      </c>
      <c r="S36" s="23" t="s">
        <v>19</v>
      </c>
      <c r="T36" s="23" t="s">
        <v>19</v>
      </c>
      <c r="U36" s="23" t="s">
        <v>19</v>
      </c>
      <c r="V36" s="23" t="s">
        <v>19</v>
      </c>
      <c r="W36" s="110" t="s">
        <v>23</v>
      </c>
      <c r="X36" s="110" t="s">
        <v>23</v>
      </c>
      <c r="Y36" s="23" t="s">
        <v>19</v>
      </c>
      <c r="Z36" s="23" t="s">
        <v>19</v>
      </c>
      <c r="AA36" s="23" t="s">
        <v>19</v>
      </c>
      <c r="AB36" s="23" t="s">
        <v>19</v>
      </c>
      <c r="AC36" s="23" t="s">
        <v>19</v>
      </c>
      <c r="AD36" s="23" t="s">
        <v>19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44853</v>
      </c>
      <c r="B37" s="109">
        <v>1600</v>
      </c>
      <c r="C37" s="109"/>
      <c r="D37" s="108" cm="1">
        <f t="array" ref="D37">(SUM(VLOOKUP(I37:AF37,$AM$4:$AO$44,2,FALSE))+AG37*10)*IF(AK37="是",$AZ$4,$AZ$3)</f>
        <v>1880</v>
      </c>
      <c r="E37" s="169">
        <f>SUM($B$4:B37)+SUM($C$4:C37)-SUM($D$4:D37)</f>
        <v>6736</v>
      </c>
      <c r="F37" s="108" cm="1">
        <f t="array" ref="F37">SUM(VLOOKUP(I37:AF37,$AM$4:$AO$44,3,FALSE))</f>
        <v>650</v>
      </c>
      <c r="G37" s="122">
        <f>SUM($F$4:F37)+SUM($H$4:H37)</f>
        <v>21115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23" t="s">
        <v>19</v>
      </c>
      <c r="R37" s="23" t="s">
        <v>19</v>
      </c>
      <c r="S37" s="23" t="s">
        <v>19</v>
      </c>
      <c r="T37" s="23" t="s">
        <v>19</v>
      </c>
      <c r="U37" s="23" t="s">
        <v>19</v>
      </c>
      <c r="V37" s="23" t="s">
        <v>19</v>
      </c>
      <c r="W37" s="110" t="s">
        <v>23</v>
      </c>
      <c r="X37" s="110" t="s">
        <v>23</v>
      </c>
      <c r="Y37" s="23" t="s">
        <v>19</v>
      </c>
      <c r="Z37" s="23" t="s">
        <v>19</v>
      </c>
      <c r="AA37" s="23" t="s">
        <v>19</v>
      </c>
      <c r="AB37" s="23" t="s">
        <v>19</v>
      </c>
      <c r="AC37" s="23" t="s">
        <v>19</v>
      </c>
      <c r="AD37" s="23" t="s">
        <v>19</v>
      </c>
      <c r="AE37" s="23" t="s">
        <v>19</v>
      </c>
      <c r="AF37" s="110" t="s">
        <v>23</v>
      </c>
      <c r="AG37" s="111">
        <f t="shared" si="4"/>
        <v>1</v>
      </c>
      <c r="AH37" s="111"/>
      <c r="AI37" s="111"/>
      <c r="AJ37" s="111">
        <v>1</v>
      </c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44854</v>
      </c>
      <c r="B38" s="109">
        <v>1600</v>
      </c>
      <c r="C38" s="109"/>
      <c r="D38" s="108" cm="1">
        <f t="array" ref="D38">(SUM(VLOOKUP(I38:AF38,$AM$4:$AO$44,2,FALSE))+AG38*10)*IF(AK38="是",$AZ$4,$AZ$3)</f>
        <v>1624</v>
      </c>
      <c r="E38" s="169">
        <f>SUM($B$4:B38)+SUM($C$4:C38)-SUM($D$4:D38)</f>
        <v>6712</v>
      </c>
      <c r="F38" s="108" cm="1">
        <f t="array" ref="F38">SUM(VLOOKUP(I38:AF38,$AM$4:$AO$44,3,FALSE))</f>
        <v>580</v>
      </c>
      <c r="G38" s="122">
        <f>SUM($F$4:F38)+SUM($H$4:H38)</f>
        <v>21695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23" t="s">
        <v>19</v>
      </c>
      <c r="R38" s="23" t="s">
        <v>19</v>
      </c>
      <c r="S38" s="23" t="s">
        <v>19</v>
      </c>
      <c r="T38" s="23" t="s">
        <v>19</v>
      </c>
      <c r="U38" s="23" t="s">
        <v>19</v>
      </c>
      <c r="V38" s="23" t="s">
        <v>19</v>
      </c>
      <c r="W38" s="110" t="s">
        <v>23</v>
      </c>
      <c r="X38" s="110" t="s">
        <v>23</v>
      </c>
      <c r="Y38" s="23" t="s">
        <v>19</v>
      </c>
      <c r="Z38" s="28" t="s">
        <v>12</v>
      </c>
      <c r="AA38" s="23" t="s">
        <v>19</v>
      </c>
      <c r="AB38" s="23" t="s">
        <v>19</v>
      </c>
      <c r="AC38" s="23" t="s">
        <v>19</v>
      </c>
      <c r="AD38" s="23" t="s">
        <v>19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44855</v>
      </c>
      <c r="B39" s="109">
        <v>1600</v>
      </c>
      <c r="C39" s="109"/>
      <c r="D39" s="108" cm="1">
        <f t="array" ref="D39">(SUM(VLOOKUP(I39:AF39,$AM$4:$AO$44,2,FALSE))+AG39*10)*IF(AK39="是",$AZ$4,$AZ$3)</f>
        <v>1704</v>
      </c>
      <c r="E39" s="169">
        <f>SUM($B$4:B39)+SUM($C$4:C39)-SUM($D$4:D39)</f>
        <v>6608</v>
      </c>
      <c r="F39" s="108" cm="1">
        <f t="array" ref="F39">SUM(VLOOKUP(I39:AF39,$AM$4:$AO$44,3,FALSE))</f>
        <v>600</v>
      </c>
      <c r="G39" s="122">
        <f>SUM($F$4:F39)+SUM($H$4:H39)</f>
        <v>22295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23" t="s">
        <v>19</v>
      </c>
      <c r="R39" s="23" t="s">
        <v>19</v>
      </c>
      <c r="S39" s="147" t="s">
        <v>8</v>
      </c>
      <c r="T39" s="23" t="s">
        <v>19</v>
      </c>
      <c r="U39" s="23" t="s">
        <v>19</v>
      </c>
      <c r="V39" s="23" t="s">
        <v>19</v>
      </c>
      <c r="W39" s="110" t="s">
        <v>23</v>
      </c>
      <c r="X39" s="110" t="s">
        <v>23</v>
      </c>
      <c r="Y39" s="23" t="s">
        <v>19</v>
      </c>
      <c r="Z39" s="23" t="s">
        <v>19</v>
      </c>
      <c r="AA39" s="23" t="s">
        <v>19</v>
      </c>
      <c r="AB39" s="23" t="s">
        <v>19</v>
      </c>
      <c r="AC39" s="23" t="s">
        <v>19</v>
      </c>
      <c r="AD39" s="23" t="s">
        <v>19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44856</v>
      </c>
      <c r="B40" s="109">
        <v>1600</v>
      </c>
      <c r="C40" s="109"/>
      <c r="D40" s="108" cm="1">
        <f t="array" ref="D40">(SUM(VLOOKUP(I40:AF40,$AM$4:$AO$44,2,FALSE))+AG40*10)*IF(AK40="是",$AZ$4,$AZ$3)</f>
        <v>1728</v>
      </c>
      <c r="E40" s="169">
        <f>SUM($B$4:B40)+SUM($C$4:C40)-SUM($D$4:D40)</f>
        <v>6480</v>
      </c>
      <c r="F40" s="108" cm="1">
        <f t="array" ref="F40">SUM(VLOOKUP(I40:AF40,$AM$4:$AO$44,3,FALSE))</f>
        <v>600</v>
      </c>
      <c r="G40" s="122">
        <f>SUM($F$4:F40)+SUM($H$4:H40)</f>
        <v>22895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23" t="s">
        <v>19</v>
      </c>
      <c r="R40" s="23" t="s">
        <v>19</v>
      </c>
      <c r="S40" s="23" t="s">
        <v>19</v>
      </c>
      <c r="T40" s="23" t="s">
        <v>19</v>
      </c>
      <c r="U40" s="23" t="s">
        <v>19</v>
      </c>
      <c r="V40" s="23" t="s">
        <v>19</v>
      </c>
      <c r="W40" s="110" t="s">
        <v>23</v>
      </c>
      <c r="X40" s="110" t="s">
        <v>23</v>
      </c>
      <c r="Y40" s="23" t="s">
        <v>19</v>
      </c>
      <c r="Z40" s="23" t="s">
        <v>19</v>
      </c>
      <c r="AA40" s="23" t="s">
        <v>19</v>
      </c>
      <c r="AB40" s="23" t="s">
        <v>19</v>
      </c>
      <c r="AC40" s="23" t="s">
        <v>19</v>
      </c>
      <c r="AD40" s="23" t="s">
        <v>19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44857</v>
      </c>
      <c r="B41" s="109">
        <v>1600</v>
      </c>
      <c r="C41" s="109"/>
      <c r="D41" s="108" cm="1">
        <f t="array" ref="D41">(SUM(VLOOKUP(I41:AF41,$AM$4:$AO$44,2,FALSE))+AG41*10)*IF(AK41="是",$AZ$4,$AZ$3)</f>
        <v>1728</v>
      </c>
      <c r="E41" s="169">
        <f>SUM($B$4:B41)+SUM($C$4:C41)-SUM($D$4:D41)</f>
        <v>6352</v>
      </c>
      <c r="F41" s="108" cm="1">
        <f t="array" ref="F41">SUM(VLOOKUP(I41:AF41,$AM$4:$AO$44,3,FALSE))</f>
        <v>600</v>
      </c>
      <c r="G41" s="122">
        <f>SUM($F$4:F41)+SUM($H$4:H41)</f>
        <v>23495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23" t="s">
        <v>19</v>
      </c>
      <c r="R41" s="23" t="s">
        <v>19</v>
      </c>
      <c r="S41" s="23" t="s">
        <v>19</v>
      </c>
      <c r="T41" s="23" t="s">
        <v>19</v>
      </c>
      <c r="U41" s="23" t="s">
        <v>19</v>
      </c>
      <c r="V41" s="23" t="s">
        <v>19</v>
      </c>
      <c r="W41" s="110" t="s">
        <v>23</v>
      </c>
      <c r="X41" s="110" t="s">
        <v>23</v>
      </c>
      <c r="Y41" s="23" t="s">
        <v>19</v>
      </c>
      <c r="Z41" s="23" t="s">
        <v>19</v>
      </c>
      <c r="AA41" s="23" t="s">
        <v>19</v>
      </c>
      <c r="AB41" s="23" t="s">
        <v>19</v>
      </c>
      <c r="AC41" s="23" t="s">
        <v>19</v>
      </c>
      <c r="AD41" s="23" t="s">
        <v>19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44858</v>
      </c>
      <c r="B42" s="108">
        <v>1600</v>
      </c>
      <c r="C42" s="108"/>
      <c r="D42" s="108" cm="1">
        <f t="array" ref="D42">(SUM(VLOOKUP(I42:AF42,$AM$4:$AO$44,2,FALSE))+AG42*10)*IF(AK42="是",$AZ$4,$AZ$3)</f>
        <v>1728</v>
      </c>
      <c r="E42" s="169">
        <f>SUM($B$4:B42)+SUM($C$4:C42)-SUM($D$4:D42)</f>
        <v>6224</v>
      </c>
      <c r="F42" s="108" cm="1">
        <f t="array" ref="F42">SUM(VLOOKUP(I42:AF42,$AM$4:$AO$44,3,FALSE))</f>
        <v>600</v>
      </c>
      <c r="G42" s="122">
        <f>SUM($F$4:F42)+SUM($H$4:H42)</f>
        <v>24395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23" t="s">
        <v>19</v>
      </c>
      <c r="R42" s="23" t="s">
        <v>19</v>
      </c>
      <c r="S42" s="23" t="s">
        <v>19</v>
      </c>
      <c r="T42" s="23" t="s">
        <v>19</v>
      </c>
      <c r="U42" s="23" t="s">
        <v>19</v>
      </c>
      <c r="V42" s="23" t="s">
        <v>19</v>
      </c>
      <c r="W42" s="110" t="s">
        <v>23</v>
      </c>
      <c r="X42" s="110" t="s">
        <v>23</v>
      </c>
      <c r="Y42" s="23" t="s">
        <v>19</v>
      </c>
      <c r="Z42" s="23" t="s">
        <v>19</v>
      </c>
      <c r="AA42" s="23" t="s">
        <v>19</v>
      </c>
      <c r="AB42" s="23" t="s">
        <v>19</v>
      </c>
      <c r="AC42" s="23" t="s">
        <v>19</v>
      </c>
      <c r="AD42" s="23" t="s">
        <v>19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44859</v>
      </c>
      <c r="B43" s="108">
        <v>1600</v>
      </c>
      <c r="C43" s="108"/>
      <c r="D43" s="108" cm="1">
        <f t="array" ref="D43">(SUM(VLOOKUP(I43:AF43,$AM$4:$AO$44,2,FALSE))+AG43*10)*IF(AK43="是",$AZ$4,$AZ$3)</f>
        <v>1704</v>
      </c>
      <c r="E43" s="169">
        <f>SUM($B$4:B43)+SUM($C$4:C43)-SUM($D$4:D43)</f>
        <v>6120</v>
      </c>
      <c r="F43" s="108" cm="1">
        <f t="array" ref="F43">SUM(VLOOKUP(I43:AF43,$AM$4:$AO$44,3,FALSE))</f>
        <v>600</v>
      </c>
      <c r="G43" s="122">
        <f>SUM($F$4:F43)+SUM($H$4:H43)</f>
        <v>24995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23" t="s">
        <v>19</v>
      </c>
      <c r="R43" s="23" t="s">
        <v>19</v>
      </c>
      <c r="S43" s="23" t="s">
        <v>19</v>
      </c>
      <c r="T43" s="23" t="s">
        <v>19</v>
      </c>
      <c r="U43" s="23" t="s">
        <v>19</v>
      </c>
      <c r="V43" s="23" t="s">
        <v>19</v>
      </c>
      <c r="W43" s="110" t="s">
        <v>23</v>
      </c>
      <c r="X43" s="110" t="s">
        <v>23</v>
      </c>
      <c r="Y43" s="23" t="s">
        <v>19</v>
      </c>
      <c r="Z43" s="23" t="s">
        <v>19</v>
      </c>
      <c r="AA43" s="23" t="s">
        <v>19</v>
      </c>
      <c r="AB43" s="23" t="s">
        <v>19</v>
      </c>
      <c r="AC43" s="147" t="s">
        <v>8</v>
      </c>
      <c r="AD43" s="23" t="s">
        <v>19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44860</v>
      </c>
      <c r="B44" s="108">
        <v>1600</v>
      </c>
      <c r="C44" s="108"/>
      <c r="D44" s="108" cm="1">
        <f t="array" ref="D44">(SUM(VLOOKUP(I44:AF44,$AM$4:$AO$44,2,FALSE))+AG44*10)*IF(AK44="是",$AZ$4,$AZ$3)</f>
        <v>1520</v>
      </c>
      <c r="E44" s="169">
        <f>SUM($B$4:B44)+SUM($C$4:C44)-SUM($D$4:D44)</f>
        <v>6200</v>
      </c>
      <c r="F44" s="108" cm="1">
        <f t="array" ref="F44">SUM(VLOOKUP(I44:AF44,$AM$4:$AO$44,3,FALSE))</f>
        <v>560</v>
      </c>
      <c r="G44" s="122">
        <f>SUM($F$4:F44)+SUM($H$4:H44)</f>
        <v>25755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28" t="s">
        <v>12</v>
      </c>
      <c r="R44" s="23" t="s">
        <v>19</v>
      </c>
      <c r="S44" s="23" t="s">
        <v>19</v>
      </c>
      <c r="T44" s="23" t="s">
        <v>19</v>
      </c>
      <c r="U44" s="23" t="s">
        <v>19</v>
      </c>
      <c r="V44" s="23" t="s">
        <v>19</v>
      </c>
      <c r="W44" s="110" t="s">
        <v>23</v>
      </c>
      <c r="X44" s="110" t="s">
        <v>23</v>
      </c>
      <c r="Y44" s="23" t="s">
        <v>19</v>
      </c>
      <c r="Z44" s="23" t="s">
        <v>19</v>
      </c>
      <c r="AA44" s="23" t="s">
        <v>19</v>
      </c>
      <c r="AB44" s="23" t="s">
        <v>19</v>
      </c>
      <c r="AC44" s="28" t="s">
        <v>12</v>
      </c>
      <c r="AD44" s="23" t="s">
        <v>19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44861</v>
      </c>
      <c r="B45" s="108">
        <v>1600</v>
      </c>
      <c r="C45" s="108"/>
      <c r="D45" s="108" cm="1">
        <f t="array" ref="D45">(SUM(VLOOKUP(I45:AF45,$AM$4:$AO$44,2,FALSE))+AG45*10)*IF(AK45="是",$AZ$4,$AZ$3)</f>
        <v>1728</v>
      </c>
      <c r="E45" s="169">
        <f>SUM($B$4:B45)+SUM($C$4:C45)-SUM($D$4:D45)</f>
        <v>6072</v>
      </c>
      <c r="F45" s="108" cm="1">
        <f t="array" ref="F45">SUM(VLOOKUP(I45:AF45,$AM$4:$AO$44,3,FALSE))</f>
        <v>600</v>
      </c>
      <c r="G45" s="122">
        <f>SUM($F$4:F45)+SUM($H$4:H45)</f>
        <v>26355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3" t="s">
        <v>19</v>
      </c>
      <c r="R45" s="23" t="s">
        <v>19</v>
      </c>
      <c r="S45" s="23" t="s">
        <v>19</v>
      </c>
      <c r="T45" s="23" t="s">
        <v>19</v>
      </c>
      <c r="U45" s="23" t="s">
        <v>19</v>
      </c>
      <c r="V45" s="23" t="s">
        <v>19</v>
      </c>
      <c r="W45" s="110" t="s">
        <v>23</v>
      </c>
      <c r="X45" s="110" t="s">
        <v>23</v>
      </c>
      <c r="Y45" s="23" t="s">
        <v>19</v>
      </c>
      <c r="Z45" s="23" t="s">
        <v>19</v>
      </c>
      <c r="AA45" s="23" t="s">
        <v>19</v>
      </c>
      <c r="AB45" s="23" t="s">
        <v>19</v>
      </c>
      <c r="AC45" s="23" t="s">
        <v>19</v>
      </c>
      <c r="AD45" s="23" t="s">
        <v>19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44862</v>
      </c>
      <c r="B46" s="108">
        <v>1600</v>
      </c>
      <c r="C46" s="108"/>
      <c r="D46" s="108" cm="1">
        <f t="array" ref="D46">(SUM(VLOOKUP(I46:AF46,$AM$4:$AO$44,2,FALSE))+AG46*10)*IF(AK46="是",$AZ$4,$AZ$3)</f>
        <v>1496</v>
      </c>
      <c r="E46" s="169">
        <f>SUM($B$4:B46)+SUM($C$4:C46)-SUM($D$4:D46)</f>
        <v>6176</v>
      </c>
      <c r="F46" s="108" cm="1">
        <f t="array" ref="F46">SUM(VLOOKUP(I46:AF46,$AM$4:$AO$44,3,FALSE))</f>
        <v>950</v>
      </c>
      <c r="G46" s="122">
        <f>SUM($F$4:F46)+SUM($H$4:H46)</f>
        <v>27305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23" t="s">
        <v>19</v>
      </c>
      <c r="R46" s="23" t="s">
        <v>19</v>
      </c>
      <c r="S46" s="23" t="s">
        <v>19</v>
      </c>
      <c r="T46" s="23" t="s">
        <v>19</v>
      </c>
      <c r="U46" s="23" t="s">
        <v>19</v>
      </c>
      <c r="V46" s="23" t="s">
        <v>19</v>
      </c>
      <c r="W46" s="110" t="s">
        <v>23</v>
      </c>
      <c r="X46" s="110" t="s">
        <v>23</v>
      </c>
      <c r="Y46" s="23" t="s">
        <v>19</v>
      </c>
      <c r="Z46" s="23" t="s">
        <v>19</v>
      </c>
      <c r="AA46" s="23" t="s">
        <v>19</v>
      </c>
      <c r="AB46" s="34" t="s">
        <v>41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44863</v>
      </c>
      <c r="B47" s="108">
        <v>1600</v>
      </c>
      <c r="C47" s="108"/>
      <c r="D47" s="108" cm="1">
        <f t="array" ref="D47">(SUM(VLOOKUP(I47:AF47,$AM$4:$AO$44,2,FALSE))+AG47*10)*IF(AK47="是",$AZ$4,$AZ$3)</f>
        <v>1688</v>
      </c>
      <c r="E47" s="169">
        <f>SUM($B$4:B47)+SUM($C$4:C47)-SUM($D$4:D47)</f>
        <v>6088</v>
      </c>
      <c r="F47" s="108" cm="1">
        <f t="array" ref="F47">SUM(VLOOKUP(I47:AF47,$AM$4:$AO$44,3,FALSE))</f>
        <v>620</v>
      </c>
      <c r="G47" s="122">
        <f>SUM($F$4:F47)+SUM($H$4:H47)</f>
        <v>27925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23" t="s">
        <v>19</v>
      </c>
      <c r="R47" s="28" t="s">
        <v>12</v>
      </c>
      <c r="S47" s="23" t="s">
        <v>19</v>
      </c>
      <c r="T47" s="23" t="s">
        <v>19</v>
      </c>
      <c r="U47" s="23" t="s">
        <v>19</v>
      </c>
      <c r="V47" s="23" t="s">
        <v>19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5" t="s">
        <v>21</v>
      </c>
      <c r="AB47" s="25" t="s">
        <v>21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44864</v>
      </c>
      <c r="B48" s="108">
        <v>1600</v>
      </c>
      <c r="C48" s="108"/>
      <c r="D48" s="108" cm="1">
        <f t="array" ref="D48">(SUM(VLOOKUP(I48:AF48,$AM$4:$AO$44,2,FALSE))+AG48*10)*IF(AK48="是",$AZ$4,$AZ$3)</f>
        <v>1776</v>
      </c>
      <c r="E48" s="169">
        <f>SUM($B$4:B48)+SUM($C$4:C48)-SUM($D$4:D48)</f>
        <v>5912</v>
      </c>
      <c r="F48" s="108" cm="1">
        <f t="array" ref="F48">SUM(VLOOKUP(I48:AF48,$AM$4:$AO$44,3,FALSE))</f>
        <v>630</v>
      </c>
      <c r="G48" s="122">
        <f>SUM($F$4:F48)+SUM($H$4:H48)</f>
        <v>28555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23" t="s">
        <v>19</v>
      </c>
      <c r="R48" s="23" t="s">
        <v>19</v>
      </c>
      <c r="S48" s="23" t="s">
        <v>19</v>
      </c>
      <c r="T48" s="23" t="s">
        <v>19</v>
      </c>
      <c r="U48" s="23" t="s">
        <v>19</v>
      </c>
      <c r="V48" s="23" t="s">
        <v>19</v>
      </c>
      <c r="W48" s="110" t="s">
        <v>23</v>
      </c>
      <c r="X48" s="110" t="s">
        <v>23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44865</v>
      </c>
      <c r="B49" s="109">
        <v>1600</v>
      </c>
      <c r="C49" s="109"/>
      <c r="D49" s="108" cm="1">
        <f t="array" ref="D49">(SUM(VLOOKUP(I49:AF49,$AM$4:$AO$44,2,FALSE))+AG49*10)*IF(AK49="是",$AZ$4,$AZ$3)</f>
        <v>1520</v>
      </c>
      <c r="E49" s="169">
        <f>SUM($B$4:B49)+SUM($C$4:C49)-SUM($D$4:D49)</f>
        <v>5992</v>
      </c>
      <c r="F49" s="108" cm="1">
        <f t="array" ref="F49">SUM(VLOOKUP(I49:AF49,$AM$4:$AO$44,3,FALSE))</f>
        <v>610</v>
      </c>
      <c r="G49" s="122">
        <f>SUM($F$4:F49)+SUM($H$4:H49)</f>
        <v>29365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29" t="s">
        <v>47</v>
      </c>
      <c r="R49" s="23" t="s">
        <v>19</v>
      </c>
      <c r="S49" s="23" t="s">
        <v>19</v>
      </c>
      <c r="T49" s="23" t="s">
        <v>19</v>
      </c>
      <c r="U49" s="23" t="s">
        <v>19</v>
      </c>
      <c r="V49" s="23" t="s">
        <v>19</v>
      </c>
      <c r="W49" s="110" t="s">
        <v>23</v>
      </c>
      <c r="X49" s="110" t="s">
        <v>23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25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44866</v>
      </c>
      <c r="B50" s="109">
        <v>1600</v>
      </c>
      <c r="C50" s="109"/>
      <c r="D50" s="108" cm="1">
        <f t="array" ref="D50">(SUM(VLOOKUP(I50:AF50,$AM$4:$AO$44,2,FALSE))+AG50*10)*IF(AK50="是",$AZ$4,$AZ$3)</f>
        <v>1864</v>
      </c>
      <c r="E50" s="169">
        <f>SUM($B$4:B50)+SUM($C$4:C50)-SUM($D$4:D50)</f>
        <v>5728</v>
      </c>
      <c r="F50" s="108" cm="1">
        <f t="array" ref="F50">SUM(VLOOKUP(I50:AF50,$AM$4:$AO$44,3,FALSE))</f>
        <v>1100</v>
      </c>
      <c r="G50" s="122">
        <f>SUM($F$4:F50)+SUM($H$4:H50)</f>
        <v>30565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23" t="s">
        <v>19</v>
      </c>
      <c r="R50" s="23" t="s">
        <v>19</v>
      </c>
      <c r="S50" s="23" t="s">
        <v>19</v>
      </c>
      <c r="T50" s="23" t="s">
        <v>19</v>
      </c>
      <c r="U50" s="34" t="s">
        <v>41</v>
      </c>
      <c r="V50" s="24" t="s">
        <v>20</v>
      </c>
      <c r="W50" s="110" t="s">
        <v>23</v>
      </c>
      <c r="X50" s="110" t="s">
        <v>23</v>
      </c>
      <c r="Y50" s="25" t="s">
        <v>21</v>
      </c>
      <c r="Z50" s="24" t="s">
        <v>20</v>
      </c>
      <c r="AA50" s="24" t="s">
        <v>20</v>
      </c>
      <c r="AB50" s="24" t="s">
        <v>20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44867</v>
      </c>
      <c r="B51" s="109">
        <v>1600</v>
      </c>
      <c r="C51" s="109"/>
      <c r="D51" s="108" cm="1">
        <f t="array" ref="D51">(SUM(VLOOKUP(I51:AF51,$AM$4:$AO$44,2,FALSE))+AG51*10)*IF(AK51="是",$AZ$4,$AZ$3)</f>
        <v>928</v>
      </c>
      <c r="E51" s="169">
        <f>SUM($B$4:B51)+SUM($C$4:C51)-SUM($D$4:D51)</f>
        <v>6400</v>
      </c>
      <c r="F51" s="108" cm="1">
        <f t="array" ref="F51">SUM(VLOOKUP(I51:AF51,$AM$4:$AO$44,3,FALSE))</f>
        <v>400</v>
      </c>
      <c r="G51" s="122">
        <f>SUM($F$4:F51)+SUM($H$4:H51)</f>
        <v>31165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24" t="s">
        <v>20</v>
      </c>
      <c r="R51" s="23" t="s">
        <v>19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4" t="s">
        <v>20</v>
      </c>
      <c r="Z51" s="25" t="s">
        <v>21</v>
      </c>
      <c r="AA51" s="25" t="s">
        <v>21</v>
      </c>
      <c r="AB51" s="29" t="s">
        <v>47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44868</v>
      </c>
      <c r="B52" s="109">
        <v>1600</v>
      </c>
      <c r="C52" s="109"/>
      <c r="D52" s="108" cm="1">
        <f t="array" ref="D52">(SUM(VLOOKUP(I52:AF52,$AM$4:$AO$44,2,FALSE))+AG52*10)*IF(AK52="是",$AZ$4,$AZ$3)</f>
        <v>1848</v>
      </c>
      <c r="E52" s="169">
        <f>SUM($B$4:B52)+SUM($C$4:C52)-SUM($D$4:D52)</f>
        <v>6152</v>
      </c>
      <c r="F52" s="108" cm="1">
        <f t="array" ref="F52">SUM(VLOOKUP(I52:AF52,$AM$4:$AO$44,3,FALSE))</f>
        <v>675</v>
      </c>
      <c r="G52" s="122">
        <f>SUM($F$4:F52)+SUM($H$4:H52)</f>
        <v>31840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24" t="s">
        <v>20</v>
      </c>
      <c r="W52" s="110" t="s">
        <v>23</v>
      </c>
      <c r="X52" s="110" t="s">
        <v>23</v>
      </c>
      <c r="Y52" s="24" t="s">
        <v>20</v>
      </c>
      <c r="Z52" s="25" t="s">
        <v>21</v>
      </c>
      <c r="AA52" s="25" t="s">
        <v>21</v>
      </c>
      <c r="AB52" s="25" t="s">
        <v>21</v>
      </c>
      <c r="AC52" s="24" t="s">
        <v>20</v>
      </c>
      <c r="AD52" s="24" t="s">
        <v>20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44869</v>
      </c>
      <c r="B53" s="109">
        <v>1600</v>
      </c>
      <c r="C53" s="109"/>
      <c r="D53" s="108" cm="1">
        <f t="array" ref="D53">(SUM(VLOOKUP(I53:AF53,$AM$4:$AO$44,2,FALSE))+AG53*10)*IF(AK53="是",$AZ$4,$AZ$3)</f>
        <v>1896</v>
      </c>
      <c r="E53" s="169">
        <f>SUM($B$4:B53)+SUM($C$4:C53)-SUM($D$4:D53)</f>
        <v>5856</v>
      </c>
      <c r="F53" s="108" cm="1">
        <f t="array" ref="F53">SUM(VLOOKUP(I53:AF53,$AM$4:$AO$44,3,FALSE))</f>
        <v>705</v>
      </c>
      <c r="G53" s="122">
        <f>SUM($F$4:F53)+SUM($H$4:H53)</f>
        <v>32545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24" t="s">
        <v>20</v>
      </c>
      <c r="Z53" s="24" t="s">
        <v>20</v>
      </c>
      <c r="AA53" s="24" t="s">
        <v>20</v>
      </c>
      <c r="AB53" s="25" t="s">
        <v>21</v>
      </c>
      <c r="AC53" s="25" t="s">
        <v>21</v>
      </c>
      <c r="AD53" s="25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44870</v>
      </c>
      <c r="B54" s="109">
        <v>1600</v>
      </c>
      <c r="C54" s="109"/>
      <c r="D54" s="108" cm="1">
        <f t="array" ref="D54">(SUM(VLOOKUP(I54:AF54,$AM$4:$AO$44,2,FALSE))+AG54*10)*IF(AK54="是",$AZ$4,$AZ$3)</f>
        <v>1920</v>
      </c>
      <c r="E54" s="169">
        <f>SUM($B$4:B54)+SUM($C$4:C54)-SUM($D$4:D54)</f>
        <v>5536</v>
      </c>
      <c r="F54" s="108" cm="1">
        <f t="array" ref="F54">SUM(VLOOKUP(I54:AF54,$AM$4:$AO$44,3,FALSE))</f>
        <v>720</v>
      </c>
      <c r="G54" s="122">
        <f>SUM($F$4:F54)+SUM($H$4:H54)</f>
        <v>33265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5" t="s">
        <v>21</v>
      </c>
      <c r="U54" s="25" t="s">
        <v>21</v>
      </c>
      <c r="V54" s="25" t="s">
        <v>21</v>
      </c>
      <c r="W54" s="110" t="s">
        <v>23</v>
      </c>
      <c r="X54" s="110" t="s">
        <v>23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44871</v>
      </c>
      <c r="B55" s="109">
        <v>1600</v>
      </c>
      <c r="C55" s="109"/>
      <c r="D55" s="108" cm="1">
        <f t="array" ref="D55">(SUM(VLOOKUP(I55:AF55,$AM$4:$AO$44,2,FALSE))+AG55*10)*IF(AK55="是",$AZ$4,$AZ$3)</f>
        <v>1920</v>
      </c>
      <c r="E55" s="169">
        <f>SUM($B$4:B55)+SUM($C$4:C55)-SUM($D$4:D55)</f>
        <v>5216</v>
      </c>
      <c r="F55" s="108" cm="1">
        <f t="array" ref="F55">SUM(VLOOKUP(I55:AF55,$AM$4:$AO$44,3,FALSE))</f>
        <v>720</v>
      </c>
      <c r="G55" s="122">
        <f>SUM($F$4:F55)+SUM($H$4:H55)</f>
        <v>33985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25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44872</v>
      </c>
      <c r="B56" s="108">
        <v>1600</v>
      </c>
      <c r="C56" s="108"/>
      <c r="D56" s="108" cm="1">
        <f t="array" ref="D56">(SUM(VLOOKUP(I56:AF56,$AM$4:$AO$44,2,FALSE))+AG56*10)*IF(AK56="是",$AZ$4,$AZ$3)</f>
        <v>1600</v>
      </c>
      <c r="E56" s="169">
        <f>SUM($B$4:B56)+SUM($C$4:C56)-SUM($D$4:D56)</f>
        <v>5216</v>
      </c>
      <c r="F56" s="108" cm="1">
        <f t="array" ref="F56">SUM(VLOOKUP(I56:AF56,$AM$4:$AO$44,3,FALSE))</f>
        <v>660</v>
      </c>
      <c r="G56" s="122">
        <f>SUM($F$4:F56)+SUM($H$4:H56)</f>
        <v>34945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9" t="s">
        <v>47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44873</v>
      </c>
      <c r="B57" s="108">
        <v>1600</v>
      </c>
      <c r="C57" s="108"/>
      <c r="D57" s="108" cm="1">
        <f t="array" ref="D57">(SUM(VLOOKUP(I57:AF57,$AM$4:$AO$44,2,FALSE))+AG57*10)*IF(AK57="是",$AZ$4,$AZ$3)</f>
        <v>1912</v>
      </c>
      <c r="E57" s="169">
        <f>SUM($B$4:B57)+SUM($C$4:C57)-SUM($D$4:D57)</f>
        <v>4904</v>
      </c>
      <c r="F57" s="108" cm="1">
        <f t="array" ref="F57">SUM(VLOOKUP(I57:AF57,$AM$4:$AO$44,3,FALSE))</f>
        <v>715</v>
      </c>
      <c r="G57" s="122">
        <f>SUM($F$4:F57)+SUM($H$4:H57)</f>
        <v>35660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4" t="s">
        <v>20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44874</v>
      </c>
      <c r="B58" s="108">
        <v>1600</v>
      </c>
      <c r="C58" s="108"/>
      <c r="D58" s="108" cm="1">
        <f t="array" ref="D58">(SUM(VLOOKUP(I58:AF58,$AM$4:$AO$44,2,FALSE))+AG58*10)*IF(AK58="是",$AZ$4,$AZ$3)</f>
        <v>1560</v>
      </c>
      <c r="E58" s="169">
        <f>SUM($B$4:B58)+SUM($C$4:C58)-SUM($D$4:D58)</f>
        <v>4944</v>
      </c>
      <c r="F58" s="108" cm="1">
        <f t="array" ref="F58">SUM(VLOOKUP(I58:AF58,$AM$4:$AO$44,3,FALSE))</f>
        <v>635</v>
      </c>
      <c r="G58" s="122">
        <f>SUM($F$4:F58)+SUM($H$4:H58)</f>
        <v>36495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4" t="s">
        <v>20</v>
      </c>
      <c r="R58" s="24" t="s">
        <v>20</v>
      </c>
      <c r="S58" s="29" t="s">
        <v>47</v>
      </c>
      <c r="T58" s="24" t="s">
        <v>20</v>
      </c>
      <c r="U58" s="24" t="s">
        <v>20</v>
      </c>
      <c r="V58" s="24" t="s">
        <v>20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44875</v>
      </c>
      <c r="B59" s="108">
        <v>1600</v>
      </c>
      <c r="C59" s="108"/>
      <c r="D59" s="108" cm="1">
        <f t="array" ref="D59">(SUM(VLOOKUP(I59:AF59,$AM$4:$AO$44,2,FALSE))+AG59*10)*IF(AK59="是",$AZ$4,$AZ$3)</f>
        <v>1888</v>
      </c>
      <c r="E59" s="169">
        <f>SUM($B$4:B59)+SUM($C$4:C59)-SUM($D$4:D59)</f>
        <v>4656</v>
      </c>
      <c r="F59" s="108" cm="1">
        <f t="array" ref="F59">SUM(VLOOKUP(I59:AF59,$AM$4:$AO$44,3,FALSE))</f>
        <v>700</v>
      </c>
      <c r="G59" s="122">
        <f>SUM($F$4:F59)+SUM($H$4:H59)</f>
        <v>37195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24" t="s">
        <v>20</v>
      </c>
      <c r="R59" s="24" t="s">
        <v>20</v>
      </c>
      <c r="S59" s="24" t="s">
        <v>20</v>
      </c>
      <c r="T59" s="24" t="s">
        <v>20</v>
      </c>
      <c r="U59" s="25" t="s">
        <v>21</v>
      </c>
      <c r="V59" s="25" t="s">
        <v>21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44876</v>
      </c>
      <c r="B60" s="108">
        <v>1600</v>
      </c>
      <c r="C60" s="108"/>
      <c r="D60" s="108" cm="1">
        <f t="array" ref="D60">(SUM(VLOOKUP(I60:AF60,$AM$4:$AO$44,2,FALSE))+AG60*10)*IF(AK60="是",$AZ$4,$AZ$3)</f>
        <v>1920</v>
      </c>
      <c r="E60" s="169">
        <f>SUM($B$4:B60)+SUM($C$4:C60)-SUM($D$4:D60)</f>
        <v>4336</v>
      </c>
      <c r="F60" s="108" cm="1">
        <f t="array" ref="F60">SUM(VLOOKUP(I60:AF60,$AM$4:$AO$44,3,FALSE))</f>
        <v>720</v>
      </c>
      <c r="G60" s="122">
        <f>SUM($F$4:F60)+SUM($H$4:H60)</f>
        <v>37915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44877</v>
      </c>
      <c r="B61" s="108">
        <v>1600</v>
      </c>
      <c r="C61" s="108"/>
      <c r="D61" s="108" cm="1">
        <f t="array" ref="D61">(SUM(VLOOKUP(I61:AF61,$AM$4:$AO$44,2,FALSE))+AG61*10)*IF(AK61="是",$AZ$4,$AZ$3)</f>
        <v>1904</v>
      </c>
      <c r="E61" s="169">
        <f>SUM($B$4:B61)+SUM($C$4:C61)-SUM($D$4:D61)</f>
        <v>4032</v>
      </c>
      <c r="F61" s="108" cm="1">
        <f t="array" ref="F61">SUM(VLOOKUP(I61:AF61,$AM$4:$AO$44,3,FALSE))</f>
        <v>710</v>
      </c>
      <c r="G61" s="122">
        <f>SUM($F$4:F61)+SUM($H$4:H61)</f>
        <v>38625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25" t="s">
        <v>21</v>
      </c>
      <c r="R61" s="25" t="s">
        <v>21</v>
      </c>
      <c r="S61" s="24" t="s">
        <v>20</v>
      </c>
      <c r="T61" s="24" t="s">
        <v>20</v>
      </c>
      <c r="U61" s="25" t="s">
        <v>21</v>
      </c>
      <c r="V61" s="25" t="s">
        <v>21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44878</v>
      </c>
      <c r="B62" s="108">
        <v>1600</v>
      </c>
      <c r="C62" s="108"/>
      <c r="D62" s="108" cm="1">
        <f t="array" ref="D62">(SUM(VLOOKUP(I62:AF62,$AM$4:$AO$44,2,FALSE))+AG62*10)*IF(AK62="是",$AZ$4,$AZ$3)</f>
        <v>1592</v>
      </c>
      <c r="E62" s="169">
        <f>SUM($B$4:B62)+SUM($C$4:C62)-SUM($D$4:D62)</f>
        <v>4040</v>
      </c>
      <c r="F62" s="108" cm="1">
        <f t="array" ref="F62">SUM(VLOOKUP(I62:AF62,$AM$4:$AO$44,3,FALSE))</f>
        <v>655</v>
      </c>
      <c r="G62" s="122">
        <f>SUM($F$4:F62)+SUM($H$4:H62)</f>
        <v>39280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25" t="s">
        <v>21</v>
      </c>
      <c r="R62" s="29" t="s">
        <v>47</v>
      </c>
      <c r="S62" s="25" t="s">
        <v>21</v>
      </c>
      <c r="T62" s="25" t="s">
        <v>21</v>
      </c>
      <c r="U62" s="25" t="s">
        <v>21</v>
      </c>
      <c r="V62" s="24" t="s">
        <v>20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44879</v>
      </c>
      <c r="B63" s="109">
        <v>1600</v>
      </c>
      <c r="C63" s="109"/>
      <c r="D63" s="108" cm="1">
        <f t="array" ref="D63">(SUM(VLOOKUP(I63:AF63,$AM$4:$AO$44,2,FALSE))+AG63*10)*IF(AK63="是",$AZ$4,$AZ$3)</f>
        <v>1840</v>
      </c>
      <c r="E63" s="169">
        <f>SUM($B$4:B63)+SUM($C$4:C63)-SUM($D$4:D63)</f>
        <v>3800</v>
      </c>
      <c r="F63" s="108" cm="1">
        <f t="array" ref="F63">SUM(VLOOKUP(I63:AF63,$AM$4:$AO$44,3,FALSE))</f>
        <v>690</v>
      </c>
      <c r="G63" s="122">
        <f>SUM($F$4:F63)+SUM($H$4:H63)</f>
        <v>40270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24" t="s">
        <v>20</v>
      </c>
      <c r="R63" s="148" t="s">
        <v>9</v>
      </c>
      <c r="S63" s="24" t="s">
        <v>20</v>
      </c>
      <c r="T63" s="24" t="s">
        <v>20</v>
      </c>
      <c r="U63" s="24" t="s">
        <v>20</v>
      </c>
      <c r="V63" s="24" t="s">
        <v>20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44880</v>
      </c>
      <c r="B64" s="109">
        <v>1600</v>
      </c>
      <c r="C64" s="109"/>
      <c r="D64" s="108" cm="1">
        <f t="array" ref="D64">(SUM(VLOOKUP(I64:AF64,$AM$4:$AO$44,2,FALSE))+AG64*10)*IF(AK64="是",$AZ$4,$AZ$3)</f>
        <v>1760</v>
      </c>
      <c r="E64" s="169">
        <f>SUM($B$4:B64)+SUM($C$4:C64)-SUM($D$4:D64)</f>
        <v>3640</v>
      </c>
      <c r="F64" s="108" cm="1">
        <f t="array" ref="F64">SUM(VLOOKUP(I64:AF64,$AM$4:$AO$44,3,FALSE))</f>
        <v>1155</v>
      </c>
      <c r="G64" s="122">
        <f>SUM($F$4:F64)+SUM($H$4:H64)</f>
        <v>41425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24" t="s">
        <v>20</v>
      </c>
      <c r="R64" s="24" t="s">
        <v>20</v>
      </c>
      <c r="S64" s="24" t="s">
        <v>20</v>
      </c>
      <c r="T64" s="124" t="s">
        <v>87</v>
      </c>
      <c r="U64" s="24" t="s">
        <v>20</v>
      </c>
      <c r="V64" s="24" t="s">
        <v>20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44881</v>
      </c>
      <c r="B65" s="109">
        <v>1600</v>
      </c>
      <c r="C65" s="109"/>
      <c r="D65" s="108" cm="1">
        <f t="array" ref="D65">(SUM(VLOOKUP(I65:AF65,$AM$4:$AO$44,2,FALSE))+AG65*10)*IF(AK65="是",$AZ$4,$AZ$3)</f>
        <v>1872</v>
      </c>
      <c r="E65" s="169">
        <f>SUM($B$4:B65)+SUM($C$4:C65)-SUM($D$4:D65)</f>
        <v>3368</v>
      </c>
      <c r="F65" s="108" cm="1">
        <f t="array" ref="F65">SUM(VLOOKUP(I65:AF65,$AM$4:$AO$44,3,FALSE))</f>
        <v>690</v>
      </c>
      <c r="G65" s="122">
        <f>SUM($F$4:F65)+SUM($H$4:H65)</f>
        <v>42315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24" t="s">
        <v>20</v>
      </c>
      <c r="R65" s="24" t="s">
        <v>20</v>
      </c>
      <c r="S65" s="24" t="s">
        <v>20</v>
      </c>
      <c r="T65" s="24" t="s">
        <v>20</v>
      </c>
      <c r="U65" s="24" t="s">
        <v>20</v>
      </c>
      <c r="V65" s="24" t="s">
        <v>20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44882</v>
      </c>
      <c r="B66" s="109">
        <v>1600</v>
      </c>
      <c r="C66" s="109"/>
      <c r="D66" s="108" cm="1">
        <f t="array" ref="D66">(SUM(VLOOKUP(I66:AF66,$AM$4:$AO$44,2,FALSE))+AG66*10)*IF(AK66="是",$AZ$4,$AZ$3)</f>
        <v>1872</v>
      </c>
      <c r="E66" s="169">
        <f>SUM($B$4:B66)+SUM($C$4:C66)-SUM($D$4:D66)</f>
        <v>3096</v>
      </c>
      <c r="F66" s="108" cm="1">
        <f t="array" ref="F66">SUM(VLOOKUP(I66:AF66,$AM$4:$AO$44,3,FALSE))</f>
        <v>690</v>
      </c>
      <c r="G66" s="122">
        <f>SUM($F$4:F66)+SUM($H$4:H66)</f>
        <v>43005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24" t="s">
        <v>20</v>
      </c>
      <c r="R66" s="24" t="s">
        <v>20</v>
      </c>
      <c r="S66" s="24" t="s">
        <v>20</v>
      </c>
      <c r="T66" s="24" t="s">
        <v>20</v>
      </c>
      <c r="U66" s="24" t="s">
        <v>20</v>
      </c>
      <c r="V66" s="24" t="s">
        <v>20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44883</v>
      </c>
      <c r="B67" s="109">
        <v>1600</v>
      </c>
      <c r="C67" s="109"/>
      <c r="D67" s="108" cm="1">
        <f t="array" ref="D67">(SUM(VLOOKUP(I67:AF67,$AM$4:$AO$44,2,FALSE))+AG67*10)*IF(AK67="是",$AZ$4,$AZ$3)</f>
        <v>1872</v>
      </c>
      <c r="E67" s="169">
        <f>SUM($B$4:B67)+SUM($C$4:C67)-SUM($D$4:D67)</f>
        <v>2824</v>
      </c>
      <c r="F67" s="108" cm="1">
        <f t="array" ref="F67">SUM(VLOOKUP(I67:AF67,$AM$4:$AO$44,3,FALSE))</f>
        <v>690</v>
      </c>
      <c r="G67" s="122">
        <f>SUM($F$4:F67)+SUM($H$4:H67)</f>
        <v>43695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24" t="s">
        <v>20</v>
      </c>
      <c r="R67" s="24" t="s">
        <v>20</v>
      </c>
      <c r="S67" s="24" t="s">
        <v>20</v>
      </c>
      <c r="T67" s="24" t="s">
        <v>20</v>
      </c>
      <c r="U67" s="24" t="s">
        <v>20</v>
      </c>
      <c r="V67" s="24" t="s">
        <v>20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44884</v>
      </c>
      <c r="B68" s="109">
        <v>1600</v>
      </c>
      <c r="C68" s="109"/>
      <c r="D68" s="108" cm="1">
        <f t="array" ref="D68">(SUM(VLOOKUP(I68:AF68,$AM$4:$AO$44,2,FALSE))+AG68*10)*IF(AK68="是",$AZ$4,$AZ$3)</f>
        <v>1904</v>
      </c>
      <c r="E68" s="169">
        <f>SUM($B$4:B68)+SUM($C$4:C68)-SUM($D$4:D68)</f>
        <v>2520</v>
      </c>
      <c r="F68" s="108" cm="1">
        <f t="array" ref="F68">SUM(VLOOKUP(I68:AF68,$AM$4:$AO$44,3,FALSE))</f>
        <v>710</v>
      </c>
      <c r="G68" s="122">
        <f>SUM($F$4:F68)+SUM($H$4:H68)</f>
        <v>44405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25" t="s">
        <v>21</v>
      </c>
      <c r="R68" s="25" t="s">
        <v>21</v>
      </c>
      <c r="S68" s="25" t="s">
        <v>21</v>
      </c>
      <c r="T68" s="24" t="s">
        <v>20</v>
      </c>
      <c r="U68" s="24" t="s">
        <v>20</v>
      </c>
      <c r="V68" s="25" t="s">
        <v>21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5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44885</v>
      </c>
      <c r="B69" s="109">
        <v>1600</v>
      </c>
      <c r="C69" s="109"/>
      <c r="D69" s="108" cm="1">
        <f t="array" ref="D69">(SUM(VLOOKUP(I69:AF69,$AM$4:$AO$44,2,FALSE))+AG69*10)*IF(AK69="是",$AZ$4,$AZ$3)</f>
        <v>1784</v>
      </c>
      <c r="E69" s="169">
        <f>SUM($B$4:B69)+SUM($C$4:C69)-SUM($D$4:D69)</f>
        <v>2336</v>
      </c>
      <c r="F69" s="108" cm="1">
        <f t="array" ref="F69">SUM(VLOOKUP(I69:AF69,$AM$4:$AO$44,3,FALSE))</f>
        <v>680</v>
      </c>
      <c r="G69" s="122">
        <f>SUM($F$4:F69)+SUM($H$4:H69)</f>
        <v>45085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25" t="s">
        <v>21</v>
      </c>
      <c r="R69" s="25" t="s">
        <v>21</v>
      </c>
      <c r="S69" s="25" t="s">
        <v>21</v>
      </c>
      <c r="T69" s="24" t="s">
        <v>20</v>
      </c>
      <c r="U69" s="24" t="s">
        <v>20</v>
      </c>
      <c r="V69" s="28" t="s">
        <v>12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5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44886</v>
      </c>
      <c r="B70" s="108">
        <v>1600</v>
      </c>
      <c r="C70" s="108"/>
      <c r="D70" s="108" cm="1">
        <f t="array" ref="D70">(SUM(VLOOKUP(I70:AF70,$AM$4:$AO$44,2,FALSE))+AG70*10)*IF(AK70="是",$AZ$4,$AZ$3)</f>
        <v>2040</v>
      </c>
      <c r="E70" s="169">
        <f>SUM($B$4:B70)+SUM($C$4:C70)-SUM($D$4:D70)</f>
        <v>1896</v>
      </c>
      <c r="F70" s="108" cm="1">
        <f t="array" ref="F70">SUM(VLOOKUP(I70:AF70,$AM$4:$AO$44,3,FALSE))</f>
        <v>755</v>
      </c>
      <c r="G70" s="122">
        <f>SUM($F$4:F70)+SUM($H$4:H70)</f>
        <v>46140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25" t="s">
        <v>21</v>
      </c>
      <c r="W70" s="25" t="s">
        <v>21</v>
      </c>
      <c r="X70" s="110" t="s">
        <v>23</v>
      </c>
      <c r="Y70" s="25" t="s">
        <v>21</v>
      </c>
      <c r="Z70" s="25" t="s">
        <v>21</v>
      </c>
      <c r="AA70" s="25" t="s">
        <v>21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44887</v>
      </c>
      <c r="B71" s="108">
        <v>1600</v>
      </c>
      <c r="C71" s="108"/>
      <c r="D71" s="108" cm="1">
        <f t="array" ref="D71">(SUM(VLOOKUP(I71:AF71,$AM$4:$AO$44,2,FALSE))+AG71*10)*IF(AK71="是",$AZ$4,$AZ$3)</f>
        <v>1152</v>
      </c>
      <c r="E71" s="169">
        <f>SUM($B$4:B71)+SUM($C$4:C71)-SUM($D$4:D71)</f>
        <v>2344</v>
      </c>
      <c r="F71" s="108" cm="1">
        <f t="array" ref="F71">SUM(VLOOKUP(I71:AF71,$AM$4:$AO$44,3,FALSE))</f>
        <v>1355</v>
      </c>
      <c r="G71" s="122">
        <f>SUM($F$4:F71)+SUM($H$4:H71)</f>
        <v>47495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25" t="s">
        <v>21</v>
      </c>
      <c r="R71" s="32" t="s">
        <v>15</v>
      </c>
      <c r="S71" s="25" t="s">
        <v>21</v>
      </c>
      <c r="T71" s="25" t="s">
        <v>21</v>
      </c>
      <c r="U71" s="25" t="s">
        <v>21</v>
      </c>
      <c r="V71" s="24" t="s">
        <v>20</v>
      </c>
      <c r="W71" s="110" t="s">
        <v>23</v>
      </c>
      <c r="X71" s="110" t="s">
        <v>23</v>
      </c>
      <c r="Y71" s="25" t="s">
        <v>21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44888</v>
      </c>
      <c r="B72" s="108">
        <v>1600</v>
      </c>
      <c r="C72" s="108"/>
      <c r="D72" s="108" cm="1">
        <f t="array" ref="D72">(SUM(VLOOKUP(I72:AF72,$AM$4:$AO$44,2,FALSE))+AG72*10)*IF(AK72="是",$AZ$4,$AZ$3)</f>
        <v>1872</v>
      </c>
      <c r="E72" s="169">
        <f>SUM($B$4:B72)+SUM($C$4:C72)-SUM($D$4:D72)</f>
        <v>2072</v>
      </c>
      <c r="F72" s="108" cm="1">
        <f t="array" ref="F72">SUM(VLOOKUP(I72:AF72,$AM$4:$AO$44,3,FALSE))</f>
        <v>1605</v>
      </c>
      <c r="G72" s="122">
        <f>SUM($F$4:F72)+SUM($H$4:H72)</f>
        <v>49300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24" t="s">
        <v>20</v>
      </c>
      <c r="W72" s="110" t="s">
        <v>23</v>
      </c>
      <c r="X72" s="110" t="s">
        <v>23</v>
      </c>
      <c r="Y72" s="32" t="s">
        <v>15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24" t="s">
        <v>20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44889</v>
      </c>
      <c r="B73" s="108">
        <v>1600</v>
      </c>
      <c r="C73" s="108"/>
      <c r="D73" s="108" cm="1">
        <f t="array" ref="D73">(SUM(VLOOKUP(I73:AF73,$AM$4:$AO$44,2,FALSE))+AG73*10)*IF(AK73="是",$AZ$4,$AZ$3)</f>
        <v>1824</v>
      </c>
      <c r="E73" s="169">
        <f>SUM($B$4:B73)+SUM($C$4:C73)-SUM($D$4:D73)</f>
        <v>1848</v>
      </c>
      <c r="F73" s="108" cm="1">
        <f t="array" ref="F73">SUM(VLOOKUP(I73:AF73,$AM$4:$AO$44,3,FALSE))</f>
        <v>660</v>
      </c>
      <c r="G73" s="122">
        <f>SUM($F$4:F73)+SUM($H$4:H73)</f>
        <v>49960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24" t="s">
        <v>20</v>
      </c>
      <c r="W73" s="110" t="s">
        <v>23</v>
      </c>
      <c r="X73" s="110" t="s">
        <v>23</v>
      </c>
      <c r="Y73" s="24" t="s">
        <v>20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44890</v>
      </c>
      <c r="B74" s="108">
        <v>1600</v>
      </c>
      <c r="C74" s="108"/>
      <c r="D74" s="108" cm="1">
        <f t="array" ref="D74">(SUM(VLOOKUP(I74:AF74,$AM$4:$AO$44,2,FALSE))+AG74*10)*IF(AK74="是",$AZ$4,$AZ$3)</f>
        <v>1792</v>
      </c>
      <c r="E74" s="169">
        <f>SUM($B$4:B74)+SUM($C$4:C74)-SUM($D$4:D74)</f>
        <v>1656</v>
      </c>
      <c r="F74" s="108" cm="1">
        <f t="array" ref="F74">SUM(VLOOKUP(I74:AF74,$AM$4:$AO$44,3,FALSE))</f>
        <v>655</v>
      </c>
      <c r="G74" s="122">
        <f>SUM($F$4:F74)+SUM($H$4:H74)</f>
        <v>50615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24" t="s">
        <v>20</v>
      </c>
      <c r="R74" s="24" t="s">
        <v>20</v>
      </c>
      <c r="S74" s="24" t="s">
        <v>20</v>
      </c>
      <c r="T74" s="24" t="s">
        <v>20</v>
      </c>
      <c r="U74" s="24" t="s">
        <v>20</v>
      </c>
      <c r="V74" s="24" t="s">
        <v>20</v>
      </c>
      <c r="W74" s="110" t="s">
        <v>23</v>
      </c>
      <c r="X74" s="110" t="s">
        <v>23</v>
      </c>
      <c r="Y74" s="24" t="s">
        <v>20</v>
      </c>
      <c r="Z74" s="24" t="s">
        <v>20</v>
      </c>
      <c r="AA74" s="24" t="s">
        <v>20</v>
      </c>
      <c r="AB74" s="147" t="s">
        <v>8</v>
      </c>
      <c r="AC74" s="24" t="s">
        <v>20</v>
      </c>
      <c r="AD74" s="24" t="s">
        <v>20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44891</v>
      </c>
      <c r="B75" s="108">
        <v>1600</v>
      </c>
      <c r="C75" s="108"/>
      <c r="D75" s="108" cm="1">
        <f t="array" ref="D75">(SUM(VLOOKUP(I75:AF75,$AM$4:$AO$44,2,FALSE))+AG75*10)*IF(AK75="是",$AZ$4,$AZ$3)</f>
        <v>1712</v>
      </c>
      <c r="E75" s="169">
        <f>SUM($B$4:B75)+SUM($C$4:C75)-SUM($D$4:D75)</f>
        <v>1544</v>
      </c>
      <c r="F75" s="108" cm="1">
        <f t="array" ref="F75">SUM(VLOOKUP(I75:AF75,$AM$4:$AO$44,3,FALSE))</f>
        <v>635</v>
      </c>
      <c r="G75" s="122">
        <f>SUM($F$4:F75)+SUM($H$4:H75)</f>
        <v>51250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24" t="s">
        <v>20</v>
      </c>
      <c r="R75" s="24" t="s">
        <v>20</v>
      </c>
      <c r="S75" s="24" t="s">
        <v>20</v>
      </c>
      <c r="T75" s="24" t="s">
        <v>20</v>
      </c>
      <c r="U75" s="24" t="s">
        <v>20</v>
      </c>
      <c r="V75" s="24" t="s">
        <v>20</v>
      </c>
      <c r="W75" s="110" t="s">
        <v>23</v>
      </c>
      <c r="X75" s="110" t="s">
        <v>23</v>
      </c>
      <c r="Y75" s="28" t="s">
        <v>12</v>
      </c>
      <c r="Z75" s="24" t="s">
        <v>20</v>
      </c>
      <c r="AA75" s="24" t="s">
        <v>20</v>
      </c>
      <c r="AB75" s="24" t="s">
        <v>20</v>
      </c>
      <c r="AC75" s="24" t="s">
        <v>20</v>
      </c>
      <c r="AD75" s="24" t="s">
        <v>20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44892</v>
      </c>
      <c r="B76" s="108">
        <v>1600</v>
      </c>
      <c r="C76" s="108"/>
      <c r="D76" s="108" cm="1">
        <f t="array" ref="D76">(SUM(VLOOKUP(I76:AF76,$AM$4:$AO$44,2,FALSE))+AG76*10)*IF(AK76="是",$AZ$4,$AZ$3)</f>
        <v>1496</v>
      </c>
      <c r="E76" s="169">
        <f>SUM($B$4:B76)+SUM($C$4:C76)-SUM($D$4:D76)</f>
        <v>1648</v>
      </c>
      <c r="F76" s="108" cm="1">
        <f t="array" ref="F76">SUM(VLOOKUP(I76:AF76,$AM$4:$AO$44,3,FALSE))</f>
        <v>595</v>
      </c>
      <c r="G76" s="122">
        <f>SUM($F$4:F76)+SUM($H$4:H76)</f>
        <v>51845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24" t="s">
        <v>20</v>
      </c>
      <c r="R76" s="29" t="s">
        <v>47</v>
      </c>
      <c r="S76" s="24" t="s">
        <v>20</v>
      </c>
      <c r="T76" s="24" t="s">
        <v>20</v>
      </c>
      <c r="U76" s="24" t="s">
        <v>20</v>
      </c>
      <c r="V76" s="24" t="s">
        <v>20</v>
      </c>
      <c r="W76" s="110" t="s">
        <v>23</v>
      </c>
      <c r="X76" s="110" t="s">
        <v>23</v>
      </c>
      <c r="Y76" s="24" t="s">
        <v>20</v>
      </c>
      <c r="Z76" s="24" t="s">
        <v>20</v>
      </c>
      <c r="AA76" s="24" t="s">
        <v>20</v>
      </c>
      <c r="AB76" s="24" t="s">
        <v>20</v>
      </c>
      <c r="AC76" s="23" t="s">
        <v>19</v>
      </c>
      <c r="AD76" s="23" t="s">
        <v>19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44893</v>
      </c>
      <c r="B77" s="109">
        <v>1600</v>
      </c>
      <c r="C77" s="109"/>
      <c r="D77" s="108" cm="1">
        <f t="array" ref="D77">(SUM(VLOOKUP(I77:AF77,$AM$4:$AO$44,2,FALSE))+AG77*10)*IF(AK77="是",$AZ$4,$AZ$3)</f>
        <v>1776</v>
      </c>
      <c r="E77" s="169">
        <f>SUM($B$4:B77)+SUM($C$4:C77)-SUM($D$4:D77)</f>
        <v>1472</v>
      </c>
      <c r="F77" s="108" cm="1">
        <f t="array" ref="F77">SUM(VLOOKUP(I77:AF77,$AM$4:$AO$44,3,FALSE))</f>
        <v>630</v>
      </c>
      <c r="G77" s="122">
        <f>SUM($F$4:F77)+SUM($H$4:H77)</f>
        <v>52775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24" t="s">
        <v>20</v>
      </c>
      <c r="R77" s="24" t="s">
        <v>20</v>
      </c>
      <c r="S77" s="24" t="s">
        <v>20</v>
      </c>
      <c r="T77" s="24" t="s">
        <v>20</v>
      </c>
      <c r="U77" s="24" t="s">
        <v>20</v>
      </c>
      <c r="V77" s="24" t="s">
        <v>20</v>
      </c>
      <c r="W77" s="110" t="s">
        <v>23</v>
      </c>
      <c r="X77" s="110" t="s">
        <v>23</v>
      </c>
      <c r="Y77" s="23" t="s">
        <v>19</v>
      </c>
      <c r="Z77" s="23" t="s">
        <v>19</v>
      </c>
      <c r="AA77" s="23" t="s">
        <v>19</v>
      </c>
      <c r="AB77" s="23" t="s">
        <v>19</v>
      </c>
      <c r="AC77" s="23" t="s">
        <v>19</v>
      </c>
      <c r="AD77" s="23" t="s">
        <v>19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44894</v>
      </c>
      <c r="B78" s="109">
        <v>1600</v>
      </c>
      <c r="C78" s="109"/>
      <c r="D78" s="108" cm="1">
        <f t="array" ref="D78">(SUM(VLOOKUP(I78:AF78,$AM$4:$AO$44,2,FALSE))+AG78*10)*IF(AK78="是",$AZ$4,$AZ$3)</f>
        <v>1696</v>
      </c>
      <c r="E78" s="169">
        <f>SUM($B$4:B78)+SUM($C$4:C78)-SUM($D$4:D78)</f>
        <v>1376</v>
      </c>
      <c r="F78" s="108" cm="1">
        <f t="array" ref="F78">SUM(VLOOKUP(I78:AF78,$AM$4:$AO$44,3,FALSE))</f>
        <v>625</v>
      </c>
      <c r="G78" s="122">
        <f>SUM($F$4:F78)+SUM($H$4:H78)</f>
        <v>53400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24" t="s">
        <v>20</v>
      </c>
      <c r="R78" s="24" t="s">
        <v>20</v>
      </c>
      <c r="S78" s="24" t="s">
        <v>20</v>
      </c>
      <c r="T78" s="25" t="s">
        <v>21</v>
      </c>
      <c r="U78" s="25" t="s">
        <v>21</v>
      </c>
      <c r="V78" s="25" t="s">
        <v>21</v>
      </c>
      <c r="W78" s="110" t="s">
        <v>23</v>
      </c>
      <c r="X78" s="110" t="s">
        <v>23</v>
      </c>
      <c r="Y78" s="23" t="s">
        <v>19</v>
      </c>
      <c r="Z78" s="23" t="s">
        <v>19</v>
      </c>
      <c r="AA78" s="28" t="s">
        <v>12</v>
      </c>
      <c r="AB78" s="23" t="s">
        <v>19</v>
      </c>
      <c r="AC78" s="23" t="s">
        <v>19</v>
      </c>
      <c r="AD78" s="23" t="s">
        <v>19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44895</v>
      </c>
      <c r="B79" s="109">
        <v>1600</v>
      </c>
      <c r="C79" s="109"/>
      <c r="D79" s="108" cm="1">
        <f t="array" ref="D79">(SUM(VLOOKUP(I79:AF79,$AM$4:$AO$44,2,FALSE))+AG79*10)*IF(AK79="是",$AZ$4,$AZ$3)</f>
        <v>1080</v>
      </c>
      <c r="E79" s="169">
        <f>SUM($B$4:B79)+SUM($C$4:C79)-SUM($D$4:D79)</f>
        <v>1896</v>
      </c>
      <c r="F79" s="108" cm="1">
        <f t="array" ref="F79">SUM(VLOOKUP(I79:AF79,$AM$4:$AO$44,3,FALSE))</f>
        <v>400</v>
      </c>
      <c r="G79" s="122">
        <f>SUM($F$4:F79)+SUM($H$4:H79)</f>
        <v>54000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25" t="s">
        <v>21</v>
      </c>
      <c r="R79" s="25" t="s">
        <v>21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23" t="s">
        <v>19</v>
      </c>
      <c r="Z79" s="23" t="s">
        <v>19</v>
      </c>
      <c r="AA79" s="28" t="s">
        <v>12</v>
      </c>
      <c r="AB79" s="23" t="s">
        <v>19</v>
      </c>
      <c r="AC79" s="23" t="s">
        <v>19</v>
      </c>
      <c r="AD79" s="23" t="s">
        <v>19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44896</v>
      </c>
      <c r="B80" s="109">
        <v>1600</v>
      </c>
      <c r="C80" s="109"/>
      <c r="D80" s="108" cm="1">
        <f t="array" ref="D80">(SUM(VLOOKUP(I80:AF80,$AM$4:$AO$44,2,FALSE))+AG80*10)*IF(AK80="是",$AZ$4,$AZ$3)</f>
        <v>1600</v>
      </c>
      <c r="E80" s="169">
        <f>SUM($B$4:B80)+SUM($C$4:C80)-SUM($D$4:D80)</f>
        <v>1896</v>
      </c>
      <c r="F80" s="108" cm="1">
        <f t="array" ref="F80">SUM(VLOOKUP(I80:AF80,$AM$4:$AO$44,3,FALSE))</f>
        <v>590</v>
      </c>
      <c r="G80" s="122">
        <f>SUM($F$4:F80)+SUM($H$4:H80)</f>
        <v>54590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49" t="s">
        <v>10</v>
      </c>
      <c r="R80" s="25" t="s">
        <v>21</v>
      </c>
      <c r="S80" s="24" t="s">
        <v>20</v>
      </c>
      <c r="T80" s="24" t="s">
        <v>20</v>
      </c>
      <c r="U80" s="24" t="s">
        <v>20</v>
      </c>
      <c r="V80" s="24" t="s">
        <v>20</v>
      </c>
      <c r="W80" s="110" t="s">
        <v>23</v>
      </c>
      <c r="X80" s="110" t="s">
        <v>23</v>
      </c>
      <c r="Y80" s="22" t="s">
        <v>18</v>
      </c>
      <c r="Z80" s="22" t="s">
        <v>18</v>
      </c>
      <c r="AA80" s="22" t="s">
        <v>18</v>
      </c>
      <c r="AB80" s="28" t="s">
        <v>12</v>
      </c>
      <c r="AC80" s="21" t="s">
        <v>17</v>
      </c>
      <c r="AD80" s="22" t="s">
        <v>18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44897</v>
      </c>
      <c r="B81" s="109">
        <v>1600</v>
      </c>
      <c r="C81" s="109"/>
      <c r="D81" s="108" cm="1">
        <f t="array" ref="D81">(SUM(VLOOKUP(I81:AF81,$AM$4:$AO$44,2,FALSE))+AG81*10)*IF(AK81="是",$AZ$4,$AZ$3)</f>
        <v>1048</v>
      </c>
      <c r="E81" s="169">
        <f>SUM($B$4:B81)+SUM($C$4:C81)-SUM($D$4:D81)</f>
        <v>2448</v>
      </c>
      <c r="F81" s="108" cm="1">
        <f t="array" ref="F81">SUM(VLOOKUP(I81:AF81,$AM$4:$AO$44,3,FALSE))</f>
        <v>375</v>
      </c>
      <c r="G81" s="122">
        <f>SUM($F$4:F81)+SUM($H$4:H81)</f>
        <v>54965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24" t="s">
        <v>20</v>
      </c>
      <c r="R81" s="24" t="s">
        <v>20</v>
      </c>
      <c r="S81" s="24" t="s">
        <v>20</v>
      </c>
      <c r="T81" s="24" t="s">
        <v>20</v>
      </c>
      <c r="U81" s="24" t="s">
        <v>20</v>
      </c>
      <c r="V81" s="24" t="s">
        <v>20</v>
      </c>
      <c r="W81" s="110" t="s">
        <v>23</v>
      </c>
      <c r="X81" s="110" t="s">
        <v>23</v>
      </c>
      <c r="Y81" s="22" t="s">
        <v>18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44898</v>
      </c>
      <c r="B82" s="109">
        <v>1600</v>
      </c>
      <c r="C82" s="109"/>
      <c r="D82" s="108" cm="1">
        <f t="array" ref="D82">(SUM(VLOOKUP(I82:AF82,$AM$4:$AO$44,2,FALSE))+AG82*10)*IF(AK82="是",$AZ$4,$AZ$3)</f>
        <v>1752</v>
      </c>
      <c r="E82" s="169">
        <f>SUM($B$4:B82)+SUM($C$4:C82)-SUM($D$4:D82)</f>
        <v>2296</v>
      </c>
      <c r="F82" s="108" cm="1">
        <f t="array" ref="F82">SUM(VLOOKUP(I82:AF82,$AM$4:$AO$44,3,FALSE))</f>
        <v>630</v>
      </c>
      <c r="G82" s="122">
        <f>SUM($F$4:F82)+SUM($H$4:H82)</f>
        <v>55595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24" t="s">
        <v>20</v>
      </c>
      <c r="R82" s="24" t="s">
        <v>20</v>
      </c>
      <c r="S82" s="24" t="s">
        <v>20</v>
      </c>
      <c r="T82" s="24" t="s">
        <v>20</v>
      </c>
      <c r="U82" s="24" t="s">
        <v>20</v>
      </c>
      <c r="V82" s="24" t="s">
        <v>20</v>
      </c>
      <c r="W82" s="110" t="s">
        <v>23</v>
      </c>
      <c r="X82" s="110" t="s">
        <v>23</v>
      </c>
      <c r="Y82" s="23" t="s">
        <v>19</v>
      </c>
      <c r="Z82" s="23" t="s">
        <v>19</v>
      </c>
      <c r="AA82" s="147" t="s">
        <v>8</v>
      </c>
      <c r="AB82" s="23" t="s">
        <v>19</v>
      </c>
      <c r="AC82" s="23" t="s">
        <v>19</v>
      </c>
      <c r="AD82" s="23" t="s">
        <v>19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44899</v>
      </c>
      <c r="B83" s="109">
        <v>1600</v>
      </c>
      <c r="C83" s="109"/>
      <c r="D83" s="108" cm="1">
        <f t="array" ref="D83">(SUM(VLOOKUP(I83:AF83,$AM$4:$AO$44,2,FALSE))+AG83*10)*IF(AK83="是",$AZ$4,$AZ$3)</f>
        <v>1664</v>
      </c>
      <c r="E83" s="169">
        <f>SUM($B$4:B83)+SUM($C$4:C83)-SUM($D$4:D83)</f>
        <v>2232</v>
      </c>
      <c r="F83" s="108" cm="1">
        <f t="array" ref="F83">SUM(VLOOKUP(I83:AF83,$AM$4:$AO$44,3,FALSE))</f>
        <v>605</v>
      </c>
      <c r="G83" s="122">
        <f>SUM($F$4:F83)+SUM($H$4:H83)</f>
        <v>56200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4" t="s">
        <v>20</v>
      </c>
      <c r="R83" s="24" t="s">
        <v>20</v>
      </c>
      <c r="S83" s="24" t="s">
        <v>20</v>
      </c>
      <c r="T83" s="24" t="s">
        <v>20</v>
      </c>
      <c r="U83" s="24" t="s">
        <v>20</v>
      </c>
      <c r="V83" s="28" t="s">
        <v>12</v>
      </c>
      <c r="W83" s="110" t="s">
        <v>23</v>
      </c>
      <c r="X83" s="110" t="s">
        <v>23</v>
      </c>
      <c r="Y83" s="23" t="s">
        <v>19</v>
      </c>
      <c r="Z83" s="23" t="s">
        <v>19</v>
      </c>
      <c r="AA83" s="23" t="s">
        <v>19</v>
      </c>
      <c r="AB83" s="23" t="s">
        <v>19</v>
      </c>
      <c r="AC83" s="23" t="s">
        <v>19</v>
      </c>
      <c r="AD83" s="23" t="s">
        <v>19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44900</v>
      </c>
      <c r="B84" s="108">
        <v>1600</v>
      </c>
      <c r="C84" s="108"/>
      <c r="D84" s="108" cm="1">
        <f t="array" ref="D84">(SUM(VLOOKUP(I84:AF84,$AM$4:$AO$44,2,FALSE))+AG84*10)*IF(AK84="是",$AZ$4,$AZ$3)</f>
        <v>1776</v>
      </c>
      <c r="E84" s="169">
        <f>SUM($B$4:B84)+SUM($C$4:C84)-SUM($D$4:D84)</f>
        <v>2056</v>
      </c>
      <c r="F84" s="108" cm="1">
        <f t="array" ref="F84">SUM(VLOOKUP(I84:AF84,$AM$4:$AO$44,3,FALSE))</f>
        <v>630</v>
      </c>
      <c r="G84" s="122">
        <f>SUM($F$4:F84)+SUM($H$4:H84)</f>
        <v>57130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24" t="s">
        <v>20</v>
      </c>
      <c r="R84" s="24" t="s">
        <v>20</v>
      </c>
      <c r="S84" s="24" t="s">
        <v>20</v>
      </c>
      <c r="T84" s="24" t="s">
        <v>20</v>
      </c>
      <c r="U84" s="24" t="s">
        <v>20</v>
      </c>
      <c r="V84" s="24" t="s">
        <v>20</v>
      </c>
      <c r="W84" s="110" t="s">
        <v>23</v>
      </c>
      <c r="X84" s="110" t="s">
        <v>23</v>
      </c>
      <c r="Y84" s="23" t="s">
        <v>19</v>
      </c>
      <c r="Z84" s="23" t="s">
        <v>19</v>
      </c>
      <c r="AA84" s="23" t="s">
        <v>19</v>
      </c>
      <c r="AB84" s="23" t="s">
        <v>19</v>
      </c>
      <c r="AC84" s="23" t="s">
        <v>19</v>
      </c>
      <c r="AD84" s="23" t="s">
        <v>19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44901</v>
      </c>
      <c r="B85" s="108">
        <v>1600</v>
      </c>
      <c r="C85" s="108"/>
      <c r="D85" s="155" cm="1">
        <f t="array" ref="D85">(SUM(VLOOKUP(I85:AF85,$AM$4:$AO$44,2,FALSE))+AG85*10)*IF(AK85="是",$AZ$4,$AZ$3)-40</f>
        <v>2176</v>
      </c>
      <c r="E85" s="169">
        <f>SUM($B$4:B85)+SUM($C$4:C85)-SUM($D$4:D85)</f>
        <v>1480</v>
      </c>
      <c r="F85" s="108" cm="1">
        <f t="array" ref="F85">SUM(VLOOKUP(I85:AF85,$AM$4:$AO$44,3,FALSE))</f>
        <v>790</v>
      </c>
      <c r="G85" s="122">
        <f>SUM($F$4:F85)+SUM($H$4:H85)</f>
        <v>57920</v>
      </c>
      <c r="H85" s="108">
        <v>0</v>
      </c>
      <c r="I85" s="22" t="s">
        <v>18</v>
      </c>
      <c r="J85" s="22" t="s">
        <v>18</v>
      </c>
      <c r="K85" s="22" t="s">
        <v>18</v>
      </c>
      <c r="L85" s="22" t="s">
        <v>18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4" t="s">
        <v>20</v>
      </c>
      <c r="R85" s="24" t="s">
        <v>20</v>
      </c>
      <c r="S85" s="24" t="s">
        <v>20</v>
      </c>
      <c r="T85" s="24" t="s">
        <v>20</v>
      </c>
      <c r="U85" s="24" t="s">
        <v>20</v>
      </c>
      <c r="V85" s="24" t="s">
        <v>20</v>
      </c>
      <c r="W85" s="110" t="s">
        <v>23</v>
      </c>
      <c r="X85" s="110" t="s">
        <v>23</v>
      </c>
      <c r="Y85" s="23" t="s">
        <v>19</v>
      </c>
      <c r="Z85" s="23" t="s">
        <v>19</v>
      </c>
      <c r="AA85" s="28" t="s">
        <v>12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44902</v>
      </c>
      <c r="B86" s="108">
        <v>1600</v>
      </c>
      <c r="C86" s="108"/>
      <c r="D86" s="108" cm="1">
        <f t="array" ref="D86">(SUM(VLOOKUP(I86:AF86,$AM$4:$AO$44,2,FALSE))+AG86*10)*IF(AK86="是",$AZ$4,$AZ$3)</f>
        <v>2216</v>
      </c>
      <c r="E86" s="169">
        <f>SUM($B$4:B86)+SUM($C$4:C86)-SUM($D$4:D86)</f>
        <v>864</v>
      </c>
      <c r="F86" s="108" cm="1">
        <f t="array" ref="F86">SUM(VLOOKUP(I86:AF86,$AM$4:$AO$44,3,FALSE))</f>
        <v>805</v>
      </c>
      <c r="G86" s="122">
        <f>SUM($F$4:F86)+SUM($H$4:H86)</f>
        <v>58925</v>
      </c>
      <c r="H86" s="108">
        <v>200</v>
      </c>
      <c r="I86" s="20" t="s">
        <v>16</v>
      </c>
      <c r="J86" s="28" t="s">
        <v>12</v>
      </c>
      <c r="K86" s="20" t="s">
        <v>16</v>
      </c>
      <c r="L86" s="20" t="s">
        <v>16</v>
      </c>
      <c r="M86" s="28" t="s">
        <v>12</v>
      </c>
      <c r="N86" s="109" t="s">
        <v>23</v>
      </c>
      <c r="O86" s="110" t="s">
        <v>23</v>
      </c>
      <c r="P86" s="110" t="s">
        <v>23</v>
      </c>
      <c r="Q86" s="24" t="s">
        <v>20</v>
      </c>
      <c r="R86" s="25" t="s">
        <v>21</v>
      </c>
      <c r="S86" s="25" t="s">
        <v>21</v>
      </c>
      <c r="T86" s="24" t="s">
        <v>20</v>
      </c>
      <c r="U86" s="25" t="s">
        <v>21</v>
      </c>
      <c r="V86" s="25" t="s">
        <v>21</v>
      </c>
      <c r="W86" s="110" t="s">
        <v>23</v>
      </c>
      <c r="X86" s="110" t="s">
        <v>23</v>
      </c>
      <c r="Y86" s="23" t="s">
        <v>19</v>
      </c>
      <c r="Z86" s="146" t="s">
        <v>7</v>
      </c>
      <c r="AA86" s="22" t="s">
        <v>18</v>
      </c>
      <c r="AB86" s="23" t="s">
        <v>19</v>
      </c>
      <c r="AC86" s="23" t="s">
        <v>19</v>
      </c>
      <c r="AD86" s="23" t="s">
        <v>19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44903</v>
      </c>
      <c r="B87" s="108">
        <v>1600</v>
      </c>
      <c r="C87" s="108"/>
      <c r="D87" s="108" cm="1">
        <f t="array" ref="D87">(SUM(VLOOKUP(I87:AF87,$AM$4:$AO$44,2,FALSE))+AG87*10)*IF(AK87="是",$AZ$4,$AZ$3)</f>
        <v>1600</v>
      </c>
      <c r="E87" s="169">
        <f>SUM($B$4:B87)+SUM($C$4:C87)-SUM($D$4:D87)</f>
        <v>864</v>
      </c>
      <c r="F87" s="108" cm="1">
        <f t="array" ref="F87">SUM(VLOOKUP(I87:AF87,$AM$4:$AO$44,3,FALSE))</f>
        <v>625</v>
      </c>
      <c r="G87" s="122">
        <f>SUM($F$4:F87)+SUM($H$4:H87)</f>
        <v>59550</v>
      </c>
      <c r="H87" s="108">
        <v>0</v>
      </c>
      <c r="I87" s="29" t="s">
        <v>47</v>
      </c>
      <c r="J87" s="21" t="s">
        <v>17</v>
      </c>
      <c r="K87" s="21" t="s">
        <v>17</v>
      </c>
      <c r="L87" s="21" t="s">
        <v>17</v>
      </c>
      <c r="M87" s="28" t="s">
        <v>12</v>
      </c>
      <c r="N87" s="21" t="s">
        <v>17</v>
      </c>
      <c r="O87" s="110" t="s">
        <v>23</v>
      </c>
      <c r="P87" s="110" t="s">
        <v>23</v>
      </c>
      <c r="Q87" s="25" t="s">
        <v>21</v>
      </c>
      <c r="R87" s="24" t="s">
        <v>20</v>
      </c>
      <c r="S87" s="24" t="s">
        <v>20</v>
      </c>
      <c r="T87" s="24" t="s">
        <v>20</v>
      </c>
      <c r="U87" s="24" t="s">
        <v>20</v>
      </c>
      <c r="V87" s="24" t="s">
        <v>20</v>
      </c>
      <c r="W87" s="110" t="s">
        <v>23</v>
      </c>
      <c r="X87" s="110" t="s">
        <v>23</v>
      </c>
      <c r="Y87" s="23" t="s">
        <v>19</v>
      </c>
      <c r="Z87" s="23" t="s">
        <v>19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44904</v>
      </c>
      <c r="B88" s="108">
        <v>1600</v>
      </c>
      <c r="C88" s="108"/>
      <c r="D88" s="155" cm="1">
        <f t="array" ref="D88">(SUM(VLOOKUP(I88:AF88,$AM$4:$AO$44,2,FALSE))+AG88*10)*IF(AK88="是",$AZ$4,$AZ$3)-40</f>
        <v>2272</v>
      </c>
      <c r="E88" s="169">
        <f>SUM($B$4:B88)+SUM($C$4:C88)-SUM($D$4:D88)</f>
        <v>192</v>
      </c>
      <c r="F88" s="108" cm="1">
        <f t="array" ref="F88">SUM(VLOOKUP(I88:AF88,$AM$4:$AO$44,3,FALSE))</f>
        <v>830</v>
      </c>
      <c r="G88" s="122">
        <f>SUM($F$4:F88)+SUM($H$4:H88)</f>
        <v>60380</v>
      </c>
      <c r="H88" s="108">
        <v>0</v>
      </c>
      <c r="I88" s="145" t="s">
        <v>6</v>
      </c>
      <c r="J88" s="20" t="s">
        <v>16</v>
      </c>
      <c r="K88" s="28" t="s">
        <v>12</v>
      </c>
      <c r="L88" s="21" t="s">
        <v>17</v>
      </c>
      <c r="M88" s="21" t="s">
        <v>17</v>
      </c>
      <c r="N88" s="20" t="s">
        <v>16</v>
      </c>
      <c r="O88" s="110" t="s">
        <v>23</v>
      </c>
      <c r="P88" s="110" t="s">
        <v>23</v>
      </c>
      <c r="Q88" s="24" t="s">
        <v>20</v>
      </c>
      <c r="R88" s="24" t="s">
        <v>20</v>
      </c>
      <c r="S88" s="24" t="s">
        <v>20</v>
      </c>
      <c r="T88" s="24" t="s">
        <v>20</v>
      </c>
      <c r="U88" s="25" t="s">
        <v>21</v>
      </c>
      <c r="V88" s="25" t="s">
        <v>21</v>
      </c>
      <c r="W88" s="110" t="s">
        <v>23</v>
      </c>
      <c r="X88" s="110" t="s">
        <v>23</v>
      </c>
      <c r="Y88" s="146" t="s">
        <v>7</v>
      </c>
      <c r="Z88" s="22" t="s">
        <v>18</v>
      </c>
      <c r="AA88" s="28" t="s">
        <v>12</v>
      </c>
      <c r="AB88" s="23" t="s">
        <v>19</v>
      </c>
      <c r="AC88" s="23" t="s">
        <v>19</v>
      </c>
      <c r="AD88" s="23" t="s">
        <v>19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44905</v>
      </c>
      <c r="B89" s="108">
        <v>1600</v>
      </c>
      <c r="C89" s="108"/>
      <c r="D89" s="108" cm="1">
        <f t="array" ref="D89">(SUM(VLOOKUP(I89:AF89,$AM$4:$AO$44,2,FALSE))+AG89*10)*IF(AK89="是",$AZ$4,$AZ$3)</f>
        <v>1752</v>
      </c>
      <c r="E89" s="169">
        <f>SUM($B$4:B89)+SUM($C$4:C89)-SUM($D$4:D89)</f>
        <v>40</v>
      </c>
      <c r="F89" s="108" cm="1">
        <f t="array" ref="F89">SUM(VLOOKUP(I89:AF89,$AM$4:$AO$44,3,FALSE))</f>
        <v>665</v>
      </c>
      <c r="G89" s="122">
        <f>SUM($F$4:F89)+SUM($H$4:H89)</f>
        <v>61045</v>
      </c>
      <c r="H89" s="108">
        <v>0</v>
      </c>
      <c r="I89" s="28" t="s">
        <v>12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4" t="s">
        <v>20</v>
      </c>
      <c r="R89" s="24" t="s">
        <v>20</v>
      </c>
      <c r="S89" s="24" t="s">
        <v>20</v>
      </c>
      <c r="T89" s="24" t="s">
        <v>20</v>
      </c>
      <c r="U89" s="24" t="s">
        <v>20</v>
      </c>
      <c r="V89" s="24" t="s">
        <v>20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8" t="s">
        <v>12</v>
      </c>
      <c r="AD89" s="24" t="s">
        <v>20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44906</v>
      </c>
      <c r="B90" s="108">
        <v>1600</v>
      </c>
      <c r="C90" s="108"/>
      <c r="D90" s="108" cm="1">
        <f t="array" ref="D90">(SUM(VLOOKUP(I90:AF90,$AM$4:$AO$44,2,FALSE))+AG90*10)*IF(AK90="是",$AZ$4,$AZ$3)</f>
        <v>1600</v>
      </c>
      <c r="E90" s="169">
        <f>SUM($B$4:B90)+SUM($C$4:C90)-SUM($D$4:D90)</f>
        <v>40</v>
      </c>
      <c r="F90" s="108" cm="1">
        <f t="array" ref="F90">SUM(VLOOKUP(I90:AF90,$AM$4:$AO$44,3,FALSE))</f>
        <v>640</v>
      </c>
      <c r="G90" s="122">
        <f>SUM($F$4:F90)+SUM($H$4:H90)</f>
        <v>61685</v>
      </c>
      <c r="H90" s="108">
        <v>0</v>
      </c>
      <c r="I90" s="20" t="s">
        <v>16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4" t="s">
        <v>20</v>
      </c>
      <c r="R90" s="24" t="s">
        <v>20</v>
      </c>
      <c r="S90" s="24" t="s">
        <v>20</v>
      </c>
      <c r="T90" s="24" t="s">
        <v>20</v>
      </c>
      <c r="U90" s="29" t="s">
        <v>47</v>
      </c>
      <c r="V90" s="24" t="s">
        <v>20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148" t="s">
        <v>9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44907</v>
      </c>
      <c r="B91" s="109">
        <v>1600</v>
      </c>
      <c r="C91" s="109"/>
      <c r="D91" s="108" cm="1">
        <f t="array" ref="D91">(SUM(VLOOKUP(I91:AF91,$AM$4:$AO$44,2,FALSE))+AG91*10)*IF(AK91="是",$AZ$4,$AZ$3)</f>
        <v>1640</v>
      </c>
      <c r="E91" s="169">
        <f>SUM($B$4:B91)+SUM($C$4:C91)-SUM($D$4:D91)</f>
        <v>0</v>
      </c>
      <c r="F91" s="108" cm="1">
        <f t="array" ref="F91">SUM(VLOOKUP(I91:AF91,$AM$4:$AO$44,3,FALSE))</f>
        <v>585</v>
      </c>
      <c r="G91" s="122">
        <f>SUM($F$4:F91)+SUM($H$4:H91)</f>
        <v>62570</v>
      </c>
      <c r="H91" s="109">
        <v>300</v>
      </c>
      <c r="I91" s="20" t="s">
        <v>16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24" t="s">
        <v>20</v>
      </c>
      <c r="R91" s="24" t="s">
        <v>20</v>
      </c>
      <c r="S91" s="24" t="s">
        <v>20</v>
      </c>
      <c r="T91" s="24" t="s">
        <v>20</v>
      </c>
      <c r="U91" s="24" t="s">
        <v>20</v>
      </c>
      <c r="V91" s="109" t="s">
        <v>23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24" t="s">
        <v>20</v>
      </c>
      <c r="AC91" s="24" t="s">
        <v>20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44908</v>
      </c>
      <c r="B92" s="109">
        <v>1600</v>
      </c>
      <c r="C92" s="109"/>
      <c r="D92" s="108" cm="1">
        <f t="array" ref="D92">(SUM(VLOOKUP(I92:AF92,$AM$4:$AO$44,2,FALSE))+AG92*10)*IF(AK92="是",$AZ$4,$AZ$3)</f>
        <v>1528</v>
      </c>
      <c r="E92" s="169">
        <f>SUM($B$4:B92)+SUM($C$4:C92)-SUM($D$4:D92)</f>
        <v>72</v>
      </c>
      <c r="F92" s="108" cm="1">
        <f t="array" ref="F92">SUM(VLOOKUP(I92:AF92,$AM$4:$AO$44,3,FALSE))</f>
        <v>1050</v>
      </c>
      <c r="G92" s="122">
        <f>SUM($F$4:F92)+SUM($H$4:H92)</f>
        <v>63620</v>
      </c>
      <c r="H92" s="109">
        <v>0</v>
      </c>
      <c r="I92" s="20" t="s">
        <v>16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24" t="s">
        <v>87</v>
      </c>
      <c r="R92" s="24" t="s">
        <v>20</v>
      </c>
      <c r="S92" s="24" t="s">
        <v>20</v>
      </c>
      <c r="T92" s="24" t="s">
        <v>20</v>
      </c>
      <c r="U92" s="24" t="s">
        <v>20</v>
      </c>
      <c r="V92" s="109" t="s">
        <v>23</v>
      </c>
      <c r="W92" s="110" t="s">
        <v>23</v>
      </c>
      <c r="X92" s="110" t="s">
        <v>23</v>
      </c>
      <c r="Y92" s="24" t="s">
        <v>20</v>
      </c>
      <c r="Z92" s="24" t="s">
        <v>20</v>
      </c>
      <c r="AA92" s="24" t="s">
        <v>20</v>
      </c>
      <c r="AB92" s="24" t="s">
        <v>20</v>
      </c>
      <c r="AC92" s="24" t="s">
        <v>20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44909</v>
      </c>
      <c r="B93" s="109">
        <v>1600</v>
      </c>
      <c r="C93" s="109"/>
      <c r="D93" s="108" cm="1">
        <f t="array" ref="D93">(SUM(VLOOKUP(I93:AF93,$AM$4:$AO$44,2,FALSE))+AG93*10)*IF(AK93="是",$AZ$4,$AZ$3)</f>
        <v>1640</v>
      </c>
      <c r="E93" s="169">
        <f>SUM($B$4:B93)+SUM($C$4:C93)-SUM($D$4:D93)</f>
        <v>32</v>
      </c>
      <c r="F93" s="108" cm="1">
        <f t="array" ref="F93">SUM(VLOOKUP(I93:AF93,$AM$4:$AO$44,3,FALSE))</f>
        <v>610</v>
      </c>
      <c r="G93" s="122">
        <f>SUM($F$4:F93)+SUM($H$4:H93)</f>
        <v>64430</v>
      </c>
      <c r="H93" s="109">
        <v>200</v>
      </c>
      <c r="I93" s="28" t="s">
        <v>12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4" t="s">
        <v>20</v>
      </c>
      <c r="R93" s="24" t="s">
        <v>20</v>
      </c>
      <c r="S93" s="24" t="s">
        <v>20</v>
      </c>
      <c r="T93" s="24" t="s">
        <v>20</v>
      </c>
      <c r="U93" s="24" t="s">
        <v>20</v>
      </c>
      <c r="V93" s="148" t="s">
        <v>9</v>
      </c>
      <c r="W93" s="110" t="s">
        <v>23</v>
      </c>
      <c r="X93" s="110" t="s">
        <v>23</v>
      </c>
      <c r="Y93" s="23" t="s">
        <v>19</v>
      </c>
      <c r="Z93" s="23" t="s">
        <v>19</v>
      </c>
      <c r="AA93" s="23" t="s">
        <v>19</v>
      </c>
      <c r="AB93" s="23" t="s">
        <v>19</v>
      </c>
      <c r="AC93" s="23" t="s">
        <v>19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3" ht="15" thickBot="1">
      <c r="A94" s="115">
        <v>44910</v>
      </c>
      <c r="B94" s="109">
        <v>1600</v>
      </c>
      <c r="C94" s="109"/>
      <c r="D94" s="108" cm="1">
        <f t="array" ref="D94">(SUM(VLOOKUP(I94:AF94,$AM$4:$AO$44,2,FALSE))+AG94*10)*IF(AK94="是",$AZ$4,$AZ$3)</f>
        <v>1624</v>
      </c>
      <c r="E94" s="169">
        <f>SUM($B$4:B94)+SUM($C$4:C94)-SUM($D$4:D94)</f>
        <v>8</v>
      </c>
      <c r="F94" s="108" cm="1">
        <f t="array" ref="F94">SUM(VLOOKUP(I94:AF94,$AM$4:$AO$44,3,FALSE))</f>
        <v>575</v>
      </c>
      <c r="G94" s="122">
        <f>SUM($F$4:F94)+SUM($H$4:H94)</f>
        <v>65005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24" t="s">
        <v>20</v>
      </c>
      <c r="R94" s="24" t="s">
        <v>20</v>
      </c>
      <c r="S94" s="24" t="s">
        <v>20</v>
      </c>
      <c r="T94" s="24" t="s">
        <v>20</v>
      </c>
      <c r="U94" s="24" t="s">
        <v>20</v>
      </c>
      <c r="V94" s="109" t="s">
        <v>23</v>
      </c>
      <c r="W94" s="110" t="s">
        <v>23</v>
      </c>
      <c r="X94" s="110" t="s">
        <v>23</v>
      </c>
      <c r="Y94" s="23" t="s">
        <v>19</v>
      </c>
      <c r="Z94" s="23" t="s">
        <v>19</v>
      </c>
      <c r="AA94" s="23" t="s">
        <v>19</v>
      </c>
      <c r="AB94" s="23" t="s">
        <v>19</v>
      </c>
      <c r="AC94" s="23" t="s">
        <v>19</v>
      </c>
      <c r="AD94" s="23" t="s">
        <v>19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{1D2A22A8-29C8-4751-BC23-9F532FF71516}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2A22A8-29C8-4751-BC23-9F532FF715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0319-F9AF-4B2A-B189-8FEF97651E17}">
  <dimension ref="A1:BC96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Q5" sqref="Q5:AF5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4" ht="28.2" customHeight="1" thickBot="1">
      <c r="A1" s="215">
        <f ca="1">(_xlfn.DAYS(TODAY(),A4)+2)/((_xlfn.DAYS(A94,A4))+1)</f>
        <v>1.9780219780219781</v>
      </c>
      <c r="B1" s="216"/>
      <c r="C1" s="216"/>
      <c r="D1" s="216"/>
      <c r="E1" s="216"/>
      <c r="F1" s="216"/>
      <c r="G1" s="216"/>
      <c r="H1" s="217"/>
      <c r="I1" s="218" t="s">
        <v>37</v>
      </c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/>
      <c r="AH1" s="42"/>
      <c r="AI1" s="42"/>
      <c r="AJ1" s="42"/>
      <c r="AM1" s="214" t="s">
        <v>42</v>
      </c>
      <c r="AN1" s="214"/>
      <c r="AO1" s="214"/>
      <c r="AP1" s="162"/>
      <c r="AQ1" s="162"/>
      <c r="AT1" t="s">
        <v>82</v>
      </c>
      <c r="AU1">
        <f>SUM(D4:D94)+150*AU18+160*AU28</f>
        <v>153326</v>
      </c>
    </row>
    <row r="2" spans="1:54" ht="16.2" customHeight="1" thickBot="1">
      <c r="A2" t="s">
        <v>101</v>
      </c>
      <c r="B2" s="120" t="s">
        <v>84</v>
      </c>
      <c r="C2" s="119" cm="1">
        <f t="array" ref="C2">SUM(VLOOKUP(I4:P9,$AM$4:$AP$44,4,FALSE))+SUM(VLOOKUP(Q4:AF11,$AM$4:$AP$44,4,FALSE))+SUM(AG4:AG9)*10</f>
        <v>3337.3272888824426</v>
      </c>
      <c r="D2" s="222" t="s">
        <v>35</v>
      </c>
      <c r="E2" s="223"/>
      <c r="F2" s="224">
        <f>SUM(F4:F94)+SUM(H4:H94)</f>
        <v>65045</v>
      </c>
      <c r="G2" s="224"/>
      <c r="H2" s="225"/>
      <c r="I2" s="242" t="s">
        <v>48</v>
      </c>
      <c r="J2" s="243"/>
      <c r="K2" s="171" t="s">
        <v>46</v>
      </c>
      <c r="L2" s="171">
        <f>COUNTIF(I4:P94,"&lt;&gt;空")</f>
        <v>97</v>
      </c>
      <c r="M2" s="243" t="s">
        <v>45</v>
      </c>
      <c r="N2" s="243"/>
      <c r="O2" s="243"/>
      <c r="P2" s="244"/>
      <c r="Q2" s="230" t="s">
        <v>49</v>
      </c>
      <c r="R2" s="231"/>
      <c r="S2" s="170" t="s">
        <v>46</v>
      </c>
      <c r="T2" s="170">
        <f>COUNTIF(Q4:X94,"&lt;&gt;空")</f>
        <v>493</v>
      </c>
      <c r="U2" s="231" t="s">
        <v>45</v>
      </c>
      <c r="V2" s="231"/>
      <c r="W2" s="231"/>
      <c r="X2" s="232"/>
      <c r="Y2" s="238" t="s">
        <v>33</v>
      </c>
      <c r="Z2" s="239"/>
      <c r="AA2" s="153" t="s">
        <v>44</v>
      </c>
      <c r="AB2" s="163">
        <f>COUNTIF(Y4:AF94,"&lt;&gt;空")</f>
        <v>487</v>
      </c>
      <c r="AC2" s="239" t="s">
        <v>45</v>
      </c>
      <c r="AD2" s="239"/>
      <c r="AE2" s="239"/>
      <c r="AF2" s="240"/>
      <c r="AG2" s="41">
        <f>SUM(AG4:AG94)</f>
        <v>29</v>
      </c>
      <c r="AH2" s="41">
        <f>SUM(AH4:AH94)</f>
        <v>3</v>
      </c>
      <c r="AI2" s="41">
        <f>SUM(AI4:AI94)</f>
        <v>15</v>
      </c>
      <c r="AJ2" s="41">
        <f>SUM(AJ4:AJ94)</f>
        <v>11</v>
      </c>
      <c r="AK2" s="211" t="s">
        <v>29</v>
      </c>
      <c r="AM2" s="221"/>
      <c r="AN2" s="221"/>
      <c r="AO2" s="221"/>
      <c r="AP2" s="117"/>
      <c r="AQ2" s="117"/>
      <c r="AT2" t="s">
        <v>60</v>
      </c>
      <c r="AU2">
        <f>SUM(AU4:AU29)</f>
        <v>1077</v>
      </c>
      <c r="AW2" t="s">
        <v>61</v>
      </c>
      <c r="AX2" s="4">
        <f>SUM(AV4:AX29)+7000</f>
        <v>65045</v>
      </c>
      <c r="AY2" s="10"/>
      <c r="AZ2" s="11" t="s">
        <v>32</v>
      </c>
    </row>
    <row r="3" spans="1:54" ht="29.4" thickBot="1">
      <c r="A3" s="17" t="s">
        <v>36</v>
      </c>
      <c r="B3" s="16" t="s">
        <v>104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4" ht="15" thickBot="1">
      <c r="A4" s="115">
        <v>44820</v>
      </c>
      <c r="B4" s="108">
        <v>800</v>
      </c>
      <c r="C4" s="108">
        <v>6000</v>
      </c>
      <c r="D4" s="108" cm="1">
        <f t="array" ref="D4">(SUM(VLOOKUP(I4:AF4,$AM$4:$AO$44,2,FALSE))+AG4*10)*IF(AK4="是",$AZ$4,$AZ$3)</f>
        <v>2930</v>
      </c>
      <c r="E4" s="169">
        <f>SUM($B$4:B4)+SUM($C$4:C4)-SUM($D$4:D4)</f>
        <v>3870</v>
      </c>
      <c r="F4" s="108" cm="1">
        <f t="array" ref="F4">SUM(VLOOKUP(I4:AF4,$AM$4:$AO$44,3,FALSE))</f>
        <v>1355</v>
      </c>
      <c r="G4" s="122">
        <f>SUM($F$4:F4)+SUM($H$4:H4)</f>
        <v>1855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0" t="s">
        <v>16</v>
      </c>
      <c r="R4" s="20" t="s">
        <v>16</v>
      </c>
      <c r="S4" s="20" t="s">
        <v>16</v>
      </c>
      <c r="T4" s="20" t="s">
        <v>16</v>
      </c>
      <c r="U4" s="20" t="s">
        <v>16</v>
      </c>
      <c r="V4" s="20" t="s">
        <v>16</v>
      </c>
      <c r="W4" s="110" t="s">
        <v>23</v>
      </c>
      <c r="X4" s="110" t="s">
        <v>23</v>
      </c>
      <c r="Y4" s="21" t="s">
        <v>17</v>
      </c>
      <c r="Z4" s="124" t="s">
        <v>87</v>
      </c>
      <c r="AA4" s="21" t="s">
        <v>17</v>
      </c>
      <c r="AB4" s="22" t="s">
        <v>18</v>
      </c>
      <c r="AC4" s="22" t="s">
        <v>18</v>
      </c>
      <c r="AD4" s="30" t="s">
        <v>88</v>
      </c>
      <c r="AE4" s="22" t="s">
        <v>18</v>
      </c>
      <c r="AF4" s="110" t="s">
        <v>23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14</v>
      </c>
      <c r="AS4" s="19">
        <f t="shared" ref="AS4:AS26" si="1">COUNTIF($Q$4:$X$94,AM4)</f>
        <v>7</v>
      </c>
      <c r="AT4" s="19">
        <f t="shared" ref="AT4:AT26" si="2">COUNTIF($Y$4:$AF$94,AM4)</f>
        <v>4</v>
      </c>
      <c r="AU4" s="19">
        <f>AR4+AS4+AT4</f>
        <v>25</v>
      </c>
      <c r="AV4" s="50">
        <f>AR4*$AO4</f>
        <v>490</v>
      </c>
      <c r="AW4" s="50">
        <f t="shared" ref="AW4:AX19" si="3">AS4*$AO4</f>
        <v>245</v>
      </c>
      <c r="AX4" s="50">
        <f t="shared" si="3"/>
        <v>140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</row>
    <row r="5" spans="1:54">
      <c r="A5" s="115">
        <v>44821</v>
      </c>
      <c r="B5" s="108">
        <v>1600</v>
      </c>
      <c r="C5" s="108"/>
      <c r="D5" s="108" cm="1">
        <f t="array" ref="D5">(SUM(VLOOKUP(I5:AF5,$AM$4:$AO$44,2,FALSE))+AG5*10)*IF(AK5="是",$AZ$4,$AZ$3)</f>
        <v>1780</v>
      </c>
      <c r="E5" s="169">
        <f>SUM($B$4:B5)+SUM($C$4:C5)-SUM($D$4:D5)</f>
        <v>3690</v>
      </c>
      <c r="F5" s="108" cm="1">
        <f t="array" ref="F5">SUM(VLOOKUP(I5:AF5,$AM$4:$AO$44,3,FALSE))</f>
        <v>510</v>
      </c>
      <c r="G5" s="122">
        <f>SUM($F$4:F5)+SUM($H$4:H5)</f>
        <v>2365</v>
      </c>
      <c r="H5" s="108">
        <v>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22" t="s">
        <v>18</v>
      </c>
      <c r="R5" s="22" t="s">
        <v>18</v>
      </c>
      <c r="S5" s="22" t="s">
        <v>18</v>
      </c>
      <c r="T5" s="22" t="s">
        <v>18</v>
      </c>
      <c r="U5" s="28" t="s">
        <v>12</v>
      </c>
      <c r="V5" s="22" t="s">
        <v>18</v>
      </c>
      <c r="W5" s="110" t="s">
        <v>23</v>
      </c>
      <c r="X5" s="110" t="s">
        <v>23</v>
      </c>
      <c r="Y5" s="22" t="s">
        <v>18</v>
      </c>
      <c r="Z5" s="28" t="s">
        <v>12</v>
      </c>
      <c r="AA5" s="21" t="s">
        <v>17</v>
      </c>
      <c r="AB5" s="29" t="s">
        <v>13</v>
      </c>
      <c r="AC5" s="20" t="s">
        <v>16</v>
      </c>
      <c r="AD5" s="20" t="s">
        <v>16</v>
      </c>
      <c r="AE5" s="20" t="s">
        <v>16</v>
      </c>
      <c r="AF5" s="20" t="s">
        <v>16</v>
      </c>
      <c r="AG5" s="111">
        <f t="shared" ref="AG5:AG68" si="4">AH5+AI5+AJ5</f>
        <v>5</v>
      </c>
      <c r="AH5" s="111"/>
      <c r="AI5" s="111">
        <v>5</v>
      </c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6</v>
      </c>
      <c r="AS5" s="19">
        <f t="shared" si="1"/>
        <v>15</v>
      </c>
      <c r="AT5" s="19">
        <f t="shared" si="2"/>
        <v>28</v>
      </c>
      <c r="AU5" s="19">
        <f t="shared" ref="AU5:AU26" si="6">AR5+AS5+AT5</f>
        <v>49</v>
      </c>
      <c r="AV5" s="50">
        <f t="shared" ref="AV5:AX29" si="7">AR5*$AO5</f>
        <v>240</v>
      </c>
      <c r="AW5" s="50">
        <f t="shared" si="3"/>
        <v>600</v>
      </c>
      <c r="AX5" s="50">
        <f t="shared" si="3"/>
        <v>1120</v>
      </c>
      <c r="AY5" s="213" t="s">
        <v>34</v>
      </c>
      <c r="AZ5" s="213"/>
      <c r="BA5" s="53">
        <f t="shared" ref="BA5" si="8">AO5/BB5</f>
        <v>0.3125</v>
      </c>
      <c r="BB5">
        <f t="shared" ref="BB5:BB29" si="9">AN5*0.8</f>
        <v>128</v>
      </c>
    </row>
    <row r="6" spans="1:54">
      <c r="A6" s="115">
        <v>44822</v>
      </c>
      <c r="B6" s="108">
        <v>1600</v>
      </c>
      <c r="C6" s="108"/>
      <c r="D6" s="108" cm="1">
        <f t="array" ref="D6">(SUM(VLOOKUP(I6:AF6,$AM$4:$AO$44,2,FALSE))+AG6*10)*IF(AK6="是",$AZ$4,$AZ$3)</f>
        <v>1950</v>
      </c>
      <c r="E6" s="169">
        <f>SUM($B$4:B6)+SUM($C$4:C6)-SUM($D$4:D6)</f>
        <v>3340</v>
      </c>
      <c r="F6" s="108" cm="1">
        <f t="array" ref="F6">SUM(VLOOKUP(I6:AF6,$AM$4:$AO$44,3,FALSE))</f>
        <v>525</v>
      </c>
      <c r="G6" s="122">
        <f>SUM($F$4:F6)+SUM($H$4:H6)</f>
        <v>2890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30" t="s">
        <v>89</v>
      </c>
      <c r="R6" s="22" t="s">
        <v>18</v>
      </c>
      <c r="S6" s="21" t="s">
        <v>17</v>
      </c>
      <c r="T6" s="21" t="s">
        <v>17</v>
      </c>
      <c r="U6" s="21" t="s">
        <v>17</v>
      </c>
      <c r="V6" s="21" t="s">
        <v>17</v>
      </c>
      <c r="W6" s="110" t="s">
        <v>23</v>
      </c>
      <c r="X6" s="110" t="s">
        <v>23</v>
      </c>
      <c r="Y6" s="28" t="s">
        <v>12</v>
      </c>
      <c r="Z6" s="21" t="s">
        <v>17</v>
      </c>
      <c r="AA6" s="21" t="s">
        <v>17</v>
      </c>
      <c r="AB6" s="21" t="s">
        <v>17</v>
      </c>
      <c r="AC6" s="29" t="s">
        <v>13</v>
      </c>
      <c r="AD6" s="21" t="s">
        <v>17</v>
      </c>
      <c r="AE6" s="21" t="s">
        <v>17</v>
      </c>
      <c r="AF6" s="22" t="s">
        <v>18</v>
      </c>
      <c r="AG6" s="111">
        <f t="shared" si="4"/>
        <v>10</v>
      </c>
      <c r="AH6" s="111"/>
      <c r="AI6" s="111">
        <v>5</v>
      </c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69</v>
      </c>
      <c r="AS6" s="19">
        <f t="shared" si="1"/>
        <v>79</v>
      </c>
      <c r="AT6" s="19">
        <f t="shared" si="2"/>
        <v>70</v>
      </c>
      <c r="AU6" s="19">
        <f t="shared" si="6"/>
        <v>218</v>
      </c>
      <c r="AV6" s="50">
        <f t="shared" si="7"/>
        <v>3105</v>
      </c>
      <c r="AW6" s="50">
        <f t="shared" si="3"/>
        <v>3555</v>
      </c>
      <c r="AX6" s="50">
        <f t="shared" si="3"/>
        <v>3150</v>
      </c>
      <c r="AY6" s="214"/>
      <c r="AZ6" s="214"/>
      <c r="BA6" s="53">
        <f>AO6/BB6</f>
        <v>0.33088235294117646</v>
      </c>
      <c r="BB6">
        <f t="shared" si="9"/>
        <v>136</v>
      </c>
    </row>
    <row r="7" spans="1:54">
      <c r="A7" s="115">
        <v>44823</v>
      </c>
      <c r="B7" s="109">
        <v>1600</v>
      </c>
      <c r="C7" s="109"/>
      <c r="D7" s="108" cm="1">
        <f t="array" ref="D7">(SUM(VLOOKUP(I7:AF7,$AM$4:$AO$44,2,FALSE))+AG7*10)*IF(AK7="是",$AZ$4,$AZ$3)</f>
        <v>1910</v>
      </c>
      <c r="E7" s="169">
        <f>SUM($B$4:B7)+SUM($C$4:C7)-SUM($D$4:D7)</f>
        <v>3030</v>
      </c>
      <c r="F7" s="108" cm="1">
        <f t="array" ref="F7">SUM(VLOOKUP(I7:AF7,$AM$4:$AO$44,3,FALSE))</f>
        <v>495</v>
      </c>
      <c r="G7" s="122">
        <f>SUM($F$4:F7)+SUM($H$4:H7)</f>
        <v>3685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21" t="s">
        <v>17</v>
      </c>
      <c r="R7" s="21" t="s">
        <v>17</v>
      </c>
      <c r="S7" s="28" t="s">
        <v>12</v>
      </c>
      <c r="T7" s="21" t="s">
        <v>17</v>
      </c>
      <c r="U7" s="21" t="s">
        <v>17</v>
      </c>
      <c r="V7" s="21" t="s">
        <v>17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30" t="s">
        <v>89</v>
      </c>
      <c r="AD7" s="21" t="s">
        <v>17</v>
      </c>
      <c r="AE7" s="110" t="s">
        <v>23</v>
      </c>
      <c r="AF7" s="110" t="s">
        <v>23</v>
      </c>
      <c r="AG7" s="111">
        <f t="shared" si="4"/>
        <v>5</v>
      </c>
      <c r="AH7" s="111"/>
      <c r="AI7" s="111"/>
      <c r="AJ7" s="111">
        <v>5</v>
      </c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0</v>
      </c>
      <c r="AS7" s="19">
        <f t="shared" si="1"/>
        <v>114</v>
      </c>
      <c r="AT7" s="19">
        <f t="shared" si="2"/>
        <v>152</v>
      </c>
      <c r="AU7" s="143">
        <f t="shared" si="6"/>
        <v>266</v>
      </c>
      <c r="AV7" s="50">
        <f t="shared" si="7"/>
        <v>0</v>
      </c>
      <c r="AW7" s="50">
        <f t="shared" si="3"/>
        <v>5700</v>
      </c>
      <c r="AX7" s="50">
        <f t="shared" si="3"/>
        <v>7600</v>
      </c>
      <c r="AY7" s="214"/>
      <c r="AZ7" s="214"/>
      <c r="BA7" s="53">
        <f t="shared" ref="BA7:BA26" si="10">AO7/BB7</f>
        <v>0.34722222222222221</v>
      </c>
      <c r="BB7">
        <f t="shared" si="9"/>
        <v>144</v>
      </c>
    </row>
    <row r="8" spans="1:54">
      <c r="A8" s="115">
        <v>44824</v>
      </c>
      <c r="B8" s="109">
        <v>1600</v>
      </c>
      <c r="C8" s="109"/>
      <c r="D8" s="108" cm="1">
        <f t="array" ref="D8">(SUM(VLOOKUP(I8:AF8,$AM$4:$AO$44,2,FALSE))+AG8*10)*IF(AK8="是",$AZ$4,$AZ$3)</f>
        <v>1810</v>
      </c>
      <c r="E8" s="169">
        <f>SUM($B$4:B8)+SUM($C$4:C8)-SUM($D$4:D8)</f>
        <v>2820</v>
      </c>
      <c r="F8" s="108" cm="1">
        <f t="array" ref="F8">SUM(VLOOKUP(I8:AF8,$AM$4:$AO$44,3,FALSE))</f>
        <v>475</v>
      </c>
      <c r="G8" s="122">
        <f>SUM($F$4:F8)+SUM($H$4:H8)</f>
        <v>4160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21" t="s">
        <v>17</v>
      </c>
      <c r="R8" s="28" t="s">
        <v>12</v>
      </c>
      <c r="S8" s="21" t="s">
        <v>17</v>
      </c>
      <c r="T8" s="22" t="s">
        <v>18</v>
      </c>
      <c r="U8" s="20" t="s">
        <v>16</v>
      </c>
      <c r="V8" s="22" t="s">
        <v>18</v>
      </c>
      <c r="W8" s="110" t="s">
        <v>23</v>
      </c>
      <c r="X8" s="110" t="s">
        <v>23</v>
      </c>
      <c r="Y8" s="21" t="s">
        <v>17</v>
      </c>
      <c r="Z8" s="145" t="s">
        <v>6</v>
      </c>
      <c r="AA8" s="21" t="s">
        <v>17</v>
      </c>
      <c r="AB8" s="21" t="s">
        <v>17</v>
      </c>
      <c r="AC8" s="21" t="s">
        <v>17</v>
      </c>
      <c r="AD8" s="21" t="s">
        <v>17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0</v>
      </c>
      <c r="AS8" s="19">
        <f t="shared" si="1"/>
        <v>171</v>
      </c>
      <c r="AT8" s="19">
        <f t="shared" si="2"/>
        <v>65</v>
      </c>
      <c r="AU8" s="143">
        <f t="shared" si="6"/>
        <v>236</v>
      </c>
      <c r="AV8" s="50">
        <f t="shared" si="7"/>
        <v>0</v>
      </c>
      <c r="AW8" s="50">
        <f t="shared" si="3"/>
        <v>9405</v>
      </c>
      <c r="AX8" s="50">
        <f t="shared" si="3"/>
        <v>3575</v>
      </c>
      <c r="AY8" s="214"/>
      <c r="AZ8" s="214"/>
      <c r="BA8" s="53">
        <f t="shared" si="10"/>
        <v>0.36184210526315791</v>
      </c>
      <c r="BB8">
        <f t="shared" si="9"/>
        <v>152</v>
      </c>
    </row>
    <row r="9" spans="1:54">
      <c r="A9" s="115">
        <v>44825</v>
      </c>
      <c r="B9" s="109">
        <v>1600</v>
      </c>
      <c r="C9" s="109"/>
      <c r="D9" s="155" cm="1">
        <f t="array" ref="D9">(SUM(VLOOKUP(I9:AF9,$AM$4:$AO$44,2,FALSE))+AG9*10)*IF(AK9="是",$AZ$4,$AZ$3)-50</f>
        <v>2140</v>
      </c>
      <c r="E9" s="169">
        <f>SUM($B$4:B9)+SUM($C$4:C9)-SUM($D$4:D9)</f>
        <v>2280</v>
      </c>
      <c r="F9" s="108" cm="1">
        <f t="array" ref="F9">SUM(VLOOKUP(I9:AF9,$AM$4:$AO$44,3,FALSE))</f>
        <v>840</v>
      </c>
      <c r="G9" s="122">
        <f>SUM($F$4:F9)+SUM($H$4:H9)</f>
        <v>5200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30" t="s">
        <v>89</v>
      </c>
      <c r="R9" s="22" t="s">
        <v>18</v>
      </c>
      <c r="S9" s="22" t="s">
        <v>18</v>
      </c>
      <c r="T9" s="22" t="s">
        <v>18</v>
      </c>
      <c r="U9" s="30" t="s">
        <v>88</v>
      </c>
      <c r="V9" s="22" t="s">
        <v>18</v>
      </c>
      <c r="W9" s="110" t="s">
        <v>23</v>
      </c>
      <c r="X9" s="110" t="s">
        <v>23</v>
      </c>
      <c r="Y9" s="21" t="s">
        <v>17</v>
      </c>
      <c r="Z9" s="145" t="s">
        <v>6</v>
      </c>
      <c r="AA9" s="22" t="s">
        <v>18</v>
      </c>
      <c r="AB9" s="30" t="s">
        <v>88</v>
      </c>
      <c r="AC9" s="22" t="s">
        <v>18</v>
      </c>
      <c r="AD9" s="22" t="s">
        <v>18</v>
      </c>
      <c r="AE9" s="110" t="s">
        <v>23</v>
      </c>
      <c r="AF9" s="110" t="s">
        <v>23</v>
      </c>
      <c r="AG9" s="111">
        <f t="shared" si="4"/>
        <v>2</v>
      </c>
      <c r="AH9" s="111"/>
      <c r="AI9" s="111">
        <v>2</v>
      </c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71</v>
      </c>
      <c r="AT9" s="19">
        <f t="shared" si="2"/>
        <v>123</v>
      </c>
      <c r="AU9" s="143">
        <f t="shared" si="6"/>
        <v>194</v>
      </c>
      <c r="AV9" s="50">
        <f t="shared" si="7"/>
        <v>0</v>
      </c>
      <c r="AW9" s="50">
        <f t="shared" si="3"/>
        <v>4260</v>
      </c>
      <c r="AX9" s="50">
        <f t="shared" si="3"/>
        <v>7380</v>
      </c>
      <c r="BA9" s="53">
        <f t="shared" si="10"/>
        <v>0.375</v>
      </c>
      <c r="BB9">
        <f t="shared" si="9"/>
        <v>160</v>
      </c>
    </row>
    <row r="10" spans="1:54">
      <c r="A10" s="115">
        <v>44826</v>
      </c>
      <c r="B10" s="109">
        <v>1600</v>
      </c>
      <c r="C10" s="109"/>
      <c r="D10" s="108" cm="1">
        <f t="array" ref="D10">(SUM(VLOOKUP(I10:AF10,$AM$4:$AO$44,2,FALSE))+AG10*10)*IF(AK10="是",$AZ$4,$AZ$3)</f>
        <v>1680</v>
      </c>
      <c r="E10" s="169">
        <f>SUM($B$4:B10)+SUM($C$4:C10)-SUM($D$4:D10)</f>
        <v>2200</v>
      </c>
      <c r="F10" s="108" cm="1">
        <f t="array" ref="F10">SUM(VLOOKUP(I10:AF10,$AM$4:$AO$44,3,FALSE))</f>
        <v>475</v>
      </c>
      <c r="G10" s="122">
        <f>SUM($F$4:F10)+SUM($H$4:H10)</f>
        <v>5675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1" t="s">
        <v>17</v>
      </c>
      <c r="R10" s="21" t="s">
        <v>17</v>
      </c>
      <c r="S10" s="21" t="s">
        <v>17</v>
      </c>
      <c r="T10" s="21" t="s">
        <v>17</v>
      </c>
      <c r="U10" s="22" t="s">
        <v>18</v>
      </c>
      <c r="V10" s="22" t="s">
        <v>18</v>
      </c>
      <c r="W10" s="110" t="s">
        <v>23</v>
      </c>
      <c r="X10" s="110" t="s">
        <v>23</v>
      </c>
      <c r="Y10" s="22" t="s">
        <v>18</v>
      </c>
      <c r="Z10" s="22" t="s">
        <v>18</v>
      </c>
      <c r="AA10" s="29" t="s">
        <v>13</v>
      </c>
      <c r="AB10" s="22" t="s">
        <v>18</v>
      </c>
      <c r="AC10" s="22" t="s">
        <v>18</v>
      </c>
      <c r="AD10" s="30" t="s">
        <v>89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30</v>
      </c>
      <c r="AM10" s="144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</row>
    <row r="11" spans="1:54">
      <c r="A11" s="115">
        <v>44827</v>
      </c>
      <c r="B11" s="109">
        <v>1600</v>
      </c>
      <c r="C11" s="109"/>
      <c r="D11" s="108" cm="1">
        <f t="array" ref="D11">(SUM(VLOOKUP(I11:AF11,$AM$4:$AO$44,2,FALSE))+AG11*10)*IF(AK11="是",$AZ$4,$AZ$3)</f>
        <v>340</v>
      </c>
      <c r="E11" s="169">
        <f>SUM($B$4:B11)+SUM($C$4:C11)-SUM($D$4:D11)</f>
        <v>3460</v>
      </c>
      <c r="F11" s="108" cm="1">
        <f t="array" ref="F11">SUM(VLOOKUP(I11:AF11,$AM$4:$AO$44,3,FALSE))</f>
        <v>90</v>
      </c>
      <c r="G11" s="122">
        <f>SUM($F$4:F11)+SUM($H$4:H11)</f>
        <v>5765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22" t="s">
        <v>18</v>
      </c>
      <c r="R11" s="30" t="s">
        <v>89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30</v>
      </c>
      <c r="AM11" s="145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1</v>
      </c>
      <c r="AS11" s="19">
        <f t="shared" si="1"/>
        <v>2</v>
      </c>
      <c r="AT11" s="19">
        <f t="shared" si="2"/>
        <v>2</v>
      </c>
      <c r="AU11" s="143">
        <f t="shared" si="6"/>
        <v>5</v>
      </c>
      <c r="AV11" s="50">
        <f t="shared" si="7"/>
        <v>40</v>
      </c>
      <c r="AW11" s="50">
        <f t="shared" si="3"/>
        <v>80</v>
      </c>
      <c r="AX11" s="50">
        <f t="shared" si="3"/>
        <v>80</v>
      </c>
      <c r="BA11" s="53">
        <f t="shared" si="10"/>
        <v>0.33333333333333331</v>
      </c>
      <c r="BB11">
        <f t="shared" si="9"/>
        <v>120</v>
      </c>
    </row>
    <row r="12" spans="1:54">
      <c r="A12" s="115">
        <v>44828</v>
      </c>
      <c r="B12" s="109">
        <v>1600</v>
      </c>
      <c r="C12" s="109"/>
      <c r="D12" s="108" cm="1">
        <f t="array" ref="D12">(SUM(VLOOKUP(I12:AF12,$AM$4:$AO$44,2,FALSE))+AG12*10)*IF(AK12="是",$AZ$4,$AZ$3)</f>
        <v>0</v>
      </c>
      <c r="E12" s="169">
        <f>SUM($B$4:B12)+SUM($C$4:C12)-SUM($D$4:D12)</f>
        <v>5060</v>
      </c>
      <c r="F12" s="108" cm="1">
        <f t="array" ref="F12">SUM(VLOOKUP(I12:AF12,$AM$4:$AO$44,3,FALSE))</f>
        <v>0</v>
      </c>
      <c r="G12" s="122">
        <f>SUM($F$4:F12)+SUM($H$4:H12)</f>
        <v>5765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6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0</v>
      </c>
      <c r="AS12" s="19">
        <f t="shared" si="1"/>
        <v>1</v>
      </c>
      <c r="AT12" s="19">
        <f t="shared" si="2"/>
        <v>5</v>
      </c>
      <c r="AU12" s="143">
        <f t="shared" si="6"/>
        <v>6</v>
      </c>
      <c r="AV12" s="50">
        <f t="shared" si="7"/>
        <v>0</v>
      </c>
      <c r="AW12" s="50">
        <f t="shared" si="3"/>
        <v>45</v>
      </c>
      <c r="AX12" s="50">
        <f t="shared" si="3"/>
        <v>225</v>
      </c>
      <c r="BA12" s="53">
        <f t="shared" si="10"/>
        <v>0.375</v>
      </c>
      <c r="BB12">
        <f t="shared" si="9"/>
        <v>120</v>
      </c>
    </row>
    <row r="13" spans="1:54">
      <c r="A13" s="115">
        <v>44829</v>
      </c>
      <c r="B13" s="109">
        <v>1600</v>
      </c>
      <c r="C13" s="109"/>
      <c r="D13" s="108" cm="1">
        <f t="array" ref="D13">(SUM(VLOOKUP(I13:AF13,$AM$4:$AO$44,2,FALSE))+AG13*10)*IF(AK13="是",$AZ$4,$AZ$3)</f>
        <v>1520</v>
      </c>
      <c r="E13" s="169">
        <f>SUM($B$4:B13)+SUM($C$4:C13)-SUM($D$4:D13)</f>
        <v>5140</v>
      </c>
      <c r="F13" s="108" cm="1">
        <f t="array" ref="F13">SUM(VLOOKUP(I13:AF13,$AM$4:$AO$44,3,FALSE))</f>
        <v>520</v>
      </c>
      <c r="G13" s="122">
        <f>SUM($F$4:F13)+SUM($H$4:H13)</f>
        <v>6285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22" t="s">
        <v>18</v>
      </c>
      <c r="R13" s="22" t="s">
        <v>18</v>
      </c>
      <c r="S13" s="22" t="s">
        <v>18</v>
      </c>
      <c r="T13" s="145" t="s">
        <v>6</v>
      </c>
      <c r="U13" s="22" t="s">
        <v>18</v>
      </c>
      <c r="V13" s="22" t="s">
        <v>18</v>
      </c>
      <c r="W13" s="110" t="s">
        <v>23</v>
      </c>
      <c r="X13" s="110" t="s">
        <v>23</v>
      </c>
      <c r="Y13" s="22" t="s">
        <v>18</v>
      </c>
      <c r="Z13" s="22" t="s">
        <v>18</v>
      </c>
      <c r="AA13" s="22" t="s">
        <v>18</v>
      </c>
      <c r="AB13" s="22" t="s">
        <v>18</v>
      </c>
      <c r="AC13" s="28" t="s">
        <v>12</v>
      </c>
      <c r="AD13" s="22" t="s">
        <v>18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11"/>
        <v>0</v>
      </c>
      <c r="AS13" s="19">
        <f t="shared" si="1"/>
        <v>1</v>
      </c>
      <c r="AT13" s="19">
        <f t="shared" si="2"/>
        <v>3</v>
      </c>
      <c r="AU13" s="143">
        <f t="shared" si="6"/>
        <v>4</v>
      </c>
      <c r="AV13" s="50">
        <f t="shared" si="7"/>
        <v>0</v>
      </c>
      <c r="AW13" s="50">
        <f t="shared" si="3"/>
        <v>50</v>
      </c>
      <c r="AX13" s="50">
        <f t="shared" si="3"/>
        <v>150</v>
      </c>
      <c r="BA13" s="53">
        <f t="shared" si="10"/>
        <v>0.41666666666666669</v>
      </c>
      <c r="BB13">
        <f t="shared" si="9"/>
        <v>120</v>
      </c>
    </row>
    <row r="14" spans="1:54">
      <c r="A14" s="115">
        <v>44830</v>
      </c>
      <c r="B14" s="108">
        <v>1600</v>
      </c>
      <c r="C14" s="108"/>
      <c r="D14" s="108" cm="1">
        <f t="array" ref="D14">(SUM(VLOOKUP(I14:AF14,$AM$4:$AO$44,2,FALSE))+AG14*10)*IF(AK14="是",$AZ$4,$AZ$3)</f>
        <v>1424</v>
      </c>
      <c r="E14" s="169">
        <f>SUM($B$4:B14)+SUM($C$4:C14)-SUM($D$4:D14)</f>
        <v>5316</v>
      </c>
      <c r="F14" s="108" cm="1">
        <f t="array" ref="F14">SUM(VLOOKUP(I14:AF14,$AM$4:$AO$44,3,FALSE))</f>
        <v>510</v>
      </c>
      <c r="G14" s="122">
        <f>SUM($F$4:F14)+SUM($H$4:H14)</f>
        <v>7095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22" t="s">
        <v>18</v>
      </c>
      <c r="R14" s="22" t="s">
        <v>18</v>
      </c>
      <c r="S14" s="28" t="s">
        <v>12</v>
      </c>
      <c r="T14" s="22" t="s">
        <v>18</v>
      </c>
      <c r="U14" s="22" t="s">
        <v>18</v>
      </c>
      <c r="V14" s="22" t="s">
        <v>18</v>
      </c>
      <c r="W14" s="110" t="s">
        <v>23</v>
      </c>
      <c r="X14" s="110" t="s">
        <v>23</v>
      </c>
      <c r="Y14" s="22" t="s">
        <v>18</v>
      </c>
      <c r="Z14" s="146" t="s">
        <v>7</v>
      </c>
      <c r="AA14" s="22" t="s">
        <v>18</v>
      </c>
      <c r="AB14" s="22" t="s">
        <v>18</v>
      </c>
      <c r="AC14" s="22" t="s">
        <v>18</v>
      </c>
      <c r="AD14" s="28" t="s">
        <v>12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11"/>
        <v>0</v>
      </c>
      <c r="AS14" s="19">
        <f t="shared" si="1"/>
        <v>2</v>
      </c>
      <c r="AT14" s="19">
        <f t="shared" si="2"/>
        <v>1</v>
      </c>
      <c r="AU14" s="143">
        <f t="shared" si="6"/>
        <v>3</v>
      </c>
      <c r="AV14" s="50">
        <f t="shared" si="7"/>
        <v>0</v>
      </c>
      <c r="AW14" s="50">
        <f t="shared" si="3"/>
        <v>110</v>
      </c>
      <c r="AX14" s="50">
        <f t="shared" si="3"/>
        <v>55</v>
      </c>
      <c r="BA14" s="53">
        <f t="shared" si="10"/>
        <v>0.45833333333333331</v>
      </c>
      <c r="BB14">
        <f t="shared" si="9"/>
        <v>120</v>
      </c>
    </row>
    <row r="15" spans="1:54">
      <c r="A15" s="115">
        <v>44831</v>
      </c>
      <c r="B15" s="108">
        <v>1600</v>
      </c>
      <c r="C15" s="108"/>
      <c r="D15" s="108" cm="1">
        <f t="array" ref="D15">(SUM(VLOOKUP(I15:AF15,$AM$4:$AO$44,2,FALSE))+AG15*10)*IF(AK15="是",$AZ$4,$AZ$3)</f>
        <v>1632</v>
      </c>
      <c r="E15" s="169">
        <f>SUM($B$4:B15)+SUM($C$4:C15)-SUM($D$4:D15)</f>
        <v>5284</v>
      </c>
      <c r="F15" s="108" cm="1">
        <f t="array" ref="F15">SUM(VLOOKUP(I15:AF15,$AM$4:$AO$44,3,FALSE))</f>
        <v>540</v>
      </c>
      <c r="G15" s="122">
        <f>SUM($F$4:F15)+SUM($H$4:H15)</f>
        <v>7635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22" t="s">
        <v>18</v>
      </c>
      <c r="R15" s="22" t="s">
        <v>18</v>
      </c>
      <c r="S15" s="22" t="s">
        <v>18</v>
      </c>
      <c r="T15" s="22" t="s">
        <v>18</v>
      </c>
      <c r="U15" s="22" t="s">
        <v>18</v>
      </c>
      <c r="V15" s="22" t="s">
        <v>18</v>
      </c>
      <c r="W15" s="110" t="s">
        <v>23</v>
      </c>
      <c r="X15" s="110" t="s">
        <v>23</v>
      </c>
      <c r="Y15" s="22" t="s">
        <v>18</v>
      </c>
      <c r="Z15" s="22" t="s">
        <v>18</v>
      </c>
      <c r="AA15" s="22" t="s">
        <v>18</v>
      </c>
      <c r="AB15" s="22" t="s">
        <v>18</v>
      </c>
      <c r="AC15" s="22" t="s">
        <v>18</v>
      </c>
      <c r="AD15" s="22" t="s">
        <v>18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1</v>
      </c>
      <c r="AT15" s="19">
        <f t="shared" si="2"/>
        <v>0</v>
      </c>
      <c r="AU15" s="143">
        <f t="shared" si="6"/>
        <v>1</v>
      </c>
      <c r="AV15" s="50">
        <f t="shared" si="7"/>
        <v>0</v>
      </c>
      <c r="AW15" s="50">
        <f t="shared" si="3"/>
        <v>60</v>
      </c>
      <c r="AX15" s="50">
        <f t="shared" si="3"/>
        <v>0</v>
      </c>
      <c r="BA15" s="53">
        <f t="shared" si="10"/>
        <v>0.5</v>
      </c>
      <c r="BB15">
        <f t="shared" si="9"/>
        <v>120</v>
      </c>
    </row>
    <row r="16" spans="1:54">
      <c r="A16" s="115">
        <v>44832</v>
      </c>
      <c r="B16" s="108">
        <v>1600</v>
      </c>
      <c r="C16" s="108"/>
      <c r="D16" s="108" cm="1">
        <f t="array" ref="D16">(SUM(VLOOKUP(I16:AF16,$AM$4:$AO$44,2,FALSE))+AG16*10)*IF(AK16="是",$AZ$4,$AZ$3)</f>
        <v>1544</v>
      </c>
      <c r="E16" s="169">
        <f>SUM($B$4:B16)+SUM($C$4:C16)-SUM($D$4:D16)</f>
        <v>5340</v>
      </c>
      <c r="F16" s="108" cm="1">
        <f t="array" ref="F16">SUM(VLOOKUP(I16:AF16,$AM$4:$AO$44,3,FALSE))</f>
        <v>525</v>
      </c>
      <c r="G16" s="122">
        <f>SUM($F$4:F16)+SUM($H$4:H16)</f>
        <v>8360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2" t="s">
        <v>18</v>
      </c>
      <c r="R16" s="28" t="s">
        <v>12</v>
      </c>
      <c r="S16" s="22" t="s">
        <v>18</v>
      </c>
      <c r="T16" s="22" t="s">
        <v>18</v>
      </c>
      <c r="U16" s="22" t="s">
        <v>18</v>
      </c>
      <c r="V16" s="22" t="s">
        <v>18</v>
      </c>
      <c r="W16" s="110" t="s">
        <v>23</v>
      </c>
      <c r="X16" s="110" t="s">
        <v>23</v>
      </c>
      <c r="Y16" s="22" t="s">
        <v>18</v>
      </c>
      <c r="Z16" s="22" t="s">
        <v>18</v>
      </c>
      <c r="AA16" s="22" t="s">
        <v>18</v>
      </c>
      <c r="AB16" s="22" t="s">
        <v>18</v>
      </c>
      <c r="AC16" s="22" t="s">
        <v>18</v>
      </c>
      <c r="AD16" s="22" t="s">
        <v>18</v>
      </c>
      <c r="AE16" s="110" t="s">
        <v>23</v>
      </c>
      <c r="AF16" s="110" t="s">
        <v>23</v>
      </c>
      <c r="AG16" s="111">
        <f t="shared" si="4"/>
        <v>1</v>
      </c>
      <c r="AH16" s="111"/>
      <c r="AI16" s="111">
        <v>1</v>
      </c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</row>
    <row r="17" spans="1:54">
      <c r="A17" s="115">
        <v>44833</v>
      </c>
      <c r="B17" s="108">
        <v>1600</v>
      </c>
      <c r="C17" s="108"/>
      <c r="D17" s="108" cm="1">
        <f t="array" ref="D17">(SUM(VLOOKUP(I17:AF17,$AM$4:$AO$44,2,FALSE))+AG17*10)*IF(AK17="是",$AZ$4,$AZ$3)</f>
        <v>1552</v>
      </c>
      <c r="E17" s="169">
        <f>SUM($B$4:B17)+SUM($C$4:C17)-SUM($D$4:D17)</f>
        <v>5388</v>
      </c>
      <c r="F17" s="108" cm="1">
        <f t="array" ref="F17">SUM(VLOOKUP(I17:AF17,$AM$4:$AO$44,3,FALSE))</f>
        <v>525</v>
      </c>
      <c r="G17" s="122">
        <f>SUM($F$4:F17)+SUM($H$4:H17)</f>
        <v>8885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2" t="s">
        <v>18</v>
      </c>
      <c r="R17" s="22" t="s">
        <v>18</v>
      </c>
      <c r="S17" s="22" t="s">
        <v>18</v>
      </c>
      <c r="T17" s="22" t="s">
        <v>18</v>
      </c>
      <c r="U17" s="22" t="s">
        <v>18</v>
      </c>
      <c r="V17" s="22" t="s">
        <v>18</v>
      </c>
      <c r="W17" s="110" t="s">
        <v>23</v>
      </c>
      <c r="X17" s="110" t="s">
        <v>23</v>
      </c>
      <c r="Y17" s="28" t="s">
        <v>12</v>
      </c>
      <c r="Z17" s="22" t="s">
        <v>18</v>
      </c>
      <c r="AA17" s="22" t="s">
        <v>18</v>
      </c>
      <c r="AB17" s="22" t="s">
        <v>18</v>
      </c>
      <c r="AC17" s="22" t="s">
        <v>18</v>
      </c>
      <c r="AD17" s="22" t="s">
        <v>18</v>
      </c>
      <c r="AE17" s="110" t="s">
        <v>23</v>
      </c>
      <c r="AF17" s="110" t="s">
        <v>23</v>
      </c>
      <c r="AG17" s="111">
        <f t="shared" si="4"/>
        <v>2</v>
      </c>
      <c r="AH17" s="111"/>
      <c r="AI17" s="111">
        <v>2</v>
      </c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6</v>
      </c>
      <c r="AS17" s="19">
        <f t="shared" si="1"/>
        <v>13</v>
      </c>
      <c r="AT17" s="19">
        <f t="shared" si="2"/>
        <v>21</v>
      </c>
      <c r="AU17" s="143">
        <f t="shared" si="6"/>
        <v>40</v>
      </c>
      <c r="AV17" s="50">
        <f t="shared" si="7"/>
        <v>180</v>
      </c>
      <c r="AW17" s="50">
        <f t="shared" si="3"/>
        <v>390</v>
      </c>
      <c r="AX17" s="50">
        <f t="shared" si="3"/>
        <v>630</v>
      </c>
      <c r="BA17" s="53">
        <f t="shared" si="10"/>
        <v>0.75</v>
      </c>
      <c r="BB17">
        <f t="shared" si="9"/>
        <v>40</v>
      </c>
    </row>
    <row r="18" spans="1:54">
      <c r="A18" s="115">
        <v>44834</v>
      </c>
      <c r="B18" s="108">
        <v>1600</v>
      </c>
      <c r="C18" s="108"/>
      <c r="D18" s="108" cm="1">
        <f t="array" ref="D18">(SUM(VLOOKUP(I18:AF18,$AM$4:$AO$44,2,FALSE))+AG18*10)*IF(AK18="是",$AZ$4,$AZ$3)</f>
        <v>1536</v>
      </c>
      <c r="E18" s="169">
        <f>SUM($B$4:B18)+SUM($C$4:C18)-SUM($D$4:D18)</f>
        <v>5452</v>
      </c>
      <c r="F18" s="108" cm="1">
        <f t="array" ref="F18">SUM(VLOOKUP(I18:AF18,$AM$4:$AO$44,3,FALSE))</f>
        <v>525</v>
      </c>
      <c r="G18" s="122">
        <f>SUM($F$4:F18)+SUM($H$4:H18)</f>
        <v>9410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2" t="s">
        <v>18</v>
      </c>
      <c r="R18" s="22" t="s">
        <v>18</v>
      </c>
      <c r="S18" s="22" t="s">
        <v>18</v>
      </c>
      <c r="T18" s="22" t="s">
        <v>18</v>
      </c>
      <c r="U18" s="22" t="s">
        <v>18</v>
      </c>
      <c r="V18" s="22" t="s">
        <v>18</v>
      </c>
      <c r="W18" s="110" t="s">
        <v>23</v>
      </c>
      <c r="X18" s="110" t="s">
        <v>23</v>
      </c>
      <c r="Y18" s="22" t="s">
        <v>18</v>
      </c>
      <c r="Z18" s="28" t="s">
        <v>12</v>
      </c>
      <c r="AA18" s="22" t="s">
        <v>18</v>
      </c>
      <c r="AB18" s="22" t="s">
        <v>18</v>
      </c>
      <c r="AC18" s="22" t="s">
        <v>18</v>
      </c>
      <c r="AD18" s="22" t="s">
        <v>18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0</v>
      </c>
      <c r="AS18" s="19">
        <f t="shared" si="1"/>
        <v>0</v>
      </c>
      <c r="AT18" s="19">
        <f t="shared" si="2"/>
        <v>3</v>
      </c>
      <c r="AU18" s="143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</row>
    <row r="19" spans="1:54">
      <c r="A19" s="115">
        <v>44835</v>
      </c>
      <c r="B19" s="108">
        <v>1600</v>
      </c>
      <c r="C19" s="108"/>
      <c r="D19" s="108" cm="1">
        <f t="array" ref="D19">(SUM(VLOOKUP(I19:AF19,$AM$4:$AO$44,2,FALSE))+AG19*10)*IF(AK19="是",$AZ$4,$AZ$3)</f>
        <v>1128</v>
      </c>
      <c r="E19" s="169">
        <f>SUM($B$4:B19)+SUM($C$4:C19)-SUM($D$4:D19)</f>
        <v>5924</v>
      </c>
      <c r="F19" s="108" cm="1">
        <f t="array" ref="F19">SUM(VLOOKUP(I19:AF19,$AM$4:$AO$44,3,FALSE))</f>
        <v>455</v>
      </c>
      <c r="G19" s="122">
        <f>SUM($F$4:F19)+SUM($H$4:H19)</f>
        <v>9865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9" t="s">
        <v>47</v>
      </c>
      <c r="R19" s="22" t="s">
        <v>18</v>
      </c>
      <c r="S19" s="28" t="s">
        <v>12</v>
      </c>
      <c r="T19" s="22" t="s">
        <v>18</v>
      </c>
      <c r="U19" s="22" t="s">
        <v>18</v>
      </c>
      <c r="V19" s="22" t="s">
        <v>18</v>
      </c>
      <c r="W19" s="110" t="s">
        <v>23</v>
      </c>
      <c r="X19" s="110" t="s">
        <v>23</v>
      </c>
      <c r="Y19" s="22" t="s">
        <v>18</v>
      </c>
      <c r="Z19" s="22" t="s">
        <v>18</v>
      </c>
      <c r="AA19" s="22" t="s">
        <v>18</v>
      </c>
      <c r="AB19" s="21" t="s">
        <v>17</v>
      </c>
      <c r="AC19" s="21" t="s">
        <v>17</v>
      </c>
      <c r="AD19" s="28" t="s">
        <v>12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0</v>
      </c>
      <c r="AS19" s="19">
        <f t="shared" si="1"/>
        <v>1</v>
      </c>
      <c r="AT19" s="19">
        <f t="shared" si="2"/>
        <v>2</v>
      </c>
      <c r="AU19" s="143">
        <f t="shared" si="6"/>
        <v>3</v>
      </c>
      <c r="AV19" s="50">
        <f t="shared" si="7"/>
        <v>0</v>
      </c>
      <c r="AW19" s="50">
        <f t="shared" si="3"/>
        <v>200</v>
      </c>
      <c r="AX19" s="50">
        <f t="shared" si="3"/>
        <v>400</v>
      </c>
      <c r="BA19" s="53">
        <f t="shared" si="10"/>
        <v>1</v>
      </c>
      <c r="BB19">
        <f t="shared" si="9"/>
        <v>200</v>
      </c>
    </row>
    <row r="20" spans="1:54">
      <c r="A20" s="115">
        <v>44836</v>
      </c>
      <c r="B20" s="108">
        <v>1600</v>
      </c>
      <c r="C20" s="108"/>
      <c r="D20" s="108" cm="1">
        <f t="array" ref="D20">(SUM(VLOOKUP(I20:AF20,$AM$4:$AO$44,2,FALSE))+AG20*10)*IF(AK20="是",$AZ$4,$AZ$3)</f>
        <v>1512</v>
      </c>
      <c r="E20" s="169">
        <f>SUM($B$4:B20)+SUM($C$4:C20)-SUM($D$4:D20)</f>
        <v>6012</v>
      </c>
      <c r="F20" s="108" cm="1">
        <f t="array" ref="F20">SUM(VLOOKUP(I20:AF20,$AM$4:$AO$44,3,FALSE))</f>
        <v>505</v>
      </c>
      <c r="G20" s="122">
        <f>SUM($F$4:F20)+SUM($H$4:H20)</f>
        <v>10370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2" t="s">
        <v>18</v>
      </c>
      <c r="R20" s="22" t="s">
        <v>18</v>
      </c>
      <c r="S20" s="22" t="s">
        <v>18</v>
      </c>
      <c r="T20" s="22" t="s">
        <v>18</v>
      </c>
      <c r="U20" s="22" t="s">
        <v>18</v>
      </c>
      <c r="V20" s="23" t="s">
        <v>19</v>
      </c>
      <c r="W20" s="110" t="s">
        <v>23</v>
      </c>
      <c r="X20" s="110" t="s">
        <v>23</v>
      </c>
      <c r="Y20" s="21" t="s">
        <v>17</v>
      </c>
      <c r="Z20" s="21" t="s">
        <v>17</v>
      </c>
      <c r="AA20" s="21" t="s">
        <v>17</v>
      </c>
      <c r="AB20" s="21" t="s">
        <v>17</v>
      </c>
      <c r="AC20" s="21" t="s">
        <v>17</v>
      </c>
      <c r="AD20" s="28" t="s">
        <v>12</v>
      </c>
      <c r="AE20" s="110" t="s">
        <v>23</v>
      </c>
      <c r="AF20" s="110" t="s">
        <v>23</v>
      </c>
      <c r="AG20" s="111">
        <f t="shared" si="4"/>
        <v>1</v>
      </c>
      <c r="AH20" s="111"/>
      <c r="AI20" s="111"/>
      <c r="AJ20" s="111">
        <v>1</v>
      </c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0</v>
      </c>
      <c r="AS20" s="19">
        <f t="shared" si="1"/>
        <v>3</v>
      </c>
      <c r="AT20" s="19">
        <f t="shared" si="2"/>
        <v>2</v>
      </c>
      <c r="AU20" s="143">
        <f t="shared" si="6"/>
        <v>5</v>
      </c>
      <c r="AV20" s="50">
        <f t="shared" si="7"/>
        <v>0</v>
      </c>
      <c r="AW20" s="50">
        <f t="shared" si="7"/>
        <v>135</v>
      </c>
      <c r="AX20" s="50">
        <f t="shared" si="7"/>
        <v>90</v>
      </c>
      <c r="BA20" s="53">
        <f t="shared" si="10"/>
        <v>0.33088235294117646</v>
      </c>
      <c r="BB20">
        <f t="shared" si="9"/>
        <v>136</v>
      </c>
    </row>
    <row r="21" spans="1:54">
      <c r="A21" s="115">
        <v>44837</v>
      </c>
      <c r="B21" s="109">
        <v>1600</v>
      </c>
      <c r="C21" s="109"/>
      <c r="D21" s="108" cm="1">
        <f t="array" ref="D21">(SUM(VLOOKUP(I21:AF21,$AM$4:$AO$44,2,FALSE))+AG21*10)*IF(AK21="是",$AZ$4,$AZ$3)</f>
        <v>1512</v>
      </c>
      <c r="E21" s="169">
        <f>SUM($B$4:B21)+SUM($C$4:C21)-SUM($D$4:D21)</f>
        <v>6100</v>
      </c>
      <c r="F21" s="108" cm="1">
        <f t="array" ref="F21">SUM(VLOOKUP(I21:AF21,$AM$4:$AO$44,3,FALSE))</f>
        <v>520</v>
      </c>
      <c r="G21" s="122">
        <f>SUM($F$4:F21)+SUM($H$4:H21)</f>
        <v>11090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3" t="s">
        <v>19</v>
      </c>
      <c r="R21" s="23" t="s">
        <v>19</v>
      </c>
      <c r="S21" s="22" t="s">
        <v>18</v>
      </c>
      <c r="T21" s="146" t="s">
        <v>7</v>
      </c>
      <c r="U21" s="22" t="s">
        <v>18</v>
      </c>
      <c r="V21" s="28" t="s">
        <v>12</v>
      </c>
      <c r="W21" s="110" t="s">
        <v>23</v>
      </c>
      <c r="X21" s="110" t="s">
        <v>23</v>
      </c>
      <c r="Y21" s="21" t="s">
        <v>17</v>
      </c>
      <c r="Z21" s="21" t="s">
        <v>17</v>
      </c>
      <c r="AA21" s="21" t="s">
        <v>17</v>
      </c>
      <c r="AB21" s="22" t="s">
        <v>18</v>
      </c>
      <c r="AC21" s="22" t="s">
        <v>18</v>
      </c>
      <c r="AD21" s="22" t="s">
        <v>18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</row>
    <row r="22" spans="1:54">
      <c r="A22" s="115">
        <v>44838</v>
      </c>
      <c r="B22" s="109">
        <v>1600</v>
      </c>
      <c r="C22" s="109"/>
      <c r="D22" s="108" cm="1">
        <f t="array" ref="D22">(SUM(VLOOKUP(I22:AF22,$AM$4:$AO$44,2,FALSE))+AG22*10)*IF(AK22="是",$AZ$4,$AZ$3)</f>
        <v>1536</v>
      </c>
      <c r="E22" s="169">
        <f>SUM($B$4:B22)+SUM($C$4:C22)-SUM($D$4:D22)</f>
        <v>6164</v>
      </c>
      <c r="F22" s="108" cm="1">
        <f t="array" ref="F22">SUM(VLOOKUP(I22:AF22,$AM$4:$AO$44,3,FALSE))</f>
        <v>525</v>
      </c>
      <c r="G22" s="122">
        <f>SUM($F$4:F22)+SUM($H$4:H22)</f>
        <v>11715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22" t="s">
        <v>18</v>
      </c>
      <c r="R22" s="22" t="s">
        <v>18</v>
      </c>
      <c r="S22" s="22" t="s">
        <v>18</v>
      </c>
      <c r="T22" s="22" t="s">
        <v>18</v>
      </c>
      <c r="U22" s="22" t="s">
        <v>18</v>
      </c>
      <c r="V22" s="22" t="s">
        <v>18</v>
      </c>
      <c r="W22" s="110" t="s">
        <v>23</v>
      </c>
      <c r="X22" s="110" t="s">
        <v>23</v>
      </c>
      <c r="Y22" s="28" t="s">
        <v>12</v>
      </c>
      <c r="Z22" s="22" t="s">
        <v>18</v>
      </c>
      <c r="AA22" s="22" t="s">
        <v>18</v>
      </c>
      <c r="AB22" s="22" t="s">
        <v>18</v>
      </c>
      <c r="AC22" s="22" t="s">
        <v>18</v>
      </c>
      <c r="AD22" s="22" t="s">
        <v>18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1</v>
      </c>
      <c r="AT22" s="19">
        <f t="shared" si="2"/>
        <v>1</v>
      </c>
      <c r="AU22" s="143">
        <f t="shared" si="6"/>
        <v>2</v>
      </c>
      <c r="AV22" s="50">
        <f t="shared" si="7"/>
        <v>0</v>
      </c>
      <c r="AW22" s="50">
        <f t="shared" si="7"/>
        <v>1000</v>
      </c>
      <c r="AX22" s="50">
        <f t="shared" si="7"/>
        <v>1000</v>
      </c>
      <c r="BA22" s="53">
        <f t="shared" si="10"/>
        <v>5</v>
      </c>
      <c r="BB22">
        <f t="shared" si="9"/>
        <v>200</v>
      </c>
    </row>
    <row r="23" spans="1:54">
      <c r="A23" s="115">
        <v>44839</v>
      </c>
      <c r="B23" s="109">
        <v>1600</v>
      </c>
      <c r="C23" s="109"/>
      <c r="D23" s="108" cm="1">
        <f t="array" ref="D23">(SUM(VLOOKUP(I23:AF23,$AM$4:$AO$44,2,FALSE))+AG23*10)*IF(AK23="是",$AZ$4,$AZ$3)</f>
        <v>1488</v>
      </c>
      <c r="E23" s="169">
        <f>SUM($B$4:B23)+SUM($C$4:C23)-SUM($D$4:D23)</f>
        <v>6276</v>
      </c>
      <c r="F23" s="108" cm="1">
        <f t="array" ref="F23">SUM(VLOOKUP(I23:AF23,$AM$4:$AO$44,3,FALSE))</f>
        <v>520</v>
      </c>
      <c r="G23" s="122">
        <f>SUM($F$4:F23)+SUM($H$4:H23)</f>
        <v>12435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8" t="s">
        <v>12</v>
      </c>
      <c r="R23" s="22" t="s">
        <v>18</v>
      </c>
      <c r="S23" s="22" t="s">
        <v>18</v>
      </c>
      <c r="T23" s="145" t="s">
        <v>6</v>
      </c>
      <c r="U23" s="22" t="s">
        <v>18</v>
      </c>
      <c r="V23" s="22" t="s">
        <v>18</v>
      </c>
      <c r="W23" s="110" t="s">
        <v>23</v>
      </c>
      <c r="X23" s="110" t="s">
        <v>23</v>
      </c>
      <c r="Y23" s="22" t="s">
        <v>18</v>
      </c>
      <c r="Z23" s="146" t="s">
        <v>7</v>
      </c>
      <c r="AA23" s="22" t="s">
        <v>18</v>
      </c>
      <c r="AB23" s="22" t="s">
        <v>18</v>
      </c>
      <c r="AC23" s="146" t="s">
        <v>7</v>
      </c>
      <c r="AD23" s="22" t="s">
        <v>18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0</v>
      </c>
      <c r="AS23" s="19">
        <f t="shared" si="1"/>
        <v>1</v>
      </c>
      <c r="AT23" s="19">
        <f t="shared" si="2"/>
        <v>1</v>
      </c>
      <c r="AU23" s="143">
        <f t="shared" si="6"/>
        <v>2</v>
      </c>
      <c r="AV23" s="50">
        <f t="shared" si="7"/>
        <v>0</v>
      </c>
      <c r="AW23" s="50">
        <f t="shared" si="7"/>
        <v>500</v>
      </c>
      <c r="AX23" s="50">
        <f t="shared" si="7"/>
        <v>500</v>
      </c>
      <c r="BA23" s="53">
        <f t="shared" si="10"/>
        <v>2.5</v>
      </c>
      <c r="BB23">
        <f t="shared" si="9"/>
        <v>200</v>
      </c>
    </row>
    <row r="24" spans="1:54" ht="14.25" customHeight="1">
      <c r="A24" s="115">
        <v>44840</v>
      </c>
      <c r="B24" s="109">
        <v>1600</v>
      </c>
      <c r="C24" s="109"/>
      <c r="D24" s="108" cm="1">
        <f t="array" ref="D24">(SUM(VLOOKUP(I24:AF24,$AM$4:$AO$44,2,FALSE))+AG24*10)*IF(AK24="是",$AZ$4,$AZ$3)</f>
        <v>816</v>
      </c>
      <c r="E24" s="169">
        <f>SUM($B$4:B24)+SUM($C$4:C24)-SUM($D$4:D24)</f>
        <v>7060</v>
      </c>
      <c r="F24" s="108" cm="1">
        <f t="array" ref="F24">SUM(VLOOKUP(I24:AF24,$AM$4:$AO$44,3,FALSE))</f>
        <v>270</v>
      </c>
      <c r="G24" s="122">
        <f>SUM($F$4:F24)+SUM($H$4:H24)</f>
        <v>12705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22" t="s">
        <v>18</v>
      </c>
      <c r="R24" s="22" t="s">
        <v>18</v>
      </c>
      <c r="S24" s="22" t="s">
        <v>18</v>
      </c>
      <c r="T24" s="22" t="s">
        <v>18</v>
      </c>
      <c r="U24" s="22" t="s">
        <v>18</v>
      </c>
      <c r="V24" s="22" t="s">
        <v>18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</row>
    <row r="25" spans="1:54">
      <c r="A25" s="115">
        <v>44841</v>
      </c>
      <c r="B25" s="109">
        <v>1600</v>
      </c>
      <c r="C25" s="109"/>
      <c r="D25" s="108" cm="1">
        <f t="array" ref="D25">(SUM(VLOOKUP(I25:AF25,$AM$4:$AO$44,2,FALSE))+AG25*10)*IF(AK25="是",$AZ$4,$AZ$3)</f>
        <v>1416</v>
      </c>
      <c r="E25" s="169">
        <f>SUM($B$4:B25)+SUM($C$4:C25)-SUM($D$4:D25)</f>
        <v>7244</v>
      </c>
      <c r="F25" s="108" cm="1">
        <f t="array" ref="F25">SUM(VLOOKUP(I25:AF25,$AM$4:$AO$44,3,FALSE))</f>
        <v>545</v>
      </c>
      <c r="G25" s="122">
        <f>SUM($F$4:F25)+SUM($H$4:H25)</f>
        <v>13250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2" t="s">
        <v>18</v>
      </c>
      <c r="R25" s="29" t="s">
        <v>47</v>
      </c>
      <c r="S25" s="23" t="s">
        <v>19</v>
      </c>
      <c r="T25" s="23" t="s">
        <v>19</v>
      </c>
      <c r="U25" s="23" t="s">
        <v>19</v>
      </c>
      <c r="V25" s="23" t="s">
        <v>19</v>
      </c>
      <c r="W25" s="110" t="s">
        <v>23</v>
      </c>
      <c r="X25" s="110" t="s">
        <v>23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23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</row>
    <row r="26" spans="1:54">
      <c r="A26" s="115">
        <v>44842</v>
      </c>
      <c r="B26" s="109">
        <v>1600</v>
      </c>
      <c r="C26" s="109"/>
      <c r="D26" s="108" cm="1">
        <f t="array" ref="D26">(SUM(VLOOKUP(I26:AF26,$AM$4:$AO$44,2,FALSE))+AG26*10)*IF(AK26="是",$AZ$4,$AZ$3)</f>
        <v>968</v>
      </c>
      <c r="E26" s="169">
        <f>SUM($B$4:B26)+SUM($C$4:C26)-SUM($D$4:D26)</f>
        <v>7876</v>
      </c>
      <c r="F26" s="108" cm="1">
        <f t="array" ref="F26">SUM(VLOOKUP(I26:AF26,$AM$4:$AO$44,3,FALSE))</f>
        <v>385</v>
      </c>
      <c r="G26" s="122">
        <f>SUM($F$4:F26)+SUM($H$4:H26)</f>
        <v>13635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22" t="s">
        <v>18</v>
      </c>
      <c r="R26" s="22" t="s">
        <v>18</v>
      </c>
      <c r="S26" s="22" t="s">
        <v>18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3" t="s">
        <v>19</v>
      </c>
      <c r="Z26" s="23" t="s">
        <v>19</v>
      </c>
      <c r="AA26" s="23" t="s">
        <v>19</v>
      </c>
      <c r="AB26" s="29" t="s">
        <v>47</v>
      </c>
      <c r="AC26" s="23" t="s">
        <v>19</v>
      </c>
      <c r="AD26" s="23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</row>
    <row r="27" spans="1:54">
      <c r="A27" s="115">
        <v>44843</v>
      </c>
      <c r="B27" s="109">
        <v>1600</v>
      </c>
      <c r="C27" s="109"/>
      <c r="D27" s="108" cm="1">
        <f t="array" ref="D27">(SUM(VLOOKUP(I27:AF27,$AM$4:$AO$44,2,FALSE))+AG27*10)*IF(AK27="是",$AZ$4,$AZ$3)</f>
        <v>760</v>
      </c>
      <c r="E27" s="169">
        <f>SUM($B$4:B27)+SUM($C$4:C27)-SUM($D$4:D27)</f>
        <v>8716</v>
      </c>
      <c r="F27" s="108" cm="1">
        <f t="array" ref="F27">SUM(VLOOKUP(I27:AF27,$AM$4:$AO$44,3,FALSE))</f>
        <v>280</v>
      </c>
      <c r="G27" s="122">
        <f>SUM($F$4:F27)+SUM($H$4:H27)</f>
        <v>13915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8" t="s">
        <v>12</v>
      </c>
      <c r="AD27" s="23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</row>
    <row r="28" spans="1:54" ht="15" thickBot="1">
      <c r="A28" s="115">
        <v>44844</v>
      </c>
      <c r="B28" s="108">
        <v>1600</v>
      </c>
      <c r="C28" s="108"/>
      <c r="D28" s="108" cm="1">
        <f t="array" ref="D28">(SUM(VLOOKUP(I28:AF28,$AM$4:$AO$44,2,FALSE))+AG28*10)*IF(AK28="是",$AZ$4,$AZ$3)</f>
        <v>1728</v>
      </c>
      <c r="E28" s="169">
        <f>SUM($B$4:B28)+SUM($C$4:C28)-SUM($D$4:D28)</f>
        <v>8588</v>
      </c>
      <c r="F28" s="108" cm="1">
        <f t="array" ref="F28">SUM(VLOOKUP(I28:AF28,$AM$4:$AO$44,3,FALSE))</f>
        <v>600</v>
      </c>
      <c r="G28" s="122">
        <f>SUM($F$4:F28)+SUM($H$4:H28)</f>
        <v>14815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23" t="s">
        <v>19</v>
      </c>
      <c r="R28" s="23" t="s">
        <v>19</v>
      </c>
      <c r="S28" s="23" t="s">
        <v>19</v>
      </c>
      <c r="T28" s="23" t="s">
        <v>19</v>
      </c>
      <c r="U28" s="23" t="s">
        <v>19</v>
      </c>
      <c r="V28" s="23" t="s">
        <v>19</v>
      </c>
      <c r="W28" s="110" t="s">
        <v>23</v>
      </c>
      <c r="X28" s="110" t="s">
        <v>23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23" t="s">
        <v>19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1</v>
      </c>
      <c r="AS28" s="19">
        <f>COUNTIF($Q$4:$X$94,AM28)</f>
        <v>8</v>
      </c>
      <c r="AT28" s="19">
        <f>COUNTIF($Y$4:$AF$94,AM28)</f>
        <v>3</v>
      </c>
      <c r="AU28" s="143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</row>
    <row r="29" spans="1:54">
      <c r="A29" s="115">
        <v>44845</v>
      </c>
      <c r="B29" s="108">
        <v>1600</v>
      </c>
      <c r="C29" s="108"/>
      <c r="D29" s="108" cm="1">
        <f t="array" ref="D29">(SUM(VLOOKUP(I29:AF29,$AM$4:$AO$44,2,FALSE))+AG29*10)*IF(AK29="是",$AZ$4,$AZ$3)</f>
        <v>1720</v>
      </c>
      <c r="E29" s="169">
        <f>SUM($B$4:B29)+SUM($C$4:C29)-SUM($D$4:D29)</f>
        <v>8468</v>
      </c>
      <c r="F29" s="108" cm="1">
        <f t="array" ref="F29">SUM(VLOOKUP(I29:AF29,$AM$4:$AO$44,3,FALSE))</f>
        <v>595</v>
      </c>
      <c r="G29" s="122">
        <f>SUM($F$4:F29)+SUM($H$4:H29)</f>
        <v>15410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23" t="s">
        <v>19</v>
      </c>
      <c r="W29" s="110" t="s">
        <v>23</v>
      </c>
      <c r="X29" s="110" t="s">
        <v>23</v>
      </c>
      <c r="Y29" s="23" t="s">
        <v>19</v>
      </c>
      <c r="Z29" s="22" t="s">
        <v>18</v>
      </c>
      <c r="AA29" s="23" t="s">
        <v>19</v>
      </c>
      <c r="AB29" s="23" t="s">
        <v>19</v>
      </c>
      <c r="AC29" s="23" t="s">
        <v>19</v>
      </c>
      <c r="AD29" s="23" t="s">
        <v>19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0</v>
      </c>
      <c r="AS29" s="123">
        <f>COUNTIF($Q$4:$X$94,AM29)</f>
        <v>2</v>
      </c>
      <c r="AT29" s="123">
        <f>COUNTIF($Y$4:$AF$94,AM29)</f>
        <v>1</v>
      </c>
      <c r="AU29" s="123">
        <f>AR29+AS29+AT29</f>
        <v>3</v>
      </c>
      <c r="AV29" s="4">
        <f t="shared" si="7"/>
        <v>0</v>
      </c>
      <c r="AW29" s="4">
        <f t="shared" si="7"/>
        <v>1040</v>
      </c>
      <c r="AX29" s="4">
        <f t="shared" si="7"/>
        <v>520</v>
      </c>
      <c r="BB29">
        <f t="shared" si="9"/>
        <v>40</v>
      </c>
    </row>
    <row r="30" spans="1:54">
      <c r="A30" s="115">
        <v>44846</v>
      </c>
      <c r="B30" s="108">
        <v>1600</v>
      </c>
      <c r="C30" s="108"/>
      <c r="D30" s="108" cm="1">
        <f t="array" ref="D30">(SUM(VLOOKUP(I30:AF30,$AM$4:$AO$44,2,FALSE))+AG30*10)*IF(AK30="是",$AZ$4,$AZ$3)</f>
        <v>1624</v>
      </c>
      <c r="E30" s="169">
        <f>SUM($B$4:B30)+SUM($C$4:C30)-SUM($D$4:D30)</f>
        <v>8444</v>
      </c>
      <c r="F30" s="108" cm="1">
        <f t="array" ref="F30">SUM(VLOOKUP(I30:AF30,$AM$4:$AO$44,3,FALSE))</f>
        <v>580</v>
      </c>
      <c r="G30" s="122">
        <f>SUM($F$4:F30)+SUM($H$4:H30)</f>
        <v>16190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23" t="s">
        <v>19</v>
      </c>
      <c r="W30" s="110" t="s">
        <v>23</v>
      </c>
      <c r="X30" s="110" t="s">
        <v>23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28" t="s">
        <v>12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4">
      <c r="A31" s="115">
        <v>44847</v>
      </c>
      <c r="B31" s="108">
        <v>1600</v>
      </c>
      <c r="C31" s="108"/>
      <c r="D31" s="108" cm="1">
        <f t="array" ref="D31">(SUM(VLOOKUP(I31:AF31,$AM$4:$AO$44,2,FALSE))+AG31*10)*IF(AK31="是",$AZ$4,$AZ$3)</f>
        <v>1424</v>
      </c>
      <c r="E31" s="169">
        <f>SUM($B$4:B31)+SUM($C$4:C31)-SUM($D$4:D31)</f>
        <v>8620</v>
      </c>
      <c r="F31" s="108" cm="1">
        <f t="array" ref="F31">SUM(VLOOKUP(I31:AF31,$AM$4:$AO$44,3,FALSE))</f>
        <v>550</v>
      </c>
      <c r="G31" s="122">
        <f>SUM($F$4:F31)+SUM($H$4:H31)</f>
        <v>16740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23" t="s">
        <v>19</v>
      </c>
      <c r="R31" s="23" t="s">
        <v>19</v>
      </c>
      <c r="S31" s="23" t="s">
        <v>19</v>
      </c>
      <c r="T31" s="23" t="s">
        <v>19</v>
      </c>
      <c r="U31" s="29" t="s">
        <v>47</v>
      </c>
      <c r="V31" s="23" t="s">
        <v>19</v>
      </c>
      <c r="W31" s="110" t="s">
        <v>23</v>
      </c>
      <c r="X31" s="110" t="s">
        <v>23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23" t="s">
        <v>19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4">
      <c r="A32" s="115">
        <v>44848</v>
      </c>
      <c r="B32" s="108">
        <v>1600</v>
      </c>
      <c r="C32" s="108"/>
      <c r="D32" s="108" cm="1">
        <f t="array" ref="D32">(SUM(VLOOKUP(I32:AF32,$AM$4:$AO$44,2,FALSE))+AG32*10)*IF(AK32="是",$AZ$4,$AZ$3)</f>
        <v>1624</v>
      </c>
      <c r="E32" s="169">
        <f>SUM($B$4:B32)+SUM($C$4:C32)-SUM($D$4:D32)</f>
        <v>8596</v>
      </c>
      <c r="F32" s="108" cm="1">
        <f t="array" ref="F32">SUM(VLOOKUP(I32:AF32,$AM$4:$AO$44,3,FALSE))</f>
        <v>580</v>
      </c>
      <c r="G32" s="122">
        <f>SUM($F$4:F32)+SUM($H$4:H32)</f>
        <v>17320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28" t="s">
        <v>12</v>
      </c>
      <c r="R32" s="23" t="s">
        <v>19</v>
      </c>
      <c r="S32" s="23" t="s">
        <v>19</v>
      </c>
      <c r="T32" s="23" t="s">
        <v>19</v>
      </c>
      <c r="U32" s="23" t="s">
        <v>19</v>
      </c>
      <c r="V32" s="23" t="s">
        <v>19</v>
      </c>
      <c r="W32" s="110" t="s">
        <v>23</v>
      </c>
      <c r="X32" s="110" t="s">
        <v>23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23" t="s">
        <v>19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44849</v>
      </c>
      <c r="B33" s="108">
        <v>1600</v>
      </c>
      <c r="C33" s="108"/>
      <c r="D33" s="108" cm="1">
        <f t="array" ref="D33">(SUM(VLOOKUP(I33:AF33,$AM$4:$AO$44,2,FALSE))+AG33*10)*IF(AK33="是",$AZ$4,$AZ$3)</f>
        <v>1624</v>
      </c>
      <c r="E33" s="169">
        <f>SUM($B$4:B33)+SUM($C$4:C33)-SUM($D$4:D33)</f>
        <v>8572</v>
      </c>
      <c r="F33" s="108" cm="1">
        <f t="array" ref="F33">SUM(VLOOKUP(I33:AF33,$AM$4:$AO$44,3,FALSE))</f>
        <v>580</v>
      </c>
      <c r="G33" s="122">
        <f>SUM($F$4:F33)+SUM($H$4:H33)</f>
        <v>17900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23" t="s">
        <v>19</v>
      </c>
      <c r="W33" s="110" t="s">
        <v>23</v>
      </c>
      <c r="X33" s="110" t="s">
        <v>23</v>
      </c>
      <c r="Y33" s="23" t="s">
        <v>19</v>
      </c>
      <c r="Z33" s="28" t="s">
        <v>12</v>
      </c>
      <c r="AA33" s="23" t="s">
        <v>19</v>
      </c>
      <c r="AB33" s="23" t="s">
        <v>19</v>
      </c>
      <c r="AC33" s="23" t="s">
        <v>19</v>
      </c>
      <c r="AD33" s="23" t="s">
        <v>19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15">
        <v>44850</v>
      </c>
      <c r="B34" s="108">
        <v>1600</v>
      </c>
      <c r="C34" s="108"/>
      <c r="D34" s="108" cm="1">
        <f t="array" ref="D34">(SUM(VLOOKUP(I34:AF34,$AM$4:$AO$44,2,FALSE))+AG34*10)*IF(AK34="是",$AZ$4,$AZ$3)</f>
        <v>1728</v>
      </c>
      <c r="E34" s="169">
        <f>SUM($B$4:B34)+SUM($C$4:C34)-SUM($D$4:D34)</f>
        <v>8444</v>
      </c>
      <c r="F34" s="108" cm="1">
        <f t="array" ref="F34">SUM(VLOOKUP(I34:AF34,$AM$4:$AO$44,3,FALSE))</f>
        <v>600</v>
      </c>
      <c r="G34" s="122">
        <f>SUM($F$4:F34)+SUM($H$4:H34)</f>
        <v>18500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3" t="s">
        <v>19</v>
      </c>
      <c r="R34" s="23" t="s">
        <v>19</v>
      </c>
      <c r="S34" s="23" t="s">
        <v>19</v>
      </c>
      <c r="T34" s="23" t="s">
        <v>19</v>
      </c>
      <c r="U34" s="23" t="s">
        <v>19</v>
      </c>
      <c r="V34" s="23" t="s">
        <v>19</v>
      </c>
      <c r="W34" s="110" t="s">
        <v>23</v>
      </c>
      <c r="X34" s="110" t="s">
        <v>23</v>
      </c>
      <c r="Y34" s="23" t="s">
        <v>19</v>
      </c>
      <c r="Z34" s="23" t="s">
        <v>19</v>
      </c>
      <c r="AA34" s="23" t="s">
        <v>19</v>
      </c>
      <c r="AB34" s="23" t="s">
        <v>19</v>
      </c>
      <c r="AC34" s="23" t="s">
        <v>19</v>
      </c>
      <c r="AD34" s="23" t="s">
        <v>19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44851</v>
      </c>
      <c r="B35" s="109">
        <v>1600</v>
      </c>
      <c r="C35" s="109"/>
      <c r="D35" s="108" cm="1">
        <f t="array" ref="D35">(SUM(VLOOKUP(I35:AF35,$AM$4:$AO$44,2,FALSE))+AG35*10)*IF(AK35="是",$AZ$4,$AZ$3)</f>
        <v>1704</v>
      </c>
      <c r="E35" s="169">
        <f>SUM($B$4:B35)+SUM($C$4:C35)-SUM($D$4:D35)</f>
        <v>8340</v>
      </c>
      <c r="F35" s="108" cm="1">
        <f t="array" ref="F35">SUM(VLOOKUP(I35:AF35,$AM$4:$AO$44,3,FALSE))</f>
        <v>600</v>
      </c>
      <c r="G35" s="122">
        <f>SUM($F$4:F35)+SUM($H$4:H35)</f>
        <v>19300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3" t="s">
        <v>19</v>
      </c>
      <c r="R35" s="23" t="s">
        <v>19</v>
      </c>
      <c r="S35" s="147" t="s">
        <v>8</v>
      </c>
      <c r="T35" s="23" t="s">
        <v>19</v>
      </c>
      <c r="U35" s="23" t="s">
        <v>19</v>
      </c>
      <c r="V35" s="23" t="s">
        <v>19</v>
      </c>
      <c r="W35" s="110" t="s">
        <v>23</v>
      </c>
      <c r="X35" s="110" t="s">
        <v>23</v>
      </c>
      <c r="Y35" s="23" t="s">
        <v>19</v>
      </c>
      <c r="Z35" s="23" t="s">
        <v>19</v>
      </c>
      <c r="AA35" s="23" t="s">
        <v>19</v>
      </c>
      <c r="AB35" s="23" t="s">
        <v>19</v>
      </c>
      <c r="AC35" s="23" t="s">
        <v>19</v>
      </c>
      <c r="AD35" s="23" t="s">
        <v>19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44852</v>
      </c>
      <c r="B36" s="109">
        <v>1600</v>
      </c>
      <c r="C36" s="109"/>
      <c r="D36" s="108" cm="1">
        <f t="array" ref="D36">(SUM(VLOOKUP(I36:AF36,$AM$4:$AO$44,2,FALSE))+AG36*10)*IF(AK36="是",$AZ$4,$AZ$3)</f>
        <v>1728</v>
      </c>
      <c r="E36" s="169">
        <f>SUM($B$4:B36)+SUM($C$4:C36)-SUM($D$4:D36)</f>
        <v>8212</v>
      </c>
      <c r="F36" s="108" cm="1">
        <f t="array" ref="F36">SUM(VLOOKUP(I36:AF36,$AM$4:$AO$44,3,FALSE))</f>
        <v>600</v>
      </c>
      <c r="G36" s="122">
        <f>SUM($F$4:F36)+SUM($H$4:H36)</f>
        <v>20000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3" t="s">
        <v>19</v>
      </c>
      <c r="R36" s="23" t="s">
        <v>19</v>
      </c>
      <c r="S36" s="23" t="s">
        <v>19</v>
      </c>
      <c r="T36" s="23" t="s">
        <v>19</v>
      </c>
      <c r="U36" s="23" t="s">
        <v>19</v>
      </c>
      <c r="V36" s="23" t="s">
        <v>19</v>
      </c>
      <c r="W36" s="110" t="s">
        <v>23</v>
      </c>
      <c r="X36" s="110" t="s">
        <v>23</v>
      </c>
      <c r="Y36" s="23" t="s">
        <v>19</v>
      </c>
      <c r="Z36" s="23" t="s">
        <v>19</v>
      </c>
      <c r="AA36" s="23" t="s">
        <v>19</v>
      </c>
      <c r="AB36" s="23" t="s">
        <v>19</v>
      </c>
      <c r="AC36" s="23" t="s">
        <v>19</v>
      </c>
      <c r="AD36" s="23" t="s">
        <v>19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44853</v>
      </c>
      <c r="B37" s="109">
        <v>1600</v>
      </c>
      <c r="C37" s="109"/>
      <c r="D37" s="108" cm="1">
        <f t="array" ref="D37">(SUM(VLOOKUP(I37:AF37,$AM$4:$AO$44,2,FALSE))+AG37*10)*IF(AK37="是",$AZ$4,$AZ$3)</f>
        <v>1728</v>
      </c>
      <c r="E37" s="169">
        <f>SUM($B$4:B37)+SUM($C$4:C37)-SUM($D$4:D37)</f>
        <v>8084</v>
      </c>
      <c r="F37" s="108" cm="1">
        <f t="array" ref="F37">SUM(VLOOKUP(I37:AF37,$AM$4:$AO$44,3,FALSE))</f>
        <v>600</v>
      </c>
      <c r="G37" s="122">
        <f>SUM($F$4:F37)+SUM($H$4:H37)</f>
        <v>20800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23" t="s">
        <v>19</v>
      </c>
      <c r="R37" s="23" t="s">
        <v>19</v>
      </c>
      <c r="S37" s="23" t="s">
        <v>19</v>
      </c>
      <c r="T37" s="23" t="s">
        <v>19</v>
      </c>
      <c r="U37" s="23" t="s">
        <v>19</v>
      </c>
      <c r="V37" s="23" t="s">
        <v>19</v>
      </c>
      <c r="W37" s="110" t="s">
        <v>23</v>
      </c>
      <c r="X37" s="110" t="s">
        <v>23</v>
      </c>
      <c r="Y37" s="23" t="s">
        <v>19</v>
      </c>
      <c r="Z37" s="23" t="s">
        <v>19</v>
      </c>
      <c r="AA37" s="23" t="s">
        <v>19</v>
      </c>
      <c r="AB37" s="23" t="s">
        <v>19</v>
      </c>
      <c r="AC37" s="23" t="s">
        <v>19</v>
      </c>
      <c r="AD37" s="23" t="s">
        <v>19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44854</v>
      </c>
      <c r="B38" s="109">
        <v>1600</v>
      </c>
      <c r="C38" s="109"/>
      <c r="D38" s="108" cm="1">
        <f t="array" ref="D38">(SUM(VLOOKUP(I38:AF38,$AM$4:$AO$44,2,FALSE))+AG38*10)*IF(AK38="是",$AZ$4,$AZ$3)</f>
        <v>1704</v>
      </c>
      <c r="E38" s="169">
        <f>SUM($B$4:B38)+SUM($C$4:C38)-SUM($D$4:D38)</f>
        <v>7980</v>
      </c>
      <c r="F38" s="108" cm="1">
        <f t="array" ref="F38">SUM(VLOOKUP(I38:AF38,$AM$4:$AO$44,3,FALSE))</f>
        <v>600</v>
      </c>
      <c r="G38" s="122">
        <f>SUM($F$4:F38)+SUM($H$4:H38)</f>
        <v>21400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23" t="s">
        <v>19</v>
      </c>
      <c r="R38" s="23" t="s">
        <v>19</v>
      </c>
      <c r="S38" s="23" t="s">
        <v>19</v>
      </c>
      <c r="T38" s="23" t="s">
        <v>19</v>
      </c>
      <c r="U38" s="23" t="s">
        <v>19</v>
      </c>
      <c r="V38" s="23" t="s">
        <v>19</v>
      </c>
      <c r="W38" s="110" t="s">
        <v>23</v>
      </c>
      <c r="X38" s="110" t="s">
        <v>23</v>
      </c>
      <c r="Y38" s="23" t="s">
        <v>19</v>
      </c>
      <c r="Z38" s="23" t="s">
        <v>19</v>
      </c>
      <c r="AA38" s="23" t="s">
        <v>19</v>
      </c>
      <c r="AB38" s="23" t="s">
        <v>19</v>
      </c>
      <c r="AC38" s="147" t="s">
        <v>8</v>
      </c>
      <c r="AD38" s="23" t="s">
        <v>19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44855</v>
      </c>
      <c r="B39" s="109">
        <v>1600</v>
      </c>
      <c r="C39" s="109"/>
      <c r="D39" s="108" cm="1">
        <f t="array" ref="D39">(SUM(VLOOKUP(I39:AF39,$AM$4:$AO$44,2,FALSE))+AG39*10)*IF(AK39="是",$AZ$4,$AZ$3)</f>
        <v>1624</v>
      </c>
      <c r="E39" s="169">
        <f>SUM($B$4:B39)+SUM($C$4:C39)-SUM($D$4:D39)</f>
        <v>7956</v>
      </c>
      <c r="F39" s="108" cm="1">
        <f t="array" ref="F39">SUM(VLOOKUP(I39:AF39,$AM$4:$AO$44,3,FALSE))</f>
        <v>580</v>
      </c>
      <c r="G39" s="122">
        <f>SUM($F$4:F39)+SUM($H$4:H39)</f>
        <v>21980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23" t="s">
        <v>19</v>
      </c>
      <c r="R39" s="23" t="s">
        <v>19</v>
      </c>
      <c r="S39" s="23" t="s">
        <v>19</v>
      </c>
      <c r="T39" s="23" t="s">
        <v>19</v>
      </c>
      <c r="U39" s="23" t="s">
        <v>19</v>
      </c>
      <c r="V39" s="23" t="s">
        <v>19</v>
      </c>
      <c r="W39" s="110" t="s">
        <v>23</v>
      </c>
      <c r="X39" s="110" t="s">
        <v>23</v>
      </c>
      <c r="Y39" s="23" t="s">
        <v>19</v>
      </c>
      <c r="Z39" s="23" t="s">
        <v>19</v>
      </c>
      <c r="AA39" s="23" t="s">
        <v>19</v>
      </c>
      <c r="AB39" s="23" t="s">
        <v>19</v>
      </c>
      <c r="AC39" s="28" t="s">
        <v>12</v>
      </c>
      <c r="AD39" s="23" t="s">
        <v>19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44856</v>
      </c>
      <c r="B40" s="109">
        <v>1600</v>
      </c>
      <c r="C40" s="109"/>
      <c r="D40" s="108" cm="1">
        <f t="array" ref="D40">(SUM(VLOOKUP(I40:AF40,$AM$4:$AO$44,2,FALSE))+AG40*10)*IF(AK40="是",$AZ$4,$AZ$3)</f>
        <v>1624</v>
      </c>
      <c r="E40" s="169">
        <f>SUM($B$4:B40)+SUM($C$4:C40)-SUM($D$4:D40)</f>
        <v>7932</v>
      </c>
      <c r="F40" s="108" cm="1">
        <f t="array" ref="F40">SUM(VLOOKUP(I40:AF40,$AM$4:$AO$44,3,FALSE))</f>
        <v>580</v>
      </c>
      <c r="G40" s="122">
        <f>SUM($F$4:F40)+SUM($H$4:H40)</f>
        <v>22560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28" t="s">
        <v>12</v>
      </c>
      <c r="R40" s="23" t="s">
        <v>19</v>
      </c>
      <c r="S40" s="23" t="s">
        <v>19</v>
      </c>
      <c r="T40" s="23" t="s">
        <v>19</v>
      </c>
      <c r="U40" s="23" t="s">
        <v>19</v>
      </c>
      <c r="V40" s="23" t="s">
        <v>19</v>
      </c>
      <c r="W40" s="110" t="s">
        <v>23</v>
      </c>
      <c r="X40" s="110" t="s">
        <v>23</v>
      </c>
      <c r="Y40" s="23" t="s">
        <v>19</v>
      </c>
      <c r="Z40" s="23" t="s">
        <v>19</v>
      </c>
      <c r="AA40" s="23" t="s">
        <v>19</v>
      </c>
      <c r="AB40" s="23" t="s">
        <v>19</v>
      </c>
      <c r="AC40" s="23" t="s">
        <v>19</v>
      </c>
      <c r="AD40" s="23" t="s">
        <v>19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44857</v>
      </c>
      <c r="B41" s="109">
        <v>1600</v>
      </c>
      <c r="C41" s="109"/>
      <c r="D41" s="108" cm="1">
        <f t="array" ref="D41">(SUM(VLOOKUP(I41:AF41,$AM$4:$AO$44,2,FALSE))+AG41*10)*IF(AK41="是",$AZ$4,$AZ$3)</f>
        <v>1496</v>
      </c>
      <c r="E41" s="169">
        <f>SUM($B$4:B41)+SUM($C$4:C41)-SUM($D$4:D41)</f>
        <v>8036</v>
      </c>
      <c r="F41" s="108" cm="1">
        <f t="array" ref="F41">SUM(VLOOKUP(I41:AF41,$AM$4:$AO$44,3,FALSE))</f>
        <v>950</v>
      </c>
      <c r="G41" s="122">
        <f>SUM($F$4:F41)+SUM($H$4:H41)</f>
        <v>23510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23" t="s">
        <v>19</v>
      </c>
      <c r="R41" s="23" t="s">
        <v>19</v>
      </c>
      <c r="S41" s="23" t="s">
        <v>19</v>
      </c>
      <c r="T41" s="23" t="s">
        <v>19</v>
      </c>
      <c r="U41" s="23" t="s">
        <v>19</v>
      </c>
      <c r="V41" s="23" t="s">
        <v>19</v>
      </c>
      <c r="W41" s="110" t="s">
        <v>23</v>
      </c>
      <c r="X41" s="110" t="s">
        <v>23</v>
      </c>
      <c r="Y41" s="23" t="s">
        <v>19</v>
      </c>
      <c r="Z41" s="23" t="s">
        <v>19</v>
      </c>
      <c r="AA41" s="23" t="s">
        <v>19</v>
      </c>
      <c r="AB41" s="34" t="s">
        <v>41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44858</v>
      </c>
      <c r="B42" s="108">
        <v>1600</v>
      </c>
      <c r="C42" s="108"/>
      <c r="D42" s="108" cm="1">
        <f t="array" ref="D42">(SUM(VLOOKUP(I42:AF42,$AM$4:$AO$44,2,FALSE))+AG42*10)*IF(AK42="是",$AZ$4,$AZ$3)</f>
        <v>864</v>
      </c>
      <c r="E42" s="169">
        <f>SUM($B$4:B42)+SUM($C$4:C42)-SUM($D$4:D42)</f>
        <v>8772</v>
      </c>
      <c r="F42" s="108" cm="1">
        <f t="array" ref="F42">SUM(VLOOKUP(I42:AF42,$AM$4:$AO$44,3,FALSE))</f>
        <v>300</v>
      </c>
      <c r="G42" s="122">
        <f>SUM($F$4:F42)+SUM($H$4:H42)</f>
        <v>24110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23" t="s">
        <v>19</v>
      </c>
      <c r="R42" s="23" t="s">
        <v>19</v>
      </c>
      <c r="S42" s="23" t="s">
        <v>19</v>
      </c>
      <c r="T42" s="23" t="s">
        <v>19</v>
      </c>
      <c r="U42" s="23" t="s">
        <v>19</v>
      </c>
      <c r="V42" s="23" t="s">
        <v>19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44859</v>
      </c>
      <c r="B43" s="108">
        <v>1600</v>
      </c>
      <c r="C43" s="108"/>
      <c r="D43" s="108" cm="1">
        <f t="array" ref="D43">(SUM(VLOOKUP(I43:AF43,$AM$4:$AO$44,2,FALSE))+AG43*10)*IF(AK43="是",$AZ$4,$AZ$3)</f>
        <v>1688</v>
      </c>
      <c r="E43" s="169">
        <f>SUM($B$4:B43)+SUM($C$4:C43)-SUM($D$4:D43)</f>
        <v>8684</v>
      </c>
      <c r="F43" s="108" cm="1">
        <f t="array" ref="F43">SUM(VLOOKUP(I43:AF43,$AM$4:$AO$44,3,FALSE))</f>
        <v>620</v>
      </c>
      <c r="G43" s="122">
        <f>SUM($F$4:F43)+SUM($H$4:H43)</f>
        <v>24730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23" t="s">
        <v>19</v>
      </c>
      <c r="R43" s="28" t="s">
        <v>12</v>
      </c>
      <c r="S43" s="23" t="s">
        <v>19</v>
      </c>
      <c r="T43" s="23" t="s">
        <v>19</v>
      </c>
      <c r="U43" s="23" t="s">
        <v>19</v>
      </c>
      <c r="V43" s="23" t="s">
        <v>19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5" t="s">
        <v>21</v>
      </c>
      <c r="AB43" s="25" t="s">
        <v>21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44860</v>
      </c>
      <c r="B44" s="108">
        <v>1600</v>
      </c>
      <c r="C44" s="108"/>
      <c r="D44" s="108" cm="1">
        <f t="array" ref="D44">(SUM(VLOOKUP(I44:AF44,$AM$4:$AO$44,2,FALSE))+AG44*10)*IF(AK44="是",$AZ$4,$AZ$3)</f>
        <v>1776</v>
      </c>
      <c r="E44" s="169">
        <f>SUM($B$4:B44)+SUM($C$4:C44)-SUM($D$4:D44)</f>
        <v>8508</v>
      </c>
      <c r="F44" s="108" cm="1">
        <f t="array" ref="F44">SUM(VLOOKUP(I44:AF44,$AM$4:$AO$44,3,FALSE))</f>
        <v>630</v>
      </c>
      <c r="G44" s="122">
        <f>SUM($F$4:F44)+SUM($H$4:H44)</f>
        <v>25560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23" t="s">
        <v>19</v>
      </c>
      <c r="R44" s="23" t="s">
        <v>19</v>
      </c>
      <c r="S44" s="23" t="s">
        <v>19</v>
      </c>
      <c r="T44" s="23" t="s">
        <v>19</v>
      </c>
      <c r="U44" s="23" t="s">
        <v>19</v>
      </c>
      <c r="V44" s="23" t="s">
        <v>19</v>
      </c>
      <c r="W44" s="110" t="s">
        <v>23</v>
      </c>
      <c r="X44" s="110" t="s">
        <v>23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44861</v>
      </c>
      <c r="B45" s="108">
        <v>1600</v>
      </c>
      <c r="C45" s="108"/>
      <c r="D45" s="108" cm="1">
        <f t="array" ref="D45">(SUM(VLOOKUP(I45:AF45,$AM$4:$AO$44,2,FALSE))+AG45*10)*IF(AK45="是",$AZ$4,$AZ$3)</f>
        <v>1520</v>
      </c>
      <c r="E45" s="169">
        <f>SUM($B$4:B45)+SUM($C$4:C45)-SUM($D$4:D45)</f>
        <v>8588</v>
      </c>
      <c r="F45" s="108" cm="1">
        <f t="array" ref="F45">SUM(VLOOKUP(I45:AF45,$AM$4:$AO$44,3,FALSE))</f>
        <v>610</v>
      </c>
      <c r="G45" s="122">
        <f>SUM($F$4:F45)+SUM($H$4:H45)</f>
        <v>26170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9" t="s">
        <v>47</v>
      </c>
      <c r="R45" s="23" t="s">
        <v>19</v>
      </c>
      <c r="S45" s="23" t="s">
        <v>19</v>
      </c>
      <c r="T45" s="23" t="s">
        <v>19</v>
      </c>
      <c r="U45" s="23" t="s">
        <v>19</v>
      </c>
      <c r="V45" s="23" t="s">
        <v>19</v>
      </c>
      <c r="W45" s="110" t="s">
        <v>23</v>
      </c>
      <c r="X45" s="110" t="s">
        <v>23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25" t="s">
        <v>21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44862</v>
      </c>
      <c r="B46" s="108">
        <v>1600</v>
      </c>
      <c r="C46" s="108"/>
      <c r="D46" s="108" cm="1">
        <f t="array" ref="D46">(SUM(VLOOKUP(I46:AF46,$AM$4:$AO$44,2,FALSE))+AG46*10)*IF(AK46="是",$AZ$4,$AZ$3)</f>
        <v>1864</v>
      </c>
      <c r="E46" s="169">
        <f>SUM($B$4:B46)+SUM($C$4:C46)-SUM($D$4:D46)</f>
        <v>8324</v>
      </c>
      <c r="F46" s="108" cm="1">
        <f t="array" ref="F46">SUM(VLOOKUP(I46:AF46,$AM$4:$AO$44,3,FALSE))</f>
        <v>1100</v>
      </c>
      <c r="G46" s="122">
        <f>SUM($F$4:F46)+SUM($H$4:H46)</f>
        <v>27270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23" t="s">
        <v>19</v>
      </c>
      <c r="R46" s="23" t="s">
        <v>19</v>
      </c>
      <c r="S46" s="23" t="s">
        <v>19</v>
      </c>
      <c r="T46" s="23" t="s">
        <v>19</v>
      </c>
      <c r="U46" s="34" t="s">
        <v>41</v>
      </c>
      <c r="V46" s="24" t="s">
        <v>20</v>
      </c>
      <c r="W46" s="110" t="s">
        <v>23</v>
      </c>
      <c r="X46" s="110" t="s">
        <v>23</v>
      </c>
      <c r="Y46" s="25" t="s">
        <v>21</v>
      </c>
      <c r="Z46" s="24" t="s">
        <v>20</v>
      </c>
      <c r="AA46" s="24" t="s">
        <v>20</v>
      </c>
      <c r="AB46" s="24" t="s">
        <v>20</v>
      </c>
      <c r="AC46" s="25" t="s">
        <v>21</v>
      </c>
      <c r="AD46" s="25" t="s">
        <v>21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44863</v>
      </c>
      <c r="B47" s="108">
        <v>1600</v>
      </c>
      <c r="C47" s="108"/>
      <c r="D47" s="108" cm="1">
        <f t="array" ref="D47">(SUM(VLOOKUP(I47:AF47,$AM$4:$AO$44,2,FALSE))+AG47*10)*IF(AK47="是",$AZ$4,$AZ$3)</f>
        <v>928</v>
      </c>
      <c r="E47" s="169">
        <f>SUM($B$4:B47)+SUM($C$4:C47)-SUM($D$4:D47)</f>
        <v>8996</v>
      </c>
      <c r="F47" s="108" cm="1">
        <f t="array" ref="F47">SUM(VLOOKUP(I47:AF47,$AM$4:$AO$44,3,FALSE))</f>
        <v>400</v>
      </c>
      <c r="G47" s="122">
        <f>SUM($F$4:F47)+SUM($H$4:H47)</f>
        <v>27670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24" t="s">
        <v>20</v>
      </c>
      <c r="R47" s="23" t="s">
        <v>19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5" t="s">
        <v>21</v>
      </c>
      <c r="AA47" s="25" t="s">
        <v>21</v>
      </c>
      <c r="AB47" s="29" t="s">
        <v>47</v>
      </c>
      <c r="AC47" s="25" t="s">
        <v>21</v>
      </c>
      <c r="AD47" s="25" t="s">
        <v>21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44864</v>
      </c>
      <c r="B48" s="108">
        <v>1600</v>
      </c>
      <c r="C48" s="108"/>
      <c r="D48" s="108" cm="1">
        <f t="array" ref="D48">(SUM(VLOOKUP(I48:AF48,$AM$4:$AO$44,2,FALSE))+AG48*10)*IF(AK48="是",$AZ$4,$AZ$3)</f>
        <v>936</v>
      </c>
      <c r="E48" s="169">
        <f>SUM($B$4:B48)+SUM($C$4:C48)-SUM($D$4:D48)</f>
        <v>9660</v>
      </c>
      <c r="F48" s="108" cm="1">
        <f t="array" ref="F48">SUM(VLOOKUP(I48:AF48,$AM$4:$AO$44,3,FALSE))</f>
        <v>345</v>
      </c>
      <c r="G48" s="122">
        <f>SUM($F$4:F48)+SUM($H$4:H48)</f>
        <v>28015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4" t="s">
        <v>20</v>
      </c>
      <c r="Z48" s="25" t="s">
        <v>21</v>
      </c>
      <c r="AA48" s="25" t="s">
        <v>21</v>
      </c>
      <c r="AB48" s="25" t="s">
        <v>21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44865</v>
      </c>
      <c r="B49" s="109">
        <v>1600</v>
      </c>
      <c r="C49" s="109"/>
      <c r="D49" s="108" cm="1">
        <f t="array" ref="D49">(SUM(VLOOKUP(I49:AF49,$AM$4:$AO$44,2,FALSE))+AG49*10)*IF(AK49="是",$AZ$4,$AZ$3)</f>
        <v>1848</v>
      </c>
      <c r="E49" s="169">
        <f>SUM($B$4:B49)+SUM($C$4:C49)-SUM($D$4:D49)</f>
        <v>9412</v>
      </c>
      <c r="F49" s="108" cm="1">
        <f t="array" ref="F49">SUM(VLOOKUP(I49:AF49,$AM$4:$AO$44,3,FALSE))</f>
        <v>675</v>
      </c>
      <c r="G49" s="122">
        <f>SUM($F$4:F49)+SUM($H$4:H49)</f>
        <v>28890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24" t="s">
        <v>20</v>
      </c>
      <c r="R49" s="24" t="s">
        <v>20</v>
      </c>
      <c r="S49" s="24" t="s">
        <v>20</v>
      </c>
      <c r="T49" s="24" t="s">
        <v>20</v>
      </c>
      <c r="U49" s="24" t="s">
        <v>20</v>
      </c>
      <c r="V49" s="24" t="s">
        <v>20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5" t="s">
        <v>21</v>
      </c>
      <c r="AC49" s="25" t="s">
        <v>21</v>
      </c>
      <c r="AD49" s="25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44866</v>
      </c>
      <c r="B50" s="109">
        <v>1600</v>
      </c>
      <c r="C50" s="109"/>
      <c r="D50" s="108" cm="1">
        <f t="array" ref="D50">(SUM(VLOOKUP(I50:AF50,$AM$4:$AO$44,2,FALSE))+AG50*10)*IF(AK50="是",$AZ$4,$AZ$3)</f>
        <v>1920</v>
      </c>
      <c r="E50" s="169">
        <f>SUM($B$4:B50)+SUM($C$4:C50)-SUM($D$4:D50)</f>
        <v>9092</v>
      </c>
      <c r="F50" s="108" cm="1">
        <f t="array" ref="F50">SUM(VLOOKUP(I50:AF50,$AM$4:$AO$44,3,FALSE))</f>
        <v>720</v>
      </c>
      <c r="G50" s="122">
        <f>SUM($F$4:F50)+SUM($H$4:H50)</f>
        <v>29710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44867</v>
      </c>
      <c r="B51" s="109">
        <v>1600</v>
      </c>
      <c r="C51" s="109"/>
      <c r="D51" s="108" cm="1">
        <f t="array" ref="D51">(SUM(VLOOKUP(I51:AF51,$AM$4:$AO$44,2,FALSE))+AG51*10)*IF(AK51="是",$AZ$4,$AZ$3)</f>
        <v>1920</v>
      </c>
      <c r="E51" s="169">
        <f>SUM($B$4:B51)+SUM($C$4:C51)-SUM($D$4:D51)</f>
        <v>8772</v>
      </c>
      <c r="F51" s="108" cm="1">
        <f t="array" ref="F51">SUM(VLOOKUP(I51:AF51,$AM$4:$AO$44,3,FALSE))</f>
        <v>720</v>
      </c>
      <c r="G51" s="122">
        <f>SUM($F$4:F51)+SUM($H$4:H51)</f>
        <v>30630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0" t="s">
        <v>23</v>
      </c>
      <c r="X51" s="110" t="s">
        <v>23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44868</v>
      </c>
      <c r="B52" s="109">
        <v>1600</v>
      </c>
      <c r="C52" s="109"/>
      <c r="D52" s="108" cm="1">
        <f t="array" ref="D52">(SUM(VLOOKUP(I52:AF52,$AM$4:$AO$44,2,FALSE))+AG52*10)*IF(AK52="是",$AZ$4,$AZ$3)</f>
        <v>1600</v>
      </c>
      <c r="E52" s="169">
        <f>SUM($B$4:B52)+SUM($C$4:C52)-SUM($D$4:D52)</f>
        <v>8772</v>
      </c>
      <c r="F52" s="108" cm="1">
        <f t="array" ref="F52">SUM(VLOOKUP(I52:AF52,$AM$4:$AO$44,3,FALSE))</f>
        <v>660</v>
      </c>
      <c r="G52" s="122">
        <f>SUM($F$4:F52)+SUM($H$4:H52)</f>
        <v>31290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  <c r="W52" s="110" t="s">
        <v>23</v>
      </c>
      <c r="X52" s="110" t="s">
        <v>23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29" t="s">
        <v>47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44869</v>
      </c>
      <c r="B53" s="109">
        <v>1600</v>
      </c>
      <c r="C53" s="109"/>
      <c r="D53" s="108" cm="1">
        <f t="array" ref="D53">(SUM(VLOOKUP(I53:AF53,$AM$4:$AO$44,2,FALSE))+AG53*10)*IF(AK53="是",$AZ$4,$AZ$3)</f>
        <v>1920</v>
      </c>
      <c r="E53" s="169">
        <f>SUM($B$4:B53)+SUM($C$4:C53)-SUM($D$4:D53)</f>
        <v>8452</v>
      </c>
      <c r="F53" s="108" cm="1">
        <f t="array" ref="F53">SUM(VLOOKUP(I53:AF53,$AM$4:$AO$44,3,FALSE))</f>
        <v>720</v>
      </c>
      <c r="G53" s="122">
        <f>SUM($F$4:F53)+SUM($H$4:H53)</f>
        <v>32010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44870</v>
      </c>
      <c r="B54" s="109">
        <v>1600</v>
      </c>
      <c r="C54" s="109"/>
      <c r="D54" s="108" cm="1">
        <f t="array" ref="D54">(SUM(VLOOKUP(I54:AF54,$AM$4:$AO$44,2,FALSE))+AG54*10)*IF(AK54="是",$AZ$4,$AZ$3)</f>
        <v>1912</v>
      </c>
      <c r="E54" s="169">
        <f>SUM($B$4:B54)+SUM($C$4:C54)-SUM($D$4:D54)</f>
        <v>8140</v>
      </c>
      <c r="F54" s="108" cm="1">
        <f t="array" ref="F54">SUM(VLOOKUP(I54:AF54,$AM$4:$AO$44,3,FALSE))</f>
        <v>715</v>
      </c>
      <c r="G54" s="122">
        <f>SUM($F$4:F54)+SUM($H$4:H54)</f>
        <v>32725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5" t="s">
        <v>21</v>
      </c>
      <c r="U54" s="25" t="s">
        <v>21</v>
      </c>
      <c r="V54" s="24" t="s">
        <v>20</v>
      </c>
      <c r="W54" s="110" t="s">
        <v>23</v>
      </c>
      <c r="X54" s="110" t="s">
        <v>23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44871</v>
      </c>
      <c r="B55" s="109">
        <v>1600</v>
      </c>
      <c r="C55" s="109"/>
      <c r="D55" s="108" cm="1">
        <f t="array" ref="D55">(SUM(VLOOKUP(I55:AF55,$AM$4:$AO$44,2,FALSE))+AG55*10)*IF(AK55="是",$AZ$4,$AZ$3)</f>
        <v>1560</v>
      </c>
      <c r="E55" s="169">
        <f>SUM($B$4:B55)+SUM($C$4:C55)-SUM($D$4:D55)</f>
        <v>8180</v>
      </c>
      <c r="F55" s="108" cm="1">
        <f t="array" ref="F55">SUM(VLOOKUP(I55:AF55,$AM$4:$AO$44,3,FALSE))</f>
        <v>635</v>
      </c>
      <c r="G55" s="122">
        <f>SUM($F$4:F55)+SUM($H$4:H55)</f>
        <v>33360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24" t="s">
        <v>20</v>
      </c>
      <c r="R55" s="24" t="s">
        <v>20</v>
      </c>
      <c r="S55" s="29" t="s">
        <v>47</v>
      </c>
      <c r="T55" s="24" t="s">
        <v>20</v>
      </c>
      <c r="U55" s="24" t="s">
        <v>20</v>
      </c>
      <c r="V55" s="24" t="s">
        <v>20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25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44872</v>
      </c>
      <c r="B56" s="108">
        <v>1600</v>
      </c>
      <c r="C56" s="108"/>
      <c r="D56" s="108" cm="1">
        <f t="array" ref="D56">(SUM(VLOOKUP(I56:AF56,$AM$4:$AO$44,2,FALSE))+AG56*10)*IF(AK56="是",$AZ$4,$AZ$3)</f>
        <v>1888</v>
      </c>
      <c r="E56" s="169">
        <f>SUM($B$4:B56)+SUM($C$4:C56)-SUM($D$4:D56)</f>
        <v>7892</v>
      </c>
      <c r="F56" s="108" cm="1">
        <f t="array" ref="F56">SUM(VLOOKUP(I56:AF56,$AM$4:$AO$44,3,FALSE))</f>
        <v>700</v>
      </c>
      <c r="G56" s="122">
        <f>SUM($F$4:F56)+SUM($H$4:H56)</f>
        <v>34360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24" t="s">
        <v>20</v>
      </c>
      <c r="R56" s="24" t="s">
        <v>20</v>
      </c>
      <c r="S56" s="24" t="s">
        <v>20</v>
      </c>
      <c r="T56" s="24" t="s">
        <v>20</v>
      </c>
      <c r="U56" s="25" t="s">
        <v>21</v>
      </c>
      <c r="V56" s="25" t="s">
        <v>21</v>
      </c>
      <c r="W56" s="110" t="s">
        <v>23</v>
      </c>
      <c r="X56" s="110" t="s">
        <v>23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44873</v>
      </c>
      <c r="B57" s="108">
        <v>1600</v>
      </c>
      <c r="C57" s="108"/>
      <c r="D57" s="108" cm="1">
        <f t="array" ref="D57">(SUM(VLOOKUP(I57:AF57,$AM$4:$AO$44,2,FALSE))+AG57*10)*IF(AK57="是",$AZ$4,$AZ$3)</f>
        <v>1920</v>
      </c>
      <c r="E57" s="169">
        <f>SUM($B$4:B57)+SUM($C$4:C57)-SUM($D$4:D57)</f>
        <v>7572</v>
      </c>
      <c r="F57" s="108" cm="1">
        <f t="array" ref="F57">SUM(VLOOKUP(I57:AF57,$AM$4:$AO$44,3,FALSE))</f>
        <v>720</v>
      </c>
      <c r="G57" s="122">
        <f>SUM($F$4:F57)+SUM($H$4:H57)</f>
        <v>35080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44874</v>
      </c>
      <c r="B58" s="108">
        <v>1600</v>
      </c>
      <c r="C58" s="108"/>
      <c r="D58" s="108" cm="1">
        <f t="array" ref="D58">(SUM(VLOOKUP(I58:AF58,$AM$4:$AO$44,2,FALSE))+AG58*10)*IF(AK58="是",$AZ$4,$AZ$3)</f>
        <v>1904</v>
      </c>
      <c r="E58" s="169">
        <f>SUM($B$4:B58)+SUM($C$4:C58)-SUM($D$4:D58)</f>
        <v>7268</v>
      </c>
      <c r="F58" s="108" cm="1">
        <f t="array" ref="F58">SUM(VLOOKUP(I58:AF58,$AM$4:$AO$44,3,FALSE))</f>
        <v>710</v>
      </c>
      <c r="G58" s="122">
        <f>SUM($F$4:F58)+SUM($H$4:H58)</f>
        <v>35990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5" t="s">
        <v>21</v>
      </c>
      <c r="R58" s="25" t="s">
        <v>21</v>
      </c>
      <c r="S58" s="24" t="s">
        <v>20</v>
      </c>
      <c r="T58" s="24" t="s">
        <v>20</v>
      </c>
      <c r="U58" s="25" t="s">
        <v>21</v>
      </c>
      <c r="V58" s="25" t="s">
        <v>21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44875</v>
      </c>
      <c r="B59" s="108">
        <v>1600</v>
      </c>
      <c r="C59" s="108"/>
      <c r="D59" s="108" cm="1">
        <f t="array" ref="D59">(SUM(VLOOKUP(I59:AF59,$AM$4:$AO$44,2,FALSE))+AG59*10)*IF(AK59="是",$AZ$4,$AZ$3)</f>
        <v>1592</v>
      </c>
      <c r="E59" s="169">
        <f>SUM($B$4:B59)+SUM($C$4:C59)-SUM($D$4:D59)</f>
        <v>7276</v>
      </c>
      <c r="F59" s="108" cm="1">
        <f t="array" ref="F59">SUM(VLOOKUP(I59:AF59,$AM$4:$AO$44,3,FALSE))</f>
        <v>655</v>
      </c>
      <c r="G59" s="122">
        <f>SUM($F$4:F59)+SUM($H$4:H59)</f>
        <v>36645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9" t="s">
        <v>47</v>
      </c>
      <c r="S59" s="25" t="s">
        <v>21</v>
      </c>
      <c r="T59" s="25" t="s">
        <v>21</v>
      </c>
      <c r="U59" s="25" t="s">
        <v>21</v>
      </c>
      <c r="V59" s="24" t="s">
        <v>20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44876</v>
      </c>
      <c r="B60" s="108">
        <v>1600</v>
      </c>
      <c r="C60" s="108"/>
      <c r="D60" s="108" cm="1">
        <f t="array" ref="D60">(SUM(VLOOKUP(I60:AF60,$AM$4:$AO$44,2,FALSE))+AG60*10)*IF(AK60="是",$AZ$4,$AZ$3)</f>
        <v>1840</v>
      </c>
      <c r="E60" s="169">
        <f>SUM($B$4:B60)+SUM($C$4:C60)-SUM($D$4:D60)</f>
        <v>7036</v>
      </c>
      <c r="F60" s="108" cm="1">
        <f t="array" ref="F60">SUM(VLOOKUP(I60:AF60,$AM$4:$AO$44,3,FALSE))</f>
        <v>690</v>
      </c>
      <c r="G60" s="122">
        <f>SUM($F$4:F60)+SUM($H$4:H60)</f>
        <v>37335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4" t="s">
        <v>20</v>
      </c>
      <c r="R60" s="148" t="s">
        <v>9</v>
      </c>
      <c r="S60" s="24" t="s">
        <v>20</v>
      </c>
      <c r="T60" s="24" t="s">
        <v>20</v>
      </c>
      <c r="U60" s="24" t="s">
        <v>20</v>
      </c>
      <c r="V60" s="24" t="s">
        <v>20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44877</v>
      </c>
      <c r="B61" s="108">
        <v>1600</v>
      </c>
      <c r="C61" s="108"/>
      <c r="D61" s="108" cm="1">
        <f t="array" ref="D61">(SUM(VLOOKUP(I61:AF61,$AM$4:$AO$44,2,FALSE))+AG61*10)*IF(AK61="是",$AZ$4,$AZ$3)</f>
        <v>1760</v>
      </c>
      <c r="E61" s="169">
        <f>SUM($B$4:B61)+SUM($C$4:C61)-SUM($D$4:D61)</f>
        <v>6876</v>
      </c>
      <c r="F61" s="108" cm="1">
        <f t="array" ref="F61">SUM(VLOOKUP(I61:AF61,$AM$4:$AO$44,3,FALSE))</f>
        <v>1155</v>
      </c>
      <c r="G61" s="122">
        <f>SUM($F$4:F61)+SUM($H$4:H61)</f>
        <v>38490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24" t="s">
        <v>20</v>
      </c>
      <c r="R61" s="24" t="s">
        <v>20</v>
      </c>
      <c r="S61" s="24" t="s">
        <v>20</v>
      </c>
      <c r="T61" s="124" t="s">
        <v>87</v>
      </c>
      <c r="U61" s="24" t="s">
        <v>20</v>
      </c>
      <c r="V61" s="24" t="s">
        <v>20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44878</v>
      </c>
      <c r="B62" s="108">
        <v>1600</v>
      </c>
      <c r="C62" s="108"/>
      <c r="D62" s="108" cm="1">
        <f t="array" ref="D62">(SUM(VLOOKUP(I62:AF62,$AM$4:$AO$44,2,FALSE))+AG62*10)*IF(AK62="是",$AZ$4,$AZ$3)</f>
        <v>1872</v>
      </c>
      <c r="E62" s="169">
        <f>SUM($B$4:B62)+SUM($C$4:C62)-SUM($D$4:D62)</f>
        <v>6604</v>
      </c>
      <c r="F62" s="108" cm="1">
        <f t="array" ref="F62">SUM(VLOOKUP(I62:AF62,$AM$4:$AO$44,3,FALSE))</f>
        <v>690</v>
      </c>
      <c r="G62" s="122">
        <f>SUM($F$4:F62)+SUM($H$4:H62)</f>
        <v>39180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24" t="s">
        <v>20</v>
      </c>
      <c r="R62" s="24" t="s">
        <v>20</v>
      </c>
      <c r="S62" s="24" t="s">
        <v>20</v>
      </c>
      <c r="T62" s="24" t="s">
        <v>20</v>
      </c>
      <c r="U62" s="24" t="s">
        <v>20</v>
      </c>
      <c r="V62" s="24" t="s">
        <v>20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44879</v>
      </c>
      <c r="B63" s="109">
        <v>1600</v>
      </c>
      <c r="C63" s="109"/>
      <c r="D63" s="108" cm="1">
        <f t="array" ref="D63">(SUM(VLOOKUP(I63:AF63,$AM$4:$AO$44,2,FALSE))+AG63*10)*IF(AK63="是",$AZ$4,$AZ$3)</f>
        <v>1872</v>
      </c>
      <c r="E63" s="169">
        <f>SUM($B$4:B63)+SUM($C$4:C63)-SUM($D$4:D63)</f>
        <v>6332</v>
      </c>
      <c r="F63" s="108" cm="1">
        <f t="array" ref="F63">SUM(VLOOKUP(I63:AF63,$AM$4:$AO$44,3,FALSE))</f>
        <v>690</v>
      </c>
      <c r="G63" s="122">
        <f>SUM($F$4:F63)+SUM($H$4:H63)</f>
        <v>40170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24" t="s">
        <v>20</v>
      </c>
      <c r="R63" s="24" t="s">
        <v>20</v>
      </c>
      <c r="S63" s="24" t="s">
        <v>20</v>
      </c>
      <c r="T63" s="24" t="s">
        <v>20</v>
      </c>
      <c r="U63" s="24" t="s">
        <v>20</v>
      </c>
      <c r="V63" s="24" t="s">
        <v>20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44880</v>
      </c>
      <c r="B64" s="109">
        <v>1600</v>
      </c>
      <c r="C64" s="109"/>
      <c r="D64" s="108" cm="1">
        <f t="array" ref="D64">(SUM(VLOOKUP(I64:AF64,$AM$4:$AO$44,2,FALSE))+AG64*10)*IF(AK64="是",$AZ$4,$AZ$3)</f>
        <v>1872</v>
      </c>
      <c r="E64" s="169">
        <f>SUM($B$4:B64)+SUM($C$4:C64)-SUM($D$4:D64)</f>
        <v>6060</v>
      </c>
      <c r="F64" s="108" cm="1">
        <f t="array" ref="F64">SUM(VLOOKUP(I64:AF64,$AM$4:$AO$44,3,FALSE))</f>
        <v>690</v>
      </c>
      <c r="G64" s="122">
        <f>SUM($F$4:F64)+SUM($H$4:H64)</f>
        <v>40860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44881</v>
      </c>
      <c r="B65" s="109">
        <v>1600</v>
      </c>
      <c r="C65" s="109"/>
      <c r="D65" s="108" cm="1">
        <f t="array" ref="D65">(SUM(VLOOKUP(I65:AF65,$AM$4:$AO$44,2,FALSE))+AG65*10)*IF(AK65="是",$AZ$4,$AZ$3)</f>
        <v>1904</v>
      </c>
      <c r="E65" s="169">
        <f>SUM($B$4:B65)+SUM($C$4:C65)-SUM($D$4:D65)</f>
        <v>5756</v>
      </c>
      <c r="F65" s="108" cm="1">
        <f t="array" ref="F65">SUM(VLOOKUP(I65:AF65,$AM$4:$AO$44,3,FALSE))</f>
        <v>710</v>
      </c>
      <c r="G65" s="122">
        <f>SUM($F$4:F65)+SUM($H$4:H65)</f>
        <v>41770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25" t="s">
        <v>21</v>
      </c>
      <c r="R65" s="25" t="s">
        <v>21</v>
      </c>
      <c r="S65" s="25" t="s">
        <v>21</v>
      </c>
      <c r="T65" s="24" t="s">
        <v>20</v>
      </c>
      <c r="U65" s="24" t="s">
        <v>20</v>
      </c>
      <c r="V65" s="25" t="s">
        <v>21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44882</v>
      </c>
      <c r="B66" s="109">
        <v>1600</v>
      </c>
      <c r="C66" s="109"/>
      <c r="D66" s="108" cm="1">
        <f t="array" ref="D66">(SUM(VLOOKUP(I66:AF66,$AM$4:$AO$44,2,FALSE))+AG66*10)*IF(AK66="是",$AZ$4,$AZ$3)</f>
        <v>1784</v>
      </c>
      <c r="E66" s="169">
        <f>SUM($B$4:B66)+SUM($C$4:C66)-SUM($D$4:D66)</f>
        <v>5572</v>
      </c>
      <c r="F66" s="108" cm="1">
        <f t="array" ref="F66">SUM(VLOOKUP(I66:AF66,$AM$4:$AO$44,3,FALSE))</f>
        <v>680</v>
      </c>
      <c r="G66" s="122">
        <f>SUM($F$4:F66)+SUM($H$4:H66)</f>
        <v>42450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25" t="s">
        <v>21</v>
      </c>
      <c r="R66" s="25" t="s">
        <v>21</v>
      </c>
      <c r="S66" s="25" t="s">
        <v>21</v>
      </c>
      <c r="T66" s="24" t="s">
        <v>20</v>
      </c>
      <c r="U66" s="24" t="s">
        <v>20</v>
      </c>
      <c r="V66" s="28" t="s">
        <v>12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44883</v>
      </c>
      <c r="B67" s="109">
        <v>1600</v>
      </c>
      <c r="C67" s="109"/>
      <c r="D67" s="108" cm="1">
        <f t="array" ref="D67">(SUM(VLOOKUP(I67:AF67,$AM$4:$AO$44,2,FALSE))+AG67*10)*IF(AK67="是",$AZ$4,$AZ$3)</f>
        <v>1240</v>
      </c>
      <c r="E67" s="169">
        <f>SUM($B$4:B67)+SUM($C$4:C67)-SUM($D$4:D67)</f>
        <v>5932</v>
      </c>
      <c r="F67" s="108" cm="1">
        <f t="array" ref="F67">SUM(VLOOKUP(I67:AF67,$AM$4:$AO$44,3,FALSE))</f>
        <v>455</v>
      </c>
      <c r="G67" s="122">
        <f>SUM($F$4:F67)+SUM($H$4:H67)</f>
        <v>42905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24" t="s">
        <v>20</v>
      </c>
      <c r="R67" s="24" t="s">
        <v>20</v>
      </c>
      <c r="S67" s="24" t="s">
        <v>20</v>
      </c>
      <c r="T67" s="24" t="s">
        <v>20</v>
      </c>
      <c r="U67" s="24" t="s">
        <v>20</v>
      </c>
      <c r="V67" s="25" t="s">
        <v>21</v>
      </c>
      <c r="W67" s="25" t="s">
        <v>21</v>
      </c>
      <c r="X67" s="110" t="s">
        <v>23</v>
      </c>
      <c r="Y67" s="25" t="s">
        <v>21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44884</v>
      </c>
      <c r="B68" s="109">
        <v>1600</v>
      </c>
      <c r="C68" s="109"/>
      <c r="D68" s="108" cm="1">
        <f t="array" ref="D68">(SUM(VLOOKUP(I68:AF68,$AM$4:$AO$44,2,FALSE))+AG68*10)*IF(AK68="是",$AZ$4,$AZ$3)</f>
        <v>992</v>
      </c>
      <c r="E68" s="169">
        <f>SUM($B$4:B68)+SUM($C$4:C68)-SUM($D$4:D68)</f>
        <v>6540</v>
      </c>
      <c r="F68" s="108" cm="1">
        <f t="array" ref="F68">SUM(VLOOKUP(I68:AF68,$AM$4:$AO$44,3,FALSE))</f>
        <v>1295</v>
      </c>
      <c r="G68" s="122">
        <f>SUM($F$4:F68)+SUM($H$4:H68)</f>
        <v>44200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25" t="s">
        <v>21</v>
      </c>
      <c r="R68" s="32" t="s">
        <v>15</v>
      </c>
      <c r="S68" s="25" t="s">
        <v>21</v>
      </c>
      <c r="T68" s="25" t="s">
        <v>21</v>
      </c>
      <c r="U68" s="25" t="s">
        <v>21</v>
      </c>
      <c r="V68" s="24" t="s">
        <v>20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44885</v>
      </c>
      <c r="B69" s="109">
        <v>1600</v>
      </c>
      <c r="C69" s="109"/>
      <c r="D69" s="108" cm="1">
        <f t="array" ref="D69">(SUM(VLOOKUP(I69:AF69,$AM$4:$AO$44,2,FALSE))+AG69*10)*IF(AK69="是",$AZ$4,$AZ$3)</f>
        <v>1872</v>
      </c>
      <c r="E69" s="169">
        <f>SUM($B$4:B69)+SUM($C$4:C69)-SUM($D$4:D69)</f>
        <v>6268</v>
      </c>
      <c r="F69" s="108" cm="1">
        <f t="array" ref="F69">SUM(VLOOKUP(I69:AF69,$AM$4:$AO$44,3,FALSE))</f>
        <v>1605</v>
      </c>
      <c r="G69" s="122">
        <f>SUM($F$4:F69)+SUM($H$4:H69)</f>
        <v>45805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24" t="s">
        <v>20</v>
      </c>
      <c r="R69" s="24" t="s">
        <v>20</v>
      </c>
      <c r="S69" s="24" t="s">
        <v>20</v>
      </c>
      <c r="T69" s="24" t="s">
        <v>20</v>
      </c>
      <c r="U69" s="24" t="s">
        <v>20</v>
      </c>
      <c r="V69" s="24" t="s">
        <v>20</v>
      </c>
      <c r="W69" s="110" t="s">
        <v>23</v>
      </c>
      <c r="X69" s="110" t="s">
        <v>23</v>
      </c>
      <c r="Y69" s="32" t="s">
        <v>15</v>
      </c>
      <c r="Z69" s="24" t="s">
        <v>20</v>
      </c>
      <c r="AA69" s="24" t="s">
        <v>20</v>
      </c>
      <c r="AB69" s="24" t="s">
        <v>20</v>
      </c>
      <c r="AC69" s="24" t="s">
        <v>20</v>
      </c>
      <c r="AD69" s="24" t="s">
        <v>20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44886</v>
      </c>
      <c r="B70" s="108">
        <v>1600</v>
      </c>
      <c r="C70" s="108"/>
      <c r="D70" s="108" cm="1">
        <f t="array" ref="D70">(SUM(VLOOKUP(I70:AF70,$AM$4:$AO$44,2,FALSE))+AG70*10)*IF(AK70="是",$AZ$4,$AZ$3)</f>
        <v>1824</v>
      </c>
      <c r="E70" s="169">
        <f>SUM($B$4:B70)+SUM($C$4:C70)-SUM($D$4:D70)</f>
        <v>6044</v>
      </c>
      <c r="F70" s="108" cm="1">
        <f t="array" ref="F70">SUM(VLOOKUP(I70:AF70,$AM$4:$AO$44,3,FALSE))</f>
        <v>660</v>
      </c>
      <c r="G70" s="122">
        <f>SUM($F$4:F70)+SUM($H$4:H70)</f>
        <v>46765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24" t="s">
        <v>20</v>
      </c>
      <c r="W70" s="110" t="s">
        <v>23</v>
      </c>
      <c r="X70" s="110" t="s">
        <v>23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24" t="s">
        <v>20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44887</v>
      </c>
      <c r="B71" s="108">
        <v>1600</v>
      </c>
      <c r="C71" s="108"/>
      <c r="D71" s="108" cm="1">
        <f t="array" ref="D71">(SUM(VLOOKUP(I71:AF71,$AM$4:$AO$44,2,FALSE))+AG71*10)*IF(AK71="是",$AZ$4,$AZ$3)</f>
        <v>1792</v>
      </c>
      <c r="E71" s="169">
        <f>SUM($B$4:B71)+SUM($C$4:C71)-SUM($D$4:D71)</f>
        <v>5852</v>
      </c>
      <c r="F71" s="108" cm="1">
        <f t="array" ref="F71">SUM(VLOOKUP(I71:AF71,$AM$4:$AO$44,3,FALSE))</f>
        <v>655</v>
      </c>
      <c r="G71" s="122">
        <f>SUM($F$4:F71)+SUM($H$4:H71)</f>
        <v>47420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24" t="s">
        <v>20</v>
      </c>
      <c r="R71" s="24" t="s">
        <v>20</v>
      </c>
      <c r="S71" s="24" t="s">
        <v>20</v>
      </c>
      <c r="T71" s="24" t="s">
        <v>20</v>
      </c>
      <c r="U71" s="24" t="s">
        <v>20</v>
      </c>
      <c r="V71" s="24" t="s">
        <v>20</v>
      </c>
      <c r="W71" s="110" t="s">
        <v>23</v>
      </c>
      <c r="X71" s="110" t="s">
        <v>23</v>
      </c>
      <c r="Y71" s="24" t="s">
        <v>20</v>
      </c>
      <c r="Z71" s="24" t="s">
        <v>20</v>
      </c>
      <c r="AA71" s="24" t="s">
        <v>20</v>
      </c>
      <c r="AB71" s="147" t="s">
        <v>8</v>
      </c>
      <c r="AC71" s="24" t="s">
        <v>20</v>
      </c>
      <c r="AD71" s="24" t="s">
        <v>20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44888</v>
      </c>
      <c r="B72" s="108">
        <v>1600</v>
      </c>
      <c r="C72" s="108"/>
      <c r="D72" s="108" cm="1">
        <f t="array" ref="D72">(SUM(VLOOKUP(I72:AF72,$AM$4:$AO$44,2,FALSE))+AG72*10)*IF(AK72="是",$AZ$4,$AZ$3)</f>
        <v>2528</v>
      </c>
      <c r="E72" s="169">
        <f>SUM($B$4:B72)+SUM($C$4:C72)-SUM($D$4:D72)</f>
        <v>4924</v>
      </c>
      <c r="F72" s="108" cm="1">
        <f t="array" ref="F72">SUM(VLOOKUP(I72:AF72,$AM$4:$AO$44,3,FALSE))</f>
        <v>905</v>
      </c>
      <c r="G72" s="122">
        <f>SUM($F$4:F72)+SUM($H$4:H72)</f>
        <v>48525</v>
      </c>
      <c r="H72" s="108">
        <v>200</v>
      </c>
      <c r="I72" s="22" t="s">
        <v>18</v>
      </c>
      <c r="J72" s="22" t="s">
        <v>18</v>
      </c>
      <c r="K72" s="22" t="s">
        <v>18</v>
      </c>
      <c r="L72" s="22" t="s">
        <v>18</v>
      </c>
      <c r="M72" s="22" t="s">
        <v>18</v>
      </c>
      <c r="N72" s="22" t="s">
        <v>18</v>
      </c>
      <c r="O72" s="110" t="s">
        <v>23</v>
      </c>
      <c r="P72" s="110" t="s">
        <v>23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24" t="s">
        <v>20</v>
      </c>
      <c r="W72" s="110" t="s">
        <v>23</v>
      </c>
      <c r="X72" s="110" t="s">
        <v>23</v>
      </c>
      <c r="Y72" s="28" t="s">
        <v>12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24" t="s">
        <v>20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44889</v>
      </c>
      <c r="B73" s="108">
        <v>1600</v>
      </c>
      <c r="C73" s="108"/>
      <c r="D73" s="108" cm="1">
        <f t="array" ref="D73">(SUM(VLOOKUP(I73:AF73,$AM$4:$AO$44,2,FALSE))+AG73*10)*IF(AK73="是",$AZ$4,$AZ$3)</f>
        <v>2312</v>
      </c>
      <c r="E73" s="169">
        <f>SUM($B$4:B73)+SUM($C$4:C73)-SUM($D$4:D73)</f>
        <v>4212</v>
      </c>
      <c r="F73" s="108" cm="1">
        <f t="array" ref="F73">SUM(VLOOKUP(I73:AF73,$AM$4:$AO$44,3,FALSE))</f>
        <v>865</v>
      </c>
      <c r="G73" s="122">
        <f>SUM($F$4:F73)+SUM($H$4:H73)</f>
        <v>49390</v>
      </c>
      <c r="H73" s="108">
        <v>0</v>
      </c>
      <c r="I73" s="22" t="s">
        <v>18</v>
      </c>
      <c r="J73" s="22" t="s">
        <v>18</v>
      </c>
      <c r="K73" s="22" t="s">
        <v>18</v>
      </c>
      <c r="L73" s="22" t="s">
        <v>18</v>
      </c>
      <c r="M73" s="22" t="s">
        <v>18</v>
      </c>
      <c r="N73" s="22" t="s">
        <v>18</v>
      </c>
      <c r="O73" s="110" t="s">
        <v>23</v>
      </c>
      <c r="P73" s="110" t="s">
        <v>23</v>
      </c>
      <c r="Q73" s="24" t="s">
        <v>20</v>
      </c>
      <c r="R73" s="29" t="s">
        <v>47</v>
      </c>
      <c r="S73" s="24" t="s">
        <v>20</v>
      </c>
      <c r="T73" s="24" t="s">
        <v>20</v>
      </c>
      <c r="U73" s="24" t="s">
        <v>20</v>
      </c>
      <c r="V73" s="24" t="s">
        <v>20</v>
      </c>
      <c r="W73" s="110" t="s">
        <v>23</v>
      </c>
      <c r="X73" s="110" t="s">
        <v>23</v>
      </c>
      <c r="Y73" s="24" t="s">
        <v>20</v>
      </c>
      <c r="Z73" s="24" t="s">
        <v>20</v>
      </c>
      <c r="AA73" s="24" t="s">
        <v>20</v>
      </c>
      <c r="AB73" s="24" t="s">
        <v>20</v>
      </c>
      <c r="AC73" s="23" t="s">
        <v>19</v>
      </c>
      <c r="AD73" s="23" t="s">
        <v>19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44890</v>
      </c>
      <c r="B74" s="108">
        <v>1600</v>
      </c>
      <c r="C74" s="108"/>
      <c r="D74" s="108" cm="1">
        <f t="array" ref="D74">(SUM(VLOOKUP(I74:AF74,$AM$4:$AO$44,2,FALSE))+AG74*10)*IF(AK74="是",$AZ$4,$AZ$3)</f>
        <v>2592</v>
      </c>
      <c r="E74" s="169">
        <f>SUM($B$4:B74)+SUM($C$4:C74)-SUM($D$4:D74)</f>
        <v>3220</v>
      </c>
      <c r="F74" s="108" cm="1">
        <f t="array" ref="F74">SUM(VLOOKUP(I74:AF74,$AM$4:$AO$44,3,FALSE))</f>
        <v>900</v>
      </c>
      <c r="G74" s="122">
        <f>SUM($F$4:F74)+SUM($H$4:H74)</f>
        <v>50290</v>
      </c>
      <c r="H74" s="108">
        <v>0</v>
      </c>
      <c r="I74" s="22" t="s">
        <v>18</v>
      </c>
      <c r="J74" s="22" t="s">
        <v>18</v>
      </c>
      <c r="K74" s="22" t="s">
        <v>18</v>
      </c>
      <c r="L74" s="22" t="s">
        <v>18</v>
      </c>
      <c r="M74" s="22" t="s">
        <v>18</v>
      </c>
      <c r="N74" s="22" t="s">
        <v>18</v>
      </c>
      <c r="O74" s="110" t="s">
        <v>23</v>
      </c>
      <c r="P74" s="110" t="s">
        <v>23</v>
      </c>
      <c r="Q74" s="24" t="s">
        <v>20</v>
      </c>
      <c r="R74" s="24" t="s">
        <v>20</v>
      </c>
      <c r="S74" s="24" t="s">
        <v>20</v>
      </c>
      <c r="T74" s="24" t="s">
        <v>20</v>
      </c>
      <c r="U74" s="24" t="s">
        <v>20</v>
      </c>
      <c r="V74" s="24" t="s">
        <v>20</v>
      </c>
      <c r="W74" s="110" t="s">
        <v>23</v>
      </c>
      <c r="X74" s="110" t="s">
        <v>23</v>
      </c>
      <c r="Y74" s="23" t="s">
        <v>19</v>
      </c>
      <c r="Z74" s="23" t="s">
        <v>19</v>
      </c>
      <c r="AA74" s="23" t="s">
        <v>19</v>
      </c>
      <c r="AB74" s="23" t="s">
        <v>19</v>
      </c>
      <c r="AC74" s="23" t="s">
        <v>19</v>
      </c>
      <c r="AD74" s="23" t="s">
        <v>19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44891</v>
      </c>
      <c r="B75" s="108">
        <v>1600</v>
      </c>
      <c r="C75" s="108"/>
      <c r="D75" s="108" cm="1">
        <f t="array" ref="D75">(SUM(VLOOKUP(I75:AF75,$AM$4:$AO$44,2,FALSE))+AG75*10)*IF(AK75="是",$AZ$4,$AZ$3)</f>
        <v>2512</v>
      </c>
      <c r="E75" s="169">
        <f>SUM($B$4:B75)+SUM($C$4:C75)-SUM($D$4:D75)</f>
        <v>2308</v>
      </c>
      <c r="F75" s="108" cm="1">
        <f t="array" ref="F75">SUM(VLOOKUP(I75:AF75,$AM$4:$AO$44,3,FALSE))</f>
        <v>895</v>
      </c>
      <c r="G75" s="122">
        <f>SUM($F$4:F75)+SUM($H$4:H75)</f>
        <v>51185</v>
      </c>
      <c r="H75" s="108">
        <v>0</v>
      </c>
      <c r="I75" s="22" t="s">
        <v>18</v>
      </c>
      <c r="J75" s="22" t="s">
        <v>18</v>
      </c>
      <c r="K75" s="22" t="s">
        <v>18</v>
      </c>
      <c r="L75" s="22" t="s">
        <v>18</v>
      </c>
      <c r="M75" s="22" t="s">
        <v>18</v>
      </c>
      <c r="N75" s="22" t="s">
        <v>18</v>
      </c>
      <c r="O75" s="110" t="s">
        <v>23</v>
      </c>
      <c r="P75" s="110" t="s">
        <v>23</v>
      </c>
      <c r="Q75" s="24" t="s">
        <v>20</v>
      </c>
      <c r="R75" s="24" t="s">
        <v>20</v>
      </c>
      <c r="S75" s="24" t="s">
        <v>20</v>
      </c>
      <c r="T75" s="25" t="s">
        <v>21</v>
      </c>
      <c r="U75" s="25" t="s">
        <v>21</v>
      </c>
      <c r="V75" s="25" t="s">
        <v>21</v>
      </c>
      <c r="W75" s="110" t="s">
        <v>23</v>
      </c>
      <c r="X75" s="110" t="s">
        <v>23</v>
      </c>
      <c r="Y75" s="23" t="s">
        <v>19</v>
      </c>
      <c r="Z75" s="23" t="s">
        <v>19</v>
      </c>
      <c r="AA75" s="28" t="s">
        <v>12</v>
      </c>
      <c r="AB75" s="23" t="s">
        <v>19</v>
      </c>
      <c r="AC75" s="23" t="s">
        <v>19</v>
      </c>
      <c r="AD75" s="23" t="s">
        <v>19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44892</v>
      </c>
      <c r="B76" s="108">
        <v>1600</v>
      </c>
      <c r="C76" s="108"/>
      <c r="D76" s="108" cm="1">
        <f t="array" ref="D76">(SUM(VLOOKUP(I76:AF76,$AM$4:$AO$44,2,FALSE))+AG76*10)*IF(AK76="是",$AZ$4,$AZ$3)</f>
        <v>1896</v>
      </c>
      <c r="E76" s="169">
        <f>SUM($B$4:B76)+SUM($C$4:C76)-SUM($D$4:D76)</f>
        <v>2012</v>
      </c>
      <c r="F76" s="108" cm="1">
        <f t="array" ref="F76">SUM(VLOOKUP(I76:AF76,$AM$4:$AO$44,3,FALSE))</f>
        <v>670</v>
      </c>
      <c r="G76" s="122">
        <f>SUM($F$4:F76)+SUM($H$4:H76)</f>
        <v>51855</v>
      </c>
      <c r="H76" s="108">
        <v>0</v>
      </c>
      <c r="I76" s="22" t="s">
        <v>18</v>
      </c>
      <c r="J76" s="22" t="s">
        <v>18</v>
      </c>
      <c r="K76" s="22" t="s">
        <v>18</v>
      </c>
      <c r="L76" s="22" t="s">
        <v>18</v>
      </c>
      <c r="M76" s="22" t="s">
        <v>18</v>
      </c>
      <c r="N76" s="22" t="s">
        <v>18</v>
      </c>
      <c r="O76" s="110" t="s">
        <v>23</v>
      </c>
      <c r="P76" s="110" t="s">
        <v>23</v>
      </c>
      <c r="Q76" s="25" t="s">
        <v>21</v>
      </c>
      <c r="R76" s="25" t="s">
        <v>21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23" t="s">
        <v>19</v>
      </c>
      <c r="Z76" s="23" t="s">
        <v>19</v>
      </c>
      <c r="AA76" s="28" t="s">
        <v>12</v>
      </c>
      <c r="AB76" s="23" t="s">
        <v>19</v>
      </c>
      <c r="AC76" s="23" t="s">
        <v>19</v>
      </c>
      <c r="AD76" s="23" t="s">
        <v>19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44893</v>
      </c>
      <c r="B77" s="109">
        <v>1600</v>
      </c>
      <c r="C77" s="109"/>
      <c r="D77" s="108" cm="1">
        <f t="array" ref="D77">(SUM(VLOOKUP(I77:AF77,$AM$4:$AO$44,2,FALSE))+AG77*10)*IF(AK77="是",$AZ$4,$AZ$3)</f>
        <v>2416</v>
      </c>
      <c r="E77" s="169">
        <f>SUM($B$4:B77)+SUM($C$4:C77)-SUM($D$4:D77)</f>
        <v>1196</v>
      </c>
      <c r="F77" s="108" cm="1">
        <f t="array" ref="F77">SUM(VLOOKUP(I77:AF77,$AM$4:$AO$44,3,FALSE))</f>
        <v>860</v>
      </c>
      <c r="G77" s="122">
        <f>SUM($F$4:F77)+SUM($H$4:H77)</f>
        <v>53015</v>
      </c>
      <c r="H77" s="109">
        <v>300</v>
      </c>
      <c r="I77" s="22" t="s">
        <v>18</v>
      </c>
      <c r="J77" s="22" t="s">
        <v>18</v>
      </c>
      <c r="K77" s="22" t="s">
        <v>18</v>
      </c>
      <c r="L77" s="22" t="s">
        <v>18</v>
      </c>
      <c r="M77" s="22" t="s">
        <v>18</v>
      </c>
      <c r="N77" s="22" t="s">
        <v>18</v>
      </c>
      <c r="O77" s="110" t="s">
        <v>23</v>
      </c>
      <c r="P77" s="110" t="s">
        <v>23</v>
      </c>
      <c r="Q77" s="149" t="s">
        <v>10</v>
      </c>
      <c r="R77" s="25" t="s">
        <v>21</v>
      </c>
      <c r="S77" s="24" t="s">
        <v>20</v>
      </c>
      <c r="T77" s="24" t="s">
        <v>20</v>
      </c>
      <c r="U77" s="24" t="s">
        <v>20</v>
      </c>
      <c r="V77" s="24" t="s">
        <v>20</v>
      </c>
      <c r="W77" s="110" t="s">
        <v>23</v>
      </c>
      <c r="X77" s="110" t="s">
        <v>23</v>
      </c>
      <c r="Y77" s="22" t="s">
        <v>18</v>
      </c>
      <c r="Z77" s="22" t="s">
        <v>18</v>
      </c>
      <c r="AA77" s="22" t="s">
        <v>18</v>
      </c>
      <c r="AB77" s="28" t="s">
        <v>12</v>
      </c>
      <c r="AC77" s="21" t="s">
        <v>17</v>
      </c>
      <c r="AD77" s="22" t="s">
        <v>18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44894</v>
      </c>
      <c r="B78" s="109">
        <v>1600</v>
      </c>
      <c r="C78" s="109"/>
      <c r="D78" s="108" cm="1">
        <f t="array" ref="D78">(SUM(VLOOKUP(I78:AF78,$AM$4:$AO$44,2,FALSE))+AG78*10)*IF(AK78="是",$AZ$4,$AZ$3)</f>
        <v>1864</v>
      </c>
      <c r="E78" s="169">
        <f>SUM($B$4:B78)+SUM($C$4:C78)-SUM($D$4:D78)</f>
        <v>932</v>
      </c>
      <c r="F78" s="108" cm="1">
        <f t="array" ref="F78">SUM(VLOOKUP(I78:AF78,$AM$4:$AO$44,3,FALSE))</f>
        <v>645</v>
      </c>
      <c r="G78" s="122">
        <f>SUM($F$4:F78)+SUM($H$4:H78)</f>
        <v>53660</v>
      </c>
      <c r="H78" s="109">
        <v>0</v>
      </c>
      <c r="I78" s="22" t="s">
        <v>18</v>
      </c>
      <c r="J78" s="22" t="s">
        <v>18</v>
      </c>
      <c r="K78" s="22" t="s">
        <v>18</v>
      </c>
      <c r="L78" s="22" t="s">
        <v>18</v>
      </c>
      <c r="M78" s="22" t="s">
        <v>18</v>
      </c>
      <c r="N78" s="22" t="s">
        <v>18</v>
      </c>
      <c r="O78" s="110" t="s">
        <v>23</v>
      </c>
      <c r="P78" s="110" t="s">
        <v>23</v>
      </c>
      <c r="Q78" s="24" t="s">
        <v>20</v>
      </c>
      <c r="R78" s="24" t="s">
        <v>20</v>
      </c>
      <c r="S78" s="24" t="s">
        <v>20</v>
      </c>
      <c r="T78" s="24" t="s">
        <v>20</v>
      </c>
      <c r="U78" s="24" t="s">
        <v>20</v>
      </c>
      <c r="V78" s="24" t="s">
        <v>20</v>
      </c>
      <c r="W78" s="110" t="s">
        <v>23</v>
      </c>
      <c r="X78" s="110" t="s">
        <v>23</v>
      </c>
      <c r="Y78" s="22" t="s">
        <v>18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44895</v>
      </c>
      <c r="B79" s="109">
        <v>1600</v>
      </c>
      <c r="C79" s="109"/>
      <c r="D79" s="108" cm="1">
        <f t="array" ref="D79">(SUM(VLOOKUP(I79:AF79,$AM$4:$AO$44,2,FALSE))+AG79*10)*IF(AK79="是",$AZ$4,$AZ$3)</f>
        <v>2568</v>
      </c>
      <c r="E79" s="169">
        <f>SUM($B$4:B79)+SUM($C$4:C79)-SUM($D$4:D79)</f>
        <v>-36</v>
      </c>
      <c r="F79" s="108" cm="1">
        <f t="array" ref="F79">SUM(VLOOKUP(I79:AF79,$AM$4:$AO$44,3,FALSE))</f>
        <v>900</v>
      </c>
      <c r="G79" s="122">
        <f>SUM($F$4:F79)+SUM($H$4:H79)</f>
        <v>54760</v>
      </c>
      <c r="H79" s="109">
        <v>200</v>
      </c>
      <c r="I79" s="22" t="s">
        <v>18</v>
      </c>
      <c r="J79" s="22" t="s">
        <v>18</v>
      </c>
      <c r="K79" s="22" t="s">
        <v>18</v>
      </c>
      <c r="L79" s="22" t="s">
        <v>18</v>
      </c>
      <c r="M79" s="22" t="s">
        <v>18</v>
      </c>
      <c r="N79" s="22" t="s">
        <v>18</v>
      </c>
      <c r="O79" s="110" t="s">
        <v>23</v>
      </c>
      <c r="P79" s="110" t="s">
        <v>23</v>
      </c>
      <c r="Q79" s="24" t="s">
        <v>20</v>
      </c>
      <c r="R79" s="24" t="s">
        <v>20</v>
      </c>
      <c r="S79" s="24" t="s">
        <v>20</v>
      </c>
      <c r="T79" s="24" t="s">
        <v>20</v>
      </c>
      <c r="U79" s="24" t="s">
        <v>20</v>
      </c>
      <c r="V79" s="24" t="s">
        <v>20</v>
      </c>
      <c r="W79" s="110" t="s">
        <v>23</v>
      </c>
      <c r="X79" s="110" t="s">
        <v>23</v>
      </c>
      <c r="Y79" s="23" t="s">
        <v>19</v>
      </c>
      <c r="Z79" s="23" t="s">
        <v>19</v>
      </c>
      <c r="AA79" s="147" t="s">
        <v>8</v>
      </c>
      <c r="AB79" s="23" t="s">
        <v>19</v>
      </c>
      <c r="AC79" s="23" t="s">
        <v>19</v>
      </c>
      <c r="AD79" s="23" t="s">
        <v>19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44896</v>
      </c>
      <c r="B80" s="109">
        <v>1600</v>
      </c>
      <c r="C80" s="109"/>
      <c r="D80" s="108" cm="1">
        <f t="array" ref="D80">(SUM(VLOOKUP(I80:AF80,$AM$4:$AO$44,2,FALSE))+AG80*10)*IF(AK80="是",$AZ$4,$AZ$3)</f>
        <v>2480</v>
      </c>
      <c r="E80" s="169">
        <f>SUM($B$4:B80)+SUM($C$4:C80)-SUM($D$4:D80)</f>
        <v>-916</v>
      </c>
      <c r="F80" s="108" cm="1">
        <f t="array" ref="F80">SUM(VLOOKUP(I80:AF80,$AM$4:$AO$44,3,FALSE))</f>
        <v>875</v>
      </c>
      <c r="G80" s="122">
        <f>SUM($F$4:F80)+SUM($H$4:H80)</f>
        <v>55635</v>
      </c>
      <c r="H80" s="109">
        <v>0</v>
      </c>
      <c r="I80" s="22" t="s">
        <v>18</v>
      </c>
      <c r="J80" s="22" t="s">
        <v>18</v>
      </c>
      <c r="K80" s="22" t="s">
        <v>18</v>
      </c>
      <c r="L80" s="22" t="s">
        <v>18</v>
      </c>
      <c r="M80" s="22" t="s">
        <v>18</v>
      </c>
      <c r="N80" s="22" t="s">
        <v>18</v>
      </c>
      <c r="O80" s="110" t="s">
        <v>23</v>
      </c>
      <c r="P80" s="110" t="s">
        <v>23</v>
      </c>
      <c r="Q80" s="24" t="s">
        <v>20</v>
      </c>
      <c r="R80" s="24" t="s">
        <v>20</v>
      </c>
      <c r="S80" s="24" t="s">
        <v>20</v>
      </c>
      <c r="T80" s="24" t="s">
        <v>20</v>
      </c>
      <c r="U80" s="24" t="s">
        <v>20</v>
      </c>
      <c r="V80" s="28" t="s">
        <v>12</v>
      </c>
      <c r="W80" s="110" t="s">
        <v>23</v>
      </c>
      <c r="X80" s="110" t="s">
        <v>23</v>
      </c>
      <c r="Y80" s="23" t="s">
        <v>19</v>
      </c>
      <c r="Z80" s="23" t="s">
        <v>19</v>
      </c>
      <c r="AA80" s="23" t="s">
        <v>19</v>
      </c>
      <c r="AB80" s="23" t="s">
        <v>19</v>
      </c>
      <c r="AC80" s="23" t="s">
        <v>19</v>
      </c>
      <c r="AD80" s="23" t="s">
        <v>19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44897</v>
      </c>
      <c r="B81" s="109">
        <v>1600</v>
      </c>
      <c r="C81" s="109"/>
      <c r="D81" s="108" cm="1">
        <f t="array" ref="D81">(SUM(VLOOKUP(I81:AF81,$AM$4:$AO$44,2,FALSE))+AG81*10)*IF(AK81="是",$AZ$4,$AZ$3)</f>
        <v>2592</v>
      </c>
      <c r="E81" s="169">
        <f>SUM($B$4:B81)+SUM($C$4:C81)-SUM($D$4:D81)</f>
        <v>-1908</v>
      </c>
      <c r="F81" s="108" cm="1">
        <f t="array" ref="F81">SUM(VLOOKUP(I81:AF81,$AM$4:$AO$44,3,FALSE))</f>
        <v>900</v>
      </c>
      <c r="G81" s="122">
        <f>SUM($F$4:F81)+SUM($H$4:H81)</f>
        <v>56535</v>
      </c>
      <c r="H81" s="109">
        <v>0</v>
      </c>
      <c r="I81" s="22" t="s">
        <v>18</v>
      </c>
      <c r="J81" s="22" t="s">
        <v>18</v>
      </c>
      <c r="K81" s="22" t="s">
        <v>18</v>
      </c>
      <c r="L81" s="22" t="s">
        <v>18</v>
      </c>
      <c r="M81" s="22" t="s">
        <v>18</v>
      </c>
      <c r="N81" s="22" t="s">
        <v>18</v>
      </c>
      <c r="O81" s="110" t="s">
        <v>23</v>
      </c>
      <c r="P81" s="110" t="s">
        <v>23</v>
      </c>
      <c r="Q81" s="24" t="s">
        <v>20</v>
      </c>
      <c r="R81" s="24" t="s">
        <v>20</v>
      </c>
      <c r="S81" s="24" t="s">
        <v>20</v>
      </c>
      <c r="T81" s="24" t="s">
        <v>20</v>
      </c>
      <c r="U81" s="24" t="s">
        <v>20</v>
      </c>
      <c r="V81" s="24" t="s">
        <v>20</v>
      </c>
      <c r="W81" s="110" t="s">
        <v>23</v>
      </c>
      <c r="X81" s="110" t="s">
        <v>23</v>
      </c>
      <c r="Y81" s="23" t="s">
        <v>19</v>
      </c>
      <c r="Z81" s="23" t="s">
        <v>19</v>
      </c>
      <c r="AA81" s="23" t="s">
        <v>19</v>
      </c>
      <c r="AB81" s="23" t="s">
        <v>19</v>
      </c>
      <c r="AC81" s="23" t="s">
        <v>19</v>
      </c>
      <c r="AD81" s="23" t="s">
        <v>19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44898</v>
      </c>
      <c r="B82" s="109">
        <v>1600</v>
      </c>
      <c r="C82" s="109"/>
      <c r="D82" s="108" cm="1">
        <f t="array" ref="D82">(SUM(VLOOKUP(I82:AF82,$AM$4:$AO$44,2,FALSE))+AG82*10)*IF(AK82="是",$AZ$4,$AZ$3)</f>
        <v>2488</v>
      </c>
      <c r="E82" s="169">
        <f>SUM($B$4:B82)+SUM($C$4:C82)-SUM($D$4:D82)</f>
        <v>-2796</v>
      </c>
      <c r="F82" s="108" cm="1">
        <f t="array" ref="F82">SUM(VLOOKUP(I82:AF82,$AM$4:$AO$44,3,FALSE))</f>
        <v>880</v>
      </c>
      <c r="G82" s="122">
        <f>SUM($F$4:F82)+SUM($H$4:H82)</f>
        <v>57415</v>
      </c>
      <c r="H82" s="109">
        <v>0</v>
      </c>
      <c r="I82" s="22" t="s">
        <v>18</v>
      </c>
      <c r="J82" s="22" t="s">
        <v>18</v>
      </c>
      <c r="K82" s="22" t="s">
        <v>18</v>
      </c>
      <c r="L82" s="22" t="s">
        <v>18</v>
      </c>
      <c r="M82" s="22" t="s">
        <v>18</v>
      </c>
      <c r="N82" s="22" t="s">
        <v>18</v>
      </c>
      <c r="O82" s="110" t="s">
        <v>23</v>
      </c>
      <c r="P82" s="110" t="s">
        <v>23</v>
      </c>
      <c r="Q82" s="24" t="s">
        <v>20</v>
      </c>
      <c r="R82" s="24" t="s">
        <v>20</v>
      </c>
      <c r="S82" s="24" t="s">
        <v>20</v>
      </c>
      <c r="T82" s="24" t="s">
        <v>20</v>
      </c>
      <c r="U82" s="24" t="s">
        <v>20</v>
      </c>
      <c r="V82" s="24" t="s">
        <v>20</v>
      </c>
      <c r="W82" s="110" t="s">
        <v>23</v>
      </c>
      <c r="X82" s="110" t="s">
        <v>23</v>
      </c>
      <c r="Y82" s="23" t="s">
        <v>19</v>
      </c>
      <c r="Z82" s="23" t="s">
        <v>19</v>
      </c>
      <c r="AA82" s="28" t="s">
        <v>12</v>
      </c>
      <c r="AB82" s="23" t="s">
        <v>19</v>
      </c>
      <c r="AC82" s="23" t="s">
        <v>19</v>
      </c>
      <c r="AD82" s="23" t="s">
        <v>19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44899</v>
      </c>
      <c r="B83" s="109">
        <v>1600</v>
      </c>
      <c r="C83" s="109"/>
      <c r="D83" s="108" cm="1">
        <f t="array" ref="D83">(SUM(VLOOKUP(I83:AF83,$AM$4:$AO$44,2,FALSE))+AG83*10)*IF(AK83="是",$AZ$4,$AZ$3)</f>
        <v>2184</v>
      </c>
      <c r="E83" s="169">
        <f>SUM($B$4:B83)+SUM($C$4:C83)-SUM($D$4:D83)</f>
        <v>-3380</v>
      </c>
      <c r="F83" s="108" cm="1">
        <f t="array" ref="F83">SUM(VLOOKUP(I83:AF83,$AM$4:$AO$44,3,FALSE))</f>
        <v>775</v>
      </c>
      <c r="G83" s="122">
        <f>SUM($F$4:F83)+SUM($H$4:H83)</f>
        <v>58190</v>
      </c>
      <c r="H83" s="109">
        <v>0</v>
      </c>
      <c r="I83" s="22" t="s">
        <v>18</v>
      </c>
      <c r="J83" s="22" t="s">
        <v>18</v>
      </c>
      <c r="K83" s="22" t="s">
        <v>18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4" t="s">
        <v>20</v>
      </c>
      <c r="R83" s="25" t="s">
        <v>21</v>
      </c>
      <c r="S83" s="25" t="s">
        <v>21</v>
      </c>
      <c r="T83" s="24" t="s">
        <v>20</v>
      </c>
      <c r="U83" s="25" t="s">
        <v>21</v>
      </c>
      <c r="V83" s="25" t="s">
        <v>21</v>
      </c>
      <c r="W83" s="110" t="s">
        <v>23</v>
      </c>
      <c r="X83" s="110" t="s">
        <v>23</v>
      </c>
      <c r="Y83" s="23" t="s">
        <v>19</v>
      </c>
      <c r="Z83" s="146" t="s">
        <v>7</v>
      </c>
      <c r="AA83" s="22" t="s">
        <v>18</v>
      </c>
      <c r="AB83" s="23" t="s">
        <v>19</v>
      </c>
      <c r="AC83" s="23" t="s">
        <v>19</v>
      </c>
      <c r="AD83" s="23" t="s">
        <v>19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44900</v>
      </c>
      <c r="B84" s="108">
        <v>1600</v>
      </c>
      <c r="C84" s="108"/>
      <c r="D84" s="108" cm="1">
        <f t="array" ref="D84">(SUM(VLOOKUP(I84:AF84,$AM$4:$AO$44,2,FALSE))+AG84*10)*IF(AK84="是",$AZ$4,$AZ$3)</f>
        <v>1208</v>
      </c>
      <c r="E84" s="169">
        <f>SUM($B$4:B84)+SUM($C$4:C84)-SUM($D$4:D84)</f>
        <v>-2988</v>
      </c>
      <c r="F84" s="108" cm="1">
        <f t="array" ref="F84">SUM(VLOOKUP(I84:AF84,$AM$4:$AO$44,3,FALSE))</f>
        <v>435</v>
      </c>
      <c r="G84" s="122">
        <f>SUM($F$4:F84)+SUM($H$4:H84)</f>
        <v>58925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25" t="s">
        <v>21</v>
      </c>
      <c r="R84" s="24" t="s">
        <v>20</v>
      </c>
      <c r="S84" s="24" t="s">
        <v>20</v>
      </c>
      <c r="T84" s="24" t="s">
        <v>20</v>
      </c>
      <c r="U84" s="24" t="s">
        <v>20</v>
      </c>
      <c r="V84" s="24" t="s">
        <v>20</v>
      </c>
      <c r="W84" s="110" t="s">
        <v>23</v>
      </c>
      <c r="X84" s="110" t="s">
        <v>23</v>
      </c>
      <c r="Y84" s="23" t="s">
        <v>19</v>
      </c>
      <c r="Z84" s="23" t="s">
        <v>19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44901</v>
      </c>
      <c r="B85" s="108">
        <v>1600</v>
      </c>
      <c r="C85" s="108"/>
      <c r="D85" s="108" cm="1">
        <f t="array" ref="D85">(SUM(VLOOKUP(I85:AF85,$AM$4:$AO$44,2,FALSE))+AG85*10)*IF(AK85="是",$AZ$4,$AZ$3)</f>
        <v>1656</v>
      </c>
      <c r="E85" s="169">
        <f>SUM($B$4:B85)+SUM($C$4:C85)-SUM($D$4:D85)</f>
        <v>-3044</v>
      </c>
      <c r="F85" s="108" cm="1">
        <f t="array" ref="F85">SUM(VLOOKUP(I85:AF85,$AM$4:$AO$44,3,FALSE))</f>
        <v>610</v>
      </c>
      <c r="G85" s="122">
        <f>SUM($F$4:F85)+SUM($H$4:H85)</f>
        <v>59535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4" t="s">
        <v>20</v>
      </c>
      <c r="R85" s="24" t="s">
        <v>20</v>
      </c>
      <c r="S85" s="24" t="s">
        <v>20</v>
      </c>
      <c r="T85" s="24" t="s">
        <v>20</v>
      </c>
      <c r="U85" s="25" t="s">
        <v>21</v>
      </c>
      <c r="V85" s="25" t="s">
        <v>21</v>
      </c>
      <c r="W85" s="110" t="s">
        <v>23</v>
      </c>
      <c r="X85" s="110" t="s">
        <v>23</v>
      </c>
      <c r="Y85" s="146" t="s">
        <v>7</v>
      </c>
      <c r="Z85" s="22" t="s">
        <v>18</v>
      </c>
      <c r="AA85" s="28" t="s">
        <v>12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44902</v>
      </c>
      <c r="B86" s="108">
        <v>1600</v>
      </c>
      <c r="C86" s="108"/>
      <c r="D86" s="108" cm="1">
        <f t="array" ref="D86">(SUM(VLOOKUP(I86:AF86,$AM$4:$AO$44,2,FALSE))+AG86*10)*IF(AK86="是",$AZ$4,$AZ$3)</f>
        <v>2152</v>
      </c>
      <c r="E86" s="169">
        <f>SUM($B$4:B86)+SUM($C$4:C86)-SUM($D$4:D86)</f>
        <v>-3596</v>
      </c>
      <c r="F86" s="108" cm="1">
        <f t="array" ref="F86">SUM(VLOOKUP(I86:AF86,$AM$4:$AO$44,3,FALSE))</f>
        <v>800</v>
      </c>
      <c r="G86" s="122">
        <f>SUM($F$4:F86)+SUM($H$4:H86)</f>
        <v>60535</v>
      </c>
      <c r="H86" s="108">
        <v>200</v>
      </c>
      <c r="I86" s="20" t="s">
        <v>16</v>
      </c>
      <c r="J86" s="28" t="s">
        <v>12</v>
      </c>
      <c r="K86" s="20" t="s">
        <v>16</v>
      </c>
      <c r="L86" s="20" t="s">
        <v>16</v>
      </c>
      <c r="M86" s="28" t="s">
        <v>12</v>
      </c>
      <c r="N86" s="109" t="s">
        <v>23</v>
      </c>
      <c r="O86" s="110" t="s">
        <v>23</v>
      </c>
      <c r="P86" s="110" t="s">
        <v>23</v>
      </c>
      <c r="Q86" s="24" t="s">
        <v>20</v>
      </c>
      <c r="R86" s="24" t="s">
        <v>20</v>
      </c>
      <c r="S86" s="24" t="s">
        <v>20</v>
      </c>
      <c r="T86" s="24" t="s">
        <v>20</v>
      </c>
      <c r="U86" s="24" t="s">
        <v>20</v>
      </c>
      <c r="V86" s="24" t="s">
        <v>20</v>
      </c>
      <c r="W86" s="110" t="s">
        <v>23</v>
      </c>
      <c r="X86" s="110" t="s">
        <v>23</v>
      </c>
      <c r="Y86" s="24" t="s">
        <v>20</v>
      </c>
      <c r="Z86" s="24" t="s">
        <v>20</v>
      </c>
      <c r="AA86" s="24" t="s">
        <v>20</v>
      </c>
      <c r="AB86" s="24" t="s">
        <v>20</v>
      </c>
      <c r="AC86" s="28" t="s">
        <v>12</v>
      </c>
      <c r="AD86" s="24" t="s">
        <v>20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44903</v>
      </c>
      <c r="B87" s="108">
        <v>1600</v>
      </c>
      <c r="C87" s="108"/>
      <c r="D87" s="155" cm="1">
        <f t="array" ref="D87">(SUM(VLOOKUP(I87:AF87,$AM$4:$AO$44,2,FALSE))+AG87*10)*IF(AK87="是",$AZ$4,$AZ$3)-40</f>
        <v>1816</v>
      </c>
      <c r="E87" s="169">
        <f>SUM($B$4:B87)+SUM($C$4:C87)-SUM($D$4:D87)</f>
        <v>-3812</v>
      </c>
      <c r="F87" s="108" cm="1">
        <f t="array" ref="F87">SUM(VLOOKUP(I87:AF87,$AM$4:$AO$44,3,FALSE))</f>
        <v>790</v>
      </c>
      <c r="G87" s="122">
        <f>SUM($F$4:F87)+SUM($H$4:H87)</f>
        <v>61325</v>
      </c>
      <c r="H87" s="108">
        <v>0</v>
      </c>
      <c r="I87" s="29" t="s">
        <v>47</v>
      </c>
      <c r="J87" s="21" t="s">
        <v>17</v>
      </c>
      <c r="K87" s="21" t="s">
        <v>17</v>
      </c>
      <c r="L87" s="145" t="s">
        <v>6</v>
      </c>
      <c r="M87" s="20" t="s">
        <v>16</v>
      </c>
      <c r="N87" s="28" t="s">
        <v>12</v>
      </c>
      <c r="O87" s="110" t="s">
        <v>23</v>
      </c>
      <c r="P87" s="110" t="s">
        <v>23</v>
      </c>
      <c r="Q87" s="24" t="s">
        <v>20</v>
      </c>
      <c r="R87" s="24" t="s">
        <v>20</v>
      </c>
      <c r="S87" s="24" t="s">
        <v>20</v>
      </c>
      <c r="T87" s="24" t="s">
        <v>20</v>
      </c>
      <c r="U87" s="29" t="s">
        <v>47</v>
      </c>
      <c r="V87" s="24" t="s">
        <v>20</v>
      </c>
      <c r="W87" s="110" t="s">
        <v>23</v>
      </c>
      <c r="X87" s="110" t="s">
        <v>23</v>
      </c>
      <c r="Y87" s="24" t="s">
        <v>20</v>
      </c>
      <c r="Z87" s="24" t="s">
        <v>20</v>
      </c>
      <c r="AA87" s="24" t="s">
        <v>20</v>
      </c>
      <c r="AB87" s="24" t="s">
        <v>20</v>
      </c>
      <c r="AC87" s="24" t="s">
        <v>20</v>
      </c>
      <c r="AD87" s="148" t="s">
        <v>9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44904</v>
      </c>
      <c r="B88" s="108">
        <v>1600</v>
      </c>
      <c r="C88" s="108"/>
      <c r="D88" s="108" cm="1">
        <f t="array" ref="D88">(SUM(VLOOKUP(I88:AF88,$AM$4:$AO$44,2,FALSE))+AG88*10)*IF(AK88="是",$AZ$4,$AZ$3)</f>
        <v>2408</v>
      </c>
      <c r="E88" s="169">
        <f>SUM($B$4:B88)+SUM($C$4:C88)-SUM($D$4:D88)</f>
        <v>-4620</v>
      </c>
      <c r="F88" s="108" cm="1">
        <f t="array" ref="F88">SUM(VLOOKUP(I88:AF88,$AM$4:$AO$44,3,FALSE))</f>
        <v>1350</v>
      </c>
      <c r="G88" s="122">
        <f>SUM($F$4:F88)+SUM($H$4:H88)</f>
        <v>62675</v>
      </c>
      <c r="H88" s="108">
        <v>0</v>
      </c>
      <c r="I88" s="21" t="s">
        <v>17</v>
      </c>
      <c r="J88" s="28" t="s">
        <v>12</v>
      </c>
      <c r="K88" s="21" t="s">
        <v>17</v>
      </c>
      <c r="L88" s="21" t="s">
        <v>17</v>
      </c>
      <c r="M88" s="21" t="s">
        <v>17</v>
      </c>
      <c r="N88" s="20" t="s">
        <v>16</v>
      </c>
      <c r="O88" s="110" t="s">
        <v>23</v>
      </c>
      <c r="P88" s="110" t="s">
        <v>23</v>
      </c>
      <c r="Q88" s="24" t="s">
        <v>20</v>
      </c>
      <c r="R88" s="24" t="s">
        <v>20</v>
      </c>
      <c r="S88" s="24" t="s">
        <v>20</v>
      </c>
      <c r="T88" s="24" t="s">
        <v>20</v>
      </c>
      <c r="U88" s="24" t="s">
        <v>20</v>
      </c>
      <c r="V88" s="124" t="s">
        <v>87</v>
      </c>
      <c r="W88" s="110" t="s">
        <v>23</v>
      </c>
      <c r="X88" s="110" t="s">
        <v>23</v>
      </c>
      <c r="Y88" s="24" t="s">
        <v>20</v>
      </c>
      <c r="Z88" s="24" t="s">
        <v>20</v>
      </c>
      <c r="AA88" s="24" t="s">
        <v>20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5"/>
        <v>3</v>
      </c>
      <c r="AH88" s="111">
        <v>3</v>
      </c>
      <c r="AI88" s="111"/>
      <c r="AJ88" s="111"/>
      <c r="AK88" s="112" t="s">
        <v>31</v>
      </c>
      <c r="AL88" s="107"/>
    </row>
    <row r="89" spans="1:43">
      <c r="A89" s="115">
        <v>44905</v>
      </c>
      <c r="B89" s="108">
        <v>1600</v>
      </c>
      <c r="C89" s="108"/>
      <c r="D89" s="108" cm="1">
        <f t="array" ref="D89">(SUM(VLOOKUP(I89:AF89,$AM$4:$AO$44,2,FALSE))+AG89*10)*IF(AK89="是",$AZ$4,$AZ$3)</f>
        <v>2248</v>
      </c>
      <c r="E89" s="169">
        <f>SUM($B$4:B89)+SUM($C$4:C89)-SUM($D$4:D89)</f>
        <v>-5268</v>
      </c>
      <c r="F89" s="108" cm="1">
        <f t="array" ref="F89">SUM(VLOOKUP(I89:AF89,$AM$4:$AO$44,3,FALSE))</f>
        <v>815</v>
      </c>
      <c r="G89" s="122">
        <f>SUM($F$4:F89)+SUM($H$4:H89)</f>
        <v>63490</v>
      </c>
      <c r="H89" s="108">
        <v>0</v>
      </c>
      <c r="I89" s="28" t="s">
        <v>12</v>
      </c>
      <c r="J89" s="20" t="s">
        <v>16</v>
      </c>
      <c r="K89" s="20" t="s">
        <v>16</v>
      </c>
      <c r="L89" s="20" t="s">
        <v>16</v>
      </c>
      <c r="M89" s="28" t="s">
        <v>12</v>
      </c>
      <c r="N89" s="109" t="s">
        <v>23</v>
      </c>
      <c r="O89" s="110" t="s">
        <v>23</v>
      </c>
      <c r="P89" s="110" t="s">
        <v>23</v>
      </c>
      <c r="Q89" s="24" t="s">
        <v>20</v>
      </c>
      <c r="R89" s="24" t="s">
        <v>20</v>
      </c>
      <c r="S89" s="24" t="s">
        <v>20</v>
      </c>
      <c r="T89" s="24" t="s">
        <v>20</v>
      </c>
      <c r="U89" s="24" t="s">
        <v>20</v>
      </c>
      <c r="V89" s="24" t="s">
        <v>20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3" t="s">
        <v>19</v>
      </c>
      <c r="AD89" s="23" t="s">
        <v>19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44906</v>
      </c>
      <c r="B90" s="108">
        <v>1600</v>
      </c>
      <c r="C90" s="108"/>
      <c r="D90" s="155" cm="1">
        <f t="array" ref="D90">(SUM(VLOOKUP(I90:AF90,$AM$4:$AO$44,2,FALSE))+AG90*10)*IF(AK90="是",$AZ$4,$AZ$3)-40</f>
        <v>1704</v>
      </c>
      <c r="E90" s="169">
        <f>SUM($B$4:B90)+SUM($C$4:C90)-SUM($D$4:D90)</f>
        <v>-5372</v>
      </c>
      <c r="F90" s="108" cm="1">
        <f t="array" ref="F90">SUM(VLOOKUP(I90:AF90,$AM$4:$AO$44,3,FALSE))</f>
        <v>630</v>
      </c>
      <c r="G90" s="122">
        <f>SUM($F$4:F90)+SUM($H$4:H90)</f>
        <v>64120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4" t="s">
        <v>20</v>
      </c>
      <c r="R90" s="24" t="s">
        <v>20</v>
      </c>
      <c r="S90" s="24" t="s">
        <v>20</v>
      </c>
      <c r="T90" s="148" t="s">
        <v>9</v>
      </c>
      <c r="U90" s="24" t="s">
        <v>20</v>
      </c>
      <c r="V90" s="24" t="s">
        <v>20</v>
      </c>
      <c r="W90" s="110" t="s">
        <v>23</v>
      </c>
      <c r="X90" s="110" t="s">
        <v>23</v>
      </c>
      <c r="Y90" s="23" t="s">
        <v>19</v>
      </c>
      <c r="Z90" s="23" t="s">
        <v>19</v>
      </c>
      <c r="AA90" s="23" t="s">
        <v>19</v>
      </c>
      <c r="AB90" s="23" t="s">
        <v>19</v>
      </c>
      <c r="AC90" s="23" t="s">
        <v>19</v>
      </c>
      <c r="AD90" s="23" t="s">
        <v>19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44907</v>
      </c>
      <c r="B91" s="109">
        <v>1600</v>
      </c>
      <c r="C91" s="109"/>
      <c r="D91" s="108" cm="1">
        <f t="array" ref="D91">(SUM(VLOOKUP(I91:AF91,$AM$4:$AO$44,2,FALSE))+AG91*10)*IF(AK91="是",$AZ$4,$AZ$3)</f>
        <v>888</v>
      </c>
      <c r="E91" s="169">
        <f>SUM($B$4:B91)+SUM($C$4:C91)-SUM($D$4:D91)</f>
        <v>-4660</v>
      </c>
      <c r="F91" s="108" cm="1">
        <f t="array" ref="F91">SUM(VLOOKUP(I91:AF91,$AM$4:$AO$44,3,FALSE))</f>
        <v>315</v>
      </c>
      <c r="G91" s="122">
        <f>SUM($F$4:F91)+SUM($H$4:H91)</f>
        <v>64735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24" t="s">
        <v>20</v>
      </c>
      <c r="R91" s="24" t="s">
        <v>20</v>
      </c>
      <c r="S91" s="24" t="s">
        <v>20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23" t="s">
        <v>19</v>
      </c>
      <c r="Z91" s="23" t="s">
        <v>19</v>
      </c>
      <c r="AA91" s="23" t="s">
        <v>19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44908</v>
      </c>
      <c r="B92" s="109">
        <v>1600</v>
      </c>
      <c r="C92" s="109"/>
      <c r="D92" s="108" cm="1">
        <f t="array" ref="D92">(SUM(VLOOKUP(I92:AF92,$AM$4:$AO$44,2,FALSE))+AG92*10)*IF(AK92="是",$AZ$4,$AZ$3)</f>
        <v>0</v>
      </c>
      <c r="E92" s="169">
        <f>SUM($B$4:B92)+SUM($C$4:C92)-SUM($D$4:D92)</f>
        <v>-3060</v>
      </c>
      <c r="F92" s="108" cm="1">
        <f t="array" ref="F92">SUM(VLOOKUP(I92:AF92,$AM$4:$AO$44,3,FALSE))</f>
        <v>0</v>
      </c>
      <c r="G92" s="122">
        <f>SUM($F$4:F92)+SUM($H$4:H92)</f>
        <v>64735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44909</v>
      </c>
      <c r="B93" s="109">
        <v>1600</v>
      </c>
      <c r="C93" s="109"/>
      <c r="D93" s="108" cm="1">
        <f t="array" ref="D93">(SUM(VLOOKUP(I93:AF93,$AM$4:$AO$44,2,FALSE))+AG93*10)*IF(AK93="是",$AZ$4,$AZ$3)</f>
        <v>296</v>
      </c>
      <c r="E93" s="169">
        <f>SUM($B$4:B93)+SUM($C$4:C93)-SUM($D$4:D93)</f>
        <v>-1756</v>
      </c>
      <c r="F93" s="108" cm="1">
        <f t="array" ref="F93">SUM(VLOOKUP(I93:AF93,$AM$4:$AO$44,3,FALSE))</f>
        <v>110</v>
      </c>
      <c r="G93" s="122">
        <f>SUM($F$4:F93)+SUM($H$4:H93)</f>
        <v>65045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21" t="s">
        <v>17</v>
      </c>
      <c r="Z93" s="21" t="s">
        <v>17</v>
      </c>
      <c r="AA93" s="28" t="s">
        <v>12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3" ht="15" thickBot="1">
      <c r="A94" s="115">
        <v>44910</v>
      </c>
      <c r="B94" s="109">
        <v>1600</v>
      </c>
      <c r="C94" s="109"/>
      <c r="D94" s="108" cm="1">
        <f t="array" ref="D94">(SUM(VLOOKUP(I94:AF94,$AM$4:$AO$44,2,FALSE))+AG94*10)*IF(AK94="是",$AZ$4,$AZ$3)</f>
        <v>0</v>
      </c>
      <c r="E94" s="169">
        <f>SUM($B$4:B94)+SUM($C$4:C94)-SUM($D$4:D94)</f>
        <v>-156</v>
      </c>
      <c r="F94" s="108" cm="1">
        <f t="array" ref="F94">SUM(VLOOKUP(I94:AF94,$AM$4:$AO$44,3,FALSE))</f>
        <v>0</v>
      </c>
      <c r="G94" s="122">
        <f>SUM($F$4:F94)+SUM($H$4:H94)</f>
        <v>65045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16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{CB02B0ED-FFFE-429D-B8AD-A19FCFA271AE}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02B0ED-FFFE-429D-B8AD-A19FCFA271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2CBF-E1F2-456D-AF43-82B2C9DAAD20}">
  <dimension ref="A1:BC96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J15" sqref="J15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7.33203125" bestFit="1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15">
        <f ca="1">(_xlfn.DAYS(TODAY(),A4)+2)/((_xlfn.DAYS(A94,A4))+1)</f>
        <v>1.9780219780219781</v>
      </c>
      <c r="B1" s="216"/>
      <c r="C1" s="216"/>
      <c r="D1" s="216"/>
      <c r="E1" s="216"/>
      <c r="F1" s="216"/>
      <c r="G1" s="216"/>
      <c r="H1" s="217"/>
      <c r="I1" s="218" t="s">
        <v>37</v>
      </c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20"/>
      <c r="AH1" s="42"/>
      <c r="AI1" s="42"/>
      <c r="AJ1" s="42"/>
      <c r="AM1" s="214" t="s">
        <v>42</v>
      </c>
      <c r="AN1" s="214"/>
      <c r="AO1" s="214"/>
      <c r="AP1" s="178"/>
      <c r="AQ1" s="178"/>
      <c r="AT1" t="s">
        <v>82</v>
      </c>
      <c r="AU1">
        <f>SUM(D4:D94)+150*AU18+160*AU28</f>
        <v>8712</v>
      </c>
    </row>
    <row r="2" spans="1:55" ht="16.2" customHeight="1" thickBot="1">
      <c r="A2" t="s">
        <v>105</v>
      </c>
      <c r="B2" s="120" t="s">
        <v>84</v>
      </c>
      <c r="C2" s="119" cm="1">
        <f t="array" ref="C2">SUM(VLOOKUP(I4:P9,$AM$4:$AP$44,4,FALSE))+SUM(VLOOKUP(Q4:AF11,$AM$4:$AP$44,4,FALSE))+SUM(AG4:AG9)*10</f>
        <v>2221.5514292104131</v>
      </c>
      <c r="D2" s="222" t="s">
        <v>35</v>
      </c>
      <c r="E2" s="223"/>
      <c r="F2" s="224">
        <f>SUM(F4:F94)+SUM(H4:H94)</f>
        <v>9985</v>
      </c>
      <c r="G2" s="224"/>
      <c r="H2" s="225"/>
      <c r="I2" s="242" t="s">
        <v>48</v>
      </c>
      <c r="J2" s="243"/>
      <c r="K2" s="181" t="s">
        <v>46</v>
      </c>
      <c r="L2" s="181">
        <f>COUNTIF(I4:P94,"&lt;&gt;空")</f>
        <v>6</v>
      </c>
      <c r="M2" s="243" t="s">
        <v>45</v>
      </c>
      <c r="N2" s="243"/>
      <c r="O2" s="243"/>
      <c r="P2" s="244"/>
      <c r="Q2" s="230" t="s">
        <v>49</v>
      </c>
      <c r="R2" s="231"/>
      <c r="S2" s="179" t="s">
        <v>46</v>
      </c>
      <c r="T2" s="179">
        <f>COUNTIF(Q4:X94,"&lt;&gt;空")</f>
        <v>24</v>
      </c>
      <c r="U2" s="231" t="s">
        <v>45</v>
      </c>
      <c r="V2" s="231"/>
      <c r="W2" s="231"/>
      <c r="X2" s="232"/>
      <c r="Y2" s="238" t="s">
        <v>33</v>
      </c>
      <c r="Z2" s="239"/>
      <c r="AA2" s="153" t="s">
        <v>44</v>
      </c>
      <c r="AB2" s="180">
        <f>COUNTIF(Y4:AF94,"&lt;&gt;空")</f>
        <v>29</v>
      </c>
      <c r="AC2" s="239" t="s">
        <v>45</v>
      </c>
      <c r="AD2" s="239"/>
      <c r="AE2" s="239"/>
      <c r="AF2" s="240"/>
      <c r="AG2" s="41">
        <f>SUM(AG4:AG94)</f>
        <v>32</v>
      </c>
      <c r="AH2" s="41">
        <f>SUM(AH4:AH94)</f>
        <v>3</v>
      </c>
      <c r="AI2" s="41">
        <f>SUM(AI4:AI94)</f>
        <v>15</v>
      </c>
      <c r="AJ2" s="41">
        <f>SUM(AJ4:AJ94)</f>
        <v>14</v>
      </c>
      <c r="AK2" s="211" t="s">
        <v>29</v>
      </c>
      <c r="AM2" s="221"/>
      <c r="AN2" s="221"/>
      <c r="AO2" s="221"/>
      <c r="AP2" s="117"/>
      <c r="AQ2" s="117"/>
      <c r="AT2" t="s">
        <v>60</v>
      </c>
      <c r="AU2">
        <f>SUM(AU4:AU29)</f>
        <v>59</v>
      </c>
      <c r="AW2" t="s">
        <v>61</v>
      </c>
      <c r="AX2" s="4">
        <f>SUM(AV4:AX29)+7000</f>
        <v>9885</v>
      </c>
      <c r="AY2" s="10"/>
      <c r="AZ2" s="11" t="s">
        <v>32</v>
      </c>
    </row>
    <row r="3" spans="1:55" ht="29.4" thickBot="1">
      <c r="A3" s="17" t="s">
        <v>36</v>
      </c>
      <c r="B3" s="16" t="s">
        <v>104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72">
        <v>1</v>
      </c>
      <c r="J3" s="173">
        <v>2</v>
      </c>
      <c r="K3" s="173">
        <v>3</v>
      </c>
      <c r="L3" s="173">
        <v>4</v>
      </c>
      <c r="M3" s="173">
        <v>5</v>
      </c>
      <c r="N3" s="173">
        <v>6</v>
      </c>
      <c r="O3" s="173">
        <v>7</v>
      </c>
      <c r="P3" s="173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54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2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182">
        <v>44820</v>
      </c>
      <c r="B4" s="108">
        <v>800</v>
      </c>
      <c r="C4" s="108">
        <v>6000</v>
      </c>
      <c r="D4" s="108" cm="1">
        <f t="array" ref="D4">(SUM(VLOOKUP(I4:AF4,$AM$4:$AO$44,2,FALSE))+AG4*10)*IF(AK4="是",$AZ$4,$AZ$3)</f>
        <v>2930</v>
      </c>
      <c r="E4" s="108">
        <f>SUM($B$4:B4)+SUM($C$4:C4)-SUM($D$4:D4)</f>
        <v>3870</v>
      </c>
      <c r="F4" s="108" cm="1">
        <f t="array" ref="F4">SUM(VLOOKUP(I4:AF4,$AM$4:$AO$44,3,FALSE))</f>
        <v>1355</v>
      </c>
      <c r="G4" s="108">
        <f>SUM($F$4:F4)+SUM($H$4:H4)</f>
        <v>1855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0" t="s">
        <v>16</v>
      </c>
      <c r="R4" s="20" t="s">
        <v>16</v>
      </c>
      <c r="S4" s="20" t="s">
        <v>16</v>
      </c>
      <c r="T4" s="20" t="s">
        <v>16</v>
      </c>
      <c r="U4" s="20" t="s">
        <v>16</v>
      </c>
      <c r="V4" s="20" t="s">
        <v>16</v>
      </c>
      <c r="W4" s="110" t="s">
        <v>23</v>
      </c>
      <c r="X4" s="110" t="s">
        <v>23</v>
      </c>
      <c r="Y4" s="21" t="s">
        <v>17</v>
      </c>
      <c r="Z4" s="124" t="s">
        <v>87</v>
      </c>
      <c r="AA4" s="21" t="s">
        <v>17</v>
      </c>
      <c r="AB4" s="22" t="s">
        <v>18</v>
      </c>
      <c r="AC4" s="22" t="s">
        <v>18</v>
      </c>
      <c r="AD4" s="30" t="s">
        <v>88</v>
      </c>
      <c r="AE4" s="22" t="s">
        <v>18</v>
      </c>
      <c r="AF4" s="110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6</v>
      </c>
      <c r="AS4" s="19">
        <f t="shared" ref="AS4:AS26" si="1">COUNTIF($Q$4:$X$94,AM4)</f>
        <v>6</v>
      </c>
      <c r="AT4" s="19">
        <f t="shared" ref="AT4:AT26" si="2">COUNTIF($Y$4:$AF$94,AM4)</f>
        <v>4</v>
      </c>
      <c r="AU4" s="19">
        <f>AR4+AS4+AT4</f>
        <v>16</v>
      </c>
      <c r="AV4" s="50">
        <f>AR4*$AO4</f>
        <v>210</v>
      </c>
      <c r="AW4" s="50">
        <f t="shared" ref="AW4:AX19" si="3">AS4*$AO4</f>
        <v>210</v>
      </c>
      <c r="AX4" s="50">
        <f t="shared" si="3"/>
        <v>140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82">
        <v>44821</v>
      </c>
      <c r="B5" s="108">
        <v>1600</v>
      </c>
      <c r="C5" s="108"/>
      <c r="D5" s="108" cm="1">
        <f t="array" ref="D5">(SUM(VLOOKUP(I5:AF5,$AM$4:$AO$44,2,FALSE))+AG5*10)*IF(AK5="是",$AZ$4,$AZ$3)</f>
        <v>1770</v>
      </c>
      <c r="E5" s="108">
        <f>SUM($B$4:B5)+SUM($C$4:C5)-SUM($D$4:D5)</f>
        <v>3700</v>
      </c>
      <c r="F5" s="108" cm="1">
        <f t="array" ref="F5">SUM(VLOOKUP(I5:AF5,$AM$4:$AO$44,3,FALSE))</f>
        <v>510</v>
      </c>
      <c r="G5" s="108">
        <f>SUM($F$4:F5)+SUM($H$4:H5)</f>
        <v>2765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22" t="s">
        <v>18</v>
      </c>
      <c r="R5" s="22" t="s">
        <v>18</v>
      </c>
      <c r="S5" s="22" t="s">
        <v>18</v>
      </c>
      <c r="T5" s="22" t="s">
        <v>18</v>
      </c>
      <c r="U5" s="28" t="s">
        <v>12</v>
      </c>
      <c r="V5" s="22" t="s">
        <v>18</v>
      </c>
      <c r="W5" s="110" t="s">
        <v>23</v>
      </c>
      <c r="X5" s="110" t="s">
        <v>23</v>
      </c>
      <c r="Y5" s="22" t="s">
        <v>18</v>
      </c>
      <c r="Z5" s="28" t="s">
        <v>12</v>
      </c>
      <c r="AA5" s="21" t="s">
        <v>17</v>
      </c>
      <c r="AB5" s="29" t="s">
        <v>13</v>
      </c>
      <c r="AC5" s="20" t="s">
        <v>16</v>
      </c>
      <c r="AD5" s="20" t="s">
        <v>16</v>
      </c>
      <c r="AE5" s="20" t="s">
        <v>16</v>
      </c>
      <c r="AF5" s="20" t="s">
        <v>16</v>
      </c>
      <c r="AG5" s="93">
        <f t="shared" ref="AG5:AG68" si="4">AH5+AI5+AJ5</f>
        <v>4</v>
      </c>
      <c r="AH5" s="93"/>
      <c r="AI5" s="93">
        <v>4</v>
      </c>
      <c r="AJ5" s="93"/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0</v>
      </c>
      <c r="AS5" s="19">
        <f t="shared" si="1"/>
        <v>9</v>
      </c>
      <c r="AT5" s="19">
        <f t="shared" si="2"/>
        <v>9</v>
      </c>
      <c r="AU5" s="19">
        <f t="shared" ref="AU5:AU26" si="6">AR5+AS5+AT5</f>
        <v>18</v>
      </c>
      <c r="AV5" s="50">
        <f t="shared" ref="AV5:AX29" si="7">AR5*$AO5</f>
        <v>0</v>
      </c>
      <c r="AW5" s="50">
        <f t="shared" si="3"/>
        <v>360</v>
      </c>
      <c r="AX5" s="50">
        <f t="shared" si="3"/>
        <v>360</v>
      </c>
      <c r="AY5" s="213" t="s">
        <v>34</v>
      </c>
      <c r="AZ5" s="213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15">
        <v>44822</v>
      </c>
      <c r="B6" s="108">
        <v>1600</v>
      </c>
      <c r="C6" s="108"/>
      <c r="D6" s="108" cm="1">
        <f t="array" ref="D6">(SUM(VLOOKUP(I6:AF6,$AM$4:$AO$44,2,FALSE))+AG6*10)*IF(AK6="是",$AZ$4,$AZ$3)</f>
        <v>1950</v>
      </c>
      <c r="E6" s="108">
        <f>SUM($B$4:B6)+SUM($C$4:C6)-SUM($D$4:D6)</f>
        <v>3350</v>
      </c>
      <c r="F6" s="108" cm="1">
        <f t="array" ref="F6">SUM(VLOOKUP(I6:AF6,$AM$4:$AO$44,3,FALSE))</f>
        <v>525</v>
      </c>
      <c r="G6" s="108">
        <f>SUM($F$4:F6)+SUM($H$4:H6)</f>
        <v>3290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30" t="s">
        <v>89</v>
      </c>
      <c r="R6" s="22" t="s">
        <v>18</v>
      </c>
      <c r="S6" s="21" t="s">
        <v>17</v>
      </c>
      <c r="T6" s="21" t="s">
        <v>17</v>
      </c>
      <c r="U6" s="21" t="s">
        <v>17</v>
      </c>
      <c r="V6" s="21" t="s">
        <v>17</v>
      </c>
      <c r="W6" s="110" t="s">
        <v>23</v>
      </c>
      <c r="X6" s="110" t="s">
        <v>23</v>
      </c>
      <c r="Y6" s="28" t="s">
        <v>12</v>
      </c>
      <c r="Z6" s="21" t="s">
        <v>17</v>
      </c>
      <c r="AA6" s="21" t="s">
        <v>17</v>
      </c>
      <c r="AB6" s="21" t="s">
        <v>17</v>
      </c>
      <c r="AC6" s="29" t="s">
        <v>13</v>
      </c>
      <c r="AD6" s="21" t="s">
        <v>17</v>
      </c>
      <c r="AE6" s="21" t="s">
        <v>17</v>
      </c>
      <c r="AF6" s="22" t="s">
        <v>18</v>
      </c>
      <c r="AG6" s="93">
        <f t="shared" si="4"/>
        <v>10</v>
      </c>
      <c r="AH6" s="93"/>
      <c r="AI6" s="93">
        <v>5</v>
      </c>
      <c r="AJ6" s="93">
        <v>5</v>
      </c>
      <c r="AK6" s="9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6</v>
      </c>
      <c r="AT6" s="19">
        <f t="shared" si="2"/>
        <v>9</v>
      </c>
      <c r="AU6" s="19">
        <f t="shared" si="6"/>
        <v>15</v>
      </c>
      <c r="AV6" s="50">
        <f t="shared" si="7"/>
        <v>0</v>
      </c>
      <c r="AW6" s="50">
        <f t="shared" si="3"/>
        <v>270</v>
      </c>
      <c r="AX6" s="50">
        <f t="shared" si="3"/>
        <v>405</v>
      </c>
      <c r="AY6" s="214"/>
      <c r="AZ6" s="214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15">
        <v>44823</v>
      </c>
      <c r="B7" s="109">
        <v>1600</v>
      </c>
      <c r="C7" s="109"/>
      <c r="D7" s="108" cm="1">
        <f t="array" ref="D7">(SUM(VLOOKUP(I7:AF7,$AM$4:$AO$44,2,FALSE))+AG7*10)*IF(AK7="是",$AZ$4,$AZ$3)</f>
        <v>1940</v>
      </c>
      <c r="E7" s="169">
        <f>SUM($B$4:B7)+SUM($C$4:C7)-SUM($D$4:D7)</f>
        <v>3010</v>
      </c>
      <c r="F7" s="108" cm="1">
        <f t="array" ref="F7">SUM(VLOOKUP(I7:AF7,$AM$4:$AO$44,3,FALSE))</f>
        <v>495</v>
      </c>
      <c r="G7" s="122">
        <f>SUM($F$4:F7)+SUM($H$4:H7)</f>
        <v>3785</v>
      </c>
      <c r="H7" s="109">
        <v>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21" t="s">
        <v>17</v>
      </c>
      <c r="R7" s="21" t="s">
        <v>17</v>
      </c>
      <c r="S7" s="28" t="s">
        <v>12</v>
      </c>
      <c r="T7" s="21" t="s">
        <v>17</v>
      </c>
      <c r="U7" s="21" t="s">
        <v>17</v>
      </c>
      <c r="V7" s="21" t="s">
        <v>17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30" t="s">
        <v>89</v>
      </c>
      <c r="AD7" s="21" t="s">
        <v>17</v>
      </c>
      <c r="AE7" s="110" t="s">
        <v>23</v>
      </c>
      <c r="AF7" s="110" t="s">
        <v>23</v>
      </c>
      <c r="AG7" s="111">
        <f t="shared" si="4"/>
        <v>8</v>
      </c>
      <c r="AH7" s="111"/>
      <c r="AI7" s="111"/>
      <c r="AJ7" s="111">
        <v>8</v>
      </c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0</v>
      </c>
      <c r="AS7" s="19">
        <f t="shared" si="1"/>
        <v>0</v>
      </c>
      <c r="AT7" s="19">
        <f t="shared" si="2"/>
        <v>0</v>
      </c>
      <c r="AU7" s="143">
        <f t="shared" si="6"/>
        <v>0</v>
      </c>
      <c r="AV7" s="50">
        <f t="shared" si="7"/>
        <v>0</v>
      </c>
      <c r="AW7" s="50">
        <f t="shared" si="3"/>
        <v>0</v>
      </c>
      <c r="AX7" s="50">
        <f t="shared" si="3"/>
        <v>0</v>
      </c>
      <c r="AY7" s="214"/>
      <c r="AZ7" s="214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15">
        <v>44824</v>
      </c>
      <c r="B8" s="109">
        <v>1600</v>
      </c>
      <c r="C8" s="109"/>
      <c r="D8" s="108" cm="1">
        <f t="array" ref="D8">(SUM(VLOOKUP(I8:AF8,$AM$4:$AO$44,2,FALSE))+AG8*10)*IF(AK8="是",$AZ$4,$AZ$3)</f>
        <v>0</v>
      </c>
      <c r="E8" s="169">
        <f>SUM($B$4:B8)+SUM($C$4:C8)-SUM($D$4:D8)</f>
        <v>4610</v>
      </c>
      <c r="F8" s="108" cm="1">
        <f t="array" ref="F8">SUM(VLOOKUP(I8:AF8,$AM$4:$AO$44,3,FALSE))</f>
        <v>0</v>
      </c>
      <c r="G8" s="122">
        <f>SUM($F$4:F8)+SUM($H$4:H8)</f>
        <v>3785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0</v>
      </c>
      <c r="AS8" s="19">
        <f t="shared" si="1"/>
        <v>0</v>
      </c>
      <c r="AT8" s="19">
        <f t="shared" si="2"/>
        <v>0</v>
      </c>
      <c r="AU8" s="143">
        <f t="shared" si="6"/>
        <v>0</v>
      </c>
      <c r="AV8" s="50">
        <f t="shared" si="7"/>
        <v>0</v>
      </c>
      <c r="AW8" s="50">
        <f t="shared" si="3"/>
        <v>0</v>
      </c>
      <c r="AX8" s="50">
        <f t="shared" si="3"/>
        <v>0</v>
      </c>
      <c r="AY8" s="214"/>
      <c r="AZ8" s="214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15">
        <v>44825</v>
      </c>
      <c r="B9" s="109">
        <v>1600</v>
      </c>
      <c r="C9" s="109"/>
      <c r="D9" s="155" cm="1">
        <f t="array" ref="D9">(SUM(VLOOKUP(I9:AF9,$AM$4:$AO$44,2,FALSE))+AG9*10)*IF(AK9="是",$AZ$4,$AZ$3)-50</f>
        <v>-30</v>
      </c>
      <c r="E9" s="169">
        <f>SUM($B$4:B9)+SUM($C$4:C9)-SUM($D$4:D9)</f>
        <v>6240</v>
      </c>
      <c r="F9" s="108" cm="1">
        <f t="array" ref="F9">SUM(VLOOKUP(I9:AF9,$AM$4:$AO$44,3,FALSE))</f>
        <v>0</v>
      </c>
      <c r="G9" s="122">
        <f>SUM($F$4:F9)+SUM($H$4:H9)</f>
        <v>3985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2</v>
      </c>
      <c r="AH9" s="111"/>
      <c r="AI9" s="111">
        <v>2</v>
      </c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0</v>
      </c>
      <c r="AT9" s="19">
        <f t="shared" si="2"/>
        <v>0</v>
      </c>
      <c r="AU9" s="143">
        <f t="shared" si="6"/>
        <v>0</v>
      </c>
      <c r="AV9" s="50">
        <f t="shared" si="7"/>
        <v>0</v>
      </c>
      <c r="AW9" s="50">
        <f t="shared" si="3"/>
        <v>0</v>
      </c>
      <c r="AX9" s="50">
        <f t="shared" si="3"/>
        <v>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15">
        <v>44826</v>
      </c>
      <c r="B10" s="109">
        <v>1600</v>
      </c>
      <c r="C10" s="109"/>
      <c r="D10" s="108" cm="1">
        <f t="array" ref="D10">(SUM(VLOOKUP(I10:AF10,$AM$4:$AO$44,2,FALSE))+AG10*10)*IF(AK10="是",$AZ$4,$AZ$3)</f>
        <v>0</v>
      </c>
      <c r="E10" s="169">
        <f>SUM($B$4:B10)+SUM($C$4:C10)-SUM($D$4:D10)</f>
        <v>7840</v>
      </c>
      <c r="F10" s="108" cm="1">
        <f t="array" ref="F10">SUM(VLOOKUP(I10:AF10,$AM$4:$AO$44,3,FALSE))</f>
        <v>0</v>
      </c>
      <c r="G10" s="122">
        <f>SUM($F$4:F10)+SUM($H$4:H10)</f>
        <v>3985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30</v>
      </c>
      <c r="AM10" s="144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15">
        <v>44827</v>
      </c>
      <c r="B11" s="109">
        <v>1600</v>
      </c>
      <c r="C11" s="109"/>
      <c r="D11" s="113" cm="1">
        <f t="array" ref="D11">(SUM(VLOOKUP(I11:AF11,$AM$4:$AO$44,2,FALSE))+AG11*10)*IF(AK11="是",$AZ$4,$AZ$3)-132</f>
        <v>-132</v>
      </c>
      <c r="E11" s="169">
        <f>SUM($B$4:B11)+SUM($C$4:C11)-SUM($D$4:D11)</f>
        <v>9572</v>
      </c>
      <c r="F11" s="108" cm="1">
        <f t="array" ref="F11">SUM(VLOOKUP(I11:AF11,$AM$4:$AO$44,3,FALSE))</f>
        <v>0</v>
      </c>
      <c r="G11" s="122">
        <f>SUM($F$4:F11)+SUM($H$4:H11)</f>
        <v>3985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30</v>
      </c>
      <c r="AM11" s="145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0</v>
      </c>
      <c r="AS11" s="19">
        <f t="shared" si="1"/>
        <v>0</v>
      </c>
      <c r="AT11" s="19">
        <f t="shared" si="2"/>
        <v>0</v>
      </c>
      <c r="AU11" s="143">
        <f t="shared" si="6"/>
        <v>0</v>
      </c>
      <c r="AV11" s="50">
        <f t="shared" si="7"/>
        <v>0</v>
      </c>
      <c r="AW11" s="50">
        <f t="shared" si="3"/>
        <v>0</v>
      </c>
      <c r="AX11" s="50">
        <f t="shared" si="3"/>
        <v>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15">
        <v>44828</v>
      </c>
      <c r="B12" s="109">
        <v>1600</v>
      </c>
      <c r="C12" s="109"/>
      <c r="D12" s="108" cm="1">
        <f t="array" ref="D12">(SUM(VLOOKUP(I12:AF12,$AM$4:$AO$44,2,FALSE))+AG12*10)*IF(AK12="是",$AZ$4,$AZ$3)</f>
        <v>0</v>
      </c>
      <c r="E12" s="169">
        <f>SUM($B$4:B12)+SUM($C$4:C12)-SUM($D$4:D12)</f>
        <v>11172</v>
      </c>
      <c r="F12" s="108" cm="1">
        <f t="array" ref="F12">SUM(VLOOKUP(I12:AF12,$AM$4:$AO$44,3,FALSE))</f>
        <v>0</v>
      </c>
      <c r="G12" s="122">
        <f>SUM($F$4:F12)+SUM($H$4:H12)</f>
        <v>3985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6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0</v>
      </c>
      <c r="AS12" s="19">
        <f t="shared" si="1"/>
        <v>0</v>
      </c>
      <c r="AT12" s="19">
        <f t="shared" si="2"/>
        <v>0</v>
      </c>
      <c r="AU12" s="143">
        <f t="shared" si="6"/>
        <v>0</v>
      </c>
      <c r="AV12" s="50">
        <f t="shared" si="7"/>
        <v>0</v>
      </c>
      <c r="AW12" s="50">
        <f t="shared" si="3"/>
        <v>0</v>
      </c>
      <c r="AX12" s="50">
        <f t="shared" si="3"/>
        <v>0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15">
        <v>44829</v>
      </c>
      <c r="B13" s="109">
        <v>1600</v>
      </c>
      <c r="C13" s="109"/>
      <c r="D13" s="108" cm="1">
        <f t="array" ref="D13">(SUM(VLOOKUP(I13:AF13,$AM$4:$AO$44,2,FALSE))+AG13*10)*IF(AK13="是",$AZ$4,$AZ$3)</f>
        <v>0</v>
      </c>
      <c r="E13" s="169">
        <f>SUM($B$4:B13)+SUM($C$4:C13)-SUM($D$4:D13)</f>
        <v>12772</v>
      </c>
      <c r="F13" s="108" cm="1">
        <f t="array" ref="F13">SUM(VLOOKUP(I13:AF13,$AM$4:$AO$44,3,FALSE))</f>
        <v>0</v>
      </c>
      <c r="G13" s="122">
        <f>SUM($F$4:F13)+SUM($H$4:H13)</f>
        <v>3985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11"/>
        <v>0</v>
      </c>
      <c r="AS13" s="19">
        <f t="shared" si="1"/>
        <v>0</v>
      </c>
      <c r="AT13" s="19">
        <f t="shared" si="2"/>
        <v>0</v>
      </c>
      <c r="AU13" s="143">
        <f t="shared" si="6"/>
        <v>0</v>
      </c>
      <c r="AV13" s="50">
        <f t="shared" si="7"/>
        <v>0</v>
      </c>
      <c r="AW13" s="50">
        <f t="shared" si="3"/>
        <v>0</v>
      </c>
      <c r="AX13" s="50">
        <f t="shared" si="3"/>
        <v>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44830</v>
      </c>
      <c r="B14" s="108">
        <v>1600</v>
      </c>
      <c r="C14" s="108"/>
      <c r="D14" s="108" cm="1">
        <f t="array" ref="D14">(SUM(VLOOKUP(I14:AF14,$AM$4:$AO$44,2,FALSE))+AG14*10)*IF(AK14="是",$AZ$4,$AZ$3)</f>
        <v>8</v>
      </c>
      <c r="E14" s="169">
        <f>SUM($B$4:B14)+SUM($C$4:C14)-SUM($D$4:D14)</f>
        <v>14364</v>
      </c>
      <c r="F14" s="108" cm="1">
        <f t="array" ref="F14">SUM(VLOOKUP(I14:AF14,$AM$4:$AO$44,3,FALSE))</f>
        <v>0</v>
      </c>
      <c r="G14" s="122">
        <f>SUM($F$4:F14)+SUM($H$4:H14)</f>
        <v>4285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1</v>
      </c>
      <c r="AH14" s="111"/>
      <c r="AI14" s="111">
        <v>1</v>
      </c>
      <c r="AJ14" s="111"/>
      <c r="AK14" s="112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11"/>
        <v>0</v>
      </c>
      <c r="AS14" s="19">
        <f t="shared" si="1"/>
        <v>0</v>
      </c>
      <c r="AT14" s="19">
        <f t="shared" si="2"/>
        <v>0</v>
      </c>
      <c r="AU14" s="143">
        <f t="shared" si="6"/>
        <v>0</v>
      </c>
      <c r="AV14" s="50">
        <f t="shared" si="7"/>
        <v>0</v>
      </c>
      <c r="AW14" s="50">
        <f t="shared" si="3"/>
        <v>0</v>
      </c>
      <c r="AX14" s="50">
        <f t="shared" si="3"/>
        <v>0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15">
        <v>44831</v>
      </c>
      <c r="B15" s="108">
        <v>1600</v>
      </c>
      <c r="C15" s="108"/>
      <c r="D15" s="108" cm="1">
        <f t="array" ref="D15">(SUM(VLOOKUP(I15:AF15,$AM$4:$AO$44,2,FALSE))+AG15*10)*IF(AK15="是",$AZ$4,$AZ$3)</f>
        <v>16</v>
      </c>
      <c r="E15" s="169">
        <f>SUM($B$4:B15)+SUM($C$4:C15)-SUM($D$4:D15)</f>
        <v>15948</v>
      </c>
      <c r="F15" s="108" cm="1">
        <f t="array" ref="F15">SUM(VLOOKUP(I15:AF15,$AM$4:$AO$44,3,FALSE))</f>
        <v>0</v>
      </c>
      <c r="G15" s="122">
        <f>SUM($F$4:F15)+SUM($H$4:H15)</f>
        <v>4285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2</v>
      </c>
      <c r="AH15" s="111"/>
      <c r="AI15" s="111">
        <v>2</v>
      </c>
      <c r="AJ15" s="111"/>
      <c r="AK15" s="112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0</v>
      </c>
      <c r="AT15" s="19">
        <f t="shared" si="2"/>
        <v>0</v>
      </c>
      <c r="AU15" s="143">
        <f t="shared" si="6"/>
        <v>0</v>
      </c>
      <c r="AV15" s="50">
        <f t="shared" si="7"/>
        <v>0</v>
      </c>
      <c r="AW15" s="50">
        <f t="shared" si="3"/>
        <v>0</v>
      </c>
      <c r="AX15" s="50">
        <f t="shared" si="3"/>
        <v>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15">
        <v>44832</v>
      </c>
      <c r="B16" s="108">
        <v>1600</v>
      </c>
      <c r="C16" s="108"/>
      <c r="D16" s="108" cm="1">
        <f t="array" ref="D16">(SUM(VLOOKUP(I16:AF16,$AM$4:$AO$44,2,FALSE))+AG16*10)*IF(AK16="是",$AZ$4,$AZ$3)</f>
        <v>0</v>
      </c>
      <c r="E16" s="169">
        <f>SUM($B$4:B16)+SUM($C$4:C16)-SUM($D$4:D16)</f>
        <v>17548</v>
      </c>
      <c r="F16" s="108" cm="1">
        <f t="array" ref="F16">SUM(VLOOKUP(I16:AF16,$AM$4:$AO$44,3,FALSE))</f>
        <v>0</v>
      </c>
      <c r="G16" s="122">
        <f>SUM($F$4:F16)+SUM($H$4:H16)</f>
        <v>4485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44833</v>
      </c>
      <c r="B17" s="108">
        <v>1600</v>
      </c>
      <c r="C17" s="108"/>
      <c r="D17" s="108" cm="1">
        <f t="array" ref="D17">(SUM(VLOOKUP(I17:AF17,$AM$4:$AO$44,2,FALSE))+AG17*10)*IF(AK17="是",$AZ$4,$AZ$3)</f>
        <v>0</v>
      </c>
      <c r="E17" s="169">
        <f>SUM($B$4:B17)+SUM($C$4:C17)-SUM($D$4:D17)</f>
        <v>19148</v>
      </c>
      <c r="F17" s="108" cm="1">
        <f t="array" ref="F17">SUM(VLOOKUP(I17:AF17,$AM$4:$AO$44,3,FALSE))</f>
        <v>0</v>
      </c>
      <c r="G17" s="122">
        <f>SUM($F$4:F17)+SUM($H$4:H17)</f>
        <v>4485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0</v>
      </c>
      <c r="AS17" s="19">
        <f t="shared" si="1"/>
        <v>2</v>
      </c>
      <c r="AT17" s="19">
        <f t="shared" si="2"/>
        <v>2</v>
      </c>
      <c r="AU17" s="143">
        <f t="shared" si="6"/>
        <v>4</v>
      </c>
      <c r="AV17" s="50">
        <f t="shared" si="7"/>
        <v>0</v>
      </c>
      <c r="AW17" s="50">
        <f t="shared" si="3"/>
        <v>60</v>
      </c>
      <c r="AX17" s="50">
        <f t="shared" si="3"/>
        <v>60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44834</v>
      </c>
      <c r="B18" s="108">
        <v>1600</v>
      </c>
      <c r="C18" s="108"/>
      <c r="D18" s="108" cm="1">
        <f t="array" ref="D18">(SUM(VLOOKUP(I18:AF18,$AM$4:$AO$44,2,FALSE))+AG18*10)*IF(AK18="是",$AZ$4,$AZ$3)</f>
        <v>0</v>
      </c>
      <c r="E18" s="169">
        <f>SUM($B$4:B18)+SUM($C$4:C18)-SUM($D$4:D18)</f>
        <v>20748</v>
      </c>
      <c r="F18" s="108" cm="1">
        <f t="array" ref="F18">SUM(VLOOKUP(I18:AF18,$AM$4:$AO$44,3,FALSE))</f>
        <v>0</v>
      </c>
      <c r="G18" s="122">
        <f>SUM($F$4:F18)+SUM($H$4:H18)</f>
        <v>4485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0</v>
      </c>
      <c r="AS18" s="19">
        <f t="shared" si="1"/>
        <v>0</v>
      </c>
      <c r="AT18" s="19">
        <f t="shared" si="2"/>
        <v>2</v>
      </c>
      <c r="AU18" s="143">
        <f t="shared" si="6"/>
        <v>2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44835</v>
      </c>
      <c r="B19" s="108">
        <v>1600</v>
      </c>
      <c r="C19" s="108"/>
      <c r="D19" s="108" cm="1">
        <f t="array" ref="D19">(SUM(VLOOKUP(I19:AF19,$AM$4:$AO$44,2,FALSE))+AG19*10)*IF(AK19="是",$AZ$4,$AZ$3)</f>
        <v>0</v>
      </c>
      <c r="E19" s="169">
        <f>SUM($B$4:B19)+SUM($C$4:C19)-SUM($D$4:D19)</f>
        <v>22348</v>
      </c>
      <c r="F19" s="108" cm="1">
        <f t="array" ref="F19">SUM(VLOOKUP(I19:AF19,$AM$4:$AO$44,3,FALSE))</f>
        <v>0</v>
      </c>
      <c r="G19" s="122">
        <f>SUM($F$4:F19)+SUM($H$4:H19)</f>
        <v>4485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0</v>
      </c>
      <c r="AS19" s="19">
        <f t="shared" si="1"/>
        <v>0</v>
      </c>
      <c r="AT19" s="19">
        <f t="shared" si="2"/>
        <v>1</v>
      </c>
      <c r="AU19" s="143">
        <f t="shared" si="6"/>
        <v>1</v>
      </c>
      <c r="AV19" s="50">
        <f t="shared" si="7"/>
        <v>0</v>
      </c>
      <c r="AW19" s="50">
        <f t="shared" si="3"/>
        <v>0</v>
      </c>
      <c r="AX19" s="50">
        <f t="shared" si="3"/>
        <v>200</v>
      </c>
      <c r="BA19" s="53">
        <f t="shared" si="10"/>
        <v>1</v>
      </c>
      <c r="BB19">
        <f t="shared" si="9"/>
        <v>200</v>
      </c>
      <c r="BC19">
        <v>3</v>
      </c>
    </row>
    <row r="20" spans="1:55">
      <c r="A20" s="115">
        <v>44836</v>
      </c>
      <c r="B20" s="108">
        <v>1600</v>
      </c>
      <c r="C20" s="108"/>
      <c r="D20" s="108" cm="1">
        <f t="array" ref="D20">(SUM(VLOOKUP(I20:AF20,$AM$4:$AO$44,2,FALSE))+AG20*10)*IF(AK20="是",$AZ$4,$AZ$3)</f>
        <v>0</v>
      </c>
      <c r="E20" s="169">
        <f>SUM($B$4:B20)+SUM($C$4:C20)-SUM($D$4:D20)</f>
        <v>23948</v>
      </c>
      <c r="F20" s="108" cm="1">
        <f t="array" ref="F20">SUM(VLOOKUP(I20:AF20,$AM$4:$AO$44,3,FALSE))</f>
        <v>0</v>
      </c>
      <c r="G20" s="122">
        <f>SUM($F$4:F20)+SUM($H$4:H20)</f>
        <v>4485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0</v>
      </c>
      <c r="AS20" s="19">
        <f t="shared" si="1"/>
        <v>1</v>
      </c>
      <c r="AT20" s="19">
        <f t="shared" si="2"/>
        <v>1</v>
      </c>
      <c r="AU20" s="143">
        <f t="shared" si="6"/>
        <v>2</v>
      </c>
      <c r="AV20" s="50">
        <f t="shared" si="7"/>
        <v>0</v>
      </c>
      <c r="AW20" s="50">
        <f t="shared" si="7"/>
        <v>45</v>
      </c>
      <c r="AX20" s="50">
        <f t="shared" si="7"/>
        <v>45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44837</v>
      </c>
      <c r="B21" s="109">
        <v>1600</v>
      </c>
      <c r="C21" s="109"/>
      <c r="D21" s="108" cm="1">
        <f t="array" ref="D21">(SUM(VLOOKUP(I21:AF21,$AM$4:$AO$44,2,FALSE))+AG21*10)*IF(AK21="是",$AZ$4,$AZ$3)</f>
        <v>0</v>
      </c>
      <c r="E21" s="169">
        <f>SUM($B$4:B21)+SUM($C$4:C21)-SUM($D$4:D21)</f>
        <v>25548</v>
      </c>
      <c r="F21" s="108" cm="1">
        <f t="array" ref="F21">SUM(VLOOKUP(I21:AF21,$AM$4:$AO$44,3,FALSE))</f>
        <v>0</v>
      </c>
      <c r="G21" s="122">
        <f>SUM($F$4:F21)+SUM($H$4:H21)</f>
        <v>4685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44838</v>
      </c>
      <c r="B22" s="109">
        <v>1600</v>
      </c>
      <c r="C22" s="109"/>
      <c r="D22" s="108" cm="1">
        <f t="array" ref="D22">(SUM(VLOOKUP(I22:AF22,$AM$4:$AO$44,2,FALSE))+AG22*10)*IF(AK22="是",$AZ$4,$AZ$3)</f>
        <v>0</v>
      </c>
      <c r="E22" s="169">
        <f>SUM($B$4:B22)+SUM($C$4:C22)-SUM($D$4:D22)</f>
        <v>27148</v>
      </c>
      <c r="F22" s="108" cm="1">
        <f t="array" ref="F22">SUM(VLOOKUP(I22:AF22,$AM$4:$AO$44,3,FALSE))</f>
        <v>0</v>
      </c>
      <c r="G22" s="122">
        <f>SUM($F$4:F22)+SUM($H$4:H22)</f>
        <v>4785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0</v>
      </c>
      <c r="AT22" s="19">
        <f t="shared" si="2"/>
        <v>0</v>
      </c>
      <c r="AU22" s="143">
        <f t="shared" si="6"/>
        <v>0</v>
      </c>
      <c r="AV22" s="50">
        <f t="shared" si="7"/>
        <v>0</v>
      </c>
      <c r="AW22" s="50">
        <f t="shared" si="7"/>
        <v>0</v>
      </c>
      <c r="AX22" s="50">
        <f t="shared" si="7"/>
        <v>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44839</v>
      </c>
      <c r="B23" s="109">
        <v>1600</v>
      </c>
      <c r="C23" s="109"/>
      <c r="D23" s="108" cm="1">
        <f t="array" ref="D23">(SUM(VLOOKUP(I23:AF23,$AM$4:$AO$44,2,FALSE))+AG23*10)*IF(AK23="是",$AZ$4,$AZ$3)</f>
        <v>0</v>
      </c>
      <c r="E23" s="169">
        <f>SUM($B$4:B23)+SUM($C$4:C23)-SUM($D$4:D23)</f>
        <v>28748</v>
      </c>
      <c r="F23" s="108" cm="1">
        <f t="array" ref="F23">SUM(VLOOKUP(I23:AF23,$AM$4:$AO$44,3,FALSE))</f>
        <v>0</v>
      </c>
      <c r="G23" s="122">
        <f>SUM($F$4:F23)+SUM($H$4:H23)</f>
        <v>4985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0</v>
      </c>
      <c r="AS23" s="19">
        <f t="shared" si="1"/>
        <v>0</v>
      </c>
      <c r="AT23" s="19">
        <f t="shared" si="2"/>
        <v>0</v>
      </c>
      <c r="AU23" s="143">
        <f t="shared" si="6"/>
        <v>0</v>
      </c>
      <c r="AV23" s="50">
        <f t="shared" si="7"/>
        <v>0</v>
      </c>
      <c r="AW23" s="50">
        <f t="shared" si="7"/>
        <v>0</v>
      </c>
      <c r="AX23" s="50">
        <f t="shared" si="7"/>
        <v>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44840</v>
      </c>
      <c r="B24" s="109">
        <v>1600</v>
      </c>
      <c r="C24" s="109"/>
      <c r="D24" s="108" cm="1">
        <f t="array" ref="D24">(SUM(VLOOKUP(I24:AF24,$AM$4:$AO$44,2,FALSE))+AG24*10)*IF(AK24="是",$AZ$4,$AZ$3)</f>
        <v>0</v>
      </c>
      <c r="E24" s="169">
        <f>SUM($B$4:B24)+SUM($C$4:C24)-SUM($D$4:D24)</f>
        <v>30348</v>
      </c>
      <c r="F24" s="108" cm="1">
        <f t="array" ref="F24">SUM(VLOOKUP(I24:AF24,$AM$4:$AO$44,3,FALSE))</f>
        <v>0</v>
      </c>
      <c r="G24" s="122">
        <f>SUM($F$4:F24)+SUM($H$4:H24)</f>
        <v>4985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44841</v>
      </c>
      <c r="B25" s="109">
        <v>1600</v>
      </c>
      <c r="C25" s="109"/>
      <c r="D25" s="108" cm="1">
        <f t="array" ref="D25">(SUM(VLOOKUP(I25:AF25,$AM$4:$AO$44,2,FALSE))+AG25*10)*IF(AK25="是",$AZ$4,$AZ$3)</f>
        <v>0</v>
      </c>
      <c r="E25" s="169">
        <f>SUM($B$4:B25)+SUM($C$4:C25)-SUM($D$4:D25)</f>
        <v>31948</v>
      </c>
      <c r="F25" s="108" cm="1">
        <f t="array" ref="F25">SUM(VLOOKUP(I25:AF25,$AM$4:$AO$44,3,FALSE))</f>
        <v>0</v>
      </c>
      <c r="G25" s="122">
        <f>SUM($F$4:F25)+SUM($H$4:H25)</f>
        <v>4985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44842</v>
      </c>
      <c r="B26" s="109">
        <v>1600</v>
      </c>
      <c r="C26" s="109"/>
      <c r="D26" s="155" cm="1">
        <f t="array" ref="D26">(SUM(VLOOKUP(I26:AF26,$AM$4:$AO$44,2,FALSE))+AG26*10)*IF(AK26="是",$AZ$4,$AZ$3)-40</f>
        <v>-40</v>
      </c>
      <c r="E26" s="169">
        <f>SUM($B$4:B26)+SUM($C$4:C26)-SUM($D$4:D26)</f>
        <v>33588</v>
      </c>
      <c r="F26" s="108" cm="1">
        <f t="array" ref="F26">SUM(VLOOKUP(I26:AF26,$AM$4:$AO$44,3,FALSE))</f>
        <v>0</v>
      </c>
      <c r="G26" s="122">
        <f>SUM($F$4:F26)+SUM($H$4:H26)</f>
        <v>4985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44843</v>
      </c>
      <c r="B27" s="109">
        <v>1600</v>
      </c>
      <c r="C27" s="109"/>
      <c r="D27" s="108" cm="1">
        <f t="array" ref="D27">(SUM(VLOOKUP(I27:AF27,$AM$4:$AO$44,2,FALSE))+AG27*10)*IF(AK27="是",$AZ$4,$AZ$3)</f>
        <v>0</v>
      </c>
      <c r="E27" s="169">
        <f>SUM($B$4:B27)+SUM($C$4:C27)-SUM($D$4:D27)</f>
        <v>35188</v>
      </c>
      <c r="F27" s="108" cm="1">
        <f t="array" ref="F27">SUM(VLOOKUP(I27:AF27,$AM$4:$AO$44,3,FALSE))</f>
        <v>0</v>
      </c>
      <c r="G27" s="122">
        <f>SUM($F$4:F27)+SUM($H$4:H27)</f>
        <v>4985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" thickBot="1">
      <c r="A28" s="115">
        <v>44844</v>
      </c>
      <c r="B28" s="108">
        <v>1600</v>
      </c>
      <c r="C28" s="108"/>
      <c r="D28" s="108" cm="1">
        <f t="array" ref="D28">(SUM(VLOOKUP(I28:AF28,$AM$4:$AO$44,2,FALSE))+AG28*10)*IF(AK28="是",$AZ$4,$AZ$3)</f>
        <v>0</v>
      </c>
      <c r="E28" s="169">
        <f>SUM($B$4:B28)+SUM($C$4:C28)-SUM($D$4:D28)</f>
        <v>36788</v>
      </c>
      <c r="F28" s="108" cm="1">
        <f t="array" ref="F28">SUM(VLOOKUP(I28:AF28,$AM$4:$AO$44,3,FALSE))</f>
        <v>0</v>
      </c>
      <c r="G28" s="122">
        <f>SUM($F$4:F28)+SUM($H$4:H28)</f>
        <v>5285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0</v>
      </c>
      <c r="AS28" s="19">
        <f>COUNTIF($Q$4:$X$94,AM28)</f>
        <v>0</v>
      </c>
      <c r="AT28" s="19">
        <f>COUNTIF($Y$4:$AF$94,AM28)</f>
        <v>0</v>
      </c>
      <c r="AU28" s="143">
        <f>AR28+AS28+AT28</f>
        <v>0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44845</v>
      </c>
      <c r="B29" s="108">
        <v>1600</v>
      </c>
      <c r="C29" s="108"/>
      <c r="D29" s="108" cm="1">
        <f t="array" ref="D29">(SUM(VLOOKUP(I29:AF29,$AM$4:$AO$44,2,FALSE))+AG29*10)*IF(AK29="是",$AZ$4,$AZ$3)</f>
        <v>0</v>
      </c>
      <c r="E29" s="169">
        <f>SUM($B$4:B29)+SUM($C$4:C29)-SUM($D$4:D29)</f>
        <v>38388</v>
      </c>
      <c r="F29" s="108" cm="1">
        <f t="array" ref="F29">SUM(VLOOKUP(I29:AF29,$AM$4:$AO$44,3,FALSE))</f>
        <v>0</v>
      </c>
      <c r="G29" s="122">
        <f>SUM($F$4:F29)+SUM($H$4:H29)</f>
        <v>5285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0</v>
      </c>
      <c r="AS29" s="123">
        <f>COUNTIF($Q$4:$X$94,AM29)</f>
        <v>0</v>
      </c>
      <c r="AT29" s="123">
        <f>COUNTIF($Y$4:$AF$94,AM29)</f>
        <v>1</v>
      </c>
      <c r="AU29" s="123">
        <f>AR29+AS29+AT29</f>
        <v>1</v>
      </c>
      <c r="AV29" s="4">
        <f t="shared" si="7"/>
        <v>0</v>
      </c>
      <c r="AW29" s="4">
        <f t="shared" si="7"/>
        <v>0</v>
      </c>
      <c r="AX29" s="4">
        <f t="shared" si="7"/>
        <v>520</v>
      </c>
      <c r="BB29">
        <f t="shared" si="9"/>
        <v>40</v>
      </c>
      <c r="BC29">
        <v>3</v>
      </c>
    </row>
    <row r="30" spans="1:55">
      <c r="A30" s="115">
        <v>44846</v>
      </c>
      <c r="B30" s="108">
        <v>1600</v>
      </c>
      <c r="C30" s="108"/>
      <c r="D30" s="108" cm="1">
        <f t="array" ref="D30">(SUM(VLOOKUP(I30:AF30,$AM$4:$AO$44,2,FALSE))+AG30*10)*IF(AK30="是",$AZ$4,$AZ$3)</f>
        <v>0</v>
      </c>
      <c r="E30" s="169">
        <f>SUM($B$4:B30)+SUM($C$4:C30)-SUM($D$4:D30)</f>
        <v>39988</v>
      </c>
      <c r="F30" s="108" cm="1">
        <f t="array" ref="F30">SUM(VLOOKUP(I30:AF30,$AM$4:$AO$44,3,FALSE))</f>
        <v>0</v>
      </c>
      <c r="G30" s="122">
        <f>SUM($F$4:F30)+SUM($H$4:H30)</f>
        <v>5485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44847</v>
      </c>
      <c r="B31" s="108">
        <v>1600</v>
      </c>
      <c r="C31" s="108"/>
      <c r="D31" s="108" cm="1">
        <f t="array" ref="D31">(SUM(VLOOKUP(I31:AF31,$AM$4:$AO$44,2,FALSE))+AG31*10)*IF(AK31="是",$AZ$4,$AZ$3)</f>
        <v>0</v>
      </c>
      <c r="E31" s="169">
        <f>SUM($B$4:B31)+SUM($C$4:C31)-SUM($D$4:D31)</f>
        <v>41588</v>
      </c>
      <c r="F31" s="108" cm="1">
        <f t="array" ref="F31">SUM(VLOOKUP(I31:AF31,$AM$4:$AO$44,3,FALSE))</f>
        <v>0</v>
      </c>
      <c r="G31" s="122">
        <f>SUM($F$4:F31)+SUM($H$4:H31)</f>
        <v>5485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44848</v>
      </c>
      <c r="B32" s="108">
        <v>1600</v>
      </c>
      <c r="C32" s="108"/>
      <c r="D32" s="108" cm="1">
        <f t="array" ref="D32">(SUM(VLOOKUP(I32:AF32,$AM$4:$AO$44,2,FALSE))+AG32*10)*IF(AK32="是",$AZ$4,$AZ$3)</f>
        <v>0</v>
      </c>
      <c r="E32" s="169">
        <f>SUM($B$4:B32)+SUM($C$4:C32)-SUM($D$4:D32)</f>
        <v>43188</v>
      </c>
      <c r="F32" s="108" cm="1">
        <f t="array" ref="F32">SUM(VLOOKUP(I32:AF32,$AM$4:$AO$44,3,FALSE))</f>
        <v>0</v>
      </c>
      <c r="G32" s="122">
        <f>SUM($F$4:F32)+SUM($H$4:H32)</f>
        <v>5485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44849</v>
      </c>
      <c r="B33" s="108">
        <v>1600</v>
      </c>
      <c r="C33" s="108"/>
      <c r="D33" s="108" cm="1">
        <f t="array" ref="D33">(SUM(VLOOKUP(I33:AF33,$AM$4:$AO$44,2,FALSE))+AG33*10)*IF(AK33="是",$AZ$4,$AZ$3)</f>
        <v>0</v>
      </c>
      <c r="E33" s="169">
        <f>SUM($B$4:B33)+SUM($C$4:C33)-SUM($D$4:D33)</f>
        <v>44788</v>
      </c>
      <c r="F33" s="108" cm="1">
        <f t="array" ref="F33">SUM(VLOOKUP(I33:AF33,$AM$4:$AO$44,3,FALSE))</f>
        <v>0</v>
      </c>
      <c r="G33" s="122">
        <f>SUM($F$4:F33)+SUM($H$4:H33)</f>
        <v>5485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15">
        <v>44850</v>
      </c>
      <c r="B34" s="108">
        <v>1600</v>
      </c>
      <c r="C34" s="108"/>
      <c r="D34" s="108" cm="1">
        <f t="array" ref="D34">(SUM(VLOOKUP(I34:AF34,$AM$4:$AO$44,2,FALSE))+AG34*10)*IF(AK34="是",$AZ$4,$AZ$3)</f>
        <v>0</v>
      </c>
      <c r="E34" s="169">
        <f>SUM($B$4:B34)+SUM($C$4:C34)-SUM($D$4:D34)</f>
        <v>46388</v>
      </c>
      <c r="F34" s="108" cm="1">
        <f t="array" ref="F34">SUM(VLOOKUP(I34:AF34,$AM$4:$AO$44,3,FALSE))</f>
        <v>0</v>
      </c>
      <c r="G34" s="122">
        <f>SUM($F$4:F34)+SUM($H$4:H34)</f>
        <v>5485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44851</v>
      </c>
      <c r="B35" s="109">
        <v>1600</v>
      </c>
      <c r="C35" s="109"/>
      <c r="D35" s="108" cm="1">
        <f t="array" ref="D35">(SUM(VLOOKUP(I35:AF35,$AM$4:$AO$44,2,FALSE))+AG35*10)*IF(AK35="是",$AZ$4,$AZ$3)</f>
        <v>0</v>
      </c>
      <c r="E35" s="169">
        <f>SUM($B$4:B35)+SUM($C$4:C35)-SUM($D$4:D35)</f>
        <v>47988</v>
      </c>
      <c r="F35" s="108" cm="1">
        <f t="array" ref="F35">SUM(VLOOKUP(I35:AF35,$AM$4:$AO$44,3,FALSE))</f>
        <v>0</v>
      </c>
      <c r="G35" s="122">
        <f>SUM($F$4:F35)+SUM($H$4:H35)</f>
        <v>5685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44852</v>
      </c>
      <c r="B36" s="109">
        <v>1600</v>
      </c>
      <c r="C36" s="109"/>
      <c r="D36" s="108" cm="1">
        <f t="array" ref="D36">(SUM(VLOOKUP(I36:AF36,$AM$4:$AO$44,2,FALSE))+AG36*10)*IF(AK36="是",$AZ$4,$AZ$3)</f>
        <v>0</v>
      </c>
      <c r="E36" s="169">
        <f>SUM($B$4:B36)+SUM($C$4:C36)-SUM($D$4:D36)</f>
        <v>49588</v>
      </c>
      <c r="F36" s="108" cm="1">
        <f t="array" ref="F36">SUM(VLOOKUP(I36:AF36,$AM$4:$AO$44,3,FALSE))</f>
        <v>0</v>
      </c>
      <c r="G36" s="122">
        <f>SUM($F$4:F36)+SUM($H$4:H36)</f>
        <v>5785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44853</v>
      </c>
      <c r="B37" s="109">
        <v>1600</v>
      </c>
      <c r="C37" s="109"/>
      <c r="D37" s="108" cm="1">
        <f t="array" ref="D37">(SUM(VLOOKUP(I37:AF37,$AM$4:$AO$44,2,FALSE))+AG37*10)*IF(AK37="是",$AZ$4,$AZ$3)</f>
        <v>0</v>
      </c>
      <c r="E37" s="169">
        <f>SUM($B$4:B37)+SUM($C$4:C37)-SUM($D$4:D37)</f>
        <v>51188</v>
      </c>
      <c r="F37" s="108" cm="1">
        <f t="array" ref="F37">SUM(VLOOKUP(I37:AF37,$AM$4:$AO$44,3,FALSE))</f>
        <v>0</v>
      </c>
      <c r="G37" s="122">
        <f>SUM($F$4:F37)+SUM($H$4:H37)</f>
        <v>5985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44854</v>
      </c>
      <c r="B38" s="109">
        <v>1600</v>
      </c>
      <c r="C38" s="109"/>
      <c r="D38" s="108" cm="1">
        <f t="array" ref="D38">(SUM(VLOOKUP(I38:AF38,$AM$4:$AO$44,2,FALSE))+AG38*10)*IF(AK38="是",$AZ$4,$AZ$3)</f>
        <v>0</v>
      </c>
      <c r="E38" s="169">
        <f>SUM($B$4:B38)+SUM($C$4:C38)-SUM($D$4:D38)</f>
        <v>52788</v>
      </c>
      <c r="F38" s="108" cm="1">
        <f t="array" ref="F38">SUM(VLOOKUP(I38:AF38,$AM$4:$AO$44,3,FALSE))</f>
        <v>0</v>
      </c>
      <c r="G38" s="122">
        <f>SUM($F$4:F38)+SUM($H$4:H38)</f>
        <v>5985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44855</v>
      </c>
      <c r="B39" s="109">
        <v>1600</v>
      </c>
      <c r="C39" s="109"/>
      <c r="D39" s="108" cm="1">
        <f t="array" ref="D39">(SUM(VLOOKUP(I39:AF39,$AM$4:$AO$44,2,FALSE))+AG39*10)*IF(AK39="是",$AZ$4,$AZ$3)</f>
        <v>0</v>
      </c>
      <c r="E39" s="169">
        <f>SUM($B$4:B39)+SUM($C$4:C39)-SUM($D$4:D39)</f>
        <v>54388</v>
      </c>
      <c r="F39" s="108" cm="1">
        <f t="array" ref="F39">SUM(VLOOKUP(I39:AF39,$AM$4:$AO$44,3,FALSE))</f>
        <v>0</v>
      </c>
      <c r="G39" s="122">
        <f>SUM($F$4:F39)+SUM($H$4:H39)</f>
        <v>5985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44856</v>
      </c>
      <c r="B40" s="109">
        <v>1600</v>
      </c>
      <c r="C40" s="109"/>
      <c r="D40" s="108" cm="1">
        <f t="array" ref="D40">(SUM(VLOOKUP(I40:AF40,$AM$4:$AO$44,2,FALSE))+AG40*10)*IF(AK40="是",$AZ$4,$AZ$3)</f>
        <v>0</v>
      </c>
      <c r="E40" s="169">
        <f>SUM($B$4:B40)+SUM($C$4:C40)-SUM($D$4:D40)</f>
        <v>55988</v>
      </c>
      <c r="F40" s="108" cm="1">
        <f t="array" ref="F40">SUM(VLOOKUP(I40:AF40,$AM$4:$AO$44,3,FALSE))</f>
        <v>0</v>
      </c>
      <c r="G40" s="122">
        <f>SUM($F$4:F40)+SUM($H$4:H40)</f>
        <v>5985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44857</v>
      </c>
      <c r="B41" s="109">
        <v>1600</v>
      </c>
      <c r="C41" s="109"/>
      <c r="D41" s="108" cm="1">
        <f t="array" ref="D41">(SUM(VLOOKUP(I41:AF41,$AM$4:$AO$44,2,FALSE))+AG41*10)*IF(AK41="是",$AZ$4,$AZ$3)</f>
        <v>0</v>
      </c>
      <c r="E41" s="169">
        <f>SUM($B$4:B41)+SUM($C$4:C41)-SUM($D$4:D41)</f>
        <v>57588</v>
      </c>
      <c r="F41" s="108" cm="1">
        <f t="array" ref="F41">SUM(VLOOKUP(I41:AF41,$AM$4:$AO$44,3,FALSE))</f>
        <v>0</v>
      </c>
      <c r="G41" s="122">
        <f>SUM($F$4:F41)+SUM($H$4:H41)</f>
        <v>5985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44858</v>
      </c>
      <c r="B42" s="108">
        <v>1600</v>
      </c>
      <c r="C42" s="108"/>
      <c r="D42" s="108" cm="1">
        <f t="array" ref="D42">(SUM(VLOOKUP(I42:AF42,$AM$4:$AO$44,2,FALSE))+AG42*10)*IF(AK42="是",$AZ$4,$AZ$3)</f>
        <v>0</v>
      </c>
      <c r="E42" s="169">
        <f>SUM($B$4:B42)+SUM($C$4:C42)-SUM($D$4:D42)</f>
        <v>59188</v>
      </c>
      <c r="F42" s="108" cm="1">
        <f t="array" ref="F42">SUM(VLOOKUP(I42:AF42,$AM$4:$AO$44,3,FALSE))</f>
        <v>0</v>
      </c>
      <c r="G42" s="122">
        <f>SUM($F$4:F42)+SUM($H$4:H42)</f>
        <v>6285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44859</v>
      </c>
      <c r="B43" s="108">
        <v>1600</v>
      </c>
      <c r="C43" s="108"/>
      <c r="D43" s="108" cm="1">
        <f t="array" ref="D43">(SUM(VLOOKUP(I43:AF43,$AM$4:$AO$44,2,FALSE))+AG43*10)*IF(AK43="是",$AZ$4,$AZ$3)</f>
        <v>0</v>
      </c>
      <c r="E43" s="169">
        <f>SUM($B$4:B43)+SUM($C$4:C43)-SUM($D$4:D43)</f>
        <v>60788</v>
      </c>
      <c r="F43" s="108" cm="1">
        <f t="array" ref="F43">SUM(VLOOKUP(I43:AF43,$AM$4:$AO$44,3,FALSE))</f>
        <v>0</v>
      </c>
      <c r="G43" s="122">
        <f>SUM($F$4:F43)+SUM($H$4:H43)</f>
        <v>6285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44860</v>
      </c>
      <c r="B44" s="108">
        <v>1600</v>
      </c>
      <c r="C44" s="108"/>
      <c r="D44" s="108" cm="1">
        <f t="array" ref="D44">(SUM(VLOOKUP(I44:AF44,$AM$4:$AO$44,2,FALSE))+AG44*10)*IF(AK44="是",$AZ$4,$AZ$3)</f>
        <v>0</v>
      </c>
      <c r="E44" s="169">
        <f>SUM($B$4:B44)+SUM($C$4:C44)-SUM($D$4:D44)</f>
        <v>62388</v>
      </c>
      <c r="F44" s="108" cm="1">
        <f t="array" ref="F44">SUM(VLOOKUP(I44:AF44,$AM$4:$AO$44,3,FALSE))</f>
        <v>0</v>
      </c>
      <c r="G44" s="122">
        <f>SUM($F$4:F44)+SUM($H$4:H44)</f>
        <v>6485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44861</v>
      </c>
      <c r="B45" s="108">
        <v>1600</v>
      </c>
      <c r="C45" s="108"/>
      <c r="D45" s="108" cm="1">
        <f t="array" ref="D45">(SUM(VLOOKUP(I45:AF45,$AM$4:$AO$44,2,FALSE))+AG45*10)*IF(AK45="是",$AZ$4,$AZ$3)</f>
        <v>0</v>
      </c>
      <c r="E45" s="169">
        <f>SUM($B$4:B45)+SUM($C$4:C45)-SUM($D$4:D45)</f>
        <v>63988</v>
      </c>
      <c r="F45" s="108" cm="1">
        <f t="array" ref="F45">SUM(VLOOKUP(I45:AF45,$AM$4:$AO$44,3,FALSE))</f>
        <v>0</v>
      </c>
      <c r="G45" s="122">
        <f>SUM($F$4:F45)+SUM($H$4:H45)</f>
        <v>6485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44862</v>
      </c>
      <c r="B46" s="108">
        <v>1600</v>
      </c>
      <c r="C46" s="108"/>
      <c r="D46" s="108" cm="1">
        <f t="array" ref="D46">(SUM(VLOOKUP(I46:AF46,$AM$4:$AO$44,2,FALSE))+AG46*10)*IF(AK46="是",$AZ$4,$AZ$3)</f>
        <v>0</v>
      </c>
      <c r="E46" s="169">
        <f>SUM($B$4:B46)+SUM($C$4:C46)-SUM($D$4:D46)</f>
        <v>65588</v>
      </c>
      <c r="F46" s="108" cm="1">
        <f t="array" ref="F46">SUM(VLOOKUP(I46:AF46,$AM$4:$AO$44,3,FALSE))</f>
        <v>0</v>
      </c>
      <c r="G46" s="122">
        <f>SUM($F$4:F46)+SUM($H$4:H46)</f>
        <v>6485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44863</v>
      </c>
      <c r="B47" s="108">
        <v>1600</v>
      </c>
      <c r="C47" s="108"/>
      <c r="D47" s="108" cm="1">
        <f t="array" ref="D47">(SUM(VLOOKUP(I47:AF47,$AM$4:$AO$44,2,FALSE))+AG47*10)*IF(AK47="是",$AZ$4,$AZ$3)</f>
        <v>0</v>
      </c>
      <c r="E47" s="169">
        <f>SUM($B$4:B47)+SUM($C$4:C47)-SUM($D$4:D47)</f>
        <v>67188</v>
      </c>
      <c r="F47" s="108" cm="1">
        <f t="array" ref="F47">SUM(VLOOKUP(I47:AF47,$AM$4:$AO$44,3,FALSE))</f>
        <v>0</v>
      </c>
      <c r="G47" s="122">
        <f>SUM($F$4:F47)+SUM($H$4:H47)</f>
        <v>6485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44864</v>
      </c>
      <c r="B48" s="108">
        <v>1600</v>
      </c>
      <c r="C48" s="108"/>
      <c r="D48" s="108" cm="1">
        <f t="array" ref="D48">(SUM(VLOOKUP(I48:AF48,$AM$4:$AO$44,2,FALSE))+AG48*10)*IF(AK48="是",$AZ$4,$AZ$3)</f>
        <v>0</v>
      </c>
      <c r="E48" s="169">
        <f>SUM($B$4:B48)+SUM($C$4:C48)-SUM($D$4:D48)</f>
        <v>68788</v>
      </c>
      <c r="F48" s="108" cm="1">
        <f t="array" ref="F48">SUM(VLOOKUP(I48:AF48,$AM$4:$AO$44,3,FALSE))</f>
        <v>0</v>
      </c>
      <c r="G48" s="122">
        <f>SUM($F$4:F48)+SUM($H$4:H48)</f>
        <v>6485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44865</v>
      </c>
      <c r="B49" s="109">
        <v>1600</v>
      </c>
      <c r="C49" s="109"/>
      <c r="D49" s="108" cm="1">
        <f t="array" ref="D49">(SUM(VLOOKUP(I49:AF49,$AM$4:$AO$44,2,FALSE))+AG49*10)*IF(AK49="是",$AZ$4,$AZ$3)</f>
        <v>0</v>
      </c>
      <c r="E49" s="169">
        <f>SUM($B$4:B49)+SUM($C$4:C49)-SUM($D$4:D49)</f>
        <v>70388</v>
      </c>
      <c r="F49" s="108" cm="1">
        <f t="array" ref="F49">SUM(VLOOKUP(I49:AF49,$AM$4:$AO$44,3,FALSE))</f>
        <v>0</v>
      </c>
      <c r="G49" s="122">
        <f>SUM($F$4:F49)+SUM($H$4:H49)</f>
        <v>6685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44866</v>
      </c>
      <c r="B50" s="109">
        <v>1600</v>
      </c>
      <c r="C50" s="109"/>
      <c r="D50" s="108" cm="1">
        <f t="array" ref="D50">(SUM(VLOOKUP(I50:AF50,$AM$4:$AO$44,2,FALSE))+AG50*10)*IF(AK50="是",$AZ$4,$AZ$3)</f>
        <v>0</v>
      </c>
      <c r="E50" s="169">
        <f>SUM($B$4:B50)+SUM($C$4:C50)-SUM($D$4:D50)</f>
        <v>71988</v>
      </c>
      <c r="F50" s="108" cm="1">
        <f t="array" ref="F50">SUM(VLOOKUP(I50:AF50,$AM$4:$AO$44,3,FALSE))</f>
        <v>0</v>
      </c>
      <c r="G50" s="122">
        <f>SUM($F$4:F50)+SUM($H$4:H50)</f>
        <v>6785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44867</v>
      </c>
      <c r="B51" s="109">
        <v>1600</v>
      </c>
      <c r="C51" s="109"/>
      <c r="D51" s="108" cm="1">
        <f t="array" ref="D51">(SUM(VLOOKUP(I51:AF51,$AM$4:$AO$44,2,FALSE))+AG51*10)*IF(AK51="是",$AZ$4,$AZ$3)</f>
        <v>0</v>
      </c>
      <c r="E51" s="169">
        <f>SUM($B$4:B51)+SUM($C$4:C51)-SUM($D$4:D51)</f>
        <v>73588</v>
      </c>
      <c r="F51" s="108" cm="1">
        <f t="array" ref="F51">SUM(VLOOKUP(I51:AF51,$AM$4:$AO$44,3,FALSE))</f>
        <v>0</v>
      </c>
      <c r="G51" s="122">
        <f>SUM($F$4:F51)+SUM($H$4:H51)</f>
        <v>6985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44868</v>
      </c>
      <c r="B52" s="109">
        <v>1600</v>
      </c>
      <c r="C52" s="109"/>
      <c r="D52" s="108" cm="1">
        <f t="array" ref="D52">(SUM(VLOOKUP(I52:AF52,$AM$4:$AO$44,2,FALSE))+AG52*10)*IF(AK52="是",$AZ$4,$AZ$3)</f>
        <v>0</v>
      </c>
      <c r="E52" s="169">
        <f>SUM($B$4:B52)+SUM($C$4:C52)-SUM($D$4:D52)</f>
        <v>75188</v>
      </c>
      <c r="F52" s="108" cm="1">
        <f t="array" ref="F52">SUM(VLOOKUP(I52:AF52,$AM$4:$AO$44,3,FALSE))</f>
        <v>0</v>
      </c>
      <c r="G52" s="122">
        <f>SUM($F$4:F52)+SUM($H$4:H52)</f>
        <v>6985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44869</v>
      </c>
      <c r="B53" s="109">
        <v>1600</v>
      </c>
      <c r="C53" s="109"/>
      <c r="D53" s="108" cm="1">
        <f t="array" ref="D53">(SUM(VLOOKUP(I53:AF53,$AM$4:$AO$44,2,FALSE))+AG53*10)*IF(AK53="是",$AZ$4,$AZ$3)</f>
        <v>0</v>
      </c>
      <c r="E53" s="169">
        <f>SUM($B$4:B53)+SUM($C$4:C53)-SUM($D$4:D53)</f>
        <v>76788</v>
      </c>
      <c r="F53" s="108" cm="1">
        <f t="array" ref="F53">SUM(VLOOKUP(I53:AF53,$AM$4:$AO$44,3,FALSE))</f>
        <v>0</v>
      </c>
      <c r="G53" s="122">
        <f>SUM($F$4:F53)+SUM($H$4:H53)</f>
        <v>6985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44870</v>
      </c>
      <c r="B54" s="109">
        <v>1600</v>
      </c>
      <c r="C54" s="109"/>
      <c r="D54" s="108" cm="1">
        <f t="array" ref="D54">(SUM(VLOOKUP(I54:AF54,$AM$4:$AO$44,2,FALSE))+AG54*10)*IF(AK54="是",$AZ$4,$AZ$3)</f>
        <v>0</v>
      </c>
      <c r="E54" s="169">
        <f>SUM($B$4:B54)+SUM($C$4:C54)-SUM($D$4:D54)</f>
        <v>78388</v>
      </c>
      <c r="F54" s="108" cm="1">
        <f t="array" ref="F54">SUM(VLOOKUP(I54:AF54,$AM$4:$AO$44,3,FALSE))</f>
        <v>0</v>
      </c>
      <c r="G54" s="122">
        <f>SUM($F$4:F54)+SUM($H$4:H54)</f>
        <v>6985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44871</v>
      </c>
      <c r="B55" s="109">
        <v>1600</v>
      </c>
      <c r="C55" s="109"/>
      <c r="D55" s="108" cm="1">
        <f t="array" ref="D55">(SUM(VLOOKUP(I55:AF55,$AM$4:$AO$44,2,FALSE))+AG55*10)*IF(AK55="是",$AZ$4,$AZ$3)</f>
        <v>0</v>
      </c>
      <c r="E55" s="169">
        <f>SUM($B$4:B55)+SUM($C$4:C55)-SUM($D$4:D55)</f>
        <v>79988</v>
      </c>
      <c r="F55" s="108" cm="1">
        <f t="array" ref="F55">SUM(VLOOKUP(I55:AF55,$AM$4:$AO$44,3,FALSE))</f>
        <v>0</v>
      </c>
      <c r="G55" s="122">
        <f>SUM($F$4:F55)+SUM($H$4:H55)</f>
        <v>6985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44872</v>
      </c>
      <c r="B56" s="108">
        <v>1600</v>
      </c>
      <c r="C56" s="108"/>
      <c r="D56" s="108" cm="1">
        <f t="array" ref="D56">(SUM(VLOOKUP(I56:AF56,$AM$4:$AO$44,2,FALSE))+AG56*10)*IF(AK56="是",$AZ$4,$AZ$3)</f>
        <v>0</v>
      </c>
      <c r="E56" s="169">
        <f>SUM($B$4:B56)+SUM($C$4:C56)-SUM($D$4:D56)</f>
        <v>81588</v>
      </c>
      <c r="F56" s="108" cm="1">
        <f t="array" ref="F56">SUM(VLOOKUP(I56:AF56,$AM$4:$AO$44,3,FALSE))</f>
        <v>0</v>
      </c>
      <c r="G56" s="122">
        <f>SUM($F$4:F56)+SUM($H$4:H56)</f>
        <v>7285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44873</v>
      </c>
      <c r="B57" s="108">
        <v>1600</v>
      </c>
      <c r="C57" s="108"/>
      <c r="D57" s="108" cm="1">
        <f t="array" ref="D57">(SUM(VLOOKUP(I57:AF57,$AM$4:$AO$44,2,FALSE))+AG57*10)*IF(AK57="是",$AZ$4,$AZ$3)</f>
        <v>0</v>
      </c>
      <c r="E57" s="169">
        <f>SUM($B$4:B57)+SUM($C$4:C57)-SUM($D$4:D57)</f>
        <v>83188</v>
      </c>
      <c r="F57" s="108" cm="1">
        <f t="array" ref="F57">SUM(VLOOKUP(I57:AF57,$AM$4:$AO$44,3,FALSE))</f>
        <v>0</v>
      </c>
      <c r="G57" s="122">
        <f>SUM($F$4:F57)+SUM($H$4:H57)</f>
        <v>7285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44874</v>
      </c>
      <c r="B58" s="108">
        <v>1600</v>
      </c>
      <c r="C58" s="108"/>
      <c r="D58" s="108" cm="1">
        <f t="array" ref="D58">(SUM(VLOOKUP(I58:AF58,$AM$4:$AO$44,2,FALSE))+AG58*10)*IF(AK58="是",$AZ$4,$AZ$3)</f>
        <v>0</v>
      </c>
      <c r="E58" s="169">
        <f>SUM($B$4:B58)+SUM($C$4:C58)-SUM($D$4:D58)</f>
        <v>84788</v>
      </c>
      <c r="F58" s="108" cm="1">
        <f t="array" ref="F58">SUM(VLOOKUP(I58:AF58,$AM$4:$AO$44,3,FALSE))</f>
        <v>0</v>
      </c>
      <c r="G58" s="122">
        <f>SUM($F$4:F58)+SUM($H$4:H58)</f>
        <v>7485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44875</v>
      </c>
      <c r="B59" s="108">
        <v>1600</v>
      </c>
      <c r="C59" s="108"/>
      <c r="D59" s="108" cm="1">
        <f t="array" ref="D59">(SUM(VLOOKUP(I59:AF59,$AM$4:$AO$44,2,FALSE))+AG59*10)*IF(AK59="是",$AZ$4,$AZ$3)</f>
        <v>0</v>
      </c>
      <c r="E59" s="169">
        <f>SUM($B$4:B59)+SUM($C$4:C59)-SUM($D$4:D59)</f>
        <v>86388</v>
      </c>
      <c r="F59" s="108" cm="1">
        <f t="array" ref="F59">SUM(VLOOKUP(I59:AF59,$AM$4:$AO$44,3,FALSE))</f>
        <v>0</v>
      </c>
      <c r="G59" s="122">
        <f>SUM($F$4:F59)+SUM($H$4:H59)</f>
        <v>7485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44876</v>
      </c>
      <c r="B60" s="108">
        <v>1600</v>
      </c>
      <c r="C60" s="108"/>
      <c r="D60" s="108" cm="1">
        <f t="array" ref="D60">(SUM(VLOOKUP(I60:AF60,$AM$4:$AO$44,2,FALSE))+AG60*10)*IF(AK60="是",$AZ$4,$AZ$3)</f>
        <v>0</v>
      </c>
      <c r="E60" s="169">
        <f>SUM($B$4:B60)+SUM($C$4:C60)-SUM($D$4:D60)</f>
        <v>87988</v>
      </c>
      <c r="F60" s="108" cm="1">
        <f t="array" ref="F60">SUM(VLOOKUP(I60:AF60,$AM$4:$AO$44,3,FALSE))</f>
        <v>0</v>
      </c>
      <c r="G60" s="122">
        <f>SUM($F$4:F60)+SUM($H$4:H60)</f>
        <v>7485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44877</v>
      </c>
      <c r="B61" s="108">
        <v>1600</v>
      </c>
      <c r="C61" s="108"/>
      <c r="D61" s="108" cm="1">
        <f t="array" ref="D61">(SUM(VLOOKUP(I61:AF61,$AM$4:$AO$44,2,FALSE))+AG61*10)*IF(AK61="是",$AZ$4,$AZ$3)</f>
        <v>0</v>
      </c>
      <c r="E61" s="169">
        <f>SUM($B$4:B61)+SUM($C$4:C61)-SUM($D$4:D61)</f>
        <v>89588</v>
      </c>
      <c r="F61" s="108" cm="1">
        <f t="array" ref="F61">SUM(VLOOKUP(I61:AF61,$AM$4:$AO$44,3,FALSE))</f>
        <v>0</v>
      </c>
      <c r="G61" s="122">
        <f>SUM($F$4:F61)+SUM($H$4:H61)</f>
        <v>7485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44878</v>
      </c>
      <c r="B62" s="108">
        <v>1600</v>
      </c>
      <c r="C62" s="108"/>
      <c r="D62" s="108" cm="1">
        <f t="array" ref="D62">(SUM(VLOOKUP(I62:AF62,$AM$4:$AO$44,2,FALSE))+AG62*10)*IF(AK62="是",$AZ$4,$AZ$3)</f>
        <v>0</v>
      </c>
      <c r="E62" s="169">
        <f>SUM($B$4:B62)+SUM($C$4:C62)-SUM($D$4:D62)</f>
        <v>91188</v>
      </c>
      <c r="F62" s="108" cm="1">
        <f t="array" ref="F62">SUM(VLOOKUP(I62:AF62,$AM$4:$AO$44,3,FALSE))</f>
        <v>0</v>
      </c>
      <c r="G62" s="122">
        <f>SUM($F$4:F62)+SUM($H$4:H62)</f>
        <v>7485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44879</v>
      </c>
      <c r="B63" s="109">
        <v>1600</v>
      </c>
      <c r="C63" s="109"/>
      <c r="D63" s="108" cm="1">
        <f t="array" ref="D63">(SUM(VLOOKUP(I63:AF63,$AM$4:$AO$44,2,FALSE))+AG63*10)*IF(AK63="是",$AZ$4,$AZ$3)</f>
        <v>0</v>
      </c>
      <c r="E63" s="169">
        <f>SUM($B$4:B63)+SUM($C$4:C63)-SUM($D$4:D63)</f>
        <v>92788</v>
      </c>
      <c r="F63" s="108" cm="1">
        <f t="array" ref="F63">SUM(VLOOKUP(I63:AF63,$AM$4:$AO$44,3,FALSE))</f>
        <v>0</v>
      </c>
      <c r="G63" s="122">
        <f>SUM($F$4:F63)+SUM($H$4:H63)</f>
        <v>7785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44880</v>
      </c>
      <c r="B64" s="109">
        <v>1600</v>
      </c>
      <c r="C64" s="109"/>
      <c r="D64" s="108" cm="1">
        <f t="array" ref="D64">(SUM(VLOOKUP(I64:AF64,$AM$4:$AO$44,2,FALSE))+AG64*10)*IF(AK64="是",$AZ$4,$AZ$3)</f>
        <v>0</v>
      </c>
      <c r="E64" s="169">
        <f>SUM($B$4:B64)+SUM($C$4:C64)-SUM($D$4:D64)</f>
        <v>94388</v>
      </c>
      <c r="F64" s="108" cm="1">
        <f t="array" ref="F64">SUM(VLOOKUP(I64:AF64,$AM$4:$AO$44,3,FALSE))</f>
        <v>0</v>
      </c>
      <c r="G64" s="122">
        <f>SUM($F$4:F64)+SUM($H$4:H64)</f>
        <v>7785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44881</v>
      </c>
      <c r="B65" s="109">
        <v>1600</v>
      </c>
      <c r="C65" s="109"/>
      <c r="D65" s="108" cm="1">
        <f t="array" ref="D65">(SUM(VLOOKUP(I65:AF65,$AM$4:$AO$44,2,FALSE))+AG65*10)*IF(AK65="是",$AZ$4,$AZ$3)</f>
        <v>0</v>
      </c>
      <c r="E65" s="169">
        <f>SUM($B$4:B65)+SUM($C$4:C65)-SUM($D$4:D65)</f>
        <v>95988</v>
      </c>
      <c r="F65" s="108" cm="1">
        <f t="array" ref="F65">SUM(VLOOKUP(I65:AF65,$AM$4:$AO$44,3,FALSE))</f>
        <v>0</v>
      </c>
      <c r="G65" s="122">
        <f>SUM($F$4:F65)+SUM($H$4:H65)</f>
        <v>7985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44882</v>
      </c>
      <c r="B66" s="109">
        <v>1600</v>
      </c>
      <c r="C66" s="109"/>
      <c r="D66" s="108" cm="1">
        <f t="array" ref="D66">(SUM(VLOOKUP(I66:AF66,$AM$4:$AO$44,2,FALSE))+AG66*10)*IF(AK66="是",$AZ$4,$AZ$3)</f>
        <v>0</v>
      </c>
      <c r="E66" s="169">
        <f>SUM($B$4:B66)+SUM($C$4:C66)-SUM($D$4:D66)</f>
        <v>97588</v>
      </c>
      <c r="F66" s="108" cm="1">
        <f t="array" ref="F66">SUM(VLOOKUP(I66:AF66,$AM$4:$AO$44,3,FALSE))</f>
        <v>0</v>
      </c>
      <c r="G66" s="122">
        <f>SUM($F$4:F66)+SUM($H$4:H66)</f>
        <v>7985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44883</v>
      </c>
      <c r="B67" s="109">
        <v>1600</v>
      </c>
      <c r="C67" s="109"/>
      <c r="D67" s="108" cm="1">
        <f t="array" ref="D67">(SUM(VLOOKUP(I67:AF67,$AM$4:$AO$44,2,FALSE))+AG67*10)*IF(AK67="是",$AZ$4,$AZ$3)</f>
        <v>0</v>
      </c>
      <c r="E67" s="169">
        <f>SUM($B$4:B67)+SUM($C$4:C67)-SUM($D$4:D67)</f>
        <v>99188</v>
      </c>
      <c r="F67" s="108" cm="1">
        <f t="array" ref="F67">SUM(VLOOKUP(I67:AF67,$AM$4:$AO$44,3,FALSE))</f>
        <v>0</v>
      </c>
      <c r="G67" s="122">
        <f>SUM($F$4:F67)+SUM($H$4:H67)</f>
        <v>7985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44884</v>
      </c>
      <c r="B68" s="109">
        <v>1600</v>
      </c>
      <c r="C68" s="109"/>
      <c r="D68" s="108" cm="1">
        <f t="array" ref="D68">(SUM(VLOOKUP(I68:AF68,$AM$4:$AO$44,2,FALSE))+AG68*10)*IF(AK68="是",$AZ$4,$AZ$3)</f>
        <v>0</v>
      </c>
      <c r="E68" s="169">
        <f>SUM($B$4:B68)+SUM($C$4:C68)-SUM($D$4:D68)</f>
        <v>100788</v>
      </c>
      <c r="F68" s="108" cm="1">
        <f t="array" ref="F68">SUM(VLOOKUP(I68:AF68,$AM$4:$AO$44,3,FALSE))</f>
        <v>0</v>
      </c>
      <c r="G68" s="122">
        <f>SUM($F$4:F68)+SUM($H$4:H68)</f>
        <v>7985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44885</v>
      </c>
      <c r="B69" s="109">
        <v>1600</v>
      </c>
      <c r="C69" s="109"/>
      <c r="D69" s="108" cm="1">
        <f t="array" ref="D69">(SUM(VLOOKUP(I69:AF69,$AM$4:$AO$44,2,FALSE))+AG69*10)*IF(AK69="是",$AZ$4,$AZ$3)</f>
        <v>0</v>
      </c>
      <c r="E69" s="169">
        <f>SUM($B$4:B69)+SUM($C$4:C69)-SUM($D$4:D69)</f>
        <v>102388</v>
      </c>
      <c r="F69" s="108" cm="1">
        <f t="array" ref="F69">SUM(VLOOKUP(I69:AF69,$AM$4:$AO$44,3,FALSE))</f>
        <v>0</v>
      </c>
      <c r="G69" s="122">
        <f>SUM($F$4:F69)+SUM($H$4:H69)</f>
        <v>7985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44886</v>
      </c>
      <c r="B70" s="108">
        <v>1600</v>
      </c>
      <c r="C70" s="108"/>
      <c r="D70" s="108" cm="1">
        <f t="array" ref="D70">(SUM(VLOOKUP(I70:AF70,$AM$4:$AO$44,2,FALSE))+AG70*10)*IF(AK70="是",$AZ$4,$AZ$3)</f>
        <v>0</v>
      </c>
      <c r="E70" s="169">
        <f>SUM($B$4:B70)+SUM($C$4:C70)-SUM($D$4:D70)</f>
        <v>103988</v>
      </c>
      <c r="F70" s="108" cm="1">
        <f t="array" ref="F70">SUM(VLOOKUP(I70:AF70,$AM$4:$AO$44,3,FALSE))</f>
        <v>0</v>
      </c>
      <c r="G70" s="122">
        <f>SUM($F$4:F70)+SUM($H$4:H70)</f>
        <v>8285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44887</v>
      </c>
      <c r="B71" s="108">
        <v>1600</v>
      </c>
      <c r="C71" s="108"/>
      <c r="D71" s="108" cm="1">
        <f t="array" ref="D71">(SUM(VLOOKUP(I71:AF71,$AM$4:$AO$44,2,FALSE))+AG71*10)*IF(AK71="是",$AZ$4,$AZ$3)</f>
        <v>0</v>
      </c>
      <c r="E71" s="169">
        <f>SUM($B$4:B71)+SUM($C$4:C71)-SUM($D$4:D71)</f>
        <v>105588</v>
      </c>
      <c r="F71" s="108" cm="1">
        <f t="array" ref="F71">SUM(VLOOKUP(I71:AF71,$AM$4:$AO$44,3,FALSE))</f>
        <v>0</v>
      </c>
      <c r="G71" s="122">
        <f>SUM($F$4:F71)+SUM($H$4:H71)</f>
        <v>8285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44888</v>
      </c>
      <c r="B72" s="108">
        <v>1600</v>
      </c>
      <c r="C72" s="108"/>
      <c r="D72" s="108" cm="1">
        <f t="array" ref="D72">(SUM(VLOOKUP(I72:AF72,$AM$4:$AO$44,2,FALSE))+AG72*10)*IF(AK72="是",$AZ$4,$AZ$3)</f>
        <v>0</v>
      </c>
      <c r="E72" s="169">
        <f>SUM($B$4:B72)+SUM($C$4:C72)-SUM($D$4:D72)</f>
        <v>107188</v>
      </c>
      <c r="F72" s="108" cm="1">
        <f t="array" ref="F72">SUM(VLOOKUP(I72:AF72,$AM$4:$AO$44,3,FALSE))</f>
        <v>0</v>
      </c>
      <c r="G72" s="122">
        <f>SUM($F$4:F72)+SUM($H$4:H72)</f>
        <v>8485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44889</v>
      </c>
      <c r="B73" s="108">
        <v>1600</v>
      </c>
      <c r="C73" s="108"/>
      <c r="D73" s="108" cm="1">
        <f t="array" ref="D73">(SUM(VLOOKUP(I73:AF73,$AM$4:$AO$44,2,FALSE))+AG73*10)*IF(AK73="是",$AZ$4,$AZ$3)</f>
        <v>0</v>
      </c>
      <c r="E73" s="169">
        <f>SUM($B$4:B73)+SUM($C$4:C73)-SUM($D$4:D73)</f>
        <v>108788</v>
      </c>
      <c r="F73" s="108" cm="1">
        <f t="array" ref="F73">SUM(VLOOKUP(I73:AF73,$AM$4:$AO$44,3,FALSE))</f>
        <v>0</v>
      </c>
      <c r="G73" s="122">
        <f>SUM($F$4:F73)+SUM($H$4:H73)</f>
        <v>8485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44890</v>
      </c>
      <c r="B74" s="108">
        <v>1600</v>
      </c>
      <c r="C74" s="108"/>
      <c r="D74" s="108" cm="1">
        <f t="array" ref="D74">(SUM(VLOOKUP(I74:AF74,$AM$4:$AO$44,2,FALSE))+AG74*10)*IF(AK74="是",$AZ$4,$AZ$3)</f>
        <v>0</v>
      </c>
      <c r="E74" s="169">
        <f>SUM($B$4:B74)+SUM($C$4:C74)-SUM($D$4:D74)</f>
        <v>110388</v>
      </c>
      <c r="F74" s="108" cm="1">
        <f t="array" ref="F74">SUM(VLOOKUP(I74:AF74,$AM$4:$AO$44,3,FALSE))</f>
        <v>0</v>
      </c>
      <c r="G74" s="122">
        <f>SUM($F$4:F74)+SUM($H$4:H74)</f>
        <v>8485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44891</v>
      </c>
      <c r="B75" s="108">
        <v>1600</v>
      </c>
      <c r="C75" s="108"/>
      <c r="D75" s="108" cm="1">
        <f t="array" ref="D75">(SUM(VLOOKUP(I75:AF75,$AM$4:$AO$44,2,FALSE))+AG75*10)*IF(AK75="是",$AZ$4,$AZ$3)</f>
        <v>0</v>
      </c>
      <c r="E75" s="169">
        <f>SUM($B$4:B75)+SUM($C$4:C75)-SUM($D$4:D75)</f>
        <v>111988</v>
      </c>
      <c r="F75" s="108" cm="1">
        <f t="array" ref="F75">SUM(VLOOKUP(I75:AF75,$AM$4:$AO$44,3,FALSE))</f>
        <v>0</v>
      </c>
      <c r="G75" s="122">
        <f>SUM($F$4:F75)+SUM($H$4:H75)</f>
        <v>8485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44892</v>
      </c>
      <c r="B76" s="108">
        <v>1600</v>
      </c>
      <c r="C76" s="108"/>
      <c r="D76" s="108" cm="1">
        <f t="array" ref="D76">(SUM(VLOOKUP(I76:AF76,$AM$4:$AO$44,2,FALSE))+AG76*10)*IF(AK76="是",$AZ$4,$AZ$3)</f>
        <v>8</v>
      </c>
      <c r="E76" s="169">
        <f>SUM($B$4:B76)+SUM($C$4:C76)-SUM($D$4:D76)</f>
        <v>113580</v>
      </c>
      <c r="F76" s="108" cm="1">
        <f t="array" ref="F76">SUM(VLOOKUP(I76:AF76,$AM$4:$AO$44,3,FALSE))</f>
        <v>0</v>
      </c>
      <c r="G76" s="122">
        <f>SUM($F$4:F76)+SUM($H$4:H76)</f>
        <v>8485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1</v>
      </c>
      <c r="AH76" s="111"/>
      <c r="AI76" s="111"/>
      <c r="AJ76" s="111">
        <v>1</v>
      </c>
      <c r="AK76" s="112" t="s">
        <v>31</v>
      </c>
      <c r="AL76" s="107"/>
    </row>
    <row r="77" spans="1:38">
      <c r="A77" s="115">
        <v>44893</v>
      </c>
      <c r="B77" s="109">
        <v>1600</v>
      </c>
      <c r="C77" s="109"/>
      <c r="D77" s="108" cm="1">
        <f t="array" ref="D77">(SUM(VLOOKUP(I77:AF77,$AM$4:$AO$44,2,FALSE))+AG77*10)*IF(AK77="是",$AZ$4,$AZ$3)</f>
        <v>0</v>
      </c>
      <c r="E77" s="169">
        <f>SUM($B$4:B77)+SUM($C$4:C77)-SUM($D$4:D77)</f>
        <v>115180</v>
      </c>
      <c r="F77" s="108" cm="1">
        <f t="array" ref="F77">SUM(VLOOKUP(I77:AF77,$AM$4:$AO$44,3,FALSE))</f>
        <v>0</v>
      </c>
      <c r="G77" s="122">
        <f>SUM($F$4:F77)+SUM($H$4:H77)</f>
        <v>8785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44894</v>
      </c>
      <c r="B78" s="109">
        <v>1600</v>
      </c>
      <c r="C78" s="109"/>
      <c r="D78" s="108" cm="1">
        <f t="array" ref="D78">(SUM(VLOOKUP(I78:AF78,$AM$4:$AO$44,2,FALSE))+AG78*10)*IF(AK78="是",$AZ$4,$AZ$3)</f>
        <v>0</v>
      </c>
      <c r="E78" s="169">
        <f>SUM($B$4:B78)+SUM($C$4:C78)-SUM($D$4:D78)</f>
        <v>116780</v>
      </c>
      <c r="F78" s="108" cm="1">
        <f t="array" ref="F78">SUM(VLOOKUP(I78:AF78,$AM$4:$AO$44,3,FALSE))</f>
        <v>0</v>
      </c>
      <c r="G78" s="122">
        <f>SUM($F$4:F78)+SUM($H$4:H78)</f>
        <v>8785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44895</v>
      </c>
      <c r="B79" s="109">
        <v>1600</v>
      </c>
      <c r="C79" s="109"/>
      <c r="D79" s="108" cm="1">
        <f t="array" ref="D79">(SUM(VLOOKUP(I79:AF79,$AM$4:$AO$44,2,FALSE))+AG79*10)*IF(AK79="是",$AZ$4,$AZ$3)</f>
        <v>0</v>
      </c>
      <c r="E79" s="169">
        <f>SUM($B$4:B79)+SUM($C$4:C79)-SUM($D$4:D79)</f>
        <v>118380</v>
      </c>
      <c r="F79" s="108" cm="1">
        <f t="array" ref="F79">SUM(VLOOKUP(I79:AF79,$AM$4:$AO$44,3,FALSE))</f>
        <v>0</v>
      </c>
      <c r="G79" s="122">
        <f>SUM($F$4:F79)+SUM($H$4:H79)</f>
        <v>8985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44896</v>
      </c>
      <c r="B80" s="109">
        <v>1600</v>
      </c>
      <c r="C80" s="109"/>
      <c r="D80" s="108" cm="1">
        <f t="array" ref="D80">(SUM(VLOOKUP(I80:AF80,$AM$4:$AO$44,2,FALSE))+AG80*10)*IF(AK80="是",$AZ$4,$AZ$3)</f>
        <v>0</v>
      </c>
      <c r="E80" s="169">
        <f>SUM($B$4:B80)+SUM($C$4:C80)-SUM($D$4:D80)</f>
        <v>119980</v>
      </c>
      <c r="F80" s="108" cm="1">
        <f t="array" ref="F80">SUM(VLOOKUP(I80:AF80,$AM$4:$AO$44,3,FALSE))</f>
        <v>0</v>
      </c>
      <c r="G80" s="122">
        <f>SUM($F$4:F80)+SUM($H$4:H80)</f>
        <v>8985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44897</v>
      </c>
      <c r="B81" s="109">
        <v>1600</v>
      </c>
      <c r="C81" s="109"/>
      <c r="D81" s="108" cm="1">
        <f t="array" ref="D81">(SUM(VLOOKUP(I81:AF81,$AM$4:$AO$44,2,FALSE))+AG81*10)*IF(AK81="是",$AZ$4,$AZ$3)</f>
        <v>8</v>
      </c>
      <c r="E81" s="169">
        <f>SUM($B$4:B81)+SUM($C$4:C81)-SUM($D$4:D81)</f>
        <v>121572</v>
      </c>
      <c r="F81" s="108" cm="1">
        <f t="array" ref="F81">SUM(VLOOKUP(I81:AF81,$AM$4:$AO$44,3,FALSE))</f>
        <v>0</v>
      </c>
      <c r="G81" s="122">
        <f>SUM($F$4:F81)+SUM($H$4:H81)</f>
        <v>8985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1</v>
      </c>
      <c r="AH81" s="111"/>
      <c r="AI81" s="111">
        <v>1</v>
      </c>
      <c r="AJ81" s="111"/>
      <c r="AK81" s="112" t="s">
        <v>31</v>
      </c>
      <c r="AL81" s="107"/>
    </row>
    <row r="82" spans="1:43">
      <c r="A82" s="115">
        <v>44898</v>
      </c>
      <c r="B82" s="109">
        <v>1600</v>
      </c>
      <c r="C82" s="109"/>
      <c r="D82" s="108" cm="1">
        <f t="array" ref="D82">(SUM(VLOOKUP(I82:AF82,$AM$4:$AO$44,2,FALSE))+AG82*10)*IF(AK82="是",$AZ$4,$AZ$3)</f>
        <v>0</v>
      </c>
      <c r="E82" s="169">
        <f>SUM($B$4:B82)+SUM($C$4:C82)-SUM($D$4:D82)</f>
        <v>123172</v>
      </c>
      <c r="F82" s="108" cm="1">
        <f t="array" ref="F82">SUM(VLOOKUP(I82:AF82,$AM$4:$AO$44,3,FALSE))</f>
        <v>0</v>
      </c>
      <c r="G82" s="122">
        <f>SUM($F$4:F82)+SUM($H$4:H82)</f>
        <v>8985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44899</v>
      </c>
      <c r="B83" s="109">
        <v>1600</v>
      </c>
      <c r="C83" s="109"/>
      <c r="D83" s="108" cm="1">
        <f t="array" ref="D83">(SUM(VLOOKUP(I83:AF83,$AM$4:$AO$44,2,FALSE))+AG83*10)*IF(AK83="是",$AZ$4,$AZ$3)</f>
        <v>0</v>
      </c>
      <c r="E83" s="169">
        <f>SUM($B$4:B83)+SUM($C$4:C83)-SUM($D$4:D83)</f>
        <v>124772</v>
      </c>
      <c r="F83" s="108" cm="1">
        <f t="array" ref="F83">SUM(VLOOKUP(I83:AF83,$AM$4:$AO$44,3,FALSE))</f>
        <v>0</v>
      </c>
      <c r="G83" s="122">
        <f>SUM($F$4:F83)+SUM($H$4:H83)</f>
        <v>8985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44900</v>
      </c>
      <c r="B84" s="108">
        <v>1600</v>
      </c>
      <c r="C84" s="108"/>
      <c r="D84" s="108" cm="1">
        <f t="array" ref="D84">(SUM(VLOOKUP(I84:AF84,$AM$4:$AO$44,2,FALSE))+AG84*10)*IF(AK84="是",$AZ$4,$AZ$3)</f>
        <v>0</v>
      </c>
      <c r="E84" s="169">
        <f>SUM($B$4:B84)+SUM($C$4:C84)-SUM($D$4:D84)</f>
        <v>126372</v>
      </c>
      <c r="F84" s="108" cm="1">
        <f t="array" ref="F84">SUM(VLOOKUP(I84:AF84,$AM$4:$AO$44,3,FALSE))</f>
        <v>0</v>
      </c>
      <c r="G84" s="122">
        <f>SUM($F$4:F84)+SUM($H$4:H84)</f>
        <v>9285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44901</v>
      </c>
      <c r="B85" s="108">
        <v>1600</v>
      </c>
      <c r="C85" s="108"/>
      <c r="D85" s="155" cm="1">
        <f t="array" ref="D85">(SUM(VLOOKUP(I85:AF85,$AM$4:$AO$44,2,FALSE))+AG85*10)*IF(AK85="是",$AZ$4,$AZ$3)-40</f>
        <v>-40</v>
      </c>
      <c r="E85" s="169">
        <f>SUM($B$4:B85)+SUM($C$4:C85)-SUM($D$4:D85)</f>
        <v>128012</v>
      </c>
      <c r="F85" s="108" cm="1">
        <f t="array" ref="F85">SUM(VLOOKUP(I85:AF85,$AM$4:$AO$44,3,FALSE))</f>
        <v>0</v>
      </c>
      <c r="G85" s="122">
        <f>SUM($F$4:F85)+SUM($H$4:H85)</f>
        <v>9285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44902</v>
      </c>
      <c r="B86" s="108">
        <v>1600</v>
      </c>
      <c r="C86" s="108"/>
      <c r="D86" s="108" cm="1">
        <f t="array" ref="D86">(SUM(VLOOKUP(I86:AF86,$AM$4:$AO$44,2,FALSE))+AG86*10)*IF(AK86="是",$AZ$4,$AZ$3)</f>
        <v>24</v>
      </c>
      <c r="E86" s="169">
        <f>SUM($B$4:B86)+SUM($C$4:C86)-SUM($D$4:D86)</f>
        <v>129588</v>
      </c>
      <c r="F86" s="108" cm="1">
        <f t="array" ref="F86">SUM(VLOOKUP(I86:AF86,$AM$4:$AO$44,3,FALSE))</f>
        <v>0</v>
      </c>
      <c r="G86" s="122">
        <f>SUM($F$4:F86)+SUM($H$4:H86)</f>
        <v>9485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3</v>
      </c>
      <c r="AH86" s="111">
        <v>3</v>
      </c>
      <c r="AI86" s="111"/>
      <c r="AJ86" s="111"/>
      <c r="AK86" s="112" t="s">
        <v>31</v>
      </c>
      <c r="AL86" s="107"/>
    </row>
    <row r="87" spans="1:43">
      <c r="A87" s="115">
        <v>44903</v>
      </c>
      <c r="B87" s="108">
        <v>1600</v>
      </c>
      <c r="C87" s="108"/>
      <c r="D87" s="108" cm="1">
        <f t="array" ref="D87">(SUM(VLOOKUP(I87:AF87,$AM$4:$AO$44,2,FALSE))+AG87*10)*IF(AK87="是",$AZ$4,$AZ$3)</f>
        <v>0</v>
      </c>
      <c r="E87" s="169">
        <f>SUM($B$4:B87)+SUM($C$4:C87)-SUM($D$4:D87)</f>
        <v>131188</v>
      </c>
      <c r="F87" s="108" cm="1">
        <f t="array" ref="F87">SUM(VLOOKUP(I87:AF87,$AM$4:$AO$44,3,FALSE))</f>
        <v>0</v>
      </c>
      <c r="G87" s="122">
        <f>SUM($F$4:F87)+SUM($H$4:H87)</f>
        <v>9485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44904</v>
      </c>
      <c r="B88" s="108">
        <v>1600</v>
      </c>
      <c r="C88" s="108"/>
      <c r="D88" s="108" cm="1">
        <f t="array" ref="D88">(SUM(VLOOKUP(I88:AF88,$AM$4:$AO$44,2,FALSE))+AG88*10)*IF(AK88="是",$AZ$4,$AZ$3)</f>
        <v>0</v>
      </c>
      <c r="E88" s="169">
        <f>SUM($B$4:B88)+SUM($C$4:C88)-SUM($D$4:D88)</f>
        <v>132788</v>
      </c>
      <c r="F88" s="108" cm="1">
        <f t="array" ref="F88">SUM(VLOOKUP(I88:AF88,$AM$4:$AO$44,3,FALSE))</f>
        <v>0</v>
      </c>
      <c r="G88" s="122">
        <f>SUM($F$4:F88)+SUM($H$4:H88)</f>
        <v>9485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44905</v>
      </c>
      <c r="B89" s="108">
        <v>1600</v>
      </c>
      <c r="C89" s="108"/>
      <c r="D89" s="108" cm="1">
        <f t="array" ref="D89">(SUM(VLOOKUP(I89:AF89,$AM$4:$AO$44,2,FALSE))+AG89*10)*IF(AK89="是",$AZ$4,$AZ$3)</f>
        <v>0</v>
      </c>
      <c r="E89" s="169">
        <f>SUM($B$4:B89)+SUM($C$4:C89)-SUM($D$4:D89)</f>
        <v>134388</v>
      </c>
      <c r="F89" s="108" cm="1">
        <f t="array" ref="F89">SUM(VLOOKUP(I89:AF89,$AM$4:$AO$44,3,FALSE))</f>
        <v>0</v>
      </c>
      <c r="G89" s="122">
        <f>SUM($F$4:F89)+SUM($H$4:H89)</f>
        <v>9485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44906</v>
      </c>
      <c r="B90" s="108">
        <v>1600</v>
      </c>
      <c r="C90" s="108"/>
      <c r="D90" s="108" cm="1">
        <f t="array" ref="D90">(SUM(VLOOKUP(I90:AF90,$AM$4:$AO$44,2,FALSE))+AG90*10)*IF(AK90="是",$AZ$4,$AZ$3)</f>
        <v>0</v>
      </c>
      <c r="E90" s="169">
        <f>SUM($B$4:B90)+SUM($C$4:C90)-SUM($D$4:D90)</f>
        <v>135988</v>
      </c>
      <c r="F90" s="108" cm="1">
        <f t="array" ref="F90">SUM(VLOOKUP(I90:AF90,$AM$4:$AO$44,3,FALSE))</f>
        <v>0</v>
      </c>
      <c r="G90" s="122">
        <f>SUM($F$4:F90)+SUM($H$4:H90)</f>
        <v>9485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44907</v>
      </c>
      <c r="B91" s="109">
        <v>1600</v>
      </c>
      <c r="C91" s="109"/>
      <c r="D91" s="108" cm="1">
        <f t="array" ref="D91">(SUM(VLOOKUP(I91:AF91,$AM$4:$AO$44,2,FALSE))+AG91*10)*IF(AK91="是",$AZ$4,$AZ$3)</f>
        <v>0</v>
      </c>
      <c r="E91" s="169">
        <f>SUM($B$4:B91)+SUM($C$4:C91)-SUM($D$4:D91)</f>
        <v>137588</v>
      </c>
      <c r="F91" s="108" cm="1">
        <f t="array" ref="F91">SUM(VLOOKUP(I91:AF91,$AM$4:$AO$44,3,FALSE))</f>
        <v>0</v>
      </c>
      <c r="G91" s="122">
        <f>SUM($F$4:F91)+SUM($H$4:H91)</f>
        <v>9785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44908</v>
      </c>
      <c r="B92" s="109">
        <v>1600</v>
      </c>
      <c r="C92" s="109"/>
      <c r="D92" s="108" cm="1">
        <f t="array" ref="D92">(SUM(VLOOKUP(I92:AF92,$AM$4:$AO$44,2,FALSE))+AG92*10)*IF(AK92="是",$AZ$4,$AZ$3)</f>
        <v>0</v>
      </c>
      <c r="E92" s="169">
        <f>SUM($B$4:B92)+SUM($C$4:C92)-SUM($D$4:D92)</f>
        <v>139188</v>
      </c>
      <c r="F92" s="108" cm="1">
        <f t="array" ref="F92">SUM(VLOOKUP(I92:AF92,$AM$4:$AO$44,3,FALSE))</f>
        <v>0</v>
      </c>
      <c r="G92" s="122">
        <f>SUM($F$4:F92)+SUM($H$4:H92)</f>
        <v>9785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44909</v>
      </c>
      <c r="B93" s="109">
        <v>1600</v>
      </c>
      <c r="C93" s="109"/>
      <c r="D93" s="108" cm="1">
        <f t="array" ref="D93">(SUM(VLOOKUP(I93:AF93,$AM$4:$AO$44,2,FALSE))+AG93*10)*IF(AK93="是",$AZ$4,$AZ$3)</f>
        <v>0</v>
      </c>
      <c r="E93" s="169">
        <f>SUM($B$4:B93)+SUM($C$4:C93)-SUM($D$4:D93)</f>
        <v>140788</v>
      </c>
      <c r="F93" s="108" cm="1">
        <f t="array" ref="F93">SUM(VLOOKUP(I93:AF93,$AM$4:$AO$44,3,FALSE))</f>
        <v>0</v>
      </c>
      <c r="G93" s="122">
        <f>SUM($F$4:F93)+SUM($H$4:H93)</f>
        <v>9985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3" ht="15" thickBot="1">
      <c r="A94" s="115">
        <v>44910</v>
      </c>
      <c r="B94" s="109">
        <v>1600</v>
      </c>
      <c r="C94" s="109"/>
      <c r="D94" s="108" cm="1">
        <f t="array" ref="D94">(SUM(VLOOKUP(I94:AF94,$AM$4:$AO$44,2,FALSE))+AG94*10)*IF(AK94="是",$AZ$4,$AZ$3)</f>
        <v>0</v>
      </c>
      <c r="E94" s="169">
        <f>SUM($B$4:B94)+SUM($C$4:C94)-SUM($D$4:D94)</f>
        <v>142388</v>
      </c>
      <c r="F94" s="108" cm="1">
        <f t="array" ref="F94">SUM(VLOOKUP(I94:AF94,$AM$4:$AO$44,3,FALSE))</f>
        <v>0</v>
      </c>
      <c r="G94" s="122">
        <f>SUM($F$4:F94)+SUM($H$4:H94)</f>
        <v>9985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{5322A4A2-E22D-4559-9746-C820556F8458}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22A4A2-E22D-4559-9746-C820556F84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I28" sqref="I28"/>
    </sheetView>
  </sheetViews>
  <sheetFormatPr defaultRowHeight="14.4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s="184" t="s">
        <v>18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0.26923076923076922</v>
      </c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s="184" t="s">
        <v>18</v>
      </c>
      <c r="F3" s="19" t="s">
        <v>22</v>
      </c>
      <c r="G3" s="19" cm="1">
        <f t="array" ref="G3">(SUM(VLOOKUP(B2:B92,'102.5.1.01'!$AL$4:$AN$44,2,FALSE))+八卦前规划1!G2*10)</f>
        <v>900</v>
      </c>
      <c r="H3" s="19" cm="1">
        <f t="array" ref="H3">(SUM(VLOOKUP(C2:C92,'102.5.1.01'!$AL$4:$AN$44,2,FALSE))+八卦前规划1!H2*10)</f>
        <v>1190</v>
      </c>
      <c r="I3" s="19" cm="1">
        <f t="array" ref="I3">(SUM(VLOOKUP(D2:D92,'102.5.1.01'!$AL$4:$AN$44,2,FALSE))+八卦前规划1!I2*10)</f>
        <v>1680</v>
      </c>
      <c r="J3" s="19">
        <f t="shared" ref="J3:J5" si="0">SUM(G3:I3)</f>
        <v>3770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s="184" t="s">
        <v>18</v>
      </c>
      <c r="F4" s="19" t="s">
        <v>24</v>
      </c>
      <c r="G4" s="19" cm="1">
        <f t="array" ref="G4">(SUM(VLOOKUP(B2:B92,'102.5.1.01'!$AL$4:$AN$44,3,FALSE)))</f>
        <v>255</v>
      </c>
      <c r="H4" s="19" cm="1">
        <f t="array" ref="H4">(SUM(VLOOKUP(C2:C92,'102.5.1.01'!$AL$4:$AN$44,3,FALSE)))</f>
        <v>315</v>
      </c>
      <c r="I4" s="19" cm="1">
        <f t="array" ref="I4">(SUM(VLOOKUP(D2:D92,'102.5.1.01'!$AL$4:$AN$44,3,FALSE)))</f>
        <v>445</v>
      </c>
      <c r="J4" s="19">
        <f t="shared" si="0"/>
        <v>1015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s="188" t="s">
        <v>6</v>
      </c>
      <c r="F5" s="19" t="s">
        <v>46</v>
      </c>
      <c r="G5" s="19">
        <f>COUNTIF(B2:B92,"&lt;&gt;空")</f>
        <v>6</v>
      </c>
      <c r="H5" s="19">
        <f t="shared" ref="H5:I5" si="1">COUNTIF(C2:C92,"&lt;&gt;空")</f>
        <v>7</v>
      </c>
      <c r="I5" s="19">
        <f t="shared" si="1"/>
        <v>10</v>
      </c>
      <c r="J5" s="19">
        <f t="shared" si="0"/>
        <v>23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s="92" t="s">
        <v>23</v>
      </c>
      <c r="F6" s="19" t="s">
        <v>66</v>
      </c>
      <c r="G6">
        <f>G4/G3</f>
        <v>0.28333333333333333</v>
      </c>
      <c r="H6">
        <f t="shared" ref="H6:J6" si="2">H4/H3</f>
        <v>0.26470588235294118</v>
      </c>
      <c r="I6">
        <f t="shared" si="2"/>
        <v>0.26488095238095238</v>
      </c>
      <c r="J6">
        <f t="shared" si="2"/>
        <v>0.26923076923076922</v>
      </c>
      <c r="O6" s="24" t="s">
        <v>20</v>
      </c>
    </row>
    <row r="7" spans="1:15">
      <c r="A7">
        <v>6</v>
      </c>
      <c r="B7" s="28" t="s">
        <v>12</v>
      </c>
      <c r="C7" s="22" t="s">
        <v>18</v>
      </c>
      <c r="D7" s="92" t="s">
        <v>23</v>
      </c>
      <c r="O7" s="25" t="s">
        <v>21</v>
      </c>
    </row>
    <row r="8" spans="1:15">
      <c r="A8">
        <v>7</v>
      </c>
      <c r="B8" t="s">
        <v>23</v>
      </c>
      <c r="C8" s="22" t="s">
        <v>18</v>
      </c>
      <c r="D8" s="22" t="s">
        <v>18</v>
      </c>
      <c r="H8">
        <f>H3*0.2</f>
        <v>238</v>
      </c>
      <c r="O8" s="156" t="s">
        <v>5</v>
      </c>
    </row>
    <row r="9" spans="1:15">
      <c r="A9">
        <v>8</v>
      </c>
      <c r="B9" t="s">
        <v>23</v>
      </c>
      <c r="C9" t="s">
        <v>23</v>
      </c>
      <c r="D9" s="22" t="s">
        <v>18</v>
      </c>
      <c r="G9">
        <f>G3*0.2</f>
        <v>180</v>
      </c>
      <c r="O9" s="164" t="s">
        <v>6</v>
      </c>
    </row>
    <row r="10" spans="1:15">
      <c r="A10">
        <v>9</v>
      </c>
      <c r="B10" t="s">
        <v>23</v>
      </c>
      <c r="C10" t="s">
        <v>23</v>
      </c>
      <c r="D10" s="22" t="s">
        <v>18</v>
      </c>
      <c r="O10" s="165" t="s">
        <v>7</v>
      </c>
    </row>
    <row r="11" spans="1:15">
      <c r="A11">
        <v>10</v>
      </c>
      <c r="B11" t="s">
        <v>23</v>
      </c>
      <c r="C11" t="s">
        <v>23</v>
      </c>
      <c r="D11" s="22" t="s">
        <v>18</v>
      </c>
      <c r="I11">
        <f>I3*0.2</f>
        <v>336</v>
      </c>
      <c r="O11" s="166" t="s">
        <v>8</v>
      </c>
    </row>
    <row r="12" spans="1:15">
      <c r="A12">
        <v>11</v>
      </c>
      <c r="B12" t="s">
        <v>23</v>
      </c>
      <c r="C12" t="s">
        <v>23</v>
      </c>
      <c r="D12" s="22" t="s">
        <v>18</v>
      </c>
      <c r="O12" s="167" t="s">
        <v>9</v>
      </c>
    </row>
    <row r="13" spans="1:15">
      <c r="A13">
        <v>12</v>
      </c>
      <c r="B13" t="s">
        <v>23</v>
      </c>
      <c r="C13" t="s">
        <v>23</v>
      </c>
      <c r="D13" s="22" t="s">
        <v>18</v>
      </c>
      <c r="O13" s="168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R26" sqref="R26"/>
    </sheetView>
  </sheetViews>
  <sheetFormatPr defaultRowHeight="14.4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103</v>
      </c>
      <c r="N1" s="2"/>
      <c r="O1" s="19" t="s">
        <v>2</v>
      </c>
    </row>
    <row r="2" spans="1:15">
      <c r="A2">
        <v>1</v>
      </c>
      <c r="B2" s="21" t="s">
        <v>17</v>
      </c>
      <c r="C2" s="22" t="s">
        <v>18</v>
      </c>
      <c r="D2" s="23" t="s">
        <v>19</v>
      </c>
      <c r="F2" s="19" t="s">
        <v>64</v>
      </c>
      <c r="G2" s="19">
        <v>0</v>
      </c>
      <c r="H2" s="19">
        <v>0</v>
      </c>
      <c r="I2" s="19">
        <v>1</v>
      </c>
      <c r="J2" s="19">
        <f>SUM(G2:I2)</f>
        <v>1</v>
      </c>
      <c r="K2" s="19"/>
      <c r="O2" s="20" t="s">
        <v>16</v>
      </c>
    </row>
    <row r="3" spans="1:15">
      <c r="A3">
        <v>2</v>
      </c>
      <c r="B3" s="21" t="s">
        <v>17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376</v>
      </c>
      <c r="H3" s="19" cm="1">
        <f t="array" ref="H3">(SUM(VLOOKUP(C2:C92,'102.5.1.01'!$AL$4:$AN$44,2,FALSE))+八卦后规划1!H2*10)*0.8</f>
        <v>136</v>
      </c>
      <c r="I3" s="19" cm="1">
        <f t="array" ref="I3">(SUM(VLOOKUP(D2:D92,'102.5.1.01'!$AL$4:$AN$44,2,FALSE))+八卦后规划1!I2*10)*0.8</f>
        <v>152</v>
      </c>
      <c r="J3" s="19">
        <f t="shared" ref="J3:J5" si="0">SUM(G3:I3)</f>
        <v>664</v>
      </c>
      <c r="K3" s="19">
        <f>G3-H3</f>
        <v>240</v>
      </c>
      <c r="O3" s="21" t="s">
        <v>17</v>
      </c>
    </row>
    <row r="4" spans="1:15">
      <c r="A4">
        <v>3</v>
      </c>
      <c r="B4" t="s">
        <v>23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120</v>
      </c>
      <c r="H4" s="19" cm="1">
        <f t="array" ref="H4">(SUM(VLOOKUP(C2:C92,'102.5.1.01'!$AL$4:$AN$44,3,FALSE)))</f>
        <v>45</v>
      </c>
      <c r="I4" s="19" cm="1">
        <f t="array" ref="I4">(SUM(VLOOKUP(D2:D92,'102.5.1.01'!$AL$4:$AN$44,3,FALSE)))</f>
        <v>50</v>
      </c>
      <c r="J4" s="71">
        <f t="shared" si="0"/>
        <v>215</v>
      </c>
      <c r="K4" s="19">
        <f>-H4+G4</f>
        <v>75</v>
      </c>
      <c r="O4" s="22" t="s">
        <v>18</v>
      </c>
    </row>
    <row r="5" spans="1:15">
      <c r="A5">
        <v>4</v>
      </c>
      <c r="B5" s="164" t="s">
        <v>6</v>
      </c>
      <c r="C5" t="s">
        <v>23</v>
      </c>
      <c r="D5" t="s">
        <v>23</v>
      </c>
      <c r="F5" s="19" t="s">
        <v>46</v>
      </c>
      <c r="G5" s="19">
        <f>COUNTIF(B2:B92,"&lt;&gt;空")</f>
        <v>3</v>
      </c>
      <c r="H5" s="19">
        <f t="shared" ref="H5:I5" si="1">COUNTIF(C2:C92,"&lt;&gt;空")</f>
        <v>1</v>
      </c>
      <c r="I5" s="19">
        <f t="shared" si="1"/>
        <v>1</v>
      </c>
      <c r="J5" s="19">
        <f t="shared" si="0"/>
        <v>5</v>
      </c>
      <c r="K5" s="19"/>
      <c r="O5" s="23" t="s">
        <v>19</v>
      </c>
    </row>
    <row r="6" spans="1:15">
      <c r="A6">
        <v>5</v>
      </c>
      <c r="B6" t="s">
        <v>23</v>
      </c>
      <c r="C6" t="s">
        <v>23</v>
      </c>
      <c r="D6" t="s">
        <v>23</v>
      </c>
      <c r="F6" s="19" t="s">
        <v>66</v>
      </c>
      <c r="G6">
        <f>G4/G3</f>
        <v>0.31914893617021278</v>
      </c>
      <c r="H6" s="116">
        <f t="shared" ref="H6:J6" si="2">H4/H3</f>
        <v>0.33088235294117646</v>
      </c>
      <c r="I6">
        <f t="shared" si="2"/>
        <v>0.32894736842105265</v>
      </c>
      <c r="J6">
        <f t="shared" si="2"/>
        <v>0.32379518072289154</v>
      </c>
      <c r="O6" s="24" t="s">
        <v>20</v>
      </c>
    </row>
    <row r="7" spans="1:15">
      <c r="A7">
        <v>6</v>
      </c>
      <c r="B7" t="s">
        <v>23</v>
      </c>
      <c r="C7" t="s">
        <v>23</v>
      </c>
      <c r="D7" t="s">
        <v>23</v>
      </c>
      <c r="O7" s="25" t="s">
        <v>21</v>
      </c>
    </row>
    <row r="8" spans="1:15">
      <c r="A8">
        <v>7</v>
      </c>
      <c r="B8" t="s">
        <v>23</v>
      </c>
      <c r="C8" t="s">
        <v>23</v>
      </c>
      <c r="D8" t="s">
        <v>23</v>
      </c>
      <c r="O8" s="156" t="s">
        <v>5</v>
      </c>
    </row>
    <row r="9" spans="1:15">
      <c r="A9">
        <v>8</v>
      </c>
      <c r="B9" t="s">
        <v>23</v>
      </c>
      <c r="C9" t="s">
        <v>23</v>
      </c>
      <c r="D9" t="s">
        <v>23</v>
      </c>
      <c r="O9" s="164" t="s">
        <v>6</v>
      </c>
    </row>
    <row r="10" spans="1:15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150</v>
      </c>
      <c r="J10">
        <v>35</v>
      </c>
      <c r="K10">
        <f>I10-J10/$H$6</f>
        <v>44.222222222222214</v>
      </c>
      <c r="O10" s="165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39.111111111111114</v>
      </c>
      <c r="O11" s="166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170</v>
      </c>
      <c r="J12">
        <v>45</v>
      </c>
      <c r="K12">
        <f t="shared" si="3"/>
        <v>34</v>
      </c>
      <c r="O12" s="167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180</v>
      </c>
      <c r="J13">
        <v>50</v>
      </c>
      <c r="K13">
        <f t="shared" si="3"/>
        <v>28.888888888888886</v>
      </c>
      <c r="O13" s="168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O34" sqref="O34"/>
    </sheetView>
  </sheetViews>
  <sheetFormatPr defaultRowHeight="14.4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344</v>
      </c>
      <c r="T1">
        <f>G3-48</f>
        <v>328</v>
      </c>
    </row>
    <row r="2" spans="1:20">
      <c r="A2">
        <v>1</v>
      </c>
      <c r="B2" s="21" t="s">
        <v>17</v>
      </c>
      <c r="C2" s="22" t="s">
        <v>18</v>
      </c>
      <c r="D2" t="s">
        <v>23</v>
      </c>
      <c r="F2" s="19" t="s">
        <v>64</v>
      </c>
      <c r="G2" s="19">
        <v>0</v>
      </c>
      <c r="H2" s="19">
        <v>1</v>
      </c>
      <c r="I2" s="19">
        <v>0</v>
      </c>
      <c r="J2" s="19">
        <f>SUM(G2:I2)</f>
        <v>1</v>
      </c>
      <c r="K2" s="19"/>
      <c r="N2" s="20" t="s">
        <v>16</v>
      </c>
      <c r="R2" t="s">
        <v>86</v>
      </c>
      <c r="S2">
        <f>G4-10</f>
        <v>110</v>
      </c>
      <c r="T2">
        <f>G4-15</f>
        <v>105</v>
      </c>
    </row>
    <row r="3" spans="1:20">
      <c r="A3">
        <v>2</v>
      </c>
      <c r="B3" s="157" t="s">
        <v>6</v>
      </c>
      <c r="C3" s="22" t="s">
        <v>18</v>
      </c>
      <c r="D3" t="s">
        <v>23</v>
      </c>
      <c r="F3" s="19" t="s">
        <v>22</v>
      </c>
      <c r="G3" s="19" cm="1">
        <f t="array" ref="G3">(SUM(VLOOKUP(B2:B92,'102.5.1.01'!$AL$4:$AN$44,2,FALSE))+八卦后规划2!G2*10)*0.8</f>
        <v>376</v>
      </c>
      <c r="H3" s="19" cm="1">
        <f t="array" ref="H3">(SUM(VLOOKUP(C2:C92,'102.5.1.01'!$AL$4:$AN$44,2,FALSE))+八卦后规划2!H2*10)*0.8</f>
        <v>416</v>
      </c>
      <c r="I3" s="19" cm="1">
        <f t="array" ref="I3">(SUM(VLOOKUP(D2:D92,'102.5.1.01'!$AL$4:$AN$44,2,FALSE))+八卦后规划2!I2*10)*0.8</f>
        <v>0</v>
      </c>
      <c r="J3" s="19">
        <f t="shared" ref="J3:J5" si="0">SUM(G3:I3)</f>
        <v>792</v>
      </c>
      <c r="K3" s="150" t="s">
        <v>97</v>
      </c>
      <c r="L3" s="151">
        <f>G3-H3</f>
        <v>-40</v>
      </c>
      <c r="N3" s="21" t="s">
        <v>17</v>
      </c>
      <c r="S3">
        <f>S2/S1</f>
        <v>0.31976744186046513</v>
      </c>
      <c r="T3">
        <f>T2/T1</f>
        <v>0.3201219512195122</v>
      </c>
    </row>
    <row r="4" spans="1:20">
      <c r="A4">
        <v>3</v>
      </c>
      <c r="B4" s="21" t="s">
        <v>17</v>
      </c>
      <c r="C4" s="22" t="s">
        <v>18</v>
      </c>
      <c r="D4" t="s">
        <v>23</v>
      </c>
      <c r="F4" s="19" t="s">
        <v>24</v>
      </c>
      <c r="G4" s="19" cm="1">
        <f t="array" ref="G4">(SUM(VLOOKUP(B2:B92,'102.5.1.01'!$AL$4:$AN$44,3,FALSE)))</f>
        <v>120</v>
      </c>
      <c r="H4" s="19" cm="1">
        <f t="array" ref="H4">(SUM(VLOOKUP(C2:C92,'102.5.1.01'!$AL$4:$AN$44,3,FALSE)))</f>
        <v>135</v>
      </c>
      <c r="I4" s="19" cm="1">
        <f t="array" ref="I4">(SUM(VLOOKUP(D2:D92,'102.5.1.01'!$AL$4:$AN$44,3,FALSE)))</f>
        <v>0</v>
      </c>
      <c r="J4" s="71">
        <f t="shared" si="0"/>
        <v>255</v>
      </c>
      <c r="K4" s="150" t="s">
        <v>98</v>
      </c>
      <c r="L4" s="151">
        <f>H4-G4</f>
        <v>15</v>
      </c>
      <c r="N4" s="22" t="s">
        <v>18</v>
      </c>
    </row>
    <row r="5" spans="1:20">
      <c r="A5">
        <v>4</v>
      </c>
      <c r="B5" t="s">
        <v>23</v>
      </c>
      <c r="C5" t="s">
        <v>23</v>
      </c>
      <c r="D5" t="s">
        <v>23</v>
      </c>
      <c r="F5" s="19" t="s">
        <v>46</v>
      </c>
      <c r="G5" s="19">
        <f>COUNTIF(B2:B92,"&lt;&gt;空")</f>
        <v>3</v>
      </c>
      <c r="H5" s="19">
        <f>COUNTIF(C2:C92,"&lt;&gt;空")</f>
        <v>3</v>
      </c>
      <c r="I5" s="19">
        <f t="shared" ref="I5" si="1">COUNTIF(D2:D92,"&lt;&gt;空")</f>
        <v>0</v>
      </c>
      <c r="J5" s="19">
        <f t="shared" si="0"/>
        <v>6</v>
      </c>
      <c r="K5" s="19"/>
      <c r="N5" s="23" t="s">
        <v>19</v>
      </c>
    </row>
    <row r="6" spans="1:20">
      <c r="A6">
        <v>5</v>
      </c>
      <c r="B6" t="s">
        <v>23</v>
      </c>
      <c r="C6" t="s">
        <v>23</v>
      </c>
      <c r="D6" t="s">
        <v>23</v>
      </c>
      <c r="F6" s="19" t="s">
        <v>66</v>
      </c>
      <c r="G6">
        <f>G4/G3</f>
        <v>0.31914893617021278</v>
      </c>
      <c r="H6" s="116">
        <f t="shared" ref="H6:J6" si="2">H4/H3</f>
        <v>0.32451923076923078</v>
      </c>
      <c r="I6" t="e">
        <f t="shared" si="2"/>
        <v>#DIV/0!</v>
      </c>
      <c r="J6">
        <f t="shared" si="2"/>
        <v>0.32196969696969696</v>
      </c>
      <c r="N6" s="24" t="s">
        <v>20</v>
      </c>
    </row>
    <row r="7" spans="1:20">
      <c r="A7">
        <v>6</v>
      </c>
      <c r="B7" t="s">
        <v>23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t="s">
        <v>23</v>
      </c>
      <c r="C8" t="s">
        <v>23</v>
      </c>
      <c r="D8" t="s">
        <v>23</v>
      </c>
      <c r="N8" s="156" t="s">
        <v>5</v>
      </c>
    </row>
    <row r="9" spans="1:20">
      <c r="A9">
        <v>8</v>
      </c>
      <c r="B9" t="s">
        <v>23</v>
      </c>
      <c r="C9" t="s">
        <v>23</v>
      </c>
      <c r="D9" t="s">
        <v>23</v>
      </c>
      <c r="N9" s="157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12.148148148148152</v>
      </c>
      <c r="N10" s="158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4.7407407407407476</v>
      </c>
      <c r="N11" s="159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-2.6666666666666572</v>
      </c>
      <c r="N12" s="160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-10.074074074074076</v>
      </c>
      <c r="N13" s="161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N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2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T92"/>
  <sheetViews>
    <sheetView tabSelected="1" workbookViewId="0">
      <selection activeCell="B10" sqref="B10"/>
    </sheetView>
  </sheetViews>
  <sheetFormatPr defaultRowHeight="14.4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944</v>
      </c>
      <c r="T1">
        <f>G3-48</f>
        <v>928</v>
      </c>
    </row>
    <row r="2" spans="1:20">
      <c r="A2">
        <v>1</v>
      </c>
      <c r="B2" s="28" t="s">
        <v>12</v>
      </c>
      <c r="C2" s="24" t="s">
        <v>20</v>
      </c>
      <c r="D2" s="22" t="s">
        <v>18</v>
      </c>
      <c r="F2" s="19" t="s">
        <v>64</v>
      </c>
      <c r="G2" s="19">
        <v>0</v>
      </c>
      <c r="H2" s="19">
        <v>0</v>
      </c>
      <c r="I2" s="19">
        <v>2</v>
      </c>
      <c r="J2" s="19">
        <f>SUM(G2:I2)</f>
        <v>2</v>
      </c>
      <c r="K2" s="19"/>
      <c r="O2" s="20" t="s">
        <v>16</v>
      </c>
      <c r="R2" t="s">
        <v>86</v>
      </c>
      <c r="S2">
        <f>G4-10</f>
        <v>330</v>
      </c>
      <c r="T2">
        <f>G4-15</f>
        <v>325</v>
      </c>
    </row>
    <row r="3" spans="1:20">
      <c r="A3">
        <v>2</v>
      </c>
      <c r="B3" s="21" t="s">
        <v>17</v>
      </c>
      <c r="C3" s="24" t="s">
        <v>20</v>
      </c>
      <c r="D3" s="22" t="s">
        <v>18</v>
      </c>
      <c r="F3" s="19" t="s">
        <v>22</v>
      </c>
      <c r="G3" s="19" cm="1">
        <f t="array" ref="G3">(SUM(VLOOKUP(B2:B92,'102.5.1.01'!$AL$4:$AN$44,2,FALSE))+八卦后规划3!G2*10)*0.8</f>
        <v>976</v>
      </c>
      <c r="H3" s="19" cm="1">
        <f t="array" ref="H3">(SUM(VLOOKUP(C2:C92,'102.5.1.01'!$AL$4:$AN$44,2,FALSE))+八卦后规划3!H2*10)*0.8</f>
        <v>760</v>
      </c>
      <c r="I3" s="19" cm="1">
        <f t="array" ref="I3">(SUM(VLOOKUP(D2:D92,'102.5.1.01'!$AL$4:$AN$44,2,FALSE))+八卦后规划3!I2*10)*0.8</f>
        <v>3144</v>
      </c>
      <c r="J3" s="19">
        <f t="shared" ref="J3:J5" si="0">SUM(G3:I3)</f>
        <v>4880</v>
      </c>
      <c r="K3" s="150" t="s">
        <v>97</v>
      </c>
      <c r="L3" s="151">
        <f>G3-H3</f>
        <v>216</v>
      </c>
      <c r="M3">
        <v>8144</v>
      </c>
      <c r="N3">
        <f>M3-J3+120</f>
        <v>3384</v>
      </c>
      <c r="O3" s="21" t="s">
        <v>17</v>
      </c>
      <c r="S3">
        <f>S2/S1</f>
        <v>0.34957627118644069</v>
      </c>
      <c r="T3">
        <f>T2/T1</f>
        <v>0.35021551724137934</v>
      </c>
    </row>
    <row r="4" spans="1:20">
      <c r="A4">
        <v>3</v>
      </c>
      <c r="B4" s="21" t="s">
        <v>17</v>
      </c>
      <c r="C4" s="24" t="s">
        <v>20</v>
      </c>
      <c r="D4" s="22" t="s">
        <v>18</v>
      </c>
      <c r="F4" s="19" t="s">
        <v>24</v>
      </c>
      <c r="G4" s="19" cm="1">
        <f t="array" ref="G4">(SUM(VLOOKUP(B2:B92,'102.5.1.01'!$AL$4:$AN$44,3,FALSE)))</f>
        <v>340</v>
      </c>
      <c r="H4" s="19" cm="1">
        <f t="array" ref="H4">(SUM(VLOOKUP(C2:C92,'102.5.1.01'!$AL$4:$AN$44,3,FALSE)))</f>
        <v>275</v>
      </c>
      <c r="I4" s="19" cm="1">
        <f t="array" ref="I4">(SUM(VLOOKUP(D2:D92,'102.5.1.01'!$AL$4:$AN$44,3,FALSE)))</f>
        <v>1035</v>
      </c>
      <c r="J4" s="71">
        <f t="shared" si="0"/>
        <v>1650</v>
      </c>
      <c r="K4" s="150" t="s">
        <v>98</v>
      </c>
      <c r="L4" s="151">
        <f>H4-G4</f>
        <v>-65</v>
      </c>
      <c r="O4" s="22" t="s">
        <v>18</v>
      </c>
    </row>
    <row r="5" spans="1:20">
      <c r="A5">
        <v>4</v>
      </c>
      <c r="B5" s="21" t="s">
        <v>17</v>
      </c>
      <c r="C5" s="24" t="s">
        <v>20</v>
      </c>
      <c r="D5" s="22" t="s">
        <v>18</v>
      </c>
      <c r="F5" s="19" t="s">
        <v>46</v>
      </c>
      <c r="G5" s="19">
        <f>COUNTIF(B2:B92,"&lt;&gt;空")</f>
        <v>9</v>
      </c>
      <c r="H5" s="19">
        <f t="shared" ref="H5:I5" si="1">COUNTIF(C2:C92,"&lt;&gt;空")</f>
        <v>5</v>
      </c>
      <c r="I5" s="19">
        <f t="shared" si="1"/>
        <v>23</v>
      </c>
      <c r="J5" s="19">
        <f t="shared" si="0"/>
        <v>37</v>
      </c>
      <c r="K5" s="19"/>
      <c r="O5" s="23" t="s">
        <v>19</v>
      </c>
    </row>
    <row r="6" spans="1:20">
      <c r="A6">
        <v>5</v>
      </c>
      <c r="B6" s="21" t="s">
        <v>17</v>
      </c>
      <c r="C6" s="24" t="s">
        <v>20</v>
      </c>
      <c r="D6" s="22" t="s">
        <v>18</v>
      </c>
      <c r="F6" s="19" t="s">
        <v>66</v>
      </c>
      <c r="G6">
        <f>G4/G3</f>
        <v>0.34836065573770492</v>
      </c>
      <c r="H6" s="116">
        <f t="shared" ref="H6:J6" si="2">H4/H3</f>
        <v>0.36184210526315791</v>
      </c>
      <c r="I6">
        <f t="shared" si="2"/>
        <v>0.32919847328244273</v>
      </c>
      <c r="J6">
        <f t="shared" si="2"/>
        <v>0.33811475409836067</v>
      </c>
      <c r="O6" s="24" t="s">
        <v>20</v>
      </c>
    </row>
    <row r="7" spans="1:20">
      <c r="A7">
        <v>6</v>
      </c>
      <c r="B7" s="21" t="s">
        <v>17</v>
      </c>
      <c r="C7" t="s">
        <v>23</v>
      </c>
      <c r="D7" s="22" t="s">
        <v>18</v>
      </c>
      <c r="O7" s="25" t="s">
        <v>21</v>
      </c>
    </row>
    <row r="8" spans="1:20">
      <c r="A8">
        <v>7</v>
      </c>
      <c r="B8" s="21" t="s">
        <v>17</v>
      </c>
      <c r="C8" t="s">
        <v>23</v>
      </c>
      <c r="D8" s="22" t="s">
        <v>18</v>
      </c>
      <c r="K8">
        <v>4894</v>
      </c>
      <c r="O8" s="144" t="s">
        <v>5</v>
      </c>
    </row>
    <row r="9" spans="1:20">
      <c r="A9">
        <v>8</v>
      </c>
      <c r="B9" s="28" t="s">
        <v>12</v>
      </c>
      <c r="C9" t="s">
        <v>23</v>
      </c>
      <c r="D9" s="22" t="s">
        <v>18</v>
      </c>
      <c r="O9" s="145" t="s">
        <v>6</v>
      </c>
    </row>
    <row r="10" spans="1:20">
      <c r="A10">
        <v>9</v>
      </c>
      <c r="B10" s="21" t="s">
        <v>17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23.27272727272728</v>
      </c>
      <c r="O10" s="146" t="s">
        <v>7</v>
      </c>
    </row>
    <row r="11" spans="1:20">
      <c r="A11">
        <v>10</v>
      </c>
      <c r="B11" t="s">
        <v>23</v>
      </c>
      <c r="C11" t="s">
        <v>23</v>
      </c>
      <c r="D11" s="22" t="s">
        <v>18</v>
      </c>
      <c r="H11">
        <v>2</v>
      </c>
      <c r="I11">
        <v>128</v>
      </c>
      <c r="J11">
        <v>40</v>
      </c>
      <c r="K11">
        <f t="shared" ref="K11:K13" si="3">I11-J11/$H$6</f>
        <v>17.454545454545453</v>
      </c>
      <c r="O11" s="147" t="s">
        <v>8</v>
      </c>
    </row>
    <row r="12" spans="1:20">
      <c r="A12">
        <v>11</v>
      </c>
      <c r="B12" t="s">
        <v>23</v>
      </c>
      <c r="C12" t="s">
        <v>23</v>
      </c>
      <c r="D12" s="22" t="s">
        <v>18</v>
      </c>
      <c r="H12">
        <v>3</v>
      </c>
      <c r="I12">
        <v>136</v>
      </c>
      <c r="J12">
        <v>45</v>
      </c>
      <c r="K12">
        <f t="shared" si="3"/>
        <v>11.63636363636364</v>
      </c>
      <c r="O12" s="148" t="s">
        <v>9</v>
      </c>
    </row>
    <row r="13" spans="1:20">
      <c r="A13">
        <v>12</v>
      </c>
      <c r="B13" t="s">
        <v>23</v>
      </c>
      <c r="C13" t="s">
        <v>23</v>
      </c>
      <c r="D13" s="22" t="s">
        <v>18</v>
      </c>
      <c r="H13">
        <v>4</v>
      </c>
      <c r="I13">
        <v>144</v>
      </c>
      <c r="J13">
        <v>50</v>
      </c>
      <c r="K13">
        <f t="shared" si="3"/>
        <v>5.818181818181813</v>
      </c>
      <c r="O13" s="149" t="s">
        <v>10</v>
      </c>
    </row>
    <row r="14" spans="1:20">
      <c r="A14">
        <v>13</v>
      </c>
      <c r="B14" t="s">
        <v>23</v>
      </c>
      <c r="C14" t="s">
        <v>23</v>
      </c>
      <c r="D14" s="22" t="s">
        <v>18</v>
      </c>
      <c r="O14" s="26" t="s">
        <v>11</v>
      </c>
    </row>
    <row r="15" spans="1:20">
      <c r="A15">
        <v>14</v>
      </c>
      <c r="B15" t="s">
        <v>23</v>
      </c>
      <c r="C15" t="s">
        <v>23</v>
      </c>
      <c r="D15" s="22" t="s">
        <v>18</v>
      </c>
      <c r="O15" s="28" t="s">
        <v>12</v>
      </c>
    </row>
    <row r="16" spans="1:20">
      <c r="A16">
        <v>15</v>
      </c>
      <c r="B16" t="s">
        <v>23</v>
      </c>
      <c r="C16" t="s">
        <v>23</v>
      </c>
      <c r="D16" s="22" t="s">
        <v>18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s="22" t="s">
        <v>18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s="22" t="s">
        <v>18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s="22" t="s">
        <v>18</v>
      </c>
      <c r="H19" s="152"/>
      <c r="O19" s="34" t="s">
        <v>14</v>
      </c>
    </row>
    <row r="20" spans="1:15">
      <c r="A20">
        <v>19</v>
      </c>
      <c r="B20" t="s">
        <v>23</v>
      </c>
      <c r="C20" t="s">
        <v>23</v>
      </c>
      <c r="D20" s="22" t="s">
        <v>18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s="22" t="s">
        <v>18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s="22" t="s">
        <v>18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s="22" t="s">
        <v>18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s="22" t="s">
        <v>18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s="22" t="s">
        <v>18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102.5.1.05qq test</vt:lpstr>
      <vt:lpstr>102.5.1.05</vt:lpstr>
      <vt:lpstr>102.5.1.04</vt:lpstr>
      <vt:lpstr>102.5.1.01</vt:lpstr>
      <vt:lpstr>7.0.4</vt:lpstr>
      <vt:lpstr>7.0.5</vt:lpstr>
      <vt:lpstr>9.0.19</vt:lpstr>
      <vt:lpstr>9.0.10</vt:lpstr>
      <vt:lpstr>9.0.6</vt:lpstr>
      <vt:lpstr>猜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2023-03-13T21:42:30Z</dcterms:modified>
</cp:coreProperties>
</file>