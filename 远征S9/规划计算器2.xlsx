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tility\naruto\"/>
    </mc:Choice>
  </mc:AlternateContent>
  <xr:revisionPtr revIDLastSave="0" documentId="13_ncr:1_{723B7394-8CA1-40E1-92AA-0E66B8A754D8}" xr6:coauthVersionLast="47" xr6:coauthVersionMax="47" xr10:uidLastSave="{00000000-0000-0000-0000-000000000000}"/>
  <bookViews>
    <workbookView xWindow="-120" yWindow="-120" windowWidth="29040" windowHeight="17640" xr2:uid="{ECD4D7EE-2D5D-4083-A820-495883BB0745}"/>
  </bookViews>
  <sheets>
    <sheet name="9.0.19_满" sheetId="37" r:id="rId1"/>
    <sheet name="9.0.21" sheetId="42" r:id="rId2"/>
    <sheet name="9.0.19_boss" sheetId="41" r:id="rId3"/>
    <sheet name="9.0.19_二" sheetId="38" r:id="rId4"/>
    <sheet name="9.0.10" sheetId="28" r:id="rId5"/>
    <sheet name="9.0.20" sheetId="39" r:id="rId6"/>
    <sheet name="9.0.18" sheetId="36" r:id="rId7"/>
    <sheet name="9.0.13" sheetId="31" r:id="rId8"/>
    <sheet name="9.0.9" sheetId="27" r:id="rId9"/>
    <sheet name="9.0.15" sheetId="35" r:id="rId10"/>
    <sheet name="9.0.14" sheetId="33" r:id="rId11"/>
    <sheet name="9.0.6" sheetId="24" r:id="rId12"/>
    <sheet name="9.0.11" sheetId="29" r:id="rId13"/>
    <sheet name="9.0.7" sheetId="25" r:id="rId14"/>
    <sheet name="9.0.12" sheetId="30" r:id="rId15"/>
    <sheet name="9.0.4" sheetId="22" r:id="rId16"/>
    <sheet name="9.0.5" sheetId="23" r:id="rId17"/>
    <sheet name="9.0.8" sheetId="26" r:id="rId18"/>
    <sheet name="9.0.2" sheetId="17" r:id="rId19"/>
    <sheet name="9.0.3" sheetId="21" r:id="rId20"/>
    <sheet name="9.0.1" sheetId="20" r:id="rId21"/>
    <sheet name="Sheet2" sheetId="5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1" i="42" l="1"/>
  <c r="AA28" i="42"/>
  <c r="Z28" i="42"/>
  <c r="AB28" i="42" s="1"/>
  <c r="AA27" i="42"/>
  <c r="Z27" i="42"/>
  <c r="AB27" i="42" s="1"/>
  <c r="W26" i="42"/>
  <c r="AA25" i="42"/>
  <c r="Z25" i="42"/>
  <c r="AB25" i="42" s="1"/>
  <c r="W25" i="42"/>
  <c r="AA24" i="42"/>
  <c r="Z24" i="42"/>
  <c r="AB24" i="42" s="1"/>
  <c r="W24" i="42"/>
  <c r="AA23" i="42"/>
  <c r="Z23" i="42"/>
  <c r="AB23" i="42" s="1"/>
  <c r="W23" i="42"/>
  <c r="AA22" i="42"/>
  <c r="Z22" i="42"/>
  <c r="AB22" i="42" s="1"/>
  <c r="AA21" i="42"/>
  <c r="Z21" i="42"/>
  <c r="AB21" i="42" s="1"/>
  <c r="AA20" i="42"/>
  <c r="Z20" i="42"/>
  <c r="AA19" i="42"/>
  <c r="Z19" i="42"/>
  <c r="AB19" i="42" s="1"/>
  <c r="AA18" i="42"/>
  <c r="Z18" i="42"/>
  <c r="AB18" i="42" s="1"/>
  <c r="AA17" i="42"/>
  <c r="Z17" i="42"/>
  <c r="AB17" i="42" s="1"/>
  <c r="AA16" i="42"/>
  <c r="Z16" i="42"/>
  <c r="AB16" i="42" s="1"/>
  <c r="AA15" i="42"/>
  <c r="Z15" i="42"/>
  <c r="AB15" i="42" s="1"/>
  <c r="W15" i="42"/>
  <c r="AA14" i="42"/>
  <c r="Z14" i="42"/>
  <c r="AA13" i="42"/>
  <c r="Z13" i="42"/>
  <c r="AA12" i="42"/>
  <c r="Z12" i="42"/>
  <c r="AB12" i="42" s="1"/>
  <c r="AA11" i="42"/>
  <c r="Z11" i="42"/>
  <c r="AB11" i="42" s="1"/>
  <c r="W11" i="42"/>
  <c r="AA10" i="42"/>
  <c r="Z10" i="42"/>
  <c r="AB10" i="42" s="1"/>
  <c r="W10" i="42"/>
  <c r="AA9" i="42"/>
  <c r="Z9" i="42"/>
  <c r="W9" i="42"/>
  <c r="AA8" i="42"/>
  <c r="Z8" i="42"/>
  <c r="AB8" i="42" s="1"/>
  <c r="P8" i="42"/>
  <c r="H8" i="42"/>
  <c r="AA7" i="42"/>
  <c r="Z7" i="42"/>
  <c r="AB7" i="42" s="1"/>
  <c r="O7" i="42"/>
  <c r="N7" i="42"/>
  <c r="M7" i="42"/>
  <c r="P7" i="42" s="1"/>
  <c r="G7" i="42"/>
  <c r="F7" i="42"/>
  <c r="E7" i="42"/>
  <c r="AA6" i="42"/>
  <c r="Z6" i="42"/>
  <c r="R6" i="42"/>
  <c r="O6" i="42" a="1"/>
  <c r="O6" i="42" s="1"/>
  <c r="O9" i="42" s="1"/>
  <c r="N6" i="42" a="1"/>
  <c r="N6" i="42" s="1"/>
  <c r="M6" i="42" a="1"/>
  <c r="M6" i="42" s="1"/>
  <c r="G6" i="42" a="1"/>
  <c r="G6" i="42" s="1"/>
  <c r="F6" i="42" a="1"/>
  <c r="F6" i="42" s="1"/>
  <c r="E6" i="42" a="1"/>
  <c r="E6" i="42" s="1"/>
  <c r="AA5" i="42"/>
  <c r="Z5" i="42"/>
  <c r="AB5" i="42" s="1"/>
  <c r="O5" i="42" a="1"/>
  <c r="O5" i="42" s="1"/>
  <c r="N5" i="42" a="1"/>
  <c r="N5" i="42" s="1"/>
  <c r="M5" i="42" a="1"/>
  <c r="M5" i="42" s="1"/>
  <c r="G5" i="42" a="1"/>
  <c r="G5" i="42" s="1"/>
  <c r="F5" i="42" a="1"/>
  <c r="F5" i="42" s="1"/>
  <c r="E5" i="42" a="1"/>
  <c r="E5" i="42" s="1"/>
  <c r="AA4" i="42"/>
  <c r="Z4" i="42"/>
  <c r="AB4" i="42" s="1"/>
  <c r="W4" i="42"/>
  <c r="P4" i="42"/>
  <c r="H4" i="42"/>
  <c r="AA3" i="42"/>
  <c r="Z3" i="42"/>
  <c r="W3" i="42"/>
  <c r="H1" i="42" s="1" a="1"/>
  <c r="H1" i="42" s="1"/>
  <c r="Y31" i="41"/>
  <c r="AA28" i="41"/>
  <c r="Z28" i="41"/>
  <c r="AB28" i="41" s="1"/>
  <c r="AA27" i="41"/>
  <c r="Z27" i="41"/>
  <c r="AB27" i="41" s="1"/>
  <c r="W26" i="41"/>
  <c r="AA25" i="41"/>
  <c r="Z25" i="41"/>
  <c r="AB25" i="41" s="1"/>
  <c r="W25" i="41"/>
  <c r="AA24" i="41"/>
  <c r="Z24" i="41"/>
  <c r="AB24" i="41" s="1"/>
  <c r="W24" i="41"/>
  <c r="AA23" i="41"/>
  <c r="Z23" i="41"/>
  <c r="AB23" i="41" s="1"/>
  <c r="W23" i="41"/>
  <c r="AA22" i="41"/>
  <c r="Z22" i="41"/>
  <c r="AB22" i="41" s="1"/>
  <c r="AA21" i="41"/>
  <c r="Z21" i="41"/>
  <c r="AB21" i="41" s="1"/>
  <c r="AA20" i="41"/>
  <c r="AB20" i="41" s="1"/>
  <c r="Z20" i="41"/>
  <c r="AA19" i="41"/>
  <c r="AB19" i="41" s="1"/>
  <c r="Z19" i="41"/>
  <c r="AA18" i="41"/>
  <c r="Z18" i="41"/>
  <c r="AB18" i="41" s="1"/>
  <c r="AA17" i="41"/>
  <c r="Z17" i="41"/>
  <c r="AB17" i="41" s="1"/>
  <c r="AA16" i="41"/>
  <c r="AB16" i="41" s="1"/>
  <c r="Z16" i="41"/>
  <c r="AA15" i="41"/>
  <c r="Z15" i="41"/>
  <c r="AB15" i="41" s="1"/>
  <c r="W15" i="41"/>
  <c r="AA14" i="41"/>
  <c r="AB14" i="41" s="1"/>
  <c r="Z14" i="41"/>
  <c r="AA13" i="41"/>
  <c r="Z13" i="41"/>
  <c r="AB13" i="41" s="1"/>
  <c r="AA12" i="41"/>
  <c r="AB12" i="41" s="1"/>
  <c r="Z12" i="41"/>
  <c r="AA11" i="41"/>
  <c r="Z11" i="41"/>
  <c r="AB11" i="41" s="1"/>
  <c r="W11" i="41"/>
  <c r="AA10" i="41"/>
  <c r="Z10" i="41"/>
  <c r="AB10" i="41" s="1"/>
  <c r="W10" i="41"/>
  <c r="AA9" i="41"/>
  <c r="Z9" i="41"/>
  <c r="AB9" i="41" s="1"/>
  <c r="W9" i="41"/>
  <c r="AA8" i="41"/>
  <c r="Z8" i="41"/>
  <c r="AB8" i="41" s="1"/>
  <c r="P8" i="41"/>
  <c r="H8" i="41"/>
  <c r="AA7" i="41"/>
  <c r="Z7" i="41"/>
  <c r="AB7" i="41" s="1"/>
  <c r="P7" i="41"/>
  <c r="O7" i="41"/>
  <c r="N7" i="41"/>
  <c r="M7" i="41"/>
  <c r="H7" i="41"/>
  <c r="G7" i="41"/>
  <c r="F7" i="41"/>
  <c r="E7" i="41"/>
  <c r="AB6" i="41"/>
  <c r="AA6" i="41"/>
  <c r="Z6" i="41"/>
  <c r="R6" i="41"/>
  <c r="O6" i="41" a="1"/>
  <c r="O6" i="41" s="1"/>
  <c r="N6" i="41" a="1"/>
  <c r="N6" i="41" s="1"/>
  <c r="M6" i="41" a="1"/>
  <c r="M6" i="41" s="1"/>
  <c r="G6" i="41" a="1"/>
  <c r="G6" i="41" s="1"/>
  <c r="F6" i="41" a="1"/>
  <c r="F6" i="41" s="1"/>
  <c r="E6" i="41"/>
  <c r="H6" i="41" s="1"/>
  <c r="E6" i="41" a="1"/>
  <c r="AA5" i="41"/>
  <c r="Z5" i="41"/>
  <c r="AB5" i="41" s="1"/>
  <c r="O5" i="41" a="1"/>
  <c r="O5" i="41" s="1"/>
  <c r="N5" i="41" a="1"/>
  <c r="N5" i="41" s="1"/>
  <c r="M5" i="41" a="1"/>
  <c r="M5" i="41" s="1"/>
  <c r="G5" i="41" a="1"/>
  <c r="G5" i="41" s="1"/>
  <c r="F5" i="41" a="1"/>
  <c r="F5" i="41" s="1"/>
  <c r="E5" i="41" a="1"/>
  <c r="E5" i="41" s="1"/>
  <c r="AA4" i="41"/>
  <c r="Z4" i="41"/>
  <c r="AB4" i="41" s="1"/>
  <c r="W4" i="41"/>
  <c r="P4" i="41"/>
  <c r="H4" i="41"/>
  <c r="AA3" i="41"/>
  <c r="Z3" i="41"/>
  <c r="AB3" i="41" s="1"/>
  <c r="W3" i="41"/>
  <c r="H1" i="41" s="1" a="1"/>
  <c r="H1" i="41" s="1"/>
  <c r="W11" i="39"/>
  <c r="Y31" i="39"/>
  <c r="AA28" i="39"/>
  <c r="Z28" i="39"/>
  <c r="AB28" i="39" s="1"/>
  <c r="AA27" i="39"/>
  <c r="Z27" i="39"/>
  <c r="AB27" i="39" s="1"/>
  <c r="W26" i="39"/>
  <c r="AA25" i="39"/>
  <c r="Z25" i="39"/>
  <c r="AB25" i="39" s="1"/>
  <c r="W25" i="39"/>
  <c r="AA24" i="39"/>
  <c r="Z24" i="39"/>
  <c r="AB24" i="39" s="1"/>
  <c r="W24" i="39"/>
  <c r="AA23" i="39"/>
  <c r="Z23" i="39"/>
  <c r="AB23" i="39" s="1"/>
  <c r="W23" i="39"/>
  <c r="AA22" i="39"/>
  <c r="Z22" i="39"/>
  <c r="AB22" i="39" s="1"/>
  <c r="AA21" i="39"/>
  <c r="Z21" i="39"/>
  <c r="AB21" i="39" s="1"/>
  <c r="AA20" i="39"/>
  <c r="Z20" i="39"/>
  <c r="AB20" i="39" s="1"/>
  <c r="AA19" i="39"/>
  <c r="Z19" i="39"/>
  <c r="AA18" i="39"/>
  <c r="Z18" i="39"/>
  <c r="AB18" i="39" s="1"/>
  <c r="AA17" i="39"/>
  <c r="Z17" i="39"/>
  <c r="AB17" i="39" s="1"/>
  <c r="AA16" i="39"/>
  <c r="Z16" i="39"/>
  <c r="AB16" i="39" s="1"/>
  <c r="AA15" i="39"/>
  <c r="Z15" i="39"/>
  <c r="W15" i="39"/>
  <c r="AA14" i="39"/>
  <c r="Z14" i="39"/>
  <c r="AB14" i="39" s="1"/>
  <c r="AA13" i="39"/>
  <c r="Z13" i="39"/>
  <c r="AB13" i="39" s="1"/>
  <c r="AA12" i="39"/>
  <c r="Z12" i="39"/>
  <c r="AB12" i="39" s="1"/>
  <c r="AA11" i="39"/>
  <c r="Z11" i="39"/>
  <c r="AB11" i="39" s="1"/>
  <c r="AA10" i="39"/>
  <c r="Z10" i="39"/>
  <c r="AB10" i="39" s="1"/>
  <c r="W10" i="39"/>
  <c r="AA9" i="39"/>
  <c r="Z9" i="39"/>
  <c r="AB9" i="39" s="1"/>
  <c r="W9" i="39"/>
  <c r="AA8" i="39"/>
  <c r="Z8" i="39"/>
  <c r="AB8" i="39" s="1"/>
  <c r="P8" i="39"/>
  <c r="H8" i="39"/>
  <c r="AA7" i="39"/>
  <c r="Z7" i="39"/>
  <c r="AB7" i="39" s="1"/>
  <c r="O7" i="39"/>
  <c r="N7" i="39"/>
  <c r="M7" i="39"/>
  <c r="P7" i="39" s="1"/>
  <c r="G7" i="39"/>
  <c r="F7" i="39"/>
  <c r="E7" i="39"/>
  <c r="AA6" i="39"/>
  <c r="Z6" i="39"/>
  <c r="AB6" i="39" s="1"/>
  <c r="R6" i="39"/>
  <c r="O6" i="39" a="1"/>
  <c r="O6" i="39" s="1"/>
  <c r="O9" i="39" s="1"/>
  <c r="N6" i="39" a="1"/>
  <c r="N6" i="39" s="1"/>
  <c r="N9" i="39" s="1"/>
  <c r="M6" i="39" a="1"/>
  <c r="M6" i="39" s="1"/>
  <c r="G6" i="39" a="1"/>
  <c r="G6" i="39" s="1"/>
  <c r="F6" i="39" a="1"/>
  <c r="F6" i="39" s="1"/>
  <c r="E6" i="39" a="1"/>
  <c r="E6" i="39" s="1"/>
  <c r="AA5" i="39"/>
  <c r="Z5" i="39"/>
  <c r="AB5" i="39" s="1"/>
  <c r="O5" i="39" a="1"/>
  <c r="O5" i="39" s="1"/>
  <c r="N5" i="39" a="1"/>
  <c r="N5" i="39" s="1"/>
  <c r="M5" i="39" a="1"/>
  <c r="M5" i="39" s="1"/>
  <c r="P5" i="39" s="1"/>
  <c r="G5" i="39" a="1"/>
  <c r="G5" i="39" s="1"/>
  <c r="F5" i="39" a="1"/>
  <c r="F5" i="39" s="1"/>
  <c r="E5" i="39" a="1"/>
  <c r="E5" i="39" s="1"/>
  <c r="AA4" i="39"/>
  <c r="Z4" i="39"/>
  <c r="AB4" i="39" s="1"/>
  <c r="W4" i="39"/>
  <c r="P4" i="39"/>
  <c r="H4" i="39"/>
  <c r="AA3" i="39"/>
  <c r="Z3" i="39"/>
  <c r="AB3" i="39" s="1"/>
  <c r="W3" i="39"/>
  <c r="H1" i="39" s="1" a="1"/>
  <c r="H1" i="39" s="1"/>
  <c r="Y31" i="38"/>
  <c r="AA28" i="38"/>
  <c r="Z28" i="38"/>
  <c r="AA27" i="38"/>
  <c r="Z27" i="38"/>
  <c r="W26" i="38"/>
  <c r="AA25" i="38"/>
  <c r="Z25" i="38"/>
  <c r="W25" i="38"/>
  <c r="AA24" i="38"/>
  <c r="Z24" i="38"/>
  <c r="W24" i="38"/>
  <c r="AA23" i="38"/>
  <c r="Z23" i="38"/>
  <c r="W23" i="38"/>
  <c r="AA22" i="38"/>
  <c r="Z22" i="38"/>
  <c r="AA21" i="38"/>
  <c r="Z21" i="38"/>
  <c r="AA20" i="38"/>
  <c r="AB20" i="38" s="1"/>
  <c r="Z20" i="38"/>
  <c r="AA19" i="38"/>
  <c r="AB19" i="38" s="1"/>
  <c r="Z19" i="38"/>
  <c r="AA18" i="38"/>
  <c r="Z18" i="38"/>
  <c r="AA17" i="38"/>
  <c r="Z17" i="38"/>
  <c r="AA16" i="38"/>
  <c r="Z16" i="38"/>
  <c r="AA15" i="38"/>
  <c r="Z15" i="38"/>
  <c r="W15" i="38"/>
  <c r="AA14" i="38"/>
  <c r="AB14" i="38" s="1"/>
  <c r="Z14" i="38"/>
  <c r="AA13" i="38"/>
  <c r="Z13" i="38"/>
  <c r="AA12" i="38"/>
  <c r="Z12" i="38"/>
  <c r="AA11" i="38"/>
  <c r="Z11" i="38"/>
  <c r="AB11" i="38" s="1"/>
  <c r="W11" i="38"/>
  <c r="AA10" i="38"/>
  <c r="Z10" i="38"/>
  <c r="W10" i="38"/>
  <c r="AA9" i="38"/>
  <c r="Z9" i="38"/>
  <c r="W9" i="38"/>
  <c r="AA8" i="38"/>
  <c r="Z8" i="38"/>
  <c r="P8" i="38"/>
  <c r="H8" i="38"/>
  <c r="AA7" i="38"/>
  <c r="Z7" i="38"/>
  <c r="P7" i="38"/>
  <c r="O7" i="38"/>
  <c r="N7" i="38"/>
  <c r="M7" i="38"/>
  <c r="H7" i="38"/>
  <c r="G7" i="38"/>
  <c r="F7" i="38"/>
  <c r="E7" i="38"/>
  <c r="AA6" i="38"/>
  <c r="AB6" i="38" s="1"/>
  <c r="Z6" i="38"/>
  <c r="R6" i="38"/>
  <c r="O6" i="38" a="1"/>
  <c r="O6" i="38" s="1"/>
  <c r="N6" i="38" a="1"/>
  <c r="N6" i="38" s="1"/>
  <c r="M6" i="38" a="1"/>
  <c r="M6" i="38" s="1"/>
  <c r="G6" i="38" a="1"/>
  <c r="G6" i="38" s="1"/>
  <c r="F6" i="38" a="1"/>
  <c r="F6" i="38" s="1"/>
  <c r="E6" i="38"/>
  <c r="H6" i="38" s="1"/>
  <c r="E6" i="38" a="1"/>
  <c r="AA5" i="38"/>
  <c r="Z5" i="38"/>
  <c r="O5" i="38" a="1"/>
  <c r="O5" i="38" s="1"/>
  <c r="N5" i="38" a="1"/>
  <c r="N5" i="38" s="1"/>
  <c r="M5" i="38" a="1"/>
  <c r="M5" i="38" s="1"/>
  <c r="G5" i="38" a="1"/>
  <c r="G5" i="38" s="1"/>
  <c r="F5" i="38" a="1"/>
  <c r="F5" i="38" s="1"/>
  <c r="E5" i="38" a="1"/>
  <c r="E5" i="38" s="1"/>
  <c r="AA4" i="38"/>
  <c r="Z4" i="38"/>
  <c r="W4" i="38"/>
  <c r="P4" i="38"/>
  <c r="H4" i="38"/>
  <c r="AA3" i="38"/>
  <c r="AB3" i="38" s="1"/>
  <c r="Z3" i="38"/>
  <c r="W3" i="38"/>
  <c r="H1" i="38" s="1" a="1"/>
  <c r="H1" i="38" s="1"/>
  <c r="Y31" i="37"/>
  <c r="AA28" i="37"/>
  <c r="Z28" i="37"/>
  <c r="AA27" i="37"/>
  <c r="Z27" i="37"/>
  <c r="W26" i="37"/>
  <c r="AA25" i="37"/>
  <c r="Z25" i="37"/>
  <c r="W25" i="37"/>
  <c r="AA24" i="37"/>
  <c r="Z24" i="37"/>
  <c r="W24" i="37"/>
  <c r="AA23" i="37"/>
  <c r="Z23" i="37"/>
  <c r="AB23" i="37" s="1"/>
  <c r="W23" i="37"/>
  <c r="AA22" i="37"/>
  <c r="Z22" i="37"/>
  <c r="AA21" i="37"/>
  <c r="AB21" i="37" s="1"/>
  <c r="Z21" i="37"/>
  <c r="AA20" i="37"/>
  <c r="AB20" i="37" s="1"/>
  <c r="Z20" i="37"/>
  <c r="AA19" i="37"/>
  <c r="AB19" i="37" s="1"/>
  <c r="Z19" i="37"/>
  <c r="AA18" i="37"/>
  <c r="Z18" i="37"/>
  <c r="AA17" i="37"/>
  <c r="AB17" i="37" s="1"/>
  <c r="Z17" i="37"/>
  <c r="AA16" i="37"/>
  <c r="AB16" i="37" s="1"/>
  <c r="Z16" i="37"/>
  <c r="AA15" i="37"/>
  <c r="AB15" i="37" s="1"/>
  <c r="Z15" i="37"/>
  <c r="W15" i="37"/>
  <c r="AA14" i="37"/>
  <c r="Z14" i="37"/>
  <c r="AA13" i="37"/>
  <c r="Z13" i="37"/>
  <c r="AA12" i="37"/>
  <c r="Z12" i="37"/>
  <c r="AA11" i="37"/>
  <c r="Z11" i="37"/>
  <c r="W11" i="37"/>
  <c r="AA10" i="37"/>
  <c r="Z10" i="37"/>
  <c r="W10" i="37"/>
  <c r="AA9" i="37"/>
  <c r="Z9" i="37"/>
  <c r="W9" i="37"/>
  <c r="AA8" i="37"/>
  <c r="Z8" i="37"/>
  <c r="P8" i="37"/>
  <c r="H8" i="37"/>
  <c r="AA7" i="37"/>
  <c r="Z7" i="37"/>
  <c r="O7" i="37"/>
  <c r="N7" i="37"/>
  <c r="M7" i="37"/>
  <c r="H7" i="37"/>
  <c r="G7" i="37"/>
  <c r="F7" i="37"/>
  <c r="E7" i="37"/>
  <c r="AA6" i="37"/>
  <c r="AB6" i="37" s="1"/>
  <c r="Z6" i="37"/>
  <c r="R6" i="37"/>
  <c r="O6" i="37" a="1"/>
  <c r="O6" i="37" s="1"/>
  <c r="N6" i="37" a="1"/>
  <c r="N6" i="37" s="1"/>
  <c r="M6" i="37" a="1"/>
  <c r="M6" i="37" s="1"/>
  <c r="G6" i="37" a="1"/>
  <c r="G6" i="37" s="1"/>
  <c r="F6" i="37" a="1"/>
  <c r="F6" i="37" s="1"/>
  <c r="E6" i="37" a="1"/>
  <c r="E6" i="37" s="1"/>
  <c r="AA5" i="37"/>
  <c r="AB5" i="37" s="1"/>
  <c r="Z5" i="37"/>
  <c r="O5" i="37" a="1"/>
  <c r="O5" i="37" s="1"/>
  <c r="N5" i="37" a="1"/>
  <c r="N5" i="37" s="1"/>
  <c r="M5" i="37" a="1"/>
  <c r="M5" i="37" s="1"/>
  <c r="G5" i="37" a="1"/>
  <c r="G5" i="37" s="1"/>
  <c r="F5" i="37" a="1"/>
  <c r="F5" i="37" s="1"/>
  <c r="E5" i="37" a="1"/>
  <c r="E5" i="37" s="1"/>
  <c r="H5" i="37" s="1"/>
  <c r="AA4" i="37"/>
  <c r="Z4" i="37"/>
  <c r="W4" i="37"/>
  <c r="P4" i="37"/>
  <c r="H4" i="37"/>
  <c r="AA3" i="37"/>
  <c r="AB3" i="37" s="1"/>
  <c r="Z3" i="37"/>
  <c r="W3" i="37"/>
  <c r="H1" i="37" s="1" a="1"/>
  <c r="H1" i="37" s="1"/>
  <c r="Y31" i="36"/>
  <c r="AA28" i="36"/>
  <c r="Z28" i="36"/>
  <c r="AA27" i="36"/>
  <c r="Z27" i="36"/>
  <c r="W26" i="36"/>
  <c r="AA25" i="36"/>
  <c r="Z25" i="36"/>
  <c r="W25" i="36"/>
  <c r="AA24" i="36"/>
  <c r="Z24" i="36"/>
  <c r="W24" i="36"/>
  <c r="AA23" i="36"/>
  <c r="Z23" i="36"/>
  <c r="W23" i="36"/>
  <c r="AA22" i="36"/>
  <c r="Z22" i="36"/>
  <c r="AA21" i="36"/>
  <c r="Z21" i="36"/>
  <c r="AA20" i="36"/>
  <c r="AB20" i="36" s="1"/>
  <c r="Z20" i="36"/>
  <c r="AA19" i="36"/>
  <c r="AB19" i="36" s="1"/>
  <c r="Z19" i="36"/>
  <c r="AA18" i="36"/>
  <c r="Z18" i="36"/>
  <c r="AA17" i="36"/>
  <c r="Z17" i="36"/>
  <c r="AA16" i="36"/>
  <c r="Z16" i="36"/>
  <c r="AA15" i="36"/>
  <c r="Z15" i="36"/>
  <c r="W15" i="36"/>
  <c r="AA14" i="36"/>
  <c r="AB14" i="36" s="1"/>
  <c r="Z14" i="36"/>
  <c r="AA13" i="36"/>
  <c r="Z13" i="36"/>
  <c r="AA12" i="36"/>
  <c r="AB12" i="36" s="1"/>
  <c r="Z12" i="36"/>
  <c r="AA11" i="36"/>
  <c r="Z11" i="36"/>
  <c r="W11" i="36"/>
  <c r="AA10" i="36"/>
  <c r="Z10" i="36"/>
  <c r="W10" i="36"/>
  <c r="AA9" i="36"/>
  <c r="Z9" i="36"/>
  <c r="W9" i="36"/>
  <c r="AA8" i="36"/>
  <c r="Z8" i="36"/>
  <c r="P8" i="36"/>
  <c r="H8" i="36"/>
  <c r="AA7" i="36"/>
  <c r="Z7" i="36"/>
  <c r="O7" i="36"/>
  <c r="N7" i="36"/>
  <c r="M7" i="36"/>
  <c r="H7" i="36"/>
  <c r="G7" i="36"/>
  <c r="F7" i="36"/>
  <c r="E7" i="36"/>
  <c r="AA6" i="36"/>
  <c r="AB6" i="36" s="1"/>
  <c r="Z6" i="36"/>
  <c r="R6" i="36"/>
  <c r="O6" i="36" a="1"/>
  <c r="O6" i="36" s="1"/>
  <c r="N6" i="36" a="1"/>
  <c r="N6" i="36" s="1"/>
  <c r="M6" i="36" a="1"/>
  <c r="M6" i="36" s="1"/>
  <c r="G6" i="36" a="1"/>
  <c r="G6" i="36" s="1"/>
  <c r="F6" i="36" a="1"/>
  <c r="F6" i="36" s="1"/>
  <c r="E6" i="36" a="1"/>
  <c r="E6" i="36" s="1"/>
  <c r="H6" i="36" s="1"/>
  <c r="AA5" i="36"/>
  <c r="Z5" i="36"/>
  <c r="O5" i="36" a="1"/>
  <c r="O5" i="36" s="1"/>
  <c r="N5" i="36" a="1"/>
  <c r="N5" i="36" s="1"/>
  <c r="M5" i="36" a="1"/>
  <c r="M5" i="36" s="1"/>
  <c r="G5" i="36" a="1"/>
  <c r="G5" i="36" s="1"/>
  <c r="F5" i="36" a="1"/>
  <c r="F5" i="36" s="1"/>
  <c r="E5" i="36" a="1"/>
  <c r="E5" i="36" s="1"/>
  <c r="AA4" i="36"/>
  <c r="Z4" i="36"/>
  <c r="W4" i="36"/>
  <c r="P4" i="36"/>
  <c r="H4" i="36"/>
  <c r="AA3" i="36"/>
  <c r="Z3" i="36"/>
  <c r="W3" i="36"/>
  <c r="H1" i="36" s="1" a="1"/>
  <c r="H1" i="36" s="1"/>
  <c r="Y31" i="35"/>
  <c r="AA28" i="35"/>
  <c r="Z28" i="35"/>
  <c r="AA27" i="35"/>
  <c r="Z27" i="35"/>
  <c r="W26" i="35"/>
  <c r="AA25" i="35"/>
  <c r="Z25" i="35"/>
  <c r="W25" i="35"/>
  <c r="AA24" i="35"/>
  <c r="Z24" i="35"/>
  <c r="AB24" i="35" s="1"/>
  <c r="W24" i="35"/>
  <c r="AA23" i="35"/>
  <c r="Z23" i="35"/>
  <c r="AB23" i="35" s="1"/>
  <c r="W23" i="35"/>
  <c r="AA22" i="35"/>
  <c r="Z22" i="35"/>
  <c r="AA21" i="35"/>
  <c r="Z21" i="35"/>
  <c r="AA20" i="35"/>
  <c r="AB20" i="35" s="1"/>
  <c r="Z20" i="35"/>
  <c r="AA19" i="35"/>
  <c r="AB19" i="35" s="1"/>
  <c r="Z19" i="35"/>
  <c r="AA18" i="35"/>
  <c r="Z18" i="35"/>
  <c r="AB18" i="35" s="1"/>
  <c r="AA17" i="35"/>
  <c r="Z17" i="35"/>
  <c r="AA16" i="35"/>
  <c r="AB16" i="35" s="1"/>
  <c r="Z16" i="35"/>
  <c r="AA15" i="35"/>
  <c r="Z15" i="35"/>
  <c r="W15" i="35"/>
  <c r="AA14" i="35"/>
  <c r="AB14" i="35" s="1"/>
  <c r="Z14" i="35"/>
  <c r="AA13" i="35"/>
  <c r="Z13" i="35"/>
  <c r="AA12" i="35"/>
  <c r="AB12" i="35" s="1"/>
  <c r="Z12" i="35"/>
  <c r="AA11" i="35"/>
  <c r="Z11" i="35"/>
  <c r="W11" i="35"/>
  <c r="AA10" i="35"/>
  <c r="Z10" i="35"/>
  <c r="W10" i="35"/>
  <c r="AA9" i="35"/>
  <c r="Z9" i="35"/>
  <c r="W9" i="35"/>
  <c r="AA8" i="35"/>
  <c r="Z8" i="35"/>
  <c r="AB8" i="35" s="1"/>
  <c r="P8" i="35"/>
  <c r="H8" i="35"/>
  <c r="AA7" i="35"/>
  <c r="Z7" i="35"/>
  <c r="O7" i="35"/>
  <c r="N7" i="35"/>
  <c r="M7" i="35"/>
  <c r="P7" i="35" s="1"/>
  <c r="H7" i="35"/>
  <c r="G7" i="35"/>
  <c r="F7" i="35"/>
  <c r="E7" i="35"/>
  <c r="AA6" i="35"/>
  <c r="AB6" i="35" s="1"/>
  <c r="Z6" i="35"/>
  <c r="R6" i="35"/>
  <c r="O6" i="35" a="1"/>
  <c r="O6" i="35" s="1"/>
  <c r="O9" i="35" s="1"/>
  <c r="N6" i="35" a="1"/>
  <c r="N6" i="35" s="1"/>
  <c r="M6" i="35" a="1"/>
  <c r="M6" i="35" s="1"/>
  <c r="G6" i="35" a="1"/>
  <c r="G6" i="35" s="1"/>
  <c r="F6" i="35" a="1"/>
  <c r="F6" i="35" s="1"/>
  <c r="E6" i="35"/>
  <c r="E6" i="35" a="1"/>
  <c r="AA5" i="35"/>
  <c r="AB5" i="35" s="1"/>
  <c r="Z5" i="35"/>
  <c r="O5" i="35" a="1"/>
  <c r="O5" i="35" s="1"/>
  <c r="N5" i="35" a="1"/>
  <c r="N5" i="35" s="1"/>
  <c r="M5" i="35" a="1"/>
  <c r="M5" i="35" s="1"/>
  <c r="P5" i="35" s="1"/>
  <c r="G5" i="35" a="1"/>
  <c r="G5" i="35" s="1"/>
  <c r="F5" i="35" a="1"/>
  <c r="F5" i="35" s="1"/>
  <c r="E5" i="35" a="1"/>
  <c r="E5" i="35" s="1"/>
  <c r="H5" i="35" s="1"/>
  <c r="AA4" i="35"/>
  <c r="Z4" i="35"/>
  <c r="W4" i="35"/>
  <c r="P4" i="35"/>
  <c r="H4" i="35"/>
  <c r="AA3" i="35"/>
  <c r="AB3" i="35" s="1"/>
  <c r="Z3" i="35"/>
  <c r="W3" i="35"/>
  <c r="H1" i="35" s="1" a="1"/>
  <c r="H1" i="35" s="1"/>
  <c r="Y31" i="33"/>
  <c r="AA28" i="33"/>
  <c r="Z28" i="33"/>
  <c r="AA27" i="33"/>
  <c r="Z27" i="33"/>
  <c r="W26" i="33"/>
  <c r="AA25" i="33"/>
  <c r="Z25" i="33"/>
  <c r="W25" i="33"/>
  <c r="AA24" i="33"/>
  <c r="Z24" i="33"/>
  <c r="W24" i="33"/>
  <c r="AA23" i="33"/>
  <c r="Z23" i="33"/>
  <c r="W23" i="33"/>
  <c r="AA22" i="33"/>
  <c r="Z22" i="33"/>
  <c r="AA21" i="33"/>
  <c r="Z21" i="33"/>
  <c r="AA20" i="33"/>
  <c r="Z20" i="33"/>
  <c r="AA19" i="33"/>
  <c r="Z19" i="33"/>
  <c r="AA18" i="33"/>
  <c r="Z18" i="33"/>
  <c r="AA17" i="33"/>
  <c r="Z17" i="33"/>
  <c r="AA16" i="33"/>
  <c r="Z16" i="33"/>
  <c r="AA15" i="33"/>
  <c r="Z15" i="33"/>
  <c r="W15" i="33"/>
  <c r="AA14" i="33"/>
  <c r="Z14" i="33"/>
  <c r="AA13" i="33"/>
  <c r="Z13" i="33"/>
  <c r="AA12" i="33"/>
  <c r="Z12" i="33"/>
  <c r="AA11" i="33"/>
  <c r="Z11" i="33"/>
  <c r="AB11" i="33" s="1"/>
  <c r="W11" i="33"/>
  <c r="AA10" i="33"/>
  <c r="Z10" i="33"/>
  <c r="W10" i="33"/>
  <c r="AA9" i="33"/>
  <c r="Z9" i="33"/>
  <c r="W9" i="33"/>
  <c r="AA8" i="33"/>
  <c r="Z8" i="33"/>
  <c r="P8" i="33"/>
  <c r="H8" i="33"/>
  <c r="AA7" i="33"/>
  <c r="Z7" i="33"/>
  <c r="O7" i="33"/>
  <c r="N7" i="33"/>
  <c r="M7" i="33"/>
  <c r="P7" i="33" s="1"/>
  <c r="H7" i="33"/>
  <c r="G7" i="33"/>
  <c r="F7" i="33"/>
  <c r="E7" i="33"/>
  <c r="AA6" i="33"/>
  <c r="Z6" i="33"/>
  <c r="R6" i="33"/>
  <c r="O6" i="33" a="1"/>
  <c r="O6" i="33" s="1"/>
  <c r="N6" i="33" a="1"/>
  <c r="N6" i="33" s="1"/>
  <c r="N9" i="33" s="1"/>
  <c r="M6" i="33" a="1"/>
  <c r="M6" i="33" s="1"/>
  <c r="G6" i="33" a="1"/>
  <c r="G6" i="33" s="1"/>
  <c r="F6" i="33" a="1"/>
  <c r="F6" i="33" s="1"/>
  <c r="E6" i="33"/>
  <c r="E6" i="33" a="1"/>
  <c r="AA5" i="33"/>
  <c r="Z5" i="33"/>
  <c r="O5" i="33" a="1"/>
  <c r="O5" i="33" s="1"/>
  <c r="N5" i="33" a="1"/>
  <c r="N5" i="33" s="1"/>
  <c r="M5" i="33" a="1"/>
  <c r="M5" i="33" s="1"/>
  <c r="P5" i="33" s="1"/>
  <c r="G5" i="33" a="1"/>
  <c r="G5" i="33" s="1"/>
  <c r="F5" i="33" a="1"/>
  <c r="F5" i="33" s="1"/>
  <c r="E5" i="33" a="1"/>
  <c r="E5" i="33" s="1"/>
  <c r="AA4" i="33"/>
  <c r="Z4" i="33"/>
  <c r="W4" i="33"/>
  <c r="P4" i="33"/>
  <c r="H4" i="33"/>
  <c r="AA3" i="33"/>
  <c r="Z3" i="33"/>
  <c r="W3" i="33"/>
  <c r="H1" i="33" s="1" a="1"/>
  <c r="H1" i="33" s="1"/>
  <c r="Y31" i="31"/>
  <c r="AA28" i="31"/>
  <c r="Z28" i="31"/>
  <c r="AA27" i="31"/>
  <c r="Z27" i="31"/>
  <c r="W26" i="31"/>
  <c r="AA25" i="31"/>
  <c r="Z25" i="31"/>
  <c r="W25" i="31"/>
  <c r="AA24" i="31"/>
  <c r="Z24" i="31"/>
  <c r="W24" i="31"/>
  <c r="AA23" i="31"/>
  <c r="Z23" i="31"/>
  <c r="W23" i="31"/>
  <c r="AA22" i="31"/>
  <c r="Z22" i="31"/>
  <c r="AA21" i="31"/>
  <c r="Z21" i="31"/>
  <c r="AA20" i="31"/>
  <c r="Z20" i="31"/>
  <c r="AA19" i="31"/>
  <c r="Z19" i="31"/>
  <c r="AA18" i="31"/>
  <c r="Z18" i="31"/>
  <c r="AA17" i="31"/>
  <c r="Z17" i="31"/>
  <c r="AA16" i="31"/>
  <c r="Z16" i="31"/>
  <c r="AA15" i="31"/>
  <c r="Z15" i="31"/>
  <c r="W15" i="31"/>
  <c r="AA14" i="31"/>
  <c r="Z14" i="31"/>
  <c r="AA13" i="31"/>
  <c r="Z13" i="31"/>
  <c r="AA12" i="31"/>
  <c r="Z12" i="31"/>
  <c r="AA11" i="31"/>
  <c r="Z11" i="31"/>
  <c r="AB11" i="31" s="1"/>
  <c r="W11" i="31"/>
  <c r="AA10" i="31"/>
  <c r="Z10" i="31"/>
  <c r="W10" i="31"/>
  <c r="AA9" i="31"/>
  <c r="Z9" i="31"/>
  <c r="W9" i="31"/>
  <c r="AA8" i="31"/>
  <c r="Z8" i="31"/>
  <c r="P8" i="31"/>
  <c r="H8" i="31"/>
  <c r="AA7" i="31"/>
  <c r="Z7" i="31"/>
  <c r="O7" i="31"/>
  <c r="N7" i="31"/>
  <c r="M7" i="31"/>
  <c r="G7" i="31"/>
  <c r="F7" i="31"/>
  <c r="H7" i="31" s="1"/>
  <c r="E7" i="31"/>
  <c r="AA6" i="31"/>
  <c r="Z6" i="31"/>
  <c r="R6" i="31"/>
  <c r="O6" i="31" a="1"/>
  <c r="O6" i="31" s="1"/>
  <c r="N6" i="31" a="1"/>
  <c r="N6" i="31" s="1"/>
  <c r="M6" i="31" a="1"/>
  <c r="M6" i="31" s="1"/>
  <c r="G6" i="31" a="1"/>
  <c r="G6" i="31" s="1"/>
  <c r="F6" i="31" a="1"/>
  <c r="F6" i="31" s="1"/>
  <c r="E6" i="31" a="1"/>
  <c r="E6" i="31" s="1"/>
  <c r="AA5" i="31"/>
  <c r="Z5" i="31"/>
  <c r="O5" i="31" a="1"/>
  <c r="O5" i="31" s="1"/>
  <c r="N5" i="31" a="1"/>
  <c r="N5" i="31" s="1"/>
  <c r="M5" i="31" a="1"/>
  <c r="M5" i="31" s="1"/>
  <c r="G5" i="31" a="1"/>
  <c r="G5" i="31" s="1"/>
  <c r="F5" i="31" a="1"/>
  <c r="F5" i="31" s="1"/>
  <c r="E5" i="31" a="1"/>
  <c r="E5" i="31" s="1"/>
  <c r="AA4" i="31"/>
  <c r="Z4" i="31"/>
  <c r="W4" i="31"/>
  <c r="P4" i="31"/>
  <c r="H4" i="31"/>
  <c r="AA3" i="31"/>
  <c r="Z3" i="31"/>
  <c r="W3" i="31"/>
  <c r="H1" i="31" s="1" a="1"/>
  <c r="H1" i="31" s="1"/>
  <c r="Y31" i="30"/>
  <c r="AA28" i="30"/>
  <c r="Z28" i="30"/>
  <c r="AA27" i="30"/>
  <c r="Z27" i="30"/>
  <c r="W26" i="30"/>
  <c r="AA25" i="30"/>
  <c r="Z25" i="30"/>
  <c r="W25" i="30"/>
  <c r="AA24" i="30"/>
  <c r="Z24" i="30"/>
  <c r="W24" i="30"/>
  <c r="AA23" i="30"/>
  <c r="Z23" i="30"/>
  <c r="W23" i="30"/>
  <c r="AA22" i="30"/>
  <c r="Z22" i="30"/>
  <c r="AA21" i="30"/>
  <c r="Z21" i="30"/>
  <c r="AA20" i="30"/>
  <c r="AB20" i="30" s="1"/>
  <c r="Z20" i="30"/>
  <c r="AA19" i="30"/>
  <c r="AB19" i="30" s="1"/>
  <c r="Z19" i="30"/>
  <c r="AA18" i="30"/>
  <c r="Z18" i="30"/>
  <c r="AA17" i="30"/>
  <c r="Z17" i="30"/>
  <c r="AA16" i="30"/>
  <c r="AB16" i="30" s="1"/>
  <c r="Z16" i="30"/>
  <c r="AA15" i="30"/>
  <c r="Z15" i="30"/>
  <c r="W15" i="30"/>
  <c r="AA14" i="30"/>
  <c r="AB14" i="30" s="1"/>
  <c r="Z14" i="30"/>
  <c r="AA13" i="30"/>
  <c r="Z13" i="30"/>
  <c r="AA12" i="30"/>
  <c r="AB12" i="30" s="1"/>
  <c r="Z12" i="30"/>
  <c r="AA11" i="30"/>
  <c r="Z11" i="30"/>
  <c r="W11" i="30"/>
  <c r="AA10" i="30"/>
  <c r="Z10" i="30"/>
  <c r="W10" i="30"/>
  <c r="AA9" i="30"/>
  <c r="Z9" i="30"/>
  <c r="W9" i="30"/>
  <c r="AA8" i="30"/>
  <c r="Z8" i="30"/>
  <c r="P8" i="30"/>
  <c r="H8" i="30"/>
  <c r="AA7" i="30"/>
  <c r="Z7" i="30"/>
  <c r="O7" i="30"/>
  <c r="N7" i="30"/>
  <c r="M7" i="30"/>
  <c r="H7" i="30"/>
  <c r="G7" i="30"/>
  <c r="F7" i="30"/>
  <c r="E7" i="30"/>
  <c r="AA6" i="30"/>
  <c r="AB6" i="30" s="1"/>
  <c r="Z6" i="30"/>
  <c r="R6" i="30"/>
  <c r="O6" i="30" a="1"/>
  <c r="O6" i="30" s="1"/>
  <c r="O9" i="30" s="1"/>
  <c r="N6" i="30" a="1"/>
  <c r="N6" i="30" s="1"/>
  <c r="M6" i="30" a="1"/>
  <c r="M6" i="30" s="1"/>
  <c r="G6" i="30" a="1"/>
  <c r="G6" i="30" s="1"/>
  <c r="F6" i="30" a="1"/>
  <c r="F6" i="30" s="1"/>
  <c r="E6" i="30"/>
  <c r="E6" i="30" a="1"/>
  <c r="AA5" i="30"/>
  <c r="AB5" i="30" s="1"/>
  <c r="Z5" i="30"/>
  <c r="O5" i="30" a="1"/>
  <c r="O5" i="30" s="1"/>
  <c r="N5" i="30" a="1"/>
  <c r="N5" i="30" s="1"/>
  <c r="M5" i="30" a="1"/>
  <c r="M5" i="30" s="1"/>
  <c r="G5" i="30" a="1"/>
  <c r="G5" i="30" s="1"/>
  <c r="F5" i="30" a="1"/>
  <c r="F5" i="30" s="1"/>
  <c r="E5" i="30" a="1"/>
  <c r="E5" i="30" s="1"/>
  <c r="H5" i="30" s="1"/>
  <c r="AA4" i="30"/>
  <c r="Z4" i="30"/>
  <c r="W4" i="30"/>
  <c r="P4" i="30"/>
  <c r="H4" i="30"/>
  <c r="AA3" i="30"/>
  <c r="AB3" i="30" s="1"/>
  <c r="Z3" i="30"/>
  <c r="W3" i="30"/>
  <c r="H1" i="30" s="1" a="1"/>
  <c r="H1" i="30" s="1"/>
  <c r="Y31" i="29"/>
  <c r="AA28" i="29"/>
  <c r="Z28" i="29"/>
  <c r="AA27" i="29"/>
  <c r="Z27" i="29"/>
  <c r="W26" i="29"/>
  <c r="AA25" i="29"/>
  <c r="Z25" i="29"/>
  <c r="W25" i="29"/>
  <c r="AA24" i="29"/>
  <c r="Z24" i="29"/>
  <c r="W24" i="29"/>
  <c r="AA23" i="29"/>
  <c r="Z23" i="29"/>
  <c r="W23" i="29"/>
  <c r="AA22" i="29"/>
  <c r="Z22" i="29"/>
  <c r="AA21" i="29"/>
  <c r="Z21" i="29"/>
  <c r="AA20" i="29"/>
  <c r="Z20" i="29"/>
  <c r="AA19" i="29"/>
  <c r="Z19" i="29"/>
  <c r="AA18" i="29"/>
  <c r="Z18" i="29"/>
  <c r="AA17" i="29"/>
  <c r="Z17" i="29"/>
  <c r="AA16" i="29"/>
  <c r="Z16" i="29"/>
  <c r="AA15" i="29"/>
  <c r="Z15" i="29"/>
  <c r="W15" i="29"/>
  <c r="AA14" i="29"/>
  <c r="Z14" i="29"/>
  <c r="AA13" i="29"/>
  <c r="Z13" i="29"/>
  <c r="AA12" i="29"/>
  <c r="Z12" i="29"/>
  <c r="AA11" i="29"/>
  <c r="Z11" i="29"/>
  <c r="AB11" i="29" s="1"/>
  <c r="W11" i="29"/>
  <c r="AA10" i="29"/>
  <c r="Z10" i="29"/>
  <c r="W10" i="29"/>
  <c r="AA9" i="29"/>
  <c r="Z9" i="29"/>
  <c r="W9" i="29"/>
  <c r="AA8" i="29"/>
  <c r="Z8" i="29"/>
  <c r="P8" i="29"/>
  <c r="H8" i="29"/>
  <c r="AA7" i="29"/>
  <c r="Z7" i="29"/>
  <c r="O7" i="29"/>
  <c r="N7" i="29"/>
  <c r="M7" i="29"/>
  <c r="G7" i="29"/>
  <c r="F7" i="29"/>
  <c r="E7" i="29"/>
  <c r="AA6" i="29"/>
  <c r="Z6" i="29"/>
  <c r="R6" i="29"/>
  <c r="O6" i="29" a="1"/>
  <c r="O6" i="29" s="1"/>
  <c r="N6" i="29" a="1"/>
  <c r="N6" i="29" s="1"/>
  <c r="M6" i="29" a="1"/>
  <c r="M6" i="29" s="1"/>
  <c r="G6" i="29" a="1"/>
  <c r="G6" i="29" s="1"/>
  <c r="F6" i="29" a="1"/>
  <c r="F6" i="29" s="1"/>
  <c r="E6" i="29" a="1"/>
  <c r="E6" i="29" s="1"/>
  <c r="AA5" i="29"/>
  <c r="Z5" i="29"/>
  <c r="O5" i="29" a="1"/>
  <c r="O5" i="29" s="1"/>
  <c r="N5" i="29" a="1"/>
  <c r="N5" i="29" s="1"/>
  <c r="M5" i="29" a="1"/>
  <c r="M5" i="29" s="1"/>
  <c r="G5" i="29" a="1"/>
  <c r="G5" i="29" s="1"/>
  <c r="F5" i="29" a="1"/>
  <c r="F5" i="29" s="1"/>
  <c r="E5" i="29" a="1"/>
  <c r="E5" i="29" s="1"/>
  <c r="AA4" i="29"/>
  <c r="Z4" i="29"/>
  <c r="AB4" i="29" s="1"/>
  <c r="W4" i="29"/>
  <c r="P4" i="29"/>
  <c r="H4" i="29"/>
  <c r="AA3" i="29"/>
  <c r="Z3" i="29"/>
  <c r="W3" i="29"/>
  <c r="H1" i="29" s="1" a="1"/>
  <c r="H1" i="29" s="1"/>
  <c r="Y31" i="28"/>
  <c r="AA28" i="28"/>
  <c r="Z28" i="28"/>
  <c r="AA27" i="28"/>
  <c r="Z27" i="28"/>
  <c r="W26" i="28"/>
  <c r="AA25" i="28"/>
  <c r="Z25" i="28"/>
  <c r="W25" i="28"/>
  <c r="AA24" i="28"/>
  <c r="Z24" i="28"/>
  <c r="W24" i="28"/>
  <c r="AA23" i="28"/>
  <c r="Z23" i="28"/>
  <c r="W23" i="28"/>
  <c r="AA22" i="28"/>
  <c r="Z22" i="28"/>
  <c r="AA21" i="28"/>
  <c r="Z21" i="28"/>
  <c r="AA20" i="28"/>
  <c r="Z20" i="28"/>
  <c r="AA19" i="28"/>
  <c r="Z19" i="28"/>
  <c r="AA18" i="28"/>
  <c r="Z18" i="28"/>
  <c r="AA17" i="28"/>
  <c r="Z17" i="28"/>
  <c r="AA16" i="28"/>
  <c r="Z16" i="28"/>
  <c r="AA15" i="28"/>
  <c r="Z15" i="28"/>
  <c r="W15" i="28"/>
  <c r="AA14" i="28"/>
  <c r="Z14" i="28"/>
  <c r="AA13" i="28"/>
  <c r="Z13" i="28"/>
  <c r="AA12" i="28"/>
  <c r="Z12" i="28"/>
  <c r="AA11" i="28"/>
  <c r="Z11" i="28"/>
  <c r="AB11" i="28" s="1"/>
  <c r="W11" i="28"/>
  <c r="AA10" i="28"/>
  <c r="Z10" i="28"/>
  <c r="W10" i="28"/>
  <c r="AA9" i="28"/>
  <c r="Z9" i="28"/>
  <c r="W9" i="28"/>
  <c r="AA8" i="28"/>
  <c r="Z8" i="28"/>
  <c r="P8" i="28"/>
  <c r="H8" i="28"/>
  <c r="AA7" i="28"/>
  <c r="Z7" i="28"/>
  <c r="O7" i="28"/>
  <c r="N7" i="28"/>
  <c r="M7" i="28"/>
  <c r="G7" i="28"/>
  <c r="F7" i="28"/>
  <c r="E7" i="28"/>
  <c r="AA6" i="28"/>
  <c r="Z6" i="28"/>
  <c r="R6" i="28"/>
  <c r="O6" i="28" a="1"/>
  <c r="O6" i="28" s="1"/>
  <c r="N6" i="28" a="1"/>
  <c r="N6" i="28" s="1"/>
  <c r="M6" i="28" a="1"/>
  <c r="M6" i="28" s="1"/>
  <c r="G6" i="28" a="1"/>
  <c r="G6" i="28" s="1"/>
  <c r="F6" i="28" a="1"/>
  <c r="F6" i="28" s="1"/>
  <c r="E6" i="28"/>
  <c r="E6" i="28" a="1"/>
  <c r="AA5" i="28"/>
  <c r="AB5" i="28" s="1"/>
  <c r="Z5" i="28"/>
  <c r="O5" i="28" a="1"/>
  <c r="O5" i="28" s="1"/>
  <c r="N5" i="28" a="1"/>
  <c r="N5" i="28" s="1"/>
  <c r="M5" i="28" a="1"/>
  <c r="M5" i="28" s="1"/>
  <c r="G5" i="28" a="1"/>
  <c r="G5" i="28" s="1"/>
  <c r="F5" i="28" a="1"/>
  <c r="F5" i="28" s="1"/>
  <c r="E5" i="28" a="1"/>
  <c r="E5" i="28" s="1"/>
  <c r="AA4" i="28"/>
  <c r="Z4" i="28"/>
  <c r="W4" i="28"/>
  <c r="P4" i="28"/>
  <c r="H4" i="28"/>
  <c r="AA3" i="28"/>
  <c r="Z3" i="28"/>
  <c r="W3" i="28"/>
  <c r="H1" i="28" s="1" a="1"/>
  <c r="H1" i="28" s="1"/>
  <c r="H7" i="42" l="1"/>
  <c r="AB20" i="42"/>
  <c r="AB6" i="42"/>
  <c r="AB9" i="42"/>
  <c r="AB3" i="42"/>
  <c r="AB13" i="42"/>
  <c r="AB14" i="42"/>
  <c r="H6" i="42"/>
  <c r="P12" i="42" s="1"/>
  <c r="P6" i="42"/>
  <c r="M9" i="42"/>
  <c r="H5" i="42"/>
  <c r="P11" i="42" s="1"/>
  <c r="N9" i="42"/>
  <c r="P5" i="42"/>
  <c r="P5" i="41"/>
  <c r="H5" i="41"/>
  <c r="P11" i="41" s="1"/>
  <c r="P6" i="41"/>
  <c r="P9" i="41" s="1"/>
  <c r="M9" i="41"/>
  <c r="R8" i="41" a="1"/>
  <c r="R8" i="41" s="1"/>
  <c r="N9" i="41"/>
  <c r="O9" i="41"/>
  <c r="H7" i="39"/>
  <c r="AB15" i="39"/>
  <c r="H6" i="39"/>
  <c r="H5" i="39"/>
  <c r="P11" i="39" s="1"/>
  <c r="AB19" i="39"/>
  <c r="P6" i="39"/>
  <c r="P9" i="39" s="1"/>
  <c r="M9" i="39"/>
  <c r="AB24" i="38"/>
  <c r="AB21" i="38"/>
  <c r="AB23" i="38"/>
  <c r="AB13" i="38"/>
  <c r="AB25" i="38"/>
  <c r="AB10" i="38"/>
  <c r="AB15" i="38"/>
  <c r="AB4" i="38"/>
  <c r="AB9" i="38"/>
  <c r="AB7" i="38"/>
  <c r="AB16" i="38"/>
  <c r="AB22" i="38"/>
  <c r="AB27" i="38"/>
  <c r="AB17" i="38"/>
  <c r="AB28" i="38"/>
  <c r="AB5" i="38"/>
  <c r="AB12" i="38"/>
  <c r="AB8" i="38"/>
  <c r="AB18" i="38"/>
  <c r="P5" i="38"/>
  <c r="H5" i="38"/>
  <c r="P6" i="38"/>
  <c r="M9" i="38"/>
  <c r="N9" i="38"/>
  <c r="O9" i="38"/>
  <c r="AB8" i="37"/>
  <c r="P7" i="37"/>
  <c r="AB10" i="37"/>
  <c r="AB11" i="37"/>
  <c r="AB4" i="37"/>
  <c r="AB24" i="37"/>
  <c r="AB7" i="37"/>
  <c r="AB25" i="37"/>
  <c r="AB12" i="37"/>
  <c r="AB22" i="37"/>
  <c r="AB27" i="37"/>
  <c r="AB13" i="37"/>
  <c r="AB18" i="37"/>
  <c r="AB28" i="37"/>
  <c r="AB9" i="37"/>
  <c r="AB14" i="37"/>
  <c r="N9" i="37"/>
  <c r="P6" i="37"/>
  <c r="M9" i="37"/>
  <c r="O9" i="37"/>
  <c r="P5" i="37"/>
  <c r="P11" i="37" s="1"/>
  <c r="H6" i="37"/>
  <c r="AB24" i="36"/>
  <c r="AB8" i="36"/>
  <c r="AB18" i="36"/>
  <c r="AB5" i="36"/>
  <c r="AB7" i="36"/>
  <c r="AB13" i="36"/>
  <c r="AB4" i="36"/>
  <c r="P7" i="36"/>
  <c r="AB3" i="36"/>
  <c r="AB9" i="36"/>
  <c r="AB10" i="36"/>
  <c r="AB25" i="36"/>
  <c r="AB15" i="36"/>
  <c r="AB21" i="36"/>
  <c r="AB11" i="36"/>
  <c r="AB16" i="36"/>
  <c r="AB22" i="36"/>
  <c r="AB27" i="36"/>
  <c r="P5" i="36"/>
  <c r="AB17" i="36"/>
  <c r="AB28" i="36"/>
  <c r="AB23" i="36"/>
  <c r="P6" i="36"/>
  <c r="M9" i="36"/>
  <c r="H5" i="36"/>
  <c r="N9" i="36"/>
  <c r="O9" i="36"/>
  <c r="AB21" i="35"/>
  <c r="AB7" i="35"/>
  <c r="AB4" i="35"/>
  <c r="AB13" i="35"/>
  <c r="AB9" i="35"/>
  <c r="AB10" i="35"/>
  <c r="AB25" i="35"/>
  <c r="AB15" i="35"/>
  <c r="AB11" i="35"/>
  <c r="AB22" i="35"/>
  <c r="AB27" i="35"/>
  <c r="AB17" i="35"/>
  <c r="AB28" i="35"/>
  <c r="H6" i="35"/>
  <c r="P11" i="35"/>
  <c r="P6" i="35"/>
  <c r="P9" i="35" s="1"/>
  <c r="M9" i="35"/>
  <c r="N9" i="35"/>
  <c r="AB18" i="33"/>
  <c r="AB24" i="33"/>
  <c r="AB8" i="33"/>
  <c r="AB13" i="33"/>
  <c r="AB20" i="33"/>
  <c r="AB25" i="33"/>
  <c r="AB10" i="33"/>
  <c r="AB21" i="33"/>
  <c r="AB5" i="33"/>
  <c r="AB9" i="33"/>
  <c r="AB4" i="33"/>
  <c r="AB7" i="33"/>
  <c r="AB22" i="33"/>
  <c r="AB27" i="33"/>
  <c r="AB6" i="33"/>
  <c r="AB17" i="33"/>
  <c r="AB28" i="33"/>
  <c r="AB12" i="33"/>
  <c r="AB23" i="33"/>
  <c r="AB16" i="33"/>
  <c r="H5" i="33"/>
  <c r="P11" i="33" s="1"/>
  <c r="AB14" i="33"/>
  <c r="AB19" i="33"/>
  <c r="AB15" i="33"/>
  <c r="AB3" i="33"/>
  <c r="H6" i="33"/>
  <c r="P6" i="33"/>
  <c r="P9" i="33" s="1"/>
  <c r="M9" i="33"/>
  <c r="O9" i="33"/>
  <c r="O9" i="31"/>
  <c r="AB21" i="31"/>
  <c r="AB13" i="31"/>
  <c r="AB3" i="31"/>
  <c r="AB20" i="31"/>
  <c r="N9" i="31"/>
  <c r="AB24" i="31"/>
  <c r="AB5" i="31"/>
  <c r="AB9" i="31"/>
  <c r="P7" i="31"/>
  <c r="AB25" i="31"/>
  <c r="AB4" i="31"/>
  <c r="AB10" i="31"/>
  <c r="AB15" i="31"/>
  <c r="AB7" i="31"/>
  <c r="AB16" i="31"/>
  <c r="AB22" i="31"/>
  <c r="AB27" i="31"/>
  <c r="AB17" i="31"/>
  <c r="AB28" i="31"/>
  <c r="P5" i="31"/>
  <c r="AB23" i="31"/>
  <c r="AB6" i="31"/>
  <c r="AB8" i="31"/>
  <c r="AB18" i="31"/>
  <c r="AB12" i="31"/>
  <c r="H5" i="31"/>
  <c r="AB14" i="31"/>
  <c r="AB19" i="31"/>
  <c r="P6" i="31"/>
  <c r="M9" i="31"/>
  <c r="H6" i="31"/>
  <c r="P7" i="30"/>
  <c r="AB18" i="28"/>
  <c r="AB24" i="30"/>
  <c r="AB21" i="30"/>
  <c r="AB13" i="30"/>
  <c r="AB17" i="30"/>
  <c r="AB23" i="30"/>
  <c r="AB4" i="30"/>
  <c r="N9" i="30"/>
  <c r="AB10" i="30"/>
  <c r="AB15" i="30"/>
  <c r="AB25" i="30"/>
  <c r="AB7" i="30"/>
  <c r="P5" i="30"/>
  <c r="P11" i="30" s="1"/>
  <c r="AB11" i="30"/>
  <c r="AB22" i="30"/>
  <c r="AB27" i="30"/>
  <c r="AB28" i="30"/>
  <c r="AB9" i="30"/>
  <c r="AB18" i="30"/>
  <c r="AB8" i="30"/>
  <c r="P6" i="30"/>
  <c r="M9" i="30"/>
  <c r="H6" i="30"/>
  <c r="AB8" i="29"/>
  <c r="AB18" i="29"/>
  <c r="AB24" i="29"/>
  <c r="AB23" i="29"/>
  <c r="AB12" i="29"/>
  <c r="AB21" i="29"/>
  <c r="AB13" i="29"/>
  <c r="AB20" i="29"/>
  <c r="AB3" i="29"/>
  <c r="P7" i="29"/>
  <c r="AB25" i="29"/>
  <c r="AB5" i="29"/>
  <c r="AB9" i="29"/>
  <c r="AB10" i="29"/>
  <c r="AB15" i="29"/>
  <c r="AB19" i="29"/>
  <c r="AB7" i="29"/>
  <c r="AB16" i="29"/>
  <c r="AB22" i="29"/>
  <c r="AB27" i="29"/>
  <c r="N9" i="29"/>
  <c r="AB17" i="29"/>
  <c r="AB28" i="29"/>
  <c r="P5" i="29"/>
  <c r="AB6" i="29"/>
  <c r="H6" i="29"/>
  <c r="AB14" i="29"/>
  <c r="H5" i="29"/>
  <c r="H7" i="29"/>
  <c r="P6" i="29"/>
  <c r="M9" i="29"/>
  <c r="O9" i="29"/>
  <c r="P7" i="28"/>
  <c r="N9" i="28"/>
  <c r="AB24" i="28"/>
  <c r="AB13" i="28"/>
  <c r="AB8" i="28"/>
  <c r="AB9" i="28"/>
  <c r="AB4" i="28"/>
  <c r="AB25" i="28"/>
  <c r="AB10" i="28"/>
  <c r="AB15" i="28"/>
  <c r="AB21" i="28"/>
  <c r="AB7" i="28"/>
  <c r="AB16" i="28"/>
  <c r="AB22" i="28"/>
  <c r="AB27" i="28"/>
  <c r="AB17" i="28"/>
  <c r="AB28" i="28"/>
  <c r="AB6" i="28"/>
  <c r="AB12" i="28"/>
  <c r="AB23" i="28"/>
  <c r="AB14" i="28"/>
  <c r="H7" i="28"/>
  <c r="AB19" i="28"/>
  <c r="H6" i="28"/>
  <c r="AB20" i="28"/>
  <c r="AB3" i="28"/>
  <c r="H5" i="28"/>
  <c r="P6" i="28"/>
  <c r="M9" i="28"/>
  <c r="P5" i="28"/>
  <c r="O9" i="28"/>
  <c r="R2" i="42" l="1" a="1"/>
  <c r="R2" i="42" s="1"/>
  <c r="R8" i="42" a="1"/>
  <c r="R8" i="42" s="1"/>
  <c r="P9" i="42"/>
  <c r="R2" i="41" a="1"/>
  <c r="R2" i="41" s="1"/>
  <c r="P12" i="41"/>
  <c r="R2" i="39" a="1"/>
  <c r="R2" i="39" s="1"/>
  <c r="R8" i="39" a="1"/>
  <c r="R8" i="39" s="1"/>
  <c r="P12" i="39"/>
  <c r="P9" i="38"/>
  <c r="P11" i="38"/>
  <c r="R2" i="38" a="1"/>
  <c r="R2" i="38" s="1"/>
  <c r="P12" i="38"/>
  <c r="R8" i="38" a="1"/>
  <c r="R8" i="38" s="1"/>
  <c r="P12" i="37"/>
  <c r="P9" i="37"/>
  <c r="R2" i="37" a="1"/>
  <c r="R2" i="37" s="1"/>
  <c r="R8" i="37" a="1"/>
  <c r="R8" i="37" s="1"/>
  <c r="R2" i="36" a="1"/>
  <c r="R2" i="36" s="1"/>
  <c r="P11" i="36"/>
  <c r="P9" i="36"/>
  <c r="P12" i="36"/>
  <c r="R8" i="36" a="1"/>
  <c r="R8" i="36" s="1"/>
  <c r="R8" i="35" a="1"/>
  <c r="R8" i="35" s="1"/>
  <c r="R2" i="35" a="1"/>
  <c r="R2" i="35" s="1"/>
  <c r="P12" i="35"/>
  <c r="R2" i="33" a="1"/>
  <c r="R2" i="33" s="1"/>
  <c r="R8" i="33" a="1"/>
  <c r="R8" i="33" s="1"/>
  <c r="P12" i="33"/>
  <c r="R2" i="31" a="1"/>
  <c r="R2" i="31" s="1"/>
  <c r="P9" i="31"/>
  <c r="P12" i="31"/>
  <c r="R8" i="31" a="1"/>
  <c r="R8" i="31" s="1"/>
  <c r="P11" i="31"/>
  <c r="R2" i="30" a="1"/>
  <c r="R2" i="30" s="1"/>
  <c r="R8" i="30" a="1"/>
  <c r="R8" i="30" s="1"/>
  <c r="P9" i="30"/>
  <c r="P12" i="30"/>
  <c r="R2" i="29" a="1"/>
  <c r="R2" i="29" s="1"/>
  <c r="P11" i="29"/>
  <c r="P9" i="29"/>
  <c r="P12" i="29"/>
  <c r="R8" i="29" a="1"/>
  <c r="R8" i="29" s="1"/>
  <c r="P11" i="28"/>
  <c r="P9" i="28"/>
  <c r="R2" i="28" a="1"/>
  <c r="R2" i="28" s="1"/>
  <c r="R8" i="28" a="1"/>
  <c r="R8" i="28" s="1"/>
  <c r="P12" i="28"/>
  <c r="Y31" i="27" l="1"/>
  <c r="AA28" i="27"/>
  <c r="Z28" i="27"/>
  <c r="AA27" i="27"/>
  <c r="Z27" i="27"/>
  <c r="W26" i="27"/>
  <c r="AA25" i="27"/>
  <c r="Z25" i="27"/>
  <c r="W25" i="27"/>
  <c r="AA24" i="27"/>
  <c r="Z24" i="27"/>
  <c r="W24" i="27"/>
  <c r="AA23" i="27"/>
  <c r="Z23" i="27"/>
  <c r="W23" i="27"/>
  <c r="AA22" i="27"/>
  <c r="Z22" i="27"/>
  <c r="AA21" i="27"/>
  <c r="Z21" i="27"/>
  <c r="AA20" i="27"/>
  <c r="Z20" i="27"/>
  <c r="AA19" i="27"/>
  <c r="Z19" i="27"/>
  <c r="AA18" i="27"/>
  <c r="Z18" i="27"/>
  <c r="AA17" i="27"/>
  <c r="Z17" i="27"/>
  <c r="AA16" i="27"/>
  <c r="Z16" i="27"/>
  <c r="AA15" i="27"/>
  <c r="Z15" i="27"/>
  <c r="W15" i="27"/>
  <c r="AA14" i="27"/>
  <c r="Z14" i="27"/>
  <c r="AA13" i="27"/>
  <c r="Z13" i="27"/>
  <c r="AA12" i="27"/>
  <c r="Z12" i="27"/>
  <c r="AA11" i="27"/>
  <c r="Z11" i="27"/>
  <c r="AB11" i="27" s="1"/>
  <c r="W11" i="27"/>
  <c r="AA10" i="27"/>
  <c r="Z10" i="27"/>
  <c r="W10" i="27"/>
  <c r="AA9" i="27"/>
  <c r="Z9" i="27"/>
  <c r="W9" i="27"/>
  <c r="AA8" i="27"/>
  <c r="Z8" i="27"/>
  <c r="P8" i="27"/>
  <c r="H8" i="27"/>
  <c r="AA7" i="27"/>
  <c r="Z7" i="27"/>
  <c r="O7" i="27"/>
  <c r="N7" i="27"/>
  <c r="M7" i="27"/>
  <c r="G7" i="27"/>
  <c r="F7" i="27"/>
  <c r="H7" i="27" s="1"/>
  <c r="E7" i="27"/>
  <c r="AA6" i="27"/>
  <c r="Z6" i="27"/>
  <c r="R6" i="27"/>
  <c r="O6" i="27" a="1"/>
  <c r="O6" i="27" s="1"/>
  <c r="N6" i="27" a="1"/>
  <c r="N6" i="27" s="1"/>
  <c r="M6" i="27" a="1"/>
  <c r="M6" i="27" s="1"/>
  <c r="G6" i="27" a="1"/>
  <c r="G6" i="27" s="1"/>
  <c r="F6" i="27" a="1"/>
  <c r="F6" i="27" s="1"/>
  <c r="E6" i="27" a="1"/>
  <c r="E6" i="27" s="1"/>
  <c r="AA5" i="27"/>
  <c r="Z5" i="27"/>
  <c r="O5" i="27" a="1"/>
  <c r="O5" i="27" s="1"/>
  <c r="N5" i="27" a="1"/>
  <c r="N5" i="27" s="1"/>
  <c r="M5" i="27" a="1"/>
  <c r="M5" i="27" s="1"/>
  <c r="G5" i="27" a="1"/>
  <c r="G5" i="27" s="1"/>
  <c r="F5" i="27" a="1"/>
  <c r="F5" i="27" s="1"/>
  <c r="E5" i="27" a="1"/>
  <c r="E5" i="27" s="1"/>
  <c r="AA4" i="27"/>
  <c r="Z4" i="27"/>
  <c r="W4" i="27"/>
  <c r="P4" i="27"/>
  <c r="H4" i="27"/>
  <c r="AA3" i="27"/>
  <c r="Z3" i="27"/>
  <c r="W3" i="27"/>
  <c r="H1" i="27" s="1" a="1"/>
  <c r="H1" i="27" s="1"/>
  <c r="AA10" i="24"/>
  <c r="N9" i="27" l="1"/>
  <c r="AB23" i="27"/>
  <c r="AB24" i="27"/>
  <c r="AB8" i="27"/>
  <c r="AB18" i="27"/>
  <c r="P7" i="27"/>
  <c r="AB14" i="27"/>
  <c r="AB3" i="27"/>
  <c r="AB6" i="27"/>
  <c r="AB19" i="27"/>
  <c r="AB5" i="27"/>
  <c r="H6" i="27"/>
  <c r="AB20" i="27"/>
  <c r="AB16" i="27"/>
  <c r="AB12" i="27"/>
  <c r="AB9" i="27"/>
  <c r="O9" i="27"/>
  <c r="AB13" i="27"/>
  <c r="AB4" i="27"/>
  <c r="AB25" i="27"/>
  <c r="AB10" i="27"/>
  <c r="AB15" i="27"/>
  <c r="AB21" i="27"/>
  <c r="P5" i="27"/>
  <c r="AB7" i="27"/>
  <c r="AB22" i="27"/>
  <c r="AB27" i="27"/>
  <c r="AB17" i="27"/>
  <c r="AB28" i="27"/>
  <c r="H5" i="27"/>
  <c r="P6" i="27"/>
  <c r="M9" i="27"/>
  <c r="R2" i="27" l="1" a="1"/>
  <c r="R2" i="27" s="1"/>
  <c r="P9" i="27"/>
  <c r="P11" i="27"/>
  <c r="P12" i="27"/>
  <c r="R8" i="27" a="1"/>
  <c r="R8" i="27" s="1"/>
  <c r="Y31" i="26" l="1"/>
  <c r="AA28" i="26"/>
  <c r="Z28" i="26"/>
  <c r="AA27" i="26"/>
  <c r="Z27" i="26"/>
  <c r="W26" i="26"/>
  <c r="AA25" i="26"/>
  <c r="Z25" i="26"/>
  <c r="W25" i="26"/>
  <c r="AA24" i="26"/>
  <c r="Z24" i="26"/>
  <c r="W24" i="26"/>
  <c r="AA23" i="26"/>
  <c r="Z23" i="26"/>
  <c r="W23" i="26"/>
  <c r="AA22" i="26"/>
  <c r="Z22" i="26"/>
  <c r="AA21" i="26"/>
  <c r="Z21" i="26"/>
  <c r="AA20" i="26"/>
  <c r="Z20" i="26"/>
  <c r="AA19" i="26"/>
  <c r="Z19" i="26"/>
  <c r="AA18" i="26"/>
  <c r="Z18" i="26"/>
  <c r="AA17" i="26"/>
  <c r="Z17" i="26"/>
  <c r="AA16" i="26"/>
  <c r="Z16" i="26"/>
  <c r="AA15" i="26"/>
  <c r="Z15" i="26"/>
  <c r="W15" i="26"/>
  <c r="AA14" i="26"/>
  <c r="AB14" i="26" s="1"/>
  <c r="Z14" i="26"/>
  <c r="AA13" i="26"/>
  <c r="Z13" i="26"/>
  <c r="AA12" i="26"/>
  <c r="Z12" i="26"/>
  <c r="AA11" i="26"/>
  <c r="Z11" i="26"/>
  <c r="AB11" i="26" s="1"/>
  <c r="W11" i="26"/>
  <c r="AA10" i="26"/>
  <c r="Z10" i="26"/>
  <c r="W10" i="26"/>
  <c r="AA9" i="26"/>
  <c r="Z9" i="26"/>
  <c r="W9" i="26"/>
  <c r="AA8" i="26"/>
  <c r="Z8" i="26"/>
  <c r="P8" i="26"/>
  <c r="H8" i="26"/>
  <c r="AA7" i="26"/>
  <c r="Z7" i="26"/>
  <c r="O7" i="26"/>
  <c r="N7" i="26"/>
  <c r="M7" i="26"/>
  <c r="G7" i="26"/>
  <c r="F7" i="26"/>
  <c r="E7" i="26"/>
  <c r="AA6" i="26"/>
  <c r="Z6" i="26"/>
  <c r="R6" i="26"/>
  <c r="O6" i="26" a="1"/>
  <c r="O6" i="26" s="1"/>
  <c r="O9" i="26" s="1"/>
  <c r="N6" i="26" a="1"/>
  <c r="N6" i="26" s="1"/>
  <c r="M6" i="26" a="1"/>
  <c r="M6" i="26" s="1"/>
  <c r="G6" i="26" a="1"/>
  <c r="G6" i="26" s="1"/>
  <c r="F6" i="26" a="1"/>
  <c r="F6" i="26" s="1"/>
  <c r="E6" i="26" a="1"/>
  <c r="E6" i="26" s="1"/>
  <c r="AA5" i="26"/>
  <c r="Z5" i="26"/>
  <c r="O5" i="26" a="1"/>
  <c r="O5" i="26" s="1"/>
  <c r="N5" i="26" a="1"/>
  <c r="N5" i="26" s="1"/>
  <c r="M5" i="26" a="1"/>
  <c r="M5" i="26" s="1"/>
  <c r="G5" i="26" a="1"/>
  <c r="G5" i="26" s="1"/>
  <c r="F5" i="26" a="1"/>
  <c r="F5" i="26" s="1"/>
  <c r="E5" i="26" a="1"/>
  <c r="E5" i="26" s="1"/>
  <c r="AA4" i="26"/>
  <c r="Z4" i="26"/>
  <c r="AB4" i="26" s="1"/>
  <c r="W4" i="26"/>
  <c r="P4" i="26"/>
  <c r="H4" i="26"/>
  <c r="AA3" i="26"/>
  <c r="Z3" i="26"/>
  <c r="W3" i="26"/>
  <c r="H1" i="26" s="1" a="1"/>
  <c r="H1" i="26" s="1"/>
  <c r="Y31" i="25"/>
  <c r="AA28" i="25"/>
  <c r="Z28" i="25"/>
  <c r="AA27" i="25"/>
  <c r="Z27" i="25"/>
  <c r="W26" i="25"/>
  <c r="AA25" i="25"/>
  <c r="Z25" i="25"/>
  <c r="W25" i="25"/>
  <c r="AA24" i="25"/>
  <c r="Z24" i="25"/>
  <c r="W24" i="25"/>
  <c r="AA23" i="25"/>
  <c r="Z23" i="25"/>
  <c r="W23" i="25"/>
  <c r="AA22" i="25"/>
  <c r="Z22" i="25"/>
  <c r="AA21" i="25"/>
  <c r="Z21" i="25"/>
  <c r="AA20" i="25"/>
  <c r="Z20" i="25"/>
  <c r="AA19" i="25"/>
  <c r="AB19" i="25" s="1"/>
  <c r="Z19" i="25"/>
  <c r="AA18" i="25"/>
  <c r="Z18" i="25"/>
  <c r="AB18" i="25" s="1"/>
  <c r="AA17" i="25"/>
  <c r="Z17" i="25"/>
  <c r="AA16" i="25"/>
  <c r="AB16" i="25" s="1"/>
  <c r="Z16" i="25"/>
  <c r="AA15" i="25"/>
  <c r="Z15" i="25"/>
  <c r="W15" i="25"/>
  <c r="AA14" i="25"/>
  <c r="Z14" i="25"/>
  <c r="AA13" i="25"/>
  <c r="Z13" i="25"/>
  <c r="AA12" i="25"/>
  <c r="Z12" i="25"/>
  <c r="AA11" i="25"/>
  <c r="Z11" i="25"/>
  <c r="AB11" i="25" s="1"/>
  <c r="W11" i="25"/>
  <c r="AA10" i="25"/>
  <c r="Z10" i="25"/>
  <c r="W10" i="25"/>
  <c r="AA9" i="25"/>
  <c r="Z9" i="25"/>
  <c r="W9" i="25"/>
  <c r="AA8" i="25"/>
  <c r="Z8" i="25"/>
  <c r="P8" i="25"/>
  <c r="H8" i="25"/>
  <c r="AA7" i="25"/>
  <c r="Z7" i="25"/>
  <c r="O7" i="25"/>
  <c r="N7" i="25"/>
  <c r="P7" i="25" s="1"/>
  <c r="M7" i="25"/>
  <c r="H7" i="25"/>
  <c r="G7" i="25"/>
  <c r="F7" i="25"/>
  <c r="E7" i="25"/>
  <c r="AA6" i="25"/>
  <c r="Z6" i="25"/>
  <c r="R6" i="25"/>
  <c r="O6" i="25" a="1"/>
  <c r="O6" i="25" s="1"/>
  <c r="N6" i="25" a="1"/>
  <c r="N6" i="25" s="1"/>
  <c r="M6" i="25" a="1"/>
  <c r="M6" i="25" s="1"/>
  <c r="G6" i="25" a="1"/>
  <c r="G6" i="25" s="1"/>
  <c r="F6" i="25" a="1"/>
  <c r="F6" i="25" s="1"/>
  <c r="E6" i="25"/>
  <c r="E6" i="25" a="1"/>
  <c r="AA5" i="25"/>
  <c r="Z5" i="25"/>
  <c r="O5" i="25" a="1"/>
  <c r="O5" i="25" s="1"/>
  <c r="N5" i="25" a="1"/>
  <c r="N5" i="25" s="1"/>
  <c r="M5" i="25" a="1"/>
  <c r="M5" i="25" s="1"/>
  <c r="G5" i="25" a="1"/>
  <c r="G5" i="25" s="1"/>
  <c r="F5" i="25" a="1"/>
  <c r="F5" i="25" s="1"/>
  <c r="E5" i="25" a="1"/>
  <c r="E5" i="25" s="1"/>
  <c r="AA4" i="25"/>
  <c r="Z4" i="25"/>
  <c r="W4" i="25"/>
  <c r="P4" i="25"/>
  <c r="H4" i="25"/>
  <c r="AA3" i="25"/>
  <c r="Z3" i="25"/>
  <c r="W3" i="25"/>
  <c r="H1" i="25" s="1" a="1"/>
  <c r="H1" i="25" s="1"/>
  <c r="Y31" i="24"/>
  <c r="AA28" i="24"/>
  <c r="Z28" i="24"/>
  <c r="AA27" i="24"/>
  <c r="Z27" i="24"/>
  <c r="W26" i="24"/>
  <c r="AA25" i="24"/>
  <c r="Z25" i="24"/>
  <c r="W25" i="24"/>
  <c r="AA24" i="24"/>
  <c r="Z24" i="24"/>
  <c r="W24" i="24"/>
  <c r="AA23" i="24"/>
  <c r="Z23" i="24"/>
  <c r="W23" i="24"/>
  <c r="AA22" i="24"/>
  <c r="Z22" i="24"/>
  <c r="AA21" i="24"/>
  <c r="Z21" i="24"/>
  <c r="AA20" i="24"/>
  <c r="AB20" i="24" s="1"/>
  <c r="Z20" i="24"/>
  <c r="AA19" i="24"/>
  <c r="AB19" i="24" s="1"/>
  <c r="Z19" i="24"/>
  <c r="AA18" i="24"/>
  <c r="Z18" i="24"/>
  <c r="AA17" i="24"/>
  <c r="Z17" i="24"/>
  <c r="AA16" i="24"/>
  <c r="AB16" i="24" s="1"/>
  <c r="Z16" i="24"/>
  <c r="AA15" i="24"/>
  <c r="Z15" i="24"/>
  <c r="W15" i="24"/>
  <c r="AA14" i="24"/>
  <c r="AB14" i="24" s="1"/>
  <c r="Z14" i="24"/>
  <c r="AA13" i="24"/>
  <c r="Z13" i="24"/>
  <c r="AA12" i="24"/>
  <c r="AB12" i="24" s="1"/>
  <c r="Z12" i="24"/>
  <c r="AA11" i="24"/>
  <c r="Z11" i="24"/>
  <c r="W11" i="24"/>
  <c r="Z10" i="24"/>
  <c r="W10" i="24"/>
  <c r="AA9" i="24"/>
  <c r="Z9" i="24"/>
  <c r="W9" i="24"/>
  <c r="AA8" i="24"/>
  <c r="Z8" i="24"/>
  <c r="P8" i="24"/>
  <c r="H8" i="24"/>
  <c r="AA7" i="24"/>
  <c r="Z7" i="24"/>
  <c r="O7" i="24"/>
  <c r="N7" i="24"/>
  <c r="M7" i="24"/>
  <c r="H7" i="24"/>
  <c r="G7" i="24"/>
  <c r="F7" i="24"/>
  <c r="E7" i="24"/>
  <c r="AA6" i="24"/>
  <c r="AB6" i="24" s="1"/>
  <c r="Z6" i="24"/>
  <c r="R6" i="24"/>
  <c r="O6" i="24" a="1"/>
  <c r="O6" i="24" s="1"/>
  <c r="N6" i="24" a="1"/>
  <c r="N6" i="24" s="1"/>
  <c r="M6" i="24" a="1"/>
  <c r="M6" i="24" s="1"/>
  <c r="G6" i="24" a="1"/>
  <c r="G6" i="24" s="1"/>
  <c r="F6" i="24" a="1"/>
  <c r="F6" i="24" s="1"/>
  <c r="E6" i="24"/>
  <c r="E6" i="24" a="1"/>
  <c r="AA5" i="24"/>
  <c r="AB5" i="24" s="1"/>
  <c r="Z5" i="24"/>
  <c r="O5" i="24" a="1"/>
  <c r="O5" i="24" s="1"/>
  <c r="N5" i="24" a="1"/>
  <c r="N5" i="24" s="1"/>
  <c r="M5" i="24" a="1"/>
  <c r="M5" i="24" s="1"/>
  <c r="G5" i="24" a="1"/>
  <c r="G5" i="24" s="1"/>
  <c r="F5" i="24" a="1"/>
  <c r="F5" i="24" s="1"/>
  <c r="E5" i="24" a="1"/>
  <c r="E5" i="24" s="1"/>
  <c r="AA4" i="24"/>
  <c r="Z4" i="24"/>
  <c r="W4" i="24"/>
  <c r="P4" i="24"/>
  <c r="H4" i="24"/>
  <c r="AA3" i="24"/>
  <c r="AB3" i="24" s="1"/>
  <c r="Z3" i="24"/>
  <c r="W3" i="24"/>
  <c r="H1" i="24" s="1" a="1"/>
  <c r="H1" i="24" s="1"/>
  <c r="Y31" i="23"/>
  <c r="AA28" i="23"/>
  <c r="Z28" i="23"/>
  <c r="AA27" i="23"/>
  <c r="Z27" i="23"/>
  <c r="W26" i="23"/>
  <c r="AA25" i="23"/>
  <c r="Z25" i="23"/>
  <c r="W25" i="23"/>
  <c r="AA24" i="23"/>
  <c r="Z24" i="23"/>
  <c r="W24" i="23"/>
  <c r="AA23" i="23"/>
  <c r="Z23" i="23"/>
  <c r="W23" i="23"/>
  <c r="AA22" i="23"/>
  <c r="Z22" i="23"/>
  <c r="AA21" i="23"/>
  <c r="Z21" i="23"/>
  <c r="AA20" i="23"/>
  <c r="Z20" i="23"/>
  <c r="AA19" i="23"/>
  <c r="Z19" i="23"/>
  <c r="AA18" i="23"/>
  <c r="Z18" i="23"/>
  <c r="AA17" i="23"/>
  <c r="Z17" i="23"/>
  <c r="AA16" i="23"/>
  <c r="Z16" i="23"/>
  <c r="AA15" i="23"/>
  <c r="Z15" i="23"/>
  <c r="W15" i="23"/>
  <c r="AA14" i="23"/>
  <c r="Z14" i="23"/>
  <c r="AA13" i="23"/>
  <c r="Z13" i="23"/>
  <c r="AA12" i="23"/>
  <c r="Z12" i="23"/>
  <c r="AA11" i="23"/>
  <c r="Z11" i="23"/>
  <c r="W11" i="23"/>
  <c r="AA10" i="23"/>
  <c r="Z10" i="23"/>
  <c r="W10" i="23"/>
  <c r="AA9" i="23"/>
  <c r="Z9" i="23"/>
  <c r="W9" i="23"/>
  <c r="AA8" i="23"/>
  <c r="Z8" i="23"/>
  <c r="P8" i="23"/>
  <c r="H8" i="23"/>
  <c r="AA7" i="23"/>
  <c r="Z7" i="23"/>
  <c r="O7" i="23"/>
  <c r="P7" i="23" s="1"/>
  <c r="N7" i="23"/>
  <c r="M7" i="23"/>
  <c r="G7" i="23"/>
  <c r="F7" i="23"/>
  <c r="H7" i="23" s="1"/>
  <c r="E7" i="23"/>
  <c r="AA6" i="23"/>
  <c r="Z6" i="23"/>
  <c r="R6" i="23"/>
  <c r="O6" i="23" a="1"/>
  <c r="O6" i="23" s="1"/>
  <c r="N6" i="23" a="1"/>
  <c r="N6" i="23" s="1"/>
  <c r="N9" i="23" s="1"/>
  <c r="M6" i="23" a="1"/>
  <c r="M6" i="23" s="1"/>
  <c r="G6" i="23" a="1"/>
  <c r="G6" i="23" s="1"/>
  <c r="F6" i="23" a="1"/>
  <c r="F6" i="23" s="1"/>
  <c r="E6" i="23"/>
  <c r="E6" i="23" a="1"/>
  <c r="AA5" i="23"/>
  <c r="Z5" i="23"/>
  <c r="O5" i="23" a="1"/>
  <c r="O5" i="23" s="1"/>
  <c r="N5" i="23" a="1"/>
  <c r="N5" i="23" s="1"/>
  <c r="M5" i="23" a="1"/>
  <c r="M5" i="23" s="1"/>
  <c r="G5" i="23" a="1"/>
  <c r="G5" i="23" s="1"/>
  <c r="F5" i="23" a="1"/>
  <c r="F5" i="23" s="1"/>
  <c r="E5" i="23" a="1"/>
  <c r="E5" i="23" s="1"/>
  <c r="AA4" i="23"/>
  <c r="Z4" i="23"/>
  <c r="W4" i="23"/>
  <c r="P4" i="23"/>
  <c r="H4" i="23"/>
  <c r="AA3" i="23"/>
  <c r="Z3" i="23"/>
  <c r="W3" i="23"/>
  <c r="H1" i="23" s="1" a="1"/>
  <c r="H1" i="23" s="1"/>
  <c r="AB23" i="26" l="1"/>
  <c r="AB13" i="26"/>
  <c r="AB21" i="26"/>
  <c r="AB12" i="26"/>
  <c r="AB3" i="26"/>
  <c r="AB19" i="26"/>
  <c r="AB24" i="26"/>
  <c r="AB20" i="26"/>
  <c r="P7" i="26"/>
  <c r="AB25" i="26"/>
  <c r="AB10" i="26"/>
  <c r="AB15" i="26"/>
  <c r="AB5" i="26"/>
  <c r="AB9" i="26"/>
  <c r="AB7" i="26"/>
  <c r="AB16" i="26"/>
  <c r="AB22" i="26"/>
  <c r="AB27" i="26"/>
  <c r="AB17" i="26"/>
  <c r="AB28" i="26"/>
  <c r="AB6" i="26"/>
  <c r="AB8" i="26"/>
  <c r="AB18" i="26"/>
  <c r="H6" i="26"/>
  <c r="H7" i="26"/>
  <c r="H5" i="26"/>
  <c r="P6" i="26"/>
  <c r="M9" i="26"/>
  <c r="N9" i="26"/>
  <c r="P5" i="26"/>
  <c r="P11" i="26" s="1"/>
  <c r="N9" i="25"/>
  <c r="P7" i="24"/>
  <c r="N9" i="24"/>
  <c r="AB24" i="25"/>
  <c r="AB21" i="25"/>
  <c r="AB8" i="25"/>
  <c r="AB13" i="25"/>
  <c r="AB9" i="25"/>
  <c r="AB20" i="25"/>
  <c r="AB25" i="25"/>
  <c r="AB4" i="25"/>
  <c r="AB10" i="25"/>
  <c r="AB15" i="25"/>
  <c r="O9" i="25"/>
  <c r="AB7" i="25"/>
  <c r="AB22" i="25"/>
  <c r="AB27" i="25"/>
  <c r="P5" i="25"/>
  <c r="AB6" i="25"/>
  <c r="AB17" i="25"/>
  <c r="AB28" i="25"/>
  <c r="AB23" i="25"/>
  <c r="AB5" i="25"/>
  <c r="H5" i="25"/>
  <c r="AB14" i="25"/>
  <c r="AB12" i="25"/>
  <c r="AB3" i="25"/>
  <c r="R2" i="25" s="1" a="1"/>
  <c r="R2" i="25" s="1"/>
  <c r="P6" i="25"/>
  <c r="M9" i="25"/>
  <c r="H6" i="25"/>
  <c r="AB24" i="24"/>
  <c r="AB13" i="24"/>
  <c r="AB21" i="24"/>
  <c r="AB17" i="24"/>
  <c r="O9" i="24"/>
  <c r="AB4" i="24"/>
  <c r="AB9" i="24"/>
  <c r="AB10" i="24"/>
  <c r="AB15" i="24"/>
  <c r="AB25" i="24"/>
  <c r="P5" i="24"/>
  <c r="AB7" i="24"/>
  <c r="AB11" i="24"/>
  <c r="AB22" i="24"/>
  <c r="AB27" i="24"/>
  <c r="AB28" i="24"/>
  <c r="AB8" i="24"/>
  <c r="AB18" i="24"/>
  <c r="AB23" i="24"/>
  <c r="H6" i="24"/>
  <c r="H5" i="24"/>
  <c r="P6" i="24"/>
  <c r="M9" i="24"/>
  <c r="AB15" i="23"/>
  <c r="AB21" i="23"/>
  <c r="AB24" i="23"/>
  <c r="AB11" i="23"/>
  <c r="AB23" i="23"/>
  <c r="AB8" i="23"/>
  <c r="AB18" i="23"/>
  <c r="AB13" i="23"/>
  <c r="AB9" i="23"/>
  <c r="AB4" i="23"/>
  <c r="AB25" i="23"/>
  <c r="AB10" i="23"/>
  <c r="AB5" i="23"/>
  <c r="AB7" i="23"/>
  <c r="AB22" i="23"/>
  <c r="AB27" i="23"/>
  <c r="P5" i="23"/>
  <c r="AB17" i="23"/>
  <c r="AB28" i="23"/>
  <c r="AB6" i="23"/>
  <c r="AB12" i="23"/>
  <c r="O9" i="23"/>
  <c r="AB19" i="23"/>
  <c r="AB14" i="23"/>
  <c r="AB20" i="23"/>
  <c r="AB3" i="23"/>
  <c r="AB16" i="23"/>
  <c r="H6" i="23"/>
  <c r="H5" i="23"/>
  <c r="P6" i="23"/>
  <c r="M9" i="23"/>
  <c r="P9" i="26" l="1"/>
  <c r="R8" i="26" a="1"/>
  <c r="R8" i="26" s="1"/>
  <c r="P12" i="26"/>
  <c r="R2" i="26" a="1"/>
  <c r="R2" i="26" s="1"/>
  <c r="P12" i="25"/>
  <c r="P11" i="25"/>
  <c r="P9" i="25"/>
  <c r="R8" i="25" a="1"/>
  <c r="R8" i="25" s="1"/>
  <c r="P9" i="24"/>
  <c r="P11" i="24"/>
  <c r="R8" i="24" a="1"/>
  <c r="R8" i="24" s="1"/>
  <c r="R2" i="24" a="1"/>
  <c r="R2" i="24" s="1"/>
  <c r="P12" i="24"/>
  <c r="P9" i="23"/>
  <c r="P11" i="23"/>
  <c r="R2" i="23" a="1"/>
  <c r="R2" i="23" s="1"/>
  <c r="R8" i="23" a="1"/>
  <c r="R8" i="23" s="1"/>
  <c r="P12" i="23"/>
  <c r="Y31" i="22" l="1"/>
  <c r="AA28" i="22"/>
  <c r="Z28" i="22"/>
  <c r="AA27" i="22"/>
  <c r="Z27" i="22"/>
  <c r="W26" i="22"/>
  <c r="AA25" i="22"/>
  <c r="Z25" i="22"/>
  <c r="W25" i="22"/>
  <c r="AA24" i="22"/>
  <c r="Z24" i="22"/>
  <c r="W24" i="22"/>
  <c r="AA23" i="22"/>
  <c r="Z23" i="22"/>
  <c r="W23" i="22"/>
  <c r="AA22" i="22"/>
  <c r="Z22" i="22"/>
  <c r="AA21" i="22"/>
  <c r="Z21" i="22"/>
  <c r="AA20" i="22"/>
  <c r="Z20" i="22"/>
  <c r="AA19" i="22"/>
  <c r="Z19" i="22"/>
  <c r="AA18" i="22"/>
  <c r="Z18" i="22"/>
  <c r="AA17" i="22"/>
  <c r="Z17" i="22"/>
  <c r="AA16" i="22"/>
  <c r="Z16" i="22"/>
  <c r="AA15" i="22"/>
  <c r="Z15" i="22"/>
  <c r="W15" i="22"/>
  <c r="AA14" i="22"/>
  <c r="Z14" i="22"/>
  <c r="AA13" i="22"/>
  <c r="Z13" i="22"/>
  <c r="AA12" i="22"/>
  <c r="Z12" i="22"/>
  <c r="AA11" i="22"/>
  <c r="Z11" i="22"/>
  <c r="AB11" i="22" s="1"/>
  <c r="W11" i="22"/>
  <c r="AA10" i="22"/>
  <c r="Z10" i="22"/>
  <c r="W10" i="22"/>
  <c r="AA9" i="22"/>
  <c r="Z9" i="22"/>
  <c r="W9" i="22"/>
  <c r="AA8" i="22"/>
  <c r="Z8" i="22"/>
  <c r="P8" i="22"/>
  <c r="H8" i="22"/>
  <c r="AA7" i="22"/>
  <c r="Z7" i="22"/>
  <c r="O7" i="22"/>
  <c r="N7" i="22"/>
  <c r="M7" i="22"/>
  <c r="G7" i="22"/>
  <c r="F7" i="22"/>
  <c r="H7" i="22" s="1"/>
  <c r="E7" i="22"/>
  <c r="AA6" i="22"/>
  <c r="Z6" i="22"/>
  <c r="R6" i="22"/>
  <c r="O6" i="22" a="1"/>
  <c r="O6" i="22" s="1"/>
  <c r="N6" i="22" a="1"/>
  <c r="N6" i="22" s="1"/>
  <c r="M6" i="22" a="1"/>
  <c r="M6" i="22" s="1"/>
  <c r="G6" i="22" a="1"/>
  <c r="G6" i="22" s="1"/>
  <c r="F6" i="22" a="1"/>
  <c r="F6" i="22" s="1"/>
  <c r="E6" i="22" a="1"/>
  <c r="E6" i="22" s="1"/>
  <c r="AA5" i="22"/>
  <c r="Z5" i="22"/>
  <c r="O5" i="22" a="1"/>
  <c r="O5" i="22" s="1"/>
  <c r="N5" i="22" a="1"/>
  <c r="N5" i="22" s="1"/>
  <c r="M5" i="22" a="1"/>
  <c r="M5" i="22" s="1"/>
  <c r="G5" i="22" a="1"/>
  <c r="G5" i="22" s="1"/>
  <c r="F5" i="22" a="1"/>
  <c r="F5" i="22" s="1"/>
  <c r="E5" i="22" a="1"/>
  <c r="E5" i="22" s="1"/>
  <c r="AA4" i="22"/>
  <c r="Z4" i="22"/>
  <c r="W4" i="22"/>
  <c r="P4" i="22"/>
  <c r="H4" i="22"/>
  <c r="AA3" i="22"/>
  <c r="Z3" i="22"/>
  <c r="W3" i="22"/>
  <c r="H1" i="22" s="1" a="1"/>
  <c r="H1" i="22" s="1"/>
  <c r="Y31" i="21"/>
  <c r="AA28" i="21"/>
  <c r="Z28" i="21"/>
  <c r="AB28" i="21" s="1"/>
  <c r="AA27" i="21"/>
  <c r="Z27" i="21"/>
  <c r="AB27" i="21" s="1"/>
  <c r="W26" i="21"/>
  <c r="AA25" i="21"/>
  <c r="Z25" i="21"/>
  <c r="AB25" i="21" s="1"/>
  <c r="W25" i="21"/>
  <c r="AA24" i="21"/>
  <c r="Z24" i="21"/>
  <c r="AB24" i="21" s="1"/>
  <c r="W24" i="21"/>
  <c r="AA23" i="21"/>
  <c r="Z23" i="21"/>
  <c r="AB23" i="21" s="1"/>
  <c r="W23" i="21"/>
  <c r="AA22" i="21"/>
  <c r="Z22" i="21"/>
  <c r="AB22" i="21" s="1"/>
  <c r="AA21" i="21"/>
  <c r="Z21" i="21"/>
  <c r="AB21" i="21" s="1"/>
  <c r="AA20" i="21"/>
  <c r="Z20" i="21"/>
  <c r="AB20" i="21" s="1"/>
  <c r="AA19" i="21"/>
  <c r="Z19" i="21"/>
  <c r="AA18" i="21"/>
  <c r="Z18" i="21"/>
  <c r="AB18" i="21" s="1"/>
  <c r="AA17" i="21"/>
  <c r="Z17" i="21"/>
  <c r="AB17" i="21" s="1"/>
  <c r="AA16" i="21"/>
  <c r="Z16" i="21"/>
  <c r="AA15" i="21"/>
  <c r="Z15" i="21"/>
  <c r="AB15" i="21" s="1"/>
  <c r="W15" i="21"/>
  <c r="AA14" i="21"/>
  <c r="Z14" i="21"/>
  <c r="AA13" i="21"/>
  <c r="Z13" i="21"/>
  <c r="AB13" i="21" s="1"/>
  <c r="AA12" i="21"/>
  <c r="Z12" i="21"/>
  <c r="AB12" i="21" s="1"/>
  <c r="AA11" i="21"/>
  <c r="Z11" i="21"/>
  <c r="AB11" i="21" s="1"/>
  <c r="W11" i="21"/>
  <c r="AA10" i="21"/>
  <c r="Z10" i="21"/>
  <c r="AB10" i="21" s="1"/>
  <c r="W10" i="21"/>
  <c r="AA9" i="21"/>
  <c r="Z9" i="21"/>
  <c r="AB9" i="21" s="1"/>
  <c r="W9" i="21"/>
  <c r="AA8" i="21"/>
  <c r="Z8" i="21"/>
  <c r="AB8" i="21" s="1"/>
  <c r="P8" i="21"/>
  <c r="H8" i="21"/>
  <c r="AA7" i="21"/>
  <c r="Z7" i="21"/>
  <c r="AB7" i="21" s="1"/>
  <c r="P7" i="21"/>
  <c r="O7" i="21"/>
  <c r="N7" i="21"/>
  <c r="M7" i="21"/>
  <c r="G7" i="21"/>
  <c r="H7" i="21" s="1"/>
  <c r="F7" i="21"/>
  <c r="E7" i="21"/>
  <c r="AA6" i="21"/>
  <c r="Z6" i="21"/>
  <c r="AB6" i="21" s="1"/>
  <c r="R6" i="21"/>
  <c r="O6" i="21" a="1"/>
  <c r="O6" i="21" s="1"/>
  <c r="O9" i="21" s="1"/>
  <c r="N6" i="21" a="1"/>
  <c r="N6" i="21" s="1"/>
  <c r="N9" i="21" s="1"/>
  <c r="M6" i="21" a="1"/>
  <c r="M6" i="21" s="1"/>
  <c r="G6" i="21" a="1"/>
  <c r="G6" i="21" s="1"/>
  <c r="F6" i="21" a="1"/>
  <c r="F6" i="21" s="1"/>
  <c r="E6" i="21"/>
  <c r="E6" i="21" a="1"/>
  <c r="AA5" i="21"/>
  <c r="Z5" i="21"/>
  <c r="AB5" i="21" s="1"/>
  <c r="O5" i="21" a="1"/>
  <c r="O5" i="21" s="1"/>
  <c r="N5" i="21" a="1"/>
  <c r="N5" i="21" s="1"/>
  <c r="M5" i="21" a="1"/>
  <c r="M5" i="21" s="1"/>
  <c r="P5" i="21" s="1"/>
  <c r="G5" i="21" a="1"/>
  <c r="G5" i="21" s="1"/>
  <c r="F5" i="21" a="1"/>
  <c r="F5" i="21" s="1"/>
  <c r="E5" i="21" a="1"/>
  <c r="E5" i="21" s="1"/>
  <c r="AA4" i="21"/>
  <c r="Z4" i="21"/>
  <c r="AB4" i="21" s="1"/>
  <c r="W4" i="21"/>
  <c r="P4" i="21"/>
  <c r="H4" i="21"/>
  <c r="AA3" i="21"/>
  <c r="Z3" i="21"/>
  <c r="AB3" i="21" s="1"/>
  <c r="W3" i="21"/>
  <c r="H1" i="21" s="1" a="1"/>
  <c r="H1" i="21" s="1"/>
  <c r="Y31" i="20"/>
  <c r="AA28" i="20"/>
  <c r="Z28" i="20"/>
  <c r="AB28" i="20" s="1"/>
  <c r="AA27" i="20"/>
  <c r="Z27" i="20"/>
  <c r="AB27" i="20" s="1"/>
  <c r="W26" i="20"/>
  <c r="AA25" i="20"/>
  <c r="Z25" i="20"/>
  <c r="AB25" i="20" s="1"/>
  <c r="W25" i="20"/>
  <c r="AA24" i="20"/>
  <c r="Z24" i="20"/>
  <c r="AB24" i="20" s="1"/>
  <c r="W24" i="20"/>
  <c r="AA23" i="20"/>
  <c r="Z23" i="20"/>
  <c r="AB23" i="20" s="1"/>
  <c r="W23" i="20"/>
  <c r="AA22" i="20"/>
  <c r="Z22" i="20"/>
  <c r="AB22" i="20" s="1"/>
  <c r="AA21" i="20"/>
  <c r="Z21" i="20"/>
  <c r="AB21" i="20" s="1"/>
  <c r="AB20" i="20"/>
  <c r="AA20" i="20"/>
  <c r="Z20" i="20"/>
  <c r="AA19" i="20"/>
  <c r="AB19" i="20" s="1"/>
  <c r="Z19" i="20"/>
  <c r="AA18" i="20"/>
  <c r="Z18" i="20"/>
  <c r="AB18" i="20" s="1"/>
  <c r="AA17" i="20"/>
  <c r="Z17" i="20"/>
  <c r="AB17" i="20" s="1"/>
  <c r="AA16" i="20"/>
  <c r="AB16" i="20" s="1"/>
  <c r="Z16" i="20"/>
  <c r="AA15" i="20"/>
  <c r="Z15" i="20"/>
  <c r="AB15" i="20" s="1"/>
  <c r="W15" i="20"/>
  <c r="AA14" i="20"/>
  <c r="AB14" i="20" s="1"/>
  <c r="Z14" i="20"/>
  <c r="AA13" i="20"/>
  <c r="Z13" i="20"/>
  <c r="AB13" i="20" s="1"/>
  <c r="AA12" i="20"/>
  <c r="AB12" i="20" s="1"/>
  <c r="Z12" i="20"/>
  <c r="AA11" i="20"/>
  <c r="Z11" i="20"/>
  <c r="AB11" i="20" s="1"/>
  <c r="W11" i="20"/>
  <c r="AA10" i="20"/>
  <c r="Z10" i="20"/>
  <c r="AB10" i="20" s="1"/>
  <c r="W10" i="20"/>
  <c r="AA9" i="20"/>
  <c r="Z9" i="20"/>
  <c r="AB9" i="20" s="1"/>
  <c r="W9" i="20"/>
  <c r="AA8" i="20"/>
  <c r="Z8" i="20"/>
  <c r="AB8" i="20" s="1"/>
  <c r="P8" i="20"/>
  <c r="H8" i="20"/>
  <c r="AA7" i="20"/>
  <c r="Z7" i="20"/>
  <c r="AB7" i="20" s="1"/>
  <c r="P7" i="20"/>
  <c r="O7" i="20"/>
  <c r="N7" i="20"/>
  <c r="M7" i="20"/>
  <c r="H7" i="20"/>
  <c r="G7" i="20"/>
  <c r="F7" i="20"/>
  <c r="E7" i="20"/>
  <c r="AB6" i="20"/>
  <c r="AA6" i="20"/>
  <c r="Z6" i="20"/>
  <c r="R6" i="20"/>
  <c r="O6" i="20" a="1"/>
  <c r="O6" i="20" s="1"/>
  <c r="O9" i="20" s="1"/>
  <c r="N6" i="20" a="1"/>
  <c r="N6" i="20" s="1"/>
  <c r="N9" i="20" s="1"/>
  <c r="M6" i="20" a="1"/>
  <c r="M6" i="20" s="1"/>
  <c r="G6" i="20" a="1"/>
  <c r="G6" i="20" s="1"/>
  <c r="F6" i="20" a="1"/>
  <c r="F6" i="20" s="1"/>
  <c r="E6" i="20"/>
  <c r="E6" i="20" a="1"/>
  <c r="AA5" i="20"/>
  <c r="Z5" i="20"/>
  <c r="AB5" i="20" s="1"/>
  <c r="O5" i="20" a="1"/>
  <c r="O5" i="20" s="1"/>
  <c r="N5" i="20" a="1"/>
  <c r="N5" i="20" s="1"/>
  <c r="M5" i="20" a="1"/>
  <c r="M5" i="20" s="1"/>
  <c r="P5" i="20" s="1"/>
  <c r="G5" i="20" a="1"/>
  <c r="G5" i="20" s="1"/>
  <c r="F5" i="20" a="1"/>
  <c r="F5" i="20" s="1"/>
  <c r="E5" i="20" a="1"/>
  <c r="E5" i="20" s="1"/>
  <c r="AA4" i="20"/>
  <c r="Z4" i="20"/>
  <c r="AB4" i="20" s="1"/>
  <c r="W4" i="20"/>
  <c r="P4" i="20"/>
  <c r="H4" i="20"/>
  <c r="AA3" i="20"/>
  <c r="Z3" i="20"/>
  <c r="AB3" i="20" s="1"/>
  <c r="W3" i="20"/>
  <c r="H1" i="20" s="1" a="1"/>
  <c r="H1" i="20" s="1"/>
  <c r="O9" i="22" l="1"/>
  <c r="P7" i="22"/>
  <c r="AB25" i="22"/>
  <c r="AB21" i="22"/>
  <c r="AB8" i="22"/>
  <c r="AB18" i="22"/>
  <c r="AB20" i="22"/>
  <c r="AB10" i="22"/>
  <c r="AB15" i="22"/>
  <c r="AB7" i="22"/>
  <c r="AB22" i="22"/>
  <c r="AB27" i="22"/>
  <c r="AB17" i="22"/>
  <c r="AB28" i="22"/>
  <c r="AB12" i="22"/>
  <c r="AB23" i="22"/>
  <c r="AB6" i="22"/>
  <c r="AB13" i="22"/>
  <c r="AB4" i="22"/>
  <c r="AB3" i="22"/>
  <c r="AB24" i="22"/>
  <c r="AB5" i="22"/>
  <c r="AB9" i="22"/>
  <c r="P5" i="22"/>
  <c r="N9" i="22"/>
  <c r="AB16" i="22"/>
  <c r="H5" i="22"/>
  <c r="AB19" i="22"/>
  <c r="AB14" i="22"/>
  <c r="H6" i="22"/>
  <c r="P6" i="22"/>
  <c r="M9" i="22"/>
  <c r="AB16" i="21"/>
  <c r="H5" i="21"/>
  <c r="P11" i="21" s="1"/>
  <c r="AB14" i="21"/>
  <c r="AB19" i="21"/>
  <c r="H6" i="21"/>
  <c r="P12" i="21" s="1"/>
  <c r="P6" i="21"/>
  <c r="P9" i="21" s="1"/>
  <c r="M9" i="21"/>
  <c r="H6" i="20"/>
  <c r="R2" i="20" a="1"/>
  <c r="R2" i="20" s="1"/>
  <c r="H5" i="20"/>
  <c r="P11" i="20" s="1"/>
  <c r="P6" i="20"/>
  <c r="P9" i="20" s="1"/>
  <c r="M9" i="20"/>
  <c r="Y31" i="17"/>
  <c r="AA28" i="17"/>
  <c r="Z28" i="17"/>
  <c r="AA27" i="17"/>
  <c r="Z27" i="17"/>
  <c r="W26" i="17"/>
  <c r="AA25" i="17"/>
  <c r="Z25" i="17"/>
  <c r="W25" i="17"/>
  <c r="AA24" i="17"/>
  <c r="Z24" i="17"/>
  <c r="W24" i="17"/>
  <c r="AA23" i="17"/>
  <c r="Z23" i="17"/>
  <c r="W23" i="17"/>
  <c r="AA22" i="17"/>
  <c r="Z22" i="17"/>
  <c r="AA21" i="17"/>
  <c r="Z21" i="17"/>
  <c r="AA20" i="17"/>
  <c r="Z20" i="17"/>
  <c r="AA19" i="17"/>
  <c r="Z19" i="17"/>
  <c r="AA18" i="17"/>
  <c r="Z18" i="17"/>
  <c r="AA17" i="17"/>
  <c r="Z17" i="17"/>
  <c r="AA16" i="17"/>
  <c r="Z16" i="17"/>
  <c r="AA15" i="17"/>
  <c r="Z15" i="17"/>
  <c r="W15" i="17"/>
  <c r="AA14" i="17"/>
  <c r="Z14" i="17"/>
  <c r="AA13" i="17"/>
  <c r="Z13" i="17"/>
  <c r="AA12" i="17"/>
  <c r="Z12" i="17"/>
  <c r="AA11" i="17"/>
  <c r="Z11" i="17"/>
  <c r="AB11" i="17" s="1"/>
  <c r="W11" i="17"/>
  <c r="AA10" i="17"/>
  <c r="Z10" i="17"/>
  <c r="W10" i="17"/>
  <c r="AA9" i="17"/>
  <c r="Z9" i="17"/>
  <c r="W9" i="17"/>
  <c r="AA8" i="17"/>
  <c r="Z8" i="17"/>
  <c r="P8" i="17"/>
  <c r="H8" i="17"/>
  <c r="AA7" i="17"/>
  <c r="Z7" i="17"/>
  <c r="O7" i="17"/>
  <c r="N7" i="17"/>
  <c r="P7" i="17" s="1"/>
  <c r="M7" i="17"/>
  <c r="G7" i="17"/>
  <c r="F7" i="17"/>
  <c r="E7" i="17"/>
  <c r="AA6" i="17"/>
  <c r="Z6" i="17"/>
  <c r="R6" i="17"/>
  <c r="O6" i="17" a="1"/>
  <c r="O6" i="17" s="1"/>
  <c r="O9" i="17" s="1"/>
  <c r="N6" i="17" a="1"/>
  <c r="N6" i="17" s="1"/>
  <c r="M6" i="17" a="1"/>
  <c r="M6" i="17" s="1"/>
  <c r="G6" i="17" a="1"/>
  <c r="G6" i="17" s="1"/>
  <c r="F6" i="17" a="1"/>
  <c r="F6" i="17" s="1"/>
  <c r="E6" i="17" a="1"/>
  <c r="E6" i="17" s="1"/>
  <c r="AA5" i="17"/>
  <c r="Z5" i="17"/>
  <c r="O5" i="17" a="1"/>
  <c r="O5" i="17" s="1"/>
  <c r="N5" i="17" a="1"/>
  <c r="N5" i="17" s="1"/>
  <c r="M5" i="17" a="1"/>
  <c r="M5" i="17" s="1"/>
  <c r="G5" i="17" a="1"/>
  <c r="G5" i="17" s="1"/>
  <c r="F5" i="17" a="1"/>
  <c r="F5" i="17" s="1"/>
  <c r="E5" i="17" a="1"/>
  <c r="E5" i="17" s="1"/>
  <c r="AA4" i="17"/>
  <c r="Z4" i="17"/>
  <c r="W4" i="17"/>
  <c r="P4" i="17"/>
  <c r="H4" i="17"/>
  <c r="AA3" i="17"/>
  <c r="Z3" i="17"/>
  <c r="W3" i="17"/>
  <c r="H1" i="17" s="1" a="1"/>
  <c r="H1" i="17" s="1"/>
  <c r="P9" i="22" l="1"/>
  <c r="P11" i="22"/>
  <c r="R8" i="22" a="1"/>
  <c r="R8" i="22" s="1"/>
  <c r="R2" i="22" a="1"/>
  <c r="R2" i="22" s="1"/>
  <c r="P12" i="22"/>
  <c r="R2" i="21" a="1"/>
  <c r="R2" i="21" s="1"/>
  <c r="R8" i="21" a="1"/>
  <c r="R8" i="21" s="1"/>
  <c r="R8" i="20" a="1"/>
  <c r="R8" i="20" s="1"/>
  <c r="P12" i="20"/>
  <c r="AB14" i="17"/>
  <c r="H7" i="17"/>
  <c r="AB9" i="17"/>
  <c r="AB15" i="17"/>
  <c r="AB6" i="17"/>
  <c r="AB19" i="17"/>
  <c r="AB25" i="17"/>
  <c r="AB21" i="17"/>
  <c r="AB7" i="17"/>
  <c r="AB12" i="17"/>
  <c r="AB23" i="17"/>
  <c r="AB10" i="17"/>
  <c r="AB13" i="17"/>
  <c r="AB4" i="17"/>
  <c r="AB16" i="17"/>
  <c r="AB22" i="17"/>
  <c r="AB27" i="17"/>
  <c r="AB24" i="17"/>
  <c r="AB17" i="17"/>
  <c r="AB28" i="17"/>
  <c r="AB20" i="17"/>
  <c r="AB3" i="17"/>
  <c r="AB8" i="17"/>
  <c r="AB5" i="17"/>
  <c r="AB18" i="17"/>
  <c r="N9" i="17"/>
  <c r="P5" i="17"/>
  <c r="H6" i="17"/>
  <c r="P6" i="17"/>
  <c r="M9" i="17"/>
  <c r="H5" i="17"/>
  <c r="R8" i="17" l="1" a="1"/>
  <c r="R8" i="17" s="1"/>
  <c r="P11" i="17"/>
  <c r="R2" i="17" a="1"/>
  <c r="R2" i="17" s="1"/>
  <c r="P12" i="17"/>
  <c r="P9" i="17"/>
  <c r="D4" i="5" l="1"/>
  <c r="D3" i="5"/>
  <c r="D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<sst xmlns="http://schemas.openxmlformats.org/spreadsheetml/2006/main" count="13990" uniqueCount="72">
  <si>
    <t>地块</t>
  </si>
  <si>
    <t>粮草</t>
  </si>
  <si>
    <t>经验</t>
  </si>
  <si>
    <t>八卦前亏损</t>
  </si>
  <si>
    <t>1级</t>
  </si>
  <si>
    <t>2级</t>
  </si>
  <si>
    <t>3级</t>
  </si>
  <si>
    <t>4级</t>
  </si>
  <si>
    <t>5级</t>
  </si>
  <si>
    <t>6级</t>
  </si>
  <si>
    <t>塔1</t>
  </si>
  <si>
    <t>塔2</t>
  </si>
  <si>
    <t>塔3</t>
  </si>
  <si>
    <t>塔4</t>
  </si>
  <si>
    <t>塔5</t>
  </si>
  <si>
    <t>塔6</t>
  </si>
  <si>
    <t>遗迹</t>
  </si>
  <si>
    <t>商人</t>
  </si>
  <si>
    <t>营地</t>
  </si>
  <si>
    <t>大卦</t>
  </si>
  <si>
    <t>小卦</t>
  </si>
  <si>
    <t>小boss</t>
  </si>
  <si>
    <t>大boss</t>
  </si>
  <si>
    <t>中boss</t>
  </si>
  <si>
    <t>奈良</t>
  </si>
  <si>
    <t>山中</t>
  </si>
  <si>
    <t>秋道</t>
  </si>
  <si>
    <t>空</t>
  </si>
  <si>
    <t>营地+</t>
  </si>
  <si>
    <t>历练</t>
  </si>
  <si>
    <t>八卦路线</t>
  </si>
  <si>
    <t>一队</t>
  </si>
  <si>
    <t>二队</t>
  </si>
  <si>
    <t>三队</t>
  </si>
  <si>
    <t>跳步</t>
  </si>
  <si>
    <t>行动</t>
  </si>
  <si>
    <t>总</t>
  </si>
  <si>
    <t>统计</t>
  </si>
  <si>
    <t>消耗粮草</t>
  </si>
  <si>
    <t>获得经验</t>
  </si>
  <si>
    <t>步数</t>
  </si>
  <si>
    <t>收尾路线</t>
  </si>
  <si>
    <t>性价比</t>
  </si>
  <si>
    <t>总经验</t>
  </si>
  <si>
    <t>总数</t>
  </si>
  <si>
    <t>前期</t>
  </si>
  <si>
    <t>收尾</t>
  </si>
  <si>
    <t>中期</t>
  </si>
  <si>
    <t>全局统计</t>
  </si>
  <si>
    <t>天数</t>
  </si>
  <si>
    <t>周数</t>
  </si>
  <si>
    <t>种植粮草</t>
  </si>
  <si>
    <t>总粮草</t>
  </si>
  <si>
    <t>传送</t>
  </si>
  <si>
    <t>剩余粮草</t>
  </si>
  <si>
    <t>中期跳步</t>
  </si>
  <si>
    <t>占领数</t>
  </si>
  <si>
    <t>使用说明</t>
  </si>
  <si>
    <t>统计重要地块个数，填入X列</t>
  </si>
  <si>
    <t>绿色格子需要手动填写</t>
  </si>
  <si>
    <t>在R列填写赛季基本信息</t>
  </si>
  <si>
    <t>规划八卦以及收尾路线，填入ABC，FGH列，填写跳步和传送次数</t>
  </si>
  <si>
    <t>note：八卦路线为拿满八卦之前的路线，收尾路线原则上不包括任何三级地</t>
  </si>
  <si>
    <t>统计确定需要占领的各种地块个数，填入Y列</t>
  </si>
  <si>
    <t>根据剩余粮草，调整占领的三级地个数，直至粮草小于144</t>
  </si>
  <si>
    <t>对路线进行最终微调</t>
  </si>
  <si>
    <t>粮草</t>
    <phoneticPr fontId="9" type="noConversion"/>
  </si>
  <si>
    <t>经验</t>
    <phoneticPr fontId="9" type="noConversion"/>
  </si>
  <si>
    <t>test1</t>
    <phoneticPr fontId="9" type="noConversion"/>
  </si>
  <si>
    <t>test2</t>
    <phoneticPr fontId="9" type="noConversion"/>
  </si>
  <si>
    <t>飞雷神</t>
  </si>
  <si>
    <t>根据剩余粮草，调整占领的三级地个数，直至粮草小于136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</si>
</sst>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0070C0"/>
      <name val="Calibri"/>
      <family val="2"/>
      <scheme val="minor"/>
    </font>
    <font>
      <sz val="9"/>
      <name val="Calibri"/>
      <family val="3"/>
      <charset val="134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lightDown">
        <fgColor rgb="FFFF0000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B0F0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4" borderId="1" xfId="0" applyFill="1" applyBorder="1" applyAlignment="1">
      <alignment vertical="top"/>
    </xf>
    <xf numFmtId="0" fontId="0" fillId="5" borderId="1" xfId="0" applyFill="1" applyBorder="1" applyAlignment="1">
      <alignment vertical="top"/>
    </xf>
    <xf numFmtId="0" fontId="0" fillId="6" borderId="1" xfId="0" applyFill="1" applyBorder="1" applyAlignment="1">
      <alignment vertical="top"/>
    </xf>
    <xf numFmtId="0" fontId="0" fillId="7" borderId="1" xfId="0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0" fontId="2" fillId="4" borderId="1" xfId="0" applyFont="1" applyFill="1" applyBorder="1" applyAlignment="1">
      <alignment vertical="top"/>
    </xf>
    <xf numFmtId="0" fontId="2" fillId="5" borderId="1" xfId="0" applyFont="1" applyFill="1" applyBorder="1" applyAlignment="1">
      <alignment vertical="top"/>
    </xf>
    <xf numFmtId="0" fontId="2" fillId="6" borderId="1" xfId="0" applyFont="1" applyFill="1" applyBorder="1" applyAlignment="1">
      <alignment vertical="top"/>
    </xf>
    <xf numFmtId="0" fontId="2" fillId="7" borderId="1" xfId="0" applyFont="1" applyFill="1" applyBorder="1" applyAlignment="1">
      <alignment vertical="top"/>
    </xf>
    <xf numFmtId="0" fontId="1" fillId="8" borderId="1" xfId="0" applyFont="1" applyFill="1" applyBorder="1"/>
    <xf numFmtId="0" fontId="1" fillId="9" borderId="1" xfId="0" applyFont="1" applyFill="1" applyBorder="1"/>
    <xf numFmtId="0" fontId="1" fillId="10" borderId="1" xfId="0" applyFont="1" applyFill="1" applyBorder="1"/>
    <xf numFmtId="0" fontId="1" fillId="11" borderId="1" xfId="0" applyFont="1" applyFill="1" applyBorder="1"/>
    <xf numFmtId="0" fontId="1" fillId="12" borderId="1" xfId="0" applyFont="1" applyFill="1" applyBorder="1"/>
    <xf numFmtId="0" fontId="1" fillId="13" borderId="1" xfId="0" applyFont="1" applyFill="1" applyBorder="1"/>
    <xf numFmtId="0" fontId="1" fillId="14" borderId="1" xfId="0" applyFont="1" applyFill="1" applyBorder="1"/>
    <xf numFmtId="0" fontId="1" fillId="15" borderId="1" xfId="0" applyFont="1" applyFill="1" applyBorder="1"/>
    <xf numFmtId="0" fontId="1" fillId="0" borderId="1" xfId="0" applyFont="1" applyBorder="1"/>
    <xf numFmtId="0" fontId="1" fillId="16" borderId="1" xfId="0" applyFont="1" applyFill="1" applyBorder="1"/>
    <xf numFmtId="0" fontId="3" fillId="17" borderId="4" xfId="0" applyFont="1" applyFill="1" applyBorder="1"/>
    <xf numFmtId="0" fontId="1" fillId="18" borderId="5" xfId="0" applyFont="1" applyFill="1" applyBorder="1"/>
    <xf numFmtId="0" fontId="0" fillId="0" borderId="0" xfId="0" applyBorder="1"/>
    <xf numFmtId="0" fontId="0" fillId="0" borderId="7" xfId="0" applyBorder="1"/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4" fillId="19" borderId="1" xfId="0" applyFont="1" applyFill="1" applyBorder="1"/>
    <xf numFmtId="0" fontId="4" fillId="19" borderId="6" xfId="0" applyFont="1" applyFill="1" applyBorder="1"/>
    <xf numFmtId="0" fontId="5" fillId="19" borderId="1" xfId="0" applyFont="1" applyFill="1" applyBorder="1"/>
    <xf numFmtId="0" fontId="5" fillId="19" borderId="6" xfId="0" applyFont="1" applyFill="1" applyBorder="1"/>
    <xf numFmtId="0" fontId="0" fillId="19" borderId="1" xfId="0" applyFill="1" applyBorder="1"/>
    <xf numFmtId="0" fontId="0" fillId="19" borderId="6" xfId="0" applyFill="1" applyBorder="1"/>
    <xf numFmtId="0" fontId="5" fillId="0" borderId="1" xfId="0" applyFont="1" applyFill="1" applyBorder="1"/>
    <xf numFmtId="0" fontId="5" fillId="0" borderId="0" xfId="0" applyFont="1" applyFill="1" applyBorder="1"/>
    <xf numFmtId="0" fontId="4" fillId="19" borderId="21" xfId="0" applyFont="1" applyFill="1" applyBorder="1"/>
    <xf numFmtId="0" fontId="4" fillId="20" borderId="21" xfId="0" applyFont="1" applyFill="1" applyBorder="1"/>
    <xf numFmtId="0" fontId="4" fillId="20" borderId="1" xfId="0" applyFont="1" applyFill="1" applyBorder="1"/>
    <xf numFmtId="0" fontId="0" fillId="0" borderId="14" xfId="0" applyBorder="1" applyAlignment="1">
      <alignment wrapText="1"/>
    </xf>
    <xf numFmtId="0" fontId="0" fillId="0" borderId="14" xfId="0" applyBorder="1"/>
    <xf numFmtId="0" fontId="0" fillId="20" borderId="1" xfId="0" applyFill="1" applyBorder="1"/>
    <xf numFmtId="0" fontId="0" fillId="0" borderId="1" xfId="0" applyFill="1" applyBorder="1"/>
    <xf numFmtId="0" fontId="6" fillId="20" borderId="1" xfId="0" applyFont="1" applyFill="1" applyBorder="1"/>
    <xf numFmtId="0" fontId="8" fillId="19" borderId="6" xfId="0" applyFont="1" applyFill="1" applyBorder="1"/>
    <xf numFmtId="0" fontId="0" fillId="0" borderId="17" xfId="0" applyBorder="1"/>
    <xf numFmtId="0" fontId="7" fillId="0" borderId="0" xfId="0" applyFont="1" applyBorder="1"/>
    <xf numFmtId="0" fontId="0" fillId="0" borderId="6" xfId="0" applyFill="1" applyBorder="1"/>
    <xf numFmtId="0" fontId="0" fillId="20" borderId="17" xfId="0" applyFill="1" applyBorder="1"/>
    <xf numFmtId="0" fontId="0" fillId="0" borderId="6" xfId="0" applyBorder="1"/>
    <xf numFmtId="0" fontId="6" fillId="0" borderId="0" xfId="0" applyFont="1" applyBorder="1"/>
    <xf numFmtId="0" fontId="0" fillId="0" borderId="22" xfId="0" applyBorder="1"/>
    <xf numFmtId="0" fontId="0" fillId="0" borderId="23" xfId="0" applyBorder="1"/>
    <xf numFmtId="0" fontId="1" fillId="17" borderId="1" xfId="0" applyFont="1" applyFill="1" applyBorder="1"/>
    <xf numFmtId="0" fontId="6" fillId="19" borderId="6" xfId="0" applyFont="1" applyFill="1" applyBorder="1"/>
    <xf numFmtId="0" fontId="1" fillId="17" borderId="5" xfId="0" applyFont="1" applyFill="1" applyBorder="1"/>
    <xf numFmtId="0" fontId="1" fillId="21" borderId="1" xfId="0" applyFont="1" applyFill="1" applyBorder="1"/>
    <xf numFmtId="0" fontId="1" fillId="11" borderId="2" xfId="0" applyFont="1" applyFill="1" applyBorder="1" applyAlignment="1">
      <alignment horizontal="center"/>
    </xf>
    <xf numFmtId="0" fontId="1" fillId="11" borderId="3" xfId="0" applyFont="1" applyFill="1" applyBorder="1" applyAlignment="1">
      <alignment horizontal="center"/>
    </xf>
    <xf numFmtId="0" fontId="1" fillId="17" borderId="3" xfId="0" applyFont="1" applyFill="1" applyBorder="1" applyAlignment="1">
      <alignment horizontal="center" wrapText="1"/>
    </xf>
    <xf numFmtId="0" fontId="1" fillId="11" borderId="18" xfId="0" applyFont="1" applyFill="1" applyBorder="1" applyAlignment="1">
      <alignment horizontal="center"/>
    </xf>
    <xf numFmtId="0" fontId="1" fillId="11" borderId="19" xfId="0" applyFont="1" applyFill="1" applyBorder="1" applyAlignment="1">
      <alignment horizontal="center"/>
    </xf>
    <xf numFmtId="0" fontId="1" fillId="11" borderId="20" xfId="0" applyFont="1" applyFill="1" applyBorder="1" applyAlignment="1">
      <alignment horizontal="center"/>
    </xf>
    <xf numFmtId="0" fontId="1" fillId="20" borderId="5" xfId="0" applyFont="1" applyFill="1" applyBorder="1" applyAlignment="1">
      <alignment horizontal="center"/>
    </xf>
    <xf numFmtId="0" fontId="1" fillId="20" borderId="1" xfId="0" applyFont="1" applyFill="1" applyBorder="1" applyAlignment="1">
      <alignment horizontal="center"/>
    </xf>
    <xf numFmtId="0" fontId="4" fillId="19" borderId="14" xfId="0" applyFont="1" applyFill="1" applyBorder="1" applyAlignment="1">
      <alignment horizontal="center"/>
    </xf>
    <xf numFmtId="0" fontId="4" fillId="19" borderId="15" xfId="0" applyFont="1" applyFill="1" applyBorder="1" applyAlignment="1">
      <alignment horizontal="center"/>
    </xf>
    <xf numFmtId="0" fontId="4" fillId="19" borderId="16" xfId="0" applyFont="1" applyFill="1" applyBorder="1" applyAlignment="1">
      <alignment horizontal="center"/>
    </xf>
    <xf numFmtId="0" fontId="1" fillId="20" borderId="12" xfId="0" applyFont="1" applyFill="1" applyBorder="1" applyAlignment="1">
      <alignment horizontal="center"/>
    </xf>
    <xf numFmtId="0" fontId="1" fillId="20" borderId="13" xfId="0" applyFont="1" applyFill="1" applyBorder="1" applyAlignment="1">
      <alignment horizontal="center"/>
    </xf>
    <xf numFmtId="0" fontId="4" fillId="19" borderId="1" xfId="0" applyFont="1" applyFill="1" applyBorder="1" applyAlignment="1">
      <alignment horizontal="center"/>
    </xf>
    <xf numFmtId="0" fontId="4" fillId="19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9AEEE-252A-4F03-B480-09B0AE71BC17}">
  <dimension ref="A1:AB100"/>
  <sheetViews>
    <sheetView tabSelected="1" topLeftCell="F1" zoomScale="145" zoomScaleNormal="145" workbookViewId="0">
      <selection activeCell="O15" sqref="O15"/>
    </sheetView>
  </sheetViews>
  <sheetFormatPr defaultRowHeight="15"/>
  <sheetData>
    <row r="1" spans="1:28" ht="15.75">
      <c r="A1" s="62" t="s">
        <v>30</v>
      </c>
      <c r="B1" s="63"/>
      <c r="C1" s="63"/>
      <c r="D1" s="63"/>
      <c r="E1" s="63"/>
      <c r="F1" s="64" t="s">
        <v>3</v>
      </c>
      <c r="G1" s="64"/>
      <c r="H1" s="24" cm="1">
        <f t="array" ref="H1">SUM(VLOOKUP(A4:C100,$T$3:$W$36,4,FALSE))+H4*10-H8*50</f>
        <v>3277.9943423939671</v>
      </c>
      <c r="I1" s="65" t="s">
        <v>41</v>
      </c>
      <c r="J1" s="66"/>
      <c r="K1" s="66"/>
      <c r="L1" s="66"/>
      <c r="M1" s="66"/>
      <c r="N1" s="66"/>
      <c r="O1" s="66"/>
      <c r="P1" s="67"/>
      <c r="Q1" s="65" t="s">
        <v>48</v>
      </c>
      <c r="R1" s="66"/>
      <c r="S1" s="66"/>
      <c r="T1" s="66"/>
      <c r="U1" s="66"/>
      <c r="V1" s="66"/>
      <c r="W1" s="66"/>
      <c r="X1" s="66"/>
      <c r="Y1" s="66"/>
      <c r="Z1" s="66"/>
      <c r="AA1" s="66"/>
      <c r="AB1" s="67"/>
    </row>
    <row r="2" spans="1:28" ht="30">
      <c r="A2" s="68" t="s">
        <v>35</v>
      </c>
      <c r="B2" s="69"/>
      <c r="C2" s="69"/>
      <c r="D2" s="70" t="s">
        <v>37</v>
      </c>
      <c r="E2" s="71"/>
      <c r="F2" s="71"/>
      <c r="G2" s="71"/>
      <c r="H2" s="72"/>
      <c r="I2" s="73" t="s">
        <v>35</v>
      </c>
      <c r="J2" s="74"/>
      <c r="K2" s="74"/>
      <c r="L2" s="75" t="s">
        <v>37</v>
      </c>
      <c r="M2" s="75"/>
      <c r="N2" s="75"/>
      <c r="O2" s="75"/>
      <c r="P2" s="76"/>
      <c r="Q2" s="50" t="s">
        <v>43</v>
      </c>
      <c r="R2" s="51" cm="1">
        <f t="array" ref="R2">SUM(V3:V28*AB3:AB28)+H6+P6+R4*500</f>
        <v>65010</v>
      </c>
      <c r="S2" s="26"/>
      <c r="T2" s="1" t="s">
        <v>0</v>
      </c>
      <c r="U2" s="1" t="s">
        <v>1</v>
      </c>
      <c r="V2" s="1" t="s">
        <v>2</v>
      </c>
      <c r="W2" s="44" t="s">
        <v>3</v>
      </c>
      <c r="X2" s="46" t="s">
        <v>44</v>
      </c>
      <c r="Y2" s="46" t="s">
        <v>56</v>
      </c>
      <c r="Z2" s="47" t="s">
        <v>45</v>
      </c>
      <c r="AA2" s="47" t="s">
        <v>46</v>
      </c>
      <c r="AB2" s="52" t="s">
        <v>47</v>
      </c>
    </row>
    <row r="3" spans="1:28">
      <c r="A3" s="60" t="s">
        <v>31</v>
      </c>
      <c r="B3" s="61" t="s">
        <v>32</v>
      </c>
      <c r="C3" s="20" t="s">
        <v>33</v>
      </c>
      <c r="D3" s="33"/>
      <c r="E3" s="60" t="s">
        <v>31</v>
      </c>
      <c r="F3" s="61" t="s">
        <v>32</v>
      </c>
      <c r="G3" s="20" t="s">
        <v>33</v>
      </c>
      <c r="H3" s="34" t="s">
        <v>36</v>
      </c>
      <c r="I3" s="60" t="s">
        <v>31</v>
      </c>
      <c r="J3" s="61" t="s">
        <v>32</v>
      </c>
      <c r="K3" s="20" t="s">
        <v>33</v>
      </c>
      <c r="L3" s="33"/>
      <c r="M3" s="60" t="s">
        <v>31</v>
      </c>
      <c r="N3" s="61" t="s">
        <v>32</v>
      </c>
      <c r="O3" s="20" t="s">
        <v>33</v>
      </c>
      <c r="P3" s="34" t="s">
        <v>36</v>
      </c>
      <c r="Q3" s="53" t="s">
        <v>49</v>
      </c>
      <c r="R3" s="26">
        <v>91</v>
      </c>
      <c r="S3" s="26"/>
      <c r="T3" s="2" t="s">
        <v>4</v>
      </c>
      <c r="U3" s="1">
        <v>150</v>
      </c>
      <c r="V3" s="1">
        <v>35</v>
      </c>
      <c r="W3" s="45">
        <f>U3-V3/0.330882</f>
        <v>44.222109392472248</v>
      </c>
      <c r="X3" s="46"/>
      <c r="Y3" s="46">
        <v>25</v>
      </c>
      <c r="Z3" s="1">
        <f>COUNTIF($A$4:$C$100,T3)</f>
        <v>17</v>
      </c>
      <c r="AA3" s="1">
        <f>COUNTIF($I$4:$K$100,T3)</f>
        <v>8</v>
      </c>
      <c r="AB3" s="54">
        <f>Y3-Z3-AA3</f>
        <v>0</v>
      </c>
    </row>
    <row r="4" spans="1:28">
      <c r="A4" s="2" t="s">
        <v>4</v>
      </c>
      <c r="B4" s="2" t="s">
        <v>4</v>
      </c>
      <c r="C4" s="3" t="s">
        <v>5</v>
      </c>
      <c r="D4" s="43" t="s">
        <v>34</v>
      </c>
      <c r="E4" s="39">
        <v>0</v>
      </c>
      <c r="F4" s="39">
        <v>11</v>
      </c>
      <c r="G4" s="39">
        <v>13</v>
      </c>
      <c r="H4" s="36">
        <f>SUM(E4:G4)</f>
        <v>24</v>
      </c>
      <c r="I4" s="2" t="s">
        <v>4</v>
      </c>
      <c r="J4" s="9" t="s">
        <v>11</v>
      </c>
      <c r="K4" s="3" t="s">
        <v>5</v>
      </c>
      <c r="L4" s="43" t="s">
        <v>34</v>
      </c>
      <c r="M4" s="39">
        <v>3</v>
      </c>
      <c r="N4" s="39">
        <v>4</v>
      </c>
      <c r="O4" s="39">
        <v>1</v>
      </c>
      <c r="P4" s="36">
        <f>SUM(M4:O4)</f>
        <v>8</v>
      </c>
      <c r="Q4" s="53" t="s">
        <v>50</v>
      </c>
      <c r="R4" s="40">
        <v>14</v>
      </c>
      <c r="S4" s="26"/>
      <c r="T4" s="3" t="s">
        <v>5</v>
      </c>
      <c r="U4" s="1">
        <v>160</v>
      </c>
      <c r="V4" s="1">
        <v>40</v>
      </c>
      <c r="W4" s="45">
        <f t="shared" ref="W4" si="0">U4-V4/0.330882</f>
        <v>39.110982162825422</v>
      </c>
      <c r="X4" s="46"/>
      <c r="Y4" s="46">
        <v>40</v>
      </c>
      <c r="Z4" s="1">
        <f t="shared" ref="Z4:Z28" si="1">COUNTIF($A$4:$C$100,T4)</f>
        <v>28</v>
      </c>
      <c r="AA4" s="1">
        <f t="shared" ref="AA4:AA28" si="2">COUNTIF($I$4:$K$100,T4)</f>
        <v>12</v>
      </c>
      <c r="AB4" s="54">
        <f t="shared" ref="AB4:AB28" si="3">Y4-Z4-AA4</f>
        <v>0</v>
      </c>
    </row>
    <row r="5" spans="1:28">
      <c r="A5" s="2" t="s">
        <v>4</v>
      </c>
      <c r="B5" s="2" t="s">
        <v>4</v>
      </c>
      <c r="C5" s="23" t="s">
        <v>29</v>
      </c>
      <c r="D5" s="33" t="s">
        <v>38</v>
      </c>
      <c r="E5" s="35" cm="1">
        <f t="array" ref="E5">(SUM(VLOOKUP(A4:A100,$T$3:$W$41,2,FALSE))+E4*10)-E8*50</f>
        <v>900</v>
      </c>
      <c r="F5" s="35" cm="1">
        <f t="array" ref="F5">(SUM(VLOOKUP(B4:B100,$T$3:$W$41,2,FALSE))+F4*10)-F8*50</f>
        <v>6970</v>
      </c>
      <c r="G5" s="35" cm="1">
        <f t="array" ref="G5">(SUM(VLOOKUP(C4:C100,$T$3:$W$41,2,FALSE))+G4*10)-G8*50</f>
        <v>6610</v>
      </c>
      <c r="H5" s="59">
        <f t="shared" ref="H5:H8" si="4">SUM(E5:G5)</f>
        <v>14480</v>
      </c>
      <c r="I5" s="15" t="s">
        <v>17</v>
      </c>
      <c r="J5" s="1" t="s">
        <v>27</v>
      </c>
      <c r="K5" s="3" t="s">
        <v>5</v>
      </c>
      <c r="L5" s="33" t="s">
        <v>38</v>
      </c>
      <c r="M5" s="35" cm="1">
        <f t="array" ref="M5">(SUM(VLOOKUP(I4:I100,$T$3:$W$41,2,FALSE))+M4*10)*0.8-M8*40</f>
        <v>1872</v>
      </c>
      <c r="N5" s="35" cm="1">
        <f t="array" ref="N5">(SUM(VLOOKUP(J4:J100,$T$3:$W$41,2,FALSE))+N4*10)*0.8-N8*40</f>
        <v>152</v>
      </c>
      <c r="O5" s="35" cm="1">
        <f t="array" ref="O5">(SUM(VLOOKUP(K4:K100,$T$3:$W$41,2,FALSE))+O4*10)*0.8-O8*40</f>
        <v>856</v>
      </c>
      <c r="P5" s="59">
        <f t="shared" ref="P5:P8" si="5">SUM(M5:O5)</f>
        <v>2880</v>
      </c>
      <c r="Q5" s="53" t="s">
        <v>51</v>
      </c>
      <c r="R5" s="26">
        <v>6000</v>
      </c>
      <c r="S5" s="26"/>
      <c r="T5" s="4" t="s">
        <v>6</v>
      </c>
      <c r="U5" s="1">
        <v>170</v>
      </c>
      <c r="V5" s="1">
        <v>45</v>
      </c>
      <c r="W5" s="45">
        <v>34</v>
      </c>
      <c r="X5" s="48"/>
      <c r="Y5" s="46">
        <v>227</v>
      </c>
      <c r="Z5" s="1">
        <f t="shared" si="1"/>
        <v>33</v>
      </c>
      <c r="AA5" s="1">
        <f t="shared" si="2"/>
        <v>0</v>
      </c>
      <c r="AB5" s="54">
        <f t="shared" si="3"/>
        <v>194</v>
      </c>
    </row>
    <row r="6" spans="1:28">
      <c r="A6" s="2" t="s">
        <v>4</v>
      </c>
      <c r="B6" s="2" t="s">
        <v>4</v>
      </c>
      <c r="C6" s="3" t="s">
        <v>5</v>
      </c>
      <c r="D6" s="33" t="s">
        <v>39</v>
      </c>
      <c r="E6" s="35" cm="1">
        <f t="array" ref="E6">(SUM(VLOOKUP(A4:A100,$T$3:$W$41,3,FALSE)))</f>
        <v>210</v>
      </c>
      <c r="F6" s="35" cm="1">
        <f t="array" ref="F6">(SUM(VLOOKUP(B4:B100,$T$3:$W$41,3,FALSE)))</f>
        <v>1945</v>
      </c>
      <c r="G6" s="35" cm="1">
        <f t="array" ref="G6">(SUM(VLOOKUP(C4:C100,$T$3:$W$41,3,FALSE)))</f>
        <v>2610</v>
      </c>
      <c r="H6" s="49">
        <f t="shared" si="4"/>
        <v>4765</v>
      </c>
      <c r="I6" s="2" t="s">
        <v>4</v>
      </c>
      <c r="J6" s="1" t="s">
        <v>27</v>
      </c>
      <c r="K6" s="3" t="s">
        <v>5</v>
      </c>
      <c r="L6" s="33" t="s">
        <v>39</v>
      </c>
      <c r="M6" s="35" cm="1">
        <f t="array" ref="M6">(SUM(VLOOKUP(I4:I100,$T$3:$W$41,3,FALSE)))</f>
        <v>740</v>
      </c>
      <c r="N6" s="35" cm="1">
        <f t="array" ref="N6">(SUM(VLOOKUP(J4:J100,$T$3:$W$41,3,FALSE)))</f>
        <v>40</v>
      </c>
      <c r="O6" s="35" cm="1">
        <f t="array" ref="O6">(SUM(VLOOKUP(K4:K100,$T$3:$W$41,3,FALSE)))</f>
        <v>300</v>
      </c>
      <c r="P6" s="49">
        <f t="shared" si="5"/>
        <v>1080</v>
      </c>
      <c r="Q6" s="50" t="s">
        <v>52</v>
      </c>
      <c r="R6" s="26">
        <f>R3*1600-800+R5</f>
        <v>150800</v>
      </c>
      <c r="S6" s="26"/>
      <c r="T6" s="5" t="s">
        <v>7</v>
      </c>
      <c r="U6" s="1">
        <v>180</v>
      </c>
      <c r="V6" s="1">
        <v>50</v>
      </c>
      <c r="W6" s="45">
        <v>36</v>
      </c>
      <c r="X6" s="46">
        <v>267</v>
      </c>
      <c r="Y6" s="46">
        <v>266</v>
      </c>
      <c r="Z6" s="1">
        <f t="shared" si="1"/>
        <v>0</v>
      </c>
      <c r="AA6" s="1">
        <f t="shared" si="2"/>
        <v>0</v>
      </c>
      <c r="AB6" s="54">
        <f t="shared" si="3"/>
        <v>266</v>
      </c>
    </row>
    <row r="7" spans="1:28">
      <c r="A7" s="2" t="s">
        <v>4</v>
      </c>
      <c r="B7" s="2" t="s">
        <v>4</v>
      </c>
      <c r="C7" s="4" t="s">
        <v>6</v>
      </c>
      <c r="D7" s="33" t="s">
        <v>40</v>
      </c>
      <c r="E7" s="35">
        <f>COUNTIF(A4:A100,"&lt;&gt;空")</f>
        <v>6</v>
      </c>
      <c r="F7" s="35">
        <f>COUNTIF(B4:B100,"&lt;&gt;空")</f>
        <v>44</v>
      </c>
      <c r="G7" s="35">
        <f>COUNTIF(C4:C100,"&lt;&gt;空")</f>
        <v>47</v>
      </c>
      <c r="H7" s="36">
        <f t="shared" si="4"/>
        <v>97</v>
      </c>
      <c r="I7" s="2" t="s">
        <v>4</v>
      </c>
      <c r="J7" s="1" t="s">
        <v>27</v>
      </c>
      <c r="K7" s="15" t="s">
        <v>17</v>
      </c>
      <c r="L7" s="33" t="s">
        <v>40</v>
      </c>
      <c r="M7" s="35">
        <f>COUNTIF(I4:I100,"&lt;&gt;空")</f>
        <v>22</v>
      </c>
      <c r="N7" s="35">
        <f>COUNTIF(J4:J100,"&lt;&gt;空")</f>
        <v>1</v>
      </c>
      <c r="O7" s="35">
        <f>COUNTIF(K4:K100,"&lt;&gt;空")</f>
        <v>8</v>
      </c>
      <c r="P7" s="36">
        <f t="shared" si="5"/>
        <v>31</v>
      </c>
      <c r="Q7" s="53" t="s">
        <v>55</v>
      </c>
      <c r="R7" s="26">
        <v>0</v>
      </c>
      <c r="S7" s="26"/>
      <c r="T7" s="6" t="s">
        <v>8</v>
      </c>
      <c r="U7" s="1">
        <v>190</v>
      </c>
      <c r="V7" s="1">
        <v>55</v>
      </c>
      <c r="W7" s="45">
        <v>38</v>
      </c>
      <c r="X7" s="46">
        <v>236</v>
      </c>
      <c r="Y7" s="46">
        <v>236</v>
      </c>
      <c r="Z7" s="1">
        <f t="shared" si="1"/>
        <v>0</v>
      </c>
      <c r="AA7" s="1">
        <f t="shared" si="2"/>
        <v>0</v>
      </c>
      <c r="AB7" s="54">
        <f t="shared" si="3"/>
        <v>236</v>
      </c>
    </row>
    <row r="8" spans="1:28">
      <c r="A8" s="2" t="s">
        <v>4</v>
      </c>
      <c r="B8" s="2" t="s">
        <v>4</v>
      </c>
      <c r="C8" s="4" t="s">
        <v>6</v>
      </c>
      <c r="D8" s="42" t="s">
        <v>70</v>
      </c>
      <c r="E8" s="41">
        <v>0</v>
      </c>
      <c r="F8" s="41">
        <v>1</v>
      </c>
      <c r="G8" s="41">
        <v>0</v>
      </c>
      <c r="H8" s="36">
        <f t="shared" si="4"/>
        <v>1</v>
      </c>
      <c r="I8" s="15" t="s">
        <v>17</v>
      </c>
      <c r="J8" s="1" t="s">
        <v>27</v>
      </c>
      <c r="K8" s="1" t="s">
        <v>27</v>
      </c>
      <c r="L8" s="42" t="s">
        <v>70</v>
      </c>
      <c r="M8" s="41">
        <v>2</v>
      </c>
      <c r="N8" s="41">
        <v>0</v>
      </c>
      <c r="O8" s="41">
        <v>0</v>
      </c>
      <c r="P8" s="36">
        <f t="shared" si="5"/>
        <v>2</v>
      </c>
      <c r="Q8" s="50" t="s">
        <v>54</v>
      </c>
      <c r="R8" s="55" cm="1">
        <f t="array" ref="R8">R6-P5-H5-SUM(U3:U28*AB3:AB28)*0.8-R7*8</f>
        <v>0</v>
      </c>
      <c r="S8" s="26"/>
      <c r="T8" s="7" t="s">
        <v>9</v>
      </c>
      <c r="U8" s="1">
        <v>200</v>
      </c>
      <c r="V8" s="1">
        <v>60</v>
      </c>
      <c r="W8" s="45"/>
      <c r="X8" s="46">
        <v>194</v>
      </c>
      <c r="Y8" s="46">
        <v>194</v>
      </c>
      <c r="Z8" s="1">
        <f t="shared" si="1"/>
        <v>0</v>
      </c>
      <c r="AA8" s="1">
        <f t="shared" si="2"/>
        <v>0</v>
      </c>
      <c r="AB8" s="54">
        <f t="shared" si="3"/>
        <v>194</v>
      </c>
    </row>
    <row r="9" spans="1:28">
      <c r="A9" s="2" t="s">
        <v>4</v>
      </c>
      <c r="B9" s="2" t="s">
        <v>4</v>
      </c>
      <c r="C9" s="17" t="s">
        <v>19</v>
      </c>
      <c r="D9" s="26"/>
      <c r="E9" s="26"/>
      <c r="F9" s="26"/>
      <c r="G9" s="26"/>
      <c r="H9" s="27"/>
      <c r="I9" s="1" t="s">
        <v>27</v>
      </c>
      <c r="J9" s="1" t="s">
        <v>27</v>
      </c>
      <c r="K9" s="1" t="s">
        <v>27</v>
      </c>
      <c r="L9" s="33" t="s">
        <v>42</v>
      </c>
      <c r="M9" s="37">
        <f>M6/M5</f>
        <v>0.39529914529914528</v>
      </c>
      <c r="N9" s="37">
        <f>N6/N5</f>
        <v>0.26315789473684209</v>
      </c>
      <c r="O9" s="37">
        <f>O6/O5</f>
        <v>0.35046728971962615</v>
      </c>
      <c r="P9" s="38">
        <f>P6/P5</f>
        <v>0.375</v>
      </c>
      <c r="Q9" s="50"/>
      <c r="R9" s="26"/>
      <c r="S9" s="26"/>
      <c r="T9" s="8" t="s">
        <v>10</v>
      </c>
      <c r="U9" s="1">
        <v>150</v>
      </c>
      <c r="V9" s="1">
        <v>35</v>
      </c>
      <c r="W9" s="45">
        <f t="shared" ref="W9:W11" si="6">U9-V9/0.330882</f>
        <v>44.222109392472248</v>
      </c>
      <c r="X9" s="46">
        <v>3</v>
      </c>
      <c r="Y9" s="46">
        <v>0</v>
      </c>
      <c r="Z9" s="1">
        <f t="shared" si="1"/>
        <v>0</v>
      </c>
      <c r="AA9" s="1">
        <f t="shared" si="2"/>
        <v>0</v>
      </c>
      <c r="AB9" s="54">
        <f t="shared" si="3"/>
        <v>0</v>
      </c>
    </row>
    <row r="10" spans="1:28">
      <c r="A10" s="1" t="s">
        <v>27</v>
      </c>
      <c r="B10" s="1" t="s">
        <v>27</v>
      </c>
      <c r="C10" s="4" t="s">
        <v>6</v>
      </c>
      <c r="D10" s="26"/>
      <c r="E10" s="26"/>
      <c r="F10" s="26"/>
      <c r="G10" s="26"/>
      <c r="H10" s="27"/>
      <c r="I10" s="16" t="s">
        <v>28</v>
      </c>
      <c r="J10" s="1" t="s">
        <v>27</v>
      </c>
      <c r="K10" s="1" t="s">
        <v>27</v>
      </c>
      <c r="L10" s="26"/>
      <c r="M10" s="26"/>
      <c r="N10" s="26"/>
      <c r="O10" s="26"/>
      <c r="P10" s="27"/>
      <c r="Q10" s="50"/>
      <c r="R10" s="26"/>
      <c r="S10" s="26"/>
      <c r="T10" s="9" t="s">
        <v>11</v>
      </c>
      <c r="U10" s="1">
        <v>150</v>
      </c>
      <c r="V10" s="1">
        <v>40</v>
      </c>
      <c r="W10" s="45">
        <f t="shared" si="6"/>
        <v>29.110982162825422</v>
      </c>
      <c r="X10" s="46">
        <v>7</v>
      </c>
      <c r="Y10" s="46">
        <v>3</v>
      </c>
      <c r="Z10" s="1">
        <f t="shared" si="1"/>
        <v>1</v>
      </c>
      <c r="AA10" s="1">
        <f t="shared" si="2"/>
        <v>2</v>
      </c>
      <c r="AB10" s="54">
        <f t="shared" si="3"/>
        <v>0</v>
      </c>
    </row>
    <row r="11" spans="1:28">
      <c r="A11" s="1" t="s">
        <v>27</v>
      </c>
      <c r="B11" s="1" t="s">
        <v>27</v>
      </c>
      <c r="C11" s="1" t="s">
        <v>27</v>
      </c>
      <c r="D11" s="26"/>
      <c r="E11" s="26"/>
      <c r="F11" s="26"/>
      <c r="G11" s="26"/>
      <c r="H11" s="27"/>
      <c r="I11" s="3" t="s">
        <v>5</v>
      </c>
      <c r="J11" s="1" t="s">
        <v>27</v>
      </c>
      <c r="K11" s="1" t="s">
        <v>27</v>
      </c>
      <c r="L11" s="26"/>
      <c r="M11" s="26"/>
      <c r="N11" s="26"/>
      <c r="O11" s="26"/>
      <c r="P11" s="27">
        <f>H5+P5</f>
        <v>17360</v>
      </c>
      <c r="Q11" s="50"/>
      <c r="R11" s="26"/>
      <c r="S11" s="26"/>
      <c r="T11" s="10" t="s">
        <v>12</v>
      </c>
      <c r="U11" s="1">
        <v>150</v>
      </c>
      <c r="V11" s="1">
        <v>45</v>
      </c>
      <c r="W11" s="45">
        <f t="shared" si="6"/>
        <v>13.999854933178597</v>
      </c>
      <c r="X11" s="46">
        <v>6</v>
      </c>
      <c r="Y11" s="46">
        <v>6</v>
      </c>
      <c r="Z11" s="1">
        <f t="shared" si="1"/>
        <v>0</v>
      </c>
      <c r="AA11" s="1">
        <f t="shared" si="2"/>
        <v>0</v>
      </c>
      <c r="AB11" s="54">
        <f t="shared" si="3"/>
        <v>6</v>
      </c>
    </row>
    <row r="12" spans="1:28">
      <c r="A12" s="1" t="s">
        <v>27</v>
      </c>
      <c r="B12" s="4" t="s">
        <v>6</v>
      </c>
      <c r="C12" s="4" t="s">
        <v>6</v>
      </c>
      <c r="D12" s="26"/>
      <c r="E12" s="26"/>
      <c r="F12" s="26"/>
      <c r="G12" s="26"/>
      <c r="H12" s="27"/>
      <c r="I12" s="3" t="s">
        <v>5</v>
      </c>
      <c r="J12" s="1" t="s">
        <v>27</v>
      </c>
      <c r="K12" s="3" t="s">
        <v>5</v>
      </c>
      <c r="L12" s="26"/>
      <c r="M12" s="26"/>
      <c r="N12" s="26"/>
      <c r="O12" s="26"/>
      <c r="P12" s="27">
        <f>H6+P6</f>
        <v>5845</v>
      </c>
      <c r="Q12" s="50"/>
      <c r="R12" s="26"/>
      <c r="S12" s="26"/>
      <c r="T12" s="11" t="s">
        <v>13</v>
      </c>
      <c r="U12" s="1">
        <v>150</v>
      </c>
      <c r="V12" s="1">
        <v>50</v>
      </c>
      <c r="W12" s="45"/>
      <c r="X12" s="46">
        <v>4</v>
      </c>
      <c r="Y12" s="46">
        <v>4</v>
      </c>
      <c r="Z12" s="1">
        <f t="shared" si="1"/>
        <v>0</v>
      </c>
      <c r="AA12" s="1">
        <f t="shared" si="2"/>
        <v>0</v>
      </c>
      <c r="AB12" s="54">
        <f t="shared" si="3"/>
        <v>4</v>
      </c>
    </row>
    <row r="13" spans="1:28">
      <c r="A13" s="1" t="s">
        <v>27</v>
      </c>
      <c r="B13" s="4" t="s">
        <v>6</v>
      </c>
      <c r="C13" s="15" t="s">
        <v>17</v>
      </c>
      <c r="D13" s="26"/>
      <c r="E13" s="26"/>
      <c r="F13" s="26"/>
      <c r="G13" s="26"/>
      <c r="H13" s="27"/>
      <c r="I13" s="9" t="s">
        <v>11</v>
      </c>
      <c r="J13" s="1" t="s">
        <v>27</v>
      </c>
      <c r="K13" s="3" t="s">
        <v>5</v>
      </c>
      <c r="L13" s="26"/>
      <c r="M13" s="26"/>
      <c r="N13" s="26"/>
      <c r="O13" s="26"/>
      <c r="P13" s="27"/>
      <c r="Q13" s="50"/>
      <c r="R13" s="26"/>
      <c r="S13" s="26"/>
      <c r="T13" s="12" t="s">
        <v>14</v>
      </c>
      <c r="U13" s="1">
        <v>150</v>
      </c>
      <c r="V13" s="1">
        <v>55</v>
      </c>
      <c r="W13" s="45"/>
      <c r="X13" s="46">
        <v>3</v>
      </c>
      <c r="Y13" s="46">
        <v>3</v>
      </c>
      <c r="Z13" s="1">
        <f t="shared" si="1"/>
        <v>0</v>
      </c>
      <c r="AA13" s="1">
        <f t="shared" si="2"/>
        <v>0</v>
      </c>
      <c r="AB13" s="54">
        <f t="shared" si="3"/>
        <v>3</v>
      </c>
    </row>
    <row r="14" spans="1:28">
      <c r="A14" s="1" t="s">
        <v>27</v>
      </c>
      <c r="B14" s="4" t="s">
        <v>6</v>
      </c>
      <c r="C14" s="3" t="s">
        <v>5</v>
      </c>
      <c r="D14" s="26"/>
      <c r="E14" s="26"/>
      <c r="F14" s="26"/>
      <c r="G14" s="26"/>
      <c r="H14" s="27"/>
      <c r="I14" s="2" t="s">
        <v>4</v>
      </c>
      <c r="J14" s="1" t="s">
        <v>27</v>
      </c>
      <c r="K14" s="3" t="s">
        <v>5</v>
      </c>
      <c r="L14" s="26"/>
      <c r="M14" s="26"/>
      <c r="N14" s="26"/>
      <c r="O14" s="26"/>
      <c r="P14" s="27"/>
      <c r="Q14" s="50"/>
      <c r="R14" s="26"/>
      <c r="S14" s="26"/>
      <c r="T14" s="13" t="s">
        <v>15</v>
      </c>
      <c r="U14" s="1">
        <v>150</v>
      </c>
      <c r="V14" s="1">
        <v>60</v>
      </c>
      <c r="W14" s="45"/>
      <c r="X14" s="46">
        <v>1</v>
      </c>
      <c r="Y14" s="46">
        <v>1</v>
      </c>
      <c r="Z14" s="1">
        <f t="shared" si="1"/>
        <v>0</v>
      </c>
      <c r="AA14" s="1">
        <f t="shared" si="2"/>
        <v>0</v>
      </c>
      <c r="AB14" s="54">
        <f t="shared" si="3"/>
        <v>1</v>
      </c>
    </row>
    <row r="15" spans="1:28">
      <c r="A15" s="1" t="s">
        <v>27</v>
      </c>
      <c r="B15" s="4" t="s">
        <v>6</v>
      </c>
      <c r="C15" s="16" t="s">
        <v>18</v>
      </c>
      <c r="D15" s="26"/>
      <c r="E15" s="26"/>
      <c r="F15" s="26"/>
      <c r="G15" s="26"/>
      <c r="H15" s="27"/>
      <c r="I15" s="15" t="s">
        <v>17</v>
      </c>
      <c r="J15" s="1" t="s">
        <v>27</v>
      </c>
      <c r="K15" s="15" t="s">
        <v>17</v>
      </c>
      <c r="L15" s="26"/>
      <c r="M15" s="26"/>
      <c r="N15" s="26"/>
      <c r="O15" s="26"/>
      <c r="P15" s="27"/>
      <c r="Q15" s="50"/>
      <c r="R15" s="26"/>
      <c r="S15" s="26"/>
      <c r="T15" s="14" t="s">
        <v>16</v>
      </c>
      <c r="U15" s="1">
        <v>150</v>
      </c>
      <c r="V15" s="1">
        <v>35</v>
      </c>
      <c r="W15" s="45">
        <f t="shared" ref="W15" si="7">U15-V15/0.330882</f>
        <v>44.222109392472248</v>
      </c>
      <c r="X15" s="46"/>
      <c r="Y15" s="46">
        <v>0</v>
      </c>
      <c r="Z15" s="1">
        <f t="shared" si="1"/>
        <v>0</v>
      </c>
      <c r="AA15" s="1">
        <f t="shared" si="2"/>
        <v>0</v>
      </c>
      <c r="AB15" s="54">
        <f t="shared" si="3"/>
        <v>0</v>
      </c>
    </row>
    <row r="16" spans="1:28">
      <c r="A16" s="1" t="s">
        <v>27</v>
      </c>
      <c r="B16" s="15" t="s">
        <v>17</v>
      </c>
      <c r="C16" s="2" t="s">
        <v>4</v>
      </c>
      <c r="D16" s="26"/>
      <c r="E16" s="26"/>
      <c r="F16" s="26"/>
      <c r="G16" s="26"/>
      <c r="H16" s="27"/>
      <c r="I16" s="3" t="s">
        <v>5</v>
      </c>
      <c r="J16" s="1" t="s">
        <v>27</v>
      </c>
      <c r="K16" s="1" t="s">
        <v>27</v>
      </c>
      <c r="L16" s="26"/>
      <c r="M16" s="26"/>
      <c r="N16" s="26"/>
      <c r="O16" s="26"/>
      <c r="P16" s="27"/>
      <c r="Q16" s="50"/>
      <c r="R16" s="26"/>
      <c r="S16" s="26"/>
      <c r="T16" s="15" t="s">
        <v>17</v>
      </c>
      <c r="U16" s="1">
        <v>50</v>
      </c>
      <c r="V16" s="1">
        <v>30</v>
      </c>
      <c r="W16" s="45">
        <v>10</v>
      </c>
      <c r="X16" s="46">
        <v>40</v>
      </c>
      <c r="Y16" s="46">
        <v>40</v>
      </c>
      <c r="Z16" s="1">
        <f t="shared" si="1"/>
        <v>6</v>
      </c>
      <c r="AA16" s="1">
        <f t="shared" si="2"/>
        <v>8</v>
      </c>
      <c r="AB16" s="54">
        <f t="shared" si="3"/>
        <v>26</v>
      </c>
    </row>
    <row r="17" spans="1:28">
      <c r="A17" s="1" t="s">
        <v>27</v>
      </c>
      <c r="B17" s="4" t="s">
        <v>6</v>
      </c>
      <c r="C17" s="2" t="s">
        <v>4</v>
      </c>
      <c r="D17" s="26"/>
      <c r="E17" s="26"/>
      <c r="F17" s="26"/>
      <c r="G17" s="26"/>
      <c r="H17" s="27"/>
      <c r="I17" s="15" t="s">
        <v>17</v>
      </c>
      <c r="J17" s="1" t="s">
        <v>27</v>
      </c>
      <c r="K17" s="1" t="s">
        <v>27</v>
      </c>
      <c r="L17" s="26"/>
      <c r="M17" s="26"/>
      <c r="N17" s="26"/>
      <c r="O17" s="26"/>
      <c r="P17" s="27"/>
      <c r="Q17" s="50"/>
      <c r="R17" s="26"/>
      <c r="S17" s="26"/>
      <c r="T17" s="16" t="s">
        <v>18</v>
      </c>
      <c r="U17" s="1">
        <v>-150</v>
      </c>
      <c r="V17" s="1">
        <v>0</v>
      </c>
      <c r="W17" s="45">
        <v>10</v>
      </c>
      <c r="X17" s="46">
        <v>3</v>
      </c>
      <c r="Y17" s="46">
        <v>3</v>
      </c>
      <c r="Z17" s="1">
        <f t="shared" si="1"/>
        <v>3</v>
      </c>
      <c r="AA17" s="1">
        <f t="shared" si="2"/>
        <v>0</v>
      </c>
      <c r="AB17" s="54">
        <f t="shared" si="3"/>
        <v>0</v>
      </c>
    </row>
    <row r="18" spans="1:28">
      <c r="A18" s="1" t="s">
        <v>27</v>
      </c>
      <c r="B18" s="17" t="s">
        <v>20</v>
      </c>
      <c r="C18" s="2" t="s">
        <v>4</v>
      </c>
      <c r="D18" s="26"/>
      <c r="E18" s="26"/>
      <c r="F18" s="26"/>
      <c r="G18" s="26"/>
      <c r="H18" s="27"/>
      <c r="I18" s="3" t="s">
        <v>5</v>
      </c>
      <c r="J18" s="1" t="s">
        <v>27</v>
      </c>
      <c r="K18" s="1" t="s">
        <v>27</v>
      </c>
      <c r="L18" s="26"/>
      <c r="M18" s="26"/>
      <c r="N18" s="26"/>
      <c r="O18" s="26"/>
      <c r="P18" s="27"/>
      <c r="Q18" s="50"/>
      <c r="R18" s="26"/>
      <c r="S18" s="26"/>
      <c r="T18" s="17" t="s">
        <v>19</v>
      </c>
      <c r="U18" s="1">
        <v>250</v>
      </c>
      <c r="V18" s="1">
        <v>200</v>
      </c>
      <c r="W18" s="45"/>
      <c r="X18" s="46">
        <v>3</v>
      </c>
      <c r="Y18" s="46">
        <v>3</v>
      </c>
      <c r="Z18" s="1">
        <f t="shared" si="1"/>
        <v>3</v>
      </c>
      <c r="AA18" s="1">
        <f t="shared" si="2"/>
        <v>0</v>
      </c>
      <c r="AB18" s="54">
        <f t="shared" si="3"/>
        <v>0</v>
      </c>
    </row>
    <row r="19" spans="1:28">
      <c r="A19" s="1" t="s">
        <v>27</v>
      </c>
      <c r="B19" s="4" t="s">
        <v>6</v>
      </c>
      <c r="C19" s="2" t="s">
        <v>4</v>
      </c>
      <c r="D19" s="26"/>
      <c r="E19" s="26"/>
      <c r="F19" s="26"/>
      <c r="G19" s="26"/>
      <c r="H19" s="27"/>
      <c r="I19" s="3" t="s">
        <v>5</v>
      </c>
      <c r="J19" s="1" t="s">
        <v>27</v>
      </c>
      <c r="K19" s="1" t="s">
        <v>27</v>
      </c>
      <c r="L19" s="26"/>
      <c r="M19" s="26"/>
      <c r="N19" s="26"/>
      <c r="O19" s="26"/>
      <c r="P19" s="27"/>
      <c r="Q19" s="50"/>
      <c r="R19" s="26"/>
      <c r="S19" s="26"/>
      <c r="T19" s="17" t="s">
        <v>20</v>
      </c>
      <c r="U19" s="1">
        <v>170</v>
      </c>
      <c r="V19" s="1">
        <v>45</v>
      </c>
      <c r="W19" s="45"/>
      <c r="X19" s="46">
        <v>5</v>
      </c>
      <c r="Y19" s="46">
        <v>5</v>
      </c>
      <c r="Z19" s="1">
        <f t="shared" si="1"/>
        <v>5</v>
      </c>
      <c r="AA19" s="1">
        <f t="shared" si="2"/>
        <v>0</v>
      </c>
      <c r="AB19" s="54">
        <f t="shared" si="3"/>
        <v>0</v>
      </c>
    </row>
    <row r="20" spans="1:28">
      <c r="A20" s="1" t="s">
        <v>27</v>
      </c>
      <c r="B20" s="3" t="s">
        <v>5</v>
      </c>
      <c r="C20" s="15" t="s">
        <v>17</v>
      </c>
      <c r="D20" s="26"/>
      <c r="E20" s="26"/>
      <c r="F20" s="26"/>
      <c r="G20" s="26"/>
      <c r="H20" s="27"/>
      <c r="I20" s="3" t="s">
        <v>5</v>
      </c>
      <c r="J20" s="1" t="s">
        <v>27</v>
      </c>
      <c r="K20" s="1" t="s">
        <v>27</v>
      </c>
      <c r="L20" s="26"/>
      <c r="M20" s="26"/>
      <c r="N20" s="26"/>
      <c r="O20" s="26"/>
      <c r="P20" s="27"/>
      <c r="Q20" s="50"/>
      <c r="R20" s="26"/>
      <c r="S20" s="26"/>
      <c r="T20" s="18" t="s">
        <v>21</v>
      </c>
      <c r="U20" s="1">
        <v>250</v>
      </c>
      <c r="V20" s="1">
        <v>200</v>
      </c>
      <c r="W20" s="45"/>
      <c r="X20" s="46">
        <v>0</v>
      </c>
      <c r="Y20" s="46">
        <v>0</v>
      </c>
      <c r="Z20" s="1">
        <f t="shared" si="1"/>
        <v>0</v>
      </c>
      <c r="AA20" s="1">
        <f t="shared" si="2"/>
        <v>0</v>
      </c>
      <c r="AB20" s="54">
        <f t="shared" si="3"/>
        <v>0</v>
      </c>
    </row>
    <row r="21" spans="1:28">
      <c r="A21" s="1" t="s">
        <v>27</v>
      </c>
      <c r="B21" s="3" t="s">
        <v>5</v>
      </c>
      <c r="C21" s="3" t="s">
        <v>5</v>
      </c>
      <c r="D21" s="26"/>
      <c r="E21" s="26"/>
      <c r="F21" s="26"/>
      <c r="G21" s="26"/>
      <c r="H21" s="27"/>
      <c r="I21" s="2" t="s">
        <v>4</v>
      </c>
      <c r="J21" s="1" t="s">
        <v>27</v>
      </c>
      <c r="K21" s="1" t="s">
        <v>27</v>
      </c>
      <c r="L21" s="26"/>
      <c r="M21" s="26"/>
      <c r="N21" s="26"/>
      <c r="O21" s="26"/>
      <c r="P21" s="27"/>
      <c r="Q21" s="50"/>
      <c r="R21" s="26"/>
      <c r="S21" s="26"/>
      <c r="T21" s="19" t="s">
        <v>22</v>
      </c>
      <c r="U21" s="1">
        <v>250</v>
      </c>
      <c r="V21" s="1">
        <v>1000</v>
      </c>
      <c r="W21" s="45"/>
      <c r="X21" s="46">
        <v>2</v>
      </c>
      <c r="Y21" s="46">
        <v>2</v>
      </c>
      <c r="Z21" s="1">
        <f t="shared" si="1"/>
        <v>0</v>
      </c>
      <c r="AA21" s="1">
        <f t="shared" si="2"/>
        <v>0</v>
      </c>
      <c r="AB21" s="54">
        <f t="shared" si="3"/>
        <v>2</v>
      </c>
    </row>
    <row r="22" spans="1:28">
      <c r="A22" s="1" t="s">
        <v>27</v>
      </c>
      <c r="B22" s="3" t="s">
        <v>5</v>
      </c>
      <c r="C22" s="3" t="s">
        <v>5</v>
      </c>
      <c r="D22" s="26"/>
      <c r="E22" s="26"/>
      <c r="F22" s="26"/>
      <c r="G22" s="26"/>
      <c r="H22" s="27"/>
      <c r="I22" s="15" t="s">
        <v>17</v>
      </c>
      <c r="J22" s="1" t="s">
        <v>27</v>
      </c>
      <c r="K22" s="1" t="s">
        <v>27</v>
      </c>
      <c r="L22" s="26"/>
      <c r="M22" s="26"/>
      <c r="N22" s="26"/>
      <c r="O22" s="26"/>
      <c r="P22" s="27"/>
      <c r="Q22" s="50"/>
      <c r="R22" s="26"/>
      <c r="S22" s="26"/>
      <c r="T22" s="20" t="s">
        <v>23</v>
      </c>
      <c r="U22" s="1">
        <v>250</v>
      </c>
      <c r="V22" s="1">
        <v>500</v>
      </c>
      <c r="W22" s="45"/>
      <c r="X22" s="46">
        <v>2</v>
      </c>
      <c r="Y22" s="46">
        <v>2</v>
      </c>
      <c r="Z22" s="1">
        <f t="shared" si="1"/>
        <v>0</v>
      </c>
      <c r="AA22" s="1">
        <f t="shared" si="2"/>
        <v>0</v>
      </c>
      <c r="AB22" s="54">
        <f t="shared" si="3"/>
        <v>2</v>
      </c>
    </row>
    <row r="23" spans="1:28">
      <c r="A23" s="1" t="s">
        <v>27</v>
      </c>
      <c r="B23" s="3" t="s">
        <v>5</v>
      </c>
      <c r="C23" s="3" t="s">
        <v>5</v>
      </c>
      <c r="D23" s="26"/>
      <c r="E23" s="26"/>
      <c r="F23" s="26"/>
      <c r="G23" s="26"/>
      <c r="H23" s="27"/>
      <c r="I23" s="2" t="s">
        <v>4</v>
      </c>
      <c r="J23" s="1" t="s">
        <v>27</v>
      </c>
      <c r="K23" s="1" t="s">
        <v>27</v>
      </c>
      <c r="L23" s="26"/>
      <c r="M23" s="26"/>
      <c r="N23" s="26"/>
      <c r="O23" s="26"/>
      <c r="P23" s="27"/>
      <c r="Q23" s="50"/>
      <c r="R23" s="26"/>
      <c r="S23" s="26"/>
      <c r="T23" s="21" t="s">
        <v>24</v>
      </c>
      <c r="U23" s="1">
        <v>160</v>
      </c>
      <c r="V23" s="1">
        <v>40</v>
      </c>
      <c r="W23" s="45">
        <f t="shared" ref="W23:W26" si="8">U23-V23/0.330882</f>
        <v>39.110982162825422</v>
      </c>
      <c r="X23" s="46">
        <v>0</v>
      </c>
      <c r="Y23" s="46">
        <v>0</v>
      </c>
      <c r="Z23" s="1">
        <f t="shared" si="1"/>
        <v>0</v>
      </c>
      <c r="AA23" s="1">
        <f t="shared" si="2"/>
        <v>0</v>
      </c>
      <c r="AB23" s="54">
        <f t="shared" si="3"/>
        <v>0</v>
      </c>
    </row>
    <row r="24" spans="1:28">
      <c r="A24" s="1" t="s">
        <v>27</v>
      </c>
      <c r="B24" s="3" t="s">
        <v>5</v>
      </c>
      <c r="C24" s="16" t="s">
        <v>18</v>
      </c>
      <c r="D24" s="26"/>
      <c r="E24" s="26"/>
      <c r="F24" s="26"/>
      <c r="G24" s="26"/>
      <c r="H24" s="27"/>
      <c r="I24" s="2" t="s">
        <v>4</v>
      </c>
      <c r="J24" s="1" t="s">
        <v>27</v>
      </c>
      <c r="K24" s="1" t="s">
        <v>27</v>
      </c>
      <c r="L24" s="26"/>
      <c r="M24" s="26"/>
      <c r="N24" s="26"/>
      <c r="O24" s="26"/>
      <c r="P24" s="27"/>
      <c r="Q24" s="50"/>
      <c r="R24" s="26"/>
      <c r="S24" s="26"/>
      <c r="T24" s="21" t="s">
        <v>25</v>
      </c>
      <c r="U24" s="1">
        <v>160</v>
      </c>
      <c r="V24" s="1">
        <v>40</v>
      </c>
      <c r="W24" s="45">
        <f t="shared" si="8"/>
        <v>39.110982162825422</v>
      </c>
      <c r="X24" s="46">
        <v>0</v>
      </c>
      <c r="Y24" s="46">
        <v>0</v>
      </c>
      <c r="Z24" s="1">
        <f t="shared" si="1"/>
        <v>0</v>
      </c>
      <c r="AA24" s="1">
        <f t="shared" si="2"/>
        <v>0</v>
      </c>
      <c r="AB24" s="54">
        <f t="shared" si="3"/>
        <v>0</v>
      </c>
    </row>
    <row r="25" spans="1:28">
      <c r="A25" s="1" t="s">
        <v>27</v>
      </c>
      <c r="B25" s="3" t="s">
        <v>5</v>
      </c>
      <c r="C25" s="3" t="s">
        <v>5</v>
      </c>
      <c r="D25" s="26"/>
      <c r="E25" s="26"/>
      <c r="F25" s="26"/>
      <c r="G25" s="26"/>
      <c r="H25" s="27"/>
      <c r="I25" s="2" t="s">
        <v>4</v>
      </c>
      <c r="J25" s="1" t="s">
        <v>27</v>
      </c>
      <c r="K25" s="1" t="s">
        <v>27</v>
      </c>
      <c r="L25" s="26"/>
      <c r="M25" s="26"/>
      <c r="N25" s="26"/>
      <c r="O25" s="26"/>
      <c r="P25" s="27"/>
      <c r="Q25" s="50"/>
      <c r="R25" s="26"/>
      <c r="S25" s="26"/>
      <c r="T25" s="21" t="s">
        <v>26</v>
      </c>
      <c r="U25" s="1">
        <v>150</v>
      </c>
      <c r="V25" s="1">
        <v>35</v>
      </c>
      <c r="W25" s="45">
        <f t="shared" si="8"/>
        <v>44.222109392472248</v>
      </c>
      <c r="X25" s="46">
        <v>0</v>
      </c>
      <c r="Y25" s="46">
        <v>0</v>
      </c>
      <c r="Z25" s="1">
        <f t="shared" si="1"/>
        <v>0</v>
      </c>
      <c r="AA25" s="1">
        <f t="shared" si="2"/>
        <v>0</v>
      </c>
      <c r="AB25" s="54">
        <f t="shared" si="3"/>
        <v>0</v>
      </c>
    </row>
    <row r="26" spans="1:28">
      <c r="A26" s="1" t="s">
        <v>27</v>
      </c>
      <c r="B26" s="15" t="s">
        <v>17</v>
      </c>
      <c r="C26" s="3" t="s">
        <v>5</v>
      </c>
      <c r="D26" s="26"/>
      <c r="E26" s="26"/>
      <c r="F26" s="26"/>
      <c r="G26" s="26"/>
      <c r="H26" s="27"/>
      <c r="I26" s="15" t="s">
        <v>17</v>
      </c>
      <c r="J26" s="1" t="s">
        <v>27</v>
      </c>
      <c r="K26" s="1" t="s">
        <v>27</v>
      </c>
      <c r="L26" s="26"/>
      <c r="M26" s="26"/>
      <c r="N26" s="26"/>
      <c r="O26" s="26"/>
      <c r="P26" s="27"/>
      <c r="Q26" s="50"/>
      <c r="R26" s="26"/>
      <c r="S26" s="26"/>
      <c r="T26" s="22" t="s">
        <v>27</v>
      </c>
      <c r="U26" s="1">
        <v>0</v>
      </c>
      <c r="V26" s="1">
        <v>0</v>
      </c>
      <c r="W26" s="45">
        <f t="shared" si="8"/>
        <v>0</v>
      </c>
      <c r="X26" s="46">
        <v>0</v>
      </c>
      <c r="Y26" s="46">
        <v>0</v>
      </c>
      <c r="Z26" s="1"/>
      <c r="AA26" s="1"/>
      <c r="AB26" s="54"/>
    </row>
    <row r="27" spans="1:28">
      <c r="A27" s="1" t="s">
        <v>27</v>
      </c>
      <c r="B27" s="3" t="s">
        <v>5</v>
      </c>
      <c r="C27" s="4" t="s">
        <v>6</v>
      </c>
      <c r="D27" s="26"/>
      <c r="E27" s="26"/>
      <c r="F27" s="26"/>
      <c r="G27" s="26"/>
      <c r="H27" s="27"/>
      <c r="I27" s="1" t="s">
        <v>27</v>
      </c>
      <c r="J27" s="1" t="s">
        <v>27</v>
      </c>
      <c r="K27" s="1" t="s">
        <v>27</v>
      </c>
      <c r="L27" s="26"/>
      <c r="M27" s="26"/>
      <c r="N27" s="26"/>
      <c r="O27" s="26"/>
      <c r="P27" s="27"/>
      <c r="Q27" s="50"/>
      <c r="R27" s="26"/>
      <c r="S27" s="26"/>
      <c r="T27" s="16" t="s">
        <v>28</v>
      </c>
      <c r="U27" s="1">
        <v>-200</v>
      </c>
      <c r="V27" s="1">
        <v>0</v>
      </c>
      <c r="W27" s="45"/>
      <c r="X27" s="46">
        <v>12</v>
      </c>
      <c r="Y27" s="46">
        <v>12</v>
      </c>
      <c r="Z27" s="1">
        <f t="shared" si="1"/>
        <v>0</v>
      </c>
      <c r="AA27" s="1">
        <f t="shared" si="2"/>
        <v>1</v>
      </c>
      <c r="AB27" s="54">
        <f t="shared" si="3"/>
        <v>11</v>
      </c>
    </row>
    <row r="28" spans="1:28">
      <c r="A28" s="1" t="s">
        <v>27</v>
      </c>
      <c r="B28" s="3" t="s">
        <v>5</v>
      </c>
      <c r="C28" s="4" t="s">
        <v>6</v>
      </c>
      <c r="D28" s="26"/>
      <c r="E28" s="26"/>
      <c r="F28" s="26"/>
      <c r="G28" s="26"/>
      <c r="H28" s="27"/>
      <c r="I28" s="1" t="s">
        <v>27</v>
      </c>
      <c r="J28" s="1" t="s">
        <v>27</v>
      </c>
      <c r="K28" s="1" t="s">
        <v>27</v>
      </c>
      <c r="L28" s="26"/>
      <c r="M28" s="26"/>
      <c r="N28" s="26"/>
      <c r="O28" s="26"/>
      <c r="P28" s="27"/>
      <c r="Q28" s="50"/>
      <c r="R28" s="26"/>
      <c r="S28" s="26"/>
      <c r="T28" s="23" t="s">
        <v>29</v>
      </c>
      <c r="U28" s="1">
        <v>50</v>
      </c>
      <c r="V28" s="1">
        <v>520</v>
      </c>
      <c r="W28" s="45"/>
      <c r="X28" s="46">
        <v>3</v>
      </c>
      <c r="Y28" s="46">
        <v>3</v>
      </c>
      <c r="Z28" s="1">
        <f t="shared" si="1"/>
        <v>1</v>
      </c>
      <c r="AA28" s="1">
        <f t="shared" si="2"/>
        <v>0</v>
      </c>
      <c r="AB28" s="54">
        <f t="shared" si="3"/>
        <v>2</v>
      </c>
    </row>
    <row r="29" spans="1:28" ht="15.75" thickBot="1">
      <c r="A29" s="1" t="s">
        <v>27</v>
      </c>
      <c r="B29" s="3" t="s">
        <v>5</v>
      </c>
      <c r="C29" s="4" t="s">
        <v>6</v>
      </c>
      <c r="D29" s="26"/>
      <c r="E29" s="26"/>
      <c r="F29" s="26"/>
      <c r="G29" s="26"/>
      <c r="H29" s="27"/>
      <c r="I29" s="1" t="s">
        <v>27</v>
      </c>
      <c r="J29" s="1" t="s">
        <v>27</v>
      </c>
      <c r="K29" s="1" t="s">
        <v>27</v>
      </c>
      <c r="L29" s="26"/>
      <c r="M29" s="26"/>
      <c r="N29" s="26"/>
      <c r="O29" s="26"/>
      <c r="P29" s="27"/>
      <c r="Q29" s="56"/>
      <c r="R29" s="31"/>
      <c r="S29" s="31"/>
      <c r="T29" s="30"/>
      <c r="U29" s="30"/>
      <c r="V29" s="30"/>
      <c r="W29" s="30"/>
      <c r="X29" s="30"/>
      <c r="Y29" s="30"/>
      <c r="Z29" s="30"/>
      <c r="AA29" s="30"/>
      <c r="AB29" s="57"/>
    </row>
    <row r="30" spans="1:28">
      <c r="A30" s="1" t="s">
        <v>27</v>
      </c>
      <c r="B30" s="3" t="s">
        <v>5</v>
      </c>
      <c r="C30" s="4" t="s">
        <v>6</v>
      </c>
      <c r="D30" s="26"/>
      <c r="E30" s="26"/>
      <c r="F30" s="26"/>
      <c r="G30" s="26"/>
      <c r="H30" s="27"/>
      <c r="I30" s="1" t="s">
        <v>27</v>
      </c>
      <c r="J30" s="1" t="s">
        <v>27</v>
      </c>
      <c r="K30" s="1" t="s">
        <v>27</v>
      </c>
      <c r="L30" s="26"/>
      <c r="M30" s="26"/>
      <c r="N30" s="26"/>
      <c r="O30" s="26"/>
      <c r="P30" s="27"/>
    </row>
    <row r="31" spans="1:28">
      <c r="A31" s="1" t="s">
        <v>27</v>
      </c>
      <c r="B31" s="15" t="s">
        <v>17</v>
      </c>
      <c r="C31" s="4" t="s">
        <v>6</v>
      </c>
      <c r="D31" s="26"/>
      <c r="E31" s="26"/>
      <c r="F31" s="26"/>
      <c r="G31" s="26"/>
      <c r="H31" s="27"/>
      <c r="I31" s="1" t="s">
        <v>27</v>
      </c>
      <c r="J31" s="1" t="s">
        <v>27</v>
      </c>
      <c r="K31" s="1" t="s">
        <v>27</v>
      </c>
      <c r="L31" s="26"/>
      <c r="M31" s="26"/>
      <c r="N31" s="26"/>
      <c r="O31" s="26"/>
      <c r="P31" s="27"/>
      <c r="Y31">
        <f>SUM(Y3:Y28)</f>
        <v>1075</v>
      </c>
    </row>
    <row r="32" spans="1:28">
      <c r="A32" s="1" t="s">
        <v>27</v>
      </c>
      <c r="B32" s="3" t="s">
        <v>5</v>
      </c>
      <c r="C32" s="17" t="s">
        <v>20</v>
      </c>
      <c r="D32" s="26"/>
      <c r="E32" s="26"/>
      <c r="F32" s="26"/>
      <c r="G32" s="26"/>
      <c r="H32" s="27"/>
      <c r="I32" s="1" t="s">
        <v>27</v>
      </c>
      <c r="J32" s="1" t="s">
        <v>27</v>
      </c>
      <c r="K32" s="1" t="s">
        <v>27</v>
      </c>
      <c r="L32" s="26"/>
      <c r="M32" s="26"/>
      <c r="N32" s="26"/>
      <c r="O32" s="26"/>
      <c r="P32" s="27"/>
      <c r="Q32" t="s">
        <v>57</v>
      </c>
      <c r="R32">
        <v>1</v>
      </c>
      <c r="S32" t="s">
        <v>59</v>
      </c>
    </row>
    <row r="33" spans="1:19">
      <c r="A33" s="1" t="s">
        <v>27</v>
      </c>
      <c r="B33" s="4" t="s">
        <v>6</v>
      </c>
      <c r="C33" s="3" t="s">
        <v>5</v>
      </c>
      <c r="D33" s="26"/>
      <c r="E33" s="26"/>
      <c r="F33" s="26"/>
      <c r="G33" s="26"/>
      <c r="H33" s="27"/>
      <c r="I33" s="1" t="s">
        <v>27</v>
      </c>
      <c r="J33" s="1" t="s">
        <v>27</v>
      </c>
      <c r="K33" s="1" t="s">
        <v>27</v>
      </c>
      <c r="L33" s="26"/>
      <c r="M33" s="26"/>
      <c r="N33" s="26"/>
      <c r="O33" s="26"/>
      <c r="P33" s="27"/>
      <c r="R33">
        <v>2</v>
      </c>
      <c r="S33" t="s">
        <v>60</v>
      </c>
    </row>
    <row r="34" spans="1:19">
      <c r="A34" s="1" t="s">
        <v>27</v>
      </c>
      <c r="B34" s="2" t="s">
        <v>4</v>
      </c>
      <c r="C34" s="3" t="s">
        <v>5</v>
      </c>
      <c r="D34" s="26"/>
      <c r="E34" s="26"/>
      <c r="F34" s="26"/>
      <c r="G34" s="26"/>
      <c r="H34" s="27"/>
      <c r="I34" s="28" t="s">
        <v>27</v>
      </c>
      <c r="J34" s="1" t="s">
        <v>27</v>
      </c>
      <c r="K34" s="1" t="s">
        <v>27</v>
      </c>
      <c r="L34" s="26"/>
      <c r="M34" s="26"/>
      <c r="N34" s="26"/>
      <c r="O34" s="26"/>
      <c r="P34" s="27"/>
      <c r="R34">
        <v>3</v>
      </c>
      <c r="S34" t="s">
        <v>58</v>
      </c>
    </row>
    <row r="35" spans="1:19">
      <c r="A35" s="1" t="s">
        <v>27</v>
      </c>
      <c r="B35" s="4" t="s">
        <v>6</v>
      </c>
      <c r="C35" s="3" t="s">
        <v>5</v>
      </c>
      <c r="D35" s="26"/>
      <c r="E35" s="26"/>
      <c r="F35" s="26"/>
      <c r="G35" s="26"/>
      <c r="H35" s="27"/>
      <c r="I35" s="28" t="s">
        <v>27</v>
      </c>
      <c r="J35" s="1" t="s">
        <v>27</v>
      </c>
      <c r="K35" s="1" t="s">
        <v>27</v>
      </c>
      <c r="L35" s="26"/>
      <c r="M35" s="26"/>
      <c r="N35" s="26"/>
      <c r="O35" s="26"/>
      <c r="P35" s="27"/>
      <c r="R35">
        <v>4</v>
      </c>
      <c r="S35" t="s">
        <v>61</v>
      </c>
    </row>
    <row r="36" spans="1:19">
      <c r="A36" s="1" t="s">
        <v>27</v>
      </c>
      <c r="B36" s="17" t="s">
        <v>20</v>
      </c>
      <c r="C36" s="15" t="s">
        <v>17</v>
      </c>
      <c r="D36" s="26"/>
      <c r="E36" s="26"/>
      <c r="F36" s="26"/>
      <c r="G36" s="26"/>
      <c r="H36" s="27"/>
      <c r="I36" s="28" t="s">
        <v>27</v>
      </c>
      <c r="J36" s="1" t="s">
        <v>27</v>
      </c>
      <c r="K36" s="1" t="s">
        <v>27</v>
      </c>
      <c r="L36" s="26"/>
      <c r="M36" s="26"/>
      <c r="N36" s="26"/>
      <c r="O36" s="26"/>
      <c r="P36" s="27"/>
      <c r="S36" t="s">
        <v>62</v>
      </c>
    </row>
    <row r="37" spans="1:19">
      <c r="A37" s="1" t="s">
        <v>27</v>
      </c>
      <c r="B37" s="4" t="s">
        <v>6</v>
      </c>
      <c r="C37" s="3" t="s">
        <v>5</v>
      </c>
      <c r="D37" s="26"/>
      <c r="E37" s="26"/>
      <c r="F37" s="26"/>
      <c r="G37" s="26"/>
      <c r="H37" s="27"/>
      <c r="I37" s="28" t="s">
        <v>27</v>
      </c>
      <c r="J37" s="1" t="s">
        <v>27</v>
      </c>
      <c r="K37" s="1" t="s">
        <v>27</v>
      </c>
      <c r="L37" s="26"/>
      <c r="M37" s="26"/>
      <c r="N37" s="26"/>
      <c r="O37" s="26"/>
      <c r="P37" s="27"/>
      <c r="R37">
        <v>5</v>
      </c>
      <c r="S37" t="s">
        <v>63</v>
      </c>
    </row>
    <row r="38" spans="1:19">
      <c r="A38" s="1" t="s">
        <v>27</v>
      </c>
      <c r="B38" s="4" t="s">
        <v>6</v>
      </c>
      <c r="C38" s="3" t="s">
        <v>5</v>
      </c>
      <c r="D38" s="26"/>
      <c r="E38" s="26"/>
      <c r="F38" s="26"/>
      <c r="G38" s="26"/>
      <c r="H38" s="27"/>
      <c r="I38" s="28" t="s">
        <v>27</v>
      </c>
      <c r="J38" s="1" t="s">
        <v>27</v>
      </c>
      <c r="K38" s="1" t="s">
        <v>27</v>
      </c>
      <c r="L38" s="26"/>
      <c r="M38" s="26"/>
      <c r="N38" s="26"/>
      <c r="O38" s="26"/>
      <c r="P38" s="27"/>
      <c r="R38">
        <v>6</v>
      </c>
      <c r="S38" t="s">
        <v>71</v>
      </c>
    </row>
    <row r="39" spans="1:19">
      <c r="A39" s="1" t="s">
        <v>27</v>
      </c>
      <c r="B39" s="4" t="s">
        <v>6</v>
      </c>
      <c r="C39" s="4" t="s">
        <v>6</v>
      </c>
      <c r="D39" s="26"/>
      <c r="E39" s="26"/>
      <c r="F39" s="26"/>
      <c r="G39" s="26"/>
      <c r="H39" s="27"/>
      <c r="I39" s="28" t="s">
        <v>27</v>
      </c>
      <c r="J39" s="1" t="s">
        <v>27</v>
      </c>
      <c r="K39" s="1" t="s">
        <v>27</v>
      </c>
      <c r="L39" s="26"/>
      <c r="M39" s="26"/>
      <c r="N39" s="26"/>
      <c r="O39" s="26"/>
      <c r="P39" s="27"/>
      <c r="R39">
        <v>7</v>
      </c>
      <c r="S39" t="s">
        <v>65</v>
      </c>
    </row>
    <row r="40" spans="1:19">
      <c r="A40" s="1" t="s">
        <v>27</v>
      </c>
      <c r="B40" s="17" t="s">
        <v>19</v>
      </c>
      <c r="C40" s="4" t="s">
        <v>6</v>
      </c>
      <c r="D40" s="26"/>
      <c r="E40" s="26"/>
      <c r="F40" s="26"/>
      <c r="G40" s="26"/>
      <c r="H40" s="27"/>
      <c r="I40" s="28" t="s">
        <v>27</v>
      </c>
      <c r="J40" s="1" t="s">
        <v>27</v>
      </c>
      <c r="K40" s="1" t="s">
        <v>27</v>
      </c>
      <c r="L40" s="26"/>
      <c r="M40" s="26"/>
      <c r="N40" s="26"/>
      <c r="O40" s="26"/>
      <c r="P40" s="27"/>
    </row>
    <row r="41" spans="1:19">
      <c r="A41" s="1" t="s">
        <v>27</v>
      </c>
      <c r="B41" s="4" t="s">
        <v>6</v>
      </c>
      <c r="C41" s="9" t="s">
        <v>11</v>
      </c>
      <c r="D41" s="26"/>
      <c r="E41" s="26"/>
      <c r="F41" s="26"/>
      <c r="G41" s="26"/>
      <c r="H41" s="27"/>
      <c r="I41" s="28" t="s">
        <v>27</v>
      </c>
      <c r="J41" s="1" t="s">
        <v>27</v>
      </c>
      <c r="K41" s="1" t="s">
        <v>27</v>
      </c>
      <c r="L41" s="26"/>
      <c r="M41" s="26"/>
      <c r="N41" s="26"/>
      <c r="O41" s="26"/>
      <c r="P41" s="27"/>
    </row>
    <row r="42" spans="1:19">
      <c r="A42" s="1" t="s">
        <v>27</v>
      </c>
      <c r="B42" s="3" t="s">
        <v>5</v>
      </c>
      <c r="C42" s="4" t="s">
        <v>6</v>
      </c>
      <c r="D42" s="26"/>
      <c r="E42" s="26"/>
      <c r="F42" s="26"/>
      <c r="G42" s="26"/>
      <c r="H42" s="27"/>
      <c r="I42" s="28" t="s">
        <v>27</v>
      </c>
      <c r="J42" s="1" t="s">
        <v>27</v>
      </c>
      <c r="K42" s="1" t="s">
        <v>27</v>
      </c>
      <c r="L42" s="26"/>
      <c r="M42" s="26"/>
      <c r="N42" s="26"/>
      <c r="O42" s="26"/>
      <c r="P42" s="27"/>
    </row>
    <row r="43" spans="1:19">
      <c r="A43" s="1" t="s">
        <v>27</v>
      </c>
      <c r="B43" s="3" t="s">
        <v>5</v>
      </c>
      <c r="C43" s="17" t="s">
        <v>19</v>
      </c>
      <c r="D43" s="26"/>
      <c r="E43" s="26"/>
      <c r="F43" s="26"/>
      <c r="G43" s="26"/>
      <c r="H43" s="27"/>
      <c r="I43" s="28" t="s">
        <v>27</v>
      </c>
      <c r="J43" s="1" t="s">
        <v>27</v>
      </c>
      <c r="K43" s="1" t="s">
        <v>27</v>
      </c>
      <c r="L43" s="26"/>
      <c r="M43" s="26"/>
      <c r="N43" s="26"/>
      <c r="O43" s="26"/>
      <c r="P43" s="27"/>
    </row>
    <row r="44" spans="1:19">
      <c r="A44" s="1" t="s">
        <v>27</v>
      </c>
      <c r="B44" s="3" t="s">
        <v>5</v>
      </c>
      <c r="C44" s="4" t="s">
        <v>6</v>
      </c>
      <c r="D44" s="26"/>
      <c r="E44" s="26"/>
      <c r="F44" s="26"/>
      <c r="G44" s="26"/>
      <c r="H44" s="27"/>
      <c r="I44" s="28" t="s">
        <v>27</v>
      </c>
      <c r="J44" s="1" t="s">
        <v>27</v>
      </c>
      <c r="K44" s="1" t="s">
        <v>27</v>
      </c>
      <c r="L44" s="26"/>
      <c r="M44" s="26"/>
      <c r="N44" s="26"/>
      <c r="O44" s="26"/>
      <c r="P44" s="27"/>
    </row>
    <row r="45" spans="1:19">
      <c r="A45" s="1" t="s">
        <v>27</v>
      </c>
      <c r="B45" s="3" t="s">
        <v>5</v>
      </c>
      <c r="C45" s="4" t="s">
        <v>6</v>
      </c>
      <c r="D45" s="26"/>
      <c r="E45" s="26"/>
      <c r="F45" s="26"/>
      <c r="G45" s="26"/>
      <c r="H45" s="27"/>
      <c r="I45" s="28" t="s">
        <v>27</v>
      </c>
      <c r="J45" s="1" t="s">
        <v>27</v>
      </c>
      <c r="K45" s="1" t="s">
        <v>27</v>
      </c>
      <c r="L45" s="26"/>
      <c r="M45" s="26"/>
      <c r="N45" s="26"/>
      <c r="O45" s="26"/>
      <c r="P45" s="27"/>
    </row>
    <row r="46" spans="1:19">
      <c r="A46" s="1" t="s">
        <v>27</v>
      </c>
      <c r="B46" s="4" t="s">
        <v>6</v>
      </c>
      <c r="C46" s="4" t="s">
        <v>6</v>
      </c>
      <c r="D46" s="26"/>
      <c r="E46" s="26"/>
      <c r="F46" s="26"/>
      <c r="G46" s="26"/>
      <c r="H46" s="27"/>
      <c r="I46" s="28" t="s">
        <v>27</v>
      </c>
      <c r="J46" s="1" t="s">
        <v>27</v>
      </c>
      <c r="K46" s="1" t="s">
        <v>27</v>
      </c>
      <c r="L46" s="26"/>
      <c r="M46" s="26"/>
      <c r="N46" s="26"/>
      <c r="O46" s="26"/>
      <c r="P46" s="27"/>
    </row>
    <row r="47" spans="1:19">
      <c r="A47" s="1" t="s">
        <v>27</v>
      </c>
      <c r="B47" s="4" t="s">
        <v>6</v>
      </c>
      <c r="C47" s="4" t="s">
        <v>6</v>
      </c>
      <c r="D47" s="26"/>
      <c r="E47" s="26"/>
      <c r="F47" s="26"/>
      <c r="G47" s="26"/>
      <c r="H47" s="27"/>
      <c r="I47" s="28" t="s">
        <v>27</v>
      </c>
      <c r="J47" s="1" t="s">
        <v>27</v>
      </c>
      <c r="K47" s="1" t="s">
        <v>27</v>
      </c>
      <c r="L47" s="26"/>
      <c r="M47" s="26"/>
      <c r="N47" s="26"/>
      <c r="O47" s="26"/>
      <c r="P47" s="27"/>
    </row>
    <row r="48" spans="1:19">
      <c r="A48" s="1" t="s">
        <v>27</v>
      </c>
      <c r="B48" s="4" t="s">
        <v>6</v>
      </c>
      <c r="C48" s="16" t="s">
        <v>18</v>
      </c>
      <c r="D48" s="26"/>
      <c r="E48" s="26"/>
      <c r="F48" s="26"/>
      <c r="G48" s="26"/>
      <c r="H48" s="27"/>
      <c r="I48" s="28" t="s">
        <v>27</v>
      </c>
      <c r="J48" s="1" t="s">
        <v>27</v>
      </c>
      <c r="K48" s="1" t="s">
        <v>27</v>
      </c>
      <c r="L48" s="26"/>
      <c r="M48" s="26"/>
      <c r="N48" s="26"/>
      <c r="O48" s="26"/>
      <c r="P48" s="27"/>
    </row>
    <row r="49" spans="1:16">
      <c r="A49" s="1" t="s">
        <v>27</v>
      </c>
      <c r="B49" s="17" t="s">
        <v>20</v>
      </c>
      <c r="C49" s="4" t="s">
        <v>6</v>
      </c>
      <c r="D49" s="26"/>
      <c r="E49" s="26"/>
      <c r="F49" s="26"/>
      <c r="G49" s="26"/>
      <c r="H49" s="27"/>
      <c r="I49" s="28" t="s">
        <v>27</v>
      </c>
      <c r="J49" s="1" t="s">
        <v>27</v>
      </c>
      <c r="K49" s="1" t="s">
        <v>27</v>
      </c>
      <c r="L49" s="26"/>
      <c r="M49" s="26"/>
      <c r="N49" s="26"/>
      <c r="O49" s="26"/>
      <c r="P49" s="27"/>
    </row>
    <row r="50" spans="1:16">
      <c r="A50" s="1" t="s">
        <v>27</v>
      </c>
      <c r="B50" s="1" t="s">
        <v>27</v>
      </c>
      <c r="C50" s="4" t="s">
        <v>6</v>
      </c>
      <c r="D50" s="26"/>
      <c r="E50" s="26"/>
      <c r="F50" s="26"/>
      <c r="G50" s="26"/>
      <c r="H50" s="27"/>
      <c r="I50" s="28" t="s">
        <v>27</v>
      </c>
      <c r="J50" s="1" t="s">
        <v>27</v>
      </c>
      <c r="K50" s="1" t="s">
        <v>27</v>
      </c>
      <c r="L50" s="26"/>
      <c r="M50" s="26"/>
      <c r="N50" s="26"/>
      <c r="O50" s="26"/>
      <c r="P50" s="27"/>
    </row>
    <row r="51" spans="1:16">
      <c r="A51" s="1" t="s">
        <v>27</v>
      </c>
      <c r="B51" s="1" t="s">
        <v>27</v>
      </c>
      <c r="C51" s="17" t="s">
        <v>20</v>
      </c>
      <c r="D51" s="26"/>
      <c r="E51" s="26"/>
      <c r="F51" s="26"/>
      <c r="G51" s="26"/>
      <c r="H51" s="27"/>
      <c r="I51" s="28" t="s">
        <v>27</v>
      </c>
      <c r="J51" s="1" t="s">
        <v>27</v>
      </c>
      <c r="K51" s="1" t="s">
        <v>27</v>
      </c>
      <c r="L51" s="26"/>
      <c r="M51" s="26"/>
      <c r="N51" s="26"/>
      <c r="O51" s="26"/>
      <c r="P51" s="27"/>
    </row>
    <row r="52" spans="1:16">
      <c r="A52" s="1" t="s">
        <v>27</v>
      </c>
      <c r="B52" s="1" t="s">
        <v>27</v>
      </c>
      <c r="C52" s="1" t="s">
        <v>27</v>
      </c>
      <c r="D52" s="26"/>
      <c r="E52" s="26"/>
      <c r="F52" s="26"/>
      <c r="G52" s="26"/>
      <c r="H52" s="27"/>
      <c r="I52" s="28" t="s">
        <v>27</v>
      </c>
      <c r="J52" s="1" t="s">
        <v>27</v>
      </c>
      <c r="K52" s="1" t="s">
        <v>27</v>
      </c>
      <c r="L52" s="26"/>
      <c r="M52" s="26"/>
      <c r="N52" s="26"/>
      <c r="O52" s="26"/>
      <c r="P52" s="27"/>
    </row>
    <row r="53" spans="1:16">
      <c r="A53" s="1" t="s">
        <v>27</v>
      </c>
      <c r="B53" s="1" t="s">
        <v>27</v>
      </c>
      <c r="C53" s="1" t="s">
        <v>27</v>
      </c>
      <c r="D53" s="26"/>
      <c r="E53" s="26"/>
      <c r="F53" s="26"/>
      <c r="G53" s="26"/>
      <c r="H53" s="27"/>
      <c r="I53" s="28" t="s">
        <v>27</v>
      </c>
      <c r="J53" s="1" t="s">
        <v>27</v>
      </c>
      <c r="K53" s="1" t="s">
        <v>27</v>
      </c>
      <c r="L53" s="26"/>
      <c r="M53" s="26"/>
      <c r="N53" s="26"/>
      <c r="O53" s="26"/>
      <c r="P53" s="27"/>
    </row>
    <row r="54" spans="1:16">
      <c r="A54" s="1" t="s">
        <v>27</v>
      </c>
      <c r="B54" s="1" t="s">
        <v>27</v>
      </c>
      <c r="C54" s="1" t="s">
        <v>27</v>
      </c>
      <c r="D54" s="26"/>
      <c r="E54" s="26"/>
      <c r="F54" s="26"/>
      <c r="G54" s="26"/>
      <c r="H54" s="27"/>
      <c r="I54" s="28" t="s">
        <v>27</v>
      </c>
      <c r="J54" s="1" t="s">
        <v>27</v>
      </c>
      <c r="K54" s="1" t="s">
        <v>27</v>
      </c>
      <c r="L54" s="26"/>
      <c r="M54" s="26"/>
      <c r="N54" s="26"/>
      <c r="O54" s="26"/>
      <c r="P54" s="27"/>
    </row>
    <row r="55" spans="1:16">
      <c r="A55" s="1" t="s">
        <v>27</v>
      </c>
      <c r="B55" s="1" t="s">
        <v>27</v>
      </c>
      <c r="C55" s="1" t="s">
        <v>27</v>
      </c>
      <c r="D55" s="26"/>
      <c r="E55" s="26"/>
      <c r="F55" s="26"/>
      <c r="G55" s="26"/>
      <c r="H55" s="27"/>
      <c r="I55" s="28" t="s">
        <v>27</v>
      </c>
      <c r="J55" s="1" t="s">
        <v>27</v>
      </c>
      <c r="K55" s="1" t="s">
        <v>27</v>
      </c>
      <c r="L55" s="26"/>
      <c r="M55" s="26"/>
      <c r="N55" s="26"/>
      <c r="O55" s="26"/>
      <c r="P55" s="27"/>
    </row>
    <row r="56" spans="1:16">
      <c r="A56" s="28" t="s">
        <v>27</v>
      </c>
      <c r="B56" s="1" t="s">
        <v>27</v>
      </c>
      <c r="C56" s="1" t="s">
        <v>27</v>
      </c>
      <c r="D56" s="26"/>
      <c r="E56" s="26"/>
      <c r="F56" s="26"/>
      <c r="G56" s="26"/>
      <c r="H56" s="27"/>
      <c r="I56" s="28" t="s">
        <v>27</v>
      </c>
      <c r="J56" s="1" t="s">
        <v>27</v>
      </c>
      <c r="K56" s="1" t="s">
        <v>27</v>
      </c>
      <c r="L56" s="26"/>
      <c r="M56" s="26"/>
      <c r="N56" s="26"/>
      <c r="O56" s="26"/>
      <c r="P56" s="27"/>
    </row>
    <row r="57" spans="1:16">
      <c r="A57" s="28" t="s">
        <v>27</v>
      </c>
      <c r="B57" s="1" t="s">
        <v>27</v>
      </c>
      <c r="C57" s="1" t="s">
        <v>27</v>
      </c>
      <c r="D57" s="26"/>
      <c r="E57" s="26"/>
      <c r="F57" s="26"/>
      <c r="G57" s="26"/>
      <c r="H57" s="27"/>
      <c r="I57" s="28" t="s">
        <v>27</v>
      </c>
      <c r="J57" s="1" t="s">
        <v>27</v>
      </c>
      <c r="K57" s="1" t="s">
        <v>27</v>
      </c>
      <c r="L57" s="26"/>
      <c r="M57" s="26"/>
      <c r="N57" s="26"/>
      <c r="O57" s="26"/>
      <c r="P57" s="27"/>
    </row>
    <row r="58" spans="1:16">
      <c r="A58" s="28" t="s">
        <v>27</v>
      </c>
      <c r="B58" s="1" t="s">
        <v>27</v>
      </c>
      <c r="C58" s="1" t="s">
        <v>27</v>
      </c>
      <c r="D58" s="26"/>
      <c r="E58" s="26"/>
      <c r="F58" s="26"/>
      <c r="G58" s="26"/>
      <c r="H58" s="27"/>
      <c r="I58" s="28" t="s">
        <v>27</v>
      </c>
      <c r="J58" s="1" t="s">
        <v>27</v>
      </c>
      <c r="K58" s="1" t="s">
        <v>27</v>
      </c>
      <c r="L58" s="26"/>
      <c r="M58" s="26"/>
      <c r="N58" s="26"/>
      <c r="O58" s="26"/>
      <c r="P58" s="27"/>
    </row>
    <row r="59" spans="1:16">
      <c r="A59" s="28" t="s">
        <v>27</v>
      </c>
      <c r="B59" s="1" t="s">
        <v>27</v>
      </c>
      <c r="C59" s="1" t="s">
        <v>27</v>
      </c>
      <c r="D59" s="26"/>
      <c r="E59" s="26"/>
      <c r="F59" s="26"/>
      <c r="G59" s="26"/>
      <c r="H59" s="27"/>
      <c r="I59" s="28" t="s">
        <v>27</v>
      </c>
      <c r="J59" s="1" t="s">
        <v>27</v>
      </c>
      <c r="K59" s="1" t="s">
        <v>27</v>
      </c>
      <c r="L59" s="26"/>
      <c r="M59" s="26"/>
      <c r="N59" s="26"/>
      <c r="O59" s="26"/>
      <c r="P59" s="27"/>
    </row>
    <row r="60" spans="1:16">
      <c r="A60" s="28" t="s">
        <v>27</v>
      </c>
      <c r="B60" s="1" t="s">
        <v>27</v>
      </c>
      <c r="C60" s="1" t="s">
        <v>27</v>
      </c>
      <c r="D60" s="26"/>
      <c r="E60" s="26"/>
      <c r="F60" s="26"/>
      <c r="G60" s="26"/>
      <c r="H60" s="27"/>
      <c r="I60" s="28" t="s">
        <v>27</v>
      </c>
      <c r="J60" s="1" t="s">
        <v>27</v>
      </c>
      <c r="K60" s="1" t="s">
        <v>27</v>
      </c>
      <c r="L60" s="26"/>
      <c r="M60" s="26"/>
      <c r="N60" s="26"/>
      <c r="O60" s="26"/>
      <c r="P60" s="27"/>
    </row>
    <row r="61" spans="1:16">
      <c r="A61" s="28" t="s">
        <v>27</v>
      </c>
      <c r="B61" s="1" t="s">
        <v>27</v>
      </c>
      <c r="C61" s="1" t="s">
        <v>27</v>
      </c>
      <c r="D61" s="26"/>
      <c r="E61" s="26"/>
      <c r="F61" s="26"/>
      <c r="G61" s="26"/>
      <c r="H61" s="27"/>
      <c r="I61" s="28" t="s">
        <v>27</v>
      </c>
      <c r="J61" s="1" t="s">
        <v>27</v>
      </c>
      <c r="K61" s="1" t="s">
        <v>27</v>
      </c>
      <c r="L61" s="26"/>
      <c r="M61" s="26"/>
      <c r="N61" s="26"/>
      <c r="O61" s="26"/>
      <c r="P61" s="27"/>
    </row>
    <row r="62" spans="1:16">
      <c r="A62" s="28" t="s">
        <v>27</v>
      </c>
      <c r="B62" s="1" t="s">
        <v>27</v>
      </c>
      <c r="C62" s="1" t="s">
        <v>27</v>
      </c>
      <c r="D62" s="26"/>
      <c r="E62" s="26"/>
      <c r="F62" s="26"/>
      <c r="G62" s="26"/>
      <c r="H62" s="27"/>
      <c r="I62" s="28" t="s">
        <v>27</v>
      </c>
      <c r="J62" s="1" t="s">
        <v>27</v>
      </c>
      <c r="K62" s="1" t="s">
        <v>27</v>
      </c>
      <c r="L62" s="26"/>
      <c r="M62" s="26"/>
      <c r="N62" s="26"/>
      <c r="O62" s="26"/>
      <c r="P62" s="27"/>
    </row>
    <row r="63" spans="1:16">
      <c r="A63" s="28" t="s">
        <v>27</v>
      </c>
      <c r="B63" s="1" t="s">
        <v>27</v>
      </c>
      <c r="C63" s="1" t="s">
        <v>27</v>
      </c>
      <c r="D63" s="26"/>
      <c r="E63" s="26"/>
      <c r="F63" s="26"/>
      <c r="G63" s="26"/>
      <c r="H63" s="27"/>
      <c r="I63" s="28" t="s">
        <v>27</v>
      </c>
      <c r="J63" s="1" t="s">
        <v>27</v>
      </c>
      <c r="K63" s="1" t="s">
        <v>27</v>
      </c>
      <c r="L63" s="26"/>
      <c r="M63" s="26"/>
      <c r="N63" s="26"/>
      <c r="O63" s="26"/>
      <c r="P63" s="27"/>
    </row>
    <row r="64" spans="1:16">
      <c r="A64" s="28" t="s">
        <v>27</v>
      </c>
      <c r="B64" s="1" t="s">
        <v>27</v>
      </c>
      <c r="C64" s="1" t="s">
        <v>27</v>
      </c>
      <c r="D64" s="26"/>
      <c r="E64" s="26"/>
      <c r="F64" s="26"/>
      <c r="G64" s="26"/>
      <c r="H64" s="27"/>
      <c r="I64" s="28" t="s">
        <v>27</v>
      </c>
      <c r="J64" s="1" t="s">
        <v>27</v>
      </c>
      <c r="K64" s="1" t="s">
        <v>27</v>
      </c>
      <c r="L64" s="26"/>
      <c r="M64" s="26"/>
      <c r="N64" s="26"/>
      <c r="O64" s="26"/>
      <c r="P64" s="27"/>
    </row>
    <row r="65" spans="1:16">
      <c r="A65" s="28" t="s">
        <v>27</v>
      </c>
      <c r="B65" s="1" t="s">
        <v>27</v>
      </c>
      <c r="C65" s="1" t="s">
        <v>27</v>
      </c>
      <c r="D65" s="26"/>
      <c r="E65" s="26"/>
      <c r="F65" s="26"/>
      <c r="G65" s="26"/>
      <c r="H65" s="27"/>
      <c r="I65" s="28" t="s">
        <v>27</v>
      </c>
      <c r="J65" s="1" t="s">
        <v>27</v>
      </c>
      <c r="K65" s="1" t="s">
        <v>27</v>
      </c>
      <c r="L65" s="26"/>
      <c r="M65" s="26"/>
      <c r="N65" s="26"/>
      <c r="O65" s="26"/>
      <c r="P65" s="27"/>
    </row>
    <row r="66" spans="1:16">
      <c r="A66" s="28" t="s">
        <v>27</v>
      </c>
      <c r="B66" s="1" t="s">
        <v>27</v>
      </c>
      <c r="C66" s="1" t="s">
        <v>27</v>
      </c>
      <c r="D66" s="26"/>
      <c r="E66" s="26"/>
      <c r="F66" s="26"/>
      <c r="G66" s="26"/>
      <c r="H66" s="27"/>
      <c r="I66" s="28" t="s">
        <v>27</v>
      </c>
      <c r="J66" s="1" t="s">
        <v>27</v>
      </c>
      <c r="K66" s="1" t="s">
        <v>27</v>
      </c>
      <c r="L66" s="26"/>
      <c r="M66" s="26"/>
      <c r="N66" s="26"/>
      <c r="O66" s="26"/>
      <c r="P66" s="27"/>
    </row>
    <row r="67" spans="1:16">
      <c r="A67" s="28" t="s">
        <v>27</v>
      </c>
      <c r="B67" s="1" t="s">
        <v>27</v>
      </c>
      <c r="C67" s="1" t="s">
        <v>27</v>
      </c>
      <c r="D67" s="26"/>
      <c r="E67" s="26"/>
      <c r="F67" s="26"/>
      <c r="G67" s="26"/>
      <c r="H67" s="27"/>
      <c r="I67" s="28" t="s">
        <v>27</v>
      </c>
      <c r="J67" s="1" t="s">
        <v>27</v>
      </c>
      <c r="K67" s="1" t="s">
        <v>27</v>
      </c>
      <c r="L67" s="26"/>
      <c r="M67" s="26"/>
      <c r="N67" s="26"/>
      <c r="O67" s="26"/>
      <c r="P67" s="27"/>
    </row>
    <row r="68" spans="1:16">
      <c r="A68" s="28" t="s">
        <v>27</v>
      </c>
      <c r="B68" s="1" t="s">
        <v>27</v>
      </c>
      <c r="C68" s="1" t="s">
        <v>27</v>
      </c>
      <c r="D68" s="26"/>
      <c r="E68" s="26"/>
      <c r="F68" s="26"/>
      <c r="G68" s="26"/>
      <c r="H68" s="27"/>
      <c r="I68" s="28" t="s">
        <v>27</v>
      </c>
      <c r="J68" s="1" t="s">
        <v>27</v>
      </c>
      <c r="K68" s="1" t="s">
        <v>27</v>
      </c>
      <c r="L68" s="26"/>
      <c r="M68" s="26"/>
      <c r="N68" s="26"/>
      <c r="O68" s="26"/>
      <c r="P68" s="27"/>
    </row>
    <row r="69" spans="1:16">
      <c r="A69" s="28" t="s">
        <v>27</v>
      </c>
      <c r="B69" s="1" t="s">
        <v>27</v>
      </c>
      <c r="C69" s="1" t="s">
        <v>27</v>
      </c>
      <c r="D69" s="26"/>
      <c r="E69" s="26"/>
      <c r="F69" s="26"/>
      <c r="G69" s="26"/>
      <c r="H69" s="27"/>
      <c r="I69" s="28" t="s">
        <v>27</v>
      </c>
      <c r="J69" s="1" t="s">
        <v>27</v>
      </c>
      <c r="K69" s="1" t="s">
        <v>27</v>
      </c>
      <c r="L69" s="26"/>
      <c r="M69" s="26"/>
      <c r="N69" s="26"/>
      <c r="O69" s="26"/>
      <c r="P69" s="27"/>
    </row>
    <row r="70" spans="1:16">
      <c r="A70" s="28" t="s">
        <v>27</v>
      </c>
      <c r="B70" s="1" t="s">
        <v>27</v>
      </c>
      <c r="C70" s="1" t="s">
        <v>27</v>
      </c>
      <c r="D70" s="26"/>
      <c r="E70" s="26"/>
      <c r="F70" s="26"/>
      <c r="G70" s="26"/>
      <c r="H70" s="27"/>
      <c r="I70" s="28" t="s">
        <v>27</v>
      </c>
      <c r="J70" s="1" t="s">
        <v>27</v>
      </c>
      <c r="K70" s="1" t="s">
        <v>27</v>
      </c>
      <c r="L70" s="26"/>
      <c r="M70" s="26"/>
      <c r="N70" s="26"/>
      <c r="O70" s="26"/>
      <c r="P70" s="27"/>
    </row>
    <row r="71" spans="1:16">
      <c r="A71" s="28" t="s">
        <v>27</v>
      </c>
      <c r="B71" s="1" t="s">
        <v>27</v>
      </c>
      <c r="C71" s="1" t="s">
        <v>27</v>
      </c>
      <c r="D71" s="26"/>
      <c r="E71" s="26"/>
      <c r="F71" s="26"/>
      <c r="G71" s="26"/>
      <c r="H71" s="27"/>
      <c r="I71" s="28" t="s">
        <v>27</v>
      </c>
      <c r="J71" s="1" t="s">
        <v>27</v>
      </c>
      <c r="K71" s="1" t="s">
        <v>27</v>
      </c>
      <c r="L71" s="26"/>
      <c r="M71" s="26"/>
      <c r="N71" s="26"/>
      <c r="O71" s="26"/>
      <c r="P71" s="27"/>
    </row>
    <row r="72" spans="1:16">
      <c r="A72" s="28" t="s">
        <v>27</v>
      </c>
      <c r="B72" s="1" t="s">
        <v>27</v>
      </c>
      <c r="C72" s="1" t="s">
        <v>27</v>
      </c>
      <c r="D72" s="26"/>
      <c r="E72" s="26"/>
      <c r="F72" s="26"/>
      <c r="G72" s="26"/>
      <c r="H72" s="27"/>
      <c r="I72" s="28" t="s">
        <v>27</v>
      </c>
      <c r="J72" s="1" t="s">
        <v>27</v>
      </c>
      <c r="K72" s="1" t="s">
        <v>27</v>
      </c>
      <c r="L72" s="26"/>
      <c r="M72" s="26"/>
      <c r="N72" s="26"/>
      <c r="O72" s="26"/>
      <c r="P72" s="27"/>
    </row>
    <row r="73" spans="1:16">
      <c r="A73" s="28" t="s">
        <v>27</v>
      </c>
      <c r="B73" s="1" t="s">
        <v>27</v>
      </c>
      <c r="C73" s="1" t="s">
        <v>27</v>
      </c>
      <c r="D73" s="26"/>
      <c r="E73" s="26"/>
      <c r="F73" s="26"/>
      <c r="G73" s="26"/>
      <c r="H73" s="27"/>
      <c r="I73" s="28" t="s">
        <v>27</v>
      </c>
      <c r="J73" s="1" t="s">
        <v>27</v>
      </c>
      <c r="K73" s="1" t="s">
        <v>27</v>
      </c>
      <c r="L73" s="26"/>
      <c r="M73" s="26"/>
      <c r="N73" s="26"/>
      <c r="O73" s="26"/>
      <c r="P73" s="27"/>
    </row>
    <row r="74" spans="1:16">
      <c r="A74" s="28" t="s">
        <v>27</v>
      </c>
      <c r="B74" s="1" t="s">
        <v>27</v>
      </c>
      <c r="C74" s="1" t="s">
        <v>27</v>
      </c>
      <c r="D74" s="26"/>
      <c r="E74" s="26"/>
      <c r="F74" s="26"/>
      <c r="G74" s="26"/>
      <c r="H74" s="27"/>
      <c r="I74" s="28" t="s">
        <v>27</v>
      </c>
      <c r="J74" s="1" t="s">
        <v>27</v>
      </c>
      <c r="K74" s="1" t="s">
        <v>27</v>
      </c>
      <c r="L74" s="26"/>
      <c r="M74" s="26"/>
      <c r="N74" s="26"/>
      <c r="O74" s="26"/>
      <c r="P74" s="27"/>
    </row>
    <row r="75" spans="1:16">
      <c r="A75" s="28" t="s">
        <v>27</v>
      </c>
      <c r="B75" s="1" t="s">
        <v>27</v>
      </c>
      <c r="C75" s="1" t="s">
        <v>27</v>
      </c>
      <c r="D75" s="26"/>
      <c r="E75" s="26"/>
      <c r="F75" s="26"/>
      <c r="G75" s="26"/>
      <c r="H75" s="27"/>
      <c r="I75" s="28" t="s">
        <v>27</v>
      </c>
      <c r="J75" s="1" t="s">
        <v>27</v>
      </c>
      <c r="K75" s="1" t="s">
        <v>27</v>
      </c>
      <c r="L75" s="26"/>
      <c r="M75" s="26"/>
      <c r="N75" s="26"/>
      <c r="O75" s="26"/>
      <c r="P75" s="27"/>
    </row>
    <row r="76" spans="1:16">
      <c r="A76" s="28" t="s">
        <v>27</v>
      </c>
      <c r="B76" s="1" t="s">
        <v>27</v>
      </c>
      <c r="C76" s="1" t="s">
        <v>27</v>
      </c>
      <c r="D76" s="26"/>
      <c r="E76" s="26"/>
      <c r="F76" s="26"/>
      <c r="G76" s="26"/>
      <c r="H76" s="27"/>
      <c r="I76" s="28" t="s">
        <v>27</v>
      </c>
      <c r="J76" s="1" t="s">
        <v>27</v>
      </c>
      <c r="K76" s="1" t="s">
        <v>27</v>
      </c>
      <c r="L76" s="26"/>
      <c r="M76" s="26"/>
      <c r="N76" s="26"/>
      <c r="O76" s="26"/>
      <c r="P76" s="27"/>
    </row>
    <row r="77" spans="1:16">
      <c r="A77" s="28" t="s">
        <v>27</v>
      </c>
      <c r="B77" s="1" t="s">
        <v>27</v>
      </c>
      <c r="C77" s="1" t="s">
        <v>27</v>
      </c>
      <c r="D77" s="26"/>
      <c r="E77" s="26"/>
      <c r="F77" s="26"/>
      <c r="G77" s="26"/>
      <c r="H77" s="27"/>
      <c r="I77" s="28" t="s">
        <v>27</v>
      </c>
      <c r="J77" s="1" t="s">
        <v>27</v>
      </c>
      <c r="K77" s="1" t="s">
        <v>27</v>
      </c>
      <c r="L77" s="26"/>
      <c r="M77" s="26"/>
      <c r="N77" s="26"/>
      <c r="O77" s="26"/>
      <c r="P77" s="27"/>
    </row>
    <row r="78" spans="1:16">
      <c r="A78" s="28" t="s">
        <v>27</v>
      </c>
      <c r="B78" s="1" t="s">
        <v>27</v>
      </c>
      <c r="C78" s="1" t="s">
        <v>27</v>
      </c>
      <c r="D78" s="26"/>
      <c r="E78" s="26"/>
      <c r="F78" s="26"/>
      <c r="G78" s="26"/>
      <c r="H78" s="27"/>
      <c r="I78" s="28" t="s">
        <v>27</v>
      </c>
      <c r="J78" s="1" t="s">
        <v>27</v>
      </c>
      <c r="K78" s="1" t="s">
        <v>27</v>
      </c>
      <c r="L78" s="26"/>
      <c r="M78" s="26"/>
      <c r="N78" s="26"/>
      <c r="O78" s="26"/>
      <c r="P78" s="27"/>
    </row>
    <row r="79" spans="1:16">
      <c r="A79" s="28" t="s">
        <v>27</v>
      </c>
      <c r="B79" s="1" t="s">
        <v>27</v>
      </c>
      <c r="C79" s="1" t="s">
        <v>27</v>
      </c>
      <c r="D79" s="26"/>
      <c r="E79" s="26"/>
      <c r="F79" s="26"/>
      <c r="G79" s="26"/>
      <c r="H79" s="27"/>
      <c r="I79" s="28" t="s">
        <v>27</v>
      </c>
      <c r="J79" s="1" t="s">
        <v>27</v>
      </c>
      <c r="K79" s="1" t="s">
        <v>27</v>
      </c>
      <c r="L79" s="26"/>
      <c r="M79" s="26"/>
      <c r="N79" s="26"/>
      <c r="O79" s="26"/>
      <c r="P79" s="27"/>
    </row>
    <row r="80" spans="1:16">
      <c r="A80" s="28" t="s">
        <v>27</v>
      </c>
      <c r="B80" s="1" t="s">
        <v>27</v>
      </c>
      <c r="C80" s="1" t="s">
        <v>27</v>
      </c>
      <c r="D80" s="26"/>
      <c r="E80" s="26"/>
      <c r="F80" s="26"/>
      <c r="G80" s="26"/>
      <c r="H80" s="27"/>
      <c r="I80" s="28" t="s">
        <v>27</v>
      </c>
      <c r="J80" s="1" t="s">
        <v>27</v>
      </c>
      <c r="K80" s="1" t="s">
        <v>27</v>
      </c>
      <c r="L80" s="26"/>
      <c r="M80" s="26"/>
      <c r="N80" s="26"/>
      <c r="O80" s="26"/>
      <c r="P80" s="27"/>
    </row>
    <row r="81" spans="1:16">
      <c r="A81" s="28" t="s">
        <v>27</v>
      </c>
      <c r="B81" s="1" t="s">
        <v>27</v>
      </c>
      <c r="C81" s="1" t="s">
        <v>27</v>
      </c>
      <c r="D81" s="26"/>
      <c r="E81" s="26"/>
      <c r="F81" s="26"/>
      <c r="G81" s="26"/>
      <c r="H81" s="27"/>
      <c r="I81" s="28" t="s">
        <v>27</v>
      </c>
      <c r="J81" s="1" t="s">
        <v>27</v>
      </c>
      <c r="K81" s="1" t="s">
        <v>27</v>
      </c>
      <c r="L81" s="26"/>
      <c r="M81" s="26"/>
      <c r="N81" s="26"/>
      <c r="O81" s="26"/>
      <c r="P81" s="27"/>
    </row>
    <row r="82" spans="1:16">
      <c r="A82" s="28" t="s">
        <v>27</v>
      </c>
      <c r="B82" s="1" t="s">
        <v>27</v>
      </c>
      <c r="C82" s="1" t="s">
        <v>27</v>
      </c>
      <c r="D82" s="26"/>
      <c r="E82" s="26"/>
      <c r="F82" s="26"/>
      <c r="G82" s="26"/>
      <c r="H82" s="27"/>
      <c r="I82" s="28" t="s">
        <v>27</v>
      </c>
      <c r="J82" s="1" t="s">
        <v>27</v>
      </c>
      <c r="K82" s="1" t="s">
        <v>27</v>
      </c>
      <c r="L82" s="26"/>
      <c r="M82" s="26"/>
      <c r="N82" s="26"/>
      <c r="O82" s="26"/>
      <c r="P82" s="27"/>
    </row>
    <row r="83" spans="1:16">
      <c r="A83" s="28" t="s">
        <v>27</v>
      </c>
      <c r="B83" s="1" t="s">
        <v>27</v>
      </c>
      <c r="C83" s="1" t="s">
        <v>27</v>
      </c>
      <c r="D83" s="26"/>
      <c r="E83" s="26"/>
      <c r="F83" s="26"/>
      <c r="G83" s="26"/>
      <c r="H83" s="27"/>
      <c r="I83" s="28" t="s">
        <v>27</v>
      </c>
      <c r="J83" s="1" t="s">
        <v>27</v>
      </c>
      <c r="K83" s="1" t="s">
        <v>27</v>
      </c>
      <c r="L83" s="26"/>
      <c r="M83" s="26"/>
      <c r="N83" s="26"/>
      <c r="O83" s="26"/>
      <c r="P83" s="27"/>
    </row>
    <row r="84" spans="1:16">
      <c r="A84" s="28" t="s">
        <v>27</v>
      </c>
      <c r="B84" s="1" t="s">
        <v>27</v>
      </c>
      <c r="C84" s="1" t="s">
        <v>27</v>
      </c>
      <c r="D84" s="26"/>
      <c r="E84" s="26"/>
      <c r="F84" s="26"/>
      <c r="G84" s="26"/>
      <c r="H84" s="27"/>
      <c r="I84" s="28" t="s">
        <v>27</v>
      </c>
      <c r="J84" s="1" t="s">
        <v>27</v>
      </c>
      <c r="K84" s="1" t="s">
        <v>27</v>
      </c>
      <c r="L84" s="26"/>
      <c r="M84" s="26"/>
      <c r="N84" s="26"/>
      <c r="O84" s="26"/>
      <c r="P84" s="27"/>
    </row>
    <row r="85" spans="1:16">
      <c r="A85" s="28" t="s">
        <v>27</v>
      </c>
      <c r="B85" s="1" t="s">
        <v>27</v>
      </c>
      <c r="C85" s="1" t="s">
        <v>27</v>
      </c>
      <c r="D85" s="26"/>
      <c r="E85" s="26"/>
      <c r="F85" s="26"/>
      <c r="G85" s="26"/>
      <c r="H85" s="27"/>
      <c r="I85" s="28" t="s">
        <v>27</v>
      </c>
      <c r="J85" s="1" t="s">
        <v>27</v>
      </c>
      <c r="K85" s="1" t="s">
        <v>27</v>
      </c>
      <c r="L85" s="26"/>
      <c r="M85" s="26"/>
      <c r="N85" s="26"/>
      <c r="O85" s="26"/>
      <c r="P85" s="27"/>
    </row>
    <row r="86" spans="1:16">
      <c r="A86" s="28" t="s">
        <v>27</v>
      </c>
      <c r="B86" s="1" t="s">
        <v>27</v>
      </c>
      <c r="C86" s="1" t="s">
        <v>27</v>
      </c>
      <c r="D86" s="26"/>
      <c r="E86" s="26"/>
      <c r="F86" s="26"/>
      <c r="G86" s="26"/>
      <c r="H86" s="27"/>
      <c r="I86" s="28" t="s">
        <v>27</v>
      </c>
      <c r="J86" s="1" t="s">
        <v>27</v>
      </c>
      <c r="K86" s="1" t="s">
        <v>27</v>
      </c>
      <c r="L86" s="26"/>
      <c r="M86" s="26"/>
      <c r="N86" s="26"/>
      <c r="O86" s="26"/>
      <c r="P86" s="27"/>
    </row>
    <row r="87" spans="1:16">
      <c r="A87" s="28" t="s">
        <v>27</v>
      </c>
      <c r="B87" s="1" t="s">
        <v>27</v>
      </c>
      <c r="C87" s="1" t="s">
        <v>27</v>
      </c>
      <c r="D87" s="26"/>
      <c r="E87" s="26"/>
      <c r="F87" s="26"/>
      <c r="G87" s="26"/>
      <c r="H87" s="27"/>
      <c r="I87" s="28" t="s">
        <v>27</v>
      </c>
      <c r="J87" s="1" t="s">
        <v>27</v>
      </c>
      <c r="K87" s="1" t="s">
        <v>27</v>
      </c>
      <c r="L87" s="26"/>
      <c r="M87" s="26"/>
      <c r="N87" s="26"/>
      <c r="O87" s="26"/>
      <c r="P87" s="27"/>
    </row>
    <row r="88" spans="1:16">
      <c r="A88" s="28" t="s">
        <v>27</v>
      </c>
      <c r="B88" s="1" t="s">
        <v>27</v>
      </c>
      <c r="C88" s="1" t="s">
        <v>27</v>
      </c>
      <c r="D88" s="26"/>
      <c r="E88" s="26"/>
      <c r="F88" s="26"/>
      <c r="G88" s="26"/>
      <c r="H88" s="27"/>
      <c r="I88" s="28" t="s">
        <v>27</v>
      </c>
      <c r="J88" s="1" t="s">
        <v>27</v>
      </c>
      <c r="K88" s="1" t="s">
        <v>27</v>
      </c>
      <c r="L88" s="26"/>
      <c r="M88" s="26"/>
      <c r="N88" s="26"/>
      <c r="O88" s="26"/>
      <c r="P88" s="27"/>
    </row>
    <row r="89" spans="1:16">
      <c r="A89" s="28" t="s">
        <v>27</v>
      </c>
      <c r="B89" s="1" t="s">
        <v>27</v>
      </c>
      <c r="C89" s="1" t="s">
        <v>27</v>
      </c>
      <c r="D89" s="26"/>
      <c r="E89" s="26"/>
      <c r="F89" s="26"/>
      <c r="G89" s="26"/>
      <c r="H89" s="27"/>
      <c r="I89" s="28" t="s">
        <v>27</v>
      </c>
      <c r="J89" s="1" t="s">
        <v>27</v>
      </c>
      <c r="K89" s="1" t="s">
        <v>27</v>
      </c>
      <c r="L89" s="26"/>
      <c r="M89" s="26"/>
      <c r="N89" s="26"/>
      <c r="O89" s="26"/>
      <c r="P89" s="27"/>
    </row>
    <row r="90" spans="1:16">
      <c r="A90" s="28" t="s">
        <v>27</v>
      </c>
      <c r="B90" s="1" t="s">
        <v>27</v>
      </c>
      <c r="C90" s="1" t="s">
        <v>27</v>
      </c>
      <c r="D90" s="26"/>
      <c r="E90" s="26"/>
      <c r="F90" s="26"/>
      <c r="G90" s="26"/>
      <c r="H90" s="27"/>
      <c r="I90" s="28" t="s">
        <v>27</v>
      </c>
      <c r="J90" s="1" t="s">
        <v>27</v>
      </c>
      <c r="K90" s="1" t="s">
        <v>27</v>
      </c>
      <c r="L90" s="26"/>
      <c r="M90" s="26"/>
      <c r="N90" s="26"/>
      <c r="O90" s="26"/>
      <c r="P90" s="27"/>
    </row>
    <row r="91" spans="1:16">
      <c r="A91" s="28" t="s">
        <v>27</v>
      </c>
      <c r="B91" s="1" t="s">
        <v>27</v>
      </c>
      <c r="C91" s="1" t="s">
        <v>27</v>
      </c>
      <c r="D91" s="26"/>
      <c r="E91" s="26"/>
      <c r="F91" s="26"/>
      <c r="G91" s="26"/>
      <c r="H91" s="27"/>
      <c r="I91" s="28" t="s">
        <v>27</v>
      </c>
      <c r="J91" s="1" t="s">
        <v>27</v>
      </c>
      <c r="K91" s="1" t="s">
        <v>27</v>
      </c>
      <c r="L91" s="26"/>
      <c r="M91" s="26"/>
      <c r="N91" s="26"/>
      <c r="O91" s="26"/>
      <c r="P91" s="27"/>
    </row>
    <row r="92" spans="1:16">
      <c r="A92" s="28" t="s">
        <v>27</v>
      </c>
      <c r="B92" s="1" t="s">
        <v>27</v>
      </c>
      <c r="C92" s="1" t="s">
        <v>27</v>
      </c>
      <c r="D92" s="26"/>
      <c r="E92" s="26"/>
      <c r="F92" s="26"/>
      <c r="G92" s="26"/>
      <c r="H92" s="27"/>
      <c r="I92" s="28" t="s">
        <v>27</v>
      </c>
      <c r="J92" s="1" t="s">
        <v>27</v>
      </c>
      <c r="K92" s="1" t="s">
        <v>27</v>
      </c>
      <c r="L92" s="26"/>
      <c r="M92" s="26"/>
      <c r="N92" s="26"/>
      <c r="O92" s="26"/>
      <c r="P92" s="27"/>
    </row>
    <row r="93" spans="1:16">
      <c r="A93" s="28" t="s">
        <v>27</v>
      </c>
      <c r="B93" s="1" t="s">
        <v>27</v>
      </c>
      <c r="C93" s="1" t="s">
        <v>27</v>
      </c>
      <c r="D93" s="26"/>
      <c r="E93" s="26"/>
      <c r="F93" s="26"/>
      <c r="G93" s="26"/>
      <c r="H93" s="27"/>
      <c r="I93" s="28" t="s">
        <v>27</v>
      </c>
      <c r="J93" s="1" t="s">
        <v>27</v>
      </c>
      <c r="K93" s="1" t="s">
        <v>27</v>
      </c>
      <c r="L93" s="26"/>
      <c r="M93" s="26"/>
      <c r="N93" s="26"/>
      <c r="O93" s="26"/>
      <c r="P93" s="27"/>
    </row>
    <row r="94" spans="1:16">
      <c r="A94" s="28" t="s">
        <v>27</v>
      </c>
      <c r="B94" s="1" t="s">
        <v>27</v>
      </c>
      <c r="C94" s="1" t="s">
        <v>27</v>
      </c>
      <c r="D94" s="26"/>
      <c r="E94" s="26"/>
      <c r="F94" s="26"/>
      <c r="G94" s="26"/>
      <c r="H94" s="27"/>
      <c r="I94" s="28" t="s">
        <v>27</v>
      </c>
      <c r="J94" s="1" t="s">
        <v>27</v>
      </c>
      <c r="K94" s="1" t="s">
        <v>27</v>
      </c>
      <c r="L94" s="26"/>
      <c r="M94" s="26"/>
      <c r="N94" s="26"/>
      <c r="O94" s="26"/>
      <c r="P94" s="27"/>
    </row>
    <row r="95" spans="1:16">
      <c r="A95" s="28" t="s">
        <v>27</v>
      </c>
      <c r="B95" s="1" t="s">
        <v>27</v>
      </c>
      <c r="C95" s="1" t="s">
        <v>27</v>
      </c>
      <c r="D95" s="26"/>
      <c r="E95" s="26"/>
      <c r="F95" s="26"/>
      <c r="G95" s="26"/>
      <c r="H95" s="27"/>
      <c r="I95" s="28" t="s">
        <v>27</v>
      </c>
      <c r="J95" s="1" t="s">
        <v>27</v>
      </c>
      <c r="K95" s="1" t="s">
        <v>27</v>
      </c>
      <c r="L95" s="26"/>
      <c r="M95" s="26"/>
      <c r="N95" s="26"/>
      <c r="O95" s="26"/>
      <c r="P95" s="27"/>
    </row>
    <row r="96" spans="1:16">
      <c r="A96" s="28" t="s">
        <v>27</v>
      </c>
      <c r="B96" s="1" t="s">
        <v>27</v>
      </c>
      <c r="C96" s="1" t="s">
        <v>27</v>
      </c>
      <c r="D96" s="26"/>
      <c r="E96" s="26"/>
      <c r="F96" s="26"/>
      <c r="G96" s="26"/>
      <c r="H96" s="27"/>
      <c r="I96" s="28" t="s">
        <v>27</v>
      </c>
      <c r="J96" s="1" t="s">
        <v>27</v>
      </c>
      <c r="K96" s="1" t="s">
        <v>27</v>
      </c>
      <c r="L96" s="26"/>
      <c r="M96" s="26"/>
      <c r="N96" s="26"/>
      <c r="O96" s="26"/>
      <c r="P96" s="27"/>
    </row>
    <row r="97" spans="1:16">
      <c r="A97" s="28" t="s">
        <v>27</v>
      </c>
      <c r="B97" s="1" t="s">
        <v>27</v>
      </c>
      <c r="C97" s="1" t="s">
        <v>27</v>
      </c>
      <c r="D97" s="26"/>
      <c r="E97" s="26"/>
      <c r="F97" s="26"/>
      <c r="G97" s="26"/>
      <c r="H97" s="27"/>
      <c r="I97" s="28" t="s">
        <v>27</v>
      </c>
      <c r="J97" s="1" t="s">
        <v>27</v>
      </c>
      <c r="K97" s="1" t="s">
        <v>27</v>
      </c>
      <c r="L97" s="26"/>
      <c r="M97" s="26"/>
      <c r="N97" s="26"/>
      <c r="O97" s="26"/>
      <c r="P97" s="27"/>
    </row>
    <row r="98" spans="1:16">
      <c r="A98" s="28" t="s">
        <v>27</v>
      </c>
      <c r="B98" s="1" t="s">
        <v>27</v>
      </c>
      <c r="C98" s="1" t="s">
        <v>27</v>
      </c>
      <c r="D98" s="26"/>
      <c r="E98" s="26"/>
      <c r="F98" s="26"/>
      <c r="G98" s="26"/>
      <c r="H98" s="27"/>
      <c r="I98" s="28" t="s">
        <v>27</v>
      </c>
      <c r="J98" s="1" t="s">
        <v>27</v>
      </c>
      <c r="K98" s="1" t="s">
        <v>27</v>
      </c>
      <c r="L98" s="26"/>
      <c r="M98" s="26"/>
      <c r="N98" s="26"/>
      <c r="O98" s="26"/>
      <c r="P98" s="27"/>
    </row>
    <row r="99" spans="1:16">
      <c r="A99" s="28" t="s">
        <v>27</v>
      </c>
      <c r="B99" s="1" t="s">
        <v>27</v>
      </c>
      <c r="C99" s="1" t="s">
        <v>27</v>
      </c>
      <c r="D99" s="26"/>
      <c r="E99" s="26"/>
      <c r="F99" s="26"/>
      <c r="G99" s="26"/>
      <c r="H99" s="27"/>
      <c r="I99" s="28" t="s">
        <v>27</v>
      </c>
      <c r="J99" s="1" t="s">
        <v>27</v>
      </c>
      <c r="K99" s="1" t="s">
        <v>27</v>
      </c>
      <c r="L99" s="26"/>
      <c r="M99" s="26"/>
      <c r="N99" s="26"/>
      <c r="O99" s="26"/>
      <c r="P99" s="27"/>
    </row>
    <row r="100" spans="1:16" ht="15.75" thickBot="1">
      <c r="A100" s="29" t="s">
        <v>27</v>
      </c>
      <c r="B100" s="30" t="s">
        <v>27</v>
      </c>
      <c r="C100" s="30" t="s">
        <v>27</v>
      </c>
      <c r="D100" s="31"/>
      <c r="E100" s="31"/>
      <c r="F100" s="31"/>
      <c r="G100" s="31"/>
      <c r="H100" s="32"/>
      <c r="I100" s="29" t="s">
        <v>27</v>
      </c>
      <c r="J100" s="30" t="s">
        <v>27</v>
      </c>
      <c r="K100" s="30" t="s">
        <v>27</v>
      </c>
      <c r="L100" s="31"/>
      <c r="M100" s="31"/>
      <c r="N100" s="31"/>
      <c r="O100" s="31"/>
      <c r="P100" s="32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0F93E-F14B-464E-BA1A-724C5D6D612E}">
  <dimension ref="A1:AB100"/>
  <sheetViews>
    <sheetView workbookViewId="0">
      <selection activeCell="Z9" sqref="Z9"/>
    </sheetView>
  </sheetViews>
  <sheetFormatPr defaultRowHeight="15"/>
  <sheetData>
    <row r="1" spans="1:28" ht="15.75">
      <c r="A1" s="62" t="s">
        <v>30</v>
      </c>
      <c r="B1" s="63"/>
      <c r="C1" s="63"/>
      <c r="D1" s="63"/>
      <c r="E1" s="63"/>
      <c r="F1" s="64" t="s">
        <v>3</v>
      </c>
      <c r="G1" s="64"/>
      <c r="H1" s="24" cm="1">
        <f t="array" ref="H1">SUM(VLOOKUP(A4:C100,$T$3:$W$36,4,FALSE))+H4*10-H8*50</f>
        <v>3280.6613959054912</v>
      </c>
      <c r="I1" s="65" t="s">
        <v>41</v>
      </c>
      <c r="J1" s="66"/>
      <c r="K1" s="66"/>
      <c r="L1" s="66"/>
      <c r="M1" s="66"/>
      <c r="N1" s="66"/>
      <c r="O1" s="66"/>
      <c r="P1" s="67"/>
      <c r="Q1" s="65" t="s">
        <v>48</v>
      </c>
      <c r="R1" s="66"/>
      <c r="S1" s="66"/>
      <c r="T1" s="66"/>
      <c r="U1" s="66"/>
      <c r="V1" s="66"/>
      <c r="W1" s="66"/>
      <c r="X1" s="66"/>
      <c r="Y1" s="66"/>
      <c r="Z1" s="66"/>
      <c r="AA1" s="66"/>
      <c r="AB1" s="67"/>
    </row>
    <row r="2" spans="1:28" ht="30">
      <c r="A2" s="68" t="s">
        <v>35</v>
      </c>
      <c r="B2" s="69"/>
      <c r="C2" s="69"/>
      <c r="D2" s="70" t="s">
        <v>37</v>
      </c>
      <c r="E2" s="71"/>
      <c r="F2" s="71"/>
      <c r="G2" s="71"/>
      <c r="H2" s="72"/>
      <c r="I2" s="73" t="s">
        <v>35</v>
      </c>
      <c r="J2" s="74"/>
      <c r="K2" s="74"/>
      <c r="L2" s="75" t="s">
        <v>37</v>
      </c>
      <c r="M2" s="75"/>
      <c r="N2" s="75"/>
      <c r="O2" s="75"/>
      <c r="P2" s="76"/>
      <c r="Q2" s="50" t="s">
        <v>43</v>
      </c>
      <c r="R2" s="51" cm="1">
        <f t="array" ref="R2">SUM(V3:V28*AB3:AB28)+H6+P6+R4*500</f>
        <v>65025</v>
      </c>
      <c r="S2" s="26"/>
      <c r="T2" s="1" t="s">
        <v>0</v>
      </c>
      <c r="U2" s="1" t="s">
        <v>1</v>
      </c>
      <c r="V2" s="1" t="s">
        <v>2</v>
      </c>
      <c r="W2" s="44" t="s">
        <v>3</v>
      </c>
      <c r="X2" s="46" t="s">
        <v>44</v>
      </c>
      <c r="Y2" s="46" t="s">
        <v>56</v>
      </c>
      <c r="Z2" s="47" t="s">
        <v>45</v>
      </c>
      <c r="AA2" s="47" t="s">
        <v>46</v>
      </c>
      <c r="AB2" s="52" t="s">
        <v>47</v>
      </c>
    </row>
    <row r="3" spans="1:28">
      <c r="A3" s="60" t="s">
        <v>31</v>
      </c>
      <c r="B3" s="61" t="s">
        <v>32</v>
      </c>
      <c r="C3" s="20" t="s">
        <v>33</v>
      </c>
      <c r="D3" s="33"/>
      <c r="E3" s="60" t="s">
        <v>31</v>
      </c>
      <c r="F3" s="61" t="s">
        <v>32</v>
      </c>
      <c r="G3" s="20" t="s">
        <v>33</v>
      </c>
      <c r="H3" s="34" t="s">
        <v>36</v>
      </c>
      <c r="I3" s="60" t="s">
        <v>31</v>
      </c>
      <c r="J3" s="61" t="s">
        <v>32</v>
      </c>
      <c r="K3" s="20" t="s">
        <v>33</v>
      </c>
      <c r="L3" s="33"/>
      <c r="M3" s="60" t="s">
        <v>31</v>
      </c>
      <c r="N3" s="61" t="s">
        <v>32</v>
      </c>
      <c r="O3" s="20" t="s">
        <v>33</v>
      </c>
      <c r="P3" s="34" t="s">
        <v>36</v>
      </c>
      <c r="Q3" s="53" t="s">
        <v>49</v>
      </c>
      <c r="R3" s="26">
        <v>91</v>
      </c>
      <c r="S3" s="26"/>
      <c r="T3" s="2" t="s">
        <v>4</v>
      </c>
      <c r="U3" s="1">
        <v>150</v>
      </c>
      <c r="V3" s="1">
        <v>35</v>
      </c>
      <c r="W3" s="45">
        <f>U3-V3/0.330882</f>
        <v>44.222109392472248</v>
      </c>
      <c r="X3" s="46"/>
      <c r="Y3" s="46">
        <v>25</v>
      </c>
      <c r="Z3" s="1">
        <f>COUNTIF($A$4:$C$100,T3)</f>
        <v>17</v>
      </c>
      <c r="AA3" s="1">
        <f>COUNTIF($I$4:$K$100,T3)</f>
        <v>8</v>
      </c>
      <c r="AB3" s="54">
        <f>Y3-Z3-AA3</f>
        <v>0</v>
      </c>
    </row>
    <row r="4" spans="1:28">
      <c r="A4" s="2" t="s">
        <v>4</v>
      </c>
      <c r="B4" s="2" t="s">
        <v>4</v>
      </c>
      <c r="C4" s="3" t="s">
        <v>5</v>
      </c>
      <c r="D4" s="43" t="s">
        <v>34</v>
      </c>
      <c r="E4" s="39">
        <v>0</v>
      </c>
      <c r="F4" s="39">
        <v>15</v>
      </c>
      <c r="G4" s="39">
        <v>5</v>
      </c>
      <c r="H4" s="36">
        <f>SUM(E4:G4)</f>
        <v>20</v>
      </c>
      <c r="I4" s="2" t="s">
        <v>4</v>
      </c>
      <c r="J4" s="9" t="s">
        <v>11</v>
      </c>
      <c r="K4" s="3" t="s">
        <v>5</v>
      </c>
      <c r="L4" s="43" t="s">
        <v>34</v>
      </c>
      <c r="M4" s="39">
        <v>3</v>
      </c>
      <c r="N4" s="39">
        <v>4</v>
      </c>
      <c r="O4" s="39">
        <v>1</v>
      </c>
      <c r="P4" s="36">
        <f>SUM(M4:O4)</f>
        <v>8</v>
      </c>
      <c r="Q4" s="53" t="s">
        <v>50</v>
      </c>
      <c r="R4" s="40">
        <v>14</v>
      </c>
      <c r="S4" s="26"/>
      <c r="T4" s="3" t="s">
        <v>5</v>
      </c>
      <c r="U4" s="1">
        <v>160</v>
      </c>
      <c r="V4" s="1">
        <v>40</v>
      </c>
      <c r="W4" s="45">
        <f t="shared" ref="W4" si="0">U4-V4/0.330882</f>
        <v>39.110982162825422</v>
      </c>
      <c r="X4" s="46"/>
      <c r="Y4" s="46">
        <v>36</v>
      </c>
      <c r="Z4" s="1">
        <f t="shared" ref="Z4:Z28" si="1">COUNTIF($A$4:$C$100,T4)</f>
        <v>24</v>
      </c>
      <c r="AA4" s="1">
        <f t="shared" ref="AA4:AA28" si="2">COUNTIF($I$4:$K$100,T4)</f>
        <v>12</v>
      </c>
      <c r="AB4" s="54">
        <f t="shared" ref="AB4:AB28" si="3">Y4-Z4-AA4</f>
        <v>0</v>
      </c>
    </row>
    <row r="5" spans="1:28">
      <c r="A5" s="2" t="s">
        <v>4</v>
      </c>
      <c r="B5" s="2" t="s">
        <v>4</v>
      </c>
      <c r="C5" s="23" t="s">
        <v>29</v>
      </c>
      <c r="D5" s="33" t="s">
        <v>38</v>
      </c>
      <c r="E5" s="35" cm="1">
        <f t="array" ref="E5">(SUM(VLOOKUP(A4:A100,$T$3:$W$41,2,FALSE))+E4*10)-E8*50</f>
        <v>900</v>
      </c>
      <c r="F5" s="35" cm="1">
        <f t="array" ref="F5">(SUM(VLOOKUP(B4:B100,$T$3:$W$41,2,FALSE))+F4*10)-F8*50</f>
        <v>7170</v>
      </c>
      <c r="G5" s="35" cm="1">
        <f t="array" ref="G5">(SUM(VLOOKUP(C4:C100,$T$3:$W$41,2,FALSE))+G4*10)-G8*50</f>
        <v>6530</v>
      </c>
      <c r="H5" s="59">
        <f t="shared" ref="H5:H8" si="4">SUM(E5:G5)</f>
        <v>14600</v>
      </c>
      <c r="I5" s="15" t="s">
        <v>17</v>
      </c>
      <c r="J5" s="1" t="s">
        <v>27</v>
      </c>
      <c r="K5" s="3" t="s">
        <v>5</v>
      </c>
      <c r="L5" s="33" t="s">
        <v>38</v>
      </c>
      <c r="M5" s="35" cm="1">
        <f t="array" ref="M5">(SUM(VLOOKUP(I4:I100,$T$3:$W$41,2,FALSE))+M4*10)*0.8-M8*40</f>
        <v>1872</v>
      </c>
      <c r="N5" s="35" cm="1">
        <f t="array" ref="N5">(SUM(VLOOKUP(J4:J100,$T$3:$W$41,2,FALSE))+N4*10)*0.8-N8*40</f>
        <v>152</v>
      </c>
      <c r="O5" s="35" cm="1">
        <f t="array" ref="O5">(SUM(VLOOKUP(K4:K100,$T$3:$W$41,2,FALSE))+O4*10)*0.8-O8*40</f>
        <v>856</v>
      </c>
      <c r="P5" s="59">
        <f t="shared" ref="P5:P8" si="5">SUM(M5:O5)</f>
        <v>2880</v>
      </c>
      <c r="Q5" s="53" t="s">
        <v>51</v>
      </c>
      <c r="R5" s="26">
        <v>6000</v>
      </c>
      <c r="S5" s="26"/>
      <c r="T5" s="4" t="s">
        <v>6</v>
      </c>
      <c r="U5" s="1">
        <v>170</v>
      </c>
      <c r="V5" s="1">
        <v>45</v>
      </c>
      <c r="W5" s="45">
        <v>34</v>
      </c>
      <c r="X5" s="48"/>
      <c r="Y5" s="46">
        <v>230</v>
      </c>
      <c r="Z5" s="1">
        <f t="shared" si="1"/>
        <v>38</v>
      </c>
      <c r="AA5" s="1">
        <f t="shared" si="2"/>
        <v>0</v>
      </c>
      <c r="AB5" s="54">
        <f t="shared" si="3"/>
        <v>192</v>
      </c>
    </row>
    <row r="6" spans="1:28">
      <c r="A6" s="2" t="s">
        <v>4</v>
      </c>
      <c r="B6" s="2" t="s">
        <v>4</v>
      </c>
      <c r="C6" s="3" t="s">
        <v>5</v>
      </c>
      <c r="D6" s="33" t="s">
        <v>39</v>
      </c>
      <c r="E6" s="35" cm="1">
        <f t="array" ref="E6">(SUM(VLOOKUP(A4:A100,$T$3:$W$41,3,FALSE)))</f>
        <v>210</v>
      </c>
      <c r="F6" s="35" cm="1">
        <f t="array" ref="F6">(SUM(VLOOKUP(B4:B100,$T$3:$W$41,3,FALSE)))</f>
        <v>2020</v>
      </c>
      <c r="G6" s="35" cm="1">
        <f t="array" ref="G6">(SUM(VLOOKUP(C4:C100,$T$3:$W$41,3,FALSE)))</f>
        <v>2610</v>
      </c>
      <c r="H6" s="49">
        <f t="shared" si="4"/>
        <v>4840</v>
      </c>
      <c r="I6" s="2" t="s">
        <v>4</v>
      </c>
      <c r="J6" s="1" t="s">
        <v>27</v>
      </c>
      <c r="K6" s="3" t="s">
        <v>5</v>
      </c>
      <c r="L6" s="33" t="s">
        <v>39</v>
      </c>
      <c r="M6" s="35" cm="1">
        <f t="array" ref="M6">(SUM(VLOOKUP(I4:I100,$T$3:$W$41,3,FALSE)))</f>
        <v>740</v>
      </c>
      <c r="N6" s="35" cm="1">
        <f t="array" ref="N6">(SUM(VLOOKUP(J4:J100,$T$3:$W$41,3,FALSE)))</f>
        <v>40</v>
      </c>
      <c r="O6" s="35" cm="1">
        <f t="array" ref="O6">(SUM(VLOOKUP(K4:K100,$T$3:$W$41,3,FALSE)))</f>
        <v>300</v>
      </c>
      <c r="P6" s="49">
        <f t="shared" si="5"/>
        <v>1080</v>
      </c>
      <c r="Q6" s="50" t="s">
        <v>52</v>
      </c>
      <c r="R6" s="26">
        <f>R3*1600-800+R5</f>
        <v>150800</v>
      </c>
      <c r="S6" s="26"/>
      <c r="T6" s="5" t="s">
        <v>7</v>
      </c>
      <c r="U6" s="1">
        <v>180</v>
      </c>
      <c r="V6" s="1">
        <v>50</v>
      </c>
      <c r="W6" s="45">
        <v>36</v>
      </c>
      <c r="X6" s="46">
        <v>267</v>
      </c>
      <c r="Y6" s="46">
        <v>266</v>
      </c>
      <c r="Z6" s="1">
        <f t="shared" si="1"/>
        <v>0</v>
      </c>
      <c r="AA6" s="1">
        <f t="shared" si="2"/>
        <v>0</v>
      </c>
      <c r="AB6" s="54">
        <f t="shared" si="3"/>
        <v>266</v>
      </c>
    </row>
    <row r="7" spans="1:28">
      <c r="A7" s="2" t="s">
        <v>4</v>
      </c>
      <c r="B7" s="2" t="s">
        <v>4</v>
      </c>
      <c r="C7" s="4" t="s">
        <v>6</v>
      </c>
      <c r="D7" s="33" t="s">
        <v>40</v>
      </c>
      <c r="E7" s="35">
        <f>COUNTIF(A4:A100,"&lt;&gt;空")</f>
        <v>6</v>
      </c>
      <c r="F7" s="35">
        <f>COUNTIF(B4:B100,"&lt;&gt;空")</f>
        <v>46</v>
      </c>
      <c r="G7" s="35">
        <f>COUNTIF(C4:C100,"&lt;&gt;空")</f>
        <v>47</v>
      </c>
      <c r="H7" s="36">
        <f t="shared" si="4"/>
        <v>99</v>
      </c>
      <c r="I7" s="2" t="s">
        <v>4</v>
      </c>
      <c r="J7" s="1" t="s">
        <v>27</v>
      </c>
      <c r="K7" s="15" t="s">
        <v>17</v>
      </c>
      <c r="L7" s="33" t="s">
        <v>40</v>
      </c>
      <c r="M7" s="35">
        <f>COUNTIF(I4:I100,"&lt;&gt;空")</f>
        <v>22</v>
      </c>
      <c r="N7" s="35">
        <f>COUNTIF(J4:J100,"&lt;&gt;空")</f>
        <v>1</v>
      </c>
      <c r="O7" s="35">
        <f>COUNTIF(K4:K100,"&lt;&gt;空")</f>
        <v>8</v>
      </c>
      <c r="P7" s="36">
        <f t="shared" si="5"/>
        <v>31</v>
      </c>
      <c r="Q7" s="53" t="s">
        <v>55</v>
      </c>
      <c r="R7" s="26">
        <v>0</v>
      </c>
      <c r="S7" s="26"/>
      <c r="T7" s="6" t="s">
        <v>8</v>
      </c>
      <c r="U7" s="1">
        <v>190</v>
      </c>
      <c r="V7" s="1">
        <v>55</v>
      </c>
      <c r="W7" s="45">
        <v>38</v>
      </c>
      <c r="X7" s="46">
        <v>236</v>
      </c>
      <c r="Y7" s="46">
        <v>236</v>
      </c>
      <c r="Z7" s="1">
        <f t="shared" si="1"/>
        <v>0</v>
      </c>
      <c r="AA7" s="1">
        <f t="shared" si="2"/>
        <v>0</v>
      </c>
      <c r="AB7" s="54">
        <f t="shared" si="3"/>
        <v>236</v>
      </c>
    </row>
    <row r="8" spans="1:28">
      <c r="A8" s="2" t="s">
        <v>4</v>
      </c>
      <c r="B8" s="2" t="s">
        <v>4</v>
      </c>
      <c r="C8" s="4" t="s">
        <v>6</v>
      </c>
      <c r="D8" s="42" t="s">
        <v>70</v>
      </c>
      <c r="E8" s="41">
        <v>0</v>
      </c>
      <c r="F8" s="41">
        <v>1</v>
      </c>
      <c r="G8" s="41">
        <v>0</v>
      </c>
      <c r="H8" s="36">
        <f t="shared" si="4"/>
        <v>1</v>
      </c>
      <c r="I8" s="15" t="s">
        <v>17</v>
      </c>
      <c r="J8" s="1" t="s">
        <v>27</v>
      </c>
      <c r="K8" s="1" t="s">
        <v>27</v>
      </c>
      <c r="L8" s="42" t="s">
        <v>70</v>
      </c>
      <c r="M8" s="41">
        <v>2</v>
      </c>
      <c r="N8" s="41">
        <v>0</v>
      </c>
      <c r="O8" s="41">
        <v>0</v>
      </c>
      <c r="P8" s="36">
        <f t="shared" si="5"/>
        <v>2</v>
      </c>
      <c r="Q8" s="50" t="s">
        <v>54</v>
      </c>
      <c r="R8" s="55" cm="1">
        <f t="array" ref="R8">R6-P5-H5-SUM(U3:U28*AB3:AB28)*0.8-R7*8</f>
        <v>112</v>
      </c>
      <c r="S8" s="26"/>
      <c r="T8" s="7" t="s">
        <v>9</v>
      </c>
      <c r="U8" s="1">
        <v>200</v>
      </c>
      <c r="V8" s="1">
        <v>60</v>
      </c>
      <c r="W8" s="45"/>
      <c r="X8" s="46">
        <v>194</v>
      </c>
      <c r="Y8" s="46">
        <v>194</v>
      </c>
      <c r="Z8" s="1">
        <f t="shared" si="1"/>
        <v>0</v>
      </c>
      <c r="AA8" s="1">
        <f t="shared" si="2"/>
        <v>0</v>
      </c>
      <c r="AB8" s="54">
        <f t="shared" si="3"/>
        <v>194</v>
      </c>
    </row>
    <row r="9" spans="1:28">
      <c r="A9" s="2" t="s">
        <v>4</v>
      </c>
      <c r="B9" s="2" t="s">
        <v>4</v>
      </c>
      <c r="C9" s="17" t="s">
        <v>19</v>
      </c>
      <c r="D9" s="26"/>
      <c r="E9" s="26"/>
      <c r="F9" s="26"/>
      <c r="G9" s="26"/>
      <c r="H9" s="27"/>
      <c r="I9" s="1" t="s">
        <v>27</v>
      </c>
      <c r="J9" s="1" t="s">
        <v>27</v>
      </c>
      <c r="K9" s="1" t="s">
        <v>27</v>
      </c>
      <c r="L9" s="33" t="s">
        <v>42</v>
      </c>
      <c r="M9" s="37">
        <f>M6/M5</f>
        <v>0.39529914529914528</v>
      </c>
      <c r="N9" s="37">
        <f>N6/N5</f>
        <v>0.26315789473684209</v>
      </c>
      <c r="O9" s="37">
        <f>O6/O5</f>
        <v>0.35046728971962615</v>
      </c>
      <c r="P9" s="38">
        <f>P6/P5</f>
        <v>0.375</v>
      </c>
      <c r="Q9" s="50"/>
      <c r="R9" s="26"/>
      <c r="S9" s="26"/>
      <c r="T9" s="8" t="s">
        <v>10</v>
      </c>
      <c r="U9" s="1">
        <v>150</v>
      </c>
      <c r="V9" s="1">
        <v>35</v>
      </c>
      <c r="W9" s="45">
        <f t="shared" ref="W9:W11" si="6">U9-V9/0.330882</f>
        <v>44.222109392472248</v>
      </c>
      <c r="X9" s="46">
        <v>3</v>
      </c>
      <c r="Y9" s="46">
        <v>0</v>
      </c>
      <c r="Z9" s="1">
        <f t="shared" si="1"/>
        <v>0</v>
      </c>
      <c r="AA9" s="1">
        <f t="shared" si="2"/>
        <v>0</v>
      </c>
      <c r="AB9" s="54">
        <f t="shared" si="3"/>
        <v>0</v>
      </c>
    </row>
    <row r="10" spans="1:28">
      <c r="A10" s="1" t="s">
        <v>27</v>
      </c>
      <c r="B10" s="1" t="s">
        <v>27</v>
      </c>
      <c r="C10" s="4" t="s">
        <v>6</v>
      </c>
      <c r="D10" s="26"/>
      <c r="E10" s="26"/>
      <c r="F10" s="26"/>
      <c r="G10" s="26"/>
      <c r="H10" s="27"/>
      <c r="I10" s="16" t="s">
        <v>28</v>
      </c>
      <c r="J10" s="1" t="s">
        <v>27</v>
      </c>
      <c r="K10" s="1" t="s">
        <v>27</v>
      </c>
      <c r="L10" s="26"/>
      <c r="M10" s="26"/>
      <c r="N10" s="26"/>
      <c r="O10" s="26"/>
      <c r="P10" s="27"/>
      <c r="Q10" s="50"/>
      <c r="R10" s="26"/>
      <c r="S10" s="26"/>
      <c r="T10" s="9" t="s">
        <v>11</v>
      </c>
      <c r="U10" s="1">
        <v>150</v>
      </c>
      <c r="V10" s="1">
        <v>40</v>
      </c>
      <c r="W10" s="45">
        <f t="shared" si="6"/>
        <v>29.110982162825422</v>
      </c>
      <c r="X10" s="46">
        <v>7</v>
      </c>
      <c r="Y10" s="46">
        <v>4</v>
      </c>
      <c r="Z10" s="1">
        <f t="shared" si="1"/>
        <v>2</v>
      </c>
      <c r="AA10" s="1">
        <f t="shared" si="2"/>
        <v>2</v>
      </c>
      <c r="AB10" s="54">
        <f t="shared" si="3"/>
        <v>0</v>
      </c>
    </row>
    <row r="11" spans="1:28">
      <c r="A11" s="1" t="s">
        <v>27</v>
      </c>
      <c r="B11" s="1" t="s">
        <v>27</v>
      </c>
      <c r="C11" s="1" t="s">
        <v>27</v>
      </c>
      <c r="D11" s="26"/>
      <c r="E11" s="26"/>
      <c r="F11" s="26"/>
      <c r="G11" s="26"/>
      <c r="H11" s="27"/>
      <c r="I11" s="3" t="s">
        <v>5</v>
      </c>
      <c r="J11" s="1" t="s">
        <v>27</v>
      </c>
      <c r="K11" s="1" t="s">
        <v>27</v>
      </c>
      <c r="L11" s="26"/>
      <c r="M11" s="26"/>
      <c r="N11" s="26"/>
      <c r="O11" s="26"/>
      <c r="P11" s="27">
        <f>H5+P5</f>
        <v>17480</v>
      </c>
      <c r="Q11" s="50"/>
      <c r="R11" s="26"/>
      <c r="S11" s="26"/>
      <c r="T11" s="10" t="s">
        <v>12</v>
      </c>
      <c r="U11" s="1">
        <v>150</v>
      </c>
      <c r="V11" s="1">
        <v>45</v>
      </c>
      <c r="W11" s="45">
        <f t="shared" si="6"/>
        <v>13.999854933178597</v>
      </c>
      <c r="X11" s="46">
        <v>6</v>
      </c>
      <c r="Y11" s="46">
        <v>6</v>
      </c>
      <c r="Z11" s="1">
        <f t="shared" si="1"/>
        <v>0</v>
      </c>
      <c r="AA11" s="1">
        <f t="shared" si="2"/>
        <v>0</v>
      </c>
      <c r="AB11" s="54">
        <f t="shared" si="3"/>
        <v>6</v>
      </c>
    </row>
    <row r="12" spans="1:28">
      <c r="A12" s="1" t="s">
        <v>27</v>
      </c>
      <c r="B12" s="4" t="s">
        <v>6</v>
      </c>
      <c r="C12" s="4" t="s">
        <v>6</v>
      </c>
      <c r="D12" s="26"/>
      <c r="E12" s="26"/>
      <c r="F12" s="26"/>
      <c r="G12" s="26"/>
      <c r="H12" s="27"/>
      <c r="I12" s="3" t="s">
        <v>5</v>
      </c>
      <c r="J12" s="1" t="s">
        <v>27</v>
      </c>
      <c r="K12" s="3" t="s">
        <v>5</v>
      </c>
      <c r="L12" s="26"/>
      <c r="M12" s="26"/>
      <c r="N12" s="26"/>
      <c r="O12" s="26"/>
      <c r="P12" s="27">
        <f>H6+P6</f>
        <v>5920</v>
      </c>
      <c r="Q12" s="50"/>
      <c r="R12" s="26"/>
      <c r="S12" s="26"/>
      <c r="T12" s="11" t="s">
        <v>13</v>
      </c>
      <c r="U12" s="1">
        <v>150</v>
      </c>
      <c r="V12" s="1">
        <v>50</v>
      </c>
      <c r="W12" s="45"/>
      <c r="X12" s="46">
        <v>4</v>
      </c>
      <c r="Y12" s="46">
        <v>4</v>
      </c>
      <c r="Z12" s="1">
        <f t="shared" si="1"/>
        <v>0</v>
      </c>
      <c r="AA12" s="1">
        <f t="shared" si="2"/>
        <v>0</v>
      </c>
      <c r="AB12" s="54">
        <f t="shared" si="3"/>
        <v>4</v>
      </c>
    </row>
    <row r="13" spans="1:28">
      <c r="A13" s="1" t="s">
        <v>27</v>
      </c>
      <c r="B13" s="4" t="s">
        <v>6</v>
      </c>
      <c r="C13" s="15" t="s">
        <v>17</v>
      </c>
      <c r="D13" s="26"/>
      <c r="E13" s="26"/>
      <c r="F13" s="26"/>
      <c r="G13" s="26"/>
      <c r="H13" s="27"/>
      <c r="I13" s="9" t="s">
        <v>11</v>
      </c>
      <c r="J13" s="1" t="s">
        <v>27</v>
      </c>
      <c r="K13" s="3" t="s">
        <v>5</v>
      </c>
      <c r="L13" s="26"/>
      <c r="M13" s="26"/>
      <c r="N13" s="26"/>
      <c r="O13" s="26"/>
      <c r="P13" s="27"/>
      <c r="Q13" s="50"/>
      <c r="R13" s="26"/>
      <c r="S13" s="26"/>
      <c r="T13" s="12" t="s">
        <v>14</v>
      </c>
      <c r="U13" s="1">
        <v>150</v>
      </c>
      <c r="V13" s="1">
        <v>55</v>
      </c>
      <c r="W13" s="45"/>
      <c r="X13" s="46">
        <v>3</v>
      </c>
      <c r="Y13" s="46">
        <v>3</v>
      </c>
      <c r="Z13" s="1">
        <f t="shared" si="1"/>
        <v>0</v>
      </c>
      <c r="AA13" s="1">
        <f t="shared" si="2"/>
        <v>0</v>
      </c>
      <c r="AB13" s="54">
        <f t="shared" si="3"/>
        <v>3</v>
      </c>
    </row>
    <row r="14" spans="1:28">
      <c r="A14" s="1" t="s">
        <v>27</v>
      </c>
      <c r="B14" s="4" t="s">
        <v>6</v>
      </c>
      <c r="C14" s="3" t="s">
        <v>5</v>
      </c>
      <c r="D14" s="26"/>
      <c r="E14" s="26"/>
      <c r="F14" s="26"/>
      <c r="G14" s="26"/>
      <c r="H14" s="27"/>
      <c r="I14" s="2" t="s">
        <v>4</v>
      </c>
      <c r="J14" s="1" t="s">
        <v>27</v>
      </c>
      <c r="K14" s="3" t="s">
        <v>5</v>
      </c>
      <c r="L14" s="26"/>
      <c r="M14" s="26"/>
      <c r="N14" s="26"/>
      <c r="O14" s="26"/>
      <c r="P14" s="27"/>
      <c r="Q14" s="50"/>
      <c r="R14" s="26"/>
      <c r="S14" s="26"/>
      <c r="T14" s="13" t="s">
        <v>15</v>
      </c>
      <c r="U14" s="1">
        <v>150</v>
      </c>
      <c r="V14" s="1">
        <v>60</v>
      </c>
      <c r="W14" s="45"/>
      <c r="X14" s="46">
        <v>1</v>
      </c>
      <c r="Y14" s="46">
        <v>1</v>
      </c>
      <c r="Z14" s="1">
        <f t="shared" si="1"/>
        <v>0</v>
      </c>
      <c r="AA14" s="1">
        <f t="shared" si="2"/>
        <v>0</v>
      </c>
      <c r="AB14" s="54">
        <f t="shared" si="3"/>
        <v>1</v>
      </c>
    </row>
    <row r="15" spans="1:28">
      <c r="A15" s="1" t="s">
        <v>27</v>
      </c>
      <c r="B15" s="4" t="s">
        <v>6</v>
      </c>
      <c r="C15" s="16" t="s">
        <v>18</v>
      </c>
      <c r="D15" s="26"/>
      <c r="E15" s="26"/>
      <c r="F15" s="26"/>
      <c r="G15" s="26"/>
      <c r="H15" s="27"/>
      <c r="I15" s="15" t="s">
        <v>17</v>
      </c>
      <c r="J15" s="1" t="s">
        <v>27</v>
      </c>
      <c r="K15" s="15" t="s">
        <v>17</v>
      </c>
      <c r="L15" s="26"/>
      <c r="M15" s="26"/>
      <c r="N15" s="26"/>
      <c r="O15" s="26"/>
      <c r="P15" s="27"/>
      <c r="Q15" s="50"/>
      <c r="R15" s="26"/>
      <c r="S15" s="26"/>
      <c r="T15" s="14" t="s">
        <v>16</v>
      </c>
      <c r="U15" s="1">
        <v>150</v>
      </c>
      <c r="V15" s="1">
        <v>35</v>
      </c>
      <c r="W15" s="45">
        <f t="shared" ref="W15" si="7">U15-V15/0.330882</f>
        <v>44.222109392472248</v>
      </c>
      <c r="X15" s="46"/>
      <c r="Y15" s="46">
        <v>0</v>
      </c>
      <c r="Z15" s="1">
        <f t="shared" si="1"/>
        <v>0</v>
      </c>
      <c r="AA15" s="1">
        <f t="shared" si="2"/>
        <v>0</v>
      </c>
      <c r="AB15" s="54">
        <f t="shared" si="3"/>
        <v>0</v>
      </c>
    </row>
    <row r="16" spans="1:28">
      <c r="A16" s="1" t="s">
        <v>27</v>
      </c>
      <c r="B16" s="15" t="s">
        <v>17</v>
      </c>
      <c r="C16" s="2" t="s">
        <v>4</v>
      </c>
      <c r="D16" s="26"/>
      <c r="E16" s="26"/>
      <c r="F16" s="26"/>
      <c r="G16" s="26"/>
      <c r="H16" s="27"/>
      <c r="I16" s="3" t="s">
        <v>5</v>
      </c>
      <c r="J16" s="1" t="s">
        <v>27</v>
      </c>
      <c r="K16" s="1" t="s">
        <v>27</v>
      </c>
      <c r="L16" s="26"/>
      <c r="M16" s="26"/>
      <c r="N16" s="26"/>
      <c r="O16" s="26"/>
      <c r="P16" s="27"/>
      <c r="Q16" s="50"/>
      <c r="R16" s="26"/>
      <c r="S16" s="26"/>
      <c r="T16" s="15" t="s">
        <v>17</v>
      </c>
      <c r="U16" s="1">
        <v>50</v>
      </c>
      <c r="V16" s="1">
        <v>30</v>
      </c>
      <c r="W16" s="45">
        <v>10</v>
      </c>
      <c r="X16" s="46">
        <v>40</v>
      </c>
      <c r="Y16" s="46">
        <v>40</v>
      </c>
      <c r="Z16" s="1">
        <f t="shared" si="1"/>
        <v>5</v>
      </c>
      <c r="AA16" s="1">
        <f t="shared" si="2"/>
        <v>8</v>
      </c>
      <c r="AB16" s="54">
        <f t="shared" si="3"/>
        <v>27</v>
      </c>
    </row>
    <row r="17" spans="1:28">
      <c r="A17" s="1" t="s">
        <v>27</v>
      </c>
      <c r="B17" s="4" t="s">
        <v>6</v>
      </c>
      <c r="C17" s="2" t="s">
        <v>4</v>
      </c>
      <c r="D17" s="26"/>
      <c r="E17" s="26"/>
      <c r="F17" s="26"/>
      <c r="G17" s="26"/>
      <c r="H17" s="27"/>
      <c r="I17" s="15" t="s">
        <v>17</v>
      </c>
      <c r="J17" s="1" t="s">
        <v>27</v>
      </c>
      <c r="K17" s="1" t="s">
        <v>27</v>
      </c>
      <c r="L17" s="26"/>
      <c r="M17" s="26"/>
      <c r="N17" s="26"/>
      <c r="O17" s="26"/>
      <c r="P17" s="27"/>
      <c r="Q17" s="50"/>
      <c r="R17" s="26"/>
      <c r="S17" s="26"/>
      <c r="T17" s="16" t="s">
        <v>18</v>
      </c>
      <c r="U17" s="1">
        <v>-150</v>
      </c>
      <c r="V17" s="1">
        <v>0</v>
      </c>
      <c r="W17" s="45">
        <v>10</v>
      </c>
      <c r="X17" s="46">
        <v>3</v>
      </c>
      <c r="Y17" s="46">
        <v>4</v>
      </c>
      <c r="Z17" s="1">
        <f t="shared" si="1"/>
        <v>4</v>
      </c>
      <c r="AA17" s="1">
        <f t="shared" si="2"/>
        <v>0</v>
      </c>
      <c r="AB17" s="54">
        <f t="shared" si="3"/>
        <v>0</v>
      </c>
    </row>
    <row r="18" spans="1:28">
      <c r="A18" s="1" t="s">
        <v>27</v>
      </c>
      <c r="B18" s="17" t="s">
        <v>20</v>
      </c>
      <c r="C18" s="2" t="s">
        <v>4</v>
      </c>
      <c r="D18" s="26"/>
      <c r="E18" s="26"/>
      <c r="F18" s="26"/>
      <c r="G18" s="26"/>
      <c r="H18" s="27"/>
      <c r="I18" s="3" t="s">
        <v>5</v>
      </c>
      <c r="J18" s="1" t="s">
        <v>27</v>
      </c>
      <c r="K18" s="1" t="s">
        <v>27</v>
      </c>
      <c r="L18" s="26"/>
      <c r="M18" s="26"/>
      <c r="N18" s="26"/>
      <c r="O18" s="26"/>
      <c r="P18" s="27"/>
      <c r="Q18" s="50"/>
      <c r="R18" s="26"/>
      <c r="S18" s="26"/>
      <c r="T18" s="17" t="s">
        <v>19</v>
      </c>
      <c r="U18" s="1">
        <v>250</v>
      </c>
      <c r="V18" s="1">
        <v>200</v>
      </c>
      <c r="W18" s="45"/>
      <c r="X18" s="46">
        <v>3</v>
      </c>
      <c r="Y18" s="46">
        <v>3</v>
      </c>
      <c r="Z18" s="1">
        <f t="shared" si="1"/>
        <v>3</v>
      </c>
      <c r="AA18" s="1">
        <f t="shared" si="2"/>
        <v>0</v>
      </c>
      <c r="AB18" s="54">
        <f t="shared" si="3"/>
        <v>0</v>
      </c>
    </row>
    <row r="19" spans="1:28">
      <c r="A19" s="1" t="s">
        <v>27</v>
      </c>
      <c r="B19" s="4" t="s">
        <v>6</v>
      </c>
      <c r="C19" s="2" t="s">
        <v>4</v>
      </c>
      <c r="D19" s="26"/>
      <c r="E19" s="26"/>
      <c r="F19" s="26"/>
      <c r="G19" s="26"/>
      <c r="H19" s="27"/>
      <c r="I19" s="3" t="s">
        <v>5</v>
      </c>
      <c r="J19" s="1" t="s">
        <v>27</v>
      </c>
      <c r="K19" s="1" t="s">
        <v>27</v>
      </c>
      <c r="L19" s="26"/>
      <c r="M19" s="26"/>
      <c r="N19" s="26"/>
      <c r="O19" s="26"/>
      <c r="P19" s="27"/>
      <c r="Q19" s="50"/>
      <c r="R19" s="26"/>
      <c r="S19" s="26"/>
      <c r="T19" s="17" t="s">
        <v>20</v>
      </c>
      <c r="U19" s="1">
        <v>170</v>
      </c>
      <c r="V19" s="1">
        <v>45</v>
      </c>
      <c r="W19" s="45"/>
      <c r="X19" s="46">
        <v>5</v>
      </c>
      <c r="Y19" s="46">
        <v>5</v>
      </c>
      <c r="Z19" s="1">
        <f t="shared" si="1"/>
        <v>5</v>
      </c>
      <c r="AA19" s="1">
        <f t="shared" si="2"/>
        <v>0</v>
      </c>
      <c r="AB19" s="54">
        <f t="shared" si="3"/>
        <v>0</v>
      </c>
    </row>
    <row r="20" spans="1:28">
      <c r="A20" s="1" t="s">
        <v>27</v>
      </c>
      <c r="B20" s="3" t="s">
        <v>5</v>
      </c>
      <c r="C20" s="15" t="s">
        <v>17</v>
      </c>
      <c r="D20" s="26"/>
      <c r="E20" s="26"/>
      <c r="F20" s="26"/>
      <c r="G20" s="26"/>
      <c r="H20" s="27"/>
      <c r="I20" s="3" t="s">
        <v>5</v>
      </c>
      <c r="J20" s="1" t="s">
        <v>27</v>
      </c>
      <c r="K20" s="1" t="s">
        <v>27</v>
      </c>
      <c r="L20" s="26"/>
      <c r="M20" s="26"/>
      <c r="N20" s="26"/>
      <c r="O20" s="26"/>
      <c r="P20" s="27"/>
      <c r="Q20" s="50"/>
      <c r="R20" s="26"/>
      <c r="S20" s="26"/>
      <c r="T20" s="18" t="s">
        <v>21</v>
      </c>
      <c r="U20" s="1">
        <v>250</v>
      </c>
      <c r="V20" s="1">
        <v>200</v>
      </c>
      <c r="W20" s="45"/>
      <c r="X20" s="46">
        <v>0</v>
      </c>
      <c r="Y20" s="46">
        <v>0</v>
      </c>
      <c r="Z20" s="1">
        <f t="shared" si="1"/>
        <v>0</v>
      </c>
      <c r="AA20" s="1">
        <f t="shared" si="2"/>
        <v>0</v>
      </c>
      <c r="AB20" s="54">
        <f t="shared" si="3"/>
        <v>0</v>
      </c>
    </row>
    <row r="21" spans="1:28">
      <c r="A21" s="1" t="s">
        <v>27</v>
      </c>
      <c r="B21" s="3" t="s">
        <v>5</v>
      </c>
      <c r="C21" s="3" t="s">
        <v>5</v>
      </c>
      <c r="D21" s="26"/>
      <c r="E21" s="26"/>
      <c r="F21" s="26"/>
      <c r="G21" s="26"/>
      <c r="H21" s="27"/>
      <c r="I21" s="2" t="s">
        <v>4</v>
      </c>
      <c r="J21" s="1" t="s">
        <v>27</v>
      </c>
      <c r="K21" s="1" t="s">
        <v>27</v>
      </c>
      <c r="L21" s="26"/>
      <c r="M21" s="26"/>
      <c r="N21" s="26"/>
      <c r="O21" s="26"/>
      <c r="P21" s="27"/>
      <c r="Q21" s="50"/>
      <c r="R21" s="26"/>
      <c r="S21" s="26"/>
      <c r="T21" s="19" t="s">
        <v>22</v>
      </c>
      <c r="U21" s="1">
        <v>250</v>
      </c>
      <c r="V21" s="1">
        <v>1000</v>
      </c>
      <c r="W21" s="45"/>
      <c r="X21" s="46">
        <v>2</v>
      </c>
      <c r="Y21" s="46">
        <v>2</v>
      </c>
      <c r="Z21" s="1">
        <f t="shared" si="1"/>
        <v>0</v>
      </c>
      <c r="AA21" s="1">
        <f t="shared" si="2"/>
        <v>0</v>
      </c>
      <c r="AB21" s="54">
        <f t="shared" si="3"/>
        <v>2</v>
      </c>
    </row>
    <row r="22" spans="1:28">
      <c r="A22" s="1" t="s">
        <v>27</v>
      </c>
      <c r="B22" s="3" t="s">
        <v>5</v>
      </c>
      <c r="C22" s="3" t="s">
        <v>5</v>
      </c>
      <c r="D22" s="26"/>
      <c r="E22" s="26"/>
      <c r="F22" s="26"/>
      <c r="G22" s="26"/>
      <c r="H22" s="27"/>
      <c r="I22" s="15" t="s">
        <v>17</v>
      </c>
      <c r="J22" s="1" t="s">
        <v>27</v>
      </c>
      <c r="K22" s="1" t="s">
        <v>27</v>
      </c>
      <c r="L22" s="26"/>
      <c r="M22" s="26"/>
      <c r="N22" s="26"/>
      <c r="O22" s="26"/>
      <c r="P22" s="27"/>
      <c r="Q22" s="50"/>
      <c r="R22" s="26"/>
      <c r="S22" s="26"/>
      <c r="T22" s="20" t="s">
        <v>23</v>
      </c>
      <c r="U22" s="1">
        <v>250</v>
      </c>
      <c r="V22" s="1">
        <v>500</v>
      </c>
      <c r="W22" s="45"/>
      <c r="X22" s="46">
        <v>2</v>
      </c>
      <c r="Y22" s="46">
        <v>2</v>
      </c>
      <c r="Z22" s="1">
        <f t="shared" si="1"/>
        <v>0</v>
      </c>
      <c r="AA22" s="1">
        <f t="shared" si="2"/>
        <v>0</v>
      </c>
      <c r="AB22" s="54">
        <f t="shared" si="3"/>
        <v>2</v>
      </c>
    </row>
    <row r="23" spans="1:28">
      <c r="A23" s="1" t="s">
        <v>27</v>
      </c>
      <c r="B23" s="3" t="s">
        <v>5</v>
      </c>
      <c r="C23" s="3" t="s">
        <v>5</v>
      </c>
      <c r="D23" s="26"/>
      <c r="E23" s="26"/>
      <c r="F23" s="26"/>
      <c r="G23" s="26"/>
      <c r="H23" s="27"/>
      <c r="I23" s="2" t="s">
        <v>4</v>
      </c>
      <c r="J23" s="1" t="s">
        <v>27</v>
      </c>
      <c r="K23" s="1" t="s">
        <v>27</v>
      </c>
      <c r="L23" s="26"/>
      <c r="M23" s="26"/>
      <c r="N23" s="26"/>
      <c r="O23" s="26"/>
      <c r="P23" s="27"/>
      <c r="Q23" s="50"/>
      <c r="R23" s="26"/>
      <c r="S23" s="26"/>
      <c r="T23" s="21" t="s">
        <v>24</v>
      </c>
      <c r="U23" s="1">
        <v>160</v>
      </c>
      <c r="V23" s="1">
        <v>40</v>
      </c>
      <c r="W23" s="45">
        <f t="shared" ref="W23:W26" si="8">U23-V23/0.330882</f>
        <v>39.110982162825422</v>
      </c>
      <c r="X23" s="46">
        <v>0</v>
      </c>
      <c r="Y23" s="46">
        <v>0</v>
      </c>
      <c r="Z23" s="1">
        <f t="shared" si="1"/>
        <v>0</v>
      </c>
      <c r="AA23" s="1">
        <f t="shared" si="2"/>
        <v>0</v>
      </c>
      <c r="AB23" s="54">
        <f t="shared" si="3"/>
        <v>0</v>
      </c>
    </row>
    <row r="24" spans="1:28">
      <c r="A24" s="1" t="s">
        <v>27</v>
      </c>
      <c r="B24" s="3" t="s">
        <v>5</v>
      </c>
      <c r="C24" s="16" t="s">
        <v>18</v>
      </c>
      <c r="D24" s="26"/>
      <c r="E24" s="26"/>
      <c r="F24" s="26"/>
      <c r="G24" s="26"/>
      <c r="H24" s="27"/>
      <c r="I24" s="2" t="s">
        <v>4</v>
      </c>
      <c r="J24" s="1" t="s">
        <v>27</v>
      </c>
      <c r="K24" s="1" t="s">
        <v>27</v>
      </c>
      <c r="L24" s="26"/>
      <c r="M24" s="26"/>
      <c r="N24" s="26"/>
      <c r="O24" s="26"/>
      <c r="P24" s="27"/>
      <c r="Q24" s="50"/>
      <c r="R24" s="26"/>
      <c r="S24" s="26"/>
      <c r="T24" s="21" t="s">
        <v>25</v>
      </c>
      <c r="U24" s="1">
        <v>160</v>
      </c>
      <c r="V24" s="1">
        <v>40</v>
      </c>
      <c r="W24" s="45">
        <f t="shared" si="8"/>
        <v>39.110982162825422</v>
      </c>
      <c r="X24" s="46">
        <v>0</v>
      </c>
      <c r="Y24" s="46">
        <v>0</v>
      </c>
      <c r="Z24" s="1">
        <f t="shared" si="1"/>
        <v>0</v>
      </c>
      <c r="AA24" s="1">
        <f t="shared" si="2"/>
        <v>0</v>
      </c>
      <c r="AB24" s="54">
        <f t="shared" si="3"/>
        <v>0</v>
      </c>
    </row>
    <row r="25" spans="1:28">
      <c r="A25" s="1" t="s">
        <v>27</v>
      </c>
      <c r="B25" s="3" t="s">
        <v>5</v>
      </c>
      <c r="C25" s="3" t="s">
        <v>5</v>
      </c>
      <c r="D25" s="26"/>
      <c r="E25" s="26"/>
      <c r="F25" s="26"/>
      <c r="G25" s="26"/>
      <c r="H25" s="27"/>
      <c r="I25" s="2" t="s">
        <v>4</v>
      </c>
      <c r="J25" s="1" t="s">
        <v>27</v>
      </c>
      <c r="K25" s="1" t="s">
        <v>27</v>
      </c>
      <c r="L25" s="26"/>
      <c r="M25" s="26"/>
      <c r="N25" s="26"/>
      <c r="O25" s="26"/>
      <c r="P25" s="27"/>
      <c r="Q25" s="50"/>
      <c r="R25" s="26"/>
      <c r="S25" s="26"/>
      <c r="T25" s="21" t="s">
        <v>26</v>
      </c>
      <c r="U25" s="1">
        <v>150</v>
      </c>
      <c r="V25" s="1">
        <v>35</v>
      </c>
      <c r="W25" s="45">
        <f t="shared" si="8"/>
        <v>44.222109392472248</v>
      </c>
      <c r="X25" s="46">
        <v>0</v>
      </c>
      <c r="Y25" s="46">
        <v>0</v>
      </c>
      <c r="Z25" s="1">
        <f t="shared" si="1"/>
        <v>0</v>
      </c>
      <c r="AA25" s="1">
        <f t="shared" si="2"/>
        <v>0</v>
      </c>
      <c r="AB25" s="54">
        <f t="shared" si="3"/>
        <v>0</v>
      </c>
    </row>
    <row r="26" spans="1:28">
      <c r="A26" s="1" t="s">
        <v>27</v>
      </c>
      <c r="B26" s="4" t="s">
        <v>6</v>
      </c>
      <c r="C26" s="3" t="s">
        <v>5</v>
      </c>
      <c r="D26" s="26"/>
      <c r="E26" s="26"/>
      <c r="F26" s="26"/>
      <c r="G26" s="26"/>
      <c r="H26" s="27"/>
      <c r="I26" s="15" t="s">
        <v>17</v>
      </c>
      <c r="J26" s="1" t="s">
        <v>27</v>
      </c>
      <c r="K26" s="1" t="s">
        <v>27</v>
      </c>
      <c r="L26" s="26"/>
      <c r="M26" s="26"/>
      <c r="N26" s="26"/>
      <c r="O26" s="26"/>
      <c r="P26" s="27"/>
      <c r="Q26" s="50"/>
      <c r="R26" s="26"/>
      <c r="S26" s="26"/>
      <c r="T26" s="22" t="s">
        <v>27</v>
      </c>
      <c r="U26" s="1">
        <v>0</v>
      </c>
      <c r="V26" s="1">
        <v>0</v>
      </c>
      <c r="W26" s="45">
        <f t="shared" si="8"/>
        <v>0</v>
      </c>
      <c r="X26" s="46">
        <v>0</v>
      </c>
      <c r="Y26" s="46">
        <v>0</v>
      </c>
      <c r="Z26" s="1"/>
      <c r="AA26" s="1"/>
      <c r="AB26" s="54"/>
    </row>
    <row r="27" spans="1:28">
      <c r="A27" s="1" t="s">
        <v>27</v>
      </c>
      <c r="B27" s="4" t="s">
        <v>6</v>
      </c>
      <c r="C27" s="4" t="s">
        <v>6</v>
      </c>
      <c r="D27" s="26"/>
      <c r="E27" s="26"/>
      <c r="F27" s="26"/>
      <c r="G27" s="26"/>
      <c r="H27" s="27"/>
      <c r="I27" s="1" t="s">
        <v>27</v>
      </c>
      <c r="J27" s="1" t="s">
        <v>27</v>
      </c>
      <c r="K27" s="1" t="s">
        <v>27</v>
      </c>
      <c r="L27" s="26"/>
      <c r="M27" s="26"/>
      <c r="N27" s="26"/>
      <c r="O27" s="26"/>
      <c r="P27" s="27"/>
      <c r="Q27" s="50"/>
      <c r="R27" s="26"/>
      <c r="S27" s="26"/>
      <c r="T27" s="16" t="s">
        <v>28</v>
      </c>
      <c r="U27" s="1">
        <v>-200</v>
      </c>
      <c r="V27" s="1">
        <v>0</v>
      </c>
      <c r="W27" s="45"/>
      <c r="X27" s="46">
        <v>12</v>
      </c>
      <c r="Y27" s="46">
        <v>12</v>
      </c>
      <c r="Z27" s="1">
        <f t="shared" si="1"/>
        <v>0</v>
      </c>
      <c r="AA27" s="1">
        <f t="shared" si="2"/>
        <v>1</v>
      </c>
      <c r="AB27" s="54">
        <f t="shared" si="3"/>
        <v>11</v>
      </c>
    </row>
    <row r="28" spans="1:28">
      <c r="A28" s="1" t="s">
        <v>27</v>
      </c>
      <c r="B28" s="4" t="s">
        <v>6</v>
      </c>
      <c r="C28" s="4" t="s">
        <v>6</v>
      </c>
      <c r="D28" s="26"/>
      <c r="E28" s="26"/>
      <c r="F28" s="26"/>
      <c r="G28" s="26"/>
      <c r="H28" s="27"/>
      <c r="I28" s="1" t="s">
        <v>27</v>
      </c>
      <c r="J28" s="1" t="s">
        <v>27</v>
      </c>
      <c r="K28" s="1" t="s">
        <v>27</v>
      </c>
      <c r="L28" s="26"/>
      <c r="M28" s="26"/>
      <c r="N28" s="26"/>
      <c r="O28" s="26"/>
      <c r="P28" s="27"/>
      <c r="Q28" s="50"/>
      <c r="R28" s="26"/>
      <c r="S28" s="26"/>
      <c r="T28" s="23" t="s">
        <v>29</v>
      </c>
      <c r="U28" s="1">
        <v>50</v>
      </c>
      <c r="V28" s="1">
        <v>520</v>
      </c>
      <c r="W28" s="45"/>
      <c r="X28" s="46">
        <v>3</v>
      </c>
      <c r="Y28" s="46">
        <v>3</v>
      </c>
      <c r="Z28" s="1">
        <f t="shared" si="1"/>
        <v>1</v>
      </c>
      <c r="AA28" s="1">
        <f t="shared" si="2"/>
        <v>0</v>
      </c>
      <c r="AB28" s="54">
        <f t="shared" si="3"/>
        <v>2</v>
      </c>
    </row>
    <row r="29" spans="1:28" ht="15.75" thickBot="1">
      <c r="A29" s="1" t="s">
        <v>27</v>
      </c>
      <c r="B29" s="4" t="s">
        <v>6</v>
      </c>
      <c r="C29" s="4" t="s">
        <v>6</v>
      </c>
      <c r="D29" s="26"/>
      <c r="E29" s="26"/>
      <c r="F29" s="26"/>
      <c r="G29" s="26"/>
      <c r="H29" s="27"/>
      <c r="I29" s="1" t="s">
        <v>27</v>
      </c>
      <c r="J29" s="1" t="s">
        <v>27</v>
      </c>
      <c r="K29" s="1" t="s">
        <v>27</v>
      </c>
      <c r="L29" s="26"/>
      <c r="M29" s="26"/>
      <c r="N29" s="26"/>
      <c r="O29" s="26"/>
      <c r="P29" s="27"/>
      <c r="Q29" s="56"/>
      <c r="R29" s="31"/>
      <c r="S29" s="31"/>
      <c r="T29" s="30"/>
      <c r="U29" s="30"/>
      <c r="V29" s="30"/>
      <c r="W29" s="30"/>
      <c r="X29" s="30"/>
      <c r="Y29" s="30"/>
      <c r="Z29" s="30"/>
      <c r="AA29" s="30"/>
      <c r="AB29" s="57"/>
    </row>
    <row r="30" spans="1:28">
      <c r="A30" s="1" t="s">
        <v>27</v>
      </c>
      <c r="B30" s="4" t="s">
        <v>6</v>
      </c>
      <c r="C30" s="4" t="s">
        <v>6</v>
      </c>
      <c r="D30" s="26"/>
      <c r="E30" s="26"/>
      <c r="F30" s="26"/>
      <c r="G30" s="26"/>
      <c r="H30" s="27"/>
      <c r="I30" s="1" t="s">
        <v>27</v>
      </c>
      <c r="J30" s="1" t="s">
        <v>27</v>
      </c>
      <c r="K30" s="1" t="s">
        <v>27</v>
      </c>
      <c r="L30" s="26"/>
      <c r="M30" s="26"/>
      <c r="N30" s="26"/>
      <c r="O30" s="26"/>
      <c r="P30" s="27"/>
    </row>
    <row r="31" spans="1:28">
      <c r="A31" s="1" t="s">
        <v>27</v>
      </c>
      <c r="B31" s="4" t="s">
        <v>6</v>
      </c>
      <c r="C31" s="4" t="s">
        <v>6</v>
      </c>
      <c r="D31" s="26"/>
      <c r="E31" s="26"/>
      <c r="F31" s="26"/>
      <c r="G31" s="26"/>
      <c r="H31" s="27"/>
      <c r="I31" s="1" t="s">
        <v>27</v>
      </c>
      <c r="J31" s="1" t="s">
        <v>27</v>
      </c>
      <c r="K31" s="1" t="s">
        <v>27</v>
      </c>
      <c r="L31" s="26"/>
      <c r="M31" s="26"/>
      <c r="N31" s="26"/>
      <c r="O31" s="26"/>
      <c r="P31" s="27"/>
      <c r="Y31">
        <f>SUM(Y3:Y28)</f>
        <v>1076</v>
      </c>
    </row>
    <row r="32" spans="1:28">
      <c r="A32" s="1" t="s">
        <v>27</v>
      </c>
      <c r="B32" s="4" t="s">
        <v>6</v>
      </c>
      <c r="C32" s="17" t="s">
        <v>20</v>
      </c>
      <c r="D32" s="26"/>
      <c r="E32" s="26"/>
      <c r="F32" s="26"/>
      <c r="G32" s="26"/>
      <c r="H32" s="27"/>
      <c r="I32" s="1" t="s">
        <v>27</v>
      </c>
      <c r="J32" s="1" t="s">
        <v>27</v>
      </c>
      <c r="K32" s="1" t="s">
        <v>27</v>
      </c>
      <c r="L32" s="26"/>
      <c r="M32" s="26"/>
      <c r="N32" s="26"/>
      <c r="O32" s="26"/>
      <c r="P32" s="27"/>
      <c r="Q32" t="s">
        <v>57</v>
      </c>
      <c r="R32">
        <v>1</v>
      </c>
      <c r="S32" t="s">
        <v>59</v>
      </c>
    </row>
    <row r="33" spans="1:19">
      <c r="A33" s="1" t="s">
        <v>27</v>
      </c>
      <c r="B33" s="4" t="s">
        <v>6</v>
      </c>
      <c r="C33" s="3" t="s">
        <v>5</v>
      </c>
      <c r="D33" s="26"/>
      <c r="E33" s="26"/>
      <c r="F33" s="26"/>
      <c r="G33" s="26"/>
      <c r="H33" s="27"/>
      <c r="I33" s="1" t="s">
        <v>27</v>
      </c>
      <c r="J33" s="1" t="s">
        <v>27</v>
      </c>
      <c r="K33" s="1" t="s">
        <v>27</v>
      </c>
      <c r="L33" s="26"/>
      <c r="M33" s="26"/>
      <c r="N33" s="26"/>
      <c r="O33" s="26"/>
      <c r="P33" s="27"/>
      <c r="R33">
        <v>2</v>
      </c>
      <c r="S33" t="s">
        <v>60</v>
      </c>
    </row>
    <row r="34" spans="1:19">
      <c r="A34" s="1" t="s">
        <v>27</v>
      </c>
      <c r="B34" s="17" t="s">
        <v>20</v>
      </c>
      <c r="C34" s="3" t="s">
        <v>5</v>
      </c>
      <c r="D34" s="26"/>
      <c r="E34" s="26"/>
      <c r="F34" s="26"/>
      <c r="G34" s="26"/>
      <c r="H34" s="27"/>
      <c r="I34" s="28" t="s">
        <v>27</v>
      </c>
      <c r="J34" s="1" t="s">
        <v>27</v>
      </c>
      <c r="K34" s="1" t="s">
        <v>27</v>
      </c>
      <c r="L34" s="26"/>
      <c r="M34" s="26"/>
      <c r="N34" s="26"/>
      <c r="O34" s="26"/>
      <c r="P34" s="27"/>
      <c r="R34">
        <v>3</v>
      </c>
      <c r="S34" t="s">
        <v>58</v>
      </c>
    </row>
    <row r="35" spans="1:19">
      <c r="A35" s="1" t="s">
        <v>27</v>
      </c>
      <c r="B35" s="3" t="s">
        <v>5</v>
      </c>
      <c r="C35" s="3" t="s">
        <v>5</v>
      </c>
      <c r="D35" s="26"/>
      <c r="E35" s="26"/>
      <c r="F35" s="26"/>
      <c r="G35" s="26"/>
      <c r="H35" s="27"/>
      <c r="I35" s="28" t="s">
        <v>27</v>
      </c>
      <c r="J35" s="1" t="s">
        <v>27</v>
      </c>
      <c r="K35" s="1" t="s">
        <v>27</v>
      </c>
      <c r="L35" s="26"/>
      <c r="M35" s="26"/>
      <c r="N35" s="26"/>
      <c r="O35" s="26"/>
      <c r="P35" s="27"/>
      <c r="R35">
        <v>4</v>
      </c>
      <c r="S35" t="s">
        <v>61</v>
      </c>
    </row>
    <row r="36" spans="1:19">
      <c r="A36" s="1" t="s">
        <v>27</v>
      </c>
      <c r="B36" s="3" t="s">
        <v>5</v>
      </c>
      <c r="C36" s="15" t="s">
        <v>17</v>
      </c>
      <c r="D36" s="26"/>
      <c r="E36" s="26"/>
      <c r="F36" s="26"/>
      <c r="G36" s="26"/>
      <c r="H36" s="27"/>
      <c r="I36" s="28" t="s">
        <v>27</v>
      </c>
      <c r="J36" s="1" t="s">
        <v>27</v>
      </c>
      <c r="K36" s="1" t="s">
        <v>27</v>
      </c>
      <c r="L36" s="26"/>
      <c r="M36" s="26"/>
      <c r="N36" s="26"/>
      <c r="O36" s="26"/>
      <c r="P36" s="27"/>
      <c r="S36" t="s">
        <v>62</v>
      </c>
    </row>
    <row r="37" spans="1:19">
      <c r="A37" s="1" t="s">
        <v>27</v>
      </c>
      <c r="B37" s="4" t="s">
        <v>6</v>
      </c>
      <c r="C37" s="3" t="s">
        <v>5</v>
      </c>
      <c r="D37" s="26"/>
      <c r="E37" s="26"/>
      <c r="F37" s="26"/>
      <c r="G37" s="26"/>
      <c r="H37" s="27"/>
      <c r="I37" s="28" t="s">
        <v>27</v>
      </c>
      <c r="J37" s="1" t="s">
        <v>27</v>
      </c>
      <c r="K37" s="1" t="s">
        <v>27</v>
      </c>
      <c r="L37" s="26"/>
      <c r="M37" s="26"/>
      <c r="N37" s="26"/>
      <c r="O37" s="26"/>
      <c r="P37" s="27"/>
      <c r="R37">
        <v>5</v>
      </c>
      <c r="S37" t="s">
        <v>63</v>
      </c>
    </row>
    <row r="38" spans="1:19">
      <c r="A38" s="1" t="s">
        <v>27</v>
      </c>
      <c r="B38" s="4" t="s">
        <v>6</v>
      </c>
      <c r="C38" s="3" t="s">
        <v>5</v>
      </c>
      <c r="D38" s="26"/>
      <c r="E38" s="26"/>
      <c r="F38" s="26"/>
      <c r="G38" s="26"/>
      <c r="H38" s="27"/>
      <c r="I38" s="28" t="s">
        <v>27</v>
      </c>
      <c r="J38" s="1" t="s">
        <v>27</v>
      </c>
      <c r="K38" s="1" t="s">
        <v>27</v>
      </c>
      <c r="L38" s="26"/>
      <c r="M38" s="26"/>
      <c r="N38" s="26"/>
      <c r="O38" s="26"/>
      <c r="P38" s="27"/>
      <c r="R38">
        <v>6</v>
      </c>
      <c r="S38" t="s">
        <v>71</v>
      </c>
    </row>
    <row r="39" spans="1:19">
      <c r="A39" s="1" t="s">
        <v>27</v>
      </c>
      <c r="B39" s="4" t="s">
        <v>6</v>
      </c>
      <c r="C39" s="4" t="s">
        <v>6</v>
      </c>
      <c r="D39" s="26"/>
      <c r="E39" s="26"/>
      <c r="F39" s="26"/>
      <c r="G39" s="26"/>
      <c r="H39" s="27"/>
      <c r="I39" s="28" t="s">
        <v>27</v>
      </c>
      <c r="J39" s="1" t="s">
        <v>27</v>
      </c>
      <c r="K39" s="1" t="s">
        <v>27</v>
      </c>
      <c r="L39" s="26"/>
      <c r="M39" s="26"/>
      <c r="N39" s="26"/>
      <c r="O39" s="26"/>
      <c r="P39" s="27"/>
      <c r="R39">
        <v>7</v>
      </c>
      <c r="S39" t="s">
        <v>65</v>
      </c>
    </row>
    <row r="40" spans="1:19">
      <c r="A40" s="1" t="s">
        <v>27</v>
      </c>
      <c r="B40" s="17" t="s">
        <v>19</v>
      </c>
      <c r="C40" s="4" t="s">
        <v>6</v>
      </c>
      <c r="D40" s="26"/>
      <c r="E40" s="26"/>
      <c r="F40" s="26"/>
      <c r="G40" s="26"/>
      <c r="H40" s="27"/>
      <c r="I40" s="28" t="s">
        <v>27</v>
      </c>
      <c r="J40" s="1" t="s">
        <v>27</v>
      </c>
      <c r="K40" s="1" t="s">
        <v>27</v>
      </c>
      <c r="L40" s="26"/>
      <c r="M40" s="26"/>
      <c r="N40" s="26"/>
      <c r="O40" s="26"/>
      <c r="P40" s="27"/>
    </row>
    <row r="41" spans="1:19">
      <c r="A41" s="1" t="s">
        <v>27</v>
      </c>
      <c r="B41" s="4" t="s">
        <v>6</v>
      </c>
      <c r="C41" s="9" t="s">
        <v>11</v>
      </c>
      <c r="D41" s="26"/>
      <c r="E41" s="26"/>
      <c r="F41" s="26"/>
      <c r="G41" s="26"/>
      <c r="H41" s="27"/>
      <c r="I41" s="28" t="s">
        <v>27</v>
      </c>
      <c r="J41" s="1" t="s">
        <v>27</v>
      </c>
      <c r="K41" s="1" t="s">
        <v>27</v>
      </c>
      <c r="L41" s="26"/>
      <c r="M41" s="26"/>
      <c r="N41" s="26"/>
      <c r="O41" s="26"/>
      <c r="P41" s="27"/>
    </row>
    <row r="42" spans="1:19">
      <c r="A42" s="1" t="s">
        <v>27</v>
      </c>
      <c r="B42" s="16" t="s">
        <v>18</v>
      </c>
      <c r="C42" s="4" t="s">
        <v>6</v>
      </c>
      <c r="D42" s="26"/>
      <c r="E42" s="26"/>
      <c r="F42" s="26"/>
      <c r="G42" s="26"/>
      <c r="H42" s="27"/>
      <c r="I42" s="28" t="s">
        <v>27</v>
      </c>
      <c r="J42" s="1" t="s">
        <v>27</v>
      </c>
      <c r="K42" s="1" t="s">
        <v>27</v>
      </c>
      <c r="L42" s="26"/>
      <c r="M42" s="26"/>
      <c r="N42" s="26"/>
      <c r="O42" s="26"/>
      <c r="P42" s="27"/>
    </row>
    <row r="43" spans="1:19">
      <c r="A43" s="1" t="s">
        <v>27</v>
      </c>
      <c r="B43" s="3" t="s">
        <v>5</v>
      </c>
      <c r="C43" s="17" t="s">
        <v>19</v>
      </c>
      <c r="D43" s="26"/>
      <c r="E43" s="26"/>
      <c r="F43" s="26"/>
      <c r="G43" s="26"/>
      <c r="H43" s="27"/>
      <c r="I43" s="28" t="s">
        <v>27</v>
      </c>
      <c r="J43" s="1" t="s">
        <v>27</v>
      </c>
      <c r="K43" s="1" t="s">
        <v>27</v>
      </c>
      <c r="L43" s="26"/>
      <c r="M43" s="26"/>
      <c r="N43" s="26"/>
      <c r="O43" s="26"/>
      <c r="P43" s="27"/>
    </row>
    <row r="44" spans="1:19">
      <c r="A44" s="1" t="s">
        <v>27</v>
      </c>
      <c r="B44" s="9" t="s">
        <v>11</v>
      </c>
      <c r="C44" s="4" t="s">
        <v>6</v>
      </c>
      <c r="D44" s="26"/>
      <c r="E44" s="26"/>
      <c r="F44" s="26"/>
      <c r="G44" s="26"/>
      <c r="H44" s="27"/>
      <c r="I44" s="28" t="s">
        <v>27</v>
      </c>
      <c r="J44" s="1" t="s">
        <v>27</v>
      </c>
      <c r="K44" s="1" t="s">
        <v>27</v>
      </c>
      <c r="L44" s="26"/>
      <c r="M44" s="26"/>
      <c r="N44" s="26"/>
      <c r="O44" s="26"/>
      <c r="P44" s="27"/>
    </row>
    <row r="45" spans="1:19">
      <c r="A45" s="1" t="s">
        <v>27</v>
      </c>
      <c r="B45" s="3" t="s">
        <v>5</v>
      </c>
      <c r="C45" s="4" t="s">
        <v>6</v>
      </c>
      <c r="D45" s="26"/>
      <c r="E45" s="26"/>
      <c r="F45" s="26"/>
      <c r="G45" s="26"/>
      <c r="H45" s="27"/>
      <c r="I45" s="28" t="s">
        <v>27</v>
      </c>
      <c r="J45" s="1" t="s">
        <v>27</v>
      </c>
      <c r="K45" s="1" t="s">
        <v>27</v>
      </c>
      <c r="L45" s="26"/>
      <c r="M45" s="26"/>
      <c r="N45" s="26"/>
      <c r="O45" s="26"/>
      <c r="P45" s="27"/>
    </row>
    <row r="46" spans="1:19">
      <c r="A46" s="1" t="s">
        <v>27</v>
      </c>
      <c r="B46" s="15" t="s">
        <v>17</v>
      </c>
      <c r="C46" s="4" t="s">
        <v>6</v>
      </c>
      <c r="D46" s="26"/>
      <c r="E46" s="26"/>
      <c r="F46" s="26"/>
      <c r="G46" s="26"/>
      <c r="H46" s="27"/>
      <c r="I46" s="28" t="s">
        <v>27</v>
      </c>
      <c r="J46" s="1" t="s">
        <v>27</v>
      </c>
      <c r="K46" s="1" t="s">
        <v>27</v>
      </c>
      <c r="L46" s="26"/>
      <c r="M46" s="26"/>
      <c r="N46" s="26"/>
      <c r="O46" s="26"/>
      <c r="P46" s="27"/>
    </row>
    <row r="47" spans="1:19">
      <c r="A47" s="1" t="s">
        <v>27</v>
      </c>
      <c r="B47" s="3" t="s">
        <v>5</v>
      </c>
      <c r="C47" s="4" t="s">
        <v>6</v>
      </c>
      <c r="D47" s="26"/>
      <c r="E47" s="26"/>
      <c r="F47" s="26"/>
      <c r="G47" s="26"/>
      <c r="H47" s="27"/>
      <c r="I47" s="28" t="s">
        <v>27</v>
      </c>
      <c r="J47" s="1" t="s">
        <v>27</v>
      </c>
      <c r="K47" s="1" t="s">
        <v>27</v>
      </c>
      <c r="L47" s="26"/>
      <c r="M47" s="26"/>
      <c r="N47" s="26"/>
      <c r="O47" s="26"/>
      <c r="P47" s="27"/>
    </row>
    <row r="48" spans="1:19">
      <c r="A48" s="1" t="s">
        <v>27</v>
      </c>
      <c r="B48" s="4" t="s">
        <v>6</v>
      </c>
      <c r="C48" s="16" t="s">
        <v>18</v>
      </c>
      <c r="D48" s="26"/>
      <c r="E48" s="26"/>
      <c r="F48" s="26"/>
      <c r="G48" s="26"/>
      <c r="H48" s="27"/>
      <c r="I48" s="28" t="s">
        <v>27</v>
      </c>
      <c r="J48" s="1" t="s">
        <v>27</v>
      </c>
      <c r="K48" s="1" t="s">
        <v>27</v>
      </c>
      <c r="L48" s="26"/>
      <c r="M48" s="26"/>
      <c r="N48" s="26"/>
      <c r="O48" s="26"/>
      <c r="P48" s="27"/>
    </row>
    <row r="49" spans="1:16">
      <c r="A49" s="1" t="s">
        <v>27</v>
      </c>
      <c r="B49" s="2" t="s">
        <v>4</v>
      </c>
      <c r="C49" s="4" t="s">
        <v>6</v>
      </c>
      <c r="D49" s="26"/>
      <c r="E49" s="26"/>
      <c r="F49" s="26"/>
      <c r="G49" s="26"/>
      <c r="H49" s="27"/>
      <c r="I49" s="28" t="s">
        <v>27</v>
      </c>
      <c r="J49" s="1" t="s">
        <v>27</v>
      </c>
      <c r="K49" s="1" t="s">
        <v>27</v>
      </c>
      <c r="L49" s="26"/>
      <c r="M49" s="26"/>
      <c r="N49" s="26"/>
      <c r="O49" s="26"/>
      <c r="P49" s="27"/>
    </row>
    <row r="50" spans="1:16">
      <c r="A50" s="1" t="s">
        <v>27</v>
      </c>
      <c r="B50" s="4" t="s">
        <v>6</v>
      </c>
      <c r="C50" s="4" t="s">
        <v>6</v>
      </c>
      <c r="D50" s="26"/>
      <c r="E50" s="26"/>
      <c r="F50" s="26"/>
      <c r="G50" s="26"/>
      <c r="H50" s="27"/>
      <c r="I50" s="28" t="s">
        <v>27</v>
      </c>
      <c r="J50" s="1" t="s">
        <v>27</v>
      </c>
      <c r="K50" s="1" t="s">
        <v>27</v>
      </c>
      <c r="L50" s="26"/>
      <c r="M50" s="26"/>
      <c r="N50" s="26"/>
      <c r="O50" s="26"/>
      <c r="P50" s="27"/>
    </row>
    <row r="51" spans="1:16">
      <c r="A51" s="1" t="s">
        <v>27</v>
      </c>
      <c r="B51" s="17" t="s">
        <v>20</v>
      </c>
      <c r="C51" s="17" t="s">
        <v>20</v>
      </c>
      <c r="D51" s="26"/>
      <c r="E51" s="26"/>
      <c r="F51" s="26"/>
      <c r="G51" s="26"/>
      <c r="H51" s="27"/>
      <c r="I51" s="28" t="s">
        <v>27</v>
      </c>
      <c r="J51" s="1" t="s">
        <v>27</v>
      </c>
      <c r="K51" s="1" t="s">
        <v>27</v>
      </c>
      <c r="L51" s="26"/>
      <c r="M51" s="26"/>
      <c r="N51" s="26"/>
      <c r="O51" s="26"/>
      <c r="P51" s="27"/>
    </row>
    <row r="52" spans="1:16">
      <c r="A52" s="1" t="s">
        <v>27</v>
      </c>
      <c r="B52" s="1" t="s">
        <v>27</v>
      </c>
      <c r="C52" s="1" t="s">
        <v>27</v>
      </c>
      <c r="D52" s="26"/>
      <c r="E52" s="26"/>
      <c r="F52" s="26"/>
      <c r="G52" s="26"/>
      <c r="H52" s="27"/>
      <c r="I52" s="28" t="s">
        <v>27</v>
      </c>
      <c r="J52" s="1" t="s">
        <v>27</v>
      </c>
      <c r="K52" s="1" t="s">
        <v>27</v>
      </c>
      <c r="L52" s="26"/>
      <c r="M52" s="26"/>
      <c r="N52" s="26"/>
      <c r="O52" s="26"/>
      <c r="P52" s="27"/>
    </row>
    <row r="53" spans="1:16">
      <c r="A53" s="1" t="s">
        <v>27</v>
      </c>
      <c r="B53" s="1" t="s">
        <v>27</v>
      </c>
      <c r="C53" s="1" t="s">
        <v>27</v>
      </c>
      <c r="D53" s="26"/>
      <c r="E53" s="26"/>
      <c r="F53" s="26"/>
      <c r="G53" s="26"/>
      <c r="H53" s="27"/>
      <c r="I53" s="28" t="s">
        <v>27</v>
      </c>
      <c r="J53" s="1" t="s">
        <v>27</v>
      </c>
      <c r="K53" s="1" t="s">
        <v>27</v>
      </c>
      <c r="L53" s="26"/>
      <c r="M53" s="26"/>
      <c r="N53" s="26"/>
      <c r="O53" s="26"/>
      <c r="P53" s="27"/>
    </row>
    <row r="54" spans="1:16">
      <c r="A54" s="1" t="s">
        <v>27</v>
      </c>
      <c r="B54" s="1" t="s">
        <v>27</v>
      </c>
      <c r="C54" s="1" t="s">
        <v>27</v>
      </c>
      <c r="D54" s="26"/>
      <c r="E54" s="26"/>
      <c r="F54" s="26"/>
      <c r="G54" s="26"/>
      <c r="H54" s="27"/>
      <c r="I54" s="28" t="s">
        <v>27</v>
      </c>
      <c r="J54" s="1" t="s">
        <v>27</v>
      </c>
      <c r="K54" s="1" t="s">
        <v>27</v>
      </c>
      <c r="L54" s="26"/>
      <c r="M54" s="26"/>
      <c r="N54" s="26"/>
      <c r="O54" s="26"/>
      <c r="P54" s="27"/>
    </row>
    <row r="55" spans="1:16">
      <c r="A55" s="1" t="s">
        <v>27</v>
      </c>
      <c r="B55" s="1" t="s">
        <v>27</v>
      </c>
      <c r="C55" s="1" t="s">
        <v>27</v>
      </c>
      <c r="D55" s="26"/>
      <c r="E55" s="26"/>
      <c r="F55" s="26"/>
      <c r="G55" s="26"/>
      <c r="H55" s="27"/>
      <c r="I55" s="28" t="s">
        <v>27</v>
      </c>
      <c r="J55" s="1" t="s">
        <v>27</v>
      </c>
      <c r="K55" s="1" t="s">
        <v>27</v>
      </c>
      <c r="L55" s="26"/>
      <c r="M55" s="26"/>
      <c r="N55" s="26"/>
      <c r="O55" s="26"/>
      <c r="P55" s="27"/>
    </row>
    <row r="56" spans="1:16">
      <c r="A56" s="28" t="s">
        <v>27</v>
      </c>
      <c r="B56" s="1" t="s">
        <v>27</v>
      </c>
      <c r="C56" s="1" t="s">
        <v>27</v>
      </c>
      <c r="D56" s="26"/>
      <c r="E56" s="26"/>
      <c r="F56" s="26"/>
      <c r="G56" s="26"/>
      <c r="H56" s="27"/>
      <c r="I56" s="28" t="s">
        <v>27</v>
      </c>
      <c r="J56" s="1" t="s">
        <v>27</v>
      </c>
      <c r="K56" s="1" t="s">
        <v>27</v>
      </c>
      <c r="L56" s="26"/>
      <c r="M56" s="26"/>
      <c r="N56" s="26"/>
      <c r="O56" s="26"/>
      <c r="P56" s="27"/>
    </row>
    <row r="57" spans="1:16">
      <c r="A57" s="28" t="s">
        <v>27</v>
      </c>
      <c r="B57" s="1" t="s">
        <v>27</v>
      </c>
      <c r="C57" s="1" t="s">
        <v>27</v>
      </c>
      <c r="D57" s="26"/>
      <c r="E57" s="26"/>
      <c r="F57" s="26"/>
      <c r="G57" s="26"/>
      <c r="H57" s="27"/>
      <c r="I57" s="28" t="s">
        <v>27</v>
      </c>
      <c r="J57" s="1" t="s">
        <v>27</v>
      </c>
      <c r="K57" s="1" t="s">
        <v>27</v>
      </c>
      <c r="L57" s="26"/>
      <c r="M57" s="26"/>
      <c r="N57" s="26"/>
      <c r="O57" s="26"/>
      <c r="P57" s="27"/>
    </row>
    <row r="58" spans="1:16">
      <c r="A58" s="28" t="s">
        <v>27</v>
      </c>
      <c r="B58" s="1" t="s">
        <v>27</v>
      </c>
      <c r="C58" s="1" t="s">
        <v>27</v>
      </c>
      <c r="D58" s="26"/>
      <c r="E58" s="26"/>
      <c r="F58" s="26"/>
      <c r="G58" s="26"/>
      <c r="H58" s="27"/>
      <c r="I58" s="28" t="s">
        <v>27</v>
      </c>
      <c r="J58" s="1" t="s">
        <v>27</v>
      </c>
      <c r="K58" s="1" t="s">
        <v>27</v>
      </c>
      <c r="L58" s="26"/>
      <c r="M58" s="26"/>
      <c r="N58" s="26"/>
      <c r="O58" s="26"/>
      <c r="P58" s="27"/>
    </row>
    <row r="59" spans="1:16">
      <c r="A59" s="28" t="s">
        <v>27</v>
      </c>
      <c r="B59" s="1" t="s">
        <v>27</v>
      </c>
      <c r="C59" s="1" t="s">
        <v>27</v>
      </c>
      <c r="D59" s="26"/>
      <c r="E59" s="26"/>
      <c r="F59" s="26"/>
      <c r="G59" s="26"/>
      <c r="H59" s="27"/>
      <c r="I59" s="28" t="s">
        <v>27</v>
      </c>
      <c r="J59" s="1" t="s">
        <v>27</v>
      </c>
      <c r="K59" s="1" t="s">
        <v>27</v>
      </c>
      <c r="L59" s="26"/>
      <c r="M59" s="26"/>
      <c r="N59" s="26"/>
      <c r="O59" s="26"/>
      <c r="P59" s="27"/>
    </row>
    <row r="60" spans="1:16">
      <c r="A60" s="28" t="s">
        <v>27</v>
      </c>
      <c r="B60" s="1" t="s">
        <v>27</v>
      </c>
      <c r="C60" s="1" t="s">
        <v>27</v>
      </c>
      <c r="D60" s="26"/>
      <c r="E60" s="26"/>
      <c r="F60" s="26"/>
      <c r="G60" s="26"/>
      <c r="H60" s="27"/>
      <c r="I60" s="28" t="s">
        <v>27</v>
      </c>
      <c r="J60" s="1" t="s">
        <v>27</v>
      </c>
      <c r="K60" s="1" t="s">
        <v>27</v>
      </c>
      <c r="L60" s="26"/>
      <c r="M60" s="26"/>
      <c r="N60" s="26"/>
      <c r="O60" s="26"/>
      <c r="P60" s="27"/>
    </row>
    <row r="61" spans="1:16">
      <c r="A61" s="28" t="s">
        <v>27</v>
      </c>
      <c r="B61" s="1" t="s">
        <v>27</v>
      </c>
      <c r="C61" s="1" t="s">
        <v>27</v>
      </c>
      <c r="D61" s="26"/>
      <c r="E61" s="26"/>
      <c r="F61" s="26"/>
      <c r="G61" s="26"/>
      <c r="H61" s="27"/>
      <c r="I61" s="28" t="s">
        <v>27</v>
      </c>
      <c r="J61" s="1" t="s">
        <v>27</v>
      </c>
      <c r="K61" s="1" t="s">
        <v>27</v>
      </c>
      <c r="L61" s="26"/>
      <c r="M61" s="26"/>
      <c r="N61" s="26"/>
      <c r="O61" s="26"/>
      <c r="P61" s="27"/>
    </row>
    <row r="62" spans="1:16">
      <c r="A62" s="28" t="s">
        <v>27</v>
      </c>
      <c r="B62" s="1" t="s">
        <v>27</v>
      </c>
      <c r="C62" s="1" t="s">
        <v>27</v>
      </c>
      <c r="D62" s="26"/>
      <c r="E62" s="26"/>
      <c r="F62" s="26"/>
      <c r="G62" s="26"/>
      <c r="H62" s="27"/>
      <c r="I62" s="28" t="s">
        <v>27</v>
      </c>
      <c r="J62" s="1" t="s">
        <v>27</v>
      </c>
      <c r="K62" s="1" t="s">
        <v>27</v>
      </c>
      <c r="L62" s="26"/>
      <c r="M62" s="26"/>
      <c r="N62" s="26"/>
      <c r="O62" s="26"/>
      <c r="P62" s="27"/>
    </row>
    <row r="63" spans="1:16">
      <c r="A63" s="28" t="s">
        <v>27</v>
      </c>
      <c r="B63" s="1" t="s">
        <v>27</v>
      </c>
      <c r="C63" s="1" t="s">
        <v>27</v>
      </c>
      <c r="D63" s="26"/>
      <c r="E63" s="26"/>
      <c r="F63" s="26"/>
      <c r="G63" s="26"/>
      <c r="H63" s="27"/>
      <c r="I63" s="28" t="s">
        <v>27</v>
      </c>
      <c r="J63" s="1" t="s">
        <v>27</v>
      </c>
      <c r="K63" s="1" t="s">
        <v>27</v>
      </c>
      <c r="L63" s="26"/>
      <c r="M63" s="26"/>
      <c r="N63" s="26"/>
      <c r="O63" s="26"/>
      <c r="P63" s="27"/>
    </row>
    <row r="64" spans="1:16">
      <c r="A64" s="28" t="s">
        <v>27</v>
      </c>
      <c r="B64" s="1" t="s">
        <v>27</v>
      </c>
      <c r="C64" s="1" t="s">
        <v>27</v>
      </c>
      <c r="D64" s="26"/>
      <c r="E64" s="26"/>
      <c r="F64" s="26"/>
      <c r="G64" s="26"/>
      <c r="H64" s="27"/>
      <c r="I64" s="28" t="s">
        <v>27</v>
      </c>
      <c r="J64" s="1" t="s">
        <v>27</v>
      </c>
      <c r="K64" s="1" t="s">
        <v>27</v>
      </c>
      <c r="L64" s="26"/>
      <c r="M64" s="26"/>
      <c r="N64" s="26"/>
      <c r="O64" s="26"/>
      <c r="P64" s="27"/>
    </row>
    <row r="65" spans="1:16">
      <c r="A65" s="28" t="s">
        <v>27</v>
      </c>
      <c r="B65" s="1" t="s">
        <v>27</v>
      </c>
      <c r="C65" s="1" t="s">
        <v>27</v>
      </c>
      <c r="D65" s="26"/>
      <c r="E65" s="26"/>
      <c r="F65" s="26"/>
      <c r="G65" s="26"/>
      <c r="H65" s="27"/>
      <c r="I65" s="28" t="s">
        <v>27</v>
      </c>
      <c r="J65" s="1" t="s">
        <v>27</v>
      </c>
      <c r="K65" s="1" t="s">
        <v>27</v>
      </c>
      <c r="L65" s="26"/>
      <c r="M65" s="26"/>
      <c r="N65" s="26"/>
      <c r="O65" s="26"/>
      <c r="P65" s="27"/>
    </row>
    <row r="66" spans="1:16">
      <c r="A66" s="28" t="s">
        <v>27</v>
      </c>
      <c r="B66" s="1" t="s">
        <v>27</v>
      </c>
      <c r="C66" s="1" t="s">
        <v>27</v>
      </c>
      <c r="D66" s="26"/>
      <c r="E66" s="26"/>
      <c r="F66" s="26"/>
      <c r="G66" s="26"/>
      <c r="H66" s="27"/>
      <c r="I66" s="28" t="s">
        <v>27</v>
      </c>
      <c r="J66" s="1" t="s">
        <v>27</v>
      </c>
      <c r="K66" s="1" t="s">
        <v>27</v>
      </c>
      <c r="L66" s="26"/>
      <c r="M66" s="26"/>
      <c r="N66" s="26"/>
      <c r="O66" s="26"/>
      <c r="P66" s="27"/>
    </row>
    <row r="67" spans="1:16">
      <c r="A67" s="28" t="s">
        <v>27</v>
      </c>
      <c r="B67" s="1" t="s">
        <v>27</v>
      </c>
      <c r="C67" s="1" t="s">
        <v>27</v>
      </c>
      <c r="D67" s="26"/>
      <c r="E67" s="26"/>
      <c r="F67" s="26"/>
      <c r="G67" s="26"/>
      <c r="H67" s="27"/>
      <c r="I67" s="28" t="s">
        <v>27</v>
      </c>
      <c r="J67" s="1" t="s">
        <v>27</v>
      </c>
      <c r="K67" s="1" t="s">
        <v>27</v>
      </c>
      <c r="L67" s="26"/>
      <c r="M67" s="26"/>
      <c r="N67" s="26"/>
      <c r="O67" s="26"/>
      <c r="P67" s="27"/>
    </row>
    <row r="68" spans="1:16">
      <c r="A68" s="28" t="s">
        <v>27</v>
      </c>
      <c r="B68" s="1" t="s">
        <v>27</v>
      </c>
      <c r="C68" s="1" t="s">
        <v>27</v>
      </c>
      <c r="D68" s="26"/>
      <c r="E68" s="26"/>
      <c r="F68" s="26"/>
      <c r="G68" s="26"/>
      <c r="H68" s="27"/>
      <c r="I68" s="28" t="s">
        <v>27</v>
      </c>
      <c r="J68" s="1" t="s">
        <v>27</v>
      </c>
      <c r="K68" s="1" t="s">
        <v>27</v>
      </c>
      <c r="L68" s="26"/>
      <c r="M68" s="26"/>
      <c r="N68" s="26"/>
      <c r="O68" s="26"/>
      <c r="P68" s="27"/>
    </row>
    <row r="69" spans="1:16">
      <c r="A69" s="28" t="s">
        <v>27</v>
      </c>
      <c r="B69" s="1" t="s">
        <v>27</v>
      </c>
      <c r="C69" s="1" t="s">
        <v>27</v>
      </c>
      <c r="D69" s="26"/>
      <c r="E69" s="26"/>
      <c r="F69" s="26"/>
      <c r="G69" s="26"/>
      <c r="H69" s="27"/>
      <c r="I69" s="28" t="s">
        <v>27</v>
      </c>
      <c r="J69" s="1" t="s">
        <v>27</v>
      </c>
      <c r="K69" s="1" t="s">
        <v>27</v>
      </c>
      <c r="L69" s="26"/>
      <c r="M69" s="26"/>
      <c r="N69" s="26"/>
      <c r="O69" s="26"/>
      <c r="P69" s="27"/>
    </row>
    <row r="70" spans="1:16">
      <c r="A70" s="28" t="s">
        <v>27</v>
      </c>
      <c r="B70" s="1" t="s">
        <v>27</v>
      </c>
      <c r="C70" s="1" t="s">
        <v>27</v>
      </c>
      <c r="D70" s="26"/>
      <c r="E70" s="26"/>
      <c r="F70" s="26"/>
      <c r="G70" s="26"/>
      <c r="H70" s="27"/>
      <c r="I70" s="28" t="s">
        <v>27</v>
      </c>
      <c r="J70" s="1" t="s">
        <v>27</v>
      </c>
      <c r="K70" s="1" t="s">
        <v>27</v>
      </c>
      <c r="L70" s="26"/>
      <c r="M70" s="26"/>
      <c r="N70" s="26"/>
      <c r="O70" s="26"/>
      <c r="P70" s="27"/>
    </row>
    <row r="71" spans="1:16">
      <c r="A71" s="28" t="s">
        <v>27</v>
      </c>
      <c r="B71" s="1" t="s">
        <v>27</v>
      </c>
      <c r="C71" s="1" t="s">
        <v>27</v>
      </c>
      <c r="D71" s="26"/>
      <c r="E71" s="26"/>
      <c r="F71" s="26"/>
      <c r="G71" s="26"/>
      <c r="H71" s="27"/>
      <c r="I71" s="28" t="s">
        <v>27</v>
      </c>
      <c r="J71" s="1" t="s">
        <v>27</v>
      </c>
      <c r="K71" s="1" t="s">
        <v>27</v>
      </c>
      <c r="L71" s="26"/>
      <c r="M71" s="26"/>
      <c r="N71" s="26"/>
      <c r="O71" s="26"/>
      <c r="P71" s="27"/>
    </row>
    <row r="72" spans="1:16">
      <c r="A72" s="28" t="s">
        <v>27</v>
      </c>
      <c r="B72" s="1" t="s">
        <v>27</v>
      </c>
      <c r="C72" s="1" t="s">
        <v>27</v>
      </c>
      <c r="D72" s="26"/>
      <c r="E72" s="26"/>
      <c r="F72" s="26"/>
      <c r="G72" s="26"/>
      <c r="H72" s="27"/>
      <c r="I72" s="28" t="s">
        <v>27</v>
      </c>
      <c r="J72" s="1" t="s">
        <v>27</v>
      </c>
      <c r="K72" s="1" t="s">
        <v>27</v>
      </c>
      <c r="L72" s="26"/>
      <c r="M72" s="26"/>
      <c r="N72" s="26"/>
      <c r="O72" s="26"/>
      <c r="P72" s="27"/>
    </row>
    <row r="73" spans="1:16">
      <c r="A73" s="28" t="s">
        <v>27</v>
      </c>
      <c r="B73" s="1" t="s">
        <v>27</v>
      </c>
      <c r="C73" s="1" t="s">
        <v>27</v>
      </c>
      <c r="D73" s="26"/>
      <c r="E73" s="26"/>
      <c r="F73" s="26"/>
      <c r="G73" s="26"/>
      <c r="H73" s="27"/>
      <c r="I73" s="28" t="s">
        <v>27</v>
      </c>
      <c r="J73" s="1" t="s">
        <v>27</v>
      </c>
      <c r="K73" s="1" t="s">
        <v>27</v>
      </c>
      <c r="L73" s="26"/>
      <c r="M73" s="26"/>
      <c r="N73" s="26"/>
      <c r="O73" s="26"/>
      <c r="P73" s="27"/>
    </row>
    <row r="74" spans="1:16">
      <c r="A74" s="28" t="s">
        <v>27</v>
      </c>
      <c r="B74" s="1" t="s">
        <v>27</v>
      </c>
      <c r="C74" s="1" t="s">
        <v>27</v>
      </c>
      <c r="D74" s="26"/>
      <c r="E74" s="26"/>
      <c r="F74" s="26"/>
      <c r="G74" s="26"/>
      <c r="H74" s="27"/>
      <c r="I74" s="28" t="s">
        <v>27</v>
      </c>
      <c r="J74" s="1" t="s">
        <v>27</v>
      </c>
      <c r="K74" s="1" t="s">
        <v>27</v>
      </c>
      <c r="L74" s="26"/>
      <c r="M74" s="26"/>
      <c r="N74" s="26"/>
      <c r="O74" s="26"/>
      <c r="P74" s="27"/>
    </row>
    <row r="75" spans="1:16">
      <c r="A75" s="28" t="s">
        <v>27</v>
      </c>
      <c r="B75" s="1" t="s">
        <v>27</v>
      </c>
      <c r="C75" s="1" t="s">
        <v>27</v>
      </c>
      <c r="D75" s="26"/>
      <c r="E75" s="26"/>
      <c r="F75" s="26"/>
      <c r="G75" s="26"/>
      <c r="H75" s="27"/>
      <c r="I75" s="28" t="s">
        <v>27</v>
      </c>
      <c r="J75" s="1" t="s">
        <v>27</v>
      </c>
      <c r="K75" s="1" t="s">
        <v>27</v>
      </c>
      <c r="L75" s="26"/>
      <c r="M75" s="26"/>
      <c r="N75" s="26"/>
      <c r="O75" s="26"/>
      <c r="P75" s="27"/>
    </row>
    <row r="76" spans="1:16">
      <c r="A76" s="28" t="s">
        <v>27</v>
      </c>
      <c r="B76" s="1" t="s">
        <v>27</v>
      </c>
      <c r="C76" s="1" t="s">
        <v>27</v>
      </c>
      <c r="D76" s="26"/>
      <c r="E76" s="26"/>
      <c r="F76" s="26"/>
      <c r="G76" s="26"/>
      <c r="H76" s="27"/>
      <c r="I76" s="28" t="s">
        <v>27</v>
      </c>
      <c r="J76" s="1" t="s">
        <v>27</v>
      </c>
      <c r="K76" s="1" t="s">
        <v>27</v>
      </c>
      <c r="L76" s="26"/>
      <c r="M76" s="26"/>
      <c r="N76" s="26"/>
      <c r="O76" s="26"/>
      <c r="P76" s="27"/>
    </row>
    <row r="77" spans="1:16">
      <c r="A77" s="28" t="s">
        <v>27</v>
      </c>
      <c r="B77" s="1" t="s">
        <v>27</v>
      </c>
      <c r="C77" s="1" t="s">
        <v>27</v>
      </c>
      <c r="D77" s="26"/>
      <c r="E77" s="26"/>
      <c r="F77" s="26"/>
      <c r="G77" s="26"/>
      <c r="H77" s="27"/>
      <c r="I77" s="28" t="s">
        <v>27</v>
      </c>
      <c r="J77" s="1" t="s">
        <v>27</v>
      </c>
      <c r="K77" s="1" t="s">
        <v>27</v>
      </c>
      <c r="L77" s="26"/>
      <c r="M77" s="26"/>
      <c r="N77" s="26"/>
      <c r="O77" s="26"/>
      <c r="P77" s="27"/>
    </row>
    <row r="78" spans="1:16">
      <c r="A78" s="28" t="s">
        <v>27</v>
      </c>
      <c r="B78" s="1" t="s">
        <v>27</v>
      </c>
      <c r="C78" s="1" t="s">
        <v>27</v>
      </c>
      <c r="D78" s="26"/>
      <c r="E78" s="26"/>
      <c r="F78" s="26"/>
      <c r="G78" s="26"/>
      <c r="H78" s="27"/>
      <c r="I78" s="28" t="s">
        <v>27</v>
      </c>
      <c r="J78" s="1" t="s">
        <v>27</v>
      </c>
      <c r="K78" s="1" t="s">
        <v>27</v>
      </c>
      <c r="L78" s="26"/>
      <c r="M78" s="26"/>
      <c r="N78" s="26"/>
      <c r="O78" s="26"/>
      <c r="P78" s="27"/>
    </row>
    <row r="79" spans="1:16">
      <c r="A79" s="28" t="s">
        <v>27</v>
      </c>
      <c r="B79" s="1" t="s">
        <v>27</v>
      </c>
      <c r="C79" s="1" t="s">
        <v>27</v>
      </c>
      <c r="D79" s="26"/>
      <c r="E79" s="26"/>
      <c r="F79" s="26"/>
      <c r="G79" s="26"/>
      <c r="H79" s="27"/>
      <c r="I79" s="28" t="s">
        <v>27</v>
      </c>
      <c r="J79" s="1" t="s">
        <v>27</v>
      </c>
      <c r="K79" s="1" t="s">
        <v>27</v>
      </c>
      <c r="L79" s="26"/>
      <c r="M79" s="26"/>
      <c r="N79" s="26"/>
      <c r="O79" s="26"/>
      <c r="P79" s="27"/>
    </row>
    <row r="80" spans="1:16">
      <c r="A80" s="28" t="s">
        <v>27</v>
      </c>
      <c r="B80" s="1" t="s">
        <v>27</v>
      </c>
      <c r="C80" s="1" t="s">
        <v>27</v>
      </c>
      <c r="D80" s="26"/>
      <c r="E80" s="26"/>
      <c r="F80" s="26"/>
      <c r="G80" s="26"/>
      <c r="H80" s="27"/>
      <c r="I80" s="28" t="s">
        <v>27</v>
      </c>
      <c r="J80" s="1" t="s">
        <v>27</v>
      </c>
      <c r="K80" s="1" t="s">
        <v>27</v>
      </c>
      <c r="L80" s="26"/>
      <c r="M80" s="26"/>
      <c r="N80" s="26"/>
      <c r="O80" s="26"/>
      <c r="P80" s="27"/>
    </row>
    <row r="81" spans="1:16">
      <c r="A81" s="28" t="s">
        <v>27</v>
      </c>
      <c r="B81" s="1" t="s">
        <v>27</v>
      </c>
      <c r="C81" s="1" t="s">
        <v>27</v>
      </c>
      <c r="D81" s="26"/>
      <c r="E81" s="26"/>
      <c r="F81" s="26"/>
      <c r="G81" s="26"/>
      <c r="H81" s="27"/>
      <c r="I81" s="28" t="s">
        <v>27</v>
      </c>
      <c r="J81" s="1" t="s">
        <v>27</v>
      </c>
      <c r="K81" s="1" t="s">
        <v>27</v>
      </c>
      <c r="L81" s="26"/>
      <c r="M81" s="26"/>
      <c r="N81" s="26"/>
      <c r="O81" s="26"/>
      <c r="P81" s="27"/>
    </row>
    <row r="82" spans="1:16">
      <c r="A82" s="28" t="s">
        <v>27</v>
      </c>
      <c r="B82" s="1" t="s">
        <v>27</v>
      </c>
      <c r="C82" s="1" t="s">
        <v>27</v>
      </c>
      <c r="D82" s="26"/>
      <c r="E82" s="26"/>
      <c r="F82" s="26"/>
      <c r="G82" s="26"/>
      <c r="H82" s="27"/>
      <c r="I82" s="28" t="s">
        <v>27</v>
      </c>
      <c r="J82" s="1" t="s">
        <v>27</v>
      </c>
      <c r="K82" s="1" t="s">
        <v>27</v>
      </c>
      <c r="L82" s="26"/>
      <c r="M82" s="26"/>
      <c r="N82" s="26"/>
      <c r="O82" s="26"/>
      <c r="P82" s="27"/>
    </row>
    <row r="83" spans="1:16">
      <c r="A83" s="28" t="s">
        <v>27</v>
      </c>
      <c r="B83" s="1" t="s">
        <v>27</v>
      </c>
      <c r="C83" s="1" t="s">
        <v>27</v>
      </c>
      <c r="D83" s="26"/>
      <c r="E83" s="26"/>
      <c r="F83" s="26"/>
      <c r="G83" s="26"/>
      <c r="H83" s="27"/>
      <c r="I83" s="28" t="s">
        <v>27</v>
      </c>
      <c r="J83" s="1" t="s">
        <v>27</v>
      </c>
      <c r="K83" s="1" t="s">
        <v>27</v>
      </c>
      <c r="L83" s="26"/>
      <c r="M83" s="26"/>
      <c r="N83" s="26"/>
      <c r="O83" s="26"/>
      <c r="P83" s="27"/>
    </row>
    <row r="84" spans="1:16">
      <c r="A84" s="28" t="s">
        <v>27</v>
      </c>
      <c r="B84" s="1" t="s">
        <v>27</v>
      </c>
      <c r="C84" s="1" t="s">
        <v>27</v>
      </c>
      <c r="D84" s="26"/>
      <c r="E84" s="26"/>
      <c r="F84" s="26"/>
      <c r="G84" s="26"/>
      <c r="H84" s="27"/>
      <c r="I84" s="28" t="s">
        <v>27</v>
      </c>
      <c r="J84" s="1" t="s">
        <v>27</v>
      </c>
      <c r="K84" s="1" t="s">
        <v>27</v>
      </c>
      <c r="L84" s="26"/>
      <c r="M84" s="26"/>
      <c r="N84" s="26"/>
      <c r="O84" s="26"/>
      <c r="P84" s="27"/>
    </row>
    <row r="85" spans="1:16">
      <c r="A85" s="28" t="s">
        <v>27</v>
      </c>
      <c r="B85" s="1" t="s">
        <v>27</v>
      </c>
      <c r="C85" s="1" t="s">
        <v>27</v>
      </c>
      <c r="D85" s="26"/>
      <c r="E85" s="26"/>
      <c r="F85" s="26"/>
      <c r="G85" s="26"/>
      <c r="H85" s="27"/>
      <c r="I85" s="28" t="s">
        <v>27</v>
      </c>
      <c r="J85" s="1" t="s">
        <v>27</v>
      </c>
      <c r="K85" s="1" t="s">
        <v>27</v>
      </c>
      <c r="L85" s="26"/>
      <c r="M85" s="26"/>
      <c r="N85" s="26"/>
      <c r="O85" s="26"/>
      <c r="P85" s="27"/>
    </row>
    <row r="86" spans="1:16">
      <c r="A86" s="28" t="s">
        <v>27</v>
      </c>
      <c r="B86" s="1" t="s">
        <v>27</v>
      </c>
      <c r="C86" s="1" t="s">
        <v>27</v>
      </c>
      <c r="D86" s="26"/>
      <c r="E86" s="26"/>
      <c r="F86" s="26"/>
      <c r="G86" s="26"/>
      <c r="H86" s="27"/>
      <c r="I86" s="28" t="s">
        <v>27</v>
      </c>
      <c r="J86" s="1" t="s">
        <v>27</v>
      </c>
      <c r="K86" s="1" t="s">
        <v>27</v>
      </c>
      <c r="L86" s="26"/>
      <c r="M86" s="26"/>
      <c r="N86" s="26"/>
      <c r="O86" s="26"/>
      <c r="P86" s="27"/>
    </row>
    <row r="87" spans="1:16">
      <c r="A87" s="28" t="s">
        <v>27</v>
      </c>
      <c r="B87" s="1" t="s">
        <v>27</v>
      </c>
      <c r="C87" s="1" t="s">
        <v>27</v>
      </c>
      <c r="D87" s="26"/>
      <c r="E87" s="26"/>
      <c r="F87" s="26"/>
      <c r="G87" s="26"/>
      <c r="H87" s="27"/>
      <c r="I87" s="28" t="s">
        <v>27</v>
      </c>
      <c r="J87" s="1" t="s">
        <v>27</v>
      </c>
      <c r="K87" s="1" t="s">
        <v>27</v>
      </c>
      <c r="L87" s="26"/>
      <c r="M87" s="26"/>
      <c r="N87" s="26"/>
      <c r="O87" s="26"/>
      <c r="P87" s="27"/>
    </row>
    <row r="88" spans="1:16">
      <c r="A88" s="28" t="s">
        <v>27</v>
      </c>
      <c r="B88" s="1" t="s">
        <v>27</v>
      </c>
      <c r="C88" s="1" t="s">
        <v>27</v>
      </c>
      <c r="D88" s="26"/>
      <c r="E88" s="26"/>
      <c r="F88" s="26"/>
      <c r="G88" s="26"/>
      <c r="H88" s="27"/>
      <c r="I88" s="28" t="s">
        <v>27</v>
      </c>
      <c r="J88" s="1" t="s">
        <v>27</v>
      </c>
      <c r="K88" s="1" t="s">
        <v>27</v>
      </c>
      <c r="L88" s="26"/>
      <c r="M88" s="26"/>
      <c r="N88" s="26"/>
      <c r="O88" s="26"/>
      <c r="P88" s="27"/>
    </row>
    <row r="89" spans="1:16">
      <c r="A89" s="28" t="s">
        <v>27</v>
      </c>
      <c r="B89" s="1" t="s">
        <v>27</v>
      </c>
      <c r="C89" s="1" t="s">
        <v>27</v>
      </c>
      <c r="D89" s="26"/>
      <c r="E89" s="26"/>
      <c r="F89" s="26"/>
      <c r="G89" s="26"/>
      <c r="H89" s="27"/>
      <c r="I89" s="28" t="s">
        <v>27</v>
      </c>
      <c r="J89" s="1" t="s">
        <v>27</v>
      </c>
      <c r="K89" s="1" t="s">
        <v>27</v>
      </c>
      <c r="L89" s="26"/>
      <c r="M89" s="26"/>
      <c r="N89" s="26"/>
      <c r="O89" s="26"/>
      <c r="P89" s="27"/>
    </row>
    <row r="90" spans="1:16">
      <c r="A90" s="28" t="s">
        <v>27</v>
      </c>
      <c r="B90" s="1" t="s">
        <v>27</v>
      </c>
      <c r="C90" s="1" t="s">
        <v>27</v>
      </c>
      <c r="D90" s="26"/>
      <c r="E90" s="26"/>
      <c r="F90" s="26"/>
      <c r="G90" s="26"/>
      <c r="H90" s="27"/>
      <c r="I90" s="28" t="s">
        <v>27</v>
      </c>
      <c r="J90" s="1" t="s">
        <v>27</v>
      </c>
      <c r="K90" s="1" t="s">
        <v>27</v>
      </c>
      <c r="L90" s="26"/>
      <c r="M90" s="26"/>
      <c r="N90" s="26"/>
      <c r="O90" s="26"/>
      <c r="P90" s="27"/>
    </row>
    <row r="91" spans="1:16">
      <c r="A91" s="28" t="s">
        <v>27</v>
      </c>
      <c r="B91" s="1" t="s">
        <v>27</v>
      </c>
      <c r="C91" s="1" t="s">
        <v>27</v>
      </c>
      <c r="D91" s="26"/>
      <c r="E91" s="26"/>
      <c r="F91" s="26"/>
      <c r="G91" s="26"/>
      <c r="H91" s="27"/>
      <c r="I91" s="28" t="s">
        <v>27</v>
      </c>
      <c r="J91" s="1" t="s">
        <v>27</v>
      </c>
      <c r="K91" s="1" t="s">
        <v>27</v>
      </c>
      <c r="L91" s="26"/>
      <c r="M91" s="26"/>
      <c r="N91" s="26"/>
      <c r="O91" s="26"/>
      <c r="P91" s="27"/>
    </row>
    <row r="92" spans="1:16">
      <c r="A92" s="28" t="s">
        <v>27</v>
      </c>
      <c r="B92" s="1" t="s">
        <v>27</v>
      </c>
      <c r="C92" s="1" t="s">
        <v>27</v>
      </c>
      <c r="D92" s="26"/>
      <c r="E92" s="26"/>
      <c r="F92" s="26"/>
      <c r="G92" s="26"/>
      <c r="H92" s="27"/>
      <c r="I92" s="28" t="s">
        <v>27</v>
      </c>
      <c r="J92" s="1" t="s">
        <v>27</v>
      </c>
      <c r="K92" s="1" t="s">
        <v>27</v>
      </c>
      <c r="L92" s="26"/>
      <c r="M92" s="26"/>
      <c r="N92" s="26"/>
      <c r="O92" s="26"/>
      <c r="P92" s="27"/>
    </row>
    <row r="93" spans="1:16">
      <c r="A93" s="28" t="s">
        <v>27</v>
      </c>
      <c r="B93" s="1" t="s">
        <v>27</v>
      </c>
      <c r="C93" s="1" t="s">
        <v>27</v>
      </c>
      <c r="D93" s="26"/>
      <c r="E93" s="26"/>
      <c r="F93" s="26"/>
      <c r="G93" s="26"/>
      <c r="H93" s="27"/>
      <c r="I93" s="28" t="s">
        <v>27</v>
      </c>
      <c r="J93" s="1" t="s">
        <v>27</v>
      </c>
      <c r="K93" s="1" t="s">
        <v>27</v>
      </c>
      <c r="L93" s="26"/>
      <c r="M93" s="26"/>
      <c r="N93" s="26"/>
      <c r="O93" s="26"/>
      <c r="P93" s="27"/>
    </row>
    <row r="94" spans="1:16">
      <c r="A94" s="28" t="s">
        <v>27</v>
      </c>
      <c r="B94" s="1" t="s">
        <v>27</v>
      </c>
      <c r="C94" s="1" t="s">
        <v>27</v>
      </c>
      <c r="D94" s="26"/>
      <c r="E94" s="26"/>
      <c r="F94" s="26"/>
      <c r="G94" s="26"/>
      <c r="H94" s="27"/>
      <c r="I94" s="28" t="s">
        <v>27</v>
      </c>
      <c r="J94" s="1" t="s">
        <v>27</v>
      </c>
      <c r="K94" s="1" t="s">
        <v>27</v>
      </c>
      <c r="L94" s="26"/>
      <c r="M94" s="26"/>
      <c r="N94" s="26"/>
      <c r="O94" s="26"/>
      <c r="P94" s="27"/>
    </row>
    <row r="95" spans="1:16">
      <c r="A95" s="28" t="s">
        <v>27</v>
      </c>
      <c r="B95" s="1" t="s">
        <v>27</v>
      </c>
      <c r="C95" s="1" t="s">
        <v>27</v>
      </c>
      <c r="D95" s="26"/>
      <c r="E95" s="26"/>
      <c r="F95" s="26"/>
      <c r="G95" s="26"/>
      <c r="H95" s="27"/>
      <c r="I95" s="28" t="s">
        <v>27</v>
      </c>
      <c r="J95" s="1" t="s">
        <v>27</v>
      </c>
      <c r="K95" s="1" t="s">
        <v>27</v>
      </c>
      <c r="L95" s="26"/>
      <c r="M95" s="26"/>
      <c r="N95" s="26"/>
      <c r="O95" s="26"/>
      <c r="P95" s="27"/>
    </row>
    <row r="96" spans="1:16">
      <c r="A96" s="28" t="s">
        <v>27</v>
      </c>
      <c r="B96" s="1" t="s">
        <v>27</v>
      </c>
      <c r="C96" s="1" t="s">
        <v>27</v>
      </c>
      <c r="D96" s="26"/>
      <c r="E96" s="26"/>
      <c r="F96" s="26"/>
      <c r="G96" s="26"/>
      <c r="H96" s="27"/>
      <c r="I96" s="28" t="s">
        <v>27</v>
      </c>
      <c r="J96" s="1" t="s">
        <v>27</v>
      </c>
      <c r="K96" s="1" t="s">
        <v>27</v>
      </c>
      <c r="L96" s="26"/>
      <c r="M96" s="26"/>
      <c r="N96" s="26"/>
      <c r="O96" s="26"/>
      <c r="P96" s="27"/>
    </row>
    <row r="97" spans="1:16">
      <c r="A97" s="28" t="s">
        <v>27</v>
      </c>
      <c r="B97" s="1" t="s">
        <v>27</v>
      </c>
      <c r="C97" s="1" t="s">
        <v>27</v>
      </c>
      <c r="D97" s="26"/>
      <c r="E97" s="26"/>
      <c r="F97" s="26"/>
      <c r="G97" s="26"/>
      <c r="H97" s="27"/>
      <c r="I97" s="28" t="s">
        <v>27</v>
      </c>
      <c r="J97" s="1" t="s">
        <v>27</v>
      </c>
      <c r="K97" s="1" t="s">
        <v>27</v>
      </c>
      <c r="L97" s="26"/>
      <c r="M97" s="26"/>
      <c r="N97" s="26"/>
      <c r="O97" s="26"/>
      <c r="P97" s="27"/>
    </row>
    <row r="98" spans="1:16">
      <c r="A98" s="28" t="s">
        <v>27</v>
      </c>
      <c r="B98" s="1" t="s">
        <v>27</v>
      </c>
      <c r="C98" s="1" t="s">
        <v>27</v>
      </c>
      <c r="D98" s="26"/>
      <c r="E98" s="26"/>
      <c r="F98" s="26"/>
      <c r="G98" s="26"/>
      <c r="H98" s="27"/>
      <c r="I98" s="28" t="s">
        <v>27</v>
      </c>
      <c r="J98" s="1" t="s">
        <v>27</v>
      </c>
      <c r="K98" s="1" t="s">
        <v>27</v>
      </c>
      <c r="L98" s="26"/>
      <c r="M98" s="26"/>
      <c r="N98" s="26"/>
      <c r="O98" s="26"/>
      <c r="P98" s="27"/>
    </row>
    <row r="99" spans="1:16">
      <c r="A99" s="28" t="s">
        <v>27</v>
      </c>
      <c r="B99" s="1" t="s">
        <v>27</v>
      </c>
      <c r="C99" s="1" t="s">
        <v>27</v>
      </c>
      <c r="D99" s="26"/>
      <c r="E99" s="26"/>
      <c r="F99" s="26"/>
      <c r="G99" s="26"/>
      <c r="H99" s="27"/>
      <c r="I99" s="28" t="s">
        <v>27</v>
      </c>
      <c r="J99" s="1" t="s">
        <v>27</v>
      </c>
      <c r="K99" s="1" t="s">
        <v>27</v>
      </c>
      <c r="L99" s="26"/>
      <c r="M99" s="26"/>
      <c r="N99" s="26"/>
      <c r="O99" s="26"/>
      <c r="P99" s="27"/>
    </row>
    <row r="100" spans="1:16" ht="15.75" thickBot="1">
      <c r="A100" s="29" t="s">
        <v>27</v>
      </c>
      <c r="B100" s="30" t="s">
        <v>27</v>
      </c>
      <c r="C100" s="30" t="s">
        <v>27</v>
      </c>
      <c r="D100" s="31"/>
      <c r="E100" s="31"/>
      <c r="F100" s="31"/>
      <c r="G100" s="31"/>
      <c r="H100" s="32"/>
      <c r="I100" s="29" t="s">
        <v>27</v>
      </c>
      <c r="J100" s="30" t="s">
        <v>27</v>
      </c>
      <c r="K100" s="30" t="s">
        <v>27</v>
      </c>
      <c r="L100" s="31"/>
      <c r="M100" s="31"/>
      <c r="N100" s="31"/>
      <c r="O100" s="31"/>
      <c r="P100" s="32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4B8A0-027C-4DB1-A4E7-447CCEDC3344}">
  <dimension ref="A1:AB100"/>
  <sheetViews>
    <sheetView workbookViewId="0">
      <selection activeCell="V25" sqref="V25"/>
    </sheetView>
  </sheetViews>
  <sheetFormatPr defaultRowHeight="15"/>
  <sheetData>
    <row r="1" spans="1:28" ht="15.75">
      <c r="A1" s="62" t="s">
        <v>30</v>
      </c>
      <c r="B1" s="63"/>
      <c r="C1" s="63"/>
      <c r="D1" s="63"/>
      <c r="E1" s="63"/>
      <c r="F1" s="64" t="s">
        <v>3</v>
      </c>
      <c r="G1" s="64"/>
      <c r="H1" s="24" cm="1">
        <f t="array" ref="H1">SUM(VLOOKUP(A4:C100,$T$3:$W$36,4,FALSE))+H4*10-H8*50</f>
        <v>3287.9943423939671</v>
      </c>
      <c r="I1" s="65" t="s">
        <v>41</v>
      </c>
      <c r="J1" s="66"/>
      <c r="K1" s="66"/>
      <c r="L1" s="66"/>
      <c r="M1" s="66"/>
      <c r="N1" s="66"/>
      <c r="O1" s="66"/>
      <c r="P1" s="67"/>
      <c r="Q1" s="65" t="s">
        <v>48</v>
      </c>
      <c r="R1" s="66"/>
      <c r="S1" s="66"/>
      <c r="T1" s="66"/>
      <c r="U1" s="66"/>
      <c r="V1" s="66"/>
      <c r="W1" s="66"/>
      <c r="X1" s="66"/>
      <c r="Y1" s="66"/>
      <c r="Z1" s="66"/>
      <c r="AA1" s="66"/>
      <c r="AB1" s="67"/>
    </row>
    <row r="2" spans="1:28" ht="30">
      <c r="A2" s="68" t="s">
        <v>35</v>
      </c>
      <c r="B2" s="69"/>
      <c r="C2" s="69"/>
      <c r="D2" s="70" t="s">
        <v>37</v>
      </c>
      <c r="E2" s="71"/>
      <c r="F2" s="71"/>
      <c r="G2" s="71"/>
      <c r="H2" s="72"/>
      <c r="I2" s="73" t="s">
        <v>35</v>
      </c>
      <c r="J2" s="74"/>
      <c r="K2" s="74"/>
      <c r="L2" s="75" t="s">
        <v>37</v>
      </c>
      <c r="M2" s="75"/>
      <c r="N2" s="75"/>
      <c r="O2" s="75"/>
      <c r="P2" s="76"/>
      <c r="Q2" s="50" t="s">
        <v>43</v>
      </c>
      <c r="R2" s="51" cm="1">
        <f t="array" ref="R2">SUM(V3:V28*AB3:AB28)+H6+P6+R4*500</f>
        <v>65005</v>
      </c>
      <c r="S2" s="26"/>
      <c r="T2" s="1" t="s">
        <v>0</v>
      </c>
      <c r="U2" s="1" t="s">
        <v>1</v>
      </c>
      <c r="V2" s="1" t="s">
        <v>2</v>
      </c>
      <c r="W2" s="44" t="s">
        <v>3</v>
      </c>
      <c r="X2" s="46" t="s">
        <v>44</v>
      </c>
      <c r="Y2" s="46" t="s">
        <v>56</v>
      </c>
      <c r="Z2" s="47" t="s">
        <v>45</v>
      </c>
      <c r="AA2" s="47" t="s">
        <v>46</v>
      </c>
      <c r="AB2" s="52" t="s">
        <v>47</v>
      </c>
    </row>
    <row r="3" spans="1:28">
      <c r="A3" s="60" t="s">
        <v>31</v>
      </c>
      <c r="B3" s="61" t="s">
        <v>32</v>
      </c>
      <c r="C3" s="20" t="s">
        <v>33</v>
      </c>
      <c r="D3" s="33"/>
      <c r="E3" s="60" t="s">
        <v>31</v>
      </c>
      <c r="F3" s="61" t="s">
        <v>32</v>
      </c>
      <c r="G3" s="20" t="s">
        <v>33</v>
      </c>
      <c r="H3" s="34" t="s">
        <v>36</v>
      </c>
      <c r="I3" s="60" t="s">
        <v>31</v>
      </c>
      <c r="J3" s="61" t="s">
        <v>32</v>
      </c>
      <c r="K3" s="20" t="s">
        <v>33</v>
      </c>
      <c r="L3" s="33"/>
      <c r="M3" s="60" t="s">
        <v>31</v>
      </c>
      <c r="N3" s="61" t="s">
        <v>32</v>
      </c>
      <c r="O3" s="20" t="s">
        <v>33</v>
      </c>
      <c r="P3" s="34" t="s">
        <v>36</v>
      </c>
      <c r="Q3" s="53" t="s">
        <v>49</v>
      </c>
      <c r="R3" s="26">
        <v>91</v>
      </c>
      <c r="S3" s="26"/>
      <c r="T3" s="2" t="s">
        <v>4</v>
      </c>
      <c r="U3" s="1">
        <v>150</v>
      </c>
      <c r="V3" s="1">
        <v>35</v>
      </c>
      <c r="W3" s="45">
        <f>U3-V3/0.330882</f>
        <v>44.222109392472248</v>
      </c>
      <c r="X3" s="46"/>
      <c r="Y3" s="46">
        <v>25</v>
      </c>
      <c r="Z3" s="1">
        <f>COUNTIF($A$4:$C$100,T3)</f>
        <v>17</v>
      </c>
      <c r="AA3" s="1">
        <f>COUNTIF($I$4:$K$100,T3)</f>
        <v>8</v>
      </c>
      <c r="AB3" s="54">
        <f>Y3-Z3-AA3</f>
        <v>0</v>
      </c>
    </row>
    <row r="4" spans="1:28">
      <c r="A4" s="2" t="s">
        <v>4</v>
      </c>
      <c r="B4" s="2" t="s">
        <v>4</v>
      </c>
      <c r="C4" s="3" t="s">
        <v>5</v>
      </c>
      <c r="D4" s="43" t="s">
        <v>34</v>
      </c>
      <c r="E4" s="39">
        <v>0</v>
      </c>
      <c r="F4" s="39">
        <v>20</v>
      </c>
      <c r="G4" s="39">
        <v>5</v>
      </c>
      <c r="H4" s="36">
        <f>SUM(E4:G4)</f>
        <v>25</v>
      </c>
      <c r="I4" s="2" t="s">
        <v>4</v>
      </c>
      <c r="J4" s="9" t="s">
        <v>11</v>
      </c>
      <c r="K4" s="3" t="s">
        <v>5</v>
      </c>
      <c r="L4" s="43" t="s">
        <v>34</v>
      </c>
      <c r="M4" s="39">
        <v>3</v>
      </c>
      <c r="N4" s="39">
        <v>3</v>
      </c>
      <c r="O4" s="39">
        <v>1</v>
      </c>
      <c r="P4" s="36">
        <f>SUM(M4:O4)</f>
        <v>7</v>
      </c>
      <c r="Q4" s="53" t="s">
        <v>50</v>
      </c>
      <c r="R4" s="40">
        <v>14</v>
      </c>
      <c r="S4" s="26"/>
      <c r="T4" s="3" t="s">
        <v>5</v>
      </c>
      <c r="U4" s="1">
        <v>160</v>
      </c>
      <c r="V4" s="1">
        <v>40</v>
      </c>
      <c r="W4" s="45">
        <f t="shared" ref="W4" si="0">U4-V4/0.330882</f>
        <v>39.110982162825422</v>
      </c>
      <c r="X4" s="46"/>
      <c r="Y4" s="46">
        <v>40</v>
      </c>
      <c r="Z4" s="1">
        <f t="shared" ref="Z4:Z28" si="1">COUNTIF($A$4:$C$100,T4)</f>
        <v>28</v>
      </c>
      <c r="AA4" s="1">
        <f t="shared" ref="AA4:AA28" si="2">COUNTIF($I$4:$K$100,T4)</f>
        <v>12</v>
      </c>
      <c r="AB4" s="54">
        <f t="shared" ref="AB4:AB28" si="3">Y4-Z4-AA4</f>
        <v>0</v>
      </c>
    </row>
    <row r="5" spans="1:28">
      <c r="A5" s="2" t="s">
        <v>4</v>
      </c>
      <c r="B5" s="2" t="s">
        <v>4</v>
      </c>
      <c r="C5" s="23" t="s">
        <v>29</v>
      </c>
      <c r="D5" s="33" t="s">
        <v>38</v>
      </c>
      <c r="E5" s="35" cm="1">
        <f t="array" ref="E5">(SUM(VLOOKUP(A4:A100,$T$3:$W$41,2,FALSE))+E4*10)-E8*50</f>
        <v>900</v>
      </c>
      <c r="F5" s="35" cm="1">
        <f t="array" ref="F5">(SUM(VLOOKUP(B4:B100,$T$3:$W$41,2,FALSE))+F4*10)-F8*50</f>
        <v>7060</v>
      </c>
      <c r="G5" s="35" cm="1">
        <f t="array" ref="G5">(SUM(VLOOKUP(C4:C100,$T$3:$W$41,2,FALSE))+G4*10)-G8*50</f>
        <v>6530</v>
      </c>
      <c r="H5" s="59">
        <f t="shared" ref="H5:H8" si="4">SUM(E5:G5)</f>
        <v>14490</v>
      </c>
      <c r="I5" s="15" t="s">
        <v>17</v>
      </c>
      <c r="J5" s="1" t="s">
        <v>27</v>
      </c>
      <c r="K5" s="3" t="s">
        <v>5</v>
      </c>
      <c r="L5" s="33" t="s">
        <v>38</v>
      </c>
      <c r="M5" s="35" cm="1">
        <f t="array" ref="M5">(SUM(VLOOKUP(I4:I100,$T$3:$W$41,2,FALSE))+M4*10)*0.8-M8*40</f>
        <v>1872</v>
      </c>
      <c r="N5" s="35" cm="1">
        <f t="array" ref="N5">(SUM(VLOOKUP(J4:J100,$T$3:$W$41,2,FALSE))+N4*10)*0.8-N8*40</f>
        <v>144</v>
      </c>
      <c r="O5" s="35" cm="1">
        <f t="array" ref="O5">(SUM(VLOOKUP(K4:K100,$T$3:$W$41,2,FALSE))+O4*10)*0.8-O8*40</f>
        <v>856</v>
      </c>
      <c r="P5" s="59">
        <f t="shared" ref="P5:P8" si="5">SUM(M5:O5)</f>
        <v>2872</v>
      </c>
      <c r="Q5" s="53" t="s">
        <v>51</v>
      </c>
      <c r="R5" s="26">
        <v>6000</v>
      </c>
      <c r="S5" s="26"/>
      <c r="T5" s="4" t="s">
        <v>6</v>
      </c>
      <c r="U5" s="1">
        <v>170</v>
      </c>
      <c r="V5" s="1">
        <v>45</v>
      </c>
      <c r="W5" s="45">
        <v>34</v>
      </c>
      <c r="X5" s="48"/>
      <c r="Y5" s="46">
        <v>228</v>
      </c>
      <c r="Z5" s="1">
        <f t="shared" si="1"/>
        <v>33</v>
      </c>
      <c r="AA5" s="1">
        <f t="shared" si="2"/>
        <v>0</v>
      </c>
      <c r="AB5" s="54">
        <f t="shared" si="3"/>
        <v>195</v>
      </c>
    </row>
    <row r="6" spans="1:28">
      <c r="A6" s="2" t="s">
        <v>4</v>
      </c>
      <c r="B6" s="2" t="s">
        <v>4</v>
      </c>
      <c r="C6" s="3" t="s">
        <v>5</v>
      </c>
      <c r="D6" s="33" t="s">
        <v>39</v>
      </c>
      <c r="E6" s="35" cm="1">
        <f t="array" ref="E6">(SUM(VLOOKUP(A4:A100,$T$3:$W$41,3,FALSE)))</f>
        <v>210</v>
      </c>
      <c r="F6" s="35" cm="1">
        <f t="array" ref="F6">(SUM(VLOOKUP(B4:B100,$T$3:$W$41,3,FALSE)))</f>
        <v>1945</v>
      </c>
      <c r="G6" s="35" cm="1">
        <f t="array" ref="G6">(SUM(VLOOKUP(C4:C100,$T$3:$W$41,3,FALSE)))</f>
        <v>2610</v>
      </c>
      <c r="H6" s="49">
        <f t="shared" si="4"/>
        <v>4765</v>
      </c>
      <c r="I6" s="2" t="s">
        <v>4</v>
      </c>
      <c r="J6" s="1" t="s">
        <v>27</v>
      </c>
      <c r="K6" s="3" t="s">
        <v>5</v>
      </c>
      <c r="L6" s="33" t="s">
        <v>39</v>
      </c>
      <c r="M6" s="35" cm="1">
        <f t="array" ref="M6">(SUM(VLOOKUP(I4:I100,$T$3:$W$41,3,FALSE)))</f>
        <v>740</v>
      </c>
      <c r="N6" s="35" cm="1">
        <f t="array" ref="N6">(SUM(VLOOKUP(J4:J100,$T$3:$W$41,3,FALSE)))</f>
        <v>40</v>
      </c>
      <c r="O6" s="35" cm="1">
        <f t="array" ref="O6">(SUM(VLOOKUP(K4:K100,$T$3:$W$41,3,FALSE)))</f>
        <v>300</v>
      </c>
      <c r="P6" s="49">
        <f t="shared" si="5"/>
        <v>1080</v>
      </c>
      <c r="Q6" s="50" t="s">
        <v>52</v>
      </c>
      <c r="R6" s="26">
        <f>R3*1600-800+R5</f>
        <v>150800</v>
      </c>
      <c r="S6" s="26"/>
      <c r="T6" s="5" t="s">
        <v>7</v>
      </c>
      <c r="U6" s="1">
        <v>180</v>
      </c>
      <c r="V6" s="1">
        <v>50</v>
      </c>
      <c r="W6" s="45">
        <v>36</v>
      </c>
      <c r="X6" s="46">
        <v>267</v>
      </c>
      <c r="Y6" s="46">
        <v>265</v>
      </c>
      <c r="Z6" s="1">
        <f t="shared" si="1"/>
        <v>0</v>
      </c>
      <c r="AA6" s="1">
        <f t="shared" si="2"/>
        <v>0</v>
      </c>
      <c r="AB6" s="54">
        <f t="shared" si="3"/>
        <v>265</v>
      </c>
    </row>
    <row r="7" spans="1:28">
      <c r="A7" s="2" t="s">
        <v>4</v>
      </c>
      <c r="B7" s="2" t="s">
        <v>4</v>
      </c>
      <c r="C7" s="4" t="s">
        <v>6</v>
      </c>
      <c r="D7" s="33" t="s">
        <v>40</v>
      </c>
      <c r="E7" s="35">
        <f>COUNTIF(A4:A100,"&lt;&gt;空")</f>
        <v>6</v>
      </c>
      <c r="F7" s="35">
        <f>COUNTIF(B4:B100,"&lt;&gt;空")</f>
        <v>44</v>
      </c>
      <c r="G7" s="35">
        <f>COUNTIF(C4:C100,"&lt;&gt;空")</f>
        <v>47</v>
      </c>
      <c r="H7" s="36">
        <f t="shared" si="4"/>
        <v>97</v>
      </c>
      <c r="I7" s="2" t="s">
        <v>4</v>
      </c>
      <c r="J7" s="1" t="s">
        <v>27</v>
      </c>
      <c r="K7" s="15" t="s">
        <v>17</v>
      </c>
      <c r="L7" s="33" t="s">
        <v>40</v>
      </c>
      <c r="M7" s="35">
        <f>COUNTIF(I4:I100,"&lt;&gt;空")</f>
        <v>22</v>
      </c>
      <c r="N7" s="35">
        <f>COUNTIF(J4:J100,"&lt;&gt;空")</f>
        <v>1</v>
      </c>
      <c r="O7" s="35">
        <f>COUNTIF(K4:K100,"&lt;&gt;空")</f>
        <v>8</v>
      </c>
      <c r="P7" s="36">
        <f t="shared" si="5"/>
        <v>31</v>
      </c>
      <c r="Q7" s="53" t="s">
        <v>55</v>
      </c>
      <c r="R7" s="26">
        <v>0</v>
      </c>
      <c r="S7" s="26"/>
      <c r="T7" s="6" t="s">
        <v>8</v>
      </c>
      <c r="U7" s="1">
        <v>190</v>
      </c>
      <c r="V7" s="1">
        <v>55</v>
      </c>
      <c r="W7" s="45">
        <v>38</v>
      </c>
      <c r="X7" s="46">
        <v>236</v>
      </c>
      <c r="Y7" s="46">
        <v>236</v>
      </c>
      <c r="Z7" s="1">
        <f t="shared" si="1"/>
        <v>0</v>
      </c>
      <c r="AA7" s="1">
        <f t="shared" si="2"/>
        <v>0</v>
      </c>
      <c r="AB7" s="54">
        <f t="shared" si="3"/>
        <v>236</v>
      </c>
    </row>
    <row r="8" spans="1:28">
      <c r="A8" s="2" t="s">
        <v>4</v>
      </c>
      <c r="B8" s="2" t="s">
        <v>4</v>
      </c>
      <c r="C8" s="4" t="s">
        <v>6</v>
      </c>
      <c r="D8" s="42" t="s">
        <v>70</v>
      </c>
      <c r="E8" s="41">
        <v>0</v>
      </c>
      <c r="F8" s="41">
        <v>1</v>
      </c>
      <c r="G8" s="41">
        <v>0</v>
      </c>
      <c r="H8" s="36">
        <f t="shared" si="4"/>
        <v>1</v>
      </c>
      <c r="I8" s="15" t="s">
        <v>17</v>
      </c>
      <c r="J8" s="1" t="s">
        <v>27</v>
      </c>
      <c r="K8" s="1" t="s">
        <v>27</v>
      </c>
      <c r="L8" s="42" t="s">
        <v>70</v>
      </c>
      <c r="M8" s="41">
        <v>2</v>
      </c>
      <c r="N8" s="41">
        <v>0</v>
      </c>
      <c r="O8" s="41">
        <v>0</v>
      </c>
      <c r="P8" s="36">
        <f t="shared" si="5"/>
        <v>2</v>
      </c>
      <c r="Q8" s="50" t="s">
        <v>54</v>
      </c>
      <c r="R8" s="55" cm="1">
        <f t="array" ref="R8">R6-P5-H5-SUM(U3:U28*AB3:AB28)*0.8-R7*8</f>
        <v>6</v>
      </c>
      <c r="S8" s="26"/>
      <c r="T8" s="7" t="s">
        <v>9</v>
      </c>
      <c r="U8" s="1">
        <v>200</v>
      </c>
      <c r="V8" s="1">
        <v>60</v>
      </c>
      <c r="W8" s="45"/>
      <c r="X8" s="46">
        <v>194</v>
      </c>
      <c r="Y8" s="46">
        <v>194</v>
      </c>
      <c r="Z8" s="1">
        <f t="shared" si="1"/>
        <v>0</v>
      </c>
      <c r="AA8" s="1">
        <f t="shared" si="2"/>
        <v>0</v>
      </c>
      <c r="AB8" s="54">
        <f t="shared" si="3"/>
        <v>194</v>
      </c>
    </row>
    <row r="9" spans="1:28">
      <c r="A9" s="2" t="s">
        <v>4</v>
      </c>
      <c r="B9" s="2" t="s">
        <v>4</v>
      </c>
      <c r="C9" s="17" t="s">
        <v>19</v>
      </c>
      <c r="D9" s="26"/>
      <c r="E9" s="26"/>
      <c r="F9" s="26"/>
      <c r="G9" s="26"/>
      <c r="H9" s="27"/>
      <c r="I9" s="1" t="s">
        <v>27</v>
      </c>
      <c r="J9" s="1" t="s">
        <v>27</v>
      </c>
      <c r="K9" s="1" t="s">
        <v>27</v>
      </c>
      <c r="L9" s="33" t="s">
        <v>42</v>
      </c>
      <c r="M9" s="37">
        <f>M6/M5</f>
        <v>0.39529914529914528</v>
      </c>
      <c r="N9" s="37">
        <f>N6/N5</f>
        <v>0.27777777777777779</v>
      </c>
      <c r="O9" s="37">
        <f>O6/O5</f>
        <v>0.35046728971962615</v>
      </c>
      <c r="P9" s="38">
        <f>P6/P5</f>
        <v>0.37604456824512533</v>
      </c>
      <c r="Q9" s="50"/>
      <c r="R9" s="26"/>
      <c r="S9" s="26"/>
      <c r="T9" s="8" t="s">
        <v>10</v>
      </c>
      <c r="U9" s="1">
        <v>150</v>
      </c>
      <c r="V9" s="1">
        <v>35</v>
      </c>
      <c r="W9" s="45">
        <f t="shared" ref="W9:W11" si="6">U9-V9/0.330882</f>
        <v>44.222109392472248</v>
      </c>
      <c r="X9" s="46">
        <v>3</v>
      </c>
      <c r="Y9" s="46">
        <v>0</v>
      </c>
      <c r="Z9" s="1">
        <f t="shared" si="1"/>
        <v>0</v>
      </c>
      <c r="AA9" s="1">
        <f t="shared" si="2"/>
        <v>0</v>
      </c>
      <c r="AB9" s="54">
        <f t="shared" si="3"/>
        <v>0</v>
      </c>
    </row>
    <row r="10" spans="1:28">
      <c r="A10" s="1" t="s">
        <v>27</v>
      </c>
      <c r="B10" s="1" t="s">
        <v>27</v>
      </c>
      <c r="C10" s="4" t="s">
        <v>6</v>
      </c>
      <c r="D10" s="26"/>
      <c r="E10" s="26"/>
      <c r="F10" s="26"/>
      <c r="G10" s="26"/>
      <c r="H10" s="27"/>
      <c r="I10" s="16" t="s">
        <v>28</v>
      </c>
      <c r="J10" s="1" t="s">
        <v>27</v>
      </c>
      <c r="K10" s="1" t="s">
        <v>27</v>
      </c>
      <c r="L10" s="26"/>
      <c r="M10" s="26"/>
      <c r="N10" s="26"/>
      <c r="O10" s="26"/>
      <c r="P10" s="27"/>
      <c r="Q10" s="50"/>
      <c r="R10" s="26"/>
      <c r="S10" s="26"/>
      <c r="T10" s="9" t="s">
        <v>11</v>
      </c>
      <c r="U10" s="1">
        <v>150</v>
      </c>
      <c r="V10" s="1">
        <v>40</v>
      </c>
      <c r="W10" s="45">
        <f t="shared" si="6"/>
        <v>29.110982162825422</v>
      </c>
      <c r="X10" s="46">
        <v>7</v>
      </c>
      <c r="Y10" s="46">
        <v>3</v>
      </c>
      <c r="Z10" s="1">
        <f t="shared" si="1"/>
        <v>1</v>
      </c>
      <c r="AA10" s="1">
        <f t="shared" si="2"/>
        <v>2</v>
      </c>
      <c r="AB10" s="54">
        <f t="shared" si="3"/>
        <v>0</v>
      </c>
    </row>
    <row r="11" spans="1:28">
      <c r="A11" s="1" t="s">
        <v>27</v>
      </c>
      <c r="B11" s="1" t="s">
        <v>27</v>
      </c>
      <c r="C11" s="1" t="s">
        <v>27</v>
      </c>
      <c r="D11" s="26"/>
      <c r="E11" s="26"/>
      <c r="F11" s="26"/>
      <c r="G11" s="26"/>
      <c r="H11" s="27"/>
      <c r="I11" s="3" t="s">
        <v>5</v>
      </c>
      <c r="J11" s="1" t="s">
        <v>27</v>
      </c>
      <c r="K11" s="1" t="s">
        <v>27</v>
      </c>
      <c r="L11" s="26"/>
      <c r="M11" s="26"/>
      <c r="N11" s="26"/>
      <c r="O11" s="26"/>
      <c r="P11" s="27">
        <f>H5+P5</f>
        <v>17362</v>
      </c>
      <c r="Q11" s="50"/>
      <c r="R11" s="26"/>
      <c r="S11" s="26"/>
      <c r="T11" s="10" t="s">
        <v>12</v>
      </c>
      <c r="U11" s="1">
        <v>150</v>
      </c>
      <c r="V11" s="1">
        <v>45</v>
      </c>
      <c r="W11" s="45">
        <f t="shared" si="6"/>
        <v>13.999854933178597</v>
      </c>
      <c r="X11" s="46">
        <v>6</v>
      </c>
      <c r="Y11" s="46">
        <v>6</v>
      </c>
      <c r="Z11" s="1">
        <f t="shared" si="1"/>
        <v>0</v>
      </c>
      <c r="AA11" s="1">
        <f t="shared" si="2"/>
        <v>0</v>
      </c>
      <c r="AB11" s="54">
        <f t="shared" si="3"/>
        <v>6</v>
      </c>
    </row>
    <row r="12" spans="1:28">
      <c r="A12" s="1" t="s">
        <v>27</v>
      </c>
      <c r="B12" s="4" t="s">
        <v>6</v>
      </c>
      <c r="C12" s="4" t="s">
        <v>6</v>
      </c>
      <c r="D12" s="26"/>
      <c r="E12" s="26"/>
      <c r="F12" s="26"/>
      <c r="G12" s="26"/>
      <c r="H12" s="27"/>
      <c r="I12" s="3" t="s">
        <v>5</v>
      </c>
      <c r="J12" s="1" t="s">
        <v>27</v>
      </c>
      <c r="K12" s="3" t="s">
        <v>5</v>
      </c>
      <c r="L12" s="26"/>
      <c r="M12" s="26"/>
      <c r="N12" s="26"/>
      <c r="O12" s="26"/>
      <c r="P12" s="27">
        <f>H6+P6</f>
        <v>5845</v>
      </c>
      <c r="Q12" s="50"/>
      <c r="R12" s="26"/>
      <c r="S12" s="26"/>
      <c r="T12" s="11" t="s">
        <v>13</v>
      </c>
      <c r="U12" s="1">
        <v>150</v>
      </c>
      <c r="V12" s="1">
        <v>50</v>
      </c>
      <c r="W12" s="45"/>
      <c r="X12" s="46">
        <v>4</v>
      </c>
      <c r="Y12" s="46">
        <v>4</v>
      </c>
      <c r="Z12" s="1">
        <f t="shared" si="1"/>
        <v>0</v>
      </c>
      <c r="AA12" s="1">
        <f t="shared" si="2"/>
        <v>0</v>
      </c>
      <c r="AB12" s="54">
        <f t="shared" si="3"/>
        <v>4</v>
      </c>
    </row>
    <row r="13" spans="1:28">
      <c r="A13" s="1" t="s">
        <v>27</v>
      </c>
      <c r="B13" s="4" t="s">
        <v>6</v>
      </c>
      <c r="C13" s="15" t="s">
        <v>17</v>
      </c>
      <c r="D13" s="26"/>
      <c r="E13" s="26"/>
      <c r="F13" s="26"/>
      <c r="G13" s="26"/>
      <c r="H13" s="27"/>
      <c r="I13" s="9" t="s">
        <v>11</v>
      </c>
      <c r="J13" s="1" t="s">
        <v>27</v>
      </c>
      <c r="K13" s="3" t="s">
        <v>5</v>
      </c>
      <c r="L13" s="26"/>
      <c r="M13" s="26"/>
      <c r="N13" s="26"/>
      <c r="O13" s="26"/>
      <c r="P13" s="27"/>
      <c r="Q13" s="50"/>
      <c r="R13" s="26"/>
      <c r="S13" s="26"/>
      <c r="T13" s="12" t="s">
        <v>14</v>
      </c>
      <c r="U13" s="1">
        <v>150</v>
      </c>
      <c r="V13" s="1">
        <v>55</v>
      </c>
      <c r="W13" s="45"/>
      <c r="X13" s="46">
        <v>3</v>
      </c>
      <c r="Y13" s="46">
        <v>3</v>
      </c>
      <c r="Z13" s="1">
        <f t="shared" si="1"/>
        <v>0</v>
      </c>
      <c r="AA13" s="1">
        <f t="shared" si="2"/>
        <v>0</v>
      </c>
      <c r="AB13" s="54">
        <f t="shared" si="3"/>
        <v>3</v>
      </c>
    </row>
    <row r="14" spans="1:28">
      <c r="A14" s="1" t="s">
        <v>27</v>
      </c>
      <c r="B14" s="4" t="s">
        <v>6</v>
      </c>
      <c r="C14" s="3" t="s">
        <v>5</v>
      </c>
      <c r="D14" s="26"/>
      <c r="E14" s="26"/>
      <c r="F14" s="26"/>
      <c r="G14" s="26"/>
      <c r="H14" s="27"/>
      <c r="I14" s="2" t="s">
        <v>4</v>
      </c>
      <c r="J14" s="1" t="s">
        <v>27</v>
      </c>
      <c r="K14" s="3" t="s">
        <v>5</v>
      </c>
      <c r="L14" s="26"/>
      <c r="M14" s="26"/>
      <c r="N14" s="26"/>
      <c r="O14" s="26"/>
      <c r="P14" s="27"/>
      <c r="Q14" s="50"/>
      <c r="R14" s="26"/>
      <c r="S14" s="26"/>
      <c r="T14" s="13" t="s">
        <v>15</v>
      </c>
      <c r="U14" s="1">
        <v>150</v>
      </c>
      <c r="V14" s="1">
        <v>60</v>
      </c>
      <c r="W14" s="45"/>
      <c r="X14" s="46">
        <v>1</v>
      </c>
      <c r="Y14" s="46">
        <v>1</v>
      </c>
      <c r="Z14" s="1">
        <f t="shared" si="1"/>
        <v>0</v>
      </c>
      <c r="AA14" s="1">
        <f t="shared" si="2"/>
        <v>0</v>
      </c>
      <c r="AB14" s="54">
        <f t="shared" si="3"/>
        <v>1</v>
      </c>
    </row>
    <row r="15" spans="1:28">
      <c r="A15" s="1" t="s">
        <v>27</v>
      </c>
      <c r="B15" s="4" t="s">
        <v>6</v>
      </c>
      <c r="C15" s="16" t="s">
        <v>18</v>
      </c>
      <c r="D15" s="26"/>
      <c r="E15" s="26"/>
      <c r="F15" s="26"/>
      <c r="G15" s="26"/>
      <c r="H15" s="27"/>
      <c r="I15" s="15" t="s">
        <v>17</v>
      </c>
      <c r="J15" s="1" t="s">
        <v>27</v>
      </c>
      <c r="K15" s="15" t="s">
        <v>17</v>
      </c>
      <c r="L15" s="26"/>
      <c r="M15" s="26"/>
      <c r="N15" s="26"/>
      <c r="O15" s="26"/>
      <c r="P15" s="27"/>
      <c r="Q15" s="50"/>
      <c r="R15" s="26"/>
      <c r="S15" s="26"/>
      <c r="T15" s="14" t="s">
        <v>16</v>
      </c>
      <c r="U15" s="1">
        <v>150</v>
      </c>
      <c r="V15" s="1">
        <v>35</v>
      </c>
      <c r="W15" s="45">
        <f t="shared" ref="W15" si="7">U15-V15/0.330882</f>
        <v>44.222109392472248</v>
      </c>
      <c r="X15" s="46"/>
      <c r="Y15" s="46">
        <v>0</v>
      </c>
      <c r="Z15" s="1">
        <f t="shared" si="1"/>
        <v>0</v>
      </c>
      <c r="AA15" s="1">
        <f t="shared" si="2"/>
        <v>0</v>
      </c>
      <c r="AB15" s="54">
        <f t="shared" si="3"/>
        <v>0</v>
      </c>
    </row>
    <row r="16" spans="1:28">
      <c r="A16" s="1" t="s">
        <v>27</v>
      </c>
      <c r="B16" s="15" t="s">
        <v>17</v>
      </c>
      <c r="C16" s="2" t="s">
        <v>4</v>
      </c>
      <c r="D16" s="26"/>
      <c r="E16" s="26"/>
      <c r="F16" s="26"/>
      <c r="G16" s="26"/>
      <c r="H16" s="27"/>
      <c r="I16" s="3" t="s">
        <v>5</v>
      </c>
      <c r="J16" s="1" t="s">
        <v>27</v>
      </c>
      <c r="K16" s="1" t="s">
        <v>27</v>
      </c>
      <c r="L16" s="26"/>
      <c r="M16" s="26"/>
      <c r="N16" s="26"/>
      <c r="O16" s="26"/>
      <c r="P16" s="27"/>
      <c r="Q16" s="50"/>
      <c r="R16" s="26"/>
      <c r="S16" s="26"/>
      <c r="T16" s="15" t="s">
        <v>17</v>
      </c>
      <c r="U16" s="1">
        <v>50</v>
      </c>
      <c r="V16" s="1">
        <v>30</v>
      </c>
      <c r="W16" s="45">
        <v>10</v>
      </c>
      <c r="X16" s="46">
        <v>40</v>
      </c>
      <c r="Y16" s="46">
        <v>40</v>
      </c>
      <c r="Z16" s="1">
        <f t="shared" si="1"/>
        <v>6</v>
      </c>
      <c r="AA16" s="1">
        <f t="shared" si="2"/>
        <v>8</v>
      </c>
      <c r="AB16" s="54">
        <f t="shared" si="3"/>
        <v>26</v>
      </c>
    </row>
    <row r="17" spans="1:28">
      <c r="A17" s="1" t="s">
        <v>27</v>
      </c>
      <c r="B17" s="4" t="s">
        <v>6</v>
      </c>
      <c r="C17" s="2" t="s">
        <v>4</v>
      </c>
      <c r="D17" s="26"/>
      <c r="E17" s="26"/>
      <c r="F17" s="26"/>
      <c r="G17" s="26"/>
      <c r="H17" s="27"/>
      <c r="I17" s="15" t="s">
        <v>17</v>
      </c>
      <c r="J17" s="1" t="s">
        <v>27</v>
      </c>
      <c r="K17" s="1" t="s">
        <v>27</v>
      </c>
      <c r="L17" s="26"/>
      <c r="M17" s="26"/>
      <c r="N17" s="26"/>
      <c r="O17" s="26"/>
      <c r="P17" s="27"/>
      <c r="Q17" s="50"/>
      <c r="R17" s="26"/>
      <c r="S17" s="26"/>
      <c r="T17" s="16" t="s">
        <v>18</v>
      </c>
      <c r="U17" s="1">
        <v>-150</v>
      </c>
      <c r="V17" s="1">
        <v>0</v>
      </c>
      <c r="W17" s="45">
        <v>10</v>
      </c>
      <c r="X17" s="46">
        <v>3</v>
      </c>
      <c r="Y17" s="46">
        <v>3</v>
      </c>
      <c r="Z17" s="1">
        <f t="shared" si="1"/>
        <v>3</v>
      </c>
      <c r="AA17" s="1">
        <f t="shared" si="2"/>
        <v>0</v>
      </c>
      <c r="AB17" s="54">
        <f t="shared" si="3"/>
        <v>0</v>
      </c>
    </row>
    <row r="18" spans="1:28">
      <c r="A18" s="1" t="s">
        <v>27</v>
      </c>
      <c r="B18" s="17" t="s">
        <v>20</v>
      </c>
      <c r="C18" s="2" t="s">
        <v>4</v>
      </c>
      <c r="D18" s="26"/>
      <c r="E18" s="26"/>
      <c r="F18" s="26"/>
      <c r="G18" s="26"/>
      <c r="H18" s="27"/>
      <c r="I18" s="3" t="s">
        <v>5</v>
      </c>
      <c r="J18" s="1" t="s">
        <v>27</v>
      </c>
      <c r="K18" s="1" t="s">
        <v>27</v>
      </c>
      <c r="L18" s="26"/>
      <c r="M18" s="26"/>
      <c r="N18" s="26"/>
      <c r="O18" s="26"/>
      <c r="P18" s="27"/>
      <c r="Q18" s="50"/>
      <c r="R18" s="26"/>
      <c r="S18" s="26"/>
      <c r="T18" s="17" t="s">
        <v>19</v>
      </c>
      <c r="U18" s="1">
        <v>250</v>
      </c>
      <c r="V18" s="1">
        <v>200</v>
      </c>
      <c r="W18" s="45"/>
      <c r="X18" s="46">
        <v>3</v>
      </c>
      <c r="Y18" s="46">
        <v>3</v>
      </c>
      <c r="Z18" s="1">
        <f t="shared" si="1"/>
        <v>3</v>
      </c>
      <c r="AA18" s="1">
        <f t="shared" si="2"/>
        <v>0</v>
      </c>
      <c r="AB18" s="54">
        <f t="shared" si="3"/>
        <v>0</v>
      </c>
    </row>
    <row r="19" spans="1:28">
      <c r="A19" s="1" t="s">
        <v>27</v>
      </c>
      <c r="B19" s="4" t="s">
        <v>6</v>
      </c>
      <c r="C19" s="2" t="s">
        <v>4</v>
      </c>
      <c r="D19" s="26"/>
      <c r="E19" s="26"/>
      <c r="F19" s="26"/>
      <c r="G19" s="26"/>
      <c r="H19" s="27"/>
      <c r="I19" s="3" t="s">
        <v>5</v>
      </c>
      <c r="J19" s="1" t="s">
        <v>27</v>
      </c>
      <c r="K19" s="1" t="s">
        <v>27</v>
      </c>
      <c r="L19" s="26"/>
      <c r="M19" s="26"/>
      <c r="N19" s="26"/>
      <c r="O19" s="26"/>
      <c r="P19" s="27"/>
      <c r="Q19" s="50"/>
      <c r="R19" s="26"/>
      <c r="S19" s="26"/>
      <c r="T19" s="17" t="s">
        <v>20</v>
      </c>
      <c r="U19" s="1">
        <v>170</v>
      </c>
      <c r="V19" s="1">
        <v>45</v>
      </c>
      <c r="W19" s="45"/>
      <c r="X19" s="46">
        <v>5</v>
      </c>
      <c r="Y19" s="46">
        <v>5</v>
      </c>
      <c r="Z19" s="1">
        <f t="shared" si="1"/>
        <v>5</v>
      </c>
      <c r="AA19" s="1">
        <f t="shared" si="2"/>
        <v>0</v>
      </c>
      <c r="AB19" s="54">
        <f t="shared" si="3"/>
        <v>0</v>
      </c>
    </row>
    <row r="20" spans="1:28">
      <c r="A20" s="1" t="s">
        <v>27</v>
      </c>
      <c r="B20" s="3" t="s">
        <v>5</v>
      </c>
      <c r="C20" s="15" t="s">
        <v>17</v>
      </c>
      <c r="D20" s="26"/>
      <c r="E20" s="26"/>
      <c r="F20" s="26"/>
      <c r="G20" s="26"/>
      <c r="H20" s="27"/>
      <c r="I20" s="3" t="s">
        <v>5</v>
      </c>
      <c r="J20" s="1" t="s">
        <v>27</v>
      </c>
      <c r="K20" s="1" t="s">
        <v>27</v>
      </c>
      <c r="L20" s="26"/>
      <c r="M20" s="26"/>
      <c r="N20" s="26"/>
      <c r="O20" s="26"/>
      <c r="P20" s="27"/>
      <c r="Q20" s="50"/>
      <c r="R20" s="26"/>
      <c r="S20" s="26"/>
      <c r="T20" s="18" t="s">
        <v>21</v>
      </c>
      <c r="U20" s="1">
        <v>250</v>
      </c>
      <c r="V20" s="1">
        <v>200</v>
      </c>
      <c r="W20" s="45"/>
      <c r="X20" s="46">
        <v>0</v>
      </c>
      <c r="Y20" s="46">
        <v>0</v>
      </c>
      <c r="Z20" s="1">
        <f t="shared" si="1"/>
        <v>0</v>
      </c>
      <c r="AA20" s="1">
        <f t="shared" si="2"/>
        <v>0</v>
      </c>
      <c r="AB20" s="54">
        <f t="shared" si="3"/>
        <v>0</v>
      </c>
    </row>
    <row r="21" spans="1:28">
      <c r="A21" s="1" t="s">
        <v>27</v>
      </c>
      <c r="B21" s="3" t="s">
        <v>5</v>
      </c>
      <c r="C21" s="3" t="s">
        <v>5</v>
      </c>
      <c r="D21" s="26"/>
      <c r="E21" s="26"/>
      <c r="F21" s="26"/>
      <c r="G21" s="26"/>
      <c r="H21" s="27"/>
      <c r="I21" s="2" t="s">
        <v>4</v>
      </c>
      <c r="J21" s="1" t="s">
        <v>27</v>
      </c>
      <c r="K21" s="1" t="s">
        <v>27</v>
      </c>
      <c r="L21" s="26"/>
      <c r="M21" s="26"/>
      <c r="N21" s="26"/>
      <c r="O21" s="26"/>
      <c r="P21" s="27"/>
      <c r="Q21" s="50"/>
      <c r="R21" s="26"/>
      <c r="S21" s="26"/>
      <c r="T21" s="19" t="s">
        <v>22</v>
      </c>
      <c r="U21" s="1">
        <v>250</v>
      </c>
      <c r="V21" s="1">
        <v>1000</v>
      </c>
      <c r="W21" s="45"/>
      <c r="X21" s="46">
        <v>2</v>
      </c>
      <c r="Y21" s="46">
        <v>2</v>
      </c>
      <c r="Z21" s="1">
        <f t="shared" si="1"/>
        <v>0</v>
      </c>
      <c r="AA21" s="1">
        <f t="shared" si="2"/>
        <v>0</v>
      </c>
      <c r="AB21" s="54">
        <f t="shared" si="3"/>
        <v>2</v>
      </c>
    </row>
    <row r="22" spans="1:28">
      <c r="A22" s="1" t="s">
        <v>27</v>
      </c>
      <c r="B22" s="3" t="s">
        <v>5</v>
      </c>
      <c r="C22" s="3" t="s">
        <v>5</v>
      </c>
      <c r="D22" s="26"/>
      <c r="E22" s="26"/>
      <c r="F22" s="26"/>
      <c r="G22" s="26"/>
      <c r="H22" s="27"/>
      <c r="I22" s="15" t="s">
        <v>17</v>
      </c>
      <c r="J22" s="1" t="s">
        <v>27</v>
      </c>
      <c r="K22" s="1" t="s">
        <v>27</v>
      </c>
      <c r="L22" s="26"/>
      <c r="M22" s="26"/>
      <c r="N22" s="26"/>
      <c r="O22" s="26"/>
      <c r="P22" s="27"/>
      <c r="Q22" s="50"/>
      <c r="R22" s="26"/>
      <c r="S22" s="26"/>
      <c r="T22" s="20" t="s">
        <v>23</v>
      </c>
      <c r="U22" s="1">
        <v>250</v>
      </c>
      <c r="V22" s="1">
        <v>500</v>
      </c>
      <c r="W22" s="45"/>
      <c r="X22" s="46">
        <v>2</v>
      </c>
      <c r="Y22" s="46">
        <v>2</v>
      </c>
      <c r="Z22" s="1">
        <f t="shared" si="1"/>
        <v>0</v>
      </c>
      <c r="AA22" s="1">
        <f t="shared" si="2"/>
        <v>0</v>
      </c>
      <c r="AB22" s="54">
        <f t="shared" si="3"/>
        <v>2</v>
      </c>
    </row>
    <row r="23" spans="1:28">
      <c r="A23" s="1" t="s">
        <v>27</v>
      </c>
      <c r="B23" s="3" t="s">
        <v>5</v>
      </c>
      <c r="C23" s="3" t="s">
        <v>5</v>
      </c>
      <c r="D23" s="26"/>
      <c r="E23" s="26"/>
      <c r="F23" s="26"/>
      <c r="G23" s="26"/>
      <c r="H23" s="27"/>
      <c r="I23" s="2" t="s">
        <v>4</v>
      </c>
      <c r="J23" s="1" t="s">
        <v>27</v>
      </c>
      <c r="K23" s="1" t="s">
        <v>27</v>
      </c>
      <c r="L23" s="26"/>
      <c r="M23" s="26"/>
      <c r="N23" s="26"/>
      <c r="O23" s="26"/>
      <c r="P23" s="27"/>
      <c r="Q23" s="50"/>
      <c r="R23" s="26"/>
      <c r="S23" s="26"/>
      <c r="T23" s="21" t="s">
        <v>24</v>
      </c>
      <c r="U23" s="1">
        <v>160</v>
      </c>
      <c r="V23" s="1">
        <v>40</v>
      </c>
      <c r="W23" s="45">
        <f t="shared" ref="W23:W26" si="8">U23-V23/0.330882</f>
        <v>39.110982162825422</v>
      </c>
      <c r="X23" s="46">
        <v>0</v>
      </c>
      <c r="Y23" s="46">
        <v>0</v>
      </c>
      <c r="Z23" s="1">
        <f t="shared" si="1"/>
        <v>0</v>
      </c>
      <c r="AA23" s="1">
        <f t="shared" si="2"/>
        <v>0</v>
      </c>
      <c r="AB23" s="54">
        <f t="shared" si="3"/>
        <v>0</v>
      </c>
    </row>
    <row r="24" spans="1:28">
      <c r="A24" s="1" t="s">
        <v>27</v>
      </c>
      <c r="B24" s="3" t="s">
        <v>5</v>
      </c>
      <c r="C24" s="16" t="s">
        <v>18</v>
      </c>
      <c r="D24" s="26"/>
      <c r="E24" s="26"/>
      <c r="F24" s="26"/>
      <c r="G24" s="26"/>
      <c r="H24" s="27"/>
      <c r="I24" s="2" t="s">
        <v>4</v>
      </c>
      <c r="J24" s="1" t="s">
        <v>27</v>
      </c>
      <c r="K24" s="1" t="s">
        <v>27</v>
      </c>
      <c r="L24" s="26"/>
      <c r="M24" s="26"/>
      <c r="N24" s="26"/>
      <c r="O24" s="26"/>
      <c r="P24" s="27"/>
      <c r="Q24" s="50"/>
      <c r="R24" s="26"/>
      <c r="S24" s="26"/>
      <c r="T24" s="21" t="s">
        <v>25</v>
      </c>
      <c r="U24" s="1">
        <v>160</v>
      </c>
      <c r="V24" s="1">
        <v>40</v>
      </c>
      <c r="W24" s="45">
        <f t="shared" si="8"/>
        <v>39.110982162825422</v>
      </c>
      <c r="X24" s="46">
        <v>0</v>
      </c>
      <c r="Y24" s="46">
        <v>0</v>
      </c>
      <c r="Z24" s="1">
        <f t="shared" si="1"/>
        <v>0</v>
      </c>
      <c r="AA24" s="1">
        <f t="shared" si="2"/>
        <v>0</v>
      </c>
      <c r="AB24" s="54">
        <f t="shared" si="3"/>
        <v>0</v>
      </c>
    </row>
    <row r="25" spans="1:28">
      <c r="A25" s="1" t="s">
        <v>27</v>
      </c>
      <c r="B25" s="3" t="s">
        <v>5</v>
      </c>
      <c r="C25" s="3" t="s">
        <v>5</v>
      </c>
      <c r="D25" s="26"/>
      <c r="E25" s="26"/>
      <c r="F25" s="26"/>
      <c r="G25" s="26"/>
      <c r="H25" s="27"/>
      <c r="I25" s="2" t="s">
        <v>4</v>
      </c>
      <c r="J25" s="1" t="s">
        <v>27</v>
      </c>
      <c r="K25" s="1" t="s">
        <v>27</v>
      </c>
      <c r="L25" s="26"/>
      <c r="M25" s="26"/>
      <c r="N25" s="26"/>
      <c r="O25" s="26"/>
      <c r="P25" s="27"/>
      <c r="Q25" s="50"/>
      <c r="R25" s="26"/>
      <c r="S25" s="26"/>
      <c r="T25" s="21" t="s">
        <v>26</v>
      </c>
      <c r="U25" s="1">
        <v>150</v>
      </c>
      <c r="V25" s="1">
        <v>35</v>
      </c>
      <c r="W25" s="45">
        <f t="shared" si="8"/>
        <v>44.222109392472248</v>
      </c>
      <c r="X25" s="46">
        <v>0</v>
      </c>
      <c r="Y25" s="46">
        <v>0</v>
      </c>
      <c r="Z25" s="1">
        <f t="shared" si="1"/>
        <v>0</v>
      </c>
      <c r="AA25" s="1">
        <f t="shared" si="2"/>
        <v>0</v>
      </c>
      <c r="AB25" s="54">
        <f t="shared" si="3"/>
        <v>0</v>
      </c>
    </row>
    <row r="26" spans="1:28">
      <c r="A26" s="1" t="s">
        <v>27</v>
      </c>
      <c r="B26" s="15" t="s">
        <v>17</v>
      </c>
      <c r="C26" s="3" t="s">
        <v>5</v>
      </c>
      <c r="D26" s="26"/>
      <c r="E26" s="26"/>
      <c r="F26" s="26"/>
      <c r="G26" s="26"/>
      <c r="H26" s="27"/>
      <c r="I26" s="15" t="s">
        <v>17</v>
      </c>
      <c r="J26" s="1" t="s">
        <v>27</v>
      </c>
      <c r="K26" s="1" t="s">
        <v>27</v>
      </c>
      <c r="L26" s="26"/>
      <c r="M26" s="26"/>
      <c r="N26" s="26"/>
      <c r="O26" s="26"/>
      <c r="P26" s="27"/>
      <c r="Q26" s="50"/>
      <c r="R26" s="26"/>
      <c r="S26" s="26"/>
      <c r="T26" s="22" t="s">
        <v>27</v>
      </c>
      <c r="U26" s="1">
        <v>0</v>
      </c>
      <c r="V26" s="1">
        <v>0</v>
      </c>
      <c r="W26" s="45">
        <f t="shared" si="8"/>
        <v>0</v>
      </c>
      <c r="X26" s="46">
        <v>0</v>
      </c>
      <c r="Y26" s="46">
        <v>0</v>
      </c>
      <c r="Z26" s="1"/>
      <c r="AA26" s="1"/>
      <c r="AB26" s="54"/>
    </row>
    <row r="27" spans="1:28">
      <c r="A27" s="1" t="s">
        <v>27</v>
      </c>
      <c r="B27" s="3" t="s">
        <v>5</v>
      </c>
      <c r="C27" s="4" t="s">
        <v>6</v>
      </c>
      <c r="D27" s="26"/>
      <c r="E27" s="26"/>
      <c r="F27" s="26"/>
      <c r="G27" s="26"/>
      <c r="H27" s="27"/>
      <c r="I27" s="1" t="s">
        <v>27</v>
      </c>
      <c r="J27" s="1" t="s">
        <v>27</v>
      </c>
      <c r="K27" s="1" t="s">
        <v>27</v>
      </c>
      <c r="L27" s="26"/>
      <c r="M27" s="26"/>
      <c r="N27" s="26"/>
      <c r="O27" s="26"/>
      <c r="P27" s="27"/>
      <c r="Q27" s="50"/>
      <c r="R27" s="26"/>
      <c r="S27" s="26"/>
      <c r="T27" s="16" t="s">
        <v>28</v>
      </c>
      <c r="U27" s="1">
        <v>-200</v>
      </c>
      <c r="V27" s="1">
        <v>0</v>
      </c>
      <c r="W27" s="45"/>
      <c r="X27" s="46">
        <v>12</v>
      </c>
      <c r="Y27" s="46">
        <v>12</v>
      </c>
      <c r="Z27" s="1">
        <f t="shared" si="1"/>
        <v>0</v>
      </c>
      <c r="AA27" s="1">
        <f t="shared" si="2"/>
        <v>1</v>
      </c>
      <c r="AB27" s="54">
        <f t="shared" si="3"/>
        <v>11</v>
      </c>
    </row>
    <row r="28" spans="1:28">
      <c r="A28" s="1" t="s">
        <v>27</v>
      </c>
      <c r="B28" s="3" t="s">
        <v>5</v>
      </c>
      <c r="C28" s="4" t="s">
        <v>6</v>
      </c>
      <c r="D28" s="26"/>
      <c r="E28" s="26"/>
      <c r="F28" s="26"/>
      <c r="G28" s="26"/>
      <c r="H28" s="27"/>
      <c r="I28" s="1" t="s">
        <v>27</v>
      </c>
      <c r="J28" s="1" t="s">
        <v>27</v>
      </c>
      <c r="K28" s="1" t="s">
        <v>27</v>
      </c>
      <c r="L28" s="26"/>
      <c r="M28" s="26"/>
      <c r="N28" s="26"/>
      <c r="O28" s="26"/>
      <c r="P28" s="27"/>
      <c r="Q28" s="50"/>
      <c r="R28" s="26"/>
      <c r="S28" s="26"/>
      <c r="T28" s="23" t="s">
        <v>29</v>
      </c>
      <c r="U28" s="1">
        <v>50</v>
      </c>
      <c r="V28" s="1">
        <v>520</v>
      </c>
      <c r="W28" s="45"/>
      <c r="X28" s="46">
        <v>3</v>
      </c>
      <c r="Y28" s="46">
        <v>3</v>
      </c>
      <c r="Z28" s="1">
        <f t="shared" si="1"/>
        <v>1</v>
      </c>
      <c r="AA28" s="1">
        <f t="shared" si="2"/>
        <v>0</v>
      </c>
      <c r="AB28" s="54">
        <f t="shared" si="3"/>
        <v>2</v>
      </c>
    </row>
    <row r="29" spans="1:28" ht="15.75" thickBot="1">
      <c r="A29" s="1" t="s">
        <v>27</v>
      </c>
      <c r="B29" s="3" t="s">
        <v>5</v>
      </c>
      <c r="C29" s="4" t="s">
        <v>6</v>
      </c>
      <c r="D29" s="26"/>
      <c r="E29" s="26"/>
      <c r="F29" s="26"/>
      <c r="G29" s="26"/>
      <c r="H29" s="27"/>
      <c r="I29" s="1" t="s">
        <v>27</v>
      </c>
      <c r="J29" s="1" t="s">
        <v>27</v>
      </c>
      <c r="K29" s="1" t="s">
        <v>27</v>
      </c>
      <c r="L29" s="26"/>
      <c r="M29" s="26"/>
      <c r="N29" s="26"/>
      <c r="O29" s="26"/>
      <c r="P29" s="27"/>
      <c r="Q29" s="56"/>
      <c r="R29" s="31"/>
      <c r="S29" s="31"/>
      <c r="T29" s="30"/>
      <c r="U29" s="30"/>
      <c r="V29" s="30"/>
      <c r="W29" s="30"/>
      <c r="X29" s="30"/>
      <c r="Y29" s="30"/>
      <c r="Z29" s="30"/>
      <c r="AA29" s="30"/>
      <c r="AB29" s="57"/>
    </row>
    <row r="30" spans="1:28">
      <c r="A30" s="1" t="s">
        <v>27</v>
      </c>
      <c r="B30" s="3" t="s">
        <v>5</v>
      </c>
      <c r="C30" s="4" t="s">
        <v>6</v>
      </c>
      <c r="D30" s="26"/>
      <c r="E30" s="26"/>
      <c r="F30" s="26"/>
      <c r="G30" s="26"/>
      <c r="H30" s="27"/>
      <c r="I30" s="1" t="s">
        <v>27</v>
      </c>
      <c r="J30" s="1" t="s">
        <v>27</v>
      </c>
      <c r="K30" s="1" t="s">
        <v>27</v>
      </c>
      <c r="L30" s="26"/>
      <c r="M30" s="26"/>
      <c r="N30" s="26"/>
      <c r="O30" s="26"/>
      <c r="P30" s="27"/>
    </row>
    <row r="31" spans="1:28">
      <c r="A31" s="1" t="s">
        <v>27</v>
      </c>
      <c r="B31" s="15" t="s">
        <v>17</v>
      </c>
      <c r="C31" s="4" t="s">
        <v>6</v>
      </c>
      <c r="D31" s="26"/>
      <c r="E31" s="26"/>
      <c r="F31" s="26"/>
      <c r="G31" s="26"/>
      <c r="H31" s="27"/>
      <c r="I31" s="1" t="s">
        <v>27</v>
      </c>
      <c r="J31" s="1" t="s">
        <v>27</v>
      </c>
      <c r="K31" s="1" t="s">
        <v>27</v>
      </c>
      <c r="L31" s="26"/>
      <c r="M31" s="26"/>
      <c r="N31" s="26"/>
      <c r="O31" s="26"/>
      <c r="P31" s="27"/>
      <c r="Y31">
        <f>SUM(Y3:Y28)</f>
        <v>1075</v>
      </c>
    </row>
    <row r="32" spans="1:28">
      <c r="A32" s="1" t="s">
        <v>27</v>
      </c>
      <c r="B32" s="3" t="s">
        <v>5</v>
      </c>
      <c r="C32" s="17" t="s">
        <v>20</v>
      </c>
      <c r="D32" s="26"/>
      <c r="E32" s="26"/>
      <c r="F32" s="26"/>
      <c r="G32" s="26"/>
      <c r="H32" s="27"/>
      <c r="I32" s="1" t="s">
        <v>27</v>
      </c>
      <c r="J32" s="1" t="s">
        <v>27</v>
      </c>
      <c r="K32" s="1" t="s">
        <v>27</v>
      </c>
      <c r="L32" s="26"/>
      <c r="M32" s="26"/>
      <c r="N32" s="26"/>
      <c r="O32" s="26"/>
      <c r="P32" s="27"/>
      <c r="Q32" t="s">
        <v>57</v>
      </c>
      <c r="R32">
        <v>1</v>
      </c>
      <c r="S32" t="s">
        <v>59</v>
      </c>
    </row>
    <row r="33" spans="1:19">
      <c r="A33" s="1" t="s">
        <v>27</v>
      </c>
      <c r="B33" s="4" t="s">
        <v>6</v>
      </c>
      <c r="C33" s="3" t="s">
        <v>5</v>
      </c>
      <c r="D33" s="26"/>
      <c r="E33" s="26"/>
      <c r="F33" s="26"/>
      <c r="G33" s="26"/>
      <c r="H33" s="27"/>
      <c r="I33" s="1" t="s">
        <v>27</v>
      </c>
      <c r="J33" s="1" t="s">
        <v>27</v>
      </c>
      <c r="K33" s="1" t="s">
        <v>27</v>
      </c>
      <c r="L33" s="26"/>
      <c r="M33" s="26"/>
      <c r="N33" s="26"/>
      <c r="O33" s="26"/>
      <c r="P33" s="27"/>
      <c r="R33">
        <v>2</v>
      </c>
      <c r="S33" t="s">
        <v>60</v>
      </c>
    </row>
    <row r="34" spans="1:19">
      <c r="A34" s="1" t="s">
        <v>27</v>
      </c>
      <c r="B34" s="2" t="s">
        <v>4</v>
      </c>
      <c r="C34" s="3" t="s">
        <v>5</v>
      </c>
      <c r="D34" s="26"/>
      <c r="E34" s="26"/>
      <c r="F34" s="26"/>
      <c r="G34" s="26"/>
      <c r="H34" s="27"/>
      <c r="I34" s="28" t="s">
        <v>27</v>
      </c>
      <c r="J34" s="1" t="s">
        <v>27</v>
      </c>
      <c r="K34" s="1" t="s">
        <v>27</v>
      </c>
      <c r="L34" s="26"/>
      <c r="M34" s="26"/>
      <c r="N34" s="26"/>
      <c r="O34" s="26"/>
      <c r="P34" s="27"/>
      <c r="R34">
        <v>3</v>
      </c>
      <c r="S34" t="s">
        <v>58</v>
      </c>
    </row>
    <row r="35" spans="1:19">
      <c r="A35" s="1" t="s">
        <v>27</v>
      </c>
      <c r="B35" s="4" t="s">
        <v>6</v>
      </c>
      <c r="C35" s="3" t="s">
        <v>5</v>
      </c>
      <c r="D35" s="26"/>
      <c r="E35" s="26"/>
      <c r="F35" s="26"/>
      <c r="G35" s="26"/>
      <c r="H35" s="27"/>
      <c r="I35" s="28" t="s">
        <v>27</v>
      </c>
      <c r="J35" s="1" t="s">
        <v>27</v>
      </c>
      <c r="K35" s="1" t="s">
        <v>27</v>
      </c>
      <c r="L35" s="26"/>
      <c r="M35" s="26"/>
      <c r="N35" s="26"/>
      <c r="O35" s="26"/>
      <c r="P35" s="27"/>
      <c r="R35">
        <v>4</v>
      </c>
      <c r="S35" t="s">
        <v>61</v>
      </c>
    </row>
    <row r="36" spans="1:19">
      <c r="A36" s="1" t="s">
        <v>27</v>
      </c>
      <c r="B36" s="17" t="s">
        <v>20</v>
      </c>
      <c r="C36" s="15" t="s">
        <v>17</v>
      </c>
      <c r="D36" s="26"/>
      <c r="E36" s="26"/>
      <c r="F36" s="26"/>
      <c r="G36" s="26"/>
      <c r="H36" s="27"/>
      <c r="I36" s="28" t="s">
        <v>27</v>
      </c>
      <c r="J36" s="1" t="s">
        <v>27</v>
      </c>
      <c r="K36" s="1" t="s">
        <v>27</v>
      </c>
      <c r="L36" s="26"/>
      <c r="M36" s="26"/>
      <c r="N36" s="26"/>
      <c r="O36" s="26"/>
      <c r="P36" s="27"/>
      <c r="S36" t="s">
        <v>62</v>
      </c>
    </row>
    <row r="37" spans="1:19">
      <c r="A37" s="1" t="s">
        <v>27</v>
      </c>
      <c r="B37" s="4" t="s">
        <v>6</v>
      </c>
      <c r="C37" s="3" t="s">
        <v>5</v>
      </c>
      <c r="D37" s="26"/>
      <c r="E37" s="26"/>
      <c r="F37" s="26"/>
      <c r="G37" s="26"/>
      <c r="H37" s="27"/>
      <c r="I37" s="28" t="s">
        <v>27</v>
      </c>
      <c r="J37" s="1" t="s">
        <v>27</v>
      </c>
      <c r="K37" s="1" t="s">
        <v>27</v>
      </c>
      <c r="L37" s="26"/>
      <c r="M37" s="26"/>
      <c r="N37" s="26"/>
      <c r="O37" s="26"/>
      <c r="P37" s="27"/>
      <c r="R37">
        <v>5</v>
      </c>
      <c r="S37" t="s">
        <v>63</v>
      </c>
    </row>
    <row r="38" spans="1:19">
      <c r="A38" s="1" t="s">
        <v>27</v>
      </c>
      <c r="B38" s="4" t="s">
        <v>6</v>
      </c>
      <c r="C38" s="3" t="s">
        <v>5</v>
      </c>
      <c r="D38" s="26"/>
      <c r="E38" s="26"/>
      <c r="F38" s="26"/>
      <c r="G38" s="26"/>
      <c r="H38" s="27"/>
      <c r="I38" s="28" t="s">
        <v>27</v>
      </c>
      <c r="J38" s="1" t="s">
        <v>27</v>
      </c>
      <c r="K38" s="1" t="s">
        <v>27</v>
      </c>
      <c r="L38" s="26"/>
      <c r="M38" s="26"/>
      <c r="N38" s="26"/>
      <c r="O38" s="26"/>
      <c r="P38" s="27"/>
      <c r="R38">
        <v>6</v>
      </c>
      <c r="S38" t="s">
        <v>71</v>
      </c>
    </row>
    <row r="39" spans="1:19">
      <c r="A39" s="1" t="s">
        <v>27</v>
      </c>
      <c r="B39" s="4" t="s">
        <v>6</v>
      </c>
      <c r="C39" s="4" t="s">
        <v>6</v>
      </c>
      <c r="D39" s="26"/>
      <c r="E39" s="26"/>
      <c r="F39" s="26"/>
      <c r="G39" s="26"/>
      <c r="H39" s="27"/>
      <c r="I39" s="28" t="s">
        <v>27</v>
      </c>
      <c r="J39" s="1" t="s">
        <v>27</v>
      </c>
      <c r="K39" s="1" t="s">
        <v>27</v>
      </c>
      <c r="L39" s="26"/>
      <c r="M39" s="26"/>
      <c r="N39" s="26"/>
      <c r="O39" s="26"/>
      <c r="P39" s="27"/>
      <c r="R39">
        <v>7</v>
      </c>
      <c r="S39" t="s">
        <v>65</v>
      </c>
    </row>
    <row r="40" spans="1:19">
      <c r="A40" s="1" t="s">
        <v>27</v>
      </c>
      <c r="B40" s="17" t="s">
        <v>19</v>
      </c>
      <c r="C40" s="4" t="s">
        <v>6</v>
      </c>
      <c r="D40" s="26"/>
      <c r="E40" s="26"/>
      <c r="F40" s="26"/>
      <c r="G40" s="26"/>
      <c r="H40" s="27"/>
      <c r="I40" s="28" t="s">
        <v>27</v>
      </c>
      <c r="J40" s="1" t="s">
        <v>27</v>
      </c>
      <c r="K40" s="1" t="s">
        <v>27</v>
      </c>
      <c r="L40" s="26"/>
      <c r="M40" s="26"/>
      <c r="N40" s="26"/>
      <c r="O40" s="26"/>
      <c r="P40" s="27"/>
    </row>
    <row r="41" spans="1:19">
      <c r="A41" s="1" t="s">
        <v>27</v>
      </c>
      <c r="B41" s="4" t="s">
        <v>6</v>
      </c>
      <c r="C41" s="9" t="s">
        <v>11</v>
      </c>
      <c r="D41" s="26"/>
      <c r="E41" s="26"/>
      <c r="F41" s="26"/>
      <c r="G41" s="26"/>
      <c r="H41" s="27"/>
      <c r="I41" s="28" t="s">
        <v>27</v>
      </c>
      <c r="J41" s="1" t="s">
        <v>27</v>
      </c>
      <c r="K41" s="1" t="s">
        <v>27</v>
      </c>
      <c r="L41" s="26"/>
      <c r="M41" s="26"/>
      <c r="N41" s="26"/>
      <c r="O41" s="26"/>
      <c r="P41" s="27"/>
    </row>
    <row r="42" spans="1:19">
      <c r="A42" s="1" t="s">
        <v>27</v>
      </c>
      <c r="B42" s="3" t="s">
        <v>5</v>
      </c>
      <c r="C42" s="4" t="s">
        <v>6</v>
      </c>
      <c r="D42" s="26"/>
      <c r="E42" s="26"/>
      <c r="F42" s="26"/>
      <c r="G42" s="26"/>
      <c r="H42" s="27"/>
      <c r="I42" s="28" t="s">
        <v>27</v>
      </c>
      <c r="J42" s="1" t="s">
        <v>27</v>
      </c>
      <c r="K42" s="1" t="s">
        <v>27</v>
      </c>
      <c r="L42" s="26"/>
      <c r="M42" s="26"/>
      <c r="N42" s="26"/>
      <c r="O42" s="26"/>
      <c r="P42" s="27"/>
    </row>
    <row r="43" spans="1:19">
      <c r="A43" s="1" t="s">
        <v>27</v>
      </c>
      <c r="B43" s="3" t="s">
        <v>5</v>
      </c>
      <c r="C43" s="17" t="s">
        <v>19</v>
      </c>
      <c r="D43" s="26"/>
      <c r="E43" s="26"/>
      <c r="F43" s="26"/>
      <c r="G43" s="26"/>
      <c r="H43" s="27"/>
      <c r="I43" s="28" t="s">
        <v>27</v>
      </c>
      <c r="J43" s="1" t="s">
        <v>27</v>
      </c>
      <c r="K43" s="1" t="s">
        <v>27</v>
      </c>
      <c r="L43" s="26"/>
      <c r="M43" s="26"/>
      <c r="N43" s="26"/>
      <c r="O43" s="26"/>
      <c r="P43" s="27"/>
    </row>
    <row r="44" spans="1:19">
      <c r="A44" s="1" t="s">
        <v>27</v>
      </c>
      <c r="B44" s="3" t="s">
        <v>5</v>
      </c>
      <c r="C44" s="4" t="s">
        <v>6</v>
      </c>
      <c r="D44" s="26"/>
      <c r="E44" s="26"/>
      <c r="F44" s="26"/>
      <c r="G44" s="26"/>
      <c r="H44" s="27"/>
      <c r="I44" s="28" t="s">
        <v>27</v>
      </c>
      <c r="J44" s="1" t="s">
        <v>27</v>
      </c>
      <c r="K44" s="1" t="s">
        <v>27</v>
      </c>
      <c r="L44" s="26"/>
      <c r="M44" s="26"/>
      <c r="N44" s="26"/>
      <c r="O44" s="26"/>
      <c r="P44" s="27"/>
    </row>
    <row r="45" spans="1:19">
      <c r="A45" s="1" t="s">
        <v>27</v>
      </c>
      <c r="B45" s="3" t="s">
        <v>5</v>
      </c>
      <c r="C45" s="4" t="s">
        <v>6</v>
      </c>
      <c r="D45" s="26"/>
      <c r="E45" s="26"/>
      <c r="F45" s="26"/>
      <c r="G45" s="26"/>
      <c r="H45" s="27"/>
      <c r="I45" s="28" t="s">
        <v>27</v>
      </c>
      <c r="J45" s="1" t="s">
        <v>27</v>
      </c>
      <c r="K45" s="1" t="s">
        <v>27</v>
      </c>
      <c r="L45" s="26"/>
      <c r="M45" s="26"/>
      <c r="N45" s="26"/>
      <c r="O45" s="26"/>
      <c r="P45" s="27"/>
    </row>
    <row r="46" spans="1:19">
      <c r="A46" s="1" t="s">
        <v>27</v>
      </c>
      <c r="B46" s="4" t="s">
        <v>6</v>
      </c>
      <c r="C46" s="4" t="s">
        <v>6</v>
      </c>
      <c r="D46" s="26"/>
      <c r="E46" s="26"/>
      <c r="F46" s="26"/>
      <c r="G46" s="26"/>
      <c r="H46" s="27"/>
      <c r="I46" s="28" t="s">
        <v>27</v>
      </c>
      <c r="J46" s="1" t="s">
        <v>27</v>
      </c>
      <c r="K46" s="1" t="s">
        <v>27</v>
      </c>
      <c r="L46" s="26"/>
      <c r="M46" s="26"/>
      <c r="N46" s="26"/>
      <c r="O46" s="26"/>
      <c r="P46" s="27"/>
    </row>
    <row r="47" spans="1:19">
      <c r="A47" s="1" t="s">
        <v>27</v>
      </c>
      <c r="B47" s="4" t="s">
        <v>6</v>
      </c>
      <c r="C47" s="4" t="s">
        <v>6</v>
      </c>
      <c r="D47" s="26"/>
      <c r="E47" s="26"/>
      <c r="F47" s="26"/>
      <c r="G47" s="26"/>
      <c r="H47" s="27"/>
      <c r="I47" s="28" t="s">
        <v>27</v>
      </c>
      <c r="J47" s="1" t="s">
        <v>27</v>
      </c>
      <c r="K47" s="1" t="s">
        <v>27</v>
      </c>
      <c r="L47" s="26"/>
      <c r="M47" s="26"/>
      <c r="N47" s="26"/>
      <c r="O47" s="26"/>
      <c r="P47" s="27"/>
    </row>
    <row r="48" spans="1:19">
      <c r="A48" s="1" t="s">
        <v>27</v>
      </c>
      <c r="B48" s="4" t="s">
        <v>6</v>
      </c>
      <c r="C48" s="16" t="s">
        <v>18</v>
      </c>
      <c r="D48" s="26"/>
      <c r="E48" s="26"/>
      <c r="F48" s="26"/>
      <c r="G48" s="26"/>
      <c r="H48" s="27"/>
      <c r="I48" s="28" t="s">
        <v>27</v>
      </c>
      <c r="J48" s="1" t="s">
        <v>27</v>
      </c>
      <c r="K48" s="1" t="s">
        <v>27</v>
      </c>
      <c r="L48" s="26"/>
      <c r="M48" s="26"/>
      <c r="N48" s="26"/>
      <c r="O48" s="26"/>
      <c r="P48" s="27"/>
    </row>
    <row r="49" spans="1:16">
      <c r="A49" s="1" t="s">
        <v>27</v>
      </c>
      <c r="B49" s="17" t="s">
        <v>20</v>
      </c>
      <c r="C49" s="4" t="s">
        <v>6</v>
      </c>
      <c r="D49" s="26"/>
      <c r="E49" s="26"/>
      <c r="F49" s="26"/>
      <c r="G49" s="26"/>
      <c r="H49" s="27"/>
      <c r="I49" s="28" t="s">
        <v>27</v>
      </c>
      <c r="J49" s="1" t="s">
        <v>27</v>
      </c>
      <c r="K49" s="1" t="s">
        <v>27</v>
      </c>
      <c r="L49" s="26"/>
      <c r="M49" s="26"/>
      <c r="N49" s="26"/>
      <c r="O49" s="26"/>
      <c r="P49" s="27"/>
    </row>
    <row r="50" spans="1:16">
      <c r="A50" s="1" t="s">
        <v>27</v>
      </c>
      <c r="B50" s="1" t="s">
        <v>27</v>
      </c>
      <c r="C50" s="4" t="s">
        <v>6</v>
      </c>
      <c r="D50" s="26"/>
      <c r="E50" s="26"/>
      <c r="F50" s="26"/>
      <c r="G50" s="26"/>
      <c r="H50" s="27"/>
      <c r="I50" s="28" t="s">
        <v>27</v>
      </c>
      <c r="J50" s="1" t="s">
        <v>27</v>
      </c>
      <c r="K50" s="1" t="s">
        <v>27</v>
      </c>
      <c r="L50" s="26"/>
      <c r="M50" s="26"/>
      <c r="N50" s="26"/>
      <c r="O50" s="26"/>
      <c r="P50" s="27"/>
    </row>
    <row r="51" spans="1:16">
      <c r="A51" s="1" t="s">
        <v>27</v>
      </c>
      <c r="B51" s="1" t="s">
        <v>27</v>
      </c>
      <c r="C51" s="17" t="s">
        <v>20</v>
      </c>
      <c r="D51" s="26"/>
      <c r="E51" s="26"/>
      <c r="F51" s="26"/>
      <c r="G51" s="26"/>
      <c r="H51" s="27"/>
      <c r="I51" s="28" t="s">
        <v>27</v>
      </c>
      <c r="J51" s="1" t="s">
        <v>27</v>
      </c>
      <c r="K51" s="1" t="s">
        <v>27</v>
      </c>
      <c r="L51" s="26"/>
      <c r="M51" s="26"/>
      <c r="N51" s="26"/>
      <c r="O51" s="26"/>
      <c r="P51" s="27"/>
    </row>
    <row r="52" spans="1:16">
      <c r="A52" s="1" t="s">
        <v>27</v>
      </c>
      <c r="B52" s="1" t="s">
        <v>27</v>
      </c>
      <c r="C52" s="1" t="s">
        <v>27</v>
      </c>
      <c r="D52" s="26"/>
      <c r="E52" s="26"/>
      <c r="F52" s="26"/>
      <c r="G52" s="26"/>
      <c r="H52" s="27"/>
      <c r="I52" s="28" t="s">
        <v>27</v>
      </c>
      <c r="J52" s="1" t="s">
        <v>27</v>
      </c>
      <c r="K52" s="1" t="s">
        <v>27</v>
      </c>
      <c r="L52" s="26"/>
      <c r="M52" s="26"/>
      <c r="N52" s="26"/>
      <c r="O52" s="26"/>
      <c r="P52" s="27"/>
    </row>
    <row r="53" spans="1:16">
      <c r="A53" s="1" t="s">
        <v>27</v>
      </c>
      <c r="B53" s="1" t="s">
        <v>27</v>
      </c>
      <c r="C53" s="1" t="s">
        <v>27</v>
      </c>
      <c r="D53" s="26"/>
      <c r="E53" s="26"/>
      <c r="F53" s="26"/>
      <c r="G53" s="26"/>
      <c r="H53" s="27"/>
      <c r="I53" s="28" t="s">
        <v>27</v>
      </c>
      <c r="J53" s="1" t="s">
        <v>27</v>
      </c>
      <c r="K53" s="1" t="s">
        <v>27</v>
      </c>
      <c r="L53" s="26"/>
      <c r="M53" s="26"/>
      <c r="N53" s="26"/>
      <c r="O53" s="26"/>
      <c r="P53" s="27"/>
    </row>
    <row r="54" spans="1:16">
      <c r="A54" s="1" t="s">
        <v>27</v>
      </c>
      <c r="B54" s="1" t="s">
        <v>27</v>
      </c>
      <c r="C54" s="1" t="s">
        <v>27</v>
      </c>
      <c r="D54" s="26"/>
      <c r="E54" s="26"/>
      <c r="F54" s="26"/>
      <c r="G54" s="26"/>
      <c r="H54" s="27"/>
      <c r="I54" s="28" t="s">
        <v>27</v>
      </c>
      <c r="J54" s="1" t="s">
        <v>27</v>
      </c>
      <c r="K54" s="1" t="s">
        <v>27</v>
      </c>
      <c r="L54" s="26"/>
      <c r="M54" s="26"/>
      <c r="N54" s="26"/>
      <c r="O54" s="26"/>
      <c r="P54" s="27"/>
    </row>
    <row r="55" spans="1:16">
      <c r="A55" s="1" t="s">
        <v>27</v>
      </c>
      <c r="B55" s="1" t="s">
        <v>27</v>
      </c>
      <c r="C55" s="1" t="s">
        <v>27</v>
      </c>
      <c r="D55" s="26"/>
      <c r="E55" s="26"/>
      <c r="F55" s="26"/>
      <c r="G55" s="26"/>
      <c r="H55" s="27"/>
      <c r="I55" s="28" t="s">
        <v>27</v>
      </c>
      <c r="J55" s="1" t="s">
        <v>27</v>
      </c>
      <c r="K55" s="1" t="s">
        <v>27</v>
      </c>
      <c r="L55" s="26"/>
      <c r="M55" s="26"/>
      <c r="N55" s="26"/>
      <c r="O55" s="26"/>
      <c r="P55" s="27"/>
    </row>
    <row r="56" spans="1:16">
      <c r="A56" s="28" t="s">
        <v>27</v>
      </c>
      <c r="B56" s="1" t="s">
        <v>27</v>
      </c>
      <c r="C56" s="1" t="s">
        <v>27</v>
      </c>
      <c r="D56" s="26"/>
      <c r="E56" s="26"/>
      <c r="F56" s="26"/>
      <c r="G56" s="26"/>
      <c r="H56" s="27"/>
      <c r="I56" s="28" t="s">
        <v>27</v>
      </c>
      <c r="J56" s="1" t="s">
        <v>27</v>
      </c>
      <c r="K56" s="1" t="s">
        <v>27</v>
      </c>
      <c r="L56" s="26"/>
      <c r="M56" s="26"/>
      <c r="N56" s="26"/>
      <c r="O56" s="26"/>
      <c r="P56" s="27"/>
    </row>
    <row r="57" spans="1:16">
      <c r="A57" s="28" t="s">
        <v>27</v>
      </c>
      <c r="B57" s="1" t="s">
        <v>27</v>
      </c>
      <c r="C57" s="1" t="s">
        <v>27</v>
      </c>
      <c r="D57" s="26"/>
      <c r="E57" s="26"/>
      <c r="F57" s="26"/>
      <c r="G57" s="26"/>
      <c r="H57" s="27"/>
      <c r="I57" s="28" t="s">
        <v>27</v>
      </c>
      <c r="J57" s="1" t="s">
        <v>27</v>
      </c>
      <c r="K57" s="1" t="s">
        <v>27</v>
      </c>
      <c r="L57" s="26"/>
      <c r="M57" s="26"/>
      <c r="N57" s="26"/>
      <c r="O57" s="26"/>
      <c r="P57" s="27"/>
    </row>
    <row r="58" spans="1:16">
      <c r="A58" s="28" t="s">
        <v>27</v>
      </c>
      <c r="B58" s="1" t="s">
        <v>27</v>
      </c>
      <c r="C58" s="1" t="s">
        <v>27</v>
      </c>
      <c r="D58" s="26"/>
      <c r="E58" s="26"/>
      <c r="F58" s="26"/>
      <c r="G58" s="26"/>
      <c r="H58" s="27"/>
      <c r="I58" s="28" t="s">
        <v>27</v>
      </c>
      <c r="J58" s="1" t="s">
        <v>27</v>
      </c>
      <c r="K58" s="1" t="s">
        <v>27</v>
      </c>
      <c r="L58" s="26"/>
      <c r="M58" s="26"/>
      <c r="N58" s="26"/>
      <c r="O58" s="26"/>
      <c r="P58" s="27"/>
    </row>
    <row r="59" spans="1:16">
      <c r="A59" s="28" t="s">
        <v>27</v>
      </c>
      <c r="B59" s="1" t="s">
        <v>27</v>
      </c>
      <c r="C59" s="1" t="s">
        <v>27</v>
      </c>
      <c r="D59" s="26"/>
      <c r="E59" s="26"/>
      <c r="F59" s="26"/>
      <c r="G59" s="26"/>
      <c r="H59" s="27"/>
      <c r="I59" s="28" t="s">
        <v>27</v>
      </c>
      <c r="J59" s="1" t="s">
        <v>27</v>
      </c>
      <c r="K59" s="1" t="s">
        <v>27</v>
      </c>
      <c r="L59" s="26"/>
      <c r="M59" s="26"/>
      <c r="N59" s="26"/>
      <c r="O59" s="26"/>
      <c r="P59" s="27"/>
    </row>
    <row r="60" spans="1:16">
      <c r="A60" s="28" t="s">
        <v>27</v>
      </c>
      <c r="B60" s="1" t="s">
        <v>27</v>
      </c>
      <c r="C60" s="1" t="s">
        <v>27</v>
      </c>
      <c r="D60" s="26"/>
      <c r="E60" s="26"/>
      <c r="F60" s="26"/>
      <c r="G60" s="26"/>
      <c r="H60" s="27"/>
      <c r="I60" s="28" t="s">
        <v>27</v>
      </c>
      <c r="J60" s="1" t="s">
        <v>27</v>
      </c>
      <c r="K60" s="1" t="s">
        <v>27</v>
      </c>
      <c r="L60" s="26"/>
      <c r="M60" s="26"/>
      <c r="N60" s="26"/>
      <c r="O60" s="26"/>
      <c r="P60" s="27"/>
    </row>
    <row r="61" spans="1:16">
      <c r="A61" s="28" t="s">
        <v>27</v>
      </c>
      <c r="B61" s="1" t="s">
        <v>27</v>
      </c>
      <c r="C61" s="1" t="s">
        <v>27</v>
      </c>
      <c r="D61" s="26"/>
      <c r="E61" s="26"/>
      <c r="F61" s="26"/>
      <c r="G61" s="26"/>
      <c r="H61" s="27"/>
      <c r="I61" s="28" t="s">
        <v>27</v>
      </c>
      <c r="J61" s="1" t="s">
        <v>27</v>
      </c>
      <c r="K61" s="1" t="s">
        <v>27</v>
      </c>
      <c r="L61" s="26"/>
      <c r="M61" s="26"/>
      <c r="N61" s="26"/>
      <c r="O61" s="26"/>
      <c r="P61" s="27"/>
    </row>
    <row r="62" spans="1:16">
      <c r="A62" s="28" t="s">
        <v>27</v>
      </c>
      <c r="B62" s="1" t="s">
        <v>27</v>
      </c>
      <c r="C62" s="1" t="s">
        <v>27</v>
      </c>
      <c r="D62" s="26"/>
      <c r="E62" s="26"/>
      <c r="F62" s="26"/>
      <c r="G62" s="26"/>
      <c r="H62" s="27"/>
      <c r="I62" s="28" t="s">
        <v>27</v>
      </c>
      <c r="J62" s="1" t="s">
        <v>27</v>
      </c>
      <c r="K62" s="1" t="s">
        <v>27</v>
      </c>
      <c r="L62" s="26"/>
      <c r="M62" s="26"/>
      <c r="N62" s="26"/>
      <c r="O62" s="26"/>
      <c r="P62" s="27"/>
    </row>
    <row r="63" spans="1:16">
      <c r="A63" s="28" t="s">
        <v>27</v>
      </c>
      <c r="B63" s="1" t="s">
        <v>27</v>
      </c>
      <c r="C63" s="1" t="s">
        <v>27</v>
      </c>
      <c r="D63" s="26"/>
      <c r="E63" s="26"/>
      <c r="F63" s="26"/>
      <c r="G63" s="26"/>
      <c r="H63" s="27"/>
      <c r="I63" s="28" t="s">
        <v>27</v>
      </c>
      <c r="J63" s="1" t="s">
        <v>27</v>
      </c>
      <c r="K63" s="1" t="s">
        <v>27</v>
      </c>
      <c r="L63" s="26"/>
      <c r="M63" s="26"/>
      <c r="N63" s="26"/>
      <c r="O63" s="26"/>
      <c r="P63" s="27"/>
    </row>
    <row r="64" spans="1:16">
      <c r="A64" s="28" t="s">
        <v>27</v>
      </c>
      <c r="B64" s="1" t="s">
        <v>27</v>
      </c>
      <c r="C64" s="1" t="s">
        <v>27</v>
      </c>
      <c r="D64" s="26"/>
      <c r="E64" s="26"/>
      <c r="F64" s="26"/>
      <c r="G64" s="26"/>
      <c r="H64" s="27"/>
      <c r="I64" s="28" t="s">
        <v>27</v>
      </c>
      <c r="J64" s="1" t="s">
        <v>27</v>
      </c>
      <c r="K64" s="1" t="s">
        <v>27</v>
      </c>
      <c r="L64" s="26"/>
      <c r="M64" s="26"/>
      <c r="N64" s="26"/>
      <c r="O64" s="26"/>
      <c r="P64" s="27"/>
    </row>
    <row r="65" spans="1:16">
      <c r="A65" s="28" t="s">
        <v>27</v>
      </c>
      <c r="B65" s="1" t="s">
        <v>27</v>
      </c>
      <c r="C65" s="1" t="s">
        <v>27</v>
      </c>
      <c r="D65" s="26"/>
      <c r="E65" s="26"/>
      <c r="F65" s="26"/>
      <c r="G65" s="26"/>
      <c r="H65" s="27"/>
      <c r="I65" s="28" t="s">
        <v>27</v>
      </c>
      <c r="J65" s="1" t="s">
        <v>27</v>
      </c>
      <c r="K65" s="1" t="s">
        <v>27</v>
      </c>
      <c r="L65" s="26"/>
      <c r="M65" s="26"/>
      <c r="N65" s="26"/>
      <c r="O65" s="26"/>
      <c r="P65" s="27"/>
    </row>
    <row r="66" spans="1:16">
      <c r="A66" s="28" t="s">
        <v>27</v>
      </c>
      <c r="B66" s="1" t="s">
        <v>27</v>
      </c>
      <c r="C66" s="1" t="s">
        <v>27</v>
      </c>
      <c r="D66" s="26"/>
      <c r="E66" s="26"/>
      <c r="F66" s="26"/>
      <c r="G66" s="26"/>
      <c r="H66" s="27"/>
      <c r="I66" s="28" t="s">
        <v>27</v>
      </c>
      <c r="J66" s="1" t="s">
        <v>27</v>
      </c>
      <c r="K66" s="1" t="s">
        <v>27</v>
      </c>
      <c r="L66" s="26"/>
      <c r="M66" s="26"/>
      <c r="N66" s="26"/>
      <c r="O66" s="26"/>
      <c r="P66" s="27"/>
    </row>
    <row r="67" spans="1:16">
      <c r="A67" s="28" t="s">
        <v>27</v>
      </c>
      <c r="B67" s="1" t="s">
        <v>27</v>
      </c>
      <c r="C67" s="1" t="s">
        <v>27</v>
      </c>
      <c r="D67" s="26"/>
      <c r="E67" s="26"/>
      <c r="F67" s="26"/>
      <c r="G67" s="26"/>
      <c r="H67" s="27"/>
      <c r="I67" s="28" t="s">
        <v>27</v>
      </c>
      <c r="J67" s="1" t="s">
        <v>27</v>
      </c>
      <c r="K67" s="1" t="s">
        <v>27</v>
      </c>
      <c r="L67" s="26"/>
      <c r="M67" s="26"/>
      <c r="N67" s="26"/>
      <c r="O67" s="26"/>
      <c r="P67" s="27"/>
    </row>
    <row r="68" spans="1:16">
      <c r="A68" s="28" t="s">
        <v>27</v>
      </c>
      <c r="B68" s="1" t="s">
        <v>27</v>
      </c>
      <c r="C68" s="1" t="s">
        <v>27</v>
      </c>
      <c r="D68" s="26"/>
      <c r="E68" s="26"/>
      <c r="F68" s="26"/>
      <c r="G68" s="26"/>
      <c r="H68" s="27"/>
      <c r="I68" s="28" t="s">
        <v>27</v>
      </c>
      <c r="J68" s="1" t="s">
        <v>27</v>
      </c>
      <c r="K68" s="1" t="s">
        <v>27</v>
      </c>
      <c r="L68" s="26"/>
      <c r="M68" s="26"/>
      <c r="N68" s="26"/>
      <c r="O68" s="26"/>
      <c r="P68" s="27"/>
    </row>
    <row r="69" spans="1:16">
      <c r="A69" s="28" t="s">
        <v>27</v>
      </c>
      <c r="B69" s="1" t="s">
        <v>27</v>
      </c>
      <c r="C69" s="1" t="s">
        <v>27</v>
      </c>
      <c r="D69" s="26"/>
      <c r="E69" s="26"/>
      <c r="F69" s="26"/>
      <c r="G69" s="26"/>
      <c r="H69" s="27"/>
      <c r="I69" s="28" t="s">
        <v>27</v>
      </c>
      <c r="J69" s="1" t="s">
        <v>27</v>
      </c>
      <c r="K69" s="1" t="s">
        <v>27</v>
      </c>
      <c r="L69" s="26"/>
      <c r="M69" s="26"/>
      <c r="N69" s="26"/>
      <c r="O69" s="26"/>
      <c r="P69" s="27"/>
    </row>
    <row r="70" spans="1:16">
      <c r="A70" s="28" t="s">
        <v>27</v>
      </c>
      <c r="B70" s="1" t="s">
        <v>27</v>
      </c>
      <c r="C70" s="1" t="s">
        <v>27</v>
      </c>
      <c r="D70" s="26"/>
      <c r="E70" s="26"/>
      <c r="F70" s="26"/>
      <c r="G70" s="26"/>
      <c r="H70" s="27"/>
      <c r="I70" s="28" t="s">
        <v>27</v>
      </c>
      <c r="J70" s="1" t="s">
        <v>27</v>
      </c>
      <c r="K70" s="1" t="s">
        <v>27</v>
      </c>
      <c r="L70" s="26"/>
      <c r="M70" s="26"/>
      <c r="N70" s="26"/>
      <c r="O70" s="26"/>
      <c r="P70" s="27"/>
    </row>
    <row r="71" spans="1:16">
      <c r="A71" s="28" t="s">
        <v>27</v>
      </c>
      <c r="B71" s="1" t="s">
        <v>27</v>
      </c>
      <c r="C71" s="1" t="s">
        <v>27</v>
      </c>
      <c r="D71" s="26"/>
      <c r="E71" s="26"/>
      <c r="F71" s="26"/>
      <c r="G71" s="26"/>
      <c r="H71" s="27"/>
      <c r="I71" s="28" t="s">
        <v>27</v>
      </c>
      <c r="J71" s="1" t="s">
        <v>27</v>
      </c>
      <c r="K71" s="1" t="s">
        <v>27</v>
      </c>
      <c r="L71" s="26"/>
      <c r="M71" s="26"/>
      <c r="N71" s="26"/>
      <c r="O71" s="26"/>
      <c r="P71" s="27"/>
    </row>
    <row r="72" spans="1:16">
      <c r="A72" s="28" t="s">
        <v>27</v>
      </c>
      <c r="B72" s="1" t="s">
        <v>27</v>
      </c>
      <c r="C72" s="1" t="s">
        <v>27</v>
      </c>
      <c r="D72" s="26"/>
      <c r="E72" s="26"/>
      <c r="F72" s="26"/>
      <c r="G72" s="26"/>
      <c r="H72" s="27"/>
      <c r="I72" s="28" t="s">
        <v>27</v>
      </c>
      <c r="J72" s="1" t="s">
        <v>27</v>
      </c>
      <c r="K72" s="1" t="s">
        <v>27</v>
      </c>
      <c r="L72" s="26"/>
      <c r="M72" s="26"/>
      <c r="N72" s="26"/>
      <c r="O72" s="26"/>
      <c r="P72" s="27"/>
    </row>
    <row r="73" spans="1:16">
      <c r="A73" s="28" t="s">
        <v>27</v>
      </c>
      <c r="B73" s="1" t="s">
        <v>27</v>
      </c>
      <c r="C73" s="1" t="s">
        <v>27</v>
      </c>
      <c r="D73" s="26"/>
      <c r="E73" s="26"/>
      <c r="F73" s="26"/>
      <c r="G73" s="26"/>
      <c r="H73" s="27"/>
      <c r="I73" s="28" t="s">
        <v>27</v>
      </c>
      <c r="J73" s="1" t="s">
        <v>27</v>
      </c>
      <c r="K73" s="1" t="s">
        <v>27</v>
      </c>
      <c r="L73" s="26"/>
      <c r="M73" s="26"/>
      <c r="N73" s="26"/>
      <c r="O73" s="26"/>
      <c r="P73" s="27"/>
    </row>
    <row r="74" spans="1:16">
      <c r="A74" s="28" t="s">
        <v>27</v>
      </c>
      <c r="B74" s="1" t="s">
        <v>27</v>
      </c>
      <c r="C74" s="1" t="s">
        <v>27</v>
      </c>
      <c r="D74" s="26"/>
      <c r="E74" s="26"/>
      <c r="F74" s="26"/>
      <c r="G74" s="26"/>
      <c r="H74" s="27"/>
      <c r="I74" s="28" t="s">
        <v>27</v>
      </c>
      <c r="J74" s="1" t="s">
        <v>27</v>
      </c>
      <c r="K74" s="1" t="s">
        <v>27</v>
      </c>
      <c r="L74" s="26"/>
      <c r="M74" s="26"/>
      <c r="N74" s="26"/>
      <c r="O74" s="26"/>
      <c r="P74" s="27"/>
    </row>
    <row r="75" spans="1:16">
      <c r="A75" s="28" t="s">
        <v>27</v>
      </c>
      <c r="B75" s="1" t="s">
        <v>27</v>
      </c>
      <c r="C75" s="1" t="s">
        <v>27</v>
      </c>
      <c r="D75" s="26"/>
      <c r="E75" s="26"/>
      <c r="F75" s="26"/>
      <c r="G75" s="26"/>
      <c r="H75" s="27"/>
      <c r="I75" s="28" t="s">
        <v>27</v>
      </c>
      <c r="J75" s="1" t="s">
        <v>27</v>
      </c>
      <c r="K75" s="1" t="s">
        <v>27</v>
      </c>
      <c r="L75" s="26"/>
      <c r="M75" s="26"/>
      <c r="N75" s="26"/>
      <c r="O75" s="26"/>
      <c r="P75" s="27"/>
    </row>
    <row r="76" spans="1:16">
      <c r="A76" s="28" t="s">
        <v>27</v>
      </c>
      <c r="B76" s="1" t="s">
        <v>27</v>
      </c>
      <c r="C76" s="1" t="s">
        <v>27</v>
      </c>
      <c r="D76" s="26"/>
      <c r="E76" s="26"/>
      <c r="F76" s="26"/>
      <c r="G76" s="26"/>
      <c r="H76" s="27"/>
      <c r="I76" s="28" t="s">
        <v>27</v>
      </c>
      <c r="J76" s="1" t="s">
        <v>27</v>
      </c>
      <c r="K76" s="1" t="s">
        <v>27</v>
      </c>
      <c r="L76" s="26"/>
      <c r="M76" s="26"/>
      <c r="N76" s="26"/>
      <c r="O76" s="26"/>
      <c r="P76" s="27"/>
    </row>
    <row r="77" spans="1:16">
      <c r="A77" s="28" t="s">
        <v>27</v>
      </c>
      <c r="B77" s="1" t="s">
        <v>27</v>
      </c>
      <c r="C77" s="1" t="s">
        <v>27</v>
      </c>
      <c r="D77" s="26"/>
      <c r="E77" s="26"/>
      <c r="F77" s="26"/>
      <c r="G77" s="26"/>
      <c r="H77" s="27"/>
      <c r="I77" s="28" t="s">
        <v>27</v>
      </c>
      <c r="J77" s="1" t="s">
        <v>27</v>
      </c>
      <c r="K77" s="1" t="s">
        <v>27</v>
      </c>
      <c r="L77" s="26"/>
      <c r="M77" s="26"/>
      <c r="N77" s="26"/>
      <c r="O77" s="26"/>
      <c r="P77" s="27"/>
    </row>
    <row r="78" spans="1:16">
      <c r="A78" s="28" t="s">
        <v>27</v>
      </c>
      <c r="B78" s="1" t="s">
        <v>27</v>
      </c>
      <c r="C78" s="1" t="s">
        <v>27</v>
      </c>
      <c r="D78" s="26"/>
      <c r="E78" s="26"/>
      <c r="F78" s="26"/>
      <c r="G78" s="26"/>
      <c r="H78" s="27"/>
      <c r="I78" s="28" t="s">
        <v>27</v>
      </c>
      <c r="J78" s="1" t="s">
        <v>27</v>
      </c>
      <c r="K78" s="1" t="s">
        <v>27</v>
      </c>
      <c r="L78" s="26"/>
      <c r="M78" s="26"/>
      <c r="N78" s="26"/>
      <c r="O78" s="26"/>
      <c r="P78" s="27"/>
    </row>
    <row r="79" spans="1:16">
      <c r="A79" s="28" t="s">
        <v>27</v>
      </c>
      <c r="B79" s="1" t="s">
        <v>27</v>
      </c>
      <c r="C79" s="1" t="s">
        <v>27</v>
      </c>
      <c r="D79" s="26"/>
      <c r="E79" s="26"/>
      <c r="F79" s="26"/>
      <c r="G79" s="26"/>
      <c r="H79" s="27"/>
      <c r="I79" s="28" t="s">
        <v>27</v>
      </c>
      <c r="J79" s="1" t="s">
        <v>27</v>
      </c>
      <c r="K79" s="1" t="s">
        <v>27</v>
      </c>
      <c r="L79" s="26"/>
      <c r="M79" s="26"/>
      <c r="N79" s="26"/>
      <c r="O79" s="26"/>
      <c r="P79" s="27"/>
    </row>
    <row r="80" spans="1:16">
      <c r="A80" s="28" t="s">
        <v>27</v>
      </c>
      <c r="B80" s="1" t="s">
        <v>27</v>
      </c>
      <c r="C80" s="1" t="s">
        <v>27</v>
      </c>
      <c r="D80" s="26"/>
      <c r="E80" s="26"/>
      <c r="F80" s="26"/>
      <c r="G80" s="26"/>
      <c r="H80" s="27"/>
      <c r="I80" s="28" t="s">
        <v>27</v>
      </c>
      <c r="J80" s="1" t="s">
        <v>27</v>
      </c>
      <c r="K80" s="1" t="s">
        <v>27</v>
      </c>
      <c r="L80" s="26"/>
      <c r="M80" s="26"/>
      <c r="N80" s="26"/>
      <c r="O80" s="26"/>
      <c r="P80" s="27"/>
    </row>
    <row r="81" spans="1:16">
      <c r="A81" s="28" t="s">
        <v>27</v>
      </c>
      <c r="B81" s="1" t="s">
        <v>27</v>
      </c>
      <c r="C81" s="1" t="s">
        <v>27</v>
      </c>
      <c r="D81" s="26"/>
      <c r="E81" s="26"/>
      <c r="F81" s="26"/>
      <c r="G81" s="26"/>
      <c r="H81" s="27"/>
      <c r="I81" s="28" t="s">
        <v>27</v>
      </c>
      <c r="J81" s="1" t="s">
        <v>27</v>
      </c>
      <c r="K81" s="1" t="s">
        <v>27</v>
      </c>
      <c r="L81" s="26"/>
      <c r="M81" s="26"/>
      <c r="N81" s="26"/>
      <c r="O81" s="26"/>
      <c r="P81" s="27"/>
    </row>
    <row r="82" spans="1:16">
      <c r="A82" s="28" t="s">
        <v>27</v>
      </c>
      <c r="B82" s="1" t="s">
        <v>27</v>
      </c>
      <c r="C82" s="1" t="s">
        <v>27</v>
      </c>
      <c r="D82" s="26"/>
      <c r="E82" s="26"/>
      <c r="F82" s="26"/>
      <c r="G82" s="26"/>
      <c r="H82" s="27"/>
      <c r="I82" s="28" t="s">
        <v>27</v>
      </c>
      <c r="J82" s="1" t="s">
        <v>27</v>
      </c>
      <c r="K82" s="1" t="s">
        <v>27</v>
      </c>
      <c r="L82" s="26"/>
      <c r="M82" s="26"/>
      <c r="N82" s="26"/>
      <c r="O82" s="26"/>
      <c r="P82" s="27"/>
    </row>
    <row r="83" spans="1:16">
      <c r="A83" s="28" t="s">
        <v>27</v>
      </c>
      <c r="B83" s="1" t="s">
        <v>27</v>
      </c>
      <c r="C83" s="1" t="s">
        <v>27</v>
      </c>
      <c r="D83" s="26"/>
      <c r="E83" s="26"/>
      <c r="F83" s="26"/>
      <c r="G83" s="26"/>
      <c r="H83" s="27"/>
      <c r="I83" s="28" t="s">
        <v>27</v>
      </c>
      <c r="J83" s="1" t="s">
        <v>27</v>
      </c>
      <c r="K83" s="1" t="s">
        <v>27</v>
      </c>
      <c r="L83" s="26"/>
      <c r="M83" s="26"/>
      <c r="N83" s="26"/>
      <c r="O83" s="26"/>
      <c r="P83" s="27"/>
    </row>
    <row r="84" spans="1:16">
      <c r="A84" s="28" t="s">
        <v>27</v>
      </c>
      <c r="B84" s="1" t="s">
        <v>27</v>
      </c>
      <c r="C84" s="1" t="s">
        <v>27</v>
      </c>
      <c r="D84" s="26"/>
      <c r="E84" s="26"/>
      <c r="F84" s="26"/>
      <c r="G84" s="26"/>
      <c r="H84" s="27"/>
      <c r="I84" s="28" t="s">
        <v>27</v>
      </c>
      <c r="J84" s="1" t="s">
        <v>27</v>
      </c>
      <c r="K84" s="1" t="s">
        <v>27</v>
      </c>
      <c r="L84" s="26"/>
      <c r="M84" s="26"/>
      <c r="N84" s="26"/>
      <c r="O84" s="26"/>
      <c r="P84" s="27"/>
    </row>
    <row r="85" spans="1:16">
      <c r="A85" s="28" t="s">
        <v>27</v>
      </c>
      <c r="B85" s="1" t="s">
        <v>27</v>
      </c>
      <c r="C85" s="1" t="s">
        <v>27</v>
      </c>
      <c r="D85" s="26"/>
      <c r="E85" s="26"/>
      <c r="F85" s="26"/>
      <c r="G85" s="26"/>
      <c r="H85" s="27"/>
      <c r="I85" s="28" t="s">
        <v>27</v>
      </c>
      <c r="J85" s="1" t="s">
        <v>27</v>
      </c>
      <c r="K85" s="1" t="s">
        <v>27</v>
      </c>
      <c r="L85" s="26"/>
      <c r="M85" s="26"/>
      <c r="N85" s="26"/>
      <c r="O85" s="26"/>
      <c r="P85" s="27"/>
    </row>
    <row r="86" spans="1:16">
      <c r="A86" s="28" t="s">
        <v>27</v>
      </c>
      <c r="B86" s="1" t="s">
        <v>27</v>
      </c>
      <c r="C86" s="1" t="s">
        <v>27</v>
      </c>
      <c r="D86" s="26"/>
      <c r="E86" s="26"/>
      <c r="F86" s="26"/>
      <c r="G86" s="26"/>
      <c r="H86" s="27"/>
      <c r="I86" s="28" t="s">
        <v>27</v>
      </c>
      <c r="J86" s="1" t="s">
        <v>27</v>
      </c>
      <c r="K86" s="1" t="s">
        <v>27</v>
      </c>
      <c r="L86" s="26"/>
      <c r="M86" s="26"/>
      <c r="N86" s="26"/>
      <c r="O86" s="26"/>
      <c r="P86" s="27"/>
    </row>
    <row r="87" spans="1:16">
      <c r="A87" s="28" t="s">
        <v>27</v>
      </c>
      <c r="B87" s="1" t="s">
        <v>27</v>
      </c>
      <c r="C87" s="1" t="s">
        <v>27</v>
      </c>
      <c r="D87" s="26"/>
      <c r="E87" s="26"/>
      <c r="F87" s="26"/>
      <c r="G87" s="26"/>
      <c r="H87" s="27"/>
      <c r="I87" s="28" t="s">
        <v>27</v>
      </c>
      <c r="J87" s="1" t="s">
        <v>27</v>
      </c>
      <c r="K87" s="1" t="s">
        <v>27</v>
      </c>
      <c r="L87" s="26"/>
      <c r="M87" s="26"/>
      <c r="N87" s="26"/>
      <c r="O87" s="26"/>
      <c r="P87" s="27"/>
    </row>
    <row r="88" spans="1:16">
      <c r="A88" s="28" t="s">
        <v>27</v>
      </c>
      <c r="B88" s="1" t="s">
        <v>27</v>
      </c>
      <c r="C88" s="1" t="s">
        <v>27</v>
      </c>
      <c r="D88" s="26"/>
      <c r="E88" s="26"/>
      <c r="F88" s="26"/>
      <c r="G88" s="26"/>
      <c r="H88" s="27"/>
      <c r="I88" s="28" t="s">
        <v>27</v>
      </c>
      <c r="J88" s="1" t="s">
        <v>27</v>
      </c>
      <c r="K88" s="1" t="s">
        <v>27</v>
      </c>
      <c r="L88" s="26"/>
      <c r="M88" s="26"/>
      <c r="N88" s="26"/>
      <c r="O88" s="26"/>
      <c r="P88" s="27"/>
    </row>
    <row r="89" spans="1:16">
      <c r="A89" s="28" t="s">
        <v>27</v>
      </c>
      <c r="B89" s="1" t="s">
        <v>27</v>
      </c>
      <c r="C89" s="1" t="s">
        <v>27</v>
      </c>
      <c r="D89" s="26"/>
      <c r="E89" s="26"/>
      <c r="F89" s="26"/>
      <c r="G89" s="26"/>
      <c r="H89" s="27"/>
      <c r="I89" s="28" t="s">
        <v>27</v>
      </c>
      <c r="J89" s="1" t="s">
        <v>27</v>
      </c>
      <c r="K89" s="1" t="s">
        <v>27</v>
      </c>
      <c r="L89" s="26"/>
      <c r="M89" s="26"/>
      <c r="N89" s="26"/>
      <c r="O89" s="26"/>
      <c r="P89" s="27"/>
    </row>
    <row r="90" spans="1:16">
      <c r="A90" s="28" t="s">
        <v>27</v>
      </c>
      <c r="B90" s="1" t="s">
        <v>27</v>
      </c>
      <c r="C90" s="1" t="s">
        <v>27</v>
      </c>
      <c r="D90" s="26"/>
      <c r="E90" s="26"/>
      <c r="F90" s="26"/>
      <c r="G90" s="26"/>
      <c r="H90" s="27"/>
      <c r="I90" s="28" t="s">
        <v>27</v>
      </c>
      <c r="J90" s="1" t="s">
        <v>27</v>
      </c>
      <c r="K90" s="1" t="s">
        <v>27</v>
      </c>
      <c r="L90" s="26"/>
      <c r="M90" s="26"/>
      <c r="N90" s="26"/>
      <c r="O90" s="26"/>
      <c r="P90" s="27"/>
    </row>
    <row r="91" spans="1:16">
      <c r="A91" s="28" t="s">
        <v>27</v>
      </c>
      <c r="B91" s="1" t="s">
        <v>27</v>
      </c>
      <c r="C91" s="1" t="s">
        <v>27</v>
      </c>
      <c r="D91" s="26"/>
      <c r="E91" s="26"/>
      <c r="F91" s="26"/>
      <c r="G91" s="26"/>
      <c r="H91" s="27"/>
      <c r="I91" s="28" t="s">
        <v>27</v>
      </c>
      <c r="J91" s="1" t="s">
        <v>27</v>
      </c>
      <c r="K91" s="1" t="s">
        <v>27</v>
      </c>
      <c r="L91" s="26"/>
      <c r="M91" s="26"/>
      <c r="N91" s="26"/>
      <c r="O91" s="26"/>
      <c r="P91" s="27"/>
    </row>
    <row r="92" spans="1:16">
      <c r="A92" s="28" t="s">
        <v>27</v>
      </c>
      <c r="B92" s="1" t="s">
        <v>27</v>
      </c>
      <c r="C92" s="1" t="s">
        <v>27</v>
      </c>
      <c r="D92" s="26"/>
      <c r="E92" s="26"/>
      <c r="F92" s="26"/>
      <c r="G92" s="26"/>
      <c r="H92" s="27"/>
      <c r="I92" s="28" t="s">
        <v>27</v>
      </c>
      <c r="J92" s="1" t="s">
        <v>27</v>
      </c>
      <c r="K92" s="1" t="s">
        <v>27</v>
      </c>
      <c r="L92" s="26"/>
      <c r="M92" s="26"/>
      <c r="N92" s="26"/>
      <c r="O92" s="26"/>
      <c r="P92" s="27"/>
    </row>
    <row r="93" spans="1:16">
      <c r="A93" s="28" t="s">
        <v>27</v>
      </c>
      <c r="B93" s="1" t="s">
        <v>27</v>
      </c>
      <c r="C93" s="1" t="s">
        <v>27</v>
      </c>
      <c r="D93" s="26"/>
      <c r="E93" s="26"/>
      <c r="F93" s="26"/>
      <c r="G93" s="26"/>
      <c r="H93" s="27"/>
      <c r="I93" s="28" t="s">
        <v>27</v>
      </c>
      <c r="J93" s="1" t="s">
        <v>27</v>
      </c>
      <c r="K93" s="1" t="s">
        <v>27</v>
      </c>
      <c r="L93" s="26"/>
      <c r="M93" s="26"/>
      <c r="N93" s="26"/>
      <c r="O93" s="26"/>
      <c r="P93" s="27"/>
    </row>
    <row r="94" spans="1:16">
      <c r="A94" s="28" t="s">
        <v>27</v>
      </c>
      <c r="B94" s="1" t="s">
        <v>27</v>
      </c>
      <c r="C94" s="1" t="s">
        <v>27</v>
      </c>
      <c r="D94" s="26"/>
      <c r="E94" s="26"/>
      <c r="F94" s="26"/>
      <c r="G94" s="26"/>
      <c r="H94" s="27"/>
      <c r="I94" s="28" t="s">
        <v>27</v>
      </c>
      <c r="J94" s="1" t="s">
        <v>27</v>
      </c>
      <c r="K94" s="1" t="s">
        <v>27</v>
      </c>
      <c r="L94" s="26"/>
      <c r="M94" s="26"/>
      <c r="N94" s="26"/>
      <c r="O94" s="26"/>
      <c r="P94" s="27"/>
    </row>
    <row r="95" spans="1:16">
      <c r="A95" s="28" t="s">
        <v>27</v>
      </c>
      <c r="B95" s="1" t="s">
        <v>27</v>
      </c>
      <c r="C95" s="1" t="s">
        <v>27</v>
      </c>
      <c r="D95" s="26"/>
      <c r="E95" s="26"/>
      <c r="F95" s="26"/>
      <c r="G95" s="26"/>
      <c r="H95" s="27"/>
      <c r="I95" s="28" t="s">
        <v>27</v>
      </c>
      <c r="J95" s="1" t="s">
        <v>27</v>
      </c>
      <c r="K95" s="1" t="s">
        <v>27</v>
      </c>
      <c r="L95" s="26"/>
      <c r="M95" s="26"/>
      <c r="N95" s="26"/>
      <c r="O95" s="26"/>
      <c r="P95" s="27"/>
    </row>
    <row r="96" spans="1:16">
      <c r="A96" s="28" t="s">
        <v>27</v>
      </c>
      <c r="B96" s="1" t="s">
        <v>27</v>
      </c>
      <c r="C96" s="1" t="s">
        <v>27</v>
      </c>
      <c r="D96" s="26"/>
      <c r="E96" s="26"/>
      <c r="F96" s="26"/>
      <c r="G96" s="26"/>
      <c r="H96" s="27"/>
      <c r="I96" s="28" t="s">
        <v>27</v>
      </c>
      <c r="J96" s="1" t="s">
        <v>27</v>
      </c>
      <c r="K96" s="1" t="s">
        <v>27</v>
      </c>
      <c r="L96" s="26"/>
      <c r="M96" s="26"/>
      <c r="N96" s="26"/>
      <c r="O96" s="26"/>
      <c r="P96" s="27"/>
    </row>
    <row r="97" spans="1:16">
      <c r="A97" s="28" t="s">
        <v>27</v>
      </c>
      <c r="B97" s="1" t="s">
        <v>27</v>
      </c>
      <c r="C97" s="1" t="s">
        <v>27</v>
      </c>
      <c r="D97" s="26"/>
      <c r="E97" s="26"/>
      <c r="F97" s="26"/>
      <c r="G97" s="26"/>
      <c r="H97" s="27"/>
      <c r="I97" s="28" t="s">
        <v>27</v>
      </c>
      <c r="J97" s="1" t="s">
        <v>27</v>
      </c>
      <c r="K97" s="1" t="s">
        <v>27</v>
      </c>
      <c r="L97" s="26"/>
      <c r="M97" s="26"/>
      <c r="N97" s="26"/>
      <c r="O97" s="26"/>
      <c r="P97" s="27"/>
    </row>
    <row r="98" spans="1:16">
      <c r="A98" s="28" t="s">
        <v>27</v>
      </c>
      <c r="B98" s="1" t="s">
        <v>27</v>
      </c>
      <c r="C98" s="1" t="s">
        <v>27</v>
      </c>
      <c r="D98" s="26"/>
      <c r="E98" s="26"/>
      <c r="F98" s="26"/>
      <c r="G98" s="26"/>
      <c r="H98" s="27"/>
      <c r="I98" s="28" t="s">
        <v>27</v>
      </c>
      <c r="J98" s="1" t="s">
        <v>27</v>
      </c>
      <c r="K98" s="1" t="s">
        <v>27</v>
      </c>
      <c r="L98" s="26"/>
      <c r="M98" s="26"/>
      <c r="N98" s="26"/>
      <c r="O98" s="26"/>
      <c r="P98" s="27"/>
    </row>
    <row r="99" spans="1:16">
      <c r="A99" s="28" t="s">
        <v>27</v>
      </c>
      <c r="B99" s="1" t="s">
        <v>27</v>
      </c>
      <c r="C99" s="1" t="s">
        <v>27</v>
      </c>
      <c r="D99" s="26"/>
      <c r="E99" s="26"/>
      <c r="F99" s="26"/>
      <c r="G99" s="26"/>
      <c r="H99" s="27"/>
      <c r="I99" s="28" t="s">
        <v>27</v>
      </c>
      <c r="J99" s="1" t="s">
        <v>27</v>
      </c>
      <c r="K99" s="1" t="s">
        <v>27</v>
      </c>
      <c r="L99" s="26"/>
      <c r="M99" s="26"/>
      <c r="N99" s="26"/>
      <c r="O99" s="26"/>
      <c r="P99" s="27"/>
    </row>
    <row r="100" spans="1:16" ht="15.75" thickBot="1">
      <c r="A100" s="29" t="s">
        <v>27</v>
      </c>
      <c r="B100" s="30" t="s">
        <v>27</v>
      </c>
      <c r="C100" s="30" t="s">
        <v>27</v>
      </c>
      <c r="D100" s="31"/>
      <c r="E100" s="31"/>
      <c r="F100" s="31"/>
      <c r="G100" s="31"/>
      <c r="H100" s="32"/>
      <c r="I100" s="29" t="s">
        <v>27</v>
      </c>
      <c r="J100" s="30" t="s">
        <v>27</v>
      </c>
      <c r="K100" s="30" t="s">
        <v>27</v>
      </c>
      <c r="L100" s="31"/>
      <c r="M100" s="31"/>
      <c r="N100" s="31"/>
      <c r="O100" s="31"/>
      <c r="P100" s="32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7B4CA-80D4-4C90-B029-83F24F5806EB}">
  <dimension ref="A1:AB100"/>
  <sheetViews>
    <sheetView workbookViewId="0">
      <selection activeCell="Y17" sqref="Y17"/>
    </sheetView>
  </sheetViews>
  <sheetFormatPr defaultRowHeight="15"/>
  <sheetData>
    <row r="1" spans="1:28" ht="15.75">
      <c r="A1" s="62" t="s">
        <v>30</v>
      </c>
      <c r="B1" s="63"/>
      <c r="C1" s="63"/>
      <c r="D1" s="63"/>
      <c r="E1" s="63"/>
      <c r="F1" s="64" t="s">
        <v>3</v>
      </c>
      <c r="G1" s="64"/>
      <c r="H1" s="24" cm="1">
        <f t="array" ref="H1">SUM(VLOOKUP(A4:C100,$T$3:$W$36,4,FALSE))+H4*10-H8*50</f>
        <v>3277.9943423939671</v>
      </c>
      <c r="I1" s="65" t="s">
        <v>41</v>
      </c>
      <c r="J1" s="66"/>
      <c r="K1" s="66"/>
      <c r="L1" s="66"/>
      <c r="M1" s="66"/>
      <c r="N1" s="66"/>
      <c r="O1" s="66"/>
      <c r="P1" s="67"/>
      <c r="Q1" s="65" t="s">
        <v>48</v>
      </c>
      <c r="R1" s="66"/>
      <c r="S1" s="66"/>
      <c r="T1" s="66"/>
      <c r="U1" s="66"/>
      <c r="V1" s="66"/>
      <c r="W1" s="66"/>
      <c r="X1" s="66"/>
      <c r="Y1" s="66"/>
      <c r="Z1" s="66"/>
      <c r="AA1" s="66"/>
      <c r="AB1" s="67"/>
    </row>
    <row r="2" spans="1:28" ht="30">
      <c r="A2" s="68" t="s">
        <v>35</v>
      </c>
      <c r="B2" s="69"/>
      <c r="C2" s="69"/>
      <c r="D2" s="70" t="s">
        <v>37</v>
      </c>
      <c r="E2" s="71"/>
      <c r="F2" s="71"/>
      <c r="G2" s="71"/>
      <c r="H2" s="72"/>
      <c r="I2" s="73" t="s">
        <v>35</v>
      </c>
      <c r="J2" s="74"/>
      <c r="K2" s="74"/>
      <c r="L2" s="75" t="s">
        <v>37</v>
      </c>
      <c r="M2" s="75"/>
      <c r="N2" s="75"/>
      <c r="O2" s="75"/>
      <c r="P2" s="76"/>
      <c r="Q2" s="50" t="s">
        <v>43</v>
      </c>
      <c r="R2" s="51" cm="1">
        <f t="array" ref="R2">SUM(V3:V28*AB3:AB28)+H6+P6+R4*500</f>
        <v>65010</v>
      </c>
      <c r="S2" s="26"/>
      <c r="T2" s="1" t="s">
        <v>0</v>
      </c>
      <c r="U2" s="1" t="s">
        <v>1</v>
      </c>
      <c r="V2" s="1" t="s">
        <v>2</v>
      </c>
      <c r="W2" s="44" t="s">
        <v>3</v>
      </c>
      <c r="X2" s="46" t="s">
        <v>44</v>
      </c>
      <c r="Y2" s="46" t="s">
        <v>56</v>
      </c>
      <c r="Z2" s="47" t="s">
        <v>45</v>
      </c>
      <c r="AA2" s="47" t="s">
        <v>46</v>
      </c>
      <c r="AB2" s="52" t="s">
        <v>47</v>
      </c>
    </row>
    <row r="3" spans="1:28">
      <c r="A3" s="60" t="s">
        <v>31</v>
      </c>
      <c r="B3" s="61" t="s">
        <v>32</v>
      </c>
      <c r="C3" s="20" t="s">
        <v>33</v>
      </c>
      <c r="D3" s="33"/>
      <c r="E3" s="60" t="s">
        <v>31</v>
      </c>
      <c r="F3" s="61" t="s">
        <v>32</v>
      </c>
      <c r="G3" s="20" t="s">
        <v>33</v>
      </c>
      <c r="H3" s="34" t="s">
        <v>36</v>
      </c>
      <c r="I3" s="60" t="s">
        <v>31</v>
      </c>
      <c r="J3" s="61" t="s">
        <v>32</v>
      </c>
      <c r="K3" s="20" t="s">
        <v>33</v>
      </c>
      <c r="L3" s="33"/>
      <c r="M3" s="60" t="s">
        <v>31</v>
      </c>
      <c r="N3" s="61" t="s">
        <v>32</v>
      </c>
      <c r="O3" s="20" t="s">
        <v>33</v>
      </c>
      <c r="P3" s="34" t="s">
        <v>36</v>
      </c>
      <c r="Q3" s="53" t="s">
        <v>49</v>
      </c>
      <c r="R3" s="26">
        <v>91</v>
      </c>
      <c r="S3" s="26"/>
      <c r="T3" s="2" t="s">
        <v>4</v>
      </c>
      <c r="U3" s="1">
        <v>150</v>
      </c>
      <c r="V3" s="1">
        <v>35</v>
      </c>
      <c r="W3" s="45">
        <f>U3-V3/0.330882</f>
        <v>44.222109392472248</v>
      </c>
      <c r="X3" s="46"/>
      <c r="Y3" s="46">
        <v>25</v>
      </c>
      <c r="Z3" s="1">
        <f>COUNTIF($A$4:$C$100,T3)</f>
        <v>17</v>
      </c>
      <c r="AA3" s="1">
        <f>COUNTIF($I$4:$K$100,T3)</f>
        <v>8</v>
      </c>
      <c r="AB3" s="54">
        <f>Y3-Z3-AA3</f>
        <v>0</v>
      </c>
    </row>
    <row r="4" spans="1:28">
      <c r="A4" s="2" t="s">
        <v>4</v>
      </c>
      <c r="B4" s="2" t="s">
        <v>4</v>
      </c>
      <c r="C4" s="3" t="s">
        <v>5</v>
      </c>
      <c r="D4" s="43" t="s">
        <v>34</v>
      </c>
      <c r="E4" s="39">
        <v>0</v>
      </c>
      <c r="F4" s="39">
        <v>11</v>
      </c>
      <c r="G4" s="39">
        <v>13</v>
      </c>
      <c r="H4" s="36">
        <f>SUM(E4:G4)</f>
        <v>24</v>
      </c>
      <c r="I4" s="2" t="s">
        <v>4</v>
      </c>
      <c r="J4" s="9" t="s">
        <v>11</v>
      </c>
      <c r="K4" s="3" t="s">
        <v>5</v>
      </c>
      <c r="L4" s="43" t="s">
        <v>34</v>
      </c>
      <c r="M4" s="39">
        <v>3</v>
      </c>
      <c r="N4" s="39">
        <v>3</v>
      </c>
      <c r="O4" s="39">
        <v>2</v>
      </c>
      <c r="P4" s="36">
        <f>SUM(M4:O4)</f>
        <v>8</v>
      </c>
      <c r="Q4" s="53" t="s">
        <v>50</v>
      </c>
      <c r="R4" s="40">
        <v>14</v>
      </c>
      <c r="S4" s="26"/>
      <c r="T4" s="3" t="s">
        <v>5</v>
      </c>
      <c r="U4" s="1">
        <v>160</v>
      </c>
      <c r="V4" s="1">
        <v>40</v>
      </c>
      <c r="W4" s="45">
        <f t="shared" ref="W4" si="0">U4-V4/0.330882</f>
        <v>39.110982162825422</v>
      </c>
      <c r="X4" s="46"/>
      <c r="Y4" s="46">
        <v>40</v>
      </c>
      <c r="Z4" s="1">
        <f t="shared" ref="Z4:Z28" si="1">COUNTIF($A$4:$C$100,T4)</f>
        <v>28</v>
      </c>
      <c r="AA4" s="1">
        <f t="shared" ref="AA4:AA28" si="2">COUNTIF($I$4:$K$100,T4)</f>
        <v>12</v>
      </c>
      <c r="AB4" s="54">
        <f t="shared" ref="AB4:AB28" si="3">Y4-Z4-AA4</f>
        <v>0</v>
      </c>
    </row>
    <row r="5" spans="1:28">
      <c r="A5" s="2" t="s">
        <v>4</v>
      </c>
      <c r="B5" s="2" t="s">
        <v>4</v>
      </c>
      <c r="C5" s="23" t="s">
        <v>29</v>
      </c>
      <c r="D5" s="33" t="s">
        <v>38</v>
      </c>
      <c r="E5" s="35" cm="1">
        <f t="array" ref="E5">(SUM(VLOOKUP(A4:A100,$T$3:$W$41,2,FALSE))+E4*10)-E8*50</f>
        <v>900</v>
      </c>
      <c r="F5" s="35" cm="1">
        <f t="array" ref="F5">(SUM(VLOOKUP(B4:B100,$T$3:$W$41,2,FALSE))+F4*10)-F8*50</f>
        <v>6970</v>
      </c>
      <c r="G5" s="35" cm="1">
        <f t="array" ref="G5">(SUM(VLOOKUP(C4:C100,$T$3:$W$41,2,FALSE))+G4*10)-G8*50</f>
        <v>6610</v>
      </c>
      <c r="H5" s="59">
        <f t="shared" ref="H5:H8" si="4">SUM(E5:G5)</f>
        <v>14480</v>
      </c>
      <c r="I5" s="15" t="s">
        <v>17</v>
      </c>
      <c r="J5" s="1" t="s">
        <v>27</v>
      </c>
      <c r="K5" s="3" t="s">
        <v>5</v>
      </c>
      <c r="L5" s="33" t="s">
        <v>38</v>
      </c>
      <c r="M5" s="35" cm="1">
        <f t="array" ref="M5">(SUM(VLOOKUP(I4:I100,$T$3:$W$41,2,FALSE))+M4*10)*0.8-M8*40</f>
        <v>1872</v>
      </c>
      <c r="N5" s="35" cm="1">
        <f t="array" ref="N5">(SUM(VLOOKUP(J4:J100,$T$3:$W$41,2,FALSE))+N4*10)*0.8-N8*40</f>
        <v>144</v>
      </c>
      <c r="O5" s="35" cm="1">
        <f t="array" ref="O5">(SUM(VLOOKUP(K4:K100,$T$3:$W$41,2,FALSE))+O4*10)*0.8-O8*40</f>
        <v>864</v>
      </c>
      <c r="P5" s="59">
        <f t="shared" ref="P5:P8" si="5">SUM(M5:O5)</f>
        <v>2880</v>
      </c>
      <c r="Q5" s="53" t="s">
        <v>51</v>
      </c>
      <c r="R5" s="26">
        <v>6000</v>
      </c>
      <c r="S5" s="26"/>
      <c r="T5" s="4" t="s">
        <v>6</v>
      </c>
      <c r="U5" s="1">
        <v>170</v>
      </c>
      <c r="V5" s="1">
        <v>45</v>
      </c>
      <c r="W5" s="45">
        <v>34</v>
      </c>
      <c r="X5" s="48"/>
      <c r="Y5" s="46">
        <v>227</v>
      </c>
      <c r="Z5" s="1">
        <f t="shared" si="1"/>
        <v>33</v>
      </c>
      <c r="AA5" s="1">
        <f t="shared" si="2"/>
        <v>0</v>
      </c>
      <c r="AB5" s="54">
        <f t="shared" si="3"/>
        <v>194</v>
      </c>
    </row>
    <row r="6" spans="1:28">
      <c r="A6" s="2" t="s">
        <v>4</v>
      </c>
      <c r="B6" s="2" t="s">
        <v>4</v>
      </c>
      <c r="C6" s="3" t="s">
        <v>5</v>
      </c>
      <c r="D6" s="33" t="s">
        <v>39</v>
      </c>
      <c r="E6" s="35" cm="1">
        <f t="array" ref="E6">(SUM(VLOOKUP(A4:A100,$T$3:$W$41,3,FALSE)))</f>
        <v>210</v>
      </c>
      <c r="F6" s="35" cm="1">
        <f t="array" ref="F6">(SUM(VLOOKUP(B4:B100,$T$3:$W$41,3,FALSE)))</f>
        <v>1945</v>
      </c>
      <c r="G6" s="35" cm="1">
        <f t="array" ref="G6">(SUM(VLOOKUP(C4:C100,$T$3:$W$41,3,FALSE)))</f>
        <v>2610</v>
      </c>
      <c r="H6" s="49">
        <f t="shared" si="4"/>
        <v>4765</v>
      </c>
      <c r="I6" s="2" t="s">
        <v>4</v>
      </c>
      <c r="J6" s="1" t="s">
        <v>27</v>
      </c>
      <c r="K6" s="3" t="s">
        <v>5</v>
      </c>
      <c r="L6" s="33" t="s">
        <v>39</v>
      </c>
      <c r="M6" s="35" cm="1">
        <f t="array" ref="M6">(SUM(VLOOKUP(I4:I100,$T$3:$W$41,3,FALSE)))</f>
        <v>740</v>
      </c>
      <c r="N6" s="35" cm="1">
        <f t="array" ref="N6">(SUM(VLOOKUP(J4:J100,$T$3:$W$41,3,FALSE)))</f>
        <v>40</v>
      </c>
      <c r="O6" s="35" cm="1">
        <f t="array" ref="O6">(SUM(VLOOKUP(K4:K100,$T$3:$W$41,3,FALSE)))</f>
        <v>300</v>
      </c>
      <c r="P6" s="49">
        <f t="shared" si="5"/>
        <v>1080</v>
      </c>
      <c r="Q6" s="50" t="s">
        <v>52</v>
      </c>
      <c r="R6" s="26">
        <f>R3*1600-800+R5</f>
        <v>150800</v>
      </c>
      <c r="S6" s="26"/>
      <c r="T6" s="5" t="s">
        <v>7</v>
      </c>
      <c r="U6" s="1">
        <v>180</v>
      </c>
      <c r="V6" s="1">
        <v>50</v>
      </c>
      <c r="W6" s="45">
        <v>36</v>
      </c>
      <c r="X6" s="46">
        <v>267</v>
      </c>
      <c r="Y6" s="46">
        <v>266</v>
      </c>
      <c r="Z6" s="1">
        <f t="shared" si="1"/>
        <v>0</v>
      </c>
      <c r="AA6" s="1">
        <f t="shared" si="2"/>
        <v>0</v>
      </c>
      <c r="AB6" s="54">
        <f t="shared" si="3"/>
        <v>266</v>
      </c>
    </row>
    <row r="7" spans="1:28">
      <c r="A7" s="2" t="s">
        <v>4</v>
      </c>
      <c r="B7" s="2" t="s">
        <v>4</v>
      </c>
      <c r="C7" s="4" t="s">
        <v>6</v>
      </c>
      <c r="D7" s="33" t="s">
        <v>40</v>
      </c>
      <c r="E7" s="35">
        <f>COUNTIF(A4:A100,"&lt;&gt;空")</f>
        <v>6</v>
      </c>
      <c r="F7" s="35">
        <f>COUNTIF(B4:B100,"&lt;&gt;空")</f>
        <v>44</v>
      </c>
      <c r="G7" s="35">
        <f>COUNTIF(C4:C100,"&lt;&gt;空")</f>
        <v>47</v>
      </c>
      <c r="H7" s="36">
        <f t="shared" si="4"/>
        <v>97</v>
      </c>
      <c r="I7" s="2" t="s">
        <v>4</v>
      </c>
      <c r="J7" s="1" t="s">
        <v>27</v>
      </c>
      <c r="K7" s="15" t="s">
        <v>17</v>
      </c>
      <c r="L7" s="33" t="s">
        <v>40</v>
      </c>
      <c r="M7" s="35">
        <f>COUNTIF(I4:I100,"&lt;&gt;空")</f>
        <v>22</v>
      </c>
      <c r="N7" s="35">
        <f>COUNTIF(J4:J100,"&lt;&gt;空")</f>
        <v>1</v>
      </c>
      <c r="O7" s="35">
        <f>COUNTIF(K4:K100,"&lt;&gt;空")</f>
        <v>8</v>
      </c>
      <c r="P7" s="36">
        <f t="shared" si="5"/>
        <v>31</v>
      </c>
      <c r="Q7" s="53" t="s">
        <v>55</v>
      </c>
      <c r="R7" s="26">
        <v>0</v>
      </c>
      <c r="S7" s="26"/>
      <c r="T7" s="6" t="s">
        <v>8</v>
      </c>
      <c r="U7" s="1">
        <v>190</v>
      </c>
      <c r="V7" s="1">
        <v>55</v>
      </c>
      <c r="W7" s="45">
        <v>38</v>
      </c>
      <c r="X7" s="46">
        <v>236</v>
      </c>
      <c r="Y7" s="46">
        <v>236</v>
      </c>
      <c r="Z7" s="1">
        <f t="shared" si="1"/>
        <v>0</v>
      </c>
      <c r="AA7" s="1">
        <f t="shared" si="2"/>
        <v>0</v>
      </c>
      <c r="AB7" s="54">
        <f t="shared" si="3"/>
        <v>236</v>
      </c>
    </row>
    <row r="8" spans="1:28">
      <c r="A8" s="2" t="s">
        <v>4</v>
      </c>
      <c r="B8" s="2" t="s">
        <v>4</v>
      </c>
      <c r="C8" s="4" t="s">
        <v>6</v>
      </c>
      <c r="D8" s="42" t="s">
        <v>70</v>
      </c>
      <c r="E8" s="41">
        <v>0</v>
      </c>
      <c r="F8" s="41">
        <v>1</v>
      </c>
      <c r="G8" s="41">
        <v>0</v>
      </c>
      <c r="H8" s="36">
        <f t="shared" si="4"/>
        <v>1</v>
      </c>
      <c r="I8" s="15" t="s">
        <v>17</v>
      </c>
      <c r="J8" s="1" t="s">
        <v>27</v>
      </c>
      <c r="K8" s="1" t="s">
        <v>27</v>
      </c>
      <c r="L8" s="42" t="s">
        <v>70</v>
      </c>
      <c r="M8" s="41">
        <v>2</v>
      </c>
      <c r="N8" s="41">
        <v>0</v>
      </c>
      <c r="O8" s="41">
        <v>0</v>
      </c>
      <c r="P8" s="36">
        <f t="shared" si="5"/>
        <v>2</v>
      </c>
      <c r="Q8" s="50" t="s">
        <v>54</v>
      </c>
      <c r="R8" s="55" cm="1">
        <f t="array" ref="R8">R6-P5-H5-SUM(U3:U28*AB3:AB28)*0.8-R7*8</f>
        <v>0</v>
      </c>
      <c r="S8" s="26"/>
      <c r="T8" s="7" t="s">
        <v>9</v>
      </c>
      <c r="U8" s="1">
        <v>200</v>
      </c>
      <c r="V8" s="1">
        <v>60</v>
      </c>
      <c r="W8" s="45"/>
      <c r="X8" s="46">
        <v>194</v>
      </c>
      <c r="Y8" s="46">
        <v>194</v>
      </c>
      <c r="Z8" s="1">
        <f t="shared" si="1"/>
        <v>0</v>
      </c>
      <c r="AA8" s="1">
        <f t="shared" si="2"/>
        <v>0</v>
      </c>
      <c r="AB8" s="54">
        <f t="shared" si="3"/>
        <v>194</v>
      </c>
    </row>
    <row r="9" spans="1:28">
      <c r="A9" s="2" t="s">
        <v>4</v>
      </c>
      <c r="B9" s="2" t="s">
        <v>4</v>
      </c>
      <c r="C9" s="17" t="s">
        <v>19</v>
      </c>
      <c r="D9" s="26"/>
      <c r="E9" s="26"/>
      <c r="F9" s="26"/>
      <c r="G9" s="26"/>
      <c r="H9" s="27"/>
      <c r="I9" s="1" t="s">
        <v>27</v>
      </c>
      <c r="J9" s="1" t="s">
        <v>27</v>
      </c>
      <c r="K9" s="1" t="s">
        <v>27</v>
      </c>
      <c r="L9" s="33" t="s">
        <v>42</v>
      </c>
      <c r="M9" s="37">
        <f>M6/M5</f>
        <v>0.39529914529914528</v>
      </c>
      <c r="N9" s="37">
        <f>N6/N5</f>
        <v>0.27777777777777779</v>
      </c>
      <c r="O9" s="37">
        <f>O6/O5</f>
        <v>0.34722222222222221</v>
      </c>
      <c r="P9" s="38">
        <f>P6/P5</f>
        <v>0.375</v>
      </c>
      <c r="Q9" s="50"/>
      <c r="R9" s="26"/>
      <c r="S9" s="26"/>
      <c r="T9" s="8" t="s">
        <v>10</v>
      </c>
      <c r="U9" s="1">
        <v>150</v>
      </c>
      <c r="V9" s="1">
        <v>35</v>
      </c>
      <c r="W9" s="45">
        <f t="shared" ref="W9:W11" si="6">U9-V9/0.330882</f>
        <v>44.222109392472248</v>
      </c>
      <c r="X9" s="46">
        <v>3</v>
      </c>
      <c r="Y9" s="46">
        <v>0</v>
      </c>
      <c r="Z9" s="1">
        <f t="shared" si="1"/>
        <v>0</v>
      </c>
      <c r="AA9" s="1">
        <f t="shared" si="2"/>
        <v>0</v>
      </c>
      <c r="AB9" s="54">
        <f t="shared" si="3"/>
        <v>0</v>
      </c>
    </row>
    <row r="10" spans="1:28">
      <c r="A10" s="1" t="s">
        <v>27</v>
      </c>
      <c r="B10" s="1" t="s">
        <v>27</v>
      </c>
      <c r="C10" s="4" t="s">
        <v>6</v>
      </c>
      <c r="D10" s="26"/>
      <c r="E10" s="26"/>
      <c r="F10" s="26"/>
      <c r="G10" s="26"/>
      <c r="H10" s="27"/>
      <c r="I10" s="16" t="s">
        <v>28</v>
      </c>
      <c r="J10" s="1" t="s">
        <v>27</v>
      </c>
      <c r="K10" s="1" t="s">
        <v>27</v>
      </c>
      <c r="L10" s="26"/>
      <c r="M10" s="26"/>
      <c r="N10" s="26"/>
      <c r="O10" s="26"/>
      <c r="P10" s="27"/>
      <c r="Q10" s="50"/>
      <c r="R10" s="26"/>
      <c r="S10" s="26"/>
      <c r="T10" s="9" t="s">
        <v>11</v>
      </c>
      <c r="U10" s="1">
        <v>150</v>
      </c>
      <c r="V10" s="1">
        <v>40</v>
      </c>
      <c r="W10" s="45">
        <f t="shared" si="6"/>
        <v>29.110982162825422</v>
      </c>
      <c r="X10" s="46">
        <v>7</v>
      </c>
      <c r="Y10" s="46">
        <v>3</v>
      </c>
      <c r="Z10" s="1">
        <f t="shared" si="1"/>
        <v>1</v>
      </c>
      <c r="AA10" s="1">
        <f t="shared" si="2"/>
        <v>2</v>
      </c>
      <c r="AB10" s="54">
        <f t="shared" si="3"/>
        <v>0</v>
      </c>
    </row>
    <row r="11" spans="1:28">
      <c r="A11" s="1" t="s">
        <v>27</v>
      </c>
      <c r="B11" s="1" t="s">
        <v>27</v>
      </c>
      <c r="C11" s="1" t="s">
        <v>27</v>
      </c>
      <c r="D11" s="26"/>
      <c r="E11" s="26"/>
      <c r="F11" s="26"/>
      <c r="G11" s="26"/>
      <c r="H11" s="27"/>
      <c r="I11" s="3" t="s">
        <v>5</v>
      </c>
      <c r="J11" s="1" t="s">
        <v>27</v>
      </c>
      <c r="K11" s="1" t="s">
        <v>27</v>
      </c>
      <c r="L11" s="26"/>
      <c r="M11" s="26"/>
      <c r="N11" s="26"/>
      <c r="O11" s="26"/>
      <c r="P11" s="27">
        <f>H5+P5</f>
        <v>17360</v>
      </c>
      <c r="Q11" s="50"/>
      <c r="R11" s="26"/>
      <c r="S11" s="26"/>
      <c r="T11" s="10" t="s">
        <v>12</v>
      </c>
      <c r="U11" s="1">
        <v>150</v>
      </c>
      <c r="V11" s="1">
        <v>45</v>
      </c>
      <c r="W11" s="45">
        <f t="shared" si="6"/>
        <v>13.999854933178597</v>
      </c>
      <c r="X11" s="46">
        <v>6</v>
      </c>
      <c r="Y11" s="46">
        <v>6</v>
      </c>
      <c r="Z11" s="1">
        <f t="shared" si="1"/>
        <v>0</v>
      </c>
      <c r="AA11" s="1">
        <f t="shared" si="2"/>
        <v>0</v>
      </c>
      <c r="AB11" s="54">
        <f t="shared" si="3"/>
        <v>6</v>
      </c>
    </row>
    <row r="12" spans="1:28">
      <c r="A12" s="1" t="s">
        <v>27</v>
      </c>
      <c r="B12" s="4" t="s">
        <v>6</v>
      </c>
      <c r="C12" s="4" t="s">
        <v>6</v>
      </c>
      <c r="D12" s="26"/>
      <c r="E12" s="26"/>
      <c r="F12" s="26"/>
      <c r="G12" s="26"/>
      <c r="H12" s="27"/>
      <c r="I12" s="3" t="s">
        <v>5</v>
      </c>
      <c r="J12" s="1" t="s">
        <v>27</v>
      </c>
      <c r="K12" s="3" t="s">
        <v>5</v>
      </c>
      <c r="L12" s="26"/>
      <c r="M12" s="26"/>
      <c r="N12" s="26"/>
      <c r="O12" s="26"/>
      <c r="P12" s="27">
        <f>H6+P6</f>
        <v>5845</v>
      </c>
      <c r="Q12" s="50"/>
      <c r="R12" s="26"/>
      <c r="S12" s="26"/>
      <c r="T12" s="11" t="s">
        <v>13</v>
      </c>
      <c r="U12" s="1">
        <v>150</v>
      </c>
      <c r="V12" s="1">
        <v>50</v>
      </c>
      <c r="W12" s="45"/>
      <c r="X12" s="46">
        <v>4</v>
      </c>
      <c r="Y12" s="46">
        <v>4</v>
      </c>
      <c r="Z12" s="1">
        <f t="shared" si="1"/>
        <v>0</v>
      </c>
      <c r="AA12" s="1">
        <f t="shared" si="2"/>
        <v>0</v>
      </c>
      <c r="AB12" s="54">
        <f t="shared" si="3"/>
        <v>4</v>
      </c>
    </row>
    <row r="13" spans="1:28">
      <c r="A13" s="1" t="s">
        <v>27</v>
      </c>
      <c r="B13" s="4" t="s">
        <v>6</v>
      </c>
      <c r="C13" s="15" t="s">
        <v>17</v>
      </c>
      <c r="D13" s="26"/>
      <c r="E13" s="26"/>
      <c r="F13" s="26"/>
      <c r="G13" s="26"/>
      <c r="H13" s="27"/>
      <c r="I13" s="9" t="s">
        <v>11</v>
      </c>
      <c r="J13" s="1" t="s">
        <v>27</v>
      </c>
      <c r="K13" s="3" t="s">
        <v>5</v>
      </c>
      <c r="L13" s="26"/>
      <c r="M13" s="26"/>
      <c r="N13" s="26"/>
      <c r="O13" s="26"/>
      <c r="P13" s="27"/>
      <c r="Q13" s="50"/>
      <c r="R13" s="26"/>
      <c r="S13" s="26"/>
      <c r="T13" s="12" t="s">
        <v>14</v>
      </c>
      <c r="U13" s="1">
        <v>150</v>
      </c>
      <c r="V13" s="1">
        <v>55</v>
      </c>
      <c r="W13" s="45"/>
      <c r="X13" s="46">
        <v>3</v>
      </c>
      <c r="Y13" s="46">
        <v>3</v>
      </c>
      <c r="Z13" s="1">
        <f t="shared" si="1"/>
        <v>0</v>
      </c>
      <c r="AA13" s="1">
        <f t="shared" si="2"/>
        <v>0</v>
      </c>
      <c r="AB13" s="54">
        <f t="shared" si="3"/>
        <v>3</v>
      </c>
    </row>
    <row r="14" spans="1:28">
      <c r="A14" s="1" t="s">
        <v>27</v>
      </c>
      <c r="B14" s="4" t="s">
        <v>6</v>
      </c>
      <c r="C14" s="3" t="s">
        <v>5</v>
      </c>
      <c r="D14" s="26"/>
      <c r="E14" s="26"/>
      <c r="F14" s="26"/>
      <c r="G14" s="26"/>
      <c r="H14" s="27"/>
      <c r="I14" s="2" t="s">
        <v>4</v>
      </c>
      <c r="J14" s="1" t="s">
        <v>27</v>
      </c>
      <c r="K14" s="3" t="s">
        <v>5</v>
      </c>
      <c r="L14" s="26"/>
      <c r="M14" s="26"/>
      <c r="N14" s="26"/>
      <c r="O14" s="26"/>
      <c r="P14" s="27"/>
      <c r="Q14" s="50"/>
      <c r="R14" s="26"/>
      <c r="S14" s="26"/>
      <c r="T14" s="13" t="s">
        <v>15</v>
      </c>
      <c r="U14" s="1">
        <v>150</v>
      </c>
      <c r="V14" s="1">
        <v>60</v>
      </c>
      <c r="W14" s="45"/>
      <c r="X14" s="46">
        <v>1</v>
      </c>
      <c r="Y14" s="46">
        <v>1</v>
      </c>
      <c r="Z14" s="1">
        <f t="shared" si="1"/>
        <v>0</v>
      </c>
      <c r="AA14" s="1">
        <f t="shared" si="2"/>
        <v>0</v>
      </c>
      <c r="AB14" s="54">
        <f t="shared" si="3"/>
        <v>1</v>
      </c>
    </row>
    <row r="15" spans="1:28">
      <c r="A15" s="1" t="s">
        <v>27</v>
      </c>
      <c r="B15" s="4" t="s">
        <v>6</v>
      </c>
      <c r="C15" s="16" t="s">
        <v>18</v>
      </c>
      <c r="D15" s="26"/>
      <c r="E15" s="26"/>
      <c r="F15" s="26"/>
      <c r="G15" s="26"/>
      <c r="H15" s="27"/>
      <c r="I15" s="15" t="s">
        <v>17</v>
      </c>
      <c r="J15" s="1" t="s">
        <v>27</v>
      </c>
      <c r="K15" s="15" t="s">
        <v>17</v>
      </c>
      <c r="L15" s="26"/>
      <c r="M15" s="26"/>
      <c r="N15" s="26"/>
      <c r="O15" s="26"/>
      <c r="P15" s="27"/>
      <c r="Q15" s="50"/>
      <c r="R15" s="26"/>
      <c r="S15" s="26"/>
      <c r="T15" s="14" t="s">
        <v>16</v>
      </c>
      <c r="U15" s="1">
        <v>150</v>
      </c>
      <c r="V15" s="1">
        <v>35</v>
      </c>
      <c r="W15" s="45">
        <f t="shared" ref="W15" si="7">U15-V15/0.330882</f>
        <v>44.222109392472248</v>
      </c>
      <c r="X15" s="46"/>
      <c r="Y15" s="46">
        <v>0</v>
      </c>
      <c r="Z15" s="1">
        <f t="shared" si="1"/>
        <v>0</v>
      </c>
      <c r="AA15" s="1">
        <f t="shared" si="2"/>
        <v>0</v>
      </c>
      <c r="AB15" s="54">
        <f t="shared" si="3"/>
        <v>0</v>
      </c>
    </row>
    <row r="16" spans="1:28">
      <c r="A16" s="1" t="s">
        <v>27</v>
      </c>
      <c r="B16" s="15" t="s">
        <v>17</v>
      </c>
      <c r="C16" s="2" t="s">
        <v>4</v>
      </c>
      <c r="D16" s="26"/>
      <c r="E16" s="26"/>
      <c r="F16" s="26"/>
      <c r="G16" s="26"/>
      <c r="H16" s="27"/>
      <c r="I16" s="3" t="s">
        <v>5</v>
      </c>
      <c r="J16" s="1" t="s">
        <v>27</v>
      </c>
      <c r="K16" s="1" t="s">
        <v>27</v>
      </c>
      <c r="L16" s="26"/>
      <c r="M16" s="26"/>
      <c r="N16" s="26"/>
      <c r="O16" s="26"/>
      <c r="P16" s="27"/>
      <c r="Q16" s="50"/>
      <c r="R16" s="26"/>
      <c r="S16" s="26"/>
      <c r="T16" s="15" t="s">
        <v>17</v>
      </c>
      <c r="U16" s="1">
        <v>50</v>
      </c>
      <c r="V16" s="1">
        <v>30</v>
      </c>
      <c r="W16" s="45">
        <v>10</v>
      </c>
      <c r="X16" s="46">
        <v>40</v>
      </c>
      <c r="Y16" s="46">
        <v>40</v>
      </c>
      <c r="Z16" s="1">
        <f t="shared" si="1"/>
        <v>6</v>
      </c>
      <c r="AA16" s="1">
        <f t="shared" si="2"/>
        <v>8</v>
      </c>
      <c r="AB16" s="54">
        <f t="shared" si="3"/>
        <v>26</v>
      </c>
    </row>
    <row r="17" spans="1:28">
      <c r="A17" s="1" t="s">
        <v>27</v>
      </c>
      <c r="B17" s="4" t="s">
        <v>6</v>
      </c>
      <c r="C17" s="2" t="s">
        <v>4</v>
      </c>
      <c r="D17" s="26"/>
      <c r="E17" s="26"/>
      <c r="F17" s="26"/>
      <c r="G17" s="26"/>
      <c r="H17" s="27"/>
      <c r="I17" s="15" t="s">
        <v>17</v>
      </c>
      <c r="J17" s="1" t="s">
        <v>27</v>
      </c>
      <c r="K17" s="1" t="s">
        <v>27</v>
      </c>
      <c r="L17" s="26"/>
      <c r="M17" s="26"/>
      <c r="N17" s="26"/>
      <c r="O17" s="26"/>
      <c r="P17" s="27"/>
      <c r="Q17" s="50"/>
      <c r="R17" s="26"/>
      <c r="S17" s="26"/>
      <c r="T17" s="16" t="s">
        <v>18</v>
      </c>
      <c r="U17" s="1">
        <v>-150</v>
      </c>
      <c r="V17" s="1">
        <v>0</v>
      </c>
      <c r="W17" s="45">
        <v>10</v>
      </c>
      <c r="X17" s="46">
        <v>3</v>
      </c>
      <c r="Y17" s="46">
        <v>3</v>
      </c>
      <c r="Z17" s="1">
        <f t="shared" si="1"/>
        <v>3</v>
      </c>
      <c r="AA17" s="1">
        <f t="shared" si="2"/>
        <v>0</v>
      </c>
      <c r="AB17" s="54">
        <f t="shared" si="3"/>
        <v>0</v>
      </c>
    </row>
    <row r="18" spans="1:28">
      <c r="A18" s="1" t="s">
        <v>27</v>
      </c>
      <c r="B18" s="17" t="s">
        <v>20</v>
      </c>
      <c r="C18" s="2" t="s">
        <v>4</v>
      </c>
      <c r="D18" s="26"/>
      <c r="E18" s="26"/>
      <c r="F18" s="26"/>
      <c r="G18" s="26"/>
      <c r="H18" s="27"/>
      <c r="I18" s="3" t="s">
        <v>5</v>
      </c>
      <c r="J18" s="1" t="s">
        <v>27</v>
      </c>
      <c r="K18" s="1" t="s">
        <v>27</v>
      </c>
      <c r="L18" s="26"/>
      <c r="M18" s="26"/>
      <c r="N18" s="26"/>
      <c r="O18" s="26"/>
      <c r="P18" s="27"/>
      <c r="Q18" s="50"/>
      <c r="R18" s="26"/>
      <c r="S18" s="26"/>
      <c r="T18" s="17" t="s">
        <v>19</v>
      </c>
      <c r="U18" s="1">
        <v>250</v>
      </c>
      <c r="V18" s="1">
        <v>200</v>
      </c>
      <c r="W18" s="45"/>
      <c r="X18" s="46">
        <v>3</v>
      </c>
      <c r="Y18" s="46">
        <v>3</v>
      </c>
      <c r="Z18" s="1">
        <f t="shared" si="1"/>
        <v>3</v>
      </c>
      <c r="AA18" s="1">
        <f t="shared" si="2"/>
        <v>0</v>
      </c>
      <c r="AB18" s="54">
        <f t="shared" si="3"/>
        <v>0</v>
      </c>
    </row>
    <row r="19" spans="1:28">
      <c r="A19" s="1" t="s">
        <v>27</v>
      </c>
      <c r="B19" s="4" t="s">
        <v>6</v>
      </c>
      <c r="C19" s="2" t="s">
        <v>4</v>
      </c>
      <c r="D19" s="26"/>
      <c r="E19" s="26"/>
      <c r="F19" s="26"/>
      <c r="G19" s="26"/>
      <c r="H19" s="27"/>
      <c r="I19" s="3" t="s">
        <v>5</v>
      </c>
      <c r="J19" s="1" t="s">
        <v>27</v>
      </c>
      <c r="K19" s="1" t="s">
        <v>27</v>
      </c>
      <c r="L19" s="26"/>
      <c r="M19" s="26"/>
      <c r="N19" s="26"/>
      <c r="O19" s="26"/>
      <c r="P19" s="27"/>
      <c r="Q19" s="50"/>
      <c r="R19" s="26"/>
      <c r="S19" s="26"/>
      <c r="T19" s="17" t="s">
        <v>20</v>
      </c>
      <c r="U19" s="1">
        <v>170</v>
      </c>
      <c r="V19" s="1">
        <v>45</v>
      </c>
      <c r="W19" s="45"/>
      <c r="X19" s="46">
        <v>5</v>
      </c>
      <c r="Y19" s="46">
        <v>5</v>
      </c>
      <c r="Z19" s="1">
        <f t="shared" si="1"/>
        <v>5</v>
      </c>
      <c r="AA19" s="1">
        <f t="shared" si="2"/>
        <v>0</v>
      </c>
      <c r="AB19" s="54">
        <f t="shared" si="3"/>
        <v>0</v>
      </c>
    </row>
    <row r="20" spans="1:28">
      <c r="A20" s="1" t="s">
        <v>27</v>
      </c>
      <c r="B20" s="3" t="s">
        <v>5</v>
      </c>
      <c r="C20" s="15" t="s">
        <v>17</v>
      </c>
      <c r="D20" s="26"/>
      <c r="E20" s="26"/>
      <c r="F20" s="26"/>
      <c r="G20" s="26"/>
      <c r="H20" s="27"/>
      <c r="I20" s="3" t="s">
        <v>5</v>
      </c>
      <c r="J20" s="1" t="s">
        <v>27</v>
      </c>
      <c r="K20" s="1" t="s">
        <v>27</v>
      </c>
      <c r="L20" s="26"/>
      <c r="M20" s="26"/>
      <c r="N20" s="26"/>
      <c r="O20" s="26"/>
      <c r="P20" s="27"/>
      <c r="Q20" s="50"/>
      <c r="R20" s="26"/>
      <c r="S20" s="26"/>
      <c r="T20" s="18" t="s">
        <v>21</v>
      </c>
      <c r="U20" s="1">
        <v>250</v>
      </c>
      <c r="V20" s="1">
        <v>200</v>
      </c>
      <c r="W20" s="45"/>
      <c r="X20" s="46">
        <v>0</v>
      </c>
      <c r="Y20" s="46">
        <v>0</v>
      </c>
      <c r="Z20" s="1">
        <f t="shared" si="1"/>
        <v>0</v>
      </c>
      <c r="AA20" s="1">
        <f t="shared" si="2"/>
        <v>0</v>
      </c>
      <c r="AB20" s="54">
        <f t="shared" si="3"/>
        <v>0</v>
      </c>
    </row>
    <row r="21" spans="1:28">
      <c r="A21" s="1" t="s">
        <v>27</v>
      </c>
      <c r="B21" s="3" t="s">
        <v>5</v>
      </c>
      <c r="C21" s="3" t="s">
        <v>5</v>
      </c>
      <c r="D21" s="26"/>
      <c r="E21" s="26"/>
      <c r="F21" s="26"/>
      <c r="G21" s="26"/>
      <c r="H21" s="27"/>
      <c r="I21" s="2" t="s">
        <v>4</v>
      </c>
      <c r="J21" s="1" t="s">
        <v>27</v>
      </c>
      <c r="K21" s="1" t="s">
        <v>27</v>
      </c>
      <c r="L21" s="26"/>
      <c r="M21" s="26"/>
      <c r="N21" s="26"/>
      <c r="O21" s="26"/>
      <c r="P21" s="27"/>
      <c r="Q21" s="50"/>
      <c r="R21" s="26"/>
      <c r="S21" s="26"/>
      <c r="T21" s="19" t="s">
        <v>22</v>
      </c>
      <c r="U21" s="1">
        <v>250</v>
      </c>
      <c r="V21" s="1">
        <v>1000</v>
      </c>
      <c r="W21" s="45"/>
      <c r="X21" s="46">
        <v>2</v>
      </c>
      <c r="Y21" s="46">
        <v>2</v>
      </c>
      <c r="Z21" s="1">
        <f t="shared" si="1"/>
        <v>0</v>
      </c>
      <c r="AA21" s="1">
        <f t="shared" si="2"/>
        <v>0</v>
      </c>
      <c r="AB21" s="54">
        <f t="shared" si="3"/>
        <v>2</v>
      </c>
    </row>
    <row r="22" spans="1:28">
      <c r="A22" s="1" t="s">
        <v>27</v>
      </c>
      <c r="B22" s="3" t="s">
        <v>5</v>
      </c>
      <c r="C22" s="3" t="s">
        <v>5</v>
      </c>
      <c r="D22" s="26"/>
      <c r="E22" s="26"/>
      <c r="F22" s="26"/>
      <c r="G22" s="26"/>
      <c r="H22" s="27"/>
      <c r="I22" s="15" t="s">
        <v>17</v>
      </c>
      <c r="J22" s="1" t="s">
        <v>27</v>
      </c>
      <c r="K22" s="1" t="s">
        <v>27</v>
      </c>
      <c r="L22" s="26"/>
      <c r="M22" s="26"/>
      <c r="N22" s="26"/>
      <c r="O22" s="26"/>
      <c r="P22" s="27"/>
      <c r="Q22" s="50"/>
      <c r="R22" s="26"/>
      <c r="S22" s="26"/>
      <c r="T22" s="20" t="s">
        <v>23</v>
      </c>
      <c r="U22" s="1">
        <v>250</v>
      </c>
      <c r="V22" s="1">
        <v>500</v>
      </c>
      <c r="W22" s="45"/>
      <c r="X22" s="46">
        <v>2</v>
      </c>
      <c r="Y22" s="46">
        <v>2</v>
      </c>
      <c r="Z22" s="1">
        <f t="shared" si="1"/>
        <v>0</v>
      </c>
      <c r="AA22" s="1">
        <f t="shared" si="2"/>
        <v>0</v>
      </c>
      <c r="AB22" s="54">
        <f t="shared" si="3"/>
        <v>2</v>
      </c>
    </row>
    <row r="23" spans="1:28">
      <c r="A23" s="1" t="s">
        <v>27</v>
      </c>
      <c r="B23" s="3" t="s">
        <v>5</v>
      </c>
      <c r="C23" s="3" t="s">
        <v>5</v>
      </c>
      <c r="D23" s="26"/>
      <c r="E23" s="26"/>
      <c r="F23" s="26"/>
      <c r="G23" s="26"/>
      <c r="H23" s="27"/>
      <c r="I23" s="2" t="s">
        <v>4</v>
      </c>
      <c r="J23" s="1" t="s">
        <v>27</v>
      </c>
      <c r="K23" s="1" t="s">
        <v>27</v>
      </c>
      <c r="L23" s="26"/>
      <c r="M23" s="26"/>
      <c r="N23" s="26"/>
      <c r="O23" s="26"/>
      <c r="P23" s="27"/>
      <c r="Q23" s="50"/>
      <c r="R23" s="26"/>
      <c r="S23" s="26"/>
      <c r="T23" s="21" t="s">
        <v>24</v>
      </c>
      <c r="U23" s="1">
        <v>160</v>
      </c>
      <c r="V23" s="1">
        <v>40</v>
      </c>
      <c r="W23" s="45">
        <f t="shared" ref="W23:W26" si="8">U23-V23/0.330882</f>
        <v>39.110982162825422</v>
      </c>
      <c r="X23" s="46">
        <v>0</v>
      </c>
      <c r="Y23" s="46">
        <v>0</v>
      </c>
      <c r="Z23" s="1">
        <f t="shared" si="1"/>
        <v>0</v>
      </c>
      <c r="AA23" s="1">
        <f t="shared" si="2"/>
        <v>0</v>
      </c>
      <c r="AB23" s="54">
        <f t="shared" si="3"/>
        <v>0</v>
      </c>
    </row>
    <row r="24" spans="1:28">
      <c r="A24" s="1" t="s">
        <v>27</v>
      </c>
      <c r="B24" s="3" t="s">
        <v>5</v>
      </c>
      <c r="C24" s="16" t="s">
        <v>18</v>
      </c>
      <c r="D24" s="26"/>
      <c r="E24" s="26"/>
      <c r="F24" s="26"/>
      <c r="G24" s="26"/>
      <c r="H24" s="27"/>
      <c r="I24" s="2" t="s">
        <v>4</v>
      </c>
      <c r="J24" s="1" t="s">
        <v>27</v>
      </c>
      <c r="K24" s="1" t="s">
        <v>27</v>
      </c>
      <c r="L24" s="26"/>
      <c r="M24" s="26"/>
      <c r="N24" s="26"/>
      <c r="O24" s="26"/>
      <c r="P24" s="27"/>
      <c r="Q24" s="50"/>
      <c r="R24" s="26"/>
      <c r="S24" s="26"/>
      <c r="T24" s="21" t="s">
        <v>25</v>
      </c>
      <c r="U24" s="1">
        <v>160</v>
      </c>
      <c r="V24" s="1">
        <v>40</v>
      </c>
      <c r="W24" s="45">
        <f t="shared" si="8"/>
        <v>39.110982162825422</v>
      </c>
      <c r="X24" s="46">
        <v>0</v>
      </c>
      <c r="Y24" s="46">
        <v>0</v>
      </c>
      <c r="Z24" s="1">
        <f t="shared" si="1"/>
        <v>0</v>
      </c>
      <c r="AA24" s="1">
        <f t="shared" si="2"/>
        <v>0</v>
      </c>
      <c r="AB24" s="54">
        <f t="shared" si="3"/>
        <v>0</v>
      </c>
    </row>
    <row r="25" spans="1:28">
      <c r="A25" s="1" t="s">
        <v>27</v>
      </c>
      <c r="B25" s="3" t="s">
        <v>5</v>
      </c>
      <c r="C25" s="3" t="s">
        <v>5</v>
      </c>
      <c r="D25" s="26"/>
      <c r="E25" s="26"/>
      <c r="F25" s="26"/>
      <c r="G25" s="26"/>
      <c r="H25" s="27"/>
      <c r="I25" s="2" t="s">
        <v>4</v>
      </c>
      <c r="J25" s="1" t="s">
        <v>27</v>
      </c>
      <c r="K25" s="1" t="s">
        <v>27</v>
      </c>
      <c r="L25" s="26"/>
      <c r="M25" s="26"/>
      <c r="N25" s="26"/>
      <c r="O25" s="26"/>
      <c r="P25" s="27"/>
      <c r="Q25" s="50"/>
      <c r="R25" s="26"/>
      <c r="S25" s="26"/>
      <c r="T25" s="21" t="s">
        <v>26</v>
      </c>
      <c r="U25" s="1">
        <v>150</v>
      </c>
      <c r="V25" s="1">
        <v>35</v>
      </c>
      <c r="W25" s="45">
        <f t="shared" si="8"/>
        <v>44.222109392472248</v>
      </c>
      <c r="X25" s="46">
        <v>0</v>
      </c>
      <c r="Y25" s="46">
        <v>0</v>
      </c>
      <c r="Z25" s="1">
        <f t="shared" si="1"/>
        <v>0</v>
      </c>
      <c r="AA25" s="1">
        <f t="shared" si="2"/>
        <v>0</v>
      </c>
      <c r="AB25" s="54">
        <f t="shared" si="3"/>
        <v>0</v>
      </c>
    </row>
    <row r="26" spans="1:28">
      <c r="A26" s="1" t="s">
        <v>27</v>
      </c>
      <c r="B26" s="15" t="s">
        <v>17</v>
      </c>
      <c r="C26" s="3" t="s">
        <v>5</v>
      </c>
      <c r="D26" s="26"/>
      <c r="E26" s="26"/>
      <c r="F26" s="26"/>
      <c r="G26" s="26"/>
      <c r="H26" s="27"/>
      <c r="I26" s="15" t="s">
        <v>17</v>
      </c>
      <c r="J26" s="1" t="s">
        <v>27</v>
      </c>
      <c r="K26" s="1" t="s">
        <v>27</v>
      </c>
      <c r="L26" s="26"/>
      <c r="M26" s="26"/>
      <c r="N26" s="26"/>
      <c r="O26" s="26"/>
      <c r="P26" s="27"/>
      <c r="Q26" s="50"/>
      <c r="R26" s="26"/>
      <c r="S26" s="26"/>
      <c r="T26" s="22" t="s">
        <v>27</v>
      </c>
      <c r="U26" s="1">
        <v>0</v>
      </c>
      <c r="V26" s="1">
        <v>0</v>
      </c>
      <c r="W26" s="45">
        <f t="shared" si="8"/>
        <v>0</v>
      </c>
      <c r="X26" s="46">
        <v>0</v>
      </c>
      <c r="Y26" s="46">
        <v>0</v>
      </c>
      <c r="Z26" s="1"/>
      <c r="AA26" s="1"/>
      <c r="AB26" s="54"/>
    </row>
    <row r="27" spans="1:28">
      <c r="A27" s="1" t="s">
        <v>27</v>
      </c>
      <c r="B27" s="3" t="s">
        <v>5</v>
      </c>
      <c r="C27" s="4" t="s">
        <v>6</v>
      </c>
      <c r="D27" s="26"/>
      <c r="E27" s="26"/>
      <c r="F27" s="26"/>
      <c r="G27" s="26"/>
      <c r="H27" s="27"/>
      <c r="I27" s="1" t="s">
        <v>27</v>
      </c>
      <c r="J27" s="1" t="s">
        <v>27</v>
      </c>
      <c r="K27" s="1" t="s">
        <v>27</v>
      </c>
      <c r="L27" s="26"/>
      <c r="M27" s="26"/>
      <c r="N27" s="26"/>
      <c r="O27" s="26"/>
      <c r="P27" s="27"/>
      <c r="Q27" s="50"/>
      <c r="R27" s="26"/>
      <c r="S27" s="26"/>
      <c r="T27" s="16" t="s">
        <v>28</v>
      </c>
      <c r="U27" s="1">
        <v>-200</v>
      </c>
      <c r="V27" s="1">
        <v>0</v>
      </c>
      <c r="W27" s="45"/>
      <c r="X27" s="46">
        <v>12</v>
      </c>
      <c r="Y27" s="46">
        <v>12</v>
      </c>
      <c r="Z27" s="1">
        <f t="shared" si="1"/>
        <v>0</v>
      </c>
      <c r="AA27" s="1">
        <f t="shared" si="2"/>
        <v>1</v>
      </c>
      <c r="AB27" s="54">
        <f t="shared" si="3"/>
        <v>11</v>
      </c>
    </row>
    <row r="28" spans="1:28">
      <c r="A28" s="1" t="s">
        <v>27</v>
      </c>
      <c r="B28" s="3" t="s">
        <v>5</v>
      </c>
      <c r="C28" s="4" t="s">
        <v>6</v>
      </c>
      <c r="D28" s="26"/>
      <c r="E28" s="26"/>
      <c r="F28" s="26"/>
      <c r="G28" s="26"/>
      <c r="H28" s="27"/>
      <c r="I28" s="1" t="s">
        <v>27</v>
      </c>
      <c r="J28" s="1" t="s">
        <v>27</v>
      </c>
      <c r="K28" s="1" t="s">
        <v>27</v>
      </c>
      <c r="L28" s="26"/>
      <c r="M28" s="26"/>
      <c r="N28" s="26"/>
      <c r="O28" s="26"/>
      <c r="P28" s="27"/>
      <c r="Q28" s="50"/>
      <c r="R28" s="26"/>
      <c r="S28" s="26"/>
      <c r="T28" s="23" t="s">
        <v>29</v>
      </c>
      <c r="U28" s="1">
        <v>50</v>
      </c>
      <c r="V28" s="1">
        <v>520</v>
      </c>
      <c r="W28" s="45"/>
      <c r="X28" s="46">
        <v>3</v>
      </c>
      <c r="Y28" s="46">
        <v>3</v>
      </c>
      <c r="Z28" s="1">
        <f t="shared" si="1"/>
        <v>1</v>
      </c>
      <c r="AA28" s="1">
        <f t="shared" si="2"/>
        <v>0</v>
      </c>
      <c r="AB28" s="54">
        <f t="shared" si="3"/>
        <v>2</v>
      </c>
    </row>
    <row r="29" spans="1:28" ht="15.75" thickBot="1">
      <c r="A29" s="1" t="s">
        <v>27</v>
      </c>
      <c r="B29" s="3" t="s">
        <v>5</v>
      </c>
      <c r="C29" s="4" t="s">
        <v>6</v>
      </c>
      <c r="D29" s="26"/>
      <c r="E29" s="26"/>
      <c r="F29" s="26"/>
      <c r="G29" s="26"/>
      <c r="H29" s="27"/>
      <c r="I29" s="1" t="s">
        <v>27</v>
      </c>
      <c r="J29" s="1" t="s">
        <v>27</v>
      </c>
      <c r="K29" s="1" t="s">
        <v>27</v>
      </c>
      <c r="L29" s="26"/>
      <c r="M29" s="26"/>
      <c r="N29" s="26"/>
      <c r="O29" s="26"/>
      <c r="P29" s="27"/>
      <c r="Q29" s="56"/>
      <c r="R29" s="31"/>
      <c r="S29" s="31"/>
      <c r="T29" s="30"/>
      <c r="U29" s="30"/>
      <c r="V29" s="30"/>
      <c r="W29" s="30"/>
      <c r="X29" s="30"/>
      <c r="Y29" s="30"/>
      <c r="Z29" s="30"/>
      <c r="AA29" s="30"/>
      <c r="AB29" s="57"/>
    </row>
    <row r="30" spans="1:28">
      <c r="A30" s="1" t="s">
        <v>27</v>
      </c>
      <c r="B30" s="3" t="s">
        <v>5</v>
      </c>
      <c r="C30" s="4" t="s">
        <v>6</v>
      </c>
      <c r="D30" s="26"/>
      <c r="E30" s="26"/>
      <c r="F30" s="26"/>
      <c r="G30" s="26"/>
      <c r="H30" s="27"/>
      <c r="I30" s="1" t="s">
        <v>27</v>
      </c>
      <c r="J30" s="1" t="s">
        <v>27</v>
      </c>
      <c r="K30" s="1" t="s">
        <v>27</v>
      </c>
      <c r="L30" s="26"/>
      <c r="M30" s="26"/>
      <c r="N30" s="26"/>
      <c r="O30" s="26"/>
      <c r="P30" s="27"/>
    </row>
    <row r="31" spans="1:28">
      <c r="A31" s="1" t="s">
        <v>27</v>
      </c>
      <c r="B31" s="15" t="s">
        <v>17</v>
      </c>
      <c r="C31" s="4" t="s">
        <v>6</v>
      </c>
      <c r="D31" s="26"/>
      <c r="E31" s="26"/>
      <c r="F31" s="26"/>
      <c r="G31" s="26"/>
      <c r="H31" s="27"/>
      <c r="I31" s="1" t="s">
        <v>27</v>
      </c>
      <c r="J31" s="1" t="s">
        <v>27</v>
      </c>
      <c r="K31" s="1" t="s">
        <v>27</v>
      </c>
      <c r="L31" s="26"/>
      <c r="M31" s="26"/>
      <c r="N31" s="26"/>
      <c r="O31" s="26"/>
      <c r="P31" s="27"/>
      <c r="Y31">
        <f>SUM(Y3:Y28)</f>
        <v>1075</v>
      </c>
    </row>
    <row r="32" spans="1:28">
      <c r="A32" s="1" t="s">
        <v>27</v>
      </c>
      <c r="B32" s="3" t="s">
        <v>5</v>
      </c>
      <c r="C32" s="17" t="s">
        <v>20</v>
      </c>
      <c r="D32" s="26"/>
      <c r="E32" s="26"/>
      <c r="F32" s="26"/>
      <c r="G32" s="26"/>
      <c r="H32" s="27"/>
      <c r="I32" s="1" t="s">
        <v>27</v>
      </c>
      <c r="J32" s="1" t="s">
        <v>27</v>
      </c>
      <c r="K32" s="1" t="s">
        <v>27</v>
      </c>
      <c r="L32" s="26"/>
      <c r="M32" s="26"/>
      <c r="N32" s="26"/>
      <c r="O32" s="26"/>
      <c r="P32" s="27"/>
      <c r="Q32" t="s">
        <v>57</v>
      </c>
      <c r="R32">
        <v>1</v>
      </c>
      <c r="S32" t="s">
        <v>59</v>
      </c>
    </row>
    <row r="33" spans="1:19">
      <c r="A33" s="1" t="s">
        <v>27</v>
      </c>
      <c r="B33" s="4" t="s">
        <v>6</v>
      </c>
      <c r="C33" s="3" t="s">
        <v>5</v>
      </c>
      <c r="D33" s="26"/>
      <c r="E33" s="26"/>
      <c r="F33" s="26"/>
      <c r="G33" s="26"/>
      <c r="H33" s="27"/>
      <c r="I33" s="1" t="s">
        <v>27</v>
      </c>
      <c r="J33" s="1" t="s">
        <v>27</v>
      </c>
      <c r="K33" s="1" t="s">
        <v>27</v>
      </c>
      <c r="L33" s="26"/>
      <c r="M33" s="26"/>
      <c r="N33" s="26"/>
      <c r="O33" s="26"/>
      <c r="P33" s="27"/>
      <c r="R33">
        <v>2</v>
      </c>
      <c r="S33" t="s">
        <v>60</v>
      </c>
    </row>
    <row r="34" spans="1:19">
      <c r="A34" s="1" t="s">
        <v>27</v>
      </c>
      <c r="B34" s="2" t="s">
        <v>4</v>
      </c>
      <c r="C34" s="3" t="s">
        <v>5</v>
      </c>
      <c r="D34" s="26"/>
      <c r="E34" s="26"/>
      <c r="F34" s="26"/>
      <c r="G34" s="26"/>
      <c r="H34" s="27"/>
      <c r="I34" s="28" t="s">
        <v>27</v>
      </c>
      <c r="J34" s="1" t="s">
        <v>27</v>
      </c>
      <c r="K34" s="1" t="s">
        <v>27</v>
      </c>
      <c r="L34" s="26"/>
      <c r="M34" s="26"/>
      <c r="N34" s="26"/>
      <c r="O34" s="26"/>
      <c r="P34" s="27"/>
      <c r="R34">
        <v>3</v>
      </c>
      <c r="S34" t="s">
        <v>58</v>
      </c>
    </row>
    <row r="35" spans="1:19">
      <c r="A35" s="1" t="s">
        <v>27</v>
      </c>
      <c r="B35" s="4" t="s">
        <v>6</v>
      </c>
      <c r="C35" s="3" t="s">
        <v>5</v>
      </c>
      <c r="D35" s="26"/>
      <c r="E35" s="26"/>
      <c r="F35" s="26"/>
      <c r="G35" s="26"/>
      <c r="H35" s="27"/>
      <c r="I35" s="28" t="s">
        <v>27</v>
      </c>
      <c r="J35" s="1" t="s">
        <v>27</v>
      </c>
      <c r="K35" s="1" t="s">
        <v>27</v>
      </c>
      <c r="L35" s="26"/>
      <c r="M35" s="26"/>
      <c r="N35" s="26"/>
      <c r="O35" s="26"/>
      <c r="P35" s="27"/>
      <c r="R35">
        <v>4</v>
      </c>
      <c r="S35" t="s">
        <v>61</v>
      </c>
    </row>
    <row r="36" spans="1:19">
      <c r="A36" s="1" t="s">
        <v>27</v>
      </c>
      <c r="B36" s="17" t="s">
        <v>20</v>
      </c>
      <c r="C36" s="15" t="s">
        <v>17</v>
      </c>
      <c r="D36" s="26"/>
      <c r="E36" s="26"/>
      <c r="F36" s="26"/>
      <c r="G36" s="26"/>
      <c r="H36" s="27"/>
      <c r="I36" s="28" t="s">
        <v>27</v>
      </c>
      <c r="J36" s="1" t="s">
        <v>27</v>
      </c>
      <c r="K36" s="1" t="s">
        <v>27</v>
      </c>
      <c r="L36" s="26"/>
      <c r="M36" s="26"/>
      <c r="N36" s="26"/>
      <c r="O36" s="26"/>
      <c r="P36" s="27"/>
      <c r="S36" t="s">
        <v>62</v>
      </c>
    </row>
    <row r="37" spans="1:19">
      <c r="A37" s="1" t="s">
        <v>27</v>
      </c>
      <c r="B37" s="4" t="s">
        <v>6</v>
      </c>
      <c r="C37" s="3" t="s">
        <v>5</v>
      </c>
      <c r="D37" s="26"/>
      <c r="E37" s="26"/>
      <c r="F37" s="26"/>
      <c r="G37" s="26"/>
      <c r="H37" s="27"/>
      <c r="I37" s="28" t="s">
        <v>27</v>
      </c>
      <c r="J37" s="1" t="s">
        <v>27</v>
      </c>
      <c r="K37" s="1" t="s">
        <v>27</v>
      </c>
      <c r="L37" s="26"/>
      <c r="M37" s="26"/>
      <c r="N37" s="26"/>
      <c r="O37" s="26"/>
      <c r="P37" s="27"/>
      <c r="R37">
        <v>5</v>
      </c>
      <c r="S37" t="s">
        <v>63</v>
      </c>
    </row>
    <row r="38" spans="1:19">
      <c r="A38" s="1" t="s">
        <v>27</v>
      </c>
      <c r="B38" s="4" t="s">
        <v>6</v>
      </c>
      <c r="C38" s="3" t="s">
        <v>5</v>
      </c>
      <c r="D38" s="26"/>
      <c r="E38" s="26"/>
      <c r="F38" s="26"/>
      <c r="G38" s="26"/>
      <c r="H38" s="27"/>
      <c r="I38" s="28" t="s">
        <v>27</v>
      </c>
      <c r="J38" s="1" t="s">
        <v>27</v>
      </c>
      <c r="K38" s="1" t="s">
        <v>27</v>
      </c>
      <c r="L38" s="26"/>
      <c r="M38" s="26"/>
      <c r="N38" s="26"/>
      <c r="O38" s="26"/>
      <c r="P38" s="27"/>
      <c r="R38">
        <v>6</v>
      </c>
      <c r="S38" t="s">
        <v>71</v>
      </c>
    </row>
    <row r="39" spans="1:19">
      <c r="A39" s="1" t="s">
        <v>27</v>
      </c>
      <c r="B39" s="4" t="s">
        <v>6</v>
      </c>
      <c r="C39" s="4" t="s">
        <v>6</v>
      </c>
      <c r="D39" s="26"/>
      <c r="E39" s="26"/>
      <c r="F39" s="26"/>
      <c r="G39" s="26"/>
      <c r="H39" s="27"/>
      <c r="I39" s="28" t="s">
        <v>27</v>
      </c>
      <c r="J39" s="1" t="s">
        <v>27</v>
      </c>
      <c r="K39" s="1" t="s">
        <v>27</v>
      </c>
      <c r="L39" s="26"/>
      <c r="M39" s="26"/>
      <c r="N39" s="26"/>
      <c r="O39" s="26"/>
      <c r="P39" s="27"/>
      <c r="R39">
        <v>7</v>
      </c>
      <c r="S39" t="s">
        <v>65</v>
      </c>
    </row>
    <row r="40" spans="1:19">
      <c r="A40" s="1" t="s">
        <v>27</v>
      </c>
      <c r="B40" s="17" t="s">
        <v>19</v>
      </c>
      <c r="C40" s="4" t="s">
        <v>6</v>
      </c>
      <c r="D40" s="26"/>
      <c r="E40" s="26"/>
      <c r="F40" s="26"/>
      <c r="G40" s="26"/>
      <c r="H40" s="27"/>
      <c r="I40" s="28" t="s">
        <v>27</v>
      </c>
      <c r="J40" s="1" t="s">
        <v>27</v>
      </c>
      <c r="K40" s="1" t="s">
        <v>27</v>
      </c>
      <c r="L40" s="26"/>
      <c r="M40" s="26"/>
      <c r="N40" s="26"/>
      <c r="O40" s="26"/>
      <c r="P40" s="27"/>
    </row>
    <row r="41" spans="1:19">
      <c r="A41" s="1" t="s">
        <v>27</v>
      </c>
      <c r="B41" s="4" t="s">
        <v>6</v>
      </c>
      <c r="C41" s="9" t="s">
        <v>11</v>
      </c>
      <c r="D41" s="26"/>
      <c r="E41" s="26"/>
      <c r="F41" s="26"/>
      <c r="G41" s="26"/>
      <c r="H41" s="27"/>
      <c r="I41" s="28" t="s">
        <v>27</v>
      </c>
      <c r="J41" s="1" t="s">
        <v>27</v>
      </c>
      <c r="K41" s="1" t="s">
        <v>27</v>
      </c>
      <c r="L41" s="26"/>
      <c r="M41" s="26"/>
      <c r="N41" s="26"/>
      <c r="O41" s="26"/>
      <c r="P41" s="27"/>
    </row>
    <row r="42" spans="1:19">
      <c r="A42" s="1" t="s">
        <v>27</v>
      </c>
      <c r="B42" s="3" t="s">
        <v>5</v>
      </c>
      <c r="C42" s="4" t="s">
        <v>6</v>
      </c>
      <c r="D42" s="26"/>
      <c r="E42" s="26"/>
      <c r="F42" s="26"/>
      <c r="G42" s="26"/>
      <c r="H42" s="27"/>
      <c r="I42" s="28" t="s">
        <v>27</v>
      </c>
      <c r="J42" s="1" t="s">
        <v>27</v>
      </c>
      <c r="K42" s="1" t="s">
        <v>27</v>
      </c>
      <c r="L42" s="26"/>
      <c r="M42" s="26"/>
      <c r="N42" s="26"/>
      <c r="O42" s="26"/>
      <c r="P42" s="27"/>
    </row>
    <row r="43" spans="1:19">
      <c r="A43" s="1" t="s">
        <v>27</v>
      </c>
      <c r="B43" s="3" t="s">
        <v>5</v>
      </c>
      <c r="C43" s="17" t="s">
        <v>19</v>
      </c>
      <c r="D43" s="26"/>
      <c r="E43" s="26"/>
      <c r="F43" s="26"/>
      <c r="G43" s="26"/>
      <c r="H43" s="27"/>
      <c r="I43" s="28" t="s">
        <v>27</v>
      </c>
      <c r="J43" s="1" t="s">
        <v>27</v>
      </c>
      <c r="K43" s="1" t="s">
        <v>27</v>
      </c>
      <c r="L43" s="26"/>
      <c r="M43" s="26"/>
      <c r="N43" s="26"/>
      <c r="O43" s="26"/>
      <c r="P43" s="27"/>
    </row>
    <row r="44" spans="1:19">
      <c r="A44" s="1" t="s">
        <v>27</v>
      </c>
      <c r="B44" s="3" t="s">
        <v>5</v>
      </c>
      <c r="C44" s="4" t="s">
        <v>6</v>
      </c>
      <c r="D44" s="26"/>
      <c r="E44" s="26"/>
      <c r="F44" s="26"/>
      <c r="G44" s="26"/>
      <c r="H44" s="27"/>
      <c r="I44" s="28" t="s">
        <v>27</v>
      </c>
      <c r="J44" s="1" t="s">
        <v>27</v>
      </c>
      <c r="K44" s="1" t="s">
        <v>27</v>
      </c>
      <c r="L44" s="26"/>
      <c r="M44" s="26"/>
      <c r="N44" s="26"/>
      <c r="O44" s="26"/>
      <c r="P44" s="27"/>
    </row>
    <row r="45" spans="1:19">
      <c r="A45" s="1" t="s">
        <v>27</v>
      </c>
      <c r="B45" s="3" t="s">
        <v>5</v>
      </c>
      <c r="C45" s="4" t="s">
        <v>6</v>
      </c>
      <c r="D45" s="26"/>
      <c r="E45" s="26"/>
      <c r="F45" s="26"/>
      <c r="G45" s="26"/>
      <c r="H45" s="27"/>
      <c r="I45" s="28" t="s">
        <v>27</v>
      </c>
      <c r="J45" s="1" t="s">
        <v>27</v>
      </c>
      <c r="K45" s="1" t="s">
        <v>27</v>
      </c>
      <c r="L45" s="26"/>
      <c r="M45" s="26"/>
      <c r="N45" s="26"/>
      <c r="O45" s="26"/>
      <c r="P45" s="27"/>
    </row>
    <row r="46" spans="1:19">
      <c r="A46" s="1" t="s">
        <v>27</v>
      </c>
      <c r="B46" s="4" t="s">
        <v>6</v>
      </c>
      <c r="C46" s="4" t="s">
        <v>6</v>
      </c>
      <c r="D46" s="26"/>
      <c r="E46" s="26"/>
      <c r="F46" s="26"/>
      <c r="G46" s="26"/>
      <c r="H46" s="27"/>
      <c r="I46" s="28" t="s">
        <v>27</v>
      </c>
      <c r="J46" s="1" t="s">
        <v>27</v>
      </c>
      <c r="K46" s="1" t="s">
        <v>27</v>
      </c>
      <c r="L46" s="26"/>
      <c r="M46" s="26"/>
      <c r="N46" s="26"/>
      <c r="O46" s="26"/>
      <c r="P46" s="27"/>
    </row>
    <row r="47" spans="1:19">
      <c r="A47" s="1" t="s">
        <v>27</v>
      </c>
      <c r="B47" s="4" t="s">
        <v>6</v>
      </c>
      <c r="C47" s="4" t="s">
        <v>6</v>
      </c>
      <c r="D47" s="26"/>
      <c r="E47" s="26"/>
      <c r="F47" s="26"/>
      <c r="G47" s="26"/>
      <c r="H47" s="27"/>
      <c r="I47" s="28" t="s">
        <v>27</v>
      </c>
      <c r="J47" s="1" t="s">
        <v>27</v>
      </c>
      <c r="K47" s="1" t="s">
        <v>27</v>
      </c>
      <c r="L47" s="26"/>
      <c r="M47" s="26"/>
      <c r="N47" s="26"/>
      <c r="O47" s="26"/>
      <c r="P47" s="27"/>
    </row>
    <row r="48" spans="1:19">
      <c r="A48" s="1" t="s">
        <v>27</v>
      </c>
      <c r="B48" s="4" t="s">
        <v>6</v>
      </c>
      <c r="C48" s="16" t="s">
        <v>18</v>
      </c>
      <c r="D48" s="26"/>
      <c r="E48" s="26"/>
      <c r="F48" s="26"/>
      <c r="G48" s="26"/>
      <c r="H48" s="27"/>
      <c r="I48" s="28" t="s">
        <v>27</v>
      </c>
      <c r="J48" s="1" t="s">
        <v>27</v>
      </c>
      <c r="K48" s="1" t="s">
        <v>27</v>
      </c>
      <c r="L48" s="26"/>
      <c r="M48" s="26"/>
      <c r="N48" s="26"/>
      <c r="O48" s="26"/>
      <c r="P48" s="27"/>
    </row>
    <row r="49" spans="1:16">
      <c r="A49" s="1" t="s">
        <v>27</v>
      </c>
      <c r="B49" s="17" t="s">
        <v>20</v>
      </c>
      <c r="C49" s="4" t="s">
        <v>6</v>
      </c>
      <c r="D49" s="26"/>
      <c r="E49" s="26"/>
      <c r="F49" s="26"/>
      <c r="G49" s="26"/>
      <c r="H49" s="27"/>
      <c r="I49" s="28" t="s">
        <v>27</v>
      </c>
      <c r="J49" s="1" t="s">
        <v>27</v>
      </c>
      <c r="K49" s="1" t="s">
        <v>27</v>
      </c>
      <c r="L49" s="26"/>
      <c r="M49" s="26"/>
      <c r="N49" s="26"/>
      <c r="O49" s="26"/>
      <c r="P49" s="27"/>
    </row>
    <row r="50" spans="1:16">
      <c r="A50" s="1" t="s">
        <v>27</v>
      </c>
      <c r="B50" s="1" t="s">
        <v>27</v>
      </c>
      <c r="C50" s="4" t="s">
        <v>6</v>
      </c>
      <c r="D50" s="26"/>
      <c r="E50" s="26"/>
      <c r="F50" s="26"/>
      <c r="G50" s="26"/>
      <c r="H50" s="27"/>
      <c r="I50" s="28" t="s">
        <v>27</v>
      </c>
      <c r="J50" s="1" t="s">
        <v>27</v>
      </c>
      <c r="K50" s="1" t="s">
        <v>27</v>
      </c>
      <c r="L50" s="26"/>
      <c r="M50" s="26"/>
      <c r="N50" s="26"/>
      <c r="O50" s="26"/>
      <c r="P50" s="27"/>
    </row>
    <row r="51" spans="1:16">
      <c r="A51" s="1" t="s">
        <v>27</v>
      </c>
      <c r="B51" s="1" t="s">
        <v>27</v>
      </c>
      <c r="C51" s="17" t="s">
        <v>20</v>
      </c>
      <c r="D51" s="26"/>
      <c r="E51" s="26"/>
      <c r="F51" s="26"/>
      <c r="G51" s="26"/>
      <c r="H51" s="27"/>
      <c r="I51" s="28" t="s">
        <v>27</v>
      </c>
      <c r="J51" s="1" t="s">
        <v>27</v>
      </c>
      <c r="K51" s="1" t="s">
        <v>27</v>
      </c>
      <c r="L51" s="26"/>
      <c r="M51" s="26"/>
      <c r="N51" s="26"/>
      <c r="O51" s="26"/>
      <c r="P51" s="27"/>
    </row>
    <row r="52" spans="1:16">
      <c r="A52" s="1" t="s">
        <v>27</v>
      </c>
      <c r="B52" s="1" t="s">
        <v>27</v>
      </c>
      <c r="C52" s="1" t="s">
        <v>27</v>
      </c>
      <c r="D52" s="26"/>
      <c r="E52" s="26"/>
      <c r="F52" s="26"/>
      <c r="G52" s="26"/>
      <c r="H52" s="27"/>
      <c r="I52" s="28" t="s">
        <v>27</v>
      </c>
      <c r="J52" s="1" t="s">
        <v>27</v>
      </c>
      <c r="K52" s="1" t="s">
        <v>27</v>
      </c>
      <c r="L52" s="26"/>
      <c r="M52" s="26"/>
      <c r="N52" s="26"/>
      <c r="O52" s="26"/>
      <c r="P52" s="27"/>
    </row>
    <row r="53" spans="1:16">
      <c r="A53" s="1" t="s">
        <v>27</v>
      </c>
      <c r="B53" s="1" t="s">
        <v>27</v>
      </c>
      <c r="C53" s="1" t="s">
        <v>27</v>
      </c>
      <c r="D53" s="26"/>
      <c r="E53" s="26"/>
      <c r="F53" s="26"/>
      <c r="G53" s="26"/>
      <c r="H53" s="27"/>
      <c r="I53" s="28" t="s">
        <v>27</v>
      </c>
      <c r="J53" s="1" t="s">
        <v>27</v>
      </c>
      <c r="K53" s="1" t="s">
        <v>27</v>
      </c>
      <c r="L53" s="26"/>
      <c r="M53" s="26"/>
      <c r="N53" s="26"/>
      <c r="O53" s="26"/>
      <c r="P53" s="27"/>
    </row>
    <row r="54" spans="1:16">
      <c r="A54" s="1" t="s">
        <v>27</v>
      </c>
      <c r="B54" s="1" t="s">
        <v>27</v>
      </c>
      <c r="C54" s="1" t="s">
        <v>27</v>
      </c>
      <c r="D54" s="26"/>
      <c r="E54" s="26"/>
      <c r="F54" s="26"/>
      <c r="G54" s="26"/>
      <c r="H54" s="27"/>
      <c r="I54" s="28" t="s">
        <v>27</v>
      </c>
      <c r="J54" s="1" t="s">
        <v>27</v>
      </c>
      <c r="K54" s="1" t="s">
        <v>27</v>
      </c>
      <c r="L54" s="26"/>
      <c r="M54" s="26"/>
      <c r="N54" s="26"/>
      <c r="O54" s="26"/>
      <c r="P54" s="27"/>
    </row>
    <row r="55" spans="1:16">
      <c r="A55" s="1" t="s">
        <v>27</v>
      </c>
      <c r="B55" s="1" t="s">
        <v>27</v>
      </c>
      <c r="C55" s="1" t="s">
        <v>27</v>
      </c>
      <c r="D55" s="26"/>
      <c r="E55" s="26"/>
      <c r="F55" s="26"/>
      <c r="G55" s="26"/>
      <c r="H55" s="27"/>
      <c r="I55" s="28" t="s">
        <v>27</v>
      </c>
      <c r="J55" s="1" t="s">
        <v>27</v>
      </c>
      <c r="K55" s="1" t="s">
        <v>27</v>
      </c>
      <c r="L55" s="26"/>
      <c r="M55" s="26"/>
      <c r="N55" s="26"/>
      <c r="O55" s="26"/>
      <c r="P55" s="27"/>
    </row>
    <row r="56" spans="1:16">
      <c r="A56" s="28" t="s">
        <v>27</v>
      </c>
      <c r="B56" s="1" t="s">
        <v>27</v>
      </c>
      <c r="C56" s="1" t="s">
        <v>27</v>
      </c>
      <c r="D56" s="26"/>
      <c r="E56" s="26"/>
      <c r="F56" s="26"/>
      <c r="G56" s="26"/>
      <c r="H56" s="27"/>
      <c r="I56" s="28" t="s">
        <v>27</v>
      </c>
      <c r="J56" s="1" t="s">
        <v>27</v>
      </c>
      <c r="K56" s="1" t="s">
        <v>27</v>
      </c>
      <c r="L56" s="26"/>
      <c r="M56" s="26"/>
      <c r="N56" s="26"/>
      <c r="O56" s="26"/>
      <c r="P56" s="27"/>
    </row>
    <row r="57" spans="1:16">
      <c r="A57" s="28" t="s">
        <v>27</v>
      </c>
      <c r="B57" s="1" t="s">
        <v>27</v>
      </c>
      <c r="C57" s="1" t="s">
        <v>27</v>
      </c>
      <c r="D57" s="26"/>
      <c r="E57" s="26"/>
      <c r="F57" s="26"/>
      <c r="G57" s="26"/>
      <c r="H57" s="27"/>
      <c r="I57" s="28" t="s">
        <v>27</v>
      </c>
      <c r="J57" s="1" t="s">
        <v>27</v>
      </c>
      <c r="K57" s="1" t="s">
        <v>27</v>
      </c>
      <c r="L57" s="26"/>
      <c r="M57" s="26"/>
      <c r="N57" s="26"/>
      <c r="O57" s="26"/>
      <c r="P57" s="27"/>
    </row>
    <row r="58" spans="1:16">
      <c r="A58" s="28" t="s">
        <v>27</v>
      </c>
      <c r="B58" s="1" t="s">
        <v>27</v>
      </c>
      <c r="C58" s="1" t="s">
        <v>27</v>
      </c>
      <c r="D58" s="26"/>
      <c r="E58" s="26"/>
      <c r="F58" s="26"/>
      <c r="G58" s="26"/>
      <c r="H58" s="27"/>
      <c r="I58" s="28" t="s">
        <v>27</v>
      </c>
      <c r="J58" s="1" t="s">
        <v>27</v>
      </c>
      <c r="K58" s="1" t="s">
        <v>27</v>
      </c>
      <c r="L58" s="26"/>
      <c r="M58" s="26"/>
      <c r="N58" s="26"/>
      <c r="O58" s="26"/>
      <c r="P58" s="27"/>
    </row>
    <row r="59" spans="1:16">
      <c r="A59" s="28" t="s">
        <v>27</v>
      </c>
      <c r="B59" s="1" t="s">
        <v>27</v>
      </c>
      <c r="C59" s="1" t="s">
        <v>27</v>
      </c>
      <c r="D59" s="26"/>
      <c r="E59" s="26"/>
      <c r="F59" s="26"/>
      <c r="G59" s="26"/>
      <c r="H59" s="27"/>
      <c r="I59" s="28" t="s">
        <v>27</v>
      </c>
      <c r="J59" s="1" t="s">
        <v>27</v>
      </c>
      <c r="K59" s="1" t="s">
        <v>27</v>
      </c>
      <c r="L59" s="26"/>
      <c r="M59" s="26"/>
      <c r="N59" s="26"/>
      <c r="O59" s="26"/>
      <c r="P59" s="27"/>
    </row>
    <row r="60" spans="1:16">
      <c r="A60" s="28" t="s">
        <v>27</v>
      </c>
      <c r="B60" s="1" t="s">
        <v>27</v>
      </c>
      <c r="C60" s="1" t="s">
        <v>27</v>
      </c>
      <c r="D60" s="26"/>
      <c r="E60" s="26"/>
      <c r="F60" s="26"/>
      <c r="G60" s="26"/>
      <c r="H60" s="27"/>
      <c r="I60" s="28" t="s">
        <v>27</v>
      </c>
      <c r="J60" s="1" t="s">
        <v>27</v>
      </c>
      <c r="K60" s="1" t="s">
        <v>27</v>
      </c>
      <c r="L60" s="26"/>
      <c r="M60" s="26"/>
      <c r="N60" s="26"/>
      <c r="O60" s="26"/>
      <c r="P60" s="27"/>
    </row>
    <row r="61" spans="1:16">
      <c r="A61" s="28" t="s">
        <v>27</v>
      </c>
      <c r="B61" s="1" t="s">
        <v>27</v>
      </c>
      <c r="C61" s="1" t="s">
        <v>27</v>
      </c>
      <c r="D61" s="26"/>
      <c r="E61" s="26"/>
      <c r="F61" s="26"/>
      <c r="G61" s="26"/>
      <c r="H61" s="27"/>
      <c r="I61" s="28" t="s">
        <v>27</v>
      </c>
      <c r="J61" s="1" t="s">
        <v>27</v>
      </c>
      <c r="K61" s="1" t="s">
        <v>27</v>
      </c>
      <c r="L61" s="26"/>
      <c r="M61" s="26"/>
      <c r="N61" s="26"/>
      <c r="O61" s="26"/>
      <c r="P61" s="27"/>
    </row>
    <row r="62" spans="1:16">
      <c r="A62" s="28" t="s">
        <v>27</v>
      </c>
      <c r="B62" s="1" t="s">
        <v>27</v>
      </c>
      <c r="C62" s="1" t="s">
        <v>27</v>
      </c>
      <c r="D62" s="26"/>
      <c r="E62" s="26"/>
      <c r="F62" s="26"/>
      <c r="G62" s="26"/>
      <c r="H62" s="27"/>
      <c r="I62" s="28" t="s">
        <v>27</v>
      </c>
      <c r="J62" s="1" t="s">
        <v>27</v>
      </c>
      <c r="K62" s="1" t="s">
        <v>27</v>
      </c>
      <c r="L62" s="26"/>
      <c r="M62" s="26"/>
      <c r="N62" s="26"/>
      <c r="O62" s="26"/>
      <c r="P62" s="27"/>
    </row>
    <row r="63" spans="1:16">
      <c r="A63" s="28" t="s">
        <v>27</v>
      </c>
      <c r="B63" s="1" t="s">
        <v>27</v>
      </c>
      <c r="C63" s="1" t="s">
        <v>27</v>
      </c>
      <c r="D63" s="26"/>
      <c r="E63" s="26"/>
      <c r="F63" s="26"/>
      <c r="G63" s="26"/>
      <c r="H63" s="27"/>
      <c r="I63" s="28" t="s">
        <v>27</v>
      </c>
      <c r="J63" s="1" t="s">
        <v>27</v>
      </c>
      <c r="K63" s="1" t="s">
        <v>27</v>
      </c>
      <c r="L63" s="26"/>
      <c r="M63" s="26"/>
      <c r="N63" s="26"/>
      <c r="O63" s="26"/>
      <c r="P63" s="27"/>
    </row>
    <row r="64" spans="1:16">
      <c r="A64" s="28" t="s">
        <v>27</v>
      </c>
      <c r="B64" s="1" t="s">
        <v>27</v>
      </c>
      <c r="C64" s="1" t="s">
        <v>27</v>
      </c>
      <c r="D64" s="26"/>
      <c r="E64" s="26"/>
      <c r="F64" s="26"/>
      <c r="G64" s="26"/>
      <c r="H64" s="27"/>
      <c r="I64" s="28" t="s">
        <v>27</v>
      </c>
      <c r="J64" s="1" t="s">
        <v>27</v>
      </c>
      <c r="K64" s="1" t="s">
        <v>27</v>
      </c>
      <c r="L64" s="26"/>
      <c r="M64" s="26"/>
      <c r="N64" s="26"/>
      <c r="O64" s="26"/>
      <c r="P64" s="27"/>
    </row>
    <row r="65" spans="1:16">
      <c r="A65" s="28" t="s">
        <v>27</v>
      </c>
      <c r="B65" s="1" t="s">
        <v>27</v>
      </c>
      <c r="C65" s="1" t="s">
        <v>27</v>
      </c>
      <c r="D65" s="26"/>
      <c r="E65" s="26"/>
      <c r="F65" s="26"/>
      <c r="G65" s="26"/>
      <c r="H65" s="27"/>
      <c r="I65" s="28" t="s">
        <v>27</v>
      </c>
      <c r="J65" s="1" t="s">
        <v>27</v>
      </c>
      <c r="K65" s="1" t="s">
        <v>27</v>
      </c>
      <c r="L65" s="26"/>
      <c r="M65" s="26"/>
      <c r="N65" s="26"/>
      <c r="O65" s="26"/>
      <c r="P65" s="27"/>
    </row>
    <row r="66" spans="1:16">
      <c r="A66" s="28" t="s">
        <v>27</v>
      </c>
      <c r="B66" s="1" t="s">
        <v>27</v>
      </c>
      <c r="C66" s="1" t="s">
        <v>27</v>
      </c>
      <c r="D66" s="26"/>
      <c r="E66" s="26"/>
      <c r="F66" s="26"/>
      <c r="G66" s="26"/>
      <c r="H66" s="27"/>
      <c r="I66" s="28" t="s">
        <v>27</v>
      </c>
      <c r="J66" s="1" t="s">
        <v>27</v>
      </c>
      <c r="K66" s="1" t="s">
        <v>27</v>
      </c>
      <c r="L66" s="26"/>
      <c r="M66" s="26"/>
      <c r="N66" s="26"/>
      <c r="O66" s="26"/>
      <c r="P66" s="27"/>
    </row>
    <row r="67" spans="1:16">
      <c r="A67" s="28" t="s">
        <v>27</v>
      </c>
      <c r="B67" s="1" t="s">
        <v>27</v>
      </c>
      <c r="C67" s="1" t="s">
        <v>27</v>
      </c>
      <c r="D67" s="26"/>
      <c r="E67" s="26"/>
      <c r="F67" s="26"/>
      <c r="G67" s="26"/>
      <c r="H67" s="27"/>
      <c r="I67" s="28" t="s">
        <v>27</v>
      </c>
      <c r="J67" s="1" t="s">
        <v>27</v>
      </c>
      <c r="K67" s="1" t="s">
        <v>27</v>
      </c>
      <c r="L67" s="26"/>
      <c r="M67" s="26"/>
      <c r="N67" s="26"/>
      <c r="O67" s="26"/>
      <c r="P67" s="27"/>
    </row>
    <row r="68" spans="1:16">
      <c r="A68" s="28" t="s">
        <v>27</v>
      </c>
      <c r="B68" s="1" t="s">
        <v>27</v>
      </c>
      <c r="C68" s="1" t="s">
        <v>27</v>
      </c>
      <c r="D68" s="26"/>
      <c r="E68" s="26"/>
      <c r="F68" s="26"/>
      <c r="G68" s="26"/>
      <c r="H68" s="27"/>
      <c r="I68" s="28" t="s">
        <v>27</v>
      </c>
      <c r="J68" s="1" t="s">
        <v>27</v>
      </c>
      <c r="K68" s="1" t="s">
        <v>27</v>
      </c>
      <c r="L68" s="26"/>
      <c r="M68" s="26"/>
      <c r="N68" s="26"/>
      <c r="O68" s="26"/>
      <c r="P68" s="27"/>
    </row>
    <row r="69" spans="1:16">
      <c r="A69" s="28" t="s">
        <v>27</v>
      </c>
      <c r="B69" s="1" t="s">
        <v>27</v>
      </c>
      <c r="C69" s="1" t="s">
        <v>27</v>
      </c>
      <c r="D69" s="26"/>
      <c r="E69" s="26"/>
      <c r="F69" s="26"/>
      <c r="G69" s="26"/>
      <c r="H69" s="27"/>
      <c r="I69" s="28" t="s">
        <v>27</v>
      </c>
      <c r="J69" s="1" t="s">
        <v>27</v>
      </c>
      <c r="K69" s="1" t="s">
        <v>27</v>
      </c>
      <c r="L69" s="26"/>
      <c r="M69" s="26"/>
      <c r="N69" s="26"/>
      <c r="O69" s="26"/>
      <c r="P69" s="27"/>
    </row>
    <row r="70" spans="1:16">
      <c r="A70" s="28" t="s">
        <v>27</v>
      </c>
      <c r="B70" s="1" t="s">
        <v>27</v>
      </c>
      <c r="C70" s="1" t="s">
        <v>27</v>
      </c>
      <c r="D70" s="26"/>
      <c r="E70" s="26"/>
      <c r="F70" s="26"/>
      <c r="G70" s="26"/>
      <c r="H70" s="27"/>
      <c r="I70" s="28" t="s">
        <v>27</v>
      </c>
      <c r="J70" s="1" t="s">
        <v>27</v>
      </c>
      <c r="K70" s="1" t="s">
        <v>27</v>
      </c>
      <c r="L70" s="26"/>
      <c r="M70" s="26"/>
      <c r="N70" s="26"/>
      <c r="O70" s="26"/>
      <c r="P70" s="27"/>
    </row>
    <row r="71" spans="1:16">
      <c r="A71" s="28" t="s">
        <v>27</v>
      </c>
      <c r="B71" s="1" t="s">
        <v>27</v>
      </c>
      <c r="C71" s="1" t="s">
        <v>27</v>
      </c>
      <c r="D71" s="26"/>
      <c r="E71" s="26"/>
      <c r="F71" s="26"/>
      <c r="G71" s="26"/>
      <c r="H71" s="27"/>
      <c r="I71" s="28" t="s">
        <v>27</v>
      </c>
      <c r="J71" s="1" t="s">
        <v>27</v>
      </c>
      <c r="K71" s="1" t="s">
        <v>27</v>
      </c>
      <c r="L71" s="26"/>
      <c r="M71" s="26"/>
      <c r="N71" s="26"/>
      <c r="O71" s="26"/>
      <c r="P71" s="27"/>
    </row>
    <row r="72" spans="1:16">
      <c r="A72" s="28" t="s">
        <v>27</v>
      </c>
      <c r="B72" s="1" t="s">
        <v>27</v>
      </c>
      <c r="C72" s="1" t="s">
        <v>27</v>
      </c>
      <c r="D72" s="26"/>
      <c r="E72" s="26"/>
      <c r="F72" s="26"/>
      <c r="G72" s="26"/>
      <c r="H72" s="27"/>
      <c r="I72" s="28" t="s">
        <v>27</v>
      </c>
      <c r="J72" s="1" t="s">
        <v>27</v>
      </c>
      <c r="K72" s="1" t="s">
        <v>27</v>
      </c>
      <c r="L72" s="26"/>
      <c r="M72" s="26"/>
      <c r="N72" s="26"/>
      <c r="O72" s="26"/>
      <c r="P72" s="27"/>
    </row>
    <row r="73" spans="1:16">
      <c r="A73" s="28" t="s">
        <v>27</v>
      </c>
      <c r="B73" s="1" t="s">
        <v>27</v>
      </c>
      <c r="C73" s="1" t="s">
        <v>27</v>
      </c>
      <c r="D73" s="26"/>
      <c r="E73" s="26"/>
      <c r="F73" s="26"/>
      <c r="G73" s="26"/>
      <c r="H73" s="27"/>
      <c r="I73" s="28" t="s">
        <v>27</v>
      </c>
      <c r="J73" s="1" t="s">
        <v>27</v>
      </c>
      <c r="K73" s="1" t="s">
        <v>27</v>
      </c>
      <c r="L73" s="26"/>
      <c r="M73" s="26"/>
      <c r="N73" s="26"/>
      <c r="O73" s="26"/>
      <c r="P73" s="27"/>
    </row>
    <row r="74" spans="1:16">
      <c r="A74" s="28" t="s">
        <v>27</v>
      </c>
      <c r="B74" s="1" t="s">
        <v>27</v>
      </c>
      <c r="C74" s="1" t="s">
        <v>27</v>
      </c>
      <c r="D74" s="26"/>
      <c r="E74" s="26"/>
      <c r="F74" s="26"/>
      <c r="G74" s="26"/>
      <c r="H74" s="27"/>
      <c r="I74" s="28" t="s">
        <v>27</v>
      </c>
      <c r="J74" s="1" t="s">
        <v>27</v>
      </c>
      <c r="K74" s="1" t="s">
        <v>27</v>
      </c>
      <c r="L74" s="26"/>
      <c r="M74" s="26"/>
      <c r="N74" s="26"/>
      <c r="O74" s="26"/>
      <c r="P74" s="27"/>
    </row>
    <row r="75" spans="1:16">
      <c r="A75" s="28" t="s">
        <v>27</v>
      </c>
      <c r="B75" s="1" t="s">
        <v>27</v>
      </c>
      <c r="C75" s="1" t="s">
        <v>27</v>
      </c>
      <c r="D75" s="26"/>
      <c r="E75" s="26"/>
      <c r="F75" s="26"/>
      <c r="G75" s="26"/>
      <c r="H75" s="27"/>
      <c r="I75" s="28" t="s">
        <v>27</v>
      </c>
      <c r="J75" s="1" t="s">
        <v>27</v>
      </c>
      <c r="K75" s="1" t="s">
        <v>27</v>
      </c>
      <c r="L75" s="26"/>
      <c r="M75" s="26"/>
      <c r="N75" s="26"/>
      <c r="O75" s="26"/>
      <c r="P75" s="27"/>
    </row>
    <row r="76" spans="1:16">
      <c r="A76" s="28" t="s">
        <v>27</v>
      </c>
      <c r="B76" s="1" t="s">
        <v>27</v>
      </c>
      <c r="C76" s="1" t="s">
        <v>27</v>
      </c>
      <c r="D76" s="26"/>
      <c r="E76" s="26"/>
      <c r="F76" s="26"/>
      <c r="G76" s="26"/>
      <c r="H76" s="27"/>
      <c r="I76" s="28" t="s">
        <v>27</v>
      </c>
      <c r="J76" s="1" t="s">
        <v>27</v>
      </c>
      <c r="K76" s="1" t="s">
        <v>27</v>
      </c>
      <c r="L76" s="26"/>
      <c r="M76" s="26"/>
      <c r="N76" s="26"/>
      <c r="O76" s="26"/>
      <c r="P76" s="27"/>
    </row>
    <row r="77" spans="1:16">
      <c r="A77" s="28" t="s">
        <v>27</v>
      </c>
      <c r="B77" s="1" t="s">
        <v>27</v>
      </c>
      <c r="C77" s="1" t="s">
        <v>27</v>
      </c>
      <c r="D77" s="26"/>
      <c r="E77" s="26"/>
      <c r="F77" s="26"/>
      <c r="G77" s="26"/>
      <c r="H77" s="27"/>
      <c r="I77" s="28" t="s">
        <v>27</v>
      </c>
      <c r="J77" s="1" t="s">
        <v>27</v>
      </c>
      <c r="K77" s="1" t="s">
        <v>27</v>
      </c>
      <c r="L77" s="26"/>
      <c r="M77" s="26"/>
      <c r="N77" s="26"/>
      <c r="O77" s="26"/>
      <c r="P77" s="27"/>
    </row>
    <row r="78" spans="1:16">
      <c r="A78" s="28" t="s">
        <v>27</v>
      </c>
      <c r="B78" s="1" t="s">
        <v>27</v>
      </c>
      <c r="C78" s="1" t="s">
        <v>27</v>
      </c>
      <c r="D78" s="26"/>
      <c r="E78" s="26"/>
      <c r="F78" s="26"/>
      <c r="G78" s="26"/>
      <c r="H78" s="27"/>
      <c r="I78" s="28" t="s">
        <v>27</v>
      </c>
      <c r="J78" s="1" t="s">
        <v>27</v>
      </c>
      <c r="K78" s="1" t="s">
        <v>27</v>
      </c>
      <c r="L78" s="26"/>
      <c r="M78" s="26"/>
      <c r="N78" s="26"/>
      <c r="O78" s="26"/>
      <c r="P78" s="27"/>
    </row>
    <row r="79" spans="1:16">
      <c r="A79" s="28" t="s">
        <v>27</v>
      </c>
      <c r="B79" s="1" t="s">
        <v>27</v>
      </c>
      <c r="C79" s="1" t="s">
        <v>27</v>
      </c>
      <c r="D79" s="26"/>
      <c r="E79" s="26"/>
      <c r="F79" s="26"/>
      <c r="G79" s="26"/>
      <c r="H79" s="27"/>
      <c r="I79" s="28" t="s">
        <v>27</v>
      </c>
      <c r="J79" s="1" t="s">
        <v>27</v>
      </c>
      <c r="K79" s="1" t="s">
        <v>27</v>
      </c>
      <c r="L79" s="26"/>
      <c r="M79" s="26"/>
      <c r="N79" s="26"/>
      <c r="O79" s="26"/>
      <c r="P79" s="27"/>
    </row>
    <row r="80" spans="1:16">
      <c r="A80" s="28" t="s">
        <v>27</v>
      </c>
      <c r="B80" s="1" t="s">
        <v>27</v>
      </c>
      <c r="C80" s="1" t="s">
        <v>27</v>
      </c>
      <c r="D80" s="26"/>
      <c r="E80" s="26"/>
      <c r="F80" s="26"/>
      <c r="G80" s="26"/>
      <c r="H80" s="27"/>
      <c r="I80" s="28" t="s">
        <v>27</v>
      </c>
      <c r="J80" s="1" t="s">
        <v>27</v>
      </c>
      <c r="K80" s="1" t="s">
        <v>27</v>
      </c>
      <c r="L80" s="26"/>
      <c r="M80" s="26"/>
      <c r="N80" s="26"/>
      <c r="O80" s="26"/>
      <c r="P80" s="27"/>
    </row>
    <row r="81" spans="1:16">
      <c r="A81" s="28" t="s">
        <v>27</v>
      </c>
      <c r="B81" s="1" t="s">
        <v>27</v>
      </c>
      <c r="C81" s="1" t="s">
        <v>27</v>
      </c>
      <c r="D81" s="26"/>
      <c r="E81" s="26"/>
      <c r="F81" s="26"/>
      <c r="G81" s="26"/>
      <c r="H81" s="27"/>
      <c r="I81" s="28" t="s">
        <v>27</v>
      </c>
      <c r="J81" s="1" t="s">
        <v>27</v>
      </c>
      <c r="K81" s="1" t="s">
        <v>27</v>
      </c>
      <c r="L81" s="26"/>
      <c r="M81" s="26"/>
      <c r="N81" s="26"/>
      <c r="O81" s="26"/>
      <c r="P81" s="27"/>
    </row>
    <row r="82" spans="1:16">
      <c r="A82" s="28" t="s">
        <v>27</v>
      </c>
      <c r="B82" s="1" t="s">
        <v>27</v>
      </c>
      <c r="C82" s="1" t="s">
        <v>27</v>
      </c>
      <c r="D82" s="26"/>
      <c r="E82" s="26"/>
      <c r="F82" s="26"/>
      <c r="G82" s="26"/>
      <c r="H82" s="27"/>
      <c r="I82" s="28" t="s">
        <v>27</v>
      </c>
      <c r="J82" s="1" t="s">
        <v>27</v>
      </c>
      <c r="K82" s="1" t="s">
        <v>27</v>
      </c>
      <c r="L82" s="26"/>
      <c r="M82" s="26"/>
      <c r="N82" s="26"/>
      <c r="O82" s="26"/>
      <c r="P82" s="27"/>
    </row>
    <row r="83" spans="1:16">
      <c r="A83" s="28" t="s">
        <v>27</v>
      </c>
      <c r="B83" s="1" t="s">
        <v>27</v>
      </c>
      <c r="C83" s="1" t="s">
        <v>27</v>
      </c>
      <c r="D83" s="26"/>
      <c r="E83" s="26"/>
      <c r="F83" s="26"/>
      <c r="G83" s="26"/>
      <c r="H83" s="27"/>
      <c r="I83" s="28" t="s">
        <v>27</v>
      </c>
      <c r="J83" s="1" t="s">
        <v>27</v>
      </c>
      <c r="K83" s="1" t="s">
        <v>27</v>
      </c>
      <c r="L83" s="26"/>
      <c r="M83" s="26"/>
      <c r="N83" s="26"/>
      <c r="O83" s="26"/>
      <c r="P83" s="27"/>
    </row>
    <row r="84" spans="1:16">
      <c r="A84" s="28" t="s">
        <v>27</v>
      </c>
      <c r="B84" s="1" t="s">
        <v>27</v>
      </c>
      <c r="C84" s="1" t="s">
        <v>27</v>
      </c>
      <c r="D84" s="26"/>
      <c r="E84" s="26"/>
      <c r="F84" s="26"/>
      <c r="G84" s="26"/>
      <c r="H84" s="27"/>
      <c r="I84" s="28" t="s">
        <v>27</v>
      </c>
      <c r="J84" s="1" t="s">
        <v>27</v>
      </c>
      <c r="K84" s="1" t="s">
        <v>27</v>
      </c>
      <c r="L84" s="26"/>
      <c r="M84" s="26"/>
      <c r="N84" s="26"/>
      <c r="O84" s="26"/>
      <c r="P84" s="27"/>
    </row>
    <row r="85" spans="1:16">
      <c r="A85" s="28" t="s">
        <v>27</v>
      </c>
      <c r="B85" s="1" t="s">
        <v>27</v>
      </c>
      <c r="C85" s="1" t="s">
        <v>27</v>
      </c>
      <c r="D85" s="26"/>
      <c r="E85" s="26"/>
      <c r="F85" s="26"/>
      <c r="G85" s="26"/>
      <c r="H85" s="27"/>
      <c r="I85" s="28" t="s">
        <v>27</v>
      </c>
      <c r="J85" s="1" t="s">
        <v>27</v>
      </c>
      <c r="K85" s="1" t="s">
        <v>27</v>
      </c>
      <c r="L85" s="26"/>
      <c r="M85" s="26"/>
      <c r="N85" s="26"/>
      <c r="O85" s="26"/>
      <c r="P85" s="27"/>
    </row>
    <row r="86" spans="1:16">
      <c r="A86" s="28" t="s">
        <v>27</v>
      </c>
      <c r="B86" s="1" t="s">
        <v>27</v>
      </c>
      <c r="C86" s="1" t="s">
        <v>27</v>
      </c>
      <c r="D86" s="26"/>
      <c r="E86" s="26"/>
      <c r="F86" s="26"/>
      <c r="G86" s="26"/>
      <c r="H86" s="27"/>
      <c r="I86" s="28" t="s">
        <v>27</v>
      </c>
      <c r="J86" s="1" t="s">
        <v>27</v>
      </c>
      <c r="K86" s="1" t="s">
        <v>27</v>
      </c>
      <c r="L86" s="26"/>
      <c r="M86" s="26"/>
      <c r="N86" s="26"/>
      <c r="O86" s="26"/>
      <c r="P86" s="27"/>
    </row>
    <row r="87" spans="1:16">
      <c r="A87" s="28" t="s">
        <v>27</v>
      </c>
      <c r="B87" s="1" t="s">
        <v>27</v>
      </c>
      <c r="C87" s="1" t="s">
        <v>27</v>
      </c>
      <c r="D87" s="26"/>
      <c r="E87" s="26"/>
      <c r="F87" s="26"/>
      <c r="G87" s="26"/>
      <c r="H87" s="27"/>
      <c r="I87" s="28" t="s">
        <v>27</v>
      </c>
      <c r="J87" s="1" t="s">
        <v>27</v>
      </c>
      <c r="K87" s="1" t="s">
        <v>27</v>
      </c>
      <c r="L87" s="26"/>
      <c r="M87" s="26"/>
      <c r="N87" s="26"/>
      <c r="O87" s="26"/>
      <c r="P87" s="27"/>
    </row>
    <row r="88" spans="1:16">
      <c r="A88" s="28" t="s">
        <v>27</v>
      </c>
      <c r="B88" s="1" t="s">
        <v>27</v>
      </c>
      <c r="C88" s="1" t="s">
        <v>27</v>
      </c>
      <c r="D88" s="26"/>
      <c r="E88" s="26"/>
      <c r="F88" s="26"/>
      <c r="G88" s="26"/>
      <c r="H88" s="27"/>
      <c r="I88" s="28" t="s">
        <v>27</v>
      </c>
      <c r="J88" s="1" t="s">
        <v>27</v>
      </c>
      <c r="K88" s="1" t="s">
        <v>27</v>
      </c>
      <c r="L88" s="26"/>
      <c r="M88" s="26"/>
      <c r="N88" s="26"/>
      <c r="O88" s="26"/>
      <c r="P88" s="27"/>
    </row>
    <row r="89" spans="1:16">
      <c r="A89" s="28" t="s">
        <v>27</v>
      </c>
      <c r="B89" s="1" t="s">
        <v>27</v>
      </c>
      <c r="C89" s="1" t="s">
        <v>27</v>
      </c>
      <c r="D89" s="26"/>
      <c r="E89" s="26"/>
      <c r="F89" s="26"/>
      <c r="G89" s="26"/>
      <c r="H89" s="27"/>
      <c r="I89" s="28" t="s">
        <v>27</v>
      </c>
      <c r="J89" s="1" t="s">
        <v>27</v>
      </c>
      <c r="K89" s="1" t="s">
        <v>27</v>
      </c>
      <c r="L89" s="26"/>
      <c r="M89" s="26"/>
      <c r="N89" s="26"/>
      <c r="O89" s="26"/>
      <c r="P89" s="27"/>
    </row>
    <row r="90" spans="1:16">
      <c r="A90" s="28" t="s">
        <v>27</v>
      </c>
      <c r="B90" s="1" t="s">
        <v>27</v>
      </c>
      <c r="C90" s="1" t="s">
        <v>27</v>
      </c>
      <c r="D90" s="26"/>
      <c r="E90" s="26"/>
      <c r="F90" s="26"/>
      <c r="G90" s="26"/>
      <c r="H90" s="27"/>
      <c r="I90" s="28" t="s">
        <v>27</v>
      </c>
      <c r="J90" s="1" t="s">
        <v>27</v>
      </c>
      <c r="K90" s="1" t="s">
        <v>27</v>
      </c>
      <c r="L90" s="26"/>
      <c r="M90" s="26"/>
      <c r="N90" s="26"/>
      <c r="O90" s="26"/>
      <c r="P90" s="27"/>
    </row>
    <row r="91" spans="1:16">
      <c r="A91" s="28" t="s">
        <v>27</v>
      </c>
      <c r="B91" s="1" t="s">
        <v>27</v>
      </c>
      <c r="C91" s="1" t="s">
        <v>27</v>
      </c>
      <c r="D91" s="26"/>
      <c r="E91" s="26"/>
      <c r="F91" s="26"/>
      <c r="G91" s="26"/>
      <c r="H91" s="27"/>
      <c r="I91" s="28" t="s">
        <v>27</v>
      </c>
      <c r="J91" s="1" t="s">
        <v>27</v>
      </c>
      <c r="K91" s="1" t="s">
        <v>27</v>
      </c>
      <c r="L91" s="26"/>
      <c r="M91" s="26"/>
      <c r="N91" s="26"/>
      <c r="O91" s="26"/>
      <c r="P91" s="27"/>
    </row>
    <row r="92" spans="1:16">
      <c r="A92" s="28" t="s">
        <v>27</v>
      </c>
      <c r="B92" s="1" t="s">
        <v>27</v>
      </c>
      <c r="C92" s="1" t="s">
        <v>27</v>
      </c>
      <c r="D92" s="26"/>
      <c r="E92" s="26"/>
      <c r="F92" s="26"/>
      <c r="G92" s="26"/>
      <c r="H92" s="27"/>
      <c r="I92" s="28" t="s">
        <v>27</v>
      </c>
      <c r="J92" s="1" t="s">
        <v>27</v>
      </c>
      <c r="K92" s="1" t="s">
        <v>27</v>
      </c>
      <c r="L92" s="26"/>
      <c r="M92" s="26"/>
      <c r="N92" s="26"/>
      <c r="O92" s="26"/>
      <c r="P92" s="27"/>
    </row>
    <row r="93" spans="1:16">
      <c r="A93" s="28" t="s">
        <v>27</v>
      </c>
      <c r="B93" s="1" t="s">
        <v>27</v>
      </c>
      <c r="C93" s="1" t="s">
        <v>27</v>
      </c>
      <c r="D93" s="26"/>
      <c r="E93" s="26"/>
      <c r="F93" s="26"/>
      <c r="G93" s="26"/>
      <c r="H93" s="27"/>
      <c r="I93" s="28" t="s">
        <v>27</v>
      </c>
      <c r="J93" s="1" t="s">
        <v>27</v>
      </c>
      <c r="K93" s="1" t="s">
        <v>27</v>
      </c>
      <c r="L93" s="26"/>
      <c r="M93" s="26"/>
      <c r="N93" s="26"/>
      <c r="O93" s="26"/>
      <c r="P93" s="27"/>
    </row>
    <row r="94" spans="1:16">
      <c r="A94" s="28" t="s">
        <v>27</v>
      </c>
      <c r="B94" s="1" t="s">
        <v>27</v>
      </c>
      <c r="C94" s="1" t="s">
        <v>27</v>
      </c>
      <c r="D94" s="26"/>
      <c r="E94" s="26"/>
      <c r="F94" s="26"/>
      <c r="G94" s="26"/>
      <c r="H94" s="27"/>
      <c r="I94" s="28" t="s">
        <v>27</v>
      </c>
      <c r="J94" s="1" t="s">
        <v>27</v>
      </c>
      <c r="K94" s="1" t="s">
        <v>27</v>
      </c>
      <c r="L94" s="26"/>
      <c r="M94" s="26"/>
      <c r="N94" s="26"/>
      <c r="O94" s="26"/>
      <c r="P94" s="27"/>
    </row>
    <row r="95" spans="1:16">
      <c r="A95" s="28" t="s">
        <v>27</v>
      </c>
      <c r="B95" s="1" t="s">
        <v>27</v>
      </c>
      <c r="C95" s="1" t="s">
        <v>27</v>
      </c>
      <c r="D95" s="26"/>
      <c r="E95" s="26"/>
      <c r="F95" s="26"/>
      <c r="G95" s="26"/>
      <c r="H95" s="27"/>
      <c r="I95" s="28" t="s">
        <v>27</v>
      </c>
      <c r="J95" s="1" t="s">
        <v>27</v>
      </c>
      <c r="K95" s="1" t="s">
        <v>27</v>
      </c>
      <c r="L95" s="26"/>
      <c r="M95" s="26"/>
      <c r="N95" s="26"/>
      <c r="O95" s="26"/>
      <c r="P95" s="27"/>
    </row>
    <row r="96" spans="1:16">
      <c r="A96" s="28" t="s">
        <v>27</v>
      </c>
      <c r="B96" s="1" t="s">
        <v>27</v>
      </c>
      <c r="C96" s="1" t="s">
        <v>27</v>
      </c>
      <c r="D96" s="26"/>
      <c r="E96" s="26"/>
      <c r="F96" s="26"/>
      <c r="G96" s="26"/>
      <c r="H96" s="27"/>
      <c r="I96" s="28" t="s">
        <v>27</v>
      </c>
      <c r="J96" s="1" t="s">
        <v>27</v>
      </c>
      <c r="K96" s="1" t="s">
        <v>27</v>
      </c>
      <c r="L96" s="26"/>
      <c r="M96" s="26"/>
      <c r="N96" s="26"/>
      <c r="O96" s="26"/>
      <c r="P96" s="27"/>
    </row>
    <row r="97" spans="1:16">
      <c r="A97" s="28" t="s">
        <v>27</v>
      </c>
      <c r="B97" s="1" t="s">
        <v>27</v>
      </c>
      <c r="C97" s="1" t="s">
        <v>27</v>
      </c>
      <c r="D97" s="26"/>
      <c r="E97" s="26"/>
      <c r="F97" s="26"/>
      <c r="G97" s="26"/>
      <c r="H97" s="27"/>
      <c r="I97" s="28" t="s">
        <v>27</v>
      </c>
      <c r="J97" s="1" t="s">
        <v>27</v>
      </c>
      <c r="K97" s="1" t="s">
        <v>27</v>
      </c>
      <c r="L97" s="26"/>
      <c r="M97" s="26"/>
      <c r="N97" s="26"/>
      <c r="O97" s="26"/>
      <c r="P97" s="27"/>
    </row>
    <row r="98" spans="1:16">
      <c r="A98" s="28" t="s">
        <v>27</v>
      </c>
      <c r="B98" s="1" t="s">
        <v>27</v>
      </c>
      <c r="C98" s="1" t="s">
        <v>27</v>
      </c>
      <c r="D98" s="26"/>
      <c r="E98" s="26"/>
      <c r="F98" s="26"/>
      <c r="G98" s="26"/>
      <c r="H98" s="27"/>
      <c r="I98" s="28" t="s">
        <v>27</v>
      </c>
      <c r="J98" s="1" t="s">
        <v>27</v>
      </c>
      <c r="K98" s="1" t="s">
        <v>27</v>
      </c>
      <c r="L98" s="26"/>
      <c r="M98" s="26"/>
      <c r="N98" s="26"/>
      <c r="O98" s="26"/>
      <c r="P98" s="27"/>
    </row>
    <row r="99" spans="1:16">
      <c r="A99" s="28" t="s">
        <v>27</v>
      </c>
      <c r="B99" s="1" t="s">
        <v>27</v>
      </c>
      <c r="C99" s="1" t="s">
        <v>27</v>
      </c>
      <c r="D99" s="26"/>
      <c r="E99" s="26"/>
      <c r="F99" s="26"/>
      <c r="G99" s="26"/>
      <c r="H99" s="27"/>
      <c r="I99" s="28" t="s">
        <v>27</v>
      </c>
      <c r="J99" s="1" t="s">
        <v>27</v>
      </c>
      <c r="K99" s="1" t="s">
        <v>27</v>
      </c>
      <c r="L99" s="26"/>
      <c r="M99" s="26"/>
      <c r="N99" s="26"/>
      <c r="O99" s="26"/>
      <c r="P99" s="27"/>
    </row>
    <row r="100" spans="1:16" ht="15.75" thickBot="1">
      <c r="A100" s="29" t="s">
        <v>27</v>
      </c>
      <c r="B100" s="30" t="s">
        <v>27</v>
      </c>
      <c r="C100" s="30" t="s">
        <v>27</v>
      </c>
      <c r="D100" s="31"/>
      <c r="E100" s="31"/>
      <c r="F100" s="31"/>
      <c r="G100" s="31"/>
      <c r="H100" s="32"/>
      <c r="I100" s="29" t="s">
        <v>27</v>
      </c>
      <c r="J100" s="30" t="s">
        <v>27</v>
      </c>
      <c r="K100" s="30" t="s">
        <v>27</v>
      </c>
      <c r="L100" s="31"/>
      <c r="M100" s="31"/>
      <c r="N100" s="31"/>
      <c r="O100" s="31"/>
      <c r="P100" s="32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67D44-EC81-4030-AC07-A66036EDD8E1}">
  <dimension ref="A1:AB100"/>
  <sheetViews>
    <sheetView workbookViewId="0">
      <selection activeCell="W5" sqref="W5"/>
    </sheetView>
  </sheetViews>
  <sheetFormatPr defaultRowHeight="15"/>
  <sheetData>
    <row r="1" spans="1:28" ht="15.75">
      <c r="A1" s="62" t="s">
        <v>30</v>
      </c>
      <c r="B1" s="63"/>
      <c r="C1" s="63"/>
      <c r="D1" s="63"/>
      <c r="E1" s="63"/>
      <c r="F1" s="64" t="s">
        <v>3</v>
      </c>
      <c r="G1" s="64"/>
      <c r="H1" s="24" cm="1">
        <f t="array" ref="H1">SUM(VLOOKUP(A4:C100,$T$3:$W$36,4,FALSE))+H4*10-H8*50</f>
        <v>3277.9943423939671</v>
      </c>
      <c r="I1" s="65" t="s">
        <v>41</v>
      </c>
      <c r="J1" s="66"/>
      <c r="K1" s="66"/>
      <c r="L1" s="66"/>
      <c r="M1" s="66"/>
      <c r="N1" s="66"/>
      <c r="O1" s="66"/>
      <c r="P1" s="67"/>
      <c r="Q1" s="65" t="s">
        <v>48</v>
      </c>
      <c r="R1" s="66"/>
      <c r="S1" s="66"/>
      <c r="T1" s="66"/>
      <c r="U1" s="66"/>
      <c r="V1" s="66"/>
      <c r="W1" s="66"/>
      <c r="X1" s="66"/>
      <c r="Y1" s="66"/>
      <c r="Z1" s="66"/>
      <c r="AA1" s="66"/>
      <c r="AB1" s="67"/>
    </row>
    <row r="2" spans="1:28" ht="30">
      <c r="A2" s="68" t="s">
        <v>35</v>
      </c>
      <c r="B2" s="69"/>
      <c r="C2" s="69"/>
      <c r="D2" s="70" t="s">
        <v>37</v>
      </c>
      <c r="E2" s="71"/>
      <c r="F2" s="71"/>
      <c r="G2" s="71"/>
      <c r="H2" s="72"/>
      <c r="I2" s="73" t="s">
        <v>35</v>
      </c>
      <c r="J2" s="74"/>
      <c r="K2" s="74"/>
      <c r="L2" s="75" t="s">
        <v>37</v>
      </c>
      <c r="M2" s="75"/>
      <c r="N2" s="75"/>
      <c r="O2" s="75"/>
      <c r="P2" s="76"/>
      <c r="Q2" s="50" t="s">
        <v>43</v>
      </c>
      <c r="R2" s="51" cm="1">
        <f t="array" ref="R2">SUM(V3:V28*AB3:AB28)+H6+P6+R4*500</f>
        <v>65005</v>
      </c>
      <c r="S2" s="26"/>
      <c r="T2" s="1" t="s">
        <v>0</v>
      </c>
      <c r="U2" s="1" t="s">
        <v>1</v>
      </c>
      <c r="V2" s="1" t="s">
        <v>2</v>
      </c>
      <c r="W2" s="44" t="s">
        <v>3</v>
      </c>
      <c r="X2" s="46" t="s">
        <v>44</v>
      </c>
      <c r="Y2" s="46" t="s">
        <v>56</v>
      </c>
      <c r="Z2" s="47" t="s">
        <v>45</v>
      </c>
      <c r="AA2" s="47" t="s">
        <v>46</v>
      </c>
      <c r="AB2" s="52" t="s">
        <v>47</v>
      </c>
    </row>
    <row r="3" spans="1:28">
      <c r="A3" s="60" t="s">
        <v>31</v>
      </c>
      <c r="B3" s="61" t="s">
        <v>32</v>
      </c>
      <c r="C3" s="20" t="s">
        <v>33</v>
      </c>
      <c r="D3" s="33"/>
      <c r="E3" s="60" t="s">
        <v>31</v>
      </c>
      <c r="F3" s="61" t="s">
        <v>32</v>
      </c>
      <c r="G3" s="20" t="s">
        <v>33</v>
      </c>
      <c r="H3" s="34" t="s">
        <v>36</v>
      </c>
      <c r="I3" s="60" t="s">
        <v>31</v>
      </c>
      <c r="J3" s="61" t="s">
        <v>32</v>
      </c>
      <c r="K3" s="20" t="s">
        <v>33</v>
      </c>
      <c r="L3" s="33"/>
      <c r="M3" s="60" t="s">
        <v>31</v>
      </c>
      <c r="N3" s="61" t="s">
        <v>32</v>
      </c>
      <c r="O3" s="20" t="s">
        <v>33</v>
      </c>
      <c r="P3" s="34" t="s">
        <v>36</v>
      </c>
      <c r="Q3" s="53" t="s">
        <v>49</v>
      </c>
      <c r="R3" s="26">
        <v>91</v>
      </c>
      <c r="S3" s="26"/>
      <c r="T3" s="2" t="s">
        <v>4</v>
      </c>
      <c r="U3" s="1">
        <v>150</v>
      </c>
      <c r="V3" s="1">
        <v>35</v>
      </c>
      <c r="W3" s="45">
        <f>U3-V3/0.330882</f>
        <v>44.222109392472248</v>
      </c>
      <c r="X3" s="46"/>
      <c r="Y3" s="46">
        <v>25</v>
      </c>
      <c r="Z3" s="1">
        <f>COUNTIF($A$4:$C$100,T3)</f>
        <v>17</v>
      </c>
      <c r="AA3" s="1">
        <f>COUNTIF($I$4:$K$100,T3)</f>
        <v>8</v>
      </c>
      <c r="AB3" s="54">
        <f>Y3-Z3-AA3</f>
        <v>0</v>
      </c>
    </row>
    <row r="4" spans="1:28">
      <c r="A4" s="2" t="s">
        <v>4</v>
      </c>
      <c r="B4" s="2" t="s">
        <v>4</v>
      </c>
      <c r="C4" s="3" t="s">
        <v>5</v>
      </c>
      <c r="D4" s="43" t="s">
        <v>34</v>
      </c>
      <c r="E4" s="39">
        <v>0</v>
      </c>
      <c r="F4" s="39">
        <v>11</v>
      </c>
      <c r="G4" s="39">
        <v>13</v>
      </c>
      <c r="H4" s="36">
        <f>SUM(E4:G4)</f>
        <v>24</v>
      </c>
      <c r="I4" s="2" t="s">
        <v>4</v>
      </c>
      <c r="J4" s="9" t="s">
        <v>11</v>
      </c>
      <c r="K4" s="3" t="s">
        <v>5</v>
      </c>
      <c r="L4" s="43" t="s">
        <v>34</v>
      </c>
      <c r="M4" s="39">
        <v>0</v>
      </c>
      <c r="N4" s="39">
        <v>1</v>
      </c>
      <c r="O4" s="39">
        <v>1</v>
      </c>
      <c r="P4" s="36">
        <f>SUM(M4:O4)</f>
        <v>2</v>
      </c>
      <c r="Q4" s="53" t="s">
        <v>50</v>
      </c>
      <c r="R4" s="40">
        <v>14</v>
      </c>
      <c r="S4" s="26"/>
      <c r="T4" s="3" t="s">
        <v>5</v>
      </c>
      <c r="U4" s="1">
        <v>160</v>
      </c>
      <c r="V4" s="1">
        <v>40</v>
      </c>
      <c r="W4" s="45">
        <f t="shared" ref="W4" si="0">U4-V4/0.330882</f>
        <v>39.110982162825422</v>
      </c>
      <c r="X4" s="46"/>
      <c r="Y4" s="46">
        <v>49</v>
      </c>
      <c r="Z4" s="1">
        <f t="shared" ref="Z4:Z28" si="1">COUNTIF($A$4:$C$100,T4)</f>
        <v>28</v>
      </c>
      <c r="AA4" s="1">
        <f t="shared" ref="AA4:AA28" si="2">COUNTIF($I$4:$K$100,T4)</f>
        <v>21</v>
      </c>
      <c r="AB4" s="54">
        <f t="shared" ref="AB4:AB28" si="3">Y4-Z4-AA4</f>
        <v>0</v>
      </c>
    </row>
    <row r="5" spans="1:28">
      <c r="A5" s="2" t="s">
        <v>4</v>
      </c>
      <c r="B5" s="2" t="s">
        <v>4</v>
      </c>
      <c r="C5" s="23" t="s">
        <v>29</v>
      </c>
      <c r="D5" s="33" t="s">
        <v>38</v>
      </c>
      <c r="E5" s="35" cm="1">
        <f t="array" ref="E5">(SUM(VLOOKUP(A4:A100,$T$3:$W$41,2,FALSE))+E4*10)-E8*50</f>
        <v>900</v>
      </c>
      <c r="F5" s="35" cm="1">
        <f t="array" ref="F5">(SUM(VLOOKUP(B4:B100,$T$3:$W$41,2,FALSE))+F4*10)-F8*50</f>
        <v>6970</v>
      </c>
      <c r="G5" s="35" cm="1">
        <f t="array" ref="G5">(SUM(VLOOKUP(C4:C100,$T$3:$W$41,2,FALSE))+G4*10)-G8*50</f>
        <v>6610</v>
      </c>
      <c r="H5" s="59">
        <f t="shared" ref="H5:H8" si="4">SUM(E5:G5)</f>
        <v>14480</v>
      </c>
      <c r="I5" s="15" t="s">
        <v>17</v>
      </c>
      <c r="J5" s="1" t="s">
        <v>27</v>
      </c>
      <c r="K5" s="3" t="s">
        <v>5</v>
      </c>
      <c r="L5" s="33" t="s">
        <v>38</v>
      </c>
      <c r="M5" s="35" cm="1">
        <f t="array" ref="M5">(SUM(VLOOKUP(I4:I100,$T$3:$W$41,2,FALSE))+M4*10)*0.8-M8*40</f>
        <v>1848</v>
      </c>
      <c r="N5" s="35" cm="1">
        <f t="array" ref="N5">(SUM(VLOOKUP(J4:J100,$T$3:$W$41,2,FALSE))+N4*10)*0.8-N8*40</f>
        <v>504</v>
      </c>
      <c r="O5" s="35" cm="1">
        <f t="array" ref="O5">(SUM(VLOOKUP(K4:K100,$T$3:$W$41,2,FALSE))+O4*10)*0.8-O8*40</f>
        <v>1872</v>
      </c>
      <c r="P5" s="59">
        <f t="shared" ref="P5:P8" si="5">SUM(M5:O5)</f>
        <v>4224</v>
      </c>
      <c r="Q5" s="53" t="s">
        <v>51</v>
      </c>
      <c r="R5" s="26">
        <v>6000</v>
      </c>
      <c r="S5" s="26"/>
      <c r="T5" s="4" t="s">
        <v>6</v>
      </c>
      <c r="U5" s="1">
        <v>170</v>
      </c>
      <c r="V5" s="1">
        <v>45</v>
      </c>
      <c r="W5" s="45">
        <v>34</v>
      </c>
      <c r="X5" s="48"/>
      <c r="Y5" s="46">
        <v>216</v>
      </c>
      <c r="Z5" s="1">
        <f t="shared" si="1"/>
        <v>33</v>
      </c>
      <c r="AA5" s="1">
        <f t="shared" si="2"/>
        <v>0</v>
      </c>
      <c r="AB5" s="54">
        <f t="shared" si="3"/>
        <v>183</v>
      </c>
    </row>
    <row r="6" spans="1:28">
      <c r="A6" s="2" t="s">
        <v>4</v>
      </c>
      <c r="B6" s="2" t="s">
        <v>4</v>
      </c>
      <c r="C6" s="3" t="s">
        <v>5</v>
      </c>
      <c r="D6" s="33" t="s">
        <v>39</v>
      </c>
      <c r="E6" s="35" cm="1">
        <f t="array" ref="E6">(SUM(VLOOKUP(A4:A100,$T$3:$W$41,3,FALSE)))</f>
        <v>210</v>
      </c>
      <c r="F6" s="35" cm="1">
        <f t="array" ref="F6">(SUM(VLOOKUP(B4:B100,$T$3:$W$41,3,FALSE)))</f>
        <v>1945</v>
      </c>
      <c r="G6" s="35" cm="1">
        <f t="array" ref="G6">(SUM(VLOOKUP(C4:C100,$T$3:$W$41,3,FALSE)))</f>
        <v>2610</v>
      </c>
      <c r="H6" s="49">
        <f t="shared" si="4"/>
        <v>4765</v>
      </c>
      <c r="I6" s="2" t="s">
        <v>4</v>
      </c>
      <c r="J6" s="3" t="s">
        <v>5</v>
      </c>
      <c r="K6" s="3" t="s">
        <v>5</v>
      </c>
      <c r="L6" s="33" t="s">
        <v>39</v>
      </c>
      <c r="M6" s="35" cm="1">
        <f t="array" ref="M6">(SUM(VLOOKUP(I4:I100,$T$3:$W$41,3,FALSE)))</f>
        <v>740</v>
      </c>
      <c r="N6" s="35" cm="1">
        <f t="array" ref="N6">(SUM(VLOOKUP(J4:J100,$T$3:$W$41,3,FALSE)))</f>
        <v>160</v>
      </c>
      <c r="O6" s="35" cm="1">
        <f t="array" ref="O6">(SUM(VLOOKUP(K4:K100,$T$3:$W$41,3,FALSE)))</f>
        <v>620</v>
      </c>
      <c r="P6" s="49">
        <f t="shared" si="5"/>
        <v>1520</v>
      </c>
      <c r="Q6" s="50" t="s">
        <v>52</v>
      </c>
      <c r="R6" s="26">
        <f>R3*1600-800+R5</f>
        <v>150800</v>
      </c>
      <c r="S6" s="26"/>
      <c r="T6" s="5" t="s">
        <v>7</v>
      </c>
      <c r="U6" s="1">
        <v>180</v>
      </c>
      <c r="V6" s="1">
        <v>50</v>
      </c>
      <c r="W6" s="45">
        <v>36</v>
      </c>
      <c r="X6" s="46">
        <v>267</v>
      </c>
      <c r="Y6" s="46">
        <v>267</v>
      </c>
      <c r="Z6" s="1">
        <f t="shared" si="1"/>
        <v>0</v>
      </c>
      <c r="AA6" s="1">
        <f t="shared" si="2"/>
        <v>0</v>
      </c>
      <c r="AB6" s="54">
        <f t="shared" si="3"/>
        <v>267</v>
      </c>
    </row>
    <row r="7" spans="1:28">
      <c r="A7" s="2" t="s">
        <v>4</v>
      </c>
      <c r="B7" s="2" t="s">
        <v>4</v>
      </c>
      <c r="C7" s="4" t="s">
        <v>6</v>
      </c>
      <c r="D7" s="33" t="s">
        <v>40</v>
      </c>
      <c r="E7" s="35">
        <f>COUNTIF(A4:A100,"&lt;&gt;空")</f>
        <v>6</v>
      </c>
      <c r="F7" s="35">
        <f>COUNTIF(B4:B100,"&lt;&gt;空")</f>
        <v>44</v>
      </c>
      <c r="G7" s="35">
        <f>COUNTIF(C4:C100,"&lt;&gt;空")</f>
        <v>47</v>
      </c>
      <c r="H7" s="36">
        <f t="shared" si="4"/>
        <v>97</v>
      </c>
      <c r="I7" s="2" t="s">
        <v>4</v>
      </c>
      <c r="J7" s="1" t="s">
        <v>27</v>
      </c>
      <c r="K7" s="15" t="s">
        <v>17</v>
      </c>
      <c r="L7" s="33" t="s">
        <v>40</v>
      </c>
      <c r="M7" s="35">
        <f>COUNTIF(I4:I100,"&lt;&gt;空")</f>
        <v>22</v>
      </c>
      <c r="N7" s="35">
        <f>COUNTIF(J4:J100,"&lt;&gt;空")</f>
        <v>4</v>
      </c>
      <c r="O7" s="35">
        <f>COUNTIF(K4:K100,"&lt;&gt;空")</f>
        <v>16</v>
      </c>
      <c r="P7" s="36">
        <f t="shared" si="5"/>
        <v>42</v>
      </c>
      <c r="Q7" s="53" t="s">
        <v>55</v>
      </c>
      <c r="R7" s="26">
        <v>0</v>
      </c>
      <c r="S7" s="26"/>
      <c r="T7" s="6" t="s">
        <v>8</v>
      </c>
      <c r="U7" s="1">
        <v>190</v>
      </c>
      <c r="V7" s="1">
        <v>55</v>
      </c>
      <c r="W7" s="45">
        <v>38</v>
      </c>
      <c r="X7" s="46">
        <v>236</v>
      </c>
      <c r="Y7" s="46">
        <v>236</v>
      </c>
      <c r="Z7" s="1">
        <f t="shared" si="1"/>
        <v>0</v>
      </c>
      <c r="AA7" s="1">
        <f t="shared" si="2"/>
        <v>0</v>
      </c>
      <c r="AB7" s="54">
        <f t="shared" si="3"/>
        <v>236</v>
      </c>
    </row>
    <row r="8" spans="1:28">
      <c r="A8" s="2" t="s">
        <v>4</v>
      </c>
      <c r="B8" s="2" t="s">
        <v>4</v>
      </c>
      <c r="C8" s="4" t="s">
        <v>6</v>
      </c>
      <c r="D8" s="42" t="s">
        <v>70</v>
      </c>
      <c r="E8" s="41">
        <v>0</v>
      </c>
      <c r="F8" s="41">
        <v>1</v>
      </c>
      <c r="G8" s="41">
        <v>0</v>
      </c>
      <c r="H8" s="36">
        <f t="shared" si="4"/>
        <v>1</v>
      </c>
      <c r="I8" s="15" t="s">
        <v>17</v>
      </c>
      <c r="J8" s="3" t="s">
        <v>5</v>
      </c>
      <c r="K8" s="3" t="s">
        <v>5</v>
      </c>
      <c r="L8" s="42" t="s">
        <v>70</v>
      </c>
      <c r="M8" s="41">
        <v>2</v>
      </c>
      <c r="N8" s="41">
        <v>0</v>
      </c>
      <c r="O8" s="41">
        <v>0</v>
      </c>
      <c r="P8" s="36">
        <f t="shared" si="5"/>
        <v>2</v>
      </c>
      <c r="Q8" s="50" t="s">
        <v>54</v>
      </c>
      <c r="R8" s="55" cm="1">
        <f t="array" ref="R8">R6-P5-H5-SUM(U3:U28*AB3:AB28)*0.8-R7*8</f>
        <v>8</v>
      </c>
      <c r="S8" s="26"/>
      <c r="T8" s="7" t="s">
        <v>9</v>
      </c>
      <c r="U8" s="1">
        <v>200</v>
      </c>
      <c r="V8" s="1">
        <v>60</v>
      </c>
      <c r="W8" s="45"/>
      <c r="X8" s="46">
        <v>194</v>
      </c>
      <c r="Y8" s="46">
        <v>194</v>
      </c>
      <c r="Z8" s="1">
        <f t="shared" si="1"/>
        <v>0</v>
      </c>
      <c r="AA8" s="1">
        <f t="shared" si="2"/>
        <v>0</v>
      </c>
      <c r="AB8" s="54">
        <f t="shared" si="3"/>
        <v>194</v>
      </c>
    </row>
    <row r="9" spans="1:28">
      <c r="A9" s="2" t="s">
        <v>4</v>
      </c>
      <c r="B9" s="2" t="s">
        <v>4</v>
      </c>
      <c r="C9" s="17" t="s">
        <v>19</v>
      </c>
      <c r="D9" s="26"/>
      <c r="E9" s="26"/>
      <c r="F9" s="26"/>
      <c r="G9" s="26"/>
      <c r="H9" s="27"/>
      <c r="I9" s="1" t="s">
        <v>27</v>
      </c>
      <c r="J9" s="1" t="s">
        <v>27</v>
      </c>
      <c r="K9" s="3" t="s">
        <v>5</v>
      </c>
      <c r="L9" s="33" t="s">
        <v>42</v>
      </c>
      <c r="M9" s="37">
        <f>M6/M5</f>
        <v>0.40043290043290042</v>
      </c>
      <c r="N9" s="37">
        <f>N6/N5</f>
        <v>0.31746031746031744</v>
      </c>
      <c r="O9" s="37">
        <f>O6/O5</f>
        <v>0.33119658119658119</v>
      </c>
      <c r="P9" s="38">
        <f>P6/P5</f>
        <v>0.35984848484848486</v>
      </c>
      <c r="Q9" s="50"/>
      <c r="R9" s="26"/>
      <c r="S9" s="26"/>
      <c r="T9" s="8" t="s">
        <v>10</v>
      </c>
      <c r="U9" s="1">
        <v>150</v>
      </c>
      <c r="V9" s="1">
        <v>35</v>
      </c>
      <c r="W9" s="45">
        <f t="shared" ref="W9:W11" si="6">U9-V9/0.330882</f>
        <v>44.222109392472248</v>
      </c>
      <c r="X9" s="46">
        <v>3</v>
      </c>
      <c r="Y9" s="46">
        <v>0</v>
      </c>
      <c r="Z9" s="1">
        <f t="shared" si="1"/>
        <v>0</v>
      </c>
      <c r="AA9" s="1">
        <f t="shared" si="2"/>
        <v>0</v>
      </c>
      <c r="AB9" s="54">
        <f t="shared" si="3"/>
        <v>0</v>
      </c>
    </row>
    <row r="10" spans="1:28">
      <c r="A10" s="1" t="s">
        <v>27</v>
      </c>
      <c r="B10" s="1" t="s">
        <v>27</v>
      </c>
      <c r="C10" s="4" t="s">
        <v>6</v>
      </c>
      <c r="D10" s="26"/>
      <c r="E10" s="26"/>
      <c r="F10" s="26"/>
      <c r="G10" s="26"/>
      <c r="H10" s="27"/>
      <c r="I10" s="16" t="s">
        <v>28</v>
      </c>
      <c r="J10" s="9" t="s">
        <v>11</v>
      </c>
      <c r="K10" s="3" t="s">
        <v>5</v>
      </c>
      <c r="L10" s="26"/>
      <c r="M10" s="26"/>
      <c r="N10" s="26"/>
      <c r="O10" s="26"/>
      <c r="P10" s="27"/>
      <c r="Q10" s="50"/>
      <c r="R10" s="26"/>
      <c r="S10" s="26"/>
      <c r="T10" s="9" t="s">
        <v>11</v>
      </c>
      <c r="U10" s="1">
        <v>150</v>
      </c>
      <c r="V10" s="1">
        <v>40</v>
      </c>
      <c r="W10" s="45">
        <f t="shared" si="6"/>
        <v>29.110982162825422</v>
      </c>
      <c r="X10" s="46">
        <v>7</v>
      </c>
      <c r="Y10" s="46">
        <v>5</v>
      </c>
      <c r="Z10" s="1">
        <f t="shared" si="1"/>
        <v>1</v>
      </c>
      <c r="AA10" s="1">
        <f t="shared" si="2"/>
        <v>4</v>
      </c>
      <c r="AB10" s="54">
        <f t="shared" si="3"/>
        <v>0</v>
      </c>
    </row>
    <row r="11" spans="1:28">
      <c r="A11" s="1" t="s">
        <v>27</v>
      </c>
      <c r="B11" s="1" t="s">
        <v>27</v>
      </c>
      <c r="C11" s="1" t="s">
        <v>27</v>
      </c>
      <c r="D11" s="26"/>
      <c r="E11" s="26"/>
      <c r="F11" s="26"/>
      <c r="G11" s="26"/>
      <c r="H11" s="27"/>
      <c r="I11" s="3" t="s">
        <v>5</v>
      </c>
      <c r="J11" s="1" t="s">
        <v>27</v>
      </c>
      <c r="K11" s="3" t="s">
        <v>5</v>
      </c>
      <c r="L11" s="26"/>
      <c r="M11" s="26"/>
      <c r="N11" s="26"/>
      <c r="O11" s="26"/>
      <c r="P11" s="27">
        <f>H5+P5</f>
        <v>18704</v>
      </c>
      <c r="Q11" s="50"/>
      <c r="R11" s="26"/>
      <c r="S11" s="26"/>
      <c r="T11" s="10" t="s">
        <v>12</v>
      </c>
      <c r="U11" s="1">
        <v>150</v>
      </c>
      <c r="V11" s="1">
        <v>45</v>
      </c>
      <c r="W11" s="45">
        <f t="shared" si="6"/>
        <v>13.999854933178597</v>
      </c>
      <c r="X11" s="46">
        <v>6</v>
      </c>
      <c r="Y11" s="46">
        <v>6</v>
      </c>
      <c r="Z11" s="1">
        <f t="shared" si="1"/>
        <v>0</v>
      </c>
      <c r="AA11" s="1">
        <f t="shared" si="2"/>
        <v>0</v>
      </c>
      <c r="AB11" s="54">
        <f t="shared" si="3"/>
        <v>6</v>
      </c>
    </row>
    <row r="12" spans="1:28">
      <c r="A12" s="1" t="s">
        <v>27</v>
      </c>
      <c r="B12" s="4" t="s">
        <v>6</v>
      </c>
      <c r="C12" s="4" t="s">
        <v>6</v>
      </c>
      <c r="D12" s="26"/>
      <c r="E12" s="26"/>
      <c r="F12" s="26"/>
      <c r="G12" s="26"/>
      <c r="H12" s="27"/>
      <c r="I12" s="3" t="s">
        <v>5</v>
      </c>
      <c r="J12" s="1" t="s">
        <v>27</v>
      </c>
      <c r="K12" s="9" t="s">
        <v>11</v>
      </c>
      <c r="L12" s="26"/>
      <c r="M12" s="26"/>
      <c r="N12" s="26"/>
      <c r="O12" s="26"/>
      <c r="P12" s="27">
        <f>H6+P6</f>
        <v>6285</v>
      </c>
      <c r="Q12" s="50"/>
      <c r="R12" s="26"/>
      <c r="S12" s="26"/>
      <c r="T12" s="11" t="s">
        <v>13</v>
      </c>
      <c r="U12" s="1">
        <v>150</v>
      </c>
      <c r="V12" s="1">
        <v>50</v>
      </c>
      <c r="W12" s="45"/>
      <c r="X12" s="46">
        <v>4</v>
      </c>
      <c r="Y12" s="46">
        <v>4</v>
      </c>
      <c r="Z12" s="1">
        <f t="shared" si="1"/>
        <v>0</v>
      </c>
      <c r="AA12" s="1">
        <f t="shared" si="2"/>
        <v>0</v>
      </c>
      <c r="AB12" s="54">
        <f t="shared" si="3"/>
        <v>4</v>
      </c>
    </row>
    <row r="13" spans="1:28">
      <c r="A13" s="1" t="s">
        <v>27</v>
      </c>
      <c r="B13" s="4" t="s">
        <v>6</v>
      </c>
      <c r="C13" s="15" t="s">
        <v>17</v>
      </c>
      <c r="D13" s="26"/>
      <c r="E13" s="26"/>
      <c r="F13" s="26"/>
      <c r="G13" s="26"/>
      <c r="H13" s="27"/>
      <c r="I13" s="3" t="s">
        <v>5</v>
      </c>
      <c r="J13" s="1" t="s">
        <v>27</v>
      </c>
      <c r="K13" s="3" t="s">
        <v>5</v>
      </c>
      <c r="L13" s="26"/>
      <c r="M13" s="26"/>
      <c r="N13" s="26"/>
      <c r="O13" s="26"/>
      <c r="P13" s="27"/>
      <c r="Q13" s="50"/>
      <c r="R13" s="26"/>
      <c r="S13" s="26"/>
      <c r="T13" s="12" t="s">
        <v>14</v>
      </c>
      <c r="U13" s="1">
        <v>150</v>
      </c>
      <c r="V13" s="1">
        <v>55</v>
      </c>
      <c r="W13" s="45"/>
      <c r="X13" s="46">
        <v>3</v>
      </c>
      <c r="Y13" s="46">
        <v>3</v>
      </c>
      <c r="Z13" s="1">
        <f t="shared" si="1"/>
        <v>0</v>
      </c>
      <c r="AA13" s="1">
        <f t="shared" si="2"/>
        <v>0</v>
      </c>
      <c r="AB13" s="54">
        <f t="shared" si="3"/>
        <v>3</v>
      </c>
    </row>
    <row r="14" spans="1:28">
      <c r="A14" s="1" t="s">
        <v>27</v>
      </c>
      <c r="B14" s="4" t="s">
        <v>6</v>
      </c>
      <c r="C14" s="3" t="s">
        <v>5</v>
      </c>
      <c r="D14" s="26"/>
      <c r="E14" s="26"/>
      <c r="F14" s="26"/>
      <c r="G14" s="26"/>
      <c r="H14" s="27"/>
      <c r="I14" s="15" t="s">
        <v>17</v>
      </c>
      <c r="J14" s="1" t="s">
        <v>27</v>
      </c>
      <c r="K14" s="3" t="s">
        <v>5</v>
      </c>
      <c r="L14" s="26"/>
      <c r="M14" s="26"/>
      <c r="N14" s="26"/>
      <c r="O14" s="26"/>
      <c r="P14" s="27"/>
      <c r="Q14" s="50"/>
      <c r="R14" s="26"/>
      <c r="S14" s="26"/>
      <c r="T14" s="13" t="s">
        <v>15</v>
      </c>
      <c r="U14" s="1">
        <v>150</v>
      </c>
      <c r="V14" s="1">
        <v>60</v>
      </c>
      <c r="W14" s="45"/>
      <c r="X14" s="46">
        <v>1</v>
      </c>
      <c r="Y14" s="46">
        <v>1</v>
      </c>
      <c r="Z14" s="1">
        <f t="shared" si="1"/>
        <v>0</v>
      </c>
      <c r="AA14" s="1">
        <f t="shared" si="2"/>
        <v>0</v>
      </c>
      <c r="AB14" s="54">
        <f t="shared" si="3"/>
        <v>1</v>
      </c>
    </row>
    <row r="15" spans="1:28">
      <c r="A15" s="1" t="s">
        <v>27</v>
      </c>
      <c r="B15" s="4" t="s">
        <v>6</v>
      </c>
      <c r="C15" s="16" t="s">
        <v>18</v>
      </c>
      <c r="D15" s="26"/>
      <c r="E15" s="26"/>
      <c r="F15" s="26"/>
      <c r="G15" s="26"/>
      <c r="H15" s="27"/>
      <c r="I15" s="9" t="s">
        <v>11</v>
      </c>
      <c r="J15" s="1" t="s">
        <v>27</v>
      </c>
      <c r="K15" s="15" t="s">
        <v>17</v>
      </c>
      <c r="L15" s="26"/>
      <c r="M15" s="26"/>
      <c r="N15" s="26"/>
      <c r="O15" s="26"/>
      <c r="P15" s="27"/>
      <c r="Q15" s="50"/>
      <c r="R15" s="26"/>
      <c r="S15" s="26"/>
      <c r="T15" s="14" t="s">
        <v>16</v>
      </c>
      <c r="U15" s="1">
        <v>150</v>
      </c>
      <c r="V15" s="1">
        <v>35</v>
      </c>
      <c r="W15" s="45">
        <f t="shared" ref="W15" si="7">U15-V15/0.330882</f>
        <v>44.222109392472248</v>
      </c>
      <c r="X15" s="46"/>
      <c r="Y15" s="46">
        <v>0</v>
      </c>
      <c r="Z15" s="1">
        <f t="shared" si="1"/>
        <v>0</v>
      </c>
      <c r="AA15" s="1">
        <f t="shared" si="2"/>
        <v>0</v>
      </c>
      <c r="AB15" s="54">
        <f t="shared" si="3"/>
        <v>0</v>
      </c>
    </row>
    <row r="16" spans="1:28">
      <c r="A16" s="1" t="s">
        <v>27</v>
      </c>
      <c r="B16" s="15" t="s">
        <v>17</v>
      </c>
      <c r="C16" s="2" t="s">
        <v>4</v>
      </c>
      <c r="D16" s="26"/>
      <c r="E16" s="26"/>
      <c r="F16" s="26"/>
      <c r="G16" s="26"/>
      <c r="H16" s="27"/>
      <c r="I16" s="2" t="s">
        <v>4</v>
      </c>
      <c r="J16" s="1" t="s">
        <v>27</v>
      </c>
      <c r="K16" s="3" t="s">
        <v>5</v>
      </c>
      <c r="L16" s="26"/>
      <c r="M16" s="26"/>
      <c r="N16" s="26"/>
      <c r="O16" s="26"/>
      <c r="P16" s="27"/>
      <c r="Q16" s="50"/>
      <c r="R16" s="26"/>
      <c r="S16" s="26"/>
      <c r="T16" s="15" t="s">
        <v>17</v>
      </c>
      <c r="U16" s="1">
        <v>50</v>
      </c>
      <c r="V16" s="1">
        <v>30</v>
      </c>
      <c r="W16" s="45">
        <v>10</v>
      </c>
      <c r="X16" s="46">
        <v>40</v>
      </c>
      <c r="Y16" s="46">
        <v>40</v>
      </c>
      <c r="Z16" s="1">
        <f t="shared" si="1"/>
        <v>6</v>
      </c>
      <c r="AA16" s="1">
        <f t="shared" si="2"/>
        <v>8</v>
      </c>
      <c r="AB16" s="54">
        <f t="shared" si="3"/>
        <v>26</v>
      </c>
    </row>
    <row r="17" spans="1:28">
      <c r="A17" s="1" t="s">
        <v>27</v>
      </c>
      <c r="B17" s="4" t="s">
        <v>6</v>
      </c>
      <c r="C17" s="2" t="s">
        <v>4</v>
      </c>
      <c r="D17" s="26"/>
      <c r="E17" s="26"/>
      <c r="F17" s="26"/>
      <c r="G17" s="26"/>
      <c r="H17" s="27"/>
      <c r="I17" s="15" t="s">
        <v>17</v>
      </c>
      <c r="J17" s="1" t="s">
        <v>27</v>
      </c>
      <c r="K17" s="3" t="s">
        <v>5</v>
      </c>
      <c r="L17" s="26"/>
      <c r="M17" s="26"/>
      <c r="N17" s="26"/>
      <c r="O17" s="26"/>
      <c r="P17" s="27"/>
      <c r="Q17" s="50"/>
      <c r="R17" s="26"/>
      <c r="S17" s="26"/>
      <c r="T17" s="16" t="s">
        <v>18</v>
      </c>
      <c r="U17" s="1">
        <v>-150</v>
      </c>
      <c r="V17" s="1">
        <v>0</v>
      </c>
      <c r="W17" s="45">
        <v>10</v>
      </c>
      <c r="X17" s="46">
        <v>3</v>
      </c>
      <c r="Y17" s="46">
        <v>3</v>
      </c>
      <c r="Z17" s="1">
        <f t="shared" si="1"/>
        <v>3</v>
      </c>
      <c r="AA17" s="1">
        <f t="shared" si="2"/>
        <v>0</v>
      </c>
      <c r="AB17" s="54">
        <f t="shared" si="3"/>
        <v>0</v>
      </c>
    </row>
    <row r="18" spans="1:28">
      <c r="A18" s="1" t="s">
        <v>27</v>
      </c>
      <c r="B18" s="17" t="s">
        <v>20</v>
      </c>
      <c r="C18" s="2" t="s">
        <v>4</v>
      </c>
      <c r="D18" s="26"/>
      <c r="E18" s="26"/>
      <c r="F18" s="26"/>
      <c r="G18" s="26"/>
      <c r="H18" s="27"/>
      <c r="I18" s="1" t="s">
        <v>27</v>
      </c>
      <c r="J18" s="1" t="s">
        <v>27</v>
      </c>
      <c r="K18" s="3" t="s">
        <v>5</v>
      </c>
      <c r="L18" s="26"/>
      <c r="M18" s="26"/>
      <c r="N18" s="26"/>
      <c r="O18" s="26"/>
      <c r="P18" s="27"/>
      <c r="Q18" s="50"/>
      <c r="R18" s="26"/>
      <c r="S18" s="26"/>
      <c r="T18" s="17" t="s">
        <v>19</v>
      </c>
      <c r="U18" s="1">
        <v>250</v>
      </c>
      <c r="V18" s="1">
        <v>200</v>
      </c>
      <c r="W18" s="45"/>
      <c r="X18" s="46">
        <v>3</v>
      </c>
      <c r="Y18" s="46">
        <v>3</v>
      </c>
      <c r="Z18" s="1">
        <f t="shared" si="1"/>
        <v>3</v>
      </c>
      <c r="AA18" s="1">
        <f t="shared" si="2"/>
        <v>0</v>
      </c>
      <c r="AB18" s="54">
        <f t="shared" si="3"/>
        <v>0</v>
      </c>
    </row>
    <row r="19" spans="1:28">
      <c r="A19" s="1" t="s">
        <v>27</v>
      </c>
      <c r="B19" s="4" t="s">
        <v>6</v>
      </c>
      <c r="C19" s="2" t="s">
        <v>4</v>
      </c>
      <c r="D19" s="26"/>
      <c r="E19" s="26"/>
      <c r="F19" s="26"/>
      <c r="G19" s="26"/>
      <c r="H19" s="27"/>
      <c r="I19" s="3" t="s">
        <v>5</v>
      </c>
      <c r="J19" s="1" t="s">
        <v>27</v>
      </c>
      <c r="K19" s="1" t="s">
        <v>27</v>
      </c>
      <c r="L19" s="26"/>
      <c r="M19" s="26"/>
      <c r="N19" s="26"/>
      <c r="O19" s="26"/>
      <c r="P19" s="27"/>
      <c r="Q19" s="50"/>
      <c r="R19" s="26"/>
      <c r="S19" s="26"/>
      <c r="T19" s="17" t="s">
        <v>20</v>
      </c>
      <c r="U19" s="1">
        <v>170</v>
      </c>
      <c r="V19" s="1">
        <v>45</v>
      </c>
      <c r="W19" s="45"/>
      <c r="X19" s="46">
        <v>5</v>
      </c>
      <c r="Y19" s="46">
        <v>5</v>
      </c>
      <c r="Z19" s="1">
        <f t="shared" si="1"/>
        <v>5</v>
      </c>
      <c r="AA19" s="1">
        <f t="shared" si="2"/>
        <v>0</v>
      </c>
      <c r="AB19" s="54">
        <f t="shared" si="3"/>
        <v>0</v>
      </c>
    </row>
    <row r="20" spans="1:28">
      <c r="A20" s="1" t="s">
        <v>27</v>
      </c>
      <c r="B20" s="3" t="s">
        <v>5</v>
      </c>
      <c r="C20" s="15" t="s">
        <v>17</v>
      </c>
      <c r="D20" s="26"/>
      <c r="E20" s="26"/>
      <c r="F20" s="26"/>
      <c r="G20" s="26"/>
      <c r="H20" s="27"/>
      <c r="I20" s="3" t="s">
        <v>5</v>
      </c>
      <c r="J20" s="1" t="s">
        <v>27</v>
      </c>
      <c r="K20" s="3" t="s">
        <v>5</v>
      </c>
      <c r="L20" s="26"/>
      <c r="M20" s="26"/>
      <c r="N20" s="26"/>
      <c r="O20" s="26"/>
      <c r="P20" s="27"/>
      <c r="Q20" s="50"/>
      <c r="R20" s="26"/>
      <c r="S20" s="26"/>
      <c r="T20" s="18" t="s">
        <v>21</v>
      </c>
      <c r="U20" s="1">
        <v>250</v>
      </c>
      <c r="V20" s="1">
        <v>200</v>
      </c>
      <c r="W20" s="45"/>
      <c r="X20" s="46">
        <v>0</v>
      </c>
      <c r="Y20" s="46">
        <v>0</v>
      </c>
      <c r="Z20" s="1">
        <f t="shared" si="1"/>
        <v>0</v>
      </c>
      <c r="AA20" s="1">
        <f t="shared" si="2"/>
        <v>0</v>
      </c>
      <c r="AB20" s="54">
        <f t="shared" si="3"/>
        <v>0</v>
      </c>
    </row>
    <row r="21" spans="1:28">
      <c r="A21" s="1" t="s">
        <v>27</v>
      </c>
      <c r="B21" s="3" t="s">
        <v>5</v>
      </c>
      <c r="C21" s="3" t="s">
        <v>5</v>
      </c>
      <c r="D21" s="26"/>
      <c r="E21" s="26"/>
      <c r="F21" s="26"/>
      <c r="G21" s="26"/>
      <c r="H21" s="27"/>
      <c r="I21" s="2" t="s">
        <v>4</v>
      </c>
      <c r="J21" s="1" t="s">
        <v>27</v>
      </c>
      <c r="K21" s="1" t="s">
        <v>27</v>
      </c>
      <c r="L21" s="26"/>
      <c r="M21" s="26"/>
      <c r="N21" s="26"/>
      <c r="O21" s="26"/>
      <c r="P21" s="27"/>
      <c r="Q21" s="50"/>
      <c r="R21" s="26"/>
      <c r="S21" s="26"/>
      <c r="T21" s="19" t="s">
        <v>22</v>
      </c>
      <c r="U21" s="1">
        <v>250</v>
      </c>
      <c r="V21" s="1">
        <v>1000</v>
      </c>
      <c r="W21" s="45"/>
      <c r="X21" s="46">
        <v>2</v>
      </c>
      <c r="Y21" s="46">
        <v>2</v>
      </c>
      <c r="Z21" s="1">
        <f t="shared" si="1"/>
        <v>0</v>
      </c>
      <c r="AA21" s="1">
        <f t="shared" si="2"/>
        <v>0</v>
      </c>
      <c r="AB21" s="54">
        <f t="shared" si="3"/>
        <v>2</v>
      </c>
    </row>
    <row r="22" spans="1:28">
      <c r="A22" s="1" t="s">
        <v>27</v>
      </c>
      <c r="B22" s="3" t="s">
        <v>5</v>
      </c>
      <c r="C22" s="3" t="s">
        <v>5</v>
      </c>
      <c r="D22" s="26"/>
      <c r="E22" s="26"/>
      <c r="F22" s="26"/>
      <c r="G22" s="26"/>
      <c r="H22" s="27"/>
      <c r="I22" s="15" t="s">
        <v>17</v>
      </c>
      <c r="J22" s="1" t="s">
        <v>27</v>
      </c>
      <c r="K22" s="1" t="s">
        <v>27</v>
      </c>
      <c r="L22" s="26"/>
      <c r="M22" s="26"/>
      <c r="N22" s="26"/>
      <c r="O22" s="26"/>
      <c r="P22" s="27"/>
      <c r="Q22" s="50"/>
      <c r="R22" s="26"/>
      <c r="S22" s="26"/>
      <c r="T22" s="20" t="s">
        <v>23</v>
      </c>
      <c r="U22" s="1">
        <v>250</v>
      </c>
      <c r="V22" s="1">
        <v>500</v>
      </c>
      <c r="W22" s="45"/>
      <c r="X22" s="46">
        <v>2</v>
      </c>
      <c r="Y22" s="46">
        <v>2</v>
      </c>
      <c r="Z22" s="1">
        <f t="shared" si="1"/>
        <v>0</v>
      </c>
      <c r="AA22" s="1">
        <f t="shared" si="2"/>
        <v>0</v>
      </c>
      <c r="AB22" s="54">
        <f t="shared" si="3"/>
        <v>2</v>
      </c>
    </row>
    <row r="23" spans="1:28">
      <c r="A23" s="1" t="s">
        <v>27</v>
      </c>
      <c r="B23" s="3" t="s">
        <v>5</v>
      </c>
      <c r="C23" s="3" t="s">
        <v>5</v>
      </c>
      <c r="D23" s="26"/>
      <c r="E23" s="26"/>
      <c r="F23" s="26"/>
      <c r="G23" s="26"/>
      <c r="H23" s="27"/>
      <c r="I23" s="2" t="s">
        <v>4</v>
      </c>
      <c r="J23" s="1" t="s">
        <v>27</v>
      </c>
      <c r="K23" s="1" t="s">
        <v>27</v>
      </c>
      <c r="L23" s="26"/>
      <c r="M23" s="26"/>
      <c r="N23" s="26"/>
      <c r="O23" s="26"/>
      <c r="P23" s="27"/>
      <c r="Q23" s="50"/>
      <c r="R23" s="26"/>
      <c r="S23" s="26"/>
      <c r="T23" s="21" t="s">
        <v>24</v>
      </c>
      <c r="U23" s="1">
        <v>160</v>
      </c>
      <c r="V23" s="1">
        <v>40</v>
      </c>
      <c r="W23" s="45">
        <f t="shared" ref="W23:W26" si="8">U23-V23/0.330882</f>
        <v>39.110982162825422</v>
      </c>
      <c r="X23" s="46">
        <v>0</v>
      </c>
      <c r="Y23" s="46">
        <v>0</v>
      </c>
      <c r="Z23" s="1">
        <f t="shared" si="1"/>
        <v>0</v>
      </c>
      <c r="AA23" s="1">
        <f t="shared" si="2"/>
        <v>0</v>
      </c>
      <c r="AB23" s="54">
        <f t="shared" si="3"/>
        <v>0</v>
      </c>
    </row>
    <row r="24" spans="1:28">
      <c r="A24" s="1" t="s">
        <v>27</v>
      </c>
      <c r="B24" s="3" t="s">
        <v>5</v>
      </c>
      <c r="C24" s="16" t="s">
        <v>18</v>
      </c>
      <c r="D24" s="26"/>
      <c r="E24" s="26"/>
      <c r="F24" s="26"/>
      <c r="G24" s="26"/>
      <c r="H24" s="27"/>
      <c r="I24" s="2" t="s">
        <v>4</v>
      </c>
      <c r="J24" s="1" t="s">
        <v>27</v>
      </c>
      <c r="K24" s="1" t="s">
        <v>27</v>
      </c>
      <c r="L24" s="26"/>
      <c r="M24" s="26"/>
      <c r="N24" s="26"/>
      <c r="O24" s="26"/>
      <c r="P24" s="27"/>
      <c r="Q24" s="50"/>
      <c r="R24" s="26"/>
      <c r="S24" s="26"/>
      <c r="T24" s="21" t="s">
        <v>25</v>
      </c>
      <c r="U24" s="1">
        <v>160</v>
      </c>
      <c r="V24" s="1">
        <v>40</v>
      </c>
      <c r="W24" s="45">
        <f t="shared" si="8"/>
        <v>39.110982162825422</v>
      </c>
      <c r="X24" s="46">
        <v>0</v>
      </c>
      <c r="Y24" s="46">
        <v>0</v>
      </c>
      <c r="Z24" s="1">
        <f t="shared" si="1"/>
        <v>0</v>
      </c>
      <c r="AA24" s="1">
        <f t="shared" si="2"/>
        <v>0</v>
      </c>
      <c r="AB24" s="54">
        <f t="shared" si="3"/>
        <v>0</v>
      </c>
    </row>
    <row r="25" spans="1:28">
      <c r="A25" s="1" t="s">
        <v>27</v>
      </c>
      <c r="B25" s="3" t="s">
        <v>5</v>
      </c>
      <c r="C25" s="3" t="s">
        <v>5</v>
      </c>
      <c r="D25" s="26"/>
      <c r="E25" s="26"/>
      <c r="F25" s="26"/>
      <c r="G25" s="26"/>
      <c r="H25" s="27"/>
      <c r="I25" s="2" t="s">
        <v>4</v>
      </c>
      <c r="J25" s="1" t="s">
        <v>27</v>
      </c>
      <c r="K25" s="1" t="s">
        <v>27</v>
      </c>
      <c r="L25" s="26"/>
      <c r="M25" s="26"/>
      <c r="N25" s="26"/>
      <c r="O25" s="26"/>
      <c r="P25" s="27"/>
      <c r="Q25" s="50"/>
      <c r="R25" s="26"/>
      <c r="S25" s="26"/>
      <c r="T25" s="21" t="s">
        <v>26</v>
      </c>
      <c r="U25" s="1">
        <v>150</v>
      </c>
      <c r="V25" s="1">
        <v>35</v>
      </c>
      <c r="W25" s="45">
        <f t="shared" si="8"/>
        <v>44.222109392472248</v>
      </c>
      <c r="X25" s="46">
        <v>0</v>
      </c>
      <c r="Y25" s="46">
        <v>0</v>
      </c>
      <c r="Z25" s="1">
        <f t="shared" si="1"/>
        <v>0</v>
      </c>
      <c r="AA25" s="1">
        <f t="shared" si="2"/>
        <v>0</v>
      </c>
      <c r="AB25" s="54">
        <f t="shared" si="3"/>
        <v>0</v>
      </c>
    </row>
    <row r="26" spans="1:28">
      <c r="A26" s="1" t="s">
        <v>27</v>
      </c>
      <c r="B26" s="15" t="s">
        <v>17</v>
      </c>
      <c r="C26" s="3" t="s">
        <v>5</v>
      </c>
      <c r="D26" s="26"/>
      <c r="E26" s="26"/>
      <c r="F26" s="26"/>
      <c r="G26" s="26"/>
      <c r="H26" s="27"/>
      <c r="I26" s="15" t="s">
        <v>17</v>
      </c>
      <c r="J26" s="1" t="s">
        <v>27</v>
      </c>
      <c r="K26" s="1" t="s">
        <v>27</v>
      </c>
      <c r="L26" s="26"/>
      <c r="M26" s="26"/>
      <c r="N26" s="26"/>
      <c r="O26" s="26"/>
      <c r="P26" s="27"/>
      <c r="Q26" s="50"/>
      <c r="R26" s="26"/>
      <c r="S26" s="26"/>
      <c r="T26" s="22" t="s">
        <v>27</v>
      </c>
      <c r="U26" s="1">
        <v>0</v>
      </c>
      <c r="V26" s="1">
        <v>0</v>
      </c>
      <c r="W26" s="45">
        <f t="shared" si="8"/>
        <v>0</v>
      </c>
      <c r="X26" s="46">
        <v>0</v>
      </c>
      <c r="Y26" s="46">
        <v>0</v>
      </c>
      <c r="Z26" s="1"/>
      <c r="AA26" s="1"/>
      <c r="AB26" s="54"/>
    </row>
    <row r="27" spans="1:28">
      <c r="A27" s="1" t="s">
        <v>27</v>
      </c>
      <c r="B27" s="3" t="s">
        <v>5</v>
      </c>
      <c r="C27" s="4" t="s">
        <v>6</v>
      </c>
      <c r="D27" s="26"/>
      <c r="E27" s="26"/>
      <c r="F27" s="26"/>
      <c r="G27" s="26"/>
      <c r="H27" s="27"/>
      <c r="I27" s="1" t="s">
        <v>27</v>
      </c>
      <c r="J27" s="1" t="s">
        <v>27</v>
      </c>
      <c r="K27" s="1" t="s">
        <v>27</v>
      </c>
      <c r="L27" s="26"/>
      <c r="M27" s="26"/>
      <c r="N27" s="26"/>
      <c r="O27" s="26"/>
      <c r="P27" s="27"/>
      <c r="Q27" s="50"/>
      <c r="R27" s="26"/>
      <c r="S27" s="26"/>
      <c r="T27" s="16" t="s">
        <v>28</v>
      </c>
      <c r="U27" s="1">
        <v>-200</v>
      </c>
      <c r="V27" s="1">
        <v>0</v>
      </c>
      <c r="W27" s="45"/>
      <c r="X27" s="46">
        <v>12</v>
      </c>
      <c r="Y27" s="46">
        <v>12</v>
      </c>
      <c r="Z27" s="1">
        <f t="shared" si="1"/>
        <v>0</v>
      </c>
      <c r="AA27" s="1">
        <f t="shared" si="2"/>
        <v>1</v>
      </c>
      <c r="AB27" s="54">
        <f t="shared" si="3"/>
        <v>11</v>
      </c>
    </row>
    <row r="28" spans="1:28">
      <c r="A28" s="1" t="s">
        <v>27</v>
      </c>
      <c r="B28" s="3" t="s">
        <v>5</v>
      </c>
      <c r="C28" s="4" t="s">
        <v>6</v>
      </c>
      <c r="D28" s="26"/>
      <c r="E28" s="26"/>
      <c r="F28" s="26"/>
      <c r="G28" s="26"/>
      <c r="H28" s="27"/>
      <c r="I28" s="3" t="s">
        <v>5</v>
      </c>
      <c r="J28" s="1" t="s">
        <v>27</v>
      </c>
      <c r="K28" s="1" t="s">
        <v>27</v>
      </c>
      <c r="L28" s="26"/>
      <c r="M28" s="26"/>
      <c r="N28" s="26"/>
      <c r="O28" s="26"/>
      <c r="P28" s="27"/>
      <c r="Q28" s="50"/>
      <c r="R28" s="26"/>
      <c r="S28" s="26"/>
      <c r="T28" s="23" t="s">
        <v>29</v>
      </c>
      <c r="U28" s="1">
        <v>50</v>
      </c>
      <c r="V28" s="1">
        <v>520</v>
      </c>
      <c r="W28" s="45"/>
      <c r="X28" s="46">
        <v>3</v>
      </c>
      <c r="Y28" s="46">
        <v>3</v>
      </c>
      <c r="Z28" s="1">
        <f t="shared" si="1"/>
        <v>1</v>
      </c>
      <c r="AA28" s="1">
        <f t="shared" si="2"/>
        <v>0</v>
      </c>
      <c r="AB28" s="54">
        <f t="shared" si="3"/>
        <v>2</v>
      </c>
    </row>
    <row r="29" spans="1:28" ht="15.75" thickBot="1">
      <c r="A29" s="1" t="s">
        <v>27</v>
      </c>
      <c r="B29" s="3" t="s">
        <v>5</v>
      </c>
      <c r="C29" s="4" t="s">
        <v>6</v>
      </c>
      <c r="D29" s="26"/>
      <c r="E29" s="26"/>
      <c r="F29" s="26"/>
      <c r="G29" s="26"/>
      <c r="H29" s="27"/>
      <c r="I29" s="1" t="s">
        <v>27</v>
      </c>
      <c r="J29" s="1" t="s">
        <v>27</v>
      </c>
      <c r="K29" s="1" t="s">
        <v>27</v>
      </c>
      <c r="L29" s="26"/>
      <c r="M29" s="26"/>
      <c r="N29" s="26"/>
      <c r="O29" s="26"/>
      <c r="P29" s="27"/>
      <c r="Q29" s="56"/>
      <c r="R29" s="31"/>
      <c r="S29" s="31"/>
      <c r="T29" s="30"/>
      <c r="U29" s="30"/>
      <c r="V29" s="30"/>
      <c r="W29" s="30"/>
      <c r="X29" s="30"/>
      <c r="Y29" s="30"/>
      <c r="Z29" s="30"/>
      <c r="AA29" s="30"/>
      <c r="AB29" s="57"/>
    </row>
    <row r="30" spans="1:28">
      <c r="A30" s="1" t="s">
        <v>27</v>
      </c>
      <c r="B30" s="3" t="s">
        <v>5</v>
      </c>
      <c r="C30" s="4" t="s">
        <v>6</v>
      </c>
      <c r="D30" s="26"/>
      <c r="E30" s="26"/>
      <c r="F30" s="26"/>
      <c r="G30" s="26"/>
      <c r="H30" s="27"/>
      <c r="I30" s="1" t="s">
        <v>27</v>
      </c>
      <c r="J30" s="1" t="s">
        <v>27</v>
      </c>
      <c r="K30" s="1" t="s">
        <v>27</v>
      </c>
      <c r="L30" s="26"/>
      <c r="M30" s="26"/>
      <c r="N30" s="26"/>
      <c r="O30" s="26"/>
      <c r="P30" s="27"/>
    </row>
    <row r="31" spans="1:28">
      <c r="A31" s="1" t="s">
        <v>27</v>
      </c>
      <c r="B31" s="15" t="s">
        <v>17</v>
      </c>
      <c r="C31" s="4" t="s">
        <v>6</v>
      </c>
      <c r="D31" s="26"/>
      <c r="E31" s="26"/>
      <c r="F31" s="26"/>
      <c r="G31" s="26"/>
      <c r="H31" s="27"/>
      <c r="I31" s="1" t="s">
        <v>27</v>
      </c>
      <c r="J31" s="1" t="s">
        <v>27</v>
      </c>
      <c r="K31" s="1" t="s">
        <v>27</v>
      </c>
      <c r="L31" s="26"/>
      <c r="M31" s="26"/>
      <c r="N31" s="26"/>
      <c r="O31" s="26"/>
      <c r="P31" s="27"/>
      <c r="Y31">
        <f>SUM(Y3:Y28)</f>
        <v>1076</v>
      </c>
    </row>
    <row r="32" spans="1:28">
      <c r="A32" s="1" t="s">
        <v>27</v>
      </c>
      <c r="B32" s="3" t="s">
        <v>5</v>
      </c>
      <c r="C32" s="17" t="s">
        <v>20</v>
      </c>
      <c r="D32" s="26"/>
      <c r="E32" s="26"/>
      <c r="F32" s="26"/>
      <c r="G32" s="26"/>
      <c r="H32" s="27"/>
      <c r="I32" s="1" t="s">
        <v>27</v>
      </c>
      <c r="J32" s="1" t="s">
        <v>27</v>
      </c>
      <c r="K32" s="1" t="s">
        <v>27</v>
      </c>
      <c r="L32" s="26"/>
      <c r="M32" s="26"/>
      <c r="N32" s="26"/>
      <c r="O32" s="26"/>
      <c r="P32" s="27"/>
      <c r="Q32" t="s">
        <v>57</v>
      </c>
      <c r="R32">
        <v>1</v>
      </c>
      <c r="S32" t="s">
        <v>59</v>
      </c>
    </row>
    <row r="33" spans="1:19">
      <c r="A33" s="1" t="s">
        <v>27</v>
      </c>
      <c r="B33" s="4" t="s">
        <v>6</v>
      </c>
      <c r="C33" s="3" t="s">
        <v>5</v>
      </c>
      <c r="D33" s="26"/>
      <c r="E33" s="26"/>
      <c r="F33" s="26"/>
      <c r="G33" s="26"/>
      <c r="H33" s="27"/>
      <c r="I33" s="1" t="s">
        <v>27</v>
      </c>
      <c r="J33" s="1" t="s">
        <v>27</v>
      </c>
      <c r="K33" s="1" t="s">
        <v>27</v>
      </c>
      <c r="L33" s="26"/>
      <c r="M33" s="26"/>
      <c r="N33" s="26"/>
      <c r="O33" s="26"/>
      <c r="P33" s="27"/>
      <c r="R33">
        <v>2</v>
      </c>
      <c r="S33" t="s">
        <v>60</v>
      </c>
    </row>
    <row r="34" spans="1:19">
      <c r="A34" s="1" t="s">
        <v>27</v>
      </c>
      <c r="B34" s="2" t="s">
        <v>4</v>
      </c>
      <c r="C34" s="3" t="s">
        <v>5</v>
      </c>
      <c r="D34" s="26"/>
      <c r="E34" s="26"/>
      <c r="F34" s="26"/>
      <c r="G34" s="26"/>
      <c r="H34" s="27"/>
      <c r="I34" s="28" t="s">
        <v>27</v>
      </c>
      <c r="J34" s="1" t="s">
        <v>27</v>
      </c>
      <c r="K34" s="1" t="s">
        <v>27</v>
      </c>
      <c r="L34" s="26"/>
      <c r="M34" s="26"/>
      <c r="N34" s="26"/>
      <c r="O34" s="26"/>
      <c r="P34" s="27"/>
      <c r="R34">
        <v>3</v>
      </c>
      <c r="S34" t="s">
        <v>58</v>
      </c>
    </row>
    <row r="35" spans="1:19">
      <c r="A35" s="1" t="s">
        <v>27</v>
      </c>
      <c r="B35" s="4" t="s">
        <v>6</v>
      </c>
      <c r="C35" s="3" t="s">
        <v>5</v>
      </c>
      <c r="D35" s="26"/>
      <c r="E35" s="26"/>
      <c r="F35" s="26"/>
      <c r="G35" s="26"/>
      <c r="H35" s="27"/>
      <c r="I35" s="28" t="s">
        <v>27</v>
      </c>
      <c r="J35" s="1" t="s">
        <v>27</v>
      </c>
      <c r="K35" s="1" t="s">
        <v>27</v>
      </c>
      <c r="L35" s="26"/>
      <c r="M35" s="26"/>
      <c r="N35" s="26"/>
      <c r="O35" s="26"/>
      <c r="P35" s="27"/>
      <c r="R35">
        <v>4</v>
      </c>
      <c r="S35" t="s">
        <v>61</v>
      </c>
    </row>
    <row r="36" spans="1:19">
      <c r="A36" s="1" t="s">
        <v>27</v>
      </c>
      <c r="B36" s="17" t="s">
        <v>20</v>
      </c>
      <c r="C36" s="15" t="s">
        <v>17</v>
      </c>
      <c r="D36" s="26"/>
      <c r="E36" s="26"/>
      <c r="F36" s="26"/>
      <c r="G36" s="26"/>
      <c r="H36" s="27"/>
      <c r="I36" s="28" t="s">
        <v>27</v>
      </c>
      <c r="J36" s="1" t="s">
        <v>27</v>
      </c>
      <c r="K36" s="1" t="s">
        <v>27</v>
      </c>
      <c r="L36" s="26"/>
      <c r="M36" s="26"/>
      <c r="N36" s="26"/>
      <c r="O36" s="26"/>
      <c r="P36" s="27"/>
      <c r="S36" t="s">
        <v>62</v>
      </c>
    </row>
    <row r="37" spans="1:19">
      <c r="A37" s="1" t="s">
        <v>27</v>
      </c>
      <c r="B37" s="4" t="s">
        <v>6</v>
      </c>
      <c r="C37" s="3" t="s">
        <v>5</v>
      </c>
      <c r="D37" s="26"/>
      <c r="E37" s="26"/>
      <c r="F37" s="26"/>
      <c r="G37" s="26"/>
      <c r="H37" s="27"/>
      <c r="I37" s="28" t="s">
        <v>27</v>
      </c>
      <c r="J37" s="1" t="s">
        <v>27</v>
      </c>
      <c r="K37" s="1" t="s">
        <v>27</v>
      </c>
      <c r="L37" s="26"/>
      <c r="M37" s="26"/>
      <c r="N37" s="26"/>
      <c r="O37" s="26"/>
      <c r="P37" s="27"/>
      <c r="R37">
        <v>5</v>
      </c>
      <c r="S37" t="s">
        <v>63</v>
      </c>
    </row>
    <row r="38" spans="1:19">
      <c r="A38" s="1" t="s">
        <v>27</v>
      </c>
      <c r="B38" s="4" t="s">
        <v>6</v>
      </c>
      <c r="C38" s="3" t="s">
        <v>5</v>
      </c>
      <c r="D38" s="26"/>
      <c r="E38" s="26"/>
      <c r="F38" s="26"/>
      <c r="G38" s="26"/>
      <c r="H38" s="27"/>
      <c r="I38" s="28" t="s">
        <v>27</v>
      </c>
      <c r="J38" s="1" t="s">
        <v>27</v>
      </c>
      <c r="K38" s="1" t="s">
        <v>27</v>
      </c>
      <c r="L38" s="26"/>
      <c r="M38" s="26"/>
      <c r="N38" s="26"/>
      <c r="O38" s="26"/>
      <c r="P38" s="27"/>
      <c r="R38">
        <v>6</v>
      </c>
      <c r="S38" t="s">
        <v>71</v>
      </c>
    </row>
    <row r="39" spans="1:19">
      <c r="A39" s="1" t="s">
        <v>27</v>
      </c>
      <c r="B39" s="4" t="s">
        <v>6</v>
      </c>
      <c r="C39" s="4" t="s">
        <v>6</v>
      </c>
      <c r="D39" s="26"/>
      <c r="E39" s="26"/>
      <c r="F39" s="26"/>
      <c r="G39" s="26"/>
      <c r="H39" s="27"/>
      <c r="I39" s="28" t="s">
        <v>27</v>
      </c>
      <c r="J39" s="1" t="s">
        <v>27</v>
      </c>
      <c r="K39" s="1" t="s">
        <v>27</v>
      </c>
      <c r="L39" s="26"/>
      <c r="M39" s="26"/>
      <c r="N39" s="26"/>
      <c r="O39" s="26"/>
      <c r="P39" s="27"/>
      <c r="R39">
        <v>7</v>
      </c>
      <c r="S39" t="s">
        <v>65</v>
      </c>
    </row>
    <row r="40" spans="1:19">
      <c r="A40" s="1" t="s">
        <v>27</v>
      </c>
      <c r="B40" s="17" t="s">
        <v>19</v>
      </c>
      <c r="C40" s="4" t="s">
        <v>6</v>
      </c>
      <c r="D40" s="26"/>
      <c r="E40" s="26"/>
      <c r="F40" s="26"/>
      <c r="G40" s="26"/>
      <c r="H40" s="27"/>
      <c r="I40" s="28" t="s">
        <v>27</v>
      </c>
      <c r="J40" s="1" t="s">
        <v>27</v>
      </c>
      <c r="K40" s="1" t="s">
        <v>27</v>
      </c>
      <c r="L40" s="26"/>
      <c r="M40" s="26"/>
      <c r="N40" s="26"/>
      <c r="O40" s="26"/>
      <c r="P40" s="27"/>
    </row>
    <row r="41" spans="1:19">
      <c r="A41" s="1" t="s">
        <v>27</v>
      </c>
      <c r="B41" s="4" t="s">
        <v>6</v>
      </c>
      <c r="C41" s="9" t="s">
        <v>11</v>
      </c>
      <c r="D41" s="26"/>
      <c r="E41" s="26"/>
      <c r="F41" s="26"/>
      <c r="G41" s="26"/>
      <c r="H41" s="27"/>
      <c r="I41" s="28" t="s">
        <v>27</v>
      </c>
      <c r="J41" s="1" t="s">
        <v>27</v>
      </c>
      <c r="K41" s="1" t="s">
        <v>27</v>
      </c>
      <c r="L41" s="26"/>
      <c r="M41" s="26"/>
      <c r="N41" s="26"/>
      <c r="O41" s="26"/>
      <c r="P41" s="27"/>
    </row>
    <row r="42" spans="1:19">
      <c r="A42" s="1" t="s">
        <v>27</v>
      </c>
      <c r="B42" s="3" t="s">
        <v>5</v>
      </c>
      <c r="C42" s="4" t="s">
        <v>6</v>
      </c>
      <c r="D42" s="26"/>
      <c r="E42" s="26"/>
      <c r="F42" s="26"/>
      <c r="G42" s="26"/>
      <c r="H42" s="27"/>
      <c r="I42" s="28" t="s">
        <v>27</v>
      </c>
      <c r="J42" s="1" t="s">
        <v>27</v>
      </c>
      <c r="K42" s="1" t="s">
        <v>27</v>
      </c>
      <c r="L42" s="26"/>
      <c r="M42" s="26"/>
      <c r="N42" s="26"/>
      <c r="O42" s="26"/>
      <c r="P42" s="27"/>
    </row>
    <row r="43" spans="1:19">
      <c r="A43" s="1" t="s">
        <v>27</v>
      </c>
      <c r="B43" s="3" t="s">
        <v>5</v>
      </c>
      <c r="C43" s="17" t="s">
        <v>19</v>
      </c>
      <c r="D43" s="26"/>
      <c r="E43" s="26"/>
      <c r="F43" s="26"/>
      <c r="G43" s="26"/>
      <c r="H43" s="27"/>
      <c r="I43" s="28" t="s">
        <v>27</v>
      </c>
      <c r="J43" s="1" t="s">
        <v>27</v>
      </c>
      <c r="K43" s="1" t="s">
        <v>27</v>
      </c>
      <c r="L43" s="26"/>
      <c r="M43" s="26"/>
      <c r="N43" s="26"/>
      <c r="O43" s="26"/>
      <c r="P43" s="27"/>
    </row>
    <row r="44" spans="1:19">
      <c r="A44" s="1" t="s">
        <v>27</v>
      </c>
      <c r="B44" s="3" t="s">
        <v>5</v>
      </c>
      <c r="C44" s="4" t="s">
        <v>6</v>
      </c>
      <c r="D44" s="26"/>
      <c r="E44" s="26"/>
      <c r="F44" s="26"/>
      <c r="G44" s="26"/>
      <c r="H44" s="27"/>
      <c r="I44" s="28" t="s">
        <v>27</v>
      </c>
      <c r="J44" s="1" t="s">
        <v>27</v>
      </c>
      <c r="K44" s="1" t="s">
        <v>27</v>
      </c>
      <c r="L44" s="26"/>
      <c r="M44" s="26"/>
      <c r="N44" s="26"/>
      <c r="O44" s="26"/>
      <c r="P44" s="27"/>
    </row>
    <row r="45" spans="1:19">
      <c r="A45" s="1" t="s">
        <v>27</v>
      </c>
      <c r="B45" s="3" t="s">
        <v>5</v>
      </c>
      <c r="C45" s="4" t="s">
        <v>6</v>
      </c>
      <c r="D45" s="26"/>
      <c r="E45" s="26"/>
      <c r="F45" s="26"/>
      <c r="G45" s="26"/>
      <c r="H45" s="27"/>
      <c r="I45" s="28" t="s">
        <v>27</v>
      </c>
      <c r="J45" s="1" t="s">
        <v>27</v>
      </c>
      <c r="K45" s="1" t="s">
        <v>27</v>
      </c>
      <c r="L45" s="26"/>
      <c r="M45" s="26"/>
      <c r="N45" s="26"/>
      <c r="O45" s="26"/>
      <c r="P45" s="27"/>
    </row>
    <row r="46" spans="1:19">
      <c r="A46" s="1" t="s">
        <v>27</v>
      </c>
      <c r="B46" s="4" t="s">
        <v>6</v>
      </c>
      <c r="C46" s="4" t="s">
        <v>6</v>
      </c>
      <c r="D46" s="26"/>
      <c r="E46" s="26"/>
      <c r="F46" s="26"/>
      <c r="G46" s="26"/>
      <c r="H46" s="27"/>
      <c r="I46" s="28" t="s">
        <v>27</v>
      </c>
      <c r="J46" s="1" t="s">
        <v>27</v>
      </c>
      <c r="K46" s="1" t="s">
        <v>27</v>
      </c>
      <c r="L46" s="26"/>
      <c r="M46" s="26"/>
      <c r="N46" s="26"/>
      <c r="O46" s="26"/>
      <c r="P46" s="27"/>
    </row>
    <row r="47" spans="1:19">
      <c r="A47" s="1" t="s">
        <v>27</v>
      </c>
      <c r="B47" s="4" t="s">
        <v>6</v>
      </c>
      <c r="C47" s="4" t="s">
        <v>6</v>
      </c>
      <c r="D47" s="26"/>
      <c r="E47" s="26"/>
      <c r="F47" s="26"/>
      <c r="G47" s="26"/>
      <c r="H47" s="27"/>
      <c r="I47" s="28" t="s">
        <v>27</v>
      </c>
      <c r="J47" s="1" t="s">
        <v>27</v>
      </c>
      <c r="K47" s="1" t="s">
        <v>27</v>
      </c>
      <c r="L47" s="26"/>
      <c r="M47" s="26"/>
      <c r="N47" s="26"/>
      <c r="O47" s="26"/>
      <c r="P47" s="27"/>
    </row>
    <row r="48" spans="1:19">
      <c r="A48" s="1" t="s">
        <v>27</v>
      </c>
      <c r="B48" s="4" t="s">
        <v>6</v>
      </c>
      <c r="C48" s="16" t="s">
        <v>18</v>
      </c>
      <c r="D48" s="26"/>
      <c r="E48" s="26"/>
      <c r="F48" s="26"/>
      <c r="G48" s="26"/>
      <c r="H48" s="27"/>
      <c r="I48" s="28" t="s">
        <v>27</v>
      </c>
      <c r="J48" s="1" t="s">
        <v>27</v>
      </c>
      <c r="K48" s="1" t="s">
        <v>27</v>
      </c>
      <c r="L48" s="26"/>
      <c r="M48" s="26"/>
      <c r="N48" s="26"/>
      <c r="O48" s="26"/>
      <c r="P48" s="27"/>
    </row>
    <row r="49" spans="1:16">
      <c r="A49" s="1" t="s">
        <v>27</v>
      </c>
      <c r="B49" s="17" t="s">
        <v>20</v>
      </c>
      <c r="C49" s="4" t="s">
        <v>6</v>
      </c>
      <c r="D49" s="26"/>
      <c r="E49" s="26"/>
      <c r="F49" s="26"/>
      <c r="G49" s="26"/>
      <c r="H49" s="27"/>
      <c r="I49" s="28" t="s">
        <v>27</v>
      </c>
      <c r="J49" s="1" t="s">
        <v>27</v>
      </c>
      <c r="K49" s="1" t="s">
        <v>27</v>
      </c>
      <c r="L49" s="26"/>
      <c r="M49" s="26"/>
      <c r="N49" s="26"/>
      <c r="O49" s="26"/>
      <c r="P49" s="27"/>
    </row>
    <row r="50" spans="1:16">
      <c r="A50" s="1" t="s">
        <v>27</v>
      </c>
      <c r="B50" s="1" t="s">
        <v>27</v>
      </c>
      <c r="C50" s="4" t="s">
        <v>6</v>
      </c>
      <c r="D50" s="26"/>
      <c r="E50" s="26"/>
      <c r="F50" s="26"/>
      <c r="G50" s="26"/>
      <c r="H50" s="27"/>
      <c r="I50" s="28" t="s">
        <v>27</v>
      </c>
      <c r="J50" s="1" t="s">
        <v>27</v>
      </c>
      <c r="K50" s="1" t="s">
        <v>27</v>
      </c>
      <c r="L50" s="26"/>
      <c r="M50" s="26"/>
      <c r="N50" s="26"/>
      <c r="O50" s="26"/>
      <c r="P50" s="27"/>
    </row>
    <row r="51" spans="1:16">
      <c r="A51" s="1" t="s">
        <v>27</v>
      </c>
      <c r="B51" s="1" t="s">
        <v>27</v>
      </c>
      <c r="C51" s="17" t="s">
        <v>20</v>
      </c>
      <c r="D51" s="26"/>
      <c r="E51" s="26"/>
      <c r="F51" s="26"/>
      <c r="G51" s="26"/>
      <c r="H51" s="27"/>
      <c r="I51" s="28" t="s">
        <v>27</v>
      </c>
      <c r="J51" s="1" t="s">
        <v>27</v>
      </c>
      <c r="K51" s="1" t="s">
        <v>27</v>
      </c>
      <c r="L51" s="26"/>
      <c r="M51" s="26"/>
      <c r="N51" s="26"/>
      <c r="O51" s="26"/>
      <c r="P51" s="27"/>
    </row>
    <row r="52" spans="1:16">
      <c r="A52" s="1" t="s">
        <v>27</v>
      </c>
      <c r="B52" s="1" t="s">
        <v>27</v>
      </c>
      <c r="C52" s="1" t="s">
        <v>27</v>
      </c>
      <c r="D52" s="26"/>
      <c r="E52" s="26"/>
      <c r="F52" s="26"/>
      <c r="G52" s="26"/>
      <c r="H52" s="27"/>
      <c r="I52" s="28" t="s">
        <v>27</v>
      </c>
      <c r="J52" s="1" t="s">
        <v>27</v>
      </c>
      <c r="K52" s="1" t="s">
        <v>27</v>
      </c>
      <c r="L52" s="26"/>
      <c r="M52" s="26"/>
      <c r="N52" s="26"/>
      <c r="O52" s="26"/>
      <c r="P52" s="27"/>
    </row>
    <row r="53" spans="1:16">
      <c r="A53" s="1" t="s">
        <v>27</v>
      </c>
      <c r="B53" s="1" t="s">
        <v>27</v>
      </c>
      <c r="C53" s="1" t="s">
        <v>27</v>
      </c>
      <c r="D53" s="26"/>
      <c r="E53" s="26"/>
      <c r="F53" s="26"/>
      <c r="G53" s="26"/>
      <c r="H53" s="27"/>
      <c r="I53" s="28" t="s">
        <v>27</v>
      </c>
      <c r="J53" s="1" t="s">
        <v>27</v>
      </c>
      <c r="K53" s="1" t="s">
        <v>27</v>
      </c>
      <c r="L53" s="26"/>
      <c r="M53" s="26"/>
      <c r="N53" s="26"/>
      <c r="O53" s="26"/>
      <c r="P53" s="27"/>
    </row>
    <row r="54" spans="1:16">
      <c r="A54" s="1" t="s">
        <v>27</v>
      </c>
      <c r="B54" s="1" t="s">
        <v>27</v>
      </c>
      <c r="C54" s="1" t="s">
        <v>27</v>
      </c>
      <c r="D54" s="26"/>
      <c r="E54" s="26"/>
      <c r="F54" s="26"/>
      <c r="G54" s="26"/>
      <c r="H54" s="27"/>
      <c r="I54" s="28" t="s">
        <v>27</v>
      </c>
      <c r="J54" s="1" t="s">
        <v>27</v>
      </c>
      <c r="K54" s="1" t="s">
        <v>27</v>
      </c>
      <c r="L54" s="26"/>
      <c r="M54" s="26"/>
      <c r="N54" s="26"/>
      <c r="O54" s="26"/>
      <c r="P54" s="27"/>
    </row>
    <row r="55" spans="1:16">
      <c r="A55" s="1" t="s">
        <v>27</v>
      </c>
      <c r="B55" s="1" t="s">
        <v>27</v>
      </c>
      <c r="C55" s="1" t="s">
        <v>27</v>
      </c>
      <c r="D55" s="26"/>
      <c r="E55" s="26"/>
      <c r="F55" s="26"/>
      <c r="G55" s="26"/>
      <c r="H55" s="27"/>
      <c r="I55" s="28" t="s">
        <v>27</v>
      </c>
      <c r="J55" s="1" t="s">
        <v>27</v>
      </c>
      <c r="K55" s="1" t="s">
        <v>27</v>
      </c>
      <c r="L55" s="26"/>
      <c r="M55" s="26"/>
      <c r="N55" s="26"/>
      <c r="O55" s="26"/>
      <c r="P55" s="27"/>
    </row>
    <row r="56" spans="1:16">
      <c r="A56" s="28" t="s">
        <v>27</v>
      </c>
      <c r="B56" s="1" t="s">
        <v>27</v>
      </c>
      <c r="C56" s="1" t="s">
        <v>27</v>
      </c>
      <c r="D56" s="26"/>
      <c r="E56" s="26"/>
      <c r="F56" s="26"/>
      <c r="G56" s="26"/>
      <c r="H56" s="27"/>
      <c r="I56" s="28" t="s">
        <v>27</v>
      </c>
      <c r="J56" s="1" t="s">
        <v>27</v>
      </c>
      <c r="K56" s="1" t="s">
        <v>27</v>
      </c>
      <c r="L56" s="26"/>
      <c r="M56" s="26"/>
      <c r="N56" s="26"/>
      <c r="O56" s="26"/>
      <c r="P56" s="27"/>
    </row>
    <row r="57" spans="1:16">
      <c r="A57" s="28" t="s">
        <v>27</v>
      </c>
      <c r="B57" s="1" t="s">
        <v>27</v>
      </c>
      <c r="C57" s="1" t="s">
        <v>27</v>
      </c>
      <c r="D57" s="26"/>
      <c r="E57" s="26"/>
      <c r="F57" s="26"/>
      <c r="G57" s="26"/>
      <c r="H57" s="27"/>
      <c r="I57" s="28" t="s">
        <v>27</v>
      </c>
      <c r="J57" s="1" t="s">
        <v>27</v>
      </c>
      <c r="K57" s="1" t="s">
        <v>27</v>
      </c>
      <c r="L57" s="26"/>
      <c r="M57" s="26"/>
      <c r="N57" s="26"/>
      <c r="O57" s="26"/>
      <c r="P57" s="27"/>
    </row>
    <row r="58" spans="1:16">
      <c r="A58" s="28" t="s">
        <v>27</v>
      </c>
      <c r="B58" s="1" t="s">
        <v>27</v>
      </c>
      <c r="C58" s="1" t="s">
        <v>27</v>
      </c>
      <c r="D58" s="26"/>
      <c r="E58" s="26"/>
      <c r="F58" s="26"/>
      <c r="G58" s="26"/>
      <c r="H58" s="27"/>
      <c r="I58" s="28" t="s">
        <v>27</v>
      </c>
      <c r="J58" s="1" t="s">
        <v>27</v>
      </c>
      <c r="K58" s="1" t="s">
        <v>27</v>
      </c>
      <c r="L58" s="26"/>
      <c r="M58" s="26"/>
      <c r="N58" s="26"/>
      <c r="O58" s="26"/>
      <c r="P58" s="27"/>
    </row>
    <row r="59" spans="1:16">
      <c r="A59" s="28" t="s">
        <v>27</v>
      </c>
      <c r="B59" s="1" t="s">
        <v>27</v>
      </c>
      <c r="C59" s="1" t="s">
        <v>27</v>
      </c>
      <c r="D59" s="26"/>
      <c r="E59" s="26"/>
      <c r="F59" s="26"/>
      <c r="G59" s="26"/>
      <c r="H59" s="27"/>
      <c r="I59" s="28" t="s">
        <v>27</v>
      </c>
      <c r="J59" s="1" t="s">
        <v>27</v>
      </c>
      <c r="K59" s="1" t="s">
        <v>27</v>
      </c>
      <c r="L59" s="26"/>
      <c r="M59" s="26"/>
      <c r="N59" s="26"/>
      <c r="O59" s="26"/>
      <c r="P59" s="27"/>
    </row>
    <row r="60" spans="1:16">
      <c r="A60" s="28" t="s">
        <v>27</v>
      </c>
      <c r="B60" s="1" t="s">
        <v>27</v>
      </c>
      <c r="C60" s="1" t="s">
        <v>27</v>
      </c>
      <c r="D60" s="26"/>
      <c r="E60" s="26"/>
      <c r="F60" s="26"/>
      <c r="G60" s="26"/>
      <c r="H60" s="27"/>
      <c r="I60" s="28" t="s">
        <v>27</v>
      </c>
      <c r="J60" s="1" t="s">
        <v>27</v>
      </c>
      <c r="K60" s="1" t="s">
        <v>27</v>
      </c>
      <c r="L60" s="26"/>
      <c r="M60" s="26"/>
      <c r="N60" s="26"/>
      <c r="O60" s="26"/>
      <c r="P60" s="27"/>
    </row>
    <row r="61" spans="1:16">
      <c r="A61" s="28" t="s">
        <v>27</v>
      </c>
      <c r="B61" s="1" t="s">
        <v>27</v>
      </c>
      <c r="C61" s="1" t="s">
        <v>27</v>
      </c>
      <c r="D61" s="26"/>
      <c r="E61" s="26"/>
      <c r="F61" s="26"/>
      <c r="G61" s="26"/>
      <c r="H61" s="27"/>
      <c r="I61" s="28" t="s">
        <v>27</v>
      </c>
      <c r="J61" s="1" t="s">
        <v>27</v>
      </c>
      <c r="K61" s="1" t="s">
        <v>27</v>
      </c>
      <c r="L61" s="26"/>
      <c r="M61" s="26"/>
      <c r="N61" s="26"/>
      <c r="O61" s="26"/>
      <c r="P61" s="27"/>
    </row>
    <row r="62" spans="1:16">
      <c r="A62" s="28" t="s">
        <v>27</v>
      </c>
      <c r="B62" s="1" t="s">
        <v>27</v>
      </c>
      <c r="C62" s="1" t="s">
        <v>27</v>
      </c>
      <c r="D62" s="26"/>
      <c r="E62" s="26"/>
      <c r="F62" s="26"/>
      <c r="G62" s="26"/>
      <c r="H62" s="27"/>
      <c r="I62" s="28" t="s">
        <v>27</v>
      </c>
      <c r="J62" s="1" t="s">
        <v>27</v>
      </c>
      <c r="K62" s="1" t="s">
        <v>27</v>
      </c>
      <c r="L62" s="26"/>
      <c r="M62" s="26"/>
      <c r="N62" s="26"/>
      <c r="O62" s="26"/>
      <c r="P62" s="27"/>
    </row>
    <row r="63" spans="1:16">
      <c r="A63" s="28" t="s">
        <v>27</v>
      </c>
      <c r="B63" s="1" t="s">
        <v>27</v>
      </c>
      <c r="C63" s="1" t="s">
        <v>27</v>
      </c>
      <c r="D63" s="26"/>
      <c r="E63" s="26"/>
      <c r="F63" s="26"/>
      <c r="G63" s="26"/>
      <c r="H63" s="27"/>
      <c r="I63" s="28" t="s">
        <v>27</v>
      </c>
      <c r="J63" s="1" t="s">
        <v>27</v>
      </c>
      <c r="K63" s="1" t="s">
        <v>27</v>
      </c>
      <c r="L63" s="26"/>
      <c r="M63" s="26"/>
      <c r="N63" s="26"/>
      <c r="O63" s="26"/>
      <c r="P63" s="27"/>
    </row>
    <row r="64" spans="1:16">
      <c r="A64" s="28" t="s">
        <v>27</v>
      </c>
      <c r="B64" s="1" t="s">
        <v>27</v>
      </c>
      <c r="C64" s="1" t="s">
        <v>27</v>
      </c>
      <c r="D64" s="26"/>
      <c r="E64" s="26"/>
      <c r="F64" s="26"/>
      <c r="G64" s="26"/>
      <c r="H64" s="27"/>
      <c r="I64" s="28" t="s">
        <v>27</v>
      </c>
      <c r="J64" s="1" t="s">
        <v>27</v>
      </c>
      <c r="K64" s="1" t="s">
        <v>27</v>
      </c>
      <c r="L64" s="26"/>
      <c r="M64" s="26"/>
      <c r="N64" s="26"/>
      <c r="O64" s="26"/>
      <c r="P64" s="27"/>
    </row>
    <row r="65" spans="1:16">
      <c r="A65" s="28" t="s">
        <v>27</v>
      </c>
      <c r="B65" s="1" t="s">
        <v>27</v>
      </c>
      <c r="C65" s="1" t="s">
        <v>27</v>
      </c>
      <c r="D65" s="26"/>
      <c r="E65" s="26"/>
      <c r="F65" s="26"/>
      <c r="G65" s="26"/>
      <c r="H65" s="27"/>
      <c r="I65" s="28" t="s">
        <v>27</v>
      </c>
      <c r="J65" s="1" t="s">
        <v>27</v>
      </c>
      <c r="K65" s="1" t="s">
        <v>27</v>
      </c>
      <c r="L65" s="26"/>
      <c r="M65" s="26"/>
      <c r="N65" s="26"/>
      <c r="O65" s="26"/>
      <c r="P65" s="27"/>
    </row>
    <row r="66" spans="1:16">
      <c r="A66" s="28" t="s">
        <v>27</v>
      </c>
      <c r="B66" s="1" t="s">
        <v>27</v>
      </c>
      <c r="C66" s="1" t="s">
        <v>27</v>
      </c>
      <c r="D66" s="26"/>
      <c r="E66" s="26"/>
      <c r="F66" s="26"/>
      <c r="G66" s="26"/>
      <c r="H66" s="27"/>
      <c r="I66" s="28" t="s">
        <v>27</v>
      </c>
      <c r="J66" s="1" t="s">
        <v>27</v>
      </c>
      <c r="K66" s="1" t="s">
        <v>27</v>
      </c>
      <c r="L66" s="26"/>
      <c r="M66" s="26"/>
      <c r="N66" s="26"/>
      <c r="O66" s="26"/>
      <c r="P66" s="27"/>
    </row>
    <row r="67" spans="1:16">
      <c r="A67" s="28" t="s">
        <v>27</v>
      </c>
      <c r="B67" s="1" t="s">
        <v>27</v>
      </c>
      <c r="C67" s="1" t="s">
        <v>27</v>
      </c>
      <c r="D67" s="26"/>
      <c r="E67" s="26"/>
      <c r="F67" s="26"/>
      <c r="G67" s="26"/>
      <c r="H67" s="27"/>
      <c r="I67" s="28" t="s">
        <v>27</v>
      </c>
      <c r="J67" s="1" t="s">
        <v>27</v>
      </c>
      <c r="K67" s="1" t="s">
        <v>27</v>
      </c>
      <c r="L67" s="26"/>
      <c r="M67" s="26"/>
      <c r="N67" s="26"/>
      <c r="O67" s="26"/>
      <c r="P67" s="27"/>
    </row>
    <row r="68" spans="1:16">
      <c r="A68" s="28" t="s">
        <v>27</v>
      </c>
      <c r="B68" s="1" t="s">
        <v>27</v>
      </c>
      <c r="C68" s="1" t="s">
        <v>27</v>
      </c>
      <c r="D68" s="26"/>
      <c r="E68" s="26"/>
      <c r="F68" s="26"/>
      <c r="G68" s="26"/>
      <c r="H68" s="27"/>
      <c r="I68" s="28" t="s">
        <v>27</v>
      </c>
      <c r="J68" s="1" t="s">
        <v>27</v>
      </c>
      <c r="K68" s="1" t="s">
        <v>27</v>
      </c>
      <c r="L68" s="26"/>
      <c r="M68" s="26"/>
      <c r="N68" s="26"/>
      <c r="O68" s="26"/>
      <c r="P68" s="27"/>
    </row>
    <row r="69" spans="1:16">
      <c r="A69" s="28" t="s">
        <v>27</v>
      </c>
      <c r="B69" s="1" t="s">
        <v>27</v>
      </c>
      <c r="C69" s="1" t="s">
        <v>27</v>
      </c>
      <c r="D69" s="26"/>
      <c r="E69" s="26"/>
      <c r="F69" s="26"/>
      <c r="G69" s="26"/>
      <c r="H69" s="27"/>
      <c r="I69" s="28" t="s">
        <v>27</v>
      </c>
      <c r="J69" s="1" t="s">
        <v>27</v>
      </c>
      <c r="K69" s="1" t="s">
        <v>27</v>
      </c>
      <c r="L69" s="26"/>
      <c r="M69" s="26"/>
      <c r="N69" s="26"/>
      <c r="O69" s="26"/>
      <c r="P69" s="27"/>
    </row>
    <row r="70" spans="1:16">
      <c r="A70" s="28" t="s">
        <v>27</v>
      </c>
      <c r="B70" s="1" t="s">
        <v>27</v>
      </c>
      <c r="C70" s="1" t="s">
        <v>27</v>
      </c>
      <c r="D70" s="26"/>
      <c r="E70" s="26"/>
      <c r="F70" s="26"/>
      <c r="G70" s="26"/>
      <c r="H70" s="27"/>
      <c r="I70" s="28" t="s">
        <v>27</v>
      </c>
      <c r="J70" s="1" t="s">
        <v>27</v>
      </c>
      <c r="K70" s="1" t="s">
        <v>27</v>
      </c>
      <c r="L70" s="26"/>
      <c r="M70" s="26"/>
      <c r="N70" s="26"/>
      <c r="O70" s="26"/>
      <c r="P70" s="27"/>
    </row>
    <row r="71" spans="1:16">
      <c r="A71" s="28" t="s">
        <v>27</v>
      </c>
      <c r="B71" s="1" t="s">
        <v>27</v>
      </c>
      <c r="C71" s="1" t="s">
        <v>27</v>
      </c>
      <c r="D71" s="26"/>
      <c r="E71" s="26"/>
      <c r="F71" s="26"/>
      <c r="G71" s="26"/>
      <c r="H71" s="27"/>
      <c r="I71" s="28" t="s">
        <v>27</v>
      </c>
      <c r="J71" s="1" t="s">
        <v>27</v>
      </c>
      <c r="K71" s="1" t="s">
        <v>27</v>
      </c>
      <c r="L71" s="26"/>
      <c r="M71" s="26"/>
      <c r="N71" s="26"/>
      <c r="O71" s="26"/>
      <c r="P71" s="27"/>
    </row>
    <row r="72" spans="1:16">
      <c r="A72" s="28" t="s">
        <v>27</v>
      </c>
      <c r="B72" s="1" t="s">
        <v>27</v>
      </c>
      <c r="C72" s="1" t="s">
        <v>27</v>
      </c>
      <c r="D72" s="26"/>
      <c r="E72" s="26"/>
      <c r="F72" s="26"/>
      <c r="G72" s="26"/>
      <c r="H72" s="27"/>
      <c r="I72" s="28" t="s">
        <v>27</v>
      </c>
      <c r="J72" s="1" t="s">
        <v>27</v>
      </c>
      <c r="K72" s="1" t="s">
        <v>27</v>
      </c>
      <c r="L72" s="26"/>
      <c r="M72" s="26"/>
      <c r="N72" s="26"/>
      <c r="O72" s="26"/>
      <c r="P72" s="27"/>
    </row>
    <row r="73" spans="1:16">
      <c r="A73" s="28" t="s">
        <v>27</v>
      </c>
      <c r="B73" s="1" t="s">
        <v>27</v>
      </c>
      <c r="C73" s="1" t="s">
        <v>27</v>
      </c>
      <c r="D73" s="26"/>
      <c r="E73" s="26"/>
      <c r="F73" s="26"/>
      <c r="G73" s="26"/>
      <c r="H73" s="27"/>
      <c r="I73" s="28" t="s">
        <v>27</v>
      </c>
      <c r="J73" s="1" t="s">
        <v>27</v>
      </c>
      <c r="K73" s="1" t="s">
        <v>27</v>
      </c>
      <c r="L73" s="26"/>
      <c r="M73" s="26"/>
      <c r="N73" s="26"/>
      <c r="O73" s="26"/>
      <c r="P73" s="27"/>
    </row>
    <row r="74" spans="1:16">
      <c r="A74" s="28" t="s">
        <v>27</v>
      </c>
      <c r="B74" s="1" t="s">
        <v>27</v>
      </c>
      <c r="C74" s="1" t="s">
        <v>27</v>
      </c>
      <c r="D74" s="26"/>
      <c r="E74" s="26"/>
      <c r="F74" s="26"/>
      <c r="G74" s="26"/>
      <c r="H74" s="27"/>
      <c r="I74" s="28" t="s">
        <v>27</v>
      </c>
      <c r="J74" s="1" t="s">
        <v>27</v>
      </c>
      <c r="K74" s="1" t="s">
        <v>27</v>
      </c>
      <c r="L74" s="26"/>
      <c r="M74" s="26"/>
      <c r="N74" s="26"/>
      <c r="O74" s="26"/>
      <c r="P74" s="27"/>
    </row>
    <row r="75" spans="1:16">
      <c r="A75" s="28" t="s">
        <v>27</v>
      </c>
      <c r="B75" s="1" t="s">
        <v>27</v>
      </c>
      <c r="C75" s="1" t="s">
        <v>27</v>
      </c>
      <c r="D75" s="26"/>
      <c r="E75" s="26"/>
      <c r="F75" s="26"/>
      <c r="G75" s="26"/>
      <c r="H75" s="27"/>
      <c r="I75" s="28" t="s">
        <v>27</v>
      </c>
      <c r="J75" s="1" t="s">
        <v>27</v>
      </c>
      <c r="K75" s="1" t="s">
        <v>27</v>
      </c>
      <c r="L75" s="26"/>
      <c r="M75" s="26"/>
      <c r="N75" s="26"/>
      <c r="O75" s="26"/>
      <c r="P75" s="27"/>
    </row>
    <row r="76" spans="1:16">
      <c r="A76" s="28" t="s">
        <v>27</v>
      </c>
      <c r="B76" s="1" t="s">
        <v>27</v>
      </c>
      <c r="C76" s="1" t="s">
        <v>27</v>
      </c>
      <c r="D76" s="26"/>
      <c r="E76" s="26"/>
      <c r="F76" s="26"/>
      <c r="G76" s="26"/>
      <c r="H76" s="27"/>
      <c r="I76" s="28" t="s">
        <v>27</v>
      </c>
      <c r="J76" s="1" t="s">
        <v>27</v>
      </c>
      <c r="K76" s="1" t="s">
        <v>27</v>
      </c>
      <c r="L76" s="26"/>
      <c r="M76" s="26"/>
      <c r="N76" s="26"/>
      <c r="O76" s="26"/>
      <c r="P76" s="27"/>
    </row>
    <row r="77" spans="1:16">
      <c r="A77" s="28" t="s">
        <v>27</v>
      </c>
      <c r="B77" s="1" t="s">
        <v>27</v>
      </c>
      <c r="C77" s="1" t="s">
        <v>27</v>
      </c>
      <c r="D77" s="26"/>
      <c r="E77" s="26"/>
      <c r="F77" s="26"/>
      <c r="G77" s="26"/>
      <c r="H77" s="27"/>
      <c r="I77" s="28" t="s">
        <v>27</v>
      </c>
      <c r="J77" s="1" t="s">
        <v>27</v>
      </c>
      <c r="K77" s="1" t="s">
        <v>27</v>
      </c>
      <c r="L77" s="26"/>
      <c r="M77" s="26"/>
      <c r="N77" s="26"/>
      <c r="O77" s="26"/>
      <c r="P77" s="27"/>
    </row>
    <row r="78" spans="1:16">
      <c r="A78" s="28" t="s">
        <v>27</v>
      </c>
      <c r="B78" s="1" t="s">
        <v>27</v>
      </c>
      <c r="C78" s="1" t="s">
        <v>27</v>
      </c>
      <c r="D78" s="26"/>
      <c r="E78" s="26"/>
      <c r="F78" s="26"/>
      <c r="G78" s="26"/>
      <c r="H78" s="27"/>
      <c r="I78" s="28" t="s">
        <v>27</v>
      </c>
      <c r="J78" s="1" t="s">
        <v>27</v>
      </c>
      <c r="K78" s="1" t="s">
        <v>27</v>
      </c>
      <c r="L78" s="26"/>
      <c r="M78" s="26"/>
      <c r="N78" s="26"/>
      <c r="O78" s="26"/>
      <c r="P78" s="27"/>
    </row>
    <row r="79" spans="1:16">
      <c r="A79" s="28" t="s">
        <v>27</v>
      </c>
      <c r="B79" s="1" t="s">
        <v>27</v>
      </c>
      <c r="C79" s="1" t="s">
        <v>27</v>
      </c>
      <c r="D79" s="26"/>
      <c r="E79" s="26"/>
      <c r="F79" s="26"/>
      <c r="G79" s="26"/>
      <c r="H79" s="27"/>
      <c r="I79" s="28" t="s">
        <v>27</v>
      </c>
      <c r="J79" s="1" t="s">
        <v>27</v>
      </c>
      <c r="K79" s="1" t="s">
        <v>27</v>
      </c>
      <c r="L79" s="26"/>
      <c r="M79" s="26"/>
      <c r="N79" s="26"/>
      <c r="O79" s="26"/>
      <c r="P79" s="27"/>
    </row>
    <row r="80" spans="1:16">
      <c r="A80" s="28" t="s">
        <v>27</v>
      </c>
      <c r="B80" s="1" t="s">
        <v>27</v>
      </c>
      <c r="C80" s="1" t="s">
        <v>27</v>
      </c>
      <c r="D80" s="26"/>
      <c r="E80" s="26"/>
      <c r="F80" s="26"/>
      <c r="G80" s="26"/>
      <c r="H80" s="27"/>
      <c r="I80" s="28" t="s">
        <v>27</v>
      </c>
      <c r="J80" s="1" t="s">
        <v>27</v>
      </c>
      <c r="K80" s="1" t="s">
        <v>27</v>
      </c>
      <c r="L80" s="26"/>
      <c r="M80" s="26"/>
      <c r="N80" s="26"/>
      <c r="O80" s="26"/>
      <c r="P80" s="27"/>
    </row>
    <row r="81" spans="1:16">
      <c r="A81" s="28" t="s">
        <v>27</v>
      </c>
      <c r="B81" s="1" t="s">
        <v>27</v>
      </c>
      <c r="C81" s="1" t="s">
        <v>27</v>
      </c>
      <c r="D81" s="26"/>
      <c r="E81" s="26"/>
      <c r="F81" s="26"/>
      <c r="G81" s="26"/>
      <c r="H81" s="27"/>
      <c r="I81" s="28" t="s">
        <v>27</v>
      </c>
      <c r="J81" s="1" t="s">
        <v>27</v>
      </c>
      <c r="K81" s="1" t="s">
        <v>27</v>
      </c>
      <c r="L81" s="26"/>
      <c r="M81" s="26"/>
      <c r="N81" s="26"/>
      <c r="O81" s="26"/>
      <c r="P81" s="27"/>
    </row>
    <row r="82" spans="1:16">
      <c r="A82" s="28" t="s">
        <v>27</v>
      </c>
      <c r="B82" s="1" t="s">
        <v>27</v>
      </c>
      <c r="C82" s="1" t="s">
        <v>27</v>
      </c>
      <c r="D82" s="26"/>
      <c r="E82" s="26"/>
      <c r="F82" s="26"/>
      <c r="G82" s="26"/>
      <c r="H82" s="27"/>
      <c r="I82" s="28" t="s">
        <v>27</v>
      </c>
      <c r="J82" s="1" t="s">
        <v>27</v>
      </c>
      <c r="K82" s="1" t="s">
        <v>27</v>
      </c>
      <c r="L82" s="26"/>
      <c r="M82" s="26"/>
      <c r="N82" s="26"/>
      <c r="O82" s="26"/>
      <c r="P82" s="27"/>
    </row>
    <row r="83" spans="1:16">
      <c r="A83" s="28" t="s">
        <v>27</v>
      </c>
      <c r="B83" s="1" t="s">
        <v>27</v>
      </c>
      <c r="C83" s="1" t="s">
        <v>27</v>
      </c>
      <c r="D83" s="26"/>
      <c r="E83" s="26"/>
      <c r="F83" s="26"/>
      <c r="G83" s="26"/>
      <c r="H83" s="27"/>
      <c r="I83" s="28" t="s">
        <v>27</v>
      </c>
      <c r="J83" s="1" t="s">
        <v>27</v>
      </c>
      <c r="K83" s="1" t="s">
        <v>27</v>
      </c>
      <c r="L83" s="26"/>
      <c r="M83" s="26"/>
      <c r="N83" s="26"/>
      <c r="O83" s="26"/>
      <c r="P83" s="27"/>
    </row>
    <row r="84" spans="1:16">
      <c r="A84" s="28" t="s">
        <v>27</v>
      </c>
      <c r="B84" s="1" t="s">
        <v>27</v>
      </c>
      <c r="C84" s="1" t="s">
        <v>27</v>
      </c>
      <c r="D84" s="26"/>
      <c r="E84" s="26"/>
      <c r="F84" s="26"/>
      <c r="G84" s="26"/>
      <c r="H84" s="27"/>
      <c r="I84" s="28" t="s">
        <v>27</v>
      </c>
      <c r="J84" s="1" t="s">
        <v>27</v>
      </c>
      <c r="K84" s="1" t="s">
        <v>27</v>
      </c>
      <c r="L84" s="26"/>
      <c r="M84" s="26"/>
      <c r="N84" s="26"/>
      <c r="O84" s="26"/>
      <c r="P84" s="27"/>
    </row>
    <row r="85" spans="1:16">
      <c r="A85" s="28" t="s">
        <v>27</v>
      </c>
      <c r="B85" s="1" t="s">
        <v>27</v>
      </c>
      <c r="C85" s="1" t="s">
        <v>27</v>
      </c>
      <c r="D85" s="26"/>
      <c r="E85" s="26"/>
      <c r="F85" s="26"/>
      <c r="G85" s="26"/>
      <c r="H85" s="27"/>
      <c r="I85" s="28" t="s">
        <v>27</v>
      </c>
      <c r="J85" s="1" t="s">
        <v>27</v>
      </c>
      <c r="K85" s="1" t="s">
        <v>27</v>
      </c>
      <c r="L85" s="26"/>
      <c r="M85" s="26"/>
      <c r="N85" s="26"/>
      <c r="O85" s="26"/>
      <c r="P85" s="27"/>
    </row>
    <row r="86" spans="1:16">
      <c r="A86" s="28" t="s">
        <v>27</v>
      </c>
      <c r="B86" s="1" t="s">
        <v>27</v>
      </c>
      <c r="C86" s="1" t="s">
        <v>27</v>
      </c>
      <c r="D86" s="26"/>
      <c r="E86" s="26"/>
      <c r="F86" s="26"/>
      <c r="G86" s="26"/>
      <c r="H86" s="27"/>
      <c r="I86" s="28" t="s">
        <v>27</v>
      </c>
      <c r="J86" s="1" t="s">
        <v>27</v>
      </c>
      <c r="K86" s="1" t="s">
        <v>27</v>
      </c>
      <c r="L86" s="26"/>
      <c r="M86" s="26"/>
      <c r="N86" s="26"/>
      <c r="O86" s="26"/>
      <c r="P86" s="27"/>
    </row>
    <row r="87" spans="1:16">
      <c r="A87" s="28" t="s">
        <v>27</v>
      </c>
      <c r="B87" s="1" t="s">
        <v>27</v>
      </c>
      <c r="C87" s="1" t="s">
        <v>27</v>
      </c>
      <c r="D87" s="26"/>
      <c r="E87" s="26"/>
      <c r="F87" s="26"/>
      <c r="G87" s="26"/>
      <c r="H87" s="27"/>
      <c r="I87" s="28" t="s">
        <v>27</v>
      </c>
      <c r="J87" s="1" t="s">
        <v>27</v>
      </c>
      <c r="K87" s="1" t="s">
        <v>27</v>
      </c>
      <c r="L87" s="26"/>
      <c r="M87" s="26"/>
      <c r="N87" s="26"/>
      <c r="O87" s="26"/>
      <c r="P87" s="27"/>
    </row>
    <row r="88" spans="1:16">
      <c r="A88" s="28" t="s">
        <v>27</v>
      </c>
      <c r="B88" s="1" t="s">
        <v>27</v>
      </c>
      <c r="C88" s="1" t="s">
        <v>27</v>
      </c>
      <c r="D88" s="26"/>
      <c r="E88" s="26"/>
      <c r="F88" s="26"/>
      <c r="G88" s="26"/>
      <c r="H88" s="27"/>
      <c r="I88" s="28" t="s">
        <v>27</v>
      </c>
      <c r="J88" s="1" t="s">
        <v>27</v>
      </c>
      <c r="K88" s="1" t="s">
        <v>27</v>
      </c>
      <c r="L88" s="26"/>
      <c r="M88" s="26"/>
      <c r="N88" s="26"/>
      <c r="O88" s="26"/>
      <c r="P88" s="27"/>
    </row>
    <row r="89" spans="1:16">
      <c r="A89" s="28" t="s">
        <v>27</v>
      </c>
      <c r="B89" s="1" t="s">
        <v>27</v>
      </c>
      <c r="C89" s="1" t="s">
        <v>27</v>
      </c>
      <c r="D89" s="26"/>
      <c r="E89" s="26"/>
      <c r="F89" s="26"/>
      <c r="G89" s="26"/>
      <c r="H89" s="27"/>
      <c r="I89" s="28" t="s">
        <v>27</v>
      </c>
      <c r="J89" s="1" t="s">
        <v>27</v>
      </c>
      <c r="K89" s="1" t="s">
        <v>27</v>
      </c>
      <c r="L89" s="26"/>
      <c r="M89" s="26"/>
      <c r="N89" s="26"/>
      <c r="O89" s="26"/>
      <c r="P89" s="27"/>
    </row>
    <row r="90" spans="1:16">
      <c r="A90" s="28" t="s">
        <v>27</v>
      </c>
      <c r="B90" s="1" t="s">
        <v>27</v>
      </c>
      <c r="C90" s="1" t="s">
        <v>27</v>
      </c>
      <c r="D90" s="26"/>
      <c r="E90" s="26"/>
      <c r="F90" s="26"/>
      <c r="G90" s="26"/>
      <c r="H90" s="27"/>
      <c r="I90" s="28" t="s">
        <v>27</v>
      </c>
      <c r="J90" s="1" t="s">
        <v>27</v>
      </c>
      <c r="K90" s="1" t="s">
        <v>27</v>
      </c>
      <c r="L90" s="26"/>
      <c r="M90" s="26"/>
      <c r="N90" s="26"/>
      <c r="O90" s="26"/>
      <c r="P90" s="27"/>
    </row>
    <row r="91" spans="1:16">
      <c r="A91" s="28" t="s">
        <v>27</v>
      </c>
      <c r="B91" s="1" t="s">
        <v>27</v>
      </c>
      <c r="C91" s="1" t="s">
        <v>27</v>
      </c>
      <c r="D91" s="26"/>
      <c r="E91" s="26"/>
      <c r="F91" s="26"/>
      <c r="G91" s="26"/>
      <c r="H91" s="27"/>
      <c r="I91" s="28" t="s">
        <v>27</v>
      </c>
      <c r="J91" s="1" t="s">
        <v>27</v>
      </c>
      <c r="K91" s="1" t="s">
        <v>27</v>
      </c>
      <c r="L91" s="26"/>
      <c r="M91" s="26"/>
      <c r="N91" s="26"/>
      <c r="O91" s="26"/>
      <c r="P91" s="27"/>
    </row>
    <row r="92" spans="1:16">
      <c r="A92" s="28" t="s">
        <v>27</v>
      </c>
      <c r="B92" s="1" t="s">
        <v>27</v>
      </c>
      <c r="C92" s="1" t="s">
        <v>27</v>
      </c>
      <c r="D92" s="26"/>
      <c r="E92" s="26"/>
      <c r="F92" s="26"/>
      <c r="G92" s="26"/>
      <c r="H92" s="27"/>
      <c r="I92" s="28" t="s">
        <v>27</v>
      </c>
      <c r="J92" s="1" t="s">
        <v>27</v>
      </c>
      <c r="K92" s="1" t="s">
        <v>27</v>
      </c>
      <c r="L92" s="26"/>
      <c r="M92" s="26"/>
      <c r="N92" s="26"/>
      <c r="O92" s="26"/>
      <c r="P92" s="27"/>
    </row>
    <row r="93" spans="1:16">
      <c r="A93" s="28" t="s">
        <v>27</v>
      </c>
      <c r="B93" s="1" t="s">
        <v>27</v>
      </c>
      <c r="C93" s="1" t="s">
        <v>27</v>
      </c>
      <c r="D93" s="26"/>
      <c r="E93" s="26"/>
      <c r="F93" s="26"/>
      <c r="G93" s="26"/>
      <c r="H93" s="27"/>
      <c r="I93" s="28" t="s">
        <v>27</v>
      </c>
      <c r="J93" s="1" t="s">
        <v>27</v>
      </c>
      <c r="K93" s="1" t="s">
        <v>27</v>
      </c>
      <c r="L93" s="26"/>
      <c r="M93" s="26"/>
      <c r="N93" s="26"/>
      <c r="O93" s="26"/>
      <c r="P93" s="27"/>
    </row>
    <row r="94" spans="1:16">
      <c r="A94" s="28" t="s">
        <v>27</v>
      </c>
      <c r="B94" s="1" t="s">
        <v>27</v>
      </c>
      <c r="C94" s="1" t="s">
        <v>27</v>
      </c>
      <c r="D94" s="26"/>
      <c r="E94" s="26"/>
      <c r="F94" s="26"/>
      <c r="G94" s="26"/>
      <c r="H94" s="27"/>
      <c r="I94" s="28" t="s">
        <v>27</v>
      </c>
      <c r="J94" s="1" t="s">
        <v>27</v>
      </c>
      <c r="K94" s="1" t="s">
        <v>27</v>
      </c>
      <c r="L94" s="26"/>
      <c r="M94" s="26"/>
      <c r="N94" s="26"/>
      <c r="O94" s="26"/>
      <c r="P94" s="27"/>
    </row>
    <row r="95" spans="1:16">
      <c r="A95" s="28" t="s">
        <v>27</v>
      </c>
      <c r="B95" s="1" t="s">
        <v>27</v>
      </c>
      <c r="C95" s="1" t="s">
        <v>27</v>
      </c>
      <c r="D95" s="26"/>
      <c r="E95" s="26"/>
      <c r="F95" s="26"/>
      <c r="G95" s="26"/>
      <c r="H95" s="27"/>
      <c r="I95" s="28" t="s">
        <v>27</v>
      </c>
      <c r="J95" s="1" t="s">
        <v>27</v>
      </c>
      <c r="K95" s="1" t="s">
        <v>27</v>
      </c>
      <c r="L95" s="26"/>
      <c r="M95" s="26"/>
      <c r="N95" s="26"/>
      <c r="O95" s="26"/>
      <c r="P95" s="27"/>
    </row>
    <row r="96" spans="1:16">
      <c r="A96" s="28" t="s">
        <v>27</v>
      </c>
      <c r="B96" s="1" t="s">
        <v>27</v>
      </c>
      <c r="C96" s="1" t="s">
        <v>27</v>
      </c>
      <c r="D96" s="26"/>
      <c r="E96" s="26"/>
      <c r="F96" s="26"/>
      <c r="G96" s="26"/>
      <c r="H96" s="27"/>
      <c r="I96" s="28" t="s">
        <v>27</v>
      </c>
      <c r="J96" s="1" t="s">
        <v>27</v>
      </c>
      <c r="K96" s="1" t="s">
        <v>27</v>
      </c>
      <c r="L96" s="26"/>
      <c r="M96" s="26"/>
      <c r="N96" s="26"/>
      <c r="O96" s="26"/>
      <c r="P96" s="27"/>
    </row>
    <row r="97" spans="1:16">
      <c r="A97" s="28" t="s">
        <v>27</v>
      </c>
      <c r="B97" s="1" t="s">
        <v>27</v>
      </c>
      <c r="C97" s="1" t="s">
        <v>27</v>
      </c>
      <c r="D97" s="26"/>
      <c r="E97" s="26"/>
      <c r="F97" s="26"/>
      <c r="G97" s="26"/>
      <c r="H97" s="27"/>
      <c r="I97" s="28" t="s">
        <v>27</v>
      </c>
      <c r="J97" s="1" t="s">
        <v>27</v>
      </c>
      <c r="K97" s="1" t="s">
        <v>27</v>
      </c>
      <c r="L97" s="26"/>
      <c r="M97" s="26"/>
      <c r="N97" s="26"/>
      <c r="O97" s="26"/>
      <c r="P97" s="27"/>
    </row>
    <row r="98" spans="1:16">
      <c r="A98" s="28" t="s">
        <v>27</v>
      </c>
      <c r="B98" s="1" t="s">
        <v>27</v>
      </c>
      <c r="C98" s="1" t="s">
        <v>27</v>
      </c>
      <c r="D98" s="26"/>
      <c r="E98" s="26"/>
      <c r="F98" s="26"/>
      <c r="G98" s="26"/>
      <c r="H98" s="27"/>
      <c r="I98" s="28" t="s">
        <v>27</v>
      </c>
      <c r="J98" s="1" t="s">
        <v>27</v>
      </c>
      <c r="K98" s="1" t="s">
        <v>27</v>
      </c>
      <c r="L98" s="26"/>
      <c r="M98" s="26"/>
      <c r="N98" s="26"/>
      <c r="O98" s="26"/>
      <c r="P98" s="27"/>
    </row>
    <row r="99" spans="1:16">
      <c r="A99" s="28" t="s">
        <v>27</v>
      </c>
      <c r="B99" s="1" t="s">
        <v>27</v>
      </c>
      <c r="C99" s="1" t="s">
        <v>27</v>
      </c>
      <c r="D99" s="26"/>
      <c r="E99" s="26"/>
      <c r="F99" s="26"/>
      <c r="G99" s="26"/>
      <c r="H99" s="27"/>
      <c r="I99" s="28" t="s">
        <v>27</v>
      </c>
      <c r="J99" s="1" t="s">
        <v>27</v>
      </c>
      <c r="K99" s="1" t="s">
        <v>27</v>
      </c>
      <c r="L99" s="26"/>
      <c r="M99" s="26"/>
      <c r="N99" s="26"/>
      <c r="O99" s="26"/>
      <c r="P99" s="27"/>
    </row>
    <row r="100" spans="1:16" ht="15.75" thickBot="1">
      <c r="A100" s="29" t="s">
        <v>27</v>
      </c>
      <c r="B100" s="30" t="s">
        <v>27</v>
      </c>
      <c r="C100" s="30" t="s">
        <v>27</v>
      </c>
      <c r="D100" s="31"/>
      <c r="E100" s="31"/>
      <c r="F100" s="31"/>
      <c r="G100" s="31"/>
      <c r="H100" s="32"/>
      <c r="I100" s="29" t="s">
        <v>27</v>
      </c>
      <c r="J100" s="30" t="s">
        <v>27</v>
      </c>
      <c r="K100" s="30" t="s">
        <v>27</v>
      </c>
      <c r="L100" s="31"/>
      <c r="M100" s="31"/>
      <c r="N100" s="31"/>
      <c r="O100" s="31"/>
      <c r="P100" s="32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ED570-6427-434C-BBBD-6E4CA846491F}">
  <dimension ref="A1:AB100"/>
  <sheetViews>
    <sheetView workbookViewId="0">
      <selection activeCell="O16" sqref="O16"/>
    </sheetView>
  </sheetViews>
  <sheetFormatPr defaultRowHeight="15"/>
  <sheetData>
    <row r="1" spans="1:28" ht="15.75">
      <c r="A1" s="62" t="s">
        <v>30</v>
      </c>
      <c r="B1" s="63"/>
      <c r="C1" s="63"/>
      <c r="D1" s="63"/>
      <c r="E1" s="63"/>
      <c r="F1" s="64" t="s">
        <v>3</v>
      </c>
      <c r="G1" s="64"/>
      <c r="H1" s="24" cm="1">
        <f t="array" ref="H1">SUM(VLOOKUP(A4:C100,$T$3:$W$36,4,FALSE))+H4*10-H8*50</f>
        <v>3360.660380437741</v>
      </c>
      <c r="I1" s="65" t="s">
        <v>41</v>
      </c>
      <c r="J1" s="66"/>
      <c r="K1" s="66"/>
      <c r="L1" s="66"/>
      <c r="M1" s="66"/>
      <c r="N1" s="66"/>
      <c r="O1" s="66"/>
      <c r="P1" s="67"/>
      <c r="Q1" s="65" t="s">
        <v>48</v>
      </c>
      <c r="R1" s="66"/>
      <c r="S1" s="66"/>
      <c r="T1" s="66"/>
      <c r="U1" s="66"/>
      <c r="V1" s="66"/>
      <c r="W1" s="66"/>
      <c r="X1" s="66"/>
      <c r="Y1" s="66"/>
      <c r="Z1" s="66"/>
      <c r="AA1" s="66"/>
      <c r="AB1" s="67"/>
    </row>
    <row r="2" spans="1:28" ht="30">
      <c r="A2" s="68" t="s">
        <v>35</v>
      </c>
      <c r="B2" s="69"/>
      <c r="C2" s="69"/>
      <c r="D2" s="70" t="s">
        <v>37</v>
      </c>
      <c r="E2" s="71"/>
      <c r="F2" s="71"/>
      <c r="G2" s="71"/>
      <c r="H2" s="72"/>
      <c r="I2" s="73" t="s">
        <v>35</v>
      </c>
      <c r="J2" s="74"/>
      <c r="K2" s="74"/>
      <c r="L2" s="75" t="s">
        <v>37</v>
      </c>
      <c r="M2" s="75"/>
      <c r="N2" s="75"/>
      <c r="O2" s="75"/>
      <c r="P2" s="76"/>
      <c r="Q2" s="50" t="s">
        <v>43</v>
      </c>
      <c r="R2" s="51" cm="1">
        <f t="array" ref="R2">SUM(V3:V28*AB3:AB28)+H6+P6+R4*500</f>
        <v>65005</v>
      </c>
      <c r="S2" s="26"/>
      <c r="T2" s="1" t="s">
        <v>0</v>
      </c>
      <c r="U2" s="1" t="s">
        <v>1</v>
      </c>
      <c r="V2" s="1" t="s">
        <v>2</v>
      </c>
      <c r="W2" s="44" t="s">
        <v>3</v>
      </c>
      <c r="X2" s="46" t="s">
        <v>44</v>
      </c>
      <c r="Y2" s="46" t="s">
        <v>56</v>
      </c>
      <c r="Z2" s="47" t="s">
        <v>45</v>
      </c>
      <c r="AA2" s="47" t="s">
        <v>46</v>
      </c>
      <c r="AB2" s="52" t="s">
        <v>47</v>
      </c>
    </row>
    <row r="3" spans="1:28">
      <c r="A3" s="60" t="s">
        <v>31</v>
      </c>
      <c r="B3" s="61" t="s">
        <v>32</v>
      </c>
      <c r="C3" s="20" t="s">
        <v>33</v>
      </c>
      <c r="D3" s="33"/>
      <c r="E3" s="60" t="s">
        <v>31</v>
      </c>
      <c r="F3" s="61" t="s">
        <v>32</v>
      </c>
      <c r="G3" s="20" t="s">
        <v>33</v>
      </c>
      <c r="H3" s="34" t="s">
        <v>36</v>
      </c>
      <c r="I3" s="60" t="s">
        <v>31</v>
      </c>
      <c r="J3" s="61" t="s">
        <v>32</v>
      </c>
      <c r="K3" s="20" t="s">
        <v>33</v>
      </c>
      <c r="L3" s="33"/>
      <c r="M3" s="60" t="s">
        <v>31</v>
      </c>
      <c r="N3" s="61" t="s">
        <v>32</v>
      </c>
      <c r="O3" s="20" t="s">
        <v>33</v>
      </c>
      <c r="P3" s="34" t="s">
        <v>36</v>
      </c>
      <c r="Q3" s="53" t="s">
        <v>49</v>
      </c>
      <c r="R3" s="26">
        <v>91</v>
      </c>
      <c r="S3" s="26"/>
      <c r="T3" s="2" t="s">
        <v>4</v>
      </c>
      <c r="U3" s="1">
        <v>150</v>
      </c>
      <c r="V3" s="1">
        <v>35</v>
      </c>
      <c r="W3" s="45">
        <f>U3-V3/0.330882</f>
        <v>44.222109392472248</v>
      </c>
      <c r="X3" s="46"/>
      <c r="Y3" s="46">
        <v>25</v>
      </c>
      <c r="Z3" s="1">
        <f>COUNTIF($A$4:$C$100,T3)</f>
        <v>18</v>
      </c>
      <c r="AA3" s="1">
        <f>COUNTIF($I$4:$K$100,T3)</f>
        <v>8</v>
      </c>
      <c r="AB3" s="54">
        <f>Y3-Z3-AA3</f>
        <v>-1</v>
      </c>
    </row>
    <row r="4" spans="1:28">
      <c r="A4" s="2" t="s">
        <v>4</v>
      </c>
      <c r="B4" s="3" t="s">
        <v>5</v>
      </c>
      <c r="C4" s="2" t="s">
        <v>4</v>
      </c>
      <c r="D4" s="43" t="s">
        <v>34</v>
      </c>
      <c r="E4" s="39">
        <v>0</v>
      </c>
      <c r="F4" s="39">
        <v>7</v>
      </c>
      <c r="G4" s="39">
        <v>13</v>
      </c>
      <c r="H4" s="36">
        <f>SUM(E4:G4)</f>
        <v>20</v>
      </c>
      <c r="I4" s="2" t="s">
        <v>4</v>
      </c>
      <c r="J4" s="9" t="s">
        <v>11</v>
      </c>
      <c r="K4" s="3" t="s">
        <v>5</v>
      </c>
      <c r="L4" s="43" t="s">
        <v>34</v>
      </c>
      <c r="M4" s="39">
        <v>0</v>
      </c>
      <c r="N4" s="39">
        <v>1</v>
      </c>
      <c r="O4" s="39">
        <v>1</v>
      </c>
      <c r="P4" s="36">
        <f>SUM(M4:O4)</f>
        <v>2</v>
      </c>
      <c r="Q4" s="53" t="s">
        <v>50</v>
      </c>
      <c r="R4" s="40">
        <v>14</v>
      </c>
      <c r="S4" s="26"/>
      <c r="T4" s="3" t="s">
        <v>5</v>
      </c>
      <c r="U4" s="1">
        <v>160</v>
      </c>
      <c r="V4" s="1">
        <v>40</v>
      </c>
      <c r="W4" s="45">
        <f t="shared" ref="W4" si="0">U4-V4/0.330882</f>
        <v>39.110982162825422</v>
      </c>
      <c r="X4" s="46"/>
      <c r="Y4" s="46">
        <v>49</v>
      </c>
      <c r="Z4" s="1">
        <f t="shared" ref="Z4:Z28" si="1">COUNTIF($A$4:$C$100,T4)</f>
        <v>32</v>
      </c>
      <c r="AA4" s="1">
        <f t="shared" ref="AA4:AA28" si="2">COUNTIF($I$4:$K$100,T4)</f>
        <v>21</v>
      </c>
      <c r="AB4" s="54">
        <f t="shared" ref="AB4:AB28" si="3">Y4-Z4-AA4</f>
        <v>-4</v>
      </c>
    </row>
    <row r="5" spans="1:28">
      <c r="A5" s="2" t="s">
        <v>4</v>
      </c>
      <c r="B5" s="23" t="s">
        <v>29</v>
      </c>
      <c r="C5" s="2" t="s">
        <v>4</v>
      </c>
      <c r="D5" s="33" t="s">
        <v>38</v>
      </c>
      <c r="E5" s="35" cm="1">
        <f t="array" ref="E5">(SUM(VLOOKUP(A4:A100,$T$3:$W$41,2,FALSE))+E4*10)-E8*50</f>
        <v>900</v>
      </c>
      <c r="F5" s="35" cm="1">
        <f t="array" ref="F5">(SUM(VLOOKUP(B4:B100,$T$3:$W$41,2,FALSE))+F4*10)-F8*50</f>
        <v>6990</v>
      </c>
      <c r="G5" s="35" cm="1">
        <f t="array" ref="G5">(SUM(VLOOKUP(C4:C100,$T$3:$W$41,2,FALSE))+G4*10)-G8*50</f>
        <v>6950</v>
      </c>
      <c r="H5" s="59">
        <f t="shared" ref="H5:H8" si="4">SUM(E5:G5)</f>
        <v>14840</v>
      </c>
      <c r="I5" s="15" t="s">
        <v>17</v>
      </c>
      <c r="J5" s="1" t="s">
        <v>27</v>
      </c>
      <c r="K5" s="3" t="s">
        <v>5</v>
      </c>
      <c r="L5" s="33" t="s">
        <v>38</v>
      </c>
      <c r="M5" s="35" cm="1">
        <f t="array" ref="M5">(SUM(VLOOKUP(I4:I100,$T$3:$W$41,2,FALSE))+M4*10)*0.8-M8*40</f>
        <v>1848</v>
      </c>
      <c r="N5" s="35" cm="1">
        <f t="array" ref="N5">(SUM(VLOOKUP(J4:J100,$T$3:$W$41,2,FALSE))+N4*10)*0.8-N8*40</f>
        <v>504</v>
      </c>
      <c r="O5" s="35" cm="1">
        <f t="array" ref="O5">(SUM(VLOOKUP(K4:K100,$T$3:$W$41,2,FALSE))+O4*10)*0.8-O8*40</f>
        <v>1872</v>
      </c>
      <c r="P5" s="59">
        <f t="shared" ref="P5:P8" si="5">SUM(M5:O5)</f>
        <v>4224</v>
      </c>
      <c r="Q5" s="53" t="s">
        <v>51</v>
      </c>
      <c r="R5" s="26">
        <v>6000</v>
      </c>
      <c r="S5" s="26"/>
      <c r="T5" s="4" t="s">
        <v>6</v>
      </c>
      <c r="U5" s="1">
        <v>170</v>
      </c>
      <c r="V5" s="1">
        <v>45</v>
      </c>
      <c r="W5" s="45">
        <v>34</v>
      </c>
      <c r="X5" s="48"/>
      <c r="Y5" s="46">
        <v>216</v>
      </c>
      <c r="Z5" s="1">
        <f t="shared" si="1"/>
        <v>31</v>
      </c>
      <c r="AA5" s="1">
        <f t="shared" si="2"/>
        <v>0</v>
      </c>
      <c r="AB5" s="54">
        <f t="shared" si="3"/>
        <v>185</v>
      </c>
    </row>
    <row r="6" spans="1:28">
      <c r="A6" s="2" t="s">
        <v>4</v>
      </c>
      <c r="B6" s="3" t="s">
        <v>5</v>
      </c>
      <c r="C6" s="2" t="s">
        <v>4</v>
      </c>
      <c r="D6" s="33" t="s">
        <v>39</v>
      </c>
      <c r="E6" s="35" cm="1">
        <f t="array" ref="E6">(SUM(VLOOKUP(A4:A100,$T$3:$W$41,3,FALSE)))</f>
        <v>210</v>
      </c>
      <c r="F6" s="35" cm="1">
        <f t="array" ref="F6">(SUM(VLOOKUP(B4:B100,$T$3:$W$41,3,FALSE)))</f>
        <v>2625</v>
      </c>
      <c r="G6" s="35" cm="1">
        <f t="array" ref="G6">(SUM(VLOOKUP(C4:C100,$T$3:$W$41,3,FALSE)))</f>
        <v>2005</v>
      </c>
      <c r="H6" s="49">
        <f t="shared" si="4"/>
        <v>4840</v>
      </c>
      <c r="I6" s="2" t="s">
        <v>4</v>
      </c>
      <c r="J6" s="3" t="s">
        <v>5</v>
      </c>
      <c r="K6" s="3" t="s">
        <v>5</v>
      </c>
      <c r="L6" s="33" t="s">
        <v>39</v>
      </c>
      <c r="M6" s="35" cm="1">
        <f t="array" ref="M6">(SUM(VLOOKUP(I4:I100,$T$3:$W$41,3,FALSE)))</f>
        <v>740</v>
      </c>
      <c r="N6" s="35" cm="1">
        <f t="array" ref="N6">(SUM(VLOOKUP(J4:J100,$T$3:$W$41,3,FALSE)))</f>
        <v>160</v>
      </c>
      <c r="O6" s="35" cm="1">
        <f t="array" ref="O6">(SUM(VLOOKUP(K4:K100,$T$3:$W$41,3,FALSE)))</f>
        <v>620</v>
      </c>
      <c r="P6" s="49">
        <f t="shared" si="5"/>
        <v>1520</v>
      </c>
      <c r="Q6" s="50" t="s">
        <v>52</v>
      </c>
      <c r="R6" s="26">
        <f>R3*1600-800+R5</f>
        <v>150800</v>
      </c>
      <c r="S6" s="26"/>
      <c r="T6" s="5" t="s">
        <v>7</v>
      </c>
      <c r="U6" s="1">
        <v>180</v>
      </c>
      <c r="V6" s="1">
        <v>50</v>
      </c>
      <c r="W6" s="45">
        <v>36</v>
      </c>
      <c r="X6" s="46">
        <v>267</v>
      </c>
      <c r="Y6" s="46">
        <v>267</v>
      </c>
      <c r="Z6" s="1">
        <f t="shared" si="1"/>
        <v>0</v>
      </c>
      <c r="AA6" s="1">
        <f t="shared" si="2"/>
        <v>0</v>
      </c>
      <c r="AB6" s="54">
        <f t="shared" si="3"/>
        <v>267</v>
      </c>
    </row>
    <row r="7" spans="1:28">
      <c r="A7" s="2" t="s">
        <v>4</v>
      </c>
      <c r="B7" s="4" t="s">
        <v>6</v>
      </c>
      <c r="C7" s="2" t="s">
        <v>4</v>
      </c>
      <c r="D7" s="33" t="s">
        <v>40</v>
      </c>
      <c r="E7" s="35">
        <f>COUNTIF(A4:A100,"&lt;&gt;空")</f>
        <v>6</v>
      </c>
      <c r="F7" s="35">
        <f>COUNTIF(B4:B100,"&lt;&gt;空")</f>
        <v>44</v>
      </c>
      <c r="G7" s="35">
        <f>COUNTIF(C4:C100,"&lt;&gt;空")</f>
        <v>49</v>
      </c>
      <c r="H7" s="36">
        <f t="shared" si="4"/>
        <v>99</v>
      </c>
      <c r="I7" s="2" t="s">
        <v>4</v>
      </c>
      <c r="J7" s="1" t="s">
        <v>27</v>
      </c>
      <c r="K7" s="15" t="s">
        <v>17</v>
      </c>
      <c r="L7" s="33" t="s">
        <v>40</v>
      </c>
      <c r="M7" s="35">
        <f>COUNTIF(I4:I100,"&lt;&gt;空")</f>
        <v>22</v>
      </c>
      <c r="N7" s="35">
        <f>COUNTIF(J4:J100,"&lt;&gt;空")</f>
        <v>4</v>
      </c>
      <c r="O7" s="35">
        <f>COUNTIF(K4:K100,"&lt;&gt;空")</f>
        <v>16</v>
      </c>
      <c r="P7" s="36">
        <f t="shared" si="5"/>
        <v>42</v>
      </c>
      <c r="Q7" s="53" t="s">
        <v>55</v>
      </c>
      <c r="R7" s="26">
        <v>0</v>
      </c>
      <c r="S7" s="26"/>
      <c r="T7" s="6" t="s">
        <v>8</v>
      </c>
      <c r="U7" s="1">
        <v>190</v>
      </c>
      <c r="V7" s="1">
        <v>55</v>
      </c>
      <c r="W7" s="45">
        <v>38</v>
      </c>
      <c r="X7" s="46">
        <v>236</v>
      </c>
      <c r="Y7" s="46">
        <v>236</v>
      </c>
      <c r="Z7" s="1">
        <f t="shared" si="1"/>
        <v>0</v>
      </c>
      <c r="AA7" s="1">
        <f t="shared" si="2"/>
        <v>0</v>
      </c>
      <c r="AB7" s="54">
        <f t="shared" si="3"/>
        <v>236</v>
      </c>
    </row>
    <row r="8" spans="1:28">
      <c r="A8" s="2" t="s">
        <v>4</v>
      </c>
      <c r="B8" s="4" t="s">
        <v>6</v>
      </c>
      <c r="C8" s="2" t="s">
        <v>4</v>
      </c>
      <c r="D8" s="42" t="s">
        <v>70</v>
      </c>
      <c r="E8" s="41">
        <v>0</v>
      </c>
      <c r="F8" s="41">
        <v>1</v>
      </c>
      <c r="G8" s="41">
        <v>0</v>
      </c>
      <c r="H8" s="36">
        <f t="shared" si="4"/>
        <v>1</v>
      </c>
      <c r="I8" s="15" t="s">
        <v>17</v>
      </c>
      <c r="J8" s="3" t="s">
        <v>5</v>
      </c>
      <c r="K8" s="3" t="s">
        <v>5</v>
      </c>
      <c r="L8" s="42" t="s">
        <v>70</v>
      </c>
      <c r="M8" s="41">
        <v>2</v>
      </c>
      <c r="N8" s="41">
        <v>0</v>
      </c>
      <c r="O8" s="41">
        <v>0</v>
      </c>
      <c r="P8" s="36">
        <f t="shared" si="5"/>
        <v>2</v>
      </c>
      <c r="Q8" s="50" t="s">
        <v>54</v>
      </c>
      <c r="R8" s="55" cm="1">
        <f t="array" ref="R8">R6-P5-H5-SUM(U3:U28*AB3:AB28)*0.8-R7*8</f>
        <v>-32</v>
      </c>
      <c r="S8" s="26"/>
      <c r="T8" s="7" t="s">
        <v>9</v>
      </c>
      <c r="U8" s="1">
        <v>200</v>
      </c>
      <c r="V8" s="1">
        <v>60</v>
      </c>
      <c r="W8" s="45"/>
      <c r="X8" s="46">
        <v>194</v>
      </c>
      <c r="Y8" s="46">
        <v>194</v>
      </c>
      <c r="Z8" s="1">
        <f t="shared" si="1"/>
        <v>0</v>
      </c>
      <c r="AA8" s="1">
        <f t="shared" si="2"/>
        <v>0</v>
      </c>
      <c r="AB8" s="54">
        <f t="shared" si="3"/>
        <v>194</v>
      </c>
    </row>
    <row r="9" spans="1:28">
      <c r="A9" s="2" t="s">
        <v>4</v>
      </c>
      <c r="B9" s="17" t="s">
        <v>19</v>
      </c>
      <c r="C9" s="2" t="s">
        <v>4</v>
      </c>
      <c r="D9" s="26"/>
      <c r="E9" s="26"/>
      <c r="F9" s="26"/>
      <c r="G9" s="26"/>
      <c r="H9" s="27"/>
      <c r="I9" s="1" t="s">
        <v>27</v>
      </c>
      <c r="J9" s="1" t="s">
        <v>27</v>
      </c>
      <c r="K9" s="3" t="s">
        <v>5</v>
      </c>
      <c r="L9" s="33" t="s">
        <v>42</v>
      </c>
      <c r="M9" s="37">
        <f>M6/M5</f>
        <v>0.40043290043290042</v>
      </c>
      <c r="N9" s="37">
        <f>N6/N5</f>
        <v>0.31746031746031744</v>
      </c>
      <c r="O9" s="37">
        <f>O6/O5</f>
        <v>0.33119658119658119</v>
      </c>
      <c r="P9" s="38">
        <f>P6/P5</f>
        <v>0.35984848484848486</v>
      </c>
      <c r="Q9" s="50"/>
      <c r="R9" s="26"/>
      <c r="S9" s="26"/>
      <c r="T9" s="8" t="s">
        <v>10</v>
      </c>
      <c r="U9" s="1">
        <v>150</v>
      </c>
      <c r="V9" s="1">
        <v>35</v>
      </c>
      <c r="W9" s="45">
        <f t="shared" ref="W9:W10" si="6">U9-V9/0.330882</f>
        <v>44.222109392472248</v>
      </c>
      <c r="X9" s="46">
        <v>3</v>
      </c>
      <c r="Y9" s="46">
        <v>0</v>
      </c>
      <c r="Z9" s="1">
        <f t="shared" si="1"/>
        <v>0</v>
      </c>
      <c r="AA9" s="1">
        <f t="shared" si="2"/>
        <v>0</v>
      </c>
      <c r="AB9" s="54">
        <f t="shared" si="3"/>
        <v>0</v>
      </c>
    </row>
    <row r="10" spans="1:28">
      <c r="A10" s="1" t="s">
        <v>27</v>
      </c>
      <c r="B10" s="4" t="s">
        <v>6</v>
      </c>
      <c r="C10" s="3" t="s">
        <v>5</v>
      </c>
      <c r="D10" s="26"/>
      <c r="E10" s="26"/>
      <c r="F10" s="26"/>
      <c r="G10" s="26"/>
      <c r="H10" s="27"/>
      <c r="I10" s="16" t="s">
        <v>28</v>
      </c>
      <c r="J10" s="9" t="s">
        <v>11</v>
      </c>
      <c r="K10" s="3" t="s">
        <v>5</v>
      </c>
      <c r="L10" s="26"/>
      <c r="M10" s="26"/>
      <c r="N10" s="26"/>
      <c r="O10" s="26"/>
      <c r="P10" s="27"/>
      <c r="Q10" s="50"/>
      <c r="R10" s="26"/>
      <c r="S10" s="26"/>
      <c r="T10" s="9" t="s">
        <v>11</v>
      </c>
      <c r="U10" s="1">
        <v>150</v>
      </c>
      <c r="V10" s="1">
        <v>40</v>
      </c>
      <c r="W10" s="45">
        <f t="shared" si="6"/>
        <v>29.110982162825422</v>
      </c>
      <c r="X10" s="46">
        <v>7</v>
      </c>
      <c r="Y10" s="46">
        <v>5</v>
      </c>
      <c r="Z10" s="1">
        <f t="shared" si="1"/>
        <v>1</v>
      </c>
      <c r="AA10" s="1">
        <f t="shared" si="2"/>
        <v>4</v>
      </c>
      <c r="AB10" s="54">
        <f t="shared" si="3"/>
        <v>0</v>
      </c>
    </row>
    <row r="11" spans="1:28">
      <c r="A11" s="1" t="s">
        <v>27</v>
      </c>
      <c r="B11" s="4" t="s">
        <v>6</v>
      </c>
      <c r="C11" s="3" t="s">
        <v>5</v>
      </c>
      <c r="D11" s="26"/>
      <c r="E11" s="26"/>
      <c r="F11" s="26"/>
      <c r="G11" s="26"/>
      <c r="H11" s="27"/>
      <c r="I11" s="3" t="s">
        <v>5</v>
      </c>
      <c r="J11" s="1" t="s">
        <v>27</v>
      </c>
      <c r="K11" s="3" t="s">
        <v>5</v>
      </c>
      <c r="L11" s="26"/>
      <c r="M11" s="26"/>
      <c r="N11" s="26"/>
      <c r="O11" s="26"/>
      <c r="P11" s="27">
        <f>H5+P5</f>
        <v>19064</v>
      </c>
      <c r="Q11" s="50"/>
      <c r="R11" s="26"/>
      <c r="S11" s="26"/>
      <c r="T11" s="10" t="s">
        <v>12</v>
      </c>
      <c r="U11" s="1">
        <v>150</v>
      </c>
      <c r="V11" s="1">
        <v>45</v>
      </c>
      <c r="W11" s="45">
        <f>U11-V11/0.330882</f>
        <v>13.999854933178597</v>
      </c>
      <c r="X11" s="46">
        <v>6</v>
      </c>
      <c r="Y11" s="46">
        <v>6</v>
      </c>
      <c r="Z11" s="1">
        <f t="shared" si="1"/>
        <v>0</v>
      </c>
      <c r="AA11" s="1">
        <f t="shared" si="2"/>
        <v>0</v>
      </c>
      <c r="AB11" s="54">
        <f t="shared" si="3"/>
        <v>6</v>
      </c>
    </row>
    <row r="12" spans="1:28">
      <c r="A12" s="1" t="s">
        <v>27</v>
      </c>
      <c r="B12" s="4" t="s">
        <v>6</v>
      </c>
      <c r="C12" s="3" t="s">
        <v>5</v>
      </c>
      <c r="D12" s="26"/>
      <c r="E12" s="26"/>
      <c r="F12" s="26"/>
      <c r="G12" s="26"/>
      <c r="H12" s="27"/>
      <c r="I12" s="3" t="s">
        <v>5</v>
      </c>
      <c r="J12" s="1" t="s">
        <v>27</v>
      </c>
      <c r="K12" s="9" t="s">
        <v>11</v>
      </c>
      <c r="L12" s="26"/>
      <c r="M12" s="26"/>
      <c r="N12" s="26"/>
      <c r="O12" s="26"/>
      <c r="P12" s="27">
        <f>H6+P6</f>
        <v>6360</v>
      </c>
      <c r="Q12" s="50"/>
      <c r="R12" s="26"/>
      <c r="S12" s="26"/>
      <c r="T12" s="11" t="s">
        <v>13</v>
      </c>
      <c r="U12" s="1">
        <v>150</v>
      </c>
      <c r="V12" s="1">
        <v>50</v>
      </c>
      <c r="W12" s="45"/>
      <c r="X12" s="46">
        <v>4</v>
      </c>
      <c r="Y12" s="46">
        <v>4</v>
      </c>
      <c r="Z12" s="1">
        <f t="shared" si="1"/>
        <v>0</v>
      </c>
      <c r="AA12" s="1">
        <f t="shared" si="2"/>
        <v>0</v>
      </c>
      <c r="AB12" s="54">
        <f t="shared" si="3"/>
        <v>4</v>
      </c>
    </row>
    <row r="13" spans="1:28">
      <c r="A13" s="1" t="s">
        <v>27</v>
      </c>
      <c r="B13" s="4" t="s">
        <v>6</v>
      </c>
      <c r="C13" s="3" t="s">
        <v>5</v>
      </c>
      <c r="D13" s="26"/>
      <c r="E13" s="26"/>
      <c r="F13" s="26"/>
      <c r="G13" s="26"/>
      <c r="H13" s="27"/>
      <c r="I13" s="3" t="s">
        <v>5</v>
      </c>
      <c r="J13" s="1" t="s">
        <v>27</v>
      </c>
      <c r="K13" s="3" t="s">
        <v>5</v>
      </c>
      <c r="L13" s="26"/>
      <c r="M13" s="26"/>
      <c r="N13" s="26"/>
      <c r="O13" s="26"/>
      <c r="P13" s="27"/>
      <c r="Q13" s="50"/>
      <c r="R13" s="26"/>
      <c r="S13" s="26"/>
      <c r="T13" s="12" t="s">
        <v>14</v>
      </c>
      <c r="U13" s="1">
        <v>150</v>
      </c>
      <c r="V13" s="1">
        <v>55</v>
      </c>
      <c r="W13" s="45"/>
      <c r="X13" s="46">
        <v>3</v>
      </c>
      <c r="Y13" s="46">
        <v>3</v>
      </c>
      <c r="Z13" s="1">
        <f t="shared" si="1"/>
        <v>0</v>
      </c>
      <c r="AA13" s="1">
        <f t="shared" si="2"/>
        <v>0</v>
      </c>
      <c r="AB13" s="54">
        <f t="shared" si="3"/>
        <v>3</v>
      </c>
    </row>
    <row r="14" spans="1:28">
      <c r="A14" s="1" t="s">
        <v>27</v>
      </c>
      <c r="B14" s="15" t="s">
        <v>17</v>
      </c>
      <c r="C14" s="3" t="s">
        <v>5</v>
      </c>
      <c r="D14" s="26"/>
      <c r="E14" s="26"/>
      <c r="F14" s="26"/>
      <c r="G14" s="26"/>
      <c r="H14" s="27"/>
      <c r="I14" s="15" t="s">
        <v>17</v>
      </c>
      <c r="J14" s="1" t="s">
        <v>27</v>
      </c>
      <c r="K14" s="3" t="s">
        <v>5</v>
      </c>
      <c r="L14" s="26"/>
      <c r="M14" s="26"/>
      <c r="N14" s="26"/>
      <c r="O14" s="26"/>
      <c r="P14" s="27"/>
      <c r="Q14" s="50"/>
      <c r="R14" s="26"/>
      <c r="S14" s="26"/>
      <c r="T14" s="13" t="s">
        <v>15</v>
      </c>
      <c r="U14" s="1">
        <v>150</v>
      </c>
      <c r="V14" s="1">
        <v>60</v>
      </c>
      <c r="W14" s="45"/>
      <c r="X14" s="46">
        <v>1</v>
      </c>
      <c r="Y14" s="46">
        <v>1</v>
      </c>
      <c r="Z14" s="1">
        <f t="shared" si="1"/>
        <v>0</v>
      </c>
      <c r="AA14" s="1">
        <f t="shared" si="2"/>
        <v>0</v>
      </c>
      <c r="AB14" s="54">
        <f t="shared" si="3"/>
        <v>1</v>
      </c>
    </row>
    <row r="15" spans="1:28">
      <c r="A15" s="1" t="s">
        <v>27</v>
      </c>
      <c r="B15" s="4" t="s">
        <v>6</v>
      </c>
      <c r="C15" s="2" t="s">
        <v>4</v>
      </c>
      <c r="D15" s="26"/>
      <c r="E15" s="26"/>
      <c r="F15" s="26"/>
      <c r="G15" s="26"/>
      <c r="H15" s="27"/>
      <c r="I15" s="9" t="s">
        <v>11</v>
      </c>
      <c r="J15" s="1" t="s">
        <v>27</v>
      </c>
      <c r="K15" s="15" t="s">
        <v>17</v>
      </c>
      <c r="L15" s="26"/>
      <c r="M15" s="26"/>
      <c r="N15" s="26"/>
      <c r="O15" s="26"/>
      <c r="P15" s="27"/>
      <c r="Q15" s="50"/>
      <c r="R15" s="26"/>
      <c r="S15" s="26"/>
      <c r="T15" s="14" t="s">
        <v>16</v>
      </c>
      <c r="U15" s="1">
        <v>150</v>
      </c>
      <c r="V15" s="1">
        <v>35</v>
      </c>
      <c r="W15" s="45">
        <f t="shared" ref="W15" si="7">U15-V15/0.330882</f>
        <v>44.222109392472248</v>
      </c>
      <c r="X15" s="46"/>
      <c r="Y15" s="46">
        <v>0</v>
      </c>
      <c r="Z15" s="1">
        <f t="shared" si="1"/>
        <v>0</v>
      </c>
      <c r="AA15" s="1">
        <f t="shared" si="2"/>
        <v>0</v>
      </c>
      <c r="AB15" s="54">
        <f t="shared" si="3"/>
        <v>0</v>
      </c>
    </row>
    <row r="16" spans="1:28">
      <c r="A16" s="1" t="s">
        <v>27</v>
      </c>
      <c r="B16" s="17" t="s">
        <v>20</v>
      </c>
      <c r="C16" s="16" t="s">
        <v>18</v>
      </c>
      <c r="D16" s="26"/>
      <c r="E16" s="26"/>
      <c r="F16" s="26"/>
      <c r="G16" s="26"/>
      <c r="H16" s="27"/>
      <c r="I16" s="2" t="s">
        <v>4</v>
      </c>
      <c r="J16" s="1" t="s">
        <v>27</v>
      </c>
      <c r="K16" s="3" t="s">
        <v>5</v>
      </c>
      <c r="L16" s="26"/>
      <c r="M16" s="26"/>
      <c r="N16" s="26"/>
      <c r="O16" s="26"/>
      <c r="P16" s="27"/>
      <c r="Q16" s="50"/>
      <c r="R16" s="26"/>
      <c r="S16" s="26"/>
      <c r="T16" s="15" t="s">
        <v>17</v>
      </c>
      <c r="U16" s="1">
        <v>50</v>
      </c>
      <c r="V16" s="1">
        <v>30</v>
      </c>
      <c r="W16" s="45">
        <v>10</v>
      </c>
      <c r="X16" s="46">
        <v>40</v>
      </c>
      <c r="Y16" s="46">
        <v>40</v>
      </c>
      <c r="Z16" s="1">
        <f t="shared" si="1"/>
        <v>5</v>
      </c>
      <c r="AA16" s="1">
        <f t="shared" si="2"/>
        <v>8</v>
      </c>
      <c r="AB16" s="54">
        <f t="shared" si="3"/>
        <v>27</v>
      </c>
    </row>
    <row r="17" spans="1:28">
      <c r="A17" s="1" t="s">
        <v>27</v>
      </c>
      <c r="B17" s="4" t="s">
        <v>6</v>
      </c>
      <c r="C17" s="2" t="s">
        <v>4</v>
      </c>
      <c r="D17" s="26"/>
      <c r="E17" s="26"/>
      <c r="F17" s="26"/>
      <c r="G17" s="26"/>
      <c r="H17" s="27"/>
      <c r="I17" s="15" t="s">
        <v>17</v>
      </c>
      <c r="J17" s="1" t="s">
        <v>27</v>
      </c>
      <c r="K17" s="3" t="s">
        <v>5</v>
      </c>
      <c r="L17" s="26"/>
      <c r="M17" s="26"/>
      <c r="N17" s="26"/>
      <c r="O17" s="26"/>
      <c r="P17" s="27"/>
      <c r="Q17" s="50"/>
      <c r="R17" s="26"/>
      <c r="S17" s="26"/>
      <c r="T17" s="16" t="s">
        <v>18</v>
      </c>
      <c r="U17" s="1">
        <v>-150</v>
      </c>
      <c r="V17" s="1">
        <v>0</v>
      </c>
      <c r="W17" s="45">
        <v>10</v>
      </c>
      <c r="X17" s="46">
        <v>3</v>
      </c>
      <c r="Y17" s="46">
        <v>3</v>
      </c>
      <c r="Z17" s="1">
        <f t="shared" si="1"/>
        <v>3</v>
      </c>
      <c r="AA17" s="1">
        <f t="shared" si="2"/>
        <v>0</v>
      </c>
      <c r="AB17" s="54">
        <f t="shared" si="3"/>
        <v>0</v>
      </c>
    </row>
    <row r="18" spans="1:28">
      <c r="A18" s="1" t="s">
        <v>27</v>
      </c>
      <c r="B18" s="3" t="s">
        <v>5</v>
      </c>
      <c r="C18" s="2" t="s">
        <v>4</v>
      </c>
      <c r="D18" s="26"/>
      <c r="E18" s="26"/>
      <c r="F18" s="26"/>
      <c r="G18" s="26"/>
      <c r="H18" s="27"/>
      <c r="I18" s="1" t="s">
        <v>27</v>
      </c>
      <c r="J18" s="1" t="s">
        <v>27</v>
      </c>
      <c r="K18" s="3" t="s">
        <v>5</v>
      </c>
      <c r="L18" s="26"/>
      <c r="M18" s="26"/>
      <c r="N18" s="26"/>
      <c r="O18" s="26"/>
      <c r="P18" s="27"/>
      <c r="Q18" s="50"/>
      <c r="R18" s="26"/>
      <c r="S18" s="26"/>
      <c r="T18" s="17" t="s">
        <v>19</v>
      </c>
      <c r="U18" s="1">
        <v>250</v>
      </c>
      <c r="V18" s="1">
        <v>200</v>
      </c>
      <c r="W18" s="45"/>
      <c r="X18" s="46">
        <v>3</v>
      </c>
      <c r="Y18" s="46">
        <v>3</v>
      </c>
      <c r="Z18" s="1">
        <f t="shared" si="1"/>
        <v>3</v>
      </c>
      <c r="AA18" s="1">
        <f t="shared" si="2"/>
        <v>0</v>
      </c>
      <c r="AB18" s="54">
        <f t="shared" si="3"/>
        <v>0</v>
      </c>
    </row>
    <row r="19" spans="1:28">
      <c r="A19" s="1" t="s">
        <v>27</v>
      </c>
      <c r="B19" s="3" t="s">
        <v>5</v>
      </c>
      <c r="C19" s="2" t="s">
        <v>4</v>
      </c>
      <c r="D19" s="26"/>
      <c r="E19" s="26"/>
      <c r="F19" s="26"/>
      <c r="G19" s="26"/>
      <c r="H19" s="27"/>
      <c r="I19" s="3" t="s">
        <v>5</v>
      </c>
      <c r="J19" s="1" t="s">
        <v>27</v>
      </c>
      <c r="K19" s="1" t="s">
        <v>27</v>
      </c>
      <c r="L19" s="26"/>
      <c r="M19" s="26"/>
      <c r="N19" s="26"/>
      <c r="O19" s="26"/>
      <c r="P19" s="27"/>
      <c r="Q19" s="50"/>
      <c r="R19" s="26"/>
      <c r="S19" s="26"/>
      <c r="T19" s="17" t="s">
        <v>20</v>
      </c>
      <c r="U19" s="1">
        <v>170</v>
      </c>
      <c r="V19" s="1">
        <v>45</v>
      </c>
      <c r="W19" s="45"/>
      <c r="X19" s="46">
        <v>5</v>
      </c>
      <c r="Y19" s="46">
        <v>5</v>
      </c>
      <c r="Z19" s="1">
        <f t="shared" si="1"/>
        <v>5</v>
      </c>
      <c r="AA19" s="1">
        <f t="shared" si="2"/>
        <v>0</v>
      </c>
      <c r="AB19" s="54">
        <f t="shared" si="3"/>
        <v>0</v>
      </c>
    </row>
    <row r="20" spans="1:28">
      <c r="A20" s="1" t="s">
        <v>27</v>
      </c>
      <c r="B20" s="3" t="s">
        <v>5</v>
      </c>
      <c r="C20" s="2" t="s">
        <v>4</v>
      </c>
      <c r="D20" s="26"/>
      <c r="E20" s="26"/>
      <c r="F20" s="26"/>
      <c r="G20" s="26"/>
      <c r="H20" s="27"/>
      <c r="I20" s="3" t="s">
        <v>5</v>
      </c>
      <c r="J20" s="1" t="s">
        <v>27</v>
      </c>
      <c r="K20" s="3" t="s">
        <v>5</v>
      </c>
      <c r="L20" s="26"/>
      <c r="M20" s="26"/>
      <c r="N20" s="26"/>
      <c r="O20" s="26"/>
      <c r="P20" s="27"/>
      <c r="Q20" s="50"/>
      <c r="R20" s="26"/>
      <c r="S20" s="26"/>
      <c r="T20" s="18" t="s">
        <v>21</v>
      </c>
      <c r="U20" s="1">
        <v>250</v>
      </c>
      <c r="V20" s="1">
        <v>200</v>
      </c>
      <c r="W20" s="45"/>
      <c r="X20" s="46">
        <v>0</v>
      </c>
      <c r="Y20" s="46">
        <v>0</v>
      </c>
      <c r="Z20" s="1">
        <f t="shared" si="1"/>
        <v>0</v>
      </c>
      <c r="AA20" s="1">
        <f t="shared" si="2"/>
        <v>0</v>
      </c>
      <c r="AB20" s="54">
        <f t="shared" si="3"/>
        <v>0</v>
      </c>
    </row>
    <row r="21" spans="1:28">
      <c r="A21" s="1" t="s">
        <v>27</v>
      </c>
      <c r="B21" s="3" t="s">
        <v>5</v>
      </c>
      <c r="C21" s="15" t="s">
        <v>17</v>
      </c>
      <c r="D21" s="26"/>
      <c r="E21" s="26"/>
      <c r="F21" s="26"/>
      <c r="G21" s="26"/>
      <c r="H21" s="27"/>
      <c r="I21" s="2" t="s">
        <v>4</v>
      </c>
      <c r="J21" s="1" t="s">
        <v>27</v>
      </c>
      <c r="K21" s="1" t="s">
        <v>27</v>
      </c>
      <c r="L21" s="26"/>
      <c r="M21" s="26"/>
      <c r="N21" s="26"/>
      <c r="O21" s="26"/>
      <c r="P21" s="27"/>
      <c r="Q21" s="50"/>
      <c r="R21" s="26"/>
      <c r="S21" s="26"/>
      <c r="T21" s="19" t="s">
        <v>22</v>
      </c>
      <c r="U21" s="1">
        <v>250</v>
      </c>
      <c r="V21" s="1">
        <v>1000</v>
      </c>
      <c r="W21" s="45"/>
      <c r="X21" s="46">
        <v>2</v>
      </c>
      <c r="Y21" s="46">
        <v>2</v>
      </c>
      <c r="Z21" s="1">
        <f t="shared" si="1"/>
        <v>0</v>
      </c>
      <c r="AA21" s="1">
        <f t="shared" si="2"/>
        <v>0</v>
      </c>
      <c r="AB21" s="54">
        <f t="shared" si="3"/>
        <v>2</v>
      </c>
    </row>
    <row r="22" spans="1:28">
      <c r="A22" s="1" t="s">
        <v>27</v>
      </c>
      <c r="B22" s="3" t="s">
        <v>5</v>
      </c>
      <c r="C22" s="3" t="s">
        <v>5</v>
      </c>
      <c r="D22" s="26"/>
      <c r="E22" s="26"/>
      <c r="F22" s="26"/>
      <c r="G22" s="26"/>
      <c r="H22" s="27"/>
      <c r="I22" s="15" t="s">
        <v>17</v>
      </c>
      <c r="J22" s="1" t="s">
        <v>27</v>
      </c>
      <c r="K22" s="1" t="s">
        <v>27</v>
      </c>
      <c r="L22" s="26"/>
      <c r="M22" s="26"/>
      <c r="N22" s="26"/>
      <c r="O22" s="26"/>
      <c r="P22" s="27"/>
      <c r="Q22" s="50"/>
      <c r="R22" s="26"/>
      <c r="S22" s="26"/>
      <c r="T22" s="20" t="s">
        <v>23</v>
      </c>
      <c r="U22" s="1">
        <v>250</v>
      </c>
      <c r="V22" s="1">
        <v>500</v>
      </c>
      <c r="W22" s="45"/>
      <c r="X22" s="46">
        <v>2</v>
      </c>
      <c r="Y22" s="46">
        <v>2</v>
      </c>
      <c r="Z22" s="1">
        <f t="shared" si="1"/>
        <v>0</v>
      </c>
      <c r="AA22" s="1">
        <f t="shared" si="2"/>
        <v>0</v>
      </c>
      <c r="AB22" s="54">
        <f t="shared" si="3"/>
        <v>2</v>
      </c>
    </row>
    <row r="23" spans="1:28">
      <c r="A23" s="1" t="s">
        <v>27</v>
      </c>
      <c r="B23" s="3" t="s">
        <v>5</v>
      </c>
      <c r="C23" s="3" t="s">
        <v>5</v>
      </c>
      <c r="D23" s="26"/>
      <c r="E23" s="26"/>
      <c r="F23" s="26"/>
      <c r="G23" s="26"/>
      <c r="H23" s="27"/>
      <c r="I23" s="2" t="s">
        <v>4</v>
      </c>
      <c r="J23" s="1" t="s">
        <v>27</v>
      </c>
      <c r="K23" s="1" t="s">
        <v>27</v>
      </c>
      <c r="L23" s="26"/>
      <c r="M23" s="26"/>
      <c r="N23" s="26"/>
      <c r="O23" s="26"/>
      <c r="P23" s="27"/>
      <c r="Q23" s="50"/>
      <c r="R23" s="26"/>
      <c r="S23" s="26"/>
      <c r="T23" s="21" t="s">
        <v>24</v>
      </c>
      <c r="U23" s="1">
        <v>160</v>
      </c>
      <c r="V23" s="1">
        <v>40</v>
      </c>
      <c r="W23" s="45">
        <f t="shared" ref="W23:W26" si="8">U23-V23/0.330882</f>
        <v>39.110982162825422</v>
      </c>
      <c r="X23" s="46">
        <v>0</v>
      </c>
      <c r="Y23" s="46">
        <v>0</v>
      </c>
      <c r="Z23" s="1">
        <f t="shared" si="1"/>
        <v>0</v>
      </c>
      <c r="AA23" s="1">
        <f t="shared" si="2"/>
        <v>0</v>
      </c>
      <c r="AB23" s="54">
        <f t="shared" si="3"/>
        <v>0</v>
      </c>
    </row>
    <row r="24" spans="1:28">
      <c r="A24" s="1" t="s">
        <v>27</v>
      </c>
      <c r="B24" s="15" t="s">
        <v>17</v>
      </c>
      <c r="C24" s="3" t="s">
        <v>5</v>
      </c>
      <c r="D24" s="26"/>
      <c r="E24" s="26"/>
      <c r="F24" s="26"/>
      <c r="G24" s="26"/>
      <c r="H24" s="27"/>
      <c r="I24" s="2" t="s">
        <v>4</v>
      </c>
      <c r="J24" s="1" t="s">
        <v>27</v>
      </c>
      <c r="K24" s="1" t="s">
        <v>27</v>
      </c>
      <c r="L24" s="26"/>
      <c r="M24" s="26"/>
      <c r="N24" s="26"/>
      <c r="O24" s="26"/>
      <c r="P24" s="27"/>
      <c r="Q24" s="50"/>
      <c r="R24" s="26"/>
      <c r="S24" s="26"/>
      <c r="T24" s="21" t="s">
        <v>25</v>
      </c>
      <c r="U24" s="1">
        <v>160</v>
      </c>
      <c r="V24" s="1">
        <v>40</v>
      </c>
      <c r="W24" s="45">
        <f t="shared" si="8"/>
        <v>39.110982162825422</v>
      </c>
      <c r="X24" s="46">
        <v>0</v>
      </c>
      <c r="Y24" s="46">
        <v>0</v>
      </c>
      <c r="Z24" s="1">
        <f t="shared" si="1"/>
        <v>0</v>
      </c>
      <c r="AA24" s="1">
        <f t="shared" si="2"/>
        <v>0</v>
      </c>
      <c r="AB24" s="54">
        <f t="shared" si="3"/>
        <v>0</v>
      </c>
    </row>
    <row r="25" spans="1:28">
      <c r="A25" s="1" t="s">
        <v>27</v>
      </c>
      <c r="B25" s="3" t="s">
        <v>5</v>
      </c>
      <c r="C25" s="16" t="s">
        <v>18</v>
      </c>
      <c r="D25" s="26"/>
      <c r="E25" s="26"/>
      <c r="F25" s="26"/>
      <c r="G25" s="26"/>
      <c r="H25" s="27"/>
      <c r="I25" s="2" t="s">
        <v>4</v>
      </c>
      <c r="J25" s="1" t="s">
        <v>27</v>
      </c>
      <c r="K25" s="1" t="s">
        <v>27</v>
      </c>
      <c r="L25" s="26"/>
      <c r="M25" s="26"/>
      <c r="N25" s="26"/>
      <c r="O25" s="26"/>
      <c r="P25" s="27"/>
      <c r="Q25" s="50"/>
      <c r="R25" s="26"/>
      <c r="S25" s="26"/>
      <c r="T25" s="21" t="s">
        <v>26</v>
      </c>
      <c r="U25" s="1">
        <v>150</v>
      </c>
      <c r="V25" s="1">
        <v>35</v>
      </c>
      <c r="W25" s="45">
        <f t="shared" si="8"/>
        <v>44.222109392472248</v>
      </c>
      <c r="X25" s="46">
        <v>0</v>
      </c>
      <c r="Y25" s="46">
        <v>0</v>
      </c>
      <c r="Z25" s="1">
        <f t="shared" si="1"/>
        <v>0</v>
      </c>
      <c r="AA25" s="1">
        <f t="shared" si="2"/>
        <v>0</v>
      </c>
      <c r="AB25" s="54">
        <f t="shared" si="3"/>
        <v>0</v>
      </c>
    </row>
    <row r="26" spans="1:28">
      <c r="A26" s="1" t="s">
        <v>27</v>
      </c>
      <c r="B26" s="3" t="s">
        <v>5</v>
      </c>
      <c r="C26" s="3" t="s">
        <v>5</v>
      </c>
      <c r="D26" s="26"/>
      <c r="E26" s="26"/>
      <c r="F26" s="26"/>
      <c r="G26" s="26"/>
      <c r="H26" s="27"/>
      <c r="I26" s="15" t="s">
        <v>17</v>
      </c>
      <c r="J26" s="1" t="s">
        <v>27</v>
      </c>
      <c r="K26" s="1" t="s">
        <v>27</v>
      </c>
      <c r="L26" s="26"/>
      <c r="M26" s="26"/>
      <c r="N26" s="26"/>
      <c r="O26" s="26"/>
      <c r="P26" s="27"/>
      <c r="Q26" s="50"/>
      <c r="R26" s="26"/>
      <c r="S26" s="26"/>
      <c r="T26" s="22" t="s">
        <v>27</v>
      </c>
      <c r="U26" s="1">
        <v>0</v>
      </c>
      <c r="V26" s="1">
        <v>0</v>
      </c>
      <c r="W26" s="45">
        <f t="shared" si="8"/>
        <v>0</v>
      </c>
      <c r="X26" s="46">
        <v>0</v>
      </c>
      <c r="Y26" s="46">
        <v>0</v>
      </c>
      <c r="Z26" s="1"/>
      <c r="AA26" s="1"/>
      <c r="AB26" s="54"/>
    </row>
    <row r="27" spans="1:28">
      <c r="A27" s="1" t="s">
        <v>27</v>
      </c>
      <c r="B27" s="3" t="s">
        <v>5</v>
      </c>
      <c r="C27" s="3" t="s">
        <v>5</v>
      </c>
      <c r="D27" s="26"/>
      <c r="E27" s="26"/>
      <c r="F27" s="26"/>
      <c r="G27" s="26"/>
      <c r="H27" s="27"/>
      <c r="I27" s="1" t="s">
        <v>27</v>
      </c>
      <c r="J27" s="1" t="s">
        <v>27</v>
      </c>
      <c r="K27" s="1" t="s">
        <v>27</v>
      </c>
      <c r="L27" s="26"/>
      <c r="M27" s="26"/>
      <c r="N27" s="26"/>
      <c r="O27" s="26"/>
      <c r="P27" s="27"/>
      <c r="Q27" s="50"/>
      <c r="R27" s="26"/>
      <c r="S27" s="26"/>
      <c r="T27" s="16" t="s">
        <v>28</v>
      </c>
      <c r="U27" s="1">
        <v>-200</v>
      </c>
      <c r="V27" s="1">
        <v>0</v>
      </c>
      <c r="W27" s="45"/>
      <c r="X27" s="46">
        <v>12</v>
      </c>
      <c r="Y27" s="46">
        <v>12</v>
      </c>
      <c r="Z27" s="1">
        <f t="shared" si="1"/>
        <v>0</v>
      </c>
      <c r="AA27" s="1">
        <f t="shared" si="2"/>
        <v>1</v>
      </c>
      <c r="AB27" s="54">
        <f t="shared" si="3"/>
        <v>11</v>
      </c>
    </row>
    <row r="28" spans="1:28">
      <c r="A28" s="1" t="s">
        <v>27</v>
      </c>
      <c r="B28" s="3" t="s">
        <v>5</v>
      </c>
      <c r="C28" s="4" t="s">
        <v>6</v>
      </c>
      <c r="D28" s="26"/>
      <c r="E28" s="26"/>
      <c r="F28" s="26"/>
      <c r="G28" s="26"/>
      <c r="H28" s="27"/>
      <c r="I28" s="3" t="s">
        <v>5</v>
      </c>
      <c r="J28" s="1" t="s">
        <v>27</v>
      </c>
      <c r="K28" s="1" t="s">
        <v>27</v>
      </c>
      <c r="L28" s="26"/>
      <c r="M28" s="26"/>
      <c r="N28" s="26"/>
      <c r="O28" s="26"/>
      <c r="P28" s="27"/>
      <c r="Q28" s="50"/>
      <c r="R28" s="26"/>
      <c r="S28" s="26"/>
      <c r="T28" s="23" t="s">
        <v>29</v>
      </c>
      <c r="U28" s="1">
        <v>50</v>
      </c>
      <c r="V28" s="1">
        <v>520</v>
      </c>
      <c r="W28" s="45"/>
      <c r="X28" s="46">
        <v>3</v>
      </c>
      <c r="Y28" s="46">
        <v>3</v>
      </c>
      <c r="Z28" s="1">
        <f t="shared" si="1"/>
        <v>1</v>
      </c>
      <c r="AA28" s="1">
        <f t="shared" si="2"/>
        <v>0</v>
      </c>
      <c r="AB28" s="54">
        <f t="shared" si="3"/>
        <v>2</v>
      </c>
    </row>
    <row r="29" spans="1:28" ht="15.75" thickBot="1">
      <c r="A29" s="1" t="s">
        <v>27</v>
      </c>
      <c r="B29" s="15" t="s">
        <v>17</v>
      </c>
      <c r="C29" s="4" t="s">
        <v>6</v>
      </c>
      <c r="D29" s="26"/>
      <c r="E29" s="26"/>
      <c r="F29" s="26"/>
      <c r="G29" s="26"/>
      <c r="H29" s="27"/>
      <c r="I29" s="1" t="s">
        <v>27</v>
      </c>
      <c r="J29" s="1" t="s">
        <v>27</v>
      </c>
      <c r="K29" s="1" t="s">
        <v>27</v>
      </c>
      <c r="L29" s="26"/>
      <c r="M29" s="26"/>
      <c r="N29" s="26"/>
      <c r="O29" s="26"/>
      <c r="P29" s="27"/>
      <c r="Q29" s="56"/>
      <c r="R29" s="31"/>
      <c r="S29" s="31"/>
      <c r="T29" s="30"/>
      <c r="U29" s="30"/>
      <c r="V29" s="30"/>
      <c r="W29" s="30"/>
      <c r="X29" s="30"/>
      <c r="Y29" s="30"/>
      <c r="Z29" s="30"/>
      <c r="AA29" s="30"/>
      <c r="AB29" s="57"/>
    </row>
    <row r="30" spans="1:28">
      <c r="A30" s="1" t="s">
        <v>27</v>
      </c>
      <c r="B30" s="3" t="s">
        <v>5</v>
      </c>
      <c r="C30" s="4" t="s">
        <v>6</v>
      </c>
      <c r="D30" s="26"/>
      <c r="E30" s="26"/>
      <c r="F30" s="26"/>
      <c r="G30" s="26"/>
      <c r="H30" s="27"/>
      <c r="I30" s="1" t="s">
        <v>27</v>
      </c>
      <c r="J30" s="1" t="s">
        <v>27</v>
      </c>
      <c r="K30" s="1" t="s">
        <v>27</v>
      </c>
      <c r="L30" s="26"/>
      <c r="M30" s="26"/>
      <c r="N30" s="26"/>
      <c r="O30" s="26"/>
      <c r="P30" s="27"/>
    </row>
    <row r="31" spans="1:28">
      <c r="A31" s="1" t="s">
        <v>27</v>
      </c>
      <c r="B31" s="4" t="s">
        <v>6</v>
      </c>
      <c r="C31" s="4" t="s">
        <v>6</v>
      </c>
      <c r="D31" s="26"/>
      <c r="E31" s="26"/>
      <c r="F31" s="26"/>
      <c r="G31" s="26"/>
      <c r="H31" s="27"/>
      <c r="I31" s="1" t="s">
        <v>27</v>
      </c>
      <c r="J31" s="1" t="s">
        <v>27</v>
      </c>
      <c r="K31" s="1" t="s">
        <v>27</v>
      </c>
      <c r="L31" s="26"/>
      <c r="M31" s="26"/>
      <c r="N31" s="26"/>
      <c r="O31" s="26"/>
      <c r="P31" s="27"/>
      <c r="Y31">
        <f>SUM(Y3:Y28)</f>
        <v>1076</v>
      </c>
    </row>
    <row r="32" spans="1:28">
      <c r="A32" s="1" t="s">
        <v>27</v>
      </c>
      <c r="B32" s="2" t="s">
        <v>4</v>
      </c>
      <c r="C32" s="4" t="s">
        <v>6</v>
      </c>
      <c r="D32" s="26"/>
      <c r="E32" s="26"/>
      <c r="F32" s="26"/>
      <c r="G32" s="26"/>
      <c r="H32" s="27"/>
      <c r="I32" s="1" t="s">
        <v>27</v>
      </c>
      <c r="J32" s="1" t="s">
        <v>27</v>
      </c>
      <c r="K32" s="1" t="s">
        <v>27</v>
      </c>
      <c r="L32" s="26"/>
      <c r="M32" s="26"/>
      <c r="N32" s="26"/>
      <c r="O32" s="26"/>
      <c r="P32" s="27"/>
      <c r="Q32" t="s">
        <v>57</v>
      </c>
      <c r="R32">
        <v>1</v>
      </c>
      <c r="S32" t="s">
        <v>59</v>
      </c>
    </row>
    <row r="33" spans="1:19">
      <c r="A33" s="1" t="s">
        <v>27</v>
      </c>
      <c r="B33" s="4" t="s">
        <v>6</v>
      </c>
      <c r="C33" s="17" t="s">
        <v>20</v>
      </c>
      <c r="D33" s="26"/>
      <c r="E33" s="26"/>
      <c r="F33" s="26"/>
      <c r="G33" s="26"/>
      <c r="H33" s="27"/>
      <c r="I33" s="1" t="s">
        <v>27</v>
      </c>
      <c r="J33" s="1" t="s">
        <v>27</v>
      </c>
      <c r="K33" s="1" t="s">
        <v>27</v>
      </c>
      <c r="L33" s="26"/>
      <c r="M33" s="26"/>
      <c r="N33" s="26"/>
      <c r="O33" s="26"/>
      <c r="P33" s="27"/>
      <c r="R33">
        <v>2</v>
      </c>
      <c r="S33" t="s">
        <v>60</v>
      </c>
    </row>
    <row r="34" spans="1:19">
      <c r="A34" s="1" t="s">
        <v>27</v>
      </c>
      <c r="B34" s="17" t="s">
        <v>20</v>
      </c>
      <c r="C34" s="3" t="s">
        <v>5</v>
      </c>
      <c r="D34" s="26"/>
      <c r="E34" s="26"/>
      <c r="F34" s="26"/>
      <c r="G34" s="26"/>
      <c r="H34" s="27"/>
      <c r="I34" s="28" t="s">
        <v>27</v>
      </c>
      <c r="J34" s="1" t="s">
        <v>27</v>
      </c>
      <c r="K34" s="1" t="s">
        <v>27</v>
      </c>
      <c r="L34" s="26"/>
      <c r="M34" s="26"/>
      <c r="N34" s="26"/>
      <c r="O34" s="26"/>
      <c r="P34" s="27"/>
      <c r="R34">
        <v>3</v>
      </c>
      <c r="S34" t="s">
        <v>58</v>
      </c>
    </row>
    <row r="35" spans="1:19">
      <c r="A35" s="1" t="s">
        <v>27</v>
      </c>
      <c r="B35" s="4" t="s">
        <v>6</v>
      </c>
      <c r="C35" s="3" t="s">
        <v>5</v>
      </c>
      <c r="D35" s="26"/>
      <c r="E35" s="26"/>
      <c r="F35" s="26"/>
      <c r="G35" s="26"/>
      <c r="H35" s="27"/>
      <c r="I35" s="28" t="s">
        <v>27</v>
      </c>
      <c r="J35" s="1" t="s">
        <v>27</v>
      </c>
      <c r="K35" s="1" t="s">
        <v>27</v>
      </c>
      <c r="L35" s="26"/>
      <c r="M35" s="26"/>
      <c r="N35" s="26"/>
      <c r="O35" s="26"/>
      <c r="P35" s="27"/>
      <c r="R35">
        <v>4</v>
      </c>
      <c r="S35" t="s">
        <v>61</v>
      </c>
    </row>
    <row r="36" spans="1:19">
      <c r="A36" s="1" t="s">
        <v>27</v>
      </c>
      <c r="B36" s="4" t="s">
        <v>6</v>
      </c>
      <c r="C36" s="3" t="s">
        <v>5</v>
      </c>
      <c r="D36" s="26"/>
      <c r="E36" s="26"/>
      <c r="F36" s="26"/>
      <c r="G36" s="26"/>
      <c r="H36" s="27"/>
      <c r="I36" s="28" t="s">
        <v>27</v>
      </c>
      <c r="J36" s="1" t="s">
        <v>27</v>
      </c>
      <c r="K36" s="1" t="s">
        <v>27</v>
      </c>
      <c r="L36" s="26"/>
      <c r="M36" s="26"/>
      <c r="N36" s="26"/>
      <c r="O36" s="26"/>
      <c r="P36" s="27"/>
      <c r="S36" t="s">
        <v>62</v>
      </c>
    </row>
    <row r="37" spans="1:19">
      <c r="A37" s="1" t="s">
        <v>27</v>
      </c>
      <c r="B37" s="4" t="s">
        <v>6</v>
      </c>
      <c r="C37" s="15" t="s">
        <v>17</v>
      </c>
      <c r="D37" s="26"/>
      <c r="E37" s="26"/>
      <c r="F37" s="26"/>
      <c r="G37" s="26"/>
      <c r="H37" s="27"/>
      <c r="I37" s="28" t="s">
        <v>27</v>
      </c>
      <c r="J37" s="1" t="s">
        <v>27</v>
      </c>
      <c r="K37" s="1" t="s">
        <v>27</v>
      </c>
      <c r="L37" s="26"/>
      <c r="M37" s="26"/>
      <c r="N37" s="26"/>
      <c r="O37" s="26"/>
      <c r="P37" s="27"/>
      <c r="R37">
        <v>5</v>
      </c>
      <c r="S37" t="s">
        <v>63</v>
      </c>
    </row>
    <row r="38" spans="1:19">
      <c r="A38" s="1" t="s">
        <v>27</v>
      </c>
      <c r="B38" s="17" t="s">
        <v>19</v>
      </c>
      <c r="C38" s="3" t="s">
        <v>5</v>
      </c>
      <c r="D38" s="26"/>
      <c r="E38" s="26"/>
      <c r="F38" s="26"/>
      <c r="G38" s="26"/>
      <c r="H38" s="27"/>
      <c r="I38" s="28" t="s">
        <v>27</v>
      </c>
      <c r="J38" s="1" t="s">
        <v>27</v>
      </c>
      <c r="K38" s="1" t="s">
        <v>27</v>
      </c>
      <c r="L38" s="26"/>
      <c r="M38" s="26"/>
      <c r="N38" s="26"/>
      <c r="O38" s="26"/>
      <c r="P38" s="27"/>
      <c r="R38">
        <v>6</v>
      </c>
      <c r="S38" t="s">
        <v>71</v>
      </c>
    </row>
    <row r="39" spans="1:19">
      <c r="A39" s="1" t="s">
        <v>27</v>
      </c>
      <c r="B39" s="4" t="s">
        <v>6</v>
      </c>
      <c r="C39" s="3" t="s">
        <v>5</v>
      </c>
      <c r="D39" s="26"/>
      <c r="E39" s="26"/>
      <c r="F39" s="26"/>
      <c r="G39" s="26"/>
      <c r="H39" s="27"/>
      <c r="I39" s="28" t="s">
        <v>27</v>
      </c>
      <c r="J39" s="1" t="s">
        <v>27</v>
      </c>
      <c r="K39" s="1" t="s">
        <v>27</v>
      </c>
      <c r="L39" s="26"/>
      <c r="M39" s="26"/>
      <c r="N39" s="26"/>
      <c r="O39" s="26"/>
      <c r="P39" s="27"/>
      <c r="R39">
        <v>7</v>
      </c>
      <c r="S39" t="s">
        <v>65</v>
      </c>
    </row>
    <row r="40" spans="1:19">
      <c r="A40" s="1" t="s">
        <v>27</v>
      </c>
      <c r="B40" s="3" t="s">
        <v>5</v>
      </c>
      <c r="C40" s="4" t="s">
        <v>6</v>
      </c>
      <c r="D40" s="26"/>
      <c r="E40" s="26"/>
      <c r="F40" s="26"/>
      <c r="G40" s="26"/>
      <c r="H40" s="27"/>
      <c r="I40" s="28" t="s">
        <v>27</v>
      </c>
      <c r="J40" s="1" t="s">
        <v>27</v>
      </c>
      <c r="K40" s="1" t="s">
        <v>27</v>
      </c>
      <c r="L40" s="26"/>
      <c r="M40" s="26"/>
      <c r="N40" s="26"/>
      <c r="O40" s="26"/>
      <c r="P40" s="27"/>
    </row>
    <row r="41" spans="1:19">
      <c r="A41" s="1" t="s">
        <v>27</v>
      </c>
      <c r="B41" s="3" t="s">
        <v>5</v>
      </c>
      <c r="C41" s="4" t="s">
        <v>6</v>
      </c>
      <c r="D41" s="26"/>
      <c r="E41" s="26"/>
      <c r="F41" s="26"/>
      <c r="G41" s="26"/>
      <c r="H41" s="27"/>
      <c r="I41" s="28" t="s">
        <v>27</v>
      </c>
      <c r="J41" s="1" t="s">
        <v>27</v>
      </c>
      <c r="K41" s="1" t="s">
        <v>27</v>
      </c>
      <c r="L41" s="26"/>
      <c r="M41" s="26"/>
      <c r="N41" s="26"/>
      <c r="O41" s="26"/>
      <c r="P41" s="27"/>
    </row>
    <row r="42" spans="1:19">
      <c r="A42" s="1" t="s">
        <v>27</v>
      </c>
      <c r="B42" s="3" t="s">
        <v>5</v>
      </c>
      <c r="C42" s="9" t="s">
        <v>11</v>
      </c>
      <c r="D42" s="26"/>
      <c r="E42" s="26"/>
      <c r="F42" s="26"/>
      <c r="G42" s="26"/>
      <c r="H42" s="27"/>
      <c r="I42" s="28" t="s">
        <v>27</v>
      </c>
      <c r="J42" s="1" t="s">
        <v>27</v>
      </c>
      <c r="K42" s="1" t="s">
        <v>27</v>
      </c>
      <c r="L42" s="26"/>
      <c r="M42" s="26"/>
      <c r="N42" s="26"/>
      <c r="O42" s="26"/>
      <c r="P42" s="27"/>
    </row>
    <row r="43" spans="1:19">
      <c r="A43" s="1" t="s">
        <v>27</v>
      </c>
      <c r="B43" s="3" t="s">
        <v>5</v>
      </c>
      <c r="C43" s="4" t="s">
        <v>6</v>
      </c>
      <c r="D43" s="26"/>
      <c r="E43" s="26"/>
      <c r="F43" s="26"/>
      <c r="G43" s="26"/>
      <c r="H43" s="27"/>
      <c r="I43" s="28" t="s">
        <v>27</v>
      </c>
      <c r="J43" s="1" t="s">
        <v>27</v>
      </c>
      <c r="K43" s="1" t="s">
        <v>27</v>
      </c>
      <c r="L43" s="26"/>
      <c r="M43" s="26"/>
      <c r="N43" s="26"/>
      <c r="O43" s="26"/>
      <c r="P43" s="27"/>
    </row>
    <row r="44" spans="1:19">
      <c r="A44" s="1" t="s">
        <v>27</v>
      </c>
      <c r="B44" s="4" t="s">
        <v>6</v>
      </c>
      <c r="C44" s="17" t="s">
        <v>19</v>
      </c>
      <c r="D44" s="26"/>
      <c r="E44" s="26"/>
      <c r="F44" s="26"/>
      <c r="G44" s="26"/>
      <c r="H44" s="27"/>
      <c r="I44" s="28" t="s">
        <v>27</v>
      </c>
      <c r="J44" s="1" t="s">
        <v>27</v>
      </c>
      <c r="K44" s="1" t="s">
        <v>27</v>
      </c>
      <c r="L44" s="26"/>
      <c r="M44" s="26"/>
      <c r="N44" s="26"/>
      <c r="O44" s="26"/>
      <c r="P44" s="27"/>
    </row>
    <row r="45" spans="1:19">
      <c r="A45" s="1" t="s">
        <v>27</v>
      </c>
      <c r="B45" s="4" t="s">
        <v>6</v>
      </c>
      <c r="C45" s="4" t="s">
        <v>6</v>
      </c>
      <c r="D45" s="26"/>
      <c r="E45" s="26"/>
      <c r="F45" s="26"/>
      <c r="G45" s="26"/>
      <c r="H45" s="27"/>
      <c r="I45" s="28" t="s">
        <v>27</v>
      </c>
      <c r="J45" s="1" t="s">
        <v>27</v>
      </c>
      <c r="K45" s="1" t="s">
        <v>27</v>
      </c>
      <c r="L45" s="26"/>
      <c r="M45" s="26"/>
      <c r="N45" s="26"/>
      <c r="O45" s="26"/>
      <c r="P45" s="27"/>
    </row>
    <row r="46" spans="1:19">
      <c r="A46" s="1" t="s">
        <v>27</v>
      </c>
      <c r="B46" s="4" t="s">
        <v>6</v>
      </c>
      <c r="C46" s="4" t="s">
        <v>6</v>
      </c>
      <c r="D46" s="26"/>
      <c r="E46" s="26"/>
      <c r="F46" s="26"/>
      <c r="G46" s="26"/>
      <c r="H46" s="27"/>
      <c r="I46" s="28" t="s">
        <v>27</v>
      </c>
      <c r="J46" s="1" t="s">
        <v>27</v>
      </c>
      <c r="K46" s="1" t="s">
        <v>27</v>
      </c>
      <c r="L46" s="26"/>
      <c r="M46" s="26"/>
      <c r="N46" s="26"/>
      <c r="O46" s="26"/>
      <c r="P46" s="27"/>
    </row>
    <row r="47" spans="1:19">
      <c r="A47" s="1" t="s">
        <v>27</v>
      </c>
      <c r="B47" s="17" t="s">
        <v>20</v>
      </c>
      <c r="C47" s="4" t="s">
        <v>6</v>
      </c>
      <c r="D47" s="26"/>
      <c r="E47" s="26"/>
      <c r="F47" s="26"/>
      <c r="G47" s="26"/>
      <c r="H47" s="27"/>
      <c r="I47" s="28" t="s">
        <v>27</v>
      </c>
      <c r="J47" s="1" t="s">
        <v>27</v>
      </c>
      <c r="K47" s="1" t="s">
        <v>27</v>
      </c>
      <c r="L47" s="26"/>
      <c r="M47" s="26"/>
      <c r="N47" s="26"/>
      <c r="O47" s="26"/>
      <c r="P47" s="27"/>
    </row>
    <row r="48" spans="1:19">
      <c r="A48" s="1" t="s">
        <v>27</v>
      </c>
      <c r="B48" s="1" t="s">
        <v>27</v>
      </c>
      <c r="C48" s="4" t="s">
        <v>6</v>
      </c>
      <c r="D48" s="26"/>
      <c r="E48" s="26"/>
      <c r="F48" s="26"/>
      <c r="G48" s="26"/>
      <c r="H48" s="27"/>
      <c r="I48" s="28" t="s">
        <v>27</v>
      </c>
      <c r="J48" s="1" t="s">
        <v>27</v>
      </c>
      <c r="K48" s="1" t="s">
        <v>27</v>
      </c>
      <c r="L48" s="26"/>
      <c r="M48" s="26"/>
      <c r="N48" s="26"/>
      <c r="O48" s="26"/>
      <c r="P48" s="27"/>
    </row>
    <row r="49" spans="1:16">
      <c r="A49" s="1" t="s">
        <v>27</v>
      </c>
      <c r="B49" s="1" t="s">
        <v>27</v>
      </c>
      <c r="C49" s="16" t="s">
        <v>18</v>
      </c>
      <c r="D49" s="26"/>
      <c r="E49" s="26"/>
      <c r="F49" s="26"/>
      <c r="G49" s="26"/>
      <c r="H49" s="27"/>
      <c r="I49" s="28" t="s">
        <v>27</v>
      </c>
      <c r="J49" s="1" t="s">
        <v>27</v>
      </c>
      <c r="K49" s="1" t="s">
        <v>27</v>
      </c>
      <c r="L49" s="26"/>
      <c r="M49" s="26"/>
      <c r="N49" s="26"/>
      <c r="O49" s="26"/>
      <c r="P49" s="27"/>
    </row>
    <row r="50" spans="1:16">
      <c r="A50" s="1" t="s">
        <v>27</v>
      </c>
      <c r="B50" s="1" t="s">
        <v>27</v>
      </c>
      <c r="C50" s="4" t="s">
        <v>6</v>
      </c>
      <c r="D50" s="26"/>
      <c r="E50" s="26"/>
      <c r="F50" s="26"/>
      <c r="G50" s="26"/>
      <c r="H50" s="27"/>
      <c r="I50" s="28" t="s">
        <v>27</v>
      </c>
      <c r="J50" s="1" t="s">
        <v>27</v>
      </c>
      <c r="K50" s="1" t="s">
        <v>27</v>
      </c>
      <c r="L50" s="26"/>
      <c r="M50" s="26"/>
      <c r="N50" s="26"/>
      <c r="O50" s="26"/>
      <c r="P50" s="27"/>
    </row>
    <row r="51" spans="1:16">
      <c r="A51" s="1" t="s">
        <v>27</v>
      </c>
      <c r="B51" s="1" t="s">
        <v>27</v>
      </c>
      <c r="C51" s="4" t="s">
        <v>6</v>
      </c>
      <c r="D51" s="26"/>
      <c r="E51" s="26"/>
      <c r="F51" s="26"/>
      <c r="G51" s="26"/>
      <c r="H51" s="27"/>
      <c r="I51" s="28" t="s">
        <v>27</v>
      </c>
      <c r="J51" s="1" t="s">
        <v>27</v>
      </c>
      <c r="K51" s="1" t="s">
        <v>27</v>
      </c>
      <c r="L51" s="26"/>
      <c r="M51" s="26"/>
      <c r="N51" s="26"/>
      <c r="O51" s="26"/>
      <c r="P51" s="27"/>
    </row>
    <row r="52" spans="1:16">
      <c r="A52" s="1" t="s">
        <v>27</v>
      </c>
      <c r="B52" s="1" t="s">
        <v>27</v>
      </c>
      <c r="C52" s="17" t="s">
        <v>20</v>
      </c>
      <c r="D52" s="26"/>
      <c r="E52" s="26"/>
      <c r="F52" s="26"/>
      <c r="G52" s="26"/>
      <c r="H52" s="27"/>
      <c r="I52" s="28" t="s">
        <v>27</v>
      </c>
      <c r="J52" s="1" t="s">
        <v>27</v>
      </c>
      <c r="K52" s="1" t="s">
        <v>27</v>
      </c>
      <c r="L52" s="26"/>
      <c r="M52" s="26"/>
      <c r="N52" s="26"/>
      <c r="O52" s="26"/>
      <c r="P52" s="27"/>
    </row>
    <row r="53" spans="1:16">
      <c r="A53" s="1" t="s">
        <v>27</v>
      </c>
      <c r="B53" s="1" t="s">
        <v>27</v>
      </c>
      <c r="C53" s="1" t="s">
        <v>27</v>
      </c>
      <c r="D53" s="26"/>
      <c r="E53" s="26"/>
      <c r="F53" s="26"/>
      <c r="G53" s="26"/>
      <c r="H53" s="27"/>
      <c r="I53" s="28" t="s">
        <v>27</v>
      </c>
      <c r="J53" s="1" t="s">
        <v>27</v>
      </c>
      <c r="K53" s="1" t="s">
        <v>27</v>
      </c>
      <c r="L53" s="26"/>
      <c r="M53" s="26"/>
      <c r="N53" s="26"/>
      <c r="O53" s="26"/>
      <c r="P53" s="27"/>
    </row>
    <row r="54" spans="1:16">
      <c r="A54" s="1" t="s">
        <v>27</v>
      </c>
      <c r="B54" s="1" t="s">
        <v>27</v>
      </c>
      <c r="C54" s="1" t="s">
        <v>27</v>
      </c>
      <c r="D54" s="26"/>
      <c r="E54" s="26"/>
      <c r="F54" s="26"/>
      <c r="G54" s="26"/>
      <c r="H54" s="27"/>
      <c r="I54" s="28" t="s">
        <v>27</v>
      </c>
      <c r="J54" s="1" t="s">
        <v>27</v>
      </c>
      <c r="K54" s="1" t="s">
        <v>27</v>
      </c>
      <c r="L54" s="26"/>
      <c r="M54" s="26"/>
      <c r="N54" s="26"/>
      <c r="O54" s="26"/>
      <c r="P54" s="27"/>
    </row>
    <row r="55" spans="1:16">
      <c r="A55" s="1" t="s">
        <v>27</v>
      </c>
      <c r="B55" s="1" t="s">
        <v>27</v>
      </c>
      <c r="C55" s="1" t="s">
        <v>27</v>
      </c>
      <c r="D55" s="26"/>
      <c r="E55" s="26"/>
      <c r="F55" s="26"/>
      <c r="G55" s="26"/>
      <c r="H55" s="27"/>
      <c r="I55" s="28" t="s">
        <v>27</v>
      </c>
      <c r="J55" s="1" t="s">
        <v>27</v>
      </c>
      <c r="K55" s="1" t="s">
        <v>27</v>
      </c>
      <c r="L55" s="26"/>
      <c r="M55" s="26"/>
      <c r="N55" s="26"/>
      <c r="O55" s="26"/>
      <c r="P55" s="27"/>
    </row>
    <row r="56" spans="1:16">
      <c r="A56" s="28" t="s">
        <v>27</v>
      </c>
      <c r="B56" s="1" t="s">
        <v>27</v>
      </c>
      <c r="C56" s="1" t="s">
        <v>27</v>
      </c>
      <c r="D56" s="26"/>
      <c r="E56" s="26"/>
      <c r="F56" s="26"/>
      <c r="G56" s="26"/>
      <c r="H56" s="27"/>
      <c r="I56" s="28" t="s">
        <v>27</v>
      </c>
      <c r="J56" s="1" t="s">
        <v>27</v>
      </c>
      <c r="K56" s="1" t="s">
        <v>27</v>
      </c>
      <c r="L56" s="26"/>
      <c r="M56" s="26"/>
      <c r="N56" s="26"/>
      <c r="O56" s="26"/>
      <c r="P56" s="27"/>
    </row>
    <row r="57" spans="1:16">
      <c r="A57" s="28" t="s">
        <v>27</v>
      </c>
      <c r="B57" s="1" t="s">
        <v>27</v>
      </c>
      <c r="C57" s="1" t="s">
        <v>27</v>
      </c>
      <c r="D57" s="26"/>
      <c r="E57" s="26"/>
      <c r="F57" s="26"/>
      <c r="G57" s="26"/>
      <c r="H57" s="27"/>
      <c r="I57" s="28" t="s">
        <v>27</v>
      </c>
      <c r="J57" s="1" t="s">
        <v>27</v>
      </c>
      <c r="K57" s="1" t="s">
        <v>27</v>
      </c>
      <c r="L57" s="26"/>
      <c r="M57" s="26"/>
      <c r="N57" s="26"/>
      <c r="O57" s="26"/>
      <c r="P57" s="27"/>
    </row>
    <row r="58" spans="1:16">
      <c r="A58" s="28" t="s">
        <v>27</v>
      </c>
      <c r="B58" s="1" t="s">
        <v>27</v>
      </c>
      <c r="C58" s="1" t="s">
        <v>27</v>
      </c>
      <c r="D58" s="26"/>
      <c r="E58" s="26"/>
      <c r="F58" s="26"/>
      <c r="G58" s="26"/>
      <c r="H58" s="27"/>
      <c r="I58" s="28" t="s">
        <v>27</v>
      </c>
      <c r="J58" s="1" t="s">
        <v>27</v>
      </c>
      <c r="K58" s="1" t="s">
        <v>27</v>
      </c>
      <c r="L58" s="26"/>
      <c r="M58" s="26"/>
      <c r="N58" s="26"/>
      <c r="O58" s="26"/>
      <c r="P58" s="27"/>
    </row>
    <row r="59" spans="1:16">
      <c r="A59" s="28" t="s">
        <v>27</v>
      </c>
      <c r="B59" s="1" t="s">
        <v>27</v>
      </c>
      <c r="C59" s="1" t="s">
        <v>27</v>
      </c>
      <c r="D59" s="26"/>
      <c r="E59" s="26"/>
      <c r="F59" s="26"/>
      <c r="G59" s="26"/>
      <c r="H59" s="27"/>
      <c r="I59" s="28" t="s">
        <v>27</v>
      </c>
      <c r="J59" s="1" t="s">
        <v>27</v>
      </c>
      <c r="K59" s="1" t="s">
        <v>27</v>
      </c>
      <c r="L59" s="26"/>
      <c r="M59" s="26"/>
      <c r="N59" s="26"/>
      <c r="O59" s="26"/>
      <c r="P59" s="27"/>
    </row>
    <row r="60" spans="1:16">
      <c r="A60" s="28" t="s">
        <v>27</v>
      </c>
      <c r="B60" s="1" t="s">
        <v>27</v>
      </c>
      <c r="C60" s="1" t="s">
        <v>27</v>
      </c>
      <c r="D60" s="26"/>
      <c r="E60" s="26"/>
      <c r="F60" s="26"/>
      <c r="G60" s="26"/>
      <c r="H60" s="27"/>
      <c r="I60" s="28" t="s">
        <v>27</v>
      </c>
      <c r="J60" s="1" t="s">
        <v>27</v>
      </c>
      <c r="K60" s="1" t="s">
        <v>27</v>
      </c>
      <c r="L60" s="26"/>
      <c r="M60" s="26"/>
      <c r="N60" s="26"/>
      <c r="O60" s="26"/>
      <c r="P60" s="27"/>
    </row>
    <row r="61" spans="1:16">
      <c r="A61" s="28" t="s">
        <v>27</v>
      </c>
      <c r="B61" s="1" t="s">
        <v>27</v>
      </c>
      <c r="C61" s="1" t="s">
        <v>27</v>
      </c>
      <c r="D61" s="26"/>
      <c r="E61" s="26"/>
      <c r="F61" s="26"/>
      <c r="G61" s="26"/>
      <c r="H61" s="27"/>
      <c r="I61" s="28" t="s">
        <v>27</v>
      </c>
      <c r="J61" s="1" t="s">
        <v>27</v>
      </c>
      <c r="K61" s="1" t="s">
        <v>27</v>
      </c>
      <c r="L61" s="26"/>
      <c r="M61" s="26"/>
      <c r="N61" s="26"/>
      <c r="O61" s="26"/>
      <c r="P61" s="27"/>
    </row>
    <row r="62" spans="1:16">
      <c r="A62" s="28" t="s">
        <v>27</v>
      </c>
      <c r="B62" s="1" t="s">
        <v>27</v>
      </c>
      <c r="C62" s="1" t="s">
        <v>27</v>
      </c>
      <c r="D62" s="26"/>
      <c r="E62" s="26"/>
      <c r="F62" s="26"/>
      <c r="G62" s="26"/>
      <c r="H62" s="27"/>
      <c r="I62" s="28" t="s">
        <v>27</v>
      </c>
      <c r="J62" s="1" t="s">
        <v>27</v>
      </c>
      <c r="K62" s="1" t="s">
        <v>27</v>
      </c>
      <c r="L62" s="26"/>
      <c r="M62" s="26"/>
      <c r="N62" s="26"/>
      <c r="O62" s="26"/>
      <c r="P62" s="27"/>
    </row>
    <row r="63" spans="1:16">
      <c r="A63" s="28" t="s">
        <v>27</v>
      </c>
      <c r="B63" s="1" t="s">
        <v>27</v>
      </c>
      <c r="C63" s="1" t="s">
        <v>27</v>
      </c>
      <c r="D63" s="26"/>
      <c r="E63" s="26"/>
      <c r="F63" s="26"/>
      <c r="G63" s="26"/>
      <c r="H63" s="27"/>
      <c r="I63" s="28" t="s">
        <v>27</v>
      </c>
      <c r="J63" s="1" t="s">
        <v>27</v>
      </c>
      <c r="K63" s="1" t="s">
        <v>27</v>
      </c>
      <c r="L63" s="26"/>
      <c r="M63" s="26"/>
      <c r="N63" s="26"/>
      <c r="O63" s="26"/>
      <c r="P63" s="27"/>
    </row>
    <row r="64" spans="1:16">
      <c r="A64" s="28" t="s">
        <v>27</v>
      </c>
      <c r="B64" s="1" t="s">
        <v>27</v>
      </c>
      <c r="C64" s="1" t="s">
        <v>27</v>
      </c>
      <c r="D64" s="26"/>
      <c r="E64" s="26"/>
      <c r="F64" s="26"/>
      <c r="G64" s="26"/>
      <c r="H64" s="27"/>
      <c r="I64" s="28" t="s">
        <v>27</v>
      </c>
      <c r="J64" s="1" t="s">
        <v>27</v>
      </c>
      <c r="K64" s="1" t="s">
        <v>27</v>
      </c>
      <c r="L64" s="26"/>
      <c r="M64" s="26"/>
      <c r="N64" s="26"/>
      <c r="O64" s="26"/>
      <c r="P64" s="27"/>
    </row>
    <row r="65" spans="1:16">
      <c r="A65" s="28" t="s">
        <v>27</v>
      </c>
      <c r="B65" s="1" t="s">
        <v>27</v>
      </c>
      <c r="C65" s="1" t="s">
        <v>27</v>
      </c>
      <c r="D65" s="26"/>
      <c r="E65" s="26"/>
      <c r="F65" s="26"/>
      <c r="G65" s="26"/>
      <c r="H65" s="27"/>
      <c r="I65" s="28" t="s">
        <v>27</v>
      </c>
      <c r="J65" s="1" t="s">
        <v>27</v>
      </c>
      <c r="K65" s="1" t="s">
        <v>27</v>
      </c>
      <c r="L65" s="26"/>
      <c r="M65" s="26"/>
      <c r="N65" s="26"/>
      <c r="O65" s="26"/>
      <c r="P65" s="27"/>
    </row>
    <row r="66" spans="1:16">
      <c r="A66" s="28" t="s">
        <v>27</v>
      </c>
      <c r="B66" s="1" t="s">
        <v>27</v>
      </c>
      <c r="C66" s="1" t="s">
        <v>27</v>
      </c>
      <c r="D66" s="26"/>
      <c r="E66" s="26"/>
      <c r="F66" s="26"/>
      <c r="G66" s="26"/>
      <c r="H66" s="27"/>
      <c r="I66" s="28" t="s">
        <v>27</v>
      </c>
      <c r="J66" s="1" t="s">
        <v>27</v>
      </c>
      <c r="K66" s="1" t="s">
        <v>27</v>
      </c>
      <c r="L66" s="26"/>
      <c r="M66" s="26"/>
      <c r="N66" s="26"/>
      <c r="O66" s="26"/>
      <c r="P66" s="27"/>
    </row>
    <row r="67" spans="1:16">
      <c r="A67" s="28" t="s">
        <v>27</v>
      </c>
      <c r="B67" s="1" t="s">
        <v>27</v>
      </c>
      <c r="C67" s="1" t="s">
        <v>27</v>
      </c>
      <c r="D67" s="26"/>
      <c r="E67" s="26"/>
      <c r="F67" s="26"/>
      <c r="G67" s="26"/>
      <c r="H67" s="27"/>
      <c r="I67" s="28" t="s">
        <v>27</v>
      </c>
      <c r="J67" s="1" t="s">
        <v>27</v>
      </c>
      <c r="K67" s="1" t="s">
        <v>27</v>
      </c>
      <c r="L67" s="26"/>
      <c r="M67" s="26"/>
      <c r="N67" s="26"/>
      <c r="O67" s="26"/>
      <c r="P67" s="27"/>
    </row>
    <row r="68" spans="1:16">
      <c r="A68" s="28" t="s">
        <v>27</v>
      </c>
      <c r="B68" s="1" t="s">
        <v>27</v>
      </c>
      <c r="C68" s="1" t="s">
        <v>27</v>
      </c>
      <c r="D68" s="26"/>
      <c r="E68" s="26"/>
      <c r="F68" s="26"/>
      <c r="G68" s="26"/>
      <c r="H68" s="27"/>
      <c r="I68" s="28" t="s">
        <v>27</v>
      </c>
      <c r="J68" s="1" t="s">
        <v>27</v>
      </c>
      <c r="K68" s="1" t="s">
        <v>27</v>
      </c>
      <c r="L68" s="26"/>
      <c r="M68" s="26"/>
      <c r="N68" s="26"/>
      <c r="O68" s="26"/>
      <c r="P68" s="27"/>
    </row>
    <row r="69" spans="1:16">
      <c r="A69" s="28" t="s">
        <v>27</v>
      </c>
      <c r="B69" s="1" t="s">
        <v>27</v>
      </c>
      <c r="C69" s="1" t="s">
        <v>27</v>
      </c>
      <c r="D69" s="26"/>
      <c r="E69" s="26"/>
      <c r="F69" s="26"/>
      <c r="G69" s="26"/>
      <c r="H69" s="27"/>
      <c r="I69" s="28" t="s">
        <v>27</v>
      </c>
      <c r="J69" s="1" t="s">
        <v>27</v>
      </c>
      <c r="K69" s="1" t="s">
        <v>27</v>
      </c>
      <c r="L69" s="26"/>
      <c r="M69" s="26"/>
      <c r="N69" s="26"/>
      <c r="O69" s="26"/>
      <c r="P69" s="27"/>
    </row>
    <row r="70" spans="1:16">
      <c r="A70" s="28" t="s">
        <v>27</v>
      </c>
      <c r="B70" s="1" t="s">
        <v>27</v>
      </c>
      <c r="C70" s="1" t="s">
        <v>27</v>
      </c>
      <c r="D70" s="26"/>
      <c r="E70" s="26"/>
      <c r="F70" s="26"/>
      <c r="G70" s="26"/>
      <c r="H70" s="27"/>
      <c r="I70" s="28" t="s">
        <v>27</v>
      </c>
      <c r="J70" s="1" t="s">
        <v>27</v>
      </c>
      <c r="K70" s="1" t="s">
        <v>27</v>
      </c>
      <c r="L70" s="26"/>
      <c r="M70" s="26"/>
      <c r="N70" s="26"/>
      <c r="O70" s="26"/>
      <c r="P70" s="27"/>
    </row>
    <row r="71" spans="1:16">
      <c r="A71" s="28" t="s">
        <v>27</v>
      </c>
      <c r="B71" s="1" t="s">
        <v>27</v>
      </c>
      <c r="C71" s="1" t="s">
        <v>27</v>
      </c>
      <c r="D71" s="26"/>
      <c r="E71" s="26"/>
      <c r="F71" s="26"/>
      <c r="G71" s="26"/>
      <c r="H71" s="27"/>
      <c r="I71" s="28" t="s">
        <v>27</v>
      </c>
      <c r="J71" s="1" t="s">
        <v>27</v>
      </c>
      <c r="K71" s="1" t="s">
        <v>27</v>
      </c>
      <c r="L71" s="26"/>
      <c r="M71" s="26"/>
      <c r="N71" s="26"/>
      <c r="O71" s="26"/>
      <c r="P71" s="27"/>
    </row>
    <row r="72" spans="1:16">
      <c r="A72" s="28" t="s">
        <v>27</v>
      </c>
      <c r="B72" s="1" t="s">
        <v>27</v>
      </c>
      <c r="C72" s="1" t="s">
        <v>27</v>
      </c>
      <c r="D72" s="26"/>
      <c r="E72" s="26"/>
      <c r="F72" s="26"/>
      <c r="G72" s="26"/>
      <c r="H72" s="27"/>
      <c r="I72" s="28" t="s">
        <v>27</v>
      </c>
      <c r="J72" s="1" t="s">
        <v>27</v>
      </c>
      <c r="K72" s="1" t="s">
        <v>27</v>
      </c>
      <c r="L72" s="26"/>
      <c r="M72" s="26"/>
      <c r="N72" s="26"/>
      <c r="O72" s="26"/>
      <c r="P72" s="27"/>
    </row>
    <row r="73" spans="1:16">
      <c r="A73" s="28" t="s">
        <v>27</v>
      </c>
      <c r="B73" s="1" t="s">
        <v>27</v>
      </c>
      <c r="C73" s="1" t="s">
        <v>27</v>
      </c>
      <c r="D73" s="26"/>
      <c r="E73" s="26"/>
      <c r="F73" s="26"/>
      <c r="G73" s="26"/>
      <c r="H73" s="27"/>
      <c r="I73" s="28" t="s">
        <v>27</v>
      </c>
      <c r="J73" s="1" t="s">
        <v>27</v>
      </c>
      <c r="K73" s="1" t="s">
        <v>27</v>
      </c>
      <c r="L73" s="26"/>
      <c r="M73" s="26"/>
      <c r="N73" s="26"/>
      <c r="O73" s="26"/>
      <c r="P73" s="27"/>
    </row>
    <row r="74" spans="1:16">
      <c r="A74" s="28" t="s">
        <v>27</v>
      </c>
      <c r="B74" s="1" t="s">
        <v>27</v>
      </c>
      <c r="C74" s="1" t="s">
        <v>27</v>
      </c>
      <c r="D74" s="26"/>
      <c r="E74" s="26"/>
      <c r="F74" s="26"/>
      <c r="G74" s="26"/>
      <c r="H74" s="27"/>
      <c r="I74" s="28" t="s">
        <v>27</v>
      </c>
      <c r="J74" s="1" t="s">
        <v>27</v>
      </c>
      <c r="K74" s="1" t="s">
        <v>27</v>
      </c>
      <c r="L74" s="26"/>
      <c r="M74" s="26"/>
      <c r="N74" s="26"/>
      <c r="O74" s="26"/>
      <c r="P74" s="27"/>
    </row>
    <row r="75" spans="1:16">
      <c r="A75" s="28" t="s">
        <v>27</v>
      </c>
      <c r="B75" s="1" t="s">
        <v>27</v>
      </c>
      <c r="C75" s="1" t="s">
        <v>27</v>
      </c>
      <c r="D75" s="26"/>
      <c r="E75" s="26"/>
      <c r="F75" s="26"/>
      <c r="G75" s="26"/>
      <c r="H75" s="27"/>
      <c r="I75" s="28" t="s">
        <v>27</v>
      </c>
      <c r="J75" s="1" t="s">
        <v>27</v>
      </c>
      <c r="K75" s="1" t="s">
        <v>27</v>
      </c>
      <c r="L75" s="26"/>
      <c r="M75" s="26"/>
      <c r="N75" s="26"/>
      <c r="O75" s="26"/>
      <c r="P75" s="27"/>
    </row>
    <row r="76" spans="1:16">
      <c r="A76" s="28" t="s">
        <v>27</v>
      </c>
      <c r="B76" s="1" t="s">
        <v>27</v>
      </c>
      <c r="C76" s="1" t="s">
        <v>27</v>
      </c>
      <c r="D76" s="26"/>
      <c r="E76" s="26"/>
      <c r="F76" s="26"/>
      <c r="G76" s="26"/>
      <c r="H76" s="27"/>
      <c r="I76" s="28" t="s">
        <v>27</v>
      </c>
      <c r="J76" s="1" t="s">
        <v>27</v>
      </c>
      <c r="K76" s="1" t="s">
        <v>27</v>
      </c>
      <c r="L76" s="26"/>
      <c r="M76" s="26"/>
      <c r="N76" s="26"/>
      <c r="O76" s="26"/>
      <c r="P76" s="27"/>
    </row>
    <row r="77" spans="1:16">
      <c r="A77" s="28" t="s">
        <v>27</v>
      </c>
      <c r="B77" s="1" t="s">
        <v>27</v>
      </c>
      <c r="C77" s="1" t="s">
        <v>27</v>
      </c>
      <c r="D77" s="26"/>
      <c r="E77" s="26"/>
      <c r="F77" s="26"/>
      <c r="G77" s="26"/>
      <c r="H77" s="27"/>
      <c r="I77" s="28" t="s">
        <v>27</v>
      </c>
      <c r="J77" s="1" t="s">
        <v>27</v>
      </c>
      <c r="K77" s="1" t="s">
        <v>27</v>
      </c>
      <c r="L77" s="26"/>
      <c r="M77" s="26"/>
      <c r="N77" s="26"/>
      <c r="O77" s="26"/>
      <c r="P77" s="27"/>
    </row>
    <row r="78" spans="1:16">
      <c r="A78" s="28" t="s">
        <v>27</v>
      </c>
      <c r="B78" s="1" t="s">
        <v>27</v>
      </c>
      <c r="C78" s="1" t="s">
        <v>27</v>
      </c>
      <c r="D78" s="26"/>
      <c r="E78" s="26"/>
      <c r="F78" s="26"/>
      <c r="G78" s="26"/>
      <c r="H78" s="27"/>
      <c r="I78" s="28" t="s">
        <v>27</v>
      </c>
      <c r="J78" s="1" t="s">
        <v>27</v>
      </c>
      <c r="K78" s="1" t="s">
        <v>27</v>
      </c>
      <c r="L78" s="26"/>
      <c r="M78" s="26"/>
      <c r="N78" s="26"/>
      <c r="O78" s="26"/>
      <c r="P78" s="27"/>
    </row>
    <row r="79" spans="1:16">
      <c r="A79" s="28" t="s">
        <v>27</v>
      </c>
      <c r="B79" s="1" t="s">
        <v>27</v>
      </c>
      <c r="C79" s="1" t="s">
        <v>27</v>
      </c>
      <c r="D79" s="26"/>
      <c r="E79" s="26"/>
      <c r="F79" s="26"/>
      <c r="G79" s="26"/>
      <c r="H79" s="27"/>
      <c r="I79" s="28" t="s">
        <v>27</v>
      </c>
      <c r="J79" s="1" t="s">
        <v>27</v>
      </c>
      <c r="K79" s="1" t="s">
        <v>27</v>
      </c>
      <c r="L79" s="26"/>
      <c r="M79" s="26"/>
      <c r="N79" s="26"/>
      <c r="O79" s="26"/>
      <c r="P79" s="27"/>
    </row>
    <row r="80" spans="1:16">
      <c r="A80" s="28" t="s">
        <v>27</v>
      </c>
      <c r="B80" s="1" t="s">
        <v>27</v>
      </c>
      <c r="C80" s="1" t="s">
        <v>27</v>
      </c>
      <c r="D80" s="26"/>
      <c r="E80" s="26"/>
      <c r="F80" s="26"/>
      <c r="G80" s="26"/>
      <c r="H80" s="27"/>
      <c r="I80" s="28" t="s">
        <v>27</v>
      </c>
      <c r="J80" s="1" t="s">
        <v>27</v>
      </c>
      <c r="K80" s="1" t="s">
        <v>27</v>
      </c>
      <c r="L80" s="26"/>
      <c r="M80" s="26"/>
      <c r="N80" s="26"/>
      <c r="O80" s="26"/>
      <c r="P80" s="27"/>
    </row>
    <row r="81" spans="1:16">
      <c r="A81" s="28" t="s">
        <v>27</v>
      </c>
      <c r="B81" s="1" t="s">
        <v>27</v>
      </c>
      <c r="C81" s="1" t="s">
        <v>27</v>
      </c>
      <c r="D81" s="26"/>
      <c r="E81" s="26"/>
      <c r="F81" s="26"/>
      <c r="G81" s="26"/>
      <c r="H81" s="27"/>
      <c r="I81" s="28" t="s">
        <v>27</v>
      </c>
      <c r="J81" s="1" t="s">
        <v>27</v>
      </c>
      <c r="K81" s="1" t="s">
        <v>27</v>
      </c>
      <c r="L81" s="26"/>
      <c r="M81" s="26"/>
      <c r="N81" s="26"/>
      <c r="O81" s="26"/>
      <c r="P81" s="27"/>
    </row>
    <row r="82" spans="1:16">
      <c r="A82" s="28" t="s">
        <v>27</v>
      </c>
      <c r="B82" s="1" t="s">
        <v>27</v>
      </c>
      <c r="C82" s="1" t="s">
        <v>27</v>
      </c>
      <c r="D82" s="26"/>
      <c r="E82" s="26"/>
      <c r="F82" s="26"/>
      <c r="G82" s="26"/>
      <c r="H82" s="27"/>
      <c r="I82" s="28" t="s">
        <v>27</v>
      </c>
      <c r="J82" s="1" t="s">
        <v>27</v>
      </c>
      <c r="K82" s="1" t="s">
        <v>27</v>
      </c>
      <c r="L82" s="26"/>
      <c r="M82" s="26"/>
      <c r="N82" s="26"/>
      <c r="O82" s="26"/>
      <c r="P82" s="27"/>
    </row>
    <row r="83" spans="1:16">
      <c r="A83" s="28" t="s">
        <v>27</v>
      </c>
      <c r="B83" s="1" t="s">
        <v>27</v>
      </c>
      <c r="C83" s="1" t="s">
        <v>27</v>
      </c>
      <c r="D83" s="26"/>
      <c r="E83" s="26"/>
      <c r="F83" s="26"/>
      <c r="G83" s="26"/>
      <c r="H83" s="27"/>
      <c r="I83" s="28" t="s">
        <v>27</v>
      </c>
      <c r="J83" s="1" t="s">
        <v>27</v>
      </c>
      <c r="K83" s="1" t="s">
        <v>27</v>
      </c>
      <c r="L83" s="26"/>
      <c r="M83" s="26"/>
      <c r="N83" s="26"/>
      <c r="O83" s="26"/>
      <c r="P83" s="27"/>
    </row>
    <row r="84" spans="1:16">
      <c r="A84" s="28" t="s">
        <v>27</v>
      </c>
      <c r="B84" s="1" t="s">
        <v>27</v>
      </c>
      <c r="C84" s="1" t="s">
        <v>27</v>
      </c>
      <c r="D84" s="26"/>
      <c r="E84" s="26"/>
      <c r="F84" s="26"/>
      <c r="G84" s="26"/>
      <c r="H84" s="27"/>
      <c r="I84" s="28" t="s">
        <v>27</v>
      </c>
      <c r="J84" s="1" t="s">
        <v>27</v>
      </c>
      <c r="K84" s="1" t="s">
        <v>27</v>
      </c>
      <c r="L84" s="26"/>
      <c r="M84" s="26"/>
      <c r="N84" s="26"/>
      <c r="O84" s="26"/>
      <c r="P84" s="27"/>
    </row>
    <row r="85" spans="1:16">
      <c r="A85" s="28" t="s">
        <v>27</v>
      </c>
      <c r="B85" s="1" t="s">
        <v>27</v>
      </c>
      <c r="C85" s="1" t="s">
        <v>27</v>
      </c>
      <c r="D85" s="26"/>
      <c r="E85" s="26"/>
      <c r="F85" s="26"/>
      <c r="G85" s="26"/>
      <c r="H85" s="27"/>
      <c r="I85" s="28" t="s">
        <v>27</v>
      </c>
      <c r="J85" s="1" t="s">
        <v>27</v>
      </c>
      <c r="K85" s="1" t="s">
        <v>27</v>
      </c>
      <c r="L85" s="26"/>
      <c r="M85" s="26"/>
      <c r="N85" s="26"/>
      <c r="O85" s="26"/>
      <c r="P85" s="27"/>
    </row>
    <row r="86" spans="1:16">
      <c r="A86" s="28" t="s">
        <v>27</v>
      </c>
      <c r="B86" s="1" t="s">
        <v>27</v>
      </c>
      <c r="C86" s="1" t="s">
        <v>27</v>
      </c>
      <c r="D86" s="26"/>
      <c r="E86" s="26"/>
      <c r="F86" s="26"/>
      <c r="G86" s="26"/>
      <c r="H86" s="27"/>
      <c r="I86" s="28" t="s">
        <v>27</v>
      </c>
      <c r="J86" s="1" t="s">
        <v>27</v>
      </c>
      <c r="K86" s="1" t="s">
        <v>27</v>
      </c>
      <c r="L86" s="26"/>
      <c r="M86" s="26"/>
      <c r="N86" s="26"/>
      <c r="O86" s="26"/>
      <c r="P86" s="27"/>
    </row>
    <row r="87" spans="1:16">
      <c r="A87" s="28" t="s">
        <v>27</v>
      </c>
      <c r="B87" s="1" t="s">
        <v>27</v>
      </c>
      <c r="C87" s="1" t="s">
        <v>27</v>
      </c>
      <c r="D87" s="26"/>
      <c r="E87" s="26"/>
      <c r="F87" s="26"/>
      <c r="G87" s="26"/>
      <c r="H87" s="27"/>
      <c r="I87" s="28" t="s">
        <v>27</v>
      </c>
      <c r="J87" s="1" t="s">
        <v>27</v>
      </c>
      <c r="K87" s="1" t="s">
        <v>27</v>
      </c>
      <c r="L87" s="26"/>
      <c r="M87" s="26"/>
      <c r="N87" s="26"/>
      <c r="O87" s="26"/>
      <c r="P87" s="27"/>
    </row>
    <row r="88" spans="1:16">
      <c r="A88" s="28" t="s">
        <v>27</v>
      </c>
      <c r="B88" s="1" t="s">
        <v>27</v>
      </c>
      <c r="C88" s="1" t="s">
        <v>27</v>
      </c>
      <c r="D88" s="26"/>
      <c r="E88" s="26"/>
      <c r="F88" s="26"/>
      <c r="G88" s="26"/>
      <c r="H88" s="27"/>
      <c r="I88" s="28" t="s">
        <v>27</v>
      </c>
      <c r="J88" s="1" t="s">
        <v>27</v>
      </c>
      <c r="K88" s="1" t="s">
        <v>27</v>
      </c>
      <c r="L88" s="26"/>
      <c r="M88" s="26"/>
      <c r="N88" s="26"/>
      <c r="O88" s="26"/>
      <c r="P88" s="27"/>
    </row>
    <row r="89" spans="1:16">
      <c r="A89" s="28" t="s">
        <v>27</v>
      </c>
      <c r="B89" s="1" t="s">
        <v>27</v>
      </c>
      <c r="C89" s="1" t="s">
        <v>27</v>
      </c>
      <c r="D89" s="26"/>
      <c r="E89" s="26"/>
      <c r="F89" s="26"/>
      <c r="G89" s="26"/>
      <c r="H89" s="27"/>
      <c r="I89" s="28" t="s">
        <v>27</v>
      </c>
      <c r="J89" s="1" t="s">
        <v>27</v>
      </c>
      <c r="K89" s="1" t="s">
        <v>27</v>
      </c>
      <c r="L89" s="26"/>
      <c r="M89" s="26"/>
      <c r="N89" s="26"/>
      <c r="O89" s="26"/>
      <c r="P89" s="27"/>
    </row>
    <row r="90" spans="1:16">
      <c r="A90" s="28" t="s">
        <v>27</v>
      </c>
      <c r="B90" s="1" t="s">
        <v>27</v>
      </c>
      <c r="C90" s="1" t="s">
        <v>27</v>
      </c>
      <c r="D90" s="26"/>
      <c r="E90" s="26"/>
      <c r="F90" s="26"/>
      <c r="G90" s="26"/>
      <c r="H90" s="27"/>
      <c r="I90" s="28" t="s">
        <v>27</v>
      </c>
      <c r="J90" s="1" t="s">
        <v>27</v>
      </c>
      <c r="K90" s="1" t="s">
        <v>27</v>
      </c>
      <c r="L90" s="26"/>
      <c r="M90" s="26"/>
      <c r="N90" s="26"/>
      <c r="O90" s="26"/>
      <c r="P90" s="27"/>
    </row>
    <row r="91" spans="1:16">
      <c r="A91" s="28" t="s">
        <v>27</v>
      </c>
      <c r="B91" s="1" t="s">
        <v>27</v>
      </c>
      <c r="C91" s="1" t="s">
        <v>27</v>
      </c>
      <c r="D91" s="26"/>
      <c r="E91" s="26"/>
      <c r="F91" s="26"/>
      <c r="G91" s="26"/>
      <c r="H91" s="27"/>
      <c r="I91" s="28" t="s">
        <v>27</v>
      </c>
      <c r="J91" s="1" t="s">
        <v>27</v>
      </c>
      <c r="K91" s="1" t="s">
        <v>27</v>
      </c>
      <c r="L91" s="26"/>
      <c r="M91" s="26"/>
      <c r="N91" s="26"/>
      <c r="O91" s="26"/>
      <c r="P91" s="27"/>
    </row>
    <row r="92" spans="1:16">
      <c r="A92" s="28" t="s">
        <v>27</v>
      </c>
      <c r="B92" s="1" t="s">
        <v>27</v>
      </c>
      <c r="C92" s="1" t="s">
        <v>27</v>
      </c>
      <c r="D92" s="26"/>
      <c r="E92" s="26"/>
      <c r="F92" s="26"/>
      <c r="G92" s="26"/>
      <c r="H92" s="27"/>
      <c r="I92" s="28" t="s">
        <v>27</v>
      </c>
      <c r="J92" s="1" t="s">
        <v>27</v>
      </c>
      <c r="K92" s="1" t="s">
        <v>27</v>
      </c>
      <c r="L92" s="26"/>
      <c r="M92" s="26"/>
      <c r="N92" s="26"/>
      <c r="O92" s="26"/>
      <c r="P92" s="27"/>
    </row>
    <row r="93" spans="1:16">
      <c r="A93" s="28" t="s">
        <v>27</v>
      </c>
      <c r="B93" s="1" t="s">
        <v>27</v>
      </c>
      <c r="C93" s="1" t="s">
        <v>27</v>
      </c>
      <c r="D93" s="26"/>
      <c r="E93" s="26"/>
      <c r="F93" s="26"/>
      <c r="G93" s="26"/>
      <c r="H93" s="27"/>
      <c r="I93" s="28" t="s">
        <v>27</v>
      </c>
      <c r="J93" s="1" t="s">
        <v>27</v>
      </c>
      <c r="K93" s="1" t="s">
        <v>27</v>
      </c>
      <c r="L93" s="26"/>
      <c r="M93" s="26"/>
      <c r="N93" s="26"/>
      <c r="O93" s="26"/>
      <c r="P93" s="27"/>
    </row>
    <row r="94" spans="1:16">
      <c r="A94" s="28" t="s">
        <v>27</v>
      </c>
      <c r="B94" s="1" t="s">
        <v>27</v>
      </c>
      <c r="C94" s="1" t="s">
        <v>27</v>
      </c>
      <c r="D94" s="26"/>
      <c r="E94" s="26"/>
      <c r="F94" s="26"/>
      <c r="G94" s="26"/>
      <c r="H94" s="27"/>
      <c r="I94" s="28" t="s">
        <v>27</v>
      </c>
      <c r="J94" s="1" t="s">
        <v>27</v>
      </c>
      <c r="K94" s="1" t="s">
        <v>27</v>
      </c>
      <c r="L94" s="26"/>
      <c r="M94" s="26"/>
      <c r="N94" s="26"/>
      <c r="O94" s="26"/>
      <c r="P94" s="27"/>
    </row>
    <row r="95" spans="1:16">
      <c r="A95" s="28" t="s">
        <v>27</v>
      </c>
      <c r="B95" s="1" t="s">
        <v>27</v>
      </c>
      <c r="C95" s="1" t="s">
        <v>27</v>
      </c>
      <c r="D95" s="26"/>
      <c r="E95" s="26"/>
      <c r="F95" s="26"/>
      <c r="G95" s="26"/>
      <c r="H95" s="27"/>
      <c r="I95" s="28" t="s">
        <v>27</v>
      </c>
      <c r="J95" s="1" t="s">
        <v>27</v>
      </c>
      <c r="K95" s="1" t="s">
        <v>27</v>
      </c>
      <c r="L95" s="26"/>
      <c r="M95" s="26"/>
      <c r="N95" s="26"/>
      <c r="O95" s="26"/>
      <c r="P95" s="27"/>
    </row>
    <row r="96" spans="1:16">
      <c r="A96" s="28" t="s">
        <v>27</v>
      </c>
      <c r="B96" s="1" t="s">
        <v>27</v>
      </c>
      <c r="C96" s="1" t="s">
        <v>27</v>
      </c>
      <c r="D96" s="26"/>
      <c r="E96" s="26"/>
      <c r="F96" s="26"/>
      <c r="G96" s="26"/>
      <c r="H96" s="27"/>
      <c r="I96" s="28" t="s">
        <v>27</v>
      </c>
      <c r="J96" s="1" t="s">
        <v>27</v>
      </c>
      <c r="K96" s="1" t="s">
        <v>27</v>
      </c>
      <c r="L96" s="26"/>
      <c r="M96" s="26"/>
      <c r="N96" s="26"/>
      <c r="O96" s="26"/>
      <c r="P96" s="27"/>
    </row>
    <row r="97" spans="1:16">
      <c r="A97" s="28" t="s">
        <v>27</v>
      </c>
      <c r="B97" s="1" t="s">
        <v>27</v>
      </c>
      <c r="C97" s="1" t="s">
        <v>27</v>
      </c>
      <c r="D97" s="26"/>
      <c r="E97" s="26"/>
      <c r="F97" s="26"/>
      <c r="G97" s="26"/>
      <c r="H97" s="27"/>
      <c r="I97" s="28" t="s">
        <v>27</v>
      </c>
      <c r="J97" s="1" t="s">
        <v>27</v>
      </c>
      <c r="K97" s="1" t="s">
        <v>27</v>
      </c>
      <c r="L97" s="26"/>
      <c r="M97" s="26"/>
      <c r="N97" s="26"/>
      <c r="O97" s="26"/>
      <c r="P97" s="27"/>
    </row>
    <row r="98" spans="1:16">
      <c r="A98" s="28" t="s">
        <v>27</v>
      </c>
      <c r="B98" s="1" t="s">
        <v>27</v>
      </c>
      <c r="C98" s="1" t="s">
        <v>27</v>
      </c>
      <c r="D98" s="26"/>
      <c r="E98" s="26"/>
      <c r="F98" s="26"/>
      <c r="G98" s="26"/>
      <c r="H98" s="27"/>
      <c r="I98" s="28" t="s">
        <v>27</v>
      </c>
      <c r="J98" s="1" t="s">
        <v>27</v>
      </c>
      <c r="K98" s="1" t="s">
        <v>27</v>
      </c>
      <c r="L98" s="26"/>
      <c r="M98" s="26"/>
      <c r="N98" s="26"/>
      <c r="O98" s="26"/>
      <c r="P98" s="27"/>
    </row>
    <row r="99" spans="1:16">
      <c r="A99" s="28" t="s">
        <v>27</v>
      </c>
      <c r="B99" s="1" t="s">
        <v>27</v>
      </c>
      <c r="C99" s="1" t="s">
        <v>27</v>
      </c>
      <c r="D99" s="26"/>
      <c r="E99" s="26"/>
      <c r="F99" s="26"/>
      <c r="G99" s="26"/>
      <c r="H99" s="27"/>
      <c r="I99" s="28" t="s">
        <v>27</v>
      </c>
      <c r="J99" s="1" t="s">
        <v>27</v>
      </c>
      <c r="K99" s="1" t="s">
        <v>27</v>
      </c>
      <c r="L99" s="26"/>
      <c r="M99" s="26"/>
      <c r="N99" s="26"/>
      <c r="O99" s="26"/>
      <c r="P99" s="27"/>
    </row>
    <row r="100" spans="1:16" ht="15.75" thickBot="1">
      <c r="A100" s="29" t="s">
        <v>27</v>
      </c>
      <c r="B100" s="30" t="s">
        <v>27</v>
      </c>
      <c r="C100" s="30" t="s">
        <v>27</v>
      </c>
      <c r="D100" s="31"/>
      <c r="E100" s="31"/>
      <c r="F100" s="31"/>
      <c r="G100" s="31"/>
      <c r="H100" s="32"/>
      <c r="I100" s="29" t="s">
        <v>27</v>
      </c>
      <c r="J100" s="30" t="s">
        <v>27</v>
      </c>
      <c r="K100" s="30" t="s">
        <v>27</v>
      </c>
      <c r="L100" s="31"/>
      <c r="M100" s="31"/>
      <c r="N100" s="31"/>
      <c r="O100" s="31"/>
      <c r="P100" s="32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E102B-6AC2-4258-BE7E-D86DA54A7532}">
  <dimension ref="A1:AB100"/>
  <sheetViews>
    <sheetView workbookViewId="0">
      <selection activeCell="X14" sqref="X14"/>
    </sheetView>
  </sheetViews>
  <sheetFormatPr defaultRowHeight="15"/>
  <sheetData>
    <row r="1" spans="1:28" ht="15.75">
      <c r="A1" s="62" t="s">
        <v>30</v>
      </c>
      <c r="B1" s="63"/>
      <c r="C1" s="63"/>
      <c r="D1" s="63"/>
      <c r="E1" s="63"/>
      <c r="F1" s="64" t="s">
        <v>3</v>
      </c>
      <c r="G1" s="64"/>
      <c r="H1" s="24" cm="1">
        <f t="array" ref="H1">SUM(VLOOKUP(A4:C100,$T$3:$W$36,4,FALSE))+H4*10-H8*50</f>
        <v>3277.9943423939671</v>
      </c>
      <c r="I1" s="65" t="s">
        <v>41</v>
      </c>
      <c r="J1" s="66"/>
      <c r="K1" s="66"/>
      <c r="L1" s="66"/>
      <c r="M1" s="66"/>
      <c r="N1" s="66"/>
      <c r="O1" s="66"/>
      <c r="P1" s="67"/>
      <c r="Q1" s="65" t="s">
        <v>48</v>
      </c>
      <c r="R1" s="66"/>
      <c r="S1" s="66"/>
      <c r="T1" s="66"/>
      <c r="U1" s="66"/>
      <c r="V1" s="66"/>
      <c r="W1" s="66"/>
      <c r="X1" s="66"/>
      <c r="Y1" s="66"/>
      <c r="Z1" s="66"/>
      <c r="AA1" s="66"/>
      <c r="AB1" s="67"/>
    </row>
    <row r="2" spans="1:28" ht="30">
      <c r="A2" s="68" t="s">
        <v>35</v>
      </c>
      <c r="B2" s="69"/>
      <c r="C2" s="69"/>
      <c r="D2" s="70" t="s">
        <v>37</v>
      </c>
      <c r="E2" s="71"/>
      <c r="F2" s="71"/>
      <c r="G2" s="71"/>
      <c r="H2" s="72"/>
      <c r="I2" s="73" t="s">
        <v>35</v>
      </c>
      <c r="J2" s="74"/>
      <c r="K2" s="74"/>
      <c r="L2" s="75" t="s">
        <v>37</v>
      </c>
      <c r="M2" s="75"/>
      <c r="N2" s="75"/>
      <c r="O2" s="75"/>
      <c r="P2" s="76"/>
      <c r="Q2" s="50" t="s">
        <v>43</v>
      </c>
      <c r="R2" s="51" cm="1">
        <f t="array" ref="R2">SUM(V3:V28*AB3:AB28)+H6+P6+R4*500</f>
        <v>65005</v>
      </c>
      <c r="S2" s="26"/>
      <c r="T2" s="1" t="s">
        <v>0</v>
      </c>
      <c r="U2" s="1" t="s">
        <v>1</v>
      </c>
      <c r="V2" s="1" t="s">
        <v>2</v>
      </c>
      <c r="W2" s="44" t="s">
        <v>3</v>
      </c>
      <c r="X2" s="46" t="s">
        <v>44</v>
      </c>
      <c r="Y2" s="46" t="s">
        <v>56</v>
      </c>
      <c r="Z2" s="47" t="s">
        <v>45</v>
      </c>
      <c r="AA2" s="47" t="s">
        <v>46</v>
      </c>
      <c r="AB2" s="52" t="s">
        <v>47</v>
      </c>
    </row>
    <row r="3" spans="1:28">
      <c r="A3" s="60" t="s">
        <v>31</v>
      </c>
      <c r="B3" s="61" t="s">
        <v>32</v>
      </c>
      <c r="C3" s="20" t="s">
        <v>33</v>
      </c>
      <c r="D3" s="33"/>
      <c r="E3" s="60" t="s">
        <v>31</v>
      </c>
      <c r="F3" s="61" t="s">
        <v>32</v>
      </c>
      <c r="G3" s="20" t="s">
        <v>33</v>
      </c>
      <c r="H3" s="34" t="s">
        <v>36</v>
      </c>
      <c r="I3" s="60" t="s">
        <v>31</v>
      </c>
      <c r="J3" s="61" t="s">
        <v>32</v>
      </c>
      <c r="K3" s="20" t="s">
        <v>33</v>
      </c>
      <c r="L3" s="33"/>
      <c r="M3" s="60" t="s">
        <v>31</v>
      </c>
      <c r="N3" s="61" t="s">
        <v>32</v>
      </c>
      <c r="O3" s="20" t="s">
        <v>33</v>
      </c>
      <c r="P3" s="34" t="s">
        <v>36</v>
      </c>
      <c r="Q3" s="53" t="s">
        <v>49</v>
      </c>
      <c r="R3" s="26">
        <v>91</v>
      </c>
      <c r="S3" s="26"/>
      <c r="T3" s="2" t="s">
        <v>4</v>
      </c>
      <c r="U3" s="1">
        <v>150</v>
      </c>
      <c r="V3" s="1">
        <v>35</v>
      </c>
      <c r="W3" s="45">
        <f>U3-V3/0.330882</f>
        <v>44.222109392472248</v>
      </c>
      <c r="X3" s="46"/>
      <c r="Y3" s="46">
        <v>25</v>
      </c>
      <c r="Z3" s="1">
        <f>COUNTIF($A$4:$C$100,T3)</f>
        <v>17</v>
      </c>
      <c r="AA3" s="1">
        <f>COUNTIF($I$4:$K$100,T3)</f>
        <v>8</v>
      </c>
      <c r="AB3" s="54">
        <f>Y3-Z3-AA3</f>
        <v>0</v>
      </c>
    </row>
    <row r="4" spans="1:28">
      <c r="A4" s="2" t="s">
        <v>4</v>
      </c>
      <c r="B4" s="2" t="s">
        <v>4</v>
      </c>
      <c r="C4" s="3" t="s">
        <v>5</v>
      </c>
      <c r="D4" s="43" t="s">
        <v>34</v>
      </c>
      <c r="E4" s="39">
        <v>0</v>
      </c>
      <c r="F4" s="39">
        <v>11</v>
      </c>
      <c r="G4" s="39">
        <v>13</v>
      </c>
      <c r="H4" s="36">
        <f>SUM(E4:G4)</f>
        <v>24</v>
      </c>
      <c r="I4" s="2" t="s">
        <v>4</v>
      </c>
      <c r="J4" s="1" t="s">
        <v>27</v>
      </c>
      <c r="K4" s="3" t="s">
        <v>5</v>
      </c>
      <c r="L4" s="43" t="s">
        <v>34</v>
      </c>
      <c r="M4" s="39">
        <v>3</v>
      </c>
      <c r="N4" s="39">
        <v>4</v>
      </c>
      <c r="O4" s="39">
        <v>2</v>
      </c>
      <c r="P4" s="36">
        <f>SUM(M4:O4)</f>
        <v>9</v>
      </c>
      <c r="Q4" s="53" t="s">
        <v>50</v>
      </c>
      <c r="R4" s="40">
        <v>14</v>
      </c>
      <c r="S4" s="26"/>
      <c r="T4" s="3" t="s">
        <v>5</v>
      </c>
      <c r="U4" s="1">
        <v>160</v>
      </c>
      <c r="V4" s="1">
        <v>40</v>
      </c>
      <c r="W4" s="45">
        <f t="shared" ref="W4" si="0">U4-V4/0.330882</f>
        <v>39.110982162825422</v>
      </c>
      <c r="X4" s="46"/>
      <c r="Y4" s="46">
        <v>41</v>
      </c>
      <c r="Z4" s="1">
        <f t="shared" ref="Z4:Z28" si="1">COUNTIF($A$4:$C$100,T4)</f>
        <v>28</v>
      </c>
      <c r="AA4" s="1">
        <f t="shared" ref="AA4:AA28" si="2">COUNTIF($I$4:$K$100,T4)</f>
        <v>13</v>
      </c>
      <c r="AB4" s="54">
        <f t="shared" ref="AB4:AB28" si="3">Y4-Z4-AA4</f>
        <v>0</v>
      </c>
    </row>
    <row r="5" spans="1:28">
      <c r="A5" s="2" t="s">
        <v>4</v>
      </c>
      <c r="B5" s="2" t="s">
        <v>4</v>
      </c>
      <c r="C5" s="23" t="s">
        <v>29</v>
      </c>
      <c r="D5" s="33" t="s">
        <v>38</v>
      </c>
      <c r="E5" s="35" cm="1">
        <f t="array" ref="E5">(SUM(VLOOKUP(A4:A100,$T$3:$W$41,2,FALSE))+E4*10)-E8*50</f>
        <v>900</v>
      </c>
      <c r="F5" s="35" cm="1">
        <f t="array" ref="F5">(SUM(VLOOKUP(B4:B100,$T$3:$W$41,2,FALSE))+F4*10)-F8*50</f>
        <v>6970</v>
      </c>
      <c r="G5" s="35" cm="1">
        <f t="array" ref="G5">(SUM(VLOOKUP(C4:C100,$T$3:$W$41,2,FALSE))+G4*10)-G8*50</f>
        <v>6610</v>
      </c>
      <c r="H5" s="59">
        <f t="shared" ref="H5:H8" si="4">SUM(E5:G5)</f>
        <v>14480</v>
      </c>
      <c r="I5" s="15" t="s">
        <v>17</v>
      </c>
      <c r="J5" s="1" t="s">
        <v>27</v>
      </c>
      <c r="K5" s="3" t="s">
        <v>5</v>
      </c>
      <c r="L5" s="33" t="s">
        <v>38</v>
      </c>
      <c r="M5" s="35" cm="1">
        <f t="array" ref="M5">(SUM(VLOOKUP(I4:I100,$T$3:$W$41,2,FALSE))+M4*10)*0.8-M8*40</f>
        <v>1872</v>
      </c>
      <c r="N5" s="35" cm="1">
        <f t="array" ref="N5">(SUM(VLOOKUP(J4:J100,$T$3:$W$41,2,FALSE))+N4*10)*0.8-N8*40</f>
        <v>152</v>
      </c>
      <c r="O5" s="35" cm="1">
        <f t="array" ref="O5">(SUM(VLOOKUP(K4:K100,$T$3:$W$41,2,FALSE))+O4*10)*0.8-O8*40</f>
        <v>992</v>
      </c>
      <c r="P5" s="59">
        <f t="shared" ref="P5:P8" si="5">SUM(M5:O5)</f>
        <v>3016</v>
      </c>
      <c r="Q5" s="53" t="s">
        <v>51</v>
      </c>
      <c r="R5" s="26">
        <v>6000</v>
      </c>
      <c r="S5" s="26"/>
      <c r="T5" s="4" t="s">
        <v>6</v>
      </c>
      <c r="U5" s="1">
        <v>170</v>
      </c>
      <c r="V5" s="1">
        <v>45</v>
      </c>
      <c r="W5" s="45">
        <v>34</v>
      </c>
      <c r="X5" s="48"/>
      <c r="Y5" s="46">
        <v>226</v>
      </c>
      <c r="Z5" s="1">
        <f t="shared" si="1"/>
        <v>33</v>
      </c>
      <c r="AA5" s="1">
        <f t="shared" si="2"/>
        <v>0</v>
      </c>
      <c r="AB5" s="54">
        <f t="shared" si="3"/>
        <v>193</v>
      </c>
    </row>
    <row r="6" spans="1:28">
      <c r="A6" s="2" t="s">
        <v>4</v>
      </c>
      <c r="B6" s="2" t="s">
        <v>4</v>
      </c>
      <c r="C6" s="3" t="s">
        <v>5</v>
      </c>
      <c r="D6" s="33" t="s">
        <v>39</v>
      </c>
      <c r="E6" s="35" cm="1">
        <f t="array" ref="E6">(SUM(VLOOKUP(A4:A100,$T$3:$W$41,3,FALSE)))</f>
        <v>210</v>
      </c>
      <c r="F6" s="35" cm="1">
        <f t="array" ref="F6">(SUM(VLOOKUP(B4:B100,$T$3:$W$41,3,FALSE)))</f>
        <v>1945</v>
      </c>
      <c r="G6" s="35" cm="1">
        <f t="array" ref="G6">(SUM(VLOOKUP(C4:C100,$T$3:$W$41,3,FALSE)))</f>
        <v>2610</v>
      </c>
      <c r="H6" s="49">
        <f t="shared" si="4"/>
        <v>4765</v>
      </c>
      <c r="I6" s="2" t="s">
        <v>4</v>
      </c>
      <c r="J6" s="1" t="s">
        <v>27</v>
      </c>
      <c r="K6" s="3" t="s">
        <v>5</v>
      </c>
      <c r="L6" s="33" t="s">
        <v>39</v>
      </c>
      <c r="M6" s="35" cm="1">
        <f t="array" ref="M6">(SUM(VLOOKUP(I4:I100,$T$3:$W$41,3,FALSE)))</f>
        <v>740</v>
      </c>
      <c r="N6" s="35" cm="1">
        <f t="array" ref="N6">(SUM(VLOOKUP(J4:J100,$T$3:$W$41,3,FALSE)))</f>
        <v>40</v>
      </c>
      <c r="O6" s="35" cm="1">
        <f t="array" ref="O6">(SUM(VLOOKUP(K4:K100,$T$3:$W$41,3,FALSE)))</f>
        <v>340</v>
      </c>
      <c r="P6" s="49">
        <f t="shared" si="5"/>
        <v>1120</v>
      </c>
      <c r="Q6" s="50" t="s">
        <v>52</v>
      </c>
      <c r="R6" s="26">
        <f>R3*1600-800+R5</f>
        <v>150800</v>
      </c>
      <c r="S6" s="26"/>
      <c r="T6" s="5" t="s">
        <v>7</v>
      </c>
      <c r="U6" s="1">
        <v>180</v>
      </c>
      <c r="V6" s="1">
        <v>50</v>
      </c>
      <c r="W6" s="45">
        <v>36</v>
      </c>
      <c r="X6" s="46">
        <v>267</v>
      </c>
      <c r="Y6" s="46">
        <v>266</v>
      </c>
      <c r="Z6" s="1">
        <f t="shared" si="1"/>
        <v>0</v>
      </c>
      <c r="AA6" s="1">
        <f t="shared" si="2"/>
        <v>0</v>
      </c>
      <c r="AB6" s="54">
        <f t="shared" si="3"/>
        <v>266</v>
      </c>
    </row>
    <row r="7" spans="1:28">
      <c r="A7" s="2" t="s">
        <v>4</v>
      </c>
      <c r="B7" s="2" t="s">
        <v>4</v>
      </c>
      <c r="C7" s="4" t="s">
        <v>6</v>
      </c>
      <c r="D7" s="33" t="s">
        <v>40</v>
      </c>
      <c r="E7" s="35">
        <f>COUNTIF(A4:A100,"&lt;&gt;空")</f>
        <v>6</v>
      </c>
      <c r="F7" s="35">
        <f>COUNTIF(B4:B100,"&lt;&gt;空")</f>
        <v>44</v>
      </c>
      <c r="G7" s="35">
        <f>COUNTIF(C4:C100,"&lt;&gt;空")</f>
        <v>47</v>
      </c>
      <c r="H7" s="36">
        <f t="shared" si="4"/>
        <v>97</v>
      </c>
      <c r="I7" s="2" t="s">
        <v>4</v>
      </c>
      <c r="J7" s="1" t="s">
        <v>27</v>
      </c>
      <c r="K7" s="15" t="s">
        <v>17</v>
      </c>
      <c r="L7" s="33" t="s">
        <v>40</v>
      </c>
      <c r="M7" s="35">
        <f>COUNTIF(I4:I100,"&lt;&gt;空")</f>
        <v>22</v>
      </c>
      <c r="N7" s="35">
        <f>COUNTIF(J4:J100,"&lt;&gt;空")</f>
        <v>1</v>
      </c>
      <c r="O7" s="35">
        <f>COUNTIF(K4:K100,"&lt;&gt;空")</f>
        <v>9</v>
      </c>
      <c r="P7" s="36">
        <f t="shared" si="5"/>
        <v>32</v>
      </c>
      <c r="Q7" s="53" t="s">
        <v>55</v>
      </c>
      <c r="R7" s="26">
        <v>0</v>
      </c>
      <c r="S7" s="26"/>
      <c r="T7" s="6" t="s">
        <v>8</v>
      </c>
      <c r="U7" s="1">
        <v>190</v>
      </c>
      <c r="V7" s="1">
        <v>55</v>
      </c>
      <c r="W7" s="45">
        <v>38</v>
      </c>
      <c r="X7" s="46">
        <v>236</v>
      </c>
      <c r="Y7" s="46">
        <v>236</v>
      </c>
      <c r="Z7" s="1">
        <f t="shared" si="1"/>
        <v>0</v>
      </c>
      <c r="AA7" s="1">
        <f t="shared" si="2"/>
        <v>0</v>
      </c>
      <c r="AB7" s="54">
        <f t="shared" si="3"/>
        <v>236</v>
      </c>
    </row>
    <row r="8" spans="1:28">
      <c r="A8" s="2" t="s">
        <v>4</v>
      </c>
      <c r="B8" s="2" t="s">
        <v>4</v>
      </c>
      <c r="C8" s="4" t="s">
        <v>6</v>
      </c>
      <c r="D8" s="42" t="s">
        <v>70</v>
      </c>
      <c r="E8" s="41">
        <v>0</v>
      </c>
      <c r="F8" s="41">
        <v>1</v>
      </c>
      <c r="G8" s="41">
        <v>0</v>
      </c>
      <c r="H8" s="36">
        <f t="shared" si="4"/>
        <v>1</v>
      </c>
      <c r="I8" s="15" t="s">
        <v>17</v>
      </c>
      <c r="J8" s="1" t="s">
        <v>27</v>
      </c>
      <c r="K8" s="1" t="s">
        <v>27</v>
      </c>
      <c r="L8" s="42" t="s">
        <v>70</v>
      </c>
      <c r="M8" s="41">
        <v>2</v>
      </c>
      <c r="N8" s="41">
        <v>0</v>
      </c>
      <c r="O8" s="41">
        <v>0</v>
      </c>
      <c r="P8" s="36">
        <f t="shared" si="5"/>
        <v>2</v>
      </c>
      <c r="Q8" s="50" t="s">
        <v>54</v>
      </c>
      <c r="R8" s="55" cm="1">
        <f t="array" ref="R8">R6-P5-H5-SUM(U3:U28*AB3:AB28)*0.8-R7*8</f>
        <v>0</v>
      </c>
      <c r="S8" s="26"/>
      <c r="T8" s="7" t="s">
        <v>9</v>
      </c>
      <c r="U8" s="1">
        <v>200</v>
      </c>
      <c r="V8" s="1">
        <v>60</v>
      </c>
      <c r="W8" s="45"/>
      <c r="X8" s="46">
        <v>194</v>
      </c>
      <c r="Y8" s="46">
        <v>194</v>
      </c>
      <c r="Z8" s="1">
        <f t="shared" si="1"/>
        <v>0</v>
      </c>
      <c r="AA8" s="1">
        <f t="shared" si="2"/>
        <v>0</v>
      </c>
      <c r="AB8" s="54">
        <f t="shared" si="3"/>
        <v>194</v>
      </c>
    </row>
    <row r="9" spans="1:28">
      <c r="A9" s="2" t="s">
        <v>4</v>
      </c>
      <c r="B9" s="2" t="s">
        <v>4</v>
      </c>
      <c r="C9" s="17" t="s">
        <v>19</v>
      </c>
      <c r="D9" s="26"/>
      <c r="E9" s="26"/>
      <c r="F9" s="26"/>
      <c r="G9" s="26"/>
      <c r="H9" s="27"/>
      <c r="I9" s="1" t="s">
        <v>27</v>
      </c>
      <c r="J9" s="1" t="s">
        <v>27</v>
      </c>
      <c r="K9" s="1" t="s">
        <v>27</v>
      </c>
      <c r="L9" s="33" t="s">
        <v>42</v>
      </c>
      <c r="M9" s="37">
        <f>M6/M5</f>
        <v>0.39529914529914528</v>
      </c>
      <c r="N9" s="37">
        <f>N6/N5</f>
        <v>0.26315789473684209</v>
      </c>
      <c r="O9" s="37">
        <f>O6/O5</f>
        <v>0.34274193548387094</v>
      </c>
      <c r="P9" s="38">
        <f>P6/P5</f>
        <v>0.3713527851458886</v>
      </c>
      <c r="Q9" s="50"/>
      <c r="R9" s="26"/>
      <c r="S9" s="26"/>
      <c r="T9" s="8" t="s">
        <v>10</v>
      </c>
      <c r="U9" s="1">
        <v>150</v>
      </c>
      <c r="V9" s="1">
        <v>35</v>
      </c>
      <c r="W9" s="45">
        <f t="shared" ref="W9:W11" si="6">U9-V9/0.330882</f>
        <v>44.222109392472248</v>
      </c>
      <c r="X9" s="46">
        <v>3</v>
      </c>
      <c r="Y9" s="46">
        <v>0</v>
      </c>
      <c r="Z9" s="1">
        <f t="shared" si="1"/>
        <v>0</v>
      </c>
      <c r="AA9" s="1">
        <f t="shared" si="2"/>
        <v>0</v>
      </c>
      <c r="AB9" s="54">
        <f t="shared" si="3"/>
        <v>0</v>
      </c>
    </row>
    <row r="10" spans="1:28">
      <c r="A10" s="1" t="s">
        <v>27</v>
      </c>
      <c r="B10" s="1" t="s">
        <v>27</v>
      </c>
      <c r="C10" s="4" t="s">
        <v>6</v>
      </c>
      <c r="D10" s="26"/>
      <c r="E10" s="26"/>
      <c r="F10" s="26"/>
      <c r="G10" s="26"/>
      <c r="H10" s="27"/>
      <c r="I10" s="16" t="s">
        <v>28</v>
      </c>
      <c r="J10" s="9" t="s">
        <v>11</v>
      </c>
      <c r="K10" s="1" t="s">
        <v>27</v>
      </c>
      <c r="L10" s="26"/>
      <c r="M10" s="26"/>
      <c r="N10" s="26"/>
      <c r="O10" s="26"/>
      <c r="P10" s="27"/>
      <c r="Q10" s="50"/>
      <c r="R10" s="26"/>
      <c r="S10" s="26"/>
      <c r="T10" s="9" t="s">
        <v>11</v>
      </c>
      <c r="U10" s="1">
        <v>150</v>
      </c>
      <c r="V10" s="1">
        <v>40</v>
      </c>
      <c r="W10" s="45">
        <f t="shared" si="6"/>
        <v>29.110982162825422</v>
      </c>
      <c r="X10" s="46">
        <v>7</v>
      </c>
      <c r="Y10" s="46">
        <v>3</v>
      </c>
      <c r="Z10" s="1">
        <f t="shared" si="1"/>
        <v>1</v>
      </c>
      <c r="AA10" s="1">
        <f t="shared" si="2"/>
        <v>2</v>
      </c>
      <c r="AB10" s="54">
        <f t="shared" si="3"/>
        <v>0</v>
      </c>
    </row>
    <row r="11" spans="1:28">
      <c r="A11" s="1" t="s">
        <v>27</v>
      </c>
      <c r="B11" s="1" t="s">
        <v>27</v>
      </c>
      <c r="C11" s="1" t="s">
        <v>27</v>
      </c>
      <c r="D11" s="26"/>
      <c r="E11" s="26"/>
      <c r="F11" s="26"/>
      <c r="G11" s="26"/>
      <c r="H11" s="27"/>
      <c r="I11" s="3" t="s">
        <v>5</v>
      </c>
      <c r="J11" s="1" t="s">
        <v>27</v>
      </c>
      <c r="K11" s="1" t="s">
        <v>27</v>
      </c>
      <c r="L11" s="26"/>
      <c r="M11" s="26"/>
      <c r="N11" s="26"/>
      <c r="O11" s="26"/>
      <c r="P11" s="27">
        <f>H5+P5</f>
        <v>17496</v>
      </c>
      <c r="Q11" s="50"/>
      <c r="R11" s="26"/>
      <c r="S11" s="26"/>
      <c r="T11" s="10" t="s">
        <v>12</v>
      </c>
      <c r="U11" s="1">
        <v>150</v>
      </c>
      <c r="V11" s="1">
        <v>45</v>
      </c>
      <c r="W11" s="45">
        <f t="shared" si="6"/>
        <v>13.999854933178597</v>
      </c>
      <c r="X11" s="46">
        <v>6</v>
      </c>
      <c r="Y11" s="46">
        <v>6</v>
      </c>
      <c r="Z11" s="1">
        <f t="shared" si="1"/>
        <v>0</v>
      </c>
      <c r="AA11" s="1">
        <f t="shared" si="2"/>
        <v>0</v>
      </c>
      <c r="AB11" s="54">
        <f t="shared" si="3"/>
        <v>6</v>
      </c>
    </row>
    <row r="12" spans="1:28">
      <c r="A12" s="1" t="s">
        <v>27</v>
      </c>
      <c r="B12" s="4" t="s">
        <v>6</v>
      </c>
      <c r="C12" s="4" t="s">
        <v>6</v>
      </c>
      <c r="D12" s="26"/>
      <c r="E12" s="26"/>
      <c r="F12" s="26"/>
      <c r="G12" s="26"/>
      <c r="H12" s="27"/>
      <c r="I12" s="3" t="s">
        <v>5</v>
      </c>
      <c r="J12" s="1" t="s">
        <v>27</v>
      </c>
      <c r="K12" s="3" t="s">
        <v>5</v>
      </c>
      <c r="L12" s="26"/>
      <c r="M12" s="26"/>
      <c r="N12" s="26"/>
      <c r="O12" s="26"/>
      <c r="P12" s="27">
        <f>H6+P6</f>
        <v>5885</v>
      </c>
      <c r="Q12" s="50"/>
      <c r="R12" s="26"/>
      <c r="S12" s="26"/>
      <c r="T12" s="11" t="s">
        <v>13</v>
      </c>
      <c r="U12" s="1">
        <v>150</v>
      </c>
      <c r="V12" s="1">
        <v>50</v>
      </c>
      <c r="W12" s="45"/>
      <c r="X12" s="46">
        <v>4</v>
      </c>
      <c r="Y12" s="46">
        <v>4</v>
      </c>
      <c r="Z12" s="1">
        <f t="shared" si="1"/>
        <v>0</v>
      </c>
      <c r="AA12" s="1">
        <f t="shared" si="2"/>
        <v>0</v>
      </c>
      <c r="AB12" s="54">
        <f t="shared" si="3"/>
        <v>4</v>
      </c>
    </row>
    <row r="13" spans="1:28">
      <c r="A13" s="1" t="s">
        <v>27</v>
      </c>
      <c r="B13" s="4" t="s">
        <v>6</v>
      </c>
      <c r="C13" s="15" t="s">
        <v>17</v>
      </c>
      <c r="D13" s="26"/>
      <c r="E13" s="26"/>
      <c r="F13" s="26"/>
      <c r="G13" s="26"/>
      <c r="H13" s="27"/>
      <c r="I13" s="9" t="s">
        <v>11</v>
      </c>
      <c r="J13" s="1" t="s">
        <v>27</v>
      </c>
      <c r="K13" s="3" t="s">
        <v>5</v>
      </c>
      <c r="L13" s="26"/>
      <c r="M13" s="26"/>
      <c r="N13" s="26"/>
      <c r="O13" s="26"/>
      <c r="P13" s="27"/>
      <c r="Q13" s="50"/>
      <c r="R13" s="26"/>
      <c r="S13" s="26"/>
      <c r="T13" s="12" t="s">
        <v>14</v>
      </c>
      <c r="U13" s="1">
        <v>150</v>
      </c>
      <c r="V13" s="1">
        <v>55</v>
      </c>
      <c r="W13" s="45"/>
      <c r="X13" s="46">
        <v>3</v>
      </c>
      <c r="Y13" s="46">
        <v>3</v>
      </c>
      <c r="Z13" s="1">
        <f t="shared" si="1"/>
        <v>0</v>
      </c>
      <c r="AA13" s="1">
        <f t="shared" si="2"/>
        <v>0</v>
      </c>
      <c r="AB13" s="54">
        <f t="shared" si="3"/>
        <v>3</v>
      </c>
    </row>
    <row r="14" spans="1:28">
      <c r="A14" s="1" t="s">
        <v>27</v>
      </c>
      <c r="B14" s="4" t="s">
        <v>6</v>
      </c>
      <c r="C14" s="3" t="s">
        <v>5</v>
      </c>
      <c r="D14" s="26"/>
      <c r="E14" s="26"/>
      <c r="F14" s="26"/>
      <c r="G14" s="26"/>
      <c r="H14" s="27"/>
      <c r="I14" s="2" t="s">
        <v>4</v>
      </c>
      <c r="J14" s="1" t="s">
        <v>27</v>
      </c>
      <c r="K14" s="3" t="s">
        <v>5</v>
      </c>
      <c r="L14" s="26"/>
      <c r="M14" s="26"/>
      <c r="N14" s="26"/>
      <c r="O14" s="26"/>
      <c r="P14" s="27"/>
      <c r="Q14" s="50"/>
      <c r="R14" s="26"/>
      <c r="S14" s="26"/>
      <c r="T14" s="13" t="s">
        <v>15</v>
      </c>
      <c r="U14" s="1">
        <v>150</v>
      </c>
      <c r="V14" s="1">
        <v>60</v>
      </c>
      <c r="W14" s="45"/>
      <c r="X14" s="46">
        <v>1</v>
      </c>
      <c r="Y14" s="46">
        <v>1</v>
      </c>
      <c r="Z14" s="1">
        <f t="shared" si="1"/>
        <v>0</v>
      </c>
      <c r="AA14" s="1">
        <f t="shared" si="2"/>
        <v>0</v>
      </c>
      <c r="AB14" s="54">
        <f t="shared" si="3"/>
        <v>1</v>
      </c>
    </row>
    <row r="15" spans="1:28">
      <c r="A15" s="1" t="s">
        <v>27</v>
      </c>
      <c r="B15" s="4" t="s">
        <v>6</v>
      </c>
      <c r="C15" s="16" t="s">
        <v>18</v>
      </c>
      <c r="D15" s="26"/>
      <c r="E15" s="26"/>
      <c r="F15" s="26"/>
      <c r="G15" s="26"/>
      <c r="H15" s="27"/>
      <c r="I15" s="15" t="s">
        <v>17</v>
      </c>
      <c r="J15" s="1" t="s">
        <v>27</v>
      </c>
      <c r="K15" s="15" t="s">
        <v>17</v>
      </c>
      <c r="L15" s="26"/>
      <c r="M15" s="26"/>
      <c r="N15" s="26"/>
      <c r="O15" s="26"/>
      <c r="P15" s="27"/>
      <c r="Q15" s="50"/>
      <c r="R15" s="26"/>
      <c r="S15" s="26"/>
      <c r="T15" s="14" t="s">
        <v>16</v>
      </c>
      <c r="U15" s="1">
        <v>150</v>
      </c>
      <c r="V15" s="1">
        <v>35</v>
      </c>
      <c r="W15" s="45">
        <f t="shared" ref="W15" si="7">U15-V15/0.330882</f>
        <v>44.222109392472248</v>
      </c>
      <c r="X15" s="46"/>
      <c r="Y15" s="46">
        <v>0</v>
      </c>
      <c r="Z15" s="1">
        <f t="shared" si="1"/>
        <v>0</v>
      </c>
      <c r="AA15" s="1">
        <f t="shared" si="2"/>
        <v>0</v>
      </c>
      <c r="AB15" s="54">
        <f t="shared" si="3"/>
        <v>0</v>
      </c>
    </row>
    <row r="16" spans="1:28">
      <c r="A16" s="1" t="s">
        <v>27</v>
      </c>
      <c r="B16" s="15" t="s">
        <v>17</v>
      </c>
      <c r="C16" s="2" t="s">
        <v>4</v>
      </c>
      <c r="D16" s="26"/>
      <c r="E16" s="26"/>
      <c r="F16" s="26"/>
      <c r="G16" s="26"/>
      <c r="H16" s="27"/>
      <c r="I16" s="3" t="s">
        <v>5</v>
      </c>
      <c r="J16" s="1" t="s">
        <v>27</v>
      </c>
      <c r="K16" s="1" t="s">
        <v>27</v>
      </c>
      <c r="L16" s="26"/>
      <c r="M16" s="26"/>
      <c r="N16" s="26"/>
      <c r="O16" s="26"/>
      <c r="P16" s="27"/>
      <c r="Q16" s="50"/>
      <c r="R16" s="26"/>
      <c r="S16" s="26"/>
      <c r="T16" s="15" t="s">
        <v>17</v>
      </c>
      <c r="U16" s="1">
        <v>50</v>
      </c>
      <c r="V16" s="1">
        <v>30</v>
      </c>
      <c r="W16" s="45">
        <v>10</v>
      </c>
      <c r="X16" s="46">
        <v>40</v>
      </c>
      <c r="Y16" s="46">
        <v>40</v>
      </c>
      <c r="Z16" s="1">
        <f t="shared" si="1"/>
        <v>6</v>
      </c>
      <c r="AA16" s="1">
        <f t="shared" si="2"/>
        <v>8</v>
      </c>
      <c r="AB16" s="54">
        <f t="shared" si="3"/>
        <v>26</v>
      </c>
    </row>
    <row r="17" spans="1:28">
      <c r="A17" s="1" t="s">
        <v>27</v>
      </c>
      <c r="B17" s="4" t="s">
        <v>6</v>
      </c>
      <c r="C17" s="2" t="s">
        <v>4</v>
      </c>
      <c r="D17" s="26"/>
      <c r="E17" s="26"/>
      <c r="F17" s="26"/>
      <c r="G17" s="26"/>
      <c r="H17" s="27"/>
      <c r="I17" s="15" t="s">
        <v>17</v>
      </c>
      <c r="J17" s="1" t="s">
        <v>27</v>
      </c>
      <c r="K17" s="1" t="s">
        <v>27</v>
      </c>
      <c r="L17" s="26"/>
      <c r="M17" s="26"/>
      <c r="N17" s="26"/>
      <c r="O17" s="26"/>
      <c r="P17" s="27"/>
      <c r="Q17" s="50"/>
      <c r="R17" s="26"/>
      <c r="S17" s="26"/>
      <c r="T17" s="16" t="s">
        <v>18</v>
      </c>
      <c r="U17" s="1">
        <v>-150</v>
      </c>
      <c r="V17" s="1">
        <v>0</v>
      </c>
      <c r="W17" s="45">
        <v>10</v>
      </c>
      <c r="X17" s="46">
        <v>3</v>
      </c>
      <c r="Y17" s="46">
        <v>3</v>
      </c>
      <c r="Z17" s="1">
        <f t="shared" si="1"/>
        <v>3</v>
      </c>
      <c r="AA17" s="1">
        <f t="shared" si="2"/>
        <v>0</v>
      </c>
      <c r="AB17" s="54">
        <f t="shared" si="3"/>
        <v>0</v>
      </c>
    </row>
    <row r="18" spans="1:28">
      <c r="A18" s="1" t="s">
        <v>27</v>
      </c>
      <c r="B18" s="17" t="s">
        <v>20</v>
      </c>
      <c r="C18" s="2" t="s">
        <v>4</v>
      </c>
      <c r="D18" s="26"/>
      <c r="E18" s="26"/>
      <c r="F18" s="26"/>
      <c r="G18" s="26"/>
      <c r="H18" s="27"/>
      <c r="I18" s="3" t="s">
        <v>5</v>
      </c>
      <c r="J18" s="1" t="s">
        <v>27</v>
      </c>
      <c r="K18" s="1" t="s">
        <v>27</v>
      </c>
      <c r="L18" s="26"/>
      <c r="M18" s="26"/>
      <c r="N18" s="26"/>
      <c r="O18" s="26"/>
      <c r="P18" s="27"/>
      <c r="Q18" s="50"/>
      <c r="R18" s="26"/>
      <c r="S18" s="26"/>
      <c r="T18" s="17" t="s">
        <v>19</v>
      </c>
      <c r="U18" s="1">
        <v>250</v>
      </c>
      <c r="V18" s="1">
        <v>200</v>
      </c>
      <c r="W18" s="45"/>
      <c r="X18" s="46">
        <v>3</v>
      </c>
      <c r="Y18" s="46">
        <v>3</v>
      </c>
      <c r="Z18" s="1">
        <f t="shared" si="1"/>
        <v>3</v>
      </c>
      <c r="AA18" s="1">
        <f t="shared" si="2"/>
        <v>0</v>
      </c>
      <c r="AB18" s="54">
        <f t="shared" si="3"/>
        <v>0</v>
      </c>
    </row>
    <row r="19" spans="1:28">
      <c r="A19" s="1" t="s">
        <v>27</v>
      </c>
      <c r="B19" s="4" t="s">
        <v>6</v>
      </c>
      <c r="C19" s="2" t="s">
        <v>4</v>
      </c>
      <c r="D19" s="26"/>
      <c r="E19" s="26"/>
      <c r="F19" s="26"/>
      <c r="G19" s="26"/>
      <c r="H19" s="27"/>
      <c r="I19" s="3" t="s">
        <v>5</v>
      </c>
      <c r="J19" s="1" t="s">
        <v>27</v>
      </c>
      <c r="K19" s="1" t="s">
        <v>27</v>
      </c>
      <c r="L19" s="26"/>
      <c r="M19" s="26"/>
      <c r="N19" s="26"/>
      <c r="O19" s="26"/>
      <c r="P19" s="27"/>
      <c r="Q19" s="50"/>
      <c r="R19" s="26"/>
      <c r="S19" s="26"/>
      <c r="T19" s="17" t="s">
        <v>20</v>
      </c>
      <c r="U19" s="1">
        <v>170</v>
      </c>
      <c r="V19" s="1">
        <v>45</v>
      </c>
      <c r="W19" s="45"/>
      <c r="X19" s="46">
        <v>5</v>
      </c>
      <c r="Y19" s="46">
        <v>5</v>
      </c>
      <c r="Z19" s="1">
        <f t="shared" si="1"/>
        <v>5</v>
      </c>
      <c r="AA19" s="1">
        <f t="shared" si="2"/>
        <v>0</v>
      </c>
      <c r="AB19" s="54">
        <f t="shared" si="3"/>
        <v>0</v>
      </c>
    </row>
    <row r="20" spans="1:28">
      <c r="A20" s="1" t="s">
        <v>27</v>
      </c>
      <c r="B20" s="3" t="s">
        <v>5</v>
      </c>
      <c r="C20" s="15" t="s">
        <v>17</v>
      </c>
      <c r="D20" s="26"/>
      <c r="E20" s="26"/>
      <c r="F20" s="26"/>
      <c r="G20" s="26"/>
      <c r="H20" s="27"/>
      <c r="I20" s="3" t="s">
        <v>5</v>
      </c>
      <c r="J20" s="1" t="s">
        <v>27</v>
      </c>
      <c r="K20" s="3" t="s">
        <v>5</v>
      </c>
      <c r="L20" s="26"/>
      <c r="M20" s="26"/>
      <c r="N20" s="26"/>
      <c r="O20" s="26"/>
      <c r="P20" s="27"/>
      <c r="Q20" s="50"/>
      <c r="R20" s="26"/>
      <c r="S20" s="26"/>
      <c r="T20" s="18" t="s">
        <v>21</v>
      </c>
      <c r="U20" s="1">
        <v>250</v>
      </c>
      <c r="V20" s="1">
        <v>200</v>
      </c>
      <c r="W20" s="45"/>
      <c r="X20" s="46">
        <v>0</v>
      </c>
      <c r="Y20" s="46">
        <v>0</v>
      </c>
      <c r="Z20" s="1">
        <f t="shared" si="1"/>
        <v>0</v>
      </c>
      <c r="AA20" s="1">
        <f t="shared" si="2"/>
        <v>0</v>
      </c>
      <c r="AB20" s="54">
        <f t="shared" si="3"/>
        <v>0</v>
      </c>
    </row>
    <row r="21" spans="1:28">
      <c r="A21" s="1" t="s">
        <v>27</v>
      </c>
      <c r="B21" s="3" t="s">
        <v>5</v>
      </c>
      <c r="C21" s="3" t="s">
        <v>5</v>
      </c>
      <c r="D21" s="26"/>
      <c r="E21" s="26"/>
      <c r="F21" s="26"/>
      <c r="G21" s="26"/>
      <c r="H21" s="27"/>
      <c r="I21" s="2" t="s">
        <v>4</v>
      </c>
      <c r="J21" s="1" t="s">
        <v>27</v>
      </c>
      <c r="K21" s="1" t="s">
        <v>27</v>
      </c>
      <c r="L21" s="26"/>
      <c r="M21" s="26"/>
      <c r="N21" s="26"/>
      <c r="O21" s="26"/>
      <c r="P21" s="27"/>
      <c r="Q21" s="50"/>
      <c r="R21" s="26"/>
      <c r="S21" s="26"/>
      <c r="T21" s="19" t="s">
        <v>22</v>
      </c>
      <c r="U21" s="1">
        <v>250</v>
      </c>
      <c r="V21" s="1">
        <v>1000</v>
      </c>
      <c r="W21" s="45"/>
      <c r="X21" s="46">
        <v>2</v>
      </c>
      <c r="Y21" s="46">
        <v>2</v>
      </c>
      <c r="Z21" s="1">
        <f t="shared" si="1"/>
        <v>0</v>
      </c>
      <c r="AA21" s="1">
        <f t="shared" si="2"/>
        <v>0</v>
      </c>
      <c r="AB21" s="54">
        <f t="shared" si="3"/>
        <v>2</v>
      </c>
    </row>
    <row r="22" spans="1:28">
      <c r="A22" s="1" t="s">
        <v>27</v>
      </c>
      <c r="B22" s="3" t="s">
        <v>5</v>
      </c>
      <c r="C22" s="3" t="s">
        <v>5</v>
      </c>
      <c r="D22" s="26"/>
      <c r="E22" s="26"/>
      <c r="F22" s="26"/>
      <c r="G22" s="26"/>
      <c r="H22" s="27"/>
      <c r="I22" s="15" t="s">
        <v>17</v>
      </c>
      <c r="J22" s="1" t="s">
        <v>27</v>
      </c>
      <c r="K22" s="1" t="s">
        <v>27</v>
      </c>
      <c r="L22" s="26"/>
      <c r="M22" s="26"/>
      <c r="N22" s="26"/>
      <c r="O22" s="26"/>
      <c r="P22" s="27"/>
      <c r="Q22" s="50"/>
      <c r="R22" s="26"/>
      <c r="S22" s="26"/>
      <c r="T22" s="20" t="s">
        <v>23</v>
      </c>
      <c r="U22" s="1">
        <v>250</v>
      </c>
      <c r="V22" s="1">
        <v>500</v>
      </c>
      <c r="W22" s="45"/>
      <c r="X22" s="46">
        <v>2</v>
      </c>
      <c r="Y22" s="46">
        <v>2</v>
      </c>
      <c r="Z22" s="1">
        <f t="shared" si="1"/>
        <v>0</v>
      </c>
      <c r="AA22" s="1">
        <f t="shared" si="2"/>
        <v>0</v>
      </c>
      <c r="AB22" s="54">
        <f t="shared" si="3"/>
        <v>2</v>
      </c>
    </row>
    <row r="23" spans="1:28">
      <c r="A23" s="1" t="s">
        <v>27</v>
      </c>
      <c r="B23" s="3" t="s">
        <v>5</v>
      </c>
      <c r="C23" s="3" t="s">
        <v>5</v>
      </c>
      <c r="D23" s="26"/>
      <c r="E23" s="26"/>
      <c r="F23" s="26"/>
      <c r="G23" s="26"/>
      <c r="H23" s="27"/>
      <c r="I23" s="2" t="s">
        <v>4</v>
      </c>
      <c r="J23" s="1" t="s">
        <v>27</v>
      </c>
      <c r="K23" s="1" t="s">
        <v>27</v>
      </c>
      <c r="L23" s="26"/>
      <c r="M23" s="26"/>
      <c r="N23" s="26"/>
      <c r="O23" s="26"/>
      <c r="P23" s="27"/>
      <c r="Q23" s="50"/>
      <c r="R23" s="26"/>
      <c r="S23" s="26"/>
      <c r="T23" s="21" t="s">
        <v>24</v>
      </c>
      <c r="U23" s="1">
        <v>160</v>
      </c>
      <c r="V23" s="1">
        <v>40</v>
      </c>
      <c r="W23" s="45">
        <f t="shared" ref="W23:W26" si="8">U23-V23/0.330882</f>
        <v>39.110982162825422</v>
      </c>
      <c r="X23" s="46">
        <v>0</v>
      </c>
      <c r="Y23" s="46">
        <v>0</v>
      </c>
      <c r="Z23" s="1">
        <f t="shared" si="1"/>
        <v>0</v>
      </c>
      <c r="AA23" s="1">
        <f t="shared" si="2"/>
        <v>0</v>
      </c>
      <c r="AB23" s="54">
        <f t="shared" si="3"/>
        <v>0</v>
      </c>
    </row>
    <row r="24" spans="1:28">
      <c r="A24" s="1" t="s">
        <v>27</v>
      </c>
      <c r="B24" s="3" t="s">
        <v>5</v>
      </c>
      <c r="C24" s="16" t="s">
        <v>18</v>
      </c>
      <c r="D24" s="26"/>
      <c r="E24" s="26"/>
      <c r="F24" s="26"/>
      <c r="G24" s="26"/>
      <c r="H24" s="27"/>
      <c r="I24" s="2" t="s">
        <v>4</v>
      </c>
      <c r="J24" s="1" t="s">
        <v>27</v>
      </c>
      <c r="K24" s="1" t="s">
        <v>27</v>
      </c>
      <c r="L24" s="26"/>
      <c r="M24" s="26"/>
      <c r="N24" s="26"/>
      <c r="O24" s="26"/>
      <c r="P24" s="27"/>
      <c r="Q24" s="50"/>
      <c r="R24" s="26"/>
      <c r="S24" s="26"/>
      <c r="T24" s="21" t="s">
        <v>25</v>
      </c>
      <c r="U24" s="1">
        <v>160</v>
      </c>
      <c r="V24" s="1">
        <v>40</v>
      </c>
      <c r="W24" s="45">
        <f t="shared" si="8"/>
        <v>39.110982162825422</v>
      </c>
      <c r="X24" s="46">
        <v>0</v>
      </c>
      <c r="Y24" s="46">
        <v>0</v>
      </c>
      <c r="Z24" s="1">
        <f t="shared" si="1"/>
        <v>0</v>
      </c>
      <c r="AA24" s="1">
        <f t="shared" si="2"/>
        <v>0</v>
      </c>
      <c r="AB24" s="54">
        <f t="shared" si="3"/>
        <v>0</v>
      </c>
    </row>
    <row r="25" spans="1:28">
      <c r="A25" s="1" t="s">
        <v>27</v>
      </c>
      <c r="B25" s="3" t="s">
        <v>5</v>
      </c>
      <c r="C25" s="3" t="s">
        <v>5</v>
      </c>
      <c r="D25" s="26"/>
      <c r="E25" s="26"/>
      <c r="F25" s="26"/>
      <c r="G25" s="26"/>
      <c r="H25" s="27"/>
      <c r="I25" s="2" t="s">
        <v>4</v>
      </c>
      <c r="J25" s="1" t="s">
        <v>27</v>
      </c>
      <c r="K25" s="1" t="s">
        <v>27</v>
      </c>
      <c r="L25" s="26"/>
      <c r="M25" s="26"/>
      <c r="N25" s="26"/>
      <c r="O25" s="26"/>
      <c r="P25" s="27"/>
      <c r="Q25" s="50"/>
      <c r="R25" s="26"/>
      <c r="S25" s="26"/>
      <c r="T25" s="21" t="s">
        <v>26</v>
      </c>
      <c r="U25" s="1">
        <v>150</v>
      </c>
      <c r="V25" s="1">
        <v>35</v>
      </c>
      <c r="W25" s="45">
        <f t="shared" si="8"/>
        <v>44.222109392472248</v>
      </c>
      <c r="X25" s="46">
        <v>0</v>
      </c>
      <c r="Y25" s="46">
        <v>0</v>
      </c>
      <c r="Z25" s="1">
        <f t="shared" si="1"/>
        <v>0</v>
      </c>
      <c r="AA25" s="1">
        <f t="shared" si="2"/>
        <v>0</v>
      </c>
      <c r="AB25" s="54">
        <f t="shared" si="3"/>
        <v>0</v>
      </c>
    </row>
    <row r="26" spans="1:28">
      <c r="A26" s="1" t="s">
        <v>27</v>
      </c>
      <c r="B26" s="15" t="s">
        <v>17</v>
      </c>
      <c r="C26" s="3" t="s">
        <v>5</v>
      </c>
      <c r="D26" s="26"/>
      <c r="E26" s="26"/>
      <c r="F26" s="26"/>
      <c r="G26" s="26"/>
      <c r="H26" s="27"/>
      <c r="I26" s="15" t="s">
        <v>17</v>
      </c>
      <c r="J26" s="1" t="s">
        <v>27</v>
      </c>
      <c r="K26" s="1" t="s">
        <v>27</v>
      </c>
      <c r="L26" s="26"/>
      <c r="M26" s="26"/>
      <c r="N26" s="26"/>
      <c r="O26" s="26"/>
      <c r="P26" s="27"/>
      <c r="Q26" s="50"/>
      <c r="R26" s="26"/>
      <c r="S26" s="26"/>
      <c r="T26" s="22" t="s">
        <v>27</v>
      </c>
      <c r="U26" s="1">
        <v>0</v>
      </c>
      <c r="V26" s="1">
        <v>0</v>
      </c>
      <c r="W26" s="45">
        <f t="shared" si="8"/>
        <v>0</v>
      </c>
      <c r="X26" s="46">
        <v>0</v>
      </c>
      <c r="Y26" s="46">
        <v>0</v>
      </c>
      <c r="Z26" s="1"/>
      <c r="AA26" s="1"/>
      <c r="AB26" s="54"/>
    </row>
    <row r="27" spans="1:28">
      <c r="A27" s="1" t="s">
        <v>27</v>
      </c>
      <c r="B27" s="3" t="s">
        <v>5</v>
      </c>
      <c r="C27" s="4" t="s">
        <v>6</v>
      </c>
      <c r="D27" s="26"/>
      <c r="E27" s="26"/>
      <c r="F27" s="26"/>
      <c r="G27" s="26"/>
      <c r="H27" s="27"/>
      <c r="I27" s="1" t="s">
        <v>27</v>
      </c>
      <c r="J27" s="1" t="s">
        <v>27</v>
      </c>
      <c r="K27" s="1" t="s">
        <v>27</v>
      </c>
      <c r="L27" s="26"/>
      <c r="M27" s="26"/>
      <c r="N27" s="26"/>
      <c r="O27" s="26"/>
      <c r="P27" s="27"/>
      <c r="Q27" s="50"/>
      <c r="R27" s="26"/>
      <c r="S27" s="26"/>
      <c r="T27" s="16" t="s">
        <v>28</v>
      </c>
      <c r="U27" s="1">
        <v>-200</v>
      </c>
      <c r="V27" s="1">
        <v>0</v>
      </c>
      <c r="W27" s="45"/>
      <c r="X27" s="46">
        <v>12</v>
      </c>
      <c r="Y27" s="46">
        <v>12</v>
      </c>
      <c r="Z27" s="1">
        <f t="shared" si="1"/>
        <v>0</v>
      </c>
      <c r="AA27" s="1">
        <f t="shared" si="2"/>
        <v>1</v>
      </c>
      <c r="AB27" s="54">
        <f t="shared" si="3"/>
        <v>11</v>
      </c>
    </row>
    <row r="28" spans="1:28">
      <c r="A28" s="1" t="s">
        <v>27</v>
      </c>
      <c r="B28" s="3" t="s">
        <v>5</v>
      </c>
      <c r="C28" s="4" t="s">
        <v>6</v>
      </c>
      <c r="D28" s="26"/>
      <c r="E28" s="26"/>
      <c r="F28" s="26"/>
      <c r="G28" s="26"/>
      <c r="H28" s="27"/>
      <c r="I28" s="1" t="s">
        <v>27</v>
      </c>
      <c r="J28" s="1" t="s">
        <v>27</v>
      </c>
      <c r="K28" s="1" t="s">
        <v>27</v>
      </c>
      <c r="L28" s="26"/>
      <c r="M28" s="26"/>
      <c r="N28" s="26"/>
      <c r="O28" s="26"/>
      <c r="P28" s="27"/>
      <c r="Q28" s="50"/>
      <c r="R28" s="26"/>
      <c r="S28" s="26"/>
      <c r="T28" s="23" t="s">
        <v>29</v>
      </c>
      <c r="U28" s="1">
        <v>50</v>
      </c>
      <c r="V28" s="1">
        <v>520</v>
      </c>
      <c r="W28" s="45"/>
      <c r="X28" s="46">
        <v>3</v>
      </c>
      <c r="Y28" s="46">
        <v>3</v>
      </c>
      <c r="Z28" s="1">
        <f t="shared" si="1"/>
        <v>1</v>
      </c>
      <c r="AA28" s="1">
        <f t="shared" si="2"/>
        <v>0</v>
      </c>
      <c r="AB28" s="54">
        <f t="shared" si="3"/>
        <v>2</v>
      </c>
    </row>
    <row r="29" spans="1:28" ht="15.75" thickBot="1">
      <c r="A29" s="1" t="s">
        <v>27</v>
      </c>
      <c r="B29" s="3" t="s">
        <v>5</v>
      </c>
      <c r="C29" s="4" t="s">
        <v>6</v>
      </c>
      <c r="D29" s="26"/>
      <c r="E29" s="26"/>
      <c r="F29" s="26"/>
      <c r="G29" s="26"/>
      <c r="H29" s="27"/>
      <c r="I29" s="1" t="s">
        <v>27</v>
      </c>
      <c r="J29" s="1" t="s">
        <v>27</v>
      </c>
      <c r="K29" s="1" t="s">
        <v>27</v>
      </c>
      <c r="L29" s="26"/>
      <c r="M29" s="26"/>
      <c r="N29" s="26"/>
      <c r="O29" s="26"/>
      <c r="P29" s="27"/>
      <c r="Q29" s="56"/>
      <c r="R29" s="31"/>
      <c r="S29" s="31"/>
      <c r="T29" s="30"/>
      <c r="U29" s="30"/>
      <c r="V29" s="30"/>
      <c r="W29" s="30"/>
      <c r="X29" s="30"/>
      <c r="Y29" s="30"/>
      <c r="Z29" s="30"/>
      <c r="AA29" s="30"/>
      <c r="AB29" s="57"/>
    </row>
    <row r="30" spans="1:28">
      <c r="A30" s="1" t="s">
        <v>27</v>
      </c>
      <c r="B30" s="3" t="s">
        <v>5</v>
      </c>
      <c r="C30" s="4" t="s">
        <v>6</v>
      </c>
      <c r="D30" s="26"/>
      <c r="E30" s="26"/>
      <c r="F30" s="26"/>
      <c r="G30" s="26"/>
      <c r="H30" s="27"/>
      <c r="I30" s="1" t="s">
        <v>27</v>
      </c>
      <c r="J30" s="1" t="s">
        <v>27</v>
      </c>
      <c r="K30" s="1" t="s">
        <v>27</v>
      </c>
      <c r="L30" s="26"/>
      <c r="M30" s="26"/>
      <c r="N30" s="26"/>
      <c r="O30" s="26"/>
      <c r="P30" s="27"/>
    </row>
    <row r="31" spans="1:28">
      <c r="A31" s="1" t="s">
        <v>27</v>
      </c>
      <c r="B31" s="15" t="s">
        <v>17</v>
      </c>
      <c r="C31" s="4" t="s">
        <v>6</v>
      </c>
      <c r="D31" s="26"/>
      <c r="E31" s="26"/>
      <c r="F31" s="26"/>
      <c r="G31" s="26"/>
      <c r="H31" s="27"/>
      <c r="I31" s="1" t="s">
        <v>27</v>
      </c>
      <c r="J31" s="1" t="s">
        <v>27</v>
      </c>
      <c r="K31" s="1" t="s">
        <v>27</v>
      </c>
      <c r="L31" s="26"/>
      <c r="M31" s="26"/>
      <c r="N31" s="26"/>
      <c r="O31" s="26"/>
      <c r="P31" s="27"/>
      <c r="Y31">
        <f>SUM(Y3:Y28)</f>
        <v>1075</v>
      </c>
    </row>
    <row r="32" spans="1:28">
      <c r="A32" s="1" t="s">
        <v>27</v>
      </c>
      <c r="B32" s="3" t="s">
        <v>5</v>
      </c>
      <c r="C32" s="17" t="s">
        <v>20</v>
      </c>
      <c r="D32" s="26"/>
      <c r="E32" s="26"/>
      <c r="F32" s="26"/>
      <c r="G32" s="26"/>
      <c r="H32" s="27"/>
      <c r="I32" s="1" t="s">
        <v>27</v>
      </c>
      <c r="J32" s="1" t="s">
        <v>27</v>
      </c>
      <c r="K32" s="1" t="s">
        <v>27</v>
      </c>
      <c r="L32" s="26"/>
      <c r="M32" s="26"/>
      <c r="N32" s="26"/>
      <c r="O32" s="26"/>
      <c r="P32" s="27"/>
      <c r="Q32" t="s">
        <v>57</v>
      </c>
      <c r="R32">
        <v>1</v>
      </c>
      <c r="S32" t="s">
        <v>59</v>
      </c>
    </row>
    <row r="33" spans="1:19">
      <c r="A33" s="1" t="s">
        <v>27</v>
      </c>
      <c r="B33" s="4" t="s">
        <v>6</v>
      </c>
      <c r="C33" s="3" t="s">
        <v>5</v>
      </c>
      <c r="D33" s="26"/>
      <c r="E33" s="26"/>
      <c r="F33" s="26"/>
      <c r="G33" s="26"/>
      <c r="H33" s="27"/>
      <c r="I33" s="1" t="s">
        <v>27</v>
      </c>
      <c r="J33" s="1" t="s">
        <v>27</v>
      </c>
      <c r="K33" s="1" t="s">
        <v>27</v>
      </c>
      <c r="L33" s="26"/>
      <c r="M33" s="26"/>
      <c r="N33" s="26"/>
      <c r="O33" s="26"/>
      <c r="P33" s="27"/>
      <c r="R33">
        <v>2</v>
      </c>
      <c r="S33" t="s">
        <v>60</v>
      </c>
    </row>
    <row r="34" spans="1:19">
      <c r="A34" s="1" t="s">
        <v>27</v>
      </c>
      <c r="B34" s="2" t="s">
        <v>4</v>
      </c>
      <c r="C34" s="3" t="s">
        <v>5</v>
      </c>
      <c r="D34" s="26"/>
      <c r="E34" s="26"/>
      <c r="F34" s="26"/>
      <c r="G34" s="26"/>
      <c r="H34" s="27"/>
      <c r="I34" s="28" t="s">
        <v>27</v>
      </c>
      <c r="J34" s="1" t="s">
        <v>27</v>
      </c>
      <c r="K34" s="1" t="s">
        <v>27</v>
      </c>
      <c r="L34" s="26"/>
      <c r="M34" s="26"/>
      <c r="N34" s="26"/>
      <c r="O34" s="26"/>
      <c r="P34" s="27"/>
      <c r="R34">
        <v>3</v>
      </c>
      <c r="S34" t="s">
        <v>58</v>
      </c>
    </row>
    <row r="35" spans="1:19">
      <c r="A35" s="1" t="s">
        <v>27</v>
      </c>
      <c r="B35" s="4" t="s">
        <v>6</v>
      </c>
      <c r="C35" s="3" t="s">
        <v>5</v>
      </c>
      <c r="D35" s="26"/>
      <c r="E35" s="26"/>
      <c r="F35" s="26"/>
      <c r="G35" s="26"/>
      <c r="H35" s="27"/>
      <c r="I35" s="28" t="s">
        <v>27</v>
      </c>
      <c r="J35" s="1" t="s">
        <v>27</v>
      </c>
      <c r="K35" s="1" t="s">
        <v>27</v>
      </c>
      <c r="L35" s="26"/>
      <c r="M35" s="26"/>
      <c r="N35" s="26"/>
      <c r="O35" s="26"/>
      <c r="P35" s="27"/>
      <c r="R35">
        <v>4</v>
      </c>
      <c r="S35" t="s">
        <v>61</v>
      </c>
    </row>
    <row r="36" spans="1:19">
      <c r="A36" s="1" t="s">
        <v>27</v>
      </c>
      <c r="B36" s="17" t="s">
        <v>20</v>
      </c>
      <c r="C36" s="15" t="s">
        <v>17</v>
      </c>
      <c r="D36" s="26"/>
      <c r="E36" s="26"/>
      <c r="F36" s="26"/>
      <c r="G36" s="26"/>
      <c r="H36" s="27"/>
      <c r="I36" s="28" t="s">
        <v>27</v>
      </c>
      <c r="J36" s="1" t="s">
        <v>27</v>
      </c>
      <c r="K36" s="1" t="s">
        <v>27</v>
      </c>
      <c r="L36" s="26"/>
      <c r="M36" s="26"/>
      <c r="N36" s="26"/>
      <c r="O36" s="26"/>
      <c r="P36" s="27"/>
      <c r="S36" t="s">
        <v>62</v>
      </c>
    </row>
    <row r="37" spans="1:19">
      <c r="A37" s="1" t="s">
        <v>27</v>
      </c>
      <c r="B37" s="4" t="s">
        <v>6</v>
      </c>
      <c r="C37" s="3" t="s">
        <v>5</v>
      </c>
      <c r="D37" s="26"/>
      <c r="E37" s="26"/>
      <c r="F37" s="26"/>
      <c r="G37" s="26"/>
      <c r="H37" s="27"/>
      <c r="I37" s="28" t="s">
        <v>27</v>
      </c>
      <c r="J37" s="1" t="s">
        <v>27</v>
      </c>
      <c r="K37" s="1" t="s">
        <v>27</v>
      </c>
      <c r="L37" s="26"/>
      <c r="M37" s="26"/>
      <c r="N37" s="26"/>
      <c r="O37" s="26"/>
      <c r="P37" s="27"/>
      <c r="R37">
        <v>5</v>
      </c>
      <c r="S37" t="s">
        <v>63</v>
      </c>
    </row>
    <row r="38" spans="1:19">
      <c r="A38" s="1" t="s">
        <v>27</v>
      </c>
      <c r="B38" s="4" t="s">
        <v>6</v>
      </c>
      <c r="C38" s="3" t="s">
        <v>5</v>
      </c>
      <c r="D38" s="26"/>
      <c r="E38" s="26"/>
      <c r="F38" s="26"/>
      <c r="G38" s="26"/>
      <c r="H38" s="27"/>
      <c r="I38" s="28" t="s">
        <v>27</v>
      </c>
      <c r="J38" s="1" t="s">
        <v>27</v>
      </c>
      <c r="K38" s="1" t="s">
        <v>27</v>
      </c>
      <c r="L38" s="26"/>
      <c r="M38" s="26"/>
      <c r="N38" s="26"/>
      <c r="O38" s="26"/>
      <c r="P38" s="27"/>
      <c r="R38">
        <v>6</v>
      </c>
      <c r="S38" t="s">
        <v>71</v>
      </c>
    </row>
    <row r="39" spans="1:19">
      <c r="A39" s="1" t="s">
        <v>27</v>
      </c>
      <c r="B39" s="4" t="s">
        <v>6</v>
      </c>
      <c r="C39" s="4" t="s">
        <v>6</v>
      </c>
      <c r="D39" s="26"/>
      <c r="E39" s="26"/>
      <c r="F39" s="26"/>
      <c r="G39" s="26"/>
      <c r="H39" s="27"/>
      <c r="I39" s="28" t="s">
        <v>27</v>
      </c>
      <c r="J39" s="1" t="s">
        <v>27</v>
      </c>
      <c r="K39" s="1" t="s">
        <v>27</v>
      </c>
      <c r="L39" s="26"/>
      <c r="M39" s="26"/>
      <c r="N39" s="26"/>
      <c r="O39" s="26"/>
      <c r="P39" s="27"/>
      <c r="R39">
        <v>7</v>
      </c>
      <c r="S39" t="s">
        <v>65</v>
      </c>
    </row>
    <row r="40" spans="1:19">
      <c r="A40" s="1" t="s">
        <v>27</v>
      </c>
      <c r="B40" s="17" t="s">
        <v>19</v>
      </c>
      <c r="C40" s="4" t="s">
        <v>6</v>
      </c>
      <c r="D40" s="26"/>
      <c r="E40" s="26"/>
      <c r="F40" s="26"/>
      <c r="G40" s="26"/>
      <c r="H40" s="27"/>
      <c r="I40" s="28" t="s">
        <v>27</v>
      </c>
      <c r="J40" s="1" t="s">
        <v>27</v>
      </c>
      <c r="K40" s="1" t="s">
        <v>27</v>
      </c>
      <c r="L40" s="26"/>
      <c r="M40" s="26"/>
      <c r="N40" s="26"/>
      <c r="O40" s="26"/>
      <c r="P40" s="27"/>
    </row>
    <row r="41" spans="1:19">
      <c r="A41" s="1" t="s">
        <v>27</v>
      </c>
      <c r="B41" s="4" t="s">
        <v>6</v>
      </c>
      <c r="C41" s="9" t="s">
        <v>11</v>
      </c>
      <c r="D41" s="26"/>
      <c r="E41" s="26"/>
      <c r="F41" s="26"/>
      <c r="G41" s="26"/>
      <c r="H41" s="27"/>
      <c r="I41" s="28" t="s">
        <v>27</v>
      </c>
      <c r="J41" s="1" t="s">
        <v>27</v>
      </c>
      <c r="K41" s="1" t="s">
        <v>27</v>
      </c>
      <c r="L41" s="26"/>
      <c r="M41" s="26"/>
      <c r="N41" s="26"/>
      <c r="O41" s="26"/>
      <c r="P41" s="27"/>
    </row>
    <row r="42" spans="1:19">
      <c r="A42" s="1" t="s">
        <v>27</v>
      </c>
      <c r="B42" s="3" t="s">
        <v>5</v>
      </c>
      <c r="C42" s="4" t="s">
        <v>6</v>
      </c>
      <c r="D42" s="26"/>
      <c r="E42" s="26"/>
      <c r="F42" s="26"/>
      <c r="G42" s="26"/>
      <c r="H42" s="27"/>
      <c r="I42" s="28" t="s">
        <v>27</v>
      </c>
      <c r="J42" s="1" t="s">
        <v>27</v>
      </c>
      <c r="K42" s="1" t="s">
        <v>27</v>
      </c>
      <c r="L42" s="26"/>
      <c r="M42" s="26"/>
      <c r="N42" s="26"/>
      <c r="O42" s="26"/>
      <c r="P42" s="27"/>
    </row>
    <row r="43" spans="1:19">
      <c r="A43" s="1" t="s">
        <v>27</v>
      </c>
      <c r="B43" s="3" t="s">
        <v>5</v>
      </c>
      <c r="C43" s="17" t="s">
        <v>19</v>
      </c>
      <c r="D43" s="26"/>
      <c r="E43" s="26"/>
      <c r="F43" s="26"/>
      <c r="G43" s="26"/>
      <c r="H43" s="27"/>
      <c r="I43" s="28" t="s">
        <v>27</v>
      </c>
      <c r="J43" s="1" t="s">
        <v>27</v>
      </c>
      <c r="K43" s="1" t="s">
        <v>27</v>
      </c>
      <c r="L43" s="26"/>
      <c r="M43" s="26"/>
      <c r="N43" s="26"/>
      <c r="O43" s="26"/>
      <c r="P43" s="27"/>
    </row>
    <row r="44" spans="1:19">
      <c r="A44" s="1" t="s">
        <v>27</v>
      </c>
      <c r="B44" s="3" t="s">
        <v>5</v>
      </c>
      <c r="C44" s="4" t="s">
        <v>6</v>
      </c>
      <c r="D44" s="26"/>
      <c r="E44" s="26"/>
      <c r="F44" s="26"/>
      <c r="G44" s="26"/>
      <c r="H44" s="27"/>
      <c r="I44" s="28" t="s">
        <v>27</v>
      </c>
      <c r="J44" s="1" t="s">
        <v>27</v>
      </c>
      <c r="K44" s="1" t="s">
        <v>27</v>
      </c>
      <c r="L44" s="26"/>
      <c r="M44" s="26"/>
      <c r="N44" s="26"/>
      <c r="O44" s="26"/>
      <c r="P44" s="27"/>
    </row>
    <row r="45" spans="1:19">
      <c r="A45" s="1" t="s">
        <v>27</v>
      </c>
      <c r="B45" s="3" t="s">
        <v>5</v>
      </c>
      <c r="C45" s="4" t="s">
        <v>6</v>
      </c>
      <c r="D45" s="26"/>
      <c r="E45" s="26"/>
      <c r="F45" s="26"/>
      <c r="G45" s="26"/>
      <c r="H45" s="27"/>
      <c r="I45" s="28" t="s">
        <v>27</v>
      </c>
      <c r="J45" s="1" t="s">
        <v>27</v>
      </c>
      <c r="K45" s="1" t="s">
        <v>27</v>
      </c>
      <c r="L45" s="26"/>
      <c r="M45" s="26"/>
      <c r="N45" s="26"/>
      <c r="O45" s="26"/>
      <c r="P45" s="27"/>
    </row>
    <row r="46" spans="1:19">
      <c r="A46" s="1" t="s">
        <v>27</v>
      </c>
      <c r="B46" s="4" t="s">
        <v>6</v>
      </c>
      <c r="C46" s="4" t="s">
        <v>6</v>
      </c>
      <c r="D46" s="26"/>
      <c r="E46" s="26"/>
      <c r="F46" s="26"/>
      <c r="G46" s="26"/>
      <c r="H46" s="27"/>
      <c r="I46" s="28" t="s">
        <v>27</v>
      </c>
      <c r="J46" s="1" t="s">
        <v>27</v>
      </c>
      <c r="K46" s="1" t="s">
        <v>27</v>
      </c>
      <c r="L46" s="26"/>
      <c r="M46" s="26"/>
      <c r="N46" s="26"/>
      <c r="O46" s="26"/>
      <c r="P46" s="27"/>
    </row>
    <row r="47" spans="1:19">
      <c r="A47" s="1" t="s">
        <v>27</v>
      </c>
      <c r="B47" s="4" t="s">
        <v>6</v>
      </c>
      <c r="C47" s="4" t="s">
        <v>6</v>
      </c>
      <c r="D47" s="26"/>
      <c r="E47" s="26"/>
      <c r="F47" s="26"/>
      <c r="G47" s="26"/>
      <c r="H47" s="27"/>
      <c r="I47" s="28" t="s">
        <v>27</v>
      </c>
      <c r="J47" s="1" t="s">
        <v>27</v>
      </c>
      <c r="K47" s="1" t="s">
        <v>27</v>
      </c>
      <c r="L47" s="26"/>
      <c r="M47" s="26"/>
      <c r="N47" s="26"/>
      <c r="O47" s="26"/>
      <c r="P47" s="27"/>
    </row>
    <row r="48" spans="1:19">
      <c r="A48" s="1" t="s">
        <v>27</v>
      </c>
      <c r="B48" s="4" t="s">
        <v>6</v>
      </c>
      <c r="C48" s="16" t="s">
        <v>18</v>
      </c>
      <c r="D48" s="26"/>
      <c r="E48" s="26"/>
      <c r="F48" s="26"/>
      <c r="G48" s="26"/>
      <c r="H48" s="27"/>
      <c r="I48" s="28" t="s">
        <v>27</v>
      </c>
      <c r="J48" s="1" t="s">
        <v>27</v>
      </c>
      <c r="K48" s="1" t="s">
        <v>27</v>
      </c>
      <c r="L48" s="26"/>
      <c r="M48" s="26"/>
      <c r="N48" s="26"/>
      <c r="O48" s="26"/>
      <c r="P48" s="27"/>
    </row>
    <row r="49" spans="1:16">
      <c r="A49" s="1" t="s">
        <v>27</v>
      </c>
      <c r="B49" s="17" t="s">
        <v>20</v>
      </c>
      <c r="C49" s="4" t="s">
        <v>6</v>
      </c>
      <c r="D49" s="26"/>
      <c r="E49" s="26"/>
      <c r="F49" s="26"/>
      <c r="G49" s="26"/>
      <c r="H49" s="27"/>
      <c r="I49" s="28" t="s">
        <v>27</v>
      </c>
      <c r="J49" s="1" t="s">
        <v>27</v>
      </c>
      <c r="K49" s="1" t="s">
        <v>27</v>
      </c>
      <c r="L49" s="26"/>
      <c r="M49" s="26"/>
      <c r="N49" s="26"/>
      <c r="O49" s="26"/>
      <c r="P49" s="27"/>
    </row>
    <row r="50" spans="1:16">
      <c r="A50" s="1" t="s">
        <v>27</v>
      </c>
      <c r="B50" s="1" t="s">
        <v>27</v>
      </c>
      <c r="C50" s="4" t="s">
        <v>6</v>
      </c>
      <c r="D50" s="26"/>
      <c r="E50" s="26"/>
      <c r="F50" s="26"/>
      <c r="G50" s="26"/>
      <c r="H50" s="27"/>
      <c r="I50" s="28" t="s">
        <v>27</v>
      </c>
      <c r="J50" s="1" t="s">
        <v>27</v>
      </c>
      <c r="K50" s="1" t="s">
        <v>27</v>
      </c>
      <c r="L50" s="26"/>
      <c r="M50" s="26"/>
      <c r="N50" s="26"/>
      <c r="O50" s="26"/>
      <c r="P50" s="27"/>
    </row>
    <row r="51" spans="1:16">
      <c r="A51" s="1" t="s">
        <v>27</v>
      </c>
      <c r="B51" s="1" t="s">
        <v>27</v>
      </c>
      <c r="C51" s="17" t="s">
        <v>20</v>
      </c>
      <c r="D51" s="26"/>
      <c r="E51" s="26"/>
      <c r="F51" s="26"/>
      <c r="G51" s="26"/>
      <c r="H51" s="27"/>
      <c r="I51" s="28" t="s">
        <v>27</v>
      </c>
      <c r="J51" s="1" t="s">
        <v>27</v>
      </c>
      <c r="K51" s="1" t="s">
        <v>27</v>
      </c>
      <c r="L51" s="26"/>
      <c r="M51" s="26"/>
      <c r="N51" s="26"/>
      <c r="O51" s="26"/>
      <c r="P51" s="27"/>
    </row>
    <row r="52" spans="1:16">
      <c r="A52" s="1" t="s">
        <v>27</v>
      </c>
      <c r="B52" s="1" t="s">
        <v>27</v>
      </c>
      <c r="C52" s="1" t="s">
        <v>27</v>
      </c>
      <c r="D52" s="26"/>
      <c r="E52" s="26"/>
      <c r="F52" s="26"/>
      <c r="G52" s="26"/>
      <c r="H52" s="27"/>
      <c r="I52" s="28" t="s">
        <v>27</v>
      </c>
      <c r="J52" s="1" t="s">
        <v>27</v>
      </c>
      <c r="K52" s="1" t="s">
        <v>27</v>
      </c>
      <c r="L52" s="26"/>
      <c r="M52" s="26"/>
      <c r="N52" s="26"/>
      <c r="O52" s="26"/>
      <c r="P52" s="27"/>
    </row>
    <row r="53" spans="1:16">
      <c r="A53" s="1" t="s">
        <v>27</v>
      </c>
      <c r="B53" s="1" t="s">
        <v>27</v>
      </c>
      <c r="C53" s="1" t="s">
        <v>27</v>
      </c>
      <c r="D53" s="26"/>
      <c r="E53" s="26"/>
      <c r="F53" s="26"/>
      <c r="G53" s="26"/>
      <c r="H53" s="27"/>
      <c r="I53" s="28" t="s">
        <v>27</v>
      </c>
      <c r="J53" s="1" t="s">
        <v>27</v>
      </c>
      <c r="K53" s="1" t="s">
        <v>27</v>
      </c>
      <c r="L53" s="26"/>
      <c r="M53" s="26"/>
      <c r="N53" s="26"/>
      <c r="O53" s="26"/>
      <c r="P53" s="27"/>
    </row>
    <row r="54" spans="1:16">
      <c r="A54" s="1" t="s">
        <v>27</v>
      </c>
      <c r="B54" s="1" t="s">
        <v>27</v>
      </c>
      <c r="C54" s="1" t="s">
        <v>27</v>
      </c>
      <c r="D54" s="26"/>
      <c r="E54" s="26"/>
      <c r="F54" s="26"/>
      <c r="G54" s="26"/>
      <c r="H54" s="27"/>
      <c r="I54" s="28" t="s">
        <v>27</v>
      </c>
      <c r="J54" s="1" t="s">
        <v>27</v>
      </c>
      <c r="K54" s="1" t="s">
        <v>27</v>
      </c>
      <c r="L54" s="26"/>
      <c r="M54" s="26"/>
      <c r="N54" s="26"/>
      <c r="O54" s="26"/>
      <c r="P54" s="27"/>
    </row>
    <row r="55" spans="1:16">
      <c r="A55" s="1" t="s">
        <v>27</v>
      </c>
      <c r="B55" s="1" t="s">
        <v>27</v>
      </c>
      <c r="C55" s="1" t="s">
        <v>27</v>
      </c>
      <c r="D55" s="26"/>
      <c r="E55" s="26"/>
      <c r="F55" s="26"/>
      <c r="G55" s="26"/>
      <c r="H55" s="27"/>
      <c r="I55" s="28" t="s">
        <v>27</v>
      </c>
      <c r="J55" s="1" t="s">
        <v>27</v>
      </c>
      <c r="K55" s="1" t="s">
        <v>27</v>
      </c>
      <c r="L55" s="26"/>
      <c r="M55" s="26"/>
      <c r="N55" s="26"/>
      <c r="O55" s="26"/>
      <c r="P55" s="27"/>
    </row>
    <row r="56" spans="1:16">
      <c r="A56" s="28" t="s">
        <v>27</v>
      </c>
      <c r="B56" s="1" t="s">
        <v>27</v>
      </c>
      <c r="C56" s="1" t="s">
        <v>27</v>
      </c>
      <c r="D56" s="26"/>
      <c r="E56" s="26"/>
      <c r="F56" s="26"/>
      <c r="G56" s="26"/>
      <c r="H56" s="27"/>
      <c r="I56" s="28" t="s">
        <v>27</v>
      </c>
      <c r="J56" s="1" t="s">
        <v>27</v>
      </c>
      <c r="K56" s="1" t="s">
        <v>27</v>
      </c>
      <c r="L56" s="26"/>
      <c r="M56" s="26"/>
      <c r="N56" s="26"/>
      <c r="O56" s="26"/>
      <c r="P56" s="27"/>
    </row>
    <row r="57" spans="1:16">
      <c r="A57" s="28" t="s">
        <v>27</v>
      </c>
      <c r="B57" s="1" t="s">
        <v>27</v>
      </c>
      <c r="C57" s="1" t="s">
        <v>27</v>
      </c>
      <c r="D57" s="26"/>
      <c r="E57" s="26"/>
      <c r="F57" s="26"/>
      <c r="G57" s="26"/>
      <c r="H57" s="27"/>
      <c r="I57" s="28" t="s">
        <v>27</v>
      </c>
      <c r="J57" s="1" t="s">
        <v>27</v>
      </c>
      <c r="K57" s="1" t="s">
        <v>27</v>
      </c>
      <c r="L57" s="26"/>
      <c r="M57" s="26"/>
      <c r="N57" s="26"/>
      <c r="O57" s="26"/>
      <c r="P57" s="27"/>
    </row>
    <row r="58" spans="1:16">
      <c r="A58" s="28" t="s">
        <v>27</v>
      </c>
      <c r="B58" s="1" t="s">
        <v>27</v>
      </c>
      <c r="C58" s="1" t="s">
        <v>27</v>
      </c>
      <c r="D58" s="26"/>
      <c r="E58" s="26"/>
      <c r="F58" s="26"/>
      <c r="G58" s="26"/>
      <c r="H58" s="27"/>
      <c r="I58" s="28" t="s">
        <v>27</v>
      </c>
      <c r="J58" s="1" t="s">
        <v>27</v>
      </c>
      <c r="K58" s="1" t="s">
        <v>27</v>
      </c>
      <c r="L58" s="26"/>
      <c r="M58" s="26"/>
      <c r="N58" s="26"/>
      <c r="O58" s="26"/>
      <c r="P58" s="27"/>
    </row>
    <row r="59" spans="1:16">
      <c r="A59" s="28" t="s">
        <v>27</v>
      </c>
      <c r="B59" s="1" t="s">
        <v>27</v>
      </c>
      <c r="C59" s="1" t="s">
        <v>27</v>
      </c>
      <c r="D59" s="26"/>
      <c r="E59" s="26"/>
      <c r="F59" s="26"/>
      <c r="G59" s="26"/>
      <c r="H59" s="27"/>
      <c r="I59" s="28" t="s">
        <v>27</v>
      </c>
      <c r="J59" s="1" t="s">
        <v>27</v>
      </c>
      <c r="K59" s="1" t="s">
        <v>27</v>
      </c>
      <c r="L59" s="26"/>
      <c r="M59" s="26"/>
      <c r="N59" s="26"/>
      <c r="O59" s="26"/>
      <c r="P59" s="27"/>
    </row>
    <row r="60" spans="1:16">
      <c r="A60" s="28" t="s">
        <v>27</v>
      </c>
      <c r="B60" s="1" t="s">
        <v>27</v>
      </c>
      <c r="C60" s="1" t="s">
        <v>27</v>
      </c>
      <c r="D60" s="26"/>
      <c r="E60" s="26"/>
      <c r="F60" s="26"/>
      <c r="G60" s="26"/>
      <c r="H60" s="27"/>
      <c r="I60" s="28" t="s">
        <v>27</v>
      </c>
      <c r="J60" s="1" t="s">
        <v>27</v>
      </c>
      <c r="K60" s="1" t="s">
        <v>27</v>
      </c>
      <c r="L60" s="26"/>
      <c r="M60" s="26"/>
      <c r="N60" s="26"/>
      <c r="O60" s="26"/>
      <c r="P60" s="27"/>
    </row>
    <row r="61" spans="1:16">
      <c r="A61" s="28" t="s">
        <v>27</v>
      </c>
      <c r="B61" s="1" t="s">
        <v>27</v>
      </c>
      <c r="C61" s="1" t="s">
        <v>27</v>
      </c>
      <c r="D61" s="26"/>
      <c r="E61" s="26"/>
      <c r="F61" s="26"/>
      <c r="G61" s="26"/>
      <c r="H61" s="27"/>
      <c r="I61" s="28" t="s">
        <v>27</v>
      </c>
      <c r="J61" s="1" t="s">
        <v>27</v>
      </c>
      <c r="K61" s="1" t="s">
        <v>27</v>
      </c>
      <c r="L61" s="26"/>
      <c r="M61" s="26"/>
      <c r="N61" s="26"/>
      <c r="O61" s="26"/>
      <c r="P61" s="27"/>
    </row>
    <row r="62" spans="1:16">
      <c r="A62" s="28" t="s">
        <v>27</v>
      </c>
      <c r="B62" s="1" t="s">
        <v>27</v>
      </c>
      <c r="C62" s="1" t="s">
        <v>27</v>
      </c>
      <c r="D62" s="26"/>
      <c r="E62" s="26"/>
      <c r="F62" s="26"/>
      <c r="G62" s="26"/>
      <c r="H62" s="27"/>
      <c r="I62" s="28" t="s">
        <v>27</v>
      </c>
      <c r="J62" s="1" t="s">
        <v>27</v>
      </c>
      <c r="K62" s="1" t="s">
        <v>27</v>
      </c>
      <c r="L62" s="26"/>
      <c r="M62" s="26"/>
      <c r="N62" s="26"/>
      <c r="O62" s="26"/>
      <c r="P62" s="27"/>
    </row>
    <row r="63" spans="1:16">
      <c r="A63" s="28" t="s">
        <v>27</v>
      </c>
      <c r="B63" s="1" t="s">
        <v>27</v>
      </c>
      <c r="C63" s="1" t="s">
        <v>27</v>
      </c>
      <c r="D63" s="26"/>
      <c r="E63" s="26"/>
      <c r="F63" s="26"/>
      <c r="G63" s="26"/>
      <c r="H63" s="27"/>
      <c r="I63" s="28" t="s">
        <v>27</v>
      </c>
      <c r="J63" s="1" t="s">
        <v>27</v>
      </c>
      <c r="K63" s="1" t="s">
        <v>27</v>
      </c>
      <c r="L63" s="26"/>
      <c r="M63" s="26"/>
      <c r="N63" s="26"/>
      <c r="O63" s="26"/>
      <c r="P63" s="27"/>
    </row>
    <row r="64" spans="1:16">
      <c r="A64" s="28" t="s">
        <v>27</v>
      </c>
      <c r="B64" s="1" t="s">
        <v>27</v>
      </c>
      <c r="C64" s="1" t="s">
        <v>27</v>
      </c>
      <c r="D64" s="26"/>
      <c r="E64" s="26"/>
      <c r="F64" s="26"/>
      <c r="G64" s="26"/>
      <c r="H64" s="27"/>
      <c r="I64" s="28" t="s">
        <v>27</v>
      </c>
      <c r="J64" s="1" t="s">
        <v>27</v>
      </c>
      <c r="K64" s="1" t="s">
        <v>27</v>
      </c>
      <c r="L64" s="26"/>
      <c r="M64" s="26"/>
      <c r="N64" s="26"/>
      <c r="O64" s="26"/>
      <c r="P64" s="27"/>
    </row>
    <row r="65" spans="1:16">
      <c r="A65" s="28" t="s">
        <v>27</v>
      </c>
      <c r="B65" s="1" t="s">
        <v>27</v>
      </c>
      <c r="C65" s="1" t="s">
        <v>27</v>
      </c>
      <c r="D65" s="26"/>
      <c r="E65" s="26"/>
      <c r="F65" s="26"/>
      <c r="G65" s="26"/>
      <c r="H65" s="27"/>
      <c r="I65" s="28" t="s">
        <v>27</v>
      </c>
      <c r="J65" s="1" t="s">
        <v>27</v>
      </c>
      <c r="K65" s="1" t="s">
        <v>27</v>
      </c>
      <c r="L65" s="26"/>
      <c r="M65" s="26"/>
      <c r="N65" s="26"/>
      <c r="O65" s="26"/>
      <c r="P65" s="27"/>
    </row>
    <row r="66" spans="1:16">
      <c r="A66" s="28" t="s">
        <v>27</v>
      </c>
      <c r="B66" s="1" t="s">
        <v>27</v>
      </c>
      <c r="C66" s="1" t="s">
        <v>27</v>
      </c>
      <c r="D66" s="26"/>
      <c r="E66" s="26"/>
      <c r="F66" s="26"/>
      <c r="G66" s="26"/>
      <c r="H66" s="27"/>
      <c r="I66" s="28" t="s">
        <v>27</v>
      </c>
      <c r="J66" s="1" t="s">
        <v>27</v>
      </c>
      <c r="K66" s="1" t="s">
        <v>27</v>
      </c>
      <c r="L66" s="26"/>
      <c r="M66" s="26"/>
      <c r="N66" s="26"/>
      <c r="O66" s="26"/>
      <c r="P66" s="27"/>
    </row>
    <row r="67" spans="1:16">
      <c r="A67" s="28" t="s">
        <v>27</v>
      </c>
      <c r="B67" s="1" t="s">
        <v>27</v>
      </c>
      <c r="C67" s="1" t="s">
        <v>27</v>
      </c>
      <c r="D67" s="26"/>
      <c r="E67" s="26"/>
      <c r="F67" s="26"/>
      <c r="G67" s="26"/>
      <c r="H67" s="27"/>
      <c r="I67" s="28" t="s">
        <v>27</v>
      </c>
      <c r="J67" s="1" t="s">
        <v>27</v>
      </c>
      <c r="K67" s="1" t="s">
        <v>27</v>
      </c>
      <c r="L67" s="26"/>
      <c r="M67" s="26"/>
      <c r="N67" s="26"/>
      <c r="O67" s="26"/>
      <c r="P67" s="27"/>
    </row>
    <row r="68" spans="1:16">
      <c r="A68" s="28" t="s">
        <v>27</v>
      </c>
      <c r="B68" s="1" t="s">
        <v>27</v>
      </c>
      <c r="C68" s="1" t="s">
        <v>27</v>
      </c>
      <c r="D68" s="26"/>
      <c r="E68" s="26"/>
      <c r="F68" s="26"/>
      <c r="G68" s="26"/>
      <c r="H68" s="27"/>
      <c r="I68" s="28" t="s">
        <v>27</v>
      </c>
      <c r="J68" s="1" t="s">
        <v>27</v>
      </c>
      <c r="K68" s="1" t="s">
        <v>27</v>
      </c>
      <c r="L68" s="26"/>
      <c r="M68" s="26"/>
      <c r="N68" s="26"/>
      <c r="O68" s="26"/>
      <c r="P68" s="27"/>
    </row>
    <row r="69" spans="1:16">
      <c r="A69" s="28" t="s">
        <v>27</v>
      </c>
      <c r="B69" s="1" t="s">
        <v>27</v>
      </c>
      <c r="C69" s="1" t="s">
        <v>27</v>
      </c>
      <c r="D69" s="26"/>
      <c r="E69" s="26"/>
      <c r="F69" s="26"/>
      <c r="G69" s="26"/>
      <c r="H69" s="27"/>
      <c r="I69" s="28" t="s">
        <v>27</v>
      </c>
      <c r="J69" s="1" t="s">
        <v>27</v>
      </c>
      <c r="K69" s="1" t="s">
        <v>27</v>
      </c>
      <c r="L69" s="26"/>
      <c r="M69" s="26"/>
      <c r="N69" s="26"/>
      <c r="O69" s="26"/>
      <c r="P69" s="27"/>
    </row>
    <row r="70" spans="1:16">
      <c r="A70" s="28" t="s">
        <v>27</v>
      </c>
      <c r="B70" s="1" t="s">
        <v>27</v>
      </c>
      <c r="C70" s="1" t="s">
        <v>27</v>
      </c>
      <c r="D70" s="26"/>
      <c r="E70" s="26"/>
      <c r="F70" s="26"/>
      <c r="G70" s="26"/>
      <c r="H70" s="27"/>
      <c r="I70" s="28" t="s">
        <v>27</v>
      </c>
      <c r="J70" s="1" t="s">
        <v>27</v>
      </c>
      <c r="K70" s="1" t="s">
        <v>27</v>
      </c>
      <c r="L70" s="26"/>
      <c r="M70" s="26"/>
      <c r="N70" s="26"/>
      <c r="O70" s="26"/>
      <c r="P70" s="27"/>
    </row>
    <row r="71" spans="1:16">
      <c r="A71" s="28" t="s">
        <v>27</v>
      </c>
      <c r="B71" s="1" t="s">
        <v>27</v>
      </c>
      <c r="C71" s="1" t="s">
        <v>27</v>
      </c>
      <c r="D71" s="26"/>
      <c r="E71" s="26"/>
      <c r="F71" s="26"/>
      <c r="G71" s="26"/>
      <c r="H71" s="27"/>
      <c r="I71" s="28" t="s">
        <v>27</v>
      </c>
      <c r="J71" s="1" t="s">
        <v>27</v>
      </c>
      <c r="K71" s="1" t="s">
        <v>27</v>
      </c>
      <c r="L71" s="26"/>
      <c r="M71" s="26"/>
      <c r="N71" s="26"/>
      <c r="O71" s="26"/>
      <c r="P71" s="27"/>
    </row>
    <row r="72" spans="1:16">
      <c r="A72" s="28" t="s">
        <v>27</v>
      </c>
      <c r="B72" s="1" t="s">
        <v>27</v>
      </c>
      <c r="C72" s="1" t="s">
        <v>27</v>
      </c>
      <c r="D72" s="26"/>
      <c r="E72" s="26"/>
      <c r="F72" s="26"/>
      <c r="G72" s="26"/>
      <c r="H72" s="27"/>
      <c r="I72" s="28" t="s">
        <v>27</v>
      </c>
      <c r="J72" s="1" t="s">
        <v>27</v>
      </c>
      <c r="K72" s="1" t="s">
        <v>27</v>
      </c>
      <c r="L72" s="26"/>
      <c r="M72" s="26"/>
      <c r="N72" s="26"/>
      <c r="O72" s="26"/>
      <c r="P72" s="27"/>
    </row>
    <row r="73" spans="1:16">
      <c r="A73" s="28" t="s">
        <v>27</v>
      </c>
      <c r="B73" s="1" t="s">
        <v>27</v>
      </c>
      <c r="C73" s="1" t="s">
        <v>27</v>
      </c>
      <c r="D73" s="26"/>
      <c r="E73" s="26"/>
      <c r="F73" s="26"/>
      <c r="G73" s="26"/>
      <c r="H73" s="27"/>
      <c r="I73" s="28" t="s">
        <v>27</v>
      </c>
      <c r="J73" s="1" t="s">
        <v>27</v>
      </c>
      <c r="K73" s="1" t="s">
        <v>27</v>
      </c>
      <c r="L73" s="26"/>
      <c r="M73" s="26"/>
      <c r="N73" s="26"/>
      <c r="O73" s="26"/>
      <c r="P73" s="27"/>
    </row>
    <row r="74" spans="1:16">
      <c r="A74" s="28" t="s">
        <v>27</v>
      </c>
      <c r="B74" s="1" t="s">
        <v>27</v>
      </c>
      <c r="C74" s="1" t="s">
        <v>27</v>
      </c>
      <c r="D74" s="26"/>
      <c r="E74" s="26"/>
      <c r="F74" s="26"/>
      <c r="G74" s="26"/>
      <c r="H74" s="27"/>
      <c r="I74" s="28" t="s">
        <v>27</v>
      </c>
      <c r="J74" s="1" t="s">
        <v>27</v>
      </c>
      <c r="K74" s="1" t="s">
        <v>27</v>
      </c>
      <c r="L74" s="26"/>
      <c r="M74" s="26"/>
      <c r="N74" s="26"/>
      <c r="O74" s="26"/>
      <c r="P74" s="27"/>
    </row>
    <row r="75" spans="1:16">
      <c r="A75" s="28" t="s">
        <v>27</v>
      </c>
      <c r="B75" s="1" t="s">
        <v>27</v>
      </c>
      <c r="C75" s="1" t="s">
        <v>27</v>
      </c>
      <c r="D75" s="26"/>
      <c r="E75" s="26"/>
      <c r="F75" s="26"/>
      <c r="G75" s="26"/>
      <c r="H75" s="27"/>
      <c r="I75" s="28" t="s">
        <v>27</v>
      </c>
      <c r="J75" s="1" t="s">
        <v>27</v>
      </c>
      <c r="K75" s="1" t="s">
        <v>27</v>
      </c>
      <c r="L75" s="26"/>
      <c r="M75" s="26"/>
      <c r="N75" s="26"/>
      <c r="O75" s="26"/>
      <c r="P75" s="27"/>
    </row>
    <row r="76" spans="1:16">
      <c r="A76" s="28" t="s">
        <v>27</v>
      </c>
      <c r="B76" s="1" t="s">
        <v>27</v>
      </c>
      <c r="C76" s="1" t="s">
        <v>27</v>
      </c>
      <c r="D76" s="26"/>
      <c r="E76" s="26"/>
      <c r="F76" s="26"/>
      <c r="G76" s="26"/>
      <c r="H76" s="27"/>
      <c r="I76" s="28" t="s">
        <v>27</v>
      </c>
      <c r="J76" s="1" t="s">
        <v>27</v>
      </c>
      <c r="K76" s="1" t="s">
        <v>27</v>
      </c>
      <c r="L76" s="26"/>
      <c r="M76" s="26"/>
      <c r="N76" s="26"/>
      <c r="O76" s="26"/>
      <c r="P76" s="27"/>
    </row>
    <row r="77" spans="1:16">
      <c r="A77" s="28" t="s">
        <v>27</v>
      </c>
      <c r="B77" s="1" t="s">
        <v>27</v>
      </c>
      <c r="C77" s="1" t="s">
        <v>27</v>
      </c>
      <c r="D77" s="26"/>
      <c r="E77" s="26"/>
      <c r="F77" s="26"/>
      <c r="G77" s="26"/>
      <c r="H77" s="27"/>
      <c r="I77" s="28" t="s">
        <v>27</v>
      </c>
      <c r="J77" s="1" t="s">
        <v>27</v>
      </c>
      <c r="K77" s="1" t="s">
        <v>27</v>
      </c>
      <c r="L77" s="26"/>
      <c r="M77" s="26"/>
      <c r="N77" s="26"/>
      <c r="O77" s="26"/>
      <c r="P77" s="27"/>
    </row>
    <row r="78" spans="1:16">
      <c r="A78" s="28" t="s">
        <v>27</v>
      </c>
      <c r="B78" s="1" t="s">
        <v>27</v>
      </c>
      <c r="C78" s="1" t="s">
        <v>27</v>
      </c>
      <c r="D78" s="26"/>
      <c r="E78" s="26"/>
      <c r="F78" s="26"/>
      <c r="G78" s="26"/>
      <c r="H78" s="27"/>
      <c r="I78" s="28" t="s">
        <v>27</v>
      </c>
      <c r="J78" s="1" t="s">
        <v>27</v>
      </c>
      <c r="K78" s="1" t="s">
        <v>27</v>
      </c>
      <c r="L78" s="26"/>
      <c r="M78" s="26"/>
      <c r="N78" s="26"/>
      <c r="O78" s="26"/>
      <c r="P78" s="27"/>
    </row>
    <row r="79" spans="1:16">
      <c r="A79" s="28" t="s">
        <v>27</v>
      </c>
      <c r="B79" s="1" t="s">
        <v>27</v>
      </c>
      <c r="C79" s="1" t="s">
        <v>27</v>
      </c>
      <c r="D79" s="26"/>
      <c r="E79" s="26"/>
      <c r="F79" s="26"/>
      <c r="G79" s="26"/>
      <c r="H79" s="27"/>
      <c r="I79" s="28" t="s">
        <v>27</v>
      </c>
      <c r="J79" s="1" t="s">
        <v>27</v>
      </c>
      <c r="K79" s="1" t="s">
        <v>27</v>
      </c>
      <c r="L79" s="26"/>
      <c r="M79" s="26"/>
      <c r="N79" s="26"/>
      <c r="O79" s="26"/>
      <c r="P79" s="27"/>
    </row>
    <row r="80" spans="1:16">
      <c r="A80" s="28" t="s">
        <v>27</v>
      </c>
      <c r="B80" s="1" t="s">
        <v>27</v>
      </c>
      <c r="C80" s="1" t="s">
        <v>27</v>
      </c>
      <c r="D80" s="26"/>
      <c r="E80" s="26"/>
      <c r="F80" s="26"/>
      <c r="G80" s="26"/>
      <c r="H80" s="27"/>
      <c r="I80" s="28" t="s">
        <v>27</v>
      </c>
      <c r="J80" s="1" t="s">
        <v>27</v>
      </c>
      <c r="K80" s="1" t="s">
        <v>27</v>
      </c>
      <c r="L80" s="26"/>
      <c r="M80" s="26"/>
      <c r="N80" s="26"/>
      <c r="O80" s="26"/>
      <c r="P80" s="27"/>
    </row>
    <row r="81" spans="1:16">
      <c r="A81" s="28" t="s">
        <v>27</v>
      </c>
      <c r="B81" s="1" t="s">
        <v>27</v>
      </c>
      <c r="C81" s="1" t="s">
        <v>27</v>
      </c>
      <c r="D81" s="26"/>
      <c r="E81" s="26"/>
      <c r="F81" s="26"/>
      <c r="G81" s="26"/>
      <c r="H81" s="27"/>
      <c r="I81" s="28" t="s">
        <v>27</v>
      </c>
      <c r="J81" s="1" t="s">
        <v>27</v>
      </c>
      <c r="K81" s="1" t="s">
        <v>27</v>
      </c>
      <c r="L81" s="26"/>
      <c r="M81" s="26"/>
      <c r="N81" s="26"/>
      <c r="O81" s="26"/>
      <c r="P81" s="27"/>
    </row>
    <row r="82" spans="1:16">
      <c r="A82" s="28" t="s">
        <v>27</v>
      </c>
      <c r="B82" s="1" t="s">
        <v>27</v>
      </c>
      <c r="C82" s="1" t="s">
        <v>27</v>
      </c>
      <c r="D82" s="26"/>
      <c r="E82" s="26"/>
      <c r="F82" s="26"/>
      <c r="G82" s="26"/>
      <c r="H82" s="27"/>
      <c r="I82" s="28" t="s">
        <v>27</v>
      </c>
      <c r="J82" s="1" t="s">
        <v>27</v>
      </c>
      <c r="K82" s="1" t="s">
        <v>27</v>
      </c>
      <c r="L82" s="26"/>
      <c r="M82" s="26"/>
      <c r="N82" s="26"/>
      <c r="O82" s="26"/>
      <c r="P82" s="27"/>
    </row>
    <row r="83" spans="1:16">
      <c r="A83" s="28" t="s">
        <v>27</v>
      </c>
      <c r="B83" s="1" t="s">
        <v>27</v>
      </c>
      <c r="C83" s="1" t="s">
        <v>27</v>
      </c>
      <c r="D83" s="26"/>
      <c r="E83" s="26"/>
      <c r="F83" s="26"/>
      <c r="G83" s="26"/>
      <c r="H83" s="27"/>
      <c r="I83" s="28" t="s">
        <v>27</v>
      </c>
      <c r="J83" s="1" t="s">
        <v>27</v>
      </c>
      <c r="K83" s="1" t="s">
        <v>27</v>
      </c>
      <c r="L83" s="26"/>
      <c r="M83" s="26"/>
      <c r="N83" s="26"/>
      <c r="O83" s="26"/>
      <c r="P83" s="27"/>
    </row>
    <row r="84" spans="1:16">
      <c r="A84" s="28" t="s">
        <v>27</v>
      </c>
      <c r="B84" s="1" t="s">
        <v>27</v>
      </c>
      <c r="C84" s="1" t="s">
        <v>27</v>
      </c>
      <c r="D84" s="26"/>
      <c r="E84" s="26"/>
      <c r="F84" s="26"/>
      <c r="G84" s="26"/>
      <c r="H84" s="27"/>
      <c r="I84" s="28" t="s">
        <v>27</v>
      </c>
      <c r="J84" s="1" t="s">
        <v>27</v>
      </c>
      <c r="K84" s="1" t="s">
        <v>27</v>
      </c>
      <c r="L84" s="26"/>
      <c r="M84" s="26"/>
      <c r="N84" s="26"/>
      <c r="O84" s="26"/>
      <c r="P84" s="27"/>
    </row>
    <row r="85" spans="1:16">
      <c r="A85" s="28" t="s">
        <v>27</v>
      </c>
      <c r="B85" s="1" t="s">
        <v>27</v>
      </c>
      <c r="C85" s="1" t="s">
        <v>27</v>
      </c>
      <c r="D85" s="26"/>
      <c r="E85" s="26"/>
      <c r="F85" s="26"/>
      <c r="G85" s="26"/>
      <c r="H85" s="27"/>
      <c r="I85" s="28" t="s">
        <v>27</v>
      </c>
      <c r="J85" s="1" t="s">
        <v>27</v>
      </c>
      <c r="K85" s="1" t="s">
        <v>27</v>
      </c>
      <c r="L85" s="26"/>
      <c r="M85" s="26"/>
      <c r="N85" s="26"/>
      <c r="O85" s="26"/>
      <c r="P85" s="27"/>
    </row>
    <row r="86" spans="1:16">
      <c r="A86" s="28" t="s">
        <v>27</v>
      </c>
      <c r="B86" s="1" t="s">
        <v>27</v>
      </c>
      <c r="C86" s="1" t="s">
        <v>27</v>
      </c>
      <c r="D86" s="26"/>
      <c r="E86" s="26"/>
      <c r="F86" s="26"/>
      <c r="G86" s="26"/>
      <c r="H86" s="27"/>
      <c r="I86" s="28" t="s">
        <v>27</v>
      </c>
      <c r="J86" s="1" t="s">
        <v>27</v>
      </c>
      <c r="K86" s="1" t="s">
        <v>27</v>
      </c>
      <c r="L86" s="26"/>
      <c r="M86" s="26"/>
      <c r="N86" s="26"/>
      <c r="O86" s="26"/>
      <c r="P86" s="27"/>
    </row>
    <row r="87" spans="1:16">
      <c r="A87" s="28" t="s">
        <v>27</v>
      </c>
      <c r="B87" s="1" t="s">
        <v>27</v>
      </c>
      <c r="C87" s="1" t="s">
        <v>27</v>
      </c>
      <c r="D87" s="26"/>
      <c r="E87" s="26"/>
      <c r="F87" s="26"/>
      <c r="G87" s="26"/>
      <c r="H87" s="27"/>
      <c r="I87" s="28" t="s">
        <v>27</v>
      </c>
      <c r="J87" s="1" t="s">
        <v>27</v>
      </c>
      <c r="K87" s="1" t="s">
        <v>27</v>
      </c>
      <c r="L87" s="26"/>
      <c r="M87" s="26"/>
      <c r="N87" s="26"/>
      <c r="O87" s="26"/>
      <c r="P87" s="27"/>
    </row>
    <row r="88" spans="1:16">
      <c r="A88" s="28" t="s">
        <v>27</v>
      </c>
      <c r="B88" s="1" t="s">
        <v>27</v>
      </c>
      <c r="C88" s="1" t="s">
        <v>27</v>
      </c>
      <c r="D88" s="26"/>
      <c r="E88" s="26"/>
      <c r="F88" s="26"/>
      <c r="G88" s="26"/>
      <c r="H88" s="27"/>
      <c r="I88" s="28" t="s">
        <v>27</v>
      </c>
      <c r="J88" s="1" t="s">
        <v>27</v>
      </c>
      <c r="K88" s="1" t="s">
        <v>27</v>
      </c>
      <c r="L88" s="26"/>
      <c r="M88" s="26"/>
      <c r="N88" s="26"/>
      <c r="O88" s="26"/>
      <c r="P88" s="27"/>
    </row>
    <row r="89" spans="1:16">
      <c r="A89" s="28" t="s">
        <v>27</v>
      </c>
      <c r="B89" s="1" t="s">
        <v>27</v>
      </c>
      <c r="C89" s="1" t="s">
        <v>27</v>
      </c>
      <c r="D89" s="26"/>
      <c r="E89" s="26"/>
      <c r="F89" s="26"/>
      <c r="G89" s="26"/>
      <c r="H89" s="27"/>
      <c r="I89" s="28" t="s">
        <v>27</v>
      </c>
      <c r="J89" s="1" t="s">
        <v>27</v>
      </c>
      <c r="K89" s="1" t="s">
        <v>27</v>
      </c>
      <c r="L89" s="26"/>
      <c r="M89" s="26"/>
      <c r="N89" s="26"/>
      <c r="O89" s="26"/>
      <c r="P89" s="27"/>
    </row>
    <row r="90" spans="1:16">
      <c r="A90" s="28" t="s">
        <v>27</v>
      </c>
      <c r="B90" s="1" t="s">
        <v>27</v>
      </c>
      <c r="C90" s="1" t="s">
        <v>27</v>
      </c>
      <c r="D90" s="26"/>
      <c r="E90" s="26"/>
      <c r="F90" s="26"/>
      <c r="G90" s="26"/>
      <c r="H90" s="27"/>
      <c r="I90" s="28" t="s">
        <v>27</v>
      </c>
      <c r="J90" s="1" t="s">
        <v>27</v>
      </c>
      <c r="K90" s="1" t="s">
        <v>27</v>
      </c>
      <c r="L90" s="26"/>
      <c r="M90" s="26"/>
      <c r="N90" s="26"/>
      <c r="O90" s="26"/>
      <c r="P90" s="27"/>
    </row>
    <row r="91" spans="1:16">
      <c r="A91" s="28" t="s">
        <v>27</v>
      </c>
      <c r="B91" s="1" t="s">
        <v>27</v>
      </c>
      <c r="C91" s="1" t="s">
        <v>27</v>
      </c>
      <c r="D91" s="26"/>
      <c r="E91" s="26"/>
      <c r="F91" s="26"/>
      <c r="G91" s="26"/>
      <c r="H91" s="27"/>
      <c r="I91" s="28" t="s">
        <v>27</v>
      </c>
      <c r="J91" s="1" t="s">
        <v>27</v>
      </c>
      <c r="K91" s="1" t="s">
        <v>27</v>
      </c>
      <c r="L91" s="26"/>
      <c r="M91" s="26"/>
      <c r="N91" s="26"/>
      <c r="O91" s="26"/>
      <c r="P91" s="27"/>
    </row>
    <row r="92" spans="1:16">
      <c r="A92" s="28" t="s">
        <v>27</v>
      </c>
      <c r="B92" s="1" t="s">
        <v>27</v>
      </c>
      <c r="C92" s="1" t="s">
        <v>27</v>
      </c>
      <c r="D92" s="26"/>
      <c r="E92" s="26"/>
      <c r="F92" s="26"/>
      <c r="G92" s="26"/>
      <c r="H92" s="27"/>
      <c r="I92" s="28" t="s">
        <v>27</v>
      </c>
      <c r="J92" s="1" t="s">
        <v>27</v>
      </c>
      <c r="K92" s="1" t="s">
        <v>27</v>
      </c>
      <c r="L92" s="26"/>
      <c r="M92" s="26"/>
      <c r="N92" s="26"/>
      <c r="O92" s="26"/>
      <c r="P92" s="27"/>
    </row>
    <row r="93" spans="1:16">
      <c r="A93" s="28" t="s">
        <v>27</v>
      </c>
      <c r="B93" s="1" t="s">
        <v>27</v>
      </c>
      <c r="C93" s="1" t="s">
        <v>27</v>
      </c>
      <c r="D93" s="26"/>
      <c r="E93" s="26"/>
      <c r="F93" s="26"/>
      <c r="G93" s="26"/>
      <c r="H93" s="27"/>
      <c r="I93" s="28" t="s">
        <v>27</v>
      </c>
      <c r="J93" s="1" t="s">
        <v>27</v>
      </c>
      <c r="K93" s="1" t="s">
        <v>27</v>
      </c>
      <c r="L93" s="26"/>
      <c r="M93" s="26"/>
      <c r="N93" s="26"/>
      <c r="O93" s="26"/>
      <c r="P93" s="27"/>
    </row>
    <row r="94" spans="1:16">
      <c r="A94" s="28" t="s">
        <v>27</v>
      </c>
      <c r="B94" s="1" t="s">
        <v>27</v>
      </c>
      <c r="C94" s="1" t="s">
        <v>27</v>
      </c>
      <c r="D94" s="26"/>
      <c r="E94" s="26"/>
      <c r="F94" s="26"/>
      <c r="G94" s="26"/>
      <c r="H94" s="27"/>
      <c r="I94" s="28" t="s">
        <v>27</v>
      </c>
      <c r="J94" s="1" t="s">
        <v>27</v>
      </c>
      <c r="K94" s="1" t="s">
        <v>27</v>
      </c>
      <c r="L94" s="26"/>
      <c r="M94" s="26"/>
      <c r="N94" s="26"/>
      <c r="O94" s="26"/>
      <c r="P94" s="27"/>
    </row>
    <row r="95" spans="1:16">
      <c r="A95" s="28" t="s">
        <v>27</v>
      </c>
      <c r="B95" s="1" t="s">
        <v>27</v>
      </c>
      <c r="C95" s="1" t="s">
        <v>27</v>
      </c>
      <c r="D95" s="26"/>
      <c r="E95" s="26"/>
      <c r="F95" s="26"/>
      <c r="G95" s="26"/>
      <c r="H95" s="27"/>
      <c r="I95" s="28" t="s">
        <v>27</v>
      </c>
      <c r="J95" s="1" t="s">
        <v>27</v>
      </c>
      <c r="K95" s="1" t="s">
        <v>27</v>
      </c>
      <c r="L95" s="26"/>
      <c r="M95" s="26"/>
      <c r="N95" s="26"/>
      <c r="O95" s="26"/>
      <c r="P95" s="27"/>
    </row>
    <row r="96" spans="1:16">
      <c r="A96" s="28" t="s">
        <v>27</v>
      </c>
      <c r="B96" s="1" t="s">
        <v>27</v>
      </c>
      <c r="C96" s="1" t="s">
        <v>27</v>
      </c>
      <c r="D96" s="26"/>
      <c r="E96" s="26"/>
      <c r="F96" s="26"/>
      <c r="G96" s="26"/>
      <c r="H96" s="27"/>
      <c r="I96" s="28" t="s">
        <v>27</v>
      </c>
      <c r="J96" s="1" t="s">
        <v>27</v>
      </c>
      <c r="K96" s="1" t="s">
        <v>27</v>
      </c>
      <c r="L96" s="26"/>
      <c r="M96" s="26"/>
      <c r="N96" s="26"/>
      <c r="O96" s="26"/>
      <c r="P96" s="27"/>
    </row>
    <row r="97" spans="1:16">
      <c r="A97" s="28" t="s">
        <v>27</v>
      </c>
      <c r="B97" s="1" t="s">
        <v>27</v>
      </c>
      <c r="C97" s="1" t="s">
        <v>27</v>
      </c>
      <c r="D97" s="26"/>
      <c r="E97" s="26"/>
      <c r="F97" s="26"/>
      <c r="G97" s="26"/>
      <c r="H97" s="27"/>
      <c r="I97" s="28" t="s">
        <v>27</v>
      </c>
      <c r="J97" s="1" t="s">
        <v>27</v>
      </c>
      <c r="K97" s="1" t="s">
        <v>27</v>
      </c>
      <c r="L97" s="26"/>
      <c r="M97" s="26"/>
      <c r="N97" s="26"/>
      <c r="O97" s="26"/>
      <c r="P97" s="27"/>
    </row>
    <row r="98" spans="1:16">
      <c r="A98" s="28" t="s">
        <v>27</v>
      </c>
      <c r="B98" s="1" t="s">
        <v>27</v>
      </c>
      <c r="C98" s="1" t="s">
        <v>27</v>
      </c>
      <c r="D98" s="26"/>
      <c r="E98" s="26"/>
      <c r="F98" s="26"/>
      <c r="G98" s="26"/>
      <c r="H98" s="27"/>
      <c r="I98" s="28" t="s">
        <v>27</v>
      </c>
      <c r="J98" s="1" t="s">
        <v>27</v>
      </c>
      <c r="K98" s="1" t="s">
        <v>27</v>
      </c>
      <c r="L98" s="26"/>
      <c r="M98" s="26"/>
      <c r="N98" s="26"/>
      <c r="O98" s="26"/>
      <c r="P98" s="27"/>
    </row>
    <row r="99" spans="1:16">
      <c r="A99" s="28" t="s">
        <v>27</v>
      </c>
      <c r="B99" s="1" t="s">
        <v>27</v>
      </c>
      <c r="C99" s="1" t="s">
        <v>27</v>
      </c>
      <c r="D99" s="26"/>
      <c r="E99" s="26"/>
      <c r="F99" s="26"/>
      <c r="G99" s="26"/>
      <c r="H99" s="27"/>
      <c r="I99" s="28" t="s">
        <v>27</v>
      </c>
      <c r="J99" s="1" t="s">
        <v>27</v>
      </c>
      <c r="K99" s="1" t="s">
        <v>27</v>
      </c>
      <c r="L99" s="26"/>
      <c r="M99" s="26"/>
      <c r="N99" s="26"/>
      <c r="O99" s="26"/>
      <c r="P99" s="27"/>
    </row>
    <row r="100" spans="1:16" ht="15.75" thickBot="1">
      <c r="A100" s="29" t="s">
        <v>27</v>
      </c>
      <c r="B100" s="30" t="s">
        <v>27</v>
      </c>
      <c r="C100" s="30" t="s">
        <v>27</v>
      </c>
      <c r="D100" s="31"/>
      <c r="E100" s="31"/>
      <c r="F100" s="31"/>
      <c r="G100" s="31"/>
      <c r="H100" s="32"/>
      <c r="I100" s="29" t="s">
        <v>27</v>
      </c>
      <c r="J100" s="30" t="s">
        <v>27</v>
      </c>
      <c r="K100" s="30" t="s">
        <v>27</v>
      </c>
      <c r="L100" s="31"/>
      <c r="M100" s="31"/>
      <c r="N100" s="31"/>
      <c r="O100" s="31"/>
      <c r="P100" s="32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07278-57E8-4C15-8196-401A69065BC6}">
  <dimension ref="A1:AB100"/>
  <sheetViews>
    <sheetView workbookViewId="0">
      <selection activeCell="Y20" sqref="Y20"/>
    </sheetView>
  </sheetViews>
  <sheetFormatPr defaultRowHeight="15"/>
  <sheetData>
    <row r="1" spans="1:28" ht="15.75">
      <c r="A1" s="62" t="s">
        <v>30</v>
      </c>
      <c r="B1" s="63"/>
      <c r="C1" s="63"/>
      <c r="D1" s="63"/>
      <c r="E1" s="63"/>
      <c r="F1" s="64" t="s">
        <v>3</v>
      </c>
      <c r="G1" s="64"/>
      <c r="H1" s="24" cm="1">
        <f t="array" ref="H1">SUM(VLOOKUP(A4:C100,$T$3:$W$36,4,FALSE))+H4*10-H8*50</f>
        <v>3280.883360231142</v>
      </c>
      <c r="I1" s="65" t="s">
        <v>41</v>
      </c>
      <c r="J1" s="66"/>
      <c r="K1" s="66"/>
      <c r="L1" s="66"/>
      <c r="M1" s="66"/>
      <c r="N1" s="66"/>
      <c r="O1" s="66"/>
      <c r="P1" s="67"/>
      <c r="Q1" s="65" t="s">
        <v>48</v>
      </c>
      <c r="R1" s="66"/>
      <c r="S1" s="66"/>
      <c r="T1" s="66"/>
      <c r="U1" s="66"/>
      <c r="V1" s="66"/>
      <c r="W1" s="66"/>
      <c r="X1" s="66"/>
      <c r="Y1" s="66"/>
      <c r="Z1" s="66"/>
      <c r="AA1" s="66"/>
      <c r="AB1" s="67"/>
    </row>
    <row r="2" spans="1:28" ht="30">
      <c r="A2" s="68" t="s">
        <v>35</v>
      </c>
      <c r="B2" s="69"/>
      <c r="C2" s="69"/>
      <c r="D2" s="70" t="s">
        <v>37</v>
      </c>
      <c r="E2" s="71"/>
      <c r="F2" s="71"/>
      <c r="G2" s="71"/>
      <c r="H2" s="72"/>
      <c r="I2" s="73" t="s">
        <v>35</v>
      </c>
      <c r="J2" s="74"/>
      <c r="K2" s="74"/>
      <c r="L2" s="75" t="s">
        <v>37</v>
      </c>
      <c r="M2" s="75"/>
      <c r="N2" s="75"/>
      <c r="O2" s="75"/>
      <c r="P2" s="76"/>
      <c r="Q2" s="50" t="s">
        <v>43</v>
      </c>
      <c r="R2" s="51" cm="1">
        <f t="array" ref="R2">SUM(V3:V28*AB3:AB28)+H6+P6+R4*500</f>
        <v>64960</v>
      </c>
      <c r="S2" s="26"/>
      <c r="T2" s="1" t="s">
        <v>0</v>
      </c>
      <c r="U2" s="1" t="s">
        <v>1</v>
      </c>
      <c r="V2" s="1" t="s">
        <v>2</v>
      </c>
      <c r="W2" s="44" t="s">
        <v>3</v>
      </c>
      <c r="X2" s="46" t="s">
        <v>44</v>
      </c>
      <c r="Y2" s="46" t="s">
        <v>56</v>
      </c>
      <c r="Z2" s="47" t="s">
        <v>45</v>
      </c>
      <c r="AA2" s="47" t="s">
        <v>46</v>
      </c>
      <c r="AB2" s="52" t="s">
        <v>47</v>
      </c>
    </row>
    <row r="3" spans="1:28">
      <c r="A3" s="60" t="s">
        <v>31</v>
      </c>
      <c r="B3" s="61" t="s">
        <v>32</v>
      </c>
      <c r="C3" s="20" t="s">
        <v>33</v>
      </c>
      <c r="D3" s="33"/>
      <c r="E3" s="60" t="s">
        <v>31</v>
      </c>
      <c r="F3" s="61" t="s">
        <v>32</v>
      </c>
      <c r="G3" s="20" t="s">
        <v>33</v>
      </c>
      <c r="H3" s="34" t="s">
        <v>36</v>
      </c>
      <c r="I3" s="60" t="s">
        <v>31</v>
      </c>
      <c r="J3" s="61" t="s">
        <v>32</v>
      </c>
      <c r="K3" s="20" t="s">
        <v>33</v>
      </c>
      <c r="L3" s="33"/>
      <c r="M3" s="60" t="s">
        <v>31</v>
      </c>
      <c r="N3" s="61" t="s">
        <v>32</v>
      </c>
      <c r="O3" s="20" t="s">
        <v>33</v>
      </c>
      <c r="P3" s="34" t="s">
        <v>36</v>
      </c>
      <c r="Q3" s="53" t="s">
        <v>49</v>
      </c>
      <c r="R3" s="26">
        <v>91</v>
      </c>
      <c r="S3" s="26"/>
      <c r="T3" s="2" t="s">
        <v>4</v>
      </c>
      <c r="U3" s="1">
        <v>150</v>
      </c>
      <c r="V3" s="1">
        <v>35</v>
      </c>
      <c r="W3" s="45">
        <f>U3-V3/0.330882</f>
        <v>44.222109392472248</v>
      </c>
      <c r="X3" s="46"/>
      <c r="Y3" s="46">
        <v>25</v>
      </c>
      <c r="Z3" s="1">
        <f>COUNTIF($A$4:$C$100,T3)</f>
        <v>17</v>
      </c>
      <c r="AA3" s="1">
        <f>COUNTIF($I$4:$K$100,T3)</f>
        <v>8</v>
      </c>
      <c r="AB3" s="54">
        <f>Y3-Z3-AA3</f>
        <v>0</v>
      </c>
    </row>
    <row r="4" spans="1:28">
      <c r="A4" s="2" t="s">
        <v>4</v>
      </c>
      <c r="B4" s="2" t="s">
        <v>4</v>
      </c>
      <c r="C4" s="3" t="s">
        <v>5</v>
      </c>
      <c r="D4" s="43" t="s">
        <v>34</v>
      </c>
      <c r="E4" s="39">
        <v>0</v>
      </c>
      <c r="F4" s="39">
        <v>14</v>
      </c>
      <c r="G4" s="39">
        <v>5</v>
      </c>
      <c r="H4" s="36">
        <f>SUM(E4:G4)</f>
        <v>19</v>
      </c>
      <c r="I4" s="2" t="s">
        <v>4</v>
      </c>
      <c r="J4" s="9" t="s">
        <v>11</v>
      </c>
      <c r="K4" s="3" t="s">
        <v>5</v>
      </c>
      <c r="L4" s="43" t="s">
        <v>34</v>
      </c>
      <c r="M4" s="39">
        <v>1</v>
      </c>
      <c r="N4" s="39">
        <v>3</v>
      </c>
      <c r="O4" s="39">
        <v>0</v>
      </c>
      <c r="P4" s="36">
        <f>SUM(M4:O4)</f>
        <v>4</v>
      </c>
      <c r="Q4" s="53" t="s">
        <v>50</v>
      </c>
      <c r="R4" s="40">
        <v>14</v>
      </c>
      <c r="S4" s="26"/>
      <c r="T4" s="3" t="s">
        <v>5</v>
      </c>
      <c r="U4" s="1">
        <v>160</v>
      </c>
      <c r="V4" s="1">
        <v>40</v>
      </c>
      <c r="W4" s="45">
        <f t="shared" ref="W4" si="0">U4-V4/0.330882</f>
        <v>39.110982162825422</v>
      </c>
      <c r="X4" s="46"/>
      <c r="Y4" s="46">
        <v>47</v>
      </c>
      <c r="Z4" s="1">
        <f t="shared" ref="Z4:Z28" si="1">COUNTIF($A$4:$C$100,T4)</f>
        <v>26</v>
      </c>
      <c r="AA4" s="1">
        <f t="shared" ref="AA4:AA28" si="2">COUNTIF($I$4:$K$100,T4)</f>
        <v>21</v>
      </c>
      <c r="AB4" s="54">
        <f t="shared" ref="AB4:AB28" si="3">Y4-Z4-AA4</f>
        <v>0</v>
      </c>
    </row>
    <row r="5" spans="1:28">
      <c r="A5" s="2" t="s">
        <v>4</v>
      </c>
      <c r="B5" s="2" t="s">
        <v>4</v>
      </c>
      <c r="C5" s="23" t="s">
        <v>29</v>
      </c>
      <c r="D5" s="33" t="s">
        <v>38</v>
      </c>
      <c r="E5" s="35" cm="1">
        <f t="array" ref="E5">(SUM(VLOOKUP(A4:A100,$T$3:$W$41,2,FALSE))+E4*10)-E8*50</f>
        <v>900</v>
      </c>
      <c r="F5" s="35" cm="1">
        <f t="array" ref="F5">(SUM(VLOOKUP(B4:B100,$T$3:$W$41,2,FALSE))+F4*10)-F8*50</f>
        <v>7190</v>
      </c>
      <c r="G5" s="35" cm="1">
        <f t="array" ref="G5">(SUM(VLOOKUP(C4:C100,$T$3:$W$41,2,FALSE))+G4*10)-G8*50</f>
        <v>6480</v>
      </c>
      <c r="H5" s="59">
        <f t="shared" ref="H5:H8" si="4">SUM(E5:G5)</f>
        <v>14570</v>
      </c>
      <c r="I5" s="15" t="s">
        <v>17</v>
      </c>
      <c r="J5" s="1" t="s">
        <v>27</v>
      </c>
      <c r="K5" s="3" t="s">
        <v>5</v>
      </c>
      <c r="L5" s="33" t="s">
        <v>38</v>
      </c>
      <c r="M5" s="35" cm="1">
        <f t="array" ref="M5">(SUM(VLOOKUP(I4:I100,$T$3:$W$41,2,FALSE))+M4*10)*0.8-M8*40</f>
        <v>1728</v>
      </c>
      <c r="N5" s="35" cm="1">
        <f t="array" ref="N5">(SUM(VLOOKUP(J4:J100,$T$3:$W$41,2,FALSE))+N4*10)*0.8-N8*40</f>
        <v>648</v>
      </c>
      <c r="O5" s="35" cm="1">
        <f t="array" ref="O5">(SUM(VLOOKUP(K4:K100,$T$3:$W$41,2,FALSE))+O4*10)*0.8-O8*40</f>
        <v>1864</v>
      </c>
      <c r="P5" s="59">
        <f t="shared" ref="P5:P8" si="5">SUM(M5:O5)</f>
        <v>4240</v>
      </c>
      <c r="Q5" s="53" t="s">
        <v>51</v>
      </c>
      <c r="R5" s="26">
        <v>6000</v>
      </c>
      <c r="S5" s="26"/>
      <c r="T5" s="4" t="s">
        <v>6</v>
      </c>
      <c r="U5" s="1">
        <v>170</v>
      </c>
      <c r="V5" s="1">
        <v>45</v>
      </c>
      <c r="W5" s="45">
        <v>34</v>
      </c>
      <c r="X5" s="48"/>
      <c r="Y5" s="46">
        <v>217</v>
      </c>
      <c r="Z5" s="1">
        <f t="shared" si="1"/>
        <v>36</v>
      </c>
      <c r="AA5" s="1">
        <f t="shared" si="2"/>
        <v>0</v>
      </c>
      <c r="AB5" s="54">
        <f t="shared" si="3"/>
        <v>181</v>
      </c>
    </row>
    <row r="6" spans="1:28">
      <c r="A6" s="2" t="s">
        <v>4</v>
      </c>
      <c r="B6" s="2" t="s">
        <v>4</v>
      </c>
      <c r="C6" s="3" t="s">
        <v>5</v>
      </c>
      <c r="D6" s="33" t="s">
        <v>39</v>
      </c>
      <c r="E6" s="35" cm="1">
        <f t="array" ref="E6">(SUM(VLOOKUP(A4:A100,$T$3:$W$41,3,FALSE)))</f>
        <v>210</v>
      </c>
      <c r="F6" s="35" cm="1">
        <f t="array" ref="F6">(SUM(VLOOKUP(B4:B100,$T$3:$W$41,3,FALSE)))</f>
        <v>2010</v>
      </c>
      <c r="G6" s="35" cm="1">
        <f t="array" ref="G6">(SUM(VLOOKUP(C4:C100,$T$3:$W$41,3,FALSE)))</f>
        <v>2610</v>
      </c>
      <c r="H6" s="49">
        <f t="shared" si="4"/>
        <v>4830</v>
      </c>
      <c r="I6" s="2" t="s">
        <v>4</v>
      </c>
      <c r="J6" s="9" t="s">
        <v>11</v>
      </c>
      <c r="K6" s="3" t="s">
        <v>5</v>
      </c>
      <c r="L6" s="33" t="s">
        <v>39</v>
      </c>
      <c r="M6" s="35" cm="1">
        <f t="array" ref="M6">(SUM(VLOOKUP(I4:I100,$T$3:$W$41,3,FALSE)))</f>
        <v>700</v>
      </c>
      <c r="N6" s="35" cm="1">
        <f t="array" ref="N6">(SUM(VLOOKUP(J4:J100,$T$3:$W$41,3,FALSE)))</f>
        <v>200</v>
      </c>
      <c r="O6" s="35" cm="1">
        <f t="array" ref="O6">(SUM(VLOOKUP(K4:K100,$T$3:$W$41,3,FALSE)))</f>
        <v>620</v>
      </c>
      <c r="P6" s="49">
        <f t="shared" si="5"/>
        <v>1520</v>
      </c>
      <c r="Q6" s="50" t="s">
        <v>52</v>
      </c>
      <c r="R6" s="26">
        <f>R3*1600-800+R5</f>
        <v>150800</v>
      </c>
      <c r="S6" s="26"/>
      <c r="T6" s="5" t="s">
        <v>7</v>
      </c>
      <c r="U6" s="1">
        <v>180</v>
      </c>
      <c r="V6" s="1">
        <v>50</v>
      </c>
      <c r="W6" s="45">
        <v>36</v>
      </c>
      <c r="X6" s="46">
        <v>267</v>
      </c>
      <c r="Y6" s="46">
        <v>266</v>
      </c>
      <c r="Z6" s="1">
        <f t="shared" si="1"/>
        <v>0</v>
      </c>
      <c r="AA6" s="1">
        <f t="shared" si="2"/>
        <v>0</v>
      </c>
      <c r="AB6" s="54">
        <f t="shared" si="3"/>
        <v>266</v>
      </c>
    </row>
    <row r="7" spans="1:28">
      <c r="A7" s="2" t="s">
        <v>4</v>
      </c>
      <c r="B7" s="2" t="s">
        <v>4</v>
      </c>
      <c r="C7" s="4" t="s">
        <v>6</v>
      </c>
      <c r="D7" s="33" t="s">
        <v>40</v>
      </c>
      <c r="E7" s="35">
        <f>COUNTIF(A4:A100,"&lt;&gt;空")</f>
        <v>6</v>
      </c>
      <c r="F7" s="35">
        <f>COUNTIF(B4:B100,"&lt;&gt;空")</f>
        <v>46</v>
      </c>
      <c r="G7" s="35">
        <f>COUNTIF(C4:C100,"&lt;&gt;空")</f>
        <v>47</v>
      </c>
      <c r="H7" s="36">
        <f t="shared" si="4"/>
        <v>99</v>
      </c>
      <c r="I7" s="2" t="s">
        <v>4</v>
      </c>
      <c r="J7" s="1" t="s">
        <v>27</v>
      </c>
      <c r="K7" s="15" t="s">
        <v>17</v>
      </c>
      <c r="L7" s="33" t="s">
        <v>40</v>
      </c>
      <c r="M7" s="35">
        <f>COUNTIF(I4:I100,"&lt;&gt;空")</f>
        <v>21</v>
      </c>
      <c r="N7" s="35">
        <f>COUNTIF(J4:J100,"&lt;&gt;空")</f>
        <v>5</v>
      </c>
      <c r="O7" s="35">
        <f>COUNTIF(K4:K100,"&lt;&gt;空")</f>
        <v>16</v>
      </c>
      <c r="P7" s="36">
        <f t="shared" si="5"/>
        <v>42</v>
      </c>
      <c r="Q7" s="53" t="s">
        <v>55</v>
      </c>
      <c r="R7" s="26">
        <v>0</v>
      </c>
      <c r="S7" s="26"/>
      <c r="T7" s="6" t="s">
        <v>8</v>
      </c>
      <c r="U7" s="1">
        <v>190</v>
      </c>
      <c r="V7" s="1">
        <v>55</v>
      </c>
      <c r="W7" s="45">
        <v>38</v>
      </c>
      <c r="X7" s="46">
        <v>236</v>
      </c>
      <c r="Y7" s="46">
        <v>236</v>
      </c>
      <c r="Z7" s="1">
        <f t="shared" si="1"/>
        <v>0</v>
      </c>
      <c r="AA7" s="1">
        <f t="shared" si="2"/>
        <v>0</v>
      </c>
      <c r="AB7" s="54">
        <f t="shared" si="3"/>
        <v>236</v>
      </c>
    </row>
    <row r="8" spans="1:28">
      <c r="A8" s="2" t="s">
        <v>4</v>
      </c>
      <c r="B8" s="2" t="s">
        <v>4</v>
      </c>
      <c r="C8" s="4" t="s">
        <v>6</v>
      </c>
      <c r="D8" s="42" t="s">
        <v>70</v>
      </c>
      <c r="E8" s="41">
        <v>0</v>
      </c>
      <c r="F8" s="41">
        <v>0</v>
      </c>
      <c r="G8" s="41">
        <v>1</v>
      </c>
      <c r="H8" s="36">
        <f t="shared" si="4"/>
        <v>1</v>
      </c>
      <c r="I8" s="15" t="s">
        <v>17</v>
      </c>
      <c r="J8" s="3" t="s">
        <v>5</v>
      </c>
      <c r="K8" s="3" t="s">
        <v>5</v>
      </c>
      <c r="L8" s="42" t="s">
        <v>70</v>
      </c>
      <c r="M8" s="41">
        <v>2</v>
      </c>
      <c r="N8" s="41">
        <v>0</v>
      </c>
      <c r="O8" s="41">
        <v>0</v>
      </c>
      <c r="P8" s="36">
        <f t="shared" si="5"/>
        <v>2</v>
      </c>
      <c r="Q8" s="50" t="s">
        <v>54</v>
      </c>
      <c r="R8" s="55" cm="1">
        <f t="array" ref="R8">R6-P5-H5-SUM(U3:U28*AB3:AB28)*0.8-R7*8</f>
        <v>118</v>
      </c>
      <c r="S8" s="26"/>
      <c r="T8" s="7" t="s">
        <v>9</v>
      </c>
      <c r="U8" s="1">
        <v>200</v>
      </c>
      <c r="V8" s="1">
        <v>60</v>
      </c>
      <c r="W8" s="45"/>
      <c r="X8" s="46">
        <v>194</v>
      </c>
      <c r="Y8" s="46">
        <v>194</v>
      </c>
      <c r="Z8" s="1">
        <f t="shared" si="1"/>
        <v>0</v>
      </c>
      <c r="AA8" s="1">
        <f t="shared" si="2"/>
        <v>0</v>
      </c>
      <c r="AB8" s="54">
        <f t="shared" si="3"/>
        <v>194</v>
      </c>
    </row>
    <row r="9" spans="1:28">
      <c r="A9" s="2" t="s">
        <v>4</v>
      </c>
      <c r="B9" s="2" t="s">
        <v>4</v>
      </c>
      <c r="C9" s="17" t="s">
        <v>19</v>
      </c>
      <c r="D9" s="26"/>
      <c r="E9" s="26"/>
      <c r="F9" s="26"/>
      <c r="G9" s="26"/>
      <c r="H9" s="27"/>
      <c r="I9" s="1" t="s">
        <v>27</v>
      </c>
      <c r="J9" s="3" t="s">
        <v>5</v>
      </c>
      <c r="K9" s="3" t="s">
        <v>5</v>
      </c>
      <c r="L9" s="33" t="s">
        <v>42</v>
      </c>
      <c r="M9" s="37">
        <f>M6/M5</f>
        <v>0.40509259259259262</v>
      </c>
      <c r="N9" s="37">
        <f>N6/N5</f>
        <v>0.30864197530864196</v>
      </c>
      <c r="O9" s="37">
        <f>O6/O5</f>
        <v>0.33261802575107297</v>
      </c>
      <c r="P9" s="38">
        <f>P6/P5</f>
        <v>0.35849056603773582</v>
      </c>
      <c r="Q9" s="50"/>
      <c r="R9" s="26"/>
      <c r="S9" s="26"/>
      <c r="T9" s="8" t="s">
        <v>10</v>
      </c>
      <c r="U9" s="1">
        <v>150</v>
      </c>
      <c r="V9" s="1">
        <v>35</v>
      </c>
      <c r="W9" s="45">
        <f t="shared" ref="W9:W11" si="6">U9-V9/0.330882</f>
        <v>44.222109392472248</v>
      </c>
      <c r="X9" s="46">
        <v>3</v>
      </c>
      <c r="Y9" s="46">
        <v>0</v>
      </c>
      <c r="Z9" s="1">
        <f t="shared" si="1"/>
        <v>0</v>
      </c>
      <c r="AA9" s="1">
        <f t="shared" si="2"/>
        <v>0</v>
      </c>
      <c r="AB9" s="54">
        <f t="shared" si="3"/>
        <v>0</v>
      </c>
    </row>
    <row r="10" spans="1:28">
      <c r="A10" s="1" t="s">
        <v>27</v>
      </c>
      <c r="B10" s="1" t="s">
        <v>27</v>
      </c>
      <c r="C10" s="4" t="s">
        <v>6</v>
      </c>
      <c r="D10" s="26"/>
      <c r="E10" s="26"/>
      <c r="F10" s="26"/>
      <c r="G10" s="26"/>
      <c r="H10" s="27"/>
      <c r="I10" s="16" t="s">
        <v>28</v>
      </c>
      <c r="J10" s="3" t="s">
        <v>5</v>
      </c>
      <c r="K10" s="3" t="s">
        <v>5</v>
      </c>
      <c r="L10" s="26"/>
      <c r="M10" s="26"/>
      <c r="N10" s="26"/>
      <c r="O10" s="26"/>
      <c r="P10" s="27"/>
      <c r="Q10" s="50"/>
      <c r="R10" s="26"/>
      <c r="S10" s="26"/>
      <c r="T10" s="9" t="s">
        <v>11</v>
      </c>
      <c r="U10" s="1">
        <v>150</v>
      </c>
      <c r="V10" s="1">
        <v>40</v>
      </c>
      <c r="W10" s="45">
        <f t="shared" si="6"/>
        <v>29.110982162825422</v>
      </c>
      <c r="X10" s="46">
        <v>7</v>
      </c>
      <c r="Y10" s="46">
        <v>6</v>
      </c>
      <c r="Z10" s="1">
        <f t="shared" si="1"/>
        <v>2</v>
      </c>
      <c r="AA10" s="1">
        <f t="shared" si="2"/>
        <v>4</v>
      </c>
      <c r="AB10" s="54">
        <f t="shared" si="3"/>
        <v>0</v>
      </c>
    </row>
    <row r="11" spans="1:28">
      <c r="A11" s="1" t="s">
        <v>27</v>
      </c>
      <c r="B11" s="1" t="s">
        <v>27</v>
      </c>
      <c r="C11" s="1" t="s">
        <v>27</v>
      </c>
      <c r="D11" s="26"/>
      <c r="E11" s="26"/>
      <c r="F11" s="26"/>
      <c r="G11" s="26"/>
      <c r="H11" s="27"/>
      <c r="I11" s="3" t="s">
        <v>5</v>
      </c>
      <c r="J11" s="1" t="s">
        <v>27</v>
      </c>
      <c r="K11" s="3" t="s">
        <v>5</v>
      </c>
      <c r="L11" s="26"/>
      <c r="M11" s="26"/>
      <c r="N11" s="26"/>
      <c r="O11" s="26"/>
      <c r="P11" s="27">
        <f>H5+P5</f>
        <v>18810</v>
      </c>
      <c r="Q11" s="50"/>
      <c r="R11" s="26"/>
      <c r="S11" s="26"/>
      <c r="T11" s="10" t="s">
        <v>12</v>
      </c>
      <c r="U11" s="1">
        <v>150</v>
      </c>
      <c r="V11" s="1">
        <v>45</v>
      </c>
      <c r="W11" s="45">
        <f t="shared" si="6"/>
        <v>13.999854933178597</v>
      </c>
      <c r="X11" s="46">
        <v>6</v>
      </c>
      <c r="Y11" s="46">
        <v>6</v>
      </c>
      <c r="Z11" s="1">
        <f t="shared" si="1"/>
        <v>0</v>
      </c>
      <c r="AA11" s="1">
        <f t="shared" si="2"/>
        <v>0</v>
      </c>
      <c r="AB11" s="54">
        <f t="shared" si="3"/>
        <v>6</v>
      </c>
    </row>
    <row r="12" spans="1:28">
      <c r="A12" s="1" t="s">
        <v>27</v>
      </c>
      <c r="B12" s="4" t="s">
        <v>6</v>
      </c>
      <c r="C12" s="4" t="s">
        <v>6</v>
      </c>
      <c r="D12" s="26"/>
      <c r="E12" s="26"/>
      <c r="F12" s="26"/>
      <c r="G12" s="26"/>
      <c r="H12" s="27"/>
      <c r="I12" s="3" t="s">
        <v>5</v>
      </c>
      <c r="J12" s="1" t="s">
        <v>27</v>
      </c>
      <c r="K12" s="9" t="s">
        <v>11</v>
      </c>
      <c r="L12" s="26"/>
      <c r="M12" s="26"/>
      <c r="N12" s="26"/>
      <c r="O12" s="26"/>
      <c r="P12" s="27">
        <f>H6+P6</f>
        <v>6350</v>
      </c>
      <c r="Q12" s="50"/>
      <c r="R12" s="26"/>
      <c r="S12" s="26"/>
      <c r="T12" s="11" t="s">
        <v>13</v>
      </c>
      <c r="U12" s="1">
        <v>150</v>
      </c>
      <c r="V12" s="1">
        <v>50</v>
      </c>
      <c r="W12" s="45"/>
      <c r="X12" s="46">
        <v>4</v>
      </c>
      <c r="Y12" s="46">
        <v>4</v>
      </c>
      <c r="Z12" s="1">
        <f t="shared" si="1"/>
        <v>0</v>
      </c>
      <c r="AA12" s="1">
        <f t="shared" si="2"/>
        <v>0</v>
      </c>
      <c r="AB12" s="54">
        <f t="shared" si="3"/>
        <v>4</v>
      </c>
    </row>
    <row r="13" spans="1:28">
      <c r="A13" s="1" t="s">
        <v>27</v>
      </c>
      <c r="B13" s="4" t="s">
        <v>6</v>
      </c>
      <c r="C13" s="15" t="s">
        <v>17</v>
      </c>
      <c r="D13" s="26"/>
      <c r="E13" s="26"/>
      <c r="F13" s="26"/>
      <c r="G13" s="26"/>
      <c r="H13" s="27"/>
      <c r="I13" s="3" t="s">
        <v>5</v>
      </c>
      <c r="J13" s="1" t="s">
        <v>27</v>
      </c>
      <c r="K13" s="3" t="s">
        <v>5</v>
      </c>
      <c r="L13" s="26"/>
      <c r="M13" s="26"/>
      <c r="N13" s="26"/>
      <c r="O13" s="26"/>
      <c r="P13" s="27"/>
      <c r="Q13" s="50"/>
      <c r="R13" s="26"/>
      <c r="S13" s="26"/>
      <c r="T13" s="12" t="s">
        <v>14</v>
      </c>
      <c r="U13" s="1">
        <v>150</v>
      </c>
      <c r="V13" s="1">
        <v>55</v>
      </c>
      <c r="W13" s="45"/>
      <c r="X13" s="46">
        <v>3</v>
      </c>
      <c r="Y13" s="46">
        <v>3</v>
      </c>
      <c r="Z13" s="1">
        <f t="shared" si="1"/>
        <v>0</v>
      </c>
      <c r="AA13" s="1">
        <f t="shared" si="2"/>
        <v>0</v>
      </c>
      <c r="AB13" s="54">
        <f t="shared" si="3"/>
        <v>3</v>
      </c>
    </row>
    <row r="14" spans="1:28">
      <c r="A14" s="1" t="s">
        <v>27</v>
      </c>
      <c r="B14" s="4" t="s">
        <v>6</v>
      </c>
      <c r="C14" s="3" t="s">
        <v>5</v>
      </c>
      <c r="D14" s="26"/>
      <c r="E14" s="26"/>
      <c r="F14" s="26"/>
      <c r="G14" s="26"/>
      <c r="H14" s="27"/>
      <c r="I14" s="15" t="s">
        <v>17</v>
      </c>
      <c r="J14" s="1" t="s">
        <v>27</v>
      </c>
      <c r="K14" s="3" t="s">
        <v>5</v>
      </c>
      <c r="L14" s="26"/>
      <c r="M14" s="26"/>
      <c r="N14" s="26"/>
      <c r="O14" s="26"/>
      <c r="P14" s="27"/>
      <c r="Q14" s="50"/>
      <c r="R14" s="26"/>
      <c r="S14" s="26"/>
      <c r="T14" s="13" t="s">
        <v>15</v>
      </c>
      <c r="U14" s="1">
        <v>150</v>
      </c>
      <c r="V14" s="1">
        <v>60</v>
      </c>
      <c r="W14" s="45"/>
      <c r="X14" s="46">
        <v>1</v>
      </c>
      <c r="Y14" s="46">
        <v>1</v>
      </c>
      <c r="Z14" s="1">
        <f t="shared" si="1"/>
        <v>0</v>
      </c>
      <c r="AA14" s="1">
        <f t="shared" si="2"/>
        <v>0</v>
      </c>
      <c r="AB14" s="54">
        <f t="shared" si="3"/>
        <v>1</v>
      </c>
    </row>
    <row r="15" spans="1:28">
      <c r="A15" s="1" t="s">
        <v>27</v>
      </c>
      <c r="B15" s="4" t="s">
        <v>6</v>
      </c>
      <c r="C15" s="16" t="s">
        <v>18</v>
      </c>
      <c r="D15" s="26"/>
      <c r="E15" s="26"/>
      <c r="F15" s="26"/>
      <c r="G15" s="26"/>
      <c r="H15" s="27"/>
      <c r="I15" s="9" t="s">
        <v>11</v>
      </c>
      <c r="J15" s="1" t="s">
        <v>27</v>
      </c>
      <c r="K15" s="15" t="s">
        <v>17</v>
      </c>
      <c r="L15" s="26"/>
      <c r="M15" s="26"/>
      <c r="N15" s="26"/>
      <c r="O15" s="26"/>
      <c r="P15" s="27"/>
      <c r="Q15" s="50"/>
      <c r="R15" s="26"/>
      <c r="S15" s="26"/>
      <c r="T15" s="14" t="s">
        <v>16</v>
      </c>
      <c r="U15" s="1">
        <v>150</v>
      </c>
      <c r="V15" s="1">
        <v>35</v>
      </c>
      <c r="W15" s="45">
        <f t="shared" ref="W15" si="7">U15-V15/0.330882</f>
        <v>44.222109392472248</v>
      </c>
      <c r="X15" s="46"/>
      <c r="Y15" s="46">
        <v>0</v>
      </c>
      <c r="Z15" s="1">
        <f t="shared" si="1"/>
        <v>0</v>
      </c>
      <c r="AA15" s="1">
        <f t="shared" si="2"/>
        <v>0</v>
      </c>
      <c r="AB15" s="54">
        <f t="shared" si="3"/>
        <v>0</v>
      </c>
    </row>
    <row r="16" spans="1:28">
      <c r="A16" s="1" t="s">
        <v>27</v>
      </c>
      <c r="B16" s="15" t="s">
        <v>17</v>
      </c>
      <c r="C16" s="2" t="s">
        <v>4</v>
      </c>
      <c r="D16" s="26"/>
      <c r="E16" s="26"/>
      <c r="F16" s="26"/>
      <c r="G16" s="26"/>
      <c r="H16" s="27"/>
      <c r="I16" s="2" t="s">
        <v>4</v>
      </c>
      <c r="J16" s="1" t="s">
        <v>27</v>
      </c>
      <c r="K16" s="3" t="s">
        <v>5</v>
      </c>
      <c r="L16" s="26"/>
      <c r="M16" s="26"/>
      <c r="N16" s="26"/>
      <c r="O16" s="26"/>
      <c r="P16" s="27"/>
      <c r="Q16" s="50"/>
      <c r="R16" s="26"/>
      <c r="S16" s="26"/>
      <c r="T16" s="15" t="s">
        <v>17</v>
      </c>
      <c r="U16" s="1">
        <v>50</v>
      </c>
      <c r="V16" s="1">
        <v>30</v>
      </c>
      <c r="W16" s="45">
        <v>10</v>
      </c>
      <c r="X16" s="46">
        <v>40</v>
      </c>
      <c r="Y16" s="46">
        <v>40</v>
      </c>
      <c r="Z16" s="1">
        <f t="shared" si="1"/>
        <v>5</v>
      </c>
      <c r="AA16" s="1">
        <f t="shared" si="2"/>
        <v>8</v>
      </c>
      <c r="AB16" s="54">
        <f t="shared" si="3"/>
        <v>27</v>
      </c>
    </row>
    <row r="17" spans="1:28">
      <c r="A17" s="1" t="s">
        <v>27</v>
      </c>
      <c r="B17" s="4" t="s">
        <v>6</v>
      </c>
      <c r="C17" s="2" t="s">
        <v>4</v>
      </c>
      <c r="D17" s="26"/>
      <c r="E17" s="26"/>
      <c r="F17" s="26"/>
      <c r="G17" s="26"/>
      <c r="H17" s="27"/>
      <c r="I17" s="15" t="s">
        <v>17</v>
      </c>
      <c r="J17" s="1" t="s">
        <v>27</v>
      </c>
      <c r="K17" s="3" t="s">
        <v>5</v>
      </c>
      <c r="L17" s="26"/>
      <c r="M17" s="26"/>
      <c r="N17" s="26"/>
      <c r="O17" s="26"/>
      <c r="P17" s="27"/>
      <c r="Q17" s="50"/>
      <c r="R17" s="26"/>
      <c r="S17" s="26"/>
      <c r="T17" s="16" t="s">
        <v>18</v>
      </c>
      <c r="U17" s="1">
        <v>-150</v>
      </c>
      <c r="V17" s="1">
        <v>0</v>
      </c>
      <c r="W17" s="45">
        <v>10</v>
      </c>
      <c r="X17" s="46">
        <v>4</v>
      </c>
      <c r="Y17" s="46">
        <v>4</v>
      </c>
      <c r="Z17" s="1">
        <f t="shared" si="1"/>
        <v>4</v>
      </c>
      <c r="AA17" s="1">
        <f t="shared" si="2"/>
        <v>0</v>
      </c>
      <c r="AB17" s="54">
        <f t="shared" si="3"/>
        <v>0</v>
      </c>
    </row>
    <row r="18" spans="1:28">
      <c r="A18" s="1" t="s">
        <v>27</v>
      </c>
      <c r="B18" s="17" t="s">
        <v>20</v>
      </c>
      <c r="C18" s="2" t="s">
        <v>4</v>
      </c>
      <c r="D18" s="26"/>
      <c r="E18" s="26"/>
      <c r="F18" s="26"/>
      <c r="G18" s="26"/>
      <c r="H18" s="27"/>
      <c r="I18" s="1" t="s">
        <v>27</v>
      </c>
      <c r="J18" s="1" t="s">
        <v>27</v>
      </c>
      <c r="K18" s="3" t="s">
        <v>5</v>
      </c>
      <c r="L18" s="26"/>
      <c r="M18" s="26"/>
      <c r="N18" s="26"/>
      <c r="O18" s="26"/>
      <c r="P18" s="27"/>
      <c r="Q18" s="50"/>
      <c r="R18" s="26"/>
      <c r="S18" s="26"/>
      <c r="T18" s="17" t="s">
        <v>19</v>
      </c>
      <c r="U18" s="1">
        <v>250</v>
      </c>
      <c r="V18" s="1">
        <v>200</v>
      </c>
      <c r="W18" s="45"/>
      <c r="X18" s="46">
        <v>3</v>
      </c>
      <c r="Y18" s="46">
        <v>3</v>
      </c>
      <c r="Z18" s="1">
        <f t="shared" si="1"/>
        <v>3</v>
      </c>
      <c r="AA18" s="1">
        <f t="shared" si="2"/>
        <v>0</v>
      </c>
      <c r="AB18" s="54">
        <f t="shared" si="3"/>
        <v>0</v>
      </c>
    </row>
    <row r="19" spans="1:28">
      <c r="A19" s="1" t="s">
        <v>27</v>
      </c>
      <c r="B19" s="4" t="s">
        <v>6</v>
      </c>
      <c r="C19" s="2" t="s">
        <v>4</v>
      </c>
      <c r="D19" s="26"/>
      <c r="E19" s="26"/>
      <c r="F19" s="26"/>
      <c r="G19" s="26"/>
      <c r="H19" s="27"/>
      <c r="I19" s="3" t="s">
        <v>5</v>
      </c>
      <c r="J19" s="1" t="s">
        <v>27</v>
      </c>
      <c r="K19" s="1" t="s">
        <v>27</v>
      </c>
      <c r="L19" s="26"/>
      <c r="M19" s="26"/>
      <c r="N19" s="26"/>
      <c r="O19" s="26"/>
      <c r="P19" s="27"/>
      <c r="Q19" s="50"/>
      <c r="R19" s="26"/>
      <c r="S19" s="26"/>
      <c r="T19" s="17" t="s">
        <v>20</v>
      </c>
      <c r="U19" s="1">
        <v>170</v>
      </c>
      <c r="V19" s="1">
        <v>45</v>
      </c>
      <c r="W19" s="45"/>
      <c r="X19" s="46">
        <v>5</v>
      </c>
      <c r="Y19" s="46">
        <v>5</v>
      </c>
      <c r="Z19" s="1">
        <f t="shared" si="1"/>
        <v>5</v>
      </c>
      <c r="AA19" s="1">
        <f t="shared" si="2"/>
        <v>0</v>
      </c>
      <c r="AB19" s="54">
        <f t="shared" si="3"/>
        <v>0</v>
      </c>
    </row>
    <row r="20" spans="1:28">
      <c r="A20" s="1" t="s">
        <v>27</v>
      </c>
      <c r="B20" s="3" t="s">
        <v>5</v>
      </c>
      <c r="C20" s="15" t="s">
        <v>17</v>
      </c>
      <c r="D20" s="26"/>
      <c r="E20" s="26"/>
      <c r="F20" s="26"/>
      <c r="G20" s="26"/>
      <c r="H20" s="27"/>
      <c r="I20" s="3" t="s">
        <v>5</v>
      </c>
      <c r="J20" s="1" t="s">
        <v>27</v>
      </c>
      <c r="K20" s="3" t="s">
        <v>5</v>
      </c>
      <c r="L20" s="26"/>
      <c r="M20" s="26"/>
      <c r="N20" s="26"/>
      <c r="O20" s="26"/>
      <c r="P20" s="27"/>
      <c r="Q20" s="50"/>
      <c r="R20" s="26"/>
      <c r="S20" s="26"/>
      <c r="T20" s="18" t="s">
        <v>21</v>
      </c>
      <c r="U20" s="1">
        <v>250</v>
      </c>
      <c r="V20" s="1">
        <v>200</v>
      </c>
      <c r="W20" s="45"/>
      <c r="X20" s="46">
        <v>0</v>
      </c>
      <c r="Y20" s="46">
        <v>0</v>
      </c>
      <c r="Z20" s="1">
        <f t="shared" si="1"/>
        <v>0</v>
      </c>
      <c r="AA20" s="1">
        <f t="shared" si="2"/>
        <v>0</v>
      </c>
      <c r="AB20" s="54">
        <f t="shared" si="3"/>
        <v>0</v>
      </c>
    </row>
    <row r="21" spans="1:28">
      <c r="A21" s="1" t="s">
        <v>27</v>
      </c>
      <c r="B21" s="3" t="s">
        <v>5</v>
      </c>
      <c r="C21" s="3" t="s">
        <v>5</v>
      </c>
      <c r="D21" s="26"/>
      <c r="E21" s="26"/>
      <c r="F21" s="26"/>
      <c r="G21" s="26"/>
      <c r="H21" s="27"/>
      <c r="I21" s="2" t="s">
        <v>4</v>
      </c>
      <c r="J21" s="1" t="s">
        <v>27</v>
      </c>
      <c r="K21" s="1" t="s">
        <v>27</v>
      </c>
      <c r="L21" s="26"/>
      <c r="M21" s="26"/>
      <c r="N21" s="26"/>
      <c r="O21" s="26"/>
      <c r="P21" s="27"/>
      <c r="Q21" s="50"/>
      <c r="R21" s="26"/>
      <c r="S21" s="26"/>
      <c r="T21" s="19" t="s">
        <v>22</v>
      </c>
      <c r="U21" s="1">
        <v>250</v>
      </c>
      <c r="V21" s="1">
        <v>1000</v>
      </c>
      <c r="W21" s="45"/>
      <c r="X21" s="46">
        <v>2</v>
      </c>
      <c r="Y21" s="46">
        <v>2</v>
      </c>
      <c r="Z21" s="1">
        <f t="shared" si="1"/>
        <v>0</v>
      </c>
      <c r="AA21" s="1">
        <f t="shared" si="2"/>
        <v>0</v>
      </c>
      <c r="AB21" s="54">
        <f t="shared" si="3"/>
        <v>2</v>
      </c>
    </row>
    <row r="22" spans="1:28">
      <c r="A22" s="1" t="s">
        <v>27</v>
      </c>
      <c r="B22" s="3" t="s">
        <v>5</v>
      </c>
      <c r="C22" s="3" t="s">
        <v>5</v>
      </c>
      <c r="D22" s="26"/>
      <c r="E22" s="26"/>
      <c r="F22" s="26"/>
      <c r="G22" s="26"/>
      <c r="H22" s="27"/>
      <c r="I22" s="15" t="s">
        <v>17</v>
      </c>
      <c r="J22" s="1" t="s">
        <v>27</v>
      </c>
      <c r="K22" s="1" t="s">
        <v>27</v>
      </c>
      <c r="L22" s="26"/>
      <c r="M22" s="26"/>
      <c r="N22" s="26"/>
      <c r="O22" s="26"/>
      <c r="P22" s="27"/>
      <c r="Q22" s="50"/>
      <c r="R22" s="26"/>
      <c r="S22" s="26"/>
      <c r="T22" s="20" t="s">
        <v>23</v>
      </c>
      <c r="U22" s="1">
        <v>250</v>
      </c>
      <c r="V22" s="1">
        <v>500</v>
      </c>
      <c r="W22" s="45"/>
      <c r="X22" s="46">
        <v>2</v>
      </c>
      <c r="Y22" s="46">
        <v>2</v>
      </c>
      <c r="Z22" s="1">
        <f t="shared" si="1"/>
        <v>0</v>
      </c>
      <c r="AA22" s="1">
        <f t="shared" si="2"/>
        <v>0</v>
      </c>
      <c r="AB22" s="54">
        <f t="shared" si="3"/>
        <v>2</v>
      </c>
    </row>
    <row r="23" spans="1:28">
      <c r="A23" s="1" t="s">
        <v>27</v>
      </c>
      <c r="B23" s="3" t="s">
        <v>5</v>
      </c>
      <c r="C23" s="3" t="s">
        <v>5</v>
      </c>
      <c r="D23" s="26"/>
      <c r="E23" s="26"/>
      <c r="F23" s="26"/>
      <c r="G23" s="26"/>
      <c r="H23" s="27"/>
      <c r="I23" s="2" t="s">
        <v>4</v>
      </c>
      <c r="J23" s="1" t="s">
        <v>27</v>
      </c>
      <c r="K23" s="1" t="s">
        <v>27</v>
      </c>
      <c r="L23" s="26"/>
      <c r="M23" s="26"/>
      <c r="N23" s="26"/>
      <c r="O23" s="26"/>
      <c r="P23" s="27"/>
      <c r="Q23" s="50"/>
      <c r="R23" s="26"/>
      <c r="S23" s="26"/>
      <c r="T23" s="21" t="s">
        <v>24</v>
      </c>
      <c r="U23" s="1">
        <v>160</v>
      </c>
      <c r="V23" s="1">
        <v>40</v>
      </c>
      <c r="W23" s="45">
        <f t="shared" ref="W23:W26" si="8">U23-V23/0.330882</f>
        <v>39.110982162825422</v>
      </c>
      <c r="X23" s="46">
        <v>0</v>
      </c>
      <c r="Y23" s="46">
        <v>0</v>
      </c>
      <c r="Z23" s="1">
        <f t="shared" si="1"/>
        <v>0</v>
      </c>
      <c r="AA23" s="1">
        <f t="shared" si="2"/>
        <v>0</v>
      </c>
      <c r="AB23" s="54">
        <f t="shared" si="3"/>
        <v>0</v>
      </c>
    </row>
    <row r="24" spans="1:28">
      <c r="A24" s="1" t="s">
        <v>27</v>
      </c>
      <c r="B24" s="3" t="s">
        <v>5</v>
      </c>
      <c r="C24" s="16" t="s">
        <v>18</v>
      </c>
      <c r="D24" s="26"/>
      <c r="E24" s="26"/>
      <c r="F24" s="26"/>
      <c r="G24" s="26"/>
      <c r="H24" s="27"/>
      <c r="I24" s="2" t="s">
        <v>4</v>
      </c>
      <c r="J24" s="1" t="s">
        <v>27</v>
      </c>
      <c r="K24" s="1" t="s">
        <v>27</v>
      </c>
      <c r="L24" s="26"/>
      <c r="M24" s="26"/>
      <c r="N24" s="26"/>
      <c r="O24" s="26"/>
      <c r="P24" s="27"/>
      <c r="Q24" s="50"/>
      <c r="R24" s="26"/>
      <c r="S24" s="26"/>
      <c r="T24" s="21" t="s">
        <v>25</v>
      </c>
      <c r="U24" s="1">
        <v>160</v>
      </c>
      <c r="V24" s="1">
        <v>40</v>
      </c>
      <c r="W24" s="45">
        <f t="shared" si="8"/>
        <v>39.110982162825422</v>
      </c>
      <c r="X24" s="46">
        <v>0</v>
      </c>
      <c r="Y24" s="46">
        <v>0</v>
      </c>
      <c r="Z24" s="1">
        <f t="shared" si="1"/>
        <v>0</v>
      </c>
      <c r="AA24" s="1">
        <f t="shared" si="2"/>
        <v>0</v>
      </c>
      <c r="AB24" s="54">
        <f t="shared" si="3"/>
        <v>0</v>
      </c>
    </row>
    <row r="25" spans="1:28">
      <c r="A25" s="1" t="s">
        <v>27</v>
      </c>
      <c r="B25" s="3" t="s">
        <v>5</v>
      </c>
      <c r="C25" s="3" t="s">
        <v>5</v>
      </c>
      <c r="D25" s="26"/>
      <c r="E25" s="26"/>
      <c r="F25" s="26"/>
      <c r="G25" s="26"/>
      <c r="H25" s="27"/>
      <c r="I25" s="2" t="s">
        <v>4</v>
      </c>
      <c r="J25" s="1" t="s">
        <v>27</v>
      </c>
      <c r="K25" s="1" t="s">
        <v>27</v>
      </c>
      <c r="L25" s="26"/>
      <c r="M25" s="26"/>
      <c r="N25" s="26"/>
      <c r="O25" s="26"/>
      <c r="P25" s="27"/>
      <c r="Q25" s="50"/>
      <c r="R25" s="26"/>
      <c r="S25" s="26"/>
      <c r="T25" s="21" t="s">
        <v>26</v>
      </c>
      <c r="U25" s="1">
        <v>150</v>
      </c>
      <c r="V25" s="1">
        <v>35</v>
      </c>
      <c r="W25" s="45">
        <f t="shared" si="8"/>
        <v>44.222109392472248</v>
      </c>
      <c r="X25" s="46">
        <v>0</v>
      </c>
      <c r="Y25" s="46">
        <v>0</v>
      </c>
      <c r="Z25" s="1">
        <f t="shared" si="1"/>
        <v>0</v>
      </c>
      <c r="AA25" s="1">
        <f t="shared" si="2"/>
        <v>0</v>
      </c>
      <c r="AB25" s="54">
        <f t="shared" si="3"/>
        <v>0</v>
      </c>
    </row>
    <row r="26" spans="1:28">
      <c r="A26" s="1" t="s">
        <v>27</v>
      </c>
      <c r="B26" s="4" t="s">
        <v>6</v>
      </c>
      <c r="C26" s="3" t="s">
        <v>5</v>
      </c>
      <c r="D26" s="26"/>
      <c r="E26" s="26"/>
      <c r="F26" s="26"/>
      <c r="G26" s="26"/>
      <c r="H26" s="27"/>
      <c r="I26" s="15" t="s">
        <v>17</v>
      </c>
      <c r="J26" s="1" t="s">
        <v>27</v>
      </c>
      <c r="K26" s="1" t="s">
        <v>27</v>
      </c>
      <c r="L26" s="26"/>
      <c r="M26" s="26"/>
      <c r="N26" s="26"/>
      <c r="O26" s="26"/>
      <c r="P26" s="27"/>
      <c r="Q26" s="50"/>
      <c r="R26" s="26"/>
      <c r="S26" s="26"/>
      <c r="T26" s="22" t="s">
        <v>27</v>
      </c>
      <c r="U26" s="1">
        <v>0</v>
      </c>
      <c r="V26" s="1">
        <v>0</v>
      </c>
      <c r="W26" s="45">
        <f t="shared" si="8"/>
        <v>0</v>
      </c>
      <c r="X26" s="46">
        <v>0</v>
      </c>
      <c r="Y26" s="46">
        <v>0</v>
      </c>
      <c r="Z26" s="1"/>
      <c r="AA26" s="1"/>
      <c r="AB26" s="54"/>
    </row>
    <row r="27" spans="1:28">
      <c r="A27" s="1" t="s">
        <v>27</v>
      </c>
      <c r="B27" s="4" t="s">
        <v>6</v>
      </c>
      <c r="C27" s="4" t="s">
        <v>6</v>
      </c>
      <c r="D27" s="26"/>
      <c r="E27" s="26"/>
      <c r="F27" s="26"/>
      <c r="G27" s="26"/>
      <c r="H27" s="27"/>
      <c r="I27" s="1" t="s">
        <v>27</v>
      </c>
      <c r="J27" s="1" t="s">
        <v>27</v>
      </c>
      <c r="K27" s="1" t="s">
        <v>27</v>
      </c>
      <c r="L27" s="26"/>
      <c r="M27" s="26"/>
      <c r="N27" s="26"/>
      <c r="O27" s="26"/>
      <c r="P27" s="27"/>
      <c r="Q27" s="50"/>
      <c r="R27" s="26"/>
      <c r="S27" s="26"/>
      <c r="T27" s="16" t="s">
        <v>28</v>
      </c>
      <c r="U27" s="1">
        <v>-200</v>
      </c>
      <c r="V27" s="1">
        <v>0</v>
      </c>
      <c r="W27" s="45"/>
      <c r="X27" s="46">
        <v>11</v>
      </c>
      <c r="Y27" s="46">
        <v>11</v>
      </c>
      <c r="Z27" s="1">
        <f t="shared" si="1"/>
        <v>0</v>
      </c>
      <c r="AA27" s="1">
        <f t="shared" si="2"/>
        <v>1</v>
      </c>
      <c r="AB27" s="54">
        <f t="shared" si="3"/>
        <v>10</v>
      </c>
    </row>
    <row r="28" spans="1:28">
      <c r="A28" s="1" t="s">
        <v>27</v>
      </c>
      <c r="B28" s="4" t="s">
        <v>6</v>
      </c>
      <c r="C28" s="4" t="s">
        <v>6</v>
      </c>
      <c r="D28" s="26"/>
      <c r="E28" s="26"/>
      <c r="F28" s="26"/>
      <c r="G28" s="26"/>
      <c r="H28" s="27"/>
      <c r="I28" s="1" t="s">
        <v>27</v>
      </c>
      <c r="J28" s="1" t="s">
        <v>27</v>
      </c>
      <c r="K28" s="1" t="s">
        <v>27</v>
      </c>
      <c r="L28" s="26"/>
      <c r="M28" s="26"/>
      <c r="N28" s="26"/>
      <c r="O28" s="26"/>
      <c r="P28" s="27"/>
      <c r="Q28" s="50"/>
      <c r="R28" s="26"/>
      <c r="S28" s="26"/>
      <c r="T28" s="23" t="s">
        <v>29</v>
      </c>
      <c r="U28" s="1">
        <v>50</v>
      </c>
      <c r="V28" s="1">
        <v>520</v>
      </c>
      <c r="W28" s="45"/>
      <c r="X28" s="46">
        <v>3</v>
      </c>
      <c r="Y28" s="46">
        <v>3</v>
      </c>
      <c r="Z28" s="1">
        <f t="shared" si="1"/>
        <v>1</v>
      </c>
      <c r="AA28" s="1">
        <f t="shared" si="2"/>
        <v>0</v>
      </c>
      <c r="AB28" s="54">
        <f t="shared" si="3"/>
        <v>2</v>
      </c>
    </row>
    <row r="29" spans="1:28" ht="15.75" thickBot="1">
      <c r="A29" s="1" t="s">
        <v>27</v>
      </c>
      <c r="B29" s="3" t="s">
        <v>5</v>
      </c>
      <c r="C29" s="4" t="s">
        <v>6</v>
      </c>
      <c r="D29" s="26"/>
      <c r="E29" s="26"/>
      <c r="F29" s="26"/>
      <c r="G29" s="26"/>
      <c r="H29" s="27"/>
      <c r="I29" s="1" t="s">
        <v>27</v>
      </c>
      <c r="J29" s="1" t="s">
        <v>27</v>
      </c>
      <c r="K29" s="1" t="s">
        <v>27</v>
      </c>
      <c r="L29" s="26"/>
      <c r="M29" s="26"/>
      <c r="N29" s="26"/>
      <c r="O29" s="26"/>
      <c r="P29" s="27"/>
      <c r="Q29" s="56"/>
      <c r="R29" s="31"/>
      <c r="S29" s="31"/>
      <c r="T29" s="30"/>
      <c r="U29" s="30"/>
      <c r="V29" s="30"/>
      <c r="W29" s="30"/>
      <c r="X29" s="30"/>
      <c r="Y29" s="30"/>
      <c r="Z29" s="30"/>
      <c r="AA29" s="30"/>
      <c r="AB29" s="57"/>
    </row>
    <row r="30" spans="1:28">
      <c r="A30" s="1" t="s">
        <v>27</v>
      </c>
      <c r="B30" s="3" t="s">
        <v>5</v>
      </c>
      <c r="C30" s="4" t="s">
        <v>6</v>
      </c>
      <c r="D30" s="26"/>
      <c r="E30" s="26"/>
      <c r="F30" s="26"/>
      <c r="G30" s="26"/>
      <c r="H30" s="27"/>
      <c r="I30" s="1" t="s">
        <v>27</v>
      </c>
      <c r="J30" s="1" t="s">
        <v>27</v>
      </c>
      <c r="K30" s="1" t="s">
        <v>27</v>
      </c>
      <c r="L30" s="26"/>
      <c r="M30" s="26"/>
      <c r="N30" s="26"/>
      <c r="O30" s="26"/>
      <c r="P30" s="27"/>
    </row>
    <row r="31" spans="1:28">
      <c r="A31" s="1" t="s">
        <v>27</v>
      </c>
      <c r="B31" s="4" t="s">
        <v>6</v>
      </c>
      <c r="C31" s="4" t="s">
        <v>6</v>
      </c>
      <c r="D31" s="26"/>
      <c r="E31" s="26"/>
      <c r="F31" s="26"/>
      <c r="G31" s="26"/>
      <c r="H31" s="27"/>
      <c r="I31" s="1" t="s">
        <v>27</v>
      </c>
      <c r="J31" s="1" t="s">
        <v>27</v>
      </c>
      <c r="K31" s="1" t="s">
        <v>27</v>
      </c>
      <c r="L31" s="26"/>
      <c r="M31" s="26"/>
      <c r="N31" s="26"/>
      <c r="O31" s="26"/>
      <c r="P31" s="27"/>
      <c r="Y31">
        <f>SUM(Y3:Y28)</f>
        <v>1075</v>
      </c>
    </row>
    <row r="32" spans="1:28">
      <c r="A32" s="1" t="s">
        <v>27</v>
      </c>
      <c r="B32" s="4" t="s">
        <v>6</v>
      </c>
      <c r="C32" s="17" t="s">
        <v>20</v>
      </c>
      <c r="D32" s="26"/>
      <c r="E32" s="26"/>
      <c r="F32" s="26"/>
      <c r="G32" s="26"/>
      <c r="H32" s="27"/>
      <c r="I32" s="1" t="s">
        <v>27</v>
      </c>
      <c r="J32" s="1" t="s">
        <v>27</v>
      </c>
      <c r="K32" s="1" t="s">
        <v>27</v>
      </c>
      <c r="L32" s="26"/>
      <c r="M32" s="26"/>
      <c r="N32" s="26"/>
      <c r="O32" s="26"/>
      <c r="P32" s="27"/>
      <c r="Q32" t="s">
        <v>57</v>
      </c>
      <c r="R32">
        <v>1</v>
      </c>
      <c r="S32" t="s">
        <v>59</v>
      </c>
    </row>
    <row r="33" spans="1:19">
      <c r="A33" s="1" t="s">
        <v>27</v>
      </c>
      <c r="B33" s="4" t="s">
        <v>6</v>
      </c>
      <c r="C33" s="3" t="s">
        <v>5</v>
      </c>
      <c r="D33" s="26"/>
      <c r="E33" s="26"/>
      <c r="F33" s="26"/>
      <c r="G33" s="26"/>
      <c r="H33" s="27"/>
      <c r="I33" s="1" t="s">
        <v>27</v>
      </c>
      <c r="J33" s="1" t="s">
        <v>27</v>
      </c>
      <c r="K33" s="1" t="s">
        <v>27</v>
      </c>
      <c r="L33" s="26"/>
      <c r="M33" s="26"/>
      <c r="N33" s="26"/>
      <c r="O33" s="26"/>
      <c r="P33" s="27"/>
      <c r="R33">
        <v>2</v>
      </c>
      <c r="S33" t="s">
        <v>60</v>
      </c>
    </row>
    <row r="34" spans="1:19">
      <c r="A34" s="1" t="s">
        <v>27</v>
      </c>
      <c r="B34" s="17" t="s">
        <v>20</v>
      </c>
      <c r="C34" s="3" t="s">
        <v>5</v>
      </c>
      <c r="D34" s="26"/>
      <c r="E34" s="26"/>
      <c r="F34" s="26"/>
      <c r="G34" s="26"/>
      <c r="H34" s="27"/>
      <c r="I34" s="28" t="s">
        <v>27</v>
      </c>
      <c r="J34" s="1" t="s">
        <v>27</v>
      </c>
      <c r="K34" s="1" t="s">
        <v>27</v>
      </c>
      <c r="L34" s="26"/>
      <c r="M34" s="26"/>
      <c r="N34" s="26"/>
      <c r="O34" s="26"/>
      <c r="P34" s="27"/>
      <c r="R34">
        <v>3</v>
      </c>
      <c r="S34" t="s">
        <v>58</v>
      </c>
    </row>
    <row r="35" spans="1:19">
      <c r="A35" s="1" t="s">
        <v>27</v>
      </c>
      <c r="B35" s="3" t="s">
        <v>5</v>
      </c>
      <c r="C35" s="3" t="s">
        <v>5</v>
      </c>
      <c r="D35" s="26"/>
      <c r="E35" s="26"/>
      <c r="F35" s="26"/>
      <c r="G35" s="26"/>
      <c r="H35" s="27"/>
      <c r="I35" s="28" t="s">
        <v>27</v>
      </c>
      <c r="J35" s="1" t="s">
        <v>27</v>
      </c>
      <c r="K35" s="1" t="s">
        <v>27</v>
      </c>
      <c r="L35" s="26"/>
      <c r="M35" s="26"/>
      <c r="N35" s="26"/>
      <c r="O35" s="26"/>
      <c r="P35" s="27"/>
      <c r="R35">
        <v>4</v>
      </c>
      <c r="S35" t="s">
        <v>61</v>
      </c>
    </row>
    <row r="36" spans="1:19">
      <c r="A36" s="1" t="s">
        <v>27</v>
      </c>
      <c r="B36" s="3" t="s">
        <v>5</v>
      </c>
      <c r="C36" s="15" t="s">
        <v>17</v>
      </c>
      <c r="D36" s="26"/>
      <c r="E36" s="26"/>
      <c r="F36" s="26"/>
      <c r="G36" s="26"/>
      <c r="H36" s="27"/>
      <c r="I36" s="28" t="s">
        <v>27</v>
      </c>
      <c r="J36" s="1" t="s">
        <v>27</v>
      </c>
      <c r="K36" s="1" t="s">
        <v>27</v>
      </c>
      <c r="L36" s="26"/>
      <c r="M36" s="26"/>
      <c r="N36" s="26"/>
      <c r="O36" s="26"/>
      <c r="P36" s="27"/>
      <c r="S36" t="s">
        <v>62</v>
      </c>
    </row>
    <row r="37" spans="1:19">
      <c r="A37" s="1" t="s">
        <v>27</v>
      </c>
      <c r="B37" s="4" t="s">
        <v>6</v>
      </c>
      <c r="C37" s="3" t="s">
        <v>5</v>
      </c>
      <c r="D37" s="26"/>
      <c r="E37" s="26"/>
      <c r="F37" s="26"/>
      <c r="G37" s="26"/>
      <c r="H37" s="27"/>
      <c r="I37" s="28" t="s">
        <v>27</v>
      </c>
      <c r="J37" s="1" t="s">
        <v>27</v>
      </c>
      <c r="K37" s="1" t="s">
        <v>27</v>
      </c>
      <c r="L37" s="26"/>
      <c r="M37" s="26"/>
      <c r="N37" s="26"/>
      <c r="O37" s="26"/>
      <c r="P37" s="27"/>
      <c r="R37">
        <v>5</v>
      </c>
      <c r="S37" t="s">
        <v>63</v>
      </c>
    </row>
    <row r="38" spans="1:19">
      <c r="A38" s="1" t="s">
        <v>27</v>
      </c>
      <c r="B38" s="4" t="s">
        <v>6</v>
      </c>
      <c r="C38" s="3" t="s">
        <v>5</v>
      </c>
      <c r="D38" s="26"/>
      <c r="E38" s="26"/>
      <c r="F38" s="26"/>
      <c r="G38" s="26"/>
      <c r="H38" s="27"/>
      <c r="I38" s="28" t="s">
        <v>27</v>
      </c>
      <c r="J38" s="1" t="s">
        <v>27</v>
      </c>
      <c r="K38" s="1" t="s">
        <v>27</v>
      </c>
      <c r="L38" s="26"/>
      <c r="M38" s="26"/>
      <c r="N38" s="26"/>
      <c r="O38" s="26"/>
      <c r="P38" s="27"/>
      <c r="R38">
        <v>6</v>
      </c>
      <c r="S38" t="s">
        <v>64</v>
      </c>
    </row>
    <row r="39" spans="1:19">
      <c r="A39" s="1" t="s">
        <v>27</v>
      </c>
      <c r="B39" s="4" t="s">
        <v>6</v>
      </c>
      <c r="C39" s="4" t="s">
        <v>6</v>
      </c>
      <c r="D39" s="26"/>
      <c r="E39" s="26"/>
      <c r="F39" s="26"/>
      <c r="G39" s="26"/>
      <c r="H39" s="27"/>
      <c r="I39" s="28" t="s">
        <v>27</v>
      </c>
      <c r="J39" s="1" t="s">
        <v>27</v>
      </c>
      <c r="K39" s="1" t="s">
        <v>27</v>
      </c>
      <c r="L39" s="26"/>
      <c r="M39" s="26"/>
      <c r="N39" s="26"/>
      <c r="O39" s="26"/>
      <c r="P39" s="27"/>
      <c r="R39">
        <v>7</v>
      </c>
      <c r="S39" t="s">
        <v>65</v>
      </c>
    </row>
    <row r="40" spans="1:19">
      <c r="A40" s="1" t="s">
        <v>27</v>
      </c>
      <c r="B40" s="17" t="s">
        <v>19</v>
      </c>
      <c r="C40" s="4" t="s">
        <v>6</v>
      </c>
      <c r="D40" s="26"/>
      <c r="E40" s="26"/>
      <c r="F40" s="26"/>
      <c r="G40" s="26"/>
      <c r="H40" s="27"/>
      <c r="I40" s="28" t="s">
        <v>27</v>
      </c>
      <c r="J40" s="1" t="s">
        <v>27</v>
      </c>
      <c r="K40" s="1" t="s">
        <v>27</v>
      </c>
      <c r="L40" s="26"/>
      <c r="M40" s="26"/>
      <c r="N40" s="26"/>
      <c r="O40" s="26"/>
      <c r="P40" s="27"/>
    </row>
    <row r="41" spans="1:19">
      <c r="A41" s="1" t="s">
        <v>27</v>
      </c>
      <c r="B41" s="4" t="s">
        <v>6</v>
      </c>
      <c r="C41" s="9" t="s">
        <v>11</v>
      </c>
      <c r="D41" s="26"/>
      <c r="E41" s="26"/>
      <c r="F41" s="26"/>
      <c r="G41" s="26"/>
      <c r="H41" s="27"/>
      <c r="I41" s="28" t="s">
        <v>27</v>
      </c>
      <c r="J41" s="1" t="s">
        <v>27</v>
      </c>
      <c r="K41" s="1" t="s">
        <v>27</v>
      </c>
      <c r="L41" s="26"/>
      <c r="M41" s="26"/>
      <c r="N41" s="26"/>
      <c r="O41" s="26"/>
      <c r="P41" s="27"/>
    </row>
    <row r="42" spans="1:19">
      <c r="A42" s="1" t="s">
        <v>27</v>
      </c>
      <c r="B42" s="16" t="s">
        <v>18</v>
      </c>
      <c r="C42" s="4" t="s">
        <v>6</v>
      </c>
      <c r="D42" s="26"/>
      <c r="E42" s="26"/>
      <c r="F42" s="26"/>
      <c r="G42" s="26"/>
      <c r="H42" s="27"/>
      <c r="I42" s="28" t="s">
        <v>27</v>
      </c>
      <c r="J42" s="1" t="s">
        <v>27</v>
      </c>
      <c r="K42" s="1" t="s">
        <v>27</v>
      </c>
      <c r="L42" s="26"/>
      <c r="M42" s="26"/>
      <c r="N42" s="26"/>
      <c r="O42" s="26"/>
      <c r="P42" s="27"/>
    </row>
    <row r="43" spans="1:19">
      <c r="A43" s="1" t="s">
        <v>27</v>
      </c>
      <c r="B43" s="3" t="s">
        <v>5</v>
      </c>
      <c r="C43" s="17" t="s">
        <v>19</v>
      </c>
      <c r="D43" s="26"/>
      <c r="E43" s="26"/>
      <c r="F43" s="26"/>
      <c r="G43" s="26"/>
      <c r="H43" s="27"/>
      <c r="I43" s="28" t="s">
        <v>27</v>
      </c>
      <c r="J43" s="1" t="s">
        <v>27</v>
      </c>
      <c r="K43" s="1" t="s">
        <v>27</v>
      </c>
      <c r="L43" s="26"/>
      <c r="M43" s="26"/>
      <c r="N43" s="26"/>
      <c r="O43" s="26"/>
      <c r="P43" s="27"/>
    </row>
    <row r="44" spans="1:19">
      <c r="A44" s="1" t="s">
        <v>27</v>
      </c>
      <c r="B44" s="9" t="s">
        <v>11</v>
      </c>
      <c r="C44" s="4" t="s">
        <v>6</v>
      </c>
      <c r="D44" s="26"/>
      <c r="E44" s="26"/>
      <c r="F44" s="26"/>
      <c r="G44" s="26"/>
      <c r="H44" s="27"/>
      <c r="I44" s="28" t="s">
        <v>27</v>
      </c>
      <c r="J44" s="1" t="s">
        <v>27</v>
      </c>
      <c r="K44" s="1" t="s">
        <v>27</v>
      </c>
      <c r="L44" s="26"/>
      <c r="M44" s="26"/>
      <c r="N44" s="26"/>
      <c r="O44" s="26"/>
      <c r="P44" s="27"/>
    </row>
    <row r="45" spans="1:19">
      <c r="A45" s="1" t="s">
        <v>27</v>
      </c>
      <c r="B45" s="3" t="s">
        <v>5</v>
      </c>
      <c r="C45" s="4" t="s">
        <v>6</v>
      </c>
      <c r="D45" s="26"/>
      <c r="E45" s="26"/>
      <c r="F45" s="26"/>
      <c r="G45" s="26"/>
      <c r="H45" s="27"/>
      <c r="I45" s="28" t="s">
        <v>27</v>
      </c>
      <c r="J45" s="1" t="s">
        <v>27</v>
      </c>
      <c r="K45" s="1" t="s">
        <v>27</v>
      </c>
      <c r="L45" s="26"/>
      <c r="M45" s="26"/>
      <c r="N45" s="26"/>
      <c r="O45" s="26"/>
      <c r="P45" s="27"/>
    </row>
    <row r="46" spans="1:19">
      <c r="A46" s="1" t="s">
        <v>27</v>
      </c>
      <c r="B46" s="15" t="s">
        <v>17</v>
      </c>
      <c r="C46" s="4" t="s">
        <v>6</v>
      </c>
      <c r="D46" s="26"/>
      <c r="E46" s="26"/>
      <c r="F46" s="26"/>
      <c r="G46" s="26"/>
      <c r="H46" s="27"/>
      <c r="I46" s="28" t="s">
        <v>27</v>
      </c>
      <c r="J46" s="1" t="s">
        <v>27</v>
      </c>
      <c r="K46" s="1" t="s">
        <v>27</v>
      </c>
      <c r="L46" s="26"/>
      <c r="M46" s="26"/>
      <c r="N46" s="26"/>
      <c r="O46" s="26"/>
      <c r="P46" s="27"/>
    </row>
    <row r="47" spans="1:19">
      <c r="A47" s="1" t="s">
        <v>27</v>
      </c>
      <c r="B47" s="3" t="s">
        <v>5</v>
      </c>
      <c r="C47" s="4" t="s">
        <v>6</v>
      </c>
      <c r="D47" s="26"/>
      <c r="E47" s="26"/>
      <c r="F47" s="26"/>
      <c r="G47" s="26"/>
      <c r="H47" s="27"/>
      <c r="I47" s="28" t="s">
        <v>27</v>
      </c>
      <c r="J47" s="1" t="s">
        <v>27</v>
      </c>
      <c r="K47" s="1" t="s">
        <v>27</v>
      </c>
      <c r="L47" s="26"/>
      <c r="M47" s="26"/>
      <c r="N47" s="26"/>
      <c r="O47" s="26"/>
      <c r="P47" s="27"/>
    </row>
    <row r="48" spans="1:19">
      <c r="A48" s="1" t="s">
        <v>27</v>
      </c>
      <c r="B48" s="4" t="s">
        <v>6</v>
      </c>
      <c r="C48" s="16" t="s">
        <v>18</v>
      </c>
      <c r="D48" s="26"/>
      <c r="E48" s="26"/>
      <c r="F48" s="26"/>
      <c r="G48" s="26"/>
      <c r="H48" s="27"/>
      <c r="I48" s="28" t="s">
        <v>27</v>
      </c>
      <c r="J48" s="1" t="s">
        <v>27</v>
      </c>
      <c r="K48" s="1" t="s">
        <v>27</v>
      </c>
      <c r="L48" s="26"/>
      <c r="M48" s="26"/>
      <c r="N48" s="26"/>
      <c r="O48" s="26"/>
      <c r="P48" s="27"/>
    </row>
    <row r="49" spans="1:16">
      <c r="A49" s="1" t="s">
        <v>27</v>
      </c>
      <c r="B49" s="2" t="s">
        <v>4</v>
      </c>
      <c r="C49" s="4" t="s">
        <v>6</v>
      </c>
      <c r="D49" s="26"/>
      <c r="E49" s="26"/>
      <c r="F49" s="26"/>
      <c r="G49" s="26"/>
      <c r="H49" s="27"/>
      <c r="I49" s="28" t="s">
        <v>27</v>
      </c>
      <c r="J49" s="1" t="s">
        <v>27</v>
      </c>
      <c r="K49" s="1" t="s">
        <v>27</v>
      </c>
      <c r="L49" s="26"/>
      <c r="M49" s="26"/>
      <c r="N49" s="26"/>
      <c r="O49" s="26"/>
      <c r="P49" s="27"/>
    </row>
    <row r="50" spans="1:16">
      <c r="A50" s="1" t="s">
        <v>27</v>
      </c>
      <c r="B50" s="4" t="s">
        <v>6</v>
      </c>
      <c r="C50" s="4" t="s">
        <v>6</v>
      </c>
      <c r="D50" s="26"/>
      <c r="E50" s="26"/>
      <c r="F50" s="26"/>
      <c r="G50" s="26"/>
      <c r="H50" s="27"/>
      <c r="I50" s="28" t="s">
        <v>27</v>
      </c>
      <c r="J50" s="1" t="s">
        <v>27</v>
      </c>
      <c r="K50" s="1" t="s">
        <v>27</v>
      </c>
      <c r="L50" s="26"/>
      <c r="M50" s="26"/>
      <c r="N50" s="26"/>
      <c r="O50" s="26"/>
      <c r="P50" s="27"/>
    </row>
    <row r="51" spans="1:16">
      <c r="A51" s="1" t="s">
        <v>27</v>
      </c>
      <c r="B51" s="17" t="s">
        <v>20</v>
      </c>
      <c r="C51" s="17" t="s">
        <v>20</v>
      </c>
      <c r="D51" s="26"/>
      <c r="E51" s="26"/>
      <c r="F51" s="26"/>
      <c r="G51" s="26"/>
      <c r="H51" s="27"/>
      <c r="I51" s="28" t="s">
        <v>27</v>
      </c>
      <c r="J51" s="1" t="s">
        <v>27</v>
      </c>
      <c r="K51" s="1" t="s">
        <v>27</v>
      </c>
      <c r="L51" s="26"/>
      <c r="M51" s="26"/>
      <c r="N51" s="26"/>
      <c r="O51" s="26"/>
      <c r="P51" s="27"/>
    </row>
    <row r="52" spans="1:16">
      <c r="A52" s="1" t="s">
        <v>27</v>
      </c>
      <c r="B52" s="1" t="s">
        <v>27</v>
      </c>
      <c r="C52" s="1" t="s">
        <v>27</v>
      </c>
      <c r="D52" s="26"/>
      <c r="E52" s="26"/>
      <c r="F52" s="26"/>
      <c r="G52" s="26"/>
      <c r="H52" s="27"/>
      <c r="I52" s="28" t="s">
        <v>27</v>
      </c>
      <c r="J52" s="1" t="s">
        <v>27</v>
      </c>
      <c r="K52" s="1" t="s">
        <v>27</v>
      </c>
      <c r="L52" s="26"/>
      <c r="M52" s="26"/>
      <c r="N52" s="26"/>
      <c r="O52" s="26"/>
      <c r="P52" s="27"/>
    </row>
    <row r="53" spans="1:16">
      <c r="A53" s="1" t="s">
        <v>27</v>
      </c>
      <c r="B53" s="1" t="s">
        <v>27</v>
      </c>
      <c r="C53" s="1" t="s">
        <v>27</v>
      </c>
      <c r="D53" s="26"/>
      <c r="E53" s="26"/>
      <c r="F53" s="26"/>
      <c r="G53" s="26"/>
      <c r="H53" s="27"/>
      <c r="I53" s="28" t="s">
        <v>27</v>
      </c>
      <c r="J53" s="1" t="s">
        <v>27</v>
      </c>
      <c r="K53" s="1" t="s">
        <v>27</v>
      </c>
      <c r="L53" s="26"/>
      <c r="M53" s="26"/>
      <c r="N53" s="26"/>
      <c r="O53" s="26"/>
      <c r="P53" s="27"/>
    </row>
    <row r="54" spans="1:16">
      <c r="A54" s="1" t="s">
        <v>27</v>
      </c>
      <c r="B54" s="1" t="s">
        <v>27</v>
      </c>
      <c r="C54" s="1" t="s">
        <v>27</v>
      </c>
      <c r="D54" s="26"/>
      <c r="E54" s="26"/>
      <c r="F54" s="26"/>
      <c r="G54" s="26"/>
      <c r="H54" s="27"/>
      <c r="I54" s="28" t="s">
        <v>27</v>
      </c>
      <c r="J54" s="1" t="s">
        <v>27</v>
      </c>
      <c r="K54" s="1" t="s">
        <v>27</v>
      </c>
      <c r="L54" s="26"/>
      <c r="M54" s="26"/>
      <c r="N54" s="26"/>
      <c r="O54" s="26"/>
      <c r="P54" s="27"/>
    </row>
    <row r="55" spans="1:16">
      <c r="A55" s="1" t="s">
        <v>27</v>
      </c>
      <c r="B55" s="1" t="s">
        <v>27</v>
      </c>
      <c r="C55" s="1" t="s">
        <v>27</v>
      </c>
      <c r="D55" s="26"/>
      <c r="E55" s="26"/>
      <c r="F55" s="26"/>
      <c r="G55" s="26"/>
      <c r="H55" s="27"/>
      <c r="I55" s="28" t="s">
        <v>27</v>
      </c>
      <c r="J55" s="1" t="s">
        <v>27</v>
      </c>
      <c r="K55" s="1" t="s">
        <v>27</v>
      </c>
      <c r="L55" s="26"/>
      <c r="M55" s="26"/>
      <c r="N55" s="26"/>
      <c r="O55" s="26"/>
      <c r="P55" s="27"/>
    </row>
    <row r="56" spans="1:16">
      <c r="A56" s="28" t="s">
        <v>27</v>
      </c>
      <c r="B56" s="1" t="s">
        <v>27</v>
      </c>
      <c r="C56" s="1" t="s">
        <v>27</v>
      </c>
      <c r="D56" s="26"/>
      <c r="E56" s="26"/>
      <c r="F56" s="26"/>
      <c r="G56" s="26"/>
      <c r="H56" s="27"/>
      <c r="I56" s="28" t="s">
        <v>27</v>
      </c>
      <c r="J56" s="1" t="s">
        <v>27</v>
      </c>
      <c r="K56" s="1" t="s">
        <v>27</v>
      </c>
      <c r="L56" s="26"/>
      <c r="M56" s="26"/>
      <c r="N56" s="26"/>
      <c r="O56" s="26"/>
      <c r="P56" s="27"/>
    </row>
    <row r="57" spans="1:16">
      <c r="A57" s="28" t="s">
        <v>27</v>
      </c>
      <c r="B57" s="1" t="s">
        <v>27</v>
      </c>
      <c r="C57" s="1" t="s">
        <v>27</v>
      </c>
      <c r="D57" s="26"/>
      <c r="E57" s="26"/>
      <c r="F57" s="26"/>
      <c r="G57" s="26"/>
      <c r="H57" s="27"/>
      <c r="I57" s="28" t="s">
        <v>27</v>
      </c>
      <c r="J57" s="1" t="s">
        <v>27</v>
      </c>
      <c r="K57" s="1" t="s">
        <v>27</v>
      </c>
      <c r="L57" s="26"/>
      <c r="M57" s="26"/>
      <c r="N57" s="26"/>
      <c r="O57" s="26"/>
      <c r="P57" s="27"/>
    </row>
    <row r="58" spans="1:16">
      <c r="A58" s="28" t="s">
        <v>27</v>
      </c>
      <c r="B58" s="1" t="s">
        <v>27</v>
      </c>
      <c r="C58" s="1" t="s">
        <v>27</v>
      </c>
      <c r="D58" s="26"/>
      <c r="E58" s="26"/>
      <c r="F58" s="26"/>
      <c r="G58" s="26"/>
      <c r="H58" s="27"/>
      <c r="I58" s="28" t="s">
        <v>27</v>
      </c>
      <c r="J58" s="1" t="s">
        <v>27</v>
      </c>
      <c r="K58" s="1" t="s">
        <v>27</v>
      </c>
      <c r="L58" s="26"/>
      <c r="M58" s="26"/>
      <c r="N58" s="26"/>
      <c r="O58" s="26"/>
      <c r="P58" s="27"/>
    </row>
    <row r="59" spans="1:16">
      <c r="A59" s="28" t="s">
        <v>27</v>
      </c>
      <c r="B59" s="1" t="s">
        <v>27</v>
      </c>
      <c r="C59" s="1" t="s">
        <v>27</v>
      </c>
      <c r="D59" s="26"/>
      <c r="E59" s="26"/>
      <c r="F59" s="26"/>
      <c r="G59" s="26"/>
      <c r="H59" s="27"/>
      <c r="I59" s="28" t="s">
        <v>27</v>
      </c>
      <c r="J59" s="1" t="s">
        <v>27</v>
      </c>
      <c r="K59" s="1" t="s">
        <v>27</v>
      </c>
      <c r="L59" s="26"/>
      <c r="M59" s="26"/>
      <c r="N59" s="26"/>
      <c r="O59" s="26"/>
      <c r="P59" s="27"/>
    </row>
    <row r="60" spans="1:16">
      <c r="A60" s="28" t="s">
        <v>27</v>
      </c>
      <c r="B60" s="1" t="s">
        <v>27</v>
      </c>
      <c r="C60" s="1" t="s">
        <v>27</v>
      </c>
      <c r="D60" s="26"/>
      <c r="E60" s="26"/>
      <c r="F60" s="26"/>
      <c r="G60" s="26"/>
      <c r="H60" s="27"/>
      <c r="I60" s="28" t="s">
        <v>27</v>
      </c>
      <c r="J60" s="1" t="s">
        <v>27</v>
      </c>
      <c r="K60" s="1" t="s">
        <v>27</v>
      </c>
      <c r="L60" s="26"/>
      <c r="M60" s="26"/>
      <c r="N60" s="26"/>
      <c r="O60" s="26"/>
      <c r="P60" s="27"/>
    </row>
    <row r="61" spans="1:16">
      <c r="A61" s="28" t="s">
        <v>27</v>
      </c>
      <c r="B61" s="1" t="s">
        <v>27</v>
      </c>
      <c r="C61" s="1" t="s">
        <v>27</v>
      </c>
      <c r="D61" s="26"/>
      <c r="E61" s="26"/>
      <c r="F61" s="26"/>
      <c r="G61" s="26"/>
      <c r="H61" s="27"/>
      <c r="I61" s="28" t="s">
        <v>27</v>
      </c>
      <c r="J61" s="1" t="s">
        <v>27</v>
      </c>
      <c r="K61" s="1" t="s">
        <v>27</v>
      </c>
      <c r="L61" s="26"/>
      <c r="M61" s="26"/>
      <c r="N61" s="26"/>
      <c r="O61" s="26"/>
      <c r="P61" s="27"/>
    </row>
    <row r="62" spans="1:16">
      <c r="A62" s="28" t="s">
        <v>27</v>
      </c>
      <c r="B62" s="1" t="s">
        <v>27</v>
      </c>
      <c r="C62" s="1" t="s">
        <v>27</v>
      </c>
      <c r="D62" s="26"/>
      <c r="E62" s="26"/>
      <c r="F62" s="26"/>
      <c r="G62" s="26"/>
      <c r="H62" s="27"/>
      <c r="I62" s="28" t="s">
        <v>27</v>
      </c>
      <c r="J62" s="1" t="s">
        <v>27</v>
      </c>
      <c r="K62" s="1" t="s">
        <v>27</v>
      </c>
      <c r="L62" s="26"/>
      <c r="M62" s="26"/>
      <c r="N62" s="26"/>
      <c r="O62" s="26"/>
      <c r="P62" s="27"/>
    </row>
    <row r="63" spans="1:16">
      <c r="A63" s="28" t="s">
        <v>27</v>
      </c>
      <c r="B63" s="1" t="s">
        <v>27</v>
      </c>
      <c r="C63" s="1" t="s">
        <v>27</v>
      </c>
      <c r="D63" s="26"/>
      <c r="E63" s="26"/>
      <c r="F63" s="26"/>
      <c r="G63" s="26"/>
      <c r="H63" s="27"/>
      <c r="I63" s="28" t="s">
        <v>27</v>
      </c>
      <c r="J63" s="1" t="s">
        <v>27</v>
      </c>
      <c r="K63" s="1" t="s">
        <v>27</v>
      </c>
      <c r="L63" s="26"/>
      <c r="M63" s="26"/>
      <c r="N63" s="26"/>
      <c r="O63" s="26"/>
      <c r="P63" s="27"/>
    </row>
    <row r="64" spans="1:16">
      <c r="A64" s="28" t="s">
        <v>27</v>
      </c>
      <c r="B64" s="1" t="s">
        <v>27</v>
      </c>
      <c r="C64" s="1" t="s">
        <v>27</v>
      </c>
      <c r="D64" s="26"/>
      <c r="E64" s="26"/>
      <c r="F64" s="26"/>
      <c r="G64" s="26"/>
      <c r="H64" s="27"/>
      <c r="I64" s="28" t="s">
        <v>27</v>
      </c>
      <c r="J64" s="1" t="s">
        <v>27</v>
      </c>
      <c r="K64" s="1" t="s">
        <v>27</v>
      </c>
      <c r="L64" s="26"/>
      <c r="M64" s="26"/>
      <c r="N64" s="26"/>
      <c r="O64" s="26"/>
      <c r="P64" s="27"/>
    </row>
    <row r="65" spans="1:16">
      <c r="A65" s="28" t="s">
        <v>27</v>
      </c>
      <c r="B65" s="1" t="s">
        <v>27</v>
      </c>
      <c r="C65" s="1" t="s">
        <v>27</v>
      </c>
      <c r="D65" s="26"/>
      <c r="E65" s="26"/>
      <c r="F65" s="26"/>
      <c r="G65" s="26"/>
      <c r="H65" s="27"/>
      <c r="I65" s="28" t="s">
        <v>27</v>
      </c>
      <c r="J65" s="1" t="s">
        <v>27</v>
      </c>
      <c r="K65" s="1" t="s">
        <v>27</v>
      </c>
      <c r="L65" s="26"/>
      <c r="M65" s="26"/>
      <c r="N65" s="26"/>
      <c r="O65" s="26"/>
      <c r="P65" s="27"/>
    </row>
    <row r="66" spans="1:16">
      <c r="A66" s="28" t="s">
        <v>27</v>
      </c>
      <c r="B66" s="1" t="s">
        <v>27</v>
      </c>
      <c r="C66" s="1" t="s">
        <v>27</v>
      </c>
      <c r="D66" s="26"/>
      <c r="E66" s="26"/>
      <c r="F66" s="26"/>
      <c r="G66" s="26"/>
      <c r="H66" s="27"/>
      <c r="I66" s="28" t="s">
        <v>27</v>
      </c>
      <c r="J66" s="1" t="s">
        <v>27</v>
      </c>
      <c r="K66" s="1" t="s">
        <v>27</v>
      </c>
      <c r="L66" s="26"/>
      <c r="M66" s="26"/>
      <c r="N66" s="26"/>
      <c r="O66" s="26"/>
      <c r="P66" s="27"/>
    </row>
    <row r="67" spans="1:16">
      <c r="A67" s="28" t="s">
        <v>27</v>
      </c>
      <c r="B67" s="1" t="s">
        <v>27</v>
      </c>
      <c r="C67" s="1" t="s">
        <v>27</v>
      </c>
      <c r="D67" s="26"/>
      <c r="E67" s="26"/>
      <c r="F67" s="26"/>
      <c r="G67" s="26"/>
      <c r="H67" s="27"/>
      <c r="I67" s="28" t="s">
        <v>27</v>
      </c>
      <c r="J67" s="1" t="s">
        <v>27</v>
      </c>
      <c r="K67" s="1" t="s">
        <v>27</v>
      </c>
      <c r="L67" s="26"/>
      <c r="M67" s="26"/>
      <c r="N67" s="26"/>
      <c r="O67" s="26"/>
      <c r="P67" s="27"/>
    </row>
    <row r="68" spans="1:16">
      <c r="A68" s="28" t="s">
        <v>27</v>
      </c>
      <c r="B68" s="1" t="s">
        <v>27</v>
      </c>
      <c r="C68" s="1" t="s">
        <v>27</v>
      </c>
      <c r="D68" s="26"/>
      <c r="E68" s="26"/>
      <c r="F68" s="26"/>
      <c r="G68" s="26"/>
      <c r="H68" s="27"/>
      <c r="I68" s="28" t="s">
        <v>27</v>
      </c>
      <c r="J68" s="1" t="s">
        <v>27</v>
      </c>
      <c r="K68" s="1" t="s">
        <v>27</v>
      </c>
      <c r="L68" s="26"/>
      <c r="M68" s="26"/>
      <c r="N68" s="26"/>
      <c r="O68" s="26"/>
      <c r="P68" s="27"/>
    </row>
    <row r="69" spans="1:16">
      <c r="A69" s="28" t="s">
        <v>27</v>
      </c>
      <c r="B69" s="1" t="s">
        <v>27</v>
      </c>
      <c r="C69" s="1" t="s">
        <v>27</v>
      </c>
      <c r="D69" s="26"/>
      <c r="E69" s="26"/>
      <c r="F69" s="26"/>
      <c r="G69" s="26"/>
      <c r="H69" s="27"/>
      <c r="I69" s="28" t="s">
        <v>27</v>
      </c>
      <c r="J69" s="1" t="s">
        <v>27</v>
      </c>
      <c r="K69" s="1" t="s">
        <v>27</v>
      </c>
      <c r="L69" s="26"/>
      <c r="M69" s="26"/>
      <c r="N69" s="26"/>
      <c r="O69" s="26"/>
      <c r="P69" s="27"/>
    </row>
    <row r="70" spans="1:16">
      <c r="A70" s="28" t="s">
        <v>27</v>
      </c>
      <c r="B70" s="1" t="s">
        <v>27</v>
      </c>
      <c r="C70" s="1" t="s">
        <v>27</v>
      </c>
      <c r="D70" s="26"/>
      <c r="E70" s="26"/>
      <c r="F70" s="26"/>
      <c r="G70" s="26"/>
      <c r="H70" s="27"/>
      <c r="I70" s="28" t="s">
        <v>27</v>
      </c>
      <c r="J70" s="1" t="s">
        <v>27</v>
      </c>
      <c r="K70" s="1" t="s">
        <v>27</v>
      </c>
      <c r="L70" s="26"/>
      <c r="M70" s="26"/>
      <c r="N70" s="26"/>
      <c r="O70" s="26"/>
      <c r="P70" s="27"/>
    </row>
    <row r="71" spans="1:16">
      <c r="A71" s="28" t="s">
        <v>27</v>
      </c>
      <c r="B71" s="1" t="s">
        <v>27</v>
      </c>
      <c r="C71" s="1" t="s">
        <v>27</v>
      </c>
      <c r="D71" s="26"/>
      <c r="E71" s="26"/>
      <c r="F71" s="26"/>
      <c r="G71" s="26"/>
      <c r="H71" s="27"/>
      <c r="I71" s="28" t="s">
        <v>27</v>
      </c>
      <c r="J71" s="1" t="s">
        <v>27</v>
      </c>
      <c r="K71" s="1" t="s">
        <v>27</v>
      </c>
      <c r="L71" s="26"/>
      <c r="M71" s="26"/>
      <c r="N71" s="26"/>
      <c r="O71" s="26"/>
      <c r="P71" s="27"/>
    </row>
    <row r="72" spans="1:16">
      <c r="A72" s="28" t="s">
        <v>27</v>
      </c>
      <c r="B72" s="1" t="s">
        <v>27</v>
      </c>
      <c r="C72" s="1" t="s">
        <v>27</v>
      </c>
      <c r="D72" s="26"/>
      <c r="E72" s="26"/>
      <c r="F72" s="26"/>
      <c r="G72" s="26"/>
      <c r="H72" s="27"/>
      <c r="I72" s="28" t="s">
        <v>27</v>
      </c>
      <c r="J72" s="1" t="s">
        <v>27</v>
      </c>
      <c r="K72" s="1" t="s">
        <v>27</v>
      </c>
      <c r="L72" s="26"/>
      <c r="M72" s="26"/>
      <c r="N72" s="26"/>
      <c r="O72" s="26"/>
      <c r="P72" s="27"/>
    </row>
    <row r="73" spans="1:16">
      <c r="A73" s="28" t="s">
        <v>27</v>
      </c>
      <c r="B73" s="1" t="s">
        <v>27</v>
      </c>
      <c r="C73" s="1" t="s">
        <v>27</v>
      </c>
      <c r="D73" s="26"/>
      <c r="E73" s="26"/>
      <c r="F73" s="26"/>
      <c r="G73" s="26"/>
      <c r="H73" s="27"/>
      <c r="I73" s="28" t="s">
        <v>27</v>
      </c>
      <c r="J73" s="1" t="s">
        <v>27</v>
      </c>
      <c r="K73" s="1" t="s">
        <v>27</v>
      </c>
      <c r="L73" s="26"/>
      <c r="M73" s="26"/>
      <c r="N73" s="26"/>
      <c r="O73" s="26"/>
      <c r="P73" s="27"/>
    </row>
    <row r="74" spans="1:16">
      <c r="A74" s="28" t="s">
        <v>27</v>
      </c>
      <c r="B74" s="1" t="s">
        <v>27</v>
      </c>
      <c r="C74" s="1" t="s">
        <v>27</v>
      </c>
      <c r="D74" s="26"/>
      <c r="E74" s="26"/>
      <c r="F74" s="26"/>
      <c r="G74" s="26"/>
      <c r="H74" s="27"/>
      <c r="I74" s="28" t="s">
        <v>27</v>
      </c>
      <c r="J74" s="1" t="s">
        <v>27</v>
      </c>
      <c r="K74" s="1" t="s">
        <v>27</v>
      </c>
      <c r="L74" s="26"/>
      <c r="M74" s="26"/>
      <c r="N74" s="26"/>
      <c r="O74" s="26"/>
      <c r="P74" s="27"/>
    </row>
    <row r="75" spans="1:16">
      <c r="A75" s="28" t="s">
        <v>27</v>
      </c>
      <c r="B75" s="1" t="s">
        <v>27</v>
      </c>
      <c r="C75" s="1" t="s">
        <v>27</v>
      </c>
      <c r="D75" s="26"/>
      <c r="E75" s="26"/>
      <c r="F75" s="26"/>
      <c r="G75" s="26"/>
      <c r="H75" s="27"/>
      <c r="I75" s="28" t="s">
        <v>27</v>
      </c>
      <c r="J75" s="1" t="s">
        <v>27</v>
      </c>
      <c r="K75" s="1" t="s">
        <v>27</v>
      </c>
      <c r="L75" s="26"/>
      <c r="M75" s="26"/>
      <c r="N75" s="26"/>
      <c r="O75" s="26"/>
      <c r="P75" s="27"/>
    </row>
    <row r="76" spans="1:16">
      <c r="A76" s="28" t="s">
        <v>27</v>
      </c>
      <c r="B76" s="1" t="s">
        <v>27</v>
      </c>
      <c r="C76" s="1" t="s">
        <v>27</v>
      </c>
      <c r="D76" s="26"/>
      <c r="E76" s="26"/>
      <c r="F76" s="26"/>
      <c r="G76" s="26"/>
      <c r="H76" s="27"/>
      <c r="I76" s="28" t="s">
        <v>27</v>
      </c>
      <c r="J76" s="1" t="s">
        <v>27</v>
      </c>
      <c r="K76" s="1" t="s">
        <v>27</v>
      </c>
      <c r="L76" s="26"/>
      <c r="M76" s="26"/>
      <c r="N76" s="26"/>
      <c r="O76" s="26"/>
      <c r="P76" s="27"/>
    </row>
    <row r="77" spans="1:16">
      <c r="A77" s="28" t="s">
        <v>27</v>
      </c>
      <c r="B77" s="1" t="s">
        <v>27</v>
      </c>
      <c r="C77" s="1" t="s">
        <v>27</v>
      </c>
      <c r="D77" s="26"/>
      <c r="E77" s="26"/>
      <c r="F77" s="26"/>
      <c r="G77" s="26"/>
      <c r="H77" s="27"/>
      <c r="I77" s="28" t="s">
        <v>27</v>
      </c>
      <c r="J77" s="1" t="s">
        <v>27</v>
      </c>
      <c r="K77" s="1" t="s">
        <v>27</v>
      </c>
      <c r="L77" s="26"/>
      <c r="M77" s="26"/>
      <c r="N77" s="26"/>
      <c r="O77" s="26"/>
      <c r="P77" s="27"/>
    </row>
    <row r="78" spans="1:16">
      <c r="A78" s="28" t="s">
        <v>27</v>
      </c>
      <c r="B78" s="1" t="s">
        <v>27</v>
      </c>
      <c r="C78" s="1" t="s">
        <v>27</v>
      </c>
      <c r="D78" s="26"/>
      <c r="E78" s="26"/>
      <c r="F78" s="26"/>
      <c r="G78" s="26"/>
      <c r="H78" s="27"/>
      <c r="I78" s="28" t="s">
        <v>27</v>
      </c>
      <c r="J78" s="1" t="s">
        <v>27</v>
      </c>
      <c r="K78" s="1" t="s">
        <v>27</v>
      </c>
      <c r="L78" s="26"/>
      <c r="M78" s="26"/>
      <c r="N78" s="26"/>
      <c r="O78" s="26"/>
      <c r="P78" s="27"/>
    </row>
    <row r="79" spans="1:16">
      <c r="A79" s="28" t="s">
        <v>27</v>
      </c>
      <c r="B79" s="1" t="s">
        <v>27</v>
      </c>
      <c r="C79" s="1" t="s">
        <v>27</v>
      </c>
      <c r="D79" s="26"/>
      <c r="E79" s="26"/>
      <c r="F79" s="26"/>
      <c r="G79" s="26"/>
      <c r="H79" s="27"/>
      <c r="I79" s="28" t="s">
        <v>27</v>
      </c>
      <c r="J79" s="1" t="s">
        <v>27</v>
      </c>
      <c r="K79" s="1" t="s">
        <v>27</v>
      </c>
      <c r="L79" s="26"/>
      <c r="M79" s="26"/>
      <c r="N79" s="26"/>
      <c r="O79" s="26"/>
      <c r="P79" s="27"/>
    </row>
    <row r="80" spans="1:16">
      <c r="A80" s="28" t="s">
        <v>27</v>
      </c>
      <c r="B80" s="1" t="s">
        <v>27</v>
      </c>
      <c r="C80" s="1" t="s">
        <v>27</v>
      </c>
      <c r="D80" s="26"/>
      <c r="E80" s="26"/>
      <c r="F80" s="26"/>
      <c r="G80" s="26"/>
      <c r="H80" s="27"/>
      <c r="I80" s="28" t="s">
        <v>27</v>
      </c>
      <c r="J80" s="1" t="s">
        <v>27</v>
      </c>
      <c r="K80" s="1" t="s">
        <v>27</v>
      </c>
      <c r="L80" s="26"/>
      <c r="M80" s="26"/>
      <c r="N80" s="26"/>
      <c r="O80" s="26"/>
      <c r="P80" s="27"/>
    </row>
    <row r="81" spans="1:16">
      <c r="A81" s="28" t="s">
        <v>27</v>
      </c>
      <c r="B81" s="1" t="s">
        <v>27</v>
      </c>
      <c r="C81" s="1" t="s">
        <v>27</v>
      </c>
      <c r="D81" s="26"/>
      <c r="E81" s="26"/>
      <c r="F81" s="26"/>
      <c r="G81" s="26"/>
      <c r="H81" s="27"/>
      <c r="I81" s="28" t="s">
        <v>27</v>
      </c>
      <c r="J81" s="1" t="s">
        <v>27</v>
      </c>
      <c r="K81" s="1" t="s">
        <v>27</v>
      </c>
      <c r="L81" s="26"/>
      <c r="M81" s="26"/>
      <c r="N81" s="26"/>
      <c r="O81" s="26"/>
      <c r="P81" s="27"/>
    </row>
    <row r="82" spans="1:16">
      <c r="A82" s="28" t="s">
        <v>27</v>
      </c>
      <c r="B82" s="1" t="s">
        <v>27</v>
      </c>
      <c r="C82" s="1" t="s">
        <v>27</v>
      </c>
      <c r="D82" s="26"/>
      <c r="E82" s="26"/>
      <c r="F82" s="26"/>
      <c r="G82" s="26"/>
      <c r="H82" s="27"/>
      <c r="I82" s="28" t="s">
        <v>27</v>
      </c>
      <c r="J82" s="1" t="s">
        <v>27</v>
      </c>
      <c r="K82" s="1" t="s">
        <v>27</v>
      </c>
      <c r="L82" s="26"/>
      <c r="M82" s="26"/>
      <c r="N82" s="26"/>
      <c r="O82" s="26"/>
      <c r="P82" s="27"/>
    </row>
    <row r="83" spans="1:16">
      <c r="A83" s="28" t="s">
        <v>27</v>
      </c>
      <c r="B83" s="1" t="s">
        <v>27</v>
      </c>
      <c r="C83" s="1" t="s">
        <v>27</v>
      </c>
      <c r="D83" s="26"/>
      <c r="E83" s="26"/>
      <c r="F83" s="26"/>
      <c r="G83" s="26"/>
      <c r="H83" s="27"/>
      <c r="I83" s="28" t="s">
        <v>27</v>
      </c>
      <c r="J83" s="1" t="s">
        <v>27</v>
      </c>
      <c r="K83" s="1" t="s">
        <v>27</v>
      </c>
      <c r="L83" s="26"/>
      <c r="M83" s="26"/>
      <c r="N83" s="26"/>
      <c r="O83" s="26"/>
      <c r="P83" s="27"/>
    </row>
    <row r="84" spans="1:16">
      <c r="A84" s="28" t="s">
        <v>27</v>
      </c>
      <c r="B84" s="1" t="s">
        <v>27</v>
      </c>
      <c r="C84" s="1" t="s">
        <v>27</v>
      </c>
      <c r="D84" s="26"/>
      <c r="E84" s="26"/>
      <c r="F84" s="26"/>
      <c r="G84" s="26"/>
      <c r="H84" s="27"/>
      <c r="I84" s="28" t="s">
        <v>27</v>
      </c>
      <c r="J84" s="1" t="s">
        <v>27</v>
      </c>
      <c r="K84" s="1" t="s">
        <v>27</v>
      </c>
      <c r="L84" s="26"/>
      <c r="M84" s="26"/>
      <c r="N84" s="26"/>
      <c r="O84" s="26"/>
      <c r="P84" s="27"/>
    </row>
    <row r="85" spans="1:16">
      <c r="A85" s="28" t="s">
        <v>27</v>
      </c>
      <c r="B85" s="1" t="s">
        <v>27</v>
      </c>
      <c r="C85" s="1" t="s">
        <v>27</v>
      </c>
      <c r="D85" s="26"/>
      <c r="E85" s="26"/>
      <c r="F85" s="26"/>
      <c r="G85" s="26"/>
      <c r="H85" s="27"/>
      <c r="I85" s="28" t="s">
        <v>27</v>
      </c>
      <c r="J85" s="1" t="s">
        <v>27</v>
      </c>
      <c r="K85" s="1" t="s">
        <v>27</v>
      </c>
      <c r="L85" s="26"/>
      <c r="M85" s="26"/>
      <c r="N85" s="26"/>
      <c r="O85" s="26"/>
      <c r="P85" s="27"/>
    </row>
    <row r="86" spans="1:16">
      <c r="A86" s="28" t="s">
        <v>27</v>
      </c>
      <c r="B86" s="1" t="s">
        <v>27</v>
      </c>
      <c r="C86" s="1" t="s">
        <v>27</v>
      </c>
      <c r="D86" s="26"/>
      <c r="E86" s="26"/>
      <c r="F86" s="26"/>
      <c r="G86" s="26"/>
      <c r="H86" s="27"/>
      <c r="I86" s="28" t="s">
        <v>27</v>
      </c>
      <c r="J86" s="1" t="s">
        <v>27</v>
      </c>
      <c r="K86" s="1" t="s">
        <v>27</v>
      </c>
      <c r="L86" s="26"/>
      <c r="M86" s="26"/>
      <c r="N86" s="26"/>
      <c r="O86" s="26"/>
      <c r="P86" s="27"/>
    </row>
    <row r="87" spans="1:16">
      <c r="A87" s="28" t="s">
        <v>27</v>
      </c>
      <c r="B87" s="1" t="s">
        <v>27</v>
      </c>
      <c r="C87" s="1" t="s">
        <v>27</v>
      </c>
      <c r="D87" s="26"/>
      <c r="E87" s="26"/>
      <c r="F87" s="26"/>
      <c r="G87" s="26"/>
      <c r="H87" s="27"/>
      <c r="I87" s="28" t="s">
        <v>27</v>
      </c>
      <c r="J87" s="1" t="s">
        <v>27</v>
      </c>
      <c r="K87" s="1" t="s">
        <v>27</v>
      </c>
      <c r="L87" s="26"/>
      <c r="M87" s="26"/>
      <c r="N87" s="26"/>
      <c r="O87" s="26"/>
      <c r="P87" s="27"/>
    </row>
    <row r="88" spans="1:16">
      <c r="A88" s="28" t="s">
        <v>27</v>
      </c>
      <c r="B88" s="1" t="s">
        <v>27</v>
      </c>
      <c r="C88" s="1" t="s">
        <v>27</v>
      </c>
      <c r="D88" s="26"/>
      <c r="E88" s="26"/>
      <c r="F88" s="26"/>
      <c r="G88" s="26"/>
      <c r="H88" s="27"/>
      <c r="I88" s="28" t="s">
        <v>27</v>
      </c>
      <c r="J88" s="1" t="s">
        <v>27</v>
      </c>
      <c r="K88" s="1" t="s">
        <v>27</v>
      </c>
      <c r="L88" s="26"/>
      <c r="M88" s="26"/>
      <c r="N88" s="26"/>
      <c r="O88" s="26"/>
      <c r="P88" s="27"/>
    </row>
    <row r="89" spans="1:16">
      <c r="A89" s="28" t="s">
        <v>27</v>
      </c>
      <c r="B89" s="1" t="s">
        <v>27</v>
      </c>
      <c r="C89" s="1" t="s">
        <v>27</v>
      </c>
      <c r="D89" s="26"/>
      <c r="E89" s="26"/>
      <c r="F89" s="26"/>
      <c r="G89" s="26"/>
      <c r="H89" s="27"/>
      <c r="I89" s="28" t="s">
        <v>27</v>
      </c>
      <c r="J89" s="1" t="s">
        <v>27</v>
      </c>
      <c r="K89" s="1" t="s">
        <v>27</v>
      </c>
      <c r="L89" s="26"/>
      <c r="M89" s="26"/>
      <c r="N89" s="26"/>
      <c r="O89" s="26"/>
      <c r="P89" s="27"/>
    </row>
    <row r="90" spans="1:16">
      <c r="A90" s="28" t="s">
        <v>27</v>
      </c>
      <c r="B90" s="1" t="s">
        <v>27</v>
      </c>
      <c r="C90" s="1" t="s">
        <v>27</v>
      </c>
      <c r="D90" s="26"/>
      <c r="E90" s="26"/>
      <c r="F90" s="26"/>
      <c r="G90" s="26"/>
      <c r="H90" s="27"/>
      <c r="I90" s="28" t="s">
        <v>27</v>
      </c>
      <c r="J90" s="1" t="s">
        <v>27</v>
      </c>
      <c r="K90" s="1" t="s">
        <v>27</v>
      </c>
      <c r="L90" s="26"/>
      <c r="M90" s="26"/>
      <c r="N90" s="26"/>
      <c r="O90" s="26"/>
      <c r="P90" s="27"/>
    </row>
    <row r="91" spans="1:16">
      <c r="A91" s="28" t="s">
        <v>27</v>
      </c>
      <c r="B91" s="1" t="s">
        <v>27</v>
      </c>
      <c r="C91" s="1" t="s">
        <v>27</v>
      </c>
      <c r="D91" s="26"/>
      <c r="E91" s="26"/>
      <c r="F91" s="26"/>
      <c r="G91" s="26"/>
      <c r="H91" s="27"/>
      <c r="I91" s="28" t="s">
        <v>27</v>
      </c>
      <c r="J91" s="1" t="s">
        <v>27</v>
      </c>
      <c r="K91" s="1" t="s">
        <v>27</v>
      </c>
      <c r="L91" s="26"/>
      <c r="M91" s="26"/>
      <c r="N91" s="26"/>
      <c r="O91" s="26"/>
      <c r="P91" s="27"/>
    </row>
    <row r="92" spans="1:16">
      <c r="A92" s="28" t="s">
        <v>27</v>
      </c>
      <c r="B92" s="1" t="s">
        <v>27</v>
      </c>
      <c r="C92" s="1" t="s">
        <v>27</v>
      </c>
      <c r="D92" s="26"/>
      <c r="E92" s="26"/>
      <c r="F92" s="26"/>
      <c r="G92" s="26"/>
      <c r="H92" s="27"/>
      <c r="I92" s="28" t="s">
        <v>27</v>
      </c>
      <c r="J92" s="1" t="s">
        <v>27</v>
      </c>
      <c r="K92" s="1" t="s">
        <v>27</v>
      </c>
      <c r="L92" s="26"/>
      <c r="M92" s="26"/>
      <c r="N92" s="26"/>
      <c r="O92" s="26"/>
      <c r="P92" s="27"/>
    </row>
    <row r="93" spans="1:16">
      <c r="A93" s="28" t="s">
        <v>27</v>
      </c>
      <c r="B93" s="1" t="s">
        <v>27</v>
      </c>
      <c r="C93" s="1" t="s">
        <v>27</v>
      </c>
      <c r="D93" s="26"/>
      <c r="E93" s="26"/>
      <c r="F93" s="26"/>
      <c r="G93" s="26"/>
      <c r="H93" s="27"/>
      <c r="I93" s="28" t="s">
        <v>27</v>
      </c>
      <c r="J93" s="1" t="s">
        <v>27</v>
      </c>
      <c r="K93" s="1" t="s">
        <v>27</v>
      </c>
      <c r="L93" s="26"/>
      <c r="M93" s="26"/>
      <c r="N93" s="26"/>
      <c r="O93" s="26"/>
      <c r="P93" s="27"/>
    </row>
    <row r="94" spans="1:16">
      <c r="A94" s="28" t="s">
        <v>27</v>
      </c>
      <c r="B94" s="1" t="s">
        <v>27</v>
      </c>
      <c r="C94" s="1" t="s">
        <v>27</v>
      </c>
      <c r="D94" s="26"/>
      <c r="E94" s="26"/>
      <c r="F94" s="26"/>
      <c r="G94" s="26"/>
      <c r="H94" s="27"/>
      <c r="I94" s="28" t="s">
        <v>27</v>
      </c>
      <c r="J94" s="1" t="s">
        <v>27</v>
      </c>
      <c r="K94" s="1" t="s">
        <v>27</v>
      </c>
      <c r="L94" s="26"/>
      <c r="M94" s="26"/>
      <c r="N94" s="26"/>
      <c r="O94" s="26"/>
      <c r="P94" s="27"/>
    </row>
    <row r="95" spans="1:16">
      <c r="A95" s="28" t="s">
        <v>27</v>
      </c>
      <c r="B95" s="1" t="s">
        <v>27</v>
      </c>
      <c r="C95" s="1" t="s">
        <v>27</v>
      </c>
      <c r="D95" s="26"/>
      <c r="E95" s="26"/>
      <c r="F95" s="26"/>
      <c r="G95" s="26"/>
      <c r="H95" s="27"/>
      <c r="I95" s="28" t="s">
        <v>27</v>
      </c>
      <c r="J95" s="1" t="s">
        <v>27</v>
      </c>
      <c r="K95" s="1" t="s">
        <v>27</v>
      </c>
      <c r="L95" s="26"/>
      <c r="M95" s="26"/>
      <c r="N95" s="26"/>
      <c r="O95" s="26"/>
      <c r="P95" s="27"/>
    </row>
    <row r="96" spans="1:16">
      <c r="A96" s="28" t="s">
        <v>27</v>
      </c>
      <c r="B96" s="1" t="s">
        <v>27</v>
      </c>
      <c r="C96" s="1" t="s">
        <v>27</v>
      </c>
      <c r="D96" s="26"/>
      <c r="E96" s="26"/>
      <c r="F96" s="26"/>
      <c r="G96" s="26"/>
      <c r="H96" s="27"/>
      <c r="I96" s="28" t="s">
        <v>27</v>
      </c>
      <c r="J96" s="1" t="s">
        <v>27</v>
      </c>
      <c r="K96" s="1" t="s">
        <v>27</v>
      </c>
      <c r="L96" s="26"/>
      <c r="M96" s="26"/>
      <c r="N96" s="26"/>
      <c r="O96" s="26"/>
      <c r="P96" s="27"/>
    </row>
    <row r="97" spans="1:16">
      <c r="A97" s="28" t="s">
        <v>27</v>
      </c>
      <c r="B97" s="1" t="s">
        <v>27</v>
      </c>
      <c r="C97" s="1" t="s">
        <v>27</v>
      </c>
      <c r="D97" s="26"/>
      <c r="E97" s="26"/>
      <c r="F97" s="26"/>
      <c r="G97" s="26"/>
      <c r="H97" s="27"/>
      <c r="I97" s="28" t="s">
        <v>27</v>
      </c>
      <c r="J97" s="1" t="s">
        <v>27</v>
      </c>
      <c r="K97" s="1" t="s">
        <v>27</v>
      </c>
      <c r="L97" s="26"/>
      <c r="M97" s="26"/>
      <c r="N97" s="26"/>
      <c r="O97" s="26"/>
      <c r="P97" s="27"/>
    </row>
    <row r="98" spans="1:16">
      <c r="A98" s="28" t="s">
        <v>27</v>
      </c>
      <c r="B98" s="1" t="s">
        <v>27</v>
      </c>
      <c r="C98" s="1" t="s">
        <v>27</v>
      </c>
      <c r="D98" s="26"/>
      <c r="E98" s="26"/>
      <c r="F98" s="26"/>
      <c r="G98" s="26"/>
      <c r="H98" s="27"/>
      <c r="I98" s="28" t="s">
        <v>27</v>
      </c>
      <c r="J98" s="1" t="s">
        <v>27</v>
      </c>
      <c r="K98" s="1" t="s">
        <v>27</v>
      </c>
      <c r="L98" s="26"/>
      <c r="M98" s="26"/>
      <c r="N98" s="26"/>
      <c r="O98" s="26"/>
      <c r="P98" s="27"/>
    </row>
    <row r="99" spans="1:16">
      <c r="A99" s="28" t="s">
        <v>27</v>
      </c>
      <c r="B99" s="1" t="s">
        <v>27</v>
      </c>
      <c r="C99" s="1" t="s">
        <v>27</v>
      </c>
      <c r="D99" s="26"/>
      <c r="E99" s="26"/>
      <c r="F99" s="26"/>
      <c r="G99" s="26"/>
      <c r="H99" s="27"/>
      <c r="I99" s="28" t="s">
        <v>27</v>
      </c>
      <c r="J99" s="1" t="s">
        <v>27</v>
      </c>
      <c r="K99" s="1" t="s">
        <v>27</v>
      </c>
      <c r="L99" s="26"/>
      <c r="M99" s="26"/>
      <c r="N99" s="26"/>
      <c r="O99" s="26"/>
      <c r="P99" s="27"/>
    </row>
    <row r="100" spans="1:16" ht="15.75" thickBot="1">
      <c r="A100" s="29" t="s">
        <v>27</v>
      </c>
      <c r="B100" s="30" t="s">
        <v>27</v>
      </c>
      <c r="C100" s="30" t="s">
        <v>27</v>
      </c>
      <c r="D100" s="31"/>
      <c r="E100" s="31"/>
      <c r="F100" s="31"/>
      <c r="G100" s="31"/>
      <c r="H100" s="32"/>
      <c r="I100" s="29" t="s">
        <v>27</v>
      </c>
      <c r="J100" s="30" t="s">
        <v>27</v>
      </c>
      <c r="K100" s="30" t="s">
        <v>27</v>
      </c>
      <c r="L100" s="31"/>
      <c r="M100" s="31"/>
      <c r="N100" s="31"/>
      <c r="O100" s="31"/>
      <c r="P100" s="32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B69D4-AEE1-46F0-AD1B-7D3E68AC5282}">
  <dimension ref="A1:AB100"/>
  <sheetViews>
    <sheetView topLeftCell="F1" workbookViewId="0">
      <selection activeCell="K20" sqref="K20"/>
    </sheetView>
  </sheetViews>
  <sheetFormatPr defaultRowHeight="15"/>
  <sheetData>
    <row r="1" spans="1:28" ht="15.75">
      <c r="A1" s="62" t="s">
        <v>30</v>
      </c>
      <c r="B1" s="63"/>
      <c r="C1" s="63"/>
      <c r="D1" s="63"/>
      <c r="E1" s="63"/>
      <c r="F1" s="64" t="s">
        <v>3</v>
      </c>
      <c r="G1" s="64"/>
      <c r="H1" s="24" cm="1">
        <f t="array" ref="H1">SUM(VLOOKUP(A4:C100,$T$3:$W$36,4,FALSE))+H4*10-H8*50</f>
        <v>3322.4382710452687</v>
      </c>
      <c r="I1" s="65" t="s">
        <v>41</v>
      </c>
      <c r="J1" s="66"/>
      <c r="K1" s="66"/>
      <c r="L1" s="66"/>
      <c r="M1" s="66"/>
      <c r="N1" s="66"/>
      <c r="O1" s="66"/>
      <c r="P1" s="67"/>
      <c r="Q1" s="65" t="s">
        <v>48</v>
      </c>
      <c r="R1" s="66"/>
      <c r="S1" s="66"/>
      <c r="T1" s="66"/>
      <c r="U1" s="66"/>
      <c r="V1" s="66"/>
      <c r="W1" s="66"/>
      <c r="X1" s="66"/>
      <c r="Y1" s="66"/>
      <c r="Z1" s="66"/>
      <c r="AA1" s="66"/>
      <c r="AB1" s="67"/>
    </row>
    <row r="2" spans="1:28" ht="30">
      <c r="A2" s="68" t="s">
        <v>35</v>
      </c>
      <c r="B2" s="69"/>
      <c r="C2" s="69"/>
      <c r="D2" s="70" t="s">
        <v>37</v>
      </c>
      <c r="E2" s="71"/>
      <c r="F2" s="71"/>
      <c r="G2" s="71"/>
      <c r="H2" s="72"/>
      <c r="I2" s="73" t="s">
        <v>35</v>
      </c>
      <c r="J2" s="74"/>
      <c r="K2" s="74"/>
      <c r="L2" s="75" t="s">
        <v>37</v>
      </c>
      <c r="M2" s="75"/>
      <c r="N2" s="75"/>
      <c r="O2" s="75"/>
      <c r="P2" s="76"/>
      <c r="Q2" s="50" t="s">
        <v>43</v>
      </c>
      <c r="R2" s="51" cm="1">
        <f t="array" ref="R2">SUM(V3:V28*AB3:AB28)+H6+P6+R4*500</f>
        <v>64955</v>
      </c>
      <c r="S2" s="26"/>
      <c r="T2" s="1" t="s">
        <v>0</v>
      </c>
      <c r="U2" s="1" t="s">
        <v>1</v>
      </c>
      <c r="V2" s="1" t="s">
        <v>2</v>
      </c>
      <c r="W2" s="44" t="s">
        <v>3</v>
      </c>
      <c r="X2" s="46" t="s">
        <v>44</v>
      </c>
      <c r="Y2" s="46" t="s">
        <v>56</v>
      </c>
      <c r="Z2" s="47" t="s">
        <v>45</v>
      </c>
      <c r="AA2" s="47" t="s">
        <v>46</v>
      </c>
      <c r="AB2" s="52" t="s">
        <v>47</v>
      </c>
    </row>
    <row r="3" spans="1:28">
      <c r="A3" s="60" t="s">
        <v>31</v>
      </c>
      <c r="B3" s="61" t="s">
        <v>32</v>
      </c>
      <c r="C3" s="20" t="s">
        <v>33</v>
      </c>
      <c r="D3" s="33"/>
      <c r="E3" s="60" t="s">
        <v>31</v>
      </c>
      <c r="F3" s="61" t="s">
        <v>32</v>
      </c>
      <c r="G3" s="20" t="s">
        <v>33</v>
      </c>
      <c r="H3" s="34" t="s">
        <v>36</v>
      </c>
      <c r="I3" s="60" t="s">
        <v>31</v>
      </c>
      <c r="J3" s="61" t="s">
        <v>32</v>
      </c>
      <c r="K3" s="20" t="s">
        <v>33</v>
      </c>
      <c r="L3" s="33"/>
      <c r="M3" s="60" t="s">
        <v>31</v>
      </c>
      <c r="N3" s="61" t="s">
        <v>32</v>
      </c>
      <c r="O3" s="20" t="s">
        <v>33</v>
      </c>
      <c r="P3" s="34" t="s">
        <v>36</v>
      </c>
      <c r="Q3" s="53" t="s">
        <v>49</v>
      </c>
      <c r="R3" s="26">
        <v>91</v>
      </c>
      <c r="S3" s="26"/>
      <c r="T3" s="2" t="s">
        <v>4</v>
      </c>
      <c r="U3" s="1">
        <v>150</v>
      </c>
      <c r="V3" s="1">
        <v>35</v>
      </c>
      <c r="W3" s="45">
        <f>U3-V3/0.330882</f>
        <v>44.222109392472248</v>
      </c>
      <c r="X3" s="46"/>
      <c r="Y3" s="46">
        <v>25</v>
      </c>
      <c r="Z3" s="1">
        <f>COUNTIF($A$4:$C$100,T3)</f>
        <v>17</v>
      </c>
      <c r="AA3" s="1">
        <f>COUNTIF($I$4:$K$100,T3)</f>
        <v>8</v>
      </c>
      <c r="AB3" s="54">
        <f>Y3-Z3-AA3</f>
        <v>0</v>
      </c>
    </row>
    <row r="4" spans="1:28">
      <c r="A4" s="2" t="s">
        <v>4</v>
      </c>
      <c r="B4" s="2" t="s">
        <v>4</v>
      </c>
      <c r="C4" s="3" t="s">
        <v>5</v>
      </c>
      <c r="D4" s="43" t="s">
        <v>34</v>
      </c>
      <c r="E4" s="39">
        <v>0</v>
      </c>
      <c r="F4" s="39">
        <v>9</v>
      </c>
      <c r="G4" s="39">
        <v>13</v>
      </c>
      <c r="H4" s="36">
        <f>SUM(E4:G4)</f>
        <v>22</v>
      </c>
      <c r="I4" s="2" t="s">
        <v>4</v>
      </c>
      <c r="J4" s="9" t="s">
        <v>11</v>
      </c>
      <c r="K4" s="3" t="s">
        <v>5</v>
      </c>
      <c r="L4" s="43" t="s">
        <v>34</v>
      </c>
      <c r="M4" s="39">
        <v>0</v>
      </c>
      <c r="N4" s="39">
        <v>2</v>
      </c>
      <c r="O4" s="39">
        <v>0</v>
      </c>
      <c r="P4" s="36">
        <f>SUM(M4:O4)</f>
        <v>2</v>
      </c>
      <c r="Q4" s="53" t="s">
        <v>50</v>
      </c>
      <c r="R4" s="40">
        <v>14</v>
      </c>
      <c r="S4" s="26"/>
      <c r="T4" s="3" t="s">
        <v>5</v>
      </c>
      <c r="U4" s="1">
        <v>160</v>
      </c>
      <c r="V4" s="1">
        <v>40</v>
      </c>
      <c r="W4" s="45">
        <f t="shared" ref="W4" si="0">U4-V4/0.330882</f>
        <v>39.110982162825422</v>
      </c>
      <c r="X4" s="46"/>
      <c r="Y4" s="46">
        <v>48</v>
      </c>
      <c r="Z4" s="1">
        <f t="shared" ref="Z4:Z28" si="1">COUNTIF($A$4:$C$100,T4)</f>
        <v>32</v>
      </c>
      <c r="AA4" s="1">
        <f t="shared" ref="AA4:AA28" si="2">COUNTIF($I$4:$K$100,T4)</f>
        <v>16</v>
      </c>
      <c r="AB4" s="54">
        <f t="shared" ref="AB4:AB28" si="3">Y4-Z4-AA4</f>
        <v>0</v>
      </c>
    </row>
    <row r="5" spans="1:28">
      <c r="A5" s="2" t="s">
        <v>4</v>
      </c>
      <c r="B5" s="2" t="s">
        <v>4</v>
      </c>
      <c r="C5" s="23" t="s">
        <v>29</v>
      </c>
      <c r="D5" s="33" t="s">
        <v>38</v>
      </c>
      <c r="E5" s="35" cm="1">
        <f t="array" ref="E5">(SUM(VLOOKUP(A4:A100,$T$3:$W$41,2,FALSE))+E4*10)-E8*50</f>
        <v>900</v>
      </c>
      <c r="F5" s="35" cm="1">
        <f t="array" ref="F5">(SUM(VLOOKUP(B4:B100,$T$3:$W$41,2,FALSE))+F4*10)-F8*50</f>
        <v>6930</v>
      </c>
      <c r="G5" s="35" cm="1">
        <f t="array" ref="G5">(SUM(VLOOKUP(C4:C100,$T$3:$W$41,2,FALSE))+G4*10)-G8*50</f>
        <v>6610</v>
      </c>
      <c r="H5" s="59">
        <f t="shared" ref="H5:H8" si="4">SUM(E5:G5)</f>
        <v>14440</v>
      </c>
      <c r="I5" s="15" t="s">
        <v>17</v>
      </c>
      <c r="J5" s="1" t="s">
        <v>27</v>
      </c>
      <c r="K5" s="3" t="s">
        <v>5</v>
      </c>
      <c r="L5" s="33" t="s">
        <v>38</v>
      </c>
      <c r="M5" s="35" cm="1">
        <f t="array" ref="M5">(SUM(VLOOKUP(I4:I100,$T$3:$W$41,2,FALSE))+M4*10)*0.8-M8*40</f>
        <v>1216</v>
      </c>
      <c r="N5" s="35" cm="1">
        <f t="array" ref="N5">(SUM(VLOOKUP(J4:J100,$T$3:$W$41,2,FALSE))+N4*10)*0.8-N8*40</f>
        <v>384</v>
      </c>
      <c r="O5" s="35" cm="1">
        <f t="array" ref="O5">(SUM(VLOOKUP(K4:K100,$T$3:$W$41,2,FALSE))+O4*10)*0.8-O8*40</f>
        <v>2104</v>
      </c>
      <c r="P5" s="59">
        <f t="shared" ref="P5:P8" si="5">SUM(M5:O5)</f>
        <v>3704</v>
      </c>
      <c r="Q5" s="53" t="s">
        <v>51</v>
      </c>
      <c r="R5" s="26">
        <v>6000</v>
      </c>
      <c r="S5" s="26"/>
      <c r="T5" s="4" t="s">
        <v>6</v>
      </c>
      <c r="U5" s="1">
        <v>170</v>
      </c>
      <c r="V5" s="1">
        <v>45</v>
      </c>
      <c r="W5" s="45">
        <v>34</v>
      </c>
      <c r="X5" s="48"/>
      <c r="Y5" s="46">
        <v>218</v>
      </c>
      <c r="Z5" s="1">
        <f t="shared" si="1"/>
        <v>30</v>
      </c>
      <c r="AA5" s="1">
        <f t="shared" si="2"/>
        <v>0</v>
      </c>
      <c r="AB5" s="54">
        <f t="shared" si="3"/>
        <v>188</v>
      </c>
    </row>
    <row r="6" spans="1:28">
      <c r="A6" s="2" t="s">
        <v>4</v>
      </c>
      <c r="B6" s="2" t="s">
        <v>4</v>
      </c>
      <c r="C6" s="3" t="s">
        <v>5</v>
      </c>
      <c r="D6" s="33" t="s">
        <v>39</v>
      </c>
      <c r="E6" s="35" cm="1">
        <f t="array" ref="E6">(SUM(VLOOKUP(A4:A100,$T$3:$W$41,3,FALSE)))</f>
        <v>210</v>
      </c>
      <c r="F6" s="35" cm="1">
        <f t="array" ref="F6">(SUM(VLOOKUP(B4:B100,$T$3:$W$41,3,FALSE)))</f>
        <v>1970</v>
      </c>
      <c r="G6" s="35" cm="1">
        <f t="array" ref="G6">(SUM(VLOOKUP(C4:C100,$T$3:$W$41,3,FALSE)))</f>
        <v>2610</v>
      </c>
      <c r="H6" s="49">
        <f t="shared" si="4"/>
        <v>4790</v>
      </c>
      <c r="I6" s="2" t="s">
        <v>4</v>
      </c>
      <c r="J6" s="3" t="s">
        <v>5</v>
      </c>
      <c r="K6" s="3" t="s">
        <v>5</v>
      </c>
      <c r="L6" s="33" t="s">
        <v>39</v>
      </c>
      <c r="M6" s="35" cm="1">
        <f t="array" ref="M6">(SUM(VLOOKUP(I4:I100,$T$3:$W$41,3,FALSE)))</f>
        <v>445</v>
      </c>
      <c r="N6" s="35" cm="1">
        <f t="array" ref="N6">(SUM(VLOOKUP(J4:J100,$T$3:$W$41,3,FALSE)))</f>
        <v>120</v>
      </c>
      <c r="O6" s="35" cm="1">
        <f t="array" ref="O6">(SUM(VLOOKUP(K4:K100,$T$3:$W$41,3,FALSE)))</f>
        <v>725</v>
      </c>
      <c r="P6" s="49">
        <f t="shared" si="5"/>
        <v>1290</v>
      </c>
      <c r="Q6" s="50" t="s">
        <v>52</v>
      </c>
      <c r="R6" s="26">
        <f>R3*1600-800+R5</f>
        <v>150800</v>
      </c>
      <c r="S6" s="26"/>
      <c r="T6" s="5" t="s">
        <v>7</v>
      </c>
      <c r="U6" s="1">
        <v>180</v>
      </c>
      <c r="V6" s="1">
        <v>50</v>
      </c>
      <c r="W6" s="45">
        <v>36</v>
      </c>
      <c r="X6" s="46">
        <v>267</v>
      </c>
      <c r="Y6" s="46">
        <v>265</v>
      </c>
      <c r="Z6" s="1">
        <f t="shared" si="1"/>
        <v>0</v>
      </c>
      <c r="AA6" s="1">
        <f t="shared" si="2"/>
        <v>0</v>
      </c>
      <c r="AB6" s="54">
        <f t="shared" si="3"/>
        <v>265</v>
      </c>
    </row>
    <row r="7" spans="1:28">
      <c r="A7" s="2" t="s">
        <v>4</v>
      </c>
      <c r="B7" s="2" t="s">
        <v>4</v>
      </c>
      <c r="C7" s="4" t="s">
        <v>6</v>
      </c>
      <c r="D7" s="33" t="s">
        <v>40</v>
      </c>
      <c r="E7" s="35">
        <f>COUNTIF(A4:A100,"&lt;&gt;空")</f>
        <v>6</v>
      </c>
      <c r="F7" s="35">
        <f>COUNTIF(B4:B100,"&lt;&gt;空")</f>
        <v>46</v>
      </c>
      <c r="G7" s="35">
        <f>COUNTIF(C4:C100,"&lt;&gt;空")</f>
        <v>47</v>
      </c>
      <c r="H7" s="36">
        <f t="shared" si="4"/>
        <v>99</v>
      </c>
      <c r="I7" s="2" t="s">
        <v>4</v>
      </c>
      <c r="J7" s="1" t="s">
        <v>27</v>
      </c>
      <c r="K7" s="15" t="s">
        <v>17</v>
      </c>
      <c r="L7" s="33" t="s">
        <v>40</v>
      </c>
      <c r="M7" s="35">
        <f>COUNTIF(I4:I100,"&lt;&gt;空")</f>
        <v>13</v>
      </c>
      <c r="N7" s="35">
        <f>COUNTIF(J4:J100,"&lt;&gt;空")</f>
        <v>3</v>
      </c>
      <c r="O7" s="35">
        <f>COUNTIF(K4:K100,"&lt;&gt;空")</f>
        <v>19</v>
      </c>
      <c r="P7" s="36">
        <f t="shared" si="5"/>
        <v>35</v>
      </c>
      <c r="Q7" s="53" t="s">
        <v>55</v>
      </c>
      <c r="R7" s="26">
        <v>0</v>
      </c>
      <c r="S7" s="26"/>
      <c r="T7" s="6" t="s">
        <v>8</v>
      </c>
      <c r="U7" s="1">
        <v>190</v>
      </c>
      <c r="V7" s="1">
        <v>55</v>
      </c>
      <c r="W7" s="45">
        <v>38</v>
      </c>
      <c r="X7" s="46">
        <v>236</v>
      </c>
      <c r="Y7" s="46">
        <v>236</v>
      </c>
      <c r="Z7" s="1">
        <f t="shared" si="1"/>
        <v>0</v>
      </c>
      <c r="AA7" s="1">
        <f t="shared" si="2"/>
        <v>0</v>
      </c>
      <c r="AB7" s="54">
        <f t="shared" si="3"/>
        <v>236</v>
      </c>
    </row>
    <row r="8" spans="1:28">
      <c r="A8" s="2" t="s">
        <v>4</v>
      </c>
      <c r="B8" s="2" t="s">
        <v>4</v>
      </c>
      <c r="C8" s="4" t="s">
        <v>6</v>
      </c>
      <c r="D8" s="42" t="s">
        <v>70</v>
      </c>
      <c r="E8" s="41">
        <v>0</v>
      </c>
      <c r="F8" s="41">
        <v>1</v>
      </c>
      <c r="G8" s="41">
        <v>0</v>
      </c>
      <c r="H8" s="36">
        <f t="shared" si="4"/>
        <v>1</v>
      </c>
      <c r="I8" s="15" t="s">
        <v>17</v>
      </c>
      <c r="J8" s="1" t="s">
        <v>27</v>
      </c>
      <c r="K8" s="3" t="s">
        <v>5</v>
      </c>
      <c r="L8" s="42" t="s">
        <v>70</v>
      </c>
      <c r="M8" s="41">
        <v>1</v>
      </c>
      <c r="N8" s="41">
        <v>0</v>
      </c>
      <c r="O8" s="41">
        <v>1</v>
      </c>
      <c r="P8" s="36">
        <f t="shared" si="5"/>
        <v>2</v>
      </c>
      <c r="Q8" s="50" t="s">
        <v>54</v>
      </c>
      <c r="R8" s="55" cm="1">
        <f t="array" ref="R8">R6-P5-H5-SUM(U3:U28*AB3:AB28)*0.8-R7*8</f>
        <v>136</v>
      </c>
      <c r="S8" s="26"/>
      <c r="T8" s="7" t="s">
        <v>9</v>
      </c>
      <c r="U8" s="1">
        <v>200</v>
      </c>
      <c r="V8" s="1">
        <v>60</v>
      </c>
      <c r="W8" s="45"/>
      <c r="X8" s="46">
        <v>194</v>
      </c>
      <c r="Y8" s="46">
        <v>194</v>
      </c>
      <c r="Z8" s="1">
        <f t="shared" si="1"/>
        <v>0</v>
      </c>
      <c r="AA8" s="1">
        <f t="shared" si="2"/>
        <v>0</v>
      </c>
      <c r="AB8" s="54">
        <f t="shared" si="3"/>
        <v>194</v>
      </c>
    </row>
    <row r="9" spans="1:28">
      <c r="A9" s="2" t="s">
        <v>4</v>
      </c>
      <c r="B9" s="2" t="s">
        <v>4</v>
      </c>
      <c r="C9" s="17" t="s">
        <v>19</v>
      </c>
      <c r="D9" s="26"/>
      <c r="E9" s="26"/>
      <c r="F9" s="26"/>
      <c r="G9" s="26"/>
      <c r="H9" s="27"/>
      <c r="I9" s="1" t="s">
        <v>27</v>
      </c>
      <c r="J9" s="1" t="s">
        <v>27</v>
      </c>
      <c r="K9" s="3" t="s">
        <v>5</v>
      </c>
      <c r="L9" s="33" t="s">
        <v>42</v>
      </c>
      <c r="M9" s="37">
        <f>M6/M5</f>
        <v>0.36595394736842107</v>
      </c>
      <c r="N9" s="37">
        <f>N6/N5</f>
        <v>0.3125</v>
      </c>
      <c r="O9" s="37">
        <f>O6/O5</f>
        <v>0.34458174904942968</v>
      </c>
      <c r="P9" s="38">
        <f>P6/P5</f>
        <v>0.34827213822894171</v>
      </c>
      <c r="Q9" s="50"/>
      <c r="R9" s="26"/>
      <c r="S9" s="26"/>
      <c r="T9" s="8" t="s">
        <v>10</v>
      </c>
      <c r="U9" s="1">
        <v>150</v>
      </c>
      <c r="V9" s="1">
        <v>35</v>
      </c>
      <c r="W9" s="45">
        <f t="shared" ref="W9:W11" si="6">U9-V9/0.330882</f>
        <v>44.222109392472248</v>
      </c>
      <c r="X9" s="46">
        <v>3</v>
      </c>
      <c r="Y9" s="46">
        <v>0</v>
      </c>
      <c r="Z9" s="1">
        <f t="shared" si="1"/>
        <v>0</v>
      </c>
      <c r="AA9" s="1">
        <f t="shared" si="2"/>
        <v>0</v>
      </c>
      <c r="AB9" s="54">
        <f t="shared" si="3"/>
        <v>0</v>
      </c>
    </row>
    <row r="10" spans="1:28">
      <c r="A10" s="1" t="s">
        <v>27</v>
      </c>
      <c r="B10" s="3" t="s">
        <v>5</v>
      </c>
      <c r="C10" s="4" t="s">
        <v>6</v>
      </c>
      <c r="D10" s="26"/>
      <c r="E10" s="26"/>
      <c r="F10" s="26"/>
      <c r="G10" s="26"/>
      <c r="H10" s="27"/>
      <c r="I10" s="1" t="s">
        <v>27</v>
      </c>
      <c r="J10" s="9" t="s">
        <v>11</v>
      </c>
      <c r="K10" s="3" t="s">
        <v>5</v>
      </c>
      <c r="L10" s="26"/>
      <c r="M10" s="26"/>
      <c r="N10" s="26"/>
      <c r="O10" s="26"/>
      <c r="P10" s="27"/>
      <c r="Q10" s="50"/>
      <c r="R10" s="26"/>
      <c r="S10" s="26"/>
      <c r="T10" s="9" t="s">
        <v>11</v>
      </c>
      <c r="U10" s="1">
        <v>150</v>
      </c>
      <c r="V10" s="1">
        <v>40</v>
      </c>
      <c r="W10" s="45">
        <f t="shared" si="6"/>
        <v>29.110982162825422</v>
      </c>
      <c r="X10" s="46">
        <v>7</v>
      </c>
      <c r="Y10" s="46">
        <v>5</v>
      </c>
      <c r="Z10" s="1">
        <f t="shared" si="1"/>
        <v>1</v>
      </c>
      <c r="AA10" s="1">
        <f t="shared" si="2"/>
        <v>4</v>
      </c>
      <c r="AB10" s="54">
        <f t="shared" si="3"/>
        <v>0</v>
      </c>
    </row>
    <row r="11" spans="1:28">
      <c r="A11" s="1" t="s">
        <v>27</v>
      </c>
      <c r="B11" s="15" t="s">
        <v>17</v>
      </c>
      <c r="C11" s="1" t="s">
        <v>27</v>
      </c>
      <c r="D11" s="26"/>
      <c r="E11" s="26"/>
      <c r="F11" s="26"/>
      <c r="G11" s="26"/>
      <c r="H11" s="27"/>
      <c r="I11" s="1" t="s">
        <v>27</v>
      </c>
      <c r="J11" s="1" t="s">
        <v>27</v>
      </c>
      <c r="K11" s="3" t="s">
        <v>5</v>
      </c>
      <c r="L11" s="26"/>
      <c r="M11" s="26"/>
      <c r="N11" s="26"/>
      <c r="O11" s="26"/>
      <c r="P11" s="27">
        <f>H5+P5</f>
        <v>18144</v>
      </c>
      <c r="Q11" s="50"/>
      <c r="R11" s="26"/>
      <c r="S11" s="26"/>
      <c r="T11" s="10" t="s">
        <v>12</v>
      </c>
      <c r="U11" s="1">
        <v>150</v>
      </c>
      <c r="V11" s="1">
        <v>45</v>
      </c>
      <c r="W11" s="45">
        <f t="shared" si="6"/>
        <v>13.999854933178597</v>
      </c>
      <c r="X11" s="46">
        <v>6</v>
      </c>
      <c r="Y11" s="46">
        <v>6</v>
      </c>
      <c r="Z11" s="1">
        <f t="shared" si="1"/>
        <v>0</v>
      </c>
      <c r="AA11" s="1">
        <f t="shared" si="2"/>
        <v>0</v>
      </c>
      <c r="AB11" s="54">
        <f t="shared" si="3"/>
        <v>6</v>
      </c>
    </row>
    <row r="12" spans="1:28">
      <c r="A12" s="1" t="s">
        <v>27</v>
      </c>
      <c r="B12" s="3" t="s">
        <v>5</v>
      </c>
      <c r="C12" s="4" t="s">
        <v>6</v>
      </c>
      <c r="D12" s="26"/>
      <c r="E12" s="26"/>
      <c r="F12" s="26"/>
      <c r="G12" s="26"/>
      <c r="H12" s="27"/>
      <c r="I12" s="1" t="s">
        <v>27</v>
      </c>
      <c r="J12" s="1" t="s">
        <v>27</v>
      </c>
      <c r="K12" s="9" t="s">
        <v>11</v>
      </c>
      <c r="L12" s="26"/>
      <c r="M12" s="26"/>
      <c r="N12" s="26"/>
      <c r="O12" s="26"/>
      <c r="P12" s="27">
        <f>H6+P6</f>
        <v>6080</v>
      </c>
      <c r="Q12" s="50"/>
      <c r="R12" s="26"/>
      <c r="S12" s="26"/>
      <c r="T12" s="11" t="s">
        <v>13</v>
      </c>
      <c r="U12" s="1">
        <v>150</v>
      </c>
      <c r="V12" s="1">
        <v>50</v>
      </c>
      <c r="W12" s="45"/>
      <c r="X12" s="46">
        <v>4</v>
      </c>
      <c r="Y12" s="46">
        <v>4</v>
      </c>
      <c r="Z12" s="1">
        <f t="shared" si="1"/>
        <v>0</v>
      </c>
      <c r="AA12" s="1">
        <f t="shared" si="2"/>
        <v>0</v>
      </c>
      <c r="AB12" s="54">
        <f t="shared" si="3"/>
        <v>4</v>
      </c>
    </row>
    <row r="13" spans="1:28">
      <c r="A13" s="1" t="s">
        <v>27</v>
      </c>
      <c r="B13" s="3" t="s">
        <v>5</v>
      </c>
      <c r="C13" s="15" t="s">
        <v>17</v>
      </c>
      <c r="D13" s="26"/>
      <c r="E13" s="26"/>
      <c r="F13" s="26"/>
      <c r="G13" s="26"/>
      <c r="H13" s="27"/>
      <c r="I13" s="1" t="s">
        <v>27</v>
      </c>
      <c r="J13" s="1" t="s">
        <v>27</v>
      </c>
      <c r="K13" s="3" t="s">
        <v>5</v>
      </c>
      <c r="L13" s="26"/>
      <c r="M13" s="26"/>
      <c r="N13" s="26"/>
      <c r="O13" s="26"/>
      <c r="P13" s="27"/>
      <c r="Q13" s="50"/>
      <c r="R13" s="26"/>
      <c r="S13" s="26"/>
      <c r="T13" s="12" t="s">
        <v>14</v>
      </c>
      <c r="U13" s="1">
        <v>150</v>
      </c>
      <c r="V13" s="1">
        <v>55</v>
      </c>
      <c r="W13" s="45"/>
      <c r="X13" s="46">
        <v>3</v>
      </c>
      <c r="Y13" s="46">
        <v>3</v>
      </c>
      <c r="Z13" s="1">
        <f t="shared" si="1"/>
        <v>0</v>
      </c>
      <c r="AA13" s="1">
        <f t="shared" si="2"/>
        <v>0</v>
      </c>
      <c r="AB13" s="54">
        <f t="shared" si="3"/>
        <v>3</v>
      </c>
    </row>
    <row r="14" spans="1:28">
      <c r="A14" s="1" t="s">
        <v>27</v>
      </c>
      <c r="B14" s="3" t="s">
        <v>5</v>
      </c>
      <c r="C14" s="3" t="s">
        <v>5</v>
      </c>
      <c r="D14" s="26"/>
      <c r="E14" s="26"/>
      <c r="F14" s="26"/>
      <c r="G14" s="26"/>
      <c r="H14" s="27"/>
      <c r="I14" s="1" t="s">
        <v>27</v>
      </c>
      <c r="J14" s="1" t="s">
        <v>27</v>
      </c>
      <c r="K14" s="3" t="s">
        <v>5</v>
      </c>
      <c r="L14" s="26"/>
      <c r="M14" s="26"/>
      <c r="N14" s="26"/>
      <c r="O14" s="26"/>
      <c r="P14" s="27"/>
      <c r="Q14" s="50"/>
      <c r="R14" s="26"/>
      <c r="S14" s="26"/>
      <c r="T14" s="13" t="s">
        <v>15</v>
      </c>
      <c r="U14" s="1">
        <v>150</v>
      </c>
      <c r="V14" s="1">
        <v>60</v>
      </c>
      <c r="W14" s="45"/>
      <c r="X14" s="46">
        <v>1</v>
      </c>
      <c r="Y14" s="46">
        <v>1</v>
      </c>
      <c r="Z14" s="1">
        <f t="shared" si="1"/>
        <v>0</v>
      </c>
      <c r="AA14" s="1">
        <f t="shared" si="2"/>
        <v>0</v>
      </c>
      <c r="AB14" s="54">
        <f t="shared" si="3"/>
        <v>1</v>
      </c>
    </row>
    <row r="15" spans="1:28">
      <c r="A15" s="1" t="s">
        <v>27</v>
      </c>
      <c r="B15" s="16" t="s">
        <v>18</v>
      </c>
      <c r="C15" s="16" t="s">
        <v>18</v>
      </c>
      <c r="D15" s="26"/>
      <c r="E15" s="26"/>
      <c r="F15" s="26"/>
      <c r="G15" s="26"/>
      <c r="H15" s="27"/>
      <c r="I15" s="1" t="s">
        <v>27</v>
      </c>
      <c r="J15" s="1" t="s">
        <v>27</v>
      </c>
      <c r="K15" s="15" t="s">
        <v>17</v>
      </c>
      <c r="L15" s="26"/>
      <c r="M15" s="26"/>
      <c r="N15" s="26"/>
      <c r="O15" s="26"/>
      <c r="P15" s="27"/>
      <c r="Q15" s="50"/>
      <c r="R15" s="26"/>
      <c r="S15" s="26"/>
      <c r="T15" s="14" t="s">
        <v>16</v>
      </c>
      <c r="U15" s="1">
        <v>150</v>
      </c>
      <c r="V15" s="1">
        <v>35</v>
      </c>
      <c r="W15" s="45">
        <f t="shared" ref="W15" si="7">U15-V15/0.330882</f>
        <v>44.222109392472248</v>
      </c>
      <c r="X15" s="46"/>
      <c r="Y15" s="46">
        <v>0</v>
      </c>
      <c r="Z15" s="1">
        <f t="shared" si="1"/>
        <v>0</v>
      </c>
      <c r="AA15" s="1">
        <f t="shared" si="2"/>
        <v>0</v>
      </c>
      <c r="AB15" s="54">
        <f t="shared" si="3"/>
        <v>0</v>
      </c>
    </row>
    <row r="16" spans="1:28">
      <c r="A16" s="1" t="s">
        <v>27</v>
      </c>
      <c r="B16" s="4" t="s">
        <v>6</v>
      </c>
      <c r="C16" s="2" t="s">
        <v>4</v>
      </c>
      <c r="D16" s="26"/>
      <c r="E16" s="26"/>
      <c r="F16" s="26"/>
      <c r="G16" s="26"/>
      <c r="H16" s="27"/>
      <c r="I16" s="1" t="s">
        <v>27</v>
      </c>
      <c r="J16" s="1" t="s">
        <v>27</v>
      </c>
      <c r="K16" s="3" t="s">
        <v>5</v>
      </c>
      <c r="L16" s="26"/>
      <c r="M16" s="26"/>
      <c r="N16" s="26"/>
      <c r="O16" s="26"/>
      <c r="P16" s="27"/>
      <c r="Q16" s="50"/>
      <c r="R16" s="26"/>
      <c r="S16" s="26"/>
      <c r="T16" s="15" t="s">
        <v>17</v>
      </c>
      <c r="U16" s="1">
        <v>50</v>
      </c>
      <c r="V16" s="1">
        <v>30</v>
      </c>
      <c r="W16" s="45">
        <v>10</v>
      </c>
      <c r="X16" s="46">
        <v>40</v>
      </c>
      <c r="Y16" s="46">
        <v>40</v>
      </c>
      <c r="Z16" s="1">
        <f t="shared" si="1"/>
        <v>6</v>
      </c>
      <c r="AA16" s="1">
        <f t="shared" si="2"/>
        <v>7</v>
      </c>
      <c r="AB16" s="54">
        <f t="shared" si="3"/>
        <v>27</v>
      </c>
    </row>
    <row r="17" spans="1:28">
      <c r="A17" s="1" t="s">
        <v>27</v>
      </c>
      <c r="B17" s="4" t="s">
        <v>6</v>
      </c>
      <c r="C17" s="2" t="s">
        <v>4</v>
      </c>
      <c r="D17" s="26"/>
      <c r="E17" s="26"/>
      <c r="F17" s="26"/>
      <c r="G17" s="26"/>
      <c r="H17" s="27"/>
      <c r="I17" s="1" t="s">
        <v>27</v>
      </c>
      <c r="J17" s="1" t="s">
        <v>27</v>
      </c>
      <c r="K17" s="3" t="s">
        <v>5</v>
      </c>
      <c r="L17" s="26"/>
      <c r="M17" s="26"/>
      <c r="N17" s="26"/>
      <c r="O17" s="26"/>
      <c r="P17" s="27"/>
      <c r="Q17" s="50"/>
      <c r="R17" s="26"/>
      <c r="S17" s="26"/>
      <c r="T17" s="16" t="s">
        <v>18</v>
      </c>
      <c r="U17" s="1">
        <v>-150</v>
      </c>
      <c r="V17" s="1">
        <v>0</v>
      </c>
      <c r="W17" s="45">
        <v>10</v>
      </c>
      <c r="X17" s="46">
        <v>4</v>
      </c>
      <c r="Y17" s="46">
        <v>4</v>
      </c>
      <c r="Z17" s="1">
        <f t="shared" si="1"/>
        <v>4</v>
      </c>
      <c r="AA17" s="1">
        <f t="shared" si="2"/>
        <v>0</v>
      </c>
      <c r="AB17" s="54">
        <f t="shared" si="3"/>
        <v>0</v>
      </c>
    </row>
    <row r="18" spans="1:28">
      <c r="A18" s="1" t="s">
        <v>27</v>
      </c>
      <c r="B18" s="17" t="s">
        <v>20</v>
      </c>
      <c r="C18" s="2" t="s">
        <v>4</v>
      </c>
      <c r="D18" s="26"/>
      <c r="E18" s="26"/>
      <c r="F18" s="26"/>
      <c r="G18" s="26"/>
      <c r="H18" s="27"/>
      <c r="I18" s="1" t="s">
        <v>27</v>
      </c>
      <c r="J18" s="1" t="s">
        <v>27</v>
      </c>
      <c r="K18" s="3" t="s">
        <v>5</v>
      </c>
      <c r="L18" s="26"/>
      <c r="M18" s="26"/>
      <c r="N18" s="26"/>
      <c r="O18" s="26"/>
      <c r="P18" s="27"/>
      <c r="Q18" s="50"/>
      <c r="R18" s="26"/>
      <c r="S18" s="26"/>
      <c r="T18" s="17" t="s">
        <v>19</v>
      </c>
      <c r="U18" s="1">
        <v>250</v>
      </c>
      <c r="V18" s="1">
        <v>200</v>
      </c>
      <c r="W18" s="45"/>
      <c r="X18" s="46">
        <v>3</v>
      </c>
      <c r="Y18" s="46">
        <v>3</v>
      </c>
      <c r="Z18" s="1">
        <f t="shared" si="1"/>
        <v>3</v>
      </c>
      <c r="AA18" s="1">
        <f t="shared" si="2"/>
        <v>0</v>
      </c>
      <c r="AB18" s="54">
        <f t="shared" si="3"/>
        <v>0</v>
      </c>
    </row>
    <row r="19" spans="1:28">
      <c r="A19" s="1" t="s">
        <v>27</v>
      </c>
      <c r="B19" s="4" t="s">
        <v>6</v>
      </c>
      <c r="C19" s="2" t="s">
        <v>4</v>
      </c>
      <c r="D19" s="26"/>
      <c r="E19" s="26"/>
      <c r="F19" s="26"/>
      <c r="G19" s="26"/>
      <c r="H19" s="27"/>
      <c r="I19" s="3" t="s">
        <v>5</v>
      </c>
      <c r="J19" s="1" t="s">
        <v>27</v>
      </c>
      <c r="K19" s="1" t="s">
        <v>27</v>
      </c>
      <c r="L19" s="26"/>
      <c r="M19" s="26"/>
      <c r="N19" s="26"/>
      <c r="O19" s="26"/>
      <c r="P19" s="27"/>
      <c r="Q19" s="50"/>
      <c r="R19" s="26"/>
      <c r="S19" s="26"/>
      <c r="T19" s="17" t="s">
        <v>20</v>
      </c>
      <c r="U19" s="1">
        <v>170</v>
      </c>
      <c r="V19" s="1">
        <v>45</v>
      </c>
      <c r="W19" s="45"/>
      <c r="X19" s="46">
        <v>5</v>
      </c>
      <c r="Y19" s="46">
        <v>5</v>
      </c>
      <c r="Z19" s="1">
        <f t="shared" si="1"/>
        <v>5</v>
      </c>
      <c r="AA19" s="1">
        <f t="shared" si="2"/>
        <v>0</v>
      </c>
      <c r="AB19" s="54">
        <f t="shared" si="3"/>
        <v>0</v>
      </c>
    </row>
    <row r="20" spans="1:28">
      <c r="A20" s="1" t="s">
        <v>27</v>
      </c>
      <c r="B20" s="3" t="s">
        <v>5</v>
      </c>
      <c r="C20" s="15" t="s">
        <v>17</v>
      </c>
      <c r="D20" s="26"/>
      <c r="E20" s="26"/>
      <c r="F20" s="26"/>
      <c r="G20" s="26"/>
      <c r="H20" s="27"/>
      <c r="I20" s="3" t="s">
        <v>5</v>
      </c>
      <c r="J20" s="1" t="s">
        <v>27</v>
      </c>
      <c r="K20" s="3" t="s">
        <v>5</v>
      </c>
      <c r="L20" s="26"/>
      <c r="M20" s="26"/>
      <c r="N20" s="26"/>
      <c r="O20" s="26"/>
      <c r="P20" s="27"/>
      <c r="Q20" s="50"/>
      <c r="R20" s="26"/>
      <c r="S20" s="26"/>
      <c r="T20" s="18" t="s">
        <v>21</v>
      </c>
      <c r="U20" s="1">
        <v>250</v>
      </c>
      <c r="V20" s="1">
        <v>200</v>
      </c>
      <c r="W20" s="45"/>
      <c r="X20" s="46">
        <v>0</v>
      </c>
      <c r="Y20" s="46">
        <v>0</v>
      </c>
      <c r="Z20" s="1">
        <f t="shared" si="1"/>
        <v>0</v>
      </c>
      <c r="AA20" s="1">
        <f t="shared" si="2"/>
        <v>0</v>
      </c>
      <c r="AB20" s="54">
        <f t="shared" si="3"/>
        <v>0</v>
      </c>
    </row>
    <row r="21" spans="1:28">
      <c r="A21" s="1" t="s">
        <v>27</v>
      </c>
      <c r="B21" s="3" t="s">
        <v>5</v>
      </c>
      <c r="C21" s="3" t="s">
        <v>5</v>
      </c>
      <c r="D21" s="26"/>
      <c r="E21" s="26"/>
      <c r="F21" s="26"/>
      <c r="G21" s="26"/>
      <c r="H21" s="27"/>
      <c r="I21" s="2" t="s">
        <v>4</v>
      </c>
      <c r="J21" s="1" t="s">
        <v>27</v>
      </c>
      <c r="K21" s="1" t="s">
        <v>27</v>
      </c>
      <c r="L21" s="26"/>
      <c r="M21" s="26"/>
      <c r="N21" s="26"/>
      <c r="O21" s="26"/>
      <c r="P21" s="27"/>
      <c r="Q21" s="50"/>
      <c r="R21" s="26"/>
      <c r="S21" s="26"/>
      <c r="T21" s="19" t="s">
        <v>22</v>
      </c>
      <c r="U21" s="1">
        <v>250</v>
      </c>
      <c r="V21" s="1">
        <v>1000</v>
      </c>
      <c r="W21" s="45"/>
      <c r="X21" s="46">
        <v>2</v>
      </c>
      <c r="Y21" s="46">
        <v>2</v>
      </c>
      <c r="Z21" s="1">
        <f t="shared" si="1"/>
        <v>0</v>
      </c>
      <c r="AA21" s="1">
        <f t="shared" si="2"/>
        <v>0</v>
      </c>
      <c r="AB21" s="54">
        <f t="shared" si="3"/>
        <v>2</v>
      </c>
    </row>
    <row r="22" spans="1:28">
      <c r="A22" s="1" t="s">
        <v>27</v>
      </c>
      <c r="B22" s="3" t="s">
        <v>5</v>
      </c>
      <c r="C22" s="3" t="s">
        <v>5</v>
      </c>
      <c r="D22" s="26"/>
      <c r="E22" s="26"/>
      <c r="F22" s="26"/>
      <c r="G22" s="26"/>
      <c r="H22" s="27"/>
      <c r="I22" s="15" t="s">
        <v>17</v>
      </c>
      <c r="J22" s="1" t="s">
        <v>27</v>
      </c>
      <c r="K22" s="1" t="s">
        <v>27</v>
      </c>
      <c r="L22" s="26"/>
      <c r="M22" s="26"/>
      <c r="N22" s="26"/>
      <c r="O22" s="26"/>
      <c r="P22" s="27"/>
      <c r="Q22" s="50"/>
      <c r="R22" s="26"/>
      <c r="S22" s="26"/>
      <c r="T22" s="20" t="s">
        <v>23</v>
      </c>
      <c r="U22" s="1">
        <v>250</v>
      </c>
      <c r="V22" s="1">
        <v>500</v>
      </c>
      <c r="W22" s="45"/>
      <c r="X22" s="46">
        <v>2</v>
      </c>
      <c r="Y22" s="46">
        <v>2</v>
      </c>
      <c r="Z22" s="1">
        <f t="shared" si="1"/>
        <v>0</v>
      </c>
      <c r="AA22" s="1">
        <f t="shared" si="2"/>
        <v>0</v>
      </c>
      <c r="AB22" s="54">
        <f t="shared" si="3"/>
        <v>2</v>
      </c>
    </row>
    <row r="23" spans="1:28">
      <c r="A23" s="1" t="s">
        <v>27</v>
      </c>
      <c r="B23" s="3" t="s">
        <v>5</v>
      </c>
      <c r="C23" s="3" t="s">
        <v>5</v>
      </c>
      <c r="D23" s="26"/>
      <c r="E23" s="26"/>
      <c r="F23" s="26"/>
      <c r="G23" s="26"/>
      <c r="H23" s="27"/>
      <c r="I23" s="2" t="s">
        <v>4</v>
      </c>
      <c r="J23" s="1" t="s">
        <v>27</v>
      </c>
      <c r="K23" s="9" t="s">
        <v>11</v>
      </c>
      <c r="L23" s="26"/>
      <c r="M23" s="26"/>
      <c r="N23" s="26"/>
      <c r="O23" s="26"/>
      <c r="P23" s="27"/>
      <c r="Q23" s="50"/>
      <c r="R23" s="26"/>
      <c r="S23" s="26"/>
      <c r="T23" s="21" t="s">
        <v>24</v>
      </c>
      <c r="U23" s="1">
        <v>160</v>
      </c>
      <c r="V23" s="1">
        <v>40</v>
      </c>
      <c r="W23" s="45">
        <f t="shared" ref="W23:W26" si="8">U23-V23/0.330882</f>
        <v>39.110982162825422</v>
      </c>
      <c r="X23" s="46">
        <v>0</v>
      </c>
      <c r="Y23" s="46">
        <v>0</v>
      </c>
      <c r="Z23" s="1">
        <f t="shared" si="1"/>
        <v>0</v>
      </c>
      <c r="AA23" s="1">
        <f t="shared" si="2"/>
        <v>0</v>
      </c>
      <c r="AB23" s="54">
        <f t="shared" si="3"/>
        <v>0</v>
      </c>
    </row>
    <row r="24" spans="1:28">
      <c r="A24" s="1" t="s">
        <v>27</v>
      </c>
      <c r="B24" s="3" t="s">
        <v>5</v>
      </c>
      <c r="C24" s="16" t="s">
        <v>18</v>
      </c>
      <c r="D24" s="26"/>
      <c r="E24" s="26"/>
      <c r="F24" s="26"/>
      <c r="G24" s="26"/>
      <c r="H24" s="27"/>
      <c r="I24" s="2" t="s">
        <v>4</v>
      </c>
      <c r="J24" s="1" t="s">
        <v>27</v>
      </c>
      <c r="K24" s="2" t="s">
        <v>4</v>
      </c>
      <c r="L24" s="26"/>
      <c r="M24" s="26"/>
      <c r="N24" s="26"/>
      <c r="O24" s="26"/>
      <c r="P24" s="27"/>
      <c r="Q24" s="50"/>
      <c r="R24" s="26"/>
      <c r="S24" s="26"/>
      <c r="T24" s="21" t="s">
        <v>25</v>
      </c>
      <c r="U24" s="1">
        <v>160</v>
      </c>
      <c r="V24" s="1">
        <v>40</v>
      </c>
      <c r="W24" s="45">
        <f t="shared" si="8"/>
        <v>39.110982162825422</v>
      </c>
      <c r="X24" s="46">
        <v>0</v>
      </c>
      <c r="Y24" s="46">
        <v>0</v>
      </c>
      <c r="Z24" s="1">
        <f t="shared" si="1"/>
        <v>0</v>
      </c>
      <c r="AA24" s="1">
        <f t="shared" si="2"/>
        <v>0</v>
      </c>
      <c r="AB24" s="54">
        <f t="shared" si="3"/>
        <v>0</v>
      </c>
    </row>
    <row r="25" spans="1:28">
      <c r="A25" s="1" t="s">
        <v>27</v>
      </c>
      <c r="B25" s="3" t="s">
        <v>5</v>
      </c>
      <c r="C25" s="3" t="s">
        <v>5</v>
      </c>
      <c r="D25" s="26"/>
      <c r="E25" s="26"/>
      <c r="F25" s="26"/>
      <c r="G25" s="26"/>
      <c r="H25" s="27"/>
      <c r="I25" s="2" t="s">
        <v>4</v>
      </c>
      <c r="J25" s="1" t="s">
        <v>27</v>
      </c>
      <c r="K25" s="15" t="s">
        <v>17</v>
      </c>
      <c r="L25" s="26"/>
      <c r="M25" s="26"/>
      <c r="N25" s="26"/>
      <c r="O25" s="26"/>
      <c r="P25" s="27"/>
      <c r="Q25" s="50"/>
      <c r="R25" s="26"/>
      <c r="S25" s="26"/>
      <c r="T25" s="21" t="s">
        <v>26</v>
      </c>
      <c r="U25" s="1">
        <v>150</v>
      </c>
      <c r="V25" s="1">
        <v>35</v>
      </c>
      <c r="W25" s="45">
        <f t="shared" si="8"/>
        <v>44.222109392472248</v>
      </c>
      <c r="X25" s="46">
        <v>0</v>
      </c>
      <c r="Y25" s="46">
        <v>0</v>
      </c>
      <c r="Z25" s="1">
        <f t="shared" si="1"/>
        <v>0</v>
      </c>
      <c r="AA25" s="1">
        <f t="shared" si="2"/>
        <v>0</v>
      </c>
      <c r="AB25" s="54">
        <f t="shared" si="3"/>
        <v>0</v>
      </c>
    </row>
    <row r="26" spans="1:28">
      <c r="A26" s="1" t="s">
        <v>27</v>
      </c>
      <c r="B26" s="15" t="s">
        <v>17</v>
      </c>
      <c r="C26" s="3" t="s">
        <v>5</v>
      </c>
      <c r="D26" s="26"/>
      <c r="E26" s="26"/>
      <c r="F26" s="26"/>
      <c r="G26" s="26"/>
      <c r="H26" s="27"/>
      <c r="I26" s="15" t="s">
        <v>17</v>
      </c>
      <c r="J26" s="1" t="s">
        <v>27</v>
      </c>
      <c r="K26" s="1" t="s">
        <v>27</v>
      </c>
      <c r="L26" s="26"/>
      <c r="M26" s="26"/>
      <c r="N26" s="26"/>
      <c r="O26" s="26"/>
      <c r="P26" s="27"/>
      <c r="Q26" s="50"/>
      <c r="R26" s="26"/>
      <c r="S26" s="26"/>
      <c r="T26" s="22" t="s">
        <v>27</v>
      </c>
      <c r="U26" s="1">
        <v>0</v>
      </c>
      <c r="V26" s="1">
        <v>0</v>
      </c>
      <c r="W26" s="45">
        <f t="shared" si="8"/>
        <v>0</v>
      </c>
      <c r="X26" s="46">
        <v>0</v>
      </c>
      <c r="Y26" s="46">
        <v>0</v>
      </c>
      <c r="Z26" s="1"/>
      <c r="AA26" s="1"/>
      <c r="AB26" s="54"/>
    </row>
    <row r="27" spans="1:28">
      <c r="A27" s="1" t="s">
        <v>27</v>
      </c>
      <c r="B27" s="3" t="s">
        <v>5</v>
      </c>
      <c r="C27" s="4" t="s">
        <v>6</v>
      </c>
      <c r="D27" s="26"/>
      <c r="E27" s="26"/>
      <c r="F27" s="26"/>
      <c r="G27" s="26"/>
      <c r="H27" s="27"/>
      <c r="I27" s="1" t="s">
        <v>27</v>
      </c>
      <c r="J27" s="1" t="s">
        <v>27</v>
      </c>
      <c r="K27" s="1" t="s">
        <v>27</v>
      </c>
      <c r="L27" s="26"/>
      <c r="M27" s="26"/>
      <c r="N27" s="26"/>
      <c r="O27" s="26"/>
      <c r="P27" s="27"/>
      <c r="Q27" s="50"/>
      <c r="R27" s="26"/>
      <c r="S27" s="26"/>
      <c r="T27" s="16" t="s">
        <v>28</v>
      </c>
      <c r="U27" s="1">
        <v>-200</v>
      </c>
      <c r="V27" s="1">
        <v>0</v>
      </c>
      <c r="W27" s="45"/>
      <c r="X27" s="46">
        <v>11</v>
      </c>
      <c r="Y27" s="46">
        <v>11</v>
      </c>
      <c r="Z27" s="1">
        <f t="shared" si="1"/>
        <v>0</v>
      </c>
      <c r="AA27" s="1">
        <f t="shared" si="2"/>
        <v>0</v>
      </c>
      <c r="AB27" s="54">
        <f t="shared" si="3"/>
        <v>11</v>
      </c>
    </row>
    <row r="28" spans="1:28">
      <c r="A28" s="1" t="s">
        <v>27</v>
      </c>
      <c r="B28" s="3" t="s">
        <v>5</v>
      </c>
      <c r="C28" s="4" t="s">
        <v>6</v>
      </c>
      <c r="D28" s="26"/>
      <c r="E28" s="26"/>
      <c r="F28" s="26"/>
      <c r="G28" s="26"/>
      <c r="H28" s="27"/>
      <c r="I28" s="1" t="s">
        <v>27</v>
      </c>
      <c r="J28" s="1" t="s">
        <v>27</v>
      </c>
      <c r="K28" s="1" t="s">
        <v>27</v>
      </c>
      <c r="L28" s="26"/>
      <c r="M28" s="26"/>
      <c r="N28" s="26"/>
      <c r="O28" s="26"/>
      <c r="P28" s="27"/>
      <c r="Q28" s="50"/>
      <c r="R28" s="26"/>
      <c r="S28" s="26"/>
      <c r="T28" s="23" t="s">
        <v>29</v>
      </c>
      <c r="U28" s="1">
        <v>50</v>
      </c>
      <c r="V28" s="1">
        <v>520</v>
      </c>
      <c r="W28" s="45"/>
      <c r="X28" s="46">
        <v>3</v>
      </c>
      <c r="Y28" s="46">
        <v>3</v>
      </c>
      <c r="Z28" s="1">
        <f t="shared" si="1"/>
        <v>1</v>
      </c>
      <c r="AA28" s="1">
        <f t="shared" si="2"/>
        <v>0</v>
      </c>
      <c r="AB28" s="54">
        <f t="shared" si="3"/>
        <v>2</v>
      </c>
    </row>
    <row r="29" spans="1:28" ht="15.75" thickBot="1">
      <c r="A29" s="1" t="s">
        <v>27</v>
      </c>
      <c r="B29" s="3" t="s">
        <v>5</v>
      </c>
      <c r="C29" s="4" t="s">
        <v>6</v>
      </c>
      <c r="D29" s="26"/>
      <c r="E29" s="26"/>
      <c r="F29" s="26"/>
      <c r="G29" s="26"/>
      <c r="H29" s="27"/>
      <c r="I29" s="1" t="s">
        <v>27</v>
      </c>
      <c r="J29" s="1" t="s">
        <v>27</v>
      </c>
      <c r="K29" s="1" t="s">
        <v>27</v>
      </c>
      <c r="L29" s="26"/>
      <c r="M29" s="26"/>
      <c r="N29" s="26"/>
      <c r="O29" s="26"/>
      <c r="P29" s="27"/>
      <c r="Q29" s="56"/>
      <c r="R29" s="31"/>
      <c r="S29" s="31"/>
      <c r="T29" s="30"/>
      <c r="U29" s="30"/>
      <c r="V29" s="30"/>
      <c r="W29" s="30"/>
      <c r="X29" s="30"/>
      <c r="Y29" s="30"/>
      <c r="Z29" s="30"/>
      <c r="AA29" s="30"/>
      <c r="AB29" s="57"/>
    </row>
    <row r="30" spans="1:28">
      <c r="A30" s="1" t="s">
        <v>27</v>
      </c>
      <c r="B30" s="3" t="s">
        <v>5</v>
      </c>
      <c r="C30" s="4" t="s">
        <v>6</v>
      </c>
      <c r="D30" s="26"/>
      <c r="E30" s="26"/>
      <c r="F30" s="26"/>
      <c r="G30" s="26"/>
      <c r="H30" s="27"/>
      <c r="I30" s="1" t="s">
        <v>27</v>
      </c>
      <c r="J30" s="1" t="s">
        <v>27</v>
      </c>
      <c r="K30" s="1" t="s">
        <v>27</v>
      </c>
      <c r="L30" s="26"/>
      <c r="M30" s="26"/>
      <c r="N30" s="26"/>
      <c r="O30" s="26"/>
      <c r="P30" s="27"/>
    </row>
    <row r="31" spans="1:28">
      <c r="A31" s="1" t="s">
        <v>27</v>
      </c>
      <c r="B31" s="15" t="s">
        <v>17</v>
      </c>
      <c r="C31" s="4" t="s">
        <v>6</v>
      </c>
      <c r="D31" s="26"/>
      <c r="E31" s="26"/>
      <c r="F31" s="26"/>
      <c r="G31" s="26"/>
      <c r="H31" s="27"/>
      <c r="I31" s="1" t="s">
        <v>27</v>
      </c>
      <c r="J31" s="1" t="s">
        <v>27</v>
      </c>
      <c r="K31" s="1" t="s">
        <v>27</v>
      </c>
      <c r="L31" s="26"/>
      <c r="M31" s="26"/>
      <c r="N31" s="26"/>
      <c r="O31" s="26"/>
      <c r="P31" s="27"/>
      <c r="Y31">
        <f>SUM(Y3:Y28)</f>
        <v>1075</v>
      </c>
    </row>
    <row r="32" spans="1:28">
      <c r="A32" s="1" t="s">
        <v>27</v>
      </c>
      <c r="B32" s="3" t="s">
        <v>5</v>
      </c>
      <c r="C32" s="17" t="s">
        <v>20</v>
      </c>
      <c r="D32" s="26"/>
      <c r="E32" s="26"/>
      <c r="F32" s="26"/>
      <c r="G32" s="26"/>
      <c r="H32" s="27"/>
      <c r="I32" s="1" t="s">
        <v>27</v>
      </c>
      <c r="J32" s="1" t="s">
        <v>27</v>
      </c>
      <c r="K32" s="1" t="s">
        <v>27</v>
      </c>
      <c r="L32" s="26"/>
      <c r="M32" s="26"/>
      <c r="N32" s="26"/>
      <c r="O32" s="26"/>
      <c r="P32" s="27"/>
      <c r="Q32" t="s">
        <v>57</v>
      </c>
      <c r="R32">
        <v>1</v>
      </c>
      <c r="S32" t="s">
        <v>59</v>
      </c>
    </row>
    <row r="33" spans="1:19">
      <c r="A33" s="1" t="s">
        <v>27</v>
      </c>
      <c r="B33" s="4" t="s">
        <v>6</v>
      </c>
      <c r="C33" s="3" t="s">
        <v>5</v>
      </c>
      <c r="D33" s="26"/>
      <c r="E33" s="26"/>
      <c r="F33" s="26"/>
      <c r="G33" s="26"/>
      <c r="H33" s="27"/>
      <c r="I33" s="1" t="s">
        <v>27</v>
      </c>
      <c r="J33" s="1" t="s">
        <v>27</v>
      </c>
      <c r="K33" s="1" t="s">
        <v>27</v>
      </c>
      <c r="L33" s="26"/>
      <c r="M33" s="26"/>
      <c r="N33" s="26"/>
      <c r="O33" s="26"/>
      <c r="P33" s="27"/>
      <c r="R33">
        <v>2</v>
      </c>
      <c r="S33" t="s">
        <v>60</v>
      </c>
    </row>
    <row r="34" spans="1:19">
      <c r="A34" s="1" t="s">
        <v>27</v>
      </c>
      <c r="B34" s="2" t="s">
        <v>4</v>
      </c>
      <c r="C34" s="3" t="s">
        <v>5</v>
      </c>
      <c r="D34" s="26"/>
      <c r="E34" s="26"/>
      <c r="F34" s="26"/>
      <c r="G34" s="26"/>
      <c r="H34" s="27"/>
      <c r="I34" s="28" t="s">
        <v>27</v>
      </c>
      <c r="J34" s="1" t="s">
        <v>27</v>
      </c>
      <c r="K34" s="1" t="s">
        <v>27</v>
      </c>
      <c r="L34" s="26"/>
      <c r="M34" s="26"/>
      <c r="N34" s="26"/>
      <c r="O34" s="26"/>
      <c r="P34" s="27"/>
      <c r="R34">
        <v>3</v>
      </c>
      <c r="S34" t="s">
        <v>58</v>
      </c>
    </row>
    <row r="35" spans="1:19">
      <c r="A35" s="1" t="s">
        <v>27</v>
      </c>
      <c r="B35" s="4" t="s">
        <v>6</v>
      </c>
      <c r="C35" s="3" t="s">
        <v>5</v>
      </c>
      <c r="D35" s="26"/>
      <c r="E35" s="26"/>
      <c r="F35" s="26"/>
      <c r="G35" s="26"/>
      <c r="H35" s="27"/>
      <c r="I35" s="28" t="s">
        <v>27</v>
      </c>
      <c r="J35" s="1" t="s">
        <v>27</v>
      </c>
      <c r="K35" s="1" t="s">
        <v>27</v>
      </c>
      <c r="L35" s="26"/>
      <c r="M35" s="26"/>
      <c r="N35" s="26"/>
      <c r="O35" s="26"/>
      <c r="P35" s="27"/>
      <c r="R35">
        <v>4</v>
      </c>
      <c r="S35" t="s">
        <v>61</v>
      </c>
    </row>
    <row r="36" spans="1:19">
      <c r="A36" s="1" t="s">
        <v>27</v>
      </c>
      <c r="B36" s="17" t="s">
        <v>20</v>
      </c>
      <c r="C36" s="15" t="s">
        <v>17</v>
      </c>
      <c r="D36" s="26"/>
      <c r="E36" s="26"/>
      <c r="F36" s="26"/>
      <c r="G36" s="26"/>
      <c r="H36" s="27"/>
      <c r="I36" s="28" t="s">
        <v>27</v>
      </c>
      <c r="J36" s="1" t="s">
        <v>27</v>
      </c>
      <c r="K36" s="1" t="s">
        <v>27</v>
      </c>
      <c r="L36" s="26"/>
      <c r="M36" s="26"/>
      <c r="N36" s="26"/>
      <c r="O36" s="26"/>
      <c r="P36" s="27"/>
      <c r="S36" t="s">
        <v>62</v>
      </c>
    </row>
    <row r="37" spans="1:19">
      <c r="A37" s="1" t="s">
        <v>27</v>
      </c>
      <c r="B37" s="4" t="s">
        <v>6</v>
      </c>
      <c r="C37" s="3" t="s">
        <v>5</v>
      </c>
      <c r="D37" s="26"/>
      <c r="E37" s="26"/>
      <c r="F37" s="26"/>
      <c r="G37" s="26"/>
      <c r="H37" s="27"/>
      <c r="I37" s="28" t="s">
        <v>27</v>
      </c>
      <c r="J37" s="1" t="s">
        <v>27</v>
      </c>
      <c r="K37" s="1" t="s">
        <v>27</v>
      </c>
      <c r="L37" s="26"/>
      <c r="M37" s="26"/>
      <c r="N37" s="26"/>
      <c r="O37" s="26"/>
      <c r="P37" s="27"/>
      <c r="R37">
        <v>5</v>
      </c>
      <c r="S37" t="s">
        <v>63</v>
      </c>
    </row>
    <row r="38" spans="1:19">
      <c r="A38" s="1" t="s">
        <v>27</v>
      </c>
      <c r="B38" s="4" t="s">
        <v>6</v>
      </c>
      <c r="C38" s="3" t="s">
        <v>5</v>
      </c>
      <c r="D38" s="26"/>
      <c r="E38" s="26"/>
      <c r="F38" s="26"/>
      <c r="G38" s="26"/>
      <c r="H38" s="27"/>
      <c r="I38" s="28" t="s">
        <v>27</v>
      </c>
      <c r="J38" s="1" t="s">
        <v>27</v>
      </c>
      <c r="K38" s="1" t="s">
        <v>27</v>
      </c>
      <c r="L38" s="26"/>
      <c r="M38" s="26"/>
      <c r="N38" s="26"/>
      <c r="O38" s="26"/>
      <c r="P38" s="27"/>
      <c r="R38">
        <v>6</v>
      </c>
      <c r="S38" t="s">
        <v>64</v>
      </c>
    </row>
    <row r="39" spans="1:19">
      <c r="A39" s="1" t="s">
        <v>27</v>
      </c>
      <c r="B39" s="4" t="s">
        <v>6</v>
      </c>
      <c r="C39" s="4" t="s">
        <v>6</v>
      </c>
      <c r="D39" s="26"/>
      <c r="E39" s="26"/>
      <c r="F39" s="26"/>
      <c r="G39" s="26"/>
      <c r="H39" s="27"/>
      <c r="I39" s="28" t="s">
        <v>27</v>
      </c>
      <c r="J39" s="1" t="s">
        <v>27</v>
      </c>
      <c r="K39" s="1" t="s">
        <v>27</v>
      </c>
      <c r="L39" s="26"/>
      <c r="M39" s="26"/>
      <c r="N39" s="26"/>
      <c r="O39" s="26"/>
      <c r="P39" s="27"/>
      <c r="R39">
        <v>7</v>
      </c>
      <c r="S39" t="s">
        <v>65</v>
      </c>
    </row>
    <row r="40" spans="1:19">
      <c r="A40" s="1" t="s">
        <v>27</v>
      </c>
      <c r="B40" s="17" t="s">
        <v>19</v>
      </c>
      <c r="C40" s="4" t="s">
        <v>6</v>
      </c>
      <c r="D40" s="26"/>
      <c r="E40" s="26"/>
      <c r="F40" s="26"/>
      <c r="G40" s="26"/>
      <c r="H40" s="27"/>
      <c r="I40" s="28" t="s">
        <v>27</v>
      </c>
      <c r="J40" s="1" t="s">
        <v>27</v>
      </c>
      <c r="K40" s="1" t="s">
        <v>27</v>
      </c>
      <c r="L40" s="26"/>
      <c r="M40" s="26"/>
      <c r="N40" s="26"/>
      <c r="O40" s="26"/>
      <c r="P40" s="27"/>
    </row>
    <row r="41" spans="1:19">
      <c r="A41" s="1" t="s">
        <v>27</v>
      </c>
      <c r="B41" s="4" t="s">
        <v>6</v>
      </c>
      <c r="C41" s="9" t="s">
        <v>11</v>
      </c>
      <c r="D41" s="26"/>
      <c r="E41" s="26"/>
      <c r="F41" s="26"/>
      <c r="G41" s="26"/>
      <c r="H41" s="27"/>
      <c r="I41" s="28" t="s">
        <v>27</v>
      </c>
      <c r="J41" s="1" t="s">
        <v>27</v>
      </c>
      <c r="K41" s="1" t="s">
        <v>27</v>
      </c>
      <c r="L41" s="26"/>
      <c r="M41" s="26"/>
      <c r="N41" s="26"/>
      <c r="O41" s="26"/>
      <c r="P41" s="27"/>
    </row>
    <row r="42" spans="1:19">
      <c r="A42" s="1" t="s">
        <v>27</v>
      </c>
      <c r="B42" s="3" t="s">
        <v>5</v>
      </c>
      <c r="C42" s="4" t="s">
        <v>6</v>
      </c>
      <c r="D42" s="26"/>
      <c r="E42" s="26"/>
      <c r="F42" s="26"/>
      <c r="G42" s="26"/>
      <c r="H42" s="27"/>
      <c r="I42" s="28" t="s">
        <v>27</v>
      </c>
      <c r="J42" s="1" t="s">
        <v>27</v>
      </c>
      <c r="K42" s="1" t="s">
        <v>27</v>
      </c>
      <c r="L42" s="26"/>
      <c r="M42" s="26"/>
      <c r="N42" s="26"/>
      <c r="O42" s="26"/>
      <c r="P42" s="27"/>
    </row>
    <row r="43" spans="1:19">
      <c r="A43" s="1" t="s">
        <v>27</v>
      </c>
      <c r="B43" s="3" t="s">
        <v>5</v>
      </c>
      <c r="C43" s="17" t="s">
        <v>19</v>
      </c>
      <c r="D43" s="26"/>
      <c r="E43" s="26"/>
      <c r="F43" s="26"/>
      <c r="G43" s="26"/>
      <c r="H43" s="27"/>
      <c r="I43" s="28" t="s">
        <v>27</v>
      </c>
      <c r="J43" s="1" t="s">
        <v>27</v>
      </c>
      <c r="K43" s="1" t="s">
        <v>27</v>
      </c>
      <c r="L43" s="26"/>
      <c r="M43" s="26"/>
      <c r="N43" s="26"/>
      <c r="O43" s="26"/>
      <c r="P43" s="27"/>
    </row>
    <row r="44" spans="1:19">
      <c r="A44" s="1" t="s">
        <v>27</v>
      </c>
      <c r="B44" s="3" t="s">
        <v>5</v>
      </c>
      <c r="C44" s="4" t="s">
        <v>6</v>
      </c>
      <c r="D44" s="26"/>
      <c r="E44" s="26"/>
      <c r="F44" s="26"/>
      <c r="G44" s="26"/>
      <c r="H44" s="27"/>
      <c r="I44" s="28" t="s">
        <v>27</v>
      </c>
      <c r="J44" s="1" t="s">
        <v>27</v>
      </c>
      <c r="K44" s="1" t="s">
        <v>27</v>
      </c>
      <c r="L44" s="26"/>
      <c r="M44" s="26"/>
      <c r="N44" s="26"/>
      <c r="O44" s="26"/>
      <c r="P44" s="27"/>
    </row>
    <row r="45" spans="1:19">
      <c r="A45" s="1" t="s">
        <v>27</v>
      </c>
      <c r="B45" s="3" t="s">
        <v>5</v>
      </c>
      <c r="C45" s="4" t="s">
        <v>6</v>
      </c>
      <c r="D45" s="26"/>
      <c r="E45" s="26"/>
      <c r="F45" s="26"/>
      <c r="G45" s="26"/>
      <c r="H45" s="27"/>
      <c r="I45" s="28" t="s">
        <v>27</v>
      </c>
      <c r="J45" s="1" t="s">
        <v>27</v>
      </c>
      <c r="K45" s="1" t="s">
        <v>27</v>
      </c>
      <c r="L45" s="26"/>
      <c r="M45" s="26"/>
      <c r="N45" s="26"/>
      <c r="O45" s="26"/>
      <c r="P45" s="27"/>
    </row>
    <row r="46" spans="1:19">
      <c r="A46" s="1" t="s">
        <v>27</v>
      </c>
      <c r="B46" s="4" t="s">
        <v>6</v>
      </c>
      <c r="C46" s="4" t="s">
        <v>6</v>
      </c>
      <c r="D46" s="26"/>
      <c r="E46" s="26"/>
      <c r="F46" s="26"/>
      <c r="G46" s="26"/>
      <c r="H46" s="27"/>
      <c r="I46" s="28" t="s">
        <v>27</v>
      </c>
      <c r="J46" s="1" t="s">
        <v>27</v>
      </c>
      <c r="K46" s="1" t="s">
        <v>27</v>
      </c>
      <c r="L46" s="26"/>
      <c r="M46" s="26"/>
      <c r="N46" s="26"/>
      <c r="O46" s="26"/>
      <c r="P46" s="27"/>
    </row>
    <row r="47" spans="1:19">
      <c r="A47" s="1" t="s">
        <v>27</v>
      </c>
      <c r="B47" s="4" t="s">
        <v>6</v>
      </c>
      <c r="C47" s="4" t="s">
        <v>6</v>
      </c>
      <c r="D47" s="26"/>
      <c r="E47" s="26"/>
      <c r="F47" s="26"/>
      <c r="G47" s="26"/>
      <c r="H47" s="27"/>
      <c r="I47" s="28" t="s">
        <v>27</v>
      </c>
      <c r="J47" s="1" t="s">
        <v>27</v>
      </c>
      <c r="K47" s="1" t="s">
        <v>27</v>
      </c>
      <c r="L47" s="26"/>
      <c r="M47" s="26"/>
      <c r="N47" s="26"/>
      <c r="O47" s="26"/>
      <c r="P47" s="27"/>
    </row>
    <row r="48" spans="1:19">
      <c r="A48" s="1" t="s">
        <v>27</v>
      </c>
      <c r="B48" s="4" t="s">
        <v>6</v>
      </c>
      <c r="C48" s="16" t="s">
        <v>18</v>
      </c>
      <c r="D48" s="26"/>
      <c r="E48" s="26"/>
      <c r="F48" s="26"/>
      <c r="G48" s="26"/>
      <c r="H48" s="27"/>
      <c r="I48" s="28" t="s">
        <v>27</v>
      </c>
      <c r="J48" s="1" t="s">
        <v>27</v>
      </c>
      <c r="K48" s="1" t="s">
        <v>27</v>
      </c>
      <c r="L48" s="26"/>
      <c r="M48" s="26"/>
      <c r="N48" s="26"/>
      <c r="O48" s="26"/>
      <c r="P48" s="27"/>
    </row>
    <row r="49" spans="1:16">
      <c r="A49" s="1" t="s">
        <v>27</v>
      </c>
      <c r="B49" s="17" t="s">
        <v>20</v>
      </c>
      <c r="C49" s="4" t="s">
        <v>6</v>
      </c>
      <c r="D49" s="26"/>
      <c r="E49" s="26"/>
      <c r="F49" s="26"/>
      <c r="G49" s="26"/>
      <c r="H49" s="27"/>
      <c r="I49" s="28" t="s">
        <v>27</v>
      </c>
      <c r="J49" s="1" t="s">
        <v>27</v>
      </c>
      <c r="K49" s="1" t="s">
        <v>27</v>
      </c>
      <c r="L49" s="26"/>
      <c r="M49" s="26"/>
      <c r="N49" s="26"/>
      <c r="O49" s="26"/>
      <c r="P49" s="27"/>
    </row>
    <row r="50" spans="1:16">
      <c r="A50" s="1" t="s">
        <v>27</v>
      </c>
      <c r="B50" s="1" t="s">
        <v>27</v>
      </c>
      <c r="C50" s="4" t="s">
        <v>6</v>
      </c>
      <c r="D50" s="26"/>
      <c r="E50" s="26"/>
      <c r="F50" s="26"/>
      <c r="G50" s="26"/>
      <c r="H50" s="27"/>
      <c r="I50" s="28" t="s">
        <v>27</v>
      </c>
      <c r="J50" s="1" t="s">
        <v>27</v>
      </c>
      <c r="K50" s="1" t="s">
        <v>27</v>
      </c>
      <c r="L50" s="26"/>
      <c r="M50" s="26"/>
      <c r="N50" s="26"/>
      <c r="O50" s="26"/>
      <c r="P50" s="27"/>
    </row>
    <row r="51" spans="1:16">
      <c r="A51" s="1" t="s">
        <v>27</v>
      </c>
      <c r="B51" s="1" t="s">
        <v>27</v>
      </c>
      <c r="C51" s="17" t="s">
        <v>20</v>
      </c>
      <c r="D51" s="26"/>
      <c r="E51" s="26"/>
      <c r="F51" s="26"/>
      <c r="G51" s="26"/>
      <c r="H51" s="27"/>
      <c r="I51" s="28" t="s">
        <v>27</v>
      </c>
      <c r="J51" s="1" t="s">
        <v>27</v>
      </c>
      <c r="K51" s="1" t="s">
        <v>27</v>
      </c>
      <c r="L51" s="26"/>
      <c r="M51" s="26"/>
      <c r="N51" s="26"/>
      <c r="O51" s="26"/>
      <c r="P51" s="27"/>
    </row>
    <row r="52" spans="1:16">
      <c r="A52" s="1" t="s">
        <v>27</v>
      </c>
      <c r="B52" s="1" t="s">
        <v>27</v>
      </c>
      <c r="C52" s="1" t="s">
        <v>27</v>
      </c>
      <c r="D52" s="26"/>
      <c r="E52" s="26"/>
      <c r="F52" s="26"/>
      <c r="G52" s="26"/>
      <c r="H52" s="27"/>
      <c r="I52" s="28" t="s">
        <v>27</v>
      </c>
      <c r="J52" s="1" t="s">
        <v>27</v>
      </c>
      <c r="K52" s="1" t="s">
        <v>27</v>
      </c>
      <c r="L52" s="26"/>
      <c r="M52" s="26"/>
      <c r="N52" s="26"/>
      <c r="O52" s="26"/>
      <c r="P52" s="27"/>
    </row>
    <row r="53" spans="1:16">
      <c r="A53" s="1" t="s">
        <v>27</v>
      </c>
      <c r="B53" s="1" t="s">
        <v>27</v>
      </c>
      <c r="C53" s="1" t="s">
        <v>27</v>
      </c>
      <c r="D53" s="26"/>
      <c r="E53" s="26"/>
      <c r="F53" s="26"/>
      <c r="G53" s="26"/>
      <c r="H53" s="27"/>
      <c r="I53" s="28" t="s">
        <v>27</v>
      </c>
      <c r="J53" s="1" t="s">
        <v>27</v>
      </c>
      <c r="K53" s="1" t="s">
        <v>27</v>
      </c>
      <c r="L53" s="26"/>
      <c r="M53" s="26"/>
      <c r="N53" s="26"/>
      <c r="O53" s="26"/>
      <c r="P53" s="27"/>
    </row>
    <row r="54" spans="1:16">
      <c r="A54" s="1" t="s">
        <v>27</v>
      </c>
      <c r="B54" s="1" t="s">
        <v>27</v>
      </c>
      <c r="C54" s="1" t="s">
        <v>27</v>
      </c>
      <c r="D54" s="26"/>
      <c r="E54" s="26"/>
      <c r="F54" s="26"/>
      <c r="G54" s="26"/>
      <c r="H54" s="27"/>
      <c r="I54" s="28" t="s">
        <v>27</v>
      </c>
      <c r="J54" s="1" t="s">
        <v>27</v>
      </c>
      <c r="K54" s="1" t="s">
        <v>27</v>
      </c>
      <c r="L54" s="26"/>
      <c r="M54" s="26"/>
      <c r="N54" s="26"/>
      <c r="O54" s="26"/>
      <c r="P54" s="27"/>
    </row>
    <row r="55" spans="1:16">
      <c r="A55" s="1" t="s">
        <v>27</v>
      </c>
      <c r="B55" s="1" t="s">
        <v>27</v>
      </c>
      <c r="C55" s="1" t="s">
        <v>27</v>
      </c>
      <c r="D55" s="26"/>
      <c r="E55" s="26"/>
      <c r="F55" s="26"/>
      <c r="G55" s="26"/>
      <c r="H55" s="27"/>
      <c r="I55" s="28" t="s">
        <v>27</v>
      </c>
      <c r="J55" s="1" t="s">
        <v>27</v>
      </c>
      <c r="K55" s="1" t="s">
        <v>27</v>
      </c>
      <c r="L55" s="26"/>
      <c r="M55" s="26"/>
      <c r="N55" s="26"/>
      <c r="O55" s="26"/>
      <c r="P55" s="27"/>
    </row>
    <row r="56" spans="1:16">
      <c r="A56" s="28" t="s">
        <v>27</v>
      </c>
      <c r="B56" s="1" t="s">
        <v>27</v>
      </c>
      <c r="C56" s="1" t="s">
        <v>27</v>
      </c>
      <c r="D56" s="26"/>
      <c r="E56" s="26"/>
      <c r="F56" s="26"/>
      <c r="G56" s="26"/>
      <c r="H56" s="27"/>
      <c r="I56" s="28" t="s">
        <v>27</v>
      </c>
      <c r="J56" s="1" t="s">
        <v>27</v>
      </c>
      <c r="K56" s="1" t="s">
        <v>27</v>
      </c>
      <c r="L56" s="26"/>
      <c r="M56" s="26"/>
      <c r="N56" s="26"/>
      <c r="O56" s="26"/>
      <c r="P56" s="27"/>
    </row>
    <row r="57" spans="1:16">
      <c r="A57" s="28" t="s">
        <v>27</v>
      </c>
      <c r="B57" s="1" t="s">
        <v>27</v>
      </c>
      <c r="C57" s="1" t="s">
        <v>27</v>
      </c>
      <c r="D57" s="26"/>
      <c r="E57" s="26"/>
      <c r="F57" s="26"/>
      <c r="G57" s="26"/>
      <c r="H57" s="27"/>
      <c r="I57" s="28" t="s">
        <v>27</v>
      </c>
      <c r="J57" s="1" t="s">
        <v>27</v>
      </c>
      <c r="K57" s="1" t="s">
        <v>27</v>
      </c>
      <c r="L57" s="26"/>
      <c r="M57" s="26"/>
      <c r="N57" s="26"/>
      <c r="O57" s="26"/>
      <c r="P57" s="27"/>
    </row>
    <row r="58" spans="1:16">
      <c r="A58" s="28" t="s">
        <v>27</v>
      </c>
      <c r="B58" s="1" t="s">
        <v>27</v>
      </c>
      <c r="C58" s="1" t="s">
        <v>27</v>
      </c>
      <c r="D58" s="26"/>
      <c r="E58" s="26"/>
      <c r="F58" s="26"/>
      <c r="G58" s="26"/>
      <c r="H58" s="27"/>
      <c r="I58" s="28" t="s">
        <v>27</v>
      </c>
      <c r="J58" s="1" t="s">
        <v>27</v>
      </c>
      <c r="K58" s="1" t="s">
        <v>27</v>
      </c>
      <c r="L58" s="26"/>
      <c r="M58" s="26"/>
      <c r="N58" s="26"/>
      <c r="O58" s="26"/>
      <c r="P58" s="27"/>
    </row>
    <row r="59" spans="1:16">
      <c r="A59" s="28" t="s">
        <v>27</v>
      </c>
      <c r="B59" s="1" t="s">
        <v>27</v>
      </c>
      <c r="C59" s="1" t="s">
        <v>27</v>
      </c>
      <c r="D59" s="26"/>
      <c r="E59" s="26"/>
      <c r="F59" s="26"/>
      <c r="G59" s="26"/>
      <c r="H59" s="27"/>
      <c r="I59" s="28" t="s">
        <v>27</v>
      </c>
      <c r="J59" s="1" t="s">
        <v>27</v>
      </c>
      <c r="K59" s="1" t="s">
        <v>27</v>
      </c>
      <c r="L59" s="26"/>
      <c r="M59" s="26"/>
      <c r="N59" s="26"/>
      <c r="O59" s="26"/>
      <c r="P59" s="27"/>
    </row>
    <row r="60" spans="1:16">
      <c r="A60" s="28" t="s">
        <v>27</v>
      </c>
      <c r="B60" s="1" t="s">
        <v>27</v>
      </c>
      <c r="C60" s="1" t="s">
        <v>27</v>
      </c>
      <c r="D60" s="26"/>
      <c r="E60" s="26"/>
      <c r="F60" s="26"/>
      <c r="G60" s="26"/>
      <c r="H60" s="27"/>
      <c r="I60" s="28" t="s">
        <v>27</v>
      </c>
      <c r="J60" s="1" t="s">
        <v>27</v>
      </c>
      <c r="K60" s="1" t="s">
        <v>27</v>
      </c>
      <c r="L60" s="26"/>
      <c r="M60" s="26"/>
      <c r="N60" s="26"/>
      <c r="O60" s="26"/>
      <c r="P60" s="27"/>
    </row>
    <row r="61" spans="1:16">
      <c r="A61" s="28" t="s">
        <v>27</v>
      </c>
      <c r="B61" s="1" t="s">
        <v>27</v>
      </c>
      <c r="C61" s="1" t="s">
        <v>27</v>
      </c>
      <c r="D61" s="26"/>
      <c r="E61" s="26"/>
      <c r="F61" s="26"/>
      <c r="G61" s="26"/>
      <c r="H61" s="27"/>
      <c r="I61" s="28" t="s">
        <v>27</v>
      </c>
      <c r="J61" s="1" t="s">
        <v>27</v>
      </c>
      <c r="K61" s="1" t="s">
        <v>27</v>
      </c>
      <c r="L61" s="26"/>
      <c r="M61" s="26"/>
      <c r="N61" s="26"/>
      <c r="O61" s="26"/>
      <c r="P61" s="27"/>
    </row>
    <row r="62" spans="1:16">
      <c r="A62" s="28" t="s">
        <v>27</v>
      </c>
      <c r="B62" s="1" t="s">
        <v>27</v>
      </c>
      <c r="C62" s="1" t="s">
        <v>27</v>
      </c>
      <c r="D62" s="26"/>
      <c r="E62" s="26"/>
      <c r="F62" s="26"/>
      <c r="G62" s="26"/>
      <c r="H62" s="27"/>
      <c r="I62" s="28" t="s">
        <v>27</v>
      </c>
      <c r="J62" s="1" t="s">
        <v>27</v>
      </c>
      <c r="K62" s="1" t="s">
        <v>27</v>
      </c>
      <c r="L62" s="26"/>
      <c r="M62" s="26"/>
      <c r="N62" s="26"/>
      <c r="O62" s="26"/>
      <c r="P62" s="27"/>
    </row>
    <row r="63" spans="1:16">
      <c r="A63" s="28" t="s">
        <v>27</v>
      </c>
      <c r="B63" s="1" t="s">
        <v>27</v>
      </c>
      <c r="C63" s="1" t="s">
        <v>27</v>
      </c>
      <c r="D63" s="26"/>
      <c r="E63" s="26"/>
      <c r="F63" s="26"/>
      <c r="G63" s="26"/>
      <c r="H63" s="27"/>
      <c r="I63" s="28" t="s">
        <v>27</v>
      </c>
      <c r="J63" s="1" t="s">
        <v>27</v>
      </c>
      <c r="K63" s="1" t="s">
        <v>27</v>
      </c>
      <c r="L63" s="26"/>
      <c r="M63" s="26"/>
      <c r="N63" s="26"/>
      <c r="O63" s="26"/>
      <c r="P63" s="27"/>
    </row>
    <row r="64" spans="1:16">
      <c r="A64" s="28" t="s">
        <v>27</v>
      </c>
      <c r="B64" s="1" t="s">
        <v>27</v>
      </c>
      <c r="C64" s="1" t="s">
        <v>27</v>
      </c>
      <c r="D64" s="26"/>
      <c r="E64" s="26"/>
      <c r="F64" s="26"/>
      <c r="G64" s="26"/>
      <c r="H64" s="27"/>
      <c r="I64" s="28" t="s">
        <v>27</v>
      </c>
      <c r="J64" s="1" t="s">
        <v>27</v>
      </c>
      <c r="K64" s="1" t="s">
        <v>27</v>
      </c>
      <c r="L64" s="26"/>
      <c r="M64" s="26"/>
      <c r="N64" s="26"/>
      <c r="O64" s="26"/>
      <c r="P64" s="27"/>
    </row>
    <row r="65" spans="1:16">
      <c r="A65" s="28" t="s">
        <v>27</v>
      </c>
      <c r="B65" s="1" t="s">
        <v>27</v>
      </c>
      <c r="C65" s="1" t="s">
        <v>27</v>
      </c>
      <c r="D65" s="26"/>
      <c r="E65" s="26"/>
      <c r="F65" s="26"/>
      <c r="G65" s="26"/>
      <c r="H65" s="27"/>
      <c r="I65" s="28" t="s">
        <v>27</v>
      </c>
      <c r="J65" s="1" t="s">
        <v>27</v>
      </c>
      <c r="K65" s="1" t="s">
        <v>27</v>
      </c>
      <c r="L65" s="26"/>
      <c r="M65" s="26"/>
      <c r="N65" s="26"/>
      <c r="O65" s="26"/>
      <c r="P65" s="27"/>
    </row>
    <row r="66" spans="1:16">
      <c r="A66" s="28" t="s">
        <v>27</v>
      </c>
      <c r="B66" s="1" t="s">
        <v>27</v>
      </c>
      <c r="C66" s="1" t="s">
        <v>27</v>
      </c>
      <c r="D66" s="26"/>
      <c r="E66" s="26"/>
      <c r="F66" s="26"/>
      <c r="G66" s="26"/>
      <c r="H66" s="27"/>
      <c r="I66" s="28" t="s">
        <v>27</v>
      </c>
      <c r="J66" s="1" t="s">
        <v>27</v>
      </c>
      <c r="K66" s="1" t="s">
        <v>27</v>
      </c>
      <c r="L66" s="26"/>
      <c r="M66" s="26"/>
      <c r="N66" s="26"/>
      <c r="O66" s="26"/>
      <c r="P66" s="27"/>
    </row>
    <row r="67" spans="1:16">
      <c r="A67" s="28" t="s">
        <v>27</v>
      </c>
      <c r="B67" s="1" t="s">
        <v>27</v>
      </c>
      <c r="C67" s="1" t="s">
        <v>27</v>
      </c>
      <c r="D67" s="26"/>
      <c r="E67" s="26"/>
      <c r="F67" s="26"/>
      <c r="G67" s="26"/>
      <c r="H67" s="27"/>
      <c r="I67" s="28" t="s">
        <v>27</v>
      </c>
      <c r="J67" s="1" t="s">
        <v>27</v>
      </c>
      <c r="K67" s="1" t="s">
        <v>27</v>
      </c>
      <c r="L67" s="26"/>
      <c r="M67" s="26"/>
      <c r="N67" s="26"/>
      <c r="O67" s="26"/>
      <c r="P67" s="27"/>
    </row>
    <row r="68" spans="1:16">
      <c r="A68" s="28" t="s">
        <v>27</v>
      </c>
      <c r="B68" s="1" t="s">
        <v>27</v>
      </c>
      <c r="C68" s="1" t="s">
        <v>27</v>
      </c>
      <c r="D68" s="26"/>
      <c r="E68" s="26"/>
      <c r="F68" s="26"/>
      <c r="G68" s="26"/>
      <c r="H68" s="27"/>
      <c r="I68" s="28" t="s">
        <v>27</v>
      </c>
      <c r="J68" s="1" t="s">
        <v>27</v>
      </c>
      <c r="K68" s="1" t="s">
        <v>27</v>
      </c>
      <c r="L68" s="26"/>
      <c r="M68" s="26"/>
      <c r="N68" s="26"/>
      <c r="O68" s="26"/>
      <c r="P68" s="27"/>
    </row>
    <row r="69" spans="1:16">
      <c r="A69" s="28" t="s">
        <v>27</v>
      </c>
      <c r="B69" s="1" t="s">
        <v>27</v>
      </c>
      <c r="C69" s="1" t="s">
        <v>27</v>
      </c>
      <c r="D69" s="26"/>
      <c r="E69" s="26"/>
      <c r="F69" s="26"/>
      <c r="G69" s="26"/>
      <c r="H69" s="27"/>
      <c r="I69" s="28" t="s">
        <v>27</v>
      </c>
      <c r="J69" s="1" t="s">
        <v>27</v>
      </c>
      <c r="K69" s="1" t="s">
        <v>27</v>
      </c>
      <c r="L69" s="26"/>
      <c r="M69" s="26"/>
      <c r="N69" s="26"/>
      <c r="O69" s="26"/>
      <c r="P69" s="27"/>
    </row>
    <row r="70" spans="1:16">
      <c r="A70" s="28" t="s">
        <v>27</v>
      </c>
      <c r="B70" s="1" t="s">
        <v>27</v>
      </c>
      <c r="C70" s="1" t="s">
        <v>27</v>
      </c>
      <c r="D70" s="26"/>
      <c r="E70" s="26"/>
      <c r="F70" s="26"/>
      <c r="G70" s="26"/>
      <c r="H70" s="27"/>
      <c r="I70" s="28" t="s">
        <v>27</v>
      </c>
      <c r="J70" s="1" t="s">
        <v>27</v>
      </c>
      <c r="K70" s="1" t="s">
        <v>27</v>
      </c>
      <c r="L70" s="26"/>
      <c r="M70" s="26"/>
      <c r="N70" s="26"/>
      <c r="O70" s="26"/>
      <c r="P70" s="27"/>
    </row>
    <row r="71" spans="1:16">
      <c r="A71" s="28" t="s">
        <v>27</v>
      </c>
      <c r="B71" s="1" t="s">
        <v>27</v>
      </c>
      <c r="C71" s="1" t="s">
        <v>27</v>
      </c>
      <c r="D71" s="26"/>
      <c r="E71" s="26"/>
      <c r="F71" s="26"/>
      <c r="G71" s="26"/>
      <c r="H71" s="27"/>
      <c r="I71" s="28" t="s">
        <v>27</v>
      </c>
      <c r="J71" s="1" t="s">
        <v>27</v>
      </c>
      <c r="K71" s="1" t="s">
        <v>27</v>
      </c>
      <c r="L71" s="26"/>
      <c r="M71" s="26"/>
      <c r="N71" s="26"/>
      <c r="O71" s="26"/>
      <c r="P71" s="27"/>
    </row>
    <row r="72" spans="1:16">
      <c r="A72" s="28" t="s">
        <v>27</v>
      </c>
      <c r="B72" s="1" t="s">
        <v>27</v>
      </c>
      <c r="C72" s="1" t="s">
        <v>27</v>
      </c>
      <c r="D72" s="26"/>
      <c r="E72" s="26"/>
      <c r="F72" s="26"/>
      <c r="G72" s="26"/>
      <c r="H72" s="27"/>
      <c r="I72" s="28" t="s">
        <v>27</v>
      </c>
      <c r="J72" s="1" t="s">
        <v>27</v>
      </c>
      <c r="K72" s="1" t="s">
        <v>27</v>
      </c>
      <c r="L72" s="26"/>
      <c r="M72" s="26"/>
      <c r="N72" s="26"/>
      <c r="O72" s="26"/>
      <c r="P72" s="27"/>
    </row>
    <row r="73" spans="1:16">
      <c r="A73" s="28" t="s">
        <v>27</v>
      </c>
      <c r="B73" s="1" t="s">
        <v>27</v>
      </c>
      <c r="C73" s="1" t="s">
        <v>27</v>
      </c>
      <c r="D73" s="26"/>
      <c r="E73" s="26"/>
      <c r="F73" s="26"/>
      <c r="G73" s="26"/>
      <c r="H73" s="27"/>
      <c r="I73" s="28" t="s">
        <v>27</v>
      </c>
      <c r="J73" s="1" t="s">
        <v>27</v>
      </c>
      <c r="K73" s="1" t="s">
        <v>27</v>
      </c>
      <c r="L73" s="26"/>
      <c r="M73" s="26"/>
      <c r="N73" s="26"/>
      <c r="O73" s="26"/>
      <c r="P73" s="27"/>
    </row>
    <row r="74" spans="1:16">
      <c r="A74" s="28" t="s">
        <v>27</v>
      </c>
      <c r="B74" s="1" t="s">
        <v>27</v>
      </c>
      <c r="C74" s="1" t="s">
        <v>27</v>
      </c>
      <c r="D74" s="26"/>
      <c r="E74" s="26"/>
      <c r="F74" s="26"/>
      <c r="G74" s="26"/>
      <c r="H74" s="27"/>
      <c r="I74" s="28" t="s">
        <v>27</v>
      </c>
      <c r="J74" s="1" t="s">
        <v>27</v>
      </c>
      <c r="K74" s="1" t="s">
        <v>27</v>
      </c>
      <c r="L74" s="26"/>
      <c r="M74" s="26"/>
      <c r="N74" s="26"/>
      <c r="O74" s="26"/>
      <c r="P74" s="27"/>
    </row>
    <row r="75" spans="1:16">
      <c r="A75" s="28" t="s">
        <v>27</v>
      </c>
      <c r="B75" s="1" t="s">
        <v>27</v>
      </c>
      <c r="C75" s="1" t="s">
        <v>27</v>
      </c>
      <c r="D75" s="26"/>
      <c r="E75" s="26"/>
      <c r="F75" s="26"/>
      <c r="G75" s="26"/>
      <c r="H75" s="27"/>
      <c r="I75" s="28" t="s">
        <v>27</v>
      </c>
      <c r="J75" s="1" t="s">
        <v>27</v>
      </c>
      <c r="K75" s="1" t="s">
        <v>27</v>
      </c>
      <c r="L75" s="26"/>
      <c r="M75" s="26"/>
      <c r="N75" s="26"/>
      <c r="O75" s="26"/>
      <c r="P75" s="27"/>
    </row>
    <row r="76" spans="1:16">
      <c r="A76" s="28" t="s">
        <v>27</v>
      </c>
      <c r="B76" s="1" t="s">
        <v>27</v>
      </c>
      <c r="C76" s="1" t="s">
        <v>27</v>
      </c>
      <c r="D76" s="26"/>
      <c r="E76" s="26"/>
      <c r="F76" s="26"/>
      <c r="G76" s="26"/>
      <c r="H76" s="27"/>
      <c r="I76" s="28" t="s">
        <v>27</v>
      </c>
      <c r="J76" s="1" t="s">
        <v>27</v>
      </c>
      <c r="K76" s="1" t="s">
        <v>27</v>
      </c>
      <c r="L76" s="26"/>
      <c r="M76" s="26"/>
      <c r="N76" s="26"/>
      <c r="O76" s="26"/>
      <c r="P76" s="27"/>
    </row>
    <row r="77" spans="1:16">
      <c r="A77" s="28" t="s">
        <v>27</v>
      </c>
      <c r="B77" s="1" t="s">
        <v>27</v>
      </c>
      <c r="C77" s="1" t="s">
        <v>27</v>
      </c>
      <c r="D77" s="26"/>
      <c r="E77" s="26"/>
      <c r="F77" s="26"/>
      <c r="G77" s="26"/>
      <c r="H77" s="27"/>
      <c r="I77" s="28" t="s">
        <v>27</v>
      </c>
      <c r="J77" s="1" t="s">
        <v>27</v>
      </c>
      <c r="K77" s="1" t="s">
        <v>27</v>
      </c>
      <c r="L77" s="26"/>
      <c r="M77" s="26"/>
      <c r="N77" s="26"/>
      <c r="O77" s="26"/>
      <c r="P77" s="27"/>
    </row>
    <row r="78" spans="1:16">
      <c r="A78" s="28" t="s">
        <v>27</v>
      </c>
      <c r="B78" s="1" t="s">
        <v>27</v>
      </c>
      <c r="C78" s="1" t="s">
        <v>27</v>
      </c>
      <c r="D78" s="26"/>
      <c r="E78" s="26"/>
      <c r="F78" s="26"/>
      <c r="G78" s="26"/>
      <c r="H78" s="27"/>
      <c r="I78" s="28" t="s">
        <v>27</v>
      </c>
      <c r="J78" s="1" t="s">
        <v>27</v>
      </c>
      <c r="K78" s="1" t="s">
        <v>27</v>
      </c>
      <c r="L78" s="26"/>
      <c r="M78" s="26"/>
      <c r="N78" s="26"/>
      <c r="O78" s="26"/>
      <c r="P78" s="27"/>
    </row>
    <row r="79" spans="1:16">
      <c r="A79" s="28" t="s">
        <v>27</v>
      </c>
      <c r="B79" s="1" t="s">
        <v>27</v>
      </c>
      <c r="C79" s="1" t="s">
        <v>27</v>
      </c>
      <c r="D79" s="26"/>
      <c r="E79" s="26"/>
      <c r="F79" s="26"/>
      <c r="G79" s="26"/>
      <c r="H79" s="27"/>
      <c r="I79" s="28" t="s">
        <v>27</v>
      </c>
      <c r="J79" s="1" t="s">
        <v>27</v>
      </c>
      <c r="K79" s="1" t="s">
        <v>27</v>
      </c>
      <c r="L79" s="26"/>
      <c r="M79" s="26"/>
      <c r="N79" s="26"/>
      <c r="O79" s="26"/>
      <c r="P79" s="27"/>
    </row>
    <row r="80" spans="1:16">
      <c r="A80" s="28" t="s">
        <v>27</v>
      </c>
      <c r="B80" s="1" t="s">
        <v>27</v>
      </c>
      <c r="C80" s="1" t="s">
        <v>27</v>
      </c>
      <c r="D80" s="26"/>
      <c r="E80" s="26"/>
      <c r="F80" s="26"/>
      <c r="G80" s="26"/>
      <c r="H80" s="27"/>
      <c r="I80" s="28" t="s">
        <v>27</v>
      </c>
      <c r="J80" s="1" t="s">
        <v>27</v>
      </c>
      <c r="K80" s="1" t="s">
        <v>27</v>
      </c>
      <c r="L80" s="26"/>
      <c r="M80" s="26"/>
      <c r="N80" s="26"/>
      <c r="O80" s="26"/>
      <c r="P80" s="27"/>
    </row>
    <row r="81" spans="1:16">
      <c r="A81" s="28" t="s">
        <v>27</v>
      </c>
      <c r="B81" s="1" t="s">
        <v>27</v>
      </c>
      <c r="C81" s="1" t="s">
        <v>27</v>
      </c>
      <c r="D81" s="26"/>
      <c r="E81" s="26"/>
      <c r="F81" s="26"/>
      <c r="G81" s="26"/>
      <c r="H81" s="27"/>
      <c r="I81" s="28" t="s">
        <v>27</v>
      </c>
      <c r="J81" s="1" t="s">
        <v>27</v>
      </c>
      <c r="K81" s="1" t="s">
        <v>27</v>
      </c>
      <c r="L81" s="26"/>
      <c r="M81" s="26"/>
      <c r="N81" s="26"/>
      <c r="O81" s="26"/>
      <c r="P81" s="27"/>
    </row>
    <row r="82" spans="1:16">
      <c r="A82" s="28" t="s">
        <v>27</v>
      </c>
      <c r="B82" s="1" t="s">
        <v>27</v>
      </c>
      <c r="C82" s="1" t="s">
        <v>27</v>
      </c>
      <c r="D82" s="26"/>
      <c r="E82" s="26"/>
      <c r="F82" s="26"/>
      <c r="G82" s="26"/>
      <c r="H82" s="27"/>
      <c r="I82" s="28" t="s">
        <v>27</v>
      </c>
      <c r="J82" s="1" t="s">
        <v>27</v>
      </c>
      <c r="K82" s="1" t="s">
        <v>27</v>
      </c>
      <c r="L82" s="26"/>
      <c r="M82" s="26"/>
      <c r="N82" s="26"/>
      <c r="O82" s="26"/>
      <c r="P82" s="27"/>
    </row>
    <row r="83" spans="1:16">
      <c r="A83" s="28" t="s">
        <v>27</v>
      </c>
      <c r="B83" s="1" t="s">
        <v>27</v>
      </c>
      <c r="C83" s="1" t="s">
        <v>27</v>
      </c>
      <c r="D83" s="26"/>
      <c r="E83" s="26"/>
      <c r="F83" s="26"/>
      <c r="G83" s="26"/>
      <c r="H83" s="27"/>
      <c r="I83" s="28" t="s">
        <v>27</v>
      </c>
      <c r="J83" s="1" t="s">
        <v>27</v>
      </c>
      <c r="K83" s="1" t="s">
        <v>27</v>
      </c>
      <c r="L83" s="26"/>
      <c r="M83" s="26"/>
      <c r="N83" s="26"/>
      <c r="O83" s="26"/>
      <c r="P83" s="27"/>
    </row>
    <row r="84" spans="1:16">
      <c r="A84" s="28" t="s">
        <v>27</v>
      </c>
      <c r="B84" s="1" t="s">
        <v>27</v>
      </c>
      <c r="C84" s="1" t="s">
        <v>27</v>
      </c>
      <c r="D84" s="26"/>
      <c r="E84" s="26"/>
      <c r="F84" s="26"/>
      <c r="G84" s="26"/>
      <c r="H84" s="27"/>
      <c r="I84" s="28" t="s">
        <v>27</v>
      </c>
      <c r="J84" s="1" t="s">
        <v>27</v>
      </c>
      <c r="K84" s="1" t="s">
        <v>27</v>
      </c>
      <c r="L84" s="26"/>
      <c r="M84" s="26"/>
      <c r="N84" s="26"/>
      <c r="O84" s="26"/>
      <c r="P84" s="27"/>
    </row>
    <row r="85" spans="1:16">
      <c r="A85" s="28" t="s">
        <v>27</v>
      </c>
      <c r="B85" s="1" t="s">
        <v>27</v>
      </c>
      <c r="C85" s="1" t="s">
        <v>27</v>
      </c>
      <c r="D85" s="26"/>
      <c r="E85" s="26"/>
      <c r="F85" s="26"/>
      <c r="G85" s="26"/>
      <c r="H85" s="27"/>
      <c r="I85" s="28" t="s">
        <v>27</v>
      </c>
      <c r="J85" s="1" t="s">
        <v>27</v>
      </c>
      <c r="K85" s="1" t="s">
        <v>27</v>
      </c>
      <c r="L85" s="26"/>
      <c r="M85" s="26"/>
      <c r="N85" s="26"/>
      <c r="O85" s="26"/>
      <c r="P85" s="27"/>
    </row>
    <row r="86" spans="1:16">
      <c r="A86" s="28" t="s">
        <v>27</v>
      </c>
      <c r="B86" s="1" t="s">
        <v>27</v>
      </c>
      <c r="C86" s="1" t="s">
        <v>27</v>
      </c>
      <c r="D86" s="26"/>
      <c r="E86" s="26"/>
      <c r="F86" s="26"/>
      <c r="G86" s="26"/>
      <c r="H86" s="27"/>
      <c r="I86" s="28" t="s">
        <v>27</v>
      </c>
      <c r="J86" s="1" t="s">
        <v>27</v>
      </c>
      <c r="K86" s="1" t="s">
        <v>27</v>
      </c>
      <c r="L86" s="26"/>
      <c r="M86" s="26"/>
      <c r="N86" s="26"/>
      <c r="O86" s="26"/>
      <c r="P86" s="27"/>
    </row>
    <row r="87" spans="1:16">
      <c r="A87" s="28" t="s">
        <v>27</v>
      </c>
      <c r="B87" s="1" t="s">
        <v>27</v>
      </c>
      <c r="C87" s="1" t="s">
        <v>27</v>
      </c>
      <c r="D87" s="26"/>
      <c r="E87" s="26"/>
      <c r="F87" s="26"/>
      <c r="G87" s="26"/>
      <c r="H87" s="27"/>
      <c r="I87" s="28" t="s">
        <v>27</v>
      </c>
      <c r="J87" s="1" t="s">
        <v>27</v>
      </c>
      <c r="K87" s="1" t="s">
        <v>27</v>
      </c>
      <c r="L87" s="26"/>
      <c r="M87" s="26"/>
      <c r="N87" s="26"/>
      <c r="O87" s="26"/>
      <c r="P87" s="27"/>
    </row>
    <row r="88" spans="1:16">
      <c r="A88" s="28" t="s">
        <v>27</v>
      </c>
      <c r="B88" s="1" t="s">
        <v>27</v>
      </c>
      <c r="C88" s="1" t="s">
        <v>27</v>
      </c>
      <c r="D88" s="26"/>
      <c r="E88" s="26"/>
      <c r="F88" s="26"/>
      <c r="G88" s="26"/>
      <c r="H88" s="27"/>
      <c r="I88" s="28" t="s">
        <v>27</v>
      </c>
      <c r="J88" s="1" t="s">
        <v>27</v>
      </c>
      <c r="K88" s="1" t="s">
        <v>27</v>
      </c>
      <c r="L88" s="26"/>
      <c r="M88" s="26"/>
      <c r="N88" s="26"/>
      <c r="O88" s="26"/>
      <c r="P88" s="27"/>
    </row>
    <row r="89" spans="1:16">
      <c r="A89" s="28" t="s">
        <v>27</v>
      </c>
      <c r="B89" s="1" t="s">
        <v>27</v>
      </c>
      <c r="C89" s="1" t="s">
        <v>27</v>
      </c>
      <c r="D89" s="26"/>
      <c r="E89" s="26"/>
      <c r="F89" s="26"/>
      <c r="G89" s="26"/>
      <c r="H89" s="27"/>
      <c r="I89" s="28" t="s">
        <v>27</v>
      </c>
      <c r="J89" s="1" t="s">
        <v>27</v>
      </c>
      <c r="K89" s="1" t="s">
        <v>27</v>
      </c>
      <c r="L89" s="26"/>
      <c r="M89" s="26"/>
      <c r="N89" s="26"/>
      <c r="O89" s="26"/>
      <c r="P89" s="27"/>
    </row>
    <row r="90" spans="1:16">
      <c r="A90" s="28" t="s">
        <v>27</v>
      </c>
      <c r="B90" s="1" t="s">
        <v>27</v>
      </c>
      <c r="C90" s="1" t="s">
        <v>27</v>
      </c>
      <c r="D90" s="26"/>
      <c r="E90" s="26"/>
      <c r="F90" s="26"/>
      <c r="G90" s="26"/>
      <c r="H90" s="27"/>
      <c r="I90" s="28" t="s">
        <v>27</v>
      </c>
      <c r="J90" s="1" t="s">
        <v>27</v>
      </c>
      <c r="K90" s="1" t="s">
        <v>27</v>
      </c>
      <c r="L90" s="26"/>
      <c r="M90" s="26"/>
      <c r="N90" s="26"/>
      <c r="O90" s="26"/>
      <c r="P90" s="27"/>
    </row>
    <row r="91" spans="1:16">
      <c r="A91" s="28" t="s">
        <v>27</v>
      </c>
      <c r="B91" s="1" t="s">
        <v>27</v>
      </c>
      <c r="C91" s="1" t="s">
        <v>27</v>
      </c>
      <c r="D91" s="26"/>
      <c r="E91" s="26"/>
      <c r="F91" s="26"/>
      <c r="G91" s="26"/>
      <c r="H91" s="27"/>
      <c r="I91" s="28" t="s">
        <v>27</v>
      </c>
      <c r="J91" s="1" t="s">
        <v>27</v>
      </c>
      <c r="K91" s="1" t="s">
        <v>27</v>
      </c>
      <c r="L91" s="26"/>
      <c r="M91" s="26"/>
      <c r="N91" s="26"/>
      <c r="O91" s="26"/>
      <c r="P91" s="27"/>
    </row>
    <row r="92" spans="1:16">
      <c r="A92" s="28" t="s">
        <v>27</v>
      </c>
      <c r="B92" s="1" t="s">
        <v>27</v>
      </c>
      <c r="C92" s="1" t="s">
        <v>27</v>
      </c>
      <c r="D92" s="26"/>
      <c r="E92" s="26"/>
      <c r="F92" s="26"/>
      <c r="G92" s="26"/>
      <c r="H92" s="27"/>
      <c r="I92" s="28" t="s">
        <v>27</v>
      </c>
      <c r="J92" s="1" t="s">
        <v>27</v>
      </c>
      <c r="K92" s="1" t="s">
        <v>27</v>
      </c>
      <c r="L92" s="26"/>
      <c r="M92" s="26"/>
      <c r="N92" s="26"/>
      <c r="O92" s="26"/>
      <c r="P92" s="27"/>
    </row>
    <row r="93" spans="1:16">
      <c r="A93" s="28" t="s">
        <v>27</v>
      </c>
      <c r="B93" s="1" t="s">
        <v>27</v>
      </c>
      <c r="C93" s="1" t="s">
        <v>27</v>
      </c>
      <c r="D93" s="26"/>
      <c r="E93" s="26"/>
      <c r="F93" s="26"/>
      <c r="G93" s="26"/>
      <c r="H93" s="27"/>
      <c r="I93" s="28" t="s">
        <v>27</v>
      </c>
      <c r="J93" s="1" t="s">
        <v>27</v>
      </c>
      <c r="K93" s="1" t="s">
        <v>27</v>
      </c>
      <c r="L93" s="26"/>
      <c r="M93" s="26"/>
      <c r="N93" s="26"/>
      <c r="O93" s="26"/>
      <c r="P93" s="27"/>
    </row>
    <row r="94" spans="1:16">
      <c r="A94" s="28" t="s">
        <v>27</v>
      </c>
      <c r="B94" s="1" t="s">
        <v>27</v>
      </c>
      <c r="C94" s="1" t="s">
        <v>27</v>
      </c>
      <c r="D94" s="26"/>
      <c r="E94" s="26"/>
      <c r="F94" s="26"/>
      <c r="G94" s="26"/>
      <c r="H94" s="27"/>
      <c r="I94" s="28" t="s">
        <v>27</v>
      </c>
      <c r="J94" s="1" t="s">
        <v>27</v>
      </c>
      <c r="K94" s="1" t="s">
        <v>27</v>
      </c>
      <c r="L94" s="26"/>
      <c r="M94" s="26"/>
      <c r="N94" s="26"/>
      <c r="O94" s="26"/>
      <c r="P94" s="27"/>
    </row>
    <row r="95" spans="1:16">
      <c r="A95" s="28" t="s">
        <v>27</v>
      </c>
      <c r="B95" s="1" t="s">
        <v>27</v>
      </c>
      <c r="C95" s="1" t="s">
        <v>27</v>
      </c>
      <c r="D95" s="26"/>
      <c r="E95" s="26"/>
      <c r="F95" s="26"/>
      <c r="G95" s="26"/>
      <c r="H95" s="27"/>
      <c r="I95" s="28" t="s">
        <v>27</v>
      </c>
      <c r="J95" s="1" t="s">
        <v>27</v>
      </c>
      <c r="K95" s="1" t="s">
        <v>27</v>
      </c>
      <c r="L95" s="26"/>
      <c r="M95" s="26"/>
      <c r="N95" s="26"/>
      <c r="O95" s="26"/>
      <c r="P95" s="27"/>
    </row>
    <row r="96" spans="1:16">
      <c r="A96" s="28" t="s">
        <v>27</v>
      </c>
      <c r="B96" s="1" t="s">
        <v>27</v>
      </c>
      <c r="C96" s="1" t="s">
        <v>27</v>
      </c>
      <c r="D96" s="26"/>
      <c r="E96" s="26"/>
      <c r="F96" s="26"/>
      <c r="G96" s="26"/>
      <c r="H96" s="27"/>
      <c r="I96" s="28" t="s">
        <v>27</v>
      </c>
      <c r="J96" s="1" t="s">
        <v>27</v>
      </c>
      <c r="K96" s="1" t="s">
        <v>27</v>
      </c>
      <c r="L96" s="26"/>
      <c r="M96" s="26"/>
      <c r="N96" s="26"/>
      <c r="O96" s="26"/>
      <c r="P96" s="27"/>
    </row>
    <row r="97" spans="1:16">
      <c r="A97" s="28" t="s">
        <v>27</v>
      </c>
      <c r="B97" s="1" t="s">
        <v>27</v>
      </c>
      <c r="C97" s="1" t="s">
        <v>27</v>
      </c>
      <c r="D97" s="26"/>
      <c r="E97" s="26"/>
      <c r="F97" s="26"/>
      <c r="G97" s="26"/>
      <c r="H97" s="27"/>
      <c r="I97" s="28" t="s">
        <v>27</v>
      </c>
      <c r="J97" s="1" t="s">
        <v>27</v>
      </c>
      <c r="K97" s="1" t="s">
        <v>27</v>
      </c>
      <c r="L97" s="26"/>
      <c r="M97" s="26"/>
      <c r="N97" s="26"/>
      <c r="O97" s="26"/>
      <c r="P97" s="27"/>
    </row>
    <row r="98" spans="1:16">
      <c r="A98" s="28" t="s">
        <v>27</v>
      </c>
      <c r="B98" s="1" t="s">
        <v>27</v>
      </c>
      <c r="C98" s="1" t="s">
        <v>27</v>
      </c>
      <c r="D98" s="26"/>
      <c r="E98" s="26"/>
      <c r="F98" s="26"/>
      <c r="G98" s="26"/>
      <c r="H98" s="27"/>
      <c r="I98" s="28" t="s">
        <v>27</v>
      </c>
      <c r="J98" s="1" t="s">
        <v>27</v>
      </c>
      <c r="K98" s="1" t="s">
        <v>27</v>
      </c>
      <c r="L98" s="26"/>
      <c r="M98" s="26"/>
      <c r="N98" s="26"/>
      <c r="O98" s="26"/>
      <c r="P98" s="27"/>
    </row>
    <row r="99" spans="1:16">
      <c r="A99" s="28" t="s">
        <v>27</v>
      </c>
      <c r="B99" s="1" t="s">
        <v>27</v>
      </c>
      <c r="C99" s="1" t="s">
        <v>27</v>
      </c>
      <c r="D99" s="26"/>
      <c r="E99" s="26"/>
      <c r="F99" s="26"/>
      <c r="G99" s="26"/>
      <c r="H99" s="27"/>
      <c r="I99" s="28" t="s">
        <v>27</v>
      </c>
      <c r="J99" s="1" t="s">
        <v>27</v>
      </c>
      <c r="K99" s="1" t="s">
        <v>27</v>
      </c>
      <c r="L99" s="26"/>
      <c r="M99" s="26"/>
      <c r="N99" s="26"/>
      <c r="O99" s="26"/>
      <c r="P99" s="27"/>
    </row>
    <row r="100" spans="1:16" ht="15.75" thickBot="1">
      <c r="A100" s="29" t="s">
        <v>27</v>
      </c>
      <c r="B100" s="30" t="s">
        <v>27</v>
      </c>
      <c r="C100" s="30" t="s">
        <v>27</v>
      </c>
      <c r="D100" s="31"/>
      <c r="E100" s="31"/>
      <c r="F100" s="31"/>
      <c r="G100" s="31"/>
      <c r="H100" s="32"/>
      <c r="I100" s="29" t="s">
        <v>27</v>
      </c>
      <c r="J100" s="30" t="s">
        <v>27</v>
      </c>
      <c r="K100" s="30" t="s">
        <v>27</v>
      </c>
      <c r="L100" s="31"/>
      <c r="M100" s="31"/>
      <c r="N100" s="31"/>
      <c r="O100" s="31"/>
      <c r="P100" s="32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07A66-713F-4B0A-81FD-DF1C2E438124}">
  <dimension ref="A1:AB100"/>
  <sheetViews>
    <sheetView topLeftCell="F1" workbookViewId="0">
      <selection activeCell="Z9" sqref="Z9"/>
    </sheetView>
  </sheetViews>
  <sheetFormatPr defaultRowHeight="15"/>
  <sheetData>
    <row r="1" spans="1:28" ht="15.75">
      <c r="A1" s="62" t="s">
        <v>30</v>
      </c>
      <c r="B1" s="63"/>
      <c r="C1" s="63"/>
      <c r="D1" s="63"/>
      <c r="E1" s="63"/>
      <c r="F1" s="64" t="s">
        <v>3</v>
      </c>
      <c r="G1" s="64"/>
      <c r="H1" s="24" cm="1">
        <f t="array" ref="H1">SUM(VLOOKUP(A4:C100,$T$3:$W$36,4,FALSE))+H4*10-H8*50</f>
        <v>3277.9943423939671</v>
      </c>
      <c r="I1" s="65" t="s">
        <v>41</v>
      </c>
      <c r="J1" s="66"/>
      <c r="K1" s="66"/>
      <c r="L1" s="66"/>
      <c r="M1" s="66"/>
      <c r="N1" s="66"/>
      <c r="O1" s="66"/>
      <c r="P1" s="67"/>
      <c r="Q1" s="65" t="s">
        <v>48</v>
      </c>
      <c r="R1" s="66"/>
      <c r="S1" s="66"/>
      <c r="T1" s="66"/>
      <c r="U1" s="66"/>
      <c r="V1" s="66"/>
      <c r="W1" s="66"/>
      <c r="X1" s="66"/>
      <c r="Y1" s="66"/>
      <c r="Z1" s="66"/>
      <c r="AA1" s="66"/>
      <c r="AB1" s="67"/>
    </row>
    <row r="2" spans="1:28" ht="30">
      <c r="A2" s="68" t="s">
        <v>35</v>
      </c>
      <c r="B2" s="69"/>
      <c r="C2" s="69"/>
      <c r="D2" s="70" t="s">
        <v>37</v>
      </c>
      <c r="E2" s="71"/>
      <c r="F2" s="71"/>
      <c r="G2" s="71"/>
      <c r="H2" s="72"/>
      <c r="I2" s="73" t="s">
        <v>35</v>
      </c>
      <c r="J2" s="74"/>
      <c r="K2" s="74"/>
      <c r="L2" s="75" t="s">
        <v>37</v>
      </c>
      <c r="M2" s="75"/>
      <c r="N2" s="75"/>
      <c r="O2" s="75"/>
      <c r="P2" s="76"/>
      <c r="Q2" s="50" t="s">
        <v>43</v>
      </c>
      <c r="R2" s="51" cm="1">
        <f t="array" ref="R2">SUM(V3:V28*AB3:AB28)+H6+P6+R4*500</f>
        <v>64970</v>
      </c>
      <c r="S2" s="26"/>
      <c r="T2" s="1" t="s">
        <v>0</v>
      </c>
      <c r="U2" s="1" t="s">
        <v>1</v>
      </c>
      <c r="V2" s="1" t="s">
        <v>2</v>
      </c>
      <c r="W2" s="44" t="s">
        <v>3</v>
      </c>
      <c r="X2" s="46" t="s">
        <v>44</v>
      </c>
      <c r="Y2" s="46" t="s">
        <v>56</v>
      </c>
      <c r="Z2" s="47" t="s">
        <v>45</v>
      </c>
      <c r="AA2" s="47" t="s">
        <v>46</v>
      </c>
      <c r="AB2" s="52" t="s">
        <v>47</v>
      </c>
    </row>
    <row r="3" spans="1:28">
      <c r="A3" s="60" t="s">
        <v>31</v>
      </c>
      <c r="B3" s="61" t="s">
        <v>32</v>
      </c>
      <c r="C3" s="20" t="s">
        <v>33</v>
      </c>
      <c r="D3" s="33"/>
      <c r="E3" s="60" t="s">
        <v>31</v>
      </c>
      <c r="F3" s="61" t="s">
        <v>32</v>
      </c>
      <c r="G3" s="20" t="s">
        <v>33</v>
      </c>
      <c r="H3" s="34" t="s">
        <v>36</v>
      </c>
      <c r="I3" s="60" t="s">
        <v>31</v>
      </c>
      <c r="J3" s="61" t="s">
        <v>32</v>
      </c>
      <c r="K3" s="20" t="s">
        <v>33</v>
      </c>
      <c r="L3" s="33"/>
      <c r="M3" s="60" t="s">
        <v>31</v>
      </c>
      <c r="N3" s="61" t="s">
        <v>32</v>
      </c>
      <c r="O3" s="20" t="s">
        <v>33</v>
      </c>
      <c r="P3" s="34" t="s">
        <v>36</v>
      </c>
      <c r="Q3" s="53" t="s">
        <v>49</v>
      </c>
      <c r="R3" s="26">
        <v>91</v>
      </c>
      <c r="S3" s="26"/>
      <c r="T3" s="2" t="s">
        <v>4</v>
      </c>
      <c r="U3" s="1">
        <v>150</v>
      </c>
      <c r="V3" s="1">
        <v>35</v>
      </c>
      <c r="W3" s="45">
        <f>U3-V3/0.330882</f>
        <v>44.222109392472248</v>
      </c>
      <c r="X3" s="46"/>
      <c r="Y3" s="46">
        <v>25</v>
      </c>
      <c r="Z3" s="1">
        <f>COUNTIF($A$4:$C$100,T3)</f>
        <v>17</v>
      </c>
      <c r="AA3" s="1">
        <f>COUNTIF($I$4:$K$100,T3)</f>
        <v>8</v>
      </c>
      <c r="AB3" s="54">
        <f>Y3-Z3-AA3</f>
        <v>0</v>
      </c>
    </row>
    <row r="4" spans="1:28">
      <c r="A4" s="2" t="s">
        <v>4</v>
      </c>
      <c r="B4" s="2" t="s">
        <v>4</v>
      </c>
      <c r="C4" s="3" t="s">
        <v>5</v>
      </c>
      <c r="D4" s="43" t="s">
        <v>34</v>
      </c>
      <c r="E4" s="39">
        <v>0</v>
      </c>
      <c r="F4" s="39">
        <v>11</v>
      </c>
      <c r="G4" s="39">
        <v>13</v>
      </c>
      <c r="H4" s="36">
        <f>SUM(E4:G4)</f>
        <v>24</v>
      </c>
      <c r="I4" s="2" t="s">
        <v>4</v>
      </c>
      <c r="J4" s="9" t="s">
        <v>11</v>
      </c>
      <c r="K4" s="3" t="s">
        <v>5</v>
      </c>
      <c r="L4" s="43" t="s">
        <v>34</v>
      </c>
      <c r="M4" s="39">
        <v>2</v>
      </c>
      <c r="N4" s="39">
        <v>1</v>
      </c>
      <c r="O4" s="39">
        <v>1</v>
      </c>
      <c r="P4" s="36">
        <f>SUM(M4:O4)</f>
        <v>4</v>
      </c>
      <c r="Q4" s="53" t="s">
        <v>50</v>
      </c>
      <c r="R4" s="40">
        <v>14</v>
      </c>
      <c r="S4" s="26"/>
      <c r="T4" s="3" t="s">
        <v>5</v>
      </c>
      <c r="U4" s="1">
        <v>160</v>
      </c>
      <c r="V4" s="1">
        <v>40</v>
      </c>
      <c r="W4" s="45">
        <f t="shared" ref="W4" si="0">U4-V4/0.330882</f>
        <v>39.110982162825422</v>
      </c>
      <c r="X4" s="46"/>
      <c r="Y4" s="46">
        <v>47</v>
      </c>
      <c r="Z4" s="1">
        <f t="shared" ref="Z4:Z28" si="1">COUNTIF($A$4:$C$100,T4)</f>
        <v>28</v>
      </c>
      <c r="AA4" s="1">
        <f t="shared" ref="AA4:AA28" si="2">COUNTIF($I$4:$K$100,T4)</f>
        <v>19</v>
      </c>
      <c r="AB4" s="54">
        <f t="shared" ref="AB4:AB28" si="3">Y4-Z4-AA4</f>
        <v>0</v>
      </c>
    </row>
    <row r="5" spans="1:28">
      <c r="A5" s="2" t="s">
        <v>4</v>
      </c>
      <c r="B5" s="2" t="s">
        <v>4</v>
      </c>
      <c r="C5" s="23" t="s">
        <v>29</v>
      </c>
      <c r="D5" s="33" t="s">
        <v>38</v>
      </c>
      <c r="E5" s="35" cm="1">
        <f t="array" ref="E5">(SUM(VLOOKUP(A4:A100,$T$3:$W$41,2,FALSE))+E4*10)-E8*50</f>
        <v>900</v>
      </c>
      <c r="F5" s="35" cm="1">
        <f t="array" ref="F5">(SUM(VLOOKUP(B4:B100,$T$3:$W$41,2,FALSE))+F4*10)-F8*50</f>
        <v>6970</v>
      </c>
      <c r="G5" s="35" cm="1">
        <f t="array" ref="G5">(SUM(VLOOKUP(C4:C100,$T$3:$W$41,2,FALSE))+G4*10)-G8*50</f>
        <v>6610</v>
      </c>
      <c r="H5" s="59">
        <f t="shared" ref="H5:H8" si="4">SUM(E5:G5)</f>
        <v>14480</v>
      </c>
      <c r="I5" s="15" t="s">
        <v>17</v>
      </c>
      <c r="J5" s="1" t="s">
        <v>27</v>
      </c>
      <c r="K5" s="3" t="s">
        <v>5</v>
      </c>
      <c r="L5" s="33" t="s">
        <v>38</v>
      </c>
      <c r="M5" s="35" cm="1">
        <f t="array" ref="M5">(SUM(VLOOKUP(I4:I100,$T$3:$W$41,2,FALSE))+M4*10)*0.8-M8*40</f>
        <v>1608</v>
      </c>
      <c r="N5" s="35" cm="1">
        <f t="array" ref="N5">(SUM(VLOOKUP(J4:J100,$T$3:$W$41,2,FALSE))+N4*10)*0.8-N8*40</f>
        <v>504</v>
      </c>
      <c r="O5" s="35" cm="1">
        <f t="array" ref="O5">(SUM(VLOOKUP(K4:K100,$T$3:$W$41,2,FALSE))+O4*10)*0.8-O8*40</f>
        <v>1872</v>
      </c>
      <c r="P5" s="59">
        <f t="shared" ref="P5:P8" si="5">SUM(M5:O5)</f>
        <v>3984</v>
      </c>
      <c r="Q5" s="53" t="s">
        <v>51</v>
      </c>
      <c r="R5" s="26">
        <v>6000</v>
      </c>
      <c r="S5" s="26"/>
      <c r="T5" s="4" t="s">
        <v>6</v>
      </c>
      <c r="U5" s="1">
        <v>170</v>
      </c>
      <c r="V5" s="1">
        <v>45</v>
      </c>
      <c r="W5" s="45">
        <v>34</v>
      </c>
      <c r="X5" s="48"/>
      <c r="Y5" s="46">
        <v>217</v>
      </c>
      <c r="Z5" s="1">
        <f t="shared" si="1"/>
        <v>33</v>
      </c>
      <c r="AA5" s="1">
        <f t="shared" si="2"/>
        <v>0</v>
      </c>
      <c r="AB5" s="54">
        <f t="shared" si="3"/>
        <v>184</v>
      </c>
    </row>
    <row r="6" spans="1:28">
      <c r="A6" s="2" t="s">
        <v>4</v>
      </c>
      <c r="B6" s="2" t="s">
        <v>4</v>
      </c>
      <c r="C6" s="3" t="s">
        <v>5</v>
      </c>
      <c r="D6" s="33" t="s">
        <v>39</v>
      </c>
      <c r="E6" s="35" cm="1">
        <f t="array" ref="E6">(SUM(VLOOKUP(A4:A100,$T$3:$W$41,3,FALSE)))</f>
        <v>210</v>
      </c>
      <c r="F6" s="35" cm="1">
        <f t="array" ref="F6">(SUM(VLOOKUP(B4:B100,$T$3:$W$41,3,FALSE)))</f>
        <v>1945</v>
      </c>
      <c r="G6" s="35" cm="1">
        <f t="array" ref="G6">(SUM(VLOOKUP(C4:C100,$T$3:$W$41,3,FALSE)))</f>
        <v>2610</v>
      </c>
      <c r="H6" s="49">
        <f t="shared" si="4"/>
        <v>4765</v>
      </c>
      <c r="I6" s="2" t="s">
        <v>4</v>
      </c>
      <c r="J6" s="3" t="s">
        <v>5</v>
      </c>
      <c r="K6" s="3" t="s">
        <v>5</v>
      </c>
      <c r="L6" s="33" t="s">
        <v>39</v>
      </c>
      <c r="M6" s="35" cm="1">
        <f t="array" ref="M6">(SUM(VLOOKUP(I4:I100,$T$3:$W$41,3,FALSE)))</f>
        <v>660</v>
      </c>
      <c r="N6" s="35" cm="1">
        <f t="array" ref="N6">(SUM(VLOOKUP(J4:J100,$T$3:$W$41,3,FALSE)))</f>
        <v>160</v>
      </c>
      <c r="O6" s="35" cm="1">
        <f t="array" ref="O6">(SUM(VLOOKUP(K4:K100,$T$3:$W$41,3,FALSE)))</f>
        <v>620</v>
      </c>
      <c r="P6" s="49">
        <f t="shared" si="5"/>
        <v>1440</v>
      </c>
      <c r="Q6" s="50" t="s">
        <v>52</v>
      </c>
      <c r="R6" s="26">
        <f>R3*1600-800+R5</f>
        <v>150800</v>
      </c>
      <c r="S6" s="26"/>
      <c r="T6" s="5" t="s">
        <v>7</v>
      </c>
      <c r="U6" s="1">
        <v>180</v>
      </c>
      <c r="V6" s="1">
        <v>50</v>
      </c>
      <c r="W6" s="45">
        <v>36</v>
      </c>
      <c r="X6" s="46">
        <v>267</v>
      </c>
      <c r="Y6" s="46">
        <v>267</v>
      </c>
      <c r="Z6" s="1">
        <f t="shared" si="1"/>
        <v>0</v>
      </c>
      <c r="AA6" s="1">
        <f t="shared" si="2"/>
        <v>0</v>
      </c>
      <c r="AB6" s="54">
        <f t="shared" si="3"/>
        <v>267</v>
      </c>
    </row>
    <row r="7" spans="1:28">
      <c r="A7" s="2" t="s">
        <v>4</v>
      </c>
      <c r="B7" s="2" t="s">
        <v>4</v>
      </c>
      <c r="C7" s="4" t="s">
        <v>6</v>
      </c>
      <c r="D7" s="33" t="s">
        <v>40</v>
      </c>
      <c r="E7" s="35">
        <f>COUNTIF(A4:A100,"&lt;&gt;空")</f>
        <v>6</v>
      </c>
      <c r="F7" s="35">
        <f>COUNTIF(B4:B100,"&lt;&gt;空")</f>
        <v>44</v>
      </c>
      <c r="G7" s="35">
        <f>COUNTIF(C4:C100,"&lt;&gt;空")</f>
        <v>47</v>
      </c>
      <c r="H7" s="36">
        <f t="shared" si="4"/>
        <v>97</v>
      </c>
      <c r="I7" s="2" t="s">
        <v>4</v>
      </c>
      <c r="J7" s="1" t="s">
        <v>27</v>
      </c>
      <c r="K7" s="15" t="s">
        <v>17</v>
      </c>
      <c r="L7" s="33" t="s">
        <v>40</v>
      </c>
      <c r="M7" s="35">
        <f>COUNTIF(I4:I100,"&lt;&gt;空")</f>
        <v>20</v>
      </c>
      <c r="N7" s="35">
        <f>COUNTIF(J4:J100,"&lt;&gt;空")</f>
        <v>4</v>
      </c>
      <c r="O7" s="35">
        <f>COUNTIF(K4:K100,"&lt;&gt;空")</f>
        <v>16</v>
      </c>
      <c r="P7" s="36">
        <f t="shared" si="5"/>
        <v>40</v>
      </c>
      <c r="Q7" s="53" t="s">
        <v>55</v>
      </c>
      <c r="R7" s="26">
        <v>0</v>
      </c>
      <c r="S7" s="26"/>
      <c r="T7" s="6" t="s">
        <v>8</v>
      </c>
      <c r="U7" s="1">
        <v>190</v>
      </c>
      <c r="V7" s="1">
        <v>55</v>
      </c>
      <c r="W7" s="45">
        <v>38</v>
      </c>
      <c r="X7" s="46">
        <v>236</v>
      </c>
      <c r="Y7" s="46">
        <v>236</v>
      </c>
      <c r="Z7" s="1">
        <f t="shared" si="1"/>
        <v>0</v>
      </c>
      <c r="AA7" s="1">
        <f t="shared" si="2"/>
        <v>0</v>
      </c>
      <c r="AB7" s="54">
        <f t="shared" si="3"/>
        <v>236</v>
      </c>
    </row>
    <row r="8" spans="1:28">
      <c r="A8" s="2" t="s">
        <v>4</v>
      </c>
      <c r="B8" s="2" t="s">
        <v>4</v>
      </c>
      <c r="C8" s="4" t="s">
        <v>6</v>
      </c>
      <c r="D8" s="42" t="s">
        <v>70</v>
      </c>
      <c r="E8" s="41">
        <v>0</v>
      </c>
      <c r="F8" s="41">
        <v>1</v>
      </c>
      <c r="G8" s="41">
        <v>0</v>
      </c>
      <c r="H8" s="36">
        <f t="shared" si="4"/>
        <v>1</v>
      </c>
      <c r="I8" s="15" t="s">
        <v>17</v>
      </c>
      <c r="J8" s="3" t="s">
        <v>5</v>
      </c>
      <c r="K8" s="3" t="s">
        <v>5</v>
      </c>
      <c r="L8" s="42" t="s">
        <v>70</v>
      </c>
      <c r="M8" s="41">
        <v>2</v>
      </c>
      <c r="N8" s="41">
        <v>0</v>
      </c>
      <c r="O8" s="41">
        <v>0</v>
      </c>
      <c r="P8" s="36">
        <f t="shared" si="5"/>
        <v>2</v>
      </c>
      <c r="Q8" s="50" t="s">
        <v>54</v>
      </c>
      <c r="R8" s="55" cm="1">
        <f t="array" ref="R8">R6-P5-H5-SUM(U3:U28*AB3:AB28)*0.8-R7*8</f>
        <v>112</v>
      </c>
      <c r="S8" s="26"/>
      <c r="T8" s="7" t="s">
        <v>9</v>
      </c>
      <c r="U8" s="1">
        <v>200</v>
      </c>
      <c r="V8" s="1">
        <v>60</v>
      </c>
      <c r="W8" s="45"/>
      <c r="X8" s="46">
        <v>194</v>
      </c>
      <c r="Y8" s="46">
        <v>194</v>
      </c>
      <c r="Z8" s="1">
        <f t="shared" si="1"/>
        <v>0</v>
      </c>
      <c r="AA8" s="1">
        <f t="shared" si="2"/>
        <v>0</v>
      </c>
      <c r="AB8" s="54">
        <f t="shared" si="3"/>
        <v>194</v>
      </c>
    </row>
    <row r="9" spans="1:28">
      <c r="A9" s="2" t="s">
        <v>4</v>
      </c>
      <c r="B9" s="2" t="s">
        <v>4</v>
      </c>
      <c r="C9" s="17" t="s">
        <v>19</v>
      </c>
      <c r="D9" s="26"/>
      <c r="E9" s="26"/>
      <c r="F9" s="26"/>
      <c r="G9" s="26"/>
      <c r="H9" s="27"/>
      <c r="I9" s="1" t="s">
        <v>27</v>
      </c>
      <c r="J9" s="1" t="s">
        <v>27</v>
      </c>
      <c r="K9" s="3" t="s">
        <v>5</v>
      </c>
      <c r="L9" s="33" t="s">
        <v>42</v>
      </c>
      <c r="M9" s="37">
        <f>M6/M5</f>
        <v>0.41044776119402987</v>
      </c>
      <c r="N9" s="37">
        <f>N6/N5</f>
        <v>0.31746031746031744</v>
      </c>
      <c r="O9" s="37">
        <f>O6/O5</f>
        <v>0.33119658119658119</v>
      </c>
      <c r="P9" s="38">
        <f>P6/P5</f>
        <v>0.36144578313253012</v>
      </c>
      <c r="Q9" s="50"/>
      <c r="R9" s="26"/>
      <c r="S9" s="26"/>
      <c r="T9" s="8" t="s">
        <v>10</v>
      </c>
      <c r="U9" s="1">
        <v>150</v>
      </c>
      <c r="V9" s="1">
        <v>35</v>
      </c>
      <c r="W9" s="45">
        <f t="shared" ref="W9:W11" si="6">U9-V9/0.330882</f>
        <v>44.222109392472248</v>
      </c>
      <c r="X9" s="46">
        <v>3</v>
      </c>
      <c r="Y9" s="46">
        <v>0</v>
      </c>
      <c r="Z9" s="1">
        <f t="shared" si="1"/>
        <v>0</v>
      </c>
      <c r="AA9" s="1">
        <f t="shared" si="2"/>
        <v>0</v>
      </c>
      <c r="AB9" s="54">
        <f t="shared" si="3"/>
        <v>0</v>
      </c>
    </row>
    <row r="10" spans="1:28">
      <c r="A10" s="1" t="s">
        <v>27</v>
      </c>
      <c r="B10" s="1" t="s">
        <v>27</v>
      </c>
      <c r="C10" s="4" t="s">
        <v>6</v>
      </c>
      <c r="D10" s="26"/>
      <c r="E10" s="26"/>
      <c r="F10" s="26"/>
      <c r="G10" s="26"/>
      <c r="H10" s="27"/>
      <c r="I10" s="16" t="s">
        <v>28</v>
      </c>
      <c r="J10" s="9" t="s">
        <v>11</v>
      </c>
      <c r="K10" s="3" t="s">
        <v>5</v>
      </c>
      <c r="L10" s="26"/>
      <c r="M10" s="26"/>
      <c r="N10" s="26"/>
      <c r="O10" s="26"/>
      <c r="P10" s="27"/>
      <c r="Q10" s="50"/>
      <c r="R10" s="26"/>
      <c r="S10" s="26"/>
      <c r="T10" s="9" t="s">
        <v>11</v>
      </c>
      <c r="U10" s="1">
        <v>150</v>
      </c>
      <c r="V10" s="1">
        <v>40</v>
      </c>
      <c r="W10" s="45">
        <f t="shared" si="6"/>
        <v>29.110982162825422</v>
      </c>
      <c r="X10" s="46">
        <v>7</v>
      </c>
      <c r="Y10" s="46">
        <v>5</v>
      </c>
      <c r="Z10" s="1">
        <f t="shared" si="1"/>
        <v>1</v>
      </c>
      <c r="AA10" s="1">
        <f t="shared" si="2"/>
        <v>4</v>
      </c>
      <c r="AB10" s="54">
        <f t="shared" si="3"/>
        <v>0</v>
      </c>
    </row>
    <row r="11" spans="1:28">
      <c r="A11" s="1" t="s">
        <v>27</v>
      </c>
      <c r="B11" s="1" t="s">
        <v>27</v>
      </c>
      <c r="C11" s="1" t="s">
        <v>27</v>
      </c>
      <c r="D11" s="26"/>
      <c r="E11" s="26"/>
      <c r="F11" s="26"/>
      <c r="G11" s="26"/>
      <c r="H11" s="27"/>
      <c r="I11" s="3" t="s">
        <v>5</v>
      </c>
      <c r="J11" s="1" t="s">
        <v>27</v>
      </c>
      <c r="K11" s="3" t="s">
        <v>5</v>
      </c>
      <c r="L11" s="26"/>
      <c r="M11" s="26"/>
      <c r="N11" s="26"/>
      <c r="O11" s="26"/>
      <c r="P11" s="27">
        <f>H5+P5</f>
        <v>18464</v>
      </c>
      <c r="Q11" s="50"/>
      <c r="R11" s="26"/>
      <c r="S11" s="26"/>
      <c r="T11" s="10" t="s">
        <v>12</v>
      </c>
      <c r="U11" s="1">
        <v>150</v>
      </c>
      <c r="V11" s="1">
        <v>45</v>
      </c>
      <c r="W11" s="45">
        <f t="shared" si="6"/>
        <v>13.999854933178597</v>
      </c>
      <c r="X11" s="46">
        <v>6</v>
      </c>
      <c r="Y11" s="46">
        <v>6</v>
      </c>
      <c r="Z11" s="1">
        <f t="shared" si="1"/>
        <v>0</v>
      </c>
      <c r="AA11" s="1">
        <f t="shared" si="2"/>
        <v>0</v>
      </c>
      <c r="AB11" s="54">
        <f t="shared" si="3"/>
        <v>6</v>
      </c>
    </row>
    <row r="12" spans="1:28">
      <c r="A12" s="1" t="s">
        <v>27</v>
      </c>
      <c r="B12" s="4" t="s">
        <v>6</v>
      </c>
      <c r="C12" s="4" t="s">
        <v>6</v>
      </c>
      <c r="D12" s="26"/>
      <c r="E12" s="26"/>
      <c r="F12" s="26"/>
      <c r="G12" s="26"/>
      <c r="H12" s="27"/>
      <c r="I12" s="3" t="s">
        <v>5</v>
      </c>
      <c r="J12" s="1" t="s">
        <v>27</v>
      </c>
      <c r="K12" s="9" t="s">
        <v>11</v>
      </c>
      <c r="L12" s="26"/>
      <c r="M12" s="26"/>
      <c r="N12" s="26"/>
      <c r="O12" s="26"/>
      <c r="P12" s="27">
        <f>H6+P6</f>
        <v>6205</v>
      </c>
      <c r="Q12" s="50"/>
      <c r="R12" s="26"/>
      <c r="S12" s="26"/>
      <c r="T12" s="11" t="s">
        <v>13</v>
      </c>
      <c r="U12" s="1">
        <v>150</v>
      </c>
      <c r="V12" s="1">
        <v>50</v>
      </c>
      <c r="W12" s="45"/>
      <c r="X12" s="46">
        <v>4</v>
      </c>
      <c r="Y12" s="46">
        <v>4</v>
      </c>
      <c r="Z12" s="1">
        <f t="shared" si="1"/>
        <v>0</v>
      </c>
      <c r="AA12" s="1">
        <f t="shared" si="2"/>
        <v>0</v>
      </c>
      <c r="AB12" s="54">
        <f t="shared" si="3"/>
        <v>4</v>
      </c>
    </row>
    <row r="13" spans="1:28">
      <c r="A13" s="1" t="s">
        <v>27</v>
      </c>
      <c r="B13" s="4" t="s">
        <v>6</v>
      </c>
      <c r="C13" s="15" t="s">
        <v>17</v>
      </c>
      <c r="D13" s="26"/>
      <c r="E13" s="26"/>
      <c r="F13" s="26"/>
      <c r="G13" s="26"/>
      <c r="H13" s="27"/>
      <c r="I13" s="15" t="s">
        <v>17</v>
      </c>
      <c r="J13" s="1" t="s">
        <v>27</v>
      </c>
      <c r="K13" s="3" t="s">
        <v>5</v>
      </c>
      <c r="L13" s="26"/>
      <c r="M13" s="26"/>
      <c r="N13" s="26"/>
      <c r="O13" s="26"/>
      <c r="P13" s="27"/>
      <c r="Q13" s="50"/>
      <c r="R13" s="26"/>
      <c r="S13" s="26"/>
      <c r="T13" s="12" t="s">
        <v>14</v>
      </c>
      <c r="U13" s="1">
        <v>150</v>
      </c>
      <c r="V13" s="1">
        <v>55</v>
      </c>
      <c r="W13" s="45"/>
      <c r="X13" s="46">
        <v>3</v>
      </c>
      <c r="Y13" s="46">
        <v>3</v>
      </c>
      <c r="Z13" s="1">
        <f t="shared" si="1"/>
        <v>0</v>
      </c>
      <c r="AA13" s="1">
        <f t="shared" si="2"/>
        <v>0</v>
      </c>
      <c r="AB13" s="54">
        <f t="shared" si="3"/>
        <v>3</v>
      </c>
    </row>
    <row r="14" spans="1:28">
      <c r="A14" s="1" t="s">
        <v>27</v>
      </c>
      <c r="B14" s="4" t="s">
        <v>6</v>
      </c>
      <c r="C14" s="3" t="s">
        <v>5</v>
      </c>
      <c r="D14" s="26"/>
      <c r="E14" s="26"/>
      <c r="F14" s="26"/>
      <c r="G14" s="26"/>
      <c r="H14" s="27"/>
      <c r="I14" s="9" t="s">
        <v>11</v>
      </c>
      <c r="J14" s="1" t="s">
        <v>27</v>
      </c>
      <c r="K14" s="3" t="s">
        <v>5</v>
      </c>
      <c r="L14" s="26"/>
      <c r="M14" s="26"/>
      <c r="N14" s="26"/>
      <c r="O14" s="26"/>
      <c r="P14" s="27"/>
      <c r="Q14" s="50"/>
      <c r="R14" s="26"/>
      <c r="S14" s="26"/>
      <c r="T14" s="13" t="s">
        <v>15</v>
      </c>
      <c r="U14" s="1">
        <v>150</v>
      </c>
      <c r="V14" s="1">
        <v>60</v>
      </c>
      <c r="W14" s="45"/>
      <c r="X14" s="46">
        <v>1</v>
      </c>
      <c r="Y14" s="46">
        <v>1</v>
      </c>
      <c r="Z14" s="1">
        <f t="shared" si="1"/>
        <v>0</v>
      </c>
      <c r="AA14" s="1">
        <f t="shared" si="2"/>
        <v>0</v>
      </c>
      <c r="AB14" s="54">
        <f t="shared" si="3"/>
        <v>1</v>
      </c>
    </row>
    <row r="15" spans="1:28">
      <c r="A15" s="1" t="s">
        <v>27</v>
      </c>
      <c r="B15" s="4" t="s">
        <v>6</v>
      </c>
      <c r="C15" s="16" t="s">
        <v>18</v>
      </c>
      <c r="D15" s="26"/>
      <c r="E15" s="26"/>
      <c r="F15" s="26"/>
      <c r="G15" s="26"/>
      <c r="H15" s="27"/>
      <c r="I15" s="2" t="s">
        <v>4</v>
      </c>
      <c r="J15" s="1" t="s">
        <v>27</v>
      </c>
      <c r="K15" s="15" t="s">
        <v>17</v>
      </c>
      <c r="L15" s="26"/>
      <c r="M15" s="26"/>
      <c r="N15" s="26"/>
      <c r="O15" s="26"/>
      <c r="P15" s="27"/>
      <c r="Q15" s="50"/>
      <c r="R15" s="26"/>
      <c r="S15" s="26"/>
      <c r="T15" s="14" t="s">
        <v>16</v>
      </c>
      <c r="U15" s="1">
        <v>150</v>
      </c>
      <c r="V15" s="1">
        <v>35</v>
      </c>
      <c r="W15" s="45">
        <f t="shared" ref="W15" si="7">U15-V15/0.330882</f>
        <v>44.222109392472248</v>
      </c>
      <c r="X15" s="46"/>
      <c r="Y15" s="46">
        <v>0</v>
      </c>
      <c r="Z15" s="1">
        <f t="shared" si="1"/>
        <v>0</v>
      </c>
      <c r="AA15" s="1">
        <f t="shared" si="2"/>
        <v>0</v>
      </c>
      <c r="AB15" s="54">
        <f t="shared" si="3"/>
        <v>0</v>
      </c>
    </row>
    <row r="16" spans="1:28">
      <c r="A16" s="1" t="s">
        <v>27</v>
      </c>
      <c r="B16" s="15" t="s">
        <v>17</v>
      </c>
      <c r="C16" s="2" t="s">
        <v>4</v>
      </c>
      <c r="D16" s="26"/>
      <c r="E16" s="26"/>
      <c r="F16" s="26"/>
      <c r="G16" s="26"/>
      <c r="H16" s="27"/>
      <c r="I16" s="15" t="s">
        <v>17</v>
      </c>
      <c r="J16" s="1" t="s">
        <v>27</v>
      </c>
      <c r="K16" s="3" t="s">
        <v>5</v>
      </c>
      <c r="L16" s="26"/>
      <c r="M16" s="26"/>
      <c r="N16" s="26"/>
      <c r="O16" s="26"/>
      <c r="P16" s="27"/>
      <c r="Q16" s="50"/>
      <c r="R16" s="26"/>
      <c r="S16" s="26"/>
      <c r="T16" s="15" t="s">
        <v>17</v>
      </c>
      <c r="U16" s="1">
        <v>50</v>
      </c>
      <c r="V16" s="1">
        <v>30</v>
      </c>
      <c r="W16" s="45">
        <v>10</v>
      </c>
      <c r="X16" s="46">
        <v>40</v>
      </c>
      <c r="Y16" s="46">
        <v>40</v>
      </c>
      <c r="Z16" s="1">
        <f t="shared" si="1"/>
        <v>6</v>
      </c>
      <c r="AA16" s="1">
        <f t="shared" si="2"/>
        <v>8</v>
      </c>
      <c r="AB16" s="54">
        <f t="shared" si="3"/>
        <v>26</v>
      </c>
    </row>
    <row r="17" spans="1:28">
      <c r="A17" s="1" t="s">
        <v>27</v>
      </c>
      <c r="B17" s="4" t="s">
        <v>6</v>
      </c>
      <c r="C17" s="2" t="s">
        <v>4</v>
      </c>
      <c r="D17" s="26"/>
      <c r="E17" s="26"/>
      <c r="F17" s="26"/>
      <c r="G17" s="26"/>
      <c r="H17" s="27"/>
      <c r="I17" s="1" t="s">
        <v>27</v>
      </c>
      <c r="J17" s="1" t="s">
        <v>27</v>
      </c>
      <c r="K17" s="3" t="s">
        <v>5</v>
      </c>
      <c r="L17" s="26"/>
      <c r="M17" s="26"/>
      <c r="N17" s="26"/>
      <c r="O17" s="26"/>
      <c r="P17" s="27"/>
      <c r="Q17" s="50"/>
      <c r="R17" s="26"/>
      <c r="S17" s="26"/>
      <c r="T17" s="16" t="s">
        <v>18</v>
      </c>
      <c r="U17" s="1">
        <v>-150</v>
      </c>
      <c r="V17" s="1">
        <v>0</v>
      </c>
      <c r="W17" s="45">
        <v>10</v>
      </c>
      <c r="X17" s="46">
        <v>3</v>
      </c>
      <c r="Y17" s="46">
        <v>3</v>
      </c>
      <c r="Z17" s="1">
        <f t="shared" si="1"/>
        <v>3</v>
      </c>
      <c r="AA17" s="1">
        <f t="shared" si="2"/>
        <v>0</v>
      </c>
      <c r="AB17" s="54">
        <f t="shared" si="3"/>
        <v>0</v>
      </c>
    </row>
    <row r="18" spans="1:28">
      <c r="A18" s="1" t="s">
        <v>27</v>
      </c>
      <c r="B18" s="17" t="s">
        <v>20</v>
      </c>
      <c r="C18" s="2" t="s">
        <v>4</v>
      </c>
      <c r="D18" s="26"/>
      <c r="E18" s="26"/>
      <c r="F18" s="26"/>
      <c r="G18" s="26"/>
      <c r="H18" s="27"/>
      <c r="I18" s="1" t="s">
        <v>27</v>
      </c>
      <c r="J18" s="1" t="s">
        <v>27</v>
      </c>
      <c r="K18" s="3" t="s">
        <v>5</v>
      </c>
      <c r="L18" s="26"/>
      <c r="M18" s="26"/>
      <c r="N18" s="26"/>
      <c r="O18" s="26"/>
      <c r="P18" s="27"/>
      <c r="Q18" s="50"/>
      <c r="R18" s="26"/>
      <c r="S18" s="26"/>
      <c r="T18" s="17" t="s">
        <v>19</v>
      </c>
      <c r="U18" s="1">
        <v>250</v>
      </c>
      <c r="V18" s="1">
        <v>200</v>
      </c>
      <c r="W18" s="45"/>
      <c r="X18" s="46">
        <v>3</v>
      </c>
      <c r="Y18" s="46">
        <v>3</v>
      </c>
      <c r="Z18" s="1">
        <f t="shared" si="1"/>
        <v>3</v>
      </c>
      <c r="AA18" s="1">
        <f t="shared" si="2"/>
        <v>0</v>
      </c>
      <c r="AB18" s="54">
        <f t="shared" si="3"/>
        <v>0</v>
      </c>
    </row>
    <row r="19" spans="1:28">
      <c r="A19" s="1" t="s">
        <v>27</v>
      </c>
      <c r="B19" s="4" t="s">
        <v>6</v>
      </c>
      <c r="C19" s="2" t="s">
        <v>4</v>
      </c>
      <c r="D19" s="26"/>
      <c r="E19" s="26"/>
      <c r="F19" s="26"/>
      <c r="G19" s="26"/>
      <c r="H19" s="27"/>
      <c r="I19" s="3" t="s">
        <v>5</v>
      </c>
      <c r="J19" s="1" t="s">
        <v>27</v>
      </c>
      <c r="K19" s="1" t="s">
        <v>27</v>
      </c>
      <c r="L19" s="26"/>
      <c r="M19" s="26"/>
      <c r="N19" s="26"/>
      <c r="O19" s="26"/>
      <c r="P19" s="27"/>
      <c r="Q19" s="50"/>
      <c r="R19" s="26"/>
      <c r="S19" s="26"/>
      <c r="T19" s="17" t="s">
        <v>20</v>
      </c>
      <c r="U19" s="1">
        <v>170</v>
      </c>
      <c r="V19" s="1">
        <v>45</v>
      </c>
      <c r="W19" s="45"/>
      <c r="X19" s="46">
        <v>5</v>
      </c>
      <c r="Y19" s="46">
        <v>5</v>
      </c>
      <c r="Z19" s="1">
        <f t="shared" si="1"/>
        <v>5</v>
      </c>
      <c r="AA19" s="1">
        <f t="shared" si="2"/>
        <v>0</v>
      </c>
      <c r="AB19" s="54">
        <f t="shared" si="3"/>
        <v>0</v>
      </c>
    </row>
    <row r="20" spans="1:28">
      <c r="A20" s="1" t="s">
        <v>27</v>
      </c>
      <c r="B20" s="3" t="s">
        <v>5</v>
      </c>
      <c r="C20" s="15" t="s">
        <v>17</v>
      </c>
      <c r="D20" s="26"/>
      <c r="E20" s="26"/>
      <c r="F20" s="26"/>
      <c r="G20" s="26"/>
      <c r="H20" s="27"/>
      <c r="I20" s="3" t="s">
        <v>5</v>
      </c>
      <c r="J20" s="1" t="s">
        <v>27</v>
      </c>
      <c r="K20" s="3" t="s">
        <v>5</v>
      </c>
      <c r="L20" s="26"/>
      <c r="M20" s="26"/>
      <c r="N20" s="26"/>
      <c r="O20" s="26"/>
      <c r="P20" s="27"/>
      <c r="Q20" s="50"/>
      <c r="R20" s="26"/>
      <c r="S20" s="26"/>
      <c r="T20" s="18" t="s">
        <v>21</v>
      </c>
      <c r="U20" s="1">
        <v>250</v>
      </c>
      <c r="V20" s="1">
        <v>200</v>
      </c>
      <c r="W20" s="45"/>
      <c r="X20" s="46">
        <v>0</v>
      </c>
      <c r="Y20" s="46">
        <v>0</v>
      </c>
      <c r="Z20" s="1">
        <f t="shared" si="1"/>
        <v>0</v>
      </c>
      <c r="AA20" s="1">
        <f t="shared" si="2"/>
        <v>0</v>
      </c>
      <c r="AB20" s="54">
        <f t="shared" si="3"/>
        <v>0</v>
      </c>
    </row>
    <row r="21" spans="1:28">
      <c r="A21" s="1" t="s">
        <v>27</v>
      </c>
      <c r="B21" s="3" t="s">
        <v>5</v>
      </c>
      <c r="C21" s="3" t="s">
        <v>5</v>
      </c>
      <c r="D21" s="26"/>
      <c r="E21" s="26"/>
      <c r="F21" s="26"/>
      <c r="G21" s="26"/>
      <c r="H21" s="27"/>
      <c r="I21" s="2" t="s">
        <v>4</v>
      </c>
      <c r="J21" s="1" t="s">
        <v>27</v>
      </c>
      <c r="K21" s="1" t="s">
        <v>27</v>
      </c>
      <c r="L21" s="26"/>
      <c r="M21" s="26"/>
      <c r="N21" s="26"/>
      <c r="O21" s="26"/>
      <c r="P21" s="27"/>
      <c r="Q21" s="50"/>
      <c r="R21" s="26"/>
      <c r="S21" s="26"/>
      <c r="T21" s="19" t="s">
        <v>22</v>
      </c>
      <c r="U21" s="1">
        <v>250</v>
      </c>
      <c r="V21" s="1">
        <v>1000</v>
      </c>
      <c r="W21" s="45"/>
      <c r="X21" s="46">
        <v>2</v>
      </c>
      <c r="Y21" s="46">
        <v>2</v>
      </c>
      <c r="Z21" s="1">
        <f t="shared" si="1"/>
        <v>0</v>
      </c>
      <c r="AA21" s="1">
        <f t="shared" si="2"/>
        <v>0</v>
      </c>
      <c r="AB21" s="54">
        <f t="shared" si="3"/>
        <v>2</v>
      </c>
    </row>
    <row r="22" spans="1:28">
      <c r="A22" s="1" t="s">
        <v>27</v>
      </c>
      <c r="B22" s="3" t="s">
        <v>5</v>
      </c>
      <c r="C22" s="3" t="s">
        <v>5</v>
      </c>
      <c r="D22" s="26"/>
      <c r="E22" s="26"/>
      <c r="F22" s="26"/>
      <c r="G22" s="26"/>
      <c r="H22" s="27"/>
      <c r="I22" s="15" t="s">
        <v>17</v>
      </c>
      <c r="J22" s="1" t="s">
        <v>27</v>
      </c>
      <c r="K22" s="1" t="s">
        <v>27</v>
      </c>
      <c r="L22" s="26"/>
      <c r="M22" s="26"/>
      <c r="N22" s="26"/>
      <c r="O22" s="26"/>
      <c r="P22" s="27"/>
      <c r="Q22" s="50"/>
      <c r="R22" s="26"/>
      <c r="S22" s="26"/>
      <c r="T22" s="20" t="s">
        <v>23</v>
      </c>
      <c r="U22" s="1">
        <v>250</v>
      </c>
      <c r="V22" s="1">
        <v>500</v>
      </c>
      <c r="W22" s="45"/>
      <c r="X22" s="46">
        <v>2</v>
      </c>
      <c r="Y22" s="46">
        <v>2</v>
      </c>
      <c r="Z22" s="1">
        <f t="shared" si="1"/>
        <v>0</v>
      </c>
      <c r="AA22" s="1">
        <f t="shared" si="2"/>
        <v>0</v>
      </c>
      <c r="AB22" s="54">
        <f t="shared" si="3"/>
        <v>2</v>
      </c>
    </row>
    <row r="23" spans="1:28">
      <c r="A23" s="1" t="s">
        <v>27</v>
      </c>
      <c r="B23" s="3" t="s">
        <v>5</v>
      </c>
      <c r="C23" s="3" t="s">
        <v>5</v>
      </c>
      <c r="D23" s="26"/>
      <c r="E23" s="26"/>
      <c r="F23" s="26"/>
      <c r="G23" s="26"/>
      <c r="H23" s="27"/>
      <c r="I23" s="2" t="s">
        <v>4</v>
      </c>
      <c r="J23" s="1" t="s">
        <v>27</v>
      </c>
      <c r="K23" s="1" t="s">
        <v>27</v>
      </c>
      <c r="L23" s="26"/>
      <c r="M23" s="26"/>
      <c r="N23" s="26"/>
      <c r="O23" s="26"/>
      <c r="P23" s="27"/>
      <c r="Q23" s="50"/>
      <c r="R23" s="26"/>
      <c r="S23" s="26"/>
      <c r="T23" s="21" t="s">
        <v>24</v>
      </c>
      <c r="U23" s="1">
        <v>160</v>
      </c>
      <c r="V23" s="1">
        <v>40</v>
      </c>
      <c r="W23" s="45">
        <f t="shared" ref="W23:W26" si="8">U23-V23/0.330882</f>
        <v>39.110982162825422</v>
      </c>
      <c r="X23" s="46">
        <v>0</v>
      </c>
      <c r="Y23" s="46">
        <v>0</v>
      </c>
      <c r="Z23" s="1">
        <f t="shared" si="1"/>
        <v>0</v>
      </c>
      <c r="AA23" s="1">
        <f t="shared" si="2"/>
        <v>0</v>
      </c>
      <c r="AB23" s="54">
        <f t="shared" si="3"/>
        <v>0</v>
      </c>
    </row>
    <row r="24" spans="1:28">
      <c r="A24" s="1" t="s">
        <v>27</v>
      </c>
      <c r="B24" s="3" t="s">
        <v>5</v>
      </c>
      <c r="C24" s="16" t="s">
        <v>18</v>
      </c>
      <c r="D24" s="26"/>
      <c r="E24" s="26"/>
      <c r="F24" s="26"/>
      <c r="G24" s="26"/>
      <c r="H24" s="27"/>
      <c r="I24" s="2" t="s">
        <v>4</v>
      </c>
      <c r="J24" s="1" t="s">
        <v>27</v>
      </c>
      <c r="K24" s="1" t="s">
        <v>27</v>
      </c>
      <c r="L24" s="26"/>
      <c r="M24" s="26"/>
      <c r="N24" s="26"/>
      <c r="O24" s="26"/>
      <c r="P24" s="27"/>
      <c r="Q24" s="50"/>
      <c r="R24" s="26"/>
      <c r="S24" s="26"/>
      <c r="T24" s="21" t="s">
        <v>25</v>
      </c>
      <c r="U24" s="1">
        <v>160</v>
      </c>
      <c r="V24" s="1">
        <v>40</v>
      </c>
      <c r="W24" s="45">
        <f t="shared" si="8"/>
        <v>39.110982162825422</v>
      </c>
      <c r="X24" s="46">
        <v>0</v>
      </c>
      <c r="Y24" s="46">
        <v>0</v>
      </c>
      <c r="Z24" s="1">
        <f t="shared" si="1"/>
        <v>0</v>
      </c>
      <c r="AA24" s="1">
        <f t="shared" si="2"/>
        <v>0</v>
      </c>
      <c r="AB24" s="54">
        <f t="shared" si="3"/>
        <v>0</v>
      </c>
    </row>
    <row r="25" spans="1:28">
      <c r="A25" s="1" t="s">
        <v>27</v>
      </c>
      <c r="B25" s="3" t="s">
        <v>5</v>
      </c>
      <c r="C25" s="3" t="s">
        <v>5</v>
      </c>
      <c r="D25" s="26"/>
      <c r="E25" s="26"/>
      <c r="F25" s="26"/>
      <c r="G25" s="26"/>
      <c r="H25" s="27"/>
      <c r="I25" s="2" t="s">
        <v>4</v>
      </c>
      <c r="J25" s="1" t="s">
        <v>27</v>
      </c>
      <c r="K25" s="1" t="s">
        <v>27</v>
      </c>
      <c r="L25" s="26"/>
      <c r="M25" s="26"/>
      <c r="N25" s="26"/>
      <c r="O25" s="26"/>
      <c r="P25" s="27"/>
      <c r="Q25" s="50"/>
      <c r="R25" s="26"/>
      <c r="S25" s="26"/>
      <c r="T25" s="21" t="s">
        <v>26</v>
      </c>
      <c r="U25" s="1">
        <v>150</v>
      </c>
      <c r="V25" s="1">
        <v>35</v>
      </c>
      <c r="W25" s="45">
        <f t="shared" si="8"/>
        <v>44.222109392472248</v>
      </c>
      <c r="X25" s="46">
        <v>0</v>
      </c>
      <c r="Y25" s="46">
        <v>0</v>
      </c>
      <c r="Z25" s="1">
        <f t="shared" si="1"/>
        <v>0</v>
      </c>
      <c r="AA25" s="1">
        <f t="shared" si="2"/>
        <v>0</v>
      </c>
      <c r="AB25" s="54">
        <f t="shared" si="3"/>
        <v>0</v>
      </c>
    </row>
    <row r="26" spans="1:28">
      <c r="A26" s="1" t="s">
        <v>27</v>
      </c>
      <c r="B26" s="15" t="s">
        <v>17</v>
      </c>
      <c r="C26" s="3" t="s">
        <v>5</v>
      </c>
      <c r="D26" s="26"/>
      <c r="E26" s="26"/>
      <c r="F26" s="26"/>
      <c r="G26" s="26"/>
      <c r="H26" s="27"/>
      <c r="I26" s="15" t="s">
        <v>17</v>
      </c>
      <c r="J26" s="1" t="s">
        <v>27</v>
      </c>
      <c r="K26" s="1" t="s">
        <v>27</v>
      </c>
      <c r="L26" s="26"/>
      <c r="M26" s="26"/>
      <c r="N26" s="26"/>
      <c r="O26" s="26"/>
      <c r="P26" s="27"/>
      <c r="Q26" s="50"/>
      <c r="R26" s="26"/>
      <c r="S26" s="26"/>
      <c r="T26" s="22" t="s">
        <v>27</v>
      </c>
      <c r="U26" s="1">
        <v>0</v>
      </c>
      <c r="V26" s="1">
        <v>0</v>
      </c>
      <c r="W26" s="45">
        <f t="shared" si="8"/>
        <v>0</v>
      </c>
      <c r="X26" s="46">
        <v>0</v>
      </c>
      <c r="Y26" s="46">
        <v>0</v>
      </c>
      <c r="Z26" s="1"/>
      <c r="AA26" s="1"/>
      <c r="AB26" s="54"/>
    </row>
    <row r="27" spans="1:28">
      <c r="A27" s="1" t="s">
        <v>27</v>
      </c>
      <c r="B27" s="3" t="s">
        <v>5</v>
      </c>
      <c r="C27" s="4" t="s">
        <v>6</v>
      </c>
      <c r="D27" s="26"/>
      <c r="E27" s="26"/>
      <c r="F27" s="26"/>
      <c r="G27" s="26"/>
      <c r="H27" s="27"/>
      <c r="I27" s="1" t="s">
        <v>27</v>
      </c>
      <c r="J27" s="1" t="s">
        <v>27</v>
      </c>
      <c r="K27" s="1" t="s">
        <v>27</v>
      </c>
      <c r="L27" s="26"/>
      <c r="M27" s="26"/>
      <c r="N27" s="26"/>
      <c r="O27" s="26"/>
      <c r="P27" s="27"/>
      <c r="Q27" s="50"/>
      <c r="R27" s="26"/>
      <c r="S27" s="26"/>
      <c r="T27" s="16" t="s">
        <v>28</v>
      </c>
      <c r="U27" s="1">
        <v>-200</v>
      </c>
      <c r="V27" s="1">
        <v>0</v>
      </c>
      <c r="W27" s="45"/>
      <c r="X27" s="46">
        <v>12</v>
      </c>
      <c r="Y27" s="46">
        <v>12</v>
      </c>
      <c r="Z27" s="1">
        <f t="shared" si="1"/>
        <v>0</v>
      </c>
      <c r="AA27" s="1">
        <f t="shared" si="2"/>
        <v>1</v>
      </c>
      <c r="AB27" s="54">
        <f t="shared" si="3"/>
        <v>11</v>
      </c>
    </row>
    <row r="28" spans="1:28">
      <c r="A28" s="1" t="s">
        <v>27</v>
      </c>
      <c r="B28" s="3" t="s">
        <v>5</v>
      </c>
      <c r="C28" s="4" t="s">
        <v>6</v>
      </c>
      <c r="D28" s="26"/>
      <c r="E28" s="26"/>
      <c r="F28" s="26"/>
      <c r="G28" s="26"/>
      <c r="H28" s="27"/>
      <c r="I28" s="1" t="s">
        <v>27</v>
      </c>
      <c r="J28" s="1" t="s">
        <v>27</v>
      </c>
      <c r="K28" s="1" t="s">
        <v>27</v>
      </c>
      <c r="L28" s="26"/>
      <c r="M28" s="26"/>
      <c r="N28" s="26"/>
      <c r="O28" s="26"/>
      <c r="P28" s="27"/>
      <c r="Q28" s="50"/>
      <c r="R28" s="26"/>
      <c r="S28" s="26"/>
      <c r="T28" s="23" t="s">
        <v>29</v>
      </c>
      <c r="U28" s="1">
        <v>50</v>
      </c>
      <c r="V28" s="1">
        <v>520</v>
      </c>
      <c r="W28" s="45"/>
      <c r="X28" s="46">
        <v>3</v>
      </c>
      <c r="Y28" s="46">
        <v>3</v>
      </c>
      <c r="Z28" s="1">
        <f t="shared" si="1"/>
        <v>1</v>
      </c>
      <c r="AA28" s="1">
        <f t="shared" si="2"/>
        <v>0</v>
      </c>
      <c r="AB28" s="54">
        <f t="shared" si="3"/>
        <v>2</v>
      </c>
    </row>
    <row r="29" spans="1:28" ht="15.75" thickBot="1">
      <c r="A29" s="1" t="s">
        <v>27</v>
      </c>
      <c r="B29" s="3" t="s">
        <v>5</v>
      </c>
      <c r="C29" s="4" t="s">
        <v>6</v>
      </c>
      <c r="D29" s="26"/>
      <c r="E29" s="26"/>
      <c r="F29" s="26"/>
      <c r="G29" s="26"/>
      <c r="H29" s="27"/>
      <c r="I29" s="1" t="s">
        <v>27</v>
      </c>
      <c r="J29" s="1" t="s">
        <v>27</v>
      </c>
      <c r="K29" s="1" t="s">
        <v>27</v>
      </c>
      <c r="L29" s="26"/>
      <c r="M29" s="26"/>
      <c r="N29" s="26"/>
      <c r="O29" s="26"/>
      <c r="P29" s="27"/>
      <c r="Q29" s="56"/>
      <c r="R29" s="31"/>
      <c r="S29" s="31"/>
      <c r="T29" s="30"/>
      <c r="U29" s="30"/>
      <c r="V29" s="30"/>
      <c r="W29" s="30"/>
      <c r="X29" s="30"/>
      <c r="Y29" s="30"/>
      <c r="Z29" s="30"/>
      <c r="AA29" s="30"/>
      <c r="AB29" s="57"/>
    </row>
    <row r="30" spans="1:28">
      <c r="A30" s="1" t="s">
        <v>27</v>
      </c>
      <c r="B30" s="3" t="s">
        <v>5</v>
      </c>
      <c r="C30" s="4" t="s">
        <v>6</v>
      </c>
      <c r="D30" s="26"/>
      <c r="E30" s="26"/>
      <c r="F30" s="26"/>
      <c r="G30" s="26"/>
      <c r="H30" s="27"/>
      <c r="I30" s="1" t="s">
        <v>27</v>
      </c>
      <c r="J30" s="1" t="s">
        <v>27</v>
      </c>
      <c r="K30" s="1" t="s">
        <v>27</v>
      </c>
      <c r="L30" s="26"/>
      <c r="M30" s="26"/>
      <c r="N30" s="26"/>
      <c r="O30" s="26"/>
      <c r="P30" s="27"/>
    </row>
    <row r="31" spans="1:28">
      <c r="A31" s="1" t="s">
        <v>27</v>
      </c>
      <c r="B31" s="15" t="s">
        <v>17</v>
      </c>
      <c r="C31" s="4" t="s">
        <v>6</v>
      </c>
      <c r="D31" s="26"/>
      <c r="E31" s="26"/>
      <c r="F31" s="26"/>
      <c r="G31" s="26"/>
      <c r="H31" s="27"/>
      <c r="I31" s="1" t="s">
        <v>27</v>
      </c>
      <c r="J31" s="1" t="s">
        <v>27</v>
      </c>
      <c r="K31" s="1" t="s">
        <v>27</v>
      </c>
      <c r="L31" s="26"/>
      <c r="M31" s="26"/>
      <c r="N31" s="26"/>
      <c r="O31" s="26"/>
      <c r="P31" s="27"/>
      <c r="Y31">
        <f>SUM(Y3:Y28)</f>
        <v>1075</v>
      </c>
    </row>
    <row r="32" spans="1:28">
      <c r="A32" s="1" t="s">
        <v>27</v>
      </c>
      <c r="B32" s="3" t="s">
        <v>5</v>
      </c>
      <c r="C32" s="17" t="s">
        <v>20</v>
      </c>
      <c r="D32" s="26"/>
      <c r="E32" s="26"/>
      <c r="F32" s="26"/>
      <c r="G32" s="26"/>
      <c r="H32" s="27"/>
      <c r="I32" s="1" t="s">
        <v>27</v>
      </c>
      <c r="J32" s="1" t="s">
        <v>27</v>
      </c>
      <c r="K32" s="1" t="s">
        <v>27</v>
      </c>
      <c r="L32" s="26"/>
      <c r="M32" s="26"/>
      <c r="N32" s="26"/>
      <c r="O32" s="26"/>
      <c r="P32" s="27"/>
      <c r="Q32" t="s">
        <v>57</v>
      </c>
      <c r="R32">
        <v>1</v>
      </c>
      <c r="S32" t="s">
        <v>59</v>
      </c>
    </row>
    <row r="33" spans="1:19">
      <c r="A33" s="1" t="s">
        <v>27</v>
      </c>
      <c r="B33" s="4" t="s">
        <v>6</v>
      </c>
      <c r="C33" s="3" t="s">
        <v>5</v>
      </c>
      <c r="D33" s="26"/>
      <c r="E33" s="26"/>
      <c r="F33" s="26"/>
      <c r="G33" s="26"/>
      <c r="H33" s="27"/>
      <c r="I33" s="1" t="s">
        <v>27</v>
      </c>
      <c r="J33" s="1" t="s">
        <v>27</v>
      </c>
      <c r="K33" s="1" t="s">
        <v>27</v>
      </c>
      <c r="L33" s="26"/>
      <c r="M33" s="26"/>
      <c r="N33" s="26"/>
      <c r="O33" s="26"/>
      <c r="P33" s="27"/>
      <c r="R33">
        <v>2</v>
      </c>
      <c r="S33" t="s">
        <v>60</v>
      </c>
    </row>
    <row r="34" spans="1:19">
      <c r="A34" s="1" t="s">
        <v>27</v>
      </c>
      <c r="B34" s="2" t="s">
        <v>4</v>
      </c>
      <c r="C34" s="3" t="s">
        <v>5</v>
      </c>
      <c r="D34" s="26"/>
      <c r="E34" s="26"/>
      <c r="F34" s="26"/>
      <c r="G34" s="26"/>
      <c r="H34" s="27"/>
      <c r="I34" s="28" t="s">
        <v>27</v>
      </c>
      <c r="J34" s="1" t="s">
        <v>27</v>
      </c>
      <c r="K34" s="1" t="s">
        <v>27</v>
      </c>
      <c r="L34" s="26"/>
      <c r="M34" s="26"/>
      <c r="N34" s="26"/>
      <c r="O34" s="26"/>
      <c r="P34" s="27"/>
      <c r="R34">
        <v>3</v>
      </c>
      <c r="S34" t="s">
        <v>58</v>
      </c>
    </row>
    <row r="35" spans="1:19">
      <c r="A35" s="1" t="s">
        <v>27</v>
      </c>
      <c r="B35" s="4" t="s">
        <v>6</v>
      </c>
      <c r="C35" s="3" t="s">
        <v>5</v>
      </c>
      <c r="D35" s="26"/>
      <c r="E35" s="26"/>
      <c r="F35" s="26"/>
      <c r="G35" s="26"/>
      <c r="H35" s="27"/>
      <c r="I35" s="28" t="s">
        <v>27</v>
      </c>
      <c r="J35" s="1" t="s">
        <v>27</v>
      </c>
      <c r="K35" s="1" t="s">
        <v>27</v>
      </c>
      <c r="L35" s="26"/>
      <c r="M35" s="26"/>
      <c r="N35" s="26"/>
      <c r="O35" s="26"/>
      <c r="P35" s="27"/>
      <c r="R35">
        <v>4</v>
      </c>
      <c r="S35" t="s">
        <v>61</v>
      </c>
    </row>
    <row r="36" spans="1:19">
      <c r="A36" s="1" t="s">
        <v>27</v>
      </c>
      <c r="B36" s="17" t="s">
        <v>20</v>
      </c>
      <c r="C36" s="15" t="s">
        <v>17</v>
      </c>
      <c r="D36" s="26"/>
      <c r="E36" s="26"/>
      <c r="F36" s="26"/>
      <c r="G36" s="26"/>
      <c r="H36" s="27"/>
      <c r="I36" s="28" t="s">
        <v>27</v>
      </c>
      <c r="J36" s="1" t="s">
        <v>27</v>
      </c>
      <c r="K36" s="1" t="s">
        <v>27</v>
      </c>
      <c r="L36" s="26"/>
      <c r="M36" s="26"/>
      <c r="N36" s="26"/>
      <c r="O36" s="26"/>
      <c r="P36" s="27"/>
      <c r="S36" t="s">
        <v>62</v>
      </c>
    </row>
    <row r="37" spans="1:19">
      <c r="A37" s="1" t="s">
        <v>27</v>
      </c>
      <c r="B37" s="4" t="s">
        <v>6</v>
      </c>
      <c r="C37" s="3" t="s">
        <v>5</v>
      </c>
      <c r="D37" s="26"/>
      <c r="E37" s="26"/>
      <c r="F37" s="26"/>
      <c r="G37" s="26"/>
      <c r="H37" s="27"/>
      <c r="I37" s="28" t="s">
        <v>27</v>
      </c>
      <c r="J37" s="1" t="s">
        <v>27</v>
      </c>
      <c r="K37" s="1" t="s">
        <v>27</v>
      </c>
      <c r="L37" s="26"/>
      <c r="M37" s="26"/>
      <c r="N37" s="26"/>
      <c r="O37" s="26"/>
      <c r="P37" s="27"/>
      <c r="R37">
        <v>5</v>
      </c>
      <c r="S37" t="s">
        <v>63</v>
      </c>
    </row>
    <row r="38" spans="1:19">
      <c r="A38" s="1" t="s">
        <v>27</v>
      </c>
      <c r="B38" s="4" t="s">
        <v>6</v>
      </c>
      <c r="C38" s="3" t="s">
        <v>5</v>
      </c>
      <c r="D38" s="26"/>
      <c r="E38" s="26"/>
      <c r="F38" s="26"/>
      <c r="G38" s="26"/>
      <c r="H38" s="27"/>
      <c r="I38" s="28" t="s">
        <v>27</v>
      </c>
      <c r="J38" s="1" t="s">
        <v>27</v>
      </c>
      <c r="K38" s="1" t="s">
        <v>27</v>
      </c>
      <c r="L38" s="26"/>
      <c r="M38" s="26"/>
      <c r="N38" s="26"/>
      <c r="O38" s="26"/>
      <c r="P38" s="27"/>
      <c r="R38">
        <v>6</v>
      </c>
      <c r="S38" t="s">
        <v>64</v>
      </c>
    </row>
    <row r="39" spans="1:19">
      <c r="A39" s="1" t="s">
        <v>27</v>
      </c>
      <c r="B39" s="4" t="s">
        <v>6</v>
      </c>
      <c r="C39" s="4" t="s">
        <v>6</v>
      </c>
      <c r="D39" s="26"/>
      <c r="E39" s="26"/>
      <c r="F39" s="26"/>
      <c r="G39" s="26"/>
      <c r="H39" s="27"/>
      <c r="I39" s="28" t="s">
        <v>27</v>
      </c>
      <c r="J39" s="1" t="s">
        <v>27</v>
      </c>
      <c r="K39" s="1" t="s">
        <v>27</v>
      </c>
      <c r="L39" s="26"/>
      <c r="M39" s="26"/>
      <c r="N39" s="26"/>
      <c r="O39" s="26"/>
      <c r="P39" s="27"/>
      <c r="R39">
        <v>7</v>
      </c>
      <c r="S39" t="s">
        <v>65</v>
      </c>
    </row>
    <row r="40" spans="1:19">
      <c r="A40" s="1" t="s">
        <v>27</v>
      </c>
      <c r="B40" s="17" t="s">
        <v>19</v>
      </c>
      <c r="C40" s="4" t="s">
        <v>6</v>
      </c>
      <c r="D40" s="26"/>
      <c r="E40" s="26"/>
      <c r="F40" s="26"/>
      <c r="G40" s="26"/>
      <c r="H40" s="27"/>
      <c r="I40" s="28" t="s">
        <v>27</v>
      </c>
      <c r="J40" s="1" t="s">
        <v>27</v>
      </c>
      <c r="K40" s="1" t="s">
        <v>27</v>
      </c>
      <c r="L40" s="26"/>
      <c r="M40" s="26"/>
      <c r="N40" s="26"/>
      <c r="O40" s="26"/>
      <c r="P40" s="27"/>
    </row>
    <row r="41" spans="1:19">
      <c r="A41" s="1" t="s">
        <v>27</v>
      </c>
      <c r="B41" s="4" t="s">
        <v>6</v>
      </c>
      <c r="C41" s="9" t="s">
        <v>11</v>
      </c>
      <c r="D41" s="26"/>
      <c r="E41" s="26"/>
      <c r="F41" s="26"/>
      <c r="G41" s="26"/>
      <c r="H41" s="27"/>
      <c r="I41" s="28" t="s">
        <v>27</v>
      </c>
      <c r="J41" s="1" t="s">
        <v>27</v>
      </c>
      <c r="K41" s="1" t="s">
        <v>27</v>
      </c>
      <c r="L41" s="26"/>
      <c r="M41" s="26"/>
      <c r="N41" s="26"/>
      <c r="O41" s="26"/>
      <c r="P41" s="27"/>
    </row>
    <row r="42" spans="1:19">
      <c r="A42" s="1" t="s">
        <v>27</v>
      </c>
      <c r="B42" s="3" t="s">
        <v>5</v>
      </c>
      <c r="C42" s="4" t="s">
        <v>6</v>
      </c>
      <c r="D42" s="26"/>
      <c r="E42" s="26"/>
      <c r="F42" s="26"/>
      <c r="G42" s="26"/>
      <c r="H42" s="27"/>
      <c r="I42" s="28" t="s">
        <v>27</v>
      </c>
      <c r="J42" s="1" t="s">
        <v>27</v>
      </c>
      <c r="K42" s="1" t="s">
        <v>27</v>
      </c>
      <c r="L42" s="26"/>
      <c r="M42" s="26"/>
      <c r="N42" s="26"/>
      <c r="O42" s="26"/>
      <c r="P42" s="27"/>
    </row>
    <row r="43" spans="1:19">
      <c r="A43" s="1" t="s">
        <v>27</v>
      </c>
      <c r="B43" s="3" t="s">
        <v>5</v>
      </c>
      <c r="C43" s="17" t="s">
        <v>19</v>
      </c>
      <c r="D43" s="26"/>
      <c r="E43" s="26"/>
      <c r="F43" s="26"/>
      <c r="G43" s="26"/>
      <c r="H43" s="27"/>
      <c r="I43" s="28" t="s">
        <v>27</v>
      </c>
      <c r="J43" s="1" t="s">
        <v>27</v>
      </c>
      <c r="K43" s="1" t="s">
        <v>27</v>
      </c>
      <c r="L43" s="26"/>
      <c r="M43" s="26"/>
      <c r="N43" s="26"/>
      <c r="O43" s="26"/>
      <c r="P43" s="27"/>
    </row>
    <row r="44" spans="1:19">
      <c r="A44" s="1" t="s">
        <v>27</v>
      </c>
      <c r="B44" s="3" t="s">
        <v>5</v>
      </c>
      <c r="C44" s="4" t="s">
        <v>6</v>
      </c>
      <c r="D44" s="26"/>
      <c r="E44" s="26"/>
      <c r="F44" s="26"/>
      <c r="G44" s="26"/>
      <c r="H44" s="27"/>
      <c r="I44" s="28" t="s">
        <v>27</v>
      </c>
      <c r="J44" s="1" t="s">
        <v>27</v>
      </c>
      <c r="K44" s="1" t="s">
        <v>27</v>
      </c>
      <c r="L44" s="26"/>
      <c r="M44" s="26"/>
      <c r="N44" s="26"/>
      <c r="O44" s="26"/>
      <c r="P44" s="27"/>
    </row>
    <row r="45" spans="1:19">
      <c r="A45" s="1" t="s">
        <v>27</v>
      </c>
      <c r="B45" s="3" t="s">
        <v>5</v>
      </c>
      <c r="C45" s="4" t="s">
        <v>6</v>
      </c>
      <c r="D45" s="26"/>
      <c r="E45" s="26"/>
      <c r="F45" s="26"/>
      <c r="G45" s="26"/>
      <c r="H45" s="27"/>
      <c r="I45" s="28" t="s">
        <v>27</v>
      </c>
      <c r="J45" s="1" t="s">
        <v>27</v>
      </c>
      <c r="K45" s="1" t="s">
        <v>27</v>
      </c>
      <c r="L45" s="26"/>
      <c r="M45" s="26"/>
      <c r="N45" s="26"/>
      <c r="O45" s="26"/>
      <c r="P45" s="27"/>
    </row>
    <row r="46" spans="1:19">
      <c r="A46" s="1" t="s">
        <v>27</v>
      </c>
      <c r="B46" s="4" t="s">
        <v>6</v>
      </c>
      <c r="C46" s="4" t="s">
        <v>6</v>
      </c>
      <c r="D46" s="26"/>
      <c r="E46" s="26"/>
      <c r="F46" s="26"/>
      <c r="G46" s="26"/>
      <c r="H46" s="27"/>
      <c r="I46" s="28" t="s">
        <v>27</v>
      </c>
      <c r="J46" s="1" t="s">
        <v>27</v>
      </c>
      <c r="K46" s="1" t="s">
        <v>27</v>
      </c>
      <c r="L46" s="26"/>
      <c r="M46" s="26"/>
      <c r="N46" s="26"/>
      <c r="O46" s="26"/>
      <c r="P46" s="27"/>
    </row>
    <row r="47" spans="1:19">
      <c r="A47" s="1" t="s">
        <v>27</v>
      </c>
      <c r="B47" s="4" t="s">
        <v>6</v>
      </c>
      <c r="C47" s="4" t="s">
        <v>6</v>
      </c>
      <c r="D47" s="26"/>
      <c r="E47" s="26"/>
      <c r="F47" s="26"/>
      <c r="G47" s="26"/>
      <c r="H47" s="27"/>
      <c r="I47" s="28" t="s">
        <v>27</v>
      </c>
      <c r="J47" s="1" t="s">
        <v>27</v>
      </c>
      <c r="K47" s="1" t="s">
        <v>27</v>
      </c>
      <c r="L47" s="26"/>
      <c r="M47" s="26"/>
      <c r="N47" s="26"/>
      <c r="O47" s="26"/>
      <c r="P47" s="27"/>
    </row>
    <row r="48" spans="1:19">
      <c r="A48" s="1" t="s">
        <v>27</v>
      </c>
      <c r="B48" s="4" t="s">
        <v>6</v>
      </c>
      <c r="C48" s="16" t="s">
        <v>18</v>
      </c>
      <c r="D48" s="26"/>
      <c r="E48" s="26"/>
      <c r="F48" s="26"/>
      <c r="G48" s="26"/>
      <c r="H48" s="27"/>
      <c r="I48" s="28" t="s">
        <v>27</v>
      </c>
      <c r="J48" s="1" t="s">
        <v>27</v>
      </c>
      <c r="K48" s="1" t="s">
        <v>27</v>
      </c>
      <c r="L48" s="26"/>
      <c r="M48" s="26"/>
      <c r="N48" s="26"/>
      <c r="O48" s="26"/>
      <c r="P48" s="27"/>
    </row>
    <row r="49" spans="1:16">
      <c r="A49" s="1" t="s">
        <v>27</v>
      </c>
      <c r="B49" s="17" t="s">
        <v>20</v>
      </c>
      <c r="C49" s="4" t="s">
        <v>6</v>
      </c>
      <c r="D49" s="26"/>
      <c r="E49" s="26"/>
      <c r="F49" s="26"/>
      <c r="G49" s="26"/>
      <c r="H49" s="27"/>
      <c r="I49" s="28" t="s">
        <v>27</v>
      </c>
      <c r="J49" s="1" t="s">
        <v>27</v>
      </c>
      <c r="K49" s="1" t="s">
        <v>27</v>
      </c>
      <c r="L49" s="26"/>
      <c r="M49" s="26"/>
      <c r="N49" s="26"/>
      <c r="O49" s="26"/>
      <c r="P49" s="27"/>
    </row>
    <row r="50" spans="1:16">
      <c r="A50" s="1" t="s">
        <v>27</v>
      </c>
      <c r="B50" s="1" t="s">
        <v>27</v>
      </c>
      <c r="C50" s="4" t="s">
        <v>6</v>
      </c>
      <c r="D50" s="26"/>
      <c r="E50" s="26"/>
      <c r="F50" s="26"/>
      <c r="G50" s="26"/>
      <c r="H50" s="27"/>
      <c r="I50" s="28" t="s">
        <v>27</v>
      </c>
      <c r="J50" s="1" t="s">
        <v>27</v>
      </c>
      <c r="K50" s="1" t="s">
        <v>27</v>
      </c>
      <c r="L50" s="26"/>
      <c r="M50" s="26"/>
      <c r="N50" s="26"/>
      <c r="O50" s="26"/>
      <c r="P50" s="27"/>
    </row>
    <row r="51" spans="1:16">
      <c r="A51" s="1" t="s">
        <v>27</v>
      </c>
      <c r="B51" s="1" t="s">
        <v>27</v>
      </c>
      <c r="C51" s="17" t="s">
        <v>20</v>
      </c>
      <c r="D51" s="26"/>
      <c r="E51" s="26"/>
      <c r="F51" s="26"/>
      <c r="G51" s="26"/>
      <c r="H51" s="27"/>
      <c r="I51" s="28" t="s">
        <v>27</v>
      </c>
      <c r="J51" s="1" t="s">
        <v>27</v>
      </c>
      <c r="K51" s="1" t="s">
        <v>27</v>
      </c>
      <c r="L51" s="26"/>
      <c r="M51" s="26"/>
      <c r="N51" s="26"/>
      <c r="O51" s="26"/>
      <c r="P51" s="27"/>
    </row>
    <row r="52" spans="1:16">
      <c r="A52" s="1" t="s">
        <v>27</v>
      </c>
      <c r="B52" s="1" t="s">
        <v>27</v>
      </c>
      <c r="C52" s="1" t="s">
        <v>27</v>
      </c>
      <c r="D52" s="26"/>
      <c r="E52" s="26"/>
      <c r="F52" s="26"/>
      <c r="G52" s="26"/>
      <c r="H52" s="27"/>
      <c r="I52" s="28" t="s">
        <v>27</v>
      </c>
      <c r="J52" s="1" t="s">
        <v>27</v>
      </c>
      <c r="K52" s="1" t="s">
        <v>27</v>
      </c>
      <c r="L52" s="26"/>
      <c r="M52" s="26"/>
      <c r="N52" s="26"/>
      <c r="O52" s="26"/>
      <c r="P52" s="27"/>
    </row>
    <row r="53" spans="1:16">
      <c r="A53" s="1" t="s">
        <v>27</v>
      </c>
      <c r="B53" s="1" t="s">
        <v>27</v>
      </c>
      <c r="C53" s="1" t="s">
        <v>27</v>
      </c>
      <c r="D53" s="26"/>
      <c r="E53" s="26"/>
      <c r="F53" s="26"/>
      <c r="G53" s="26"/>
      <c r="H53" s="27"/>
      <c r="I53" s="28" t="s">
        <v>27</v>
      </c>
      <c r="J53" s="1" t="s">
        <v>27</v>
      </c>
      <c r="K53" s="1" t="s">
        <v>27</v>
      </c>
      <c r="L53" s="26"/>
      <c r="M53" s="26"/>
      <c r="N53" s="26"/>
      <c r="O53" s="26"/>
      <c r="P53" s="27"/>
    </row>
    <row r="54" spans="1:16">
      <c r="A54" s="1" t="s">
        <v>27</v>
      </c>
      <c r="B54" s="1" t="s">
        <v>27</v>
      </c>
      <c r="C54" s="1" t="s">
        <v>27</v>
      </c>
      <c r="D54" s="26"/>
      <c r="E54" s="26"/>
      <c r="F54" s="26"/>
      <c r="G54" s="26"/>
      <c r="H54" s="27"/>
      <c r="I54" s="28" t="s">
        <v>27</v>
      </c>
      <c r="J54" s="1" t="s">
        <v>27</v>
      </c>
      <c r="K54" s="1" t="s">
        <v>27</v>
      </c>
      <c r="L54" s="26"/>
      <c r="M54" s="26"/>
      <c r="N54" s="26"/>
      <c r="O54" s="26"/>
      <c r="P54" s="27"/>
    </row>
    <row r="55" spans="1:16">
      <c r="A55" s="1" t="s">
        <v>27</v>
      </c>
      <c r="B55" s="1" t="s">
        <v>27</v>
      </c>
      <c r="C55" s="1" t="s">
        <v>27</v>
      </c>
      <c r="D55" s="26"/>
      <c r="E55" s="26"/>
      <c r="F55" s="26"/>
      <c r="G55" s="26"/>
      <c r="H55" s="27"/>
      <c r="I55" s="28" t="s">
        <v>27</v>
      </c>
      <c r="J55" s="1" t="s">
        <v>27</v>
      </c>
      <c r="K55" s="1" t="s">
        <v>27</v>
      </c>
      <c r="L55" s="26"/>
      <c r="M55" s="26"/>
      <c r="N55" s="26"/>
      <c r="O55" s="26"/>
      <c r="P55" s="27"/>
    </row>
    <row r="56" spans="1:16">
      <c r="A56" s="28" t="s">
        <v>27</v>
      </c>
      <c r="B56" s="1" t="s">
        <v>27</v>
      </c>
      <c r="C56" s="1" t="s">
        <v>27</v>
      </c>
      <c r="D56" s="26"/>
      <c r="E56" s="26"/>
      <c r="F56" s="26"/>
      <c r="G56" s="26"/>
      <c r="H56" s="27"/>
      <c r="I56" s="28" t="s">
        <v>27</v>
      </c>
      <c r="J56" s="1" t="s">
        <v>27</v>
      </c>
      <c r="K56" s="1" t="s">
        <v>27</v>
      </c>
      <c r="L56" s="26"/>
      <c r="M56" s="26"/>
      <c r="N56" s="26"/>
      <c r="O56" s="26"/>
      <c r="P56" s="27"/>
    </row>
    <row r="57" spans="1:16">
      <c r="A57" s="28" t="s">
        <v>27</v>
      </c>
      <c r="B57" s="1" t="s">
        <v>27</v>
      </c>
      <c r="C57" s="1" t="s">
        <v>27</v>
      </c>
      <c r="D57" s="26"/>
      <c r="E57" s="26"/>
      <c r="F57" s="26"/>
      <c r="G57" s="26"/>
      <c r="H57" s="27"/>
      <c r="I57" s="28" t="s">
        <v>27</v>
      </c>
      <c r="J57" s="1" t="s">
        <v>27</v>
      </c>
      <c r="K57" s="1" t="s">
        <v>27</v>
      </c>
      <c r="L57" s="26"/>
      <c r="M57" s="26"/>
      <c r="N57" s="26"/>
      <c r="O57" s="26"/>
      <c r="P57" s="27"/>
    </row>
    <row r="58" spans="1:16">
      <c r="A58" s="28" t="s">
        <v>27</v>
      </c>
      <c r="B58" s="1" t="s">
        <v>27</v>
      </c>
      <c r="C58" s="1" t="s">
        <v>27</v>
      </c>
      <c r="D58" s="26"/>
      <c r="E58" s="26"/>
      <c r="F58" s="26"/>
      <c r="G58" s="26"/>
      <c r="H58" s="27"/>
      <c r="I58" s="28" t="s">
        <v>27</v>
      </c>
      <c r="J58" s="1" t="s">
        <v>27</v>
      </c>
      <c r="K58" s="1" t="s">
        <v>27</v>
      </c>
      <c r="L58" s="26"/>
      <c r="M58" s="26"/>
      <c r="N58" s="26"/>
      <c r="O58" s="26"/>
      <c r="P58" s="27"/>
    </row>
    <row r="59" spans="1:16">
      <c r="A59" s="28" t="s">
        <v>27</v>
      </c>
      <c r="B59" s="1" t="s">
        <v>27</v>
      </c>
      <c r="C59" s="1" t="s">
        <v>27</v>
      </c>
      <c r="D59" s="26"/>
      <c r="E59" s="26"/>
      <c r="F59" s="26"/>
      <c r="G59" s="26"/>
      <c r="H59" s="27"/>
      <c r="I59" s="28" t="s">
        <v>27</v>
      </c>
      <c r="J59" s="1" t="s">
        <v>27</v>
      </c>
      <c r="K59" s="1" t="s">
        <v>27</v>
      </c>
      <c r="L59" s="26"/>
      <c r="M59" s="26"/>
      <c r="N59" s="26"/>
      <c r="O59" s="26"/>
      <c r="P59" s="27"/>
    </row>
    <row r="60" spans="1:16">
      <c r="A60" s="28" t="s">
        <v>27</v>
      </c>
      <c r="B60" s="1" t="s">
        <v>27</v>
      </c>
      <c r="C60" s="1" t="s">
        <v>27</v>
      </c>
      <c r="D60" s="26"/>
      <c r="E60" s="26"/>
      <c r="F60" s="26"/>
      <c r="G60" s="26"/>
      <c r="H60" s="27"/>
      <c r="I60" s="28" t="s">
        <v>27</v>
      </c>
      <c r="J60" s="1" t="s">
        <v>27</v>
      </c>
      <c r="K60" s="1" t="s">
        <v>27</v>
      </c>
      <c r="L60" s="26"/>
      <c r="M60" s="26"/>
      <c r="N60" s="26"/>
      <c r="O60" s="26"/>
      <c r="P60" s="27"/>
    </row>
    <row r="61" spans="1:16">
      <c r="A61" s="28" t="s">
        <v>27</v>
      </c>
      <c r="B61" s="1" t="s">
        <v>27</v>
      </c>
      <c r="C61" s="1" t="s">
        <v>27</v>
      </c>
      <c r="D61" s="26"/>
      <c r="E61" s="26"/>
      <c r="F61" s="26"/>
      <c r="G61" s="26"/>
      <c r="H61" s="27"/>
      <c r="I61" s="28" t="s">
        <v>27</v>
      </c>
      <c r="J61" s="1" t="s">
        <v>27</v>
      </c>
      <c r="K61" s="1" t="s">
        <v>27</v>
      </c>
      <c r="L61" s="26"/>
      <c r="M61" s="26"/>
      <c r="N61" s="26"/>
      <c r="O61" s="26"/>
      <c r="P61" s="27"/>
    </row>
    <row r="62" spans="1:16">
      <c r="A62" s="28" t="s">
        <v>27</v>
      </c>
      <c r="B62" s="1" t="s">
        <v>27</v>
      </c>
      <c r="C62" s="1" t="s">
        <v>27</v>
      </c>
      <c r="D62" s="26"/>
      <c r="E62" s="26"/>
      <c r="F62" s="26"/>
      <c r="G62" s="26"/>
      <c r="H62" s="27"/>
      <c r="I62" s="28" t="s">
        <v>27</v>
      </c>
      <c r="J62" s="1" t="s">
        <v>27</v>
      </c>
      <c r="K62" s="1" t="s">
        <v>27</v>
      </c>
      <c r="L62" s="26"/>
      <c r="M62" s="26"/>
      <c r="N62" s="26"/>
      <c r="O62" s="26"/>
      <c r="P62" s="27"/>
    </row>
    <row r="63" spans="1:16">
      <c r="A63" s="28" t="s">
        <v>27</v>
      </c>
      <c r="B63" s="1" t="s">
        <v>27</v>
      </c>
      <c r="C63" s="1" t="s">
        <v>27</v>
      </c>
      <c r="D63" s="26"/>
      <c r="E63" s="26"/>
      <c r="F63" s="26"/>
      <c r="G63" s="26"/>
      <c r="H63" s="27"/>
      <c r="I63" s="28" t="s">
        <v>27</v>
      </c>
      <c r="J63" s="1" t="s">
        <v>27</v>
      </c>
      <c r="K63" s="1" t="s">
        <v>27</v>
      </c>
      <c r="L63" s="26"/>
      <c r="M63" s="26"/>
      <c r="N63" s="26"/>
      <c r="O63" s="26"/>
      <c r="P63" s="27"/>
    </row>
    <row r="64" spans="1:16">
      <c r="A64" s="28" t="s">
        <v>27</v>
      </c>
      <c r="B64" s="1" t="s">
        <v>27</v>
      </c>
      <c r="C64" s="1" t="s">
        <v>27</v>
      </c>
      <c r="D64" s="26"/>
      <c r="E64" s="26"/>
      <c r="F64" s="26"/>
      <c r="G64" s="26"/>
      <c r="H64" s="27"/>
      <c r="I64" s="28" t="s">
        <v>27</v>
      </c>
      <c r="J64" s="1" t="s">
        <v>27</v>
      </c>
      <c r="K64" s="1" t="s">
        <v>27</v>
      </c>
      <c r="L64" s="26"/>
      <c r="M64" s="26"/>
      <c r="N64" s="26"/>
      <c r="O64" s="26"/>
      <c r="P64" s="27"/>
    </row>
    <row r="65" spans="1:16">
      <c r="A65" s="28" t="s">
        <v>27</v>
      </c>
      <c r="B65" s="1" t="s">
        <v>27</v>
      </c>
      <c r="C65" s="1" t="s">
        <v>27</v>
      </c>
      <c r="D65" s="26"/>
      <c r="E65" s="26"/>
      <c r="F65" s="26"/>
      <c r="G65" s="26"/>
      <c r="H65" s="27"/>
      <c r="I65" s="28" t="s">
        <v>27</v>
      </c>
      <c r="J65" s="1" t="s">
        <v>27</v>
      </c>
      <c r="K65" s="1" t="s">
        <v>27</v>
      </c>
      <c r="L65" s="26"/>
      <c r="M65" s="26"/>
      <c r="N65" s="26"/>
      <c r="O65" s="26"/>
      <c r="P65" s="27"/>
    </row>
    <row r="66" spans="1:16">
      <c r="A66" s="28" t="s">
        <v>27</v>
      </c>
      <c r="B66" s="1" t="s">
        <v>27</v>
      </c>
      <c r="C66" s="1" t="s">
        <v>27</v>
      </c>
      <c r="D66" s="26"/>
      <c r="E66" s="26"/>
      <c r="F66" s="26"/>
      <c r="G66" s="26"/>
      <c r="H66" s="27"/>
      <c r="I66" s="28" t="s">
        <v>27</v>
      </c>
      <c r="J66" s="1" t="s">
        <v>27</v>
      </c>
      <c r="K66" s="1" t="s">
        <v>27</v>
      </c>
      <c r="L66" s="26"/>
      <c r="M66" s="26"/>
      <c r="N66" s="26"/>
      <c r="O66" s="26"/>
      <c r="P66" s="27"/>
    </row>
    <row r="67" spans="1:16">
      <c r="A67" s="28" t="s">
        <v>27</v>
      </c>
      <c r="B67" s="1" t="s">
        <v>27</v>
      </c>
      <c r="C67" s="1" t="s">
        <v>27</v>
      </c>
      <c r="D67" s="26"/>
      <c r="E67" s="26"/>
      <c r="F67" s="26"/>
      <c r="G67" s="26"/>
      <c r="H67" s="27"/>
      <c r="I67" s="28" t="s">
        <v>27</v>
      </c>
      <c r="J67" s="1" t="s">
        <v>27</v>
      </c>
      <c r="K67" s="1" t="s">
        <v>27</v>
      </c>
      <c r="L67" s="26"/>
      <c r="M67" s="26"/>
      <c r="N67" s="26"/>
      <c r="O67" s="26"/>
      <c r="P67" s="27"/>
    </row>
    <row r="68" spans="1:16">
      <c r="A68" s="28" t="s">
        <v>27</v>
      </c>
      <c r="B68" s="1" t="s">
        <v>27</v>
      </c>
      <c r="C68" s="1" t="s">
        <v>27</v>
      </c>
      <c r="D68" s="26"/>
      <c r="E68" s="26"/>
      <c r="F68" s="26"/>
      <c r="G68" s="26"/>
      <c r="H68" s="27"/>
      <c r="I68" s="28" t="s">
        <v>27</v>
      </c>
      <c r="J68" s="1" t="s">
        <v>27</v>
      </c>
      <c r="K68" s="1" t="s">
        <v>27</v>
      </c>
      <c r="L68" s="26"/>
      <c r="M68" s="26"/>
      <c r="N68" s="26"/>
      <c r="O68" s="26"/>
      <c r="P68" s="27"/>
    </row>
    <row r="69" spans="1:16">
      <c r="A69" s="28" t="s">
        <v>27</v>
      </c>
      <c r="B69" s="1" t="s">
        <v>27</v>
      </c>
      <c r="C69" s="1" t="s">
        <v>27</v>
      </c>
      <c r="D69" s="26"/>
      <c r="E69" s="26"/>
      <c r="F69" s="26"/>
      <c r="G69" s="26"/>
      <c r="H69" s="27"/>
      <c r="I69" s="28" t="s">
        <v>27</v>
      </c>
      <c r="J69" s="1" t="s">
        <v>27</v>
      </c>
      <c r="K69" s="1" t="s">
        <v>27</v>
      </c>
      <c r="L69" s="26"/>
      <c r="M69" s="26"/>
      <c r="N69" s="26"/>
      <c r="O69" s="26"/>
      <c r="P69" s="27"/>
    </row>
    <row r="70" spans="1:16">
      <c r="A70" s="28" t="s">
        <v>27</v>
      </c>
      <c r="B70" s="1" t="s">
        <v>27</v>
      </c>
      <c r="C70" s="1" t="s">
        <v>27</v>
      </c>
      <c r="D70" s="26"/>
      <c r="E70" s="26"/>
      <c r="F70" s="26"/>
      <c r="G70" s="26"/>
      <c r="H70" s="27"/>
      <c r="I70" s="28" t="s">
        <v>27</v>
      </c>
      <c r="J70" s="1" t="s">
        <v>27</v>
      </c>
      <c r="K70" s="1" t="s">
        <v>27</v>
      </c>
      <c r="L70" s="26"/>
      <c r="M70" s="26"/>
      <c r="N70" s="26"/>
      <c r="O70" s="26"/>
      <c r="P70" s="27"/>
    </row>
    <row r="71" spans="1:16">
      <c r="A71" s="28" t="s">
        <v>27</v>
      </c>
      <c r="B71" s="1" t="s">
        <v>27</v>
      </c>
      <c r="C71" s="1" t="s">
        <v>27</v>
      </c>
      <c r="D71" s="26"/>
      <c r="E71" s="26"/>
      <c r="F71" s="26"/>
      <c r="G71" s="26"/>
      <c r="H71" s="27"/>
      <c r="I71" s="28" t="s">
        <v>27</v>
      </c>
      <c r="J71" s="1" t="s">
        <v>27</v>
      </c>
      <c r="K71" s="1" t="s">
        <v>27</v>
      </c>
      <c r="L71" s="26"/>
      <c r="M71" s="26"/>
      <c r="N71" s="26"/>
      <c r="O71" s="26"/>
      <c r="P71" s="27"/>
    </row>
    <row r="72" spans="1:16">
      <c r="A72" s="28" t="s">
        <v>27</v>
      </c>
      <c r="B72" s="1" t="s">
        <v>27</v>
      </c>
      <c r="C72" s="1" t="s">
        <v>27</v>
      </c>
      <c r="D72" s="26"/>
      <c r="E72" s="26"/>
      <c r="F72" s="26"/>
      <c r="G72" s="26"/>
      <c r="H72" s="27"/>
      <c r="I72" s="28" t="s">
        <v>27</v>
      </c>
      <c r="J72" s="1" t="s">
        <v>27</v>
      </c>
      <c r="K72" s="1" t="s">
        <v>27</v>
      </c>
      <c r="L72" s="26"/>
      <c r="M72" s="26"/>
      <c r="N72" s="26"/>
      <c r="O72" s="26"/>
      <c r="P72" s="27"/>
    </row>
    <row r="73" spans="1:16">
      <c r="A73" s="28" t="s">
        <v>27</v>
      </c>
      <c r="B73" s="1" t="s">
        <v>27</v>
      </c>
      <c r="C73" s="1" t="s">
        <v>27</v>
      </c>
      <c r="D73" s="26"/>
      <c r="E73" s="26"/>
      <c r="F73" s="26"/>
      <c r="G73" s="26"/>
      <c r="H73" s="27"/>
      <c r="I73" s="28" t="s">
        <v>27</v>
      </c>
      <c r="J73" s="1" t="s">
        <v>27</v>
      </c>
      <c r="K73" s="1" t="s">
        <v>27</v>
      </c>
      <c r="L73" s="26"/>
      <c r="M73" s="26"/>
      <c r="N73" s="26"/>
      <c r="O73" s="26"/>
      <c r="P73" s="27"/>
    </row>
    <row r="74" spans="1:16">
      <c r="A74" s="28" t="s">
        <v>27</v>
      </c>
      <c r="B74" s="1" t="s">
        <v>27</v>
      </c>
      <c r="C74" s="1" t="s">
        <v>27</v>
      </c>
      <c r="D74" s="26"/>
      <c r="E74" s="26"/>
      <c r="F74" s="26"/>
      <c r="G74" s="26"/>
      <c r="H74" s="27"/>
      <c r="I74" s="28" t="s">
        <v>27</v>
      </c>
      <c r="J74" s="1" t="s">
        <v>27</v>
      </c>
      <c r="K74" s="1" t="s">
        <v>27</v>
      </c>
      <c r="L74" s="26"/>
      <c r="M74" s="26"/>
      <c r="N74" s="26"/>
      <c r="O74" s="26"/>
      <c r="P74" s="27"/>
    </row>
    <row r="75" spans="1:16">
      <c r="A75" s="28" t="s">
        <v>27</v>
      </c>
      <c r="B75" s="1" t="s">
        <v>27</v>
      </c>
      <c r="C75" s="1" t="s">
        <v>27</v>
      </c>
      <c r="D75" s="26"/>
      <c r="E75" s="26"/>
      <c r="F75" s="26"/>
      <c r="G75" s="26"/>
      <c r="H75" s="27"/>
      <c r="I75" s="28" t="s">
        <v>27</v>
      </c>
      <c r="J75" s="1" t="s">
        <v>27</v>
      </c>
      <c r="K75" s="1" t="s">
        <v>27</v>
      </c>
      <c r="L75" s="26"/>
      <c r="M75" s="26"/>
      <c r="N75" s="26"/>
      <c r="O75" s="26"/>
      <c r="P75" s="27"/>
    </row>
    <row r="76" spans="1:16">
      <c r="A76" s="28" t="s">
        <v>27</v>
      </c>
      <c r="B76" s="1" t="s">
        <v>27</v>
      </c>
      <c r="C76" s="1" t="s">
        <v>27</v>
      </c>
      <c r="D76" s="26"/>
      <c r="E76" s="26"/>
      <c r="F76" s="26"/>
      <c r="G76" s="26"/>
      <c r="H76" s="27"/>
      <c r="I76" s="28" t="s">
        <v>27</v>
      </c>
      <c r="J76" s="1" t="s">
        <v>27</v>
      </c>
      <c r="K76" s="1" t="s">
        <v>27</v>
      </c>
      <c r="L76" s="26"/>
      <c r="M76" s="26"/>
      <c r="N76" s="26"/>
      <c r="O76" s="26"/>
      <c r="P76" s="27"/>
    </row>
    <row r="77" spans="1:16">
      <c r="A77" s="28" t="s">
        <v>27</v>
      </c>
      <c r="B77" s="1" t="s">
        <v>27</v>
      </c>
      <c r="C77" s="1" t="s">
        <v>27</v>
      </c>
      <c r="D77" s="26"/>
      <c r="E77" s="26"/>
      <c r="F77" s="26"/>
      <c r="G77" s="26"/>
      <c r="H77" s="27"/>
      <c r="I77" s="28" t="s">
        <v>27</v>
      </c>
      <c r="J77" s="1" t="s">
        <v>27</v>
      </c>
      <c r="K77" s="1" t="s">
        <v>27</v>
      </c>
      <c r="L77" s="26"/>
      <c r="M77" s="26"/>
      <c r="N77" s="26"/>
      <c r="O77" s="26"/>
      <c r="P77" s="27"/>
    </row>
    <row r="78" spans="1:16">
      <c r="A78" s="28" t="s">
        <v>27</v>
      </c>
      <c r="B78" s="1" t="s">
        <v>27</v>
      </c>
      <c r="C78" s="1" t="s">
        <v>27</v>
      </c>
      <c r="D78" s="26"/>
      <c r="E78" s="26"/>
      <c r="F78" s="26"/>
      <c r="G78" s="26"/>
      <c r="H78" s="27"/>
      <c r="I78" s="28" t="s">
        <v>27</v>
      </c>
      <c r="J78" s="1" t="s">
        <v>27</v>
      </c>
      <c r="K78" s="1" t="s">
        <v>27</v>
      </c>
      <c r="L78" s="26"/>
      <c r="M78" s="26"/>
      <c r="N78" s="26"/>
      <c r="O78" s="26"/>
      <c r="P78" s="27"/>
    </row>
    <row r="79" spans="1:16">
      <c r="A79" s="28" t="s">
        <v>27</v>
      </c>
      <c r="B79" s="1" t="s">
        <v>27</v>
      </c>
      <c r="C79" s="1" t="s">
        <v>27</v>
      </c>
      <c r="D79" s="26"/>
      <c r="E79" s="26"/>
      <c r="F79" s="26"/>
      <c r="G79" s="26"/>
      <c r="H79" s="27"/>
      <c r="I79" s="28" t="s">
        <v>27</v>
      </c>
      <c r="J79" s="1" t="s">
        <v>27</v>
      </c>
      <c r="K79" s="1" t="s">
        <v>27</v>
      </c>
      <c r="L79" s="26"/>
      <c r="M79" s="26"/>
      <c r="N79" s="26"/>
      <c r="O79" s="26"/>
      <c r="P79" s="27"/>
    </row>
    <row r="80" spans="1:16">
      <c r="A80" s="28" t="s">
        <v>27</v>
      </c>
      <c r="B80" s="1" t="s">
        <v>27</v>
      </c>
      <c r="C80" s="1" t="s">
        <v>27</v>
      </c>
      <c r="D80" s="26"/>
      <c r="E80" s="26"/>
      <c r="F80" s="26"/>
      <c r="G80" s="26"/>
      <c r="H80" s="27"/>
      <c r="I80" s="28" t="s">
        <v>27</v>
      </c>
      <c r="J80" s="1" t="s">
        <v>27</v>
      </c>
      <c r="K80" s="1" t="s">
        <v>27</v>
      </c>
      <c r="L80" s="26"/>
      <c r="M80" s="26"/>
      <c r="N80" s="26"/>
      <c r="O80" s="26"/>
      <c r="P80" s="27"/>
    </row>
    <row r="81" spans="1:16">
      <c r="A81" s="28" t="s">
        <v>27</v>
      </c>
      <c r="B81" s="1" t="s">
        <v>27</v>
      </c>
      <c r="C81" s="1" t="s">
        <v>27</v>
      </c>
      <c r="D81" s="26"/>
      <c r="E81" s="26"/>
      <c r="F81" s="26"/>
      <c r="G81" s="26"/>
      <c r="H81" s="27"/>
      <c r="I81" s="28" t="s">
        <v>27</v>
      </c>
      <c r="J81" s="1" t="s">
        <v>27</v>
      </c>
      <c r="K81" s="1" t="s">
        <v>27</v>
      </c>
      <c r="L81" s="26"/>
      <c r="M81" s="26"/>
      <c r="N81" s="26"/>
      <c r="O81" s="26"/>
      <c r="P81" s="27"/>
    </row>
    <row r="82" spans="1:16">
      <c r="A82" s="28" t="s">
        <v>27</v>
      </c>
      <c r="B82" s="1" t="s">
        <v>27</v>
      </c>
      <c r="C82" s="1" t="s">
        <v>27</v>
      </c>
      <c r="D82" s="26"/>
      <c r="E82" s="26"/>
      <c r="F82" s="26"/>
      <c r="G82" s="26"/>
      <c r="H82" s="27"/>
      <c r="I82" s="28" t="s">
        <v>27</v>
      </c>
      <c r="J82" s="1" t="s">
        <v>27</v>
      </c>
      <c r="K82" s="1" t="s">
        <v>27</v>
      </c>
      <c r="L82" s="26"/>
      <c r="M82" s="26"/>
      <c r="N82" s="26"/>
      <c r="O82" s="26"/>
      <c r="P82" s="27"/>
    </row>
    <row r="83" spans="1:16">
      <c r="A83" s="28" t="s">
        <v>27</v>
      </c>
      <c r="B83" s="1" t="s">
        <v>27</v>
      </c>
      <c r="C83" s="1" t="s">
        <v>27</v>
      </c>
      <c r="D83" s="26"/>
      <c r="E83" s="26"/>
      <c r="F83" s="26"/>
      <c r="G83" s="26"/>
      <c r="H83" s="27"/>
      <c r="I83" s="28" t="s">
        <v>27</v>
      </c>
      <c r="J83" s="1" t="s">
        <v>27</v>
      </c>
      <c r="K83" s="1" t="s">
        <v>27</v>
      </c>
      <c r="L83" s="26"/>
      <c r="M83" s="26"/>
      <c r="N83" s="26"/>
      <c r="O83" s="26"/>
      <c r="P83" s="27"/>
    </row>
    <row r="84" spans="1:16">
      <c r="A84" s="28" t="s">
        <v>27</v>
      </c>
      <c r="B84" s="1" t="s">
        <v>27</v>
      </c>
      <c r="C84" s="1" t="s">
        <v>27</v>
      </c>
      <c r="D84" s="26"/>
      <c r="E84" s="26"/>
      <c r="F84" s="26"/>
      <c r="G84" s="26"/>
      <c r="H84" s="27"/>
      <c r="I84" s="28" t="s">
        <v>27</v>
      </c>
      <c r="J84" s="1" t="s">
        <v>27</v>
      </c>
      <c r="K84" s="1" t="s">
        <v>27</v>
      </c>
      <c r="L84" s="26"/>
      <c r="M84" s="26"/>
      <c r="N84" s="26"/>
      <c r="O84" s="26"/>
      <c r="P84" s="27"/>
    </row>
    <row r="85" spans="1:16">
      <c r="A85" s="28" t="s">
        <v>27</v>
      </c>
      <c r="B85" s="1" t="s">
        <v>27</v>
      </c>
      <c r="C85" s="1" t="s">
        <v>27</v>
      </c>
      <c r="D85" s="26"/>
      <c r="E85" s="26"/>
      <c r="F85" s="26"/>
      <c r="G85" s="26"/>
      <c r="H85" s="27"/>
      <c r="I85" s="28" t="s">
        <v>27</v>
      </c>
      <c r="J85" s="1" t="s">
        <v>27</v>
      </c>
      <c r="K85" s="1" t="s">
        <v>27</v>
      </c>
      <c r="L85" s="26"/>
      <c r="M85" s="26"/>
      <c r="N85" s="26"/>
      <c r="O85" s="26"/>
      <c r="P85" s="27"/>
    </row>
    <row r="86" spans="1:16">
      <c r="A86" s="28" t="s">
        <v>27</v>
      </c>
      <c r="B86" s="1" t="s">
        <v>27</v>
      </c>
      <c r="C86" s="1" t="s">
        <v>27</v>
      </c>
      <c r="D86" s="26"/>
      <c r="E86" s="26"/>
      <c r="F86" s="26"/>
      <c r="G86" s="26"/>
      <c r="H86" s="27"/>
      <c r="I86" s="28" t="s">
        <v>27</v>
      </c>
      <c r="J86" s="1" t="s">
        <v>27</v>
      </c>
      <c r="K86" s="1" t="s">
        <v>27</v>
      </c>
      <c r="L86" s="26"/>
      <c r="M86" s="26"/>
      <c r="N86" s="26"/>
      <c r="O86" s="26"/>
      <c r="P86" s="27"/>
    </row>
    <row r="87" spans="1:16">
      <c r="A87" s="28" t="s">
        <v>27</v>
      </c>
      <c r="B87" s="1" t="s">
        <v>27</v>
      </c>
      <c r="C87" s="1" t="s">
        <v>27</v>
      </c>
      <c r="D87" s="26"/>
      <c r="E87" s="26"/>
      <c r="F87" s="26"/>
      <c r="G87" s="26"/>
      <c r="H87" s="27"/>
      <c r="I87" s="28" t="s">
        <v>27</v>
      </c>
      <c r="J87" s="1" t="s">
        <v>27</v>
      </c>
      <c r="K87" s="1" t="s">
        <v>27</v>
      </c>
      <c r="L87" s="26"/>
      <c r="M87" s="26"/>
      <c r="N87" s="26"/>
      <c r="O87" s="26"/>
      <c r="P87" s="27"/>
    </row>
    <row r="88" spans="1:16">
      <c r="A88" s="28" t="s">
        <v>27</v>
      </c>
      <c r="B88" s="1" t="s">
        <v>27</v>
      </c>
      <c r="C88" s="1" t="s">
        <v>27</v>
      </c>
      <c r="D88" s="26"/>
      <c r="E88" s="26"/>
      <c r="F88" s="26"/>
      <c r="G88" s="26"/>
      <c r="H88" s="27"/>
      <c r="I88" s="28" t="s">
        <v>27</v>
      </c>
      <c r="J88" s="1" t="s">
        <v>27</v>
      </c>
      <c r="K88" s="1" t="s">
        <v>27</v>
      </c>
      <c r="L88" s="26"/>
      <c r="M88" s="26"/>
      <c r="N88" s="26"/>
      <c r="O88" s="26"/>
      <c r="P88" s="27"/>
    </row>
    <row r="89" spans="1:16">
      <c r="A89" s="28" t="s">
        <v>27</v>
      </c>
      <c r="B89" s="1" t="s">
        <v>27</v>
      </c>
      <c r="C89" s="1" t="s">
        <v>27</v>
      </c>
      <c r="D89" s="26"/>
      <c r="E89" s="26"/>
      <c r="F89" s="26"/>
      <c r="G89" s="26"/>
      <c r="H89" s="27"/>
      <c r="I89" s="28" t="s">
        <v>27</v>
      </c>
      <c r="J89" s="1" t="s">
        <v>27</v>
      </c>
      <c r="K89" s="1" t="s">
        <v>27</v>
      </c>
      <c r="L89" s="26"/>
      <c r="M89" s="26"/>
      <c r="N89" s="26"/>
      <c r="O89" s="26"/>
      <c r="P89" s="27"/>
    </row>
    <row r="90" spans="1:16">
      <c r="A90" s="28" t="s">
        <v>27</v>
      </c>
      <c r="B90" s="1" t="s">
        <v>27</v>
      </c>
      <c r="C90" s="1" t="s">
        <v>27</v>
      </c>
      <c r="D90" s="26"/>
      <c r="E90" s="26"/>
      <c r="F90" s="26"/>
      <c r="G90" s="26"/>
      <c r="H90" s="27"/>
      <c r="I90" s="28" t="s">
        <v>27</v>
      </c>
      <c r="J90" s="1" t="s">
        <v>27</v>
      </c>
      <c r="K90" s="1" t="s">
        <v>27</v>
      </c>
      <c r="L90" s="26"/>
      <c r="M90" s="26"/>
      <c r="N90" s="26"/>
      <c r="O90" s="26"/>
      <c r="P90" s="27"/>
    </row>
    <row r="91" spans="1:16">
      <c r="A91" s="28" t="s">
        <v>27</v>
      </c>
      <c r="B91" s="1" t="s">
        <v>27</v>
      </c>
      <c r="C91" s="1" t="s">
        <v>27</v>
      </c>
      <c r="D91" s="26"/>
      <c r="E91" s="26"/>
      <c r="F91" s="26"/>
      <c r="G91" s="26"/>
      <c r="H91" s="27"/>
      <c r="I91" s="28" t="s">
        <v>27</v>
      </c>
      <c r="J91" s="1" t="s">
        <v>27</v>
      </c>
      <c r="K91" s="1" t="s">
        <v>27</v>
      </c>
      <c r="L91" s="26"/>
      <c r="M91" s="26"/>
      <c r="N91" s="26"/>
      <c r="O91" s="26"/>
      <c r="P91" s="27"/>
    </row>
    <row r="92" spans="1:16">
      <c r="A92" s="28" t="s">
        <v>27</v>
      </c>
      <c r="B92" s="1" t="s">
        <v>27</v>
      </c>
      <c r="C92" s="1" t="s">
        <v>27</v>
      </c>
      <c r="D92" s="26"/>
      <c r="E92" s="26"/>
      <c r="F92" s="26"/>
      <c r="G92" s="26"/>
      <c r="H92" s="27"/>
      <c r="I92" s="28" t="s">
        <v>27</v>
      </c>
      <c r="J92" s="1" t="s">
        <v>27</v>
      </c>
      <c r="K92" s="1" t="s">
        <v>27</v>
      </c>
      <c r="L92" s="26"/>
      <c r="M92" s="26"/>
      <c r="N92" s="26"/>
      <c r="O92" s="26"/>
      <c r="P92" s="27"/>
    </row>
    <row r="93" spans="1:16">
      <c r="A93" s="28" t="s">
        <v>27</v>
      </c>
      <c r="B93" s="1" t="s">
        <v>27</v>
      </c>
      <c r="C93" s="1" t="s">
        <v>27</v>
      </c>
      <c r="D93" s="26"/>
      <c r="E93" s="26"/>
      <c r="F93" s="26"/>
      <c r="G93" s="26"/>
      <c r="H93" s="27"/>
      <c r="I93" s="28" t="s">
        <v>27</v>
      </c>
      <c r="J93" s="1" t="s">
        <v>27</v>
      </c>
      <c r="K93" s="1" t="s">
        <v>27</v>
      </c>
      <c r="L93" s="26"/>
      <c r="M93" s="26"/>
      <c r="N93" s="26"/>
      <c r="O93" s="26"/>
      <c r="P93" s="27"/>
    </row>
    <row r="94" spans="1:16">
      <c r="A94" s="28" t="s">
        <v>27</v>
      </c>
      <c r="B94" s="1" t="s">
        <v>27</v>
      </c>
      <c r="C94" s="1" t="s">
        <v>27</v>
      </c>
      <c r="D94" s="26"/>
      <c r="E94" s="26"/>
      <c r="F94" s="26"/>
      <c r="G94" s="26"/>
      <c r="H94" s="27"/>
      <c r="I94" s="28" t="s">
        <v>27</v>
      </c>
      <c r="J94" s="1" t="s">
        <v>27</v>
      </c>
      <c r="K94" s="1" t="s">
        <v>27</v>
      </c>
      <c r="L94" s="26"/>
      <c r="M94" s="26"/>
      <c r="N94" s="26"/>
      <c r="O94" s="26"/>
      <c r="P94" s="27"/>
    </row>
    <row r="95" spans="1:16">
      <c r="A95" s="28" t="s">
        <v>27</v>
      </c>
      <c r="B95" s="1" t="s">
        <v>27</v>
      </c>
      <c r="C95" s="1" t="s">
        <v>27</v>
      </c>
      <c r="D95" s="26"/>
      <c r="E95" s="26"/>
      <c r="F95" s="26"/>
      <c r="G95" s="26"/>
      <c r="H95" s="27"/>
      <c r="I95" s="28" t="s">
        <v>27</v>
      </c>
      <c r="J95" s="1" t="s">
        <v>27</v>
      </c>
      <c r="K95" s="1" t="s">
        <v>27</v>
      </c>
      <c r="L95" s="26"/>
      <c r="M95" s="26"/>
      <c r="N95" s="26"/>
      <c r="O95" s="26"/>
      <c r="P95" s="27"/>
    </row>
    <row r="96" spans="1:16">
      <c r="A96" s="28" t="s">
        <v>27</v>
      </c>
      <c r="B96" s="1" t="s">
        <v>27</v>
      </c>
      <c r="C96" s="1" t="s">
        <v>27</v>
      </c>
      <c r="D96" s="26"/>
      <c r="E96" s="26"/>
      <c r="F96" s="26"/>
      <c r="G96" s="26"/>
      <c r="H96" s="27"/>
      <c r="I96" s="28" t="s">
        <v>27</v>
      </c>
      <c r="J96" s="1" t="s">
        <v>27</v>
      </c>
      <c r="K96" s="1" t="s">
        <v>27</v>
      </c>
      <c r="L96" s="26"/>
      <c r="M96" s="26"/>
      <c r="N96" s="26"/>
      <c r="O96" s="26"/>
      <c r="P96" s="27"/>
    </row>
    <row r="97" spans="1:16">
      <c r="A97" s="28" t="s">
        <v>27</v>
      </c>
      <c r="B97" s="1" t="s">
        <v>27</v>
      </c>
      <c r="C97" s="1" t="s">
        <v>27</v>
      </c>
      <c r="D97" s="26"/>
      <c r="E97" s="26"/>
      <c r="F97" s="26"/>
      <c r="G97" s="26"/>
      <c r="H97" s="27"/>
      <c r="I97" s="28" t="s">
        <v>27</v>
      </c>
      <c r="J97" s="1" t="s">
        <v>27</v>
      </c>
      <c r="K97" s="1" t="s">
        <v>27</v>
      </c>
      <c r="L97" s="26"/>
      <c r="M97" s="26"/>
      <c r="N97" s="26"/>
      <c r="O97" s="26"/>
      <c r="P97" s="27"/>
    </row>
    <row r="98" spans="1:16">
      <c r="A98" s="28" t="s">
        <v>27</v>
      </c>
      <c r="B98" s="1" t="s">
        <v>27</v>
      </c>
      <c r="C98" s="1" t="s">
        <v>27</v>
      </c>
      <c r="D98" s="26"/>
      <c r="E98" s="26"/>
      <c r="F98" s="26"/>
      <c r="G98" s="26"/>
      <c r="H98" s="27"/>
      <c r="I98" s="28" t="s">
        <v>27</v>
      </c>
      <c r="J98" s="1" t="s">
        <v>27</v>
      </c>
      <c r="K98" s="1" t="s">
        <v>27</v>
      </c>
      <c r="L98" s="26"/>
      <c r="M98" s="26"/>
      <c r="N98" s="26"/>
      <c r="O98" s="26"/>
      <c r="P98" s="27"/>
    </row>
    <row r="99" spans="1:16">
      <c r="A99" s="28" t="s">
        <v>27</v>
      </c>
      <c r="B99" s="1" t="s">
        <v>27</v>
      </c>
      <c r="C99" s="1" t="s">
        <v>27</v>
      </c>
      <c r="D99" s="26"/>
      <c r="E99" s="26"/>
      <c r="F99" s="26"/>
      <c r="G99" s="26"/>
      <c r="H99" s="27"/>
      <c r="I99" s="28" t="s">
        <v>27</v>
      </c>
      <c r="J99" s="1" t="s">
        <v>27</v>
      </c>
      <c r="K99" s="1" t="s">
        <v>27</v>
      </c>
      <c r="L99" s="26"/>
      <c r="M99" s="26"/>
      <c r="N99" s="26"/>
      <c r="O99" s="26"/>
      <c r="P99" s="27"/>
    </row>
    <row r="100" spans="1:16" ht="15.75" thickBot="1">
      <c r="A100" s="29" t="s">
        <v>27</v>
      </c>
      <c r="B100" s="30" t="s">
        <v>27</v>
      </c>
      <c r="C100" s="30" t="s">
        <v>27</v>
      </c>
      <c r="D100" s="31"/>
      <c r="E100" s="31"/>
      <c r="F100" s="31"/>
      <c r="G100" s="31"/>
      <c r="H100" s="32"/>
      <c r="I100" s="29" t="s">
        <v>27</v>
      </c>
      <c r="J100" s="30" t="s">
        <v>27</v>
      </c>
      <c r="K100" s="30" t="s">
        <v>27</v>
      </c>
      <c r="L100" s="31"/>
      <c r="M100" s="31"/>
      <c r="N100" s="31"/>
      <c r="O100" s="31"/>
      <c r="P100" s="32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7DD9E-B93F-4726-BEC8-D6C7D65E8C80}">
  <dimension ref="A1:AB100"/>
  <sheetViews>
    <sheetView workbookViewId="0">
      <selection activeCell="Y14" sqref="Y14"/>
    </sheetView>
  </sheetViews>
  <sheetFormatPr defaultRowHeight="15"/>
  <sheetData>
    <row r="1" spans="1:28" ht="15.75">
      <c r="A1" s="62" t="s">
        <v>30</v>
      </c>
      <c r="B1" s="63"/>
      <c r="C1" s="63"/>
      <c r="D1" s="63"/>
      <c r="E1" s="63"/>
      <c r="F1" s="64" t="s">
        <v>3</v>
      </c>
      <c r="G1" s="64"/>
      <c r="H1" s="24" cm="1">
        <f t="array" ref="H1">SUM(VLOOKUP(A4:C100,$T$3:$W$36,4,FALSE))+H4*10-H8*50</f>
        <v>3311.9943423939671</v>
      </c>
      <c r="I1" s="65" t="s">
        <v>41</v>
      </c>
      <c r="J1" s="66"/>
      <c r="K1" s="66"/>
      <c r="L1" s="66"/>
      <c r="M1" s="66"/>
      <c r="N1" s="66"/>
      <c r="O1" s="66"/>
      <c r="P1" s="67"/>
      <c r="Q1" s="65" t="s">
        <v>48</v>
      </c>
      <c r="R1" s="66"/>
      <c r="S1" s="66"/>
      <c r="T1" s="66"/>
      <c r="U1" s="66"/>
      <c r="V1" s="66"/>
      <c r="W1" s="66"/>
      <c r="X1" s="66"/>
      <c r="Y1" s="66"/>
      <c r="Z1" s="66"/>
      <c r="AA1" s="66"/>
      <c r="AB1" s="67"/>
    </row>
    <row r="2" spans="1:28" ht="30">
      <c r="A2" s="68" t="s">
        <v>35</v>
      </c>
      <c r="B2" s="69"/>
      <c r="C2" s="69"/>
      <c r="D2" s="70" t="s">
        <v>37</v>
      </c>
      <c r="E2" s="71"/>
      <c r="F2" s="71"/>
      <c r="G2" s="71"/>
      <c r="H2" s="72"/>
      <c r="I2" s="73" t="s">
        <v>35</v>
      </c>
      <c r="J2" s="74"/>
      <c r="K2" s="74"/>
      <c r="L2" s="75" t="s">
        <v>37</v>
      </c>
      <c r="M2" s="75"/>
      <c r="N2" s="75"/>
      <c r="O2" s="75"/>
      <c r="P2" s="76"/>
      <c r="Q2" s="50" t="s">
        <v>43</v>
      </c>
      <c r="R2" s="51" cm="1">
        <f t="array" ref="R2">SUM(V3:V28*AB3:AB28)+H6+P6+R4*500</f>
        <v>64970</v>
      </c>
      <c r="S2" s="26"/>
      <c r="T2" s="1" t="s">
        <v>0</v>
      </c>
      <c r="U2" s="1" t="s">
        <v>1</v>
      </c>
      <c r="V2" s="1" t="s">
        <v>2</v>
      </c>
      <c r="W2" s="44" t="s">
        <v>3</v>
      </c>
      <c r="X2" s="46" t="s">
        <v>44</v>
      </c>
      <c r="Y2" s="46" t="s">
        <v>56</v>
      </c>
      <c r="Z2" s="47" t="s">
        <v>45</v>
      </c>
      <c r="AA2" s="47" t="s">
        <v>46</v>
      </c>
      <c r="AB2" s="52" t="s">
        <v>47</v>
      </c>
    </row>
    <row r="3" spans="1:28">
      <c r="A3" s="60" t="s">
        <v>31</v>
      </c>
      <c r="B3" s="61" t="s">
        <v>32</v>
      </c>
      <c r="C3" s="20" t="s">
        <v>33</v>
      </c>
      <c r="D3" s="33"/>
      <c r="E3" s="60" t="s">
        <v>31</v>
      </c>
      <c r="F3" s="61" t="s">
        <v>32</v>
      </c>
      <c r="G3" s="20" t="s">
        <v>33</v>
      </c>
      <c r="H3" s="34" t="s">
        <v>36</v>
      </c>
      <c r="I3" s="60" t="s">
        <v>31</v>
      </c>
      <c r="J3" s="61" t="s">
        <v>32</v>
      </c>
      <c r="K3" s="20" t="s">
        <v>33</v>
      </c>
      <c r="L3" s="33"/>
      <c r="M3" s="60" t="s">
        <v>31</v>
      </c>
      <c r="N3" s="61" t="s">
        <v>32</v>
      </c>
      <c r="O3" s="20" t="s">
        <v>33</v>
      </c>
      <c r="P3" s="34" t="s">
        <v>36</v>
      </c>
      <c r="Q3" s="53" t="s">
        <v>49</v>
      </c>
      <c r="R3" s="26">
        <v>91</v>
      </c>
      <c r="S3" s="26"/>
      <c r="T3" s="2" t="s">
        <v>4</v>
      </c>
      <c r="U3" s="1">
        <v>150</v>
      </c>
      <c r="V3" s="1">
        <v>35</v>
      </c>
      <c r="W3" s="45">
        <f>U3-V3/0.330882</f>
        <v>44.222109392472248</v>
      </c>
      <c r="X3" s="46"/>
      <c r="Y3" s="46">
        <v>25</v>
      </c>
      <c r="Z3" s="1">
        <f>COUNTIF($A$4:$C$100,T3)</f>
        <v>17</v>
      </c>
      <c r="AA3" s="1">
        <f>COUNTIF($I$4:$K$100,T3)</f>
        <v>8</v>
      </c>
      <c r="AB3" s="54">
        <f>Y3-Z3-AA3</f>
        <v>0</v>
      </c>
    </row>
    <row r="4" spans="1:28">
      <c r="A4" s="2" t="s">
        <v>4</v>
      </c>
      <c r="B4" s="2" t="s">
        <v>4</v>
      </c>
      <c r="C4" s="3" t="s">
        <v>5</v>
      </c>
      <c r="D4" s="43" t="s">
        <v>34</v>
      </c>
      <c r="E4" s="39">
        <v>0</v>
      </c>
      <c r="F4" s="39">
        <v>11</v>
      </c>
      <c r="G4" s="39">
        <v>13</v>
      </c>
      <c r="H4" s="36">
        <f>SUM(E4:G4)</f>
        <v>24</v>
      </c>
      <c r="I4" s="2" t="s">
        <v>4</v>
      </c>
      <c r="J4" s="9" t="s">
        <v>11</v>
      </c>
      <c r="K4" s="3" t="s">
        <v>5</v>
      </c>
      <c r="L4" s="43" t="s">
        <v>34</v>
      </c>
      <c r="M4" s="39">
        <v>0</v>
      </c>
      <c r="N4" s="39">
        <v>1</v>
      </c>
      <c r="O4" s="39">
        <v>1</v>
      </c>
      <c r="P4" s="36">
        <f>SUM(M4:O4)</f>
        <v>2</v>
      </c>
      <c r="Q4" s="53" t="s">
        <v>50</v>
      </c>
      <c r="R4" s="40">
        <v>14</v>
      </c>
      <c r="S4" s="26"/>
      <c r="T4" s="3" t="s">
        <v>5</v>
      </c>
      <c r="U4" s="1">
        <v>160</v>
      </c>
      <c r="V4" s="1">
        <v>40</v>
      </c>
      <c r="W4" s="45">
        <f t="shared" ref="W4" si="0">U4-V4/0.330882</f>
        <v>39.110982162825422</v>
      </c>
      <c r="X4" s="46"/>
      <c r="Y4" s="46">
        <v>47</v>
      </c>
      <c r="Z4" s="1">
        <f t="shared" ref="Z4:Z28" si="1">COUNTIF($A$4:$C$100,T4)</f>
        <v>28</v>
      </c>
      <c r="AA4" s="1">
        <f t="shared" ref="AA4:AA28" si="2">COUNTIF($I$4:$K$100,T4)</f>
        <v>19</v>
      </c>
      <c r="AB4" s="54">
        <f t="shared" ref="AB4:AB28" si="3">Y4-Z4-AA4</f>
        <v>0</v>
      </c>
    </row>
    <row r="5" spans="1:28">
      <c r="A5" s="2" t="s">
        <v>4</v>
      </c>
      <c r="B5" s="2" t="s">
        <v>4</v>
      </c>
      <c r="C5" s="23" t="s">
        <v>29</v>
      </c>
      <c r="D5" s="33" t="s">
        <v>38</v>
      </c>
      <c r="E5" s="35" cm="1">
        <f t="array" ref="E5">(SUM(VLOOKUP(A4:A100,$T$3:$W$41,2,FALSE))+E4*10)-E8*50</f>
        <v>900</v>
      </c>
      <c r="F5" s="35" cm="1">
        <f t="array" ref="F5">(SUM(VLOOKUP(B4:B100,$T$3:$W$41,2,FALSE))+F4*10)-F8*50</f>
        <v>6940</v>
      </c>
      <c r="G5" s="35" cm="1">
        <f t="array" ref="G5">(SUM(VLOOKUP(C4:C100,$T$3:$W$41,2,FALSE))+G4*10)-G8*50</f>
        <v>6610</v>
      </c>
      <c r="H5" s="59">
        <f t="shared" ref="H5:H8" si="4">SUM(E5:G5)</f>
        <v>14450</v>
      </c>
      <c r="I5" s="15" t="s">
        <v>17</v>
      </c>
      <c r="J5" s="1" t="s">
        <v>27</v>
      </c>
      <c r="K5" s="3" t="s">
        <v>5</v>
      </c>
      <c r="L5" s="33" t="s">
        <v>38</v>
      </c>
      <c r="M5" s="35" cm="1">
        <f t="array" ref="M5">(SUM(VLOOKUP(I4:I100,$T$3:$W$41,2,FALSE))+M4*10)*0.8-M8*40</f>
        <v>1752</v>
      </c>
      <c r="N5" s="35" cm="1">
        <f t="array" ref="N5">(SUM(VLOOKUP(J4:J100,$T$3:$W$41,2,FALSE))+N4*10)*0.8-N8*40</f>
        <v>504</v>
      </c>
      <c r="O5" s="35" cm="1">
        <f t="array" ref="O5">(SUM(VLOOKUP(K4:K100,$T$3:$W$41,2,FALSE))+O4*10)*0.8-O8*40</f>
        <v>1872</v>
      </c>
      <c r="P5" s="59">
        <f t="shared" ref="P5:P8" si="5">SUM(M5:O5)</f>
        <v>4128</v>
      </c>
      <c r="Q5" s="53" t="s">
        <v>51</v>
      </c>
      <c r="R5" s="26">
        <v>6000</v>
      </c>
      <c r="S5" s="26"/>
      <c r="T5" s="4" t="s">
        <v>6</v>
      </c>
      <c r="U5" s="1">
        <v>170</v>
      </c>
      <c r="V5" s="1">
        <v>45</v>
      </c>
      <c r="W5" s="45">
        <v>34</v>
      </c>
      <c r="X5" s="48"/>
      <c r="Y5" s="46">
        <v>217</v>
      </c>
      <c r="Z5" s="1">
        <f t="shared" si="1"/>
        <v>34</v>
      </c>
      <c r="AA5" s="1">
        <f t="shared" si="2"/>
        <v>0</v>
      </c>
      <c r="AB5" s="54">
        <f t="shared" si="3"/>
        <v>183</v>
      </c>
    </row>
    <row r="6" spans="1:28">
      <c r="A6" s="2" t="s">
        <v>4</v>
      </c>
      <c r="B6" s="2" t="s">
        <v>4</v>
      </c>
      <c r="C6" s="3" t="s">
        <v>5</v>
      </c>
      <c r="D6" s="33" t="s">
        <v>39</v>
      </c>
      <c r="E6" s="35" cm="1">
        <f t="array" ref="E6">(SUM(VLOOKUP(A4:A100,$T$3:$W$41,3,FALSE)))</f>
        <v>210</v>
      </c>
      <c r="F6" s="35" cm="1">
        <f t="array" ref="F6">(SUM(VLOOKUP(B4:B100,$T$3:$W$41,3,FALSE)))</f>
        <v>1960</v>
      </c>
      <c r="G6" s="35" cm="1">
        <f t="array" ref="G6">(SUM(VLOOKUP(C4:C100,$T$3:$W$41,3,FALSE)))</f>
        <v>2610</v>
      </c>
      <c r="H6" s="49">
        <f t="shared" si="4"/>
        <v>4780</v>
      </c>
      <c r="I6" s="2" t="s">
        <v>4</v>
      </c>
      <c r="J6" s="3" t="s">
        <v>5</v>
      </c>
      <c r="K6" s="3" t="s">
        <v>5</v>
      </c>
      <c r="L6" s="33" t="s">
        <v>39</v>
      </c>
      <c r="M6" s="35" cm="1">
        <f t="array" ref="M6">(SUM(VLOOKUP(I4:I100,$T$3:$W$41,3,FALSE)))</f>
        <v>660</v>
      </c>
      <c r="N6" s="35" cm="1">
        <f t="array" ref="N6">(SUM(VLOOKUP(J4:J100,$T$3:$W$41,3,FALSE)))</f>
        <v>160</v>
      </c>
      <c r="O6" s="35" cm="1">
        <f t="array" ref="O6">(SUM(VLOOKUP(K4:K100,$T$3:$W$41,3,FALSE)))</f>
        <v>620</v>
      </c>
      <c r="P6" s="49">
        <f t="shared" si="5"/>
        <v>1440</v>
      </c>
      <c r="Q6" s="50" t="s">
        <v>52</v>
      </c>
      <c r="R6" s="26">
        <f>R3*1600-800+R5</f>
        <v>150800</v>
      </c>
      <c r="S6" s="26"/>
      <c r="T6" s="5" t="s">
        <v>7</v>
      </c>
      <c r="U6" s="1">
        <v>180</v>
      </c>
      <c r="V6" s="1">
        <v>50</v>
      </c>
      <c r="W6" s="45">
        <v>36</v>
      </c>
      <c r="X6" s="46">
        <v>267</v>
      </c>
      <c r="Y6" s="46">
        <v>267</v>
      </c>
      <c r="Z6" s="1">
        <f t="shared" si="1"/>
        <v>0</v>
      </c>
      <c r="AA6" s="1">
        <f t="shared" si="2"/>
        <v>0</v>
      </c>
      <c r="AB6" s="54">
        <f t="shared" si="3"/>
        <v>267</v>
      </c>
    </row>
    <row r="7" spans="1:28">
      <c r="A7" s="2" t="s">
        <v>4</v>
      </c>
      <c r="B7" s="2" t="s">
        <v>4</v>
      </c>
      <c r="C7" s="4" t="s">
        <v>6</v>
      </c>
      <c r="D7" s="33" t="s">
        <v>40</v>
      </c>
      <c r="E7" s="35">
        <f>COUNTIF(A4:A100,"&lt;&gt;空")</f>
        <v>6</v>
      </c>
      <c r="F7" s="35">
        <f>COUNTIF(B4:B100,"&lt;&gt;空")</f>
        <v>45</v>
      </c>
      <c r="G7" s="35">
        <f>COUNTIF(C4:C100,"&lt;&gt;空")</f>
        <v>47</v>
      </c>
      <c r="H7" s="36">
        <f t="shared" si="4"/>
        <v>98</v>
      </c>
      <c r="I7" s="2" t="s">
        <v>4</v>
      </c>
      <c r="J7" s="1" t="s">
        <v>27</v>
      </c>
      <c r="K7" s="15" t="s">
        <v>17</v>
      </c>
      <c r="L7" s="33" t="s">
        <v>40</v>
      </c>
      <c r="M7" s="35">
        <f>COUNTIF(I4:I100,"&lt;&gt;空")</f>
        <v>19</v>
      </c>
      <c r="N7" s="35">
        <f>COUNTIF(J4:J100,"&lt;&gt;空")</f>
        <v>4</v>
      </c>
      <c r="O7" s="35">
        <f>COUNTIF(K4:K100,"&lt;&gt;空")</f>
        <v>16</v>
      </c>
      <c r="P7" s="36">
        <f t="shared" si="5"/>
        <v>39</v>
      </c>
      <c r="Q7" s="53" t="s">
        <v>55</v>
      </c>
      <c r="R7" s="26">
        <v>0</v>
      </c>
      <c r="S7" s="26"/>
      <c r="T7" s="6" t="s">
        <v>8</v>
      </c>
      <c r="U7" s="1">
        <v>190</v>
      </c>
      <c r="V7" s="1">
        <v>55</v>
      </c>
      <c r="W7" s="45">
        <v>38</v>
      </c>
      <c r="X7" s="46">
        <v>236</v>
      </c>
      <c r="Y7" s="46">
        <v>236</v>
      </c>
      <c r="Z7" s="1">
        <f t="shared" si="1"/>
        <v>0</v>
      </c>
      <c r="AA7" s="1">
        <f t="shared" si="2"/>
        <v>0</v>
      </c>
      <c r="AB7" s="54">
        <f t="shared" si="3"/>
        <v>236</v>
      </c>
    </row>
    <row r="8" spans="1:28">
      <c r="A8" s="2" t="s">
        <v>4</v>
      </c>
      <c r="B8" s="2" t="s">
        <v>4</v>
      </c>
      <c r="C8" s="4" t="s">
        <v>6</v>
      </c>
      <c r="D8" s="42" t="s">
        <v>70</v>
      </c>
      <c r="E8" s="41">
        <v>0</v>
      </c>
      <c r="F8" s="41">
        <v>1</v>
      </c>
      <c r="G8" s="41">
        <v>0</v>
      </c>
      <c r="H8" s="36">
        <f t="shared" si="4"/>
        <v>1</v>
      </c>
      <c r="I8" s="15" t="s">
        <v>17</v>
      </c>
      <c r="J8" s="3" t="s">
        <v>5</v>
      </c>
      <c r="K8" s="3" t="s">
        <v>5</v>
      </c>
      <c r="L8" s="42" t="s">
        <v>70</v>
      </c>
      <c r="M8" s="41">
        <v>2</v>
      </c>
      <c r="N8" s="41">
        <v>0</v>
      </c>
      <c r="O8" s="41">
        <v>0</v>
      </c>
      <c r="P8" s="36">
        <f t="shared" si="5"/>
        <v>2</v>
      </c>
      <c r="Q8" s="50" t="s">
        <v>54</v>
      </c>
      <c r="R8" s="55" cm="1">
        <f t="array" ref="R8">R6-P5-H5-SUM(U3:U28*AB3:AB28)*0.8-R7*8</f>
        <v>94</v>
      </c>
      <c r="S8" s="26"/>
      <c r="T8" s="7" t="s">
        <v>9</v>
      </c>
      <c r="U8" s="1">
        <v>200</v>
      </c>
      <c r="V8" s="1">
        <v>60</v>
      </c>
      <c r="W8" s="45"/>
      <c r="X8" s="46">
        <v>194</v>
      </c>
      <c r="Y8" s="46">
        <v>194</v>
      </c>
      <c r="Z8" s="1">
        <f t="shared" si="1"/>
        <v>0</v>
      </c>
      <c r="AA8" s="1">
        <f t="shared" si="2"/>
        <v>0</v>
      </c>
      <c r="AB8" s="54">
        <f t="shared" si="3"/>
        <v>194</v>
      </c>
    </row>
    <row r="9" spans="1:28">
      <c r="A9" s="2" t="s">
        <v>4</v>
      </c>
      <c r="B9" s="2" t="s">
        <v>4</v>
      </c>
      <c r="C9" s="17" t="s">
        <v>19</v>
      </c>
      <c r="D9" s="26"/>
      <c r="E9" s="26"/>
      <c r="F9" s="26"/>
      <c r="G9" s="26"/>
      <c r="H9" s="27"/>
      <c r="I9" s="1" t="s">
        <v>27</v>
      </c>
      <c r="J9" s="1" t="s">
        <v>27</v>
      </c>
      <c r="K9" s="3" t="s">
        <v>5</v>
      </c>
      <c r="L9" s="33" t="s">
        <v>42</v>
      </c>
      <c r="M9" s="37">
        <f>M6/M5</f>
        <v>0.37671232876712329</v>
      </c>
      <c r="N9" s="37">
        <f>N6/N5</f>
        <v>0.31746031746031744</v>
      </c>
      <c r="O9" s="37">
        <f>O6/O5</f>
        <v>0.33119658119658119</v>
      </c>
      <c r="P9" s="38">
        <f>P6/P5</f>
        <v>0.34883720930232559</v>
      </c>
      <c r="Q9" s="50"/>
      <c r="R9" s="26"/>
      <c r="S9" s="26"/>
      <c r="T9" s="8" t="s">
        <v>10</v>
      </c>
      <c r="U9" s="1">
        <v>150</v>
      </c>
      <c r="V9" s="1">
        <v>35</v>
      </c>
      <c r="W9" s="45">
        <f t="shared" ref="W9:W11" si="6">U9-V9/0.330882</f>
        <v>44.222109392472248</v>
      </c>
      <c r="X9" s="46">
        <v>3</v>
      </c>
      <c r="Y9" s="46">
        <v>0</v>
      </c>
      <c r="Z9" s="1">
        <f t="shared" si="1"/>
        <v>0</v>
      </c>
      <c r="AA9" s="1">
        <f t="shared" si="2"/>
        <v>0</v>
      </c>
      <c r="AB9" s="54">
        <f t="shared" si="3"/>
        <v>0</v>
      </c>
    </row>
    <row r="10" spans="1:28">
      <c r="A10" s="1" t="s">
        <v>27</v>
      </c>
      <c r="B10" s="1" t="s">
        <v>27</v>
      </c>
      <c r="C10" s="4" t="s">
        <v>6</v>
      </c>
      <c r="D10" s="26"/>
      <c r="E10" s="26"/>
      <c r="F10" s="26"/>
      <c r="G10" s="26"/>
      <c r="H10" s="27"/>
      <c r="I10" s="3" t="s">
        <v>5</v>
      </c>
      <c r="J10" s="9" t="s">
        <v>11</v>
      </c>
      <c r="K10" s="3" t="s">
        <v>5</v>
      </c>
      <c r="L10" s="26"/>
      <c r="M10" s="26"/>
      <c r="N10" s="26"/>
      <c r="O10" s="26"/>
      <c r="P10" s="27"/>
      <c r="Q10" s="50"/>
      <c r="R10" s="26"/>
      <c r="S10" s="26"/>
      <c r="T10" s="9" t="s">
        <v>11</v>
      </c>
      <c r="U10" s="1">
        <v>150</v>
      </c>
      <c r="V10" s="1">
        <v>40</v>
      </c>
      <c r="W10" s="45">
        <f t="shared" si="6"/>
        <v>29.110982162825422</v>
      </c>
      <c r="X10" s="46">
        <v>7</v>
      </c>
      <c r="Y10" s="46">
        <v>5</v>
      </c>
      <c r="Z10" s="1">
        <f t="shared" si="1"/>
        <v>1</v>
      </c>
      <c r="AA10" s="1">
        <f t="shared" si="2"/>
        <v>4</v>
      </c>
      <c r="AB10" s="54">
        <f t="shared" si="3"/>
        <v>0</v>
      </c>
    </row>
    <row r="11" spans="1:28">
      <c r="A11" s="1" t="s">
        <v>27</v>
      </c>
      <c r="B11" s="4" t="s">
        <v>6</v>
      </c>
      <c r="C11" s="1" t="s">
        <v>27</v>
      </c>
      <c r="D11" s="26"/>
      <c r="E11" s="26"/>
      <c r="F11" s="26"/>
      <c r="G11" s="26"/>
      <c r="H11" s="27"/>
      <c r="I11" s="15" t="s">
        <v>17</v>
      </c>
      <c r="J11" s="1" t="s">
        <v>27</v>
      </c>
      <c r="K11" s="3" t="s">
        <v>5</v>
      </c>
      <c r="L11" s="26"/>
      <c r="M11" s="26"/>
      <c r="N11" s="26"/>
      <c r="O11" s="26"/>
      <c r="P11" s="27">
        <f>H5+P5</f>
        <v>18578</v>
      </c>
      <c r="Q11" s="50"/>
      <c r="R11" s="26"/>
      <c r="S11" s="26"/>
      <c r="T11" s="10" t="s">
        <v>12</v>
      </c>
      <c r="U11" s="1">
        <v>150</v>
      </c>
      <c r="V11" s="1">
        <v>45</v>
      </c>
      <c r="W11" s="45">
        <f t="shared" si="6"/>
        <v>13.999854933178597</v>
      </c>
      <c r="X11" s="46">
        <v>6</v>
      </c>
      <c r="Y11" s="46">
        <v>6</v>
      </c>
      <c r="Z11" s="1">
        <f t="shared" si="1"/>
        <v>0</v>
      </c>
      <c r="AA11" s="1">
        <f t="shared" si="2"/>
        <v>0</v>
      </c>
      <c r="AB11" s="54">
        <f t="shared" si="3"/>
        <v>6</v>
      </c>
    </row>
    <row r="12" spans="1:28">
      <c r="A12" s="1" t="s">
        <v>27</v>
      </c>
      <c r="B12" s="4" t="s">
        <v>6</v>
      </c>
      <c r="C12" s="4" t="s">
        <v>6</v>
      </c>
      <c r="D12" s="26"/>
      <c r="E12" s="26"/>
      <c r="F12" s="26"/>
      <c r="G12" s="26"/>
      <c r="H12" s="27"/>
      <c r="I12" s="3" t="s">
        <v>5</v>
      </c>
      <c r="J12" s="1" t="s">
        <v>27</v>
      </c>
      <c r="K12" s="9" t="s">
        <v>11</v>
      </c>
      <c r="L12" s="26"/>
      <c r="M12" s="26"/>
      <c r="N12" s="26"/>
      <c r="O12" s="26"/>
      <c r="P12" s="27">
        <f>H6+P6</f>
        <v>6220</v>
      </c>
      <c r="Q12" s="50"/>
      <c r="R12" s="26"/>
      <c r="S12" s="26"/>
      <c r="T12" s="11" t="s">
        <v>13</v>
      </c>
      <c r="U12" s="1">
        <v>150</v>
      </c>
      <c r="V12" s="1">
        <v>50</v>
      </c>
      <c r="W12" s="45"/>
      <c r="X12" s="46">
        <v>4</v>
      </c>
      <c r="Y12" s="46">
        <v>4</v>
      </c>
      <c r="Z12" s="1">
        <f t="shared" si="1"/>
        <v>0</v>
      </c>
      <c r="AA12" s="1">
        <f t="shared" si="2"/>
        <v>0</v>
      </c>
      <c r="AB12" s="54">
        <f t="shared" si="3"/>
        <v>4</v>
      </c>
    </row>
    <row r="13" spans="1:28">
      <c r="A13" s="1" t="s">
        <v>27</v>
      </c>
      <c r="B13" s="4" t="s">
        <v>6</v>
      </c>
      <c r="C13" s="15" t="s">
        <v>17</v>
      </c>
      <c r="D13" s="26"/>
      <c r="E13" s="26"/>
      <c r="F13" s="26"/>
      <c r="G13" s="26"/>
      <c r="H13" s="27"/>
      <c r="I13" s="9" t="s">
        <v>11</v>
      </c>
      <c r="J13" s="1" t="s">
        <v>27</v>
      </c>
      <c r="K13" s="3" t="s">
        <v>5</v>
      </c>
      <c r="L13" s="26"/>
      <c r="M13" s="26"/>
      <c r="N13" s="26"/>
      <c r="O13" s="26"/>
      <c r="P13" s="27"/>
      <c r="Q13" s="50"/>
      <c r="R13" s="26"/>
      <c r="S13" s="26"/>
      <c r="T13" s="12" t="s">
        <v>14</v>
      </c>
      <c r="U13" s="1">
        <v>150</v>
      </c>
      <c r="V13" s="1">
        <v>55</v>
      </c>
      <c r="W13" s="45"/>
      <c r="X13" s="46">
        <v>3</v>
      </c>
      <c r="Y13" s="46">
        <v>3</v>
      </c>
      <c r="Z13" s="1">
        <f t="shared" si="1"/>
        <v>0</v>
      </c>
      <c r="AA13" s="1">
        <f t="shared" si="2"/>
        <v>0</v>
      </c>
      <c r="AB13" s="54">
        <f t="shared" si="3"/>
        <v>3</v>
      </c>
    </row>
    <row r="14" spans="1:28">
      <c r="A14" s="1" t="s">
        <v>27</v>
      </c>
      <c r="B14" s="4" t="s">
        <v>6</v>
      </c>
      <c r="C14" s="3" t="s">
        <v>5</v>
      </c>
      <c r="D14" s="26"/>
      <c r="E14" s="26"/>
      <c r="F14" s="26"/>
      <c r="G14" s="26"/>
      <c r="H14" s="27"/>
      <c r="I14" s="2" t="s">
        <v>4</v>
      </c>
      <c r="J14" s="1" t="s">
        <v>27</v>
      </c>
      <c r="K14" s="3" t="s">
        <v>5</v>
      </c>
      <c r="L14" s="26"/>
      <c r="M14" s="26"/>
      <c r="N14" s="26"/>
      <c r="O14" s="26"/>
      <c r="P14" s="27"/>
      <c r="Q14" s="50"/>
      <c r="R14" s="26"/>
      <c r="S14" s="26"/>
      <c r="T14" s="13" t="s">
        <v>15</v>
      </c>
      <c r="U14" s="1">
        <v>150</v>
      </c>
      <c r="V14" s="1">
        <v>60</v>
      </c>
      <c r="W14" s="45"/>
      <c r="X14" s="46">
        <v>1</v>
      </c>
      <c r="Y14" s="46">
        <v>1</v>
      </c>
      <c r="Z14" s="1">
        <f t="shared" si="1"/>
        <v>0</v>
      </c>
      <c r="AA14" s="1">
        <f t="shared" si="2"/>
        <v>0</v>
      </c>
      <c r="AB14" s="54">
        <f t="shared" si="3"/>
        <v>1</v>
      </c>
    </row>
    <row r="15" spans="1:28">
      <c r="A15" s="1" t="s">
        <v>27</v>
      </c>
      <c r="B15" s="16" t="s">
        <v>18</v>
      </c>
      <c r="C15" s="16" t="s">
        <v>18</v>
      </c>
      <c r="D15" s="26"/>
      <c r="E15" s="26"/>
      <c r="F15" s="26"/>
      <c r="G15" s="26"/>
      <c r="H15" s="27"/>
      <c r="I15" s="15" t="s">
        <v>17</v>
      </c>
      <c r="J15" s="1" t="s">
        <v>27</v>
      </c>
      <c r="K15" s="15" t="s">
        <v>17</v>
      </c>
      <c r="L15" s="26"/>
      <c r="M15" s="26"/>
      <c r="N15" s="26"/>
      <c r="O15" s="26"/>
      <c r="P15" s="27"/>
      <c r="Q15" s="50"/>
      <c r="R15" s="26"/>
      <c r="S15" s="26"/>
      <c r="T15" s="14" t="s">
        <v>16</v>
      </c>
      <c r="U15" s="1">
        <v>150</v>
      </c>
      <c r="V15" s="1">
        <v>35</v>
      </c>
      <c r="W15" s="45">
        <f t="shared" ref="W15" si="7">U15-V15/0.330882</f>
        <v>44.222109392472248</v>
      </c>
      <c r="X15" s="46"/>
      <c r="Y15" s="46">
        <v>0</v>
      </c>
      <c r="Z15" s="1">
        <f t="shared" si="1"/>
        <v>0</v>
      </c>
      <c r="AA15" s="1">
        <f t="shared" si="2"/>
        <v>0</v>
      </c>
      <c r="AB15" s="54">
        <f t="shared" si="3"/>
        <v>0</v>
      </c>
    </row>
    <row r="16" spans="1:28">
      <c r="A16" s="1" t="s">
        <v>27</v>
      </c>
      <c r="B16" s="4" t="s">
        <v>6</v>
      </c>
      <c r="C16" s="2" t="s">
        <v>4</v>
      </c>
      <c r="D16" s="26"/>
      <c r="E16" s="26"/>
      <c r="F16" s="26"/>
      <c r="G16" s="26"/>
      <c r="H16" s="27"/>
      <c r="I16" s="1" t="s">
        <v>27</v>
      </c>
      <c r="J16" s="1" t="s">
        <v>27</v>
      </c>
      <c r="K16" s="3" t="s">
        <v>5</v>
      </c>
      <c r="L16" s="26"/>
      <c r="M16" s="26"/>
      <c r="N16" s="26"/>
      <c r="O16" s="26"/>
      <c r="P16" s="27"/>
      <c r="Q16" s="50"/>
      <c r="R16" s="26"/>
      <c r="S16" s="26"/>
      <c r="T16" s="15" t="s">
        <v>17</v>
      </c>
      <c r="U16" s="1">
        <v>50</v>
      </c>
      <c r="V16" s="1">
        <v>30</v>
      </c>
      <c r="W16" s="45">
        <v>10</v>
      </c>
      <c r="X16" s="46">
        <v>40</v>
      </c>
      <c r="Y16" s="46">
        <v>40</v>
      </c>
      <c r="Z16" s="1">
        <f t="shared" si="1"/>
        <v>5</v>
      </c>
      <c r="AA16" s="1">
        <f t="shared" si="2"/>
        <v>8</v>
      </c>
      <c r="AB16" s="54">
        <f t="shared" si="3"/>
        <v>27</v>
      </c>
    </row>
    <row r="17" spans="1:28">
      <c r="A17" s="1" t="s">
        <v>27</v>
      </c>
      <c r="B17" s="4" t="s">
        <v>6</v>
      </c>
      <c r="C17" s="2" t="s">
        <v>4</v>
      </c>
      <c r="D17" s="26"/>
      <c r="E17" s="26"/>
      <c r="F17" s="26"/>
      <c r="G17" s="26"/>
      <c r="H17" s="27"/>
      <c r="I17" s="3" t="s">
        <v>5</v>
      </c>
      <c r="J17" s="1" t="s">
        <v>27</v>
      </c>
      <c r="K17" s="3" t="s">
        <v>5</v>
      </c>
      <c r="L17" s="26"/>
      <c r="M17" s="26"/>
      <c r="N17" s="26"/>
      <c r="O17" s="26"/>
      <c r="P17" s="27"/>
      <c r="Q17" s="50"/>
      <c r="R17" s="26"/>
      <c r="S17" s="26"/>
      <c r="T17" s="16" t="s">
        <v>18</v>
      </c>
      <c r="U17" s="1">
        <v>-150</v>
      </c>
      <c r="V17" s="1">
        <v>0</v>
      </c>
      <c r="W17" s="45">
        <v>10</v>
      </c>
      <c r="X17" s="46">
        <v>3</v>
      </c>
      <c r="Y17" s="46">
        <v>4</v>
      </c>
      <c r="Z17" s="1">
        <f t="shared" si="1"/>
        <v>4</v>
      </c>
      <c r="AA17" s="1">
        <f t="shared" si="2"/>
        <v>0</v>
      </c>
      <c r="AB17" s="54">
        <f t="shared" si="3"/>
        <v>0</v>
      </c>
    </row>
    <row r="18" spans="1:28">
      <c r="A18" s="1" t="s">
        <v>27</v>
      </c>
      <c r="B18" s="17" t="s">
        <v>20</v>
      </c>
      <c r="C18" s="2" t="s">
        <v>4</v>
      </c>
      <c r="D18" s="26"/>
      <c r="E18" s="26"/>
      <c r="F18" s="26"/>
      <c r="G18" s="26"/>
      <c r="H18" s="27"/>
      <c r="I18" s="3" t="s">
        <v>5</v>
      </c>
      <c r="J18" s="1" t="s">
        <v>27</v>
      </c>
      <c r="K18" s="3" t="s">
        <v>5</v>
      </c>
      <c r="L18" s="26"/>
      <c r="M18" s="26"/>
      <c r="N18" s="26"/>
      <c r="O18" s="26"/>
      <c r="P18" s="27"/>
      <c r="Q18" s="50"/>
      <c r="R18" s="26"/>
      <c r="S18" s="26"/>
      <c r="T18" s="17" t="s">
        <v>19</v>
      </c>
      <c r="U18" s="1">
        <v>250</v>
      </c>
      <c r="V18" s="1">
        <v>200</v>
      </c>
      <c r="W18" s="45"/>
      <c r="X18" s="46">
        <v>3</v>
      </c>
      <c r="Y18" s="46">
        <v>3</v>
      </c>
      <c r="Z18" s="1">
        <f t="shared" si="1"/>
        <v>3</v>
      </c>
      <c r="AA18" s="1">
        <f t="shared" si="2"/>
        <v>0</v>
      </c>
      <c r="AB18" s="54">
        <f t="shared" si="3"/>
        <v>0</v>
      </c>
    </row>
    <row r="19" spans="1:28">
      <c r="A19" s="1" t="s">
        <v>27</v>
      </c>
      <c r="B19" s="4" t="s">
        <v>6</v>
      </c>
      <c r="C19" s="2" t="s">
        <v>4</v>
      </c>
      <c r="D19" s="26"/>
      <c r="E19" s="26"/>
      <c r="F19" s="26"/>
      <c r="G19" s="26"/>
      <c r="H19" s="27"/>
      <c r="I19" s="2" t="s">
        <v>4</v>
      </c>
      <c r="J19" s="1" t="s">
        <v>27</v>
      </c>
      <c r="K19" s="1" t="s">
        <v>27</v>
      </c>
      <c r="L19" s="26"/>
      <c r="M19" s="26"/>
      <c r="N19" s="26"/>
      <c r="O19" s="26"/>
      <c r="P19" s="27"/>
      <c r="Q19" s="50"/>
      <c r="R19" s="26"/>
      <c r="S19" s="26"/>
      <c r="T19" s="17" t="s">
        <v>20</v>
      </c>
      <c r="U19" s="1">
        <v>170</v>
      </c>
      <c r="V19" s="1">
        <v>45</v>
      </c>
      <c r="W19" s="45"/>
      <c r="X19" s="46">
        <v>5</v>
      </c>
      <c r="Y19" s="46">
        <v>5</v>
      </c>
      <c r="Z19" s="1">
        <f t="shared" si="1"/>
        <v>5</v>
      </c>
      <c r="AA19" s="1">
        <f t="shared" si="2"/>
        <v>0</v>
      </c>
      <c r="AB19" s="54">
        <f t="shared" si="3"/>
        <v>0</v>
      </c>
    </row>
    <row r="20" spans="1:28">
      <c r="A20" s="1" t="s">
        <v>27</v>
      </c>
      <c r="B20" s="3" t="s">
        <v>5</v>
      </c>
      <c r="C20" s="15" t="s">
        <v>17</v>
      </c>
      <c r="D20" s="26"/>
      <c r="E20" s="26"/>
      <c r="F20" s="26"/>
      <c r="G20" s="26"/>
      <c r="H20" s="27"/>
      <c r="I20" s="15" t="s">
        <v>17</v>
      </c>
      <c r="J20" s="1" t="s">
        <v>27</v>
      </c>
      <c r="K20" s="3" t="s">
        <v>5</v>
      </c>
      <c r="L20" s="26"/>
      <c r="M20" s="26"/>
      <c r="N20" s="26"/>
      <c r="O20" s="26"/>
      <c r="P20" s="27"/>
      <c r="Q20" s="50"/>
      <c r="R20" s="26"/>
      <c r="S20" s="26"/>
      <c r="T20" s="18" t="s">
        <v>21</v>
      </c>
      <c r="U20" s="1">
        <v>250</v>
      </c>
      <c r="V20" s="1">
        <v>200</v>
      </c>
      <c r="W20" s="45"/>
      <c r="X20" s="46">
        <v>0</v>
      </c>
      <c r="Y20" s="46">
        <v>0</v>
      </c>
      <c r="Z20" s="1">
        <f t="shared" si="1"/>
        <v>0</v>
      </c>
      <c r="AA20" s="1">
        <f t="shared" si="2"/>
        <v>0</v>
      </c>
      <c r="AB20" s="54">
        <f t="shared" si="3"/>
        <v>0</v>
      </c>
    </row>
    <row r="21" spans="1:28">
      <c r="A21" s="1" t="s">
        <v>27</v>
      </c>
      <c r="B21" s="3" t="s">
        <v>5</v>
      </c>
      <c r="C21" s="3" t="s">
        <v>5</v>
      </c>
      <c r="D21" s="26"/>
      <c r="E21" s="26"/>
      <c r="F21" s="26"/>
      <c r="G21" s="26"/>
      <c r="H21" s="27"/>
      <c r="I21" s="2" t="s">
        <v>4</v>
      </c>
      <c r="J21" s="1" t="s">
        <v>27</v>
      </c>
      <c r="K21" s="1" t="s">
        <v>27</v>
      </c>
      <c r="L21" s="26"/>
      <c r="M21" s="26"/>
      <c r="N21" s="26"/>
      <c r="O21" s="26"/>
      <c r="P21" s="27"/>
      <c r="Q21" s="50"/>
      <c r="R21" s="26"/>
      <c r="S21" s="26"/>
      <c r="T21" s="19" t="s">
        <v>22</v>
      </c>
      <c r="U21" s="1">
        <v>250</v>
      </c>
      <c r="V21" s="1">
        <v>1000</v>
      </c>
      <c r="W21" s="45"/>
      <c r="X21" s="46">
        <v>2</v>
      </c>
      <c r="Y21" s="46">
        <v>2</v>
      </c>
      <c r="Z21" s="1">
        <f t="shared" si="1"/>
        <v>0</v>
      </c>
      <c r="AA21" s="1">
        <f t="shared" si="2"/>
        <v>0</v>
      </c>
      <c r="AB21" s="54">
        <f t="shared" si="3"/>
        <v>2</v>
      </c>
    </row>
    <row r="22" spans="1:28">
      <c r="A22" s="1" t="s">
        <v>27</v>
      </c>
      <c r="B22" s="3" t="s">
        <v>5</v>
      </c>
      <c r="C22" s="3" t="s">
        <v>5</v>
      </c>
      <c r="D22" s="26"/>
      <c r="E22" s="26"/>
      <c r="F22" s="26"/>
      <c r="G22" s="26"/>
      <c r="H22" s="27"/>
      <c r="I22" s="2" t="s">
        <v>4</v>
      </c>
      <c r="J22" s="1" t="s">
        <v>27</v>
      </c>
      <c r="K22" s="1" t="s">
        <v>27</v>
      </c>
      <c r="L22" s="26"/>
      <c r="M22" s="26"/>
      <c r="N22" s="26"/>
      <c r="O22" s="26"/>
      <c r="P22" s="27"/>
      <c r="Q22" s="50"/>
      <c r="R22" s="26"/>
      <c r="S22" s="26"/>
      <c r="T22" s="20" t="s">
        <v>23</v>
      </c>
      <c r="U22" s="1">
        <v>250</v>
      </c>
      <c r="V22" s="1">
        <v>500</v>
      </c>
      <c r="W22" s="45"/>
      <c r="X22" s="46">
        <v>2</v>
      </c>
      <c r="Y22" s="46">
        <v>2</v>
      </c>
      <c r="Z22" s="1">
        <f t="shared" si="1"/>
        <v>0</v>
      </c>
      <c r="AA22" s="1">
        <f t="shared" si="2"/>
        <v>0</v>
      </c>
      <c r="AB22" s="54">
        <f t="shared" si="3"/>
        <v>2</v>
      </c>
    </row>
    <row r="23" spans="1:28">
      <c r="A23" s="1" t="s">
        <v>27</v>
      </c>
      <c r="B23" s="3" t="s">
        <v>5</v>
      </c>
      <c r="C23" s="3" t="s">
        <v>5</v>
      </c>
      <c r="D23" s="26"/>
      <c r="E23" s="26"/>
      <c r="F23" s="26"/>
      <c r="G23" s="26"/>
      <c r="H23" s="27"/>
      <c r="I23" s="2" t="s">
        <v>4</v>
      </c>
      <c r="J23" s="1" t="s">
        <v>27</v>
      </c>
      <c r="K23" s="1" t="s">
        <v>27</v>
      </c>
      <c r="L23" s="26"/>
      <c r="M23" s="26"/>
      <c r="N23" s="26"/>
      <c r="O23" s="26"/>
      <c r="P23" s="27"/>
      <c r="Q23" s="50"/>
      <c r="R23" s="26"/>
      <c r="S23" s="26"/>
      <c r="T23" s="21" t="s">
        <v>24</v>
      </c>
      <c r="U23" s="1">
        <v>160</v>
      </c>
      <c r="V23" s="1">
        <v>40</v>
      </c>
      <c r="W23" s="45">
        <f t="shared" ref="W23:W26" si="8">U23-V23/0.330882</f>
        <v>39.110982162825422</v>
      </c>
      <c r="X23" s="46">
        <v>0</v>
      </c>
      <c r="Y23" s="46">
        <v>0</v>
      </c>
      <c r="Z23" s="1">
        <f t="shared" si="1"/>
        <v>0</v>
      </c>
      <c r="AA23" s="1">
        <f t="shared" si="2"/>
        <v>0</v>
      </c>
      <c r="AB23" s="54">
        <f t="shared" si="3"/>
        <v>0</v>
      </c>
    </row>
    <row r="24" spans="1:28">
      <c r="A24" s="1" t="s">
        <v>27</v>
      </c>
      <c r="B24" s="3" t="s">
        <v>5</v>
      </c>
      <c r="C24" s="16" t="s">
        <v>18</v>
      </c>
      <c r="D24" s="26"/>
      <c r="E24" s="26"/>
      <c r="F24" s="26"/>
      <c r="G24" s="26"/>
      <c r="H24" s="27"/>
      <c r="I24" s="15" t="s">
        <v>17</v>
      </c>
      <c r="J24" s="1" t="s">
        <v>27</v>
      </c>
      <c r="K24" s="1" t="s">
        <v>27</v>
      </c>
      <c r="L24" s="26"/>
      <c r="M24" s="26"/>
      <c r="N24" s="26"/>
      <c r="O24" s="26"/>
      <c r="P24" s="27"/>
      <c r="Q24" s="50"/>
      <c r="R24" s="26"/>
      <c r="S24" s="26"/>
      <c r="T24" s="21" t="s">
        <v>25</v>
      </c>
      <c r="U24" s="1">
        <v>160</v>
      </c>
      <c r="V24" s="1">
        <v>40</v>
      </c>
      <c r="W24" s="45">
        <f t="shared" si="8"/>
        <v>39.110982162825422</v>
      </c>
      <c r="X24" s="46">
        <v>0</v>
      </c>
      <c r="Y24" s="46">
        <v>0</v>
      </c>
      <c r="Z24" s="1">
        <f t="shared" si="1"/>
        <v>0</v>
      </c>
      <c r="AA24" s="1">
        <f t="shared" si="2"/>
        <v>0</v>
      </c>
      <c r="AB24" s="54">
        <f t="shared" si="3"/>
        <v>0</v>
      </c>
    </row>
    <row r="25" spans="1:28">
      <c r="A25" s="1" t="s">
        <v>27</v>
      </c>
      <c r="B25" s="3" t="s">
        <v>5</v>
      </c>
      <c r="C25" s="3" t="s">
        <v>5</v>
      </c>
      <c r="D25" s="26"/>
      <c r="E25" s="26"/>
      <c r="F25" s="26"/>
      <c r="G25" s="26"/>
      <c r="H25" s="27"/>
      <c r="I25" s="1" t="s">
        <v>27</v>
      </c>
      <c r="J25" s="1" t="s">
        <v>27</v>
      </c>
      <c r="K25" s="1" t="s">
        <v>27</v>
      </c>
      <c r="L25" s="26"/>
      <c r="M25" s="26"/>
      <c r="N25" s="26"/>
      <c r="O25" s="26"/>
      <c r="P25" s="27"/>
      <c r="Q25" s="50"/>
      <c r="R25" s="26"/>
      <c r="S25" s="26"/>
      <c r="T25" s="21" t="s">
        <v>26</v>
      </c>
      <c r="U25" s="1">
        <v>150</v>
      </c>
      <c r="V25" s="1">
        <v>35</v>
      </c>
      <c r="W25" s="45">
        <f t="shared" si="8"/>
        <v>44.222109392472248</v>
      </c>
      <c r="X25" s="46">
        <v>0</v>
      </c>
      <c r="Y25" s="46">
        <v>0</v>
      </c>
      <c r="Z25" s="1">
        <f t="shared" si="1"/>
        <v>0</v>
      </c>
      <c r="AA25" s="1">
        <f t="shared" si="2"/>
        <v>0</v>
      </c>
      <c r="AB25" s="54">
        <f t="shared" si="3"/>
        <v>0</v>
      </c>
    </row>
    <row r="26" spans="1:28">
      <c r="A26" s="1" t="s">
        <v>27</v>
      </c>
      <c r="B26" s="15" t="s">
        <v>17</v>
      </c>
      <c r="C26" s="3" t="s">
        <v>5</v>
      </c>
      <c r="D26" s="26"/>
      <c r="E26" s="26"/>
      <c r="F26" s="26"/>
      <c r="G26" s="26"/>
      <c r="H26" s="27"/>
      <c r="I26" s="1" t="s">
        <v>27</v>
      </c>
      <c r="J26" s="1" t="s">
        <v>27</v>
      </c>
      <c r="K26" s="1" t="s">
        <v>27</v>
      </c>
      <c r="L26" s="26"/>
      <c r="M26" s="26"/>
      <c r="N26" s="26"/>
      <c r="O26" s="26"/>
      <c r="P26" s="27"/>
      <c r="Q26" s="50"/>
      <c r="R26" s="26"/>
      <c r="S26" s="26"/>
      <c r="T26" s="22" t="s">
        <v>27</v>
      </c>
      <c r="U26" s="1">
        <v>0</v>
      </c>
      <c r="V26" s="1">
        <v>0</v>
      </c>
      <c r="W26" s="45">
        <f t="shared" si="8"/>
        <v>0</v>
      </c>
      <c r="X26" s="46">
        <v>0</v>
      </c>
      <c r="Y26" s="46">
        <v>0</v>
      </c>
      <c r="Z26" s="1"/>
      <c r="AA26" s="1"/>
      <c r="AB26" s="54"/>
    </row>
    <row r="27" spans="1:28">
      <c r="A27" s="1" t="s">
        <v>27</v>
      </c>
      <c r="B27" s="3" t="s">
        <v>5</v>
      </c>
      <c r="C27" s="4" t="s">
        <v>6</v>
      </c>
      <c r="D27" s="26"/>
      <c r="E27" s="26"/>
      <c r="F27" s="26"/>
      <c r="G27" s="26"/>
      <c r="H27" s="27"/>
      <c r="I27" s="1" t="s">
        <v>27</v>
      </c>
      <c r="J27" s="1" t="s">
        <v>27</v>
      </c>
      <c r="K27" s="1" t="s">
        <v>27</v>
      </c>
      <c r="L27" s="26"/>
      <c r="M27" s="26"/>
      <c r="N27" s="26"/>
      <c r="O27" s="26"/>
      <c r="P27" s="27"/>
      <c r="Q27" s="50"/>
      <c r="R27" s="26"/>
      <c r="S27" s="26"/>
      <c r="T27" s="16" t="s">
        <v>28</v>
      </c>
      <c r="U27" s="1">
        <v>-200</v>
      </c>
      <c r="V27" s="1">
        <v>0</v>
      </c>
      <c r="W27" s="45"/>
      <c r="X27" s="46">
        <v>12</v>
      </c>
      <c r="Y27" s="46">
        <v>11</v>
      </c>
      <c r="Z27" s="1">
        <f t="shared" si="1"/>
        <v>0</v>
      </c>
      <c r="AA27" s="1">
        <f t="shared" si="2"/>
        <v>0</v>
      </c>
      <c r="AB27" s="54">
        <f t="shared" si="3"/>
        <v>11</v>
      </c>
    </row>
    <row r="28" spans="1:28">
      <c r="A28" s="1" t="s">
        <v>27</v>
      </c>
      <c r="B28" s="3" t="s">
        <v>5</v>
      </c>
      <c r="C28" s="4" t="s">
        <v>6</v>
      </c>
      <c r="D28" s="26"/>
      <c r="E28" s="26"/>
      <c r="F28" s="26"/>
      <c r="G28" s="26"/>
      <c r="H28" s="27"/>
      <c r="I28" s="1" t="s">
        <v>27</v>
      </c>
      <c r="J28" s="1" t="s">
        <v>27</v>
      </c>
      <c r="K28" s="1" t="s">
        <v>27</v>
      </c>
      <c r="L28" s="26"/>
      <c r="M28" s="26"/>
      <c r="N28" s="26"/>
      <c r="O28" s="26"/>
      <c r="P28" s="27"/>
      <c r="Q28" s="50"/>
      <c r="R28" s="26"/>
      <c r="S28" s="26"/>
      <c r="T28" s="23" t="s">
        <v>29</v>
      </c>
      <c r="U28" s="1">
        <v>50</v>
      </c>
      <c r="V28" s="1">
        <v>520</v>
      </c>
      <c r="W28" s="45"/>
      <c r="X28" s="46">
        <v>3</v>
      </c>
      <c r="Y28" s="46">
        <v>3</v>
      </c>
      <c r="Z28" s="1">
        <f t="shared" si="1"/>
        <v>1</v>
      </c>
      <c r="AA28" s="1">
        <f t="shared" si="2"/>
        <v>0</v>
      </c>
      <c r="AB28" s="54">
        <f t="shared" si="3"/>
        <v>2</v>
      </c>
    </row>
    <row r="29" spans="1:28" ht="15.75" thickBot="1">
      <c r="A29" s="1" t="s">
        <v>27</v>
      </c>
      <c r="B29" s="3" t="s">
        <v>5</v>
      </c>
      <c r="C29" s="4" t="s">
        <v>6</v>
      </c>
      <c r="D29" s="26"/>
      <c r="E29" s="26"/>
      <c r="F29" s="26"/>
      <c r="G29" s="26"/>
      <c r="H29" s="27"/>
      <c r="I29" s="1" t="s">
        <v>27</v>
      </c>
      <c r="J29" s="1" t="s">
        <v>27</v>
      </c>
      <c r="K29" s="1" t="s">
        <v>27</v>
      </c>
      <c r="L29" s="26"/>
      <c r="M29" s="26"/>
      <c r="N29" s="26"/>
      <c r="O29" s="26"/>
      <c r="P29" s="27"/>
      <c r="Q29" s="56"/>
      <c r="R29" s="31"/>
      <c r="S29" s="31"/>
      <c r="T29" s="30"/>
      <c r="U29" s="30"/>
      <c r="V29" s="30"/>
      <c r="W29" s="30"/>
      <c r="X29" s="30"/>
      <c r="Y29" s="30"/>
      <c r="Z29" s="30"/>
      <c r="AA29" s="30"/>
      <c r="AB29" s="57"/>
    </row>
    <row r="30" spans="1:28">
      <c r="A30" s="1" t="s">
        <v>27</v>
      </c>
      <c r="B30" s="3" t="s">
        <v>5</v>
      </c>
      <c r="C30" s="4" t="s">
        <v>6</v>
      </c>
      <c r="D30" s="26"/>
      <c r="E30" s="26"/>
      <c r="F30" s="26"/>
      <c r="G30" s="26"/>
      <c r="H30" s="27"/>
      <c r="I30" s="1" t="s">
        <v>27</v>
      </c>
      <c r="J30" s="1" t="s">
        <v>27</v>
      </c>
      <c r="K30" s="1" t="s">
        <v>27</v>
      </c>
      <c r="L30" s="26"/>
      <c r="M30" s="26"/>
      <c r="N30" s="26"/>
      <c r="O30" s="26"/>
      <c r="P30" s="27"/>
    </row>
    <row r="31" spans="1:28">
      <c r="A31" s="1" t="s">
        <v>27</v>
      </c>
      <c r="B31" s="15" t="s">
        <v>17</v>
      </c>
      <c r="C31" s="4" t="s">
        <v>6</v>
      </c>
      <c r="D31" s="26"/>
      <c r="E31" s="26"/>
      <c r="F31" s="26"/>
      <c r="G31" s="26"/>
      <c r="H31" s="27"/>
      <c r="I31" s="1" t="s">
        <v>27</v>
      </c>
      <c r="J31" s="1" t="s">
        <v>27</v>
      </c>
      <c r="K31" s="1" t="s">
        <v>27</v>
      </c>
      <c r="L31" s="26"/>
      <c r="M31" s="26"/>
      <c r="N31" s="26"/>
      <c r="O31" s="26"/>
      <c r="P31" s="27"/>
      <c r="Y31">
        <f>SUM(Y3:Y28)</f>
        <v>1075</v>
      </c>
    </row>
    <row r="32" spans="1:28">
      <c r="A32" s="1" t="s">
        <v>27</v>
      </c>
      <c r="B32" s="3" t="s">
        <v>5</v>
      </c>
      <c r="C32" s="17" t="s">
        <v>20</v>
      </c>
      <c r="D32" s="26"/>
      <c r="E32" s="26"/>
      <c r="F32" s="26"/>
      <c r="G32" s="26"/>
      <c r="H32" s="27"/>
      <c r="I32" s="1" t="s">
        <v>27</v>
      </c>
      <c r="J32" s="1" t="s">
        <v>27</v>
      </c>
      <c r="K32" s="1" t="s">
        <v>27</v>
      </c>
      <c r="L32" s="26"/>
      <c r="M32" s="26"/>
      <c r="N32" s="26"/>
      <c r="O32" s="26"/>
      <c r="P32" s="27"/>
      <c r="Q32" t="s">
        <v>57</v>
      </c>
      <c r="R32">
        <v>1</v>
      </c>
      <c r="S32" t="s">
        <v>59</v>
      </c>
    </row>
    <row r="33" spans="1:19">
      <c r="A33" s="1" t="s">
        <v>27</v>
      </c>
      <c r="B33" s="4" t="s">
        <v>6</v>
      </c>
      <c r="C33" s="3" t="s">
        <v>5</v>
      </c>
      <c r="D33" s="26"/>
      <c r="E33" s="26"/>
      <c r="F33" s="26"/>
      <c r="G33" s="26"/>
      <c r="H33" s="27"/>
      <c r="I33" s="1" t="s">
        <v>27</v>
      </c>
      <c r="J33" s="1" t="s">
        <v>27</v>
      </c>
      <c r="K33" s="1" t="s">
        <v>27</v>
      </c>
      <c r="L33" s="26"/>
      <c r="M33" s="26"/>
      <c r="N33" s="26"/>
      <c r="O33" s="26"/>
      <c r="P33" s="27"/>
      <c r="R33">
        <v>2</v>
      </c>
      <c r="S33" t="s">
        <v>60</v>
      </c>
    </row>
    <row r="34" spans="1:19">
      <c r="A34" s="1" t="s">
        <v>27</v>
      </c>
      <c r="B34" s="2" t="s">
        <v>4</v>
      </c>
      <c r="C34" s="3" t="s">
        <v>5</v>
      </c>
      <c r="D34" s="26"/>
      <c r="E34" s="26"/>
      <c r="F34" s="26"/>
      <c r="G34" s="26"/>
      <c r="H34" s="27"/>
      <c r="I34" s="28" t="s">
        <v>27</v>
      </c>
      <c r="J34" s="1" t="s">
        <v>27</v>
      </c>
      <c r="K34" s="1" t="s">
        <v>27</v>
      </c>
      <c r="L34" s="26"/>
      <c r="M34" s="26"/>
      <c r="N34" s="26"/>
      <c r="O34" s="26"/>
      <c r="P34" s="27"/>
      <c r="R34">
        <v>3</v>
      </c>
      <c r="S34" t="s">
        <v>58</v>
      </c>
    </row>
    <row r="35" spans="1:19">
      <c r="A35" s="1" t="s">
        <v>27</v>
      </c>
      <c r="B35" s="4" t="s">
        <v>6</v>
      </c>
      <c r="C35" s="3" t="s">
        <v>5</v>
      </c>
      <c r="D35" s="26"/>
      <c r="E35" s="26"/>
      <c r="F35" s="26"/>
      <c r="G35" s="26"/>
      <c r="H35" s="27"/>
      <c r="I35" s="28" t="s">
        <v>27</v>
      </c>
      <c r="J35" s="1" t="s">
        <v>27</v>
      </c>
      <c r="K35" s="1" t="s">
        <v>27</v>
      </c>
      <c r="L35" s="26"/>
      <c r="M35" s="26"/>
      <c r="N35" s="26"/>
      <c r="O35" s="26"/>
      <c r="P35" s="27"/>
      <c r="R35">
        <v>4</v>
      </c>
      <c r="S35" t="s">
        <v>61</v>
      </c>
    </row>
    <row r="36" spans="1:19">
      <c r="A36" s="1" t="s">
        <v>27</v>
      </c>
      <c r="B36" s="17" t="s">
        <v>20</v>
      </c>
      <c r="C36" s="15" t="s">
        <v>17</v>
      </c>
      <c r="D36" s="26"/>
      <c r="E36" s="26"/>
      <c r="F36" s="26"/>
      <c r="G36" s="26"/>
      <c r="H36" s="27"/>
      <c r="I36" s="28" t="s">
        <v>27</v>
      </c>
      <c r="J36" s="1" t="s">
        <v>27</v>
      </c>
      <c r="K36" s="1" t="s">
        <v>27</v>
      </c>
      <c r="L36" s="26"/>
      <c r="M36" s="26"/>
      <c r="N36" s="26"/>
      <c r="O36" s="26"/>
      <c r="P36" s="27"/>
      <c r="S36" t="s">
        <v>62</v>
      </c>
    </row>
    <row r="37" spans="1:19">
      <c r="A37" s="1" t="s">
        <v>27</v>
      </c>
      <c r="B37" s="4" t="s">
        <v>6</v>
      </c>
      <c r="C37" s="3" t="s">
        <v>5</v>
      </c>
      <c r="D37" s="26"/>
      <c r="E37" s="26"/>
      <c r="F37" s="26"/>
      <c r="G37" s="26"/>
      <c r="H37" s="27"/>
      <c r="I37" s="28" t="s">
        <v>27</v>
      </c>
      <c r="J37" s="1" t="s">
        <v>27</v>
      </c>
      <c r="K37" s="1" t="s">
        <v>27</v>
      </c>
      <c r="L37" s="26"/>
      <c r="M37" s="26"/>
      <c r="N37" s="26"/>
      <c r="O37" s="26"/>
      <c r="P37" s="27"/>
      <c r="R37">
        <v>5</v>
      </c>
      <c r="S37" t="s">
        <v>63</v>
      </c>
    </row>
    <row r="38" spans="1:19">
      <c r="A38" s="1" t="s">
        <v>27</v>
      </c>
      <c r="B38" s="4" t="s">
        <v>6</v>
      </c>
      <c r="C38" s="3" t="s">
        <v>5</v>
      </c>
      <c r="D38" s="26"/>
      <c r="E38" s="26"/>
      <c r="F38" s="26"/>
      <c r="G38" s="26"/>
      <c r="H38" s="27"/>
      <c r="I38" s="28" t="s">
        <v>27</v>
      </c>
      <c r="J38" s="1" t="s">
        <v>27</v>
      </c>
      <c r="K38" s="1" t="s">
        <v>27</v>
      </c>
      <c r="L38" s="26"/>
      <c r="M38" s="26"/>
      <c r="N38" s="26"/>
      <c r="O38" s="26"/>
      <c r="P38" s="27"/>
      <c r="R38">
        <v>6</v>
      </c>
      <c r="S38" t="s">
        <v>64</v>
      </c>
    </row>
    <row r="39" spans="1:19">
      <c r="A39" s="1" t="s">
        <v>27</v>
      </c>
      <c r="B39" s="4" t="s">
        <v>6</v>
      </c>
      <c r="C39" s="4" t="s">
        <v>6</v>
      </c>
      <c r="D39" s="26"/>
      <c r="E39" s="26"/>
      <c r="F39" s="26"/>
      <c r="G39" s="26"/>
      <c r="H39" s="27"/>
      <c r="I39" s="28" t="s">
        <v>27</v>
      </c>
      <c r="J39" s="1" t="s">
        <v>27</v>
      </c>
      <c r="K39" s="1" t="s">
        <v>27</v>
      </c>
      <c r="L39" s="26"/>
      <c r="M39" s="26"/>
      <c r="N39" s="26"/>
      <c r="O39" s="26"/>
      <c r="P39" s="27"/>
      <c r="R39">
        <v>7</v>
      </c>
      <c r="S39" t="s">
        <v>65</v>
      </c>
    </row>
    <row r="40" spans="1:19">
      <c r="A40" s="1" t="s">
        <v>27</v>
      </c>
      <c r="B40" s="17" t="s">
        <v>19</v>
      </c>
      <c r="C40" s="4" t="s">
        <v>6</v>
      </c>
      <c r="D40" s="26"/>
      <c r="E40" s="26"/>
      <c r="F40" s="26"/>
      <c r="G40" s="26"/>
      <c r="H40" s="27"/>
      <c r="I40" s="28" t="s">
        <v>27</v>
      </c>
      <c r="J40" s="1" t="s">
        <v>27</v>
      </c>
      <c r="K40" s="1" t="s">
        <v>27</v>
      </c>
      <c r="L40" s="26"/>
      <c r="M40" s="26"/>
      <c r="N40" s="26"/>
      <c r="O40" s="26"/>
      <c r="P40" s="27"/>
    </row>
    <row r="41" spans="1:19">
      <c r="A41" s="1" t="s">
        <v>27</v>
      </c>
      <c r="B41" s="4" t="s">
        <v>6</v>
      </c>
      <c r="C41" s="9" t="s">
        <v>11</v>
      </c>
      <c r="D41" s="26"/>
      <c r="E41" s="26"/>
      <c r="F41" s="26"/>
      <c r="G41" s="26"/>
      <c r="H41" s="27"/>
      <c r="I41" s="28" t="s">
        <v>27</v>
      </c>
      <c r="J41" s="1" t="s">
        <v>27</v>
      </c>
      <c r="K41" s="1" t="s">
        <v>27</v>
      </c>
      <c r="L41" s="26"/>
      <c r="M41" s="26"/>
      <c r="N41" s="26"/>
      <c r="O41" s="26"/>
      <c r="P41" s="27"/>
    </row>
    <row r="42" spans="1:19">
      <c r="A42" s="1" t="s">
        <v>27</v>
      </c>
      <c r="B42" s="3" t="s">
        <v>5</v>
      </c>
      <c r="C42" s="4" t="s">
        <v>6</v>
      </c>
      <c r="D42" s="26"/>
      <c r="E42" s="26"/>
      <c r="F42" s="26"/>
      <c r="G42" s="26"/>
      <c r="H42" s="27"/>
      <c r="I42" s="28" t="s">
        <v>27</v>
      </c>
      <c r="J42" s="1" t="s">
        <v>27</v>
      </c>
      <c r="K42" s="1" t="s">
        <v>27</v>
      </c>
      <c r="L42" s="26"/>
      <c r="M42" s="26"/>
      <c r="N42" s="26"/>
      <c r="O42" s="26"/>
      <c r="P42" s="27"/>
    </row>
    <row r="43" spans="1:19">
      <c r="A43" s="1" t="s">
        <v>27</v>
      </c>
      <c r="B43" s="3" t="s">
        <v>5</v>
      </c>
      <c r="C43" s="17" t="s">
        <v>19</v>
      </c>
      <c r="D43" s="26"/>
      <c r="E43" s="26"/>
      <c r="F43" s="26"/>
      <c r="G43" s="26"/>
      <c r="H43" s="27"/>
      <c r="I43" s="28" t="s">
        <v>27</v>
      </c>
      <c r="J43" s="1" t="s">
        <v>27</v>
      </c>
      <c r="K43" s="1" t="s">
        <v>27</v>
      </c>
      <c r="L43" s="26"/>
      <c r="M43" s="26"/>
      <c r="N43" s="26"/>
      <c r="O43" s="26"/>
      <c r="P43" s="27"/>
    </row>
    <row r="44" spans="1:19">
      <c r="A44" s="1" t="s">
        <v>27</v>
      </c>
      <c r="B44" s="3" t="s">
        <v>5</v>
      </c>
      <c r="C44" s="4" t="s">
        <v>6</v>
      </c>
      <c r="D44" s="26"/>
      <c r="E44" s="26"/>
      <c r="F44" s="26"/>
      <c r="G44" s="26"/>
      <c r="H44" s="27"/>
      <c r="I44" s="28" t="s">
        <v>27</v>
      </c>
      <c r="J44" s="1" t="s">
        <v>27</v>
      </c>
      <c r="K44" s="1" t="s">
        <v>27</v>
      </c>
      <c r="L44" s="26"/>
      <c r="M44" s="26"/>
      <c r="N44" s="26"/>
      <c r="O44" s="26"/>
      <c r="P44" s="27"/>
    </row>
    <row r="45" spans="1:19">
      <c r="A45" s="1" t="s">
        <v>27</v>
      </c>
      <c r="B45" s="3" t="s">
        <v>5</v>
      </c>
      <c r="C45" s="4" t="s">
        <v>6</v>
      </c>
      <c r="D45" s="26"/>
      <c r="E45" s="26"/>
      <c r="F45" s="26"/>
      <c r="G45" s="26"/>
      <c r="H45" s="27"/>
      <c r="I45" s="28" t="s">
        <v>27</v>
      </c>
      <c r="J45" s="1" t="s">
        <v>27</v>
      </c>
      <c r="K45" s="1" t="s">
        <v>27</v>
      </c>
      <c r="L45" s="26"/>
      <c r="M45" s="26"/>
      <c r="N45" s="26"/>
      <c r="O45" s="26"/>
      <c r="P45" s="27"/>
    </row>
    <row r="46" spans="1:19">
      <c r="A46" s="1" t="s">
        <v>27</v>
      </c>
      <c r="B46" s="4" t="s">
        <v>6</v>
      </c>
      <c r="C46" s="4" t="s">
        <v>6</v>
      </c>
      <c r="D46" s="26"/>
      <c r="E46" s="26"/>
      <c r="F46" s="26"/>
      <c r="G46" s="26"/>
      <c r="H46" s="27"/>
      <c r="I46" s="28" t="s">
        <v>27</v>
      </c>
      <c r="J46" s="1" t="s">
        <v>27</v>
      </c>
      <c r="K46" s="1" t="s">
        <v>27</v>
      </c>
      <c r="L46" s="26"/>
      <c r="M46" s="26"/>
      <c r="N46" s="26"/>
      <c r="O46" s="26"/>
      <c r="P46" s="27"/>
    </row>
    <row r="47" spans="1:19">
      <c r="A47" s="1" t="s">
        <v>27</v>
      </c>
      <c r="B47" s="4" t="s">
        <v>6</v>
      </c>
      <c r="C47" s="4" t="s">
        <v>6</v>
      </c>
      <c r="D47" s="26"/>
      <c r="E47" s="26"/>
      <c r="F47" s="26"/>
      <c r="G47" s="26"/>
      <c r="H47" s="27"/>
      <c r="I47" s="28" t="s">
        <v>27</v>
      </c>
      <c r="J47" s="1" t="s">
        <v>27</v>
      </c>
      <c r="K47" s="1" t="s">
        <v>27</v>
      </c>
      <c r="L47" s="26"/>
      <c r="M47" s="26"/>
      <c r="N47" s="26"/>
      <c r="O47" s="26"/>
      <c r="P47" s="27"/>
    </row>
    <row r="48" spans="1:19">
      <c r="A48" s="1" t="s">
        <v>27</v>
      </c>
      <c r="B48" s="4" t="s">
        <v>6</v>
      </c>
      <c r="C48" s="16" t="s">
        <v>18</v>
      </c>
      <c r="D48" s="26"/>
      <c r="E48" s="26"/>
      <c r="F48" s="26"/>
      <c r="G48" s="26"/>
      <c r="H48" s="27"/>
      <c r="I48" s="28" t="s">
        <v>27</v>
      </c>
      <c r="J48" s="1" t="s">
        <v>27</v>
      </c>
      <c r="K48" s="1" t="s">
        <v>27</v>
      </c>
      <c r="L48" s="26"/>
      <c r="M48" s="26"/>
      <c r="N48" s="26"/>
      <c r="O48" s="26"/>
      <c r="P48" s="27"/>
    </row>
    <row r="49" spans="1:16">
      <c r="A49" s="1" t="s">
        <v>27</v>
      </c>
      <c r="B49" s="17" t="s">
        <v>20</v>
      </c>
      <c r="C49" s="4" t="s">
        <v>6</v>
      </c>
      <c r="D49" s="26"/>
      <c r="E49" s="26"/>
      <c r="F49" s="26"/>
      <c r="G49" s="26"/>
      <c r="H49" s="27"/>
      <c r="I49" s="28" t="s">
        <v>27</v>
      </c>
      <c r="J49" s="1" t="s">
        <v>27</v>
      </c>
      <c r="K49" s="1" t="s">
        <v>27</v>
      </c>
      <c r="L49" s="26"/>
      <c r="M49" s="26"/>
      <c r="N49" s="26"/>
      <c r="O49" s="26"/>
      <c r="P49" s="27"/>
    </row>
    <row r="50" spans="1:16">
      <c r="A50" s="1" t="s">
        <v>27</v>
      </c>
      <c r="B50" s="1" t="s">
        <v>27</v>
      </c>
      <c r="C50" s="4" t="s">
        <v>6</v>
      </c>
      <c r="D50" s="26"/>
      <c r="E50" s="26"/>
      <c r="F50" s="26"/>
      <c r="G50" s="26"/>
      <c r="H50" s="27"/>
      <c r="I50" s="28" t="s">
        <v>27</v>
      </c>
      <c r="J50" s="1" t="s">
        <v>27</v>
      </c>
      <c r="K50" s="1" t="s">
        <v>27</v>
      </c>
      <c r="L50" s="26"/>
      <c r="M50" s="26"/>
      <c r="N50" s="26"/>
      <c r="O50" s="26"/>
      <c r="P50" s="27"/>
    </row>
    <row r="51" spans="1:16">
      <c r="A51" s="1" t="s">
        <v>27</v>
      </c>
      <c r="B51" s="1" t="s">
        <v>27</v>
      </c>
      <c r="C51" s="17" t="s">
        <v>20</v>
      </c>
      <c r="D51" s="26"/>
      <c r="E51" s="26"/>
      <c r="F51" s="26"/>
      <c r="G51" s="26"/>
      <c r="H51" s="27"/>
      <c r="I51" s="28" t="s">
        <v>27</v>
      </c>
      <c r="J51" s="1" t="s">
        <v>27</v>
      </c>
      <c r="K51" s="1" t="s">
        <v>27</v>
      </c>
      <c r="L51" s="26"/>
      <c r="M51" s="26"/>
      <c r="N51" s="26"/>
      <c r="O51" s="26"/>
      <c r="P51" s="27"/>
    </row>
    <row r="52" spans="1:16">
      <c r="A52" s="1" t="s">
        <v>27</v>
      </c>
      <c r="B52" s="1" t="s">
        <v>27</v>
      </c>
      <c r="C52" s="1" t="s">
        <v>27</v>
      </c>
      <c r="D52" s="26"/>
      <c r="E52" s="26"/>
      <c r="F52" s="26"/>
      <c r="G52" s="26"/>
      <c r="H52" s="27"/>
      <c r="I52" s="28" t="s">
        <v>27</v>
      </c>
      <c r="J52" s="1" t="s">
        <v>27</v>
      </c>
      <c r="K52" s="1" t="s">
        <v>27</v>
      </c>
      <c r="L52" s="26"/>
      <c r="M52" s="26"/>
      <c r="N52" s="26"/>
      <c r="O52" s="26"/>
      <c r="P52" s="27"/>
    </row>
    <row r="53" spans="1:16">
      <c r="A53" s="1" t="s">
        <v>27</v>
      </c>
      <c r="B53" s="1" t="s">
        <v>27</v>
      </c>
      <c r="C53" s="1" t="s">
        <v>27</v>
      </c>
      <c r="D53" s="26"/>
      <c r="E53" s="26"/>
      <c r="F53" s="26"/>
      <c r="G53" s="26"/>
      <c r="H53" s="27"/>
      <c r="I53" s="28" t="s">
        <v>27</v>
      </c>
      <c r="J53" s="1" t="s">
        <v>27</v>
      </c>
      <c r="K53" s="1" t="s">
        <v>27</v>
      </c>
      <c r="L53" s="26"/>
      <c r="M53" s="26"/>
      <c r="N53" s="26"/>
      <c r="O53" s="26"/>
      <c r="P53" s="27"/>
    </row>
    <row r="54" spans="1:16">
      <c r="A54" s="1" t="s">
        <v>27</v>
      </c>
      <c r="B54" s="1" t="s">
        <v>27</v>
      </c>
      <c r="C54" s="1" t="s">
        <v>27</v>
      </c>
      <c r="D54" s="26"/>
      <c r="E54" s="26"/>
      <c r="F54" s="26"/>
      <c r="G54" s="26"/>
      <c r="H54" s="27"/>
      <c r="I54" s="28" t="s">
        <v>27</v>
      </c>
      <c r="J54" s="1" t="s">
        <v>27</v>
      </c>
      <c r="K54" s="1" t="s">
        <v>27</v>
      </c>
      <c r="L54" s="26"/>
      <c r="M54" s="26"/>
      <c r="N54" s="26"/>
      <c r="O54" s="26"/>
      <c r="P54" s="27"/>
    </row>
    <row r="55" spans="1:16">
      <c r="A55" s="1" t="s">
        <v>27</v>
      </c>
      <c r="B55" s="1" t="s">
        <v>27</v>
      </c>
      <c r="C55" s="1" t="s">
        <v>27</v>
      </c>
      <c r="D55" s="26"/>
      <c r="E55" s="26"/>
      <c r="F55" s="26"/>
      <c r="G55" s="26"/>
      <c r="H55" s="27"/>
      <c r="I55" s="28" t="s">
        <v>27</v>
      </c>
      <c r="J55" s="1" t="s">
        <v>27</v>
      </c>
      <c r="K55" s="1" t="s">
        <v>27</v>
      </c>
      <c r="L55" s="26"/>
      <c r="M55" s="26"/>
      <c r="N55" s="26"/>
      <c r="O55" s="26"/>
      <c r="P55" s="27"/>
    </row>
    <row r="56" spans="1:16">
      <c r="A56" s="28" t="s">
        <v>27</v>
      </c>
      <c r="B56" s="1" t="s">
        <v>27</v>
      </c>
      <c r="C56" s="1" t="s">
        <v>27</v>
      </c>
      <c r="D56" s="26"/>
      <c r="E56" s="26"/>
      <c r="F56" s="26"/>
      <c r="G56" s="26"/>
      <c r="H56" s="27"/>
      <c r="I56" s="28" t="s">
        <v>27</v>
      </c>
      <c r="J56" s="1" t="s">
        <v>27</v>
      </c>
      <c r="K56" s="1" t="s">
        <v>27</v>
      </c>
      <c r="L56" s="26"/>
      <c r="M56" s="26"/>
      <c r="N56" s="26"/>
      <c r="O56" s="26"/>
      <c r="P56" s="27"/>
    </row>
    <row r="57" spans="1:16">
      <c r="A57" s="28" t="s">
        <v>27</v>
      </c>
      <c r="B57" s="1" t="s">
        <v>27</v>
      </c>
      <c r="C57" s="1" t="s">
        <v>27</v>
      </c>
      <c r="D57" s="26"/>
      <c r="E57" s="26"/>
      <c r="F57" s="26"/>
      <c r="G57" s="26"/>
      <c r="H57" s="27"/>
      <c r="I57" s="28" t="s">
        <v>27</v>
      </c>
      <c r="J57" s="1" t="s">
        <v>27</v>
      </c>
      <c r="K57" s="1" t="s">
        <v>27</v>
      </c>
      <c r="L57" s="26"/>
      <c r="M57" s="26"/>
      <c r="N57" s="26"/>
      <c r="O57" s="26"/>
      <c r="P57" s="27"/>
    </row>
    <row r="58" spans="1:16">
      <c r="A58" s="28" t="s">
        <v>27</v>
      </c>
      <c r="B58" s="1" t="s">
        <v>27</v>
      </c>
      <c r="C58" s="1" t="s">
        <v>27</v>
      </c>
      <c r="D58" s="26"/>
      <c r="E58" s="26"/>
      <c r="F58" s="26"/>
      <c r="G58" s="26"/>
      <c r="H58" s="27"/>
      <c r="I58" s="28" t="s">
        <v>27</v>
      </c>
      <c r="J58" s="1" t="s">
        <v>27</v>
      </c>
      <c r="K58" s="1" t="s">
        <v>27</v>
      </c>
      <c r="L58" s="26"/>
      <c r="M58" s="26"/>
      <c r="N58" s="26"/>
      <c r="O58" s="26"/>
      <c r="P58" s="27"/>
    </row>
    <row r="59" spans="1:16">
      <c r="A59" s="28" t="s">
        <v>27</v>
      </c>
      <c r="B59" s="1" t="s">
        <v>27</v>
      </c>
      <c r="C59" s="1" t="s">
        <v>27</v>
      </c>
      <c r="D59" s="26"/>
      <c r="E59" s="26"/>
      <c r="F59" s="26"/>
      <c r="G59" s="26"/>
      <c r="H59" s="27"/>
      <c r="I59" s="28" t="s">
        <v>27</v>
      </c>
      <c r="J59" s="1" t="s">
        <v>27</v>
      </c>
      <c r="K59" s="1" t="s">
        <v>27</v>
      </c>
      <c r="L59" s="26"/>
      <c r="M59" s="26"/>
      <c r="N59" s="26"/>
      <c r="O59" s="26"/>
      <c r="P59" s="27"/>
    </row>
    <row r="60" spans="1:16">
      <c r="A60" s="28" t="s">
        <v>27</v>
      </c>
      <c r="B60" s="1" t="s">
        <v>27</v>
      </c>
      <c r="C60" s="1" t="s">
        <v>27</v>
      </c>
      <c r="D60" s="26"/>
      <c r="E60" s="26"/>
      <c r="F60" s="26"/>
      <c r="G60" s="26"/>
      <c r="H60" s="27"/>
      <c r="I60" s="28" t="s">
        <v>27</v>
      </c>
      <c r="J60" s="1" t="s">
        <v>27</v>
      </c>
      <c r="K60" s="1" t="s">
        <v>27</v>
      </c>
      <c r="L60" s="26"/>
      <c r="M60" s="26"/>
      <c r="N60" s="26"/>
      <c r="O60" s="26"/>
      <c r="P60" s="27"/>
    </row>
    <row r="61" spans="1:16">
      <c r="A61" s="28" t="s">
        <v>27</v>
      </c>
      <c r="B61" s="1" t="s">
        <v>27</v>
      </c>
      <c r="C61" s="1" t="s">
        <v>27</v>
      </c>
      <c r="D61" s="26"/>
      <c r="E61" s="26"/>
      <c r="F61" s="26"/>
      <c r="G61" s="26"/>
      <c r="H61" s="27"/>
      <c r="I61" s="28" t="s">
        <v>27</v>
      </c>
      <c r="J61" s="1" t="s">
        <v>27</v>
      </c>
      <c r="K61" s="1" t="s">
        <v>27</v>
      </c>
      <c r="L61" s="26"/>
      <c r="M61" s="26"/>
      <c r="N61" s="26"/>
      <c r="O61" s="26"/>
      <c r="P61" s="27"/>
    </row>
    <row r="62" spans="1:16">
      <c r="A62" s="28" t="s">
        <v>27</v>
      </c>
      <c r="B62" s="1" t="s">
        <v>27</v>
      </c>
      <c r="C62" s="1" t="s">
        <v>27</v>
      </c>
      <c r="D62" s="26"/>
      <c r="E62" s="26"/>
      <c r="F62" s="26"/>
      <c r="G62" s="26"/>
      <c r="H62" s="27"/>
      <c r="I62" s="28" t="s">
        <v>27</v>
      </c>
      <c r="J62" s="1" t="s">
        <v>27</v>
      </c>
      <c r="K62" s="1" t="s">
        <v>27</v>
      </c>
      <c r="L62" s="26"/>
      <c r="M62" s="26"/>
      <c r="N62" s="26"/>
      <c r="O62" s="26"/>
      <c r="P62" s="27"/>
    </row>
    <row r="63" spans="1:16">
      <c r="A63" s="28" t="s">
        <v>27</v>
      </c>
      <c r="B63" s="1" t="s">
        <v>27</v>
      </c>
      <c r="C63" s="1" t="s">
        <v>27</v>
      </c>
      <c r="D63" s="26"/>
      <c r="E63" s="26"/>
      <c r="F63" s="26"/>
      <c r="G63" s="26"/>
      <c r="H63" s="27"/>
      <c r="I63" s="28" t="s">
        <v>27</v>
      </c>
      <c r="J63" s="1" t="s">
        <v>27</v>
      </c>
      <c r="K63" s="1" t="s">
        <v>27</v>
      </c>
      <c r="L63" s="26"/>
      <c r="M63" s="26"/>
      <c r="N63" s="26"/>
      <c r="O63" s="26"/>
      <c r="P63" s="27"/>
    </row>
    <row r="64" spans="1:16">
      <c r="A64" s="28" t="s">
        <v>27</v>
      </c>
      <c r="B64" s="1" t="s">
        <v>27</v>
      </c>
      <c r="C64" s="1" t="s">
        <v>27</v>
      </c>
      <c r="D64" s="26"/>
      <c r="E64" s="26"/>
      <c r="F64" s="26"/>
      <c r="G64" s="26"/>
      <c r="H64" s="27"/>
      <c r="I64" s="28" t="s">
        <v>27</v>
      </c>
      <c r="J64" s="1" t="s">
        <v>27</v>
      </c>
      <c r="K64" s="1" t="s">
        <v>27</v>
      </c>
      <c r="L64" s="26"/>
      <c r="M64" s="26"/>
      <c r="N64" s="26"/>
      <c r="O64" s="26"/>
      <c r="P64" s="27"/>
    </row>
    <row r="65" spans="1:16">
      <c r="A65" s="28" t="s">
        <v>27</v>
      </c>
      <c r="B65" s="1" t="s">
        <v>27</v>
      </c>
      <c r="C65" s="1" t="s">
        <v>27</v>
      </c>
      <c r="D65" s="26"/>
      <c r="E65" s="26"/>
      <c r="F65" s="26"/>
      <c r="G65" s="26"/>
      <c r="H65" s="27"/>
      <c r="I65" s="28" t="s">
        <v>27</v>
      </c>
      <c r="J65" s="1" t="s">
        <v>27</v>
      </c>
      <c r="K65" s="1" t="s">
        <v>27</v>
      </c>
      <c r="L65" s="26"/>
      <c r="M65" s="26"/>
      <c r="N65" s="26"/>
      <c r="O65" s="26"/>
      <c r="P65" s="27"/>
    </row>
    <row r="66" spans="1:16">
      <c r="A66" s="28" t="s">
        <v>27</v>
      </c>
      <c r="B66" s="1" t="s">
        <v>27</v>
      </c>
      <c r="C66" s="1" t="s">
        <v>27</v>
      </c>
      <c r="D66" s="26"/>
      <c r="E66" s="26"/>
      <c r="F66" s="26"/>
      <c r="G66" s="26"/>
      <c r="H66" s="27"/>
      <c r="I66" s="28" t="s">
        <v>27</v>
      </c>
      <c r="J66" s="1" t="s">
        <v>27</v>
      </c>
      <c r="K66" s="1" t="s">
        <v>27</v>
      </c>
      <c r="L66" s="26"/>
      <c r="M66" s="26"/>
      <c r="N66" s="26"/>
      <c r="O66" s="26"/>
      <c r="P66" s="27"/>
    </row>
    <row r="67" spans="1:16">
      <c r="A67" s="28" t="s">
        <v>27</v>
      </c>
      <c r="B67" s="1" t="s">
        <v>27</v>
      </c>
      <c r="C67" s="1" t="s">
        <v>27</v>
      </c>
      <c r="D67" s="26"/>
      <c r="E67" s="26"/>
      <c r="F67" s="26"/>
      <c r="G67" s="26"/>
      <c r="H67" s="27"/>
      <c r="I67" s="28" t="s">
        <v>27</v>
      </c>
      <c r="J67" s="1" t="s">
        <v>27</v>
      </c>
      <c r="K67" s="1" t="s">
        <v>27</v>
      </c>
      <c r="L67" s="26"/>
      <c r="M67" s="26"/>
      <c r="N67" s="26"/>
      <c r="O67" s="26"/>
      <c r="P67" s="27"/>
    </row>
    <row r="68" spans="1:16">
      <c r="A68" s="28" t="s">
        <v>27</v>
      </c>
      <c r="B68" s="1" t="s">
        <v>27</v>
      </c>
      <c r="C68" s="1" t="s">
        <v>27</v>
      </c>
      <c r="D68" s="26"/>
      <c r="E68" s="26"/>
      <c r="F68" s="26"/>
      <c r="G68" s="26"/>
      <c r="H68" s="27"/>
      <c r="I68" s="28" t="s">
        <v>27</v>
      </c>
      <c r="J68" s="1" t="s">
        <v>27</v>
      </c>
      <c r="K68" s="1" t="s">
        <v>27</v>
      </c>
      <c r="L68" s="26"/>
      <c r="M68" s="26"/>
      <c r="N68" s="26"/>
      <c r="O68" s="26"/>
      <c r="P68" s="27"/>
    </row>
    <row r="69" spans="1:16">
      <c r="A69" s="28" t="s">
        <v>27</v>
      </c>
      <c r="B69" s="1" t="s">
        <v>27</v>
      </c>
      <c r="C69" s="1" t="s">
        <v>27</v>
      </c>
      <c r="D69" s="26"/>
      <c r="E69" s="26"/>
      <c r="F69" s="26"/>
      <c r="G69" s="26"/>
      <c r="H69" s="27"/>
      <c r="I69" s="28" t="s">
        <v>27</v>
      </c>
      <c r="J69" s="1" t="s">
        <v>27</v>
      </c>
      <c r="K69" s="1" t="s">
        <v>27</v>
      </c>
      <c r="L69" s="26"/>
      <c r="M69" s="26"/>
      <c r="N69" s="26"/>
      <c r="O69" s="26"/>
      <c r="P69" s="27"/>
    </row>
    <row r="70" spans="1:16">
      <c r="A70" s="28" t="s">
        <v>27</v>
      </c>
      <c r="B70" s="1" t="s">
        <v>27</v>
      </c>
      <c r="C70" s="1" t="s">
        <v>27</v>
      </c>
      <c r="D70" s="26"/>
      <c r="E70" s="26"/>
      <c r="F70" s="26"/>
      <c r="G70" s="26"/>
      <c r="H70" s="27"/>
      <c r="I70" s="28" t="s">
        <v>27</v>
      </c>
      <c r="J70" s="1" t="s">
        <v>27</v>
      </c>
      <c r="K70" s="1" t="s">
        <v>27</v>
      </c>
      <c r="L70" s="26"/>
      <c r="M70" s="26"/>
      <c r="N70" s="26"/>
      <c r="O70" s="26"/>
      <c r="P70" s="27"/>
    </row>
    <row r="71" spans="1:16">
      <c r="A71" s="28" t="s">
        <v>27</v>
      </c>
      <c r="B71" s="1" t="s">
        <v>27</v>
      </c>
      <c r="C71" s="1" t="s">
        <v>27</v>
      </c>
      <c r="D71" s="26"/>
      <c r="E71" s="26"/>
      <c r="F71" s="26"/>
      <c r="G71" s="26"/>
      <c r="H71" s="27"/>
      <c r="I71" s="28" t="s">
        <v>27</v>
      </c>
      <c r="J71" s="1" t="s">
        <v>27</v>
      </c>
      <c r="K71" s="1" t="s">
        <v>27</v>
      </c>
      <c r="L71" s="26"/>
      <c r="M71" s="26"/>
      <c r="N71" s="26"/>
      <c r="O71" s="26"/>
      <c r="P71" s="27"/>
    </row>
    <row r="72" spans="1:16">
      <c r="A72" s="28" t="s">
        <v>27</v>
      </c>
      <c r="B72" s="1" t="s">
        <v>27</v>
      </c>
      <c r="C72" s="1" t="s">
        <v>27</v>
      </c>
      <c r="D72" s="26"/>
      <c r="E72" s="26"/>
      <c r="F72" s="26"/>
      <c r="G72" s="26"/>
      <c r="H72" s="27"/>
      <c r="I72" s="28" t="s">
        <v>27</v>
      </c>
      <c r="J72" s="1" t="s">
        <v>27</v>
      </c>
      <c r="K72" s="1" t="s">
        <v>27</v>
      </c>
      <c r="L72" s="26"/>
      <c r="M72" s="26"/>
      <c r="N72" s="26"/>
      <c r="O72" s="26"/>
      <c r="P72" s="27"/>
    </row>
    <row r="73" spans="1:16">
      <c r="A73" s="28" t="s">
        <v>27</v>
      </c>
      <c r="B73" s="1" t="s">
        <v>27</v>
      </c>
      <c r="C73" s="1" t="s">
        <v>27</v>
      </c>
      <c r="D73" s="26"/>
      <c r="E73" s="26"/>
      <c r="F73" s="26"/>
      <c r="G73" s="26"/>
      <c r="H73" s="27"/>
      <c r="I73" s="28" t="s">
        <v>27</v>
      </c>
      <c r="J73" s="1" t="s">
        <v>27</v>
      </c>
      <c r="K73" s="1" t="s">
        <v>27</v>
      </c>
      <c r="L73" s="26"/>
      <c r="M73" s="26"/>
      <c r="N73" s="26"/>
      <c r="O73" s="26"/>
      <c r="P73" s="27"/>
    </row>
    <row r="74" spans="1:16">
      <c r="A74" s="28" t="s">
        <v>27</v>
      </c>
      <c r="B74" s="1" t="s">
        <v>27</v>
      </c>
      <c r="C74" s="1" t="s">
        <v>27</v>
      </c>
      <c r="D74" s="26"/>
      <c r="E74" s="26"/>
      <c r="F74" s="26"/>
      <c r="G74" s="26"/>
      <c r="H74" s="27"/>
      <c r="I74" s="28" t="s">
        <v>27</v>
      </c>
      <c r="J74" s="1" t="s">
        <v>27</v>
      </c>
      <c r="K74" s="1" t="s">
        <v>27</v>
      </c>
      <c r="L74" s="26"/>
      <c r="M74" s="26"/>
      <c r="N74" s="26"/>
      <c r="O74" s="26"/>
      <c r="P74" s="27"/>
    </row>
    <row r="75" spans="1:16">
      <c r="A75" s="28" t="s">
        <v>27</v>
      </c>
      <c r="B75" s="1" t="s">
        <v>27</v>
      </c>
      <c r="C75" s="1" t="s">
        <v>27</v>
      </c>
      <c r="D75" s="26"/>
      <c r="E75" s="26"/>
      <c r="F75" s="26"/>
      <c r="G75" s="26"/>
      <c r="H75" s="27"/>
      <c r="I75" s="28" t="s">
        <v>27</v>
      </c>
      <c r="J75" s="1" t="s">
        <v>27</v>
      </c>
      <c r="K75" s="1" t="s">
        <v>27</v>
      </c>
      <c r="L75" s="26"/>
      <c r="M75" s="26"/>
      <c r="N75" s="26"/>
      <c r="O75" s="26"/>
      <c r="P75" s="27"/>
    </row>
    <row r="76" spans="1:16">
      <c r="A76" s="28" t="s">
        <v>27</v>
      </c>
      <c r="B76" s="1" t="s">
        <v>27</v>
      </c>
      <c r="C76" s="1" t="s">
        <v>27</v>
      </c>
      <c r="D76" s="26"/>
      <c r="E76" s="26"/>
      <c r="F76" s="26"/>
      <c r="G76" s="26"/>
      <c r="H76" s="27"/>
      <c r="I76" s="28" t="s">
        <v>27</v>
      </c>
      <c r="J76" s="1" t="s">
        <v>27</v>
      </c>
      <c r="K76" s="1" t="s">
        <v>27</v>
      </c>
      <c r="L76" s="26"/>
      <c r="M76" s="26"/>
      <c r="N76" s="26"/>
      <c r="O76" s="26"/>
      <c r="P76" s="27"/>
    </row>
    <row r="77" spans="1:16">
      <c r="A77" s="28" t="s">
        <v>27</v>
      </c>
      <c r="B77" s="1" t="s">
        <v>27</v>
      </c>
      <c r="C77" s="1" t="s">
        <v>27</v>
      </c>
      <c r="D77" s="26"/>
      <c r="E77" s="26"/>
      <c r="F77" s="26"/>
      <c r="G77" s="26"/>
      <c r="H77" s="27"/>
      <c r="I77" s="28" t="s">
        <v>27</v>
      </c>
      <c r="J77" s="1" t="s">
        <v>27</v>
      </c>
      <c r="K77" s="1" t="s">
        <v>27</v>
      </c>
      <c r="L77" s="26"/>
      <c r="M77" s="26"/>
      <c r="N77" s="26"/>
      <c r="O77" s="26"/>
      <c r="P77" s="27"/>
    </row>
    <row r="78" spans="1:16">
      <c r="A78" s="28" t="s">
        <v>27</v>
      </c>
      <c r="B78" s="1" t="s">
        <v>27</v>
      </c>
      <c r="C78" s="1" t="s">
        <v>27</v>
      </c>
      <c r="D78" s="26"/>
      <c r="E78" s="26"/>
      <c r="F78" s="26"/>
      <c r="G78" s="26"/>
      <c r="H78" s="27"/>
      <c r="I78" s="28" t="s">
        <v>27</v>
      </c>
      <c r="J78" s="1" t="s">
        <v>27</v>
      </c>
      <c r="K78" s="1" t="s">
        <v>27</v>
      </c>
      <c r="L78" s="26"/>
      <c r="M78" s="26"/>
      <c r="N78" s="26"/>
      <c r="O78" s="26"/>
      <c r="P78" s="27"/>
    </row>
    <row r="79" spans="1:16">
      <c r="A79" s="28" t="s">
        <v>27</v>
      </c>
      <c r="B79" s="1" t="s">
        <v>27</v>
      </c>
      <c r="C79" s="1" t="s">
        <v>27</v>
      </c>
      <c r="D79" s="26"/>
      <c r="E79" s="26"/>
      <c r="F79" s="26"/>
      <c r="G79" s="26"/>
      <c r="H79" s="27"/>
      <c r="I79" s="28" t="s">
        <v>27</v>
      </c>
      <c r="J79" s="1" t="s">
        <v>27</v>
      </c>
      <c r="K79" s="1" t="s">
        <v>27</v>
      </c>
      <c r="L79" s="26"/>
      <c r="M79" s="26"/>
      <c r="N79" s="26"/>
      <c r="O79" s="26"/>
      <c r="P79" s="27"/>
    </row>
    <row r="80" spans="1:16">
      <c r="A80" s="28" t="s">
        <v>27</v>
      </c>
      <c r="B80" s="1" t="s">
        <v>27</v>
      </c>
      <c r="C80" s="1" t="s">
        <v>27</v>
      </c>
      <c r="D80" s="26"/>
      <c r="E80" s="26"/>
      <c r="F80" s="26"/>
      <c r="G80" s="26"/>
      <c r="H80" s="27"/>
      <c r="I80" s="28" t="s">
        <v>27</v>
      </c>
      <c r="J80" s="1" t="s">
        <v>27</v>
      </c>
      <c r="K80" s="1" t="s">
        <v>27</v>
      </c>
      <c r="L80" s="26"/>
      <c r="M80" s="26"/>
      <c r="N80" s="26"/>
      <c r="O80" s="26"/>
      <c r="P80" s="27"/>
    </row>
    <row r="81" spans="1:16">
      <c r="A81" s="28" t="s">
        <v>27</v>
      </c>
      <c r="B81" s="1" t="s">
        <v>27</v>
      </c>
      <c r="C81" s="1" t="s">
        <v>27</v>
      </c>
      <c r="D81" s="26"/>
      <c r="E81" s="26"/>
      <c r="F81" s="26"/>
      <c r="G81" s="26"/>
      <c r="H81" s="27"/>
      <c r="I81" s="28" t="s">
        <v>27</v>
      </c>
      <c r="J81" s="1" t="s">
        <v>27</v>
      </c>
      <c r="K81" s="1" t="s">
        <v>27</v>
      </c>
      <c r="L81" s="26"/>
      <c r="M81" s="26"/>
      <c r="N81" s="26"/>
      <c r="O81" s="26"/>
      <c r="P81" s="27"/>
    </row>
    <row r="82" spans="1:16">
      <c r="A82" s="28" t="s">
        <v>27</v>
      </c>
      <c r="B82" s="1" t="s">
        <v>27</v>
      </c>
      <c r="C82" s="1" t="s">
        <v>27</v>
      </c>
      <c r="D82" s="26"/>
      <c r="E82" s="26"/>
      <c r="F82" s="26"/>
      <c r="G82" s="26"/>
      <c r="H82" s="27"/>
      <c r="I82" s="28" t="s">
        <v>27</v>
      </c>
      <c r="J82" s="1" t="s">
        <v>27</v>
      </c>
      <c r="K82" s="1" t="s">
        <v>27</v>
      </c>
      <c r="L82" s="26"/>
      <c r="M82" s="26"/>
      <c r="N82" s="26"/>
      <c r="O82" s="26"/>
      <c r="P82" s="27"/>
    </row>
    <row r="83" spans="1:16">
      <c r="A83" s="28" t="s">
        <v>27</v>
      </c>
      <c r="B83" s="1" t="s">
        <v>27</v>
      </c>
      <c r="C83" s="1" t="s">
        <v>27</v>
      </c>
      <c r="D83" s="26"/>
      <c r="E83" s="26"/>
      <c r="F83" s="26"/>
      <c r="G83" s="26"/>
      <c r="H83" s="27"/>
      <c r="I83" s="28" t="s">
        <v>27</v>
      </c>
      <c r="J83" s="1" t="s">
        <v>27</v>
      </c>
      <c r="K83" s="1" t="s">
        <v>27</v>
      </c>
      <c r="L83" s="26"/>
      <c r="M83" s="26"/>
      <c r="N83" s="26"/>
      <c r="O83" s="26"/>
      <c r="P83" s="27"/>
    </row>
    <row r="84" spans="1:16">
      <c r="A84" s="28" t="s">
        <v>27</v>
      </c>
      <c r="B84" s="1" t="s">
        <v>27</v>
      </c>
      <c r="C84" s="1" t="s">
        <v>27</v>
      </c>
      <c r="D84" s="26"/>
      <c r="E84" s="26"/>
      <c r="F84" s="26"/>
      <c r="G84" s="26"/>
      <c r="H84" s="27"/>
      <c r="I84" s="28" t="s">
        <v>27</v>
      </c>
      <c r="J84" s="1" t="s">
        <v>27</v>
      </c>
      <c r="K84" s="1" t="s">
        <v>27</v>
      </c>
      <c r="L84" s="26"/>
      <c r="M84" s="26"/>
      <c r="N84" s="26"/>
      <c r="O84" s="26"/>
      <c r="P84" s="27"/>
    </row>
    <row r="85" spans="1:16">
      <c r="A85" s="28" t="s">
        <v>27</v>
      </c>
      <c r="B85" s="1" t="s">
        <v>27</v>
      </c>
      <c r="C85" s="1" t="s">
        <v>27</v>
      </c>
      <c r="D85" s="26"/>
      <c r="E85" s="26"/>
      <c r="F85" s="26"/>
      <c r="G85" s="26"/>
      <c r="H85" s="27"/>
      <c r="I85" s="28" t="s">
        <v>27</v>
      </c>
      <c r="J85" s="1" t="s">
        <v>27</v>
      </c>
      <c r="K85" s="1" t="s">
        <v>27</v>
      </c>
      <c r="L85" s="26"/>
      <c r="M85" s="26"/>
      <c r="N85" s="26"/>
      <c r="O85" s="26"/>
      <c r="P85" s="27"/>
    </row>
    <row r="86" spans="1:16">
      <c r="A86" s="28" t="s">
        <v>27</v>
      </c>
      <c r="B86" s="1" t="s">
        <v>27</v>
      </c>
      <c r="C86" s="1" t="s">
        <v>27</v>
      </c>
      <c r="D86" s="26"/>
      <c r="E86" s="26"/>
      <c r="F86" s="26"/>
      <c r="G86" s="26"/>
      <c r="H86" s="27"/>
      <c r="I86" s="28" t="s">
        <v>27</v>
      </c>
      <c r="J86" s="1" t="s">
        <v>27</v>
      </c>
      <c r="K86" s="1" t="s">
        <v>27</v>
      </c>
      <c r="L86" s="26"/>
      <c r="M86" s="26"/>
      <c r="N86" s="26"/>
      <c r="O86" s="26"/>
      <c r="P86" s="27"/>
    </row>
    <row r="87" spans="1:16">
      <c r="A87" s="28" t="s">
        <v>27</v>
      </c>
      <c r="B87" s="1" t="s">
        <v>27</v>
      </c>
      <c r="C87" s="1" t="s">
        <v>27</v>
      </c>
      <c r="D87" s="26"/>
      <c r="E87" s="26"/>
      <c r="F87" s="26"/>
      <c r="G87" s="26"/>
      <c r="H87" s="27"/>
      <c r="I87" s="28" t="s">
        <v>27</v>
      </c>
      <c r="J87" s="1" t="s">
        <v>27</v>
      </c>
      <c r="K87" s="1" t="s">
        <v>27</v>
      </c>
      <c r="L87" s="26"/>
      <c r="M87" s="26"/>
      <c r="N87" s="26"/>
      <c r="O87" s="26"/>
      <c r="P87" s="27"/>
    </row>
    <row r="88" spans="1:16">
      <c r="A88" s="28" t="s">
        <v>27</v>
      </c>
      <c r="B88" s="1" t="s">
        <v>27</v>
      </c>
      <c r="C88" s="1" t="s">
        <v>27</v>
      </c>
      <c r="D88" s="26"/>
      <c r="E88" s="26"/>
      <c r="F88" s="26"/>
      <c r="G88" s="26"/>
      <c r="H88" s="27"/>
      <c r="I88" s="28" t="s">
        <v>27</v>
      </c>
      <c r="J88" s="1" t="s">
        <v>27</v>
      </c>
      <c r="K88" s="1" t="s">
        <v>27</v>
      </c>
      <c r="L88" s="26"/>
      <c r="M88" s="26"/>
      <c r="N88" s="26"/>
      <c r="O88" s="26"/>
      <c r="P88" s="27"/>
    </row>
    <row r="89" spans="1:16">
      <c r="A89" s="28" t="s">
        <v>27</v>
      </c>
      <c r="B89" s="1" t="s">
        <v>27</v>
      </c>
      <c r="C89" s="1" t="s">
        <v>27</v>
      </c>
      <c r="D89" s="26"/>
      <c r="E89" s="26"/>
      <c r="F89" s="26"/>
      <c r="G89" s="26"/>
      <c r="H89" s="27"/>
      <c r="I89" s="28" t="s">
        <v>27</v>
      </c>
      <c r="J89" s="1" t="s">
        <v>27</v>
      </c>
      <c r="K89" s="1" t="s">
        <v>27</v>
      </c>
      <c r="L89" s="26"/>
      <c r="M89" s="26"/>
      <c r="N89" s="26"/>
      <c r="O89" s="26"/>
      <c r="P89" s="27"/>
    </row>
    <row r="90" spans="1:16">
      <c r="A90" s="28" t="s">
        <v>27</v>
      </c>
      <c r="B90" s="1" t="s">
        <v>27</v>
      </c>
      <c r="C90" s="1" t="s">
        <v>27</v>
      </c>
      <c r="D90" s="26"/>
      <c r="E90" s="26"/>
      <c r="F90" s="26"/>
      <c r="G90" s="26"/>
      <c r="H90" s="27"/>
      <c r="I90" s="28" t="s">
        <v>27</v>
      </c>
      <c r="J90" s="1" t="s">
        <v>27</v>
      </c>
      <c r="K90" s="1" t="s">
        <v>27</v>
      </c>
      <c r="L90" s="26"/>
      <c r="M90" s="26"/>
      <c r="N90" s="26"/>
      <c r="O90" s="26"/>
      <c r="P90" s="27"/>
    </row>
    <row r="91" spans="1:16">
      <c r="A91" s="28" t="s">
        <v>27</v>
      </c>
      <c r="B91" s="1" t="s">
        <v>27</v>
      </c>
      <c r="C91" s="1" t="s">
        <v>27</v>
      </c>
      <c r="D91" s="26"/>
      <c r="E91" s="26"/>
      <c r="F91" s="26"/>
      <c r="G91" s="26"/>
      <c r="H91" s="27"/>
      <c r="I91" s="28" t="s">
        <v>27</v>
      </c>
      <c r="J91" s="1" t="s">
        <v>27</v>
      </c>
      <c r="K91" s="1" t="s">
        <v>27</v>
      </c>
      <c r="L91" s="26"/>
      <c r="M91" s="26"/>
      <c r="N91" s="26"/>
      <c r="O91" s="26"/>
      <c r="P91" s="27"/>
    </row>
    <row r="92" spans="1:16">
      <c r="A92" s="28" t="s">
        <v>27</v>
      </c>
      <c r="B92" s="1" t="s">
        <v>27</v>
      </c>
      <c r="C92" s="1" t="s">
        <v>27</v>
      </c>
      <c r="D92" s="26"/>
      <c r="E92" s="26"/>
      <c r="F92" s="26"/>
      <c r="G92" s="26"/>
      <c r="H92" s="27"/>
      <c r="I92" s="28" t="s">
        <v>27</v>
      </c>
      <c r="J92" s="1" t="s">
        <v>27</v>
      </c>
      <c r="K92" s="1" t="s">
        <v>27</v>
      </c>
      <c r="L92" s="26"/>
      <c r="M92" s="26"/>
      <c r="N92" s="26"/>
      <c r="O92" s="26"/>
      <c r="P92" s="27"/>
    </row>
    <row r="93" spans="1:16">
      <c r="A93" s="28" t="s">
        <v>27</v>
      </c>
      <c r="B93" s="1" t="s">
        <v>27</v>
      </c>
      <c r="C93" s="1" t="s">
        <v>27</v>
      </c>
      <c r="D93" s="26"/>
      <c r="E93" s="26"/>
      <c r="F93" s="26"/>
      <c r="G93" s="26"/>
      <c r="H93" s="27"/>
      <c r="I93" s="28" t="s">
        <v>27</v>
      </c>
      <c r="J93" s="1" t="s">
        <v>27</v>
      </c>
      <c r="K93" s="1" t="s">
        <v>27</v>
      </c>
      <c r="L93" s="26"/>
      <c r="M93" s="26"/>
      <c r="N93" s="26"/>
      <c r="O93" s="26"/>
      <c r="P93" s="27"/>
    </row>
    <row r="94" spans="1:16">
      <c r="A94" s="28" t="s">
        <v>27</v>
      </c>
      <c r="B94" s="1" t="s">
        <v>27</v>
      </c>
      <c r="C94" s="1" t="s">
        <v>27</v>
      </c>
      <c r="D94" s="26"/>
      <c r="E94" s="26"/>
      <c r="F94" s="26"/>
      <c r="G94" s="26"/>
      <c r="H94" s="27"/>
      <c r="I94" s="28" t="s">
        <v>27</v>
      </c>
      <c r="J94" s="1" t="s">
        <v>27</v>
      </c>
      <c r="K94" s="1" t="s">
        <v>27</v>
      </c>
      <c r="L94" s="26"/>
      <c r="M94" s="26"/>
      <c r="N94" s="26"/>
      <c r="O94" s="26"/>
      <c r="P94" s="27"/>
    </row>
    <row r="95" spans="1:16">
      <c r="A95" s="28" t="s">
        <v>27</v>
      </c>
      <c r="B95" s="1" t="s">
        <v>27</v>
      </c>
      <c r="C95" s="1" t="s">
        <v>27</v>
      </c>
      <c r="D95" s="26"/>
      <c r="E95" s="26"/>
      <c r="F95" s="26"/>
      <c r="G95" s="26"/>
      <c r="H95" s="27"/>
      <c r="I95" s="28" t="s">
        <v>27</v>
      </c>
      <c r="J95" s="1" t="s">
        <v>27</v>
      </c>
      <c r="K95" s="1" t="s">
        <v>27</v>
      </c>
      <c r="L95" s="26"/>
      <c r="M95" s="26"/>
      <c r="N95" s="26"/>
      <c r="O95" s="26"/>
      <c r="P95" s="27"/>
    </row>
    <row r="96" spans="1:16">
      <c r="A96" s="28" t="s">
        <v>27</v>
      </c>
      <c r="B96" s="1" t="s">
        <v>27</v>
      </c>
      <c r="C96" s="1" t="s">
        <v>27</v>
      </c>
      <c r="D96" s="26"/>
      <c r="E96" s="26"/>
      <c r="F96" s="26"/>
      <c r="G96" s="26"/>
      <c r="H96" s="27"/>
      <c r="I96" s="28" t="s">
        <v>27</v>
      </c>
      <c r="J96" s="1" t="s">
        <v>27</v>
      </c>
      <c r="K96" s="1" t="s">
        <v>27</v>
      </c>
      <c r="L96" s="26"/>
      <c r="M96" s="26"/>
      <c r="N96" s="26"/>
      <c r="O96" s="26"/>
      <c r="P96" s="27"/>
    </row>
    <row r="97" spans="1:16">
      <c r="A97" s="28" t="s">
        <v>27</v>
      </c>
      <c r="B97" s="1" t="s">
        <v>27</v>
      </c>
      <c r="C97" s="1" t="s">
        <v>27</v>
      </c>
      <c r="D97" s="26"/>
      <c r="E97" s="26"/>
      <c r="F97" s="26"/>
      <c r="G97" s="26"/>
      <c r="H97" s="27"/>
      <c r="I97" s="28" t="s">
        <v>27</v>
      </c>
      <c r="J97" s="1" t="s">
        <v>27</v>
      </c>
      <c r="K97" s="1" t="s">
        <v>27</v>
      </c>
      <c r="L97" s="26"/>
      <c r="M97" s="26"/>
      <c r="N97" s="26"/>
      <c r="O97" s="26"/>
      <c r="P97" s="27"/>
    </row>
    <row r="98" spans="1:16">
      <c r="A98" s="28" t="s">
        <v>27</v>
      </c>
      <c r="B98" s="1" t="s">
        <v>27</v>
      </c>
      <c r="C98" s="1" t="s">
        <v>27</v>
      </c>
      <c r="D98" s="26"/>
      <c r="E98" s="26"/>
      <c r="F98" s="26"/>
      <c r="G98" s="26"/>
      <c r="H98" s="27"/>
      <c r="I98" s="28" t="s">
        <v>27</v>
      </c>
      <c r="J98" s="1" t="s">
        <v>27</v>
      </c>
      <c r="K98" s="1" t="s">
        <v>27</v>
      </c>
      <c r="L98" s="26"/>
      <c r="M98" s="26"/>
      <c r="N98" s="26"/>
      <c r="O98" s="26"/>
      <c r="P98" s="27"/>
    </row>
    <row r="99" spans="1:16">
      <c r="A99" s="28" t="s">
        <v>27</v>
      </c>
      <c r="B99" s="1" t="s">
        <v>27</v>
      </c>
      <c r="C99" s="1" t="s">
        <v>27</v>
      </c>
      <c r="D99" s="26"/>
      <c r="E99" s="26"/>
      <c r="F99" s="26"/>
      <c r="G99" s="26"/>
      <c r="H99" s="27"/>
      <c r="I99" s="28" t="s">
        <v>27</v>
      </c>
      <c r="J99" s="1" t="s">
        <v>27</v>
      </c>
      <c r="K99" s="1" t="s">
        <v>27</v>
      </c>
      <c r="L99" s="26"/>
      <c r="M99" s="26"/>
      <c r="N99" s="26"/>
      <c r="O99" s="26"/>
      <c r="P99" s="27"/>
    </row>
    <row r="100" spans="1:16" ht="15.75" thickBot="1">
      <c r="A100" s="29" t="s">
        <v>27</v>
      </c>
      <c r="B100" s="30" t="s">
        <v>27</v>
      </c>
      <c r="C100" s="30" t="s">
        <v>27</v>
      </c>
      <c r="D100" s="31"/>
      <c r="E100" s="31"/>
      <c r="F100" s="31"/>
      <c r="G100" s="31"/>
      <c r="H100" s="32"/>
      <c r="I100" s="29" t="s">
        <v>27</v>
      </c>
      <c r="J100" s="30" t="s">
        <v>27</v>
      </c>
      <c r="K100" s="30" t="s">
        <v>27</v>
      </c>
      <c r="L100" s="31"/>
      <c r="M100" s="31"/>
      <c r="N100" s="31"/>
      <c r="O100" s="31"/>
      <c r="P100" s="32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ageMargins left="0.7" right="0.7" top="0.75" bottom="0.75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404EF-53D2-43B1-864E-E5E3E17329F9}">
  <dimension ref="A1:AB100"/>
  <sheetViews>
    <sheetView workbookViewId="0">
      <selection activeCell="B46" sqref="B46"/>
    </sheetView>
  </sheetViews>
  <sheetFormatPr defaultRowHeight="15"/>
  <sheetData>
    <row r="1" spans="1:28" ht="15.75">
      <c r="A1" s="62" t="s">
        <v>30</v>
      </c>
      <c r="B1" s="63"/>
      <c r="C1" s="63"/>
      <c r="D1" s="63"/>
      <c r="E1" s="63"/>
      <c r="F1" s="64" t="s">
        <v>3</v>
      </c>
      <c r="G1" s="64"/>
      <c r="H1" s="24" cm="1">
        <f t="array" ref="H1">SUM(VLOOKUP(A4:C100,$T$3:$W$36,4,FALSE))+H4*10-H8*50</f>
        <v>3277.327288882444</v>
      </c>
      <c r="I1" s="65" t="s">
        <v>41</v>
      </c>
      <c r="J1" s="66"/>
      <c r="K1" s="66"/>
      <c r="L1" s="66"/>
      <c r="M1" s="66"/>
      <c r="N1" s="66"/>
      <c r="O1" s="66"/>
      <c r="P1" s="67"/>
      <c r="Q1" s="65" t="s">
        <v>48</v>
      </c>
      <c r="R1" s="66"/>
      <c r="S1" s="66"/>
      <c r="T1" s="66"/>
      <c r="U1" s="66"/>
      <c r="V1" s="66"/>
      <c r="W1" s="66"/>
      <c r="X1" s="66"/>
      <c r="Y1" s="66"/>
      <c r="Z1" s="66"/>
      <c r="AA1" s="66"/>
      <c r="AB1" s="67"/>
    </row>
    <row r="2" spans="1:28" ht="30">
      <c r="A2" s="68" t="s">
        <v>35</v>
      </c>
      <c r="B2" s="69"/>
      <c r="C2" s="69"/>
      <c r="D2" s="70" t="s">
        <v>37</v>
      </c>
      <c r="E2" s="71"/>
      <c r="F2" s="71"/>
      <c r="G2" s="71"/>
      <c r="H2" s="72"/>
      <c r="I2" s="73" t="s">
        <v>35</v>
      </c>
      <c r="J2" s="74"/>
      <c r="K2" s="74"/>
      <c r="L2" s="75" t="s">
        <v>37</v>
      </c>
      <c r="M2" s="75"/>
      <c r="N2" s="75"/>
      <c r="O2" s="75"/>
      <c r="P2" s="76"/>
      <c r="Q2" s="50" t="s">
        <v>43</v>
      </c>
      <c r="R2" s="51" cm="1">
        <f t="array" ref="R2">SUM(V3:V28*AB3:AB28)+H6+P6+R4*500</f>
        <v>64995</v>
      </c>
      <c r="S2" s="26"/>
      <c r="T2" s="1" t="s">
        <v>0</v>
      </c>
      <c r="U2" s="1" t="s">
        <v>1</v>
      </c>
      <c r="V2" s="1" t="s">
        <v>2</v>
      </c>
      <c r="W2" s="44" t="s">
        <v>3</v>
      </c>
      <c r="X2" s="46" t="s">
        <v>44</v>
      </c>
      <c r="Y2" s="46" t="s">
        <v>56</v>
      </c>
      <c r="Z2" s="47" t="s">
        <v>45</v>
      </c>
      <c r="AA2" s="47" t="s">
        <v>46</v>
      </c>
      <c r="AB2" s="52" t="s">
        <v>47</v>
      </c>
    </row>
    <row r="3" spans="1:28">
      <c r="A3" s="60" t="s">
        <v>31</v>
      </c>
      <c r="B3" s="61" t="s">
        <v>32</v>
      </c>
      <c r="C3" s="20" t="s">
        <v>33</v>
      </c>
      <c r="D3" s="33"/>
      <c r="E3" s="60" t="s">
        <v>31</v>
      </c>
      <c r="F3" s="61" t="s">
        <v>32</v>
      </c>
      <c r="G3" s="20" t="s">
        <v>33</v>
      </c>
      <c r="H3" s="34" t="s">
        <v>36</v>
      </c>
      <c r="I3" s="60" t="s">
        <v>31</v>
      </c>
      <c r="J3" s="61" t="s">
        <v>32</v>
      </c>
      <c r="K3" s="20" t="s">
        <v>33</v>
      </c>
      <c r="L3" s="33"/>
      <c r="M3" s="60" t="s">
        <v>31</v>
      </c>
      <c r="N3" s="61" t="s">
        <v>32</v>
      </c>
      <c r="O3" s="20" t="s">
        <v>33</v>
      </c>
      <c r="P3" s="34" t="s">
        <v>36</v>
      </c>
      <c r="Q3" s="53" t="s">
        <v>49</v>
      </c>
      <c r="R3" s="26">
        <v>91</v>
      </c>
      <c r="S3" s="26"/>
      <c r="T3" s="2" t="s">
        <v>4</v>
      </c>
      <c r="U3" s="1">
        <v>150</v>
      </c>
      <c r="V3" s="1">
        <v>35</v>
      </c>
      <c r="W3" s="45">
        <f>U3-V3/0.330882</f>
        <v>44.222109392472248</v>
      </c>
      <c r="X3" s="46"/>
      <c r="Y3" s="46">
        <v>25</v>
      </c>
      <c r="Z3" s="1">
        <f>COUNTIF($A$4:$C$100,T3)</f>
        <v>17</v>
      </c>
      <c r="AA3" s="1">
        <f>COUNTIF($I$4:$K$100,T3)</f>
        <v>8</v>
      </c>
      <c r="AB3" s="54">
        <f>Y3-Z3-AA3</f>
        <v>0</v>
      </c>
    </row>
    <row r="4" spans="1:28">
      <c r="A4" s="2" t="s">
        <v>4</v>
      </c>
      <c r="B4" s="2" t="s">
        <v>4</v>
      </c>
      <c r="C4" s="3" t="s">
        <v>5</v>
      </c>
      <c r="D4" s="43" t="s">
        <v>34</v>
      </c>
      <c r="E4" s="39">
        <v>0</v>
      </c>
      <c r="F4" s="39">
        <v>11</v>
      </c>
      <c r="G4" s="39">
        <v>10</v>
      </c>
      <c r="H4" s="36">
        <f>SUM(E4:G4)</f>
        <v>21</v>
      </c>
      <c r="I4" s="2" t="s">
        <v>4</v>
      </c>
      <c r="J4" s="9" t="s">
        <v>11</v>
      </c>
      <c r="K4" s="3" t="s">
        <v>5</v>
      </c>
      <c r="L4" s="43" t="s">
        <v>34</v>
      </c>
      <c r="M4" s="39">
        <v>3</v>
      </c>
      <c r="N4" s="39">
        <v>2</v>
      </c>
      <c r="O4" s="39">
        <v>1</v>
      </c>
      <c r="P4" s="36">
        <f>SUM(M4:O4)</f>
        <v>6</v>
      </c>
      <c r="Q4" s="53" t="s">
        <v>50</v>
      </c>
      <c r="R4" s="40">
        <v>14</v>
      </c>
      <c r="S4" s="26"/>
      <c r="T4" s="3" t="s">
        <v>5</v>
      </c>
      <c r="U4" s="1">
        <v>160</v>
      </c>
      <c r="V4" s="1">
        <v>40</v>
      </c>
      <c r="W4" s="45">
        <f t="shared" ref="W4" si="0">U4-V4/0.330882</f>
        <v>39.110982162825422</v>
      </c>
      <c r="X4" s="46"/>
      <c r="Y4" s="46">
        <v>50</v>
      </c>
      <c r="Z4" s="1">
        <f t="shared" ref="Z4:Z28" si="1">COUNTIF($A$4:$C$100,T4)</f>
        <v>30</v>
      </c>
      <c r="AA4" s="1">
        <f t="shared" ref="AA4:AA28" si="2">COUNTIF($I$4:$K$100,T4)</f>
        <v>20</v>
      </c>
      <c r="AB4" s="54">
        <f t="shared" ref="AB4:AB28" si="3">Y4-Z4-AA4</f>
        <v>0</v>
      </c>
    </row>
    <row r="5" spans="1:28">
      <c r="A5" s="2" t="s">
        <v>4</v>
      </c>
      <c r="B5" s="2" t="s">
        <v>4</v>
      </c>
      <c r="C5" s="23" t="s">
        <v>29</v>
      </c>
      <c r="D5" s="33" t="s">
        <v>38</v>
      </c>
      <c r="E5" s="35" cm="1">
        <f t="array" ref="E5">(SUM(VLOOKUP(A4:A100,$T$3:$W$41,2,FALSE))+E4*10)-E8*50</f>
        <v>900</v>
      </c>
      <c r="F5" s="35" cm="1">
        <f t="array" ref="F5">(SUM(VLOOKUP(B4:B100,$T$3:$W$41,2,FALSE))+F4*10)-F8*50</f>
        <v>6970</v>
      </c>
      <c r="G5" s="35" cm="1">
        <f t="array" ref="G5">(SUM(VLOOKUP(C4:C100,$T$3:$W$41,2,FALSE))+G4*10)-G8*50</f>
        <v>6660</v>
      </c>
      <c r="H5" s="59">
        <f t="shared" ref="H5:H8" si="4">SUM(E5:G5)</f>
        <v>14530</v>
      </c>
      <c r="I5" s="15" t="s">
        <v>17</v>
      </c>
      <c r="J5" s="1" t="s">
        <v>27</v>
      </c>
      <c r="K5" s="3" t="s">
        <v>5</v>
      </c>
      <c r="L5" s="33" t="s">
        <v>38</v>
      </c>
      <c r="M5" s="35" cm="1">
        <f t="array" ref="M5">(SUM(VLOOKUP(I4:I100,$T$3:$W$41,2,FALSE))+M4*10)*0.8-M8*40</f>
        <v>1912</v>
      </c>
      <c r="N5" s="35" cm="1">
        <f t="array" ref="N5">(SUM(VLOOKUP(J4:J100,$T$3:$W$41,2,FALSE))+N4*10)*0.8-N8*40</f>
        <v>384</v>
      </c>
      <c r="O5" s="35" cm="1">
        <f t="array" ref="O5">(SUM(VLOOKUP(K4:K100,$T$3:$W$41,2,FALSE))+O4*10)*0.8-O8*40</f>
        <v>1752</v>
      </c>
      <c r="P5" s="59">
        <f t="shared" ref="P5:P8" si="5">SUM(M5:O5)</f>
        <v>4048</v>
      </c>
      <c r="Q5" s="53" t="s">
        <v>51</v>
      </c>
      <c r="R5" s="26">
        <v>6000</v>
      </c>
      <c r="S5" s="26"/>
      <c r="T5" s="4" t="s">
        <v>6</v>
      </c>
      <c r="U5" s="1">
        <v>170</v>
      </c>
      <c r="V5" s="1">
        <v>45</v>
      </c>
      <c r="W5" s="45">
        <v>34</v>
      </c>
      <c r="X5" s="48"/>
      <c r="Y5" s="46">
        <v>216</v>
      </c>
      <c r="Z5" s="1">
        <f t="shared" si="1"/>
        <v>31</v>
      </c>
      <c r="AA5" s="1">
        <f t="shared" si="2"/>
        <v>0</v>
      </c>
      <c r="AB5" s="54">
        <f t="shared" si="3"/>
        <v>185</v>
      </c>
    </row>
    <row r="6" spans="1:28">
      <c r="A6" s="2" t="s">
        <v>4</v>
      </c>
      <c r="B6" s="2" t="s">
        <v>4</v>
      </c>
      <c r="C6" s="3" t="s">
        <v>5</v>
      </c>
      <c r="D6" s="33" t="s">
        <v>39</v>
      </c>
      <c r="E6" s="35" cm="1">
        <f t="array" ref="E6">(SUM(VLOOKUP(A4:A100,$T$3:$W$41,3,FALSE)))</f>
        <v>210</v>
      </c>
      <c r="F6" s="35" cm="1">
        <f t="array" ref="F6">(SUM(VLOOKUP(B4:B100,$T$3:$W$41,3,FALSE)))</f>
        <v>1945</v>
      </c>
      <c r="G6" s="35" cm="1">
        <f t="array" ref="G6">(SUM(VLOOKUP(C4:C100,$T$3:$W$41,3,FALSE)))</f>
        <v>2610</v>
      </c>
      <c r="H6" s="49">
        <f t="shared" si="4"/>
        <v>4765</v>
      </c>
      <c r="I6" s="2" t="s">
        <v>4</v>
      </c>
      <c r="J6" s="1" t="s">
        <v>27</v>
      </c>
      <c r="K6" s="15" t="s">
        <v>17</v>
      </c>
      <c r="L6" s="33" t="s">
        <v>39</v>
      </c>
      <c r="M6" s="35" cm="1">
        <f t="array" ref="M6">(SUM(VLOOKUP(I4:I100,$T$3:$W$41,3,FALSE)))</f>
        <v>740</v>
      </c>
      <c r="N6" s="35" cm="1">
        <f t="array" ref="N6">(SUM(VLOOKUP(J4:J100,$T$3:$W$41,3,FALSE)))</f>
        <v>120</v>
      </c>
      <c r="O6" s="35" cm="1">
        <f t="array" ref="O6">(SUM(VLOOKUP(K4:K100,$T$3:$W$41,3,FALSE)))</f>
        <v>610</v>
      </c>
      <c r="P6" s="49">
        <f t="shared" si="5"/>
        <v>1470</v>
      </c>
      <c r="Q6" s="50" t="s">
        <v>52</v>
      </c>
      <c r="R6" s="26">
        <f>R3*1600-800+R5</f>
        <v>150800</v>
      </c>
      <c r="S6" s="26"/>
      <c r="T6" s="5" t="s">
        <v>7</v>
      </c>
      <c r="U6" s="1">
        <v>180</v>
      </c>
      <c r="V6" s="1">
        <v>50</v>
      </c>
      <c r="W6" s="45">
        <v>36</v>
      </c>
      <c r="X6" s="46">
        <v>267</v>
      </c>
      <c r="Y6" s="46">
        <v>266</v>
      </c>
      <c r="Z6" s="1">
        <f t="shared" si="1"/>
        <v>0</v>
      </c>
      <c r="AA6" s="1">
        <f t="shared" si="2"/>
        <v>0</v>
      </c>
      <c r="AB6" s="54">
        <f t="shared" si="3"/>
        <v>266</v>
      </c>
    </row>
    <row r="7" spans="1:28">
      <c r="A7" s="2" t="s">
        <v>4</v>
      </c>
      <c r="B7" s="2" t="s">
        <v>4</v>
      </c>
      <c r="C7" s="4" t="s">
        <v>6</v>
      </c>
      <c r="D7" s="33" t="s">
        <v>40</v>
      </c>
      <c r="E7" s="35">
        <f>COUNTIF(A4:A100,"&lt;&gt;空")</f>
        <v>6</v>
      </c>
      <c r="F7" s="35">
        <f>COUNTIF(B4:B100,"&lt;&gt;空")</f>
        <v>44</v>
      </c>
      <c r="G7" s="35">
        <f>COUNTIF(C4:C100,"&lt;&gt;空")</f>
        <v>47</v>
      </c>
      <c r="H7" s="36">
        <f t="shared" si="4"/>
        <v>97</v>
      </c>
      <c r="I7" s="2" t="s">
        <v>4</v>
      </c>
      <c r="J7" s="1" t="s">
        <v>27</v>
      </c>
      <c r="K7" s="3" t="s">
        <v>5</v>
      </c>
      <c r="L7" s="33" t="s">
        <v>40</v>
      </c>
      <c r="M7" s="35">
        <f>COUNTIF(I4:I100,"&lt;&gt;空")</f>
        <v>22</v>
      </c>
      <c r="N7" s="35">
        <f>COUNTIF(J4:J100,"&lt;&gt;空")</f>
        <v>3</v>
      </c>
      <c r="O7" s="35">
        <f>COUNTIF(K4:K100,"&lt;&gt;空")</f>
        <v>16</v>
      </c>
      <c r="P7" s="36">
        <f t="shared" si="5"/>
        <v>41</v>
      </c>
      <c r="Q7" s="53" t="s">
        <v>55</v>
      </c>
      <c r="R7" s="26">
        <v>0</v>
      </c>
      <c r="S7" s="26"/>
      <c r="T7" s="6" t="s">
        <v>8</v>
      </c>
      <c r="U7" s="1">
        <v>190</v>
      </c>
      <c r="V7" s="1">
        <v>55</v>
      </c>
      <c r="W7" s="45">
        <v>38</v>
      </c>
      <c r="X7" s="46">
        <v>236</v>
      </c>
      <c r="Y7" s="46">
        <v>236</v>
      </c>
      <c r="Z7" s="1">
        <f t="shared" si="1"/>
        <v>0</v>
      </c>
      <c r="AA7" s="1">
        <f t="shared" si="2"/>
        <v>0</v>
      </c>
      <c r="AB7" s="54">
        <f t="shared" si="3"/>
        <v>236</v>
      </c>
    </row>
    <row r="8" spans="1:28">
      <c r="A8" s="2" t="s">
        <v>4</v>
      </c>
      <c r="B8" s="2" t="s">
        <v>4</v>
      </c>
      <c r="C8" s="4" t="s">
        <v>6</v>
      </c>
      <c r="D8" s="42" t="s">
        <v>70</v>
      </c>
      <c r="E8" s="41">
        <v>0</v>
      </c>
      <c r="F8" s="41">
        <v>1</v>
      </c>
      <c r="G8" s="41">
        <v>0</v>
      </c>
      <c r="H8" s="36">
        <f t="shared" si="4"/>
        <v>1</v>
      </c>
      <c r="I8" s="15" t="s">
        <v>17</v>
      </c>
      <c r="J8" s="1" t="s">
        <v>27</v>
      </c>
      <c r="K8" s="3" t="s">
        <v>5</v>
      </c>
      <c r="L8" s="42" t="s">
        <v>70</v>
      </c>
      <c r="M8" s="41">
        <v>1</v>
      </c>
      <c r="N8" s="41">
        <v>0</v>
      </c>
      <c r="O8" s="41">
        <v>1</v>
      </c>
      <c r="P8" s="36">
        <f t="shared" si="5"/>
        <v>2</v>
      </c>
      <c r="Q8" s="50" t="s">
        <v>54</v>
      </c>
      <c r="R8" s="55" cm="1">
        <f t="array" ref="R8">R6-P5-H5-SUM(U3:U28*AB3:AB28)*0.8-R7*8</f>
        <v>6</v>
      </c>
      <c r="S8" s="26"/>
      <c r="T8" s="7" t="s">
        <v>9</v>
      </c>
      <c r="U8" s="1">
        <v>200</v>
      </c>
      <c r="V8" s="1">
        <v>60</v>
      </c>
      <c r="W8" s="45"/>
      <c r="X8" s="46">
        <v>194</v>
      </c>
      <c r="Y8" s="46">
        <v>194</v>
      </c>
      <c r="Z8" s="1">
        <f t="shared" si="1"/>
        <v>0</v>
      </c>
      <c r="AA8" s="1">
        <f t="shared" si="2"/>
        <v>0</v>
      </c>
      <c r="AB8" s="54">
        <f t="shared" si="3"/>
        <v>194</v>
      </c>
    </row>
    <row r="9" spans="1:28">
      <c r="A9" s="2" t="s">
        <v>4</v>
      </c>
      <c r="B9" s="2" t="s">
        <v>4</v>
      </c>
      <c r="C9" s="17" t="s">
        <v>19</v>
      </c>
      <c r="D9" s="26"/>
      <c r="E9" s="26"/>
      <c r="F9" s="26"/>
      <c r="G9" s="26"/>
      <c r="H9" s="27"/>
      <c r="I9" s="1" t="s">
        <v>27</v>
      </c>
      <c r="J9" s="1" t="s">
        <v>27</v>
      </c>
      <c r="K9" s="3" t="s">
        <v>5</v>
      </c>
      <c r="L9" s="33" t="s">
        <v>42</v>
      </c>
      <c r="M9" s="37">
        <f>M6/M5</f>
        <v>0.38702928870292885</v>
      </c>
      <c r="N9" s="37">
        <f>N6/N5</f>
        <v>0.3125</v>
      </c>
      <c r="O9" s="37">
        <f>O6/O5</f>
        <v>0.34817351598173518</v>
      </c>
      <c r="P9" s="38">
        <f>P6/P5</f>
        <v>0.36314229249011859</v>
      </c>
      <c r="Q9" s="50"/>
      <c r="R9" s="26"/>
      <c r="S9" s="26"/>
      <c r="T9" s="8" t="s">
        <v>10</v>
      </c>
      <c r="U9" s="1">
        <v>150</v>
      </c>
      <c r="V9" s="1">
        <v>35</v>
      </c>
      <c r="W9" s="45">
        <f t="shared" ref="W9:W11" si="6">U9-V9/0.330882</f>
        <v>44.222109392472248</v>
      </c>
      <c r="X9" s="46">
        <v>3</v>
      </c>
      <c r="Y9" s="46">
        <v>0</v>
      </c>
      <c r="Z9" s="1">
        <f t="shared" si="1"/>
        <v>0</v>
      </c>
      <c r="AA9" s="1">
        <f t="shared" si="2"/>
        <v>0</v>
      </c>
      <c r="AB9" s="54">
        <f t="shared" si="3"/>
        <v>0</v>
      </c>
    </row>
    <row r="10" spans="1:28">
      <c r="A10" s="1" t="s">
        <v>27</v>
      </c>
      <c r="B10" s="1" t="s">
        <v>27</v>
      </c>
      <c r="C10" s="4" t="s">
        <v>6</v>
      </c>
      <c r="D10" s="26"/>
      <c r="E10" s="26"/>
      <c r="F10" s="26"/>
      <c r="G10" s="26"/>
      <c r="H10" s="27"/>
      <c r="I10" s="16" t="s">
        <v>28</v>
      </c>
      <c r="J10" s="9" t="s">
        <v>11</v>
      </c>
      <c r="K10" s="3" t="s">
        <v>5</v>
      </c>
      <c r="L10" s="26"/>
      <c r="M10" s="26"/>
      <c r="N10" s="26"/>
      <c r="O10" s="26"/>
      <c r="P10" s="27"/>
      <c r="Q10" s="50"/>
      <c r="R10" s="26"/>
      <c r="S10" s="26"/>
      <c r="T10" s="9" t="s">
        <v>11</v>
      </c>
      <c r="U10" s="1">
        <v>150</v>
      </c>
      <c r="V10" s="1">
        <v>40</v>
      </c>
      <c r="W10" s="45">
        <f t="shared" si="6"/>
        <v>29.110982162825422</v>
      </c>
      <c r="X10" s="46">
        <v>7</v>
      </c>
      <c r="Y10" s="46">
        <v>5</v>
      </c>
      <c r="Z10" s="1">
        <f t="shared" si="1"/>
        <v>2</v>
      </c>
      <c r="AA10" s="1">
        <f t="shared" si="2"/>
        <v>3</v>
      </c>
      <c r="AB10" s="54">
        <f t="shared" si="3"/>
        <v>0</v>
      </c>
    </row>
    <row r="11" spans="1:28">
      <c r="A11" s="1" t="s">
        <v>27</v>
      </c>
      <c r="B11" s="1" t="s">
        <v>27</v>
      </c>
      <c r="C11" s="1" t="s">
        <v>27</v>
      </c>
      <c r="D11" s="26"/>
      <c r="E11" s="26"/>
      <c r="F11" s="26"/>
      <c r="G11" s="26"/>
      <c r="H11" s="27"/>
      <c r="I11" s="3" t="s">
        <v>5</v>
      </c>
      <c r="J11" s="1" t="s">
        <v>27</v>
      </c>
      <c r="K11" s="3" t="s">
        <v>5</v>
      </c>
      <c r="L11" s="26"/>
      <c r="M11" s="26"/>
      <c r="N11" s="26"/>
      <c r="O11" s="26"/>
      <c r="P11" s="27">
        <f>H5+P5</f>
        <v>18578</v>
      </c>
      <c r="Q11" s="50"/>
      <c r="R11" s="26"/>
      <c r="S11" s="26"/>
      <c r="T11" s="10" t="s">
        <v>12</v>
      </c>
      <c r="U11" s="1">
        <v>150</v>
      </c>
      <c r="V11" s="1">
        <v>45</v>
      </c>
      <c r="W11" s="45">
        <f t="shared" si="6"/>
        <v>13.999854933178597</v>
      </c>
      <c r="X11" s="46">
        <v>6</v>
      </c>
      <c r="Y11" s="46">
        <v>6</v>
      </c>
      <c r="Z11" s="1">
        <f t="shared" si="1"/>
        <v>0</v>
      </c>
      <c r="AA11" s="1">
        <f t="shared" si="2"/>
        <v>0</v>
      </c>
      <c r="AB11" s="54">
        <f t="shared" si="3"/>
        <v>6</v>
      </c>
    </row>
    <row r="12" spans="1:28">
      <c r="A12" s="1" t="s">
        <v>27</v>
      </c>
      <c r="B12" s="4" t="s">
        <v>6</v>
      </c>
      <c r="C12" s="4" t="s">
        <v>6</v>
      </c>
      <c r="D12" s="26"/>
      <c r="E12" s="26"/>
      <c r="F12" s="26"/>
      <c r="G12" s="26"/>
      <c r="H12" s="27"/>
      <c r="I12" s="3" t="s">
        <v>5</v>
      </c>
      <c r="J12" s="3" t="s">
        <v>5</v>
      </c>
      <c r="K12" s="15" t="s">
        <v>17</v>
      </c>
      <c r="L12" s="26"/>
      <c r="M12" s="26"/>
      <c r="N12" s="26"/>
      <c r="O12" s="26"/>
      <c r="P12" s="27">
        <f>H6+P6</f>
        <v>6235</v>
      </c>
      <c r="Q12" s="50"/>
      <c r="R12" s="26"/>
      <c r="S12" s="26"/>
      <c r="T12" s="11" t="s">
        <v>13</v>
      </c>
      <c r="U12" s="1">
        <v>150</v>
      </c>
      <c r="V12" s="1">
        <v>50</v>
      </c>
      <c r="W12" s="45"/>
      <c r="X12" s="46">
        <v>4</v>
      </c>
      <c r="Y12" s="46">
        <v>4</v>
      </c>
      <c r="Z12" s="1">
        <f t="shared" si="1"/>
        <v>0</v>
      </c>
      <c r="AA12" s="1">
        <f t="shared" si="2"/>
        <v>0</v>
      </c>
      <c r="AB12" s="54">
        <f t="shared" si="3"/>
        <v>4</v>
      </c>
    </row>
    <row r="13" spans="1:28">
      <c r="A13" s="1" t="s">
        <v>27</v>
      </c>
      <c r="B13" s="4" t="s">
        <v>6</v>
      </c>
      <c r="C13" s="15" t="s">
        <v>17</v>
      </c>
      <c r="D13" s="26"/>
      <c r="E13" s="26"/>
      <c r="F13" s="26"/>
      <c r="G13" s="26"/>
      <c r="H13" s="27"/>
      <c r="I13" s="9" t="s">
        <v>11</v>
      </c>
      <c r="J13" s="1" t="s">
        <v>27</v>
      </c>
      <c r="K13" s="3" t="s">
        <v>5</v>
      </c>
      <c r="L13" s="26"/>
      <c r="M13" s="26"/>
      <c r="N13" s="26"/>
      <c r="O13" s="26"/>
      <c r="P13" s="27"/>
      <c r="Q13" s="50"/>
      <c r="R13" s="26"/>
      <c r="S13" s="26"/>
      <c r="T13" s="12" t="s">
        <v>14</v>
      </c>
      <c r="U13" s="1">
        <v>150</v>
      </c>
      <c r="V13" s="1">
        <v>55</v>
      </c>
      <c r="W13" s="45"/>
      <c r="X13" s="46">
        <v>3</v>
      </c>
      <c r="Y13" s="46">
        <v>3</v>
      </c>
      <c r="Z13" s="1">
        <f t="shared" si="1"/>
        <v>0</v>
      </c>
      <c r="AA13" s="1">
        <f t="shared" si="2"/>
        <v>0</v>
      </c>
      <c r="AB13" s="54">
        <f t="shared" si="3"/>
        <v>3</v>
      </c>
    </row>
    <row r="14" spans="1:28">
      <c r="A14" s="1" t="s">
        <v>27</v>
      </c>
      <c r="B14" s="4" t="s">
        <v>6</v>
      </c>
      <c r="C14" s="3" t="s">
        <v>5</v>
      </c>
      <c r="D14" s="26"/>
      <c r="E14" s="26"/>
      <c r="F14" s="26"/>
      <c r="G14" s="26"/>
      <c r="H14" s="27"/>
      <c r="I14" s="2" t="s">
        <v>4</v>
      </c>
      <c r="J14" s="1" t="s">
        <v>27</v>
      </c>
      <c r="K14" s="3" t="s">
        <v>5</v>
      </c>
      <c r="L14" s="26"/>
      <c r="M14" s="26"/>
      <c r="N14" s="26"/>
      <c r="O14" s="26"/>
      <c r="P14" s="27"/>
      <c r="Q14" s="50"/>
      <c r="R14" s="26"/>
      <c r="S14" s="26"/>
      <c r="T14" s="13" t="s">
        <v>15</v>
      </c>
      <c r="U14" s="1">
        <v>150</v>
      </c>
      <c r="V14" s="1">
        <v>60</v>
      </c>
      <c r="W14" s="45"/>
      <c r="X14" s="46">
        <v>1</v>
      </c>
      <c r="Y14" s="46">
        <v>1</v>
      </c>
      <c r="Z14" s="1">
        <f t="shared" si="1"/>
        <v>0</v>
      </c>
      <c r="AA14" s="1">
        <f t="shared" si="2"/>
        <v>0</v>
      </c>
      <c r="AB14" s="54">
        <f t="shared" si="3"/>
        <v>1</v>
      </c>
    </row>
    <row r="15" spans="1:28">
      <c r="A15" s="1" t="s">
        <v>27</v>
      </c>
      <c r="B15" s="4" t="s">
        <v>6</v>
      </c>
      <c r="C15" s="16" t="s">
        <v>18</v>
      </c>
      <c r="D15" s="26"/>
      <c r="E15" s="26"/>
      <c r="F15" s="26"/>
      <c r="G15" s="26"/>
      <c r="H15" s="27"/>
      <c r="I15" s="15" t="s">
        <v>17</v>
      </c>
      <c r="J15" s="1" t="s">
        <v>27</v>
      </c>
      <c r="K15" s="3" t="s">
        <v>5</v>
      </c>
      <c r="L15" s="26"/>
      <c r="M15" s="26"/>
      <c r="N15" s="26"/>
      <c r="O15" s="26"/>
      <c r="P15" s="27"/>
      <c r="Q15" s="50"/>
      <c r="R15" s="26"/>
      <c r="S15" s="26"/>
      <c r="T15" s="14" t="s">
        <v>16</v>
      </c>
      <c r="U15" s="1">
        <v>150</v>
      </c>
      <c r="V15" s="1">
        <v>35</v>
      </c>
      <c r="W15" s="45">
        <f t="shared" ref="W15" si="7">U15-V15/0.330882</f>
        <v>44.222109392472248</v>
      </c>
      <c r="X15" s="46"/>
      <c r="Y15" s="46">
        <v>0</v>
      </c>
      <c r="Z15" s="1">
        <f t="shared" si="1"/>
        <v>0</v>
      </c>
      <c r="AA15" s="1">
        <f t="shared" si="2"/>
        <v>0</v>
      </c>
      <c r="AB15" s="54">
        <f t="shared" si="3"/>
        <v>0</v>
      </c>
    </row>
    <row r="16" spans="1:28">
      <c r="A16" s="1" t="s">
        <v>27</v>
      </c>
      <c r="B16" s="15" t="s">
        <v>17</v>
      </c>
      <c r="C16" s="2" t="s">
        <v>4</v>
      </c>
      <c r="D16" s="26"/>
      <c r="E16" s="26"/>
      <c r="F16" s="26"/>
      <c r="G16" s="26"/>
      <c r="H16" s="27"/>
      <c r="I16" s="3" t="s">
        <v>5</v>
      </c>
      <c r="J16" s="1" t="s">
        <v>27</v>
      </c>
      <c r="K16" s="3" t="s">
        <v>5</v>
      </c>
      <c r="L16" s="26"/>
      <c r="M16" s="26"/>
      <c r="N16" s="26"/>
      <c r="O16" s="26"/>
      <c r="P16" s="27"/>
      <c r="Q16" s="50"/>
      <c r="R16" s="26"/>
      <c r="S16" s="26"/>
      <c r="T16" s="15" t="s">
        <v>17</v>
      </c>
      <c r="U16" s="1">
        <v>50</v>
      </c>
      <c r="V16" s="1">
        <v>30</v>
      </c>
      <c r="W16" s="45">
        <v>10</v>
      </c>
      <c r="X16" s="46">
        <v>40</v>
      </c>
      <c r="Y16" s="46">
        <v>40</v>
      </c>
      <c r="Z16" s="1">
        <f t="shared" si="1"/>
        <v>5</v>
      </c>
      <c r="AA16" s="1">
        <f t="shared" si="2"/>
        <v>9</v>
      </c>
      <c r="AB16" s="54">
        <f t="shared" si="3"/>
        <v>26</v>
      </c>
    </row>
    <row r="17" spans="1:28">
      <c r="A17" s="1" t="s">
        <v>27</v>
      </c>
      <c r="B17" s="4" t="s">
        <v>6</v>
      </c>
      <c r="C17" s="2" t="s">
        <v>4</v>
      </c>
      <c r="D17" s="26"/>
      <c r="E17" s="26"/>
      <c r="F17" s="26"/>
      <c r="G17" s="26"/>
      <c r="H17" s="27"/>
      <c r="I17" s="15" t="s">
        <v>17</v>
      </c>
      <c r="J17" s="1" t="s">
        <v>27</v>
      </c>
      <c r="K17" s="3" t="s">
        <v>5</v>
      </c>
      <c r="L17" s="26"/>
      <c r="M17" s="26"/>
      <c r="N17" s="26"/>
      <c r="O17" s="26"/>
      <c r="P17" s="27"/>
      <c r="Q17" s="50"/>
      <c r="R17" s="26"/>
      <c r="S17" s="26"/>
      <c r="T17" s="16" t="s">
        <v>18</v>
      </c>
      <c r="U17" s="1">
        <v>-150</v>
      </c>
      <c r="V17" s="1">
        <v>0</v>
      </c>
      <c r="W17" s="45">
        <v>10</v>
      </c>
      <c r="X17" s="46">
        <v>3</v>
      </c>
      <c r="Y17" s="46">
        <v>3</v>
      </c>
      <c r="Z17" s="1">
        <f t="shared" si="1"/>
        <v>3</v>
      </c>
      <c r="AA17" s="1">
        <f t="shared" si="2"/>
        <v>0</v>
      </c>
      <c r="AB17" s="54">
        <f t="shared" si="3"/>
        <v>0</v>
      </c>
    </row>
    <row r="18" spans="1:28">
      <c r="A18" s="1" t="s">
        <v>27</v>
      </c>
      <c r="B18" s="17" t="s">
        <v>20</v>
      </c>
      <c r="C18" s="2" t="s">
        <v>4</v>
      </c>
      <c r="D18" s="26"/>
      <c r="E18" s="26"/>
      <c r="F18" s="26"/>
      <c r="G18" s="26"/>
      <c r="H18" s="27"/>
      <c r="I18" s="3" t="s">
        <v>5</v>
      </c>
      <c r="J18" s="1" t="s">
        <v>27</v>
      </c>
      <c r="K18" s="15" t="s">
        <v>17</v>
      </c>
      <c r="L18" s="26"/>
      <c r="M18" s="26"/>
      <c r="N18" s="26"/>
      <c r="O18" s="26"/>
      <c r="P18" s="27"/>
      <c r="Q18" s="50"/>
      <c r="R18" s="26"/>
      <c r="S18" s="26"/>
      <c r="T18" s="17" t="s">
        <v>19</v>
      </c>
      <c r="U18" s="1">
        <v>250</v>
      </c>
      <c r="V18" s="1">
        <v>200</v>
      </c>
      <c r="W18" s="45"/>
      <c r="X18" s="46">
        <v>3</v>
      </c>
      <c r="Y18" s="46">
        <v>3</v>
      </c>
      <c r="Z18" s="1">
        <f t="shared" si="1"/>
        <v>3</v>
      </c>
      <c r="AA18" s="1">
        <f t="shared" si="2"/>
        <v>0</v>
      </c>
      <c r="AB18" s="54">
        <f t="shared" si="3"/>
        <v>0</v>
      </c>
    </row>
    <row r="19" spans="1:28">
      <c r="A19" s="1" t="s">
        <v>27</v>
      </c>
      <c r="B19" s="4" t="s">
        <v>6</v>
      </c>
      <c r="C19" s="2" t="s">
        <v>4</v>
      </c>
      <c r="D19" s="26"/>
      <c r="E19" s="26"/>
      <c r="F19" s="26"/>
      <c r="G19" s="26"/>
      <c r="H19" s="27"/>
      <c r="I19" s="3" t="s">
        <v>5</v>
      </c>
      <c r="J19" s="1" t="s">
        <v>27</v>
      </c>
      <c r="K19" s="1" t="s">
        <v>27</v>
      </c>
      <c r="L19" s="26"/>
      <c r="M19" s="26"/>
      <c r="N19" s="26"/>
      <c r="O19" s="26"/>
      <c r="P19" s="27"/>
      <c r="Q19" s="50"/>
      <c r="R19" s="26"/>
      <c r="S19" s="26"/>
      <c r="T19" s="17" t="s">
        <v>20</v>
      </c>
      <c r="U19" s="1">
        <v>170</v>
      </c>
      <c r="V19" s="1">
        <v>45</v>
      </c>
      <c r="W19" s="45"/>
      <c r="X19" s="46">
        <v>5</v>
      </c>
      <c r="Y19" s="46">
        <v>5</v>
      </c>
      <c r="Z19" s="1">
        <f t="shared" si="1"/>
        <v>5</v>
      </c>
      <c r="AA19" s="1">
        <f t="shared" si="2"/>
        <v>0</v>
      </c>
      <c r="AB19" s="54">
        <f t="shared" si="3"/>
        <v>0</v>
      </c>
    </row>
    <row r="20" spans="1:28">
      <c r="A20" s="1" t="s">
        <v>27</v>
      </c>
      <c r="B20" s="3" t="s">
        <v>5</v>
      </c>
      <c r="C20" s="15" t="s">
        <v>17</v>
      </c>
      <c r="D20" s="26"/>
      <c r="E20" s="26"/>
      <c r="F20" s="26"/>
      <c r="G20" s="26"/>
      <c r="H20" s="27"/>
      <c r="I20" s="3" t="s">
        <v>5</v>
      </c>
      <c r="J20" s="1" t="s">
        <v>27</v>
      </c>
      <c r="K20" s="3" t="s">
        <v>5</v>
      </c>
      <c r="L20" s="26"/>
      <c r="M20" s="26"/>
      <c r="N20" s="26"/>
      <c r="O20" s="26"/>
      <c r="P20" s="27"/>
      <c r="Q20" s="50"/>
      <c r="R20" s="26"/>
      <c r="S20" s="26"/>
      <c r="T20" s="18" t="s">
        <v>21</v>
      </c>
      <c r="U20" s="1">
        <v>250</v>
      </c>
      <c r="V20" s="1">
        <v>200</v>
      </c>
      <c r="W20" s="45"/>
      <c r="X20" s="46">
        <v>0</v>
      </c>
      <c r="Y20" s="46">
        <v>0</v>
      </c>
      <c r="Z20" s="1">
        <f t="shared" si="1"/>
        <v>0</v>
      </c>
      <c r="AA20" s="1">
        <f t="shared" si="2"/>
        <v>0</v>
      </c>
      <c r="AB20" s="54">
        <f t="shared" si="3"/>
        <v>0</v>
      </c>
    </row>
    <row r="21" spans="1:28">
      <c r="A21" s="1" t="s">
        <v>27</v>
      </c>
      <c r="B21" s="3" t="s">
        <v>5</v>
      </c>
      <c r="C21" s="3" t="s">
        <v>5</v>
      </c>
      <c r="D21" s="26"/>
      <c r="E21" s="26"/>
      <c r="F21" s="26"/>
      <c r="G21" s="26"/>
      <c r="H21" s="27"/>
      <c r="I21" s="2" t="s">
        <v>4</v>
      </c>
      <c r="J21" s="1" t="s">
        <v>27</v>
      </c>
      <c r="K21" s="1" t="s">
        <v>27</v>
      </c>
      <c r="L21" s="26"/>
      <c r="M21" s="26"/>
      <c r="N21" s="26"/>
      <c r="O21" s="26"/>
      <c r="P21" s="27"/>
      <c r="Q21" s="50"/>
      <c r="R21" s="26"/>
      <c r="S21" s="26"/>
      <c r="T21" s="19" t="s">
        <v>22</v>
      </c>
      <c r="U21" s="1">
        <v>250</v>
      </c>
      <c r="V21" s="1">
        <v>1000</v>
      </c>
      <c r="W21" s="45"/>
      <c r="X21" s="46">
        <v>2</v>
      </c>
      <c r="Y21" s="46">
        <v>2</v>
      </c>
      <c r="Z21" s="1">
        <f t="shared" si="1"/>
        <v>0</v>
      </c>
      <c r="AA21" s="1">
        <f t="shared" si="2"/>
        <v>0</v>
      </c>
      <c r="AB21" s="54">
        <f t="shared" si="3"/>
        <v>2</v>
      </c>
    </row>
    <row r="22" spans="1:28">
      <c r="A22" s="1" t="s">
        <v>27</v>
      </c>
      <c r="B22" s="3" t="s">
        <v>5</v>
      </c>
      <c r="C22" s="3" t="s">
        <v>5</v>
      </c>
      <c r="D22" s="26"/>
      <c r="E22" s="26"/>
      <c r="F22" s="26"/>
      <c r="G22" s="26"/>
      <c r="H22" s="27"/>
      <c r="I22" s="15" t="s">
        <v>17</v>
      </c>
      <c r="J22" s="1" t="s">
        <v>27</v>
      </c>
      <c r="K22" s="1" t="s">
        <v>27</v>
      </c>
      <c r="L22" s="26"/>
      <c r="M22" s="26"/>
      <c r="N22" s="26"/>
      <c r="O22" s="26"/>
      <c r="P22" s="27"/>
      <c r="Q22" s="50"/>
      <c r="R22" s="26"/>
      <c r="S22" s="26"/>
      <c r="T22" s="20" t="s">
        <v>23</v>
      </c>
      <c r="U22" s="1">
        <v>250</v>
      </c>
      <c r="V22" s="1">
        <v>500</v>
      </c>
      <c r="W22" s="45"/>
      <c r="X22" s="46">
        <v>2</v>
      </c>
      <c r="Y22" s="46">
        <v>2</v>
      </c>
      <c r="Z22" s="1">
        <f t="shared" si="1"/>
        <v>0</v>
      </c>
      <c r="AA22" s="1">
        <f t="shared" si="2"/>
        <v>0</v>
      </c>
      <c r="AB22" s="54">
        <f t="shared" si="3"/>
        <v>2</v>
      </c>
    </row>
    <row r="23" spans="1:28">
      <c r="A23" s="1" t="s">
        <v>27</v>
      </c>
      <c r="B23" s="3" t="s">
        <v>5</v>
      </c>
      <c r="C23" s="3" t="s">
        <v>5</v>
      </c>
      <c r="D23" s="26"/>
      <c r="E23" s="26"/>
      <c r="F23" s="26"/>
      <c r="G23" s="26"/>
      <c r="H23" s="27"/>
      <c r="I23" s="2" t="s">
        <v>4</v>
      </c>
      <c r="J23" s="1" t="s">
        <v>27</v>
      </c>
      <c r="K23" s="1" t="s">
        <v>27</v>
      </c>
      <c r="L23" s="26"/>
      <c r="M23" s="26"/>
      <c r="N23" s="26"/>
      <c r="O23" s="26"/>
      <c r="P23" s="27"/>
      <c r="Q23" s="50"/>
      <c r="R23" s="26"/>
      <c r="S23" s="26"/>
      <c r="T23" s="21" t="s">
        <v>24</v>
      </c>
      <c r="U23" s="1">
        <v>160</v>
      </c>
      <c r="V23" s="1">
        <v>40</v>
      </c>
      <c r="W23" s="45">
        <f t="shared" ref="W23:W26" si="8">U23-V23/0.330882</f>
        <v>39.110982162825422</v>
      </c>
      <c r="X23" s="46">
        <v>0</v>
      </c>
      <c r="Y23" s="46">
        <v>0</v>
      </c>
      <c r="Z23" s="1">
        <f t="shared" si="1"/>
        <v>0</v>
      </c>
      <c r="AA23" s="1">
        <f t="shared" si="2"/>
        <v>0</v>
      </c>
      <c r="AB23" s="54">
        <f t="shared" si="3"/>
        <v>0</v>
      </c>
    </row>
    <row r="24" spans="1:28">
      <c r="A24" s="1" t="s">
        <v>27</v>
      </c>
      <c r="B24" s="3" t="s">
        <v>5</v>
      </c>
      <c r="C24" s="16" t="s">
        <v>18</v>
      </c>
      <c r="D24" s="26"/>
      <c r="E24" s="26"/>
      <c r="F24" s="26"/>
      <c r="G24" s="26"/>
      <c r="H24" s="27"/>
      <c r="I24" s="2" t="s">
        <v>4</v>
      </c>
      <c r="J24" s="1" t="s">
        <v>27</v>
      </c>
      <c r="K24" s="1" t="s">
        <v>27</v>
      </c>
      <c r="L24" s="26"/>
      <c r="M24" s="26"/>
      <c r="N24" s="26"/>
      <c r="O24" s="26"/>
      <c r="P24" s="27"/>
      <c r="Q24" s="50"/>
      <c r="R24" s="26"/>
      <c r="S24" s="26"/>
      <c r="T24" s="21" t="s">
        <v>25</v>
      </c>
      <c r="U24" s="1">
        <v>160</v>
      </c>
      <c r="V24" s="1">
        <v>40</v>
      </c>
      <c r="W24" s="45">
        <f t="shared" si="8"/>
        <v>39.110982162825422</v>
      </c>
      <c r="X24" s="46">
        <v>0</v>
      </c>
      <c r="Y24" s="46">
        <v>0</v>
      </c>
      <c r="Z24" s="1">
        <f t="shared" si="1"/>
        <v>0</v>
      </c>
      <c r="AA24" s="1">
        <f t="shared" si="2"/>
        <v>0</v>
      </c>
      <c r="AB24" s="54">
        <f t="shared" si="3"/>
        <v>0</v>
      </c>
    </row>
    <row r="25" spans="1:28">
      <c r="A25" s="1" t="s">
        <v>27</v>
      </c>
      <c r="B25" s="3" t="s">
        <v>5</v>
      </c>
      <c r="C25" s="3" t="s">
        <v>5</v>
      </c>
      <c r="D25" s="26"/>
      <c r="E25" s="26"/>
      <c r="F25" s="26"/>
      <c r="G25" s="26"/>
      <c r="H25" s="27"/>
      <c r="I25" s="2" t="s">
        <v>4</v>
      </c>
      <c r="J25" s="1" t="s">
        <v>27</v>
      </c>
      <c r="K25" s="1" t="s">
        <v>27</v>
      </c>
      <c r="L25" s="26"/>
      <c r="M25" s="26"/>
      <c r="N25" s="26"/>
      <c r="O25" s="26"/>
      <c r="P25" s="27"/>
      <c r="Q25" s="50"/>
      <c r="R25" s="26"/>
      <c r="S25" s="26"/>
      <c r="T25" s="21" t="s">
        <v>26</v>
      </c>
      <c r="U25" s="1">
        <v>150</v>
      </c>
      <c r="V25" s="1">
        <v>35</v>
      </c>
      <c r="W25" s="45">
        <f t="shared" si="8"/>
        <v>44.222109392472248</v>
      </c>
      <c r="X25" s="46">
        <v>0</v>
      </c>
      <c r="Y25" s="46">
        <v>0</v>
      </c>
      <c r="Z25" s="1">
        <f t="shared" si="1"/>
        <v>0</v>
      </c>
      <c r="AA25" s="1">
        <f t="shared" si="2"/>
        <v>0</v>
      </c>
      <c r="AB25" s="54">
        <f t="shared" si="3"/>
        <v>0</v>
      </c>
    </row>
    <row r="26" spans="1:28">
      <c r="A26" s="1" t="s">
        <v>27</v>
      </c>
      <c r="B26" s="15" t="s">
        <v>17</v>
      </c>
      <c r="C26" s="3" t="s">
        <v>5</v>
      </c>
      <c r="D26" s="26"/>
      <c r="E26" s="26"/>
      <c r="F26" s="26"/>
      <c r="G26" s="26"/>
      <c r="H26" s="27"/>
      <c r="I26" s="15" t="s">
        <v>17</v>
      </c>
      <c r="J26" s="1" t="s">
        <v>27</v>
      </c>
      <c r="K26" s="1" t="s">
        <v>27</v>
      </c>
      <c r="L26" s="26"/>
      <c r="M26" s="26"/>
      <c r="N26" s="26"/>
      <c r="O26" s="26"/>
      <c r="P26" s="27"/>
      <c r="Q26" s="50"/>
      <c r="R26" s="26"/>
      <c r="S26" s="26"/>
      <c r="T26" s="22" t="s">
        <v>27</v>
      </c>
      <c r="U26" s="1">
        <v>0</v>
      </c>
      <c r="V26" s="1">
        <v>0</v>
      </c>
      <c r="W26" s="45">
        <f t="shared" si="8"/>
        <v>0</v>
      </c>
      <c r="X26" s="46">
        <v>0</v>
      </c>
      <c r="Y26" s="46">
        <v>0</v>
      </c>
      <c r="Z26" s="1"/>
      <c r="AA26" s="1"/>
      <c r="AB26" s="54"/>
    </row>
    <row r="27" spans="1:28">
      <c r="A27" s="1" t="s">
        <v>27</v>
      </c>
      <c r="B27" s="3" t="s">
        <v>5</v>
      </c>
      <c r="C27" s="4" t="s">
        <v>6</v>
      </c>
      <c r="D27" s="26"/>
      <c r="E27" s="26"/>
      <c r="F27" s="26"/>
      <c r="G27" s="26"/>
      <c r="H27" s="27"/>
      <c r="I27" s="1" t="s">
        <v>27</v>
      </c>
      <c r="J27" s="1" t="s">
        <v>27</v>
      </c>
      <c r="K27" s="1" t="s">
        <v>27</v>
      </c>
      <c r="L27" s="26"/>
      <c r="M27" s="26"/>
      <c r="N27" s="26"/>
      <c r="O27" s="26"/>
      <c r="P27" s="27"/>
      <c r="Q27" s="50"/>
      <c r="R27" s="26"/>
      <c r="S27" s="26"/>
      <c r="T27" s="16" t="s">
        <v>28</v>
      </c>
      <c r="U27" s="1">
        <v>-200</v>
      </c>
      <c r="V27" s="1">
        <v>0</v>
      </c>
      <c r="W27" s="45"/>
      <c r="X27" s="46">
        <v>12</v>
      </c>
      <c r="Y27" s="46">
        <v>12</v>
      </c>
      <c r="Z27" s="1">
        <f t="shared" si="1"/>
        <v>0</v>
      </c>
      <c r="AA27" s="1">
        <f t="shared" si="2"/>
        <v>1</v>
      </c>
      <c r="AB27" s="54">
        <f t="shared" si="3"/>
        <v>11</v>
      </c>
    </row>
    <row r="28" spans="1:28">
      <c r="A28" s="1" t="s">
        <v>27</v>
      </c>
      <c r="B28" s="3" t="s">
        <v>5</v>
      </c>
      <c r="C28" s="4" t="s">
        <v>6</v>
      </c>
      <c r="D28" s="26"/>
      <c r="E28" s="26"/>
      <c r="F28" s="26"/>
      <c r="G28" s="26"/>
      <c r="H28" s="27"/>
      <c r="I28" s="1" t="s">
        <v>27</v>
      </c>
      <c r="J28" s="1" t="s">
        <v>27</v>
      </c>
      <c r="K28" s="1" t="s">
        <v>27</v>
      </c>
      <c r="L28" s="26"/>
      <c r="M28" s="26"/>
      <c r="N28" s="26"/>
      <c r="O28" s="26"/>
      <c r="P28" s="27"/>
      <c r="Q28" s="50"/>
      <c r="R28" s="26"/>
      <c r="S28" s="26"/>
      <c r="T28" s="23" t="s">
        <v>29</v>
      </c>
      <c r="U28" s="1">
        <v>50</v>
      </c>
      <c r="V28" s="1">
        <v>520</v>
      </c>
      <c r="W28" s="45"/>
      <c r="X28" s="46">
        <v>3</v>
      </c>
      <c r="Y28" s="46">
        <v>3</v>
      </c>
      <c r="Z28" s="1">
        <f t="shared" si="1"/>
        <v>1</v>
      </c>
      <c r="AA28" s="1">
        <f t="shared" si="2"/>
        <v>0</v>
      </c>
      <c r="AB28" s="54">
        <f t="shared" si="3"/>
        <v>2</v>
      </c>
    </row>
    <row r="29" spans="1:28" ht="15.75" thickBot="1">
      <c r="A29" s="1" t="s">
        <v>27</v>
      </c>
      <c r="B29" s="3" t="s">
        <v>5</v>
      </c>
      <c r="C29" s="4" t="s">
        <v>6</v>
      </c>
      <c r="D29" s="26"/>
      <c r="E29" s="26"/>
      <c r="F29" s="26"/>
      <c r="G29" s="26"/>
      <c r="H29" s="27"/>
      <c r="I29" s="1" t="s">
        <v>27</v>
      </c>
      <c r="J29" s="1" t="s">
        <v>27</v>
      </c>
      <c r="K29" s="1" t="s">
        <v>27</v>
      </c>
      <c r="L29" s="26"/>
      <c r="M29" s="26"/>
      <c r="N29" s="26"/>
      <c r="O29" s="26"/>
      <c r="P29" s="27"/>
      <c r="Q29" s="56"/>
      <c r="R29" s="31"/>
      <c r="S29" s="31"/>
      <c r="T29" s="30"/>
      <c r="U29" s="30"/>
      <c r="V29" s="30"/>
      <c r="W29" s="30"/>
      <c r="X29" s="30"/>
      <c r="Y29" s="30"/>
      <c r="Z29" s="30"/>
      <c r="AA29" s="30"/>
      <c r="AB29" s="57"/>
    </row>
    <row r="30" spans="1:28">
      <c r="A30" s="1" t="s">
        <v>27</v>
      </c>
      <c r="B30" s="3" t="s">
        <v>5</v>
      </c>
      <c r="C30" s="4" t="s">
        <v>6</v>
      </c>
      <c r="D30" s="26"/>
      <c r="E30" s="26"/>
      <c r="F30" s="26"/>
      <c r="G30" s="26"/>
      <c r="H30" s="27"/>
      <c r="I30" s="1" t="s">
        <v>27</v>
      </c>
      <c r="J30" s="1" t="s">
        <v>27</v>
      </c>
      <c r="K30" s="1" t="s">
        <v>27</v>
      </c>
      <c r="L30" s="26"/>
      <c r="M30" s="26"/>
      <c r="N30" s="26"/>
      <c r="O30" s="26"/>
      <c r="P30" s="27"/>
    </row>
    <row r="31" spans="1:28">
      <c r="A31" s="1" t="s">
        <v>27</v>
      </c>
      <c r="B31" s="15" t="s">
        <v>17</v>
      </c>
      <c r="C31" s="4" t="s">
        <v>6</v>
      </c>
      <c r="D31" s="26"/>
      <c r="E31" s="26"/>
      <c r="F31" s="26"/>
      <c r="G31" s="26"/>
      <c r="H31" s="27"/>
      <c r="I31" s="1" t="s">
        <v>27</v>
      </c>
      <c r="J31" s="1" t="s">
        <v>27</v>
      </c>
      <c r="K31" s="1" t="s">
        <v>27</v>
      </c>
      <c r="L31" s="26"/>
      <c r="M31" s="26"/>
      <c r="N31" s="26"/>
      <c r="O31" s="26"/>
      <c r="P31" s="27"/>
      <c r="Y31">
        <f>SUM(Y3:Y28)</f>
        <v>1076</v>
      </c>
    </row>
    <row r="32" spans="1:28">
      <c r="A32" s="1" t="s">
        <v>27</v>
      </c>
      <c r="B32" s="3" t="s">
        <v>5</v>
      </c>
      <c r="C32" s="17" t="s">
        <v>20</v>
      </c>
      <c r="D32" s="26"/>
      <c r="E32" s="26"/>
      <c r="F32" s="26"/>
      <c r="G32" s="26"/>
      <c r="H32" s="27"/>
      <c r="I32" s="1" t="s">
        <v>27</v>
      </c>
      <c r="J32" s="1" t="s">
        <v>27</v>
      </c>
      <c r="K32" s="1" t="s">
        <v>27</v>
      </c>
      <c r="L32" s="26"/>
      <c r="M32" s="26"/>
      <c r="N32" s="26"/>
      <c r="O32" s="26"/>
      <c r="P32" s="27"/>
      <c r="Q32" t="s">
        <v>57</v>
      </c>
      <c r="R32">
        <v>1</v>
      </c>
      <c r="S32" t="s">
        <v>59</v>
      </c>
    </row>
    <row r="33" spans="1:19">
      <c r="A33" s="1" t="s">
        <v>27</v>
      </c>
      <c r="B33" s="4" t="s">
        <v>6</v>
      </c>
      <c r="C33" s="3" t="s">
        <v>5</v>
      </c>
      <c r="D33" s="26"/>
      <c r="E33" s="26"/>
      <c r="F33" s="26"/>
      <c r="G33" s="26"/>
      <c r="H33" s="27"/>
      <c r="I33" s="1" t="s">
        <v>27</v>
      </c>
      <c r="J33" s="1" t="s">
        <v>27</v>
      </c>
      <c r="K33" s="1" t="s">
        <v>27</v>
      </c>
      <c r="L33" s="26"/>
      <c r="M33" s="26"/>
      <c r="N33" s="26"/>
      <c r="O33" s="26"/>
      <c r="P33" s="27"/>
      <c r="R33">
        <v>2</v>
      </c>
      <c r="S33" t="s">
        <v>60</v>
      </c>
    </row>
    <row r="34" spans="1:19">
      <c r="A34" s="1" t="s">
        <v>27</v>
      </c>
      <c r="B34" s="2" t="s">
        <v>4</v>
      </c>
      <c r="C34" s="3" t="s">
        <v>5</v>
      </c>
      <c r="D34" s="26"/>
      <c r="E34" s="26"/>
      <c r="F34" s="26"/>
      <c r="G34" s="26"/>
      <c r="H34" s="27"/>
      <c r="I34" s="28" t="s">
        <v>27</v>
      </c>
      <c r="J34" s="1" t="s">
        <v>27</v>
      </c>
      <c r="K34" s="1" t="s">
        <v>27</v>
      </c>
      <c r="L34" s="26"/>
      <c r="M34" s="26"/>
      <c r="N34" s="26"/>
      <c r="O34" s="26"/>
      <c r="P34" s="27"/>
      <c r="R34">
        <v>3</v>
      </c>
      <c r="S34" t="s">
        <v>58</v>
      </c>
    </row>
    <row r="35" spans="1:19">
      <c r="A35" s="1" t="s">
        <v>27</v>
      </c>
      <c r="B35" s="4" t="s">
        <v>6</v>
      </c>
      <c r="C35" s="9" t="s">
        <v>11</v>
      </c>
      <c r="D35" s="26"/>
      <c r="E35" s="26"/>
      <c r="F35" s="26"/>
      <c r="G35" s="26"/>
      <c r="H35" s="27"/>
      <c r="I35" s="28" t="s">
        <v>27</v>
      </c>
      <c r="J35" s="1" t="s">
        <v>27</v>
      </c>
      <c r="K35" s="1" t="s">
        <v>27</v>
      </c>
      <c r="L35" s="26"/>
      <c r="M35" s="26"/>
      <c r="N35" s="26"/>
      <c r="O35" s="26"/>
      <c r="P35" s="27"/>
      <c r="R35">
        <v>4</v>
      </c>
      <c r="S35" t="s">
        <v>61</v>
      </c>
    </row>
    <row r="36" spans="1:19">
      <c r="A36" s="1" t="s">
        <v>27</v>
      </c>
      <c r="B36" s="17" t="s">
        <v>20</v>
      </c>
      <c r="C36" s="3" t="s">
        <v>5</v>
      </c>
      <c r="D36" s="26"/>
      <c r="E36" s="26"/>
      <c r="F36" s="26"/>
      <c r="G36" s="26"/>
      <c r="H36" s="27"/>
      <c r="I36" s="28" t="s">
        <v>27</v>
      </c>
      <c r="J36" s="1" t="s">
        <v>27</v>
      </c>
      <c r="K36" s="1" t="s">
        <v>27</v>
      </c>
      <c r="L36" s="26"/>
      <c r="M36" s="26"/>
      <c r="N36" s="26"/>
      <c r="O36" s="26"/>
      <c r="P36" s="27"/>
      <c r="S36" t="s">
        <v>62</v>
      </c>
    </row>
    <row r="37" spans="1:19">
      <c r="A37" s="1" t="s">
        <v>27</v>
      </c>
      <c r="B37" s="4" t="s">
        <v>6</v>
      </c>
      <c r="C37" s="3" t="s">
        <v>5</v>
      </c>
      <c r="D37" s="26"/>
      <c r="E37" s="26"/>
      <c r="F37" s="26"/>
      <c r="G37" s="26"/>
      <c r="H37" s="27"/>
      <c r="I37" s="28" t="s">
        <v>27</v>
      </c>
      <c r="J37" s="1" t="s">
        <v>27</v>
      </c>
      <c r="K37" s="1" t="s">
        <v>27</v>
      </c>
      <c r="L37" s="26"/>
      <c r="M37" s="26"/>
      <c r="N37" s="26"/>
      <c r="O37" s="26"/>
      <c r="P37" s="27"/>
      <c r="R37">
        <v>5</v>
      </c>
      <c r="S37" t="s">
        <v>63</v>
      </c>
    </row>
    <row r="38" spans="1:19">
      <c r="A38" s="1" t="s">
        <v>27</v>
      </c>
      <c r="B38" s="4" t="s">
        <v>6</v>
      </c>
      <c r="C38" s="3" t="s">
        <v>5</v>
      </c>
      <c r="D38" s="26"/>
      <c r="E38" s="26"/>
      <c r="F38" s="26"/>
      <c r="G38" s="26"/>
      <c r="H38" s="27"/>
      <c r="I38" s="28" t="s">
        <v>27</v>
      </c>
      <c r="J38" s="1" t="s">
        <v>27</v>
      </c>
      <c r="K38" s="1" t="s">
        <v>27</v>
      </c>
      <c r="L38" s="26"/>
      <c r="M38" s="26"/>
      <c r="N38" s="26"/>
      <c r="O38" s="26"/>
      <c r="P38" s="27"/>
      <c r="R38">
        <v>6</v>
      </c>
      <c r="S38" t="s">
        <v>64</v>
      </c>
    </row>
    <row r="39" spans="1:19">
      <c r="A39" s="1" t="s">
        <v>27</v>
      </c>
      <c r="B39" s="4" t="s">
        <v>6</v>
      </c>
      <c r="C39" s="3" t="s">
        <v>5</v>
      </c>
      <c r="D39" s="26"/>
      <c r="E39" s="26"/>
      <c r="F39" s="26"/>
      <c r="G39" s="26"/>
      <c r="H39" s="27"/>
      <c r="I39" s="28" t="s">
        <v>27</v>
      </c>
      <c r="J39" s="1" t="s">
        <v>27</v>
      </c>
      <c r="K39" s="1" t="s">
        <v>27</v>
      </c>
      <c r="L39" s="26"/>
      <c r="M39" s="26"/>
      <c r="N39" s="26"/>
      <c r="O39" s="26"/>
      <c r="P39" s="27"/>
      <c r="R39">
        <v>7</v>
      </c>
      <c r="S39" t="s">
        <v>65</v>
      </c>
    </row>
    <row r="40" spans="1:19">
      <c r="A40" s="1" t="s">
        <v>27</v>
      </c>
      <c r="B40" s="17" t="s">
        <v>19</v>
      </c>
      <c r="C40" s="3" t="s">
        <v>5</v>
      </c>
      <c r="D40" s="26"/>
      <c r="E40" s="26"/>
      <c r="F40" s="26"/>
      <c r="G40" s="26"/>
      <c r="H40" s="27"/>
      <c r="I40" s="28" t="s">
        <v>27</v>
      </c>
      <c r="J40" s="1" t="s">
        <v>27</v>
      </c>
      <c r="K40" s="1" t="s">
        <v>27</v>
      </c>
      <c r="L40" s="26"/>
      <c r="M40" s="26"/>
      <c r="N40" s="26"/>
      <c r="O40" s="26"/>
      <c r="P40" s="27"/>
    </row>
    <row r="41" spans="1:19">
      <c r="A41" s="1" t="s">
        <v>27</v>
      </c>
      <c r="B41" s="4" t="s">
        <v>6</v>
      </c>
      <c r="C41" s="9" t="s">
        <v>11</v>
      </c>
      <c r="D41" s="26"/>
      <c r="E41" s="26"/>
      <c r="F41" s="26"/>
      <c r="G41" s="26"/>
      <c r="H41" s="27"/>
      <c r="I41" s="28" t="s">
        <v>27</v>
      </c>
      <c r="J41" s="1" t="s">
        <v>27</v>
      </c>
      <c r="K41" s="1" t="s">
        <v>27</v>
      </c>
      <c r="L41" s="26"/>
      <c r="M41" s="26"/>
      <c r="N41" s="26"/>
      <c r="O41" s="26"/>
      <c r="P41" s="27"/>
    </row>
    <row r="42" spans="1:19">
      <c r="A42" s="1" t="s">
        <v>27</v>
      </c>
      <c r="B42" s="3" t="s">
        <v>5</v>
      </c>
      <c r="C42" s="4" t="s">
        <v>6</v>
      </c>
      <c r="D42" s="26"/>
      <c r="E42" s="26"/>
      <c r="F42" s="26"/>
      <c r="G42" s="26"/>
      <c r="H42" s="27"/>
      <c r="I42" s="28" t="s">
        <v>27</v>
      </c>
      <c r="J42" s="1" t="s">
        <v>27</v>
      </c>
      <c r="K42" s="1" t="s">
        <v>27</v>
      </c>
      <c r="L42" s="26"/>
      <c r="M42" s="26"/>
      <c r="N42" s="26"/>
      <c r="O42" s="26"/>
      <c r="P42" s="27"/>
    </row>
    <row r="43" spans="1:19">
      <c r="A43" s="1" t="s">
        <v>27</v>
      </c>
      <c r="B43" s="3" t="s">
        <v>5</v>
      </c>
      <c r="C43" s="17" t="s">
        <v>19</v>
      </c>
      <c r="D43" s="26"/>
      <c r="E43" s="26"/>
      <c r="F43" s="26"/>
      <c r="G43" s="26"/>
      <c r="H43" s="27"/>
      <c r="I43" s="28" t="s">
        <v>27</v>
      </c>
      <c r="J43" s="1" t="s">
        <v>27</v>
      </c>
      <c r="K43" s="1" t="s">
        <v>27</v>
      </c>
      <c r="L43" s="26"/>
      <c r="M43" s="26"/>
      <c r="N43" s="26"/>
      <c r="O43" s="26"/>
      <c r="P43" s="27"/>
    </row>
    <row r="44" spans="1:19">
      <c r="A44" s="1" t="s">
        <v>27</v>
      </c>
      <c r="B44" s="3" t="s">
        <v>5</v>
      </c>
      <c r="C44" s="4" t="s">
        <v>6</v>
      </c>
      <c r="D44" s="26"/>
      <c r="E44" s="26"/>
      <c r="F44" s="26"/>
      <c r="G44" s="26"/>
      <c r="H44" s="27"/>
      <c r="I44" s="28" t="s">
        <v>27</v>
      </c>
      <c r="J44" s="1" t="s">
        <v>27</v>
      </c>
      <c r="K44" s="1" t="s">
        <v>27</v>
      </c>
      <c r="L44" s="26"/>
      <c r="M44" s="26"/>
      <c r="N44" s="26"/>
      <c r="O44" s="26"/>
      <c r="P44" s="27"/>
    </row>
    <row r="45" spans="1:19">
      <c r="A45" s="1" t="s">
        <v>27</v>
      </c>
      <c r="B45" s="3" t="s">
        <v>5</v>
      </c>
      <c r="C45" s="4" t="s">
        <v>6</v>
      </c>
      <c r="D45" s="26"/>
      <c r="E45" s="26"/>
      <c r="F45" s="26"/>
      <c r="G45" s="26"/>
      <c r="H45" s="27"/>
      <c r="I45" s="28" t="s">
        <v>27</v>
      </c>
      <c r="J45" s="1" t="s">
        <v>27</v>
      </c>
      <c r="K45" s="1" t="s">
        <v>27</v>
      </c>
      <c r="L45" s="26"/>
      <c r="M45" s="26"/>
      <c r="N45" s="26"/>
      <c r="O45" s="26"/>
      <c r="P45" s="27"/>
    </row>
    <row r="46" spans="1:19">
      <c r="A46" s="1" t="s">
        <v>27</v>
      </c>
      <c r="B46" s="4" t="s">
        <v>6</v>
      </c>
      <c r="C46" s="4" t="s">
        <v>6</v>
      </c>
      <c r="D46" s="26"/>
      <c r="E46" s="26"/>
      <c r="F46" s="26"/>
      <c r="G46" s="26"/>
      <c r="H46" s="27"/>
      <c r="I46" s="28" t="s">
        <v>27</v>
      </c>
      <c r="J46" s="1" t="s">
        <v>27</v>
      </c>
      <c r="K46" s="1" t="s">
        <v>27</v>
      </c>
      <c r="L46" s="26"/>
      <c r="M46" s="26"/>
      <c r="N46" s="26"/>
      <c r="O46" s="26"/>
      <c r="P46" s="27"/>
    </row>
    <row r="47" spans="1:19">
      <c r="A47" s="1" t="s">
        <v>27</v>
      </c>
      <c r="B47" s="4" t="s">
        <v>6</v>
      </c>
      <c r="C47" s="4" t="s">
        <v>6</v>
      </c>
      <c r="D47" s="26"/>
      <c r="E47" s="26"/>
      <c r="F47" s="26"/>
      <c r="G47" s="26"/>
      <c r="H47" s="27"/>
      <c r="I47" s="28" t="s">
        <v>27</v>
      </c>
      <c r="J47" s="1" t="s">
        <v>27</v>
      </c>
      <c r="K47" s="1" t="s">
        <v>27</v>
      </c>
      <c r="L47" s="26"/>
      <c r="M47" s="26"/>
      <c r="N47" s="26"/>
      <c r="O47" s="26"/>
      <c r="P47" s="27"/>
    </row>
    <row r="48" spans="1:19">
      <c r="A48" s="1" t="s">
        <v>27</v>
      </c>
      <c r="B48" s="4" t="s">
        <v>6</v>
      </c>
      <c r="C48" s="16" t="s">
        <v>18</v>
      </c>
      <c r="D48" s="26"/>
      <c r="E48" s="26"/>
      <c r="F48" s="26"/>
      <c r="G48" s="26"/>
      <c r="H48" s="27"/>
      <c r="I48" s="28" t="s">
        <v>27</v>
      </c>
      <c r="J48" s="1" t="s">
        <v>27</v>
      </c>
      <c r="K48" s="1" t="s">
        <v>27</v>
      </c>
      <c r="L48" s="26"/>
      <c r="M48" s="26"/>
      <c r="N48" s="26"/>
      <c r="O48" s="26"/>
      <c r="P48" s="27"/>
    </row>
    <row r="49" spans="1:16">
      <c r="A49" s="1" t="s">
        <v>27</v>
      </c>
      <c r="B49" s="17" t="s">
        <v>20</v>
      </c>
      <c r="C49" s="4" t="s">
        <v>6</v>
      </c>
      <c r="D49" s="26"/>
      <c r="E49" s="26"/>
      <c r="F49" s="26"/>
      <c r="G49" s="26"/>
      <c r="H49" s="27"/>
      <c r="I49" s="28" t="s">
        <v>27</v>
      </c>
      <c r="J49" s="1" t="s">
        <v>27</v>
      </c>
      <c r="K49" s="1" t="s">
        <v>27</v>
      </c>
      <c r="L49" s="26"/>
      <c r="M49" s="26"/>
      <c r="N49" s="26"/>
      <c r="O49" s="26"/>
      <c r="P49" s="27"/>
    </row>
    <row r="50" spans="1:16">
      <c r="A50" s="1" t="s">
        <v>27</v>
      </c>
      <c r="B50" s="1" t="s">
        <v>27</v>
      </c>
      <c r="C50" s="4" t="s">
        <v>6</v>
      </c>
      <c r="D50" s="26"/>
      <c r="E50" s="26"/>
      <c r="F50" s="26"/>
      <c r="G50" s="26"/>
      <c r="H50" s="27"/>
      <c r="I50" s="28" t="s">
        <v>27</v>
      </c>
      <c r="J50" s="1" t="s">
        <v>27</v>
      </c>
      <c r="K50" s="1" t="s">
        <v>27</v>
      </c>
      <c r="L50" s="26"/>
      <c r="M50" s="26"/>
      <c r="N50" s="26"/>
      <c r="O50" s="26"/>
      <c r="P50" s="27"/>
    </row>
    <row r="51" spans="1:16">
      <c r="A51" s="1" t="s">
        <v>27</v>
      </c>
      <c r="B51" s="1" t="s">
        <v>27</v>
      </c>
      <c r="C51" s="17" t="s">
        <v>20</v>
      </c>
      <c r="D51" s="26"/>
      <c r="E51" s="26"/>
      <c r="F51" s="26"/>
      <c r="G51" s="26"/>
      <c r="H51" s="27"/>
      <c r="I51" s="28" t="s">
        <v>27</v>
      </c>
      <c r="J51" s="1" t="s">
        <v>27</v>
      </c>
      <c r="K51" s="1" t="s">
        <v>27</v>
      </c>
      <c r="L51" s="26"/>
      <c r="M51" s="26"/>
      <c r="N51" s="26"/>
      <c r="O51" s="26"/>
      <c r="P51" s="27"/>
    </row>
    <row r="52" spans="1:16">
      <c r="A52" s="1" t="s">
        <v>27</v>
      </c>
      <c r="B52" s="1" t="s">
        <v>27</v>
      </c>
      <c r="C52" s="1" t="s">
        <v>27</v>
      </c>
      <c r="D52" s="26"/>
      <c r="E52" s="26"/>
      <c r="F52" s="26"/>
      <c r="G52" s="26"/>
      <c r="H52" s="27"/>
      <c r="I52" s="28" t="s">
        <v>27</v>
      </c>
      <c r="J52" s="1" t="s">
        <v>27</v>
      </c>
      <c r="K52" s="1" t="s">
        <v>27</v>
      </c>
      <c r="L52" s="26"/>
      <c r="M52" s="26"/>
      <c r="N52" s="26"/>
      <c r="O52" s="26"/>
      <c r="P52" s="27"/>
    </row>
    <row r="53" spans="1:16">
      <c r="A53" s="1" t="s">
        <v>27</v>
      </c>
      <c r="B53" s="1" t="s">
        <v>27</v>
      </c>
      <c r="C53" s="1" t="s">
        <v>27</v>
      </c>
      <c r="D53" s="26"/>
      <c r="E53" s="26"/>
      <c r="F53" s="26"/>
      <c r="G53" s="26"/>
      <c r="H53" s="27"/>
      <c r="I53" s="28" t="s">
        <v>27</v>
      </c>
      <c r="J53" s="1" t="s">
        <v>27</v>
      </c>
      <c r="K53" s="1" t="s">
        <v>27</v>
      </c>
      <c r="L53" s="26"/>
      <c r="M53" s="26"/>
      <c r="N53" s="26"/>
      <c r="O53" s="26"/>
      <c r="P53" s="27"/>
    </row>
    <row r="54" spans="1:16">
      <c r="A54" s="1" t="s">
        <v>27</v>
      </c>
      <c r="B54" s="1" t="s">
        <v>27</v>
      </c>
      <c r="C54" s="1" t="s">
        <v>27</v>
      </c>
      <c r="D54" s="26"/>
      <c r="E54" s="26"/>
      <c r="F54" s="26"/>
      <c r="G54" s="26"/>
      <c r="H54" s="27"/>
      <c r="I54" s="28" t="s">
        <v>27</v>
      </c>
      <c r="J54" s="1" t="s">
        <v>27</v>
      </c>
      <c r="K54" s="1" t="s">
        <v>27</v>
      </c>
      <c r="L54" s="26"/>
      <c r="M54" s="26"/>
      <c r="N54" s="26"/>
      <c r="O54" s="26"/>
      <c r="P54" s="27"/>
    </row>
    <row r="55" spans="1:16">
      <c r="A55" s="1" t="s">
        <v>27</v>
      </c>
      <c r="B55" s="1" t="s">
        <v>27</v>
      </c>
      <c r="C55" s="1" t="s">
        <v>27</v>
      </c>
      <c r="D55" s="26"/>
      <c r="E55" s="26"/>
      <c r="F55" s="26"/>
      <c r="G55" s="26"/>
      <c r="H55" s="27"/>
      <c r="I55" s="28" t="s">
        <v>27</v>
      </c>
      <c r="J55" s="1" t="s">
        <v>27</v>
      </c>
      <c r="K55" s="1" t="s">
        <v>27</v>
      </c>
      <c r="L55" s="26"/>
      <c r="M55" s="26"/>
      <c r="N55" s="26"/>
      <c r="O55" s="26"/>
      <c r="P55" s="27"/>
    </row>
    <row r="56" spans="1:16">
      <c r="A56" s="28" t="s">
        <v>27</v>
      </c>
      <c r="B56" s="1" t="s">
        <v>27</v>
      </c>
      <c r="C56" s="1" t="s">
        <v>27</v>
      </c>
      <c r="D56" s="26"/>
      <c r="E56" s="26"/>
      <c r="F56" s="26"/>
      <c r="G56" s="26"/>
      <c r="H56" s="27"/>
      <c r="I56" s="28" t="s">
        <v>27</v>
      </c>
      <c r="J56" s="1" t="s">
        <v>27</v>
      </c>
      <c r="K56" s="1" t="s">
        <v>27</v>
      </c>
      <c r="L56" s="26"/>
      <c r="M56" s="26"/>
      <c r="N56" s="26"/>
      <c r="O56" s="26"/>
      <c r="P56" s="27"/>
    </row>
    <row r="57" spans="1:16">
      <c r="A57" s="28" t="s">
        <v>27</v>
      </c>
      <c r="B57" s="1" t="s">
        <v>27</v>
      </c>
      <c r="C57" s="1" t="s">
        <v>27</v>
      </c>
      <c r="D57" s="26"/>
      <c r="E57" s="26"/>
      <c r="F57" s="26"/>
      <c r="G57" s="26"/>
      <c r="H57" s="27"/>
      <c r="I57" s="28" t="s">
        <v>27</v>
      </c>
      <c r="J57" s="1" t="s">
        <v>27</v>
      </c>
      <c r="K57" s="1" t="s">
        <v>27</v>
      </c>
      <c r="L57" s="26"/>
      <c r="M57" s="26"/>
      <c r="N57" s="26"/>
      <c r="O57" s="26"/>
      <c r="P57" s="27"/>
    </row>
    <row r="58" spans="1:16">
      <c r="A58" s="28" t="s">
        <v>27</v>
      </c>
      <c r="B58" s="1" t="s">
        <v>27</v>
      </c>
      <c r="C58" s="1" t="s">
        <v>27</v>
      </c>
      <c r="D58" s="26"/>
      <c r="E58" s="26"/>
      <c r="F58" s="26"/>
      <c r="G58" s="26"/>
      <c r="H58" s="27"/>
      <c r="I58" s="28" t="s">
        <v>27</v>
      </c>
      <c r="J58" s="1" t="s">
        <v>27</v>
      </c>
      <c r="K58" s="1" t="s">
        <v>27</v>
      </c>
      <c r="L58" s="26"/>
      <c r="M58" s="26"/>
      <c r="N58" s="26"/>
      <c r="O58" s="26"/>
      <c r="P58" s="27"/>
    </row>
    <row r="59" spans="1:16">
      <c r="A59" s="28" t="s">
        <v>27</v>
      </c>
      <c r="B59" s="1" t="s">
        <v>27</v>
      </c>
      <c r="C59" s="1" t="s">
        <v>27</v>
      </c>
      <c r="D59" s="26"/>
      <c r="E59" s="26"/>
      <c r="F59" s="26"/>
      <c r="G59" s="26"/>
      <c r="H59" s="27"/>
      <c r="I59" s="28" t="s">
        <v>27</v>
      </c>
      <c r="J59" s="1" t="s">
        <v>27</v>
      </c>
      <c r="K59" s="1" t="s">
        <v>27</v>
      </c>
      <c r="L59" s="26"/>
      <c r="M59" s="26"/>
      <c r="N59" s="26"/>
      <c r="O59" s="26"/>
      <c r="P59" s="27"/>
    </row>
    <row r="60" spans="1:16">
      <c r="A60" s="28" t="s">
        <v>27</v>
      </c>
      <c r="B60" s="1" t="s">
        <v>27</v>
      </c>
      <c r="C60" s="1" t="s">
        <v>27</v>
      </c>
      <c r="D60" s="26"/>
      <c r="E60" s="26"/>
      <c r="F60" s="26"/>
      <c r="G60" s="26"/>
      <c r="H60" s="27"/>
      <c r="I60" s="28" t="s">
        <v>27</v>
      </c>
      <c r="J60" s="1" t="s">
        <v>27</v>
      </c>
      <c r="K60" s="1" t="s">
        <v>27</v>
      </c>
      <c r="L60" s="26"/>
      <c r="M60" s="26"/>
      <c r="N60" s="26"/>
      <c r="O60" s="26"/>
      <c r="P60" s="27"/>
    </row>
    <row r="61" spans="1:16">
      <c r="A61" s="28" t="s">
        <v>27</v>
      </c>
      <c r="B61" s="1" t="s">
        <v>27</v>
      </c>
      <c r="C61" s="1" t="s">
        <v>27</v>
      </c>
      <c r="D61" s="26"/>
      <c r="E61" s="26"/>
      <c r="F61" s="26"/>
      <c r="G61" s="26"/>
      <c r="H61" s="27"/>
      <c r="I61" s="28" t="s">
        <v>27</v>
      </c>
      <c r="J61" s="1" t="s">
        <v>27</v>
      </c>
      <c r="K61" s="1" t="s">
        <v>27</v>
      </c>
      <c r="L61" s="26"/>
      <c r="M61" s="26"/>
      <c r="N61" s="26"/>
      <c r="O61" s="26"/>
      <c r="P61" s="27"/>
    </row>
    <row r="62" spans="1:16">
      <c r="A62" s="28" t="s">
        <v>27</v>
      </c>
      <c r="B62" s="1" t="s">
        <v>27</v>
      </c>
      <c r="C62" s="1" t="s">
        <v>27</v>
      </c>
      <c r="D62" s="26"/>
      <c r="E62" s="26"/>
      <c r="F62" s="26"/>
      <c r="G62" s="26"/>
      <c r="H62" s="27"/>
      <c r="I62" s="28" t="s">
        <v>27</v>
      </c>
      <c r="J62" s="1" t="s">
        <v>27</v>
      </c>
      <c r="K62" s="1" t="s">
        <v>27</v>
      </c>
      <c r="L62" s="26"/>
      <c r="M62" s="26"/>
      <c r="N62" s="26"/>
      <c r="O62" s="26"/>
      <c r="P62" s="27"/>
    </row>
    <row r="63" spans="1:16">
      <c r="A63" s="28" t="s">
        <v>27</v>
      </c>
      <c r="B63" s="1" t="s">
        <v>27</v>
      </c>
      <c r="C63" s="1" t="s">
        <v>27</v>
      </c>
      <c r="D63" s="26"/>
      <c r="E63" s="26"/>
      <c r="F63" s="26"/>
      <c r="G63" s="26"/>
      <c r="H63" s="27"/>
      <c r="I63" s="28" t="s">
        <v>27</v>
      </c>
      <c r="J63" s="1" t="s">
        <v>27</v>
      </c>
      <c r="K63" s="1" t="s">
        <v>27</v>
      </c>
      <c r="L63" s="26"/>
      <c r="M63" s="26"/>
      <c r="N63" s="26"/>
      <c r="O63" s="26"/>
      <c r="P63" s="27"/>
    </row>
    <row r="64" spans="1:16">
      <c r="A64" s="28" t="s">
        <v>27</v>
      </c>
      <c r="B64" s="1" t="s">
        <v>27</v>
      </c>
      <c r="C64" s="1" t="s">
        <v>27</v>
      </c>
      <c r="D64" s="26"/>
      <c r="E64" s="26"/>
      <c r="F64" s="26"/>
      <c r="G64" s="26"/>
      <c r="H64" s="27"/>
      <c r="I64" s="28" t="s">
        <v>27</v>
      </c>
      <c r="J64" s="1" t="s">
        <v>27</v>
      </c>
      <c r="K64" s="1" t="s">
        <v>27</v>
      </c>
      <c r="L64" s="26"/>
      <c r="M64" s="26"/>
      <c r="N64" s="26"/>
      <c r="O64" s="26"/>
      <c r="P64" s="27"/>
    </row>
    <row r="65" spans="1:16">
      <c r="A65" s="28" t="s">
        <v>27</v>
      </c>
      <c r="B65" s="1" t="s">
        <v>27</v>
      </c>
      <c r="C65" s="1" t="s">
        <v>27</v>
      </c>
      <c r="D65" s="26"/>
      <c r="E65" s="26"/>
      <c r="F65" s="26"/>
      <c r="G65" s="26"/>
      <c r="H65" s="27"/>
      <c r="I65" s="28" t="s">
        <v>27</v>
      </c>
      <c r="J65" s="1" t="s">
        <v>27</v>
      </c>
      <c r="K65" s="1" t="s">
        <v>27</v>
      </c>
      <c r="L65" s="26"/>
      <c r="M65" s="26"/>
      <c r="N65" s="26"/>
      <c r="O65" s="26"/>
      <c r="P65" s="27"/>
    </row>
    <row r="66" spans="1:16">
      <c r="A66" s="28" t="s">
        <v>27</v>
      </c>
      <c r="B66" s="1" t="s">
        <v>27</v>
      </c>
      <c r="C66" s="1" t="s">
        <v>27</v>
      </c>
      <c r="D66" s="26"/>
      <c r="E66" s="26"/>
      <c r="F66" s="26"/>
      <c r="G66" s="26"/>
      <c r="H66" s="27"/>
      <c r="I66" s="28" t="s">
        <v>27</v>
      </c>
      <c r="J66" s="1" t="s">
        <v>27</v>
      </c>
      <c r="K66" s="1" t="s">
        <v>27</v>
      </c>
      <c r="L66" s="26"/>
      <c r="M66" s="26"/>
      <c r="N66" s="26"/>
      <c r="O66" s="26"/>
      <c r="P66" s="27"/>
    </row>
    <row r="67" spans="1:16">
      <c r="A67" s="28" t="s">
        <v>27</v>
      </c>
      <c r="B67" s="1" t="s">
        <v>27</v>
      </c>
      <c r="C67" s="1" t="s">
        <v>27</v>
      </c>
      <c r="D67" s="26"/>
      <c r="E67" s="26"/>
      <c r="F67" s="26"/>
      <c r="G67" s="26"/>
      <c r="H67" s="27"/>
      <c r="I67" s="28" t="s">
        <v>27</v>
      </c>
      <c r="J67" s="1" t="s">
        <v>27</v>
      </c>
      <c r="K67" s="1" t="s">
        <v>27</v>
      </c>
      <c r="L67" s="26"/>
      <c r="M67" s="26"/>
      <c r="N67" s="26"/>
      <c r="O67" s="26"/>
      <c r="P67" s="27"/>
    </row>
    <row r="68" spans="1:16">
      <c r="A68" s="28" t="s">
        <v>27</v>
      </c>
      <c r="B68" s="1" t="s">
        <v>27</v>
      </c>
      <c r="C68" s="1" t="s">
        <v>27</v>
      </c>
      <c r="D68" s="26"/>
      <c r="E68" s="26"/>
      <c r="F68" s="26"/>
      <c r="G68" s="26"/>
      <c r="H68" s="27"/>
      <c r="I68" s="28" t="s">
        <v>27</v>
      </c>
      <c r="J68" s="1" t="s">
        <v>27</v>
      </c>
      <c r="K68" s="1" t="s">
        <v>27</v>
      </c>
      <c r="L68" s="26"/>
      <c r="M68" s="26"/>
      <c r="N68" s="26"/>
      <c r="O68" s="26"/>
      <c r="P68" s="27"/>
    </row>
    <row r="69" spans="1:16">
      <c r="A69" s="28" t="s">
        <v>27</v>
      </c>
      <c r="B69" s="1" t="s">
        <v>27</v>
      </c>
      <c r="C69" s="1" t="s">
        <v>27</v>
      </c>
      <c r="D69" s="26"/>
      <c r="E69" s="26"/>
      <c r="F69" s="26"/>
      <c r="G69" s="26"/>
      <c r="H69" s="27"/>
      <c r="I69" s="28" t="s">
        <v>27</v>
      </c>
      <c r="J69" s="1" t="s">
        <v>27</v>
      </c>
      <c r="K69" s="1" t="s">
        <v>27</v>
      </c>
      <c r="L69" s="26"/>
      <c r="M69" s="26"/>
      <c r="N69" s="26"/>
      <c r="O69" s="26"/>
      <c r="P69" s="27"/>
    </row>
    <row r="70" spans="1:16">
      <c r="A70" s="28" t="s">
        <v>27</v>
      </c>
      <c r="B70" s="1" t="s">
        <v>27</v>
      </c>
      <c r="C70" s="1" t="s">
        <v>27</v>
      </c>
      <c r="D70" s="26"/>
      <c r="E70" s="26"/>
      <c r="F70" s="26"/>
      <c r="G70" s="26"/>
      <c r="H70" s="27"/>
      <c r="I70" s="28" t="s">
        <v>27</v>
      </c>
      <c r="J70" s="1" t="s">
        <v>27</v>
      </c>
      <c r="K70" s="1" t="s">
        <v>27</v>
      </c>
      <c r="L70" s="26"/>
      <c r="M70" s="26"/>
      <c r="N70" s="26"/>
      <c r="O70" s="26"/>
      <c r="P70" s="27"/>
    </row>
    <row r="71" spans="1:16">
      <c r="A71" s="28" t="s">
        <v>27</v>
      </c>
      <c r="B71" s="1" t="s">
        <v>27</v>
      </c>
      <c r="C71" s="1" t="s">
        <v>27</v>
      </c>
      <c r="D71" s="26"/>
      <c r="E71" s="26"/>
      <c r="F71" s="26"/>
      <c r="G71" s="26"/>
      <c r="H71" s="27"/>
      <c r="I71" s="28" t="s">
        <v>27</v>
      </c>
      <c r="J71" s="1" t="s">
        <v>27</v>
      </c>
      <c r="K71" s="1" t="s">
        <v>27</v>
      </c>
      <c r="L71" s="26"/>
      <c r="M71" s="26"/>
      <c r="N71" s="26"/>
      <c r="O71" s="26"/>
      <c r="P71" s="27"/>
    </row>
    <row r="72" spans="1:16">
      <c r="A72" s="28" t="s">
        <v>27</v>
      </c>
      <c r="B72" s="1" t="s">
        <v>27</v>
      </c>
      <c r="C72" s="1" t="s">
        <v>27</v>
      </c>
      <c r="D72" s="26"/>
      <c r="E72" s="26"/>
      <c r="F72" s="26"/>
      <c r="G72" s="26"/>
      <c r="H72" s="27"/>
      <c r="I72" s="28" t="s">
        <v>27</v>
      </c>
      <c r="J72" s="1" t="s">
        <v>27</v>
      </c>
      <c r="K72" s="1" t="s">
        <v>27</v>
      </c>
      <c r="L72" s="26"/>
      <c r="M72" s="26"/>
      <c r="N72" s="26"/>
      <c r="O72" s="26"/>
      <c r="P72" s="27"/>
    </row>
    <row r="73" spans="1:16">
      <c r="A73" s="28" t="s">
        <v>27</v>
      </c>
      <c r="B73" s="1" t="s">
        <v>27</v>
      </c>
      <c r="C73" s="1" t="s">
        <v>27</v>
      </c>
      <c r="D73" s="26"/>
      <c r="E73" s="26"/>
      <c r="F73" s="26"/>
      <c r="G73" s="26"/>
      <c r="H73" s="27"/>
      <c r="I73" s="28" t="s">
        <v>27</v>
      </c>
      <c r="J73" s="1" t="s">
        <v>27</v>
      </c>
      <c r="K73" s="1" t="s">
        <v>27</v>
      </c>
      <c r="L73" s="26"/>
      <c r="M73" s="26"/>
      <c r="N73" s="26"/>
      <c r="O73" s="26"/>
      <c r="P73" s="27"/>
    </row>
    <row r="74" spans="1:16">
      <c r="A74" s="28" t="s">
        <v>27</v>
      </c>
      <c r="B74" s="1" t="s">
        <v>27</v>
      </c>
      <c r="C74" s="1" t="s">
        <v>27</v>
      </c>
      <c r="D74" s="26"/>
      <c r="E74" s="26"/>
      <c r="F74" s="26"/>
      <c r="G74" s="26"/>
      <c r="H74" s="27"/>
      <c r="I74" s="28" t="s">
        <v>27</v>
      </c>
      <c r="J74" s="1" t="s">
        <v>27</v>
      </c>
      <c r="K74" s="1" t="s">
        <v>27</v>
      </c>
      <c r="L74" s="26"/>
      <c r="M74" s="26"/>
      <c r="N74" s="26"/>
      <c r="O74" s="26"/>
      <c r="P74" s="27"/>
    </row>
    <row r="75" spans="1:16">
      <c r="A75" s="28" t="s">
        <v>27</v>
      </c>
      <c r="B75" s="1" t="s">
        <v>27</v>
      </c>
      <c r="C75" s="1" t="s">
        <v>27</v>
      </c>
      <c r="D75" s="26"/>
      <c r="E75" s="26"/>
      <c r="F75" s="26"/>
      <c r="G75" s="26"/>
      <c r="H75" s="27"/>
      <c r="I75" s="28" t="s">
        <v>27</v>
      </c>
      <c r="J75" s="1" t="s">
        <v>27</v>
      </c>
      <c r="K75" s="1" t="s">
        <v>27</v>
      </c>
      <c r="L75" s="26"/>
      <c r="M75" s="26"/>
      <c r="N75" s="26"/>
      <c r="O75" s="26"/>
      <c r="P75" s="27"/>
    </row>
    <row r="76" spans="1:16">
      <c r="A76" s="28" t="s">
        <v>27</v>
      </c>
      <c r="B76" s="1" t="s">
        <v>27</v>
      </c>
      <c r="C76" s="1" t="s">
        <v>27</v>
      </c>
      <c r="D76" s="26"/>
      <c r="E76" s="26"/>
      <c r="F76" s="26"/>
      <c r="G76" s="26"/>
      <c r="H76" s="27"/>
      <c r="I76" s="28" t="s">
        <v>27</v>
      </c>
      <c r="J76" s="1" t="s">
        <v>27</v>
      </c>
      <c r="K76" s="1" t="s">
        <v>27</v>
      </c>
      <c r="L76" s="26"/>
      <c r="M76" s="26"/>
      <c r="N76" s="26"/>
      <c r="O76" s="26"/>
      <c r="P76" s="27"/>
    </row>
    <row r="77" spans="1:16">
      <c r="A77" s="28" t="s">
        <v>27</v>
      </c>
      <c r="B77" s="1" t="s">
        <v>27</v>
      </c>
      <c r="C77" s="1" t="s">
        <v>27</v>
      </c>
      <c r="D77" s="26"/>
      <c r="E77" s="26"/>
      <c r="F77" s="26"/>
      <c r="G77" s="26"/>
      <c r="H77" s="27"/>
      <c r="I77" s="28" t="s">
        <v>27</v>
      </c>
      <c r="J77" s="1" t="s">
        <v>27</v>
      </c>
      <c r="K77" s="1" t="s">
        <v>27</v>
      </c>
      <c r="L77" s="26"/>
      <c r="M77" s="26"/>
      <c r="N77" s="26"/>
      <c r="O77" s="26"/>
      <c r="P77" s="27"/>
    </row>
    <row r="78" spans="1:16">
      <c r="A78" s="28" t="s">
        <v>27</v>
      </c>
      <c r="B78" s="1" t="s">
        <v>27</v>
      </c>
      <c r="C78" s="1" t="s">
        <v>27</v>
      </c>
      <c r="D78" s="26"/>
      <c r="E78" s="26"/>
      <c r="F78" s="26"/>
      <c r="G78" s="26"/>
      <c r="H78" s="27"/>
      <c r="I78" s="28" t="s">
        <v>27</v>
      </c>
      <c r="J78" s="1" t="s">
        <v>27</v>
      </c>
      <c r="K78" s="1" t="s">
        <v>27</v>
      </c>
      <c r="L78" s="26"/>
      <c r="M78" s="26"/>
      <c r="N78" s="26"/>
      <c r="O78" s="26"/>
      <c r="P78" s="27"/>
    </row>
    <row r="79" spans="1:16">
      <c r="A79" s="28" t="s">
        <v>27</v>
      </c>
      <c r="B79" s="1" t="s">
        <v>27</v>
      </c>
      <c r="C79" s="1" t="s">
        <v>27</v>
      </c>
      <c r="D79" s="26"/>
      <c r="E79" s="26"/>
      <c r="F79" s="26"/>
      <c r="G79" s="26"/>
      <c r="H79" s="27"/>
      <c r="I79" s="28" t="s">
        <v>27</v>
      </c>
      <c r="J79" s="1" t="s">
        <v>27</v>
      </c>
      <c r="K79" s="1" t="s">
        <v>27</v>
      </c>
      <c r="L79" s="26"/>
      <c r="M79" s="26"/>
      <c r="N79" s="26"/>
      <c r="O79" s="26"/>
      <c r="P79" s="27"/>
    </row>
    <row r="80" spans="1:16">
      <c r="A80" s="28" t="s">
        <v>27</v>
      </c>
      <c r="B80" s="1" t="s">
        <v>27</v>
      </c>
      <c r="C80" s="1" t="s">
        <v>27</v>
      </c>
      <c r="D80" s="26"/>
      <c r="E80" s="26"/>
      <c r="F80" s="26"/>
      <c r="G80" s="26"/>
      <c r="H80" s="27"/>
      <c r="I80" s="28" t="s">
        <v>27</v>
      </c>
      <c r="J80" s="1" t="s">
        <v>27</v>
      </c>
      <c r="K80" s="1" t="s">
        <v>27</v>
      </c>
      <c r="L80" s="26"/>
      <c r="M80" s="26"/>
      <c r="N80" s="26"/>
      <c r="O80" s="26"/>
      <c r="P80" s="27"/>
    </row>
    <row r="81" spans="1:16">
      <c r="A81" s="28" t="s">
        <v>27</v>
      </c>
      <c r="B81" s="1" t="s">
        <v>27</v>
      </c>
      <c r="C81" s="1" t="s">
        <v>27</v>
      </c>
      <c r="D81" s="26"/>
      <c r="E81" s="26"/>
      <c r="F81" s="26"/>
      <c r="G81" s="26"/>
      <c r="H81" s="27"/>
      <c r="I81" s="28" t="s">
        <v>27</v>
      </c>
      <c r="J81" s="1" t="s">
        <v>27</v>
      </c>
      <c r="K81" s="1" t="s">
        <v>27</v>
      </c>
      <c r="L81" s="26"/>
      <c r="M81" s="26"/>
      <c r="N81" s="26"/>
      <c r="O81" s="26"/>
      <c r="P81" s="27"/>
    </row>
    <row r="82" spans="1:16">
      <c r="A82" s="28" t="s">
        <v>27</v>
      </c>
      <c r="B82" s="1" t="s">
        <v>27</v>
      </c>
      <c r="C82" s="1" t="s">
        <v>27</v>
      </c>
      <c r="D82" s="26"/>
      <c r="E82" s="26"/>
      <c r="F82" s="26"/>
      <c r="G82" s="26"/>
      <c r="H82" s="27"/>
      <c r="I82" s="28" t="s">
        <v>27</v>
      </c>
      <c r="J82" s="1" t="s">
        <v>27</v>
      </c>
      <c r="K82" s="1" t="s">
        <v>27</v>
      </c>
      <c r="L82" s="26"/>
      <c r="M82" s="26"/>
      <c r="N82" s="26"/>
      <c r="O82" s="26"/>
      <c r="P82" s="27"/>
    </row>
    <row r="83" spans="1:16">
      <c r="A83" s="28" t="s">
        <v>27</v>
      </c>
      <c r="B83" s="1" t="s">
        <v>27</v>
      </c>
      <c r="C83" s="1" t="s">
        <v>27</v>
      </c>
      <c r="D83" s="26"/>
      <c r="E83" s="26"/>
      <c r="F83" s="26"/>
      <c r="G83" s="26"/>
      <c r="H83" s="27"/>
      <c r="I83" s="28" t="s">
        <v>27</v>
      </c>
      <c r="J83" s="1" t="s">
        <v>27</v>
      </c>
      <c r="K83" s="1" t="s">
        <v>27</v>
      </c>
      <c r="L83" s="26"/>
      <c r="M83" s="26"/>
      <c r="N83" s="26"/>
      <c r="O83" s="26"/>
      <c r="P83" s="27"/>
    </row>
    <row r="84" spans="1:16">
      <c r="A84" s="28" t="s">
        <v>27</v>
      </c>
      <c r="B84" s="1" t="s">
        <v>27</v>
      </c>
      <c r="C84" s="1" t="s">
        <v>27</v>
      </c>
      <c r="D84" s="26"/>
      <c r="E84" s="26"/>
      <c r="F84" s="26"/>
      <c r="G84" s="26"/>
      <c r="H84" s="27"/>
      <c r="I84" s="28" t="s">
        <v>27</v>
      </c>
      <c r="J84" s="1" t="s">
        <v>27</v>
      </c>
      <c r="K84" s="1" t="s">
        <v>27</v>
      </c>
      <c r="L84" s="26"/>
      <c r="M84" s="26"/>
      <c r="N84" s="26"/>
      <c r="O84" s="26"/>
      <c r="P84" s="27"/>
    </row>
    <row r="85" spans="1:16">
      <c r="A85" s="28" t="s">
        <v>27</v>
      </c>
      <c r="B85" s="1" t="s">
        <v>27</v>
      </c>
      <c r="C85" s="1" t="s">
        <v>27</v>
      </c>
      <c r="D85" s="26"/>
      <c r="E85" s="26"/>
      <c r="F85" s="26"/>
      <c r="G85" s="26"/>
      <c r="H85" s="27"/>
      <c r="I85" s="28" t="s">
        <v>27</v>
      </c>
      <c r="J85" s="1" t="s">
        <v>27</v>
      </c>
      <c r="K85" s="1" t="s">
        <v>27</v>
      </c>
      <c r="L85" s="26"/>
      <c r="M85" s="26"/>
      <c r="N85" s="26"/>
      <c r="O85" s="26"/>
      <c r="P85" s="27"/>
    </row>
    <row r="86" spans="1:16">
      <c r="A86" s="28" t="s">
        <v>27</v>
      </c>
      <c r="B86" s="1" t="s">
        <v>27</v>
      </c>
      <c r="C86" s="1" t="s">
        <v>27</v>
      </c>
      <c r="D86" s="26"/>
      <c r="E86" s="26"/>
      <c r="F86" s="26"/>
      <c r="G86" s="26"/>
      <c r="H86" s="27"/>
      <c r="I86" s="28" t="s">
        <v>27</v>
      </c>
      <c r="J86" s="1" t="s">
        <v>27</v>
      </c>
      <c r="K86" s="1" t="s">
        <v>27</v>
      </c>
      <c r="L86" s="26"/>
      <c r="M86" s="26"/>
      <c r="N86" s="26"/>
      <c r="O86" s="26"/>
      <c r="P86" s="27"/>
    </row>
    <row r="87" spans="1:16">
      <c r="A87" s="28" t="s">
        <v>27</v>
      </c>
      <c r="B87" s="1" t="s">
        <v>27</v>
      </c>
      <c r="C87" s="1" t="s">
        <v>27</v>
      </c>
      <c r="D87" s="26"/>
      <c r="E87" s="26"/>
      <c r="F87" s="26"/>
      <c r="G87" s="26"/>
      <c r="H87" s="27"/>
      <c r="I87" s="28" t="s">
        <v>27</v>
      </c>
      <c r="J87" s="1" t="s">
        <v>27</v>
      </c>
      <c r="K87" s="1" t="s">
        <v>27</v>
      </c>
      <c r="L87" s="26"/>
      <c r="M87" s="26"/>
      <c r="N87" s="26"/>
      <c r="O87" s="26"/>
      <c r="P87" s="27"/>
    </row>
    <row r="88" spans="1:16">
      <c r="A88" s="28" t="s">
        <v>27</v>
      </c>
      <c r="B88" s="1" t="s">
        <v>27</v>
      </c>
      <c r="C88" s="1" t="s">
        <v>27</v>
      </c>
      <c r="D88" s="26"/>
      <c r="E88" s="26"/>
      <c r="F88" s="26"/>
      <c r="G88" s="26"/>
      <c r="H88" s="27"/>
      <c r="I88" s="28" t="s">
        <v>27</v>
      </c>
      <c r="J88" s="1" t="s">
        <v>27</v>
      </c>
      <c r="K88" s="1" t="s">
        <v>27</v>
      </c>
      <c r="L88" s="26"/>
      <c r="M88" s="26"/>
      <c r="N88" s="26"/>
      <c r="O88" s="26"/>
      <c r="P88" s="27"/>
    </row>
    <row r="89" spans="1:16">
      <c r="A89" s="28" t="s">
        <v>27</v>
      </c>
      <c r="B89" s="1" t="s">
        <v>27</v>
      </c>
      <c r="C89" s="1" t="s">
        <v>27</v>
      </c>
      <c r="D89" s="26"/>
      <c r="E89" s="26"/>
      <c r="F89" s="26"/>
      <c r="G89" s="26"/>
      <c r="H89" s="27"/>
      <c r="I89" s="28" t="s">
        <v>27</v>
      </c>
      <c r="J89" s="1" t="s">
        <v>27</v>
      </c>
      <c r="K89" s="1" t="s">
        <v>27</v>
      </c>
      <c r="L89" s="26"/>
      <c r="M89" s="26"/>
      <c r="N89" s="26"/>
      <c r="O89" s="26"/>
      <c r="P89" s="27"/>
    </row>
    <row r="90" spans="1:16">
      <c r="A90" s="28" t="s">
        <v>27</v>
      </c>
      <c r="B90" s="1" t="s">
        <v>27</v>
      </c>
      <c r="C90" s="1" t="s">
        <v>27</v>
      </c>
      <c r="D90" s="26"/>
      <c r="E90" s="26"/>
      <c r="F90" s="26"/>
      <c r="G90" s="26"/>
      <c r="H90" s="27"/>
      <c r="I90" s="28" t="s">
        <v>27</v>
      </c>
      <c r="J90" s="1" t="s">
        <v>27</v>
      </c>
      <c r="K90" s="1" t="s">
        <v>27</v>
      </c>
      <c r="L90" s="26"/>
      <c r="M90" s="26"/>
      <c r="N90" s="26"/>
      <c r="O90" s="26"/>
      <c r="P90" s="27"/>
    </row>
    <row r="91" spans="1:16">
      <c r="A91" s="28" t="s">
        <v>27</v>
      </c>
      <c r="B91" s="1" t="s">
        <v>27</v>
      </c>
      <c r="C91" s="1" t="s">
        <v>27</v>
      </c>
      <c r="D91" s="26"/>
      <c r="E91" s="26"/>
      <c r="F91" s="26"/>
      <c r="G91" s="26"/>
      <c r="H91" s="27"/>
      <c r="I91" s="28" t="s">
        <v>27</v>
      </c>
      <c r="J91" s="1" t="s">
        <v>27</v>
      </c>
      <c r="K91" s="1" t="s">
        <v>27</v>
      </c>
      <c r="L91" s="26"/>
      <c r="M91" s="26"/>
      <c r="N91" s="26"/>
      <c r="O91" s="26"/>
      <c r="P91" s="27"/>
    </row>
    <row r="92" spans="1:16">
      <c r="A92" s="28" t="s">
        <v>27</v>
      </c>
      <c r="B92" s="1" t="s">
        <v>27</v>
      </c>
      <c r="C92" s="1" t="s">
        <v>27</v>
      </c>
      <c r="D92" s="26"/>
      <c r="E92" s="26"/>
      <c r="F92" s="26"/>
      <c r="G92" s="26"/>
      <c r="H92" s="27"/>
      <c r="I92" s="28" t="s">
        <v>27</v>
      </c>
      <c r="J92" s="1" t="s">
        <v>27</v>
      </c>
      <c r="K92" s="1" t="s">
        <v>27</v>
      </c>
      <c r="L92" s="26"/>
      <c r="M92" s="26"/>
      <c r="N92" s="26"/>
      <c r="O92" s="26"/>
      <c r="P92" s="27"/>
    </row>
    <row r="93" spans="1:16">
      <c r="A93" s="28" t="s">
        <v>27</v>
      </c>
      <c r="B93" s="1" t="s">
        <v>27</v>
      </c>
      <c r="C93" s="1" t="s">
        <v>27</v>
      </c>
      <c r="D93" s="26"/>
      <c r="E93" s="26"/>
      <c r="F93" s="26"/>
      <c r="G93" s="26"/>
      <c r="H93" s="27"/>
      <c r="I93" s="28" t="s">
        <v>27</v>
      </c>
      <c r="J93" s="1" t="s">
        <v>27</v>
      </c>
      <c r="K93" s="1" t="s">
        <v>27</v>
      </c>
      <c r="L93" s="26"/>
      <c r="M93" s="26"/>
      <c r="N93" s="26"/>
      <c r="O93" s="26"/>
      <c r="P93" s="27"/>
    </row>
    <row r="94" spans="1:16">
      <c r="A94" s="28" t="s">
        <v>27</v>
      </c>
      <c r="B94" s="1" t="s">
        <v>27</v>
      </c>
      <c r="C94" s="1" t="s">
        <v>27</v>
      </c>
      <c r="D94" s="26"/>
      <c r="E94" s="26"/>
      <c r="F94" s="26"/>
      <c r="G94" s="26"/>
      <c r="H94" s="27"/>
      <c r="I94" s="28" t="s">
        <v>27</v>
      </c>
      <c r="J94" s="1" t="s">
        <v>27</v>
      </c>
      <c r="K94" s="1" t="s">
        <v>27</v>
      </c>
      <c r="L94" s="26"/>
      <c r="M94" s="26"/>
      <c r="N94" s="26"/>
      <c r="O94" s="26"/>
      <c r="P94" s="27"/>
    </row>
    <row r="95" spans="1:16">
      <c r="A95" s="28" t="s">
        <v>27</v>
      </c>
      <c r="B95" s="1" t="s">
        <v>27</v>
      </c>
      <c r="C95" s="1" t="s">
        <v>27</v>
      </c>
      <c r="D95" s="26"/>
      <c r="E95" s="26"/>
      <c r="F95" s="26"/>
      <c r="G95" s="26"/>
      <c r="H95" s="27"/>
      <c r="I95" s="28" t="s">
        <v>27</v>
      </c>
      <c r="J95" s="1" t="s">
        <v>27</v>
      </c>
      <c r="K95" s="1" t="s">
        <v>27</v>
      </c>
      <c r="L95" s="26"/>
      <c r="M95" s="26"/>
      <c r="N95" s="26"/>
      <c r="O95" s="26"/>
      <c r="P95" s="27"/>
    </row>
    <row r="96" spans="1:16">
      <c r="A96" s="28" t="s">
        <v>27</v>
      </c>
      <c r="B96" s="1" t="s">
        <v>27</v>
      </c>
      <c r="C96" s="1" t="s">
        <v>27</v>
      </c>
      <c r="D96" s="26"/>
      <c r="E96" s="26"/>
      <c r="F96" s="26"/>
      <c r="G96" s="26"/>
      <c r="H96" s="27"/>
      <c r="I96" s="28" t="s">
        <v>27</v>
      </c>
      <c r="J96" s="1" t="s">
        <v>27</v>
      </c>
      <c r="K96" s="1" t="s">
        <v>27</v>
      </c>
      <c r="L96" s="26"/>
      <c r="M96" s="26"/>
      <c r="N96" s="26"/>
      <c r="O96" s="26"/>
      <c r="P96" s="27"/>
    </row>
    <row r="97" spans="1:16">
      <c r="A97" s="28" t="s">
        <v>27</v>
      </c>
      <c r="B97" s="1" t="s">
        <v>27</v>
      </c>
      <c r="C97" s="1" t="s">
        <v>27</v>
      </c>
      <c r="D97" s="26"/>
      <c r="E97" s="26"/>
      <c r="F97" s="26"/>
      <c r="G97" s="26"/>
      <c r="H97" s="27"/>
      <c r="I97" s="28" t="s">
        <v>27</v>
      </c>
      <c r="J97" s="1" t="s">
        <v>27</v>
      </c>
      <c r="K97" s="1" t="s">
        <v>27</v>
      </c>
      <c r="L97" s="26"/>
      <c r="M97" s="26"/>
      <c r="N97" s="26"/>
      <c r="O97" s="26"/>
      <c r="P97" s="27"/>
    </row>
    <row r="98" spans="1:16">
      <c r="A98" s="28" t="s">
        <v>27</v>
      </c>
      <c r="B98" s="1" t="s">
        <v>27</v>
      </c>
      <c r="C98" s="1" t="s">
        <v>27</v>
      </c>
      <c r="D98" s="26"/>
      <c r="E98" s="26"/>
      <c r="F98" s="26"/>
      <c r="G98" s="26"/>
      <c r="H98" s="27"/>
      <c r="I98" s="28" t="s">
        <v>27</v>
      </c>
      <c r="J98" s="1" t="s">
        <v>27</v>
      </c>
      <c r="K98" s="1" t="s">
        <v>27</v>
      </c>
      <c r="L98" s="26"/>
      <c r="M98" s="26"/>
      <c r="N98" s="26"/>
      <c r="O98" s="26"/>
      <c r="P98" s="27"/>
    </row>
    <row r="99" spans="1:16">
      <c r="A99" s="28" t="s">
        <v>27</v>
      </c>
      <c r="B99" s="1" t="s">
        <v>27</v>
      </c>
      <c r="C99" s="1" t="s">
        <v>27</v>
      </c>
      <c r="D99" s="26"/>
      <c r="E99" s="26"/>
      <c r="F99" s="26"/>
      <c r="G99" s="26"/>
      <c r="H99" s="27"/>
      <c r="I99" s="28" t="s">
        <v>27</v>
      </c>
      <c r="J99" s="1" t="s">
        <v>27</v>
      </c>
      <c r="K99" s="1" t="s">
        <v>27</v>
      </c>
      <c r="L99" s="26"/>
      <c r="M99" s="26"/>
      <c r="N99" s="26"/>
      <c r="O99" s="26"/>
      <c r="P99" s="27"/>
    </row>
    <row r="100" spans="1:16" ht="15.75" thickBot="1">
      <c r="A100" s="29" t="s">
        <v>27</v>
      </c>
      <c r="B100" s="30" t="s">
        <v>27</v>
      </c>
      <c r="C100" s="30" t="s">
        <v>27</v>
      </c>
      <c r="D100" s="31"/>
      <c r="E100" s="31"/>
      <c r="F100" s="31"/>
      <c r="G100" s="31"/>
      <c r="H100" s="32"/>
      <c r="I100" s="29" t="s">
        <v>27</v>
      </c>
      <c r="J100" s="30" t="s">
        <v>27</v>
      </c>
      <c r="K100" s="30" t="s">
        <v>27</v>
      </c>
      <c r="L100" s="31"/>
      <c r="M100" s="31"/>
      <c r="N100" s="31"/>
      <c r="O100" s="31"/>
      <c r="P100" s="32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ageMargins left="0.7" right="0.7" top="0.75" bottom="0.75" header="0.3" footer="0.3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B50D9-721D-4E44-9350-9BCBF24C9B1C}">
  <dimension ref="A1:AB100"/>
  <sheetViews>
    <sheetView workbookViewId="0">
      <selection activeCell="Y8" sqref="Y8"/>
    </sheetView>
  </sheetViews>
  <sheetFormatPr defaultRowHeight="15"/>
  <sheetData>
    <row r="1" spans="1:28" ht="15.75">
      <c r="A1" s="62" t="s">
        <v>30</v>
      </c>
      <c r="B1" s="63"/>
      <c r="C1" s="63"/>
      <c r="D1" s="63"/>
      <c r="E1" s="63"/>
      <c r="F1" s="64" t="s">
        <v>3</v>
      </c>
      <c r="G1" s="64"/>
      <c r="H1" s="24" cm="1">
        <f t="array" ref="H1">SUM(VLOOKUP(A4:C100,$T$3:$W$36,4,FALSE))+H4*10-H8*50</f>
        <v>3249.5502686758441</v>
      </c>
      <c r="I1" s="65" t="s">
        <v>41</v>
      </c>
      <c r="J1" s="66"/>
      <c r="K1" s="66"/>
      <c r="L1" s="66"/>
      <c r="M1" s="66"/>
      <c r="N1" s="66"/>
      <c r="O1" s="66"/>
      <c r="P1" s="67"/>
      <c r="Q1" s="65" t="s">
        <v>48</v>
      </c>
      <c r="R1" s="66"/>
      <c r="S1" s="66"/>
      <c r="T1" s="66"/>
      <c r="U1" s="66"/>
      <c r="V1" s="66"/>
      <c r="W1" s="66"/>
      <c r="X1" s="66"/>
      <c r="Y1" s="66"/>
      <c r="Z1" s="66"/>
      <c r="AA1" s="66"/>
      <c r="AB1" s="67"/>
    </row>
    <row r="2" spans="1:28" ht="30">
      <c r="A2" s="68" t="s">
        <v>35</v>
      </c>
      <c r="B2" s="69"/>
      <c r="C2" s="69"/>
      <c r="D2" s="70" t="s">
        <v>37</v>
      </c>
      <c r="E2" s="71"/>
      <c r="F2" s="71"/>
      <c r="G2" s="71"/>
      <c r="H2" s="72"/>
      <c r="I2" s="73" t="s">
        <v>35</v>
      </c>
      <c r="J2" s="74"/>
      <c r="K2" s="74"/>
      <c r="L2" s="75" t="s">
        <v>37</v>
      </c>
      <c r="M2" s="75"/>
      <c r="N2" s="75"/>
      <c r="O2" s="75"/>
      <c r="P2" s="76"/>
      <c r="Q2" s="50" t="s">
        <v>43</v>
      </c>
      <c r="R2" s="51" cm="1">
        <f t="array" ref="R2">SUM(V3:V28*AB3:AB28)+H6+P6+R4*500</f>
        <v>64990</v>
      </c>
      <c r="S2" s="26"/>
      <c r="T2" s="1" t="s">
        <v>0</v>
      </c>
      <c r="U2" s="1" t="s">
        <v>1</v>
      </c>
      <c r="V2" s="1" t="s">
        <v>2</v>
      </c>
      <c r="W2" s="44" t="s">
        <v>3</v>
      </c>
      <c r="X2" s="46" t="s">
        <v>44</v>
      </c>
      <c r="Y2" s="46" t="s">
        <v>56</v>
      </c>
      <c r="Z2" s="47" t="s">
        <v>45</v>
      </c>
      <c r="AA2" s="47" t="s">
        <v>46</v>
      </c>
      <c r="AB2" s="52" t="s">
        <v>47</v>
      </c>
    </row>
    <row r="3" spans="1:28">
      <c r="A3" s="60" t="s">
        <v>31</v>
      </c>
      <c r="B3" s="61" t="s">
        <v>32</v>
      </c>
      <c r="C3" s="20" t="s">
        <v>33</v>
      </c>
      <c r="D3" s="33"/>
      <c r="E3" s="60" t="s">
        <v>31</v>
      </c>
      <c r="F3" s="61" t="s">
        <v>32</v>
      </c>
      <c r="G3" s="20" t="s">
        <v>33</v>
      </c>
      <c r="H3" s="34" t="s">
        <v>36</v>
      </c>
      <c r="I3" s="60" t="s">
        <v>31</v>
      </c>
      <c r="J3" s="61" t="s">
        <v>32</v>
      </c>
      <c r="K3" s="20" t="s">
        <v>33</v>
      </c>
      <c r="L3" s="33"/>
      <c r="M3" s="60" t="s">
        <v>31</v>
      </c>
      <c r="N3" s="61" t="s">
        <v>32</v>
      </c>
      <c r="O3" s="20" t="s">
        <v>33</v>
      </c>
      <c r="P3" s="34" t="s">
        <v>36</v>
      </c>
      <c r="Q3" s="53" t="s">
        <v>49</v>
      </c>
      <c r="R3" s="26">
        <v>91</v>
      </c>
      <c r="S3" s="26"/>
      <c r="T3" s="2" t="s">
        <v>4</v>
      </c>
      <c r="U3" s="1">
        <v>150</v>
      </c>
      <c r="V3" s="1">
        <v>35</v>
      </c>
      <c r="W3" s="45">
        <f>U3-V3/0.330882</f>
        <v>44.222109392472248</v>
      </c>
      <c r="X3" s="46"/>
      <c r="Y3" s="46">
        <v>24</v>
      </c>
      <c r="Z3" s="1">
        <f>COUNTIF($A$4:$C$100,T3)</f>
        <v>16</v>
      </c>
      <c r="AA3" s="1">
        <f>COUNTIF($I$4:$K$100,T3)</f>
        <v>8</v>
      </c>
      <c r="AB3" s="54">
        <f>Y3-Z3-AA3</f>
        <v>0</v>
      </c>
    </row>
    <row r="4" spans="1:28">
      <c r="A4" s="2" t="s">
        <v>4</v>
      </c>
      <c r="B4" s="2" t="s">
        <v>4</v>
      </c>
      <c r="C4" s="3" t="s">
        <v>5</v>
      </c>
      <c r="D4" s="43" t="s">
        <v>34</v>
      </c>
      <c r="E4" s="39">
        <v>0</v>
      </c>
      <c r="F4" s="39">
        <v>10</v>
      </c>
      <c r="G4" s="39">
        <v>5</v>
      </c>
      <c r="H4" s="36">
        <f>SUM(E4:G4)</f>
        <v>15</v>
      </c>
      <c r="I4" s="2" t="s">
        <v>4</v>
      </c>
      <c r="J4" s="3" t="s">
        <v>5</v>
      </c>
      <c r="K4" s="3" t="s">
        <v>5</v>
      </c>
      <c r="L4" s="43" t="s">
        <v>34</v>
      </c>
      <c r="M4" s="39">
        <v>1</v>
      </c>
      <c r="N4" s="39">
        <v>1</v>
      </c>
      <c r="O4" s="39">
        <v>0</v>
      </c>
      <c r="P4" s="36">
        <f>SUM(M4:O4)</f>
        <v>2</v>
      </c>
      <c r="Q4" s="53" t="s">
        <v>50</v>
      </c>
      <c r="R4" s="40">
        <v>14</v>
      </c>
      <c r="S4" s="26"/>
      <c r="T4" s="3" t="s">
        <v>5</v>
      </c>
      <c r="U4" s="1">
        <v>160</v>
      </c>
      <c r="V4" s="1">
        <v>40</v>
      </c>
      <c r="W4" s="45">
        <f t="shared" ref="W4" si="0">U4-V4/0.330882</f>
        <v>39.110982162825422</v>
      </c>
      <c r="X4" s="46"/>
      <c r="Y4" s="46">
        <v>52</v>
      </c>
      <c r="Z4" s="1">
        <f t="shared" ref="Z4:Z28" si="1">COUNTIF($A$4:$C$100,T4)</f>
        <v>25</v>
      </c>
      <c r="AA4" s="1">
        <f t="shared" ref="AA4:AA28" si="2">COUNTIF($I$4:$K$100,T4)</f>
        <v>27</v>
      </c>
      <c r="AB4" s="54">
        <f t="shared" ref="AB4:AB28" si="3">Y4-Z4-AA4</f>
        <v>0</v>
      </c>
    </row>
    <row r="5" spans="1:28">
      <c r="A5" s="2" t="s">
        <v>4</v>
      </c>
      <c r="B5" s="2" t="s">
        <v>4</v>
      </c>
      <c r="C5" s="23" t="s">
        <v>29</v>
      </c>
      <c r="D5" s="33" t="s">
        <v>38</v>
      </c>
      <c r="E5" s="35" cm="1">
        <f t="array" ref="E5">(SUM(VLOOKUP(A4:A100,$T$3:$W$41,2,FALSE))+E4*10)-E8*50</f>
        <v>900</v>
      </c>
      <c r="F5" s="35" cm="1">
        <f t="array" ref="F5">(SUM(VLOOKUP(B4:B100,$T$3:$W$41,2,FALSE))+F4*10)-F8*50</f>
        <v>7300</v>
      </c>
      <c r="G5" s="35" cm="1">
        <f t="array" ref="G5">(SUM(VLOOKUP(C4:C100,$T$3:$W$41,2,FALSE))+G4*10)-G8*50</f>
        <v>6480</v>
      </c>
      <c r="H5" s="59">
        <f t="shared" ref="H5:H8" si="4">SUM(E5:G5)</f>
        <v>14680</v>
      </c>
      <c r="I5" s="15" t="s">
        <v>17</v>
      </c>
      <c r="J5" s="1" t="s">
        <v>27</v>
      </c>
      <c r="K5" s="3" t="s">
        <v>5</v>
      </c>
      <c r="L5" s="33" t="s">
        <v>38</v>
      </c>
      <c r="M5" s="35" cm="1">
        <f t="array" ref="M5">(SUM(VLOOKUP(I4:I100,$T$3:$W$41,2,FALSE))+M4*10)*0.8-M8*40</f>
        <v>1728</v>
      </c>
      <c r="N5" s="35" cm="1">
        <f t="array" ref="N5">(SUM(VLOOKUP(J4:J100,$T$3:$W$41,2,FALSE))+N4*10)*0.8-N8*40</f>
        <v>1480</v>
      </c>
      <c r="O5" s="35" cm="1">
        <f t="array" ref="O5">(SUM(VLOOKUP(K4:K100,$T$3:$W$41,2,FALSE))+O4*10)*0.8-O8*40</f>
        <v>1864</v>
      </c>
      <c r="P5" s="59">
        <f t="shared" ref="P5:P8" si="5">SUM(M5:O5)</f>
        <v>5072</v>
      </c>
      <c r="Q5" s="53" t="s">
        <v>51</v>
      </c>
      <c r="R5" s="26">
        <v>6000</v>
      </c>
      <c r="S5" s="26"/>
      <c r="T5" s="4" t="s">
        <v>6</v>
      </c>
      <c r="U5" s="1">
        <v>170</v>
      </c>
      <c r="V5" s="1">
        <v>45</v>
      </c>
      <c r="W5" s="45">
        <v>34</v>
      </c>
      <c r="X5" s="48"/>
      <c r="Y5" s="46">
        <v>214</v>
      </c>
      <c r="Z5" s="1">
        <f t="shared" si="1"/>
        <v>39</v>
      </c>
      <c r="AA5" s="1">
        <f t="shared" si="2"/>
        <v>0</v>
      </c>
      <c r="AB5" s="54">
        <f t="shared" si="3"/>
        <v>175</v>
      </c>
    </row>
    <row r="6" spans="1:28">
      <c r="A6" s="2" t="s">
        <v>4</v>
      </c>
      <c r="B6" s="2" t="s">
        <v>4</v>
      </c>
      <c r="C6" s="3" t="s">
        <v>5</v>
      </c>
      <c r="D6" s="33" t="s">
        <v>39</v>
      </c>
      <c r="E6" s="35" cm="1">
        <f t="array" ref="E6">(SUM(VLOOKUP(A4:A100,$T$3:$W$41,3,FALSE)))</f>
        <v>210</v>
      </c>
      <c r="F6" s="35" cm="1">
        <f t="array" ref="F6">(SUM(VLOOKUP(B4:B100,$T$3:$W$41,3,FALSE)))</f>
        <v>2040</v>
      </c>
      <c r="G6" s="35" cm="1">
        <f t="array" ref="G6">(SUM(VLOOKUP(C4:C100,$T$3:$W$41,3,FALSE)))</f>
        <v>2610</v>
      </c>
      <c r="H6" s="49">
        <f t="shared" si="4"/>
        <v>4860</v>
      </c>
      <c r="I6" s="2" t="s">
        <v>4</v>
      </c>
      <c r="J6" s="9" t="s">
        <v>11</v>
      </c>
      <c r="K6" s="3" t="s">
        <v>5</v>
      </c>
      <c r="L6" s="33" t="s">
        <v>39</v>
      </c>
      <c r="M6" s="35" cm="1">
        <f t="array" ref="M6">(SUM(VLOOKUP(I4:I100,$T$3:$W$41,3,FALSE)))</f>
        <v>700</v>
      </c>
      <c r="N6" s="35" cm="1">
        <f t="array" ref="N6">(SUM(VLOOKUP(J4:J100,$T$3:$W$41,3,FALSE)))</f>
        <v>500</v>
      </c>
      <c r="O6" s="35" cm="1">
        <f t="array" ref="O6">(SUM(VLOOKUP(K4:K100,$T$3:$W$41,3,FALSE)))</f>
        <v>620</v>
      </c>
      <c r="P6" s="49">
        <f t="shared" si="5"/>
        <v>1820</v>
      </c>
      <c r="Q6" s="50" t="s">
        <v>52</v>
      </c>
      <c r="R6" s="26">
        <f>R3*1600-800+R5</f>
        <v>150800</v>
      </c>
      <c r="S6" s="26"/>
      <c r="T6" s="5" t="s">
        <v>7</v>
      </c>
      <c r="U6" s="1">
        <v>180</v>
      </c>
      <c r="V6" s="1">
        <v>50</v>
      </c>
      <c r="W6" s="45">
        <v>36</v>
      </c>
      <c r="X6" s="46">
        <v>267</v>
      </c>
      <c r="Y6" s="46">
        <v>266</v>
      </c>
      <c r="Z6" s="1">
        <f t="shared" si="1"/>
        <v>0</v>
      </c>
      <c r="AA6" s="1">
        <f t="shared" si="2"/>
        <v>0</v>
      </c>
      <c r="AB6" s="54">
        <f t="shared" si="3"/>
        <v>266</v>
      </c>
    </row>
    <row r="7" spans="1:28">
      <c r="A7" s="2" t="s">
        <v>4</v>
      </c>
      <c r="B7" s="2" t="s">
        <v>4</v>
      </c>
      <c r="C7" s="4" t="s">
        <v>6</v>
      </c>
      <c r="D7" s="33" t="s">
        <v>40</v>
      </c>
      <c r="E7" s="35">
        <f>COUNTIF(A4:A100,"&lt;&gt;空")</f>
        <v>6</v>
      </c>
      <c r="F7" s="35">
        <f>COUNTIF(B4:B100,"&lt;&gt;空")</f>
        <v>46</v>
      </c>
      <c r="G7" s="35">
        <f>COUNTIF(C4:C100,"&lt;&gt;空")</f>
        <v>47</v>
      </c>
      <c r="H7" s="36">
        <f t="shared" si="4"/>
        <v>99</v>
      </c>
      <c r="I7" s="2" t="s">
        <v>4</v>
      </c>
      <c r="J7" s="3" t="s">
        <v>5</v>
      </c>
      <c r="K7" s="15" t="s">
        <v>17</v>
      </c>
      <c r="L7" s="33" t="s">
        <v>40</v>
      </c>
      <c r="M7" s="35">
        <f>COUNTIF(I4:I100,"&lt;&gt;空")</f>
        <v>21</v>
      </c>
      <c r="N7" s="35">
        <f>COUNTIF(J4:J100,"&lt;&gt;空")</f>
        <v>13</v>
      </c>
      <c r="O7" s="35">
        <f>COUNTIF(K4:K100,"&lt;&gt;空")</f>
        <v>16</v>
      </c>
      <c r="P7" s="36">
        <f t="shared" si="5"/>
        <v>50</v>
      </c>
      <c r="Q7" s="53" t="s">
        <v>55</v>
      </c>
      <c r="R7" s="26">
        <v>0</v>
      </c>
      <c r="S7" s="26"/>
      <c r="T7" s="6" t="s">
        <v>8</v>
      </c>
      <c r="U7" s="1">
        <v>190</v>
      </c>
      <c r="V7" s="1">
        <v>55</v>
      </c>
      <c r="W7" s="45">
        <v>38</v>
      </c>
      <c r="X7" s="46">
        <v>236</v>
      </c>
      <c r="Y7" s="46">
        <v>236</v>
      </c>
      <c r="Z7" s="1">
        <f t="shared" si="1"/>
        <v>0</v>
      </c>
      <c r="AA7" s="1">
        <f t="shared" si="2"/>
        <v>0</v>
      </c>
      <c r="AB7" s="54">
        <f t="shared" si="3"/>
        <v>236</v>
      </c>
    </row>
    <row r="8" spans="1:28">
      <c r="A8" s="2" t="s">
        <v>4</v>
      </c>
      <c r="B8" s="2" t="s">
        <v>4</v>
      </c>
      <c r="C8" s="4" t="s">
        <v>6</v>
      </c>
      <c r="D8" s="42" t="s">
        <v>70</v>
      </c>
      <c r="E8" s="41">
        <v>0</v>
      </c>
      <c r="F8" s="41">
        <v>0</v>
      </c>
      <c r="G8" s="41">
        <v>1</v>
      </c>
      <c r="H8" s="36">
        <f t="shared" si="4"/>
        <v>1</v>
      </c>
      <c r="I8" s="15" t="s">
        <v>17</v>
      </c>
      <c r="J8" s="3" t="s">
        <v>5</v>
      </c>
      <c r="K8" s="3" t="s">
        <v>5</v>
      </c>
      <c r="L8" s="42" t="s">
        <v>70</v>
      </c>
      <c r="M8" s="41">
        <v>2</v>
      </c>
      <c r="N8" s="41">
        <v>0</v>
      </c>
      <c r="O8" s="41">
        <v>0</v>
      </c>
      <c r="P8" s="36">
        <f t="shared" si="5"/>
        <v>2</v>
      </c>
      <c r="Q8" s="50" t="s">
        <v>54</v>
      </c>
      <c r="R8" s="55" cm="1">
        <f t="array" ref="R8">R6-P5-H5-SUM(U3:U28*AB3:AB28)*0.8-R7*8</f>
        <v>32</v>
      </c>
      <c r="S8" s="26"/>
      <c r="T8" s="7" t="s">
        <v>9</v>
      </c>
      <c r="U8" s="1">
        <v>200</v>
      </c>
      <c r="V8" s="1">
        <v>60</v>
      </c>
      <c r="W8" s="45"/>
      <c r="X8" s="46">
        <v>194</v>
      </c>
      <c r="Y8" s="46">
        <v>194</v>
      </c>
      <c r="Z8" s="1">
        <f t="shared" si="1"/>
        <v>0</v>
      </c>
      <c r="AA8" s="1">
        <f t="shared" si="2"/>
        <v>0</v>
      </c>
      <c r="AB8" s="54">
        <f t="shared" si="3"/>
        <v>194</v>
      </c>
    </row>
    <row r="9" spans="1:28">
      <c r="A9" s="2" t="s">
        <v>4</v>
      </c>
      <c r="B9" s="2" t="s">
        <v>4</v>
      </c>
      <c r="C9" s="17" t="s">
        <v>19</v>
      </c>
      <c r="D9" s="26"/>
      <c r="E9" s="26"/>
      <c r="F9" s="26"/>
      <c r="G9" s="26"/>
      <c r="H9" s="27"/>
      <c r="I9" s="1" t="s">
        <v>27</v>
      </c>
      <c r="J9" s="3" t="s">
        <v>5</v>
      </c>
      <c r="K9" s="3" t="s">
        <v>5</v>
      </c>
      <c r="L9" s="33" t="s">
        <v>42</v>
      </c>
      <c r="M9" s="37">
        <f>M6/M5</f>
        <v>0.40509259259259262</v>
      </c>
      <c r="N9" s="37">
        <f>N6/N5</f>
        <v>0.33783783783783783</v>
      </c>
      <c r="O9" s="37">
        <f>O6/O5</f>
        <v>0.33261802575107297</v>
      </c>
      <c r="P9" s="38">
        <f>P6/P5</f>
        <v>0.35883280757097791</v>
      </c>
      <c r="Q9" s="50"/>
      <c r="R9" s="26"/>
      <c r="S9" s="26"/>
      <c r="T9" s="8" t="s">
        <v>10</v>
      </c>
      <c r="U9" s="1">
        <v>150</v>
      </c>
      <c r="V9" s="1">
        <v>35</v>
      </c>
      <c r="W9" s="45">
        <f t="shared" ref="W9:W11" si="6">U9-V9/0.330882</f>
        <v>44.222109392472248</v>
      </c>
      <c r="X9" s="46">
        <v>3</v>
      </c>
      <c r="Y9" s="46">
        <v>0</v>
      </c>
      <c r="Z9" s="1">
        <f t="shared" si="1"/>
        <v>0</v>
      </c>
      <c r="AA9" s="1">
        <f t="shared" si="2"/>
        <v>0</v>
      </c>
      <c r="AB9" s="54">
        <f t="shared" si="3"/>
        <v>0</v>
      </c>
    </row>
    <row r="10" spans="1:28">
      <c r="A10" s="1" t="s">
        <v>27</v>
      </c>
      <c r="B10" s="1" t="s">
        <v>27</v>
      </c>
      <c r="C10" s="4" t="s">
        <v>6</v>
      </c>
      <c r="D10" s="26"/>
      <c r="E10" s="26"/>
      <c r="F10" s="26"/>
      <c r="G10" s="26"/>
      <c r="H10" s="27"/>
      <c r="I10" s="16" t="s">
        <v>28</v>
      </c>
      <c r="J10" s="1" t="s">
        <v>27</v>
      </c>
      <c r="K10" s="3" t="s">
        <v>5</v>
      </c>
      <c r="L10" s="26"/>
      <c r="M10" s="26"/>
      <c r="N10" s="26"/>
      <c r="O10" s="26"/>
      <c r="P10" s="27"/>
      <c r="Q10" s="50"/>
      <c r="R10" s="26"/>
      <c r="S10" s="26"/>
      <c r="T10" s="9" t="s">
        <v>11</v>
      </c>
      <c r="U10" s="1">
        <v>150</v>
      </c>
      <c r="V10" s="1">
        <v>40</v>
      </c>
      <c r="W10" s="45">
        <f t="shared" si="6"/>
        <v>29.110982162825422</v>
      </c>
      <c r="X10" s="46">
        <v>7</v>
      </c>
      <c r="Y10" s="46">
        <v>6</v>
      </c>
      <c r="Z10" s="1">
        <f t="shared" si="1"/>
        <v>2</v>
      </c>
      <c r="AA10" s="1">
        <f t="shared" si="2"/>
        <v>4</v>
      </c>
      <c r="AB10" s="54">
        <f t="shared" si="3"/>
        <v>0</v>
      </c>
    </row>
    <row r="11" spans="1:28">
      <c r="A11" s="1" t="s">
        <v>27</v>
      </c>
      <c r="B11" s="1" t="s">
        <v>27</v>
      </c>
      <c r="C11" s="1" t="s">
        <v>27</v>
      </c>
      <c r="D11" s="26"/>
      <c r="E11" s="26"/>
      <c r="F11" s="26"/>
      <c r="G11" s="26"/>
      <c r="H11" s="27"/>
      <c r="I11" s="3" t="s">
        <v>5</v>
      </c>
      <c r="J11" s="3" t="s">
        <v>5</v>
      </c>
      <c r="K11" s="3" t="s">
        <v>5</v>
      </c>
      <c r="L11" s="26"/>
      <c r="M11" s="26"/>
      <c r="N11" s="26"/>
      <c r="O11" s="26"/>
      <c r="P11" s="27">
        <f>H5+P5</f>
        <v>19752</v>
      </c>
      <c r="Q11" s="50"/>
      <c r="R11" s="26"/>
      <c r="S11" s="26"/>
      <c r="T11" s="10" t="s">
        <v>12</v>
      </c>
      <c r="U11" s="1">
        <v>150</v>
      </c>
      <c r="V11" s="1">
        <v>45</v>
      </c>
      <c r="W11" s="45">
        <f t="shared" si="6"/>
        <v>13.999854933178597</v>
      </c>
      <c r="X11" s="46">
        <v>6</v>
      </c>
      <c r="Y11" s="46">
        <v>6</v>
      </c>
      <c r="Z11" s="1">
        <f t="shared" si="1"/>
        <v>0</v>
      </c>
      <c r="AA11" s="1">
        <f t="shared" si="2"/>
        <v>0</v>
      </c>
      <c r="AB11" s="54">
        <f t="shared" si="3"/>
        <v>6</v>
      </c>
    </row>
    <row r="12" spans="1:28">
      <c r="A12" s="1" t="s">
        <v>27</v>
      </c>
      <c r="B12" s="4" t="s">
        <v>6</v>
      </c>
      <c r="C12" s="4" t="s">
        <v>6</v>
      </c>
      <c r="D12" s="26"/>
      <c r="E12" s="26"/>
      <c r="F12" s="26"/>
      <c r="G12" s="26"/>
      <c r="H12" s="27"/>
      <c r="I12" s="3" t="s">
        <v>5</v>
      </c>
      <c r="J12" s="15" t="s">
        <v>17</v>
      </c>
      <c r="K12" s="3" t="s">
        <v>5</v>
      </c>
      <c r="L12" s="26"/>
      <c r="M12" s="26"/>
      <c r="N12" s="26"/>
      <c r="O12" s="26"/>
      <c r="P12" s="27">
        <f>H6+P6</f>
        <v>6680</v>
      </c>
      <c r="Q12" s="50"/>
      <c r="R12" s="26"/>
      <c r="S12" s="26"/>
      <c r="T12" s="11" t="s">
        <v>13</v>
      </c>
      <c r="U12" s="1">
        <v>150</v>
      </c>
      <c r="V12" s="1">
        <v>50</v>
      </c>
      <c r="W12" s="45"/>
      <c r="X12" s="46">
        <v>4</v>
      </c>
      <c r="Y12" s="46">
        <v>4</v>
      </c>
      <c r="Z12" s="1">
        <f t="shared" si="1"/>
        <v>0</v>
      </c>
      <c r="AA12" s="1">
        <f t="shared" si="2"/>
        <v>0</v>
      </c>
      <c r="AB12" s="54">
        <f t="shared" si="3"/>
        <v>4</v>
      </c>
    </row>
    <row r="13" spans="1:28">
      <c r="A13" s="1" t="s">
        <v>27</v>
      </c>
      <c r="B13" s="4" t="s">
        <v>6</v>
      </c>
      <c r="C13" s="15" t="s">
        <v>17</v>
      </c>
      <c r="D13" s="26"/>
      <c r="E13" s="26"/>
      <c r="F13" s="26"/>
      <c r="G13" s="26"/>
      <c r="H13" s="27"/>
      <c r="I13" s="3" t="s">
        <v>5</v>
      </c>
      <c r="J13" s="3" t="s">
        <v>5</v>
      </c>
      <c r="K13" s="3" t="s">
        <v>5</v>
      </c>
      <c r="L13" s="26"/>
      <c r="M13" s="26"/>
      <c r="N13" s="26"/>
      <c r="O13" s="26"/>
      <c r="P13" s="27"/>
      <c r="Q13" s="50"/>
      <c r="R13" s="26"/>
      <c r="S13" s="26"/>
      <c r="T13" s="12" t="s">
        <v>14</v>
      </c>
      <c r="U13" s="1">
        <v>150</v>
      </c>
      <c r="V13" s="1">
        <v>55</v>
      </c>
      <c r="W13" s="45"/>
      <c r="X13" s="46">
        <v>3</v>
      </c>
      <c r="Y13" s="46">
        <v>3</v>
      </c>
      <c r="Z13" s="1">
        <f t="shared" si="1"/>
        <v>0</v>
      </c>
      <c r="AA13" s="1">
        <f t="shared" si="2"/>
        <v>0</v>
      </c>
      <c r="AB13" s="54">
        <f t="shared" si="3"/>
        <v>3</v>
      </c>
    </row>
    <row r="14" spans="1:28">
      <c r="A14" s="1" t="s">
        <v>27</v>
      </c>
      <c r="B14" s="4" t="s">
        <v>6</v>
      </c>
      <c r="C14" s="3" t="s">
        <v>5</v>
      </c>
      <c r="D14" s="26"/>
      <c r="E14" s="26"/>
      <c r="F14" s="26"/>
      <c r="G14" s="26"/>
      <c r="H14" s="27"/>
      <c r="I14" s="15" t="s">
        <v>17</v>
      </c>
      <c r="J14" s="3" t="s">
        <v>5</v>
      </c>
      <c r="K14" s="15" t="s">
        <v>17</v>
      </c>
      <c r="L14" s="26"/>
      <c r="M14" s="26"/>
      <c r="N14" s="26"/>
      <c r="O14" s="26"/>
      <c r="P14" s="27"/>
      <c r="Q14" s="50"/>
      <c r="R14" s="26"/>
      <c r="S14" s="26"/>
      <c r="T14" s="13" t="s">
        <v>15</v>
      </c>
      <c r="U14" s="1">
        <v>150</v>
      </c>
      <c r="V14" s="1">
        <v>60</v>
      </c>
      <c r="W14" s="45"/>
      <c r="X14" s="46">
        <v>1</v>
      </c>
      <c r="Y14" s="46">
        <v>1</v>
      </c>
      <c r="Z14" s="1">
        <f t="shared" si="1"/>
        <v>0</v>
      </c>
      <c r="AA14" s="1">
        <f t="shared" si="2"/>
        <v>0</v>
      </c>
      <c r="AB14" s="54">
        <f t="shared" si="3"/>
        <v>1</v>
      </c>
    </row>
    <row r="15" spans="1:28">
      <c r="A15" s="1" t="s">
        <v>27</v>
      </c>
      <c r="B15" s="4" t="s">
        <v>6</v>
      </c>
      <c r="C15" s="16" t="s">
        <v>18</v>
      </c>
      <c r="D15" s="26"/>
      <c r="E15" s="26"/>
      <c r="F15" s="26"/>
      <c r="G15" s="26"/>
      <c r="H15" s="27"/>
      <c r="I15" s="9" t="s">
        <v>11</v>
      </c>
      <c r="J15" s="3" t="s">
        <v>5</v>
      </c>
      <c r="K15" s="3" t="s">
        <v>5</v>
      </c>
      <c r="L15" s="26"/>
      <c r="M15" s="26"/>
      <c r="N15" s="26"/>
      <c r="O15" s="26"/>
      <c r="P15" s="27"/>
      <c r="Q15" s="50"/>
      <c r="R15" s="26"/>
      <c r="S15" s="26"/>
      <c r="T15" s="14" t="s">
        <v>16</v>
      </c>
      <c r="U15" s="1">
        <v>150</v>
      </c>
      <c r="V15" s="1">
        <v>35</v>
      </c>
      <c r="W15" s="45">
        <f t="shared" ref="W15" si="7">U15-V15/0.330882</f>
        <v>44.222109392472248</v>
      </c>
      <c r="X15" s="46"/>
      <c r="Y15" s="46">
        <v>0</v>
      </c>
      <c r="Z15" s="1">
        <f t="shared" si="1"/>
        <v>0</v>
      </c>
      <c r="AA15" s="1">
        <f t="shared" si="2"/>
        <v>0</v>
      </c>
      <c r="AB15" s="54">
        <f t="shared" si="3"/>
        <v>0</v>
      </c>
    </row>
    <row r="16" spans="1:28">
      <c r="A16" s="1" t="s">
        <v>27</v>
      </c>
      <c r="B16" s="15" t="s">
        <v>17</v>
      </c>
      <c r="C16" s="2" t="s">
        <v>4</v>
      </c>
      <c r="D16" s="26"/>
      <c r="E16" s="26"/>
      <c r="F16" s="26"/>
      <c r="G16" s="26"/>
      <c r="H16" s="27"/>
      <c r="I16" s="2" t="s">
        <v>4</v>
      </c>
      <c r="J16" s="3" t="s">
        <v>5</v>
      </c>
      <c r="K16" s="3" t="s">
        <v>5</v>
      </c>
      <c r="L16" s="26"/>
      <c r="M16" s="26"/>
      <c r="N16" s="26"/>
      <c r="O16" s="26"/>
      <c r="P16" s="27"/>
      <c r="Q16" s="50"/>
      <c r="R16" s="26"/>
      <c r="S16" s="26"/>
      <c r="T16" s="15" t="s">
        <v>17</v>
      </c>
      <c r="U16" s="1">
        <v>50</v>
      </c>
      <c r="V16" s="1">
        <v>30</v>
      </c>
      <c r="W16" s="45">
        <v>10</v>
      </c>
      <c r="X16" s="46">
        <v>40</v>
      </c>
      <c r="Y16" s="46">
        <v>40</v>
      </c>
      <c r="Z16" s="1">
        <f t="shared" si="1"/>
        <v>4</v>
      </c>
      <c r="AA16" s="1">
        <f t="shared" si="2"/>
        <v>10</v>
      </c>
      <c r="AB16" s="54">
        <f t="shared" si="3"/>
        <v>26</v>
      </c>
    </row>
    <row r="17" spans="1:28">
      <c r="A17" s="1" t="s">
        <v>27</v>
      </c>
      <c r="B17" s="4" t="s">
        <v>6</v>
      </c>
      <c r="C17" s="2" t="s">
        <v>4</v>
      </c>
      <c r="D17" s="26"/>
      <c r="E17" s="26"/>
      <c r="F17" s="26"/>
      <c r="G17" s="26"/>
      <c r="H17" s="27"/>
      <c r="I17" s="15" t="s">
        <v>17</v>
      </c>
      <c r="J17" s="15" t="s">
        <v>17</v>
      </c>
      <c r="K17" s="3" t="s">
        <v>5</v>
      </c>
      <c r="L17" s="26"/>
      <c r="M17" s="26"/>
      <c r="N17" s="26"/>
      <c r="O17" s="26"/>
      <c r="P17" s="27"/>
      <c r="Q17" s="50"/>
      <c r="R17" s="26"/>
      <c r="S17" s="26"/>
      <c r="T17" s="16" t="s">
        <v>18</v>
      </c>
      <c r="U17" s="1">
        <v>-150</v>
      </c>
      <c r="V17" s="1">
        <v>0</v>
      </c>
      <c r="W17" s="45">
        <v>10</v>
      </c>
      <c r="X17" s="46">
        <v>4</v>
      </c>
      <c r="Y17" s="46">
        <v>4</v>
      </c>
      <c r="Z17" s="1">
        <f t="shared" si="1"/>
        <v>4</v>
      </c>
      <c r="AA17" s="1">
        <f t="shared" si="2"/>
        <v>0</v>
      </c>
      <c r="AB17" s="54">
        <f t="shared" si="3"/>
        <v>0</v>
      </c>
    </row>
    <row r="18" spans="1:28">
      <c r="A18" s="1" t="s">
        <v>27</v>
      </c>
      <c r="B18" s="17" t="s">
        <v>20</v>
      </c>
      <c r="C18" s="2" t="s">
        <v>4</v>
      </c>
      <c r="D18" s="26"/>
      <c r="E18" s="26"/>
      <c r="F18" s="26"/>
      <c r="G18" s="26"/>
      <c r="H18" s="27"/>
      <c r="I18" s="1" t="s">
        <v>27</v>
      </c>
      <c r="J18" s="1" t="s">
        <v>27</v>
      </c>
      <c r="K18" s="9" t="s">
        <v>11</v>
      </c>
      <c r="L18" s="26"/>
      <c r="M18" s="26"/>
      <c r="N18" s="26"/>
      <c r="O18" s="26"/>
      <c r="P18" s="27"/>
      <c r="Q18" s="50"/>
      <c r="R18" s="26"/>
      <c r="S18" s="26"/>
      <c r="T18" s="17" t="s">
        <v>19</v>
      </c>
      <c r="U18" s="1">
        <v>250</v>
      </c>
      <c r="V18" s="1">
        <v>200</v>
      </c>
      <c r="W18" s="45"/>
      <c r="X18" s="46">
        <v>3</v>
      </c>
      <c r="Y18" s="46">
        <v>3</v>
      </c>
      <c r="Z18" s="1">
        <f t="shared" si="1"/>
        <v>3</v>
      </c>
      <c r="AA18" s="1">
        <f t="shared" si="2"/>
        <v>0</v>
      </c>
      <c r="AB18" s="54">
        <f t="shared" si="3"/>
        <v>0</v>
      </c>
    </row>
    <row r="19" spans="1:28">
      <c r="A19" s="1" t="s">
        <v>27</v>
      </c>
      <c r="B19" s="4" t="s">
        <v>6</v>
      </c>
      <c r="C19" s="2" t="s">
        <v>4</v>
      </c>
      <c r="D19" s="26"/>
      <c r="E19" s="26"/>
      <c r="F19" s="26"/>
      <c r="G19" s="26"/>
      <c r="H19" s="27"/>
      <c r="I19" s="3" t="s">
        <v>5</v>
      </c>
      <c r="J19" s="9" t="s">
        <v>11</v>
      </c>
      <c r="K19" s="1" t="s">
        <v>27</v>
      </c>
      <c r="L19" s="26"/>
      <c r="M19" s="26"/>
      <c r="N19" s="26"/>
      <c r="O19" s="26"/>
      <c r="P19" s="27"/>
      <c r="Q19" s="50"/>
      <c r="R19" s="26"/>
      <c r="S19" s="26"/>
      <c r="T19" s="17" t="s">
        <v>20</v>
      </c>
      <c r="U19" s="1">
        <v>170</v>
      </c>
      <c r="V19" s="1">
        <v>45</v>
      </c>
      <c r="W19" s="45"/>
      <c r="X19" s="46">
        <v>5</v>
      </c>
      <c r="Y19" s="46">
        <v>5</v>
      </c>
      <c r="Z19" s="1">
        <f t="shared" si="1"/>
        <v>5</v>
      </c>
      <c r="AA19" s="1">
        <f t="shared" si="2"/>
        <v>0</v>
      </c>
      <c r="AB19" s="54">
        <f t="shared" si="3"/>
        <v>0</v>
      </c>
    </row>
    <row r="20" spans="1:28">
      <c r="A20" s="1" t="s">
        <v>27</v>
      </c>
      <c r="B20" s="3" t="s">
        <v>5</v>
      </c>
      <c r="C20" s="15" t="s">
        <v>17</v>
      </c>
      <c r="D20" s="26"/>
      <c r="E20" s="26"/>
      <c r="F20" s="26"/>
      <c r="G20" s="26"/>
      <c r="H20" s="27"/>
      <c r="I20" s="3" t="s">
        <v>5</v>
      </c>
      <c r="J20" s="1" t="s">
        <v>27</v>
      </c>
      <c r="K20" s="3" t="s">
        <v>5</v>
      </c>
      <c r="L20" s="26"/>
      <c r="M20" s="26"/>
      <c r="N20" s="26"/>
      <c r="O20" s="26"/>
      <c r="P20" s="27"/>
      <c r="Q20" s="50"/>
      <c r="R20" s="26"/>
      <c r="S20" s="26"/>
      <c r="T20" s="18" t="s">
        <v>21</v>
      </c>
      <c r="U20" s="1">
        <v>250</v>
      </c>
      <c r="V20" s="1">
        <v>200</v>
      </c>
      <c r="W20" s="45"/>
      <c r="X20" s="46">
        <v>0</v>
      </c>
      <c r="Y20" s="46">
        <v>0</v>
      </c>
      <c r="Z20" s="1">
        <f t="shared" si="1"/>
        <v>0</v>
      </c>
      <c r="AA20" s="1">
        <f t="shared" si="2"/>
        <v>0</v>
      </c>
      <c r="AB20" s="54">
        <f t="shared" si="3"/>
        <v>0</v>
      </c>
    </row>
    <row r="21" spans="1:28">
      <c r="A21" s="1" t="s">
        <v>27</v>
      </c>
      <c r="B21" s="3" t="s">
        <v>5</v>
      </c>
      <c r="C21" s="3" t="s">
        <v>5</v>
      </c>
      <c r="D21" s="26"/>
      <c r="E21" s="26"/>
      <c r="F21" s="26"/>
      <c r="G21" s="26"/>
      <c r="H21" s="27"/>
      <c r="I21" s="2" t="s">
        <v>4</v>
      </c>
      <c r="J21" s="1" t="s">
        <v>27</v>
      </c>
      <c r="K21" s="1" t="s">
        <v>27</v>
      </c>
      <c r="L21" s="26"/>
      <c r="M21" s="26"/>
      <c r="N21" s="26"/>
      <c r="O21" s="26"/>
      <c r="P21" s="27"/>
      <c r="Q21" s="50"/>
      <c r="R21" s="26"/>
      <c r="S21" s="26"/>
      <c r="T21" s="19" t="s">
        <v>22</v>
      </c>
      <c r="U21" s="1">
        <v>250</v>
      </c>
      <c r="V21" s="1">
        <v>1000</v>
      </c>
      <c r="W21" s="45"/>
      <c r="X21" s="46">
        <v>2</v>
      </c>
      <c r="Y21" s="46">
        <v>2</v>
      </c>
      <c r="Z21" s="1">
        <f t="shared" si="1"/>
        <v>0</v>
      </c>
      <c r="AA21" s="1">
        <f t="shared" si="2"/>
        <v>0</v>
      </c>
      <c r="AB21" s="54">
        <f t="shared" si="3"/>
        <v>2</v>
      </c>
    </row>
    <row r="22" spans="1:28">
      <c r="A22" s="1" t="s">
        <v>27</v>
      </c>
      <c r="B22" s="3" t="s">
        <v>5</v>
      </c>
      <c r="C22" s="3" t="s">
        <v>5</v>
      </c>
      <c r="D22" s="26"/>
      <c r="E22" s="26"/>
      <c r="F22" s="26"/>
      <c r="G22" s="26"/>
      <c r="H22" s="27"/>
      <c r="I22" s="15" t="s">
        <v>17</v>
      </c>
      <c r="J22" s="1" t="s">
        <v>27</v>
      </c>
      <c r="K22" s="1" t="s">
        <v>27</v>
      </c>
      <c r="L22" s="26"/>
      <c r="M22" s="26"/>
      <c r="N22" s="26"/>
      <c r="O22" s="26"/>
      <c r="P22" s="27"/>
      <c r="Q22" s="50"/>
      <c r="R22" s="26"/>
      <c r="S22" s="26"/>
      <c r="T22" s="20" t="s">
        <v>23</v>
      </c>
      <c r="U22" s="1">
        <v>250</v>
      </c>
      <c r="V22" s="1">
        <v>500</v>
      </c>
      <c r="W22" s="45"/>
      <c r="X22" s="46">
        <v>2</v>
      </c>
      <c r="Y22" s="46">
        <v>2</v>
      </c>
      <c r="Z22" s="1">
        <f t="shared" si="1"/>
        <v>0</v>
      </c>
      <c r="AA22" s="1">
        <f t="shared" si="2"/>
        <v>0</v>
      </c>
      <c r="AB22" s="54">
        <f t="shared" si="3"/>
        <v>2</v>
      </c>
    </row>
    <row r="23" spans="1:28">
      <c r="A23" s="1" t="s">
        <v>27</v>
      </c>
      <c r="B23" s="3" t="s">
        <v>5</v>
      </c>
      <c r="C23" s="3" t="s">
        <v>5</v>
      </c>
      <c r="D23" s="26"/>
      <c r="E23" s="26"/>
      <c r="F23" s="26"/>
      <c r="G23" s="26"/>
      <c r="H23" s="27"/>
      <c r="I23" s="2" t="s">
        <v>4</v>
      </c>
      <c r="J23" s="1" t="s">
        <v>27</v>
      </c>
      <c r="K23" s="1" t="s">
        <v>27</v>
      </c>
      <c r="L23" s="26"/>
      <c r="M23" s="26"/>
      <c r="N23" s="26"/>
      <c r="O23" s="26"/>
      <c r="P23" s="27"/>
      <c r="Q23" s="50"/>
      <c r="R23" s="26"/>
      <c r="S23" s="26"/>
      <c r="T23" s="21" t="s">
        <v>24</v>
      </c>
      <c r="U23" s="1">
        <v>160</v>
      </c>
      <c r="V23" s="1">
        <v>40</v>
      </c>
      <c r="W23" s="45">
        <f t="shared" ref="W23:W26" si="8">U23-V23/0.330882</f>
        <v>39.110982162825422</v>
      </c>
      <c r="X23" s="46">
        <v>0</v>
      </c>
      <c r="Y23" s="46">
        <v>0</v>
      </c>
      <c r="Z23" s="1">
        <f t="shared" si="1"/>
        <v>0</v>
      </c>
      <c r="AA23" s="1">
        <f t="shared" si="2"/>
        <v>0</v>
      </c>
      <c r="AB23" s="54">
        <f t="shared" si="3"/>
        <v>0</v>
      </c>
    </row>
    <row r="24" spans="1:28">
      <c r="A24" s="1" t="s">
        <v>27</v>
      </c>
      <c r="B24" s="3" t="s">
        <v>5</v>
      </c>
      <c r="C24" s="16" t="s">
        <v>18</v>
      </c>
      <c r="D24" s="26"/>
      <c r="E24" s="26"/>
      <c r="F24" s="26"/>
      <c r="G24" s="26"/>
      <c r="H24" s="27"/>
      <c r="I24" s="2" t="s">
        <v>4</v>
      </c>
      <c r="J24" s="1" t="s">
        <v>27</v>
      </c>
      <c r="K24" s="1" t="s">
        <v>27</v>
      </c>
      <c r="L24" s="26"/>
      <c r="M24" s="26"/>
      <c r="N24" s="26"/>
      <c r="O24" s="26"/>
      <c r="P24" s="27"/>
      <c r="Q24" s="50"/>
      <c r="R24" s="26"/>
      <c r="S24" s="26"/>
      <c r="T24" s="21" t="s">
        <v>25</v>
      </c>
      <c r="U24" s="1">
        <v>160</v>
      </c>
      <c r="V24" s="1">
        <v>40</v>
      </c>
      <c r="W24" s="45">
        <f t="shared" si="8"/>
        <v>39.110982162825422</v>
      </c>
      <c r="X24" s="46">
        <v>0</v>
      </c>
      <c r="Y24" s="46">
        <v>0</v>
      </c>
      <c r="Z24" s="1">
        <f t="shared" si="1"/>
        <v>0</v>
      </c>
      <c r="AA24" s="1">
        <f t="shared" si="2"/>
        <v>0</v>
      </c>
      <c r="AB24" s="54">
        <f t="shared" si="3"/>
        <v>0</v>
      </c>
    </row>
    <row r="25" spans="1:28">
      <c r="A25" s="1" t="s">
        <v>27</v>
      </c>
      <c r="B25" s="3" t="s">
        <v>5</v>
      </c>
      <c r="C25" s="3" t="s">
        <v>5</v>
      </c>
      <c r="D25" s="26"/>
      <c r="E25" s="26"/>
      <c r="F25" s="26"/>
      <c r="G25" s="26"/>
      <c r="H25" s="27"/>
      <c r="I25" s="2" t="s">
        <v>4</v>
      </c>
      <c r="J25" s="1" t="s">
        <v>27</v>
      </c>
      <c r="K25" s="1" t="s">
        <v>27</v>
      </c>
      <c r="L25" s="26"/>
      <c r="M25" s="26"/>
      <c r="N25" s="26"/>
      <c r="O25" s="26"/>
      <c r="P25" s="27"/>
      <c r="Q25" s="50"/>
      <c r="R25" s="26"/>
      <c r="S25" s="26"/>
      <c r="T25" s="21" t="s">
        <v>26</v>
      </c>
      <c r="U25" s="1">
        <v>150</v>
      </c>
      <c r="V25" s="1">
        <v>35</v>
      </c>
      <c r="W25" s="45">
        <f t="shared" si="8"/>
        <v>44.222109392472248</v>
      </c>
      <c r="X25" s="46">
        <v>0</v>
      </c>
      <c r="Y25" s="46">
        <v>0</v>
      </c>
      <c r="Z25" s="1">
        <f t="shared" si="1"/>
        <v>0</v>
      </c>
      <c r="AA25" s="1">
        <f t="shared" si="2"/>
        <v>0</v>
      </c>
      <c r="AB25" s="54">
        <f t="shared" si="3"/>
        <v>0</v>
      </c>
    </row>
    <row r="26" spans="1:28">
      <c r="A26" s="1" t="s">
        <v>27</v>
      </c>
      <c r="B26" s="4" t="s">
        <v>6</v>
      </c>
      <c r="C26" s="3" t="s">
        <v>5</v>
      </c>
      <c r="D26" s="26"/>
      <c r="E26" s="26"/>
      <c r="F26" s="26"/>
      <c r="G26" s="26"/>
      <c r="H26" s="27"/>
      <c r="I26" s="15" t="s">
        <v>17</v>
      </c>
      <c r="J26" s="1" t="s">
        <v>27</v>
      </c>
      <c r="K26" s="1" t="s">
        <v>27</v>
      </c>
      <c r="L26" s="26"/>
      <c r="M26" s="26"/>
      <c r="N26" s="26"/>
      <c r="O26" s="26"/>
      <c r="P26" s="27"/>
      <c r="Q26" s="50"/>
      <c r="R26" s="26"/>
      <c r="S26" s="26"/>
      <c r="T26" s="22" t="s">
        <v>27</v>
      </c>
      <c r="U26" s="1">
        <v>0</v>
      </c>
      <c r="V26" s="1">
        <v>0</v>
      </c>
      <c r="W26" s="45">
        <f t="shared" si="8"/>
        <v>0</v>
      </c>
      <c r="X26" s="46">
        <v>0</v>
      </c>
      <c r="Y26" s="46">
        <v>0</v>
      </c>
      <c r="Z26" s="1"/>
      <c r="AA26" s="1"/>
      <c r="AB26" s="54"/>
    </row>
    <row r="27" spans="1:28">
      <c r="A27" s="1" t="s">
        <v>27</v>
      </c>
      <c r="B27" s="4" t="s">
        <v>6</v>
      </c>
      <c r="C27" s="4" t="s">
        <v>6</v>
      </c>
      <c r="D27" s="26"/>
      <c r="E27" s="26"/>
      <c r="F27" s="26"/>
      <c r="G27" s="26"/>
      <c r="H27" s="27"/>
      <c r="I27" s="1" t="s">
        <v>27</v>
      </c>
      <c r="J27" s="1" t="s">
        <v>27</v>
      </c>
      <c r="K27" s="1" t="s">
        <v>27</v>
      </c>
      <c r="L27" s="26"/>
      <c r="M27" s="26"/>
      <c r="N27" s="26"/>
      <c r="O27" s="26"/>
      <c r="P27" s="27"/>
      <c r="Q27" s="50"/>
      <c r="R27" s="26"/>
      <c r="S27" s="26"/>
      <c r="T27" s="16" t="s">
        <v>28</v>
      </c>
      <c r="U27" s="1">
        <v>-200</v>
      </c>
      <c r="V27" s="1">
        <v>0</v>
      </c>
      <c r="W27" s="45"/>
      <c r="X27" s="46">
        <v>11</v>
      </c>
      <c r="Y27" s="46">
        <v>11</v>
      </c>
      <c r="Z27" s="1">
        <f t="shared" si="1"/>
        <v>0</v>
      </c>
      <c r="AA27" s="1">
        <f t="shared" si="2"/>
        <v>1</v>
      </c>
      <c r="AB27" s="54">
        <f t="shared" si="3"/>
        <v>10</v>
      </c>
    </row>
    <row r="28" spans="1:28">
      <c r="A28" s="1" t="s">
        <v>27</v>
      </c>
      <c r="B28" s="4" t="s">
        <v>6</v>
      </c>
      <c r="C28" s="4" t="s">
        <v>6</v>
      </c>
      <c r="D28" s="26"/>
      <c r="E28" s="26"/>
      <c r="F28" s="26"/>
      <c r="G28" s="26"/>
      <c r="H28" s="27"/>
      <c r="I28" s="1" t="s">
        <v>27</v>
      </c>
      <c r="J28" s="1" t="s">
        <v>27</v>
      </c>
      <c r="K28" s="1" t="s">
        <v>27</v>
      </c>
      <c r="L28" s="26"/>
      <c r="M28" s="26"/>
      <c r="N28" s="26"/>
      <c r="O28" s="26"/>
      <c r="P28" s="27"/>
      <c r="Q28" s="50"/>
      <c r="R28" s="26"/>
      <c r="S28" s="26"/>
      <c r="T28" s="23" t="s">
        <v>29</v>
      </c>
      <c r="U28" s="1">
        <v>50</v>
      </c>
      <c r="V28" s="1">
        <v>520</v>
      </c>
      <c r="W28" s="45"/>
      <c r="X28" s="46">
        <v>3</v>
      </c>
      <c r="Y28" s="46">
        <v>3</v>
      </c>
      <c r="Z28" s="1">
        <f t="shared" si="1"/>
        <v>1</v>
      </c>
      <c r="AA28" s="1">
        <f t="shared" si="2"/>
        <v>0</v>
      </c>
      <c r="AB28" s="54">
        <f t="shared" si="3"/>
        <v>2</v>
      </c>
    </row>
    <row r="29" spans="1:28" ht="15.75" thickBot="1">
      <c r="A29" s="1" t="s">
        <v>27</v>
      </c>
      <c r="B29" s="3" t="s">
        <v>5</v>
      </c>
      <c r="C29" s="4" t="s">
        <v>6</v>
      </c>
      <c r="D29" s="26"/>
      <c r="E29" s="26"/>
      <c r="F29" s="26"/>
      <c r="G29" s="26"/>
      <c r="H29" s="27"/>
      <c r="I29" s="1" t="s">
        <v>27</v>
      </c>
      <c r="J29" s="1" t="s">
        <v>27</v>
      </c>
      <c r="K29" s="1" t="s">
        <v>27</v>
      </c>
      <c r="L29" s="26"/>
      <c r="M29" s="26"/>
      <c r="N29" s="26"/>
      <c r="O29" s="26"/>
      <c r="P29" s="27"/>
      <c r="Q29" s="56"/>
      <c r="R29" s="31"/>
      <c r="S29" s="31"/>
      <c r="T29" s="30"/>
      <c r="U29" s="30"/>
      <c r="V29" s="30"/>
      <c r="W29" s="30"/>
      <c r="X29" s="30"/>
      <c r="Y29" s="30"/>
      <c r="Z29" s="30"/>
      <c r="AA29" s="30"/>
      <c r="AB29" s="57"/>
    </row>
    <row r="30" spans="1:28">
      <c r="A30" s="1" t="s">
        <v>27</v>
      </c>
      <c r="B30" s="3" t="s">
        <v>5</v>
      </c>
      <c r="C30" s="4" t="s">
        <v>6</v>
      </c>
      <c r="D30" s="26"/>
      <c r="E30" s="26"/>
      <c r="F30" s="26"/>
      <c r="G30" s="26"/>
      <c r="H30" s="27"/>
      <c r="I30" s="1" t="s">
        <v>27</v>
      </c>
      <c r="J30" s="1" t="s">
        <v>27</v>
      </c>
      <c r="K30" s="1" t="s">
        <v>27</v>
      </c>
      <c r="L30" s="26"/>
      <c r="M30" s="26"/>
      <c r="N30" s="26"/>
      <c r="O30" s="26"/>
      <c r="P30" s="27"/>
    </row>
    <row r="31" spans="1:28">
      <c r="A31" s="1" t="s">
        <v>27</v>
      </c>
      <c r="B31" s="4" t="s">
        <v>6</v>
      </c>
      <c r="C31" s="4" t="s">
        <v>6</v>
      </c>
      <c r="D31" s="26"/>
      <c r="E31" s="26"/>
      <c r="F31" s="26"/>
      <c r="G31" s="26"/>
      <c r="H31" s="27"/>
      <c r="I31" s="1" t="s">
        <v>27</v>
      </c>
      <c r="J31" s="1" t="s">
        <v>27</v>
      </c>
      <c r="K31" s="1" t="s">
        <v>27</v>
      </c>
      <c r="L31" s="26"/>
      <c r="M31" s="26"/>
      <c r="N31" s="26"/>
      <c r="O31" s="26"/>
      <c r="P31" s="27"/>
      <c r="Y31">
        <f>SUM(Y3:Y28)</f>
        <v>1076</v>
      </c>
    </row>
    <row r="32" spans="1:28">
      <c r="A32" s="1" t="s">
        <v>27</v>
      </c>
      <c r="B32" s="4" t="s">
        <v>6</v>
      </c>
      <c r="C32" s="17" t="s">
        <v>20</v>
      </c>
      <c r="D32" s="26"/>
      <c r="E32" s="26"/>
      <c r="F32" s="26"/>
      <c r="G32" s="26"/>
      <c r="H32" s="27"/>
      <c r="I32" s="1" t="s">
        <v>27</v>
      </c>
      <c r="J32" s="1" t="s">
        <v>27</v>
      </c>
      <c r="K32" s="1" t="s">
        <v>27</v>
      </c>
      <c r="L32" s="26"/>
      <c r="M32" s="26"/>
      <c r="N32" s="26"/>
      <c r="O32" s="26"/>
      <c r="P32" s="27"/>
      <c r="Q32" t="s">
        <v>57</v>
      </c>
      <c r="R32">
        <v>1</v>
      </c>
      <c r="S32" t="s">
        <v>59</v>
      </c>
    </row>
    <row r="33" spans="1:19">
      <c r="A33" s="1" t="s">
        <v>27</v>
      </c>
      <c r="B33" s="4" t="s">
        <v>6</v>
      </c>
      <c r="C33" s="3" t="s">
        <v>5</v>
      </c>
      <c r="D33" s="26"/>
      <c r="E33" s="26"/>
      <c r="F33" s="26"/>
      <c r="G33" s="26"/>
      <c r="H33" s="27"/>
      <c r="I33" s="1" t="s">
        <v>27</v>
      </c>
      <c r="J33" s="1" t="s">
        <v>27</v>
      </c>
      <c r="K33" s="1" t="s">
        <v>27</v>
      </c>
      <c r="L33" s="26"/>
      <c r="M33" s="26"/>
      <c r="N33" s="26"/>
      <c r="O33" s="26"/>
      <c r="P33" s="27"/>
      <c r="R33">
        <v>2</v>
      </c>
      <c r="S33" t="s">
        <v>60</v>
      </c>
    </row>
    <row r="34" spans="1:19">
      <c r="A34" s="1" t="s">
        <v>27</v>
      </c>
      <c r="B34" s="17" t="s">
        <v>20</v>
      </c>
      <c r="C34" s="3" t="s">
        <v>5</v>
      </c>
      <c r="D34" s="26"/>
      <c r="E34" s="26"/>
      <c r="F34" s="26"/>
      <c r="G34" s="26"/>
      <c r="H34" s="27"/>
      <c r="I34" s="28" t="s">
        <v>27</v>
      </c>
      <c r="J34" s="1" t="s">
        <v>27</v>
      </c>
      <c r="K34" s="1" t="s">
        <v>27</v>
      </c>
      <c r="L34" s="26"/>
      <c r="M34" s="26"/>
      <c r="N34" s="26"/>
      <c r="O34" s="26"/>
      <c r="P34" s="27"/>
      <c r="R34">
        <v>3</v>
      </c>
      <c r="S34" t="s">
        <v>58</v>
      </c>
    </row>
    <row r="35" spans="1:19">
      <c r="A35" s="1" t="s">
        <v>27</v>
      </c>
      <c r="B35" s="3" t="s">
        <v>5</v>
      </c>
      <c r="C35" s="3" t="s">
        <v>5</v>
      </c>
      <c r="D35" s="26"/>
      <c r="E35" s="26"/>
      <c r="F35" s="26"/>
      <c r="G35" s="26"/>
      <c r="H35" s="27"/>
      <c r="I35" s="28" t="s">
        <v>27</v>
      </c>
      <c r="J35" s="1" t="s">
        <v>27</v>
      </c>
      <c r="K35" s="1" t="s">
        <v>27</v>
      </c>
      <c r="L35" s="26"/>
      <c r="M35" s="26"/>
      <c r="N35" s="26"/>
      <c r="O35" s="26"/>
      <c r="P35" s="27"/>
      <c r="R35">
        <v>4</v>
      </c>
      <c r="S35" t="s">
        <v>61</v>
      </c>
    </row>
    <row r="36" spans="1:19">
      <c r="A36" s="1" t="s">
        <v>27</v>
      </c>
      <c r="B36" s="3" t="s">
        <v>5</v>
      </c>
      <c r="C36" s="15" t="s">
        <v>17</v>
      </c>
      <c r="D36" s="26"/>
      <c r="E36" s="26"/>
      <c r="F36" s="26"/>
      <c r="G36" s="26"/>
      <c r="H36" s="27"/>
      <c r="I36" s="28" t="s">
        <v>27</v>
      </c>
      <c r="J36" s="1" t="s">
        <v>27</v>
      </c>
      <c r="K36" s="1" t="s">
        <v>27</v>
      </c>
      <c r="L36" s="26"/>
      <c r="M36" s="26"/>
      <c r="N36" s="26"/>
      <c r="O36" s="26"/>
      <c r="P36" s="27"/>
      <c r="S36" t="s">
        <v>62</v>
      </c>
    </row>
    <row r="37" spans="1:19">
      <c r="A37" s="1" t="s">
        <v>27</v>
      </c>
      <c r="B37" s="4" t="s">
        <v>6</v>
      </c>
      <c r="C37" s="3" t="s">
        <v>5</v>
      </c>
      <c r="D37" s="26"/>
      <c r="E37" s="26"/>
      <c r="F37" s="26"/>
      <c r="G37" s="26"/>
      <c r="H37" s="27"/>
      <c r="I37" s="28" t="s">
        <v>27</v>
      </c>
      <c r="J37" s="1" t="s">
        <v>27</v>
      </c>
      <c r="K37" s="1" t="s">
        <v>27</v>
      </c>
      <c r="L37" s="26"/>
      <c r="M37" s="26"/>
      <c r="N37" s="26"/>
      <c r="O37" s="26"/>
      <c r="P37" s="27"/>
      <c r="R37">
        <v>5</v>
      </c>
      <c r="S37" t="s">
        <v>63</v>
      </c>
    </row>
    <row r="38" spans="1:19">
      <c r="A38" s="1" t="s">
        <v>27</v>
      </c>
      <c r="B38" s="4" t="s">
        <v>6</v>
      </c>
      <c r="C38" s="3" t="s">
        <v>5</v>
      </c>
      <c r="D38" s="26"/>
      <c r="E38" s="26"/>
      <c r="F38" s="26"/>
      <c r="G38" s="26"/>
      <c r="H38" s="27"/>
      <c r="I38" s="28" t="s">
        <v>27</v>
      </c>
      <c r="J38" s="1" t="s">
        <v>27</v>
      </c>
      <c r="K38" s="1" t="s">
        <v>27</v>
      </c>
      <c r="L38" s="26"/>
      <c r="M38" s="26"/>
      <c r="N38" s="26"/>
      <c r="O38" s="26"/>
      <c r="P38" s="27"/>
      <c r="R38">
        <v>6</v>
      </c>
      <c r="S38" t="s">
        <v>64</v>
      </c>
    </row>
    <row r="39" spans="1:19">
      <c r="A39" s="1" t="s">
        <v>27</v>
      </c>
      <c r="B39" s="4" t="s">
        <v>6</v>
      </c>
      <c r="C39" s="4" t="s">
        <v>6</v>
      </c>
      <c r="D39" s="26"/>
      <c r="E39" s="26"/>
      <c r="F39" s="26"/>
      <c r="G39" s="26"/>
      <c r="H39" s="27"/>
      <c r="I39" s="28" t="s">
        <v>27</v>
      </c>
      <c r="J39" s="1" t="s">
        <v>27</v>
      </c>
      <c r="K39" s="1" t="s">
        <v>27</v>
      </c>
      <c r="L39" s="26"/>
      <c r="M39" s="26"/>
      <c r="N39" s="26"/>
      <c r="O39" s="26"/>
      <c r="P39" s="27"/>
      <c r="R39">
        <v>7</v>
      </c>
      <c r="S39" t="s">
        <v>65</v>
      </c>
    </row>
    <row r="40" spans="1:19">
      <c r="A40" s="1" t="s">
        <v>27</v>
      </c>
      <c r="B40" s="17" t="s">
        <v>19</v>
      </c>
      <c r="C40" s="4" t="s">
        <v>6</v>
      </c>
      <c r="D40" s="26"/>
      <c r="E40" s="26"/>
      <c r="F40" s="26"/>
      <c r="G40" s="26"/>
      <c r="H40" s="27"/>
      <c r="I40" s="28" t="s">
        <v>27</v>
      </c>
      <c r="J40" s="1" t="s">
        <v>27</v>
      </c>
      <c r="K40" s="1" t="s">
        <v>27</v>
      </c>
      <c r="L40" s="26"/>
      <c r="M40" s="26"/>
      <c r="N40" s="26"/>
      <c r="O40" s="26"/>
      <c r="P40" s="27"/>
    </row>
    <row r="41" spans="1:19">
      <c r="A41" s="1" t="s">
        <v>27</v>
      </c>
      <c r="B41" s="4" t="s">
        <v>6</v>
      </c>
      <c r="C41" s="9" t="s">
        <v>11</v>
      </c>
      <c r="D41" s="26"/>
      <c r="E41" s="26"/>
      <c r="F41" s="26"/>
      <c r="G41" s="26"/>
      <c r="H41" s="27"/>
      <c r="I41" s="28" t="s">
        <v>27</v>
      </c>
      <c r="J41" s="1" t="s">
        <v>27</v>
      </c>
      <c r="K41" s="1" t="s">
        <v>27</v>
      </c>
      <c r="L41" s="26"/>
      <c r="M41" s="26"/>
      <c r="N41" s="26"/>
      <c r="O41" s="26"/>
      <c r="P41" s="27"/>
    </row>
    <row r="42" spans="1:19">
      <c r="A42" s="1" t="s">
        <v>27</v>
      </c>
      <c r="B42" s="16" t="s">
        <v>18</v>
      </c>
      <c r="C42" s="4" t="s">
        <v>6</v>
      </c>
      <c r="D42" s="26"/>
      <c r="E42" s="26"/>
      <c r="F42" s="26"/>
      <c r="G42" s="26"/>
      <c r="H42" s="27"/>
      <c r="I42" s="28" t="s">
        <v>27</v>
      </c>
      <c r="J42" s="1" t="s">
        <v>27</v>
      </c>
      <c r="K42" s="1" t="s">
        <v>27</v>
      </c>
      <c r="L42" s="26"/>
      <c r="M42" s="26"/>
      <c r="N42" s="26"/>
      <c r="O42" s="26"/>
      <c r="P42" s="27"/>
    </row>
    <row r="43" spans="1:19">
      <c r="A43" s="1" t="s">
        <v>27</v>
      </c>
      <c r="B43" s="3" t="s">
        <v>5</v>
      </c>
      <c r="C43" s="17" t="s">
        <v>19</v>
      </c>
      <c r="D43" s="26"/>
      <c r="E43" s="26"/>
      <c r="F43" s="26"/>
      <c r="G43" s="26"/>
      <c r="H43" s="27"/>
      <c r="I43" s="28" t="s">
        <v>27</v>
      </c>
      <c r="J43" s="1" t="s">
        <v>27</v>
      </c>
      <c r="K43" s="1" t="s">
        <v>27</v>
      </c>
      <c r="L43" s="26"/>
      <c r="M43" s="26"/>
      <c r="N43" s="26"/>
      <c r="O43" s="26"/>
      <c r="P43" s="27"/>
    </row>
    <row r="44" spans="1:19">
      <c r="A44" s="1" t="s">
        <v>27</v>
      </c>
      <c r="B44" s="9" t="s">
        <v>11</v>
      </c>
      <c r="C44" s="4" t="s">
        <v>6</v>
      </c>
      <c r="D44" s="26"/>
      <c r="E44" s="26"/>
      <c r="F44" s="26"/>
      <c r="G44" s="26"/>
      <c r="H44" s="27"/>
      <c r="I44" s="28" t="s">
        <v>27</v>
      </c>
      <c r="J44" s="1" t="s">
        <v>27</v>
      </c>
      <c r="K44" s="1" t="s">
        <v>27</v>
      </c>
      <c r="L44" s="26"/>
      <c r="M44" s="26"/>
      <c r="N44" s="26"/>
      <c r="O44" s="26"/>
      <c r="P44" s="27"/>
    </row>
    <row r="45" spans="1:19">
      <c r="A45" s="1" t="s">
        <v>27</v>
      </c>
      <c r="B45" s="3" t="s">
        <v>5</v>
      </c>
      <c r="C45" s="4" t="s">
        <v>6</v>
      </c>
      <c r="D45" s="26"/>
      <c r="E45" s="26"/>
      <c r="F45" s="26"/>
      <c r="G45" s="26"/>
      <c r="H45" s="27"/>
      <c r="I45" s="28" t="s">
        <v>27</v>
      </c>
      <c r="J45" s="1" t="s">
        <v>27</v>
      </c>
      <c r="K45" s="1" t="s">
        <v>27</v>
      </c>
      <c r="L45" s="26"/>
      <c r="M45" s="26"/>
      <c r="N45" s="26"/>
      <c r="O45" s="26"/>
      <c r="P45" s="27"/>
    </row>
    <row r="46" spans="1:19">
      <c r="A46" s="1" t="s">
        <v>27</v>
      </c>
      <c r="B46" s="4" t="s">
        <v>6</v>
      </c>
      <c r="C46" s="4" t="s">
        <v>6</v>
      </c>
      <c r="D46" s="26"/>
      <c r="E46" s="26"/>
      <c r="F46" s="26"/>
      <c r="G46" s="26"/>
      <c r="H46" s="27"/>
      <c r="I46" s="28" t="s">
        <v>27</v>
      </c>
      <c r="J46" s="1" t="s">
        <v>27</v>
      </c>
      <c r="K46" s="1" t="s">
        <v>27</v>
      </c>
      <c r="L46" s="26"/>
      <c r="M46" s="26"/>
      <c r="N46" s="26"/>
      <c r="O46" s="26"/>
      <c r="P46" s="27"/>
    </row>
    <row r="47" spans="1:19">
      <c r="A47" s="1" t="s">
        <v>27</v>
      </c>
      <c r="B47" s="4" t="s">
        <v>6</v>
      </c>
      <c r="C47" s="4" t="s">
        <v>6</v>
      </c>
      <c r="D47" s="26"/>
      <c r="E47" s="26"/>
      <c r="F47" s="26"/>
      <c r="G47" s="26"/>
      <c r="H47" s="27"/>
      <c r="I47" s="28" t="s">
        <v>27</v>
      </c>
      <c r="J47" s="1" t="s">
        <v>27</v>
      </c>
      <c r="K47" s="1" t="s">
        <v>27</v>
      </c>
      <c r="L47" s="26"/>
      <c r="M47" s="26"/>
      <c r="N47" s="26"/>
      <c r="O47" s="26"/>
      <c r="P47" s="27"/>
    </row>
    <row r="48" spans="1:19">
      <c r="A48" s="1" t="s">
        <v>27</v>
      </c>
      <c r="B48" s="4" t="s">
        <v>6</v>
      </c>
      <c r="C48" s="16" t="s">
        <v>18</v>
      </c>
      <c r="D48" s="26"/>
      <c r="E48" s="26"/>
      <c r="F48" s="26"/>
      <c r="G48" s="26"/>
      <c r="H48" s="27"/>
      <c r="I48" s="28" t="s">
        <v>27</v>
      </c>
      <c r="J48" s="1" t="s">
        <v>27</v>
      </c>
      <c r="K48" s="1" t="s">
        <v>27</v>
      </c>
      <c r="L48" s="26"/>
      <c r="M48" s="26"/>
      <c r="N48" s="26"/>
      <c r="O48" s="26"/>
      <c r="P48" s="27"/>
    </row>
    <row r="49" spans="1:16">
      <c r="A49" s="1" t="s">
        <v>27</v>
      </c>
      <c r="B49" s="4" t="s">
        <v>6</v>
      </c>
      <c r="C49" s="4" t="s">
        <v>6</v>
      </c>
      <c r="D49" s="26"/>
      <c r="E49" s="26"/>
      <c r="F49" s="26"/>
      <c r="G49" s="26"/>
      <c r="H49" s="27"/>
      <c r="I49" s="28" t="s">
        <v>27</v>
      </c>
      <c r="J49" s="1" t="s">
        <v>27</v>
      </c>
      <c r="K49" s="1" t="s">
        <v>27</v>
      </c>
      <c r="L49" s="26"/>
      <c r="M49" s="26"/>
      <c r="N49" s="26"/>
      <c r="O49" s="26"/>
      <c r="P49" s="27"/>
    </row>
    <row r="50" spans="1:16">
      <c r="A50" s="1" t="s">
        <v>27</v>
      </c>
      <c r="B50" s="4" t="s">
        <v>6</v>
      </c>
      <c r="C50" s="4" t="s">
        <v>6</v>
      </c>
      <c r="D50" s="26"/>
      <c r="E50" s="26"/>
      <c r="F50" s="26"/>
      <c r="G50" s="26"/>
      <c r="H50" s="27"/>
      <c r="I50" s="28" t="s">
        <v>27</v>
      </c>
      <c r="J50" s="1" t="s">
        <v>27</v>
      </c>
      <c r="K50" s="1" t="s">
        <v>27</v>
      </c>
      <c r="L50" s="26"/>
      <c r="M50" s="26"/>
      <c r="N50" s="26"/>
      <c r="O50" s="26"/>
      <c r="P50" s="27"/>
    </row>
    <row r="51" spans="1:16">
      <c r="A51" s="1" t="s">
        <v>27</v>
      </c>
      <c r="B51" s="17" t="s">
        <v>20</v>
      </c>
      <c r="C51" s="17" t="s">
        <v>20</v>
      </c>
      <c r="D51" s="26"/>
      <c r="E51" s="26"/>
      <c r="F51" s="26"/>
      <c r="G51" s="26"/>
      <c r="H51" s="27"/>
      <c r="I51" s="28" t="s">
        <v>27</v>
      </c>
      <c r="J51" s="1" t="s">
        <v>27</v>
      </c>
      <c r="K51" s="1" t="s">
        <v>27</v>
      </c>
      <c r="L51" s="26"/>
      <c r="M51" s="26"/>
      <c r="N51" s="26"/>
      <c r="O51" s="26"/>
      <c r="P51" s="27"/>
    </row>
    <row r="52" spans="1:16">
      <c r="A52" s="1" t="s">
        <v>27</v>
      </c>
      <c r="B52" s="1" t="s">
        <v>27</v>
      </c>
      <c r="C52" s="1" t="s">
        <v>27</v>
      </c>
      <c r="D52" s="26"/>
      <c r="E52" s="26"/>
      <c r="F52" s="26"/>
      <c r="G52" s="26"/>
      <c r="H52" s="27"/>
      <c r="I52" s="28" t="s">
        <v>27</v>
      </c>
      <c r="J52" s="1" t="s">
        <v>27</v>
      </c>
      <c r="K52" s="1" t="s">
        <v>27</v>
      </c>
      <c r="L52" s="26"/>
      <c r="M52" s="26"/>
      <c r="N52" s="26"/>
      <c r="O52" s="26"/>
      <c r="P52" s="27"/>
    </row>
    <row r="53" spans="1:16">
      <c r="A53" s="1" t="s">
        <v>27</v>
      </c>
      <c r="B53" s="1" t="s">
        <v>27</v>
      </c>
      <c r="C53" s="1" t="s">
        <v>27</v>
      </c>
      <c r="D53" s="26"/>
      <c r="E53" s="26"/>
      <c r="F53" s="26"/>
      <c r="G53" s="26"/>
      <c r="H53" s="27"/>
      <c r="I53" s="28" t="s">
        <v>27</v>
      </c>
      <c r="J53" s="1" t="s">
        <v>27</v>
      </c>
      <c r="K53" s="1" t="s">
        <v>27</v>
      </c>
      <c r="L53" s="26"/>
      <c r="M53" s="26"/>
      <c r="N53" s="26"/>
      <c r="O53" s="26"/>
      <c r="P53" s="27"/>
    </row>
    <row r="54" spans="1:16">
      <c r="A54" s="1" t="s">
        <v>27</v>
      </c>
      <c r="B54" s="1" t="s">
        <v>27</v>
      </c>
      <c r="C54" s="1" t="s">
        <v>27</v>
      </c>
      <c r="D54" s="26"/>
      <c r="E54" s="26"/>
      <c r="F54" s="26"/>
      <c r="G54" s="26"/>
      <c r="H54" s="27"/>
      <c r="I54" s="28" t="s">
        <v>27</v>
      </c>
      <c r="J54" s="1" t="s">
        <v>27</v>
      </c>
      <c r="K54" s="1" t="s">
        <v>27</v>
      </c>
      <c r="L54" s="26"/>
      <c r="M54" s="26"/>
      <c r="N54" s="26"/>
      <c r="O54" s="26"/>
      <c r="P54" s="27"/>
    </row>
    <row r="55" spans="1:16">
      <c r="A55" s="1" t="s">
        <v>27</v>
      </c>
      <c r="B55" s="1" t="s">
        <v>27</v>
      </c>
      <c r="C55" s="1" t="s">
        <v>27</v>
      </c>
      <c r="D55" s="26"/>
      <c r="E55" s="26"/>
      <c r="F55" s="26"/>
      <c r="G55" s="26"/>
      <c r="H55" s="27"/>
      <c r="I55" s="28" t="s">
        <v>27</v>
      </c>
      <c r="J55" s="1" t="s">
        <v>27</v>
      </c>
      <c r="K55" s="1" t="s">
        <v>27</v>
      </c>
      <c r="L55" s="26"/>
      <c r="M55" s="26"/>
      <c r="N55" s="26"/>
      <c r="O55" s="26"/>
      <c r="P55" s="27"/>
    </row>
    <row r="56" spans="1:16">
      <c r="A56" s="28" t="s">
        <v>27</v>
      </c>
      <c r="B56" s="1" t="s">
        <v>27</v>
      </c>
      <c r="C56" s="1" t="s">
        <v>27</v>
      </c>
      <c r="D56" s="26"/>
      <c r="E56" s="26"/>
      <c r="F56" s="26"/>
      <c r="G56" s="26"/>
      <c r="H56" s="27"/>
      <c r="I56" s="28" t="s">
        <v>27</v>
      </c>
      <c r="J56" s="1" t="s">
        <v>27</v>
      </c>
      <c r="K56" s="1" t="s">
        <v>27</v>
      </c>
      <c r="L56" s="26"/>
      <c r="M56" s="26"/>
      <c r="N56" s="26"/>
      <c r="O56" s="26"/>
      <c r="P56" s="27"/>
    </row>
    <row r="57" spans="1:16">
      <c r="A57" s="28" t="s">
        <v>27</v>
      </c>
      <c r="B57" s="1" t="s">
        <v>27</v>
      </c>
      <c r="C57" s="1" t="s">
        <v>27</v>
      </c>
      <c r="D57" s="26"/>
      <c r="E57" s="26"/>
      <c r="F57" s="26"/>
      <c r="G57" s="26"/>
      <c r="H57" s="27"/>
      <c r="I57" s="28" t="s">
        <v>27</v>
      </c>
      <c r="J57" s="1" t="s">
        <v>27</v>
      </c>
      <c r="K57" s="1" t="s">
        <v>27</v>
      </c>
      <c r="L57" s="26"/>
      <c r="M57" s="26"/>
      <c r="N57" s="26"/>
      <c r="O57" s="26"/>
      <c r="P57" s="27"/>
    </row>
    <row r="58" spans="1:16">
      <c r="A58" s="28" t="s">
        <v>27</v>
      </c>
      <c r="B58" s="1" t="s">
        <v>27</v>
      </c>
      <c r="C58" s="1" t="s">
        <v>27</v>
      </c>
      <c r="D58" s="26"/>
      <c r="E58" s="26"/>
      <c r="F58" s="26"/>
      <c r="G58" s="26"/>
      <c r="H58" s="27"/>
      <c r="I58" s="28" t="s">
        <v>27</v>
      </c>
      <c r="J58" s="1" t="s">
        <v>27</v>
      </c>
      <c r="K58" s="1" t="s">
        <v>27</v>
      </c>
      <c r="L58" s="26"/>
      <c r="M58" s="26"/>
      <c r="N58" s="26"/>
      <c r="O58" s="26"/>
      <c r="P58" s="27"/>
    </row>
    <row r="59" spans="1:16">
      <c r="A59" s="28" t="s">
        <v>27</v>
      </c>
      <c r="B59" s="1" t="s">
        <v>27</v>
      </c>
      <c r="C59" s="1" t="s">
        <v>27</v>
      </c>
      <c r="D59" s="26"/>
      <c r="E59" s="26"/>
      <c r="F59" s="26"/>
      <c r="G59" s="26"/>
      <c r="H59" s="27"/>
      <c r="I59" s="28" t="s">
        <v>27</v>
      </c>
      <c r="J59" s="1" t="s">
        <v>27</v>
      </c>
      <c r="K59" s="1" t="s">
        <v>27</v>
      </c>
      <c r="L59" s="26"/>
      <c r="M59" s="26"/>
      <c r="N59" s="26"/>
      <c r="O59" s="26"/>
      <c r="P59" s="27"/>
    </row>
    <row r="60" spans="1:16">
      <c r="A60" s="28" t="s">
        <v>27</v>
      </c>
      <c r="B60" s="1" t="s">
        <v>27</v>
      </c>
      <c r="C60" s="1" t="s">
        <v>27</v>
      </c>
      <c r="D60" s="26"/>
      <c r="E60" s="26"/>
      <c r="F60" s="26"/>
      <c r="G60" s="26"/>
      <c r="H60" s="27"/>
      <c r="I60" s="28" t="s">
        <v>27</v>
      </c>
      <c r="J60" s="1" t="s">
        <v>27</v>
      </c>
      <c r="K60" s="1" t="s">
        <v>27</v>
      </c>
      <c r="L60" s="26"/>
      <c r="M60" s="26"/>
      <c r="N60" s="26"/>
      <c r="O60" s="26"/>
      <c r="P60" s="27"/>
    </row>
    <row r="61" spans="1:16">
      <c r="A61" s="28" t="s">
        <v>27</v>
      </c>
      <c r="B61" s="1" t="s">
        <v>27</v>
      </c>
      <c r="C61" s="1" t="s">
        <v>27</v>
      </c>
      <c r="D61" s="26"/>
      <c r="E61" s="26"/>
      <c r="F61" s="26"/>
      <c r="G61" s="26"/>
      <c r="H61" s="27"/>
      <c r="I61" s="28" t="s">
        <v>27</v>
      </c>
      <c r="J61" s="1" t="s">
        <v>27</v>
      </c>
      <c r="K61" s="1" t="s">
        <v>27</v>
      </c>
      <c r="L61" s="26"/>
      <c r="M61" s="26"/>
      <c r="N61" s="26"/>
      <c r="O61" s="26"/>
      <c r="P61" s="27"/>
    </row>
    <row r="62" spans="1:16">
      <c r="A62" s="28" t="s">
        <v>27</v>
      </c>
      <c r="B62" s="1" t="s">
        <v>27</v>
      </c>
      <c r="C62" s="1" t="s">
        <v>27</v>
      </c>
      <c r="D62" s="26"/>
      <c r="E62" s="26"/>
      <c r="F62" s="26"/>
      <c r="G62" s="26"/>
      <c r="H62" s="27"/>
      <c r="I62" s="28" t="s">
        <v>27</v>
      </c>
      <c r="J62" s="1" t="s">
        <v>27</v>
      </c>
      <c r="K62" s="1" t="s">
        <v>27</v>
      </c>
      <c r="L62" s="26"/>
      <c r="M62" s="26"/>
      <c r="N62" s="26"/>
      <c r="O62" s="26"/>
      <c r="P62" s="27"/>
    </row>
    <row r="63" spans="1:16">
      <c r="A63" s="28" t="s">
        <v>27</v>
      </c>
      <c r="B63" s="1" t="s">
        <v>27</v>
      </c>
      <c r="C63" s="1" t="s">
        <v>27</v>
      </c>
      <c r="D63" s="26"/>
      <c r="E63" s="26"/>
      <c r="F63" s="26"/>
      <c r="G63" s="26"/>
      <c r="H63" s="27"/>
      <c r="I63" s="28" t="s">
        <v>27</v>
      </c>
      <c r="J63" s="1" t="s">
        <v>27</v>
      </c>
      <c r="K63" s="1" t="s">
        <v>27</v>
      </c>
      <c r="L63" s="26"/>
      <c r="M63" s="26"/>
      <c r="N63" s="26"/>
      <c r="O63" s="26"/>
      <c r="P63" s="27"/>
    </row>
    <row r="64" spans="1:16">
      <c r="A64" s="28" t="s">
        <v>27</v>
      </c>
      <c r="B64" s="1" t="s">
        <v>27</v>
      </c>
      <c r="C64" s="1" t="s">
        <v>27</v>
      </c>
      <c r="D64" s="26"/>
      <c r="E64" s="26"/>
      <c r="F64" s="26"/>
      <c r="G64" s="26"/>
      <c r="H64" s="27"/>
      <c r="I64" s="28" t="s">
        <v>27</v>
      </c>
      <c r="J64" s="1" t="s">
        <v>27</v>
      </c>
      <c r="K64" s="1" t="s">
        <v>27</v>
      </c>
      <c r="L64" s="26"/>
      <c r="M64" s="26"/>
      <c r="N64" s="26"/>
      <c r="O64" s="26"/>
      <c r="P64" s="27"/>
    </row>
    <row r="65" spans="1:16">
      <c r="A65" s="28" t="s">
        <v>27</v>
      </c>
      <c r="B65" s="1" t="s">
        <v>27</v>
      </c>
      <c r="C65" s="1" t="s">
        <v>27</v>
      </c>
      <c r="D65" s="26"/>
      <c r="E65" s="26"/>
      <c r="F65" s="26"/>
      <c r="G65" s="26"/>
      <c r="H65" s="27"/>
      <c r="I65" s="28" t="s">
        <v>27</v>
      </c>
      <c r="J65" s="1" t="s">
        <v>27</v>
      </c>
      <c r="K65" s="1" t="s">
        <v>27</v>
      </c>
      <c r="L65" s="26"/>
      <c r="M65" s="26"/>
      <c r="N65" s="26"/>
      <c r="O65" s="26"/>
      <c r="P65" s="27"/>
    </row>
    <row r="66" spans="1:16">
      <c r="A66" s="28" t="s">
        <v>27</v>
      </c>
      <c r="B66" s="1" t="s">
        <v>27</v>
      </c>
      <c r="C66" s="1" t="s">
        <v>27</v>
      </c>
      <c r="D66" s="26"/>
      <c r="E66" s="26"/>
      <c r="F66" s="26"/>
      <c r="G66" s="26"/>
      <c r="H66" s="27"/>
      <c r="I66" s="28" t="s">
        <v>27</v>
      </c>
      <c r="J66" s="1" t="s">
        <v>27</v>
      </c>
      <c r="K66" s="1" t="s">
        <v>27</v>
      </c>
      <c r="L66" s="26"/>
      <c r="M66" s="26"/>
      <c r="N66" s="26"/>
      <c r="O66" s="26"/>
      <c r="P66" s="27"/>
    </row>
    <row r="67" spans="1:16">
      <c r="A67" s="28" t="s">
        <v>27</v>
      </c>
      <c r="B67" s="1" t="s">
        <v>27</v>
      </c>
      <c r="C67" s="1" t="s">
        <v>27</v>
      </c>
      <c r="D67" s="26"/>
      <c r="E67" s="26"/>
      <c r="F67" s="26"/>
      <c r="G67" s="26"/>
      <c r="H67" s="27"/>
      <c r="I67" s="28" t="s">
        <v>27</v>
      </c>
      <c r="J67" s="1" t="s">
        <v>27</v>
      </c>
      <c r="K67" s="1" t="s">
        <v>27</v>
      </c>
      <c r="L67" s="26"/>
      <c r="M67" s="26"/>
      <c r="N67" s="26"/>
      <c r="O67" s="26"/>
      <c r="P67" s="27"/>
    </row>
    <row r="68" spans="1:16">
      <c r="A68" s="28" t="s">
        <v>27</v>
      </c>
      <c r="B68" s="1" t="s">
        <v>27</v>
      </c>
      <c r="C68" s="1" t="s">
        <v>27</v>
      </c>
      <c r="D68" s="26"/>
      <c r="E68" s="26"/>
      <c r="F68" s="26"/>
      <c r="G68" s="26"/>
      <c r="H68" s="27"/>
      <c r="I68" s="28" t="s">
        <v>27</v>
      </c>
      <c r="J68" s="1" t="s">
        <v>27</v>
      </c>
      <c r="K68" s="1" t="s">
        <v>27</v>
      </c>
      <c r="L68" s="26"/>
      <c r="M68" s="26"/>
      <c r="N68" s="26"/>
      <c r="O68" s="26"/>
      <c r="P68" s="27"/>
    </row>
    <row r="69" spans="1:16">
      <c r="A69" s="28" t="s">
        <v>27</v>
      </c>
      <c r="B69" s="1" t="s">
        <v>27</v>
      </c>
      <c r="C69" s="1" t="s">
        <v>27</v>
      </c>
      <c r="D69" s="26"/>
      <c r="E69" s="26"/>
      <c r="F69" s="26"/>
      <c r="G69" s="26"/>
      <c r="H69" s="27"/>
      <c r="I69" s="28" t="s">
        <v>27</v>
      </c>
      <c r="J69" s="1" t="s">
        <v>27</v>
      </c>
      <c r="K69" s="1" t="s">
        <v>27</v>
      </c>
      <c r="L69" s="26"/>
      <c r="M69" s="26"/>
      <c r="N69" s="26"/>
      <c r="O69" s="26"/>
      <c r="P69" s="27"/>
    </row>
    <row r="70" spans="1:16">
      <c r="A70" s="28" t="s">
        <v>27</v>
      </c>
      <c r="B70" s="1" t="s">
        <v>27</v>
      </c>
      <c r="C70" s="1" t="s">
        <v>27</v>
      </c>
      <c r="D70" s="26"/>
      <c r="E70" s="26"/>
      <c r="F70" s="26"/>
      <c r="G70" s="26"/>
      <c r="H70" s="27"/>
      <c r="I70" s="28" t="s">
        <v>27</v>
      </c>
      <c r="J70" s="1" t="s">
        <v>27</v>
      </c>
      <c r="K70" s="1" t="s">
        <v>27</v>
      </c>
      <c r="L70" s="26"/>
      <c r="M70" s="26"/>
      <c r="N70" s="26"/>
      <c r="O70" s="26"/>
      <c r="P70" s="27"/>
    </row>
    <row r="71" spans="1:16">
      <c r="A71" s="28" t="s">
        <v>27</v>
      </c>
      <c r="B71" s="1" t="s">
        <v>27</v>
      </c>
      <c r="C71" s="1" t="s">
        <v>27</v>
      </c>
      <c r="D71" s="26"/>
      <c r="E71" s="26"/>
      <c r="F71" s="26"/>
      <c r="G71" s="26"/>
      <c r="H71" s="27"/>
      <c r="I71" s="28" t="s">
        <v>27</v>
      </c>
      <c r="J71" s="1" t="s">
        <v>27</v>
      </c>
      <c r="K71" s="1" t="s">
        <v>27</v>
      </c>
      <c r="L71" s="26"/>
      <c r="M71" s="26"/>
      <c r="N71" s="26"/>
      <c r="O71" s="26"/>
      <c r="P71" s="27"/>
    </row>
    <row r="72" spans="1:16">
      <c r="A72" s="28" t="s">
        <v>27</v>
      </c>
      <c r="B72" s="1" t="s">
        <v>27</v>
      </c>
      <c r="C72" s="1" t="s">
        <v>27</v>
      </c>
      <c r="D72" s="26"/>
      <c r="E72" s="26"/>
      <c r="F72" s="26"/>
      <c r="G72" s="26"/>
      <c r="H72" s="27"/>
      <c r="I72" s="28" t="s">
        <v>27</v>
      </c>
      <c r="J72" s="1" t="s">
        <v>27</v>
      </c>
      <c r="K72" s="1" t="s">
        <v>27</v>
      </c>
      <c r="L72" s="26"/>
      <c r="M72" s="26"/>
      <c r="N72" s="26"/>
      <c r="O72" s="26"/>
      <c r="P72" s="27"/>
    </row>
    <row r="73" spans="1:16">
      <c r="A73" s="28" t="s">
        <v>27</v>
      </c>
      <c r="B73" s="1" t="s">
        <v>27</v>
      </c>
      <c r="C73" s="1" t="s">
        <v>27</v>
      </c>
      <c r="D73" s="26"/>
      <c r="E73" s="26"/>
      <c r="F73" s="26"/>
      <c r="G73" s="26"/>
      <c r="H73" s="27"/>
      <c r="I73" s="28" t="s">
        <v>27</v>
      </c>
      <c r="J73" s="1" t="s">
        <v>27</v>
      </c>
      <c r="K73" s="1" t="s">
        <v>27</v>
      </c>
      <c r="L73" s="26"/>
      <c r="M73" s="26"/>
      <c r="N73" s="26"/>
      <c r="O73" s="26"/>
      <c r="P73" s="27"/>
    </row>
    <row r="74" spans="1:16">
      <c r="A74" s="28" t="s">
        <v>27</v>
      </c>
      <c r="B74" s="1" t="s">
        <v>27</v>
      </c>
      <c r="C74" s="1" t="s">
        <v>27</v>
      </c>
      <c r="D74" s="26"/>
      <c r="E74" s="26"/>
      <c r="F74" s="26"/>
      <c r="G74" s="26"/>
      <c r="H74" s="27"/>
      <c r="I74" s="28" t="s">
        <v>27</v>
      </c>
      <c r="J74" s="1" t="s">
        <v>27</v>
      </c>
      <c r="K74" s="1" t="s">
        <v>27</v>
      </c>
      <c r="L74" s="26"/>
      <c r="M74" s="26"/>
      <c r="N74" s="26"/>
      <c r="O74" s="26"/>
      <c r="P74" s="27"/>
    </row>
    <row r="75" spans="1:16">
      <c r="A75" s="28" t="s">
        <v>27</v>
      </c>
      <c r="B75" s="1" t="s">
        <v>27</v>
      </c>
      <c r="C75" s="1" t="s">
        <v>27</v>
      </c>
      <c r="D75" s="26"/>
      <c r="E75" s="26"/>
      <c r="F75" s="26"/>
      <c r="G75" s="26"/>
      <c r="H75" s="27"/>
      <c r="I75" s="28" t="s">
        <v>27</v>
      </c>
      <c r="J75" s="1" t="s">
        <v>27</v>
      </c>
      <c r="K75" s="1" t="s">
        <v>27</v>
      </c>
      <c r="L75" s="26"/>
      <c r="M75" s="26"/>
      <c r="N75" s="26"/>
      <c r="O75" s="26"/>
      <c r="P75" s="27"/>
    </row>
    <row r="76" spans="1:16">
      <c r="A76" s="28" t="s">
        <v>27</v>
      </c>
      <c r="B76" s="1" t="s">
        <v>27</v>
      </c>
      <c r="C76" s="1" t="s">
        <v>27</v>
      </c>
      <c r="D76" s="26"/>
      <c r="E76" s="26"/>
      <c r="F76" s="26"/>
      <c r="G76" s="26"/>
      <c r="H76" s="27"/>
      <c r="I76" s="28" t="s">
        <v>27</v>
      </c>
      <c r="J76" s="1" t="s">
        <v>27</v>
      </c>
      <c r="K76" s="1" t="s">
        <v>27</v>
      </c>
      <c r="L76" s="26"/>
      <c r="M76" s="26"/>
      <c r="N76" s="26"/>
      <c r="O76" s="26"/>
      <c r="P76" s="27"/>
    </row>
    <row r="77" spans="1:16">
      <c r="A77" s="28" t="s">
        <v>27</v>
      </c>
      <c r="B77" s="1" t="s">
        <v>27</v>
      </c>
      <c r="C77" s="1" t="s">
        <v>27</v>
      </c>
      <c r="D77" s="26"/>
      <c r="E77" s="26"/>
      <c r="F77" s="26"/>
      <c r="G77" s="26"/>
      <c r="H77" s="27"/>
      <c r="I77" s="28" t="s">
        <v>27</v>
      </c>
      <c r="J77" s="1" t="s">
        <v>27</v>
      </c>
      <c r="K77" s="1" t="s">
        <v>27</v>
      </c>
      <c r="L77" s="26"/>
      <c r="M77" s="26"/>
      <c r="N77" s="26"/>
      <c r="O77" s="26"/>
      <c r="P77" s="27"/>
    </row>
    <row r="78" spans="1:16">
      <c r="A78" s="28" t="s">
        <v>27</v>
      </c>
      <c r="B78" s="1" t="s">
        <v>27</v>
      </c>
      <c r="C78" s="1" t="s">
        <v>27</v>
      </c>
      <c r="D78" s="26"/>
      <c r="E78" s="26"/>
      <c r="F78" s="26"/>
      <c r="G78" s="26"/>
      <c r="H78" s="27"/>
      <c r="I78" s="28" t="s">
        <v>27</v>
      </c>
      <c r="J78" s="1" t="s">
        <v>27</v>
      </c>
      <c r="K78" s="1" t="s">
        <v>27</v>
      </c>
      <c r="L78" s="26"/>
      <c r="M78" s="26"/>
      <c r="N78" s="26"/>
      <c r="O78" s="26"/>
      <c r="P78" s="27"/>
    </row>
    <row r="79" spans="1:16">
      <c r="A79" s="28" t="s">
        <v>27</v>
      </c>
      <c r="B79" s="1" t="s">
        <v>27</v>
      </c>
      <c r="C79" s="1" t="s">
        <v>27</v>
      </c>
      <c r="D79" s="26"/>
      <c r="E79" s="26"/>
      <c r="F79" s="26"/>
      <c r="G79" s="26"/>
      <c r="H79" s="27"/>
      <c r="I79" s="28" t="s">
        <v>27</v>
      </c>
      <c r="J79" s="1" t="s">
        <v>27</v>
      </c>
      <c r="K79" s="1" t="s">
        <v>27</v>
      </c>
      <c r="L79" s="26"/>
      <c r="M79" s="26"/>
      <c r="N79" s="26"/>
      <c r="O79" s="26"/>
      <c r="P79" s="27"/>
    </row>
    <row r="80" spans="1:16">
      <c r="A80" s="28" t="s">
        <v>27</v>
      </c>
      <c r="B80" s="1" t="s">
        <v>27</v>
      </c>
      <c r="C80" s="1" t="s">
        <v>27</v>
      </c>
      <c r="D80" s="26"/>
      <c r="E80" s="26"/>
      <c r="F80" s="26"/>
      <c r="G80" s="26"/>
      <c r="H80" s="27"/>
      <c r="I80" s="28" t="s">
        <v>27</v>
      </c>
      <c r="J80" s="1" t="s">
        <v>27</v>
      </c>
      <c r="K80" s="1" t="s">
        <v>27</v>
      </c>
      <c r="L80" s="26"/>
      <c r="M80" s="26"/>
      <c r="N80" s="26"/>
      <c r="O80" s="26"/>
      <c r="P80" s="27"/>
    </row>
    <row r="81" spans="1:16">
      <c r="A81" s="28" t="s">
        <v>27</v>
      </c>
      <c r="B81" s="1" t="s">
        <v>27</v>
      </c>
      <c r="C81" s="1" t="s">
        <v>27</v>
      </c>
      <c r="D81" s="26"/>
      <c r="E81" s="26"/>
      <c r="F81" s="26"/>
      <c r="G81" s="26"/>
      <c r="H81" s="27"/>
      <c r="I81" s="28" t="s">
        <v>27</v>
      </c>
      <c r="J81" s="1" t="s">
        <v>27</v>
      </c>
      <c r="K81" s="1" t="s">
        <v>27</v>
      </c>
      <c r="L81" s="26"/>
      <c r="M81" s="26"/>
      <c r="N81" s="26"/>
      <c r="O81" s="26"/>
      <c r="P81" s="27"/>
    </row>
    <row r="82" spans="1:16">
      <c r="A82" s="28" t="s">
        <v>27</v>
      </c>
      <c r="B82" s="1" t="s">
        <v>27</v>
      </c>
      <c r="C82" s="1" t="s">
        <v>27</v>
      </c>
      <c r="D82" s="26"/>
      <c r="E82" s="26"/>
      <c r="F82" s="26"/>
      <c r="G82" s="26"/>
      <c r="H82" s="27"/>
      <c r="I82" s="28" t="s">
        <v>27</v>
      </c>
      <c r="J82" s="1" t="s">
        <v>27</v>
      </c>
      <c r="K82" s="1" t="s">
        <v>27</v>
      </c>
      <c r="L82" s="26"/>
      <c r="M82" s="26"/>
      <c r="N82" s="26"/>
      <c r="O82" s="26"/>
      <c r="P82" s="27"/>
    </row>
    <row r="83" spans="1:16">
      <c r="A83" s="28" t="s">
        <v>27</v>
      </c>
      <c r="B83" s="1" t="s">
        <v>27</v>
      </c>
      <c r="C83" s="1" t="s">
        <v>27</v>
      </c>
      <c r="D83" s="26"/>
      <c r="E83" s="26"/>
      <c r="F83" s="26"/>
      <c r="G83" s="26"/>
      <c r="H83" s="27"/>
      <c r="I83" s="28" t="s">
        <v>27</v>
      </c>
      <c r="J83" s="1" t="s">
        <v>27</v>
      </c>
      <c r="K83" s="1" t="s">
        <v>27</v>
      </c>
      <c r="L83" s="26"/>
      <c r="M83" s="26"/>
      <c r="N83" s="26"/>
      <c r="O83" s="26"/>
      <c r="P83" s="27"/>
    </row>
    <row r="84" spans="1:16">
      <c r="A84" s="28" t="s">
        <v>27</v>
      </c>
      <c r="B84" s="1" t="s">
        <v>27</v>
      </c>
      <c r="C84" s="1" t="s">
        <v>27</v>
      </c>
      <c r="D84" s="26"/>
      <c r="E84" s="26"/>
      <c r="F84" s="26"/>
      <c r="G84" s="26"/>
      <c r="H84" s="27"/>
      <c r="I84" s="28" t="s">
        <v>27</v>
      </c>
      <c r="J84" s="1" t="s">
        <v>27</v>
      </c>
      <c r="K84" s="1" t="s">
        <v>27</v>
      </c>
      <c r="L84" s="26"/>
      <c r="M84" s="26"/>
      <c r="N84" s="26"/>
      <c r="O84" s="26"/>
      <c r="P84" s="27"/>
    </row>
    <row r="85" spans="1:16">
      <c r="A85" s="28" t="s">
        <v>27</v>
      </c>
      <c r="B85" s="1" t="s">
        <v>27</v>
      </c>
      <c r="C85" s="1" t="s">
        <v>27</v>
      </c>
      <c r="D85" s="26"/>
      <c r="E85" s="26"/>
      <c r="F85" s="26"/>
      <c r="G85" s="26"/>
      <c r="H85" s="27"/>
      <c r="I85" s="28" t="s">
        <v>27</v>
      </c>
      <c r="J85" s="1" t="s">
        <v>27</v>
      </c>
      <c r="K85" s="1" t="s">
        <v>27</v>
      </c>
      <c r="L85" s="26"/>
      <c r="M85" s="26"/>
      <c r="N85" s="26"/>
      <c r="O85" s="26"/>
      <c r="P85" s="27"/>
    </row>
    <row r="86" spans="1:16">
      <c r="A86" s="28" t="s">
        <v>27</v>
      </c>
      <c r="B86" s="1" t="s">
        <v>27</v>
      </c>
      <c r="C86" s="1" t="s">
        <v>27</v>
      </c>
      <c r="D86" s="26"/>
      <c r="E86" s="26"/>
      <c r="F86" s="26"/>
      <c r="G86" s="26"/>
      <c r="H86" s="27"/>
      <c r="I86" s="28" t="s">
        <v>27</v>
      </c>
      <c r="J86" s="1" t="s">
        <v>27</v>
      </c>
      <c r="K86" s="1" t="s">
        <v>27</v>
      </c>
      <c r="L86" s="26"/>
      <c r="M86" s="26"/>
      <c r="N86" s="26"/>
      <c r="O86" s="26"/>
      <c r="P86" s="27"/>
    </row>
    <row r="87" spans="1:16">
      <c r="A87" s="28" t="s">
        <v>27</v>
      </c>
      <c r="B87" s="1" t="s">
        <v>27</v>
      </c>
      <c r="C87" s="1" t="s">
        <v>27</v>
      </c>
      <c r="D87" s="26"/>
      <c r="E87" s="26"/>
      <c r="F87" s="26"/>
      <c r="G87" s="26"/>
      <c r="H87" s="27"/>
      <c r="I87" s="28" t="s">
        <v>27</v>
      </c>
      <c r="J87" s="1" t="s">
        <v>27</v>
      </c>
      <c r="K87" s="1" t="s">
        <v>27</v>
      </c>
      <c r="L87" s="26"/>
      <c r="M87" s="26"/>
      <c r="N87" s="26"/>
      <c r="O87" s="26"/>
      <c r="P87" s="27"/>
    </row>
    <row r="88" spans="1:16">
      <c r="A88" s="28" t="s">
        <v>27</v>
      </c>
      <c r="B88" s="1" t="s">
        <v>27</v>
      </c>
      <c r="C88" s="1" t="s">
        <v>27</v>
      </c>
      <c r="D88" s="26"/>
      <c r="E88" s="26"/>
      <c r="F88" s="26"/>
      <c r="G88" s="26"/>
      <c r="H88" s="27"/>
      <c r="I88" s="28" t="s">
        <v>27</v>
      </c>
      <c r="J88" s="1" t="s">
        <v>27</v>
      </c>
      <c r="K88" s="1" t="s">
        <v>27</v>
      </c>
      <c r="L88" s="26"/>
      <c r="M88" s="26"/>
      <c r="N88" s="26"/>
      <c r="O88" s="26"/>
      <c r="P88" s="27"/>
    </row>
    <row r="89" spans="1:16">
      <c r="A89" s="28" t="s">
        <v>27</v>
      </c>
      <c r="B89" s="1" t="s">
        <v>27</v>
      </c>
      <c r="C89" s="1" t="s">
        <v>27</v>
      </c>
      <c r="D89" s="26"/>
      <c r="E89" s="26"/>
      <c r="F89" s="26"/>
      <c r="G89" s="26"/>
      <c r="H89" s="27"/>
      <c r="I89" s="28" t="s">
        <v>27</v>
      </c>
      <c r="J89" s="1" t="s">
        <v>27</v>
      </c>
      <c r="K89" s="1" t="s">
        <v>27</v>
      </c>
      <c r="L89" s="26"/>
      <c r="M89" s="26"/>
      <c r="N89" s="26"/>
      <c r="O89" s="26"/>
      <c r="P89" s="27"/>
    </row>
    <row r="90" spans="1:16">
      <c r="A90" s="28" t="s">
        <v>27</v>
      </c>
      <c r="B90" s="1" t="s">
        <v>27</v>
      </c>
      <c r="C90" s="1" t="s">
        <v>27</v>
      </c>
      <c r="D90" s="26"/>
      <c r="E90" s="26"/>
      <c r="F90" s="26"/>
      <c r="G90" s="26"/>
      <c r="H90" s="27"/>
      <c r="I90" s="28" t="s">
        <v>27</v>
      </c>
      <c r="J90" s="1" t="s">
        <v>27</v>
      </c>
      <c r="K90" s="1" t="s">
        <v>27</v>
      </c>
      <c r="L90" s="26"/>
      <c r="M90" s="26"/>
      <c r="N90" s="26"/>
      <c r="O90" s="26"/>
      <c r="P90" s="27"/>
    </row>
    <row r="91" spans="1:16">
      <c r="A91" s="28" t="s">
        <v>27</v>
      </c>
      <c r="B91" s="1" t="s">
        <v>27</v>
      </c>
      <c r="C91" s="1" t="s">
        <v>27</v>
      </c>
      <c r="D91" s="26"/>
      <c r="E91" s="26"/>
      <c r="F91" s="26"/>
      <c r="G91" s="26"/>
      <c r="H91" s="27"/>
      <c r="I91" s="28" t="s">
        <v>27</v>
      </c>
      <c r="J91" s="1" t="s">
        <v>27</v>
      </c>
      <c r="K91" s="1" t="s">
        <v>27</v>
      </c>
      <c r="L91" s="26"/>
      <c r="M91" s="26"/>
      <c r="N91" s="26"/>
      <c r="O91" s="26"/>
      <c r="P91" s="27"/>
    </row>
    <row r="92" spans="1:16">
      <c r="A92" s="28" t="s">
        <v>27</v>
      </c>
      <c r="B92" s="1" t="s">
        <v>27</v>
      </c>
      <c r="C92" s="1" t="s">
        <v>27</v>
      </c>
      <c r="D92" s="26"/>
      <c r="E92" s="26"/>
      <c r="F92" s="26"/>
      <c r="G92" s="26"/>
      <c r="H92" s="27"/>
      <c r="I92" s="28" t="s">
        <v>27</v>
      </c>
      <c r="J92" s="1" t="s">
        <v>27</v>
      </c>
      <c r="K92" s="1" t="s">
        <v>27</v>
      </c>
      <c r="L92" s="26"/>
      <c r="M92" s="26"/>
      <c r="N92" s="26"/>
      <c r="O92" s="26"/>
      <c r="P92" s="27"/>
    </row>
    <row r="93" spans="1:16">
      <c r="A93" s="28" t="s">
        <v>27</v>
      </c>
      <c r="B93" s="1" t="s">
        <v>27</v>
      </c>
      <c r="C93" s="1" t="s">
        <v>27</v>
      </c>
      <c r="D93" s="26"/>
      <c r="E93" s="26"/>
      <c r="F93" s="26"/>
      <c r="G93" s="26"/>
      <c r="H93" s="27"/>
      <c r="I93" s="28" t="s">
        <v>27</v>
      </c>
      <c r="J93" s="1" t="s">
        <v>27</v>
      </c>
      <c r="K93" s="1" t="s">
        <v>27</v>
      </c>
      <c r="L93" s="26"/>
      <c r="M93" s="26"/>
      <c r="N93" s="26"/>
      <c r="O93" s="26"/>
      <c r="P93" s="27"/>
    </row>
    <row r="94" spans="1:16">
      <c r="A94" s="28" t="s">
        <v>27</v>
      </c>
      <c r="B94" s="1" t="s">
        <v>27</v>
      </c>
      <c r="C94" s="1" t="s">
        <v>27</v>
      </c>
      <c r="D94" s="26"/>
      <c r="E94" s="26"/>
      <c r="F94" s="26"/>
      <c r="G94" s="26"/>
      <c r="H94" s="27"/>
      <c r="I94" s="28" t="s">
        <v>27</v>
      </c>
      <c r="J94" s="1" t="s">
        <v>27</v>
      </c>
      <c r="K94" s="1" t="s">
        <v>27</v>
      </c>
      <c r="L94" s="26"/>
      <c r="M94" s="26"/>
      <c r="N94" s="26"/>
      <c r="O94" s="26"/>
      <c r="P94" s="27"/>
    </row>
    <row r="95" spans="1:16">
      <c r="A95" s="28" t="s">
        <v>27</v>
      </c>
      <c r="B95" s="1" t="s">
        <v>27</v>
      </c>
      <c r="C95" s="1" t="s">
        <v>27</v>
      </c>
      <c r="D95" s="26"/>
      <c r="E95" s="26"/>
      <c r="F95" s="26"/>
      <c r="G95" s="26"/>
      <c r="H95" s="27"/>
      <c r="I95" s="28" t="s">
        <v>27</v>
      </c>
      <c r="J95" s="1" t="s">
        <v>27</v>
      </c>
      <c r="K95" s="1" t="s">
        <v>27</v>
      </c>
      <c r="L95" s="26"/>
      <c r="M95" s="26"/>
      <c r="N95" s="26"/>
      <c r="O95" s="26"/>
      <c r="P95" s="27"/>
    </row>
    <row r="96" spans="1:16">
      <c r="A96" s="28" t="s">
        <v>27</v>
      </c>
      <c r="B96" s="1" t="s">
        <v>27</v>
      </c>
      <c r="C96" s="1" t="s">
        <v>27</v>
      </c>
      <c r="D96" s="26"/>
      <c r="E96" s="26"/>
      <c r="F96" s="26"/>
      <c r="G96" s="26"/>
      <c r="H96" s="27"/>
      <c r="I96" s="28" t="s">
        <v>27</v>
      </c>
      <c r="J96" s="1" t="s">
        <v>27</v>
      </c>
      <c r="K96" s="1" t="s">
        <v>27</v>
      </c>
      <c r="L96" s="26"/>
      <c r="M96" s="26"/>
      <c r="N96" s="26"/>
      <c r="O96" s="26"/>
      <c r="P96" s="27"/>
    </row>
    <row r="97" spans="1:16">
      <c r="A97" s="28" t="s">
        <v>27</v>
      </c>
      <c r="B97" s="1" t="s">
        <v>27</v>
      </c>
      <c r="C97" s="1" t="s">
        <v>27</v>
      </c>
      <c r="D97" s="26"/>
      <c r="E97" s="26"/>
      <c r="F97" s="26"/>
      <c r="G97" s="26"/>
      <c r="H97" s="27"/>
      <c r="I97" s="28" t="s">
        <v>27</v>
      </c>
      <c r="J97" s="1" t="s">
        <v>27</v>
      </c>
      <c r="K97" s="1" t="s">
        <v>27</v>
      </c>
      <c r="L97" s="26"/>
      <c r="M97" s="26"/>
      <c r="N97" s="26"/>
      <c r="O97" s="26"/>
      <c r="P97" s="27"/>
    </row>
    <row r="98" spans="1:16">
      <c r="A98" s="28" t="s">
        <v>27</v>
      </c>
      <c r="B98" s="1" t="s">
        <v>27</v>
      </c>
      <c r="C98" s="1" t="s">
        <v>27</v>
      </c>
      <c r="D98" s="26"/>
      <c r="E98" s="26"/>
      <c r="F98" s="26"/>
      <c r="G98" s="26"/>
      <c r="H98" s="27"/>
      <c r="I98" s="28" t="s">
        <v>27</v>
      </c>
      <c r="J98" s="1" t="s">
        <v>27</v>
      </c>
      <c r="K98" s="1" t="s">
        <v>27</v>
      </c>
      <c r="L98" s="26"/>
      <c r="M98" s="26"/>
      <c r="N98" s="26"/>
      <c r="O98" s="26"/>
      <c r="P98" s="27"/>
    </row>
    <row r="99" spans="1:16">
      <c r="A99" s="28" t="s">
        <v>27</v>
      </c>
      <c r="B99" s="1" t="s">
        <v>27</v>
      </c>
      <c r="C99" s="1" t="s">
        <v>27</v>
      </c>
      <c r="D99" s="26"/>
      <c r="E99" s="26"/>
      <c r="F99" s="26"/>
      <c r="G99" s="26"/>
      <c r="H99" s="27"/>
      <c r="I99" s="28" t="s">
        <v>27</v>
      </c>
      <c r="J99" s="1" t="s">
        <v>27</v>
      </c>
      <c r="K99" s="1" t="s">
        <v>27</v>
      </c>
      <c r="L99" s="26"/>
      <c r="M99" s="26"/>
      <c r="N99" s="26"/>
      <c r="O99" s="26"/>
      <c r="P99" s="27"/>
    </row>
    <row r="100" spans="1:16" ht="15.75" thickBot="1">
      <c r="A100" s="29" t="s">
        <v>27</v>
      </c>
      <c r="B100" s="30" t="s">
        <v>27</v>
      </c>
      <c r="C100" s="30" t="s">
        <v>27</v>
      </c>
      <c r="D100" s="31"/>
      <c r="E100" s="31"/>
      <c r="F100" s="31"/>
      <c r="G100" s="31"/>
      <c r="H100" s="32"/>
      <c r="I100" s="29" t="s">
        <v>27</v>
      </c>
      <c r="J100" s="30" t="s">
        <v>27</v>
      </c>
      <c r="K100" s="30" t="s">
        <v>27</v>
      </c>
      <c r="L100" s="31"/>
      <c r="M100" s="31"/>
      <c r="N100" s="31"/>
      <c r="O100" s="31"/>
      <c r="P100" s="32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DC1CA-8F22-4870-8FCF-C919BB4D4637}">
  <dimension ref="A1:AB100"/>
  <sheetViews>
    <sheetView workbookViewId="0">
      <selection activeCell="Y14" sqref="Y14"/>
    </sheetView>
  </sheetViews>
  <sheetFormatPr defaultRowHeight="15"/>
  <sheetData>
    <row r="1" spans="1:28" ht="15.75">
      <c r="A1" s="62" t="s">
        <v>30</v>
      </c>
      <c r="B1" s="63"/>
      <c r="C1" s="63"/>
      <c r="D1" s="63"/>
      <c r="E1" s="63"/>
      <c r="F1" s="64" t="s">
        <v>3</v>
      </c>
      <c r="G1" s="64"/>
      <c r="H1" s="24" cm="1">
        <f t="array" ref="H1">SUM(VLOOKUP(A4:C100,$T$3:$W$36,4,FALSE))+H4*10-H8*50</f>
        <v>3292.2163067196184</v>
      </c>
      <c r="I1" s="65" t="s">
        <v>41</v>
      </c>
      <c r="J1" s="66"/>
      <c r="K1" s="66"/>
      <c r="L1" s="66"/>
      <c r="M1" s="66"/>
      <c r="N1" s="66"/>
      <c r="O1" s="66"/>
      <c r="P1" s="67"/>
      <c r="Q1" s="65" t="s">
        <v>48</v>
      </c>
      <c r="R1" s="66"/>
      <c r="S1" s="66"/>
      <c r="T1" s="66"/>
      <c r="U1" s="66"/>
      <c r="V1" s="66"/>
      <c r="W1" s="66"/>
      <c r="X1" s="66"/>
      <c r="Y1" s="66"/>
      <c r="Z1" s="66"/>
      <c r="AA1" s="66"/>
      <c r="AB1" s="67"/>
    </row>
    <row r="2" spans="1:28" ht="30">
      <c r="A2" s="68" t="s">
        <v>35</v>
      </c>
      <c r="B2" s="69"/>
      <c r="C2" s="69"/>
      <c r="D2" s="70" t="s">
        <v>37</v>
      </c>
      <c r="E2" s="71"/>
      <c r="F2" s="71"/>
      <c r="G2" s="71"/>
      <c r="H2" s="72"/>
      <c r="I2" s="73" t="s">
        <v>35</v>
      </c>
      <c r="J2" s="74"/>
      <c r="K2" s="74"/>
      <c r="L2" s="75" t="s">
        <v>37</v>
      </c>
      <c r="M2" s="75"/>
      <c r="N2" s="75"/>
      <c r="O2" s="75"/>
      <c r="P2" s="76"/>
      <c r="Q2" s="50" t="s">
        <v>43</v>
      </c>
      <c r="R2" s="51" cm="1">
        <f t="array" ref="R2">SUM(V3:V28*AB3:AB28)+H6+P6+R4*500</f>
        <v>64980</v>
      </c>
      <c r="S2" s="26"/>
      <c r="T2" s="1" t="s">
        <v>0</v>
      </c>
      <c r="U2" s="1" t="s">
        <v>1</v>
      </c>
      <c r="V2" s="1" t="s">
        <v>2</v>
      </c>
      <c r="W2" s="44" t="s">
        <v>3</v>
      </c>
      <c r="X2" s="46" t="s">
        <v>44</v>
      </c>
      <c r="Y2" s="46" t="s">
        <v>56</v>
      </c>
      <c r="Z2" s="47" t="s">
        <v>45</v>
      </c>
      <c r="AA2" s="47" t="s">
        <v>46</v>
      </c>
      <c r="AB2" s="52" t="s">
        <v>47</v>
      </c>
    </row>
    <row r="3" spans="1:28">
      <c r="A3" s="60" t="s">
        <v>31</v>
      </c>
      <c r="B3" s="61" t="s">
        <v>32</v>
      </c>
      <c r="C3" s="20" t="s">
        <v>33</v>
      </c>
      <c r="D3" s="33"/>
      <c r="E3" s="60" t="s">
        <v>31</v>
      </c>
      <c r="F3" s="61" t="s">
        <v>32</v>
      </c>
      <c r="G3" s="20" t="s">
        <v>33</v>
      </c>
      <c r="H3" s="34" t="s">
        <v>36</v>
      </c>
      <c r="I3" s="60" t="s">
        <v>31</v>
      </c>
      <c r="J3" s="61" t="s">
        <v>32</v>
      </c>
      <c r="K3" s="20" t="s">
        <v>33</v>
      </c>
      <c r="L3" s="33"/>
      <c r="M3" s="60" t="s">
        <v>31</v>
      </c>
      <c r="N3" s="61" t="s">
        <v>32</v>
      </c>
      <c r="O3" s="20" t="s">
        <v>33</v>
      </c>
      <c r="P3" s="34" t="s">
        <v>36</v>
      </c>
      <c r="Q3" s="53" t="s">
        <v>49</v>
      </c>
      <c r="R3" s="26">
        <v>91</v>
      </c>
      <c r="S3" s="26"/>
      <c r="T3" s="2" t="s">
        <v>4</v>
      </c>
      <c r="U3" s="1">
        <v>150</v>
      </c>
      <c r="V3" s="1">
        <v>35</v>
      </c>
      <c r="W3" s="45">
        <f>U3-V3/0.330882</f>
        <v>44.222109392472248</v>
      </c>
      <c r="X3" s="46"/>
      <c r="Y3" s="46">
        <v>25</v>
      </c>
      <c r="Z3" s="1">
        <f>COUNTIF($A$4:$C$100,T3)</f>
        <v>17</v>
      </c>
      <c r="AA3" s="1">
        <f>COUNTIF($I$4:$K$100,T3)</f>
        <v>8</v>
      </c>
      <c r="AB3" s="54">
        <f>Y3-Z3-AA3</f>
        <v>0</v>
      </c>
    </row>
    <row r="4" spans="1:28">
      <c r="A4" s="2" t="s">
        <v>4</v>
      </c>
      <c r="B4" s="2" t="s">
        <v>4</v>
      </c>
      <c r="C4" s="3" t="s">
        <v>5</v>
      </c>
      <c r="D4" s="43" t="s">
        <v>34</v>
      </c>
      <c r="E4" s="39">
        <v>0</v>
      </c>
      <c r="F4" s="39">
        <v>12</v>
      </c>
      <c r="G4" s="39">
        <v>10</v>
      </c>
      <c r="H4" s="36">
        <f>SUM(E4:G4)</f>
        <v>22</v>
      </c>
      <c r="I4" s="2" t="s">
        <v>4</v>
      </c>
      <c r="J4" s="9" t="s">
        <v>11</v>
      </c>
      <c r="K4" s="9" t="s">
        <v>11</v>
      </c>
      <c r="L4" s="43" t="s">
        <v>34</v>
      </c>
      <c r="M4" s="39">
        <v>3</v>
      </c>
      <c r="N4" s="39">
        <v>1</v>
      </c>
      <c r="O4" s="39">
        <v>2</v>
      </c>
      <c r="P4" s="36">
        <f>SUM(M4:O4)</f>
        <v>6</v>
      </c>
      <c r="Q4" s="53" t="s">
        <v>50</v>
      </c>
      <c r="R4" s="40">
        <v>14</v>
      </c>
      <c r="S4" s="26"/>
      <c r="T4" s="3" t="s">
        <v>5</v>
      </c>
      <c r="U4" s="1">
        <v>160</v>
      </c>
      <c r="V4" s="1">
        <v>40</v>
      </c>
      <c r="W4" s="45">
        <f t="shared" ref="W4" si="0">U4-V4/0.330882</f>
        <v>39.110982162825422</v>
      </c>
      <c r="X4" s="46"/>
      <c r="Y4" s="46">
        <v>49</v>
      </c>
      <c r="Z4" s="1">
        <f t="shared" ref="Z4:Z28" si="1">COUNTIF($A$4:$C$100,T4)</f>
        <v>30</v>
      </c>
      <c r="AA4" s="1">
        <f t="shared" ref="AA4:AA28" si="2">COUNTIF($I$4:$K$100,T4)</f>
        <v>19</v>
      </c>
      <c r="AB4" s="54">
        <f t="shared" ref="AB4:AB28" si="3">Y4-Z4-AA4</f>
        <v>0</v>
      </c>
    </row>
    <row r="5" spans="1:28">
      <c r="A5" s="2" t="s">
        <v>4</v>
      </c>
      <c r="B5" s="2" t="s">
        <v>4</v>
      </c>
      <c r="C5" s="23" t="s">
        <v>29</v>
      </c>
      <c r="D5" s="33" t="s">
        <v>38</v>
      </c>
      <c r="E5" s="35" cm="1">
        <f t="array" ref="E5">(SUM(VLOOKUP(A4:A100,$T$3:$W$41,2,FALSE))+E4*10)-E8*50</f>
        <v>900</v>
      </c>
      <c r="F5" s="35" cm="1">
        <f t="array" ref="F5">(SUM(VLOOKUP(B4:B100,$T$3:$W$41,2,FALSE))+F4*10)-F8*50</f>
        <v>6980</v>
      </c>
      <c r="G5" s="35" cm="1">
        <f t="array" ref="G5">(SUM(VLOOKUP(C4:C100,$T$3:$W$41,2,FALSE))+G4*10)-G8*50</f>
        <v>6680</v>
      </c>
      <c r="H5" s="59">
        <f t="shared" ref="H5:H8" si="4">SUM(E5:G5)</f>
        <v>14560</v>
      </c>
      <c r="I5" s="15" t="s">
        <v>17</v>
      </c>
      <c r="J5" s="1" t="s">
        <v>27</v>
      </c>
      <c r="K5" s="3" t="s">
        <v>5</v>
      </c>
      <c r="L5" s="33" t="s">
        <v>38</v>
      </c>
      <c r="M5" s="35" cm="1">
        <f t="array" ref="M5">(SUM(VLOOKUP(I4:I100,$T$3:$W$41,2,FALSE))+M4*10)*0.8-M8*40</f>
        <v>1912</v>
      </c>
      <c r="N5" s="35" cm="1">
        <f t="array" ref="N5">(SUM(VLOOKUP(J4:J100,$T$3:$W$41,2,FALSE))+N4*10)*0.8-N8*40</f>
        <v>504</v>
      </c>
      <c r="O5" s="35" cm="1">
        <f t="array" ref="O5">(SUM(VLOOKUP(K5:K100,$T$3:$W$41,2,FALSE))+O4*10)*0.8-O8*40</f>
        <v>1504</v>
      </c>
      <c r="P5" s="59">
        <f t="shared" ref="P5:P8" si="5">SUM(M5:O5)</f>
        <v>3920</v>
      </c>
      <c r="Q5" s="53" t="s">
        <v>51</v>
      </c>
      <c r="R5" s="26">
        <v>6000</v>
      </c>
      <c r="S5" s="26"/>
      <c r="T5" s="4" t="s">
        <v>6</v>
      </c>
      <c r="U5" s="1">
        <v>170</v>
      </c>
      <c r="V5" s="1">
        <v>45</v>
      </c>
      <c r="W5" s="45">
        <v>34</v>
      </c>
      <c r="X5" s="48"/>
      <c r="Y5" s="46">
        <v>223</v>
      </c>
      <c r="Z5" s="1">
        <f t="shared" si="1"/>
        <v>32</v>
      </c>
      <c r="AA5" s="1">
        <f t="shared" si="2"/>
        <v>0</v>
      </c>
      <c r="AB5" s="54">
        <f t="shared" si="3"/>
        <v>191</v>
      </c>
    </row>
    <row r="6" spans="1:28">
      <c r="A6" s="2" t="s">
        <v>4</v>
      </c>
      <c r="B6" s="2" t="s">
        <v>4</v>
      </c>
      <c r="C6" s="3" t="s">
        <v>5</v>
      </c>
      <c r="D6" s="33" t="s">
        <v>39</v>
      </c>
      <c r="E6" s="35" cm="1">
        <f t="array" ref="E6">(SUM(VLOOKUP(A4:A100,$T$3:$W$41,3,FALSE)))</f>
        <v>210</v>
      </c>
      <c r="F6" s="35" cm="1">
        <f t="array" ref="F6">(SUM(VLOOKUP(B4:B100,$T$3:$W$41,3,FALSE)))</f>
        <v>1945</v>
      </c>
      <c r="G6" s="35" cm="1">
        <f t="array" ref="G6">(SUM(VLOOKUP(C4:C100,$T$3:$W$41,3,FALSE)))</f>
        <v>2615</v>
      </c>
      <c r="H6" s="49">
        <f t="shared" si="4"/>
        <v>4770</v>
      </c>
      <c r="I6" s="2" t="s">
        <v>4</v>
      </c>
      <c r="J6" s="3" t="s">
        <v>5</v>
      </c>
      <c r="K6" s="3" t="s">
        <v>5</v>
      </c>
      <c r="L6" s="33" t="s">
        <v>39</v>
      </c>
      <c r="M6" s="35" cm="1">
        <f t="array" ref="M6">(SUM(VLOOKUP(I4:I100,$T$3:$W$41,3,FALSE)))</f>
        <v>740</v>
      </c>
      <c r="N6" s="35" cm="1">
        <f t="array" ref="N6">(SUM(VLOOKUP(J4:J100,$T$3:$W$41,3,FALSE)))</f>
        <v>160</v>
      </c>
      <c r="O6" s="35" cm="1">
        <f t="array" ref="O6">(SUM(VLOOKUP(K5:K100,$T$3:$W$41,3,FALSE)))</f>
        <v>530</v>
      </c>
      <c r="P6" s="49">
        <f t="shared" si="5"/>
        <v>1430</v>
      </c>
      <c r="Q6" s="50" t="s">
        <v>52</v>
      </c>
      <c r="R6" s="26">
        <f>R3*1600-800+R5</f>
        <v>150800</v>
      </c>
      <c r="S6" s="26"/>
      <c r="T6" s="5" t="s">
        <v>7</v>
      </c>
      <c r="U6" s="1">
        <v>180</v>
      </c>
      <c r="V6" s="1">
        <v>50</v>
      </c>
      <c r="W6" s="45">
        <v>36</v>
      </c>
      <c r="X6" s="46">
        <v>262</v>
      </c>
      <c r="Y6" s="46">
        <v>261</v>
      </c>
      <c r="Z6" s="1">
        <f t="shared" si="1"/>
        <v>0</v>
      </c>
      <c r="AA6" s="1">
        <f t="shared" si="2"/>
        <v>0</v>
      </c>
      <c r="AB6" s="54">
        <f t="shared" si="3"/>
        <v>261</v>
      </c>
    </row>
    <row r="7" spans="1:28">
      <c r="A7" s="2" t="s">
        <v>4</v>
      </c>
      <c r="B7" s="2" t="s">
        <v>4</v>
      </c>
      <c r="C7" s="4" t="s">
        <v>6</v>
      </c>
      <c r="D7" s="33" t="s">
        <v>40</v>
      </c>
      <c r="E7" s="35">
        <f>COUNTIF(A4:A100,"&lt;&gt;空")</f>
        <v>6</v>
      </c>
      <c r="F7" s="35">
        <f>COUNTIF(B4:B100,"&lt;&gt;空")</f>
        <v>44</v>
      </c>
      <c r="G7" s="35">
        <f>COUNTIF(C4:C100,"&lt;&gt;空")</f>
        <v>47</v>
      </c>
      <c r="H7" s="36">
        <f t="shared" si="4"/>
        <v>97</v>
      </c>
      <c r="I7" s="2" t="s">
        <v>4</v>
      </c>
      <c r="J7" s="1" t="s">
        <v>27</v>
      </c>
      <c r="K7" s="15" t="s">
        <v>17</v>
      </c>
      <c r="L7" s="33" t="s">
        <v>40</v>
      </c>
      <c r="M7" s="35">
        <f>COUNTIF(I4:I100,"&lt;&gt;空")</f>
        <v>22</v>
      </c>
      <c r="N7" s="35">
        <f>COUNTIF(J4:J100,"&lt;&gt;空")</f>
        <v>4</v>
      </c>
      <c r="O7" s="35">
        <f>COUNTIF(K5:K100,"&lt;&gt;空")</f>
        <v>14</v>
      </c>
      <c r="P7" s="36">
        <f t="shared" si="5"/>
        <v>40</v>
      </c>
      <c r="Q7" s="53" t="s">
        <v>55</v>
      </c>
      <c r="R7" s="26">
        <v>0</v>
      </c>
      <c r="S7" s="26"/>
      <c r="T7" s="6" t="s">
        <v>8</v>
      </c>
      <c r="U7" s="1">
        <v>190</v>
      </c>
      <c r="V7" s="1">
        <v>55</v>
      </c>
      <c r="W7" s="45">
        <v>38</v>
      </c>
      <c r="X7" s="46">
        <v>236</v>
      </c>
      <c r="Y7" s="46">
        <v>236</v>
      </c>
      <c r="Z7" s="1">
        <f t="shared" si="1"/>
        <v>0</v>
      </c>
      <c r="AA7" s="1">
        <f t="shared" si="2"/>
        <v>0</v>
      </c>
      <c r="AB7" s="54">
        <f t="shared" si="3"/>
        <v>236</v>
      </c>
    </row>
    <row r="8" spans="1:28">
      <c r="A8" s="2" t="s">
        <v>4</v>
      </c>
      <c r="B8" s="2" t="s">
        <v>4</v>
      </c>
      <c r="C8" s="4" t="s">
        <v>6</v>
      </c>
      <c r="D8" s="42" t="s">
        <v>70</v>
      </c>
      <c r="E8" s="41">
        <v>0</v>
      </c>
      <c r="F8" s="41">
        <v>1</v>
      </c>
      <c r="G8" s="41">
        <v>0</v>
      </c>
      <c r="H8" s="36">
        <f t="shared" si="4"/>
        <v>1</v>
      </c>
      <c r="I8" s="15" t="s">
        <v>17</v>
      </c>
      <c r="J8" s="3" t="s">
        <v>5</v>
      </c>
      <c r="K8" s="3" t="s">
        <v>5</v>
      </c>
      <c r="L8" s="42" t="s">
        <v>70</v>
      </c>
      <c r="M8" s="41">
        <v>1</v>
      </c>
      <c r="N8" s="41">
        <v>0</v>
      </c>
      <c r="O8" s="41">
        <v>1</v>
      </c>
      <c r="P8" s="36">
        <f t="shared" si="5"/>
        <v>2</v>
      </c>
      <c r="Q8" s="50" t="s">
        <v>54</v>
      </c>
      <c r="R8" s="55" cm="1">
        <f t="array" ref="R8">R6-P5-H5-SUM(U3:U28*AB3:AB28)*0.8-R7*8</f>
        <v>8</v>
      </c>
      <c r="S8" s="26"/>
      <c r="T8" s="7" t="s">
        <v>9</v>
      </c>
      <c r="U8" s="1">
        <v>200</v>
      </c>
      <c r="V8" s="1">
        <v>60</v>
      </c>
      <c r="W8" s="45"/>
      <c r="X8" s="46">
        <v>194</v>
      </c>
      <c r="Y8" s="46">
        <v>194</v>
      </c>
      <c r="Z8" s="1">
        <f t="shared" si="1"/>
        <v>0</v>
      </c>
      <c r="AA8" s="1">
        <f t="shared" si="2"/>
        <v>0</v>
      </c>
      <c r="AB8" s="54">
        <f t="shared" si="3"/>
        <v>194</v>
      </c>
    </row>
    <row r="9" spans="1:28">
      <c r="A9" s="2" t="s">
        <v>4</v>
      </c>
      <c r="B9" s="2" t="s">
        <v>4</v>
      </c>
      <c r="C9" s="17" t="s">
        <v>19</v>
      </c>
      <c r="D9" s="26"/>
      <c r="E9" s="26"/>
      <c r="F9" s="26"/>
      <c r="G9" s="26"/>
      <c r="H9" s="27"/>
      <c r="I9" s="1" t="s">
        <v>27</v>
      </c>
      <c r="J9" s="1" t="s">
        <v>27</v>
      </c>
      <c r="K9" s="3" t="s">
        <v>5</v>
      </c>
      <c r="L9" s="33" t="s">
        <v>42</v>
      </c>
      <c r="M9" s="37">
        <f>M6/M5</f>
        <v>0.38702928870292885</v>
      </c>
      <c r="N9" s="37">
        <f>N6/N5</f>
        <v>0.31746031746031744</v>
      </c>
      <c r="O9" s="37">
        <f>O6/O5</f>
        <v>0.35239361702127658</v>
      </c>
      <c r="P9" s="38">
        <f>P6/P5</f>
        <v>0.36479591836734693</v>
      </c>
      <c r="Q9" s="50"/>
      <c r="R9" s="26"/>
      <c r="S9" s="26"/>
      <c r="T9" s="8" t="s">
        <v>10</v>
      </c>
      <c r="U9" s="1">
        <v>150</v>
      </c>
      <c r="V9" s="1">
        <v>35</v>
      </c>
      <c r="W9" s="45">
        <f t="shared" ref="W9:W11" si="6">U9-V9/0.330882</f>
        <v>44.222109392472248</v>
      </c>
      <c r="X9" s="46">
        <v>3</v>
      </c>
      <c r="Y9" s="46">
        <v>0</v>
      </c>
      <c r="Z9" s="1">
        <f t="shared" si="1"/>
        <v>0</v>
      </c>
      <c r="AA9" s="1">
        <f t="shared" si="2"/>
        <v>0</v>
      </c>
      <c r="AB9" s="54">
        <f t="shared" si="3"/>
        <v>0</v>
      </c>
    </row>
    <row r="10" spans="1:28">
      <c r="A10" s="1" t="s">
        <v>27</v>
      </c>
      <c r="B10" s="1" t="s">
        <v>27</v>
      </c>
      <c r="C10" s="4" t="s">
        <v>6</v>
      </c>
      <c r="D10" s="26"/>
      <c r="E10" s="26"/>
      <c r="F10" s="26"/>
      <c r="G10" s="26"/>
      <c r="H10" s="27"/>
      <c r="I10" s="16" t="s">
        <v>28</v>
      </c>
      <c r="J10" s="9" t="s">
        <v>11</v>
      </c>
      <c r="K10" s="3" t="s">
        <v>5</v>
      </c>
      <c r="L10" s="26"/>
      <c r="M10" s="26"/>
      <c r="N10" s="26"/>
      <c r="O10" s="26"/>
      <c r="P10" s="27"/>
      <c r="Q10" s="50"/>
      <c r="R10" s="26"/>
      <c r="S10" s="26"/>
      <c r="T10" s="9" t="s">
        <v>11</v>
      </c>
      <c r="U10" s="1">
        <v>150</v>
      </c>
      <c r="V10" s="1">
        <v>40</v>
      </c>
      <c r="W10" s="45">
        <f t="shared" si="6"/>
        <v>29.110982162825422</v>
      </c>
      <c r="X10" s="46">
        <v>7</v>
      </c>
      <c r="Y10" s="46">
        <v>5</v>
      </c>
      <c r="Z10" s="1">
        <f t="shared" si="1"/>
        <v>1</v>
      </c>
      <c r="AA10" s="1">
        <f t="shared" si="2"/>
        <v>4</v>
      </c>
      <c r="AB10" s="54">
        <f t="shared" si="3"/>
        <v>0</v>
      </c>
    </row>
    <row r="11" spans="1:28">
      <c r="A11" s="1" t="s">
        <v>27</v>
      </c>
      <c r="B11" s="1" t="s">
        <v>27</v>
      </c>
      <c r="C11" s="1" t="s">
        <v>27</v>
      </c>
      <c r="D11" s="26"/>
      <c r="E11" s="26"/>
      <c r="F11" s="26"/>
      <c r="G11" s="26"/>
      <c r="H11" s="27"/>
      <c r="I11" s="3" t="s">
        <v>5</v>
      </c>
      <c r="J11" s="1" t="s">
        <v>27</v>
      </c>
      <c r="K11" s="3" t="s">
        <v>5</v>
      </c>
      <c r="L11" s="26"/>
      <c r="M11" s="26"/>
      <c r="N11" s="26"/>
      <c r="O11" s="26"/>
      <c r="P11" s="27">
        <f>H5+P5</f>
        <v>18480</v>
      </c>
      <c r="Q11" s="50"/>
      <c r="R11" s="26"/>
      <c r="S11" s="26"/>
      <c r="T11" s="10" t="s">
        <v>12</v>
      </c>
      <c r="U11" s="1">
        <v>150</v>
      </c>
      <c r="V11" s="1">
        <v>45</v>
      </c>
      <c r="W11" s="45">
        <f t="shared" si="6"/>
        <v>13.999854933178597</v>
      </c>
      <c r="X11" s="46">
        <v>6</v>
      </c>
      <c r="Y11" s="46">
        <v>6</v>
      </c>
      <c r="Z11" s="1">
        <f t="shared" si="1"/>
        <v>0</v>
      </c>
      <c r="AA11" s="1">
        <f t="shared" si="2"/>
        <v>0</v>
      </c>
      <c r="AB11" s="54">
        <f t="shared" si="3"/>
        <v>6</v>
      </c>
    </row>
    <row r="12" spans="1:28">
      <c r="A12" s="1" t="s">
        <v>27</v>
      </c>
      <c r="B12" s="4" t="s">
        <v>6</v>
      </c>
      <c r="C12" s="4" t="s">
        <v>6</v>
      </c>
      <c r="D12" s="26"/>
      <c r="E12" s="26"/>
      <c r="F12" s="26"/>
      <c r="G12" s="26"/>
      <c r="H12" s="27"/>
      <c r="I12" s="3" t="s">
        <v>5</v>
      </c>
      <c r="J12" s="1" t="s">
        <v>27</v>
      </c>
      <c r="K12" s="15" t="s">
        <v>17</v>
      </c>
      <c r="L12" s="26"/>
      <c r="M12" s="26"/>
      <c r="N12" s="26"/>
      <c r="O12" s="26"/>
      <c r="P12" s="27">
        <f>H6+P6</f>
        <v>6200</v>
      </c>
      <c r="Q12" s="50"/>
      <c r="R12" s="26"/>
      <c r="S12" s="26"/>
      <c r="T12" s="11" t="s">
        <v>13</v>
      </c>
      <c r="U12" s="1">
        <v>150</v>
      </c>
      <c r="V12" s="1">
        <v>50</v>
      </c>
      <c r="W12" s="45"/>
      <c r="X12" s="46">
        <v>4</v>
      </c>
      <c r="Y12" s="46">
        <v>4</v>
      </c>
      <c r="Z12" s="1">
        <f t="shared" si="1"/>
        <v>0</v>
      </c>
      <c r="AA12" s="1">
        <f t="shared" si="2"/>
        <v>0</v>
      </c>
      <c r="AB12" s="54">
        <f t="shared" si="3"/>
        <v>4</v>
      </c>
    </row>
    <row r="13" spans="1:28">
      <c r="A13" s="1" t="s">
        <v>27</v>
      </c>
      <c r="B13" s="4" t="s">
        <v>6</v>
      </c>
      <c r="C13" s="15" t="s">
        <v>17</v>
      </c>
      <c r="D13" s="26"/>
      <c r="E13" s="26"/>
      <c r="F13" s="26"/>
      <c r="G13" s="26"/>
      <c r="H13" s="27"/>
      <c r="I13" s="9" t="s">
        <v>11</v>
      </c>
      <c r="J13" s="1" t="s">
        <v>27</v>
      </c>
      <c r="K13" s="3" t="s">
        <v>5</v>
      </c>
      <c r="L13" s="26"/>
      <c r="M13" s="26"/>
      <c r="N13" s="26"/>
      <c r="O13" s="26"/>
      <c r="P13" s="27"/>
      <c r="Q13" s="50"/>
      <c r="R13" s="26"/>
      <c r="S13" s="26"/>
      <c r="T13" s="12" t="s">
        <v>14</v>
      </c>
      <c r="U13" s="1">
        <v>150</v>
      </c>
      <c r="V13" s="1">
        <v>55</v>
      </c>
      <c r="W13" s="45"/>
      <c r="X13" s="46">
        <v>3</v>
      </c>
      <c r="Y13" s="46">
        <v>3</v>
      </c>
      <c r="Z13" s="1">
        <f t="shared" si="1"/>
        <v>0</v>
      </c>
      <c r="AA13" s="1">
        <f t="shared" si="2"/>
        <v>0</v>
      </c>
      <c r="AB13" s="54">
        <f t="shared" si="3"/>
        <v>3</v>
      </c>
    </row>
    <row r="14" spans="1:28">
      <c r="A14" s="1" t="s">
        <v>27</v>
      </c>
      <c r="B14" s="4" t="s">
        <v>6</v>
      </c>
      <c r="C14" s="3" t="s">
        <v>5</v>
      </c>
      <c r="D14" s="26"/>
      <c r="E14" s="26"/>
      <c r="F14" s="26"/>
      <c r="G14" s="26"/>
      <c r="H14" s="27"/>
      <c r="I14" s="2" t="s">
        <v>4</v>
      </c>
      <c r="J14" s="1" t="s">
        <v>27</v>
      </c>
      <c r="K14" s="3" t="s">
        <v>5</v>
      </c>
      <c r="L14" s="26"/>
      <c r="M14" s="26"/>
      <c r="N14" s="26"/>
      <c r="O14" s="26"/>
      <c r="P14" s="27"/>
      <c r="Q14" s="50"/>
      <c r="R14" s="26"/>
      <c r="S14" s="26"/>
      <c r="T14" s="13" t="s">
        <v>15</v>
      </c>
      <c r="U14" s="1">
        <v>150</v>
      </c>
      <c r="V14" s="1">
        <v>60</v>
      </c>
      <c r="W14" s="45"/>
      <c r="X14" s="46">
        <v>1</v>
      </c>
      <c r="Y14" s="46">
        <v>1</v>
      </c>
      <c r="Z14" s="1">
        <f t="shared" si="1"/>
        <v>0</v>
      </c>
      <c r="AA14" s="1">
        <f t="shared" si="2"/>
        <v>0</v>
      </c>
      <c r="AB14" s="54">
        <f t="shared" si="3"/>
        <v>1</v>
      </c>
    </row>
    <row r="15" spans="1:28">
      <c r="A15" s="1" t="s">
        <v>27</v>
      </c>
      <c r="B15" s="4" t="s">
        <v>6</v>
      </c>
      <c r="C15" s="16" t="s">
        <v>18</v>
      </c>
      <c r="D15" s="26"/>
      <c r="E15" s="26"/>
      <c r="F15" s="26"/>
      <c r="G15" s="26"/>
      <c r="H15" s="27"/>
      <c r="I15" s="15" t="s">
        <v>17</v>
      </c>
      <c r="J15" s="1" t="s">
        <v>27</v>
      </c>
      <c r="K15" s="3" t="s">
        <v>5</v>
      </c>
      <c r="L15" s="26"/>
      <c r="M15" s="26"/>
      <c r="N15" s="26"/>
      <c r="O15" s="26"/>
      <c r="P15" s="27"/>
      <c r="Q15" s="50"/>
      <c r="R15" s="26"/>
      <c r="S15" s="26"/>
      <c r="T15" s="14" t="s">
        <v>16</v>
      </c>
      <c r="U15" s="1">
        <v>150</v>
      </c>
      <c r="V15" s="1">
        <v>35</v>
      </c>
      <c r="W15" s="45">
        <f t="shared" ref="W15" si="7">U15-V15/0.330882</f>
        <v>44.222109392472248</v>
      </c>
      <c r="X15" s="46"/>
      <c r="Y15" s="46">
        <v>0</v>
      </c>
      <c r="Z15" s="1">
        <f t="shared" si="1"/>
        <v>0</v>
      </c>
      <c r="AA15" s="1">
        <f t="shared" si="2"/>
        <v>0</v>
      </c>
      <c r="AB15" s="54">
        <f t="shared" si="3"/>
        <v>0</v>
      </c>
    </row>
    <row r="16" spans="1:28">
      <c r="A16" s="1" t="s">
        <v>27</v>
      </c>
      <c r="B16" s="15" t="s">
        <v>17</v>
      </c>
      <c r="C16" s="2" t="s">
        <v>4</v>
      </c>
      <c r="D16" s="26"/>
      <c r="E16" s="26"/>
      <c r="F16" s="26"/>
      <c r="G16" s="26"/>
      <c r="H16" s="27"/>
      <c r="I16" s="3" t="s">
        <v>5</v>
      </c>
      <c r="J16" s="1" t="s">
        <v>27</v>
      </c>
      <c r="K16" s="1" t="s">
        <v>27</v>
      </c>
      <c r="L16" s="26"/>
      <c r="M16" s="26"/>
      <c r="N16" s="26"/>
      <c r="O16" s="26"/>
      <c r="P16" s="27"/>
      <c r="Q16" s="50"/>
      <c r="R16" s="26"/>
      <c r="S16" s="26"/>
      <c r="T16" s="15" t="s">
        <v>17</v>
      </c>
      <c r="U16" s="1">
        <v>50</v>
      </c>
      <c r="V16" s="1">
        <v>30</v>
      </c>
      <c r="W16" s="45">
        <v>10</v>
      </c>
      <c r="X16" s="46">
        <v>40</v>
      </c>
      <c r="Y16" s="46">
        <v>40</v>
      </c>
      <c r="Z16" s="1">
        <f t="shared" si="1"/>
        <v>5</v>
      </c>
      <c r="AA16" s="1">
        <f t="shared" si="2"/>
        <v>9</v>
      </c>
      <c r="AB16" s="54">
        <f t="shared" si="3"/>
        <v>26</v>
      </c>
    </row>
    <row r="17" spans="1:28">
      <c r="A17" s="1" t="s">
        <v>27</v>
      </c>
      <c r="B17" s="4" t="s">
        <v>6</v>
      </c>
      <c r="C17" s="2" t="s">
        <v>4</v>
      </c>
      <c r="D17" s="26"/>
      <c r="E17" s="26"/>
      <c r="F17" s="26"/>
      <c r="G17" s="26"/>
      <c r="H17" s="27"/>
      <c r="I17" s="15" t="s">
        <v>17</v>
      </c>
      <c r="J17" s="1" t="s">
        <v>27</v>
      </c>
      <c r="K17" s="3" t="s">
        <v>5</v>
      </c>
      <c r="L17" s="26"/>
      <c r="M17" s="26"/>
      <c r="N17" s="26"/>
      <c r="O17" s="26"/>
      <c r="P17" s="27"/>
      <c r="Q17" s="50"/>
      <c r="R17" s="26"/>
      <c r="S17" s="26"/>
      <c r="T17" s="16" t="s">
        <v>18</v>
      </c>
      <c r="U17" s="1">
        <v>-150</v>
      </c>
      <c r="V17" s="1">
        <v>0</v>
      </c>
      <c r="W17" s="45">
        <v>10</v>
      </c>
      <c r="X17" s="46">
        <v>3</v>
      </c>
      <c r="Y17" s="46">
        <v>3</v>
      </c>
      <c r="Z17" s="1">
        <f t="shared" si="1"/>
        <v>3</v>
      </c>
      <c r="AA17" s="1">
        <f t="shared" si="2"/>
        <v>0</v>
      </c>
      <c r="AB17" s="54">
        <f t="shared" si="3"/>
        <v>0</v>
      </c>
    </row>
    <row r="18" spans="1:28">
      <c r="A18" s="1" t="s">
        <v>27</v>
      </c>
      <c r="B18" s="17" t="s">
        <v>20</v>
      </c>
      <c r="C18" s="2" t="s">
        <v>4</v>
      </c>
      <c r="D18" s="26"/>
      <c r="E18" s="26"/>
      <c r="F18" s="26"/>
      <c r="G18" s="26"/>
      <c r="H18" s="27"/>
      <c r="I18" s="3" t="s">
        <v>5</v>
      </c>
      <c r="J18" s="1" t="s">
        <v>27</v>
      </c>
      <c r="K18" s="3" t="s">
        <v>5</v>
      </c>
      <c r="L18" s="26"/>
      <c r="M18" s="26"/>
      <c r="N18" s="26"/>
      <c r="O18" s="26"/>
      <c r="P18" s="27"/>
      <c r="Q18" s="50"/>
      <c r="R18" s="26"/>
      <c r="S18" s="26"/>
      <c r="T18" s="17" t="s">
        <v>19</v>
      </c>
      <c r="U18" s="1">
        <v>250</v>
      </c>
      <c r="V18" s="1">
        <v>200</v>
      </c>
      <c r="W18" s="45"/>
      <c r="X18" s="46">
        <v>3</v>
      </c>
      <c r="Y18" s="46">
        <v>3</v>
      </c>
      <c r="Z18" s="1">
        <f t="shared" si="1"/>
        <v>3</v>
      </c>
      <c r="AA18" s="1">
        <f t="shared" si="2"/>
        <v>0</v>
      </c>
      <c r="AB18" s="54">
        <f t="shared" si="3"/>
        <v>0</v>
      </c>
    </row>
    <row r="19" spans="1:28">
      <c r="A19" s="1" t="s">
        <v>27</v>
      </c>
      <c r="B19" s="4" t="s">
        <v>6</v>
      </c>
      <c r="C19" s="2" t="s">
        <v>4</v>
      </c>
      <c r="D19" s="26"/>
      <c r="E19" s="26"/>
      <c r="F19" s="26"/>
      <c r="G19" s="26"/>
      <c r="H19" s="27"/>
      <c r="I19" s="3" t="s">
        <v>5</v>
      </c>
      <c r="J19" s="1" t="s">
        <v>27</v>
      </c>
      <c r="K19" s="15" t="s">
        <v>17</v>
      </c>
      <c r="L19" s="26"/>
      <c r="M19" s="26"/>
      <c r="N19" s="26"/>
      <c r="O19" s="26"/>
      <c r="P19" s="27"/>
      <c r="Q19" s="50"/>
      <c r="R19" s="26"/>
      <c r="S19" s="26"/>
      <c r="T19" s="17" t="s">
        <v>20</v>
      </c>
      <c r="U19" s="1">
        <v>170</v>
      </c>
      <c r="V19" s="1">
        <v>45</v>
      </c>
      <c r="W19" s="45"/>
      <c r="X19" s="46">
        <v>5</v>
      </c>
      <c r="Y19" s="46">
        <v>5</v>
      </c>
      <c r="Z19" s="1">
        <f t="shared" si="1"/>
        <v>5</v>
      </c>
      <c r="AA19" s="1">
        <f t="shared" si="2"/>
        <v>0</v>
      </c>
      <c r="AB19" s="54">
        <f t="shared" si="3"/>
        <v>0</v>
      </c>
    </row>
    <row r="20" spans="1:28">
      <c r="A20" s="1" t="s">
        <v>27</v>
      </c>
      <c r="B20" s="3" t="s">
        <v>5</v>
      </c>
      <c r="C20" s="15" t="s">
        <v>17</v>
      </c>
      <c r="D20" s="26"/>
      <c r="E20" s="26"/>
      <c r="F20" s="26"/>
      <c r="G20" s="26"/>
      <c r="H20" s="27"/>
      <c r="I20" s="3" t="s">
        <v>5</v>
      </c>
      <c r="J20" s="1" t="s">
        <v>27</v>
      </c>
      <c r="K20" s="1" t="s">
        <v>27</v>
      </c>
      <c r="L20" s="26"/>
      <c r="M20" s="26"/>
      <c r="N20" s="26"/>
      <c r="O20" s="26"/>
      <c r="P20" s="27"/>
      <c r="Q20" s="50"/>
      <c r="R20" s="26"/>
      <c r="S20" s="26"/>
      <c r="T20" s="18" t="s">
        <v>21</v>
      </c>
      <c r="U20" s="1">
        <v>250</v>
      </c>
      <c r="V20" s="1">
        <v>200</v>
      </c>
      <c r="W20" s="45"/>
      <c r="X20" s="46">
        <v>0</v>
      </c>
      <c r="Y20" s="46">
        <v>0</v>
      </c>
      <c r="Z20" s="1">
        <f t="shared" si="1"/>
        <v>0</v>
      </c>
      <c r="AA20" s="1">
        <f t="shared" si="2"/>
        <v>0</v>
      </c>
      <c r="AB20" s="54">
        <f t="shared" si="3"/>
        <v>0</v>
      </c>
    </row>
    <row r="21" spans="1:28">
      <c r="A21" s="1" t="s">
        <v>27</v>
      </c>
      <c r="B21" s="3" t="s">
        <v>5</v>
      </c>
      <c r="C21" s="3" t="s">
        <v>5</v>
      </c>
      <c r="D21" s="26"/>
      <c r="E21" s="26"/>
      <c r="F21" s="26"/>
      <c r="G21" s="26"/>
      <c r="H21" s="27"/>
      <c r="I21" s="2" t="s">
        <v>4</v>
      </c>
      <c r="J21" s="1" t="s">
        <v>27</v>
      </c>
      <c r="K21" s="1" t="s">
        <v>27</v>
      </c>
      <c r="L21" s="26"/>
      <c r="M21" s="26"/>
      <c r="N21" s="26"/>
      <c r="O21" s="26"/>
      <c r="P21" s="27"/>
      <c r="Q21" s="50"/>
      <c r="R21" s="26"/>
      <c r="S21" s="26"/>
      <c r="T21" s="19" t="s">
        <v>22</v>
      </c>
      <c r="U21" s="1">
        <v>250</v>
      </c>
      <c r="V21" s="1">
        <v>1000</v>
      </c>
      <c r="W21" s="45"/>
      <c r="X21" s="46">
        <v>2</v>
      </c>
      <c r="Y21" s="46">
        <v>2</v>
      </c>
      <c r="Z21" s="1">
        <f t="shared" si="1"/>
        <v>0</v>
      </c>
      <c r="AA21" s="1">
        <f t="shared" si="2"/>
        <v>0</v>
      </c>
      <c r="AB21" s="54">
        <f t="shared" si="3"/>
        <v>2</v>
      </c>
    </row>
    <row r="22" spans="1:28">
      <c r="A22" s="1" t="s">
        <v>27</v>
      </c>
      <c r="B22" s="3" t="s">
        <v>5</v>
      </c>
      <c r="C22" s="3" t="s">
        <v>5</v>
      </c>
      <c r="D22" s="26"/>
      <c r="E22" s="26"/>
      <c r="F22" s="26"/>
      <c r="G22" s="26"/>
      <c r="H22" s="27"/>
      <c r="I22" s="15" t="s">
        <v>17</v>
      </c>
      <c r="J22" s="1" t="s">
        <v>27</v>
      </c>
      <c r="K22" s="1" t="s">
        <v>27</v>
      </c>
      <c r="L22" s="26"/>
      <c r="M22" s="26"/>
      <c r="N22" s="26"/>
      <c r="O22" s="26"/>
      <c r="P22" s="27"/>
      <c r="Q22" s="50"/>
      <c r="R22" s="26"/>
      <c r="S22" s="26"/>
      <c r="T22" s="20" t="s">
        <v>23</v>
      </c>
      <c r="U22" s="1">
        <v>250</v>
      </c>
      <c r="V22" s="1">
        <v>500</v>
      </c>
      <c r="W22" s="45"/>
      <c r="X22" s="46">
        <v>2</v>
      </c>
      <c r="Y22" s="46">
        <v>2</v>
      </c>
      <c r="Z22" s="1">
        <f t="shared" si="1"/>
        <v>0</v>
      </c>
      <c r="AA22" s="1">
        <f t="shared" si="2"/>
        <v>0</v>
      </c>
      <c r="AB22" s="54">
        <f t="shared" si="3"/>
        <v>2</v>
      </c>
    </row>
    <row r="23" spans="1:28">
      <c r="A23" s="1" t="s">
        <v>27</v>
      </c>
      <c r="B23" s="3" t="s">
        <v>5</v>
      </c>
      <c r="C23" s="3" t="s">
        <v>5</v>
      </c>
      <c r="D23" s="26"/>
      <c r="E23" s="26"/>
      <c r="F23" s="26"/>
      <c r="G23" s="26"/>
      <c r="H23" s="27"/>
      <c r="I23" s="2" t="s">
        <v>4</v>
      </c>
      <c r="J23" s="1" t="s">
        <v>27</v>
      </c>
      <c r="K23" s="1" t="s">
        <v>27</v>
      </c>
      <c r="L23" s="26"/>
      <c r="M23" s="26"/>
      <c r="N23" s="26"/>
      <c r="O23" s="26"/>
      <c r="P23" s="27"/>
      <c r="Q23" s="50"/>
      <c r="R23" s="26"/>
      <c r="S23" s="26"/>
      <c r="T23" s="21" t="s">
        <v>24</v>
      </c>
      <c r="U23" s="1">
        <v>160</v>
      </c>
      <c r="V23" s="1">
        <v>40</v>
      </c>
      <c r="W23" s="45">
        <f t="shared" ref="W23:W26" si="8">U23-V23/0.330882</f>
        <v>39.110982162825422</v>
      </c>
      <c r="X23" s="46">
        <v>0</v>
      </c>
      <c r="Y23" s="46">
        <v>0</v>
      </c>
      <c r="Z23" s="1">
        <f t="shared" si="1"/>
        <v>0</v>
      </c>
      <c r="AA23" s="1">
        <f t="shared" si="2"/>
        <v>0</v>
      </c>
      <c r="AB23" s="54">
        <f t="shared" si="3"/>
        <v>0</v>
      </c>
    </row>
    <row r="24" spans="1:28">
      <c r="A24" s="1" t="s">
        <v>27</v>
      </c>
      <c r="B24" s="3" t="s">
        <v>5</v>
      </c>
      <c r="C24" s="16" t="s">
        <v>18</v>
      </c>
      <c r="D24" s="26"/>
      <c r="E24" s="26"/>
      <c r="F24" s="26"/>
      <c r="G24" s="26"/>
      <c r="H24" s="27"/>
      <c r="I24" s="2" t="s">
        <v>4</v>
      </c>
      <c r="J24" s="1" t="s">
        <v>27</v>
      </c>
      <c r="K24" s="1" t="s">
        <v>27</v>
      </c>
      <c r="L24" s="26"/>
      <c r="M24" s="26"/>
      <c r="N24" s="26"/>
      <c r="O24" s="26"/>
      <c r="P24" s="27"/>
      <c r="Q24" s="50"/>
      <c r="R24" s="26"/>
      <c r="S24" s="26"/>
      <c r="T24" s="21" t="s">
        <v>25</v>
      </c>
      <c r="U24" s="1">
        <v>160</v>
      </c>
      <c r="V24" s="1">
        <v>40</v>
      </c>
      <c r="W24" s="45">
        <f t="shared" si="8"/>
        <v>39.110982162825422</v>
      </c>
      <c r="X24" s="46">
        <v>0</v>
      </c>
      <c r="Y24" s="46">
        <v>0</v>
      </c>
      <c r="Z24" s="1">
        <f t="shared" si="1"/>
        <v>0</v>
      </c>
      <c r="AA24" s="1">
        <f t="shared" si="2"/>
        <v>0</v>
      </c>
      <c r="AB24" s="54">
        <f t="shared" si="3"/>
        <v>0</v>
      </c>
    </row>
    <row r="25" spans="1:28">
      <c r="A25" s="1" t="s">
        <v>27</v>
      </c>
      <c r="B25" s="3" t="s">
        <v>5</v>
      </c>
      <c r="C25" s="3" t="s">
        <v>5</v>
      </c>
      <c r="D25" s="26"/>
      <c r="E25" s="26"/>
      <c r="F25" s="26"/>
      <c r="G25" s="26"/>
      <c r="H25" s="27"/>
      <c r="I25" s="2" t="s">
        <v>4</v>
      </c>
      <c r="J25" s="1" t="s">
        <v>27</v>
      </c>
      <c r="K25" s="1" t="s">
        <v>27</v>
      </c>
      <c r="L25" s="26"/>
      <c r="M25" s="26"/>
      <c r="N25" s="26"/>
      <c r="O25" s="26"/>
      <c r="P25" s="27"/>
      <c r="Q25" s="50"/>
      <c r="R25" s="26"/>
      <c r="S25" s="26"/>
      <c r="T25" s="21" t="s">
        <v>26</v>
      </c>
      <c r="U25" s="1">
        <v>150</v>
      </c>
      <c r="V25" s="1">
        <v>35</v>
      </c>
      <c r="W25" s="45">
        <f t="shared" si="8"/>
        <v>44.222109392472248</v>
      </c>
      <c r="X25" s="46">
        <v>0</v>
      </c>
      <c r="Y25" s="46">
        <v>0</v>
      </c>
      <c r="Z25" s="1">
        <f t="shared" si="1"/>
        <v>0</v>
      </c>
      <c r="AA25" s="1">
        <f t="shared" si="2"/>
        <v>0</v>
      </c>
      <c r="AB25" s="54">
        <f t="shared" si="3"/>
        <v>0</v>
      </c>
    </row>
    <row r="26" spans="1:28">
      <c r="A26" s="1" t="s">
        <v>27</v>
      </c>
      <c r="B26" s="15" t="s">
        <v>17</v>
      </c>
      <c r="C26" s="3" t="s">
        <v>5</v>
      </c>
      <c r="D26" s="26"/>
      <c r="E26" s="26"/>
      <c r="F26" s="26"/>
      <c r="G26" s="26"/>
      <c r="H26" s="27"/>
      <c r="I26" s="15" t="s">
        <v>17</v>
      </c>
      <c r="J26" s="1" t="s">
        <v>27</v>
      </c>
      <c r="K26" s="1" t="s">
        <v>27</v>
      </c>
      <c r="L26" s="26"/>
      <c r="M26" s="26"/>
      <c r="N26" s="26"/>
      <c r="O26" s="26"/>
      <c r="P26" s="27"/>
      <c r="Q26" s="50"/>
      <c r="R26" s="26"/>
      <c r="S26" s="26"/>
      <c r="T26" s="22" t="s">
        <v>27</v>
      </c>
      <c r="U26" s="1">
        <v>0</v>
      </c>
      <c r="V26" s="1">
        <v>0</v>
      </c>
      <c r="W26" s="45">
        <f t="shared" si="8"/>
        <v>0</v>
      </c>
      <c r="X26" s="46">
        <v>0</v>
      </c>
      <c r="Y26" s="46">
        <v>0</v>
      </c>
      <c r="Z26" s="1"/>
      <c r="AA26" s="1"/>
      <c r="AB26" s="54"/>
    </row>
    <row r="27" spans="1:28">
      <c r="A27" s="1" t="s">
        <v>27</v>
      </c>
      <c r="B27" s="3" t="s">
        <v>5</v>
      </c>
      <c r="C27" s="4" t="s">
        <v>6</v>
      </c>
      <c r="D27" s="26"/>
      <c r="E27" s="26"/>
      <c r="F27" s="26"/>
      <c r="G27" s="26"/>
      <c r="H27" s="27"/>
      <c r="I27" s="1" t="s">
        <v>27</v>
      </c>
      <c r="J27" s="1" t="s">
        <v>27</v>
      </c>
      <c r="K27" s="1" t="s">
        <v>27</v>
      </c>
      <c r="L27" s="26"/>
      <c r="M27" s="26"/>
      <c r="N27" s="26"/>
      <c r="O27" s="26"/>
      <c r="P27" s="27"/>
      <c r="Q27" s="50"/>
      <c r="R27" s="26"/>
      <c r="S27" s="26"/>
      <c r="T27" s="16" t="s">
        <v>28</v>
      </c>
      <c r="U27" s="1">
        <v>-200</v>
      </c>
      <c r="V27" s="1">
        <v>0</v>
      </c>
      <c r="W27" s="45"/>
      <c r="X27" s="46">
        <v>12</v>
      </c>
      <c r="Y27" s="46">
        <v>12</v>
      </c>
      <c r="Z27" s="1">
        <f t="shared" si="1"/>
        <v>0</v>
      </c>
      <c r="AA27" s="1">
        <f t="shared" si="2"/>
        <v>1</v>
      </c>
      <c r="AB27" s="54">
        <f t="shared" si="3"/>
        <v>11</v>
      </c>
    </row>
    <row r="28" spans="1:28">
      <c r="A28" s="1" t="s">
        <v>27</v>
      </c>
      <c r="B28" s="3" t="s">
        <v>5</v>
      </c>
      <c r="C28" s="4" t="s">
        <v>6</v>
      </c>
      <c r="D28" s="26"/>
      <c r="E28" s="26"/>
      <c r="F28" s="26"/>
      <c r="G28" s="26"/>
      <c r="H28" s="27"/>
      <c r="I28" s="1" t="s">
        <v>27</v>
      </c>
      <c r="J28" s="1" t="s">
        <v>27</v>
      </c>
      <c r="K28" s="1" t="s">
        <v>27</v>
      </c>
      <c r="L28" s="26"/>
      <c r="M28" s="26"/>
      <c r="N28" s="26"/>
      <c r="O28" s="26"/>
      <c r="P28" s="27"/>
      <c r="Q28" s="50"/>
      <c r="R28" s="26"/>
      <c r="S28" s="26"/>
      <c r="T28" s="23" t="s">
        <v>29</v>
      </c>
      <c r="U28" s="1">
        <v>50</v>
      </c>
      <c r="V28" s="1">
        <v>520</v>
      </c>
      <c r="W28" s="45"/>
      <c r="X28" s="46">
        <v>3</v>
      </c>
      <c r="Y28" s="46">
        <v>3</v>
      </c>
      <c r="Z28" s="1">
        <f t="shared" si="1"/>
        <v>1</v>
      </c>
      <c r="AA28" s="1">
        <f t="shared" si="2"/>
        <v>0</v>
      </c>
      <c r="AB28" s="54">
        <f t="shared" si="3"/>
        <v>2</v>
      </c>
    </row>
    <row r="29" spans="1:28" ht="15.75" thickBot="1">
      <c r="A29" s="1" t="s">
        <v>27</v>
      </c>
      <c r="B29" s="3" t="s">
        <v>5</v>
      </c>
      <c r="C29" s="4" t="s">
        <v>6</v>
      </c>
      <c r="D29" s="26"/>
      <c r="E29" s="26"/>
      <c r="F29" s="26"/>
      <c r="G29" s="26"/>
      <c r="H29" s="27"/>
      <c r="I29" s="1" t="s">
        <v>27</v>
      </c>
      <c r="J29" s="1" t="s">
        <v>27</v>
      </c>
      <c r="K29" s="1" t="s">
        <v>27</v>
      </c>
      <c r="L29" s="26"/>
      <c r="M29" s="26"/>
      <c r="N29" s="26"/>
      <c r="O29" s="26"/>
      <c r="P29" s="27"/>
      <c r="Q29" s="56"/>
      <c r="R29" s="31"/>
      <c r="S29" s="31"/>
      <c r="T29" s="30"/>
      <c r="U29" s="30"/>
      <c r="V29" s="30"/>
      <c r="W29" s="30"/>
      <c r="X29" s="30"/>
      <c r="Y29" s="30"/>
      <c r="Z29" s="30"/>
      <c r="AA29" s="30"/>
      <c r="AB29" s="57"/>
    </row>
    <row r="30" spans="1:28">
      <c r="A30" s="1" t="s">
        <v>27</v>
      </c>
      <c r="B30" s="3" t="s">
        <v>5</v>
      </c>
      <c r="C30" s="4" t="s">
        <v>6</v>
      </c>
      <c r="D30" s="26"/>
      <c r="E30" s="26"/>
      <c r="F30" s="26"/>
      <c r="G30" s="26"/>
      <c r="H30" s="27"/>
      <c r="I30" s="1" t="s">
        <v>27</v>
      </c>
      <c r="J30" s="1" t="s">
        <v>27</v>
      </c>
      <c r="K30" s="1" t="s">
        <v>27</v>
      </c>
      <c r="L30" s="26"/>
      <c r="M30" s="26"/>
      <c r="N30" s="26"/>
      <c r="O30" s="26"/>
      <c r="P30" s="27"/>
    </row>
    <row r="31" spans="1:28">
      <c r="A31" s="1" t="s">
        <v>27</v>
      </c>
      <c r="B31" s="15" t="s">
        <v>17</v>
      </c>
      <c r="C31" s="4" t="s">
        <v>6</v>
      </c>
      <c r="D31" s="26"/>
      <c r="E31" s="26"/>
      <c r="F31" s="26"/>
      <c r="G31" s="26"/>
      <c r="H31" s="27"/>
      <c r="I31" s="1" t="s">
        <v>27</v>
      </c>
      <c r="J31" s="1" t="s">
        <v>27</v>
      </c>
      <c r="K31" s="1" t="s">
        <v>27</v>
      </c>
      <c r="L31" s="26"/>
      <c r="M31" s="26"/>
      <c r="N31" s="26"/>
      <c r="O31" s="26"/>
      <c r="P31" s="27"/>
      <c r="Y31">
        <f>SUM(Y3:Y28)</f>
        <v>1077</v>
      </c>
    </row>
    <row r="32" spans="1:28">
      <c r="A32" s="1" t="s">
        <v>27</v>
      </c>
      <c r="B32" s="3" t="s">
        <v>5</v>
      </c>
      <c r="C32" s="17" t="s">
        <v>20</v>
      </c>
      <c r="D32" s="26"/>
      <c r="E32" s="26"/>
      <c r="F32" s="26"/>
      <c r="G32" s="26"/>
      <c r="H32" s="27"/>
      <c r="I32" s="1" t="s">
        <v>27</v>
      </c>
      <c r="J32" s="1" t="s">
        <v>27</v>
      </c>
      <c r="K32" s="1" t="s">
        <v>27</v>
      </c>
      <c r="L32" s="26"/>
      <c r="M32" s="26"/>
      <c r="N32" s="26"/>
      <c r="O32" s="26"/>
      <c r="P32" s="27"/>
      <c r="Q32" t="s">
        <v>57</v>
      </c>
      <c r="R32">
        <v>1</v>
      </c>
      <c r="S32" t="s">
        <v>59</v>
      </c>
    </row>
    <row r="33" spans="1:19">
      <c r="A33" s="1" t="s">
        <v>27</v>
      </c>
      <c r="B33" s="4" t="s">
        <v>6</v>
      </c>
      <c r="C33" s="3" t="s">
        <v>5</v>
      </c>
      <c r="D33" s="26"/>
      <c r="E33" s="26"/>
      <c r="F33" s="26"/>
      <c r="G33" s="26"/>
      <c r="H33" s="27"/>
      <c r="I33" s="1" t="s">
        <v>27</v>
      </c>
      <c r="J33" s="1" t="s">
        <v>27</v>
      </c>
      <c r="K33" s="1" t="s">
        <v>27</v>
      </c>
      <c r="L33" s="26"/>
      <c r="M33" s="26"/>
      <c r="N33" s="26"/>
      <c r="O33" s="26"/>
      <c r="P33" s="27"/>
      <c r="R33">
        <v>2</v>
      </c>
      <c r="S33" t="s">
        <v>60</v>
      </c>
    </row>
    <row r="34" spans="1:19">
      <c r="A34" s="1" t="s">
        <v>27</v>
      </c>
      <c r="B34" s="2" t="s">
        <v>4</v>
      </c>
      <c r="C34" s="3" t="s">
        <v>5</v>
      </c>
      <c r="D34" s="26"/>
      <c r="E34" s="26"/>
      <c r="F34" s="26"/>
      <c r="G34" s="26"/>
      <c r="H34" s="27"/>
      <c r="I34" s="28" t="s">
        <v>27</v>
      </c>
      <c r="J34" s="1" t="s">
        <v>27</v>
      </c>
      <c r="K34" s="1" t="s">
        <v>27</v>
      </c>
      <c r="L34" s="26"/>
      <c r="M34" s="26"/>
      <c r="N34" s="26"/>
      <c r="O34" s="26"/>
      <c r="P34" s="27"/>
      <c r="R34">
        <v>3</v>
      </c>
      <c r="S34" t="s">
        <v>58</v>
      </c>
    </row>
    <row r="35" spans="1:19">
      <c r="A35" s="1" t="s">
        <v>27</v>
      </c>
      <c r="B35" s="4" t="s">
        <v>6</v>
      </c>
      <c r="C35" s="9" t="s">
        <v>11</v>
      </c>
      <c r="D35" s="26"/>
      <c r="E35" s="26"/>
      <c r="F35" s="26"/>
      <c r="G35" s="26"/>
      <c r="H35" s="27"/>
      <c r="I35" s="28" t="s">
        <v>27</v>
      </c>
      <c r="J35" s="1" t="s">
        <v>27</v>
      </c>
      <c r="K35" s="1" t="s">
        <v>27</v>
      </c>
      <c r="L35" s="26"/>
      <c r="M35" s="26"/>
      <c r="N35" s="26"/>
      <c r="O35" s="26"/>
      <c r="P35" s="27"/>
      <c r="R35">
        <v>4</v>
      </c>
      <c r="S35" t="s">
        <v>61</v>
      </c>
    </row>
    <row r="36" spans="1:19">
      <c r="A36" s="1" t="s">
        <v>27</v>
      </c>
      <c r="B36" s="17" t="s">
        <v>20</v>
      </c>
      <c r="C36" s="3" t="s">
        <v>5</v>
      </c>
      <c r="D36" s="26"/>
      <c r="E36" s="26"/>
      <c r="F36" s="26"/>
      <c r="G36" s="26"/>
      <c r="H36" s="27"/>
      <c r="I36" s="28" t="s">
        <v>27</v>
      </c>
      <c r="J36" s="1" t="s">
        <v>27</v>
      </c>
      <c r="K36" s="1" t="s">
        <v>27</v>
      </c>
      <c r="L36" s="26"/>
      <c r="M36" s="26"/>
      <c r="N36" s="26"/>
      <c r="O36" s="26"/>
      <c r="P36" s="27"/>
      <c r="S36" t="s">
        <v>62</v>
      </c>
    </row>
    <row r="37" spans="1:19">
      <c r="A37" s="1" t="s">
        <v>27</v>
      </c>
      <c r="B37" s="4" t="s">
        <v>6</v>
      </c>
      <c r="C37" s="3" t="s">
        <v>5</v>
      </c>
      <c r="D37" s="26"/>
      <c r="E37" s="26"/>
      <c r="F37" s="26"/>
      <c r="G37" s="26"/>
      <c r="H37" s="27"/>
      <c r="I37" s="28" t="s">
        <v>27</v>
      </c>
      <c r="J37" s="1" t="s">
        <v>27</v>
      </c>
      <c r="K37" s="1" t="s">
        <v>27</v>
      </c>
      <c r="L37" s="26"/>
      <c r="M37" s="26"/>
      <c r="N37" s="26"/>
      <c r="O37" s="26"/>
      <c r="P37" s="27"/>
      <c r="R37">
        <v>5</v>
      </c>
      <c r="S37" t="s">
        <v>63</v>
      </c>
    </row>
    <row r="38" spans="1:19">
      <c r="A38" s="1" t="s">
        <v>27</v>
      </c>
      <c r="B38" s="4" t="s">
        <v>6</v>
      </c>
      <c r="C38" s="3" t="s">
        <v>5</v>
      </c>
      <c r="D38" s="26"/>
      <c r="E38" s="26"/>
      <c r="F38" s="26"/>
      <c r="G38" s="26"/>
      <c r="H38" s="27"/>
      <c r="I38" s="28" t="s">
        <v>27</v>
      </c>
      <c r="J38" s="1" t="s">
        <v>27</v>
      </c>
      <c r="K38" s="1" t="s">
        <v>27</v>
      </c>
      <c r="L38" s="26"/>
      <c r="M38" s="26"/>
      <c r="N38" s="26"/>
      <c r="O38" s="26"/>
      <c r="P38" s="27"/>
      <c r="R38">
        <v>6</v>
      </c>
      <c r="S38" t="s">
        <v>64</v>
      </c>
    </row>
    <row r="39" spans="1:19">
      <c r="A39" s="1" t="s">
        <v>27</v>
      </c>
      <c r="B39" s="4" t="s">
        <v>6</v>
      </c>
      <c r="C39" s="3" t="s">
        <v>5</v>
      </c>
      <c r="D39" s="26"/>
      <c r="E39" s="26"/>
      <c r="F39" s="26"/>
      <c r="G39" s="26"/>
      <c r="H39" s="27"/>
      <c r="I39" s="28" t="s">
        <v>27</v>
      </c>
      <c r="J39" s="1" t="s">
        <v>27</v>
      </c>
      <c r="K39" s="1" t="s">
        <v>27</v>
      </c>
      <c r="L39" s="26"/>
      <c r="M39" s="26"/>
      <c r="N39" s="26"/>
      <c r="O39" s="26"/>
      <c r="P39" s="27"/>
      <c r="R39">
        <v>7</v>
      </c>
      <c r="S39" t="s">
        <v>65</v>
      </c>
    </row>
    <row r="40" spans="1:19">
      <c r="A40" s="1" t="s">
        <v>27</v>
      </c>
      <c r="B40" s="17" t="s">
        <v>19</v>
      </c>
      <c r="C40" s="3" t="s">
        <v>5</v>
      </c>
      <c r="D40" s="26"/>
      <c r="E40" s="26"/>
      <c r="F40" s="26"/>
      <c r="G40" s="26"/>
      <c r="H40" s="27"/>
      <c r="I40" s="28" t="s">
        <v>27</v>
      </c>
      <c r="J40" s="1" t="s">
        <v>27</v>
      </c>
      <c r="K40" s="1" t="s">
        <v>27</v>
      </c>
      <c r="L40" s="26"/>
      <c r="M40" s="26"/>
      <c r="N40" s="26"/>
      <c r="O40" s="26"/>
      <c r="P40" s="27"/>
    </row>
    <row r="41" spans="1:19">
      <c r="A41" s="1" t="s">
        <v>27</v>
      </c>
      <c r="B41" s="4" t="s">
        <v>6</v>
      </c>
      <c r="C41" s="4" t="s">
        <v>6</v>
      </c>
      <c r="D41" s="26"/>
      <c r="E41" s="26"/>
      <c r="F41" s="26"/>
      <c r="G41" s="26"/>
      <c r="H41" s="27"/>
      <c r="I41" s="28" t="s">
        <v>27</v>
      </c>
      <c r="J41" s="1" t="s">
        <v>27</v>
      </c>
      <c r="K41" s="1" t="s">
        <v>27</v>
      </c>
      <c r="L41" s="26"/>
      <c r="M41" s="26"/>
      <c r="N41" s="26"/>
      <c r="O41" s="26"/>
      <c r="P41" s="27"/>
    </row>
    <row r="42" spans="1:19">
      <c r="A42" s="1" t="s">
        <v>27</v>
      </c>
      <c r="B42" s="3" t="s">
        <v>5</v>
      </c>
      <c r="C42" s="4" t="s">
        <v>6</v>
      </c>
      <c r="D42" s="26"/>
      <c r="E42" s="26"/>
      <c r="F42" s="26"/>
      <c r="G42" s="26"/>
      <c r="H42" s="27"/>
      <c r="I42" s="28" t="s">
        <v>27</v>
      </c>
      <c r="J42" s="1" t="s">
        <v>27</v>
      </c>
      <c r="K42" s="1" t="s">
        <v>27</v>
      </c>
      <c r="L42" s="26"/>
      <c r="M42" s="26"/>
      <c r="N42" s="26"/>
      <c r="O42" s="26"/>
      <c r="P42" s="27"/>
    </row>
    <row r="43" spans="1:19">
      <c r="A43" s="1" t="s">
        <v>27</v>
      </c>
      <c r="B43" s="3" t="s">
        <v>5</v>
      </c>
      <c r="C43" s="17" t="s">
        <v>19</v>
      </c>
      <c r="D43" s="26"/>
      <c r="E43" s="26"/>
      <c r="F43" s="26"/>
      <c r="G43" s="26"/>
      <c r="H43" s="27"/>
      <c r="I43" s="28" t="s">
        <v>27</v>
      </c>
      <c r="J43" s="1" t="s">
        <v>27</v>
      </c>
      <c r="K43" s="1" t="s">
        <v>27</v>
      </c>
      <c r="L43" s="26"/>
      <c r="M43" s="26"/>
      <c r="N43" s="26"/>
      <c r="O43" s="26"/>
      <c r="P43" s="27"/>
    </row>
    <row r="44" spans="1:19">
      <c r="A44" s="1" t="s">
        <v>27</v>
      </c>
      <c r="B44" s="3" t="s">
        <v>5</v>
      </c>
      <c r="C44" s="4" t="s">
        <v>6</v>
      </c>
      <c r="D44" s="26"/>
      <c r="E44" s="26"/>
      <c r="F44" s="26"/>
      <c r="G44" s="26"/>
      <c r="H44" s="27"/>
      <c r="I44" s="28" t="s">
        <v>27</v>
      </c>
      <c r="J44" s="1" t="s">
        <v>27</v>
      </c>
      <c r="K44" s="1" t="s">
        <v>27</v>
      </c>
      <c r="L44" s="26"/>
      <c r="M44" s="26"/>
      <c r="N44" s="26"/>
      <c r="O44" s="26"/>
      <c r="P44" s="27"/>
    </row>
    <row r="45" spans="1:19">
      <c r="A45" s="1" t="s">
        <v>27</v>
      </c>
      <c r="B45" s="3" t="s">
        <v>5</v>
      </c>
      <c r="C45" s="4" t="s">
        <v>6</v>
      </c>
      <c r="D45" s="26"/>
      <c r="E45" s="26"/>
      <c r="F45" s="26"/>
      <c r="G45" s="26"/>
      <c r="H45" s="27"/>
      <c r="I45" s="28" t="s">
        <v>27</v>
      </c>
      <c r="J45" s="1" t="s">
        <v>27</v>
      </c>
      <c r="K45" s="1" t="s">
        <v>27</v>
      </c>
      <c r="L45" s="26"/>
      <c r="M45" s="26"/>
      <c r="N45" s="26"/>
      <c r="O45" s="26"/>
      <c r="P45" s="27"/>
    </row>
    <row r="46" spans="1:19">
      <c r="A46" s="1" t="s">
        <v>27</v>
      </c>
      <c r="B46" s="4" t="s">
        <v>6</v>
      </c>
      <c r="C46" s="4" t="s">
        <v>6</v>
      </c>
      <c r="D46" s="26"/>
      <c r="E46" s="26"/>
      <c r="F46" s="26"/>
      <c r="G46" s="26"/>
      <c r="H46" s="27"/>
      <c r="I46" s="28" t="s">
        <v>27</v>
      </c>
      <c r="J46" s="1" t="s">
        <v>27</v>
      </c>
      <c r="K46" s="1" t="s">
        <v>27</v>
      </c>
      <c r="L46" s="26"/>
      <c r="M46" s="26"/>
      <c r="N46" s="26"/>
      <c r="O46" s="26"/>
      <c r="P46" s="27"/>
    </row>
    <row r="47" spans="1:19">
      <c r="A47" s="1" t="s">
        <v>27</v>
      </c>
      <c r="B47" s="4" t="s">
        <v>6</v>
      </c>
      <c r="C47" s="4" t="s">
        <v>6</v>
      </c>
      <c r="D47" s="26"/>
      <c r="E47" s="26"/>
      <c r="F47" s="26"/>
      <c r="G47" s="26"/>
      <c r="H47" s="27"/>
      <c r="I47" s="28" t="s">
        <v>27</v>
      </c>
      <c r="J47" s="1" t="s">
        <v>27</v>
      </c>
      <c r="K47" s="1" t="s">
        <v>27</v>
      </c>
      <c r="L47" s="26"/>
      <c r="M47" s="26"/>
      <c r="N47" s="26"/>
      <c r="O47" s="26"/>
      <c r="P47" s="27"/>
    </row>
    <row r="48" spans="1:19">
      <c r="A48" s="1" t="s">
        <v>27</v>
      </c>
      <c r="B48" s="4" t="s">
        <v>6</v>
      </c>
      <c r="C48" s="16" t="s">
        <v>18</v>
      </c>
      <c r="D48" s="26"/>
      <c r="E48" s="26"/>
      <c r="F48" s="26"/>
      <c r="G48" s="26"/>
      <c r="H48" s="27"/>
      <c r="I48" s="28" t="s">
        <v>27</v>
      </c>
      <c r="J48" s="1" t="s">
        <v>27</v>
      </c>
      <c r="K48" s="1" t="s">
        <v>27</v>
      </c>
      <c r="L48" s="26"/>
      <c r="M48" s="26"/>
      <c r="N48" s="26"/>
      <c r="O48" s="26"/>
      <c r="P48" s="27"/>
    </row>
    <row r="49" spans="1:16">
      <c r="A49" s="1" t="s">
        <v>27</v>
      </c>
      <c r="B49" s="17" t="s">
        <v>20</v>
      </c>
      <c r="C49" s="4" t="s">
        <v>6</v>
      </c>
      <c r="D49" s="26"/>
      <c r="E49" s="26"/>
      <c r="F49" s="26"/>
      <c r="G49" s="26"/>
      <c r="H49" s="27"/>
      <c r="I49" s="28" t="s">
        <v>27</v>
      </c>
      <c r="J49" s="1" t="s">
        <v>27</v>
      </c>
      <c r="K49" s="1" t="s">
        <v>27</v>
      </c>
      <c r="L49" s="26"/>
      <c r="M49" s="26"/>
      <c r="N49" s="26"/>
      <c r="O49" s="26"/>
      <c r="P49" s="27"/>
    </row>
    <row r="50" spans="1:16">
      <c r="A50" s="1" t="s">
        <v>27</v>
      </c>
      <c r="B50" s="1" t="s">
        <v>27</v>
      </c>
      <c r="C50" s="4" t="s">
        <v>6</v>
      </c>
      <c r="D50" s="26"/>
      <c r="E50" s="26"/>
      <c r="F50" s="26"/>
      <c r="G50" s="26"/>
      <c r="H50" s="27"/>
      <c r="I50" s="28" t="s">
        <v>27</v>
      </c>
      <c r="J50" s="1" t="s">
        <v>27</v>
      </c>
      <c r="K50" s="1" t="s">
        <v>27</v>
      </c>
      <c r="L50" s="26"/>
      <c r="M50" s="26"/>
      <c r="N50" s="26"/>
      <c r="O50" s="26"/>
      <c r="P50" s="27"/>
    </row>
    <row r="51" spans="1:16">
      <c r="A51" s="1" t="s">
        <v>27</v>
      </c>
      <c r="B51" s="1" t="s">
        <v>27</v>
      </c>
      <c r="C51" s="17" t="s">
        <v>20</v>
      </c>
      <c r="D51" s="26"/>
      <c r="E51" s="26"/>
      <c r="F51" s="26"/>
      <c r="G51" s="26"/>
      <c r="H51" s="27"/>
      <c r="I51" s="28" t="s">
        <v>27</v>
      </c>
      <c r="J51" s="1" t="s">
        <v>27</v>
      </c>
      <c r="K51" s="1" t="s">
        <v>27</v>
      </c>
      <c r="L51" s="26"/>
      <c r="M51" s="26"/>
      <c r="N51" s="26"/>
      <c r="O51" s="26"/>
      <c r="P51" s="27"/>
    </row>
    <row r="52" spans="1:16">
      <c r="A52" s="1" t="s">
        <v>27</v>
      </c>
      <c r="B52" s="1" t="s">
        <v>27</v>
      </c>
      <c r="C52" s="1" t="s">
        <v>27</v>
      </c>
      <c r="D52" s="26"/>
      <c r="E52" s="26"/>
      <c r="F52" s="26"/>
      <c r="G52" s="26"/>
      <c r="H52" s="27"/>
      <c r="I52" s="28" t="s">
        <v>27</v>
      </c>
      <c r="J52" s="1" t="s">
        <v>27</v>
      </c>
      <c r="K52" s="1" t="s">
        <v>27</v>
      </c>
      <c r="L52" s="26"/>
      <c r="M52" s="26"/>
      <c r="N52" s="26"/>
      <c r="O52" s="26"/>
      <c r="P52" s="27"/>
    </row>
    <row r="53" spans="1:16">
      <c r="A53" s="1" t="s">
        <v>27</v>
      </c>
      <c r="B53" s="1" t="s">
        <v>27</v>
      </c>
      <c r="C53" s="1" t="s">
        <v>27</v>
      </c>
      <c r="D53" s="26"/>
      <c r="E53" s="26"/>
      <c r="F53" s="26"/>
      <c r="G53" s="26"/>
      <c r="H53" s="27"/>
      <c r="I53" s="28" t="s">
        <v>27</v>
      </c>
      <c r="J53" s="1" t="s">
        <v>27</v>
      </c>
      <c r="K53" s="1" t="s">
        <v>27</v>
      </c>
      <c r="L53" s="26"/>
      <c r="M53" s="26"/>
      <c r="N53" s="26"/>
      <c r="O53" s="26"/>
      <c r="P53" s="27"/>
    </row>
    <row r="54" spans="1:16">
      <c r="A54" s="1" t="s">
        <v>27</v>
      </c>
      <c r="B54" s="1" t="s">
        <v>27</v>
      </c>
      <c r="C54" s="1" t="s">
        <v>27</v>
      </c>
      <c r="D54" s="26"/>
      <c r="E54" s="26"/>
      <c r="F54" s="26"/>
      <c r="G54" s="26"/>
      <c r="H54" s="27"/>
      <c r="I54" s="28" t="s">
        <v>27</v>
      </c>
      <c r="J54" s="1" t="s">
        <v>27</v>
      </c>
      <c r="K54" s="1" t="s">
        <v>27</v>
      </c>
      <c r="L54" s="26"/>
      <c r="M54" s="26"/>
      <c r="N54" s="26"/>
      <c r="O54" s="26"/>
      <c r="P54" s="27"/>
    </row>
    <row r="55" spans="1:16">
      <c r="A55" s="1" t="s">
        <v>27</v>
      </c>
      <c r="B55" s="1" t="s">
        <v>27</v>
      </c>
      <c r="C55" s="1" t="s">
        <v>27</v>
      </c>
      <c r="D55" s="26"/>
      <c r="E55" s="26"/>
      <c r="F55" s="26"/>
      <c r="G55" s="26"/>
      <c r="H55" s="27"/>
      <c r="I55" s="28" t="s">
        <v>27</v>
      </c>
      <c r="J55" s="1" t="s">
        <v>27</v>
      </c>
      <c r="K55" s="1" t="s">
        <v>27</v>
      </c>
      <c r="L55" s="26"/>
      <c r="M55" s="26"/>
      <c r="N55" s="26"/>
      <c r="O55" s="26"/>
      <c r="P55" s="27"/>
    </row>
    <row r="56" spans="1:16">
      <c r="A56" s="28" t="s">
        <v>27</v>
      </c>
      <c r="B56" s="1" t="s">
        <v>27</v>
      </c>
      <c r="C56" s="1" t="s">
        <v>27</v>
      </c>
      <c r="D56" s="26"/>
      <c r="E56" s="26"/>
      <c r="F56" s="26"/>
      <c r="G56" s="26"/>
      <c r="H56" s="27"/>
      <c r="I56" s="28" t="s">
        <v>27</v>
      </c>
      <c r="J56" s="1" t="s">
        <v>27</v>
      </c>
      <c r="K56" s="1" t="s">
        <v>27</v>
      </c>
      <c r="L56" s="26"/>
      <c r="M56" s="26"/>
      <c r="N56" s="26"/>
      <c r="O56" s="26"/>
      <c r="P56" s="27"/>
    </row>
    <row r="57" spans="1:16">
      <c r="A57" s="28" t="s">
        <v>27</v>
      </c>
      <c r="B57" s="1" t="s">
        <v>27</v>
      </c>
      <c r="C57" s="1" t="s">
        <v>27</v>
      </c>
      <c r="D57" s="26"/>
      <c r="E57" s="26"/>
      <c r="F57" s="26"/>
      <c r="G57" s="26"/>
      <c r="H57" s="27"/>
      <c r="I57" s="28" t="s">
        <v>27</v>
      </c>
      <c r="J57" s="1" t="s">
        <v>27</v>
      </c>
      <c r="K57" s="1" t="s">
        <v>27</v>
      </c>
      <c r="L57" s="26"/>
      <c r="M57" s="26"/>
      <c r="N57" s="26"/>
      <c r="O57" s="26"/>
      <c r="P57" s="27"/>
    </row>
    <row r="58" spans="1:16">
      <c r="A58" s="28" t="s">
        <v>27</v>
      </c>
      <c r="B58" s="1" t="s">
        <v>27</v>
      </c>
      <c r="C58" s="1" t="s">
        <v>27</v>
      </c>
      <c r="D58" s="26"/>
      <c r="E58" s="26"/>
      <c r="F58" s="26"/>
      <c r="G58" s="26"/>
      <c r="H58" s="27"/>
      <c r="I58" s="28" t="s">
        <v>27</v>
      </c>
      <c r="J58" s="1" t="s">
        <v>27</v>
      </c>
      <c r="K58" s="1" t="s">
        <v>27</v>
      </c>
      <c r="L58" s="26"/>
      <c r="M58" s="26"/>
      <c r="N58" s="26"/>
      <c r="O58" s="26"/>
      <c r="P58" s="27"/>
    </row>
    <row r="59" spans="1:16">
      <c r="A59" s="28" t="s">
        <v>27</v>
      </c>
      <c r="B59" s="1" t="s">
        <v>27</v>
      </c>
      <c r="C59" s="1" t="s">
        <v>27</v>
      </c>
      <c r="D59" s="26"/>
      <c r="E59" s="26"/>
      <c r="F59" s="26"/>
      <c r="G59" s="26"/>
      <c r="H59" s="27"/>
      <c r="I59" s="28" t="s">
        <v>27</v>
      </c>
      <c r="J59" s="1" t="s">
        <v>27</v>
      </c>
      <c r="K59" s="1" t="s">
        <v>27</v>
      </c>
      <c r="L59" s="26"/>
      <c r="M59" s="26"/>
      <c r="N59" s="26"/>
      <c r="O59" s="26"/>
      <c r="P59" s="27"/>
    </row>
    <row r="60" spans="1:16">
      <c r="A60" s="28" t="s">
        <v>27</v>
      </c>
      <c r="B60" s="1" t="s">
        <v>27</v>
      </c>
      <c r="C60" s="1" t="s">
        <v>27</v>
      </c>
      <c r="D60" s="26"/>
      <c r="E60" s="26"/>
      <c r="F60" s="26"/>
      <c r="G60" s="26"/>
      <c r="H60" s="27"/>
      <c r="I60" s="28" t="s">
        <v>27</v>
      </c>
      <c r="J60" s="1" t="s">
        <v>27</v>
      </c>
      <c r="K60" s="1" t="s">
        <v>27</v>
      </c>
      <c r="L60" s="26"/>
      <c r="M60" s="26"/>
      <c r="N60" s="26"/>
      <c r="O60" s="26"/>
      <c r="P60" s="27"/>
    </row>
    <row r="61" spans="1:16">
      <c r="A61" s="28" t="s">
        <v>27</v>
      </c>
      <c r="B61" s="1" t="s">
        <v>27</v>
      </c>
      <c r="C61" s="1" t="s">
        <v>27</v>
      </c>
      <c r="D61" s="26"/>
      <c r="E61" s="26"/>
      <c r="F61" s="26"/>
      <c r="G61" s="26"/>
      <c r="H61" s="27"/>
      <c r="I61" s="28" t="s">
        <v>27</v>
      </c>
      <c r="J61" s="1" t="s">
        <v>27</v>
      </c>
      <c r="K61" s="1" t="s">
        <v>27</v>
      </c>
      <c r="L61" s="26"/>
      <c r="M61" s="26"/>
      <c r="N61" s="26"/>
      <c r="O61" s="26"/>
      <c r="P61" s="27"/>
    </row>
    <row r="62" spans="1:16">
      <c r="A62" s="28" t="s">
        <v>27</v>
      </c>
      <c r="B62" s="1" t="s">
        <v>27</v>
      </c>
      <c r="C62" s="1" t="s">
        <v>27</v>
      </c>
      <c r="D62" s="26"/>
      <c r="E62" s="26"/>
      <c r="F62" s="26"/>
      <c r="G62" s="26"/>
      <c r="H62" s="27"/>
      <c r="I62" s="28" t="s">
        <v>27</v>
      </c>
      <c r="J62" s="1" t="s">
        <v>27</v>
      </c>
      <c r="K62" s="1" t="s">
        <v>27</v>
      </c>
      <c r="L62" s="26"/>
      <c r="M62" s="26"/>
      <c r="N62" s="26"/>
      <c r="O62" s="26"/>
      <c r="P62" s="27"/>
    </row>
    <row r="63" spans="1:16">
      <c r="A63" s="28" t="s">
        <v>27</v>
      </c>
      <c r="B63" s="1" t="s">
        <v>27</v>
      </c>
      <c r="C63" s="1" t="s">
        <v>27</v>
      </c>
      <c r="D63" s="26"/>
      <c r="E63" s="26"/>
      <c r="F63" s="26"/>
      <c r="G63" s="26"/>
      <c r="H63" s="27"/>
      <c r="I63" s="28" t="s">
        <v>27</v>
      </c>
      <c r="J63" s="1" t="s">
        <v>27</v>
      </c>
      <c r="K63" s="1" t="s">
        <v>27</v>
      </c>
      <c r="L63" s="26"/>
      <c r="M63" s="26"/>
      <c r="N63" s="26"/>
      <c r="O63" s="26"/>
      <c r="P63" s="27"/>
    </row>
    <row r="64" spans="1:16">
      <c r="A64" s="28" t="s">
        <v>27</v>
      </c>
      <c r="B64" s="1" t="s">
        <v>27</v>
      </c>
      <c r="C64" s="1" t="s">
        <v>27</v>
      </c>
      <c r="D64" s="26"/>
      <c r="E64" s="26"/>
      <c r="F64" s="26"/>
      <c r="G64" s="26"/>
      <c r="H64" s="27"/>
      <c r="I64" s="28" t="s">
        <v>27</v>
      </c>
      <c r="J64" s="1" t="s">
        <v>27</v>
      </c>
      <c r="K64" s="1" t="s">
        <v>27</v>
      </c>
      <c r="L64" s="26"/>
      <c r="M64" s="26"/>
      <c r="N64" s="26"/>
      <c r="O64" s="26"/>
      <c r="P64" s="27"/>
    </row>
    <row r="65" spans="1:16">
      <c r="A65" s="28" t="s">
        <v>27</v>
      </c>
      <c r="B65" s="1" t="s">
        <v>27</v>
      </c>
      <c r="C65" s="1" t="s">
        <v>27</v>
      </c>
      <c r="D65" s="26"/>
      <c r="E65" s="26"/>
      <c r="F65" s="26"/>
      <c r="G65" s="26"/>
      <c r="H65" s="27"/>
      <c r="I65" s="28" t="s">
        <v>27</v>
      </c>
      <c r="J65" s="1" t="s">
        <v>27</v>
      </c>
      <c r="K65" s="1" t="s">
        <v>27</v>
      </c>
      <c r="L65" s="26"/>
      <c r="M65" s="26"/>
      <c r="N65" s="26"/>
      <c r="O65" s="26"/>
      <c r="P65" s="27"/>
    </row>
    <row r="66" spans="1:16">
      <c r="A66" s="28" t="s">
        <v>27</v>
      </c>
      <c r="B66" s="1" t="s">
        <v>27</v>
      </c>
      <c r="C66" s="1" t="s">
        <v>27</v>
      </c>
      <c r="D66" s="26"/>
      <c r="E66" s="26"/>
      <c r="F66" s="26"/>
      <c r="G66" s="26"/>
      <c r="H66" s="27"/>
      <c r="I66" s="28" t="s">
        <v>27</v>
      </c>
      <c r="J66" s="1" t="s">
        <v>27</v>
      </c>
      <c r="K66" s="1" t="s">
        <v>27</v>
      </c>
      <c r="L66" s="26"/>
      <c r="M66" s="26"/>
      <c r="N66" s="26"/>
      <c r="O66" s="26"/>
      <c r="P66" s="27"/>
    </row>
    <row r="67" spans="1:16">
      <c r="A67" s="28" t="s">
        <v>27</v>
      </c>
      <c r="B67" s="1" t="s">
        <v>27</v>
      </c>
      <c r="C67" s="1" t="s">
        <v>27</v>
      </c>
      <c r="D67" s="26"/>
      <c r="E67" s="26"/>
      <c r="F67" s="26"/>
      <c r="G67" s="26"/>
      <c r="H67" s="27"/>
      <c r="I67" s="28" t="s">
        <v>27</v>
      </c>
      <c r="J67" s="1" t="s">
        <v>27</v>
      </c>
      <c r="K67" s="1" t="s">
        <v>27</v>
      </c>
      <c r="L67" s="26"/>
      <c r="M67" s="26"/>
      <c r="N67" s="26"/>
      <c r="O67" s="26"/>
      <c r="P67" s="27"/>
    </row>
    <row r="68" spans="1:16">
      <c r="A68" s="28" t="s">
        <v>27</v>
      </c>
      <c r="B68" s="1" t="s">
        <v>27</v>
      </c>
      <c r="C68" s="1" t="s">
        <v>27</v>
      </c>
      <c r="D68" s="26"/>
      <c r="E68" s="26"/>
      <c r="F68" s="26"/>
      <c r="G68" s="26"/>
      <c r="H68" s="27"/>
      <c r="I68" s="28" t="s">
        <v>27</v>
      </c>
      <c r="J68" s="1" t="s">
        <v>27</v>
      </c>
      <c r="K68" s="1" t="s">
        <v>27</v>
      </c>
      <c r="L68" s="26"/>
      <c r="M68" s="26"/>
      <c r="N68" s="26"/>
      <c r="O68" s="26"/>
      <c r="P68" s="27"/>
    </row>
    <row r="69" spans="1:16">
      <c r="A69" s="28" t="s">
        <v>27</v>
      </c>
      <c r="B69" s="1" t="s">
        <v>27</v>
      </c>
      <c r="C69" s="1" t="s">
        <v>27</v>
      </c>
      <c r="D69" s="26"/>
      <c r="E69" s="26"/>
      <c r="F69" s="26"/>
      <c r="G69" s="26"/>
      <c r="H69" s="27"/>
      <c r="I69" s="28" t="s">
        <v>27</v>
      </c>
      <c r="J69" s="1" t="s">
        <v>27</v>
      </c>
      <c r="K69" s="1" t="s">
        <v>27</v>
      </c>
      <c r="L69" s="26"/>
      <c r="M69" s="26"/>
      <c r="N69" s="26"/>
      <c r="O69" s="26"/>
      <c r="P69" s="27"/>
    </row>
    <row r="70" spans="1:16">
      <c r="A70" s="28" t="s">
        <v>27</v>
      </c>
      <c r="B70" s="1" t="s">
        <v>27</v>
      </c>
      <c r="C70" s="1" t="s">
        <v>27</v>
      </c>
      <c r="D70" s="26"/>
      <c r="E70" s="26"/>
      <c r="F70" s="26"/>
      <c r="G70" s="26"/>
      <c r="H70" s="27"/>
      <c r="I70" s="28" t="s">
        <v>27</v>
      </c>
      <c r="J70" s="1" t="s">
        <v>27</v>
      </c>
      <c r="K70" s="1" t="s">
        <v>27</v>
      </c>
      <c r="L70" s="26"/>
      <c r="M70" s="26"/>
      <c r="N70" s="26"/>
      <c r="O70" s="26"/>
      <c r="P70" s="27"/>
    </row>
    <row r="71" spans="1:16">
      <c r="A71" s="28" t="s">
        <v>27</v>
      </c>
      <c r="B71" s="1" t="s">
        <v>27</v>
      </c>
      <c r="C71" s="1" t="s">
        <v>27</v>
      </c>
      <c r="D71" s="26"/>
      <c r="E71" s="26"/>
      <c r="F71" s="26"/>
      <c r="G71" s="26"/>
      <c r="H71" s="27"/>
      <c r="I71" s="28" t="s">
        <v>27</v>
      </c>
      <c r="J71" s="1" t="s">
        <v>27</v>
      </c>
      <c r="K71" s="1" t="s">
        <v>27</v>
      </c>
      <c r="L71" s="26"/>
      <c r="M71" s="26"/>
      <c r="N71" s="26"/>
      <c r="O71" s="26"/>
      <c r="P71" s="27"/>
    </row>
    <row r="72" spans="1:16">
      <c r="A72" s="28" t="s">
        <v>27</v>
      </c>
      <c r="B72" s="1" t="s">
        <v>27</v>
      </c>
      <c r="C72" s="1" t="s">
        <v>27</v>
      </c>
      <c r="D72" s="26"/>
      <c r="E72" s="26"/>
      <c r="F72" s="26"/>
      <c r="G72" s="26"/>
      <c r="H72" s="27"/>
      <c r="I72" s="28" t="s">
        <v>27</v>
      </c>
      <c r="J72" s="1" t="s">
        <v>27</v>
      </c>
      <c r="K72" s="1" t="s">
        <v>27</v>
      </c>
      <c r="L72" s="26"/>
      <c r="M72" s="26"/>
      <c r="N72" s="26"/>
      <c r="O72" s="26"/>
      <c r="P72" s="27"/>
    </row>
    <row r="73" spans="1:16">
      <c r="A73" s="28" t="s">
        <v>27</v>
      </c>
      <c r="B73" s="1" t="s">
        <v>27</v>
      </c>
      <c r="C73" s="1" t="s">
        <v>27</v>
      </c>
      <c r="D73" s="26"/>
      <c r="E73" s="26"/>
      <c r="F73" s="26"/>
      <c r="G73" s="26"/>
      <c r="H73" s="27"/>
      <c r="I73" s="28" t="s">
        <v>27</v>
      </c>
      <c r="J73" s="1" t="s">
        <v>27</v>
      </c>
      <c r="K73" s="1" t="s">
        <v>27</v>
      </c>
      <c r="L73" s="26"/>
      <c r="M73" s="26"/>
      <c r="N73" s="26"/>
      <c r="O73" s="26"/>
      <c r="P73" s="27"/>
    </row>
    <row r="74" spans="1:16">
      <c r="A74" s="28" t="s">
        <v>27</v>
      </c>
      <c r="B74" s="1" t="s">
        <v>27</v>
      </c>
      <c r="C74" s="1" t="s">
        <v>27</v>
      </c>
      <c r="D74" s="26"/>
      <c r="E74" s="26"/>
      <c r="F74" s="26"/>
      <c r="G74" s="26"/>
      <c r="H74" s="27"/>
      <c r="I74" s="28" t="s">
        <v>27</v>
      </c>
      <c r="J74" s="1" t="s">
        <v>27</v>
      </c>
      <c r="K74" s="1" t="s">
        <v>27</v>
      </c>
      <c r="L74" s="26"/>
      <c r="M74" s="26"/>
      <c r="N74" s="26"/>
      <c r="O74" s="26"/>
      <c r="P74" s="27"/>
    </row>
    <row r="75" spans="1:16">
      <c r="A75" s="28" t="s">
        <v>27</v>
      </c>
      <c r="B75" s="1" t="s">
        <v>27</v>
      </c>
      <c r="C75" s="1" t="s">
        <v>27</v>
      </c>
      <c r="D75" s="26"/>
      <c r="E75" s="26"/>
      <c r="F75" s="26"/>
      <c r="G75" s="26"/>
      <c r="H75" s="27"/>
      <c r="I75" s="28" t="s">
        <v>27</v>
      </c>
      <c r="J75" s="1" t="s">
        <v>27</v>
      </c>
      <c r="K75" s="1" t="s">
        <v>27</v>
      </c>
      <c r="L75" s="26"/>
      <c r="M75" s="26"/>
      <c r="N75" s="26"/>
      <c r="O75" s="26"/>
      <c r="P75" s="27"/>
    </row>
    <row r="76" spans="1:16">
      <c r="A76" s="28" t="s">
        <v>27</v>
      </c>
      <c r="B76" s="1" t="s">
        <v>27</v>
      </c>
      <c r="C76" s="1" t="s">
        <v>27</v>
      </c>
      <c r="D76" s="26"/>
      <c r="E76" s="26"/>
      <c r="F76" s="26"/>
      <c r="G76" s="26"/>
      <c r="H76" s="27"/>
      <c r="I76" s="28" t="s">
        <v>27</v>
      </c>
      <c r="J76" s="1" t="s">
        <v>27</v>
      </c>
      <c r="K76" s="1" t="s">
        <v>27</v>
      </c>
      <c r="L76" s="26"/>
      <c r="M76" s="26"/>
      <c r="N76" s="26"/>
      <c r="O76" s="26"/>
      <c r="P76" s="27"/>
    </row>
    <row r="77" spans="1:16">
      <c r="A77" s="28" t="s">
        <v>27</v>
      </c>
      <c r="B77" s="1" t="s">
        <v>27</v>
      </c>
      <c r="C77" s="1" t="s">
        <v>27</v>
      </c>
      <c r="D77" s="26"/>
      <c r="E77" s="26"/>
      <c r="F77" s="26"/>
      <c r="G77" s="26"/>
      <c r="H77" s="27"/>
      <c r="I77" s="28" t="s">
        <v>27</v>
      </c>
      <c r="J77" s="1" t="s">
        <v>27</v>
      </c>
      <c r="K77" s="1" t="s">
        <v>27</v>
      </c>
      <c r="L77" s="26"/>
      <c r="M77" s="26"/>
      <c r="N77" s="26"/>
      <c r="O77" s="26"/>
      <c r="P77" s="27"/>
    </row>
    <row r="78" spans="1:16">
      <c r="A78" s="28" t="s">
        <v>27</v>
      </c>
      <c r="B78" s="1" t="s">
        <v>27</v>
      </c>
      <c r="C78" s="1" t="s">
        <v>27</v>
      </c>
      <c r="D78" s="26"/>
      <c r="E78" s="26"/>
      <c r="F78" s="26"/>
      <c r="G78" s="26"/>
      <c r="H78" s="27"/>
      <c r="I78" s="28" t="s">
        <v>27</v>
      </c>
      <c r="J78" s="1" t="s">
        <v>27</v>
      </c>
      <c r="K78" s="1" t="s">
        <v>27</v>
      </c>
      <c r="L78" s="26"/>
      <c r="M78" s="26"/>
      <c r="N78" s="26"/>
      <c r="O78" s="26"/>
      <c r="P78" s="27"/>
    </row>
    <row r="79" spans="1:16">
      <c r="A79" s="28" t="s">
        <v>27</v>
      </c>
      <c r="B79" s="1" t="s">
        <v>27</v>
      </c>
      <c r="C79" s="1" t="s">
        <v>27</v>
      </c>
      <c r="D79" s="26"/>
      <c r="E79" s="26"/>
      <c r="F79" s="26"/>
      <c r="G79" s="26"/>
      <c r="H79" s="27"/>
      <c r="I79" s="28" t="s">
        <v>27</v>
      </c>
      <c r="J79" s="1" t="s">
        <v>27</v>
      </c>
      <c r="K79" s="1" t="s">
        <v>27</v>
      </c>
      <c r="L79" s="26"/>
      <c r="M79" s="26"/>
      <c r="N79" s="26"/>
      <c r="O79" s="26"/>
      <c r="P79" s="27"/>
    </row>
    <row r="80" spans="1:16">
      <c r="A80" s="28" t="s">
        <v>27</v>
      </c>
      <c r="B80" s="1" t="s">
        <v>27</v>
      </c>
      <c r="C80" s="1" t="s">
        <v>27</v>
      </c>
      <c r="D80" s="26"/>
      <c r="E80" s="26"/>
      <c r="F80" s="26"/>
      <c r="G80" s="26"/>
      <c r="H80" s="27"/>
      <c r="I80" s="28" t="s">
        <v>27</v>
      </c>
      <c r="J80" s="1" t="s">
        <v>27</v>
      </c>
      <c r="K80" s="1" t="s">
        <v>27</v>
      </c>
      <c r="L80" s="26"/>
      <c r="M80" s="26"/>
      <c r="N80" s="26"/>
      <c r="O80" s="26"/>
      <c r="P80" s="27"/>
    </row>
    <row r="81" spans="1:16">
      <c r="A81" s="28" t="s">
        <v>27</v>
      </c>
      <c r="B81" s="1" t="s">
        <v>27</v>
      </c>
      <c r="C81" s="1" t="s">
        <v>27</v>
      </c>
      <c r="D81" s="26"/>
      <c r="E81" s="26"/>
      <c r="F81" s="26"/>
      <c r="G81" s="26"/>
      <c r="H81" s="27"/>
      <c r="I81" s="28" t="s">
        <v>27</v>
      </c>
      <c r="J81" s="1" t="s">
        <v>27</v>
      </c>
      <c r="K81" s="1" t="s">
        <v>27</v>
      </c>
      <c r="L81" s="26"/>
      <c r="M81" s="26"/>
      <c r="N81" s="26"/>
      <c r="O81" s="26"/>
      <c r="P81" s="27"/>
    </row>
    <row r="82" spans="1:16">
      <c r="A82" s="28" t="s">
        <v>27</v>
      </c>
      <c r="B82" s="1" t="s">
        <v>27</v>
      </c>
      <c r="C82" s="1" t="s">
        <v>27</v>
      </c>
      <c r="D82" s="26"/>
      <c r="E82" s="26"/>
      <c r="F82" s="26"/>
      <c r="G82" s="26"/>
      <c r="H82" s="27"/>
      <c r="I82" s="28" t="s">
        <v>27</v>
      </c>
      <c r="J82" s="1" t="s">
        <v>27</v>
      </c>
      <c r="K82" s="1" t="s">
        <v>27</v>
      </c>
      <c r="L82" s="26"/>
      <c r="M82" s="26"/>
      <c r="N82" s="26"/>
      <c r="O82" s="26"/>
      <c r="P82" s="27"/>
    </row>
    <row r="83" spans="1:16">
      <c r="A83" s="28" t="s">
        <v>27</v>
      </c>
      <c r="B83" s="1" t="s">
        <v>27</v>
      </c>
      <c r="C83" s="1" t="s">
        <v>27</v>
      </c>
      <c r="D83" s="26"/>
      <c r="E83" s="26"/>
      <c r="F83" s="26"/>
      <c r="G83" s="26"/>
      <c r="H83" s="27"/>
      <c r="I83" s="28" t="s">
        <v>27</v>
      </c>
      <c r="J83" s="1" t="s">
        <v>27</v>
      </c>
      <c r="K83" s="1" t="s">
        <v>27</v>
      </c>
      <c r="L83" s="26"/>
      <c r="M83" s="26"/>
      <c r="N83" s="26"/>
      <c r="O83" s="26"/>
      <c r="P83" s="27"/>
    </row>
    <row r="84" spans="1:16">
      <c r="A84" s="28" t="s">
        <v>27</v>
      </c>
      <c r="B84" s="1" t="s">
        <v>27</v>
      </c>
      <c r="C84" s="1" t="s">
        <v>27</v>
      </c>
      <c r="D84" s="26"/>
      <c r="E84" s="26"/>
      <c r="F84" s="26"/>
      <c r="G84" s="26"/>
      <c r="H84" s="27"/>
      <c r="I84" s="28" t="s">
        <v>27</v>
      </c>
      <c r="J84" s="1" t="s">
        <v>27</v>
      </c>
      <c r="K84" s="1" t="s">
        <v>27</v>
      </c>
      <c r="L84" s="26"/>
      <c r="M84" s="26"/>
      <c r="N84" s="26"/>
      <c r="O84" s="26"/>
      <c r="P84" s="27"/>
    </row>
    <row r="85" spans="1:16">
      <c r="A85" s="28" t="s">
        <v>27</v>
      </c>
      <c r="B85" s="1" t="s">
        <v>27</v>
      </c>
      <c r="C85" s="1" t="s">
        <v>27</v>
      </c>
      <c r="D85" s="26"/>
      <c r="E85" s="26"/>
      <c r="F85" s="26"/>
      <c r="G85" s="26"/>
      <c r="H85" s="27"/>
      <c r="I85" s="28" t="s">
        <v>27</v>
      </c>
      <c r="J85" s="1" t="s">
        <v>27</v>
      </c>
      <c r="K85" s="1" t="s">
        <v>27</v>
      </c>
      <c r="L85" s="26"/>
      <c r="M85" s="26"/>
      <c r="N85" s="26"/>
      <c r="O85" s="26"/>
      <c r="P85" s="27"/>
    </row>
    <row r="86" spans="1:16">
      <c r="A86" s="28" t="s">
        <v>27</v>
      </c>
      <c r="B86" s="1" t="s">
        <v>27</v>
      </c>
      <c r="C86" s="1" t="s">
        <v>27</v>
      </c>
      <c r="D86" s="26"/>
      <c r="E86" s="26"/>
      <c r="F86" s="26"/>
      <c r="G86" s="26"/>
      <c r="H86" s="27"/>
      <c r="I86" s="28" t="s">
        <v>27</v>
      </c>
      <c r="J86" s="1" t="s">
        <v>27</v>
      </c>
      <c r="K86" s="1" t="s">
        <v>27</v>
      </c>
      <c r="L86" s="26"/>
      <c r="M86" s="26"/>
      <c r="N86" s="26"/>
      <c r="O86" s="26"/>
      <c r="P86" s="27"/>
    </row>
    <row r="87" spans="1:16">
      <c r="A87" s="28" t="s">
        <v>27</v>
      </c>
      <c r="B87" s="1" t="s">
        <v>27</v>
      </c>
      <c r="C87" s="1" t="s">
        <v>27</v>
      </c>
      <c r="D87" s="26"/>
      <c r="E87" s="26"/>
      <c r="F87" s="26"/>
      <c r="G87" s="26"/>
      <c r="H87" s="27"/>
      <c r="I87" s="28" t="s">
        <v>27</v>
      </c>
      <c r="J87" s="1" t="s">
        <v>27</v>
      </c>
      <c r="K87" s="1" t="s">
        <v>27</v>
      </c>
      <c r="L87" s="26"/>
      <c r="M87" s="26"/>
      <c r="N87" s="26"/>
      <c r="O87" s="26"/>
      <c r="P87" s="27"/>
    </row>
    <row r="88" spans="1:16">
      <c r="A88" s="28" t="s">
        <v>27</v>
      </c>
      <c r="B88" s="1" t="s">
        <v>27</v>
      </c>
      <c r="C88" s="1" t="s">
        <v>27</v>
      </c>
      <c r="D88" s="26"/>
      <c r="E88" s="26"/>
      <c r="F88" s="26"/>
      <c r="G88" s="26"/>
      <c r="H88" s="27"/>
      <c r="I88" s="28" t="s">
        <v>27</v>
      </c>
      <c r="J88" s="1" t="s">
        <v>27</v>
      </c>
      <c r="K88" s="1" t="s">
        <v>27</v>
      </c>
      <c r="L88" s="26"/>
      <c r="M88" s="26"/>
      <c r="N88" s="26"/>
      <c r="O88" s="26"/>
      <c r="P88" s="27"/>
    </row>
    <row r="89" spans="1:16">
      <c r="A89" s="28" t="s">
        <v>27</v>
      </c>
      <c r="B89" s="1" t="s">
        <v>27</v>
      </c>
      <c r="C89" s="1" t="s">
        <v>27</v>
      </c>
      <c r="D89" s="26"/>
      <c r="E89" s="26"/>
      <c r="F89" s="26"/>
      <c r="G89" s="26"/>
      <c r="H89" s="27"/>
      <c r="I89" s="28" t="s">
        <v>27</v>
      </c>
      <c r="J89" s="1" t="s">
        <v>27</v>
      </c>
      <c r="K89" s="1" t="s">
        <v>27</v>
      </c>
      <c r="L89" s="26"/>
      <c r="M89" s="26"/>
      <c r="N89" s="26"/>
      <c r="O89" s="26"/>
      <c r="P89" s="27"/>
    </row>
    <row r="90" spans="1:16">
      <c r="A90" s="28" t="s">
        <v>27</v>
      </c>
      <c r="B90" s="1" t="s">
        <v>27</v>
      </c>
      <c r="C90" s="1" t="s">
        <v>27</v>
      </c>
      <c r="D90" s="26"/>
      <c r="E90" s="26"/>
      <c r="F90" s="26"/>
      <c r="G90" s="26"/>
      <c r="H90" s="27"/>
      <c r="I90" s="28" t="s">
        <v>27</v>
      </c>
      <c r="J90" s="1" t="s">
        <v>27</v>
      </c>
      <c r="K90" s="1" t="s">
        <v>27</v>
      </c>
      <c r="L90" s="26"/>
      <c r="M90" s="26"/>
      <c r="N90" s="26"/>
      <c r="O90" s="26"/>
      <c r="P90" s="27"/>
    </row>
    <row r="91" spans="1:16">
      <c r="A91" s="28" t="s">
        <v>27</v>
      </c>
      <c r="B91" s="1" t="s">
        <v>27</v>
      </c>
      <c r="C91" s="1" t="s">
        <v>27</v>
      </c>
      <c r="D91" s="26"/>
      <c r="E91" s="26"/>
      <c r="F91" s="26"/>
      <c r="G91" s="26"/>
      <c r="H91" s="27"/>
      <c r="I91" s="28" t="s">
        <v>27</v>
      </c>
      <c r="J91" s="1" t="s">
        <v>27</v>
      </c>
      <c r="K91" s="1" t="s">
        <v>27</v>
      </c>
      <c r="L91" s="26"/>
      <c r="M91" s="26"/>
      <c r="N91" s="26"/>
      <c r="O91" s="26"/>
      <c r="P91" s="27"/>
    </row>
    <row r="92" spans="1:16">
      <c r="A92" s="28" t="s">
        <v>27</v>
      </c>
      <c r="B92" s="1" t="s">
        <v>27</v>
      </c>
      <c r="C92" s="1" t="s">
        <v>27</v>
      </c>
      <c r="D92" s="26"/>
      <c r="E92" s="26"/>
      <c r="F92" s="26"/>
      <c r="G92" s="26"/>
      <c r="H92" s="27"/>
      <c r="I92" s="28" t="s">
        <v>27</v>
      </c>
      <c r="J92" s="1" t="s">
        <v>27</v>
      </c>
      <c r="K92" s="1" t="s">
        <v>27</v>
      </c>
      <c r="L92" s="26"/>
      <c r="M92" s="26"/>
      <c r="N92" s="26"/>
      <c r="O92" s="26"/>
      <c r="P92" s="27"/>
    </row>
    <row r="93" spans="1:16">
      <c r="A93" s="28" t="s">
        <v>27</v>
      </c>
      <c r="B93" s="1" t="s">
        <v>27</v>
      </c>
      <c r="C93" s="1" t="s">
        <v>27</v>
      </c>
      <c r="D93" s="26"/>
      <c r="E93" s="26"/>
      <c r="F93" s="26"/>
      <c r="G93" s="26"/>
      <c r="H93" s="27"/>
      <c r="I93" s="28" t="s">
        <v>27</v>
      </c>
      <c r="J93" s="1" t="s">
        <v>27</v>
      </c>
      <c r="K93" s="1" t="s">
        <v>27</v>
      </c>
      <c r="L93" s="26"/>
      <c r="M93" s="26"/>
      <c r="N93" s="26"/>
      <c r="O93" s="26"/>
      <c r="P93" s="27"/>
    </row>
    <row r="94" spans="1:16">
      <c r="A94" s="28" t="s">
        <v>27</v>
      </c>
      <c r="B94" s="1" t="s">
        <v>27</v>
      </c>
      <c r="C94" s="1" t="s">
        <v>27</v>
      </c>
      <c r="D94" s="26"/>
      <c r="E94" s="26"/>
      <c r="F94" s="26"/>
      <c r="G94" s="26"/>
      <c r="H94" s="27"/>
      <c r="I94" s="28" t="s">
        <v>27</v>
      </c>
      <c r="J94" s="1" t="s">
        <v>27</v>
      </c>
      <c r="K94" s="1" t="s">
        <v>27</v>
      </c>
      <c r="L94" s="26"/>
      <c r="M94" s="26"/>
      <c r="N94" s="26"/>
      <c r="O94" s="26"/>
      <c r="P94" s="27"/>
    </row>
    <row r="95" spans="1:16">
      <c r="A95" s="28" t="s">
        <v>27</v>
      </c>
      <c r="B95" s="1" t="s">
        <v>27</v>
      </c>
      <c r="C95" s="1" t="s">
        <v>27</v>
      </c>
      <c r="D95" s="26"/>
      <c r="E95" s="26"/>
      <c r="F95" s="26"/>
      <c r="G95" s="26"/>
      <c r="H95" s="27"/>
      <c r="I95" s="28" t="s">
        <v>27</v>
      </c>
      <c r="J95" s="1" t="s">
        <v>27</v>
      </c>
      <c r="K95" s="1" t="s">
        <v>27</v>
      </c>
      <c r="L95" s="26"/>
      <c r="M95" s="26"/>
      <c r="N95" s="26"/>
      <c r="O95" s="26"/>
      <c r="P95" s="27"/>
    </row>
    <row r="96" spans="1:16">
      <c r="A96" s="28" t="s">
        <v>27</v>
      </c>
      <c r="B96" s="1" t="s">
        <v>27</v>
      </c>
      <c r="C96" s="1" t="s">
        <v>27</v>
      </c>
      <c r="D96" s="26"/>
      <c r="E96" s="26"/>
      <c r="F96" s="26"/>
      <c r="G96" s="26"/>
      <c r="H96" s="27"/>
      <c r="I96" s="28" t="s">
        <v>27</v>
      </c>
      <c r="J96" s="1" t="s">
        <v>27</v>
      </c>
      <c r="K96" s="1" t="s">
        <v>27</v>
      </c>
      <c r="L96" s="26"/>
      <c r="M96" s="26"/>
      <c r="N96" s="26"/>
      <c r="O96" s="26"/>
      <c r="P96" s="27"/>
    </row>
    <row r="97" spans="1:16">
      <c r="A97" s="28" t="s">
        <v>27</v>
      </c>
      <c r="B97" s="1" t="s">
        <v>27</v>
      </c>
      <c r="C97" s="1" t="s">
        <v>27</v>
      </c>
      <c r="D97" s="26"/>
      <c r="E97" s="26"/>
      <c r="F97" s="26"/>
      <c r="G97" s="26"/>
      <c r="H97" s="27"/>
      <c r="I97" s="28" t="s">
        <v>27</v>
      </c>
      <c r="J97" s="1" t="s">
        <v>27</v>
      </c>
      <c r="K97" s="1" t="s">
        <v>27</v>
      </c>
      <c r="L97" s="26"/>
      <c r="M97" s="26"/>
      <c r="N97" s="26"/>
      <c r="O97" s="26"/>
      <c r="P97" s="27"/>
    </row>
    <row r="98" spans="1:16">
      <c r="A98" s="28" t="s">
        <v>27</v>
      </c>
      <c r="B98" s="1" t="s">
        <v>27</v>
      </c>
      <c r="C98" s="1" t="s">
        <v>27</v>
      </c>
      <c r="D98" s="26"/>
      <c r="E98" s="26"/>
      <c r="F98" s="26"/>
      <c r="G98" s="26"/>
      <c r="H98" s="27"/>
      <c r="I98" s="28" t="s">
        <v>27</v>
      </c>
      <c r="J98" s="1" t="s">
        <v>27</v>
      </c>
      <c r="K98" s="1" t="s">
        <v>27</v>
      </c>
      <c r="L98" s="26"/>
      <c r="M98" s="26"/>
      <c r="N98" s="26"/>
      <c r="O98" s="26"/>
      <c r="P98" s="27"/>
    </row>
    <row r="99" spans="1:16">
      <c r="A99" s="28" t="s">
        <v>27</v>
      </c>
      <c r="B99" s="1" t="s">
        <v>27</v>
      </c>
      <c r="C99" s="1" t="s">
        <v>27</v>
      </c>
      <c r="D99" s="26"/>
      <c r="E99" s="26"/>
      <c r="F99" s="26"/>
      <c r="G99" s="26"/>
      <c r="H99" s="27"/>
      <c r="I99" s="28" t="s">
        <v>27</v>
      </c>
      <c r="J99" s="1" t="s">
        <v>27</v>
      </c>
      <c r="K99" s="1" t="s">
        <v>27</v>
      </c>
      <c r="L99" s="26"/>
      <c r="M99" s="26"/>
      <c r="N99" s="26"/>
      <c r="O99" s="26"/>
      <c r="P99" s="27"/>
    </row>
    <row r="100" spans="1:16" ht="15.75" thickBot="1">
      <c r="A100" s="29" t="s">
        <v>27</v>
      </c>
      <c r="B100" s="30" t="s">
        <v>27</v>
      </c>
      <c r="C100" s="30" t="s">
        <v>27</v>
      </c>
      <c r="D100" s="31"/>
      <c r="E100" s="31"/>
      <c r="F100" s="31"/>
      <c r="G100" s="31"/>
      <c r="H100" s="32"/>
      <c r="I100" s="29" t="s">
        <v>27</v>
      </c>
      <c r="J100" s="30" t="s">
        <v>27</v>
      </c>
      <c r="K100" s="30" t="s">
        <v>27</v>
      </c>
      <c r="L100" s="31"/>
      <c r="M100" s="31"/>
      <c r="N100" s="31"/>
      <c r="O100" s="31"/>
      <c r="P100" s="32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ageMargins left="0.7" right="0.7" top="0.75" bottom="0.75" header="0.3" footer="0.3"/>
  <pageSetup paperSize="9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FDCF1-616A-44E5-8D12-B49E4C2E4FAF}">
  <dimension ref="A1:AB100"/>
  <sheetViews>
    <sheetView workbookViewId="0">
      <selection activeCell="J6" sqref="J6"/>
    </sheetView>
  </sheetViews>
  <sheetFormatPr defaultRowHeight="15"/>
  <sheetData>
    <row r="1" spans="1:28" ht="15.75">
      <c r="A1" s="62" t="s">
        <v>30</v>
      </c>
      <c r="B1" s="63"/>
      <c r="C1" s="63"/>
      <c r="D1" s="63"/>
      <c r="E1" s="63"/>
      <c r="F1" s="64" t="s">
        <v>3</v>
      </c>
      <c r="G1" s="64"/>
      <c r="H1" s="24" cm="1">
        <f t="array" ref="H1">SUM(VLOOKUP(A4:C100,$T$3:$W$36,4,FALSE))+H4*10-H8*50</f>
        <v>3249.5502686758441</v>
      </c>
      <c r="I1" s="65" t="s">
        <v>41</v>
      </c>
      <c r="J1" s="66"/>
      <c r="K1" s="66"/>
      <c r="L1" s="66"/>
      <c r="M1" s="66"/>
      <c r="N1" s="66"/>
      <c r="O1" s="66"/>
      <c r="P1" s="67"/>
      <c r="Q1" s="65" t="s">
        <v>48</v>
      </c>
      <c r="R1" s="66"/>
      <c r="S1" s="66"/>
      <c r="T1" s="66"/>
      <c r="U1" s="66"/>
      <c r="V1" s="66"/>
      <c r="W1" s="66"/>
      <c r="X1" s="66"/>
      <c r="Y1" s="66"/>
      <c r="Z1" s="66"/>
      <c r="AA1" s="66"/>
      <c r="AB1" s="67"/>
    </row>
    <row r="2" spans="1:28" ht="30">
      <c r="A2" s="68" t="s">
        <v>35</v>
      </c>
      <c r="B2" s="69"/>
      <c r="C2" s="69"/>
      <c r="D2" s="70" t="s">
        <v>37</v>
      </c>
      <c r="E2" s="71"/>
      <c r="F2" s="71"/>
      <c r="G2" s="71"/>
      <c r="H2" s="72"/>
      <c r="I2" s="73" t="s">
        <v>35</v>
      </c>
      <c r="J2" s="74"/>
      <c r="K2" s="74"/>
      <c r="L2" s="75" t="s">
        <v>37</v>
      </c>
      <c r="M2" s="75"/>
      <c r="N2" s="75"/>
      <c r="O2" s="75"/>
      <c r="P2" s="76"/>
      <c r="Q2" s="50" t="s">
        <v>43</v>
      </c>
      <c r="R2" s="51" cm="1">
        <f t="array" ref="R2">SUM(V3:V28*AB3:AB28)+H6+P6+R4*500</f>
        <v>65005</v>
      </c>
      <c r="S2" s="26"/>
      <c r="T2" s="1" t="s">
        <v>0</v>
      </c>
      <c r="U2" s="1" t="s">
        <v>1</v>
      </c>
      <c r="V2" s="1" t="s">
        <v>2</v>
      </c>
      <c r="W2" s="44" t="s">
        <v>3</v>
      </c>
      <c r="X2" s="46" t="s">
        <v>44</v>
      </c>
      <c r="Y2" s="46" t="s">
        <v>56</v>
      </c>
      <c r="Z2" s="47" t="s">
        <v>45</v>
      </c>
      <c r="AA2" s="47" t="s">
        <v>46</v>
      </c>
      <c r="AB2" s="52" t="s">
        <v>47</v>
      </c>
    </row>
    <row r="3" spans="1:28">
      <c r="A3" s="60" t="s">
        <v>31</v>
      </c>
      <c r="B3" s="61" t="s">
        <v>32</v>
      </c>
      <c r="C3" s="20" t="s">
        <v>33</v>
      </c>
      <c r="D3" s="33"/>
      <c r="E3" s="60" t="s">
        <v>31</v>
      </c>
      <c r="F3" s="61" t="s">
        <v>32</v>
      </c>
      <c r="G3" s="20" t="s">
        <v>33</v>
      </c>
      <c r="H3" s="34" t="s">
        <v>36</v>
      </c>
      <c r="I3" s="60" t="s">
        <v>31</v>
      </c>
      <c r="J3" s="61" t="s">
        <v>32</v>
      </c>
      <c r="K3" s="20" t="s">
        <v>33</v>
      </c>
      <c r="L3" s="33"/>
      <c r="M3" s="60" t="s">
        <v>31</v>
      </c>
      <c r="N3" s="61" t="s">
        <v>32</v>
      </c>
      <c r="O3" s="20" t="s">
        <v>33</v>
      </c>
      <c r="P3" s="34" t="s">
        <v>36</v>
      </c>
      <c r="Q3" s="53" t="s">
        <v>49</v>
      </c>
      <c r="R3" s="26">
        <v>91</v>
      </c>
      <c r="S3" s="26"/>
      <c r="T3" s="2" t="s">
        <v>4</v>
      </c>
      <c r="U3" s="1">
        <v>150</v>
      </c>
      <c r="V3" s="1">
        <v>35</v>
      </c>
      <c r="W3" s="45">
        <f>U3-V3/0.330882</f>
        <v>44.222109392472248</v>
      </c>
      <c r="X3" s="46"/>
      <c r="Y3" s="46">
        <v>24</v>
      </c>
      <c r="Z3" s="1">
        <f>COUNTIF($A$4:$C$100,T3)</f>
        <v>16</v>
      </c>
      <c r="AA3" s="1">
        <f>COUNTIF($I$4:$K$100,T3)</f>
        <v>8</v>
      </c>
      <c r="AB3" s="54">
        <f>Y3-Z3-AA3</f>
        <v>0</v>
      </c>
    </row>
    <row r="4" spans="1:28">
      <c r="A4" s="2" t="s">
        <v>4</v>
      </c>
      <c r="B4" s="2" t="s">
        <v>4</v>
      </c>
      <c r="C4" s="3" t="s">
        <v>5</v>
      </c>
      <c r="D4" s="43" t="s">
        <v>34</v>
      </c>
      <c r="E4" s="39">
        <v>0</v>
      </c>
      <c r="F4" s="39">
        <v>10</v>
      </c>
      <c r="G4" s="39">
        <v>5</v>
      </c>
      <c r="H4" s="36">
        <f>SUM(E4:G4)</f>
        <v>15</v>
      </c>
      <c r="I4" s="2" t="s">
        <v>4</v>
      </c>
      <c r="J4" s="9" t="s">
        <v>11</v>
      </c>
      <c r="K4" s="3" t="s">
        <v>5</v>
      </c>
      <c r="L4" s="43" t="s">
        <v>34</v>
      </c>
      <c r="M4" s="39">
        <v>0</v>
      </c>
      <c r="N4" s="39">
        <v>2</v>
      </c>
      <c r="O4" s="39">
        <v>0</v>
      </c>
      <c r="P4" s="36">
        <f>SUM(M4:O4)</f>
        <v>2</v>
      </c>
      <c r="Q4" s="53" t="s">
        <v>50</v>
      </c>
      <c r="R4" s="40">
        <v>14</v>
      </c>
      <c r="S4" s="26"/>
      <c r="T4" s="3" t="s">
        <v>5</v>
      </c>
      <c r="U4" s="1">
        <v>160</v>
      </c>
      <c r="V4" s="1">
        <v>40</v>
      </c>
      <c r="W4" s="45">
        <f t="shared" ref="W4" si="0">U4-V4/0.330882</f>
        <v>39.110982162825422</v>
      </c>
      <c r="X4" s="46"/>
      <c r="Y4" s="46">
        <v>49</v>
      </c>
      <c r="Z4" s="1">
        <f t="shared" ref="Z4:Z28" si="1">COUNTIF($A$4:$C$100,T4)</f>
        <v>25</v>
      </c>
      <c r="AA4" s="1">
        <f t="shared" ref="AA4:AA28" si="2">COUNTIF($I$4:$K$100,T4)</f>
        <v>24</v>
      </c>
      <c r="AB4" s="54">
        <f t="shared" ref="AB4:AB28" si="3">Y4-Z4-AA4</f>
        <v>0</v>
      </c>
    </row>
    <row r="5" spans="1:28">
      <c r="A5" s="2" t="s">
        <v>4</v>
      </c>
      <c r="B5" s="2" t="s">
        <v>4</v>
      </c>
      <c r="C5" s="23" t="s">
        <v>29</v>
      </c>
      <c r="D5" s="33" t="s">
        <v>38</v>
      </c>
      <c r="E5" s="35" cm="1">
        <f t="array" ref="E5">(SUM(VLOOKUP(A4:A100,$T$3:$W$41,2,FALSE))+E4*10)-E8*50</f>
        <v>900</v>
      </c>
      <c r="F5" s="35" cm="1">
        <f t="array" ref="F5">(SUM(VLOOKUP(B4:B100,$T$3:$W$41,2,FALSE))+F4*10)-F8*50</f>
        <v>7300</v>
      </c>
      <c r="G5" s="35" cm="1">
        <f t="array" ref="G5">(SUM(VLOOKUP(C4:C100,$T$3:$W$41,2,FALSE))+G4*10)-G8*50</f>
        <v>6480</v>
      </c>
      <c r="H5" s="59">
        <f t="shared" ref="H5:H8" si="4">SUM(E5:G5)</f>
        <v>14680</v>
      </c>
      <c r="I5" s="15" t="s">
        <v>17</v>
      </c>
      <c r="J5" s="1" t="s">
        <v>27</v>
      </c>
      <c r="K5" s="3" t="s">
        <v>5</v>
      </c>
      <c r="L5" s="33" t="s">
        <v>38</v>
      </c>
      <c r="M5" s="35" cm="1">
        <f t="array" ref="M5">(SUM(VLOOKUP(I4:I100,$T$3:$W$41,2,FALSE))+M4*10)*0.8-M8*40</f>
        <v>1848</v>
      </c>
      <c r="N5" s="35" cm="1">
        <f t="array" ref="N5">(SUM(VLOOKUP(J4:J100,$T$3:$W$41,2,FALSE))+N4*10)*0.8-N8*40</f>
        <v>976</v>
      </c>
      <c r="O5" s="35" cm="1">
        <f t="array" ref="O5">(SUM(VLOOKUP(K4:K100,$T$3:$W$41,2,FALSE))+O4*10)*0.8-O8*40</f>
        <v>1864</v>
      </c>
      <c r="P5" s="59">
        <f t="shared" ref="P5:P8" si="5">SUM(M5:O5)</f>
        <v>4688</v>
      </c>
      <c r="Q5" s="53" t="s">
        <v>51</v>
      </c>
      <c r="R5" s="26">
        <v>6000</v>
      </c>
      <c r="S5" s="26"/>
      <c r="T5" s="4" t="s">
        <v>6</v>
      </c>
      <c r="U5" s="1">
        <v>170</v>
      </c>
      <c r="V5" s="1">
        <v>45</v>
      </c>
      <c r="W5" s="45">
        <v>34</v>
      </c>
      <c r="X5" s="48"/>
      <c r="Y5" s="46">
        <v>217</v>
      </c>
      <c r="Z5" s="1">
        <f t="shared" si="1"/>
        <v>39</v>
      </c>
      <c r="AA5" s="1">
        <f t="shared" si="2"/>
        <v>0</v>
      </c>
      <c r="AB5" s="54">
        <f t="shared" si="3"/>
        <v>178</v>
      </c>
    </row>
    <row r="6" spans="1:28">
      <c r="A6" s="2" t="s">
        <v>4</v>
      </c>
      <c r="B6" s="2" t="s">
        <v>4</v>
      </c>
      <c r="C6" s="3" t="s">
        <v>5</v>
      </c>
      <c r="D6" s="33" t="s">
        <v>39</v>
      </c>
      <c r="E6" s="35" cm="1">
        <f t="array" ref="E6">(SUM(VLOOKUP(A4:A100,$T$3:$W$41,3,FALSE)))</f>
        <v>210</v>
      </c>
      <c r="F6" s="35" cm="1">
        <f t="array" ref="F6">(SUM(VLOOKUP(B4:B100,$T$3:$W$41,3,FALSE)))</f>
        <v>2040</v>
      </c>
      <c r="G6" s="35" cm="1">
        <f t="array" ref="G6">(SUM(VLOOKUP(C4:C100,$T$3:$W$41,3,FALSE)))</f>
        <v>2610</v>
      </c>
      <c r="H6" s="49">
        <f t="shared" si="4"/>
        <v>4860</v>
      </c>
      <c r="I6" s="2" t="s">
        <v>4</v>
      </c>
      <c r="J6" s="3" t="s">
        <v>5</v>
      </c>
      <c r="K6" s="3" t="s">
        <v>5</v>
      </c>
      <c r="L6" s="33" t="s">
        <v>39</v>
      </c>
      <c r="M6" s="35" cm="1">
        <f t="array" ref="M6">(SUM(VLOOKUP(I4:I100,$T$3:$W$41,3,FALSE)))</f>
        <v>740</v>
      </c>
      <c r="N6" s="35" cm="1">
        <f t="array" ref="N6">(SUM(VLOOKUP(J4:J100,$T$3:$W$41,3,FALSE)))</f>
        <v>340</v>
      </c>
      <c r="O6" s="35" cm="1">
        <f t="array" ref="O6">(SUM(VLOOKUP(K4:K100,$T$3:$W$41,3,FALSE)))</f>
        <v>620</v>
      </c>
      <c r="P6" s="49">
        <f t="shared" si="5"/>
        <v>1700</v>
      </c>
      <c r="Q6" s="50" t="s">
        <v>52</v>
      </c>
      <c r="R6" s="26">
        <f>R3*1600-800+R5</f>
        <v>150800</v>
      </c>
      <c r="S6" s="26"/>
      <c r="T6" s="5" t="s">
        <v>7</v>
      </c>
      <c r="U6" s="1">
        <v>180</v>
      </c>
      <c r="V6" s="1">
        <v>50</v>
      </c>
      <c r="W6" s="45">
        <v>36</v>
      </c>
      <c r="X6" s="46">
        <v>267</v>
      </c>
      <c r="Y6" s="46">
        <v>266</v>
      </c>
      <c r="Z6" s="1">
        <f t="shared" si="1"/>
        <v>0</v>
      </c>
      <c r="AA6" s="1">
        <f t="shared" si="2"/>
        <v>0</v>
      </c>
      <c r="AB6" s="54">
        <f t="shared" si="3"/>
        <v>266</v>
      </c>
    </row>
    <row r="7" spans="1:28">
      <c r="A7" s="2" t="s">
        <v>4</v>
      </c>
      <c r="B7" s="2" t="s">
        <v>4</v>
      </c>
      <c r="C7" s="4" t="s">
        <v>6</v>
      </c>
      <c r="D7" s="33" t="s">
        <v>40</v>
      </c>
      <c r="E7" s="35">
        <f>COUNTIF(A4:A100,"&lt;&gt;空")</f>
        <v>6</v>
      </c>
      <c r="F7" s="35">
        <f>COUNTIF(B4:B100,"&lt;&gt;空")</f>
        <v>46</v>
      </c>
      <c r="G7" s="35">
        <f>COUNTIF(C4:C100,"&lt;&gt;空")</f>
        <v>47</v>
      </c>
      <c r="H7" s="36">
        <f t="shared" si="4"/>
        <v>99</v>
      </c>
      <c r="I7" s="2" t="s">
        <v>4</v>
      </c>
      <c r="J7" s="1" t="s">
        <v>27</v>
      </c>
      <c r="K7" s="15" t="s">
        <v>17</v>
      </c>
      <c r="L7" s="33" t="s">
        <v>40</v>
      </c>
      <c r="M7" s="35">
        <f>COUNTIF(I4:I100,"&lt;&gt;空")</f>
        <v>22</v>
      </c>
      <c r="N7" s="35">
        <f>COUNTIF(J4:J100,"&lt;&gt;空")</f>
        <v>9</v>
      </c>
      <c r="O7" s="35">
        <f>COUNTIF(K4:K100,"&lt;&gt;空")</f>
        <v>16</v>
      </c>
      <c r="P7" s="36">
        <f t="shared" si="5"/>
        <v>47</v>
      </c>
      <c r="Q7" s="53" t="s">
        <v>55</v>
      </c>
      <c r="R7" s="26">
        <v>0</v>
      </c>
      <c r="S7" s="26"/>
      <c r="T7" s="6" t="s">
        <v>8</v>
      </c>
      <c r="U7" s="1">
        <v>190</v>
      </c>
      <c r="V7" s="1">
        <v>55</v>
      </c>
      <c r="W7" s="45">
        <v>38</v>
      </c>
      <c r="X7" s="46">
        <v>236</v>
      </c>
      <c r="Y7" s="46">
        <v>236</v>
      </c>
      <c r="Z7" s="1">
        <f t="shared" si="1"/>
        <v>0</v>
      </c>
      <c r="AA7" s="1">
        <f t="shared" si="2"/>
        <v>0</v>
      </c>
      <c r="AB7" s="54">
        <f t="shared" si="3"/>
        <v>236</v>
      </c>
    </row>
    <row r="8" spans="1:28">
      <c r="A8" s="2" t="s">
        <v>4</v>
      </c>
      <c r="B8" s="2" t="s">
        <v>4</v>
      </c>
      <c r="C8" s="4" t="s">
        <v>6</v>
      </c>
      <c r="D8" s="42" t="s">
        <v>70</v>
      </c>
      <c r="E8" s="41">
        <v>0</v>
      </c>
      <c r="F8" s="41">
        <v>0</v>
      </c>
      <c r="G8" s="41">
        <v>1</v>
      </c>
      <c r="H8" s="36">
        <f t="shared" si="4"/>
        <v>1</v>
      </c>
      <c r="I8" s="15" t="s">
        <v>17</v>
      </c>
      <c r="J8" s="3" t="s">
        <v>5</v>
      </c>
      <c r="K8" s="3" t="s">
        <v>5</v>
      </c>
      <c r="L8" s="42" t="s">
        <v>70</v>
      </c>
      <c r="M8" s="41">
        <v>2</v>
      </c>
      <c r="N8" s="41">
        <v>0</v>
      </c>
      <c r="O8" s="41">
        <v>0</v>
      </c>
      <c r="P8" s="36">
        <f t="shared" si="5"/>
        <v>2</v>
      </c>
      <c r="Q8" s="50" t="s">
        <v>54</v>
      </c>
      <c r="R8" s="55" cm="1">
        <f t="array" ref="R8">R6-P5-H5-SUM(U3:U28*AB3:AB28)*0.8-R7*8</f>
        <v>8</v>
      </c>
      <c r="S8" s="26"/>
      <c r="T8" s="7" t="s">
        <v>9</v>
      </c>
      <c r="U8" s="1">
        <v>200</v>
      </c>
      <c r="V8" s="1">
        <v>60</v>
      </c>
      <c r="W8" s="45"/>
      <c r="X8" s="46">
        <v>194</v>
      </c>
      <c r="Y8" s="46">
        <v>194</v>
      </c>
      <c r="Z8" s="1">
        <f t="shared" si="1"/>
        <v>0</v>
      </c>
      <c r="AA8" s="1">
        <f t="shared" si="2"/>
        <v>0</v>
      </c>
      <c r="AB8" s="54">
        <f t="shared" si="3"/>
        <v>194</v>
      </c>
    </row>
    <row r="9" spans="1:28">
      <c r="A9" s="2" t="s">
        <v>4</v>
      </c>
      <c r="B9" s="2" t="s">
        <v>4</v>
      </c>
      <c r="C9" s="17" t="s">
        <v>19</v>
      </c>
      <c r="D9" s="26"/>
      <c r="E9" s="26"/>
      <c r="F9" s="26"/>
      <c r="G9" s="26"/>
      <c r="H9" s="27"/>
      <c r="I9" s="1" t="s">
        <v>27</v>
      </c>
      <c r="J9" s="3" t="s">
        <v>5</v>
      </c>
      <c r="K9" s="3" t="s">
        <v>5</v>
      </c>
      <c r="L9" s="33" t="s">
        <v>42</v>
      </c>
      <c r="M9" s="37">
        <f>M6/M5</f>
        <v>0.40043290043290042</v>
      </c>
      <c r="N9" s="37">
        <f>N6/N5</f>
        <v>0.34836065573770492</v>
      </c>
      <c r="O9" s="37">
        <f>O6/O5</f>
        <v>0.33261802575107297</v>
      </c>
      <c r="P9" s="38">
        <f>P6/P5</f>
        <v>0.36262798634812288</v>
      </c>
      <c r="Q9" s="50"/>
      <c r="R9" s="26"/>
      <c r="S9" s="26"/>
      <c r="T9" s="8" t="s">
        <v>10</v>
      </c>
      <c r="U9" s="1">
        <v>150</v>
      </c>
      <c r="V9" s="1">
        <v>35</v>
      </c>
      <c r="W9" s="45">
        <f t="shared" ref="W9:W11" si="6">U9-V9/0.330882</f>
        <v>44.222109392472248</v>
      </c>
      <c r="X9" s="46">
        <v>3</v>
      </c>
      <c r="Y9" s="46">
        <v>0</v>
      </c>
      <c r="Z9" s="1">
        <f t="shared" si="1"/>
        <v>0</v>
      </c>
      <c r="AA9" s="1">
        <f t="shared" si="2"/>
        <v>0</v>
      </c>
      <c r="AB9" s="54">
        <f t="shared" si="3"/>
        <v>0</v>
      </c>
    </row>
    <row r="10" spans="1:28">
      <c r="A10" s="1" t="s">
        <v>27</v>
      </c>
      <c r="B10" s="1" t="s">
        <v>27</v>
      </c>
      <c r="C10" s="4" t="s">
        <v>6</v>
      </c>
      <c r="D10" s="26"/>
      <c r="E10" s="26"/>
      <c r="F10" s="26"/>
      <c r="G10" s="26"/>
      <c r="H10" s="27"/>
      <c r="I10" s="16" t="s">
        <v>28</v>
      </c>
      <c r="J10" s="15" t="s">
        <v>17</v>
      </c>
      <c r="K10" s="3" t="s">
        <v>5</v>
      </c>
      <c r="L10" s="26"/>
      <c r="M10" s="26"/>
      <c r="N10" s="26"/>
      <c r="O10" s="26"/>
      <c r="P10" s="27"/>
      <c r="Q10" s="50"/>
      <c r="R10" s="26"/>
      <c r="S10" s="26"/>
      <c r="T10" s="9" t="s">
        <v>11</v>
      </c>
      <c r="U10" s="1">
        <v>150</v>
      </c>
      <c r="V10" s="1">
        <v>40</v>
      </c>
      <c r="W10" s="45">
        <f t="shared" si="6"/>
        <v>29.110982162825422</v>
      </c>
      <c r="X10" s="46">
        <v>7</v>
      </c>
      <c r="Y10" s="46">
        <v>6</v>
      </c>
      <c r="Z10" s="1">
        <f t="shared" si="1"/>
        <v>2</v>
      </c>
      <c r="AA10" s="1">
        <f t="shared" si="2"/>
        <v>4</v>
      </c>
      <c r="AB10" s="54">
        <f t="shared" si="3"/>
        <v>0</v>
      </c>
    </row>
    <row r="11" spans="1:28">
      <c r="A11" s="1" t="s">
        <v>27</v>
      </c>
      <c r="B11" s="1" t="s">
        <v>27</v>
      </c>
      <c r="C11" s="1" t="s">
        <v>27</v>
      </c>
      <c r="D11" s="26"/>
      <c r="E11" s="26"/>
      <c r="F11" s="26"/>
      <c r="G11" s="26"/>
      <c r="H11" s="27"/>
      <c r="I11" s="3" t="s">
        <v>5</v>
      </c>
      <c r="J11" s="3" t="s">
        <v>5</v>
      </c>
      <c r="K11" s="3" t="s">
        <v>5</v>
      </c>
      <c r="L11" s="26"/>
      <c r="M11" s="26"/>
      <c r="N11" s="26"/>
      <c r="O11" s="26"/>
      <c r="P11" s="27">
        <f>H5+P5</f>
        <v>19368</v>
      </c>
      <c r="Q11" s="50"/>
      <c r="R11" s="26"/>
      <c r="S11" s="26"/>
      <c r="T11" s="10" t="s">
        <v>12</v>
      </c>
      <c r="U11" s="1">
        <v>150</v>
      </c>
      <c r="V11" s="1">
        <v>45</v>
      </c>
      <c r="W11" s="45">
        <f t="shared" si="6"/>
        <v>13.999854933178597</v>
      </c>
      <c r="X11" s="46">
        <v>6</v>
      </c>
      <c r="Y11" s="46">
        <v>6</v>
      </c>
      <c r="Z11" s="1">
        <f t="shared" si="1"/>
        <v>0</v>
      </c>
      <c r="AA11" s="1">
        <f t="shared" si="2"/>
        <v>0</v>
      </c>
      <c r="AB11" s="54">
        <f t="shared" si="3"/>
        <v>6</v>
      </c>
    </row>
    <row r="12" spans="1:28">
      <c r="A12" s="1" t="s">
        <v>27</v>
      </c>
      <c r="B12" s="4" t="s">
        <v>6</v>
      </c>
      <c r="C12" s="4" t="s">
        <v>6</v>
      </c>
      <c r="D12" s="26"/>
      <c r="E12" s="26"/>
      <c r="F12" s="26"/>
      <c r="G12" s="26"/>
      <c r="H12" s="27"/>
      <c r="I12" s="3" t="s">
        <v>5</v>
      </c>
      <c r="J12" s="1" t="s">
        <v>27</v>
      </c>
      <c r="K12" s="3" t="s">
        <v>5</v>
      </c>
      <c r="L12" s="26"/>
      <c r="M12" s="26"/>
      <c r="N12" s="26"/>
      <c r="O12" s="26"/>
      <c r="P12" s="27">
        <f>H6+P6</f>
        <v>6560</v>
      </c>
      <c r="Q12" s="50"/>
      <c r="R12" s="26"/>
      <c r="S12" s="26"/>
      <c r="T12" s="11" t="s">
        <v>13</v>
      </c>
      <c r="U12" s="1">
        <v>150</v>
      </c>
      <c r="V12" s="1">
        <v>50</v>
      </c>
      <c r="W12" s="45"/>
      <c r="X12" s="46">
        <v>4</v>
      </c>
      <c r="Y12" s="46">
        <v>4</v>
      </c>
      <c r="Z12" s="1">
        <f t="shared" si="1"/>
        <v>0</v>
      </c>
      <c r="AA12" s="1">
        <f t="shared" si="2"/>
        <v>0</v>
      </c>
      <c r="AB12" s="54">
        <f t="shared" si="3"/>
        <v>4</v>
      </c>
    </row>
    <row r="13" spans="1:28">
      <c r="A13" s="1" t="s">
        <v>27</v>
      </c>
      <c r="B13" s="4" t="s">
        <v>6</v>
      </c>
      <c r="C13" s="15" t="s">
        <v>17</v>
      </c>
      <c r="D13" s="26"/>
      <c r="E13" s="26"/>
      <c r="F13" s="26"/>
      <c r="G13" s="26"/>
      <c r="H13" s="27"/>
      <c r="I13" s="3" t="s">
        <v>5</v>
      </c>
      <c r="J13" s="3" t="s">
        <v>5</v>
      </c>
      <c r="K13" s="3" t="s">
        <v>5</v>
      </c>
      <c r="L13" s="26"/>
      <c r="M13" s="26"/>
      <c r="N13" s="26"/>
      <c r="O13" s="26"/>
      <c r="P13" s="27"/>
      <c r="Q13" s="50"/>
      <c r="R13" s="26"/>
      <c r="S13" s="26"/>
      <c r="T13" s="12" t="s">
        <v>14</v>
      </c>
      <c r="U13" s="1">
        <v>150</v>
      </c>
      <c r="V13" s="1">
        <v>55</v>
      </c>
      <c r="W13" s="45"/>
      <c r="X13" s="46">
        <v>3</v>
      </c>
      <c r="Y13" s="46">
        <v>3</v>
      </c>
      <c r="Z13" s="1">
        <f t="shared" si="1"/>
        <v>0</v>
      </c>
      <c r="AA13" s="1">
        <f t="shared" si="2"/>
        <v>0</v>
      </c>
      <c r="AB13" s="54">
        <f t="shared" si="3"/>
        <v>3</v>
      </c>
    </row>
    <row r="14" spans="1:28">
      <c r="A14" s="1" t="s">
        <v>27</v>
      </c>
      <c r="B14" s="4" t="s">
        <v>6</v>
      </c>
      <c r="C14" s="3" t="s">
        <v>5</v>
      </c>
      <c r="D14" s="26"/>
      <c r="E14" s="26"/>
      <c r="F14" s="26"/>
      <c r="G14" s="26"/>
      <c r="H14" s="27"/>
      <c r="I14" s="15" t="s">
        <v>17</v>
      </c>
      <c r="J14" s="15" t="s">
        <v>17</v>
      </c>
      <c r="K14" s="15" t="s">
        <v>17</v>
      </c>
      <c r="L14" s="26"/>
      <c r="M14" s="26"/>
      <c r="N14" s="26"/>
      <c r="O14" s="26"/>
      <c r="P14" s="27"/>
      <c r="Q14" s="50"/>
      <c r="R14" s="26"/>
      <c r="S14" s="26"/>
      <c r="T14" s="13" t="s">
        <v>15</v>
      </c>
      <c r="U14" s="1">
        <v>150</v>
      </c>
      <c r="V14" s="1">
        <v>60</v>
      </c>
      <c r="W14" s="45"/>
      <c r="X14" s="46">
        <v>1</v>
      </c>
      <c r="Y14" s="46">
        <v>1</v>
      </c>
      <c r="Z14" s="1">
        <f t="shared" si="1"/>
        <v>0</v>
      </c>
      <c r="AA14" s="1">
        <f t="shared" si="2"/>
        <v>0</v>
      </c>
      <c r="AB14" s="54">
        <f t="shared" si="3"/>
        <v>1</v>
      </c>
    </row>
    <row r="15" spans="1:28">
      <c r="A15" s="1" t="s">
        <v>27</v>
      </c>
      <c r="B15" s="4" t="s">
        <v>6</v>
      </c>
      <c r="C15" s="16" t="s">
        <v>18</v>
      </c>
      <c r="D15" s="26"/>
      <c r="E15" s="26"/>
      <c r="F15" s="26"/>
      <c r="G15" s="26"/>
      <c r="H15" s="27"/>
      <c r="I15" s="9" t="s">
        <v>11</v>
      </c>
      <c r="J15" s="1" t="s">
        <v>27</v>
      </c>
      <c r="K15" s="3" t="s">
        <v>5</v>
      </c>
      <c r="L15" s="26"/>
      <c r="M15" s="26"/>
      <c r="N15" s="26"/>
      <c r="O15" s="26"/>
      <c r="P15" s="27"/>
      <c r="Q15" s="50"/>
      <c r="R15" s="26"/>
      <c r="S15" s="26"/>
      <c r="T15" s="14" t="s">
        <v>16</v>
      </c>
      <c r="U15" s="1">
        <v>150</v>
      </c>
      <c r="V15" s="1">
        <v>35</v>
      </c>
      <c r="W15" s="45">
        <f t="shared" ref="W15" si="7">U15-V15/0.330882</f>
        <v>44.222109392472248</v>
      </c>
      <c r="X15" s="46"/>
      <c r="Y15" s="46">
        <v>0</v>
      </c>
      <c r="Z15" s="1">
        <f t="shared" si="1"/>
        <v>0</v>
      </c>
      <c r="AA15" s="1">
        <f t="shared" si="2"/>
        <v>0</v>
      </c>
      <c r="AB15" s="54">
        <f t="shared" si="3"/>
        <v>0</v>
      </c>
    </row>
    <row r="16" spans="1:28">
      <c r="A16" s="1" t="s">
        <v>27</v>
      </c>
      <c r="B16" s="15" t="s">
        <v>17</v>
      </c>
      <c r="C16" s="2" t="s">
        <v>4</v>
      </c>
      <c r="D16" s="26"/>
      <c r="E16" s="26"/>
      <c r="F16" s="26"/>
      <c r="G16" s="26"/>
      <c r="H16" s="27"/>
      <c r="I16" s="2" t="s">
        <v>4</v>
      </c>
      <c r="J16" s="9" t="s">
        <v>11</v>
      </c>
      <c r="K16" s="3" t="s">
        <v>5</v>
      </c>
      <c r="L16" s="26"/>
      <c r="M16" s="26"/>
      <c r="N16" s="26"/>
      <c r="O16" s="26"/>
      <c r="P16" s="27"/>
      <c r="Q16" s="50"/>
      <c r="R16" s="26"/>
      <c r="S16" s="26"/>
      <c r="T16" s="15" t="s">
        <v>17</v>
      </c>
      <c r="U16" s="1">
        <v>50</v>
      </c>
      <c r="V16" s="1">
        <v>30</v>
      </c>
      <c r="W16" s="45">
        <v>10</v>
      </c>
      <c r="X16" s="46">
        <v>40</v>
      </c>
      <c r="Y16" s="46">
        <v>40</v>
      </c>
      <c r="Z16" s="1">
        <f t="shared" si="1"/>
        <v>4</v>
      </c>
      <c r="AA16" s="1">
        <f t="shared" si="2"/>
        <v>10</v>
      </c>
      <c r="AB16" s="54">
        <f t="shared" si="3"/>
        <v>26</v>
      </c>
    </row>
    <row r="17" spans="1:28">
      <c r="A17" s="1" t="s">
        <v>27</v>
      </c>
      <c r="B17" s="4" t="s">
        <v>6</v>
      </c>
      <c r="C17" s="2" t="s">
        <v>4</v>
      </c>
      <c r="D17" s="26"/>
      <c r="E17" s="26"/>
      <c r="F17" s="26"/>
      <c r="G17" s="26"/>
      <c r="H17" s="27"/>
      <c r="I17" s="15" t="s">
        <v>17</v>
      </c>
      <c r="J17" s="1" t="s">
        <v>27</v>
      </c>
      <c r="K17" s="3" t="s">
        <v>5</v>
      </c>
      <c r="L17" s="26"/>
      <c r="M17" s="26"/>
      <c r="N17" s="26"/>
      <c r="O17" s="26"/>
      <c r="P17" s="27"/>
      <c r="Q17" s="50"/>
      <c r="R17" s="26"/>
      <c r="S17" s="26"/>
      <c r="T17" s="16" t="s">
        <v>18</v>
      </c>
      <c r="U17" s="1">
        <v>-150</v>
      </c>
      <c r="V17" s="1">
        <v>0</v>
      </c>
      <c r="W17" s="45">
        <v>10</v>
      </c>
      <c r="X17" s="46">
        <v>4</v>
      </c>
      <c r="Y17" s="46">
        <v>4</v>
      </c>
      <c r="Z17" s="1">
        <f t="shared" si="1"/>
        <v>4</v>
      </c>
      <c r="AA17" s="1">
        <f t="shared" si="2"/>
        <v>0</v>
      </c>
      <c r="AB17" s="54">
        <f t="shared" si="3"/>
        <v>0</v>
      </c>
    </row>
    <row r="18" spans="1:28">
      <c r="A18" s="1" t="s">
        <v>27</v>
      </c>
      <c r="B18" s="17" t="s">
        <v>20</v>
      </c>
      <c r="C18" s="2" t="s">
        <v>4</v>
      </c>
      <c r="D18" s="26"/>
      <c r="E18" s="26"/>
      <c r="F18" s="26"/>
      <c r="G18" s="26"/>
      <c r="H18" s="27"/>
      <c r="I18" s="1" t="s">
        <v>27</v>
      </c>
      <c r="J18" s="1" t="s">
        <v>27</v>
      </c>
      <c r="K18" s="9" t="s">
        <v>11</v>
      </c>
      <c r="L18" s="26"/>
      <c r="M18" s="26"/>
      <c r="N18" s="26"/>
      <c r="O18" s="26"/>
      <c r="P18" s="27"/>
      <c r="Q18" s="50"/>
      <c r="R18" s="26"/>
      <c r="S18" s="26"/>
      <c r="T18" s="17" t="s">
        <v>19</v>
      </c>
      <c r="U18" s="1">
        <v>250</v>
      </c>
      <c r="V18" s="1">
        <v>200</v>
      </c>
      <c r="W18" s="45"/>
      <c r="X18" s="46">
        <v>3</v>
      </c>
      <c r="Y18" s="46">
        <v>3</v>
      </c>
      <c r="Z18" s="1">
        <f t="shared" si="1"/>
        <v>3</v>
      </c>
      <c r="AA18" s="1">
        <f t="shared" si="2"/>
        <v>0</v>
      </c>
      <c r="AB18" s="54">
        <f t="shared" si="3"/>
        <v>0</v>
      </c>
    </row>
    <row r="19" spans="1:28">
      <c r="A19" s="1" t="s">
        <v>27</v>
      </c>
      <c r="B19" s="4" t="s">
        <v>6</v>
      </c>
      <c r="C19" s="2" t="s">
        <v>4</v>
      </c>
      <c r="D19" s="26"/>
      <c r="E19" s="26"/>
      <c r="F19" s="26"/>
      <c r="G19" s="26"/>
      <c r="H19" s="27"/>
      <c r="I19" s="3" t="s">
        <v>5</v>
      </c>
      <c r="J19" s="1" t="s">
        <v>27</v>
      </c>
      <c r="K19" s="1" t="s">
        <v>27</v>
      </c>
      <c r="L19" s="26"/>
      <c r="M19" s="26"/>
      <c r="N19" s="26"/>
      <c r="O19" s="26"/>
      <c r="P19" s="27"/>
      <c r="Q19" s="50"/>
      <c r="R19" s="26"/>
      <c r="S19" s="26"/>
      <c r="T19" s="17" t="s">
        <v>20</v>
      </c>
      <c r="U19" s="1">
        <v>170</v>
      </c>
      <c r="V19" s="1">
        <v>45</v>
      </c>
      <c r="W19" s="45"/>
      <c r="X19" s="46">
        <v>5</v>
      </c>
      <c r="Y19" s="46">
        <v>5</v>
      </c>
      <c r="Z19" s="1">
        <f t="shared" si="1"/>
        <v>5</v>
      </c>
      <c r="AA19" s="1">
        <f t="shared" si="2"/>
        <v>0</v>
      </c>
      <c r="AB19" s="54">
        <f t="shared" si="3"/>
        <v>0</v>
      </c>
    </row>
    <row r="20" spans="1:28">
      <c r="A20" s="1" t="s">
        <v>27</v>
      </c>
      <c r="B20" s="3" t="s">
        <v>5</v>
      </c>
      <c r="C20" s="15" t="s">
        <v>17</v>
      </c>
      <c r="D20" s="26"/>
      <c r="E20" s="26"/>
      <c r="F20" s="26"/>
      <c r="G20" s="26"/>
      <c r="H20" s="27"/>
      <c r="I20" s="3" t="s">
        <v>5</v>
      </c>
      <c r="J20" s="1" t="s">
        <v>27</v>
      </c>
      <c r="K20" s="3" t="s">
        <v>5</v>
      </c>
      <c r="L20" s="26"/>
      <c r="M20" s="26"/>
      <c r="N20" s="26"/>
      <c r="O20" s="26"/>
      <c r="P20" s="27"/>
      <c r="Q20" s="50"/>
      <c r="R20" s="26"/>
      <c r="S20" s="26"/>
      <c r="T20" s="18" t="s">
        <v>21</v>
      </c>
      <c r="U20" s="1">
        <v>250</v>
      </c>
      <c r="V20" s="1">
        <v>200</v>
      </c>
      <c r="W20" s="45"/>
      <c r="X20" s="46">
        <v>0</v>
      </c>
      <c r="Y20" s="46">
        <v>0</v>
      </c>
      <c r="Z20" s="1">
        <f t="shared" si="1"/>
        <v>0</v>
      </c>
      <c r="AA20" s="1">
        <f t="shared" si="2"/>
        <v>0</v>
      </c>
      <c r="AB20" s="54">
        <f t="shared" si="3"/>
        <v>0</v>
      </c>
    </row>
    <row r="21" spans="1:28">
      <c r="A21" s="1" t="s">
        <v>27</v>
      </c>
      <c r="B21" s="3" t="s">
        <v>5</v>
      </c>
      <c r="C21" s="3" t="s">
        <v>5</v>
      </c>
      <c r="D21" s="26"/>
      <c r="E21" s="26"/>
      <c r="F21" s="26"/>
      <c r="G21" s="26"/>
      <c r="H21" s="27"/>
      <c r="I21" s="2" t="s">
        <v>4</v>
      </c>
      <c r="J21" s="1" t="s">
        <v>27</v>
      </c>
      <c r="K21" s="1" t="s">
        <v>27</v>
      </c>
      <c r="L21" s="26"/>
      <c r="M21" s="26"/>
      <c r="N21" s="26"/>
      <c r="O21" s="26"/>
      <c r="P21" s="27"/>
      <c r="Q21" s="50"/>
      <c r="R21" s="26"/>
      <c r="S21" s="26"/>
      <c r="T21" s="19" t="s">
        <v>22</v>
      </c>
      <c r="U21" s="1">
        <v>250</v>
      </c>
      <c r="V21" s="1">
        <v>1000</v>
      </c>
      <c r="W21" s="45"/>
      <c r="X21" s="46">
        <v>2</v>
      </c>
      <c r="Y21" s="46">
        <v>2</v>
      </c>
      <c r="Z21" s="1">
        <f t="shared" si="1"/>
        <v>0</v>
      </c>
      <c r="AA21" s="1">
        <f t="shared" si="2"/>
        <v>0</v>
      </c>
      <c r="AB21" s="54">
        <f t="shared" si="3"/>
        <v>2</v>
      </c>
    </row>
    <row r="22" spans="1:28">
      <c r="A22" s="1" t="s">
        <v>27</v>
      </c>
      <c r="B22" s="3" t="s">
        <v>5</v>
      </c>
      <c r="C22" s="3" t="s">
        <v>5</v>
      </c>
      <c r="D22" s="26"/>
      <c r="E22" s="26"/>
      <c r="F22" s="26"/>
      <c r="G22" s="26"/>
      <c r="H22" s="27"/>
      <c r="I22" s="15" t="s">
        <v>17</v>
      </c>
      <c r="J22" s="1" t="s">
        <v>27</v>
      </c>
      <c r="K22" s="1" t="s">
        <v>27</v>
      </c>
      <c r="L22" s="26"/>
      <c r="M22" s="26"/>
      <c r="N22" s="26"/>
      <c r="O22" s="26"/>
      <c r="P22" s="27"/>
      <c r="Q22" s="50"/>
      <c r="R22" s="26"/>
      <c r="S22" s="26"/>
      <c r="T22" s="20" t="s">
        <v>23</v>
      </c>
      <c r="U22" s="1">
        <v>250</v>
      </c>
      <c r="V22" s="1">
        <v>500</v>
      </c>
      <c r="W22" s="45"/>
      <c r="X22" s="46">
        <v>2</v>
      </c>
      <c r="Y22" s="46">
        <v>2</v>
      </c>
      <c r="Z22" s="1">
        <f t="shared" si="1"/>
        <v>0</v>
      </c>
      <c r="AA22" s="1">
        <f t="shared" si="2"/>
        <v>0</v>
      </c>
      <c r="AB22" s="54">
        <f t="shared" si="3"/>
        <v>2</v>
      </c>
    </row>
    <row r="23" spans="1:28">
      <c r="A23" s="1" t="s">
        <v>27</v>
      </c>
      <c r="B23" s="3" t="s">
        <v>5</v>
      </c>
      <c r="C23" s="3" t="s">
        <v>5</v>
      </c>
      <c r="D23" s="26"/>
      <c r="E23" s="26"/>
      <c r="F23" s="26"/>
      <c r="G23" s="26"/>
      <c r="H23" s="27"/>
      <c r="I23" s="2" t="s">
        <v>4</v>
      </c>
      <c r="J23" s="1" t="s">
        <v>27</v>
      </c>
      <c r="K23" s="1" t="s">
        <v>27</v>
      </c>
      <c r="L23" s="26"/>
      <c r="M23" s="26"/>
      <c r="N23" s="26"/>
      <c r="O23" s="26"/>
      <c r="P23" s="27"/>
      <c r="Q23" s="50"/>
      <c r="R23" s="26"/>
      <c r="S23" s="26"/>
      <c r="T23" s="21" t="s">
        <v>24</v>
      </c>
      <c r="U23" s="1">
        <v>160</v>
      </c>
      <c r="V23" s="1">
        <v>40</v>
      </c>
      <c r="W23" s="45">
        <f t="shared" ref="W23:W26" si="8">U23-V23/0.330882</f>
        <v>39.110982162825422</v>
      </c>
      <c r="X23" s="46">
        <v>0</v>
      </c>
      <c r="Y23" s="46">
        <v>0</v>
      </c>
      <c r="Z23" s="1">
        <f t="shared" si="1"/>
        <v>0</v>
      </c>
      <c r="AA23" s="1">
        <f t="shared" si="2"/>
        <v>0</v>
      </c>
      <c r="AB23" s="54">
        <f t="shared" si="3"/>
        <v>0</v>
      </c>
    </row>
    <row r="24" spans="1:28">
      <c r="A24" s="1" t="s">
        <v>27</v>
      </c>
      <c r="B24" s="3" t="s">
        <v>5</v>
      </c>
      <c r="C24" s="16" t="s">
        <v>18</v>
      </c>
      <c r="D24" s="26"/>
      <c r="E24" s="26"/>
      <c r="F24" s="26"/>
      <c r="G24" s="26"/>
      <c r="H24" s="27"/>
      <c r="I24" s="2" t="s">
        <v>4</v>
      </c>
      <c r="J24" s="1" t="s">
        <v>27</v>
      </c>
      <c r="K24" s="1" t="s">
        <v>27</v>
      </c>
      <c r="L24" s="26"/>
      <c r="M24" s="26"/>
      <c r="N24" s="26"/>
      <c r="O24" s="26"/>
      <c r="P24" s="27"/>
      <c r="Q24" s="50"/>
      <c r="R24" s="26"/>
      <c r="S24" s="26"/>
      <c r="T24" s="21" t="s">
        <v>25</v>
      </c>
      <c r="U24" s="1">
        <v>160</v>
      </c>
      <c r="V24" s="1">
        <v>40</v>
      </c>
      <c r="W24" s="45">
        <f t="shared" si="8"/>
        <v>39.110982162825422</v>
      </c>
      <c r="X24" s="46">
        <v>0</v>
      </c>
      <c r="Y24" s="46">
        <v>0</v>
      </c>
      <c r="Z24" s="1">
        <f t="shared" si="1"/>
        <v>0</v>
      </c>
      <c r="AA24" s="1">
        <f t="shared" si="2"/>
        <v>0</v>
      </c>
      <c r="AB24" s="54">
        <f t="shared" si="3"/>
        <v>0</v>
      </c>
    </row>
    <row r="25" spans="1:28">
      <c r="A25" s="1" t="s">
        <v>27</v>
      </c>
      <c r="B25" s="3" t="s">
        <v>5</v>
      </c>
      <c r="C25" s="3" t="s">
        <v>5</v>
      </c>
      <c r="D25" s="26"/>
      <c r="E25" s="26"/>
      <c r="F25" s="26"/>
      <c r="G25" s="26"/>
      <c r="H25" s="27"/>
      <c r="I25" s="2" t="s">
        <v>4</v>
      </c>
      <c r="J25" s="1" t="s">
        <v>27</v>
      </c>
      <c r="K25" s="1" t="s">
        <v>27</v>
      </c>
      <c r="L25" s="26"/>
      <c r="M25" s="26"/>
      <c r="N25" s="26"/>
      <c r="O25" s="26"/>
      <c r="P25" s="27"/>
      <c r="Q25" s="50"/>
      <c r="R25" s="26"/>
      <c r="S25" s="26"/>
      <c r="T25" s="21" t="s">
        <v>26</v>
      </c>
      <c r="U25" s="1">
        <v>150</v>
      </c>
      <c r="V25" s="1">
        <v>35</v>
      </c>
      <c r="W25" s="45">
        <f t="shared" si="8"/>
        <v>44.222109392472248</v>
      </c>
      <c r="X25" s="46">
        <v>0</v>
      </c>
      <c r="Y25" s="46">
        <v>0</v>
      </c>
      <c r="Z25" s="1">
        <f t="shared" si="1"/>
        <v>0</v>
      </c>
      <c r="AA25" s="1">
        <f t="shared" si="2"/>
        <v>0</v>
      </c>
      <c r="AB25" s="54">
        <f t="shared" si="3"/>
        <v>0</v>
      </c>
    </row>
    <row r="26" spans="1:28">
      <c r="A26" s="1" t="s">
        <v>27</v>
      </c>
      <c r="B26" s="4" t="s">
        <v>6</v>
      </c>
      <c r="C26" s="3" t="s">
        <v>5</v>
      </c>
      <c r="D26" s="26"/>
      <c r="E26" s="26"/>
      <c r="F26" s="26"/>
      <c r="G26" s="26"/>
      <c r="H26" s="27"/>
      <c r="I26" s="15" t="s">
        <v>17</v>
      </c>
      <c r="J26" s="1" t="s">
        <v>27</v>
      </c>
      <c r="K26" s="1" t="s">
        <v>27</v>
      </c>
      <c r="L26" s="26"/>
      <c r="M26" s="26"/>
      <c r="N26" s="26"/>
      <c r="O26" s="26"/>
      <c r="P26" s="27"/>
      <c r="Q26" s="50"/>
      <c r="R26" s="26"/>
      <c r="S26" s="26"/>
      <c r="T26" s="22" t="s">
        <v>27</v>
      </c>
      <c r="U26" s="1">
        <v>0</v>
      </c>
      <c r="V26" s="1">
        <v>0</v>
      </c>
      <c r="W26" s="45">
        <f t="shared" si="8"/>
        <v>0</v>
      </c>
      <c r="X26" s="46">
        <v>0</v>
      </c>
      <c r="Y26" s="46">
        <v>0</v>
      </c>
      <c r="Z26" s="1"/>
      <c r="AA26" s="1"/>
      <c r="AB26" s="54"/>
    </row>
    <row r="27" spans="1:28">
      <c r="A27" s="1" t="s">
        <v>27</v>
      </c>
      <c r="B27" s="4" t="s">
        <v>6</v>
      </c>
      <c r="C27" s="4" t="s">
        <v>6</v>
      </c>
      <c r="D27" s="26"/>
      <c r="E27" s="26"/>
      <c r="F27" s="26"/>
      <c r="G27" s="26"/>
      <c r="H27" s="27"/>
      <c r="I27" s="1" t="s">
        <v>27</v>
      </c>
      <c r="J27" s="1" t="s">
        <v>27</v>
      </c>
      <c r="K27" s="1" t="s">
        <v>27</v>
      </c>
      <c r="L27" s="26"/>
      <c r="M27" s="26"/>
      <c r="N27" s="26"/>
      <c r="O27" s="26"/>
      <c r="P27" s="27"/>
      <c r="Q27" s="50"/>
      <c r="R27" s="26"/>
      <c r="S27" s="26"/>
      <c r="T27" s="16" t="s">
        <v>28</v>
      </c>
      <c r="U27" s="1">
        <v>-200</v>
      </c>
      <c r="V27" s="1">
        <v>0</v>
      </c>
      <c r="W27" s="45"/>
      <c r="X27" s="46">
        <v>11</v>
      </c>
      <c r="Y27" s="46">
        <v>11</v>
      </c>
      <c r="Z27" s="1">
        <f t="shared" si="1"/>
        <v>0</v>
      </c>
      <c r="AA27" s="1">
        <f t="shared" si="2"/>
        <v>1</v>
      </c>
      <c r="AB27" s="54">
        <f t="shared" si="3"/>
        <v>10</v>
      </c>
    </row>
    <row r="28" spans="1:28">
      <c r="A28" s="1" t="s">
        <v>27</v>
      </c>
      <c r="B28" s="4" t="s">
        <v>6</v>
      </c>
      <c r="C28" s="4" t="s">
        <v>6</v>
      </c>
      <c r="D28" s="26"/>
      <c r="E28" s="26"/>
      <c r="F28" s="26"/>
      <c r="G28" s="26"/>
      <c r="H28" s="27"/>
      <c r="I28" s="3" t="s">
        <v>5</v>
      </c>
      <c r="J28" s="1" t="s">
        <v>27</v>
      </c>
      <c r="K28" s="1" t="s">
        <v>27</v>
      </c>
      <c r="L28" s="26"/>
      <c r="M28" s="26"/>
      <c r="N28" s="26"/>
      <c r="O28" s="26"/>
      <c r="P28" s="27"/>
      <c r="Q28" s="50"/>
      <c r="R28" s="26"/>
      <c r="S28" s="26"/>
      <c r="T28" s="23" t="s">
        <v>29</v>
      </c>
      <c r="U28" s="1">
        <v>50</v>
      </c>
      <c r="V28" s="1">
        <v>520</v>
      </c>
      <c r="W28" s="45"/>
      <c r="X28" s="46">
        <v>3</v>
      </c>
      <c r="Y28" s="46">
        <v>3</v>
      </c>
      <c r="Z28" s="1">
        <f t="shared" si="1"/>
        <v>1</v>
      </c>
      <c r="AA28" s="1">
        <f t="shared" si="2"/>
        <v>0</v>
      </c>
      <c r="AB28" s="54">
        <f t="shared" si="3"/>
        <v>2</v>
      </c>
    </row>
    <row r="29" spans="1:28" ht="15.75" thickBot="1">
      <c r="A29" s="1" t="s">
        <v>27</v>
      </c>
      <c r="B29" s="3" t="s">
        <v>5</v>
      </c>
      <c r="C29" s="4" t="s">
        <v>6</v>
      </c>
      <c r="D29" s="26"/>
      <c r="E29" s="26"/>
      <c r="F29" s="26"/>
      <c r="G29" s="26"/>
      <c r="H29" s="27"/>
      <c r="I29" s="1" t="s">
        <v>27</v>
      </c>
      <c r="J29" s="1" t="s">
        <v>27</v>
      </c>
      <c r="K29" s="1" t="s">
        <v>27</v>
      </c>
      <c r="L29" s="26"/>
      <c r="M29" s="26"/>
      <c r="N29" s="26"/>
      <c r="O29" s="26"/>
      <c r="P29" s="27"/>
      <c r="Q29" s="56"/>
      <c r="R29" s="31"/>
      <c r="S29" s="31"/>
      <c r="T29" s="30"/>
      <c r="U29" s="30"/>
      <c r="V29" s="30"/>
      <c r="W29" s="30"/>
      <c r="X29" s="30"/>
      <c r="Y29" s="30"/>
      <c r="Z29" s="30"/>
      <c r="AA29" s="30"/>
      <c r="AB29" s="57"/>
    </row>
    <row r="30" spans="1:28">
      <c r="A30" s="1" t="s">
        <v>27</v>
      </c>
      <c r="B30" s="3" t="s">
        <v>5</v>
      </c>
      <c r="C30" s="4" t="s">
        <v>6</v>
      </c>
      <c r="D30" s="26"/>
      <c r="E30" s="26"/>
      <c r="F30" s="26"/>
      <c r="G30" s="26"/>
      <c r="H30" s="27"/>
      <c r="I30" s="1" t="s">
        <v>27</v>
      </c>
      <c r="J30" s="1" t="s">
        <v>27</v>
      </c>
      <c r="K30" s="1" t="s">
        <v>27</v>
      </c>
      <c r="L30" s="26"/>
      <c r="M30" s="26"/>
      <c r="N30" s="26"/>
      <c r="O30" s="26"/>
      <c r="P30" s="27"/>
    </row>
    <row r="31" spans="1:28">
      <c r="A31" s="1" t="s">
        <v>27</v>
      </c>
      <c r="B31" s="4" t="s">
        <v>6</v>
      </c>
      <c r="C31" s="4" t="s">
        <v>6</v>
      </c>
      <c r="D31" s="26"/>
      <c r="E31" s="26"/>
      <c r="F31" s="26"/>
      <c r="G31" s="26"/>
      <c r="H31" s="27"/>
      <c r="I31" s="1" t="s">
        <v>27</v>
      </c>
      <c r="J31" s="1" t="s">
        <v>27</v>
      </c>
      <c r="K31" s="1" t="s">
        <v>27</v>
      </c>
      <c r="L31" s="26"/>
      <c r="M31" s="26"/>
      <c r="N31" s="26"/>
      <c r="O31" s="26"/>
      <c r="P31" s="27"/>
      <c r="Y31">
        <f>SUM(Y3:Y28)</f>
        <v>1076</v>
      </c>
    </row>
    <row r="32" spans="1:28">
      <c r="A32" s="1" t="s">
        <v>27</v>
      </c>
      <c r="B32" s="4" t="s">
        <v>6</v>
      </c>
      <c r="C32" s="17" t="s">
        <v>20</v>
      </c>
      <c r="D32" s="26"/>
      <c r="E32" s="26"/>
      <c r="F32" s="26"/>
      <c r="G32" s="26"/>
      <c r="H32" s="27"/>
      <c r="I32" s="1" t="s">
        <v>27</v>
      </c>
      <c r="J32" s="1" t="s">
        <v>27</v>
      </c>
      <c r="K32" s="1" t="s">
        <v>27</v>
      </c>
      <c r="L32" s="26"/>
      <c r="M32" s="26"/>
      <c r="N32" s="26"/>
      <c r="O32" s="26"/>
      <c r="P32" s="27"/>
      <c r="Q32" t="s">
        <v>57</v>
      </c>
      <c r="R32">
        <v>1</v>
      </c>
      <c r="S32" t="s">
        <v>59</v>
      </c>
    </row>
    <row r="33" spans="1:19">
      <c r="A33" s="1" t="s">
        <v>27</v>
      </c>
      <c r="B33" s="4" t="s">
        <v>6</v>
      </c>
      <c r="C33" s="3" t="s">
        <v>5</v>
      </c>
      <c r="D33" s="26"/>
      <c r="E33" s="26"/>
      <c r="F33" s="26"/>
      <c r="G33" s="26"/>
      <c r="H33" s="27"/>
      <c r="I33" s="1" t="s">
        <v>27</v>
      </c>
      <c r="J33" s="1" t="s">
        <v>27</v>
      </c>
      <c r="K33" s="1" t="s">
        <v>27</v>
      </c>
      <c r="L33" s="26"/>
      <c r="M33" s="26"/>
      <c r="N33" s="26"/>
      <c r="O33" s="26"/>
      <c r="P33" s="27"/>
      <c r="R33">
        <v>2</v>
      </c>
      <c r="S33" t="s">
        <v>60</v>
      </c>
    </row>
    <row r="34" spans="1:19">
      <c r="A34" s="1" t="s">
        <v>27</v>
      </c>
      <c r="B34" s="17" t="s">
        <v>20</v>
      </c>
      <c r="C34" s="3" t="s">
        <v>5</v>
      </c>
      <c r="D34" s="26"/>
      <c r="E34" s="26"/>
      <c r="F34" s="26"/>
      <c r="G34" s="26"/>
      <c r="H34" s="27"/>
      <c r="I34" s="28" t="s">
        <v>27</v>
      </c>
      <c r="J34" s="1" t="s">
        <v>27</v>
      </c>
      <c r="K34" s="1" t="s">
        <v>27</v>
      </c>
      <c r="L34" s="26"/>
      <c r="M34" s="26"/>
      <c r="N34" s="26"/>
      <c r="O34" s="26"/>
      <c r="P34" s="27"/>
      <c r="R34">
        <v>3</v>
      </c>
      <c r="S34" t="s">
        <v>58</v>
      </c>
    </row>
    <row r="35" spans="1:19">
      <c r="A35" s="1" t="s">
        <v>27</v>
      </c>
      <c r="B35" s="3" t="s">
        <v>5</v>
      </c>
      <c r="C35" s="3" t="s">
        <v>5</v>
      </c>
      <c r="D35" s="26"/>
      <c r="E35" s="26"/>
      <c r="F35" s="26"/>
      <c r="G35" s="26"/>
      <c r="H35" s="27"/>
      <c r="I35" s="28" t="s">
        <v>27</v>
      </c>
      <c r="J35" s="1" t="s">
        <v>27</v>
      </c>
      <c r="K35" s="1" t="s">
        <v>27</v>
      </c>
      <c r="L35" s="26"/>
      <c r="M35" s="26"/>
      <c r="N35" s="26"/>
      <c r="O35" s="26"/>
      <c r="P35" s="27"/>
      <c r="R35">
        <v>4</v>
      </c>
      <c r="S35" t="s">
        <v>61</v>
      </c>
    </row>
    <row r="36" spans="1:19">
      <c r="A36" s="1" t="s">
        <v>27</v>
      </c>
      <c r="B36" s="3" t="s">
        <v>5</v>
      </c>
      <c r="C36" s="15" t="s">
        <v>17</v>
      </c>
      <c r="D36" s="26"/>
      <c r="E36" s="26"/>
      <c r="F36" s="26"/>
      <c r="G36" s="26"/>
      <c r="H36" s="27"/>
      <c r="I36" s="28" t="s">
        <v>27</v>
      </c>
      <c r="J36" s="1" t="s">
        <v>27</v>
      </c>
      <c r="K36" s="1" t="s">
        <v>27</v>
      </c>
      <c r="L36" s="26"/>
      <c r="M36" s="26"/>
      <c r="N36" s="26"/>
      <c r="O36" s="26"/>
      <c r="P36" s="27"/>
      <c r="S36" t="s">
        <v>62</v>
      </c>
    </row>
    <row r="37" spans="1:19">
      <c r="A37" s="1" t="s">
        <v>27</v>
      </c>
      <c r="B37" s="4" t="s">
        <v>6</v>
      </c>
      <c r="C37" s="3" t="s">
        <v>5</v>
      </c>
      <c r="D37" s="26"/>
      <c r="E37" s="26"/>
      <c r="F37" s="26"/>
      <c r="G37" s="26"/>
      <c r="H37" s="27"/>
      <c r="I37" s="28" t="s">
        <v>27</v>
      </c>
      <c r="J37" s="1" t="s">
        <v>27</v>
      </c>
      <c r="K37" s="1" t="s">
        <v>27</v>
      </c>
      <c r="L37" s="26"/>
      <c r="M37" s="26"/>
      <c r="N37" s="26"/>
      <c r="O37" s="26"/>
      <c r="P37" s="27"/>
      <c r="R37">
        <v>5</v>
      </c>
      <c r="S37" t="s">
        <v>63</v>
      </c>
    </row>
    <row r="38" spans="1:19">
      <c r="A38" s="1" t="s">
        <v>27</v>
      </c>
      <c r="B38" s="4" t="s">
        <v>6</v>
      </c>
      <c r="C38" s="3" t="s">
        <v>5</v>
      </c>
      <c r="D38" s="26"/>
      <c r="E38" s="26"/>
      <c r="F38" s="26"/>
      <c r="G38" s="26"/>
      <c r="H38" s="27"/>
      <c r="I38" s="28" t="s">
        <v>27</v>
      </c>
      <c r="J38" s="1" t="s">
        <v>27</v>
      </c>
      <c r="K38" s="1" t="s">
        <v>27</v>
      </c>
      <c r="L38" s="26"/>
      <c r="M38" s="26"/>
      <c r="N38" s="26"/>
      <c r="O38" s="26"/>
      <c r="P38" s="27"/>
      <c r="R38">
        <v>6</v>
      </c>
      <c r="S38" t="s">
        <v>64</v>
      </c>
    </row>
    <row r="39" spans="1:19">
      <c r="A39" s="1" t="s">
        <v>27</v>
      </c>
      <c r="B39" s="4" t="s">
        <v>6</v>
      </c>
      <c r="C39" s="4" t="s">
        <v>6</v>
      </c>
      <c r="D39" s="26"/>
      <c r="E39" s="26"/>
      <c r="F39" s="26"/>
      <c r="G39" s="26"/>
      <c r="H39" s="27"/>
      <c r="I39" s="28" t="s">
        <v>27</v>
      </c>
      <c r="J39" s="1" t="s">
        <v>27</v>
      </c>
      <c r="K39" s="1" t="s">
        <v>27</v>
      </c>
      <c r="L39" s="26"/>
      <c r="M39" s="26"/>
      <c r="N39" s="26"/>
      <c r="O39" s="26"/>
      <c r="P39" s="27"/>
      <c r="R39">
        <v>7</v>
      </c>
      <c r="S39" t="s">
        <v>65</v>
      </c>
    </row>
    <row r="40" spans="1:19">
      <c r="A40" s="1" t="s">
        <v>27</v>
      </c>
      <c r="B40" s="17" t="s">
        <v>19</v>
      </c>
      <c r="C40" s="4" t="s">
        <v>6</v>
      </c>
      <c r="D40" s="26"/>
      <c r="E40" s="26"/>
      <c r="F40" s="26"/>
      <c r="G40" s="26"/>
      <c r="H40" s="27"/>
      <c r="I40" s="28" t="s">
        <v>27</v>
      </c>
      <c r="J40" s="1" t="s">
        <v>27</v>
      </c>
      <c r="K40" s="1" t="s">
        <v>27</v>
      </c>
      <c r="L40" s="26"/>
      <c r="M40" s="26"/>
      <c r="N40" s="26"/>
      <c r="O40" s="26"/>
      <c r="P40" s="27"/>
    </row>
    <row r="41" spans="1:19">
      <c r="A41" s="1" t="s">
        <v>27</v>
      </c>
      <c r="B41" s="4" t="s">
        <v>6</v>
      </c>
      <c r="C41" s="9" t="s">
        <v>11</v>
      </c>
      <c r="D41" s="26"/>
      <c r="E41" s="26"/>
      <c r="F41" s="26"/>
      <c r="G41" s="26"/>
      <c r="H41" s="27"/>
      <c r="I41" s="28" t="s">
        <v>27</v>
      </c>
      <c r="J41" s="1" t="s">
        <v>27</v>
      </c>
      <c r="K41" s="1" t="s">
        <v>27</v>
      </c>
      <c r="L41" s="26"/>
      <c r="M41" s="26"/>
      <c r="N41" s="26"/>
      <c r="O41" s="26"/>
      <c r="P41" s="27"/>
    </row>
    <row r="42" spans="1:19">
      <c r="A42" s="1" t="s">
        <v>27</v>
      </c>
      <c r="B42" s="16" t="s">
        <v>18</v>
      </c>
      <c r="C42" s="4" t="s">
        <v>6</v>
      </c>
      <c r="D42" s="26"/>
      <c r="E42" s="26"/>
      <c r="F42" s="26"/>
      <c r="G42" s="26"/>
      <c r="H42" s="27"/>
      <c r="I42" s="28" t="s">
        <v>27</v>
      </c>
      <c r="J42" s="1" t="s">
        <v>27</v>
      </c>
      <c r="K42" s="1" t="s">
        <v>27</v>
      </c>
      <c r="L42" s="26"/>
      <c r="M42" s="26"/>
      <c r="N42" s="26"/>
      <c r="O42" s="26"/>
      <c r="P42" s="27"/>
    </row>
    <row r="43" spans="1:19">
      <c r="A43" s="1" t="s">
        <v>27</v>
      </c>
      <c r="B43" s="3" t="s">
        <v>5</v>
      </c>
      <c r="C43" s="17" t="s">
        <v>19</v>
      </c>
      <c r="D43" s="26"/>
      <c r="E43" s="26"/>
      <c r="F43" s="26"/>
      <c r="G43" s="26"/>
      <c r="H43" s="27"/>
      <c r="I43" s="28" t="s">
        <v>27</v>
      </c>
      <c r="J43" s="1" t="s">
        <v>27</v>
      </c>
      <c r="K43" s="1" t="s">
        <v>27</v>
      </c>
      <c r="L43" s="26"/>
      <c r="M43" s="26"/>
      <c r="N43" s="26"/>
      <c r="O43" s="26"/>
      <c r="P43" s="27"/>
    </row>
    <row r="44" spans="1:19">
      <c r="A44" s="1" t="s">
        <v>27</v>
      </c>
      <c r="B44" s="9" t="s">
        <v>11</v>
      </c>
      <c r="C44" s="4" t="s">
        <v>6</v>
      </c>
      <c r="D44" s="26"/>
      <c r="E44" s="26"/>
      <c r="F44" s="26"/>
      <c r="G44" s="26"/>
      <c r="H44" s="27"/>
      <c r="I44" s="28" t="s">
        <v>27</v>
      </c>
      <c r="J44" s="1" t="s">
        <v>27</v>
      </c>
      <c r="K44" s="1" t="s">
        <v>27</v>
      </c>
      <c r="L44" s="26"/>
      <c r="M44" s="26"/>
      <c r="N44" s="26"/>
      <c r="O44" s="26"/>
      <c r="P44" s="27"/>
    </row>
    <row r="45" spans="1:19">
      <c r="A45" s="1" t="s">
        <v>27</v>
      </c>
      <c r="B45" s="3" t="s">
        <v>5</v>
      </c>
      <c r="C45" s="4" t="s">
        <v>6</v>
      </c>
      <c r="D45" s="26"/>
      <c r="E45" s="26"/>
      <c r="F45" s="26"/>
      <c r="G45" s="26"/>
      <c r="H45" s="27"/>
      <c r="I45" s="28" t="s">
        <v>27</v>
      </c>
      <c r="J45" s="1" t="s">
        <v>27</v>
      </c>
      <c r="K45" s="1" t="s">
        <v>27</v>
      </c>
      <c r="L45" s="26"/>
      <c r="M45" s="26"/>
      <c r="N45" s="26"/>
      <c r="O45" s="26"/>
      <c r="P45" s="27"/>
    </row>
    <row r="46" spans="1:19">
      <c r="A46" s="1" t="s">
        <v>27</v>
      </c>
      <c r="B46" s="4" t="s">
        <v>6</v>
      </c>
      <c r="C46" s="4" t="s">
        <v>6</v>
      </c>
      <c r="D46" s="26"/>
      <c r="E46" s="26"/>
      <c r="F46" s="26"/>
      <c r="G46" s="26"/>
      <c r="H46" s="27"/>
      <c r="I46" s="28" t="s">
        <v>27</v>
      </c>
      <c r="J46" s="1" t="s">
        <v>27</v>
      </c>
      <c r="K46" s="1" t="s">
        <v>27</v>
      </c>
      <c r="L46" s="26"/>
      <c r="M46" s="26"/>
      <c r="N46" s="26"/>
      <c r="O46" s="26"/>
      <c r="P46" s="27"/>
    </row>
    <row r="47" spans="1:19">
      <c r="A47" s="1" t="s">
        <v>27</v>
      </c>
      <c r="B47" s="4" t="s">
        <v>6</v>
      </c>
      <c r="C47" s="4" t="s">
        <v>6</v>
      </c>
      <c r="D47" s="26"/>
      <c r="E47" s="26"/>
      <c r="F47" s="26"/>
      <c r="G47" s="26"/>
      <c r="H47" s="27"/>
      <c r="I47" s="28" t="s">
        <v>27</v>
      </c>
      <c r="J47" s="1" t="s">
        <v>27</v>
      </c>
      <c r="K47" s="1" t="s">
        <v>27</v>
      </c>
      <c r="L47" s="26"/>
      <c r="M47" s="26"/>
      <c r="N47" s="26"/>
      <c r="O47" s="26"/>
      <c r="P47" s="27"/>
    </row>
    <row r="48" spans="1:19">
      <c r="A48" s="1" t="s">
        <v>27</v>
      </c>
      <c r="B48" s="4" t="s">
        <v>6</v>
      </c>
      <c r="C48" s="16" t="s">
        <v>18</v>
      </c>
      <c r="D48" s="26"/>
      <c r="E48" s="26"/>
      <c r="F48" s="26"/>
      <c r="G48" s="26"/>
      <c r="H48" s="27"/>
      <c r="I48" s="28" t="s">
        <v>27</v>
      </c>
      <c r="J48" s="1" t="s">
        <v>27</v>
      </c>
      <c r="K48" s="1" t="s">
        <v>27</v>
      </c>
      <c r="L48" s="26"/>
      <c r="M48" s="26"/>
      <c r="N48" s="26"/>
      <c r="O48" s="26"/>
      <c r="P48" s="27"/>
    </row>
    <row r="49" spans="1:16">
      <c r="A49" s="1" t="s">
        <v>27</v>
      </c>
      <c r="B49" s="4" t="s">
        <v>6</v>
      </c>
      <c r="C49" s="4" t="s">
        <v>6</v>
      </c>
      <c r="D49" s="26"/>
      <c r="E49" s="26"/>
      <c r="F49" s="26"/>
      <c r="G49" s="26"/>
      <c r="H49" s="27"/>
      <c r="I49" s="28" t="s">
        <v>27</v>
      </c>
      <c r="J49" s="1" t="s">
        <v>27</v>
      </c>
      <c r="K49" s="1" t="s">
        <v>27</v>
      </c>
      <c r="L49" s="26"/>
      <c r="M49" s="26"/>
      <c r="N49" s="26"/>
      <c r="O49" s="26"/>
      <c r="P49" s="27"/>
    </row>
    <row r="50" spans="1:16">
      <c r="A50" s="1" t="s">
        <v>27</v>
      </c>
      <c r="B50" s="4" t="s">
        <v>6</v>
      </c>
      <c r="C50" s="4" t="s">
        <v>6</v>
      </c>
      <c r="D50" s="26"/>
      <c r="E50" s="26"/>
      <c r="F50" s="26"/>
      <c r="G50" s="26"/>
      <c r="H50" s="27"/>
      <c r="I50" s="28" t="s">
        <v>27</v>
      </c>
      <c r="J50" s="1" t="s">
        <v>27</v>
      </c>
      <c r="K50" s="1" t="s">
        <v>27</v>
      </c>
      <c r="L50" s="26"/>
      <c r="M50" s="26"/>
      <c r="N50" s="26"/>
      <c r="O50" s="26"/>
      <c r="P50" s="27"/>
    </row>
    <row r="51" spans="1:16">
      <c r="A51" s="1" t="s">
        <v>27</v>
      </c>
      <c r="B51" s="17" t="s">
        <v>20</v>
      </c>
      <c r="C51" s="17" t="s">
        <v>20</v>
      </c>
      <c r="D51" s="26"/>
      <c r="E51" s="26"/>
      <c r="F51" s="26"/>
      <c r="G51" s="26"/>
      <c r="H51" s="27"/>
      <c r="I51" s="28" t="s">
        <v>27</v>
      </c>
      <c r="J51" s="1" t="s">
        <v>27</v>
      </c>
      <c r="K51" s="1" t="s">
        <v>27</v>
      </c>
      <c r="L51" s="26"/>
      <c r="M51" s="26"/>
      <c r="N51" s="26"/>
      <c r="O51" s="26"/>
      <c r="P51" s="27"/>
    </row>
    <row r="52" spans="1:16">
      <c r="A52" s="1" t="s">
        <v>27</v>
      </c>
      <c r="B52" s="1" t="s">
        <v>27</v>
      </c>
      <c r="C52" s="1" t="s">
        <v>27</v>
      </c>
      <c r="D52" s="26"/>
      <c r="E52" s="26"/>
      <c r="F52" s="26"/>
      <c r="G52" s="26"/>
      <c r="H52" s="27"/>
      <c r="I52" s="28" t="s">
        <v>27</v>
      </c>
      <c r="J52" s="1" t="s">
        <v>27</v>
      </c>
      <c r="K52" s="1" t="s">
        <v>27</v>
      </c>
      <c r="L52" s="26"/>
      <c r="M52" s="26"/>
      <c r="N52" s="26"/>
      <c r="O52" s="26"/>
      <c r="P52" s="27"/>
    </row>
    <row r="53" spans="1:16">
      <c r="A53" s="1" t="s">
        <v>27</v>
      </c>
      <c r="B53" s="1" t="s">
        <v>27</v>
      </c>
      <c r="C53" s="1" t="s">
        <v>27</v>
      </c>
      <c r="D53" s="26"/>
      <c r="E53" s="26"/>
      <c r="F53" s="26"/>
      <c r="G53" s="26"/>
      <c r="H53" s="27"/>
      <c r="I53" s="28" t="s">
        <v>27</v>
      </c>
      <c r="J53" s="1" t="s">
        <v>27</v>
      </c>
      <c r="K53" s="1" t="s">
        <v>27</v>
      </c>
      <c r="L53" s="26"/>
      <c r="M53" s="26"/>
      <c r="N53" s="26"/>
      <c r="O53" s="26"/>
      <c r="P53" s="27"/>
    </row>
    <row r="54" spans="1:16">
      <c r="A54" s="1" t="s">
        <v>27</v>
      </c>
      <c r="B54" s="1" t="s">
        <v>27</v>
      </c>
      <c r="C54" s="1" t="s">
        <v>27</v>
      </c>
      <c r="D54" s="26"/>
      <c r="E54" s="26"/>
      <c r="F54" s="26"/>
      <c r="G54" s="26"/>
      <c r="H54" s="27"/>
      <c r="I54" s="28" t="s">
        <v>27</v>
      </c>
      <c r="J54" s="1" t="s">
        <v>27</v>
      </c>
      <c r="K54" s="1" t="s">
        <v>27</v>
      </c>
      <c r="L54" s="26"/>
      <c r="M54" s="26"/>
      <c r="N54" s="26"/>
      <c r="O54" s="26"/>
      <c r="P54" s="27"/>
    </row>
    <row r="55" spans="1:16">
      <c r="A55" s="1" t="s">
        <v>27</v>
      </c>
      <c r="B55" s="1" t="s">
        <v>27</v>
      </c>
      <c r="C55" s="1" t="s">
        <v>27</v>
      </c>
      <c r="D55" s="26"/>
      <c r="E55" s="26"/>
      <c r="F55" s="26"/>
      <c r="G55" s="26"/>
      <c r="H55" s="27"/>
      <c r="I55" s="28" t="s">
        <v>27</v>
      </c>
      <c r="J55" s="1" t="s">
        <v>27</v>
      </c>
      <c r="K55" s="1" t="s">
        <v>27</v>
      </c>
      <c r="L55" s="26"/>
      <c r="M55" s="26"/>
      <c r="N55" s="26"/>
      <c r="O55" s="26"/>
      <c r="P55" s="27"/>
    </row>
    <row r="56" spans="1:16">
      <c r="A56" s="28" t="s">
        <v>27</v>
      </c>
      <c r="B56" s="1" t="s">
        <v>27</v>
      </c>
      <c r="C56" s="1" t="s">
        <v>27</v>
      </c>
      <c r="D56" s="26"/>
      <c r="E56" s="26"/>
      <c r="F56" s="26"/>
      <c r="G56" s="26"/>
      <c r="H56" s="27"/>
      <c r="I56" s="28" t="s">
        <v>27</v>
      </c>
      <c r="J56" s="1" t="s">
        <v>27</v>
      </c>
      <c r="K56" s="1" t="s">
        <v>27</v>
      </c>
      <c r="L56" s="26"/>
      <c r="M56" s="26"/>
      <c r="N56" s="26"/>
      <c r="O56" s="26"/>
      <c r="P56" s="27"/>
    </row>
    <row r="57" spans="1:16">
      <c r="A57" s="28" t="s">
        <v>27</v>
      </c>
      <c r="B57" s="1" t="s">
        <v>27</v>
      </c>
      <c r="C57" s="1" t="s">
        <v>27</v>
      </c>
      <c r="D57" s="26"/>
      <c r="E57" s="26"/>
      <c r="F57" s="26"/>
      <c r="G57" s="26"/>
      <c r="H57" s="27"/>
      <c r="I57" s="28" t="s">
        <v>27</v>
      </c>
      <c r="J57" s="1" t="s">
        <v>27</v>
      </c>
      <c r="K57" s="1" t="s">
        <v>27</v>
      </c>
      <c r="L57" s="26"/>
      <c r="M57" s="26"/>
      <c r="N57" s="26"/>
      <c r="O57" s="26"/>
      <c r="P57" s="27"/>
    </row>
    <row r="58" spans="1:16">
      <c r="A58" s="28" t="s">
        <v>27</v>
      </c>
      <c r="B58" s="1" t="s">
        <v>27</v>
      </c>
      <c r="C58" s="1" t="s">
        <v>27</v>
      </c>
      <c r="D58" s="26"/>
      <c r="E58" s="26"/>
      <c r="F58" s="26"/>
      <c r="G58" s="26"/>
      <c r="H58" s="27"/>
      <c r="I58" s="28" t="s">
        <v>27</v>
      </c>
      <c r="J58" s="1" t="s">
        <v>27</v>
      </c>
      <c r="K58" s="1" t="s">
        <v>27</v>
      </c>
      <c r="L58" s="26"/>
      <c r="M58" s="26"/>
      <c r="N58" s="26"/>
      <c r="O58" s="26"/>
      <c r="P58" s="27"/>
    </row>
    <row r="59" spans="1:16">
      <c r="A59" s="28" t="s">
        <v>27</v>
      </c>
      <c r="B59" s="1" t="s">
        <v>27</v>
      </c>
      <c r="C59" s="1" t="s">
        <v>27</v>
      </c>
      <c r="D59" s="26"/>
      <c r="E59" s="26"/>
      <c r="F59" s="26"/>
      <c r="G59" s="26"/>
      <c r="H59" s="27"/>
      <c r="I59" s="28" t="s">
        <v>27</v>
      </c>
      <c r="J59" s="1" t="s">
        <v>27</v>
      </c>
      <c r="K59" s="1" t="s">
        <v>27</v>
      </c>
      <c r="L59" s="26"/>
      <c r="M59" s="26"/>
      <c r="N59" s="26"/>
      <c r="O59" s="26"/>
      <c r="P59" s="27"/>
    </row>
    <row r="60" spans="1:16">
      <c r="A60" s="28" t="s">
        <v>27</v>
      </c>
      <c r="B60" s="1" t="s">
        <v>27</v>
      </c>
      <c r="C60" s="1" t="s">
        <v>27</v>
      </c>
      <c r="D60" s="26"/>
      <c r="E60" s="26"/>
      <c r="F60" s="26"/>
      <c r="G60" s="26"/>
      <c r="H60" s="27"/>
      <c r="I60" s="28" t="s">
        <v>27</v>
      </c>
      <c r="J60" s="1" t="s">
        <v>27</v>
      </c>
      <c r="K60" s="1" t="s">
        <v>27</v>
      </c>
      <c r="L60" s="26"/>
      <c r="M60" s="26"/>
      <c r="N60" s="26"/>
      <c r="O60" s="26"/>
      <c r="P60" s="27"/>
    </row>
    <row r="61" spans="1:16">
      <c r="A61" s="28" t="s">
        <v>27</v>
      </c>
      <c r="B61" s="1" t="s">
        <v>27</v>
      </c>
      <c r="C61" s="1" t="s">
        <v>27</v>
      </c>
      <c r="D61" s="26"/>
      <c r="E61" s="26"/>
      <c r="F61" s="26"/>
      <c r="G61" s="26"/>
      <c r="H61" s="27"/>
      <c r="I61" s="28" t="s">
        <v>27</v>
      </c>
      <c r="J61" s="1" t="s">
        <v>27</v>
      </c>
      <c r="K61" s="1" t="s">
        <v>27</v>
      </c>
      <c r="L61" s="26"/>
      <c r="M61" s="26"/>
      <c r="N61" s="26"/>
      <c r="O61" s="26"/>
      <c r="P61" s="27"/>
    </row>
    <row r="62" spans="1:16">
      <c r="A62" s="28" t="s">
        <v>27</v>
      </c>
      <c r="B62" s="1" t="s">
        <v>27</v>
      </c>
      <c r="C62" s="1" t="s">
        <v>27</v>
      </c>
      <c r="D62" s="26"/>
      <c r="E62" s="26"/>
      <c r="F62" s="26"/>
      <c r="G62" s="26"/>
      <c r="H62" s="27"/>
      <c r="I62" s="28" t="s">
        <v>27</v>
      </c>
      <c r="J62" s="1" t="s">
        <v>27</v>
      </c>
      <c r="K62" s="1" t="s">
        <v>27</v>
      </c>
      <c r="L62" s="26"/>
      <c r="M62" s="26"/>
      <c r="N62" s="26"/>
      <c r="O62" s="26"/>
      <c r="P62" s="27"/>
    </row>
    <row r="63" spans="1:16">
      <c r="A63" s="28" t="s">
        <v>27</v>
      </c>
      <c r="B63" s="1" t="s">
        <v>27</v>
      </c>
      <c r="C63" s="1" t="s">
        <v>27</v>
      </c>
      <c r="D63" s="26"/>
      <c r="E63" s="26"/>
      <c r="F63" s="26"/>
      <c r="G63" s="26"/>
      <c r="H63" s="27"/>
      <c r="I63" s="28" t="s">
        <v>27</v>
      </c>
      <c r="J63" s="1" t="s">
        <v>27</v>
      </c>
      <c r="K63" s="1" t="s">
        <v>27</v>
      </c>
      <c r="L63" s="26"/>
      <c r="M63" s="26"/>
      <c r="N63" s="26"/>
      <c r="O63" s="26"/>
      <c r="P63" s="27"/>
    </row>
    <row r="64" spans="1:16">
      <c r="A64" s="28" t="s">
        <v>27</v>
      </c>
      <c r="B64" s="1" t="s">
        <v>27</v>
      </c>
      <c r="C64" s="1" t="s">
        <v>27</v>
      </c>
      <c r="D64" s="26"/>
      <c r="E64" s="26"/>
      <c r="F64" s="26"/>
      <c r="G64" s="26"/>
      <c r="H64" s="27"/>
      <c r="I64" s="28" t="s">
        <v>27</v>
      </c>
      <c r="J64" s="1" t="s">
        <v>27</v>
      </c>
      <c r="K64" s="1" t="s">
        <v>27</v>
      </c>
      <c r="L64" s="26"/>
      <c r="M64" s="26"/>
      <c r="N64" s="26"/>
      <c r="O64" s="26"/>
      <c r="P64" s="27"/>
    </row>
    <row r="65" spans="1:16">
      <c r="A65" s="28" t="s">
        <v>27</v>
      </c>
      <c r="B65" s="1" t="s">
        <v>27</v>
      </c>
      <c r="C65" s="1" t="s">
        <v>27</v>
      </c>
      <c r="D65" s="26"/>
      <c r="E65" s="26"/>
      <c r="F65" s="26"/>
      <c r="G65" s="26"/>
      <c r="H65" s="27"/>
      <c r="I65" s="28" t="s">
        <v>27</v>
      </c>
      <c r="J65" s="1" t="s">
        <v>27</v>
      </c>
      <c r="K65" s="1" t="s">
        <v>27</v>
      </c>
      <c r="L65" s="26"/>
      <c r="M65" s="26"/>
      <c r="N65" s="26"/>
      <c r="O65" s="26"/>
      <c r="P65" s="27"/>
    </row>
    <row r="66" spans="1:16">
      <c r="A66" s="28" t="s">
        <v>27</v>
      </c>
      <c r="B66" s="1" t="s">
        <v>27</v>
      </c>
      <c r="C66" s="1" t="s">
        <v>27</v>
      </c>
      <c r="D66" s="26"/>
      <c r="E66" s="26"/>
      <c r="F66" s="26"/>
      <c r="G66" s="26"/>
      <c r="H66" s="27"/>
      <c r="I66" s="28" t="s">
        <v>27</v>
      </c>
      <c r="J66" s="1" t="s">
        <v>27</v>
      </c>
      <c r="K66" s="1" t="s">
        <v>27</v>
      </c>
      <c r="L66" s="26"/>
      <c r="M66" s="26"/>
      <c r="N66" s="26"/>
      <c r="O66" s="26"/>
      <c r="P66" s="27"/>
    </row>
    <row r="67" spans="1:16">
      <c r="A67" s="28" t="s">
        <v>27</v>
      </c>
      <c r="B67" s="1" t="s">
        <v>27</v>
      </c>
      <c r="C67" s="1" t="s">
        <v>27</v>
      </c>
      <c r="D67" s="26"/>
      <c r="E67" s="26"/>
      <c r="F67" s="26"/>
      <c r="G67" s="26"/>
      <c r="H67" s="27"/>
      <c r="I67" s="28" t="s">
        <v>27</v>
      </c>
      <c r="J67" s="1" t="s">
        <v>27</v>
      </c>
      <c r="K67" s="1" t="s">
        <v>27</v>
      </c>
      <c r="L67" s="26"/>
      <c r="M67" s="26"/>
      <c r="N67" s="26"/>
      <c r="O67" s="26"/>
      <c r="P67" s="27"/>
    </row>
    <row r="68" spans="1:16">
      <c r="A68" s="28" t="s">
        <v>27</v>
      </c>
      <c r="B68" s="1" t="s">
        <v>27</v>
      </c>
      <c r="C68" s="1" t="s">
        <v>27</v>
      </c>
      <c r="D68" s="26"/>
      <c r="E68" s="26"/>
      <c r="F68" s="26"/>
      <c r="G68" s="26"/>
      <c r="H68" s="27"/>
      <c r="I68" s="28" t="s">
        <v>27</v>
      </c>
      <c r="J68" s="1" t="s">
        <v>27</v>
      </c>
      <c r="K68" s="1" t="s">
        <v>27</v>
      </c>
      <c r="L68" s="26"/>
      <c r="M68" s="26"/>
      <c r="N68" s="26"/>
      <c r="O68" s="26"/>
      <c r="P68" s="27"/>
    </row>
    <row r="69" spans="1:16">
      <c r="A69" s="28" t="s">
        <v>27</v>
      </c>
      <c r="B69" s="1" t="s">
        <v>27</v>
      </c>
      <c r="C69" s="1" t="s">
        <v>27</v>
      </c>
      <c r="D69" s="26"/>
      <c r="E69" s="26"/>
      <c r="F69" s="26"/>
      <c r="G69" s="26"/>
      <c r="H69" s="27"/>
      <c r="I69" s="28" t="s">
        <v>27</v>
      </c>
      <c r="J69" s="1" t="s">
        <v>27</v>
      </c>
      <c r="K69" s="1" t="s">
        <v>27</v>
      </c>
      <c r="L69" s="26"/>
      <c r="M69" s="26"/>
      <c r="N69" s="26"/>
      <c r="O69" s="26"/>
      <c r="P69" s="27"/>
    </row>
    <row r="70" spans="1:16">
      <c r="A70" s="28" t="s">
        <v>27</v>
      </c>
      <c r="B70" s="1" t="s">
        <v>27</v>
      </c>
      <c r="C70" s="1" t="s">
        <v>27</v>
      </c>
      <c r="D70" s="26"/>
      <c r="E70" s="26"/>
      <c r="F70" s="26"/>
      <c r="G70" s="26"/>
      <c r="H70" s="27"/>
      <c r="I70" s="28" t="s">
        <v>27</v>
      </c>
      <c r="J70" s="1" t="s">
        <v>27</v>
      </c>
      <c r="K70" s="1" t="s">
        <v>27</v>
      </c>
      <c r="L70" s="26"/>
      <c r="M70" s="26"/>
      <c r="N70" s="26"/>
      <c r="O70" s="26"/>
      <c r="P70" s="27"/>
    </row>
    <row r="71" spans="1:16">
      <c r="A71" s="28" t="s">
        <v>27</v>
      </c>
      <c r="B71" s="1" t="s">
        <v>27</v>
      </c>
      <c r="C71" s="1" t="s">
        <v>27</v>
      </c>
      <c r="D71" s="26"/>
      <c r="E71" s="26"/>
      <c r="F71" s="26"/>
      <c r="G71" s="26"/>
      <c r="H71" s="27"/>
      <c r="I71" s="28" t="s">
        <v>27</v>
      </c>
      <c r="J71" s="1" t="s">
        <v>27</v>
      </c>
      <c r="K71" s="1" t="s">
        <v>27</v>
      </c>
      <c r="L71" s="26"/>
      <c r="M71" s="26"/>
      <c r="N71" s="26"/>
      <c r="O71" s="26"/>
      <c r="P71" s="27"/>
    </row>
    <row r="72" spans="1:16">
      <c r="A72" s="28" t="s">
        <v>27</v>
      </c>
      <c r="B72" s="1" t="s">
        <v>27</v>
      </c>
      <c r="C72" s="1" t="s">
        <v>27</v>
      </c>
      <c r="D72" s="26"/>
      <c r="E72" s="26"/>
      <c r="F72" s="26"/>
      <c r="G72" s="26"/>
      <c r="H72" s="27"/>
      <c r="I72" s="28" t="s">
        <v>27</v>
      </c>
      <c r="J72" s="1" t="s">
        <v>27</v>
      </c>
      <c r="K72" s="1" t="s">
        <v>27</v>
      </c>
      <c r="L72" s="26"/>
      <c r="M72" s="26"/>
      <c r="N72" s="26"/>
      <c r="O72" s="26"/>
      <c r="P72" s="27"/>
    </row>
    <row r="73" spans="1:16">
      <c r="A73" s="28" t="s">
        <v>27</v>
      </c>
      <c r="B73" s="1" t="s">
        <v>27</v>
      </c>
      <c r="C73" s="1" t="s">
        <v>27</v>
      </c>
      <c r="D73" s="26"/>
      <c r="E73" s="26"/>
      <c r="F73" s="26"/>
      <c r="G73" s="26"/>
      <c r="H73" s="27"/>
      <c r="I73" s="28" t="s">
        <v>27</v>
      </c>
      <c r="J73" s="1" t="s">
        <v>27</v>
      </c>
      <c r="K73" s="1" t="s">
        <v>27</v>
      </c>
      <c r="L73" s="26"/>
      <c r="M73" s="26"/>
      <c r="N73" s="26"/>
      <c r="O73" s="26"/>
      <c r="P73" s="27"/>
    </row>
    <row r="74" spans="1:16">
      <c r="A74" s="28" t="s">
        <v>27</v>
      </c>
      <c r="B74" s="1" t="s">
        <v>27</v>
      </c>
      <c r="C74" s="1" t="s">
        <v>27</v>
      </c>
      <c r="D74" s="26"/>
      <c r="E74" s="26"/>
      <c r="F74" s="26"/>
      <c r="G74" s="26"/>
      <c r="H74" s="27"/>
      <c r="I74" s="28" t="s">
        <v>27</v>
      </c>
      <c r="J74" s="1" t="s">
        <v>27</v>
      </c>
      <c r="K74" s="1" t="s">
        <v>27</v>
      </c>
      <c r="L74" s="26"/>
      <c r="M74" s="26"/>
      <c r="N74" s="26"/>
      <c r="O74" s="26"/>
      <c r="P74" s="27"/>
    </row>
    <row r="75" spans="1:16">
      <c r="A75" s="28" t="s">
        <v>27</v>
      </c>
      <c r="B75" s="1" t="s">
        <v>27</v>
      </c>
      <c r="C75" s="1" t="s">
        <v>27</v>
      </c>
      <c r="D75" s="26"/>
      <c r="E75" s="26"/>
      <c r="F75" s="26"/>
      <c r="G75" s="26"/>
      <c r="H75" s="27"/>
      <c r="I75" s="28" t="s">
        <v>27</v>
      </c>
      <c r="J75" s="1" t="s">
        <v>27</v>
      </c>
      <c r="K75" s="1" t="s">
        <v>27</v>
      </c>
      <c r="L75" s="26"/>
      <c r="M75" s="26"/>
      <c r="N75" s="26"/>
      <c r="O75" s="26"/>
      <c r="P75" s="27"/>
    </row>
    <row r="76" spans="1:16">
      <c r="A76" s="28" t="s">
        <v>27</v>
      </c>
      <c r="B76" s="1" t="s">
        <v>27</v>
      </c>
      <c r="C76" s="1" t="s">
        <v>27</v>
      </c>
      <c r="D76" s="26"/>
      <c r="E76" s="26"/>
      <c r="F76" s="26"/>
      <c r="G76" s="26"/>
      <c r="H76" s="27"/>
      <c r="I76" s="28" t="s">
        <v>27</v>
      </c>
      <c r="J76" s="1" t="s">
        <v>27</v>
      </c>
      <c r="K76" s="1" t="s">
        <v>27</v>
      </c>
      <c r="L76" s="26"/>
      <c r="M76" s="26"/>
      <c r="N76" s="26"/>
      <c r="O76" s="26"/>
      <c r="P76" s="27"/>
    </row>
    <row r="77" spans="1:16">
      <c r="A77" s="28" t="s">
        <v>27</v>
      </c>
      <c r="B77" s="1" t="s">
        <v>27</v>
      </c>
      <c r="C77" s="1" t="s">
        <v>27</v>
      </c>
      <c r="D77" s="26"/>
      <c r="E77" s="26"/>
      <c r="F77" s="26"/>
      <c r="G77" s="26"/>
      <c r="H77" s="27"/>
      <c r="I77" s="28" t="s">
        <v>27</v>
      </c>
      <c r="J77" s="1" t="s">
        <v>27</v>
      </c>
      <c r="K77" s="1" t="s">
        <v>27</v>
      </c>
      <c r="L77" s="26"/>
      <c r="M77" s="26"/>
      <c r="N77" s="26"/>
      <c r="O77" s="26"/>
      <c r="P77" s="27"/>
    </row>
    <row r="78" spans="1:16">
      <c r="A78" s="28" t="s">
        <v>27</v>
      </c>
      <c r="B78" s="1" t="s">
        <v>27</v>
      </c>
      <c r="C78" s="1" t="s">
        <v>27</v>
      </c>
      <c r="D78" s="26"/>
      <c r="E78" s="26"/>
      <c r="F78" s="26"/>
      <c r="G78" s="26"/>
      <c r="H78" s="27"/>
      <c r="I78" s="28" t="s">
        <v>27</v>
      </c>
      <c r="J78" s="1" t="s">
        <v>27</v>
      </c>
      <c r="K78" s="1" t="s">
        <v>27</v>
      </c>
      <c r="L78" s="26"/>
      <c r="M78" s="26"/>
      <c r="N78" s="26"/>
      <c r="O78" s="26"/>
      <c r="P78" s="27"/>
    </row>
    <row r="79" spans="1:16">
      <c r="A79" s="28" t="s">
        <v>27</v>
      </c>
      <c r="B79" s="1" t="s">
        <v>27</v>
      </c>
      <c r="C79" s="1" t="s">
        <v>27</v>
      </c>
      <c r="D79" s="26"/>
      <c r="E79" s="26"/>
      <c r="F79" s="26"/>
      <c r="G79" s="26"/>
      <c r="H79" s="27"/>
      <c r="I79" s="28" t="s">
        <v>27</v>
      </c>
      <c r="J79" s="1" t="s">
        <v>27</v>
      </c>
      <c r="K79" s="1" t="s">
        <v>27</v>
      </c>
      <c r="L79" s="26"/>
      <c r="M79" s="26"/>
      <c r="N79" s="26"/>
      <c r="O79" s="26"/>
      <c r="P79" s="27"/>
    </row>
    <row r="80" spans="1:16">
      <c r="A80" s="28" t="s">
        <v>27</v>
      </c>
      <c r="B80" s="1" t="s">
        <v>27</v>
      </c>
      <c r="C80" s="1" t="s">
        <v>27</v>
      </c>
      <c r="D80" s="26"/>
      <c r="E80" s="26"/>
      <c r="F80" s="26"/>
      <c r="G80" s="26"/>
      <c r="H80" s="27"/>
      <c r="I80" s="28" t="s">
        <v>27</v>
      </c>
      <c r="J80" s="1" t="s">
        <v>27</v>
      </c>
      <c r="K80" s="1" t="s">
        <v>27</v>
      </c>
      <c r="L80" s="26"/>
      <c r="M80" s="26"/>
      <c r="N80" s="26"/>
      <c r="O80" s="26"/>
      <c r="P80" s="27"/>
    </row>
    <row r="81" spans="1:16">
      <c r="A81" s="28" t="s">
        <v>27</v>
      </c>
      <c r="B81" s="1" t="s">
        <v>27</v>
      </c>
      <c r="C81" s="1" t="s">
        <v>27</v>
      </c>
      <c r="D81" s="26"/>
      <c r="E81" s="26"/>
      <c r="F81" s="26"/>
      <c r="G81" s="26"/>
      <c r="H81" s="27"/>
      <c r="I81" s="28" t="s">
        <v>27</v>
      </c>
      <c r="J81" s="1" t="s">
        <v>27</v>
      </c>
      <c r="K81" s="1" t="s">
        <v>27</v>
      </c>
      <c r="L81" s="26"/>
      <c r="M81" s="26"/>
      <c r="N81" s="26"/>
      <c r="O81" s="26"/>
      <c r="P81" s="27"/>
    </row>
    <row r="82" spans="1:16">
      <c r="A82" s="28" t="s">
        <v>27</v>
      </c>
      <c r="B82" s="1" t="s">
        <v>27</v>
      </c>
      <c r="C82" s="1" t="s">
        <v>27</v>
      </c>
      <c r="D82" s="26"/>
      <c r="E82" s="26"/>
      <c r="F82" s="26"/>
      <c r="G82" s="26"/>
      <c r="H82" s="27"/>
      <c r="I82" s="28" t="s">
        <v>27</v>
      </c>
      <c r="J82" s="1" t="s">
        <v>27</v>
      </c>
      <c r="K82" s="1" t="s">
        <v>27</v>
      </c>
      <c r="L82" s="26"/>
      <c r="M82" s="26"/>
      <c r="N82" s="26"/>
      <c r="O82" s="26"/>
      <c r="P82" s="27"/>
    </row>
    <row r="83" spans="1:16">
      <c r="A83" s="28" t="s">
        <v>27</v>
      </c>
      <c r="B83" s="1" t="s">
        <v>27</v>
      </c>
      <c r="C83" s="1" t="s">
        <v>27</v>
      </c>
      <c r="D83" s="26"/>
      <c r="E83" s="26"/>
      <c r="F83" s="26"/>
      <c r="G83" s="26"/>
      <c r="H83" s="27"/>
      <c r="I83" s="28" t="s">
        <v>27</v>
      </c>
      <c r="J83" s="1" t="s">
        <v>27</v>
      </c>
      <c r="K83" s="1" t="s">
        <v>27</v>
      </c>
      <c r="L83" s="26"/>
      <c r="M83" s="26"/>
      <c r="N83" s="26"/>
      <c r="O83" s="26"/>
      <c r="P83" s="27"/>
    </row>
    <row r="84" spans="1:16">
      <c r="A84" s="28" t="s">
        <v>27</v>
      </c>
      <c r="B84" s="1" t="s">
        <v>27</v>
      </c>
      <c r="C84" s="1" t="s">
        <v>27</v>
      </c>
      <c r="D84" s="26"/>
      <c r="E84" s="26"/>
      <c r="F84" s="26"/>
      <c r="G84" s="26"/>
      <c r="H84" s="27"/>
      <c r="I84" s="28" t="s">
        <v>27</v>
      </c>
      <c r="J84" s="1" t="s">
        <v>27</v>
      </c>
      <c r="K84" s="1" t="s">
        <v>27</v>
      </c>
      <c r="L84" s="26"/>
      <c r="M84" s="26"/>
      <c r="N84" s="26"/>
      <c r="O84" s="26"/>
      <c r="P84" s="27"/>
    </row>
    <row r="85" spans="1:16">
      <c r="A85" s="28" t="s">
        <v>27</v>
      </c>
      <c r="B85" s="1" t="s">
        <v>27</v>
      </c>
      <c r="C85" s="1" t="s">
        <v>27</v>
      </c>
      <c r="D85" s="26"/>
      <c r="E85" s="26"/>
      <c r="F85" s="26"/>
      <c r="G85" s="26"/>
      <c r="H85" s="27"/>
      <c r="I85" s="28" t="s">
        <v>27</v>
      </c>
      <c r="J85" s="1" t="s">
        <v>27</v>
      </c>
      <c r="K85" s="1" t="s">
        <v>27</v>
      </c>
      <c r="L85" s="26"/>
      <c r="M85" s="26"/>
      <c r="N85" s="26"/>
      <c r="O85" s="26"/>
      <c r="P85" s="27"/>
    </row>
    <row r="86" spans="1:16">
      <c r="A86" s="28" t="s">
        <v>27</v>
      </c>
      <c r="B86" s="1" t="s">
        <v>27</v>
      </c>
      <c r="C86" s="1" t="s">
        <v>27</v>
      </c>
      <c r="D86" s="26"/>
      <c r="E86" s="26"/>
      <c r="F86" s="26"/>
      <c r="G86" s="26"/>
      <c r="H86" s="27"/>
      <c r="I86" s="28" t="s">
        <v>27</v>
      </c>
      <c r="J86" s="1" t="s">
        <v>27</v>
      </c>
      <c r="K86" s="1" t="s">
        <v>27</v>
      </c>
      <c r="L86" s="26"/>
      <c r="M86" s="26"/>
      <c r="N86" s="26"/>
      <c r="O86" s="26"/>
      <c r="P86" s="27"/>
    </row>
    <row r="87" spans="1:16">
      <c r="A87" s="28" t="s">
        <v>27</v>
      </c>
      <c r="B87" s="1" t="s">
        <v>27</v>
      </c>
      <c r="C87" s="1" t="s">
        <v>27</v>
      </c>
      <c r="D87" s="26"/>
      <c r="E87" s="26"/>
      <c r="F87" s="26"/>
      <c r="G87" s="26"/>
      <c r="H87" s="27"/>
      <c r="I87" s="28" t="s">
        <v>27</v>
      </c>
      <c r="J87" s="1" t="s">
        <v>27</v>
      </c>
      <c r="K87" s="1" t="s">
        <v>27</v>
      </c>
      <c r="L87" s="26"/>
      <c r="M87" s="26"/>
      <c r="N87" s="26"/>
      <c r="O87" s="26"/>
      <c r="P87" s="27"/>
    </row>
    <row r="88" spans="1:16">
      <c r="A88" s="28" t="s">
        <v>27</v>
      </c>
      <c r="B88" s="1" t="s">
        <v>27</v>
      </c>
      <c r="C88" s="1" t="s">
        <v>27</v>
      </c>
      <c r="D88" s="26"/>
      <c r="E88" s="26"/>
      <c r="F88" s="26"/>
      <c r="G88" s="26"/>
      <c r="H88" s="27"/>
      <c r="I88" s="28" t="s">
        <v>27</v>
      </c>
      <c r="J88" s="1" t="s">
        <v>27</v>
      </c>
      <c r="K88" s="1" t="s">
        <v>27</v>
      </c>
      <c r="L88" s="26"/>
      <c r="M88" s="26"/>
      <c r="N88" s="26"/>
      <c r="O88" s="26"/>
      <c r="P88" s="27"/>
    </row>
    <row r="89" spans="1:16">
      <c r="A89" s="28" t="s">
        <v>27</v>
      </c>
      <c r="B89" s="1" t="s">
        <v>27</v>
      </c>
      <c r="C89" s="1" t="s">
        <v>27</v>
      </c>
      <c r="D89" s="26"/>
      <c r="E89" s="26"/>
      <c r="F89" s="26"/>
      <c r="G89" s="26"/>
      <c r="H89" s="27"/>
      <c r="I89" s="28" t="s">
        <v>27</v>
      </c>
      <c r="J89" s="1" t="s">
        <v>27</v>
      </c>
      <c r="K89" s="1" t="s">
        <v>27</v>
      </c>
      <c r="L89" s="26"/>
      <c r="M89" s="26"/>
      <c r="N89" s="26"/>
      <c r="O89" s="26"/>
      <c r="P89" s="27"/>
    </row>
    <row r="90" spans="1:16">
      <c r="A90" s="28" t="s">
        <v>27</v>
      </c>
      <c r="B90" s="1" t="s">
        <v>27</v>
      </c>
      <c r="C90" s="1" t="s">
        <v>27</v>
      </c>
      <c r="D90" s="26"/>
      <c r="E90" s="26"/>
      <c r="F90" s="26"/>
      <c r="G90" s="26"/>
      <c r="H90" s="27"/>
      <c r="I90" s="28" t="s">
        <v>27</v>
      </c>
      <c r="J90" s="1" t="s">
        <v>27</v>
      </c>
      <c r="K90" s="1" t="s">
        <v>27</v>
      </c>
      <c r="L90" s="26"/>
      <c r="M90" s="26"/>
      <c r="N90" s="26"/>
      <c r="O90" s="26"/>
      <c r="P90" s="27"/>
    </row>
    <row r="91" spans="1:16">
      <c r="A91" s="28" t="s">
        <v>27</v>
      </c>
      <c r="B91" s="1" t="s">
        <v>27</v>
      </c>
      <c r="C91" s="1" t="s">
        <v>27</v>
      </c>
      <c r="D91" s="26"/>
      <c r="E91" s="26"/>
      <c r="F91" s="26"/>
      <c r="G91" s="26"/>
      <c r="H91" s="27"/>
      <c r="I91" s="28" t="s">
        <v>27</v>
      </c>
      <c r="J91" s="1" t="s">
        <v>27</v>
      </c>
      <c r="K91" s="1" t="s">
        <v>27</v>
      </c>
      <c r="L91" s="26"/>
      <c r="M91" s="26"/>
      <c r="N91" s="26"/>
      <c r="O91" s="26"/>
      <c r="P91" s="27"/>
    </row>
    <row r="92" spans="1:16">
      <c r="A92" s="28" t="s">
        <v>27</v>
      </c>
      <c r="B92" s="1" t="s">
        <v>27</v>
      </c>
      <c r="C92" s="1" t="s">
        <v>27</v>
      </c>
      <c r="D92" s="26"/>
      <c r="E92" s="26"/>
      <c r="F92" s="26"/>
      <c r="G92" s="26"/>
      <c r="H92" s="27"/>
      <c r="I92" s="28" t="s">
        <v>27</v>
      </c>
      <c r="J92" s="1" t="s">
        <v>27</v>
      </c>
      <c r="K92" s="1" t="s">
        <v>27</v>
      </c>
      <c r="L92" s="26"/>
      <c r="M92" s="26"/>
      <c r="N92" s="26"/>
      <c r="O92" s="26"/>
      <c r="P92" s="27"/>
    </row>
    <row r="93" spans="1:16">
      <c r="A93" s="28" t="s">
        <v>27</v>
      </c>
      <c r="B93" s="1" t="s">
        <v>27</v>
      </c>
      <c r="C93" s="1" t="s">
        <v>27</v>
      </c>
      <c r="D93" s="26"/>
      <c r="E93" s="26"/>
      <c r="F93" s="26"/>
      <c r="G93" s="26"/>
      <c r="H93" s="27"/>
      <c r="I93" s="28" t="s">
        <v>27</v>
      </c>
      <c r="J93" s="1" t="s">
        <v>27</v>
      </c>
      <c r="K93" s="1" t="s">
        <v>27</v>
      </c>
      <c r="L93" s="26"/>
      <c r="M93" s="26"/>
      <c r="N93" s="26"/>
      <c r="O93" s="26"/>
      <c r="P93" s="27"/>
    </row>
    <row r="94" spans="1:16">
      <c r="A94" s="28" t="s">
        <v>27</v>
      </c>
      <c r="B94" s="1" t="s">
        <v>27</v>
      </c>
      <c r="C94" s="1" t="s">
        <v>27</v>
      </c>
      <c r="D94" s="26"/>
      <c r="E94" s="26"/>
      <c r="F94" s="26"/>
      <c r="G94" s="26"/>
      <c r="H94" s="27"/>
      <c r="I94" s="28" t="s">
        <v>27</v>
      </c>
      <c r="J94" s="1" t="s">
        <v>27</v>
      </c>
      <c r="K94" s="1" t="s">
        <v>27</v>
      </c>
      <c r="L94" s="26"/>
      <c r="M94" s="26"/>
      <c r="N94" s="26"/>
      <c r="O94" s="26"/>
      <c r="P94" s="27"/>
    </row>
    <row r="95" spans="1:16">
      <c r="A95" s="28" t="s">
        <v>27</v>
      </c>
      <c r="B95" s="1" t="s">
        <v>27</v>
      </c>
      <c r="C95" s="1" t="s">
        <v>27</v>
      </c>
      <c r="D95" s="26"/>
      <c r="E95" s="26"/>
      <c r="F95" s="26"/>
      <c r="G95" s="26"/>
      <c r="H95" s="27"/>
      <c r="I95" s="28" t="s">
        <v>27</v>
      </c>
      <c r="J95" s="1" t="s">
        <v>27</v>
      </c>
      <c r="K95" s="1" t="s">
        <v>27</v>
      </c>
      <c r="L95" s="26"/>
      <c r="M95" s="26"/>
      <c r="N95" s="26"/>
      <c r="O95" s="26"/>
      <c r="P95" s="27"/>
    </row>
    <row r="96" spans="1:16">
      <c r="A96" s="28" t="s">
        <v>27</v>
      </c>
      <c r="B96" s="1" t="s">
        <v>27</v>
      </c>
      <c r="C96" s="1" t="s">
        <v>27</v>
      </c>
      <c r="D96" s="26"/>
      <c r="E96" s="26"/>
      <c r="F96" s="26"/>
      <c r="G96" s="26"/>
      <c r="H96" s="27"/>
      <c r="I96" s="28" t="s">
        <v>27</v>
      </c>
      <c r="J96" s="1" t="s">
        <v>27</v>
      </c>
      <c r="K96" s="1" t="s">
        <v>27</v>
      </c>
      <c r="L96" s="26"/>
      <c r="M96" s="26"/>
      <c r="N96" s="26"/>
      <c r="O96" s="26"/>
      <c r="P96" s="27"/>
    </row>
    <row r="97" spans="1:16">
      <c r="A97" s="28" t="s">
        <v>27</v>
      </c>
      <c r="B97" s="1" t="s">
        <v>27</v>
      </c>
      <c r="C97" s="1" t="s">
        <v>27</v>
      </c>
      <c r="D97" s="26"/>
      <c r="E97" s="26"/>
      <c r="F97" s="26"/>
      <c r="G97" s="26"/>
      <c r="H97" s="27"/>
      <c r="I97" s="28" t="s">
        <v>27</v>
      </c>
      <c r="J97" s="1" t="s">
        <v>27</v>
      </c>
      <c r="K97" s="1" t="s">
        <v>27</v>
      </c>
      <c r="L97" s="26"/>
      <c r="M97" s="26"/>
      <c r="N97" s="26"/>
      <c r="O97" s="26"/>
      <c r="P97" s="27"/>
    </row>
    <row r="98" spans="1:16">
      <c r="A98" s="28" t="s">
        <v>27</v>
      </c>
      <c r="B98" s="1" t="s">
        <v>27</v>
      </c>
      <c r="C98" s="1" t="s">
        <v>27</v>
      </c>
      <c r="D98" s="26"/>
      <c r="E98" s="26"/>
      <c r="F98" s="26"/>
      <c r="G98" s="26"/>
      <c r="H98" s="27"/>
      <c r="I98" s="28" t="s">
        <v>27</v>
      </c>
      <c r="J98" s="1" t="s">
        <v>27</v>
      </c>
      <c r="K98" s="1" t="s">
        <v>27</v>
      </c>
      <c r="L98" s="26"/>
      <c r="M98" s="26"/>
      <c r="N98" s="26"/>
      <c r="O98" s="26"/>
      <c r="P98" s="27"/>
    </row>
    <row r="99" spans="1:16">
      <c r="A99" s="28" t="s">
        <v>27</v>
      </c>
      <c r="B99" s="1" t="s">
        <v>27</v>
      </c>
      <c r="C99" s="1" t="s">
        <v>27</v>
      </c>
      <c r="D99" s="26"/>
      <c r="E99" s="26"/>
      <c r="F99" s="26"/>
      <c r="G99" s="26"/>
      <c r="H99" s="27"/>
      <c r="I99" s="28" t="s">
        <v>27</v>
      </c>
      <c r="J99" s="1" t="s">
        <v>27</v>
      </c>
      <c r="K99" s="1" t="s">
        <v>27</v>
      </c>
      <c r="L99" s="26"/>
      <c r="M99" s="26"/>
      <c r="N99" s="26"/>
      <c r="O99" s="26"/>
      <c r="P99" s="27"/>
    </row>
    <row r="100" spans="1:16" ht="15.75" thickBot="1">
      <c r="A100" s="29" t="s">
        <v>27</v>
      </c>
      <c r="B100" s="30" t="s">
        <v>27</v>
      </c>
      <c r="C100" s="30" t="s">
        <v>27</v>
      </c>
      <c r="D100" s="31"/>
      <c r="E100" s="31"/>
      <c r="F100" s="31"/>
      <c r="G100" s="31"/>
      <c r="H100" s="32"/>
      <c r="I100" s="29" t="s">
        <v>27</v>
      </c>
      <c r="J100" s="30" t="s">
        <v>27</v>
      </c>
      <c r="K100" s="30" t="s">
        <v>27</v>
      </c>
      <c r="L100" s="31"/>
      <c r="M100" s="31"/>
      <c r="N100" s="31"/>
      <c r="O100" s="31"/>
      <c r="P100" s="32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ageMargins left="0.7" right="0.7" top="0.75" bottom="0.75" header="0.3" footer="0.3"/>
  <pageSetup paperSize="9"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374D7-B184-49B5-A464-2C4F74E100D9}">
  <dimension ref="A1:AB100"/>
  <sheetViews>
    <sheetView workbookViewId="0">
      <selection activeCell="B41" sqref="B41:B50"/>
    </sheetView>
  </sheetViews>
  <sheetFormatPr defaultRowHeight="15"/>
  <sheetData>
    <row r="1" spans="1:28" ht="15.75">
      <c r="A1" s="62" t="s">
        <v>30</v>
      </c>
      <c r="B1" s="63"/>
      <c r="C1" s="63"/>
      <c r="D1" s="63"/>
      <c r="E1" s="63"/>
      <c r="F1" s="64" t="s">
        <v>3</v>
      </c>
      <c r="G1" s="64"/>
      <c r="H1" s="24" cm="1">
        <f t="array" ref="H1">SUM(VLOOKUP(A4:C100,$T$3:$W$36,4,FALSE))+H4*10-H8*50</f>
        <v>3301.327288882444</v>
      </c>
      <c r="I1" s="65" t="s">
        <v>41</v>
      </c>
      <c r="J1" s="66"/>
      <c r="K1" s="66"/>
      <c r="L1" s="66"/>
      <c r="M1" s="66"/>
      <c r="N1" s="66"/>
      <c r="O1" s="66"/>
      <c r="P1" s="67"/>
      <c r="Q1" s="65" t="s">
        <v>48</v>
      </c>
      <c r="R1" s="66"/>
      <c r="S1" s="66"/>
      <c r="T1" s="66"/>
      <c r="U1" s="66"/>
      <c r="V1" s="66"/>
      <c r="W1" s="66"/>
      <c r="X1" s="66"/>
      <c r="Y1" s="66"/>
      <c r="Z1" s="66"/>
      <c r="AA1" s="66"/>
      <c r="AB1" s="67"/>
    </row>
    <row r="2" spans="1:28" ht="30">
      <c r="A2" s="68" t="s">
        <v>35</v>
      </c>
      <c r="B2" s="69"/>
      <c r="C2" s="69"/>
      <c r="D2" s="70" t="s">
        <v>37</v>
      </c>
      <c r="E2" s="71"/>
      <c r="F2" s="71"/>
      <c r="G2" s="71"/>
      <c r="H2" s="72"/>
      <c r="I2" s="73" t="s">
        <v>35</v>
      </c>
      <c r="J2" s="74"/>
      <c r="K2" s="74"/>
      <c r="L2" s="75" t="s">
        <v>37</v>
      </c>
      <c r="M2" s="75"/>
      <c r="N2" s="75"/>
      <c r="O2" s="75"/>
      <c r="P2" s="76"/>
      <c r="Q2" s="50" t="s">
        <v>43</v>
      </c>
      <c r="R2" s="51" cm="1">
        <f t="array" ref="R2">SUM(V3:V28*AB3:AB28)+H6+P6+R4*500</f>
        <v>64975</v>
      </c>
      <c r="S2" s="26"/>
      <c r="T2" s="1" t="s">
        <v>0</v>
      </c>
      <c r="U2" s="1" t="s">
        <v>1</v>
      </c>
      <c r="V2" s="1" t="s">
        <v>2</v>
      </c>
      <c r="W2" s="44" t="s">
        <v>3</v>
      </c>
      <c r="X2" s="46" t="s">
        <v>44</v>
      </c>
      <c r="Y2" s="46" t="s">
        <v>56</v>
      </c>
      <c r="Z2" s="47" t="s">
        <v>45</v>
      </c>
      <c r="AA2" s="47" t="s">
        <v>46</v>
      </c>
      <c r="AB2" s="52" t="s">
        <v>47</v>
      </c>
    </row>
    <row r="3" spans="1:28">
      <c r="A3" s="60" t="s">
        <v>31</v>
      </c>
      <c r="B3" s="61" t="s">
        <v>32</v>
      </c>
      <c r="C3" s="20" t="s">
        <v>33</v>
      </c>
      <c r="D3" s="33"/>
      <c r="E3" s="60" t="s">
        <v>31</v>
      </c>
      <c r="F3" s="61" t="s">
        <v>32</v>
      </c>
      <c r="G3" s="20" t="s">
        <v>33</v>
      </c>
      <c r="H3" s="34" t="s">
        <v>36</v>
      </c>
      <c r="I3" s="60" t="s">
        <v>31</v>
      </c>
      <c r="J3" s="61" t="s">
        <v>32</v>
      </c>
      <c r="K3" s="20" t="s">
        <v>33</v>
      </c>
      <c r="L3" s="33"/>
      <c r="M3" s="60" t="s">
        <v>31</v>
      </c>
      <c r="N3" s="61" t="s">
        <v>32</v>
      </c>
      <c r="O3" s="20" t="s">
        <v>33</v>
      </c>
      <c r="P3" s="34" t="s">
        <v>36</v>
      </c>
      <c r="Q3" s="53" t="s">
        <v>49</v>
      </c>
      <c r="R3" s="26">
        <v>91</v>
      </c>
      <c r="S3" s="26"/>
      <c r="T3" s="2" t="s">
        <v>4</v>
      </c>
      <c r="U3" s="1">
        <v>150</v>
      </c>
      <c r="V3" s="1">
        <v>35</v>
      </c>
      <c r="W3" s="45">
        <f>U3-V3/0.330882</f>
        <v>44.222109392472248</v>
      </c>
      <c r="X3" s="46"/>
      <c r="Y3" s="46">
        <v>25</v>
      </c>
      <c r="Z3" s="1">
        <f>COUNTIF($A$4:$C$100,T3)</f>
        <v>17</v>
      </c>
      <c r="AA3" s="1">
        <f>COUNTIF($I$4:$K$100,T3)</f>
        <v>8</v>
      </c>
      <c r="AB3" s="54">
        <f>Y3-Z3-AA3</f>
        <v>0</v>
      </c>
    </row>
    <row r="4" spans="1:28">
      <c r="A4" s="2" t="s">
        <v>4</v>
      </c>
      <c r="B4" s="2" t="s">
        <v>4</v>
      </c>
      <c r="C4" s="3" t="s">
        <v>5</v>
      </c>
      <c r="D4" s="43" t="s">
        <v>34</v>
      </c>
      <c r="E4" s="39">
        <v>0</v>
      </c>
      <c r="F4" s="39">
        <v>11</v>
      </c>
      <c r="G4" s="39">
        <v>10</v>
      </c>
      <c r="H4" s="36">
        <f>SUM(E4:G4)</f>
        <v>21</v>
      </c>
      <c r="I4" s="2" t="s">
        <v>4</v>
      </c>
      <c r="J4" s="3" t="s">
        <v>5</v>
      </c>
      <c r="K4" s="3" t="s">
        <v>5</v>
      </c>
      <c r="L4" s="43" t="s">
        <v>34</v>
      </c>
      <c r="M4" s="39">
        <v>1</v>
      </c>
      <c r="N4" s="39">
        <v>0</v>
      </c>
      <c r="O4" s="39">
        <v>3</v>
      </c>
      <c r="P4" s="36">
        <f>SUM(M4:O4)</f>
        <v>4</v>
      </c>
      <c r="Q4" s="53" t="s">
        <v>50</v>
      </c>
      <c r="R4" s="40">
        <v>14</v>
      </c>
      <c r="S4" s="26"/>
      <c r="T4" s="3" t="s">
        <v>5</v>
      </c>
      <c r="U4" s="1">
        <v>160</v>
      </c>
      <c r="V4" s="1">
        <v>40</v>
      </c>
      <c r="W4" s="45">
        <f t="shared" ref="W4" si="0">U4-V4/0.330882</f>
        <v>39.110982162825422</v>
      </c>
      <c r="X4" s="46"/>
      <c r="Y4" s="46">
        <v>50</v>
      </c>
      <c r="Z4" s="1">
        <f t="shared" ref="Z4:Z28" si="1">COUNTIF($A$4:$C$100,T4)</f>
        <v>29</v>
      </c>
      <c r="AA4" s="1">
        <f t="shared" ref="AA4:AA28" si="2">COUNTIF($I$4:$K$100,T4)</f>
        <v>21</v>
      </c>
      <c r="AB4" s="54">
        <f t="shared" ref="AB4:AB28" si="3">Y4-Z4-AA4</f>
        <v>0</v>
      </c>
    </row>
    <row r="5" spans="1:28">
      <c r="A5" s="2" t="s">
        <v>4</v>
      </c>
      <c r="B5" s="2" t="s">
        <v>4</v>
      </c>
      <c r="C5" s="23" t="s">
        <v>29</v>
      </c>
      <c r="D5" s="33" t="s">
        <v>38</v>
      </c>
      <c r="E5" s="35" cm="1">
        <f t="array" ref="E5">(SUM(VLOOKUP(A4:A100,$T$3:$W$41,2,FALSE))+E4*10)-E8*50</f>
        <v>900</v>
      </c>
      <c r="F5" s="35" cm="1">
        <f t="array" ref="F5">(SUM(VLOOKUP(B4:B100,$T$3:$W$41,2,FALSE))+F4*10)-F8*50</f>
        <v>7130</v>
      </c>
      <c r="G5" s="35" cm="1">
        <f t="array" ref="G5">(SUM(VLOOKUP(C4:C100,$T$3:$W$41,2,FALSE))+G4*10)-G8*50</f>
        <v>6660</v>
      </c>
      <c r="H5" s="59">
        <f t="shared" ref="H5:H8" si="4">SUM(E5:G5)</f>
        <v>14690</v>
      </c>
      <c r="I5" s="15" t="s">
        <v>17</v>
      </c>
      <c r="J5" s="3" t="s">
        <v>5</v>
      </c>
      <c r="K5" s="3" t="s">
        <v>5</v>
      </c>
      <c r="L5" s="33" t="s">
        <v>38</v>
      </c>
      <c r="M5" s="35" cm="1">
        <f t="array" ref="M5">(SUM(VLOOKUP(I4:I100,$T$3:$W$41,2,FALSE))+M4*10)*0.8-M8*40</f>
        <v>1728</v>
      </c>
      <c r="N5" s="35" cm="1">
        <f t="array" ref="N5">(SUM(VLOOKUP(J4:J100,$T$3:$W$41,2,FALSE))+N4*10)*0.8-N8*40</f>
        <v>504</v>
      </c>
      <c r="O5" s="35" cm="1">
        <f t="array" ref="O5">(SUM(VLOOKUP(K4:K100,$T$3:$W$41,2,FALSE))+O4*10)*0.8-O8*40</f>
        <v>1808</v>
      </c>
      <c r="P5" s="59">
        <f t="shared" ref="P5:P8" si="5">SUM(M5:O5)</f>
        <v>4040</v>
      </c>
      <c r="Q5" s="53" t="s">
        <v>51</v>
      </c>
      <c r="R5" s="26">
        <v>6000</v>
      </c>
      <c r="S5" s="26"/>
      <c r="T5" s="4" t="s">
        <v>6</v>
      </c>
      <c r="U5" s="1">
        <v>170</v>
      </c>
      <c r="V5" s="1">
        <v>45</v>
      </c>
      <c r="W5" s="45">
        <v>34</v>
      </c>
      <c r="X5" s="48"/>
      <c r="Y5" s="46">
        <v>220</v>
      </c>
      <c r="Z5" s="1">
        <f t="shared" si="1"/>
        <v>32</v>
      </c>
      <c r="AA5" s="1">
        <f t="shared" si="2"/>
        <v>0</v>
      </c>
      <c r="AB5" s="54">
        <f t="shared" si="3"/>
        <v>188</v>
      </c>
    </row>
    <row r="6" spans="1:28">
      <c r="A6" s="2" t="s">
        <v>4</v>
      </c>
      <c r="B6" s="2" t="s">
        <v>4</v>
      </c>
      <c r="C6" s="3" t="s">
        <v>5</v>
      </c>
      <c r="D6" s="33" t="s">
        <v>39</v>
      </c>
      <c r="E6" s="35" cm="1">
        <f t="array" ref="E6">(SUM(VLOOKUP(A4:A100,$T$3:$W$41,3,FALSE)))</f>
        <v>210</v>
      </c>
      <c r="F6" s="35" cm="1">
        <f t="array" ref="F6">(SUM(VLOOKUP(B4:B100,$T$3:$W$41,3,FALSE)))</f>
        <v>1990</v>
      </c>
      <c r="G6" s="35" cm="1">
        <f t="array" ref="G6">(SUM(VLOOKUP(C4:C100,$T$3:$W$41,3,FALSE)))</f>
        <v>2610</v>
      </c>
      <c r="H6" s="49">
        <f t="shared" si="4"/>
        <v>4810</v>
      </c>
      <c r="I6" s="2" t="s">
        <v>4</v>
      </c>
      <c r="J6" s="3" t="s">
        <v>5</v>
      </c>
      <c r="K6" s="3" t="s">
        <v>5</v>
      </c>
      <c r="L6" s="33" t="s">
        <v>39</v>
      </c>
      <c r="M6" s="35" cm="1">
        <f t="array" ref="M6">(SUM(VLOOKUP(I4:I100,$T$3:$W$41,3,FALSE)))</f>
        <v>700</v>
      </c>
      <c r="N6" s="35" cm="1">
        <f t="array" ref="N6">(SUM(VLOOKUP(J4:J100,$T$3:$W$41,3,FALSE)))</f>
        <v>160</v>
      </c>
      <c r="O6" s="35" cm="1">
        <f t="array" ref="O6">(SUM(VLOOKUP(K4:K100,$T$3:$W$41,3,FALSE)))</f>
        <v>610</v>
      </c>
      <c r="P6" s="49">
        <f t="shared" si="5"/>
        <v>1470</v>
      </c>
      <c r="Q6" s="50" t="s">
        <v>52</v>
      </c>
      <c r="R6" s="26">
        <f>R3*1600-800+R5</f>
        <v>150800</v>
      </c>
      <c r="S6" s="26"/>
      <c r="T6" s="5" t="s">
        <v>7</v>
      </c>
      <c r="U6" s="1">
        <v>180</v>
      </c>
      <c r="V6" s="1">
        <v>50</v>
      </c>
      <c r="W6" s="45">
        <v>36</v>
      </c>
      <c r="X6" s="46">
        <v>262</v>
      </c>
      <c r="Y6" s="46">
        <v>262</v>
      </c>
      <c r="Z6" s="1">
        <f t="shared" si="1"/>
        <v>0</v>
      </c>
      <c r="AA6" s="1">
        <f t="shared" si="2"/>
        <v>0</v>
      </c>
      <c r="AB6" s="54">
        <f t="shared" si="3"/>
        <v>262</v>
      </c>
    </row>
    <row r="7" spans="1:28">
      <c r="A7" s="2" t="s">
        <v>4</v>
      </c>
      <c r="B7" s="2" t="s">
        <v>4</v>
      </c>
      <c r="C7" s="4" t="s">
        <v>6</v>
      </c>
      <c r="D7" s="33" t="s">
        <v>40</v>
      </c>
      <c r="E7" s="35">
        <f>COUNTIF(A4:A100,"&lt;&gt;空")</f>
        <v>6</v>
      </c>
      <c r="F7" s="35">
        <f>COUNTIF(B4:B100,"&lt;&gt;空")</f>
        <v>45</v>
      </c>
      <c r="G7" s="35">
        <f>COUNTIF(C4:C100,"&lt;&gt;空")</f>
        <v>47</v>
      </c>
      <c r="H7" s="36">
        <f t="shared" si="4"/>
        <v>98</v>
      </c>
      <c r="I7" s="2" t="s">
        <v>4</v>
      </c>
      <c r="J7" s="1" t="s">
        <v>27</v>
      </c>
      <c r="K7" s="15" t="s">
        <v>17</v>
      </c>
      <c r="L7" s="33" t="s">
        <v>40</v>
      </c>
      <c r="M7" s="35">
        <f>COUNTIF(I4:I100,"&lt;&gt;空")</f>
        <v>21</v>
      </c>
      <c r="N7" s="35">
        <f>COUNTIF(J4:J100,"&lt;&gt;空")</f>
        <v>4</v>
      </c>
      <c r="O7" s="35">
        <f>COUNTIF(K4:K100,"&lt;&gt;空")</f>
        <v>16</v>
      </c>
      <c r="P7" s="36">
        <f t="shared" si="5"/>
        <v>41</v>
      </c>
      <c r="Q7" s="53" t="s">
        <v>55</v>
      </c>
      <c r="R7" s="26">
        <v>1</v>
      </c>
      <c r="S7" s="26"/>
      <c r="T7" s="6" t="s">
        <v>8</v>
      </c>
      <c r="U7" s="1">
        <v>190</v>
      </c>
      <c r="V7" s="1">
        <v>55</v>
      </c>
      <c r="W7" s="45">
        <v>38</v>
      </c>
      <c r="X7" s="46">
        <v>236</v>
      </c>
      <c r="Y7" s="46">
        <v>236</v>
      </c>
      <c r="Z7" s="1">
        <f t="shared" si="1"/>
        <v>0</v>
      </c>
      <c r="AA7" s="1">
        <f t="shared" si="2"/>
        <v>0</v>
      </c>
      <c r="AB7" s="54">
        <f t="shared" si="3"/>
        <v>236</v>
      </c>
    </row>
    <row r="8" spans="1:28">
      <c r="A8" s="2" t="s">
        <v>4</v>
      </c>
      <c r="B8" s="2" t="s">
        <v>4</v>
      </c>
      <c r="C8" s="4" t="s">
        <v>6</v>
      </c>
      <c r="D8" s="42" t="s">
        <v>70</v>
      </c>
      <c r="E8" s="41">
        <v>0</v>
      </c>
      <c r="F8" s="41">
        <v>1</v>
      </c>
      <c r="G8" s="41">
        <v>0</v>
      </c>
      <c r="H8" s="36">
        <f t="shared" si="4"/>
        <v>1</v>
      </c>
      <c r="I8" s="15" t="s">
        <v>17</v>
      </c>
      <c r="J8" s="9" t="s">
        <v>11</v>
      </c>
      <c r="K8" s="3" t="s">
        <v>5</v>
      </c>
      <c r="L8" s="42" t="s">
        <v>70</v>
      </c>
      <c r="M8" s="41">
        <v>2</v>
      </c>
      <c r="N8" s="41">
        <v>0</v>
      </c>
      <c r="O8" s="41">
        <v>0</v>
      </c>
      <c r="P8" s="36">
        <f t="shared" si="5"/>
        <v>2</v>
      </c>
      <c r="Q8" s="50" t="s">
        <v>54</v>
      </c>
      <c r="R8" s="55" cm="1">
        <f t="array" ref="R8">R6-P5-H5-SUM(U3:U28*AB3:AB28)*0.8-R7*8</f>
        <v>14</v>
      </c>
      <c r="S8" s="26"/>
      <c r="T8" s="7" t="s">
        <v>9</v>
      </c>
      <c r="U8" s="1">
        <v>200</v>
      </c>
      <c r="V8" s="1">
        <v>60</v>
      </c>
      <c r="W8" s="45"/>
      <c r="X8" s="46">
        <v>194</v>
      </c>
      <c r="Y8" s="46">
        <v>194</v>
      </c>
      <c r="Z8" s="1">
        <f t="shared" si="1"/>
        <v>0</v>
      </c>
      <c r="AA8" s="1">
        <f t="shared" si="2"/>
        <v>0</v>
      </c>
      <c r="AB8" s="54">
        <f t="shared" si="3"/>
        <v>194</v>
      </c>
    </row>
    <row r="9" spans="1:28">
      <c r="A9" s="2" t="s">
        <v>4</v>
      </c>
      <c r="B9" s="2" t="s">
        <v>4</v>
      </c>
      <c r="C9" s="17" t="s">
        <v>19</v>
      </c>
      <c r="D9" s="26"/>
      <c r="E9" s="26"/>
      <c r="F9" s="26"/>
      <c r="G9" s="26"/>
      <c r="H9" s="27"/>
      <c r="I9" s="1" t="s">
        <v>27</v>
      </c>
      <c r="J9" s="1" t="s">
        <v>27</v>
      </c>
      <c r="K9" s="3" t="s">
        <v>5</v>
      </c>
      <c r="L9" s="33" t="s">
        <v>42</v>
      </c>
      <c r="M9" s="37">
        <f>M6/M5</f>
        <v>0.40509259259259262</v>
      </c>
      <c r="N9" s="37">
        <f>N6/N5</f>
        <v>0.31746031746031744</v>
      </c>
      <c r="O9" s="37">
        <f>O6/O5</f>
        <v>0.33738938053097345</v>
      </c>
      <c r="P9" s="38">
        <f>P6/P5</f>
        <v>0.36386138613861385</v>
      </c>
      <c r="Q9" s="50"/>
      <c r="R9" s="26"/>
      <c r="S9" s="26"/>
      <c r="T9" s="8" t="s">
        <v>10</v>
      </c>
      <c r="U9" s="1">
        <v>150</v>
      </c>
      <c r="V9" s="1">
        <v>35</v>
      </c>
      <c r="W9" s="45">
        <f t="shared" ref="W9:W11" si="6">U9-V9/0.330882</f>
        <v>44.222109392472248</v>
      </c>
      <c r="X9" s="46">
        <v>3</v>
      </c>
      <c r="Y9" s="46">
        <v>0</v>
      </c>
      <c r="Z9" s="1">
        <f t="shared" si="1"/>
        <v>0</v>
      </c>
      <c r="AA9" s="1">
        <f t="shared" si="2"/>
        <v>0</v>
      </c>
      <c r="AB9" s="54">
        <f t="shared" si="3"/>
        <v>0</v>
      </c>
    </row>
    <row r="10" spans="1:28">
      <c r="A10" s="1" t="s">
        <v>27</v>
      </c>
      <c r="B10" s="1" t="s">
        <v>27</v>
      </c>
      <c r="C10" s="4" t="s">
        <v>6</v>
      </c>
      <c r="D10" s="26"/>
      <c r="E10" s="26"/>
      <c r="F10" s="26"/>
      <c r="G10" s="26"/>
      <c r="H10" s="27"/>
      <c r="I10" s="3" t="s">
        <v>5</v>
      </c>
      <c r="J10" s="1" t="s">
        <v>27</v>
      </c>
      <c r="K10" s="1" t="s">
        <v>27</v>
      </c>
      <c r="L10" s="26"/>
      <c r="M10" s="26"/>
      <c r="N10" s="26"/>
      <c r="O10" s="26"/>
      <c r="P10" s="27"/>
      <c r="Q10" s="50"/>
      <c r="R10" s="26"/>
      <c r="S10" s="26"/>
      <c r="T10" s="9" t="s">
        <v>11</v>
      </c>
      <c r="U10" s="1">
        <v>150</v>
      </c>
      <c r="V10" s="1">
        <v>40</v>
      </c>
      <c r="W10" s="45">
        <f t="shared" si="6"/>
        <v>29.110982162825422</v>
      </c>
      <c r="X10" s="46">
        <v>7</v>
      </c>
      <c r="Y10" s="46">
        <v>5</v>
      </c>
      <c r="Z10" s="1">
        <f t="shared" si="1"/>
        <v>3</v>
      </c>
      <c r="AA10" s="1">
        <f t="shared" si="2"/>
        <v>2</v>
      </c>
      <c r="AB10" s="54">
        <f t="shared" si="3"/>
        <v>0</v>
      </c>
    </row>
    <row r="11" spans="1:28">
      <c r="A11" s="1" t="s">
        <v>27</v>
      </c>
      <c r="B11" s="1" t="s">
        <v>27</v>
      </c>
      <c r="C11" s="1" t="s">
        <v>27</v>
      </c>
      <c r="D11" s="26"/>
      <c r="E11" s="26"/>
      <c r="F11" s="26"/>
      <c r="G11" s="26"/>
      <c r="H11" s="27"/>
      <c r="I11" s="3" t="s">
        <v>5</v>
      </c>
      <c r="J11" s="1" t="s">
        <v>27</v>
      </c>
      <c r="K11" s="3" t="s">
        <v>5</v>
      </c>
      <c r="L11" s="26"/>
      <c r="M11" s="26"/>
      <c r="N11" s="26"/>
      <c r="O11" s="26"/>
      <c r="P11" s="27">
        <f>H5+P5</f>
        <v>18730</v>
      </c>
      <c r="Q11" s="50"/>
      <c r="R11" s="26"/>
      <c r="S11" s="26"/>
      <c r="T11" s="10" t="s">
        <v>12</v>
      </c>
      <c r="U11" s="1">
        <v>150</v>
      </c>
      <c r="V11" s="1">
        <v>45</v>
      </c>
      <c r="W11" s="45">
        <f t="shared" si="6"/>
        <v>13.999854933178597</v>
      </c>
      <c r="X11" s="46">
        <v>6</v>
      </c>
      <c r="Y11" s="46">
        <v>6</v>
      </c>
      <c r="Z11" s="1">
        <f t="shared" si="1"/>
        <v>0</v>
      </c>
      <c r="AA11" s="1">
        <f t="shared" si="2"/>
        <v>0</v>
      </c>
      <c r="AB11" s="54">
        <f t="shared" si="3"/>
        <v>6</v>
      </c>
    </row>
    <row r="12" spans="1:28">
      <c r="A12" s="1" t="s">
        <v>27</v>
      </c>
      <c r="B12" s="4" t="s">
        <v>6</v>
      </c>
      <c r="C12" s="4" t="s">
        <v>6</v>
      </c>
      <c r="D12" s="26"/>
      <c r="E12" s="26"/>
      <c r="F12" s="26"/>
      <c r="G12" s="26"/>
      <c r="H12" s="27"/>
      <c r="I12" s="2" t="s">
        <v>4</v>
      </c>
      <c r="J12" s="1" t="s">
        <v>27</v>
      </c>
      <c r="K12" s="3" t="s">
        <v>5</v>
      </c>
      <c r="L12" s="26"/>
      <c r="M12" s="26"/>
      <c r="N12" s="26"/>
      <c r="O12" s="26"/>
      <c r="P12" s="27">
        <f>H6+P6</f>
        <v>6280</v>
      </c>
      <c r="Q12" s="50"/>
      <c r="R12" s="26"/>
      <c r="S12" s="26"/>
      <c r="T12" s="11" t="s">
        <v>13</v>
      </c>
      <c r="U12" s="1">
        <v>150</v>
      </c>
      <c r="V12" s="1">
        <v>50</v>
      </c>
      <c r="W12" s="45"/>
      <c r="X12" s="46">
        <v>4</v>
      </c>
      <c r="Y12" s="46">
        <v>4</v>
      </c>
      <c r="Z12" s="1">
        <f t="shared" si="1"/>
        <v>0</v>
      </c>
      <c r="AA12" s="1">
        <f t="shared" si="2"/>
        <v>0</v>
      </c>
      <c r="AB12" s="54">
        <f t="shared" si="3"/>
        <v>4</v>
      </c>
    </row>
    <row r="13" spans="1:28">
      <c r="A13" s="1" t="s">
        <v>27</v>
      </c>
      <c r="B13" s="4" t="s">
        <v>6</v>
      </c>
      <c r="C13" s="15" t="s">
        <v>17</v>
      </c>
      <c r="D13" s="26"/>
      <c r="E13" s="26"/>
      <c r="F13" s="26"/>
      <c r="G13" s="26"/>
      <c r="H13" s="27"/>
      <c r="I13" s="15" t="s">
        <v>17</v>
      </c>
      <c r="J13" s="1" t="s">
        <v>27</v>
      </c>
      <c r="K13" s="3" t="s">
        <v>5</v>
      </c>
      <c r="L13" s="26"/>
      <c r="M13" s="26"/>
      <c r="N13" s="26"/>
      <c r="O13" s="26"/>
      <c r="P13" s="27"/>
      <c r="Q13" s="50"/>
      <c r="R13" s="26"/>
      <c r="S13" s="26"/>
      <c r="T13" s="12" t="s">
        <v>14</v>
      </c>
      <c r="U13" s="1">
        <v>150</v>
      </c>
      <c r="V13" s="1">
        <v>55</v>
      </c>
      <c r="W13" s="45"/>
      <c r="X13" s="46">
        <v>3</v>
      </c>
      <c r="Y13" s="46">
        <v>3</v>
      </c>
      <c r="Z13" s="1">
        <f t="shared" si="1"/>
        <v>0</v>
      </c>
      <c r="AA13" s="1">
        <f t="shared" si="2"/>
        <v>0</v>
      </c>
      <c r="AB13" s="54">
        <f t="shared" si="3"/>
        <v>3</v>
      </c>
    </row>
    <row r="14" spans="1:28">
      <c r="A14" s="1" t="s">
        <v>27</v>
      </c>
      <c r="B14" s="4" t="s">
        <v>6</v>
      </c>
      <c r="C14" s="3" t="s">
        <v>5</v>
      </c>
      <c r="D14" s="26"/>
      <c r="E14" s="26"/>
      <c r="F14" s="26"/>
      <c r="G14" s="26"/>
      <c r="H14" s="27"/>
      <c r="I14" s="2" t="s">
        <v>4</v>
      </c>
      <c r="J14" s="1" t="s">
        <v>27</v>
      </c>
      <c r="K14" s="15" t="s">
        <v>17</v>
      </c>
      <c r="L14" s="26"/>
      <c r="M14" s="26"/>
      <c r="N14" s="26"/>
      <c r="O14" s="26"/>
      <c r="P14" s="27"/>
      <c r="Q14" s="50"/>
      <c r="R14" s="26"/>
      <c r="S14" s="26"/>
      <c r="T14" s="13" t="s">
        <v>15</v>
      </c>
      <c r="U14" s="1">
        <v>150</v>
      </c>
      <c r="V14" s="1">
        <v>60</v>
      </c>
      <c r="W14" s="45"/>
      <c r="X14" s="46">
        <v>1</v>
      </c>
      <c r="Y14" s="46">
        <v>1</v>
      </c>
      <c r="Z14" s="1">
        <f t="shared" si="1"/>
        <v>0</v>
      </c>
      <c r="AA14" s="1">
        <f t="shared" si="2"/>
        <v>0</v>
      </c>
      <c r="AB14" s="54">
        <f t="shared" si="3"/>
        <v>1</v>
      </c>
    </row>
    <row r="15" spans="1:28">
      <c r="A15" s="1" t="s">
        <v>27</v>
      </c>
      <c r="B15" s="4" t="s">
        <v>6</v>
      </c>
      <c r="C15" s="16" t="s">
        <v>18</v>
      </c>
      <c r="D15" s="26"/>
      <c r="E15" s="26"/>
      <c r="F15" s="26"/>
      <c r="G15" s="26"/>
      <c r="H15" s="27"/>
      <c r="I15" s="2" t="s">
        <v>4</v>
      </c>
      <c r="J15" s="1" t="s">
        <v>27</v>
      </c>
      <c r="K15" s="1" t="s">
        <v>27</v>
      </c>
      <c r="L15" s="26"/>
      <c r="M15" s="26"/>
      <c r="N15" s="26"/>
      <c r="O15" s="26"/>
      <c r="P15" s="27"/>
      <c r="Q15" s="50"/>
      <c r="R15" s="26"/>
      <c r="S15" s="26"/>
      <c r="T15" s="14" t="s">
        <v>16</v>
      </c>
      <c r="U15" s="1">
        <v>150</v>
      </c>
      <c r="V15" s="1">
        <v>35</v>
      </c>
      <c r="W15" s="45">
        <f t="shared" ref="W15" si="7">U15-V15/0.330882</f>
        <v>44.222109392472248</v>
      </c>
      <c r="X15" s="46"/>
      <c r="Y15" s="46">
        <v>0</v>
      </c>
      <c r="Z15" s="1">
        <f t="shared" si="1"/>
        <v>0</v>
      </c>
      <c r="AA15" s="1">
        <f t="shared" si="2"/>
        <v>0</v>
      </c>
      <c r="AB15" s="54">
        <f t="shared" si="3"/>
        <v>0</v>
      </c>
    </row>
    <row r="16" spans="1:28">
      <c r="A16" s="1" t="s">
        <v>27</v>
      </c>
      <c r="B16" s="15" t="s">
        <v>17</v>
      </c>
      <c r="C16" s="2" t="s">
        <v>4</v>
      </c>
      <c r="D16" s="26"/>
      <c r="E16" s="26"/>
      <c r="F16" s="26"/>
      <c r="G16" s="26"/>
      <c r="H16" s="27"/>
      <c r="I16" s="2" t="s">
        <v>4</v>
      </c>
      <c r="J16" s="1" t="s">
        <v>27</v>
      </c>
      <c r="K16" s="1" t="s">
        <v>27</v>
      </c>
      <c r="L16" s="26"/>
      <c r="M16" s="26"/>
      <c r="N16" s="26"/>
      <c r="O16" s="26"/>
      <c r="P16" s="27"/>
      <c r="Q16" s="50"/>
      <c r="R16" s="26"/>
      <c r="S16" s="26"/>
      <c r="T16" s="15" t="s">
        <v>17</v>
      </c>
      <c r="U16" s="1">
        <v>50</v>
      </c>
      <c r="V16" s="1">
        <v>30</v>
      </c>
      <c r="W16" s="45">
        <v>10</v>
      </c>
      <c r="X16" s="46">
        <v>40</v>
      </c>
      <c r="Y16" s="46">
        <v>40</v>
      </c>
      <c r="Z16" s="1">
        <f t="shared" si="1"/>
        <v>5</v>
      </c>
      <c r="AA16" s="1">
        <f t="shared" si="2"/>
        <v>9</v>
      </c>
      <c r="AB16" s="54">
        <f t="shared" si="3"/>
        <v>26</v>
      </c>
    </row>
    <row r="17" spans="1:28">
      <c r="A17" s="1" t="s">
        <v>27</v>
      </c>
      <c r="B17" s="4" t="s">
        <v>6</v>
      </c>
      <c r="C17" s="2" t="s">
        <v>4</v>
      </c>
      <c r="D17" s="26"/>
      <c r="E17" s="26"/>
      <c r="F17" s="26"/>
      <c r="G17" s="26"/>
      <c r="H17" s="27"/>
      <c r="I17" s="15" t="s">
        <v>17</v>
      </c>
      <c r="J17" s="1" t="s">
        <v>27</v>
      </c>
      <c r="K17" s="1" t="s">
        <v>27</v>
      </c>
      <c r="L17" s="26"/>
      <c r="M17" s="26"/>
      <c r="N17" s="26"/>
      <c r="O17" s="26"/>
      <c r="P17" s="27"/>
      <c r="Q17" s="50"/>
      <c r="R17" s="26"/>
      <c r="S17" s="26"/>
      <c r="T17" s="16" t="s">
        <v>18</v>
      </c>
      <c r="U17" s="1">
        <v>-150</v>
      </c>
      <c r="V17" s="1">
        <v>0</v>
      </c>
      <c r="W17" s="45">
        <v>10</v>
      </c>
      <c r="X17" s="46">
        <v>3</v>
      </c>
      <c r="Y17" s="46">
        <v>3</v>
      </c>
      <c r="Z17" s="1">
        <f t="shared" si="1"/>
        <v>3</v>
      </c>
      <c r="AA17" s="1">
        <f t="shared" si="2"/>
        <v>0</v>
      </c>
      <c r="AB17" s="54">
        <f t="shared" si="3"/>
        <v>0</v>
      </c>
    </row>
    <row r="18" spans="1:28">
      <c r="A18" s="1" t="s">
        <v>27</v>
      </c>
      <c r="B18" s="17" t="s">
        <v>20</v>
      </c>
      <c r="C18" s="2" t="s">
        <v>4</v>
      </c>
      <c r="D18" s="26"/>
      <c r="E18" s="26"/>
      <c r="F18" s="26"/>
      <c r="G18" s="26"/>
      <c r="H18" s="27"/>
      <c r="I18" s="1" t="s">
        <v>27</v>
      </c>
      <c r="J18" s="1" t="s">
        <v>27</v>
      </c>
      <c r="K18" s="1" t="s">
        <v>27</v>
      </c>
      <c r="L18" s="26"/>
      <c r="M18" s="26"/>
      <c r="N18" s="26"/>
      <c r="O18" s="26"/>
      <c r="P18" s="27"/>
      <c r="Q18" s="50"/>
      <c r="R18" s="26"/>
      <c r="S18" s="26"/>
      <c r="T18" s="17" t="s">
        <v>19</v>
      </c>
      <c r="U18" s="1">
        <v>250</v>
      </c>
      <c r="V18" s="1">
        <v>200</v>
      </c>
      <c r="W18" s="45"/>
      <c r="X18" s="46">
        <v>3</v>
      </c>
      <c r="Y18" s="46">
        <v>3</v>
      </c>
      <c r="Z18" s="1">
        <f t="shared" si="1"/>
        <v>3</v>
      </c>
      <c r="AA18" s="1">
        <f t="shared" si="2"/>
        <v>0</v>
      </c>
      <c r="AB18" s="54">
        <f t="shared" si="3"/>
        <v>0</v>
      </c>
    </row>
    <row r="19" spans="1:28">
      <c r="A19" s="1" t="s">
        <v>27</v>
      </c>
      <c r="B19" s="4" t="s">
        <v>6</v>
      </c>
      <c r="C19" s="2" t="s">
        <v>4</v>
      </c>
      <c r="D19" s="26"/>
      <c r="E19" s="26"/>
      <c r="F19" s="26"/>
      <c r="G19" s="26"/>
      <c r="H19" s="27"/>
      <c r="I19" s="16" t="s">
        <v>28</v>
      </c>
      <c r="J19" s="1" t="s">
        <v>27</v>
      </c>
      <c r="K19" s="3" t="s">
        <v>5</v>
      </c>
      <c r="L19" s="26"/>
      <c r="M19" s="26"/>
      <c r="N19" s="26"/>
      <c r="O19" s="26"/>
      <c r="P19" s="27"/>
      <c r="Q19" s="50"/>
      <c r="R19" s="26"/>
      <c r="S19" s="26"/>
      <c r="T19" s="17" t="s">
        <v>20</v>
      </c>
      <c r="U19" s="1">
        <v>170</v>
      </c>
      <c r="V19" s="1">
        <v>45</v>
      </c>
      <c r="W19" s="45"/>
      <c r="X19" s="46">
        <v>5</v>
      </c>
      <c r="Y19" s="46">
        <v>5</v>
      </c>
      <c r="Z19" s="1">
        <f t="shared" si="1"/>
        <v>5</v>
      </c>
      <c r="AA19" s="1">
        <f t="shared" si="2"/>
        <v>0</v>
      </c>
      <c r="AB19" s="54">
        <f t="shared" si="3"/>
        <v>0</v>
      </c>
    </row>
    <row r="20" spans="1:28">
      <c r="A20" s="1" t="s">
        <v>27</v>
      </c>
      <c r="B20" s="3" t="s">
        <v>5</v>
      </c>
      <c r="C20" s="15" t="s">
        <v>17</v>
      </c>
      <c r="D20" s="26"/>
      <c r="E20" s="26"/>
      <c r="F20" s="26"/>
      <c r="G20" s="26"/>
      <c r="H20" s="27"/>
      <c r="I20" s="3" t="s">
        <v>5</v>
      </c>
      <c r="J20" s="1" t="s">
        <v>27</v>
      </c>
      <c r="K20" s="3" t="s">
        <v>5</v>
      </c>
      <c r="L20" s="26"/>
      <c r="M20" s="26"/>
      <c r="N20" s="26"/>
      <c r="O20" s="26"/>
      <c r="P20" s="27"/>
      <c r="Q20" s="50"/>
      <c r="R20" s="26"/>
      <c r="S20" s="26"/>
      <c r="T20" s="18" t="s">
        <v>21</v>
      </c>
      <c r="U20" s="1">
        <v>250</v>
      </c>
      <c r="V20" s="1">
        <v>200</v>
      </c>
      <c r="W20" s="45"/>
      <c r="X20" s="46">
        <v>0</v>
      </c>
      <c r="Y20" s="46">
        <v>0</v>
      </c>
      <c r="Z20" s="1">
        <f t="shared" si="1"/>
        <v>0</v>
      </c>
      <c r="AA20" s="1">
        <f t="shared" si="2"/>
        <v>0</v>
      </c>
      <c r="AB20" s="54">
        <f t="shared" si="3"/>
        <v>0</v>
      </c>
    </row>
    <row r="21" spans="1:28">
      <c r="A21" s="1" t="s">
        <v>27</v>
      </c>
      <c r="B21" s="3" t="s">
        <v>5</v>
      </c>
      <c r="C21" s="3" t="s">
        <v>5</v>
      </c>
      <c r="D21" s="26"/>
      <c r="E21" s="26"/>
      <c r="F21" s="26"/>
      <c r="G21" s="26"/>
      <c r="H21" s="27"/>
      <c r="I21" s="3" t="s">
        <v>5</v>
      </c>
      <c r="J21" s="1" t="s">
        <v>27</v>
      </c>
      <c r="K21" s="15" t="s">
        <v>17</v>
      </c>
      <c r="L21" s="26"/>
      <c r="M21" s="26"/>
      <c r="N21" s="26"/>
      <c r="O21" s="26"/>
      <c r="P21" s="27"/>
      <c r="Q21" s="50"/>
      <c r="R21" s="26"/>
      <c r="S21" s="26"/>
      <c r="T21" s="19" t="s">
        <v>22</v>
      </c>
      <c r="U21" s="1">
        <v>250</v>
      </c>
      <c r="V21" s="1">
        <v>1000</v>
      </c>
      <c r="W21" s="45"/>
      <c r="X21" s="46">
        <v>2</v>
      </c>
      <c r="Y21" s="46">
        <v>2</v>
      </c>
      <c r="Z21" s="1">
        <f t="shared" si="1"/>
        <v>0</v>
      </c>
      <c r="AA21" s="1">
        <f t="shared" si="2"/>
        <v>0</v>
      </c>
      <c r="AB21" s="54">
        <f t="shared" si="3"/>
        <v>2</v>
      </c>
    </row>
    <row r="22" spans="1:28">
      <c r="A22" s="1" t="s">
        <v>27</v>
      </c>
      <c r="B22" s="3" t="s">
        <v>5</v>
      </c>
      <c r="C22" s="3" t="s">
        <v>5</v>
      </c>
      <c r="D22" s="26"/>
      <c r="E22" s="26"/>
      <c r="F22" s="26"/>
      <c r="G22" s="26"/>
      <c r="H22" s="27"/>
      <c r="I22" s="3" t="s">
        <v>5</v>
      </c>
      <c r="J22" s="1" t="s">
        <v>27</v>
      </c>
      <c r="K22" s="3" t="s">
        <v>5</v>
      </c>
      <c r="L22" s="26"/>
      <c r="M22" s="26"/>
      <c r="N22" s="26"/>
      <c r="O22" s="26"/>
      <c r="P22" s="27"/>
      <c r="Q22" s="50"/>
      <c r="R22" s="26"/>
      <c r="S22" s="26"/>
      <c r="T22" s="20" t="s">
        <v>23</v>
      </c>
      <c r="U22" s="1">
        <v>250</v>
      </c>
      <c r="V22" s="1">
        <v>500</v>
      </c>
      <c r="W22" s="45"/>
      <c r="X22" s="46">
        <v>2</v>
      </c>
      <c r="Y22" s="46">
        <v>2</v>
      </c>
      <c r="Z22" s="1">
        <f t="shared" si="1"/>
        <v>0</v>
      </c>
      <c r="AA22" s="1">
        <f t="shared" si="2"/>
        <v>0</v>
      </c>
      <c r="AB22" s="54">
        <f t="shared" si="3"/>
        <v>2</v>
      </c>
    </row>
    <row r="23" spans="1:28">
      <c r="A23" s="1" t="s">
        <v>27</v>
      </c>
      <c r="B23" s="3" t="s">
        <v>5</v>
      </c>
      <c r="C23" s="3" t="s">
        <v>5</v>
      </c>
      <c r="D23" s="26"/>
      <c r="E23" s="26"/>
      <c r="F23" s="26"/>
      <c r="G23" s="26"/>
      <c r="H23" s="27"/>
      <c r="I23" s="15" t="s">
        <v>17</v>
      </c>
      <c r="J23" s="1" t="s">
        <v>27</v>
      </c>
      <c r="K23" s="3" t="s">
        <v>5</v>
      </c>
      <c r="L23" s="26"/>
      <c r="M23" s="26"/>
      <c r="N23" s="26"/>
      <c r="O23" s="26"/>
      <c r="P23" s="27"/>
      <c r="Q23" s="50"/>
      <c r="R23" s="26"/>
      <c r="S23" s="26"/>
      <c r="T23" s="21" t="s">
        <v>24</v>
      </c>
      <c r="U23" s="1">
        <v>160</v>
      </c>
      <c r="V23" s="1">
        <v>40</v>
      </c>
      <c r="W23" s="45">
        <f t="shared" ref="W23:W26" si="8">U23-V23/0.330882</f>
        <v>39.110982162825422</v>
      </c>
      <c r="X23" s="46">
        <v>0</v>
      </c>
      <c r="Y23" s="46">
        <v>0</v>
      </c>
      <c r="Z23" s="1">
        <f t="shared" si="1"/>
        <v>0</v>
      </c>
      <c r="AA23" s="1">
        <f t="shared" si="2"/>
        <v>0</v>
      </c>
      <c r="AB23" s="54">
        <f t="shared" si="3"/>
        <v>0</v>
      </c>
    </row>
    <row r="24" spans="1:28">
      <c r="A24" s="1" t="s">
        <v>27</v>
      </c>
      <c r="B24" s="3" t="s">
        <v>5</v>
      </c>
      <c r="C24" s="16" t="s">
        <v>18</v>
      </c>
      <c r="D24" s="26"/>
      <c r="E24" s="26"/>
      <c r="F24" s="26"/>
      <c r="G24" s="26"/>
      <c r="H24" s="27"/>
      <c r="I24" s="9" t="s">
        <v>11</v>
      </c>
      <c r="J24" s="1" t="s">
        <v>27</v>
      </c>
      <c r="K24" s="3" t="s">
        <v>5</v>
      </c>
      <c r="L24" s="26"/>
      <c r="M24" s="26"/>
      <c r="N24" s="26"/>
      <c r="O24" s="26"/>
      <c r="P24" s="27"/>
      <c r="Q24" s="50"/>
      <c r="R24" s="26"/>
      <c r="S24" s="26"/>
      <c r="T24" s="21" t="s">
        <v>25</v>
      </c>
      <c r="U24" s="1">
        <v>160</v>
      </c>
      <c r="V24" s="1">
        <v>40</v>
      </c>
      <c r="W24" s="45">
        <f t="shared" si="8"/>
        <v>39.110982162825422</v>
      </c>
      <c r="X24" s="46">
        <v>0</v>
      </c>
      <c r="Y24" s="46">
        <v>0</v>
      </c>
      <c r="Z24" s="1">
        <f t="shared" si="1"/>
        <v>0</v>
      </c>
      <c r="AA24" s="1">
        <f t="shared" si="2"/>
        <v>0</v>
      </c>
      <c r="AB24" s="54">
        <f t="shared" si="3"/>
        <v>0</v>
      </c>
    </row>
    <row r="25" spans="1:28">
      <c r="A25" s="1" t="s">
        <v>27</v>
      </c>
      <c r="B25" s="3" t="s">
        <v>5</v>
      </c>
      <c r="C25" s="3" t="s">
        <v>5</v>
      </c>
      <c r="D25" s="26"/>
      <c r="E25" s="26"/>
      <c r="F25" s="26"/>
      <c r="G25" s="26"/>
      <c r="H25" s="27"/>
      <c r="I25" s="2" t="s">
        <v>4</v>
      </c>
      <c r="J25" s="1" t="s">
        <v>27</v>
      </c>
      <c r="K25" s="1" t="s">
        <v>27</v>
      </c>
      <c r="L25" s="26"/>
      <c r="M25" s="26"/>
      <c r="N25" s="26"/>
      <c r="O25" s="26"/>
      <c r="P25" s="27"/>
      <c r="Q25" s="50"/>
      <c r="R25" s="26"/>
      <c r="S25" s="26"/>
      <c r="T25" s="21" t="s">
        <v>26</v>
      </c>
      <c r="U25" s="1">
        <v>150</v>
      </c>
      <c r="V25" s="1">
        <v>35</v>
      </c>
      <c r="W25" s="45">
        <f t="shared" si="8"/>
        <v>44.222109392472248</v>
      </c>
      <c r="X25" s="46">
        <v>0</v>
      </c>
      <c r="Y25" s="46">
        <v>0</v>
      </c>
      <c r="Z25" s="1">
        <f t="shared" si="1"/>
        <v>0</v>
      </c>
      <c r="AA25" s="1">
        <f t="shared" si="2"/>
        <v>0</v>
      </c>
      <c r="AB25" s="54">
        <f t="shared" si="3"/>
        <v>0</v>
      </c>
    </row>
    <row r="26" spans="1:28">
      <c r="A26" s="1" t="s">
        <v>27</v>
      </c>
      <c r="B26" s="15" t="s">
        <v>17</v>
      </c>
      <c r="C26" s="3" t="s">
        <v>5</v>
      </c>
      <c r="D26" s="26"/>
      <c r="E26" s="26"/>
      <c r="F26" s="26"/>
      <c r="G26" s="26"/>
      <c r="H26" s="27"/>
      <c r="I26" s="15" t="s">
        <v>17</v>
      </c>
      <c r="J26" s="1" t="s">
        <v>27</v>
      </c>
      <c r="K26" s="1" t="s">
        <v>27</v>
      </c>
      <c r="L26" s="26"/>
      <c r="M26" s="26"/>
      <c r="N26" s="26"/>
      <c r="O26" s="26"/>
      <c r="P26" s="27"/>
      <c r="Q26" s="50"/>
      <c r="R26" s="26"/>
      <c r="S26" s="26"/>
      <c r="T26" s="22" t="s">
        <v>27</v>
      </c>
      <c r="U26" s="1">
        <v>0</v>
      </c>
      <c r="V26" s="1">
        <v>0</v>
      </c>
      <c r="W26" s="45">
        <f t="shared" si="8"/>
        <v>0</v>
      </c>
      <c r="X26" s="46">
        <v>0</v>
      </c>
      <c r="Y26" s="46">
        <v>0</v>
      </c>
      <c r="Z26" s="1"/>
      <c r="AA26" s="1"/>
      <c r="AB26" s="54"/>
    </row>
    <row r="27" spans="1:28">
      <c r="A27" s="1" t="s">
        <v>27</v>
      </c>
      <c r="B27" s="3" t="s">
        <v>5</v>
      </c>
      <c r="C27" s="4" t="s">
        <v>6</v>
      </c>
      <c r="D27" s="26"/>
      <c r="E27" s="26"/>
      <c r="F27" s="26"/>
      <c r="G27" s="26"/>
      <c r="H27" s="27"/>
      <c r="I27" s="1" t="s">
        <v>27</v>
      </c>
      <c r="J27" s="1" t="s">
        <v>27</v>
      </c>
      <c r="K27" s="1" t="s">
        <v>27</v>
      </c>
      <c r="L27" s="26"/>
      <c r="M27" s="26"/>
      <c r="N27" s="26"/>
      <c r="O27" s="26"/>
      <c r="P27" s="27"/>
      <c r="Q27" s="50"/>
      <c r="R27" s="26"/>
      <c r="S27" s="26"/>
      <c r="T27" s="16" t="s">
        <v>28</v>
      </c>
      <c r="U27" s="1">
        <v>-200</v>
      </c>
      <c r="V27" s="1">
        <v>0</v>
      </c>
      <c r="W27" s="45"/>
      <c r="X27" s="46">
        <v>12</v>
      </c>
      <c r="Y27" s="46">
        <v>12</v>
      </c>
      <c r="Z27" s="1">
        <f t="shared" si="1"/>
        <v>0</v>
      </c>
      <c r="AA27" s="1">
        <f t="shared" si="2"/>
        <v>1</v>
      </c>
      <c r="AB27" s="54">
        <f t="shared" si="3"/>
        <v>11</v>
      </c>
    </row>
    <row r="28" spans="1:28">
      <c r="A28" s="1" t="s">
        <v>27</v>
      </c>
      <c r="B28" s="3" t="s">
        <v>5</v>
      </c>
      <c r="C28" s="4" t="s">
        <v>6</v>
      </c>
      <c r="D28" s="26"/>
      <c r="E28" s="26"/>
      <c r="F28" s="26"/>
      <c r="G28" s="26"/>
      <c r="H28" s="27"/>
      <c r="I28" s="1" t="s">
        <v>27</v>
      </c>
      <c r="J28" s="1" t="s">
        <v>27</v>
      </c>
      <c r="K28" s="1" t="s">
        <v>27</v>
      </c>
      <c r="L28" s="26"/>
      <c r="M28" s="26"/>
      <c r="N28" s="26"/>
      <c r="O28" s="26"/>
      <c r="P28" s="27"/>
      <c r="Q28" s="50"/>
      <c r="R28" s="26"/>
      <c r="S28" s="26"/>
      <c r="T28" s="23" t="s">
        <v>29</v>
      </c>
      <c r="U28" s="1">
        <v>50</v>
      </c>
      <c r="V28" s="1">
        <v>520</v>
      </c>
      <c r="W28" s="45"/>
      <c r="X28" s="46">
        <v>3</v>
      </c>
      <c r="Y28" s="46">
        <v>3</v>
      </c>
      <c r="Z28" s="1">
        <f t="shared" si="1"/>
        <v>1</v>
      </c>
      <c r="AA28" s="1">
        <f t="shared" si="2"/>
        <v>0</v>
      </c>
      <c r="AB28" s="54">
        <f t="shared" si="3"/>
        <v>2</v>
      </c>
    </row>
    <row r="29" spans="1:28" ht="15.75" thickBot="1">
      <c r="A29" s="1" t="s">
        <v>27</v>
      </c>
      <c r="B29" s="3" t="s">
        <v>5</v>
      </c>
      <c r="C29" s="4" t="s">
        <v>6</v>
      </c>
      <c r="D29" s="26"/>
      <c r="E29" s="26"/>
      <c r="F29" s="26"/>
      <c r="G29" s="26"/>
      <c r="H29" s="27"/>
      <c r="I29" s="1" t="s">
        <v>27</v>
      </c>
      <c r="J29" s="1" t="s">
        <v>27</v>
      </c>
      <c r="K29" s="1" t="s">
        <v>27</v>
      </c>
      <c r="L29" s="26"/>
      <c r="M29" s="26"/>
      <c r="N29" s="26"/>
      <c r="O29" s="26"/>
      <c r="P29" s="27"/>
      <c r="Q29" s="56"/>
      <c r="R29" s="31"/>
      <c r="S29" s="31"/>
      <c r="T29" s="30"/>
      <c r="U29" s="30"/>
      <c r="V29" s="30"/>
      <c r="W29" s="30"/>
      <c r="X29" s="30"/>
      <c r="Y29" s="30"/>
      <c r="Z29" s="30"/>
      <c r="AA29" s="30"/>
      <c r="AB29" s="57"/>
    </row>
    <row r="30" spans="1:28">
      <c r="A30" s="1" t="s">
        <v>27</v>
      </c>
      <c r="B30" s="3" t="s">
        <v>5</v>
      </c>
      <c r="C30" s="4" t="s">
        <v>6</v>
      </c>
      <c r="D30" s="26"/>
      <c r="E30" s="26"/>
      <c r="F30" s="26"/>
      <c r="G30" s="26"/>
      <c r="H30" s="27"/>
      <c r="I30" s="1" t="s">
        <v>27</v>
      </c>
      <c r="J30" s="1" t="s">
        <v>27</v>
      </c>
      <c r="K30" s="1" t="s">
        <v>27</v>
      </c>
      <c r="L30" s="26"/>
      <c r="M30" s="26"/>
      <c r="N30" s="26"/>
      <c r="O30" s="26"/>
      <c r="P30" s="27"/>
    </row>
    <row r="31" spans="1:28">
      <c r="A31" s="1" t="s">
        <v>27</v>
      </c>
      <c r="B31" s="15" t="s">
        <v>17</v>
      </c>
      <c r="C31" s="4" t="s">
        <v>6</v>
      </c>
      <c r="D31" s="26"/>
      <c r="E31" s="26"/>
      <c r="F31" s="26"/>
      <c r="G31" s="26"/>
      <c r="H31" s="27"/>
      <c r="I31" s="1" t="s">
        <v>27</v>
      </c>
      <c r="J31" s="1" t="s">
        <v>27</v>
      </c>
      <c r="K31" s="1" t="s">
        <v>27</v>
      </c>
      <c r="L31" s="26"/>
      <c r="M31" s="26"/>
      <c r="N31" s="26"/>
      <c r="O31" s="26"/>
      <c r="P31" s="27"/>
      <c r="Y31">
        <f>SUM(Y3:Y28)</f>
        <v>1076</v>
      </c>
    </row>
    <row r="32" spans="1:28">
      <c r="A32" s="1" t="s">
        <v>27</v>
      </c>
      <c r="B32" s="3" t="s">
        <v>5</v>
      </c>
      <c r="C32" s="17" t="s">
        <v>20</v>
      </c>
      <c r="D32" s="26"/>
      <c r="E32" s="26"/>
      <c r="F32" s="26"/>
      <c r="G32" s="26"/>
      <c r="H32" s="27"/>
      <c r="I32" s="1" t="s">
        <v>27</v>
      </c>
      <c r="J32" s="1" t="s">
        <v>27</v>
      </c>
      <c r="K32" s="1" t="s">
        <v>27</v>
      </c>
      <c r="L32" s="26"/>
      <c r="M32" s="26"/>
      <c r="N32" s="26"/>
      <c r="O32" s="26"/>
      <c r="P32" s="27"/>
      <c r="Q32" t="s">
        <v>57</v>
      </c>
      <c r="R32">
        <v>1</v>
      </c>
      <c r="S32" t="s">
        <v>59</v>
      </c>
    </row>
    <row r="33" spans="1:19">
      <c r="A33" s="1" t="s">
        <v>27</v>
      </c>
      <c r="B33" s="4" t="s">
        <v>6</v>
      </c>
      <c r="C33" s="3" t="s">
        <v>5</v>
      </c>
      <c r="D33" s="26"/>
      <c r="E33" s="26"/>
      <c r="F33" s="26"/>
      <c r="G33" s="26"/>
      <c r="H33" s="27"/>
      <c r="I33" s="1" t="s">
        <v>27</v>
      </c>
      <c r="J33" s="1" t="s">
        <v>27</v>
      </c>
      <c r="K33" s="1" t="s">
        <v>27</v>
      </c>
      <c r="L33" s="26"/>
      <c r="M33" s="26"/>
      <c r="N33" s="26"/>
      <c r="O33" s="26"/>
      <c r="P33" s="27"/>
      <c r="R33">
        <v>2</v>
      </c>
      <c r="S33" t="s">
        <v>60</v>
      </c>
    </row>
    <row r="34" spans="1:19">
      <c r="A34" s="1" t="s">
        <v>27</v>
      </c>
      <c r="B34" s="2" t="s">
        <v>4</v>
      </c>
      <c r="C34" s="3" t="s">
        <v>5</v>
      </c>
      <c r="D34" s="26"/>
      <c r="E34" s="26"/>
      <c r="F34" s="26"/>
      <c r="G34" s="26"/>
      <c r="H34" s="27"/>
      <c r="I34" s="28" t="s">
        <v>27</v>
      </c>
      <c r="J34" s="1" t="s">
        <v>27</v>
      </c>
      <c r="K34" s="1" t="s">
        <v>27</v>
      </c>
      <c r="L34" s="26"/>
      <c r="M34" s="26"/>
      <c r="N34" s="26"/>
      <c r="O34" s="26"/>
      <c r="P34" s="27"/>
      <c r="R34">
        <v>3</v>
      </c>
      <c r="S34" t="s">
        <v>58</v>
      </c>
    </row>
    <row r="35" spans="1:19">
      <c r="A35" s="1" t="s">
        <v>27</v>
      </c>
      <c r="B35" s="4" t="s">
        <v>6</v>
      </c>
      <c r="C35" s="9" t="s">
        <v>11</v>
      </c>
      <c r="D35" s="26"/>
      <c r="E35" s="26"/>
      <c r="F35" s="26"/>
      <c r="G35" s="26"/>
      <c r="H35" s="27"/>
      <c r="I35" s="28" t="s">
        <v>27</v>
      </c>
      <c r="J35" s="1" t="s">
        <v>27</v>
      </c>
      <c r="K35" s="1" t="s">
        <v>27</v>
      </c>
      <c r="L35" s="26"/>
      <c r="M35" s="26"/>
      <c r="N35" s="26"/>
      <c r="O35" s="26"/>
      <c r="P35" s="27"/>
      <c r="R35">
        <v>4</v>
      </c>
      <c r="S35" t="s">
        <v>61</v>
      </c>
    </row>
    <row r="36" spans="1:19">
      <c r="A36" s="1" t="s">
        <v>27</v>
      </c>
      <c r="B36" s="17" t="s">
        <v>20</v>
      </c>
      <c r="C36" s="3" t="s">
        <v>5</v>
      </c>
      <c r="D36" s="26"/>
      <c r="E36" s="26"/>
      <c r="F36" s="26"/>
      <c r="G36" s="26"/>
      <c r="H36" s="27"/>
      <c r="I36" s="28" t="s">
        <v>27</v>
      </c>
      <c r="J36" s="1" t="s">
        <v>27</v>
      </c>
      <c r="K36" s="1" t="s">
        <v>27</v>
      </c>
      <c r="L36" s="26"/>
      <c r="M36" s="26"/>
      <c r="N36" s="26"/>
      <c r="O36" s="26"/>
      <c r="P36" s="27"/>
      <c r="S36" t="s">
        <v>62</v>
      </c>
    </row>
    <row r="37" spans="1:19">
      <c r="A37" s="1" t="s">
        <v>27</v>
      </c>
      <c r="B37" s="4" t="s">
        <v>6</v>
      </c>
      <c r="C37" s="3" t="s">
        <v>5</v>
      </c>
      <c r="D37" s="26"/>
      <c r="E37" s="26"/>
      <c r="F37" s="26"/>
      <c r="G37" s="26"/>
      <c r="H37" s="27"/>
      <c r="I37" s="28" t="s">
        <v>27</v>
      </c>
      <c r="J37" s="1" t="s">
        <v>27</v>
      </c>
      <c r="K37" s="1" t="s">
        <v>27</v>
      </c>
      <c r="L37" s="26"/>
      <c r="M37" s="26"/>
      <c r="N37" s="26"/>
      <c r="O37" s="26"/>
      <c r="P37" s="27"/>
      <c r="R37">
        <v>5</v>
      </c>
      <c r="S37" t="s">
        <v>63</v>
      </c>
    </row>
    <row r="38" spans="1:19">
      <c r="A38" s="1" t="s">
        <v>27</v>
      </c>
      <c r="B38" s="4" t="s">
        <v>6</v>
      </c>
      <c r="C38" s="3" t="s">
        <v>5</v>
      </c>
      <c r="D38" s="26"/>
      <c r="E38" s="26"/>
      <c r="F38" s="26"/>
      <c r="G38" s="26"/>
      <c r="H38" s="27"/>
      <c r="I38" s="28" t="s">
        <v>27</v>
      </c>
      <c r="J38" s="1" t="s">
        <v>27</v>
      </c>
      <c r="K38" s="1" t="s">
        <v>27</v>
      </c>
      <c r="L38" s="26"/>
      <c r="M38" s="26"/>
      <c r="N38" s="26"/>
      <c r="O38" s="26"/>
      <c r="P38" s="27"/>
      <c r="R38">
        <v>6</v>
      </c>
      <c r="S38" t="s">
        <v>64</v>
      </c>
    </row>
    <row r="39" spans="1:19">
      <c r="A39" s="1" t="s">
        <v>27</v>
      </c>
      <c r="B39" s="4" t="s">
        <v>6</v>
      </c>
      <c r="C39" s="3" t="s">
        <v>5</v>
      </c>
      <c r="D39" s="26"/>
      <c r="E39" s="26"/>
      <c r="F39" s="26"/>
      <c r="G39" s="26"/>
      <c r="H39" s="27"/>
      <c r="I39" s="28" t="s">
        <v>27</v>
      </c>
      <c r="J39" s="1" t="s">
        <v>27</v>
      </c>
      <c r="K39" s="1" t="s">
        <v>27</v>
      </c>
      <c r="L39" s="26"/>
      <c r="M39" s="26"/>
      <c r="N39" s="26"/>
      <c r="O39" s="26"/>
      <c r="P39" s="27"/>
      <c r="R39">
        <v>7</v>
      </c>
      <c r="S39" t="s">
        <v>65</v>
      </c>
    </row>
    <row r="40" spans="1:19">
      <c r="A40" s="1" t="s">
        <v>27</v>
      </c>
      <c r="B40" s="17" t="s">
        <v>19</v>
      </c>
      <c r="C40" s="3" t="s">
        <v>5</v>
      </c>
      <c r="D40" s="26"/>
      <c r="E40" s="26"/>
      <c r="F40" s="26"/>
      <c r="G40" s="26"/>
      <c r="H40" s="27"/>
      <c r="I40" s="28" t="s">
        <v>27</v>
      </c>
      <c r="J40" s="1" t="s">
        <v>27</v>
      </c>
      <c r="K40" s="1" t="s">
        <v>27</v>
      </c>
      <c r="L40" s="26"/>
      <c r="M40" s="26"/>
      <c r="N40" s="26"/>
      <c r="O40" s="26"/>
      <c r="P40" s="27"/>
    </row>
    <row r="41" spans="1:19">
      <c r="A41" s="1" t="s">
        <v>27</v>
      </c>
      <c r="B41" s="4" t="s">
        <v>6</v>
      </c>
      <c r="C41" s="9" t="s">
        <v>11</v>
      </c>
      <c r="D41" s="26"/>
      <c r="E41" s="26"/>
      <c r="F41" s="26"/>
      <c r="G41" s="26"/>
      <c r="H41" s="27"/>
      <c r="I41" s="28" t="s">
        <v>27</v>
      </c>
      <c r="J41" s="1" t="s">
        <v>27</v>
      </c>
      <c r="K41" s="1" t="s">
        <v>27</v>
      </c>
      <c r="L41" s="26"/>
      <c r="M41" s="26"/>
      <c r="N41" s="26"/>
      <c r="O41" s="26"/>
      <c r="P41" s="27"/>
    </row>
    <row r="42" spans="1:19">
      <c r="A42" s="1" t="s">
        <v>27</v>
      </c>
      <c r="B42" s="4" t="s">
        <v>6</v>
      </c>
      <c r="C42" s="4" t="s">
        <v>6</v>
      </c>
      <c r="D42" s="26"/>
      <c r="E42" s="26"/>
      <c r="F42" s="26"/>
      <c r="G42" s="26"/>
      <c r="H42" s="27"/>
      <c r="I42" s="28" t="s">
        <v>27</v>
      </c>
      <c r="J42" s="1" t="s">
        <v>27</v>
      </c>
      <c r="K42" s="1" t="s">
        <v>27</v>
      </c>
      <c r="L42" s="26"/>
      <c r="M42" s="26"/>
      <c r="N42" s="26"/>
      <c r="O42" s="26"/>
      <c r="P42" s="27"/>
    </row>
    <row r="43" spans="1:19">
      <c r="A43" s="1" t="s">
        <v>27</v>
      </c>
      <c r="B43" s="3" t="s">
        <v>5</v>
      </c>
      <c r="C43" s="17" t="s">
        <v>19</v>
      </c>
      <c r="D43" s="26"/>
      <c r="E43" s="26"/>
      <c r="F43" s="26"/>
      <c r="G43" s="26"/>
      <c r="H43" s="27"/>
      <c r="I43" s="28" t="s">
        <v>27</v>
      </c>
      <c r="J43" s="1" t="s">
        <v>27</v>
      </c>
      <c r="K43" s="1" t="s">
        <v>27</v>
      </c>
      <c r="L43" s="26"/>
      <c r="M43" s="26"/>
      <c r="N43" s="26"/>
      <c r="O43" s="26"/>
      <c r="P43" s="27"/>
    </row>
    <row r="44" spans="1:19">
      <c r="A44" s="1" t="s">
        <v>27</v>
      </c>
      <c r="B44" s="3" t="s">
        <v>5</v>
      </c>
      <c r="C44" s="4" t="s">
        <v>6</v>
      </c>
      <c r="D44" s="26"/>
      <c r="E44" s="26"/>
      <c r="F44" s="26"/>
      <c r="G44" s="26"/>
      <c r="H44" s="27"/>
      <c r="I44" s="28" t="s">
        <v>27</v>
      </c>
      <c r="J44" s="1" t="s">
        <v>27</v>
      </c>
      <c r="K44" s="1" t="s">
        <v>27</v>
      </c>
      <c r="L44" s="26"/>
      <c r="M44" s="26"/>
      <c r="N44" s="26"/>
      <c r="O44" s="26"/>
      <c r="P44" s="27"/>
    </row>
    <row r="45" spans="1:19">
      <c r="A45" s="1" t="s">
        <v>27</v>
      </c>
      <c r="B45" s="3" t="s">
        <v>5</v>
      </c>
      <c r="C45" s="4" t="s">
        <v>6</v>
      </c>
      <c r="D45" s="26"/>
      <c r="E45" s="26"/>
      <c r="F45" s="26"/>
      <c r="G45" s="26"/>
      <c r="H45" s="27"/>
      <c r="I45" s="28" t="s">
        <v>27</v>
      </c>
      <c r="J45" s="1" t="s">
        <v>27</v>
      </c>
      <c r="K45" s="1" t="s">
        <v>27</v>
      </c>
      <c r="L45" s="26"/>
      <c r="M45" s="26"/>
      <c r="N45" s="26"/>
      <c r="O45" s="26"/>
      <c r="P45" s="27"/>
    </row>
    <row r="46" spans="1:19">
      <c r="A46" s="1" t="s">
        <v>27</v>
      </c>
      <c r="B46" s="9" t="s">
        <v>11</v>
      </c>
      <c r="C46" s="4" t="s">
        <v>6</v>
      </c>
      <c r="D46" s="26"/>
      <c r="E46" s="26"/>
      <c r="F46" s="26"/>
      <c r="G46" s="26"/>
      <c r="H46" s="27"/>
      <c r="I46" s="28" t="s">
        <v>27</v>
      </c>
      <c r="J46" s="1" t="s">
        <v>27</v>
      </c>
      <c r="K46" s="1" t="s">
        <v>27</v>
      </c>
      <c r="L46" s="26"/>
      <c r="M46" s="26"/>
      <c r="N46" s="26"/>
      <c r="O46" s="26"/>
      <c r="P46" s="27"/>
    </row>
    <row r="47" spans="1:19">
      <c r="A47" s="1" t="s">
        <v>27</v>
      </c>
      <c r="B47" s="4" t="s">
        <v>6</v>
      </c>
      <c r="C47" s="4" t="s">
        <v>6</v>
      </c>
      <c r="D47" s="26"/>
      <c r="E47" s="26"/>
      <c r="F47" s="26"/>
      <c r="G47" s="26"/>
      <c r="H47" s="27"/>
      <c r="I47" s="28" t="s">
        <v>27</v>
      </c>
      <c r="J47" s="1" t="s">
        <v>27</v>
      </c>
      <c r="K47" s="1" t="s">
        <v>27</v>
      </c>
      <c r="L47" s="26"/>
      <c r="M47" s="26"/>
      <c r="N47" s="26"/>
      <c r="O47" s="26"/>
      <c r="P47" s="27"/>
    </row>
    <row r="48" spans="1:19">
      <c r="A48" s="1" t="s">
        <v>27</v>
      </c>
      <c r="B48" s="4" t="s">
        <v>6</v>
      </c>
      <c r="C48" s="16" t="s">
        <v>18</v>
      </c>
      <c r="D48" s="26"/>
      <c r="E48" s="26"/>
      <c r="F48" s="26"/>
      <c r="G48" s="26"/>
      <c r="H48" s="27"/>
      <c r="I48" s="28" t="s">
        <v>27</v>
      </c>
      <c r="J48" s="1" t="s">
        <v>27</v>
      </c>
      <c r="K48" s="1" t="s">
        <v>27</v>
      </c>
      <c r="L48" s="26"/>
      <c r="M48" s="26"/>
      <c r="N48" s="26"/>
      <c r="O48" s="26"/>
      <c r="P48" s="27"/>
    </row>
    <row r="49" spans="1:16">
      <c r="A49" s="1" t="s">
        <v>27</v>
      </c>
      <c r="B49" s="4" t="s">
        <v>6</v>
      </c>
      <c r="C49" s="4" t="s">
        <v>6</v>
      </c>
      <c r="D49" s="26"/>
      <c r="E49" s="26"/>
      <c r="F49" s="26"/>
      <c r="G49" s="26"/>
      <c r="H49" s="27"/>
      <c r="I49" s="28" t="s">
        <v>27</v>
      </c>
      <c r="J49" s="1" t="s">
        <v>27</v>
      </c>
      <c r="K49" s="1" t="s">
        <v>27</v>
      </c>
      <c r="L49" s="26"/>
      <c r="M49" s="26"/>
      <c r="N49" s="26"/>
      <c r="O49" s="26"/>
      <c r="P49" s="27"/>
    </row>
    <row r="50" spans="1:16">
      <c r="A50" s="1" t="s">
        <v>27</v>
      </c>
      <c r="B50" s="17" t="s">
        <v>20</v>
      </c>
      <c r="C50" s="4" t="s">
        <v>6</v>
      </c>
      <c r="D50" s="26"/>
      <c r="E50" s="26"/>
      <c r="F50" s="26"/>
      <c r="G50" s="26"/>
      <c r="H50" s="27"/>
      <c r="I50" s="28" t="s">
        <v>27</v>
      </c>
      <c r="J50" s="1" t="s">
        <v>27</v>
      </c>
      <c r="K50" s="1" t="s">
        <v>27</v>
      </c>
      <c r="L50" s="26"/>
      <c r="M50" s="26"/>
      <c r="N50" s="26"/>
      <c r="O50" s="26"/>
      <c r="P50" s="27"/>
    </row>
    <row r="51" spans="1:16">
      <c r="A51" s="1" t="s">
        <v>27</v>
      </c>
      <c r="B51" s="1" t="s">
        <v>27</v>
      </c>
      <c r="C51" s="17" t="s">
        <v>20</v>
      </c>
      <c r="D51" s="26"/>
      <c r="E51" s="26"/>
      <c r="F51" s="26"/>
      <c r="G51" s="26"/>
      <c r="H51" s="27"/>
      <c r="I51" s="28" t="s">
        <v>27</v>
      </c>
      <c r="J51" s="1" t="s">
        <v>27</v>
      </c>
      <c r="K51" s="1" t="s">
        <v>27</v>
      </c>
      <c r="L51" s="26"/>
      <c r="M51" s="26"/>
      <c r="N51" s="26"/>
      <c r="O51" s="26"/>
      <c r="P51" s="27"/>
    </row>
    <row r="52" spans="1:16">
      <c r="A52" s="1" t="s">
        <v>27</v>
      </c>
      <c r="B52" s="1" t="s">
        <v>27</v>
      </c>
      <c r="C52" s="1" t="s">
        <v>27</v>
      </c>
      <c r="D52" s="26"/>
      <c r="E52" s="26"/>
      <c r="F52" s="26"/>
      <c r="G52" s="26"/>
      <c r="H52" s="27"/>
      <c r="I52" s="28" t="s">
        <v>27</v>
      </c>
      <c r="J52" s="1" t="s">
        <v>27</v>
      </c>
      <c r="K52" s="1" t="s">
        <v>27</v>
      </c>
      <c r="L52" s="26"/>
      <c r="M52" s="26"/>
      <c r="N52" s="26"/>
      <c r="O52" s="26"/>
      <c r="P52" s="27"/>
    </row>
    <row r="53" spans="1:16">
      <c r="A53" s="1" t="s">
        <v>27</v>
      </c>
      <c r="B53" s="1" t="s">
        <v>27</v>
      </c>
      <c r="C53" s="1" t="s">
        <v>27</v>
      </c>
      <c r="D53" s="26"/>
      <c r="E53" s="26"/>
      <c r="F53" s="26"/>
      <c r="G53" s="26"/>
      <c r="H53" s="27"/>
      <c r="I53" s="28" t="s">
        <v>27</v>
      </c>
      <c r="J53" s="1" t="s">
        <v>27</v>
      </c>
      <c r="K53" s="1" t="s">
        <v>27</v>
      </c>
      <c r="L53" s="26"/>
      <c r="M53" s="26"/>
      <c r="N53" s="26"/>
      <c r="O53" s="26"/>
      <c r="P53" s="27"/>
    </row>
    <row r="54" spans="1:16">
      <c r="A54" s="1" t="s">
        <v>27</v>
      </c>
      <c r="B54" s="1" t="s">
        <v>27</v>
      </c>
      <c r="C54" s="1" t="s">
        <v>27</v>
      </c>
      <c r="D54" s="26"/>
      <c r="E54" s="26"/>
      <c r="F54" s="26"/>
      <c r="G54" s="26"/>
      <c r="H54" s="27"/>
      <c r="I54" s="28" t="s">
        <v>27</v>
      </c>
      <c r="J54" s="1" t="s">
        <v>27</v>
      </c>
      <c r="K54" s="1" t="s">
        <v>27</v>
      </c>
      <c r="L54" s="26"/>
      <c r="M54" s="26"/>
      <c r="N54" s="26"/>
      <c r="O54" s="26"/>
      <c r="P54" s="27"/>
    </row>
    <row r="55" spans="1:16">
      <c r="A55" s="1" t="s">
        <v>27</v>
      </c>
      <c r="B55" s="1" t="s">
        <v>27</v>
      </c>
      <c r="C55" s="1" t="s">
        <v>27</v>
      </c>
      <c r="D55" s="26"/>
      <c r="E55" s="26"/>
      <c r="F55" s="26"/>
      <c r="G55" s="26"/>
      <c r="H55" s="27"/>
      <c r="I55" s="28" t="s">
        <v>27</v>
      </c>
      <c r="J55" s="1" t="s">
        <v>27</v>
      </c>
      <c r="K55" s="1" t="s">
        <v>27</v>
      </c>
      <c r="L55" s="26"/>
      <c r="M55" s="26"/>
      <c r="N55" s="26"/>
      <c r="O55" s="26"/>
      <c r="P55" s="27"/>
    </row>
    <row r="56" spans="1:16">
      <c r="A56" s="28" t="s">
        <v>27</v>
      </c>
      <c r="B56" s="1" t="s">
        <v>27</v>
      </c>
      <c r="C56" s="1" t="s">
        <v>27</v>
      </c>
      <c r="D56" s="26"/>
      <c r="E56" s="26"/>
      <c r="F56" s="26"/>
      <c r="G56" s="26"/>
      <c r="H56" s="27"/>
      <c r="I56" s="28" t="s">
        <v>27</v>
      </c>
      <c r="J56" s="1" t="s">
        <v>27</v>
      </c>
      <c r="K56" s="1" t="s">
        <v>27</v>
      </c>
      <c r="L56" s="26"/>
      <c r="M56" s="26"/>
      <c r="N56" s="26"/>
      <c r="O56" s="26"/>
      <c r="P56" s="27"/>
    </row>
    <row r="57" spans="1:16">
      <c r="A57" s="28" t="s">
        <v>27</v>
      </c>
      <c r="B57" s="1" t="s">
        <v>27</v>
      </c>
      <c r="C57" s="1" t="s">
        <v>27</v>
      </c>
      <c r="D57" s="26"/>
      <c r="E57" s="26"/>
      <c r="F57" s="26"/>
      <c r="G57" s="26"/>
      <c r="H57" s="27"/>
      <c r="I57" s="28" t="s">
        <v>27</v>
      </c>
      <c r="J57" s="1" t="s">
        <v>27</v>
      </c>
      <c r="K57" s="1" t="s">
        <v>27</v>
      </c>
      <c r="L57" s="26"/>
      <c r="M57" s="26"/>
      <c r="N57" s="26"/>
      <c r="O57" s="26"/>
      <c r="P57" s="27"/>
    </row>
    <row r="58" spans="1:16">
      <c r="A58" s="28" t="s">
        <v>27</v>
      </c>
      <c r="B58" s="1" t="s">
        <v>27</v>
      </c>
      <c r="C58" s="1" t="s">
        <v>27</v>
      </c>
      <c r="D58" s="26"/>
      <c r="E58" s="26"/>
      <c r="F58" s="26"/>
      <c r="G58" s="26"/>
      <c r="H58" s="27"/>
      <c r="I58" s="28" t="s">
        <v>27</v>
      </c>
      <c r="J58" s="1" t="s">
        <v>27</v>
      </c>
      <c r="K58" s="1" t="s">
        <v>27</v>
      </c>
      <c r="L58" s="26"/>
      <c r="M58" s="26"/>
      <c r="N58" s="26"/>
      <c r="O58" s="26"/>
      <c r="P58" s="27"/>
    </row>
    <row r="59" spans="1:16">
      <c r="A59" s="28" t="s">
        <v>27</v>
      </c>
      <c r="B59" s="1" t="s">
        <v>27</v>
      </c>
      <c r="C59" s="1" t="s">
        <v>27</v>
      </c>
      <c r="D59" s="26"/>
      <c r="E59" s="26"/>
      <c r="F59" s="26"/>
      <c r="G59" s="26"/>
      <c r="H59" s="27"/>
      <c r="I59" s="28" t="s">
        <v>27</v>
      </c>
      <c r="J59" s="1" t="s">
        <v>27</v>
      </c>
      <c r="K59" s="1" t="s">
        <v>27</v>
      </c>
      <c r="L59" s="26"/>
      <c r="M59" s="26"/>
      <c r="N59" s="26"/>
      <c r="O59" s="26"/>
      <c r="P59" s="27"/>
    </row>
    <row r="60" spans="1:16">
      <c r="A60" s="28" t="s">
        <v>27</v>
      </c>
      <c r="B60" s="1" t="s">
        <v>27</v>
      </c>
      <c r="C60" s="1" t="s">
        <v>27</v>
      </c>
      <c r="D60" s="26"/>
      <c r="E60" s="26"/>
      <c r="F60" s="26"/>
      <c r="G60" s="26"/>
      <c r="H60" s="27"/>
      <c r="I60" s="28" t="s">
        <v>27</v>
      </c>
      <c r="J60" s="1" t="s">
        <v>27</v>
      </c>
      <c r="K60" s="1" t="s">
        <v>27</v>
      </c>
      <c r="L60" s="26"/>
      <c r="M60" s="26"/>
      <c r="N60" s="26"/>
      <c r="O60" s="26"/>
      <c r="P60" s="27"/>
    </row>
    <row r="61" spans="1:16">
      <c r="A61" s="28" t="s">
        <v>27</v>
      </c>
      <c r="B61" s="1" t="s">
        <v>27</v>
      </c>
      <c r="C61" s="1" t="s">
        <v>27</v>
      </c>
      <c r="D61" s="26"/>
      <c r="E61" s="26"/>
      <c r="F61" s="26"/>
      <c r="G61" s="26"/>
      <c r="H61" s="27"/>
      <c r="I61" s="28" t="s">
        <v>27</v>
      </c>
      <c r="J61" s="1" t="s">
        <v>27</v>
      </c>
      <c r="K61" s="1" t="s">
        <v>27</v>
      </c>
      <c r="L61" s="26"/>
      <c r="M61" s="26"/>
      <c r="N61" s="26"/>
      <c r="O61" s="26"/>
      <c r="P61" s="27"/>
    </row>
    <row r="62" spans="1:16">
      <c r="A62" s="28" t="s">
        <v>27</v>
      </c>
      <c r="B62" s="1" t="s">
        <v>27</v>
      </c>
      <c r="C62" s="1" t="s">
        <v>27</v>
      </c>
      <c r="D62" s="26"/>
      <c r="E62" s="26"/>
      <c r="F62" s="26"/>
      <c r="G62" s="26"/>
      <c r="H62" s="27"/>
      <c r="I62" s="28" t="s">
        <v>27</v>
      </c>
      <c r="J62" s="1" t="s">
        <v>27</v>
      </c>
      <c r="K62" s="1" t="s">
        <v>27</v>
      </c>
      <c r="L62" s="26"/>
      <c r="M62" s="26"/>
      <c r="N62" s="26"/>
      <c r="O62" s="26"/>
      <c r="P62" s="27"/>
    </row>
    <row r="63" spans="1:16">
      <c r="A63" s="28" t="s">
        <v>27</v>
      </c>
      <c r="B63" s="1" t="s">
        <v>27</v>
      </c>
      <c r="C63" s="1" t="s">
        <v>27</v>
      </c>
      <c r="D63" s="26"/>
      <c r="E63" s="26"/>
      <c r="F63" s="26"/>
      <c r="G63" s="26"/>
      <c r="H63" s="27"/>
      <c r="I63" s="28" t="s">
        <v>27</v>
      </c>
      <c r="J63" s="1" t="s">
        <v>27</v>
      </c>
      <c r="K63" s="1" t="s">
        <v>27</v>
      </c>
      <c r="L63" s="26"/>
      <c r="M63" s="26"/>
      <c r="N63" s="26"/>
      <c r="O63" s="26"/>
      <c r="P63" s="27"/>
    </row>
    <row r="64" spans="1:16">
      <c r="A64" s="28" t="s">
        <v>27</v>
      </c>
      <c r="B64" s="1" t="s">
        <v>27</v>
      </c>
      <c r="C64" s="1" t="s">
        <v>27</v>
      </c>
      <c r="D64" s="26"/>
      <c r="E64" s="26"/>
      <c r="F64" s="26"/>
      <c r="G64" s="26"/>
      <c r="H64" s="27"/>
      <c r="I64" s="28" t="s">
        <v>27</v>
      </c>
      <c r="J64" s="1" t="s">
        <v>27</v>
      </c>
      <c r="K64" s="1" t="s">
        <v>27</v>
      </c>
      <c r="L64" s="26"/>
      <c r="M64" s="26"/>
      <c r="N64" s="26"/>
      <c r="O64" s="26"/>
      <c r="P64" s="27"/>
    </row>
    <row r="65" spans="1:16">
      <c r="A65" s="28" t="s">
        <v>27</v>
      </c>
      <c r="B65" s="1" t="s">
        <v>27</v>
      </c>
      <c r="C65" s="1" t="s">
        <v>27</v>
      </c>
      <c r="D65" s="26"/>
      <c r="E65" s="26"/>
      <c r="F65" s="26"/>
      <c r="G65" s="26"/>
      <c r="H65" s="27"/>
      <c r="I65" s="28" t="s">
        <v>27</v>
      </c>
      <c r="J65" s="1" t="s">
        <v>27</v>
      </c>
      <c r="K65" s="1" t="s">
        <v>27</v>
      </c>
      <c r="L65" s="26"/>
      <c r="M65" s="26"/>
      <c r="N65" s="26"/>
      <c r="O65" s="26"/>
      <c r="P65" s="27"/>
    </row>
    <row r="66" spans="1:16">
      <c r="A66" s="28" t="s">
        <v>27</v>
      </c>
      <c r="B66" s="1" t="s">
        <v>27</v>
      </c>
      <c r="C66" s="1" t="s">
        <v>27</v>
      </c>
      <c r="D66" s="26"/>
      <c r="E66" s="26"/>
      <c r="F66" s="26"/>
      <c r="G66" s="26"/>
      <c r="H66" s="27"/>
      <c r="I66" s="28" t="s">
        <v>27</v>
      </c>
      <c r="J66" s="1" t="s">
        <v>27</v>
      </c>
      <c r="K66" s="1" t="s">
        <v>27</v>
      </c>
      <c r="L66" s="26"/>
      <c r="M66" s="26"/>
      <c r="N66" s="26"/>
      <c r="O66" s="26"/>
      <c r="P66" s="27"/>
    </row>
    <row r="67" spans="1:16">
      <c r="A67" s="28" t="s">
        <v>27</v>
      </c>
      <c r="B67" s="1" t="s">
        <v>27</v>
      </c>
      <c r="C67" s="1" t="s">
        <v>27</v>
      </c>
      <c r="D67" s="26"/>
      <c r="E67" s="26"/>
      <c r="F67" s="26"/>
      <c r="G67" s="26"/>
      <c r="H67" s="27"/>
      <c r="I67" s="28" t="s">
        <v>27</v>
      </c>
      <c r="J67" s="1" t="s">
        <v>27</v>
      </c>
      <c r="K67" s="1" t="s">
        <v>27</v>
      </c>
      <c r="L67" s="26"/>
      <c r="M67" s="26"/>
      <c r="N67" s="26"/>
      <c r="O67" s="26"/>
      <c r="P67" s="27"/>
    </row>
    <row r="68" spans="1:16">
      <c r="A68" s="28" t="s">
        <v>27</v>
      </c>
      <c r="B68" s="1" t="s">
        <v>27</v>
      </c>
      <c r="C68" s="1" t="s">
        <v>27</v>
      </c>
      <c r="D68" s="26"/>
      <c r="E68" s="26"/>
      <c r="F68" s="26"/>
      <c r="G68" s="26"/>
      <c r="H68" s="27"/>
      <c r="I68" s="28" t="s">
        <v>27</v>
      </c>
      <c r="J68" s="1" t="s">
        <v>27</v>
      </c>
      <c r="K68" s="1" t="s">
        <v>27</v>
      </c>
      <c r="L68" s="26"/>
      <c r="M68" s="26"/>
      <c r="N68" s="26"/>
      <c r="O68" s="26"/>
      <c r="P68" s="27"/>
    </row>
    <row r="69" spans="1:16">
      <c r="A69" s="28" t="s">
        <v>27</v>
      </c>
      <c r="B69" s="1" t="s">
        <v>27</v>
      </c>
      <c r="C69" s="1" t="s">
        <v>27</v>
      </c>
      <c r="D69" s="26"/>
      <c r="E69" s="26"/>
      <c r="F69" s="26"/>
      <c r="G69" s="26"/>
      <c r="H69" s="27"/>
      <c r="I69" s="28" t="s">
        <v>27</v>
      </c>
      <c r="J69" s="1" t="s">
        <v>27</v>
      </c>
      <c r="K69" s="1" t="s">
        <v>27</v>
      </c>
      <c r="L69" s="26"/>
      <c r="M69" s="26"/>
      <c r="N69" s="26"/>
      <c r="O69" s="26"/>
      <c r="P69" s="27"/>
    </row>
    <row r="70" spans="1:16">
      <c r="A70" s="28" t="s">
        <v>27</v>
      </c>
      <c r="B70" s="1" t="s">
        <v>27</v>
      </c>
      <c r="C70" s="1" t="s">
        <v>27</v>
      </c>
      <c r="D70" s="26"/>
      <c r="E70" s="26"/>
      <c r="F70" s="26"/>
      <c r="G70" s="26"/>
      <c r="H70" s="27"/>
      <c r="I70" s="28" t="s">
        <v>27</v>
      </c>
      <c r="J70" s="1" t="s">
        <v>27</v>
      </c>
      <c r="K70" s="1" t="s">
        <v>27</v>
      </c>
      <c r="L70" s="26"/>
      <c r="M70" s="26"/>
      <c r="N70" s="26"/>
      <c r="O70" s="26"/>
      <c r="P70" s="27"/>
    </row>
    <row r="71" spans="1:16">
      <c r="A71" s="28" t="s">
        <v>27</v>
      </c>
      <c r="B71" s="1" t="s">
        <v>27</v>
      </c>
      <c r="C71" s="1" t="s">
        <v>27</v>
      </c>
      <c r="D71" s="26"/>
      <c r="E71" s="26"/>
      <c r="F71" s="26"/>
      <c r="G71" s="26"/>
      <c r="H71" s="27"/>
      <c r="I71" s="28" t="s">
        <v>27</v>
      </c>
      <c r="J71" s="1" t="s">
        <v>27</v>
      </c>
      <c r="K71" s="1" t="s">
        <v>27</v>
      </c>
      <c r="L71" s="26"/>
      <c r="M71" s="26"/>
      <c r="N71" s="26"/>
      <c r="O71" s="26"/>
      <c r="P71" s="27"/>
    </row>
    <row r="72" spans="1:16">
      <c r="A72" s="28" t="s">
        <v>27</v>
      </c>
      <c r="B72" s="1" t="s">
        <v>27</v>
      </c>
      <c r="C72" s="1" t="s">
        <v>27</v>
      </c>
      <c r="D72" s="26"/>
      <c r="E72" s="26"/>
      <c r="F72" s="26"/>
      <c r="G72" s="26"/>
      <c r="H72" s="27"/>
      <c r="I72" s="28" t="s">
        <v>27</v>
      </c>
      <c r="J72" s="1" t="s">
        <v>27</v>
      </c>
      <c r="K72" s="1" t="s">
        <v>27</v>
      </c>
      <c r="L72" s="26"/>
      <c r="M72" s="26"/>
      <c r="N72" s="26"/>
      <c r="O72" s="26"/>
      <c r="P72" s="27"/>
    </row>
    <row r="73" spans="1:16">
      <c r="A73" s="28" t="s">
        <v>27</v>
      </c>
      <c r="B73" s="1" t="s">
        <v>27</v>
      </c>
      <c r="C73" s="1" t="s">
        <v>27</v>
      </c>
      <c r="D73" s="26"/>
      <c r="E73" s="26"/>
      <c r="F73" s="26"/>
      <c r="G73" s="26"/>
      <c r="H73" s="27"/>
      <c r="I73" s="28" t="s">
        <v>27</v>
      </c>
      <c r="J73" s="1" t="s">
        <v>27</v>
      </c>
      <c r="K73" s="1" t="s">
        <v>27</v>
      </c>
      <c r="L73" s="26"/>
      <c r="M73" s="26"/>
      <c r="N73" s="26"/>
      <c r="O73" s="26"/>
      <c r="P73" s="27"/>
    </row>
    <row r="74" spans="1:16">
      <c r="A74" s="28" t="s">
        <v>27</v>
      </c>
      <c r="B74" s="1" t="s">
        <v>27</v>
      </c>
      <c r="C74" s="1" t="s">
        <v>27</v>
      </c>
      <c r="D74" s="26"/>
      <c r="E74" s="26"/>
      <c r="F74" s="26"/>
      <c r="G74" s="26"/>
      <c r="H74" s="27"/>
      <c r="I74" s="28" t="s">
        <v>27</v>
      </c>
      <c r="J74" s="1" t="s">
        <v>27</v>
      </c>
      <c r="K74" s="1" t="s">
        <v>27</v>
      </c>
      <c r="L74" s="26"/>
      <c r="M74" s="26"/>
      <c r="N74" s="26"/>
      <c r="O74" s="26"/>
      <c r="P74" s="27"/>
    </row>
    <row r="75" spans="1:16">
      <c r="A75" s="28" t="s">
        <v>27</v>
      </c>
      <c r="B75" s="1" t="s">
        <v>27</v>
      </c>
      <c r="C75" s="1" t="s">
        <v>27</v>
      </c>
      <c r="D75" s="26"/>
      <c r="E75" s="26"/>
      <c r="F75" s="26"/>
      <c r="G75" s="26"/>
      <c r="H75" s="27"/>
      <c r="I75" s="28" t="s">
        <v>27</v>
      </c>
      <c r="J75" s="1" t="s">
        <v>27</v>
      </c>
      <c r="K75" s="1" t="s">
        <v>27</v>
      </c>
      <c r="L75" s="26"/>
      <c r="M75" s="26"/>
      <c r="N75" s="26"/>
      <c r="O75" s="26"/>
      <c r="P75" s="27"/>
    </row>
    <row r="76" spans="1:16">
      <c r="A76" s="28" t="s">
        <v>27</v>
      </c>
      <c r="B76" s="1" t="s">
        <v>27</v>
      </c>
      <c r="C76" s="1" t="s">
        <v>27</v>
      </c>
      <c r="D76" s="26"/>
      <c r="E76" s="26"/>
      <c r="F76" s="26"/>
      <c r="G76" s="26"/>
      <c r="H76" s="27"/>
      <c r="I76" s="28" t="s">
        <v>27</v>
      </c>
      <c r="J76" s="1" t="s">
        <v>27</v>
      </c>
      <c r="K76" s="1" t="s">
        <v>27</v>
      </c>
      <c r="L76" s="26"/>
      <c r="M76" s="26"/>
      <c r="N76" s="26"/>
      <c r="O76" s="26"/>
      <c r="P76" s="27"/>
    </row>
    <row r="77" spans="1:16">
      <c r="A77" s="28" t="s">
        <v>27</v>
      </c>
      <c r="B77" s="1" t="s">
        <v>27</v>
      </c>
      <c r="C77" s="1" t="s">
        <v>27</v>
      </c>
      <c r="D77" s="26"/>
      <c r="E77" s="26"/>
      <c r="F77" s="26"/>
      <c r="G77" s="26"/>
      <c r="H77" s="27"/>
      <c r="I77" s="28" t="s">
        <v>27</v>
      </c>
      <c r="J77" s="1" t="s">
        <v>27</v>
      </c>
      <c r="K77" s="1" t="s">
        <v>27</v>
      </c>
      <c r="L77" s="26"/>
      <c r="M77" s="26"/>
      <c r="N77" s="26"/>
      <c r="O77" s="26"/>
      <c r="P77" s="27"/>
    </row>
    <row r="78" spans="1:16">
      <c r="A78" s="28" t="s">
        <v>27</v>
      </c>
      <c r="B78" s="1" t="s">
        <v>27</v>
      </c>
      <c r="C78" s="1" t="s">
        <v>27</v>
      </c>
      <c r="D78" s="26"/>
      <c r="E78" s="26"/>
      <c r="F78" s="26"/>
      <c r="G78" s="26"/>
      <c r="H78" s="27"/>
      <c r="I78" s="28" t="s">
        <v>27</v>
      </c>
      <c r="J78" s="1" t="s">
        <v>27</v>
      </c>
      <c r="K78" s="1" t="s">
        <v>27</v>
      </c>
      <c r="L78" s="26"/>
      <c r="M78" s="26"/>
      <c r="N78" s="26"/>
      <c r="O78" s="26"/>
      <c r="P78" s="27"/>
    </row>
    <row r="79" spans="1:16">
      <c r="A79" s="28" t="s">
        <v>27</v>
      </c>
      <c r="B79" s="1" t="s">
        <v>27</v>
      </c>
      <c r="C79" s="1" t="s">
        <v>27</v>
      </c>
      <c r="D79" s="26"/>
      <c r="E79" s="26"/>
      <c r="F79" s="26"/>
      <c r="G79" s="26"/>
      <c r="H79" s="27"/>
      <c r="I79" s="28" t="s">
        <v>27</v>
      </c>
      <c r="J79" s="1" t="s">
        <v>27</v>
      </c>
      <c r="K79" s="1" t="s">
        <v>27</v>
      </c>
      <c r="L79" s="26"/>
      <c r="M79" s="26"/>
      <c r="N79" s="26"/>
      <c r="O79" s="26"/>
      <c r="P79" s="27"/>
    </row>
    <row r="80" spans="1:16">
      <c r="A80" s="28" t="s">
        <v>27</v>
      </c>
      <c r="B80" s="1" t="s">
        <v>27</v>
      </c>
      <c r="C80" s="1" t="s">
        <v>27</v>
      </c>
      <c r="D80" s="26"/>
      <c r="E80" s="26"/>
      <c r="F80" s="26"/>
      <c r="G80" s="26"/>
      <c r="H80" s="27"/>
      <c r="I80" s="28" t="s">
        <v>27</v>
      </c>
      <c r="J80" s="1" t="s">
        <v>27</v>
      </c>
      <c r="K80" s="1" t="s">
        <v>27</v>
      </c>
      <c r="L80" s="26"/>
      <c r="M80" s="26"/>
      <c r="N80" s="26"/>
      <c r="O80" s="26"/>
      <c r="P80" s="27"/>
    </row>
    <row r="81" spans="1:16">
      <c r="A81" s="28" t="s">
        <v>27</v>
      </c>
      <c r="B81" s="1" t="s">
        <v>27</v>
      </c>
      <c r="C81" s="1" t="s">
        <v>27</v>
      </c>
      <c r="D81" s="26"/>
      <c r="E81" s="26"/>
      <c r="F81" s="26"/>
      <c r="G81" s="26"/>
      <c r="H81" s="27"/>
      <c r="I81" s="28" t="s">
        <v>27</v>
      </c>
      <c r="J81" s="1" t="s">
        <v>27</v>
      </c>
      <c r="K81" s="1" t="s">
        <v>27</v>
      </c>
      <c r="L81" s="26"/>
      <c r="M81" s="26"/>
      <c r="N81" s="26"/>
      <c r="O81" s="26"/>
      <c r="P81" s="27"/>
    </row>
    <row r="82" spans="1:16">
      <c r="A82" s="28" t="s">
        <v>27</v>
      </c>
      <c r="B82" s="1" t="s">
        <v>27</v>
      </c>
      <c r="C82" s="1" t="s">
        <v>27</v>
      </c>
      <c r="D82" s="26"/>
      <c r="E82" s="26"/>
      <c r="F82" s="26"/>
      <c r="G82" s="26"/>
      <c r="H82" s="27"/>
      <c r="I82" s="28" t="s">
        <v>27</v>
      </c>
      <c r="J82" s="1" t="s">
        <v>27</v>
      </c>
      <c r="K82" s="1" t="s">
        <v>27</v>
      </c>
      <c r="L82" s="26"/>
      <c r="M82" s="26"/>
      <c r="N82" s="26"/>
      <c r="O82" s="26"/>
      <c r="P82" s="27"/>
    </row>
    <row r="83" spans="1:16">
      <c r="A83" s="28" t="s">
        <v>27</v>
      </c>
      <c r="B83" s="1" t="s">
        <v>27</v>
      </c>
      <c r="C83" s="1" t="s">
        <v>27</v>
      </c>
      <c r="D83" s="26"/>
      <c r="E83" s="26"/>
      <c r="F83" s="26"/>
      <c r="G83" s="26"/>
      <c r="H83" s="27"/>
      <c r="I83" s="28" t="s">
        <v>27</v>
      </c>
      <c r="J83" s="1" t="s">
        <v>27</v>
      </c>
      <c r="K83" s="1" t="s">
        <v>27</v>
      </c>
      <c r="L83" s="26"/>
      <c r="M83" s="26"/>
      <c r="N83" s="26"/>
      <c r="O83" s="26"/>
      <c r="P83" s="27"/>
    </row>
    <row r="84" spans="1:16">
      <c r="A84" s="28" t="s">
        <v>27</v>
      </c>
      <c r="B84" s="1" t="s">
        <v>27</v>
      </c>
      <c r="C84" s="1" t="s">
        <v>27</v>
      </c>
      <c r="D84" s="26"/>
      <c r="E84" s="26"/>
      <c r="F84" s="26"/>
      <c r="G84" s="26"/>
      <c r="H84" s="27"/>
      <c r="I84" s="28" t="s">
        <v>27</v>
      </c>
      <c r="J84" s="1" t="s">
        <v>27</v>
      </c>
      <c r="K84" s="1" t="s">
        <v>27</v>
      </c>
      <c r="L84" s="26"/>
      <c r="M84" s="26"/>
      <c r="N84" s="26"/>
      <c r="O84" s="26"/>
      <c r="P84" s="27"/>
    </row>
    <row r="85" spans="1:16">
      <c r="A85" s="28" t="s">
        <v>27</v>
      </c>
      <c r="B85" s="1" t="s">
        <v>27</v>
      </c>
      <c r="C85" s="1" t="s">
        <v>27</v>
      </c>
      <c r="D85" s="26"/>
      <c r="E85" s="26"/>
      <c r="F85" s="26"/>
      <c r="G85" s="26"/>
      <c r="H85" s="27"/>
      <c r="I85" s="28" t="s">
        <v>27</v>
      </c>
      <c r="J85" s="1" t="s">
        <v>27</v>
      </c>
      <c r="K85" s="1" t="s">
        <v>27</v>
      </c>
      <c r="L85" s="26"/>
      <c r="M85" s="26"/>
      <c r="N85" s="26"/>
      <c r="O85" s="26"/>
      <c r="P85" s="27"/>
    </row>
    <row r="86" spans="1:16">
      <c r="A86" s="28" t="s">
        <v>27</v>
      </c>
      <c r="B86" s="1" t="s">
        <v>27</v>
      </c>
      <c r="C86" s="1" t="s">
        <v>27</v>
      </c>
      <c r="D86" s="26"/>
      <c r="E86" s="26"/>
      <c r="F86" s="26"/>
      <c r="G86" s="26"/>
      <c r="H86" s="27"/>
      <c r="I86" s="28" t="s">
        <v>27</v>
      </c>
      <c r="J86" s="1" t="s">
        <v>27</v>
      </c>
      <c r="K86" s="1" t="s">
        <v>27</v>
      </c>
      <c r="L86" s="26"/>
      <c r="M86" s="26"/>
      <c r="N86" s="26"/>
      <c r="O86" s="26"/>
      <c r="P86" s="27"/>
    </row>
    <row r="87" spans="1:16">
      <c r="A87" s="28" t="s">
        <v>27</v>
      </c>
      <c r="B87" s="1" t="s">
        <v>27</v>
      </c>
      <c r="C87" s="1" t="s">
        <v>27</v>
      </c>
      <c r="D87" s="26"/>
      <c r="E87" s="26"/>
      <c r="F87" s="26"/>
      <c r="G87" s="26"/>
      <c r="H87" s="27"/>
      <c r="I87" s="28" t="s">
        <v>27</v>
      </c>
      <c r="J87" s="1" t="s">
        <v>27</v>
      </c>
      <c r="K87" s="1" t="s">
        <v>27</v>
      </c>
      <c r="L87" s="26"/>
      <c r="M87" s="26"/>
      <c r="N87" s="26"/>
      <c r="O87" s="26"/>
      <c r="P87" s="27"/>
    </row>
    <row r="88" spans="1:16">
      <c r="A88" s="28" t="s">
        <v>27</v>
      </c>
      <c r="B88" s="1" t="s">
        <v>27</v>
      </c>
      <c r="C88" s="1" t="s">
        <v>27</v>
      </c>
      <c r="D88" s="26"/>
      <c r="E88" s="26"/>
      <c r="F88" s="26"/>
      <c r="G88" s="26"/>
      <c r="H88" s="27"/>
      <c r="I88" s="28" t="s">
        <v>27</v>
      </c>
      <c r="J88" s="1" t="s">
        <v>27</v>
      </c>
      <c r="K88" s="1" t="s">
        <v>27</v>
      </c>
      <c r="L88" s="26"/>
      <c r="M88" s="26"/>
      <c r="N88" s="26"/>
      <c r="O88" s="26"/>
      <c r="P88" s="27"/>
    </row>
    <row r="89" spans="1:16">
      <c r="A89" s="28" t="s">
        <v>27</v>
      </c>
      <c r="B89" s="1" t="s">
        <v>27</v>
      </c>
      <c r="C89" s="1" t="s">
        <v>27</v>
      </c>
      <c r="D89" s="26"/>
      <c r="E89" s="26"/>
      <c r="F89" s="26"/>
      <c r="G89" s="26"/>
      <c r="H89" s="27"/>
      <c r="I89" s="28" t="s">
        <v>27</v>
      </c>
      <c r="J89" s="1" t="s">
        <v>27</v>
      </c>
      <c r="K89" s="1" t="s">
        <v>27</v>
      </c>
      <c r="L89" s="26"/>
      <c r="M89" s="26"/>
      <c r="N89" s="26"/>
      <c r="O89" s="26"/>
      <c r="P89" s="27"/>
    </row>
    <row r="90" spans="1:16">
      <c r="A90" s="28" t="s">
        <v>27</v>
      </c>
      <c r="B90" s="1" t="s">
        <v>27</v>
      </c>
      <c r="C90" s="1" t="s">
        <v>27</v>
      </c>
      <c r="D90" s="26"/>
      <c r="E90" s="26"/>
      <c r="F90" s="26"/>
      <c r="G90" s="26"/>
      <c r="H90" s="27"/>
      <c r="I90" s="28" t="s">
        <v>27</v>
      </c>
      <c r="J90" s="1" t="s">
        <v>27</v>
      </c>
      <c r="K90" s="1" t="s">
        <v>27</v>
      </c>
      <c r="L90" s="26"/>
      <c r="M90" s="26"/>
      <c r="N90" s="26"/>
      <c r="O90" s="26"/>
      <c r="P90" s="27"/>
    </row>
    <row r="91" spans="1:16">
      <c r="A91" s="28" t="s">
        <v>27</v>
      </c>
      <c r="B91" s="1" t="s">
        <v>27</v>
      </c>
      <c r="C91" s="1" t="s">
        <v>27</v>
      </c>
      <c r="D91" s="26"/>
      <c r="E91" s="26"/>
      <c r="F91" s="26"/>
      <c r="G91" s="26"/>
      <c r="H91" s="27"/>
      <c r="I91" s="28" t="s">
        <v>27</v>
      </c>
      <c r="J91" s="1" t="s">
        <v>27</v>
      </c>
      <c r="K91" s="1" t="s">
        <v>27</v>
      </c>
      <c r="L91" s="26"/>
      <c r="M91" s="26"/>
      <c r="N91" s="26"/>
      <c r="O91" s="26"/>
      <c r="P91" s="27"/>
    </row>
    <row r="92" spans="1:16">
      <c r="A92" s="28" t="s">
        <v>27</v>
      </c>
      <c r="B92" s="1" t="s">
        <v>27</v>
      </c>
      <c r="C92" s="1" t="s">
        <v>27</v>
      </c>
      <c r="D92" s="26"/>
      <c r="E92" s="26"/>
      <c r="F92" s="26"/>
      <c r="G92" s="26"/>
      <c r="H92" s="27"/>
      <c r="I92" s="28" t="s">
        <v>27</v>
      </c>
      <c r="J92" s="1" t="s">
        <v>27</v>
      </c>
      <c r="K92" s="1" t="s">
        <v>27</v>
      </c>
      <c r="L92" s="26"/>
      <c r="M92" s="26"/>
      <c r="N92" s="26"/>
      <c r="O92" s="26"/>
      <c r="P92" s="27"/>
    </row>
    <row r="93" spans="1:16">
      <c r="A93" s="28" t="s">
        <v>27</v>
      </c>
      <c r="B93" s="1" t="s">
        <v>27</v>
      </c>
      <c r="C93" s="1" t="s">
        <v>27</v>
      </c>
      <c r="D93" s="26"/>
      <c r="E93" s="26"/>
      <c r="F93" s="26"/>
      <c r="G93" s="26"/>
      <c r="H93" s="27"/>
      <c r="I93" s="28" t="s">
        <v>27</v>
      </c>
      <c r="J93" s="1" t="s">
        <v>27</v>
      </c>
      <c r="K93" s="1" t="s">
        <v>27</v>
      </c>
      <c r="L93" s="26"/>
      <c r="M93" s="26"/>
      <c r="N93" s="26"/>
      <c r="O93" s="26"/>
      <c r="P93" s="27"/>
    </row>
    <row r="94" spans="1:16">
      <c r="A94" s="28" t="s">
        <v>27</v>
      </c>
      <c r="B94" s="1" t="s">
        <v>27</v>
      </c>
      <c r="C94" s="1" t="s">
        <v>27</v>
      </c>
      <c r="D94" s="26"/>
      <c r="E94" s="26"/>
      <c r="F94" s="26"/>
      <c r="G94" s="26"/>
      <c r="H94" s="27"/>
      <c r="I94" s="28" t="s">
        <v>27</v>
      </c>
      <c r="J94" s="1" t="s">
        <v>27</v>
      </c>
      <c r="K94" s="1" t="s">
        <v>27</v>
      </c>
      <c r="L94" s="26"/>
      <c r="M94" s="26"/>
      <c r="N94" s="26"/>
      <c r="O94" s="26"/>
      <c r="P94" s="27"/>
    </row>
    <row r="95" spans="1:16">
      <c r="A95" s="28" t="s">
        <v>27</v>
      </c>
      <c r="B95" s="1" t="s">
        <v>27</v>
      </c>
      <c r="C95" s="1" t="s">
        <v>27</v>
      </c>
      <c r="D95" s="26"/>
      <c r="E95" s="26"/>
      <c r="F95" s="26"/>
      <c r="G95" s="26"/>
      <c r="H95" s="27"/>
      <c r="I95" s="28" t="s">
        <v>27</v>
      </c>
      <c r="J95" s="1" t="s">
        <v>27</v>
      </c>
      <c r="K95" s="1" t="s">
        <v>27</v>
      </c>
      <c r="L95" s="26"/>
      <c r="M95" s="26"/>
      <c r="N95" s="26"/>
      <c r="O95" s="26"/>
      <c r="P95" s="27"/>
    </row>
    <row r="96" spans="1:16">
      <c r="A96" s="28" t="s">
        <v>27</v>
      </c>
      <c r="B96" s="1" t="s">
        <v>27</v>
      </c>
      <c r="C96" s="1" t="s">
        <v>27</v>
      </c>
      <c r="D96" s="26"/>
      <c r="E96" s="26"/>
      <c r="F96" s="26"/>
      <c r="G96" s="26"/>
      <c r="H96" s="27"/>
      <c r="I96" s="28" t="s">
        <v>27</v>
      </c>
      <c r="J96" s="1" t="s">
        <v>27</v>
      </c>
      <c r="K96" s="1" t="s">
        <v>27</v>
      </c>
      <c r="L96" s="26"/>
      <c r="M96" s="26"/>
      <c r="N96" s="26"/>
      <c r="O96" s="26"/>
      <c r="P96" s="27"/>
    </row>
    <row r="97" spans="1:16">
      <c r="A97" s="28" t="s">
        <v>27</v>
      </c>
      <c r="B97" s="1" t="s">
        <v>27</v>
      </c>
      <c r="C97" s="1" t="s">
        <v>27</v>
      </c>
      <c r="D97" s="26"/>
      <c r="E97" s="26"/>
      <c r="F97" s="26"/>
      <c r="G97" s="26"/>
      <c r="H97" s="27"/>
      <c r="I97" s="28" t="s">
        <v>27</v>
      </c>
      <c r="J97" s="1" t="s">
        <v>27</v>
      </c>
      <c r="K97" s="1" t="s">
        <v>27</v>
      </c>
      <c r="L97" s="26"/>
      <c r="M97" s="26"/>
      <c r="N97" s="26"/>
      <c r="O97" s="26"/>
      <c r="P97" s="27"/>
    </row>
    <row r="98" spans="1:16">
      <c r="A98" s="28" t="s">
        <v>27</v>
      </c>
      <c r="B98" s="1" t="s">
        <v>27</v>
      </c>
      <c r="C98" s="1" t="s">
        <v>27</v>
      </c>
      <c r="D98" s="26"/>
      <c r="E98" s="26"/>
      <c r="F98" s="26"/>
      <c r="G98" s="26"/>
      <c r="H98" s="27"/>
      <c r="I98" s="28" t="s">
        <v>27</v>
      </c>
      <c r="J98" s="1" t="s">
        <v>27</v>
      </c>
      <c r="K98" s="1" t="s">
        <v>27</v>
      </c>
      <c r="L98" s="26"/>
      <c r="M98" s="26"/>
      <c r="N98" s="26"/>
      <c r="O98" s="26"/>
      <c r="P98" s="27"/>
    </row>
    <row r="99" spans="1:16">
      <c r="A99" s="28" t="s">
        <v>27</v>
      </c>
      <c r="B99" s="1" t="s">
        <v>27</v>
      </c>
      <c r="C99" s="1" t="s">
        <v>27</v>
      </c>
      <c r="D99" s="26"/>
      <c r="E99" s="26"/>
      <c r="F99" s="26"/>
      <c r="G99" s="26"/>
      <c r="H99" s="27"/>
      <c r="I99" s="28" t="s">
        <v>27</v>
      </c>
      <c r="J99" s="1" t="s">
        <v>27</v>
      </c>
      <c r="K99" s="1" t="s">
        <v>27</v>
      </c>
      <c r="L99" s="26"/>
      <c r="M99" s="26"/>
      <c r="N99" s="26"/>
      <c r="O99" s="26"/>
      <c r="P99" s="27"/>
    </row>
    <row r="100" spans="1:16" ht="15.75" thickBot="1">
      <c r="A100" s="29" t="s">
        <v>27</v>
      </c>
      <c r="B100" s="30" t="s">
        <v>27</v>
      </c>
      <c r="C100" s="30" t="s">
        <v>27</v>
      </c>
      <c r="D100" s="31"/>
      <c r="E100" s="31"/>
      <c r="F100" s="31"/>
      <c r="G100" s="31"/>
      <c r="H100" s="32"/>
      <c r="I100" s="29" t="s">
        <v>27</v>
      </c>
      <c r="J100" s="30" t="s">
        <v>27</v>
      </c>
      <c r="K100" s="30" t="s">
        <v>27</v>
      </c>
      <c r="L100" s="31"/>
      <c r="M100" s="31"/>
      <c r="N100" s="31"/>
      <c r="O100" s="31"/>
      <c r="P100" s="32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ageMargins left="0.7" right="0.7" top="0.75" bottom="0.75" header="0.3" footer="0.3"/>
  <pageSetup paperSize="9"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2F0D7-0984-493E-825A-4129FDCFA3D3}">
  <dimension ref="A1:AB100"/>
  <sheetViews>
    <sheetView topLeftCell="F1" workbookViewId="0">
      <selection activeCell="J24" sqref="J24"/>
    </sheetView>
  </sheetViews>
  <sheetFormatPr defaultRowHeight="15"/>
  <sheetData>
    <row r="1" spans="1:28" ht="15.75">
      <c r="A1" s="62" t="s">
        <v>30</v>
      </c>
      <c r="B1" s="63"/>
      <c r="C1" s="63"/>
      <c r="D1" s="63"/>
      <c r="E1" s="63"/>
      <c r="F1" s="64" t="s">
        <v>3</v>
      </c>
      <c r="G1" s="64"/>
      <c r="H1" s="24" cm="1">
        <f t="array" ref="H1">SUM(VLOOKUP(A4:C100,$T$3:$W$36,4,FALSE))+H4*10-H8*50</f>
        <v>3287.327288882444</v>
      </c>
      <c r="I1" s="65" t="s">
        <v>41</v>
      </c>
      <c r="J1" s="66"/>
      <c r="K1" s="66"/>
      <c r="L1" s="66"/>
      <c r="M1" s="66"/>
      <c r="N1" s="66"/>
      <c r="O1" s="66"/>
      <c r="P1" s="67"/>
      <c r="Q1" s="65" t="s">
        <v>48</v>
      </c>
      <c r="R1" s="66"/>
      <c r="S1" s="66"/>
      <c r="T1" s="66"/>
      <c r="U1" s="66"/>
      <c r="V1" s="66"/>
      <c r="W1" s="66"/>
      <c r="X1" s="66"/>
      <c r="Y1" s="66"/>
      <c r="Z1" s="66"/>
      <c r="AA1" s="66"/>
      <c r="AB1" s="67"/>
    </row>
    <row r="2" spans="1:28" ht="30">
      <c r="A2" s="68" t="s">
        <v>35</v>
      </c>
      <c r="B2" s="69"/>
      <c r="C2" s="69"/>
      <c r="D2" s="70" t="s">
        <v>37</v>
      </c>
      <c r="E2" s="71"/>
      <c r="F2" s="71"/>
      <c r="G2" s="71"/>
      <c r="H2" s="72"/>
      <c r="I2" s="73" t="s">
        <v>35</v>
      </c>
      <c r="J2" s="74"/>
      <c r="K2" s="74"/>
      <c r="L2" s="75" t="s">
        <v>37</v>
      </c>
      <c r="M2" s="75"/>
      <c r="N2" s="75"/>
      <c r="O2" s="75"/>
      <c r="P2" s="76"/>
      <c r="Q2" s="50" t="s">
        <v>43</v>
      </c>
      <c r="R2" s="51" cm="1">
        <f t="array" ref="R2">SUM(V3:V28*AB3:AB28)+H6+P6+R4*500</f>
        <v>64965</v>
      </c>
      <c r="S2" s="26"/>
      <c r="T2" s="1" t="s">
        <v>0</v>
      </c>
      <c r="U2" s="1" t="s">
        <v>1</v>
      </c>
      <c r="V2" s="1" t="s">
        <v>2</v>
      </c>
      <c r="W2" s="44" t="s">
        <v>3</v>
      </c>
      <c r="X2" s="46" t="s">
        <v>44</v>
      </c>
      <c r="Y2" s="46" t="s">
        <v>56</v>
      </c>
      <c r="Z2" s="47" t="s">
        <v>45</v>
      </c>
      <c r="AA2" s="47" t="s">
        <v>46</v>
      </c>
      <c r="AB2" s="52" t="s">
        <v>47</v>
      </c>
    </row>
    <row r="3" spans="1:28">
      <c r="A3" s="60" t="s">
        <v>31</v>
      </c>
      <c r="B3" s="61" t="s">
        <v>32</v>
      </c>
      <c r="C3" s="20" t="s">
        <v>33</v>
      </c>
      <c r="D3" s="33"/>
      <c r="E3" s="60" t="s">
        <v>31</v>
      </c>
      <c r="F3" s="61" t="s">
        <v>32</v>
      </c>
      <c r="G3" s="20" t="s">
        <v>33</v>
      </c>
      <c r="H3" s="34" t="s">
        <v>36</v>
      </c>
      <c r="I3" s="60" t="s">
        <v>31</v>
      </c>
      <c r="J3" s="61" t="s">
        <v>32</v>
      </c>
      <c r="K3" s="20" t="s">
        <v>33</v>
      </c>
      <c r="L3" s="33"/>
      <c r="M3" s="60" t="s">
        <v>31</v>
      </c>
      <c r="N3" s="61" t="s">
        <v>32</v>
      </c>
      <c r="O3" s="20" t="s">
        <v>33</v>
      </c>
      <c r="P3" s="34" t="s">
        <v>36</v>
      </c>
      <c r="Q3" s="53" t="s">
        <v>49</v>
      </c>
      <c r="R3" s="26">
        <v>91</v>
      </c>
      <c r="S3" s="26"/>
      <c r="T3" s="2" t="s">
        <v>4</v>
      </c>
      <c r="U3" s="1">
        <v>150</v>
      </c>
      <c r="V3" s="1">
        <v>35</v>
      </c>
      <c r="W3" s="45">
        <f>U3-V3/0.330882</f>
        <v>44.222109392472248</v>
      </c>
      <c r="X3" s="46"/>
      <c r="Y3" s="46">
        <v>25</v>
      </c>
      <c r="Z3" s="1">
        <f>COUNTIF($A$4:$C$100,T3)</f>
        <v>17</v>
      </c>
      <c r="AA3" s="1">
        <f>COUNTIF($I$4:$K$100,T3)</f>
        <v>8</v>
      </c>
      <c r="AB3" s="54">
        <f>Y3-Z3-AA3</f>
        <v>0</v>
      </c>
    </row>
    <row r="4" spans="1:28">
      <c r="A4" s="2" t="s">
        <v>4</v>
      </c>
      <c r="B4" s="2" t="s">
        <v>4</v>
      </c>
      <c r="C4" s="3" t="s">
        <v>5</v>
      </c>
      <c r="D4" s="43" t="s">
        <v>34</v>
      </c>
      <c r="E4" s="39">
        <v>0</v>
      </c>
      <c r="F4" s="39">
        <v>12</v>
      </c>
      <c r="G4" s="39">
        <v>10</v>
      </c>
      <c r="H4" s="36">
        <f>SUM(E4:G4)</f>
        <v>22</v>
      </c>
      <c r="I4" s="2" t="s">
        <v>4</v>
      </c>
      <c r="J4" s="3" t="s">
        <v>5</v>
      </c>
      <c r="K4" s="3" t="s">
        <v>5</v>
      </c>
      <c r="L4" s="43" t="s">
        <v>34</v>
      </c>
      <c r="M4" s="39">
        <v>1</v>
      </c>
      <c r="N4" s="39">
        <v>0</v>
      </c>
      <c r="O4" s="39">
        <v>3</v>
      </c>
      <c r="P4" s="36">
        <f>SUM(M4:O4)</f>
        <v>4</v>
      </c>
      <c r="Q4" s="53" t="s">
        <v>50</v>
      </c>
      <c r="R4" s="40">
        <v>14</v>
      </c>
      <c r="S4" s="26"/>
      <c r="T4" s="3" t="s">
        <v>5</v>
      </c>
      <c r="U4" s="1">
        <v>160</v>
      </c>
      <c r="V4" s="1">
        <v>40</v>
      </c>
      <c r="W4" s="45">
        <f t="shared" ref="W4" si="0">U4-V4/0.330882</f>
        <v>39.110982162825422</v>
      </c>
      <c r="X4" s="46"/>
      <c r="Y4" s="46">
        <v>51</v>
      </c>
      <c r="Z4" s="1">
        <f t="shared" ref="Z4:Z28" si="1">COUNTIF($A$4:$C$100,T4)</f>
        <v>30</v>
      </c>
      <c r="AA4" s="1">
        <f t="shared" ref="AA4:AA28" si="2">COUNTIF($I$4:$K$100,T4)</f>
        <v>21</v>
      </c>
      <c r="AB4" s="54">
        <f t="shared" ref="AB4:AB28" si="3">Y4-Z4-AA4</f>
        <v>0</v>
      </c>
    </row>
    <row r="5" spans="1:28">
      <c r="A5" s="2" t="s">
        <v>4</v>
      </c>
      <c r="B5" s="2" t="s">
        <v>4</v>
      </c>
      <c r="C5" s="23" t="s">
        <v>29</v>
      </c>
      <c r="D5" s="33" t="s">
        <v>38</v>
      </c>
      <c r="E5" s="35" cm="1">
        <f t="array" ref="E5">(SUM(VLOOKUP(A4:A100,$T$3:$W$41,2,FALSE))+E4*10)-E8*50</f>
        <v>900</v>
      </c>
      <c r="F5" s="35" cm="1">
        <f t="array" ref="F5">(SUM(VLOOKUP(B4:B100,$T$3:$W$41,2,FALSE))+F4*10)-F8*50</f>
        <v>6980</v>
      </c>
      <c r="G5" s="35" cm="1">
        <f t="array" ref="G5">(SUM(VLOOKUP(C4:C100,$T$3:$W$41,2,FALSE))+G4*10)-G8*50</f>
        <v>6660</v>
      </c>
      <c r="H5" s="59">
        <f t="shared" ref="H5:H8" si="4">SUM(E5:G5)</f>
        <v>14540</v>
      </c>
      <c r="I5" s="15" t="s">
        <v>17</v>
      </c>
      <c r="J5" s="3" t="s">
        <v>5</v>
      </c>
      <c r="K5" s="3" t="s">
        <v>5</v>
      </c>
      <c r="L5" s="33" t="s">
        <v>38</v>
      </c>
      <c r="M5" s="35" cm="1">
        <f t="array" ref="M5">(SUM(VLOOKUP(I4:I100,$T$3:$W$41,2,FALSE))+M4*10)*0.8-M8*40</f>
        <v>1728</v>
      </c>
      <c r="N5" s="35" cm="1">
        <f t="array" ref="N5">(SUM(VLOOKUP(J4:J100,$T$3:$W$41,2,FALSE))+N4*10)*0.8-N8*40</f>
        <v>504</v>
      </c>
      <c r="O5" s="35" cm="1">
        <f t="array" ref="O5">(SUM(VLOOKUP(K4:K100,$T$3:$W$41,2,FALSE))+O4*10)*0.8-O8*40</f>
        <v>1808</v>
      </c>
      <c r="P5" s="59">
        <f t="shared" ref="P5:P8" si="5">SUM(M5:O5)</f>
        <v>4040</v>
      </c>
      <c r="Q5" s="53" t="s">
        <v>51</v>
      </c>
      <c r="R5" s="26">
        <v>6000</v>
      </c>
      <c r="S5" s="26"/>
      <c r="T5" s="4" t="s">
        <v>6</v>
      </c>
      <c r="U5" s="1">
        <v>170</v>
      </c>
      <c r="V5" s="1">
        <v>45</v>
      </c>
      <c r="W5" s="45">
        <v>34</v>
      </c>
      <c r="X5" s="48"/>
      <c r="Y5" s="46">
        <v>220</v>
      </c>
      <c r="Z5" s="1">
        <f t="shared" si="1"/>
        <v>31</v>
      </c>
      <c r="AA5" s="1">
        <f t="shared" si="2"/>
        <v>0</v>
      </c>
      <c r="AB5" s="54">
        <f t="shared" si="3"/>
        <v>189</v>
      </c>
    </row>
    <row r="6" spans="1:28">
      <c r="A6" s="2" t="s">
        <v>4</v>
      </c>
      <c r="B6" s="2" t="s">
        <v>4</v>
      </c>
      <c r="C6" s="3" t="s">
        <v>5</v>
      </c>
      <c r="D6" s="33" t="s">
        <v>39</v>
      </c>
      <c r="E6" s="35" cm="1">
        <f t="array" ref="E6">(SUM(VLOOKUP(A4:A100,$T$3:$W$41,3,FALSE)))</f>
        <v>210</v>
      </c>
      <c r="F6" s="35" cm="1">
        <f t="array" ref="F6">(SUM(VLOOKUP(B4:B100,$T$3:$W$41,3,FALSE)))</f>
        <v>1945</v>
      </c>
      <c r="G6" s="35" cm="1">
        <f t="array" ref="G6">(SUM(VLOOKUP(C4:C100,$T$3:$W$41,3,FALSE)))</f>
        <v>2610</v>
      </c>
      <c r="H6" s="49">
        <f t="shared" si="4"/>
        <v>4765</v>
      </c>
      <c r="I6" s="2" t="s">
        <v>4</v>
      </c>
      <c r="J6" s="3" t="s">
        <v>5</v>
      </c>
      <c r="K6" s="3" t="s">
        <v>5</v>
      </c>
      <c r="L6" s="33" t="s">
        <v>39</v>
      </c>
      <c r="M6" s="35" cm="1">
        <f t="array" ref="M6">(SUM(VLOOKUP(I4:I100,$T$3:$W$41,3,FALSE)))</f>
        <v>700</v>
      </c>
      <c r="N6" s="35" cm="1">
        <f t="array" ref="N6">(SUM(VLOOKUP(J4:J100,$T$3:$W$41,3,FALSE)))</f>
        <v>160</v>
      </c>
      <c r="O6" s="35" cm="1">
        <f t="array" ref="O6">(SUM(VLOOKUP(K4:K100,$T$3:$W$41,3,FALSE)))</f>
        <v>610</v>
      </c>
      <c r="P6" s="49">
        <f t="shared" si="5"/>
        <v>1470</v>
      </c>
      <c r="Q6" s="50" t="s">
        <v>52</v>
      </c>
      <c r="R6" s="26">
        <f>R3*1600-800+R5</f>
        <v>150800</v>
      </c>
      <c r="S6" s="26"/>
      <c r="T6" s="5" t="s">
        <v>7</v>
      </c>
      <c r="U6" s="1">
        <v>180</v>
      </c>
      <c r="V6" s="1">
        <v>50</v>
      </c>
      <c r="W6" s="45">
        <v>36</v>
      </c>
      <c r="X6" s="46">
        <v>262</v>
      </c>
      <c r="Y6" s="46">
        <v>261</v>
      </c>
      <c r="Z6" s="1">
        <f t="shared" si="1"/>
        <v>0</v>
      </c>
      <c r="AA6" s="1">
        <f t="shared" si="2"/>
        <v>0</v>
      </c>
      <c r="AB6" s="54">
        <f t="shared" si="3"/>
        <v>261</v>
      </c>
    </row>
    <row r="7" spans="1:28">
      <c r="A7" s="2" t="s">
        <v>4</v>
      </c>
      <c r="B7" s="2" t="s">
        <v>4</v>
      </c>
      <c r="C7" s="4" t="s">
        <v>6</v>
      </c>
      <c r="D7" s="33" t="s">
        <v>40</v>
      </c>
      <c r="E7" s="35">
        <f>COUNTIF(A4:A100,"&lt;&gt;空")</f>
        <v>6</v>
      </c>
      <c r="F7" s="35">
        <f>COUNTIF(B4:B100,"&lt;&gt;空")</f>
        <v>44</v>
      </c>
      <c r="G7" s="35">
        <f>COUNTIF(C4:C100,"&lt;&gt;空")</f>
        <v>47</v>
      </c>
      <c r="H7" s="36">
        <f t="shared" si="4"/>
        <v>97</v>
      </c>
      <c r="I7" s="2" t="s">
        <v>4</v>
      </c>
      <c r="J7" s="1" t="s">
        <v>27</v>
      </c>
      <c r="K7" s="15" t="s">
        <v>17</v>
      </c>
      <c r="L7" s="33" t="s">
        <v>40</v>
      </c>
      <c r="M7" s="35">
        <f>COUNTIF(I4:I100,"&lt;&gt;空")</f>
        <v>21</v>
      </c>
      <c r="N7" s="35">
        <f>COUNTIF(J4:J100,"&lt;&gt;空")</f>
        <v>4</v>
      </c>
      <c r="O7" s="35">
        <f>COUNTIF(K4:K100,"&lt;&gt;空")</f>
        <v>16</v>
      </c>
      <c r="P7" s="36">
        <f t="shared" si="5"/>
        <v>41</v>
      </c>
      <c r="Q7" s="53" t="s">
        <v>55</v>
      </c>
      <c r="R7" s="26">
        <v>0</v>
      </c>
      <c r="S7" s="26"/>
      <c r="T7" s="6" t="s">
        <v>8</v>
      </c>
      <c r="U7" s="1">
        <v>190</v>
      </c>
      <c r="V7" s="1">
        <v>55</v>
      </c>
      <c r="W7" s="45">
        <v>38</v>
      </c>
      <c r="X7" s="46">
        <v>236</v>
      </c>
      <c r="Y7" s="46">
        <v>236</v>
      </c>
      <c r="Z7" s="1">
        <f t="shared" si="1"/>
        <v>0</v>
      </c>
      <c r="AA7" s="1">
        <f t="shared" si="2"/>
        <v>0</v>
      </c>
      <c r="AB7" s="54">
        <f t="shared" si="3"/>
        <v>236</v>
      </c>
    </row>
    <row r="8" spans="1:28">
      <c r="A8" s="2" t="s">
        <v>4</v>
      </c>
      <c r="B8" s="2" t="s">
        <v>4</v>
      </c>
      <c r="C8" s="4" t="s">
        <v>6</v>
      </c>
      <c r="D8" s="42" t="s">
        <v>70</v>
      </c>
      <c r="E8" s="41">
        <v>0</v>
      </c>
      <c r="F8" s="41">
        <v>1</v>
      </c>
      <c r="G8" s="41">
        <v>0</v>
      </c>
      <c r="H8" s="36">
        <f t="shared" si="4"/>
        <v>1</v>
      </c>
      <c r="I8" s="15" t="s">
        <v>17</v>
      </c>
      <c r="J8" s="9" t="s">
        <v>11</v>
      </c>
      <c r="K8" s="3" t="s">
        <v>5</v>
      </c>
      <c r="L8" s="42" t="s">
        <v>70</v>
      </c>
      <c r="M8" s="41">
        <v>2</v>
      </c>
      <c r="N8" s="41">
        <v>0</v>
      </c>
      <c r="O8" s="41">
        <v>0</v>
      </c>
      <c r="P8" s="36">
        <f t="shared" si="5"/>
        <v>2</v>
      </c>
      <c r="Q8" s="50" t="s">
        <v>54</v>
      </c>
      <c r="R8" s="55" cm="1">
        <f t="array" ref="R8">R6-P5-H5-SUM(U3:U28*AB3:AB28)*0.8-R7*8</f>
        <v>60</v>
      </c>
      <c r="S8" s="26"/>
      <c r="T8" s="7" t="s">
        <v>9</v>
      </c>
      <c r="U8" s="1">
        <v>200</v>
      </c>
      <c r="V8" s="1">
        <v>60</v>
      </c>
      <c r="W8" s="45"/>
      <c r="X8" s="46">
        <v>194</v>
      </c>
      <c r="Y8" s="46">
        <v>194</v>
      </c>
      <c r="Z8" s="1">
        <f t="shared" si="1"/>
        <v>0</v>
      </c>
      <c r="AA8" s="1">
        <f t="shared" si="2"/>
        <v>0</v>
      </c>
      <c r="AB8" s="54">
        <f t="shared" si="3"/>
        <v>194</v>
      </c>
    </row>
    <row r="9" spans="1:28">
      <c r="A9" s="2" t="s">
        <v>4</v>
      </c>
      <c r="B9" s="2" t="s">
        <v>4</v>
      </c>
      <c r="C9" s="17" t="s">
        <v>19</v>
      </c>
      <c r="D9" s="26"/>
      <c r="E9" s="26"/>
      <c r="F9" s="26"/>
      <c r="G9" s="26"/>
      <c r="H9" s="27"/>
      <c r="I9" s="1" t="s">
        <v>27</v>
      </c>
      <c r="J9" s="1" t="s">
        <v>27</v>
      </c>
      <c r="K9" s="3" t="s">
        <v>5</v>
      </c>
      <c r="L9" s="33" t="s">
        <v>42</v>
      </c>
      <c r="M9" s="37">
        <f>M6/M5</f>
        <v>0.40509259259259262</v>
      </c>
      <c r="N9" s="37">
        <f>N6/N5</f>
        <v>0.31746031746031744</v>
      </c>
      <c r="O9" s="37">
        <f>O6/O5</f>
        <v>0.33738938053097345</v>
      </c>
      <c r="P9" s="38">
        <f>P6/P5</f>
        <v>0.36386138613861385</v>
      </c>
      <c r="Q9" s="50"/>
      <c r="R9" s="26"/>
      <c r="S9" s="26"/>
      <c r="T9" s="8" t="s">
        <v>10</v>
      </c>
      <c r="U9" s="1">
        <v>150</v>
      </c>
      <c r="V9" s="1">
        <v>35</v>
      </c>
      <c r="W9" s="45">
        <f t="shared" ref="W9:W11" si="6">U9-V9/0.330882</f>
        <v>44.222109392472248</v>
      </c>
      <c r="X9" s="46">
        <v>3</v>
      </c>
      <c r="Y9" s="46">
        <v>0</v>
      </c>
      <c r="Z9" s="1">
        <f t="shared" si="1"/>
        <v>0</v>
      </c>
      <c r="AA9" s="1">
        <f t="shared" si="2"/>
        <v>0</v>
      </c>
      <c r="AB9" s="54">
        <f t="shared" si="3"/>
        <v>0</v>
      </c>
    </row>
    <row r="10" spans="1:28">
      <c r="A10" s="1" t="s">
        <v>27</v>
      </c>
      <c r="B10" s="1" t="s">
        <v>27</v>
      </c>
      <c r="C10" s="4" t="s">
        <v>6</v>
      </c>
      <c r="D10" s="26"/>
      <c r="E10" s="26"/>
      <c r="F10" s="26"/>
      <c r="G10" s="26"/>
      <c r="H10" s="27"/>
      <c r="I10" s="3" t="s">
        <v>5</v>
      </c>
      <c r="J10" s="1" t="s">
        <v>27</v>
      </c>
      <c r="K10" s="1" t="s">
        <v>27</v>
      </c>
      <c r="L10" s="26"/>
      <c r="M10" s="26"/>
      <c r="N10" s="26"/>
      <c r="O10" s="26"/>
      <c r="P10" s="27"/>
      <c r="Q10" s="50"/>
      <c r="R10" s="26"/>
      <c r="S10" s="26"/>
      <c r="T10" s="9" t="s">
        <v>11</v>
      </c>
      <c r="U10" s="1">
        <v>150</v>
      </c>
      <c r="V10" s="1">
        <v>40</v>
      </c>
      <c r="W10" s="45">
        <f t="shared" si="6"/>
        <v>29.110982162825422</v>
      </c>
      <c r="X10" s="46">
        <v>7</v>
      </c>
      <c r="Y10" s="46">
        <v>5</v>
      </c>
      <c r="Z10" s="1">
        <f t="shared" si="1"/>
        <v>2</v>
      </c>
      <c r="AA10" s="1">
        <f t="shared" si="2"/>
        <v>2</v>
      </c>
      <c r="AB10" s="54">
        <f t="shared" si="3"/>
        <v>1</v>
      </c>
    </row>
    <row r="11" spans="1:28">
      <c r="A11" s="1" t="s">
        <v>27</v>
      </c>
      <c r="B11" s="1" t="s">
        <v>27</v>
      </c>
      <c r="C11" s="1" t="s">
        <v>27</v>
      </c>
      <c r="D11" s="26"/>
      <c r="E11" s="26"/>
      <c r="F11" s="26"/>
      <c r="G11" s="26"/>
      <c r="H11" s="27"/>
      <c r="I11" s="3" t="s">
        <v>5</v>
      </c>
      <c r="J11" s="1" t="s">
        <v>27</v>
      </c>
      <c r="K11" s="3" t="s">
        <v>5</v>
      </c>
      <c r="L11" s="26"/>
      <c r="M11" s="26"/>
      <c r="N11" s="26"/>
      <c r="O11" s="26"/>
      <c r="P11" s="27">
        <f>H5+P5</f>
        <v>18580</v>
      </c>
      <c r="Q11" s="50"/>
      <c r="R11" s="26"/>
      <c r="S11" s="26"/>
      <c r="T11" s="10" t="s">
        <v>12</v>
      </c>
      <c r="U11" s="1">
        <v>150</v>
      </c>
      <c r="V11" s="1">
        <v>45</v>
      </c>
      <c r="W11" s="45">
        <f t="shared" si="6"/>
        <v>13.999854933178597</v>
      </c>
      <c r="X11" s="46">
        <v>6</v>
      </c>
      <c r="Y11" s="46">
        <v>6</v>
      </c>
      <c r="Z11" s="1">
        <f t="shared" si="1"/>
        <v>0</v>
      </c>
      <c r="AA11" s="1">
        <f t="shared" si="2"/>
        <v>0</v>
      </c>
      <c r="AB11" s="54">
        <f t="shared" si="3"/>
        <v>6</v>
      </c>
    </row>
    <row r="12" spans="1:28">
      <c r="A12" s="1" t="s">
        <v>27</v>
      </c>
      <c r="B12" s="4" t="s">
        <v>6</v>
      </c>
      <c r="C12" s="4" t="s">
        <v>6</v>
      </c>
      <c r="D12" s="26"/>
      <c r="E12" s="26"/>
      <c r="F12" s="26"/>
      <c r="G12" s="26"/>
      <c r="H12" s="27"/>
      <c r="I12" s="2" t="s">
        <v>4</v>
      </c>
      <c r="J12" s="1" t="s">
        <v>27</v>
      </c>
      <c r="K12" s="3" t="s">
        <v>5</v>
      </c>
      <c r="L12" s="26"/>
      <c r="M12" s="26"/>
      <c r="N12" s="26"/>
      <c r="O12" s="26"/>
      <c r="P12" s="27">
        <f>H6+P6</f>
        <v>6235</v>
      </c>
      <c r="Q12" s="50"/>
      <c r="R12" s="26"/>
      <c r="S12" s="26"/>
      <c r="T12" s="11" t="s">
        <v>13</v>
      </c>
      <c r="U12" s="1">
        <v>150</v>
      </c>
      <c r="V12" s="1">
        <v>50</v>
      </c>
      <c r="W12" s="45"/>
      <c r="X12" s="46">
        <v>4</v>
      </c>
      <c r="Y12" s="46">
        <v>4</v>
      </c>
      <c r="Z12" s="1">
        <f t="shared" si="1"/>
        <v>0</v>
      </c>
      <c r="AA12" s="1">
        <f t="shared" si="2"/>
        <v>0</v>
      </c>
      <c r="AB12" s="54">
        <f t="shared" si="3"/>
        <v>4</v>
      </c>
    </row>
    <row r="13" spans="1:28">
      <c r="A13" s="1" t="s">
        <v>27</v>
      </c>
      <c r="B13" s="4" t="s">
        <v>6</v>
      </c>
      <c r="C13" s="15" t="s">
        <v>17</v>
      </c>
      <c r="D13" s="26"/>
      <c r="E13" s="26"/>
      <c r="F13" s="26"/>
      <c r="G13" s="26"/>
      <c r="H13" s="27"/>
      <c r="I13" s="15" t="s">
        <v>17</v>
      </c>
      <c r="J13" s="1" t="s">
        <v>27</v>
      </c>
      <c r="K13" s="3" t="s">
        <v>5</v>
      </c>
      <c r="L13" s="26"/>
      <c r="M13" s="26"/>
      <c r="N13" s="26"/>
      <c r="O13" s="26"/>
      <c r="P13" s="27"/>
      <c r="Q13" s="50"/>
      <c r="R13" s="26"/>
      <c r="S13" s="26"/>
      <c r="T13" s="12" t="s">
        <v>14</v>
      </c>
      <c r="U13" s="1">
        <v>150</v>
      </c>
      <c r="V13" s="1">
        <v>55</v>
      </c>
      <c r="W13" s="45"/>
      <c r="X13" s="46">
        <v>3</v>
      </c>
      <c r="Y13" s="46">
        <v>3</v>
      </c>
      <c r="Z13" s="1">
        <f t="shared" si="1"/>
        <v>0</v>
      </c>
      <c r="AA13" s="1">
        <f t="shared" si="2"/>
        <v>0</v>
      </c>
      <c r="AB13" s="54">
        <f t="shared" si="3"/>
        <v>3</v>
      </c>
    </row>
    <row r="14" spans="1:28">
      <c r="A14" s="1" t="s">
        <v>27</v>
      </c>
      <c r="B14" s="4" t="s">
        <v>6</v>
      </c>
      <c r="C14" s="3" t="s">
        <v>5</v>
      </c>
      <c r="D14" s="26"/>
      <c r="E14" s="26"/>
      <c r="F14" s="26"/>
      <c r="G14" s="26"/>
      <c r="H14" s="27"/>
      <c r="I14" s="2" t="s">
        <v>4</v>
      </c>
      <c r="J14" s="1" t="s">
        <v>27</v>
      </c>
      <c r="K14" s="15" t="s">
        <v>17</v>
      </c>
      <c r="L14" s="26"/>
      <c r="M14" s="26"/>
      <c r="N14" s="26"/>
      <c r="O14" s="26"/>
      <c r="P14" s="27"/>
      <c r="Q14" s="50"/>
      <c r="R14" s="26"/>
      <c r="S14" s="26"/>
      <c r="T14" s="13" t="s">
        <v>15</v>
      </c>
      <c r="U14" s="1">
        <v>150</v>
      </c>
      <c r="V14" s="1">
        <v>60</v>
      </c>
      <c r="W14" s="45"/>
      <c r="X14" s="46">
        <v>1</v>
      </c>
      <c r="Y14" s="46">
        <v>1</v>
      </c>
      <c r="Z14" s="1">
        <f t="shared" si="1"/>
        <v>0</v>
      </c>
      <c r="AA14" s="1">
        <f t="shared" si="2"/>
        <v>0</v>
      </c>
      <c r="AB14" s="54">
        <f t="shared" si="3"/>
        <v>1</v>
      </c>
    </row>
    <row r="15" spans="1:28">
      <c r="A15" s="1" t="s">
        <v>27</v>
      </c>
      <c r="B15" s="4" t="s">
        <v>6</v>
      </c>
      <c r="C15" s="16" t="s">
        <v>18</v>
      </c>
      <c r="D15" s="26"/>
      <c r="E15" s="26"/>
      <c r="F15" s="26"/>
      <c r="G15" s="26"/>
      <c r="H15" s="27"/>
      <c r="I15" s="2" t="s">
        <v>4</v>
      </c>
      <c r="J15" s="1" t="s">
        <v>27</v>
      </c>
      <c r="K15" s="1" t="s">
        <v>27</v>
      </c>
      <c r="L15" s="26"/>
      <c r="M15" s="26"/>
      <c r="N15" s="26"/>
      <c r="O15" s="26"/>
      <c r="P15" s="27"/>
      <c r="Q15" s="50"/>
      <c r="R15" s="26"/>
      <c r="S15" s="26"/>
      <c r="T15" s="14" t="s">
        <v>16</v>
      </c>
      <c r="U15" s="1">
        <v>150</v>
      </c>
      <c r="V15" s="1">
        <v>35</v>
      </c>
      <c r="W15" s="45">
        <f t="shared" ref="W15" si="7">U15-V15/0.330882</f>
        <v>44.222109392472248</v>
      </c>
      <c r="X15" s="46"/>
      <c r="Y15" s="46">
        <v>0</v>
      </c>
      <c r="Z15" s="1">
        <f t="shared" si="1"/>
        <v>0</v>
      </c>
      <c r="AA15" s="1">
        <f t="shared" si="2"/>
        <v>0</v>
      </c>
      <c r="AB15" s="54">
        <f t="shared" si="3"/>
        <v>0</v>
      </c>
    </row>
    <row r="16" spans="1:28">
      <c r="A16" s="1" t="s">
        <v>27</v>
      </c>
      <c r="B16" s="15" t="s">
        <v>17</v>
      </c>
      <c r="C16" s="2" t="s">
        <v>4</v>
      </c>
      <c r="D16" s="26"/>
      <c r="E16" s="26"/>
      <c r="F16" s="26"/>
      <c r="G16" s="26"/>
      <c r="H16" s="27"/>
      <c r="I16" s="2" t="s">
        <v>4</v>
      </c>
      <c r="J16" s="1" t="s">
        <v>27</v>
      </c>
      <c r="K16" s="1" t="s">
        <v>27</v>
      </c>
      <c r="L16" s="26"/>
      <c r="M16" s="26"/>
      <c r="N16" s="26"/>
      <c r="O16" s="26"/>
      <c r="P16" s="27"/>
      <c r="Q16" s="50"/>
      <c r="R16" s="26"/>
      <c r="S16" s="26"/>
      <c r="T16" s="15" t="s">
        <v>17</v>
      </c>
      <c r="U16" s="1">
        <v>50</v>
      </c>
      <c r="V16" s="1">
        <v>30</v>
      </c>
      <c r="W16" s="45">
        <v>10</v>
      </c>
      <c r="X16" s="46">
        <v>40</v>
      </c>
      <c r="Y16" s="46">
        <v>40</v>
      </c>
      <c r="Z16" s="1">
        <f t="shared" si="1"/>
        <v>5</v>
      </c>
      <c r="AA16" s="1">
        <f t="shared" si="2"/>
        <v>9</v>
      </c>
      <c r="AB16" s="54">
        <f t="shared" si="3"/>
        <v>26</v>
      </c>
    </row>
    <row r="17" spans="1:28">
      <c r="A17" s="1" t="s">
        <v>27</v>
      </c>
      <c r="B17" s="4" t="s">
        <v>6</v>
      </c>
      <c r="C17" s="2" t="s">
        <v>4</v>
      </c>
      <c r="D17" s="26"/>
      <c r="E17" s="26"/>
      <c r="F17" s="26"/>
      <c r="G17" s="26"/>
      <c r="H17" s="27"/>
      <c r="I17" s="15" t="s">
        <v>17</v>
      </c>
      <c r="J17" s="1" t="s">
        <v>27</v>
      </c>
      <c r="K17" s="1" t="s">
        <v>27</v>
      </c>
      <c r="L17" s="26"/>
      <c r="M17" s="26"/>
      <c r="N17" s="26"/>
      <c r="O17" s="26"/>
      <c r="P17" s="27"/>
      <c r="Q17" s="50"/>
      <c r="R17" s="26"/>
      <c r="S17" s="26"/>
      <c r="T17" s="16" t="s">
        <v>18</v>
      </c>
      <c r="U17" s="1">
        <v>-150</v>
      </c>
      <c r="V17" s="1">
        <v>0</v>
      </c>
      <c r="W17" s="45">
        <v>10</v>
      </c>
      <c r="X17" s="46">
        <v>3</v>
      </c>
      <c r="Y17" s="46">
        <v>3</v>
      </c>
      <c r="Z17" s="1">
        <f t="shared" si="1"/>
        <v>3</v>
      </c>
      <c r="AA17" s="1">
        <f t="shared" si="2"/>
        <v>0</v>
      </c>
      <c r="AB17" s="54">
        <f t="shared" si="3"/>
        <v>0</v>
      </c>
    </row>
    <row r="18" spans="1:28">
      <c r="A18" s="1" t="s">
        <v>27</v>
      </c>
      <c r="B18" s="17" t="s">
        <v>20</v>
      </c>
      <c r="C18" s="2" t="s">
        <v>4</v>
      </c>
      <c r="D18" s="26"/>
      <c r="E18" s="26"/>
      <c r="F18" s="26"/>
      <c r="G18" s="26"/>
      <c r="H18" s="27"/>
      <c r="I18" s="1" t="s">
        <v>27</v>
      </c>
      <c r="J18" s="1" t="s">
        <v>27</v>
      </c>
      <c r="K18" s="1" t="s">
        <v>27</v>
      </c>
      <c r="L18" s="26"/>
      <c r="M18" s="26"/>
      <c r="N18" s="26"/>
      <c r="O18" s="26"/>
      <c r="P18" s="27"/>
      <c r="Q18" s="50"/>
      <c r="R18" s="26"/>
      <c r="S18" s="26"/>
      <c r="T18" s="17" t="s">
        <v>19</v>
      </c>
      <c r="U18" s="1">
        <v>250</v>
      </c>
      <c r="V18" s="1">
        <v>200</v>
      </c>
      <c r="W18" s="45"/>
      <c r="X18" s="46">
        <v>3</v>
      </c>
      <c r="Y18" s="46">
        <v>3</v>
      </c>
      <c r="Z18" s="1">
        <f t="shared" si="1"/>
        <v>3</v>
      </c>
      <c r="AA18" s="1">
        <f t="shared" si="2"/>
        <v>0</v>
      </c>
      <c r="AB18" s="54">
        <f t="shared" si="3"/>
        <v>0</v>
      </c>
    </row>
    <row r="19" spans="1:28">
      <c r="A19" s="1" t="s">
        <v>27</v>
      </c>
      <c r="B19" s="4" t="s">
        <v>6</v>
      </c>
      <c r="C19" s="2" t="s">
        <v>4</v>
      </c>
      <c r="D19" s="26"/>
      <c r="E19" s="26"/>
      <c r="F19" s="26"/>
      <c r="G19" s="26"/>
      <c r="H19" s="27"/>
      <c r="I19" s="16" t="s">
        <v>28</v>
      </c>
      <c r="J19" s="1" t="s">
        <v>27</v>
      </c>
      <c r="K19" s="3" t="s">
        <v>5</v>
      </c>
      <c r="L19" s="26"/>
      <c r="M19" s="26"/>
      <c r="N19" s="26"/>
      <c r="O19" s="26"/>
      <c r="P19" s="27"/>
      <c r="Q19" s="50"/>
      <c r="R19" s="26"/>
      <c r="S19" s="26"/>
      <c r="T19" s="17" t="s">
        <v>20</v>
      </c>
      <c r="U19" s="1">
        <v>170</v>
      </c>
      <c r="V19" s="1">
        <v>45</v>
      </c>
      <c r="W19" s="45"/>
      <c r="X19" s="46">
        <v>5</v>
      </c>
      <c r="Y19" s="46">
        <v>5</v>
      </c>
      <c r="Z19" s="1">
        <f t="shared" si="1"/>
        <v>5</v>
      </c>
      <c r="AA19" s="1">
        <f t="shared" si="2"/>
        <v>0</v>
      </c>
      <c r="AB19" s="54">
        <f t="shared" si="3"/>
        <v>0</v>
      </c>
    </row>
    <row r="20" spans="1:28">
      <c r="A20" s="1" t="s">
        <v>27</v>
      </c>
      <c r="B20" s="3" t="s">
        <v>5</v>
      </c>
      <c r="C20" s="15" t="s">
        <v>17</v>
      </c>
      <c r="D20" s="26"/>
      <c r="E20" s="26"/>
      <c r="F20" s="26"/>
      <c r="G20" s="26"/>
      <c r="H20" s="27"/>
      <c r="I20" s="3" t="s">
        <v>5</v>
      </c>
      <c r="J20" s="1" t="s">
        <v>27</v>
      </c>
      <c r="K20" s="3" t="s">
        <v>5</v>
      </c>
      <c r="L20" s="26"/>
      <c r="M20" s="26"/>
      <c r="N20" s="26"/>
      <c r="O20" s="26"/>
      <c r="P20" s="27"/>
      <c r="Q20" s="50"/>
      <c r="R20" s="26"/>
      <c r="S20" s="26"/>
      <c r="T20" s="18" t="s">
        <v>21</v>
      </c>
      <c r="U20" s="1">
        <v>250</v>
      </c>
      <c r="V20" s="1">
        <v>200</v>
      </c>
      <c r="W20" s="45"/>
      <c r="X20" s="46">
        <v>0</v>
      </c>
      <c r="Y20" s="46">
        <v>0</v>
      </c>
      <c r="Z20" s="1">
        <f t="shared" si="1"/>
        <v>0</v>
      </c>
      <c r="AA20" s="1">
        <f t="shared" si="2"/>
        <v>0</v>
      </c>
      <c r="AB20" s="54">
        <f t="shared" si="3"/>
        <v>0</v>
      </c>
    </row>
    <row r="21" spans="1:28">
      <c r="A21" s="1" t="s">
        <v>27</v>
      </c>
      <c r="B21" s="3" t="s">
        <v>5</v>
      </c>
      <c r="C21" s="3" t="s">
        <v>5</v>
      </c>
      <c r="D21" s="26"/>
      <c r="E21" s="26"/>
      <c r="F21" s="26"/>
      <c r="G21" s="26"/>
      <c r="H21" s="27"/>
      <c r="I21" s="3" t="s">
        <v>5</v>
      </c>
      <c r="J21" s="1" t="s">
        <v>27</v>
      </c>
      <c r="K21" s="15" t="s">
        <v>17</v>
      </c>
      <c r="L21" s="26"/>
      <c r="M21" s="26"/>
      <c r="N21" s="26"/>
      <c r="O21" s="26"/>
      <c r="P21" s="27"/>
      <c r="Q21" s="50"/>
      <c r="R21" s="26"/>
      <c r="S21" s="26"/>
      <c r="T21" s="19" t="s">
        <v>22</v>
      </c>
      <c r="U21" s="1">
        <v>250</v>
      </c>
      <c r="V21" s="1">
        <v>1000</v>
      </c>
      <c r="W21" s="45"/>
      <c r="X21" s="46">
        <v>2</v>
      </c>
      <c r="Y21" s="46">
        <v>2</v>
      </c>
      <c r="Z21" s="1">
        <f t="shared" si="1"/>
        <v>0</v>
      </c>
      <c r="AA21" s="1">
        <f t="shared" si="2"/>
        <v>0</v>
      </c>
      <c r="AB21" s="54">
        <f t="shared" si="3"/>
        <v>2</v>
      </c>
    </row>
    <row r="22" spans="1:28">
      <c r="A22" s="1" t="s">
        <v>27</v>
      </c>
      <c r="B22" s="3" t="s">
        <v>5</v>
      </c>
      <c r="C22" s="3" t="s">
        <v>5</v>
      </c>
      <c r="D22" s="26"/>
      <c r="E22" s="26"/>
      <c r="F22" s="26"/>
      <c r="G22" s="26"/>
      <c r="H22" s="27"/>
      <c r="I22" s="3" t="s">
        <v>5</v>
      </c>
      <c r="J22" s="1" t="s">
        <v>27</v>
      </c>
      <c r="K22" s="3" t="s">
        <v>5</v>
      </c>
      <c r="L22" s="26"/>
      <c r="M22" s="26"/>
      <c r="N22" s="26"/>
      <c r="O22" s="26"/>
      <c r="P22" s="27"/>
      <c r="Q22" s="50"/>
      <c r="R22" s="26"/>
      <c r="S22" s="26"/>
      <c r="T22" s="20" t="s">
        <v>23</v>
      </c>
      <c r="U22" s="1">
        <v>250</v>
      </c>
      <c r="V22" s="1">
        <v>500</v>
      </c>
      <c r="W22" s="45"/>
      <c r="X22" s="46">
        <v>2</v>
      </c>
      <c r="Y22" s="46">
        <v>2</v>
      </c>
      <c r="Z22" s="1">
        <f t="shared" si="1"/>
        <v>0</v>
      </c>
      <c r="AA22" s="1">
        <f t="shared" si="2"/>
        <v>0</v>
      </c>
      <c r="AB22" s="54">
        <f t="shared" si="3"/>
        <v>2</v>
      </c>
    </row>
    <row r="23" spans="1:28">
      <c r="A23" s="1" t="s">
        <v>27</v>
      </c>
      <c r="B23" s="3" t="s">
        <v>5</v>
      </c>
      <c r="C23" s="3" t="s">
        <v>5</v>
      </c>
      <c r="D23" s="26"/>
      <c r="E23" s="26"/>
      <c r="F23" s="26"/>
      <c r="G23" s="26"/>
      <c r="H23" s="27"/>
      <c r="I23" s="15" t="s">
        <v>17</v>
      </c>
      <c r="J23" s="1" t="s">
        <v>27</v>
      </c>
      <c r="K23" s="3" t="s">
        <v>5</v>
      </c>
      <c r="L23" s="26"/>
      <c r="M23" s="26"/>
      <c r="N23" s="26"/>
      <c r="O23" s="26"/>
      <c r="P23" s="27"/>
      <c r="Q23" s="50"/>
      <c r="R23" s="26"/>
      <c r="S23" s="26"/>
      <c r="T23" s="21" t="s">
        <v>24</v>
      </c>
      <c r="U23" s="1">
        <v>160</v>
      </c>
      <c r="V23" s="1">
        <v>40</v>
      </c>
      <c r="W23" s="45">
        <f t="shared" ref="W23:W26" si="8">U23-V23/0.330882</f>
        <v>39.110982162825422</v>
      </c>
      <c r="X23" s="46">
        <v>0</v>
      </c>
      <c r="Y23" s="46">
        <v>0</v>
      </c>
      <c r="Z23" s="1">
        <f t="shared" si="1"/>
        <v>0</v>
      </c>
      <c r="AA23" s="1">
        <f t="shared" si="2"/>
        <v>0</v>
      </c>
      <c r="AB23" s="54">
        <f t="shared" si="3"/>
        <v>0</v>
      </c>
    </row>
    <row r="24" spans="1:28">
      <c r="A24" s="1" t="s">
        <v>27</v>
      </c>
      <c r="B24" s="3" t="s">
        <v>5</v>
      </c>
      <c r="C24" s="16" t="s">
        <v>18</v>
      </c>
      <c r="D24" s="26"/>
      <c r="E24" s="26"/>
      <c r="F24" s="26"/>
      <c r="G24" s="26"/>
      <c r="H24" s="27"/>
      <c r="I24" s="9" t="s">
        <v>11</v>
      </c>
      <c r="J24" s="1" t="s">
        <v>27</v>
      </c>
      <c r="K24" s="3" t="s">
        <v>5</v>
      </c>
      <c r="L24" s="26"/>
      <c r="M24" s="26"/>
      <c r="N24" s="26"/>
      <c r="O24" s="26"/>
      <c r="P24" s="27"/>
      <c r="Q24" s="50"/>
      <c r="R24" s="26"/>
      <c r="S24" s="26"/>
      <c r="T24" s="21" t="s">
        <v>25</v>
      </c>
      <c r="U24" s="1">
        <v>160</v>
      </c>
      <c r="V24" s="1">
        <v>40</v>
      </c>
      <c r="W24" s="45">
        <f t="shared" si="8"/>
        <v>39.110982162825422</v>
      </c>
      <c r="X24" s="46">
        <v>0</v>
      </c>
      <c r="Y24" s="46">
        <v>0</v>
      </c>
      <c r="Z24" s="1">
        <f t="shared" si="1"/>
        <v>0</v>
      </c>
      <c r="AA24" s="1">
        <f t="shared" si="2"/>
        <v>0</v>
      </c>
      <c r="AB24" s="54">
        <f t="shared" si="3"/>
        <v>0</v>
      </c>
    </row>
    <row r="25" spans="1:28">
      <c r="A25" s="1" t="s">
        <v>27</v>
      </c>
      <c r="B25" s="3" t="s">
        <v>5</v>
      </c>
      <c r="C25" s="3" t="s">
        <v>5</v>
      </c>
      <c r="D25" s="26"/>
      <c r="E25" s="26"/>
      <c r="F25" s="26"/>
      <c r="G25" s="26"/>
      <c r="H25" s="27"/>
      <c r="I25" s="2" t="s">
        <v>4</v>
      </c>
      <c r="J25" s="1" t="s">
        <v>27</v>
      </c>
      <c r="K25" s="1" t="s">
        <v>27</v>
      </c>
      <c r="L25" s="26"/>
      <c r="M25" s="26"/>
      <c r="N25" s="26"/>
      <c r="O25" s="26"/>
      <c r="P25" s="27"/>
      <c r="Q25" s="50"/>
      <c r="R25" s="26"/>
      <c r="S25" s="26"/>
      <c r="T25" s="21" t="s">
        <v>26</v>
      </c>
      <c r="U25" s="1">
        <v>150</v>
      </c>
      <c r="V25" s="1">
        <v>35</v>
      </c>
      <c r="W25" s="45">
        <f t="shared" si="8"/>
        <v>44.222109392472248</v>
      </c>
      <c r="X25" s="46">
        <v>0</v>
      </c>
      <c r="Y25" s="46">
        <v>0</v>
      </c>
      <c r="Z25" s="1">
        <f t="shared" si="1"/>
        <v>0</v>
      </c>
      <c r="AA25" s="1">
        <f t="shared" si="2"/>
        <v>0</v>
      </c>
      <c r="AB25" s="54">
        <f t="shared" si="3"/>
        <v>0</v>
      </c>
    </row>
    <row r="26" spans="1:28">
      <c r="A26" s="1" t="s">
        <v>27</v>
      </c>
      <c r="B26" s="15" t="s">
        <v>17</v>
      </c>
      <c r="C26" s="3" t="s">
        <v>5</v>
      </c>
      <c r="D26" s="26"/>
      <c r="E26" s="26"/>
      <c r="F26" s="26"/>
      <c r="G26" s="26"/>
      <c r="H26" s="27"/>
      <c r="I26" s="15" t="s">
        <v>17</v>
      </c>
      <c r="J26" s="1" t="s">
        <v>27</v>
      </c>
      <c r="K26" s="1" t="s">
        <v>27</v>
      </c>
      <c r="L26" s="26"/>
      <c r="M26" s="26"/>
      <c r="N26" s="26"/>
      <c r="O26" s="26"/>
      <c r="P26" s="27"/>
      <c r="Q26" s="50"/>
      <c r="R26" s="26"/>
      <c r="S26" s="26"/>
      <c r="T26" s="22" t="s">
        <v>27</v>
      </c>
      <c r="U26" s="1">
        <v>0</v>
      </c>
      <c r="V26" s="1">
        <v>0</v>
      </c>
      <c r="W26" s="45">
        <f t="shared" si="8"/>
        <v>0</v>
      </c>
      <c r="X26" s="46">
        <v>0</v>
      </c>
      <c r="Y26" s="46">
        <v>0</v>
      </c>
      <c r="Z26" s="1"/>
      <c r="AA26" s="1"/>
      <c r="AB26" s="54"/>
    </row>
    <row r="27" spans="1:28">
      <c r="A27" s="1" t="s">
        <v>27</v>
      </c>
      <c r="B27" s="3" t="s">
        <v>5</v>
      </c>
      <c r="C27" s="4" t="s">
        <v>6</v>
      </c>
      <c r="D27" s="26"/>
      <c r="E27" s="26"/>
      <c r="F27" s="26"/>
      <c r="G27" s="26"/>
      <c r="H27" s="27"/>
      <c r="I27" s="1" t="s">
        <v>27</v>
      </c>
      <c r="J27" s="1" t="s">
        <v>27</v>
      </c>
      <c r="K27" s="1" t="s">
        <v>27</v>
      </c>
      <c r="L27" s="26"/>
      <c r="M27" s="26"/>
      <c r="N27" s="26"/>
      <c r="O27" s="26"/>
      <c r="P27" s="27"/>
      <c r="Q27" s="50"/>
      <c r="R27" s="26"/>
      <c r="S27" s="26"/>
      <c r="T27" s="16" t="s">
        <v>28</v>
      </c>
      <c r="U27" s="1">
        <v>-200</v>
      </c>
      <c r="V27" s="1">
        <v>0</v>
      </c>
      <c r="W27" s="45"/>
      <c r="X27" s="46">
        <v>12</v>
      </c>
      <c r="Y27" s="46">
        <v>12</v>
      </c>
      <c r="Z27" s="1">
        <f t="shared" si="1"/>
        <v>0</v>
      </c>
      <c r="AA27" s="1">
        <f t="shared" si="2"/>
        <v>1</v>
      </c>
      <c r="AB27" s="54">
        <f t="shared" si="3"/>
        <v>11</v>
      </c>
    </row>
    <row r="28" spans="1:28">
      <c r="A28" s="1" t="s">
        <v>27</v>
      </c>
      <c r="B28" s="3" t="s">
        <v>5</v>
      </c>
      <c r="C28" s="4" t="s">
        <v>6</v>
      </c>
      <c r="D28" s="26"/>
      <c r="E28" s="26"/>
      <c r="F28" s="26"/>
      <c r="G28" s="26"/>
      <c r="H28" s="27"/>
      <c r="I28" s="1" t="s">
        <v>27</v>
      </c>
      <c r="J28" s="1" t="s">
        <v>27</v>
      </c>
      <c r="K28" s="1" t="s">
        <v>27</v>
      </c>
      <c r="L28" s="26"/>
      <c r="M28" s="26"/>
      <c r="N28" s="26"/>
      <c r="O28" s="26"/>
      <c r="P28" s="27"/>
      <c r="Q28" s="50"/>
      <c r="R28" s="26"/>
      <c r="S28" s="26"/>
      <c r="T28" s="23" t="s">
        <v>29</v>
      </c>
      <c r="U28" s="1">
        <v>50</v>
      </c>
      <c r="V28" s="1">
        <v>520</v>
      </c>
      <c r="W28" s="45"/>
      <c r="X28" s="46">
        <v>3</v>
      </c>
      <c r="Y28" s="46">
        <v>3</v>
      </c>
      <c r="Z28" s="1">
        <f t="shared" si="1"/>
        <v>1</v>
      </c>
      <c r="AA28" s="1">
        <f t="shared" si="2"/>
        <v>0</v>
      </c>
      <c r="AB28" s="54">
        <f t="shared" si="3"/>
        <v>2</v>
      </c>
    </row>
    <row r="29" spans="1:28" ht="15.75" thickBot="1">
      <c r="A29" s="1" t="s">
        <v>27</v>
      </c>
      <c r="B29" s="3" t="s">
        <v>5</v>
      </c>
      <c r="C29" s="4" t="s">
        <v>6</v>
      </c>
      <c r="D29" s="26"/>
      <c r="E29" s="26"/>
      <c r="F29" s="26"/>
      <c r="G29" s="26"/>
      <c r="H29" s="27"/>
      <c r="I29" s="1" t="s">
        <v>27</v>
      </c>
      <c r="J29" s="1" t="s">
        <v>27</v>
      </c>
      <c r="K29" s="1" t="s">
        <v>27</v>
      </c>
      <c r="L29" s="26"/>
      <c r="M29" s="26"/>
      <c r="N29" s="26"/>
      <c r="O29" s="26"/>
      <c r="P29" s="27"/>
      <c r="Q29" s="56"/>
      <c r="R29" s="31"/>
      <c r="S29" s="31"/>
      <c r="T29" s="30"/>
      <c r="U29" s="30"/>
      <c r="V29" s="30"/>
      <c r="W29" s="30"/>
      <c r="X29" s="30"/>
      <c r="Y29" s="30"/>
      <c r="Z29" s="30"/>
      <c r="AA29" s="30"/>
      <c r="AB29" s="57"/>
    </row>
    <row r="30" spans="1:28">
      <c r="A30" s="1" t="s">
        <v>27</v>
      </c>
      <c r="B30" s="3" t="s">
        <v>5</v>
      </c>
      <c r="C30" s="4" t="s">
        <v>6</v>
      </c>
      <c r="D30" s="26"/>
      <c r="E30" s="26"/>
      <c r="F30" s="26"/>
      <c r="G30" s="26"/>
      <c r="H30" s="27"/>
      <c r="I30" s="1" t="s">
        <v>27</v>
      </c>
      <c r="J30" s="1" t="s">
        <v>27</v>
      </c>
      <c r="K30" s="1" t="s">
        <v>27</v>
      </c>
      <c r="L30" s="26"/>
      <c r="M30" s="26"/>
      <c r="N30" s="26"/>
      <c r="O30" s="26"/>
      <c r="P30" s="27"/>
    </row>
    <row r="31" spans="1:28">
      <c r="A31" s="1" t="s">
        <v>27</v>
      </c>
      <c r="B31" s="15" t="s">
        <v>17</v>
      </c>
      <c r="C31" s="4" t="s">
        <v>6</v>
      </c>
      <c r="D31" s="26"/>
      <c r="E31" s="26"/>
      <c r="F31" s="26"/>
      <c r="G31" s="26"/>
      <c r="H31" s="27"/>
      <c r="I31" s="1" t="s">
        <v>27</v>
      </c>
      <c r="J31" s="1" t="s">
        <v>27</v>
      </c>
      <c r="K31" s="1" t="s">
        <v>27</v>
      </c>
      <c r="L31" s="26"/>
      <c r="M31" s="26"/>
      <c r="N31" s="26"/>
      <c r="O31" s="26"/>
      <c r="P31" s="27"/>
      <c r="Y31">
        <f>SUM(Y3:Y28)</f>
        <v>1076</v>
      </c>
    </row>
    <row r="32" spans="1:28">
      <c r="A32" s="1" t="s">
        <v>27</v>
      </c>
      <c r="B32" s="3" t="s">
        <v>5</v>
      </c>
      <c r="C32" s="17" t="s">
        <v>20</v>
      </c>
      <c r="D32" s="26"/>
      <c r="E32" s="26"/>
      <c r="F32" s="26"/>
      <c r="G32" s="26"/>
      <c r="H32" s="27"/>
      <c r="I32" s="1" t="s">
        <v>27</v>
      </c>
      <c r="J32" s="1" t="s">
        <v>27</v>
      </c>
      <c r="K32" s="1" t="s">
        <v>27</v>
      </c>
      <c r="L32" s="26"/>
      <c r="M32" s="26"/>
      <c r="N32" s="26"/>
      <c r="O32" s="26"/>
      <c r="P32" s="27"/>
      <c r="Q32" t="s">
        <v>57</v>
      </c>
      <c r="R32">
        <v>1</v>
      </c>
      <c r="S32" t="s">
        <v>59</v>
      </c>
    </row>
    <row r="33" spans="1:19">
      <c r="A33" s="1" t="s">
        <v>27</v>
      </c>
      <c r="B33" s="4" t="s">
        <v>6</v>
      </c>
      <c r="C33" s="3" t="s">
        <v>5</v>
      </c>
      <c r="D33" s="26"/>
      <c r="E33" s="26"/>
      <c r="F33" s="26"/>
      <c r="G33" s="26"/>
      <c r="H33" s="27"/>
      <c r="I33" s="1" t="s">
        <v>27</v>
      </c>
      <c r="J33" s="1" t="s">
        <v>27</v>
      </c>
      <c r="K33" s="1" t="s">
        <v>27</v>
      </c>
      <c r="L33" s="26"/>
      <c r="M33" s="26"/>
      <c r="N33" s="26"/>
      <c r="O33" s="26"/>
      <c r="P33" s="27"/>
      <c r="R33">
        <v>2</v>
      </c>
      <c r="S33" t="s">
        <v>60</v>
      </c>
    </row>
    <row r="34" spans="1:19">
      <c r="A34" s="1" t="s">
        <v>27</v>
      </c>
      <c r="B34" s="2" t="s">
        <v>4</v>
      </c>
      <c r="C34" s="3" t="s">
        <v>5</v>
      </c>
      <c r="D34" s="26"/>
      <c r="E34" s="26"/>
      <c r="F34" s="26"/>
      <c r="G34" s="26"/>
      <c r="H34" s="27"/>
      <c r="I34" s="28" t="s">
        <v>27</v>
      </c>
      <c r="J34" s="1" t="s">
        <v>27</v>
      </c>
      <c r="K34" s="1" t="s">
        <v>27</v>
      </c>
      <c r="L34" s="26"/>
      <c r="M34" s="26"/>
      <c r="N34" s="26"/>
      <c r="O34" s="26"/>
      <c r="P34" s="27"/>
      <c r="R34">
        <v>3</v>
      </c>
      <c r="S34" t="s">
        <v>58</v>
      </c>
    </row>
    <row r="35" spans="1:19">
      <c r="A35" s="1" t="s">
        <v>27</v>
      </c>
      <c r="B35" s="4" t="s">
        <v>6</v>
      </c>
      <c r="C35" s="9" t="s">
        <v>11</v>
      </c>
      <c r="D35" s="26"/>
      <c r="E35" s="26"/>
      <c r="F35" s="26"/>
      <c r="G35" s="26"/>
      <c r="H35" s="27"/>
      <c r="I35" s="28" t="s">
        <v>27</v>
      </c>
      <c r="J35" s="1" t="s">
        <v>27</v>
      </c>
      <c r="K35" s="1" t="s">
        <v>27</v>
      </c>
      <c r="L35" s="26"/>
      <c r="M35" s="26"/>
      <c r="N35" s="26"/>
      <c r="O35" s="26"/>
      <c r="P35" s="27"/>
      <c r="R35">
        <v>4</v>
      </c>
      <c r="S35" t="s">
        <v>61</v>
      </c>
    </row>
    <row r="36" spans="1:19">
      <c r="A36" s="1" t="s">
        <v>27</v>
      </c>
      <c r="B36" s="17" t="s">
        <v>20</v>
      </c>
      <c r="C36" s="3" t="s">
        <v>5</v>
      </c>
      <c r="D36" s="26"/>
      <c r="E36" s="26"/>
      <c r="F36" s="26"/>
      <c r="G36" s="26"/>
      <c r="H36" s="27"/>
      <c r="I36" s="28" t="s">
        <v>27</v>
      </c>
      <c r="J36" s="1" t="s">
        <v>27</v>
      </c>
      <c r="K36" s="1" t="s">
        <v>27</v>
      </c>
      <c r="L36" s="26"/>
      <c r="M36" s="26"/>
      <c r="N36" s="26"/>
      <c r="O36" s="26"/>
      <c r="P36" s="27"/>
      <c r="S36" t="s">
        <v>62</v>
      </c>
    </row>
    <row r="37" spans="1:19">
      <c r="A37" s="1" t="s">
        <v>27</v>
      </c>
      <c r="B37" s="4" t="s">
        <v>6</v>
      </c>
      <c r="C37" s="3" t="s">
        <v>5</v>
      </c>
      <c r="D37" s="26"/>
      <c r="E37" s="26"/>
      <c r="F37" s="26"/>
      <c r="G37" s="26"/>
      <c r="H37" s="27"/>
      <c r="I37" s="28" t="s">
        <v>27</v>
      </c>
      <c r="J37" s="1" t="s">
        <v>27</v>
      </c>
      <c r="K37" s="1" t="s">
        <v>27</v>
      </c>
      <c r="L37" s="26"/>
      <c r="M37" s="26"/>
      <c r="N37" s="26"/>
      <c r="O37" s="26"/>
      <c r="P37" s="27"/>
      <c r="R37">
        <v>5</v>
      </c>
      <c r="S37" t="s">
        <v>63</v>
      </c>
    </row>
    <row r="38" spans="1:19">
      <c r="A38" s="1" t="s">
        <v>27</v>
      </c>
      <c r="B38" s="4" t="s">
        <v>6</v>
      </c>
      <c r="C38" s="3" t="s">
        <v>5</v>
      </c>
      <c r="D38" s="26"/>
      <c r="E38" s="26"/>
      <c r="F38" s="26"/>
      <c r="G38" s="26"/>
      <c r="H38" s="27"/>
      <c r="I38" s="28" t="s">
        <v>27</v>
      </c>
      <c r="J38" s="1" t="s">
        <v>27</v>
      </c>
      <c r="K38" s="1" t="s">
        <v>27</v>
      </c>
      <c r="L38" s="26"/>
      <c r="M38" s="26"/>
      <c r="N38" s="26"/>
      <c r="O38" s="26"/>
      <c r="P38" s="27"/>
      <c r="R38">
        <v>6</v>
      </c>
      <c r="S38" t="s">
        <v>64</v>
      </c>
    </row>
    <row r="39" spans="1:19">
      <c r="A39" s="1" t="s">
        <v>27</v>
      </c>
      <c r="B39" s="4" t="s">
        <v>6</v>
      </c>
      <c r="C39" s="3" t="s">
        <v>5</v>
      </c>
      <c r="D39" s="26"/>
      <c r="E39" s="26"/>
      <c r="F39" s="26"/>
      <c r="G39" s="26"/>
      <c r="H39" s="27"/>
      <c r="I39" s="28" t="s">
        <v>27</v>
      </c>
      <c r="J39" s="1" t="s">
        <v>27</v>
      </c>
      <c r="K39" s="1" t="s">
        <v>27</v>
      </c>
      <c r="L39" s="26"/>
      <c r="M39" s="26"/>
      <c r="N39" s="26"/>
      <c r="O39" s="26"/>
      <c r="P39" s="27"/>
      <c r="R39">
        <v>7</v>
      </c>
      <c r="S39" t="s">
        <v>65</v>
      </c>
    </row>
    <row r="40" spans="1:19">
      <c r="A40" s="1" t="s">
        <v>27</v>
      </c>
      <c r="B40" s="17" t="s">
        <v>19</v>
      </c>
      <c r="C40" s="3" t="s">
        <v>5</v>
      </c>
      <c r="D40" s="26"/>
      <c r="E40" s="26"/>
      <c r="F40" s="26"/>
      <c r="G40" s="26"/>
      <c r="H40" s="27"/>
      <c r="I40" s="28" t="s">
        <v>27</v>
      </c>
      <c r="J40" s="1" t="s">
        <v>27</v>
      </c>
      <c r="K40" s="1" t="s">
        <v>27</v>
      </c>
      <c r="L40" s="26"/>
      <c r="M40" s="26"/>
      <c r="N40" s="26"/>
      <c r="O40" s="26"/>
      <c r="P40" s="27"/>
    </row>
    <row r="41" spans="1:19">
      <c r="A41" s="1" t="s">
        <v>27</v>
      </c>
      <c r="B41" s="4" t="s">
        <v>6</v>
      </c>
      <c r="C41" s="9" t="s">
        <v>11</v>
      </c>
      <c r="D41" s="26"/>
      <c r="E41" s="26"/>
      <c r="F41" s="26"/>
      <c r="G41" s="26"/>
      <c r="H41" s="27"/>
      <c r="I41" s="28" t="s">
        <v>27</v>
      </c>
      <c r="J41" s="1" t="s">
        <v>27</v>
      </c>
      <c r="K41" s="1" t="s">
        <v>27</v>
      </c>
      <c r="L41" s="26"/>
      <c r="M41" s="26"/>
      <c r="N41" s="26"/>
      <c r="O41" s="26"/>
      <c r="P41" s="27"/>
    </row>
    <row r="42" spans="1:19">
      <c r="A42" s="1" t="s">
        <v>27</v>
      </c>
      <c r="B42" s="3" t="s">
        <v>5</v>
      </c>
      <c r="C42" s="4" t="s">
        <v>6</v>
      </c>
      <c r="D42" s="26"/>
      <c r="E42" s="26"/>
      <c r="F42" s="26"/>
      <c r="G42" s="26"/>
      <c r="H42" s="27"/>
      <c r="I42" s="28" t="s">
        <v>27</v>
      </c>
      <c r="J42" s="1" t="s">
        <v>27</v>
      </c>
      <c r="K42" s="1" t="s">
        <v>27</v>
      </c>
      <c r="L42" s="26"/>
      <c r="M42" s="26"/>
      <c r="N42" s="26"/>
      <c r="O42" s="26"/>
      <c r="P42" s="27"/>
    </row>
    <row r="43" spans="1:19">
      <c r="A43" s="1" t="s">
        <v>27</v>
      </c>
      <c r="B43" s="3" t="s">
        <v>5</v>
      </c>
      <c r="C43" s="17" t="s">
        <v>19</v>
      </c>
      <c r="D43" s="26"/>
      <c r="E43" s="26"/>
      <c r="F43" s="26"/>
      <c r="G43" s="26"/>
      <c r="H43" s="27"/>
      <c r="I43" s="28" t="s">
        <v>27</v>
      </c>
      <c r="J43" s="1" t="s">
        <v>27</v>
      </c>
      <c r="K43" s="1" t="s">
        <v>27</v>
      </c>
      <c r="L43" s="26"/>
      <c r="M43" s="26"/>
      <c r="N43" s="26"/>
      <c r="O43" s="26"/>
      <c r="P43" s="27"/>
    </row>
    <row r="44" spans="1:19">
      <c r="A44" s="1" t="s">
        <v>27</v>
      </c>
      <c r="B44" s="3" t="s">
        <v>5</v>
      </c>
      <c r="C44" s="4" t="s">
        <v>6</v>
      </c>
      <c r="D44" s="26"/>
      <c r="E44" s="26"/>
      <c r="F44" s="26"/>
      <c r="G44" s="26"/>
      <c r="H44" s="27"/>
      <c r="I44" s="28" t="s">
        <v>27</v>
      </c>
      <c r="J44" s="1" t="s">
        <v>27</v>
      </c>
      <c r="K44" s="1" t="s">
        <v>27</v>
      </c>
      <c r="L44" s="26"/>
      <c r="M44" s="26"/>
      <c r="N44" s="26"/>
      <c r="O44" s="26"/>
      <c r="P44" s="27"/>
    </row>
    <row r="45" spans="1:19">
      <c r="A45" s="1" t="s">
        <v>27</v>
      </c>
      <c r="B45" s="3" t="s">
        <v>5</v>
      </c>
      <c r="C45" s="4" t="s">
        <v>6</v>
      </c>
      <c r="D45" s="26"/>
      <c r="E45" s="26"/>
      <c r="F45" s="26"/>
      <c r="G45" s="26"/>
      <c r="H45" s="27"/>
      <c r="I45" s="28" t="s">
        <v>27</v>
      </c>
      <c r="J45" s="1" t="s">
        <v>27</v>
      </c>
      <c r="K45" s="1" t="s">
        <v>27</v>
      </c>
      <c r="L45" s="26"/>
      <c r="M45" s="26"/>
      <c r="N45" s="26"/>
      <c r="O45" s="26"/>
      <c r="P45" s="27"/>
    </row>
    <row r="46" spans="1:19">
      <c r="A46" s="1" t="s">
        <v>27</v>
      </c>
      <c r="B46" s="4" t="s">
        <v>6</v>
      </c>
      <c r="C46" s="4" t="s">
        <v>6</v>
      </c>
      <c r="D46" s="26"/>
      <c r="E46" s="26"/>
      <c r="F46" s="26"/>
      <c r="G46" s="26"/>
      <c r="H46" s="27"/>
      <c r="I46" s="28" t="s">
        <v>27</v>
      </c>
      <c r="J46" s="1" t="s">
        <v>27</v>
      </c>
      <c r="K46" s="1" t="s">
        <v>27</v>
      </c>
      <c r="L46" s="26"/>
      <c r="M46" s="26"/>
      <c r="N46" s="26"/>
      <c r="O46" s="26"/>
      <c r="P46" s="27"/>
    </row>
    <row r="47" spans="1:19">
      <c r="A47" s="1" t="s">
        <v>27</v>
      </c>
      <c r="B47" s="4" t="s">
        <v>6</v>
      </c>
      <c r="C47" s="4" t="s">
        <v>6</v>
      </c>
      <c r="D47" s="26"/>
      <c r="E47" s="26"/>
      <c r="F47" s="26"/>
      <c r="G47" s="26"/>
      <c r="H47" s="27"/>
      <c r="I47" s="28" t="s">
        <v>27</v>
      </c>
      <c r="J47" s="1" t="s">
        <v>27</v>
      </c>
      <c r="K47" s="1" t="s">
        <v>27</v>
      </c>
      <c r="L47" s="26"/>
      <c r="M47" s="26"/>
      <c r="N47" s="26"/>
      <c r="O47" s="26"/>
      <c r="P47" s="27"/>
    </row>
    <row r="48" spans="1:19">
      <c r="A48" s="1" t="s">
        <v>27</v>
      </c>
      <c r="B48" s="4" t="s">
        <v>6</v>
      </c>
      <c r="C48" s="16" t="s">
        <v>18</v>
      </c>
      <c r="D48" s="26"/>
      <c r="E48" s="26"/>
      <c r="F48" s="26"/>
      <c r="G48" s="26"/>
      <c r="H48" s="27"/>
      <c r="I48" s="28" t="s">
        <v>27</v>
      </c>
      <c r="J48" s="1" t="s">
        <v>27</v>
      </c>
      <c r="K48" s="1" t="s">
        <v>27</v>
      </c>
      <c r="L48" s="26"/>
      <c r="M48" s="26"/>
      <c r="N48" s="26"/>
      <c r="O48" s="26"/>
      <c r="P48" s="27"/>
    </row>
    <row r="49" spans="1:16">
      <c r="A49" s="1" t="s">
        <v>27</v>
      </c>
      <c r="B49" s="17" t="s">
        <v>20</v>
      </c>
      <c r="C49" s="4" t="s">
        <v>6</v>
      </c>
      <c r="D49" s="26"/>
      <c r="E49" s="26"/>
      <c r="F49" s="26"/>
      <c r="G49" s="26"/>
      <c r="H49" s="27"/>
      <c r="I49" s="28" t="s">
        <v>27</v>
      </c>
      <c r="J49" s="1" t="s">
        <v>27</v>
      </c>
      <c r="K49" s="1" t="s">
        <v>27</v>
      </c>
      <c r="L49" s="26"/>
      <c r="M49" s="26"/>
      <c r="N49" s="26"/>
      <c r="O49" s="26"/>
      <c r="P49" s="27"/>
    </row>
    <row r="50" spans="1:16">
      <c r="A50" s="1" t="s">
        <v>27</v>
      </c>
      <c r="B50" s="1" t="s">
        <v>27</v>
      </c>
      <c r="C50" s="4" t="s">
        <v>6</v>
      </c>
      <c r="D50" s="26"/>
      <c r="E50" s="26"/>
      <c r="F50" s="26"/>
      <c r="G50" s="26"/>
      <c r="H50" s="27"/>
      <c r="I50" s="28" t="s">
        <v>27</v>
      </c>
      <c r="J50" s="1" t="s">
        <v>27</v>
      </c>
      <c r="K50" s="1" t="s">
        <v>27</v>
      </c>
      <c r="L50" s="26"/>
      <c r="M50" s="26"/>
      <c r="N50" s="26"/>
      <c r="O50" s="26"/>
      <c r="P50" s="27"/>
    </row>
    <row r="51" spans="1:16">
      <c r="A51" s="1" t="s">
        <v>27</v>
      </c>
      <c r="B51" s="1" t="s">
        <v>27</v>
      </c>
      <c r="C51" s="17" t="s">
        <v>20</v>
      </c>
      <c r="D51" s="26"/>
      <c r="E51" s="26"/>
      <c r="F51" s="26"/>
      <c r="G51" s="26"/>
      <c r="H51" s="27"/>
      <c r="I51" s="28" t="s">
        <v>27</v>
      </c>
      <c r="J51" s="1" t="s">
        <v>27</v>
      </c>
      <c r="K51" s="1" t="s">
        <v>27</v>
      </c>
      <c r="L51" s="26"/>
      <c r="M51" s="26"/>
      <c r="N51" s="26"/>
      <c r="O51" s="26"/>
      <c r="P51" s="27"/>
    </row>
    <row r="52" spans="1:16">
      <c r="A52" s="1" t="s">
        <v>27</v>
      </c>
      <c r="B52" s="1" t="s">
        <v>27</v>
      </c>
      <c r="C52" s="1" t="s">
        <v>27</v>
      </c>
      <c r="D52" s="26"/>
      <c r="E52" s="26"/>
      <c r="F52" s="26"/>
      <c r="G52" s="26"/>
      <c r="H52" s="27"/>
      <c r="I52" s="28" t="s">
        <v>27</v>
      </c>
      <c r="J52" s="1" t="s">
        <v>27</v>
      </c>
      <c r="K52" s="1" t="s">
        <v>27</v>
      </c>
      <c r="L52" s="26"/>
      <c r="M52" s="26"/>
      <c r="N52" s="26"/>
      <c r="O52" s="26"/>
      <c r="P52" s="27"/>
    </row>
    <row r="53" spans="1:16">
      <c r="A53" s="1" t="s">
        <v>27</v>
      </c>
      <c r="B53" s="1" t="s">
        <v>27</v>
      </c>
      <c r="C53" s="1" t="s">
        <v>27</v>
      </c>
      <c r="D53" s="26"/>
      <c r="E53" s="26"/>
      <c r="F53" s="26"/>
      <c r="G53" s="26"/>
      <c r="H53" s="27"/>
      <c r="I53" s="28" t="s">
        <v>27</v>
      </c>
      <c r="J53" s="1" t="s">
        <v>27</v>
      </c>
      <c r="K53" s="1" t="s">
        <v>27</v>
      </c>
      <c r="L53" s="26"/>
      <c r="M53" s="26"/>
      <c r="N53" s="26"/>
      <c r="O53" s="26"/>
      <c r="P53" s="27"/>
    </row>
    <row r="54" spans="1:16">
      <c r="A54" s="1" t="s">
        <v>27</v>
      </c>
      <c r="B54" s="1" t="s">
        <v>27</v>
      </c>
      <c r="C54" s="1" t="s">
        <v>27</v>
      </c>
      <c r="D54" s="26"/>
      <c r="E54" s="26"/>
      <c r="F54" s="26"/>
      <c r="G54" s="26"/>
      <c r="H54" s="27"/>
      <c r="I54" s="28" t="s">
        <v>27</v>
      </c>
      <c r="J54" s="1" t="s">
        <v>27</v>
      </c>
      <c r="K54" s="1" t="s">
        <v>27</v>
      </c>
      <c r="L54" s="26"/>
      <c r="M54" s="26"/>
      <c r="N54" s="26"/>
      <c r="O54" s="26"/>
      <c r="P54" s="27"/>
    </row>
    <row r="55" spans="1:16">
      <c r="A55" s="1" t="s">
        <v>27</v>
      </c>
      <c r="B55" s="1" t="s">
        <v>27</v>
      </c>
      <c r="C55" s="1" t="s">
        <v>27</v>
      </c>
      <c r="D55" s="26"/>
      <c r="E55" s="26"/>
      <c r="F55" s="26"/>
      <c r="G55" s="26"/>
      <c r="H55" s="27"/>
      <c r="I55" s="28" t="s">
        <v>27</v>
      </c>
      <c r="J55" s="1" t="s">
        <v>27</v>
      </c>
      <c r="K55" s="1" t="s">
        <v>27</v>
      </c>
      <c r="L55" s="26"/>
      <c r="M55" s="26"/>
      <c r="N55" s="26"/>
      <c r="O55" s="26"/>
      <c r="P55" s="27"/>
    </row>
    <row r="56" spans="1:16">
      <c r="A56" s="28" t="s">
        <v>27</v>
      </c>
      <c r="B56" s="1" t="s">
        <v>27</v>
      </c>
      <c r="C56" s="1" t="s">
        <v>27</v>
      </c>
      <c r="D56" s="26"/>
      <c r="E56" s="26"/>
      <c r="F56" s="26"/>
      <c r="G56" s="26"/>
      <c r="H56" s="27"/>
      <c r="I56" s="28" t="s">
        <v>27</v>
      </c>
      <c r="J56" s="1" t="s">
        <v>27</v>
      </c>
      <c r="K56" s="1" t="s">
        <v>27</v>
      </c>
      <c r="L56" s="26"/>
      <c r="M56" s="26"/>
      <c r="N56" s="26"/>
      <c r="O56" s="26"/>
      <c r="P56" s="27"/>
    </row>
    <row r="57" spans="1:16">
      <c r="A57" s="28" t="s">
        <v>27</v>
      </c>
      <c r="B57" s="1" t="s">
        <v>27</v>
      </c>
      <c r="C57" s="1" t="s">
        <v>27</v>
      </c>
      <c r="D57" s="26"/>
      <c r="E57" s="26"/>
      <c r="F57" s="26"/>
      <c r="G57" s="26"/>
      <c r="H57" s="27"/>
      <c r="I57" s="28" t="s">
        <v>27</v>
      </c>
      <c r="J57" s="1" t="s">
        <v>27</v>
      </c>
      <c r="K57" s="1" t="s">
        <v>27</v>
      </c>
      <c r="L57" s="26"/>
      <c r="M57" s="26"/>
      <c r="N57" s="26"/>
      <c r="O57" s="26"/>
      <c r="P57" s="27"/>
    </row>
    <row r="58" spans="1:16">
      <c r="A58" s="28" t="s">
        <v>27</v>
      </c>
      <c r="B58" s="1" t="s">
        <v>27</v>
      </c>
      <c r="C58" s="1" t="s">
        <v>27</v>
      </c>
      <c r="D58" s="26"/>
      <c r="E58" s="26"/>
      <c r="F58" s="26"/>
      <c r="G58" s="26"/>
      <c r="H58" s="27"/>
      <c r="I58" s="28" t="s">
        <v>27</v>
      </c>
      <c r="J58" s="1" t="s">
        <v>27</v>
      </c>
      <c r="K58" s="1" t="s">
        <v>27</v>
      </c>
      <c r="L58" s="26"/>
      <c r="M58" s="26"/>
      <c r="N58" s="26"/>
      <c r="O58" s="26"/>
      <c r="P58" s="27"/>
    </row>
    <row r="59" spans="1:16">
      <c r="A59" s="28" t="s">
        <v>27</v>
      </c>
      <c r="B59" s="1" t="s">
        <v>27</v>
      </c>
      <c r="C59" s="1" t="s">
        <v>27</v>
      </c>
      <c r="D59" s="26"/>
      <c r="E59" s="26"/>
      <c r="F59" s="26"/>
      <c r="G59" s="26"/>
      <c r="H59" s="27"/>
      <c r="I59" s="28" t="s">
        <v>27</v>
      </c>
      <c r="J59" s="1" t="s">
        <v>27</v>
      </c>
      <c r="K59" s="1" t="s">
        <v>27</v>
      </c>
      <c r="L59" s="26"/>
      <c r="M59" s="26"/>
      <c r="N59" s="26"/>
      <c r="O59" s="26"/>
      <c r="P59" s="27"/>
    </row>
    <row r="60" spans="1:16">
      <c r="A60" s="28" t="s">
        <v>27</v>
      </c>
      <c r="B60" s="1" t="s">
        <v>27</v>
      </c>
      <c r="C60" s="1" t="s">
        <v>27</v>
      </c>
      <c r="D60" s="26"/>
      <c r="E60" s="26"/>
      <c r="F60" s="26"/>
      <c r="G60" s="26"/>
      <c r="H60" s="27"/>
      <c r="I60" s="28" t="s">
        <v>27</v>
      </c>
      <c r="J60" s="1" t="s">
        <v>27</v>
      </c>
      <c r="K60" s="1" t="s">
        <v>27</v>
      </c>
      <c r="L60" s="26"/>
      <c r="M60" s="26"/>
      <c r="N60" s="26"/>
      <c r="O60" s="26"/>
      <c r="P60" s="27"/>
    </row>
    <row r="61" spans="1:16">
      <c r="A61" s="28" t="s">
        <v>27</v>
      </c>
      <c r="B61" s="1" t="s">
        <v>27</v>
      </c>
      <c r="C61" s="1" t="s">
        <v>27</v>
      </c>
      <c r="D61" s="26"/>
      <c r="E61" s="26"/>
      <c r="F61" s="26"/>
      <c r="G61" s="26"/>
      <c r="H61" s="27"/>
      <c r="I61" s="28" t="s">
        <v>27</v>
      </c>
      <c r="J61" s="1" t="s">
        <v>27</v>
      </c>
      <c r="K61" s="1" t="s">
        <v>27</v>
      </c>
      <c r="L61" s="26"/>
      <c r="M61" s="26"/>
      <c r="N61" s="26"/>
      <c r="O61" s="26"/>
      <c r="P61" s="27"/>
    </row>
    <row r="62" spans="1:16">
      <c r="A62" s="28" t="s">
        <v>27</v>
      </c>
      <c r="B62" s="1" t="s">
        <v>27</v>
      </c>
      <c r="C62" s="1" t="s">
        <v>27</v>
      </c>
      <c r="D62" s="26"/>
      <c r="E62" s="26"/>
      <c r="F62" s="26"/>
      <c r="G62" s="26"/>
      <c r="H62" s="27"/>
      <c r="I62" s="28" t="s">
        <v>27</v>
      </c>
      <c r="J62" s="1" t="s">
        <v>27</v>
      </c>
      <c r="K62" s="1" t="s">
        <v>27</v>
      </c>
      <c r="L62" s="26"/>
      <c r="M62" s="26"/>
      <c r="N62" s="26"/>
      <c r="O62" s="26"/>
      <c r="P62" s="27"/>
    </row>
    <row r="63" spans="1:16">
      <c r="A63" s="28" t="s">
        <v>27</v>
      </c>
      <c r="B63" s="1" t="s">
        <v>27</v>
      </c>
      <c r="C63" s="1" t="s">
        <v>27</v>
      </c>
      <c r="D63" s="26"/>
      <c r="E63" s="26"/>
      <c r="F63" s="26"/>
      <c r="G63" s="26"/>
      <c r="H63" s="27"/>
      <c r="I63" s="28" t="s">
        <v>27</v>
      </c>
      <c r="J63" s="1" t="s">
        <v>27</v>
      </c>
      <c r="K63" s="1" t="s">
        <v>27</v>
      </c>
      <c r="L63" s="26"/>
      <c r="M63" s="26"/>
      <c r="N63" s="26"/>
      <c r="O63" s="26"/>
      <c r="P63" s="27"/>
    </row>
    <row r="64" spans="1:16">
      <c r="A64" s="28" t="s">
        <v>27</v>
      </c>
      <c r="B64" s="1" t="s">
        <v>27</v>
      </c>
      <c r="C64" s="1" t="s">
        <v>27</v>
      </c>
      <c r="D64" s="26"/>
      <c r="E64" s="26"/>
      <c r="F64" s="26"/>
      <c r="G64" s="26"/>
      <c r="H64" s="27"/>
      <c r="I64" s="28" t="s">
        <v>27</v>
      </c>
      <c r="J64" s="1" t="s">
        <v>27</v>
      </c>
      <c r="K64" s="1" t="s">
        <v>27</v>
      </c>
      <c r="L64" s="26"/>
      <c r="M64" s="26"/>
      <c r="N64" s="26"/>
      <c r="O64" s="26"/>
      <c r="P64" s="27"/>
    </row>
    <row r="65" spans="1:16">
      <c r="A65" s="28" t="s">
        <v>27</v>
      </c>
      <c r="B65" s="1" t="s">
        <v>27</v>
      </c>
      <c r="C65" s="1" t="s">
        <v>27</v>
      </c>
      <c r="D65" s="26"/>
      <c r="E65" s="26"/>
      <c r="F65" s="26"/>
      <c r="G65" s="26"/>
      <c r="H65" s="27"/>
      <c r="I65" s="28" t="s">
        <v>27</v>
      </c>
      <c r="J65" s="1" t="s">
        <v>27</v>
      </c>
      <c r="K65" s="1" t="s">
        <v>27</v>
      </c>
      <c r="L65" s="26"/>
      <c r="M65" s="26"/>
      <c r="N65" s="26"/>
      <c r="O65" s="26"/>
      <c r="P65" s="27"/>
    </row>
    <row r="66" spans="1:16">
      <c r="A66" s="28" t="s">
        <v>27</v>
      </c>
      <c r="B66" s="1" t="s">
        <v>27</v>
      </c>
      <c r="C66" s="1" t="s">
        <v>27</v>
      </c>
      <c r="D66" s="26"/>
      <c r="E66" s="26"/>
      <c r="F66" s="26"/>
      <c r="G66" s="26"/>
      <c r="H66" s="27"/>
      <c r="I66" s="28" t="s">
        <v>27</v>
      </c>
      <c r="J66" s="1" t="s">
        <v>27</v>
      </c>
      <c r="K66" s="1" t="s">
        <v>27</v>
      </c>
      <c r="L66" s="26"/>
      <c r="M66" s="26"/>
      <c r="N66" s="26"/>
      <c r="O66" s="26"/>
      <c r="P66" s="27"/>
    </row>
    <row r="67" spans="1:16">
      <c r="A67" s="28" t="s">
        <v>27</v>
      </c>
      <c r="B67" s="1" t="s">
        <v>27</v>
      </c>
      <c r="C67" s="1" t="s">
        <v>27</v>
      </c>
      <c r="D67" s="26"/>
      <c r="E67" s="26"/>
      <c r="F67" s="26"/>
      <c r="G67" s="26"/>
      <c r="H67" s="27"/>
      <c r="I67" s="28" t="s">
        <v>27</v>
      </c>
      <c r="J67" s="1" t="s">
        <v>27</v>
      </c>
      <c r="K67" s="1" t="s">
        <v>27</v>
      </c>
      <c r="L67" s="26"/>
      <c r="M67" s="26"/>
      <c r="N67" s="26"/>
      <c r="O67" s="26"/>
      <c r="P67" s="27"/>
    </row>
    <row r="68" spans="1:16">
      <c r="A68" s="28" t="s">
        <v>27</v>
      </c>
      <c r="B68" s="1" t="s">
        <v>27</v>
      </c>
      <c r="C68" s="1" t="s">
        <v>27</v>
      </c>
      <c r="D68" s="26"/>
      <c r="E68" s="26"/>
      <c r="F68" s="26"/>
      <c r="G68" s="26"/>
      <c r="H68" s="27"/>
      <c r="I68" s="28" t="s">
        <v>27</v>
      </c>
      <c r="J68" s="1" t="s">
        <v>27</v>
      </c>
      <c r="K68" s="1" t="s">
        <v>27</v>
      </c>
      <c r="L68" s="26"/>
      <c r="M68" s="26"/>
      <c r="N68" s="26"/>
      <c r="O68" s="26"/>
      <c r="P68" s="27"/>
    </row>
    <row r="69" spans="1:16">
      <c r="A69" s="28" t="s">
        <v>27</v>
      </c>
      <c r="B69" s="1" t="s">
        <v>27</v>
      </c>
      <c r="C69" s="1" t="s">
        <v>27</v>
      </c>
      <c r="D69" s="26"/>
      <c r="E69" s="26"/>
      <c r="F69" s="26"/>
      <c r="G69" s="26"/>
      <c r="H69" s="27"/>
      <c r="I69" s="28" t="s">
        <v>27</v>
      </c>
      <c r="J69" s="1" t="s">
        <v>27</v>
      </c>
      <c r="K69" s="1" t="s">
        <v>27</v>
      </c>
      <c r="L69" s="26"/>
      <c r="M69" s="26"/>
      <c r="N69" s="26"/>
      <c r="O69" s="26"/>
      <c r="P69" s="27"/>
    </row>
    <row r="70" spans="1:16">
      <c r="A70" s="28" t="s">
        <v>27</v>
      </c>
      <c r="B70" s="1" t="s">
        <v>27</v>
      </c>
      <c r="C70" s="1" t="s">
        <v>27</v>
      </c>
      <c r="D70" s="26"/>
      <c r="E70" s="26"/>
      <c r="F70" s="26"/>
      <c r="G70" s="26"/>
      <c r="H70" s="27"/>
      <c r="I70" s="28" t="s">
        <v>27</v>
      </c>
      <c r="J70" s="1" t="s">
        <v>27</v>
      </c>
      <c r="K70" s="1" t="s">
        <v>27</v>
      </c>
      <c r="L70" s="26"/>
      <c r="M70" s="26"/>
      <c r="N70" s="26"/>
      <c r="O70" s="26"/>
      <c r="P70" s="27"/>
    </row>
    <row r="71" spans="1:16">
      <c r="A71" s="28" t="s">
        <v>27</v>
      </c>
      <c r="B71" s="1" t="s">
        <v>27</v>
      </c>
      <c r="C71" s="1" t="s">
        <v>27</v>
      </c>
      <c r="D71" s="26"/>
      <c r="E71" s="26"/>
      <c r="F71" s="26"/>
      <c r="G71" s="26"/>
      <c r="H71" s="27"/>
      <c r="I71" s="28" t="s">
        <v>27</v>
      </c>
      <c r="J71" s="1" t="s">
        <v>27</v>
      </c>
      <c r="K71" s="1" t="s">
        <v>27</v>
      </c>
      <c r="L71" s="26"/>
      <c r="M71" s="26"/>
      <c r="N71" s="26"/>
      <c r="O71" s="26"/>
      <c r="P71" s="27"/>
    </row>
    <row r="72" spans="1:16">
      <c r="A72" s="28" t="s">
        <v>27</v>
      </c>
      <c r="B72" s="1" t="s">
        <v>27</v>
      </c>
      <c r="C72" s="1" t="s">
        <v>27</v>
      </c>
      <c r="D72" s="26"/>
      <c r="E72" s="26"/>
      <c r="F72" s="26"/>
      <c r="G72" s="26"/>
      <c r="H72" s="27"/>
      <c r="I72" s="28" t="s">
        <v>27</v>
      </c>
      <c r="J72" s="1" t="s">
        <v>27</v>
      </c>
      <c r="K72" s="1" t="s">
        <v>27</v>
      </c>
      <c r="L72" s="26"/>
      <c r="M72" s="26"/>
      <c r="N72" s="26"/>
      <c r="O72" s="26"/>
      <c r="P72" s="27"/>
    </row>
    <row r="73" spans="1:16">
      <c r="A73" s="28" t="s">
        <v>27</v>
      </c>
      <c r="B73" s="1" t="s">
        <v>27</v>
      </c>
      <c r="C73" s="1" t="s">
        <v>27</v>
      </c>
      <c r="D73" s="26"/>
      <c r="E73" s="26"/>
      <c r="F73" s="26"/>
      <c r="G73" s="26"/>
      <c r="H73" s="27"/>
      <c r="I73" s="28" t="s">
        <v>27</v>
      </c>
      <c r="J73" s="1" t="s">
        <v>27</v>
      </c>
      <c r="K73" s="1" t="s">
        <v>27</v>
      </c>
      <c r="L73" s="26"/>
      <c r="M73" s="26"/>
      <c r="N73" s="26"/>
      <c r="O73" s="26"/>
      <c r="P73" s="27"/>
    </row>
    <row r="74" spans="1:16">
      <c r="A74" s="28" t="s">
        <v>27</v>
      </c>
      <c r="B74" s="1" t="s">
        <v>27</v>
      </c>
      <c r="C74" s="1" t="s">
        <v>27</v>
      </c>
      <c r="D74" s="26"/>
      <c r="E74" s="26"/>
      <c r="F74" s="26"/>
      <c r="G74" s="26"/>
      <c r="H74" s="27"/>
      <c r="I74" s="28" t="s">
        <v>27</v>
      </c>
      <c r="J74" s="1" t="s">
        <v>27</v>
      </c>
      <c r="K74" s="1" t="s">
        <v>27</v>
      </c>
      <c r="L74" s="26"/>
      <c r="M74" s="26"/>
      <c r="N74" s="26"/>
      <c r="O74" s="26"/>
      <c r="P74" s="27"/>
    </row>
    <row r="75" spans="1:16">
      <c r="A75" s="28" t="s">
        <v>27</v>
      </c>
      <c r="B75" s="1" t="s">
        <v>27</v>
      </c>
      <c r="C75" s="1" t="s">
        <v>27</v>
      </c>
      <c r="D75" s="26"/>
      <c r="E75" s="26"/>
      <c r="F75" s="26"/>
      <c r="G75" s="26"/>
      <c r="H75" s="27"/>
      <c r="I75" s="28" t="s">
        <v>27</v>
      </c>
      <c r="J75" s="1" t="s">
        <v>27</v>
      </c>
      <c r="K75" s="1" t="s">
        <v>27</v>
      </c>
      <c r="L75" s="26"/>
      <c r="M75" s="26"/>
      <c r="N75" s="26"/>
      <c r="O75" s="26"/>
      <c r="P75" s="27"/>
    </row>
    <row r="76" spans="1:16">
      <c r="A76" s="28" t="s">
        <v>27</v>
      </c>
      <c r="B76" s="1" t="s">
        <v>27</v>
      </c>
      <c r="C76" s="1" t="s">
        <v>27</v>
      </c>
      <c r="D76" s="26"/>
      <c r="E76" s="26"/>
      <c r="F76" s="26"/>
      <c r="G76" s="26"/>
      <c r="H76" s="27"/>
      <c r="I76" s="28" t="s">
        <v>27</v>
      </c>
      <c r="J76" s="1" t="s">
        <v>27</v>
      </c>
      <c r="K76" s="1" t="s">
        <v>27</v>
      </c>
      <c r="L76" s="26"/>
      <c r="M76" s="26"/>
      <c r="N76" s="26"/>
      <c r="O76" s="26"/>
      <c r="P76" s="27"/>
    </row>
    <row r="77" spans="1:16">
      <c r="A77" s="28" t="s">
        <v>27</v>
      </c>
      <c r="B77" s="1" t="s">
        <v>27</v>
      </c>
      <c r="C77" s="1" t="s">
        <v>27</v>
      </c>
      <c r="D77" s="26"/>
      <c r="E77" s="26"/>
      <c r="F77" s="26"/>
      <c r="G77" s="26"/>
      <c r="H77" s="27"/>
      <c r="I77" s="28" t="s">
        <v>27</v>
      </c>
      <c r="J77" s="1" t="s">
        <v>27</v>
      </c>
      <c r="K77" s="1" t="s">
        <v>27</v>
      </c>
      <c r="L77" s="26"/>
      <c r="M77" s="26"/>
      <c r="N77" s="26"/>
      <c r="O77" s="26"/>
      <c r="P77" s="27"/>
    </row>
    <row r="78" spans="1:16">
      <c r="A78" s="28" t="s">
        <v>27</v>
      </c>
      <c r="B78" s="1" t="s">
        <v>27</v>
      </c>
      <c r="C78" s="1" t="s">
        <v>27</v>
      </c>
      <c r="D78" s="26"/>
      <c r="E78" s="26"/>
      <c r="F78" s="26"/>
      <c r="G78" s="26"/>
      <c r="H78" s="27"/>
      <c r="I78" s="28" t="s">
        <v>27</v>
      </c>
      <c r="J78" s="1" t="s">
        <v>27</v>
      </c>
      <c r="K78" s="1" t="s">
        <v>27</v>
      </c>
      <c r="L78" s="26"/>
      <c r="M78" s="26"/>
      <c r="N78" s="26"/>
      <c r="O78" s="26"/>
      <c r="P78" s="27"/>
    </row>
    <row r="79" spans="1:16">
      <c r="A79" s="28" t="s">
        <v>27</v>
      </c>
      <c r="B79" s="1" t="s">
        <v>27</v>
      </c>
      <c r="C79" s="1" t="s">
        <v>27</v>
      </c>
      <c r="D79" s="26"/>
      <c r="E79" s="26"/>
      <c r="F79" s="26"/>
      <c r="G79" s="26"/>
      <c r="H79" s="27"/>
      <c r="I79" s="28" t="s">
        <v>27</v>
      </c>
      <c r="J79" s="1" t="s">
        <v>27</v>
      </c>
      <c r="K79" s="1" t="s">
        <v>27</v>
      </c>
      <c r="L79" s="26"/>
      <c r="M79" s="26"/>
      <c r="N79" s="26"/>
      <c r="O79" s="26"/>
      <c r="P79" s="27"/>
    </row>
    <row r="80" spans="1:16">
      <c r="A80" s="28" t="s">
        <v>27</v>
      </c>
      <c r="B80" s="1" t="s">
        <v>27</v>
      </c>
      <c r="C80" s="1" t="s">
        <v>27</v>
      </c>
      <c r="D80" s="26"/>
      <c r="E80" s="26"/>
      <c r="F80" s="26"/>
      <c r="G80" s="26"/>
      <c r="H80" s="27"/>
      <c r="I80" s="28" t="s">
        <v>27</v>
      </c>
      <c r="J80" s="1" t="s">
        <v>27</v>
      </c>
      <c r="K80" s="1" t="s">
        <v>27</v>
      </c>
      <c r="L80" s="26"/>
      <c r="M80" s="26"/>
      <c r="N80" s="26"/>
      <c r="O80" s="26"/>
      <c r="P80" s="27"/>
    </row>
    <row r="81" spans="1:16">
      <c r="A81" s="28" t="s">
        <v>27</v>
      </c>
      <c r="B81" s="1" t="s">
        <v>27</v>
      </c>
      <c r="C81" s="1" t="s">
        <v>27</v>
      </c>
      <c r="D81" s="26"/>
      <c r="E81" s="26"/>
      <c r="F81" s="26"/>
      <c r="G81" s="26"/>
      <c r="H81" s="27"/>
      <c r="I81" s="28" t="s">
        <v>27</v>
      </c>
      <c r="J81" s="1" t="s">
        <v>27</v>
      </c>
      <c r="K81" s="1" t="s">
        <v>27</v>
      </c>
      <c r="L81" s="26"/>
      <c r="M81" s="26"/>
      <c r="N81" s="26"/>
      <c r="O81" s="26"/>
      <c r="P81" s="27"/>
    </row>
    <row r="82" spans="1:16">
      <c r="A82" s="28" t="s">
        <v>27</v>
      </c>
      <c r="B82" s="1" t="s">
        <v>27</v>
      </c>
      <c r="C82" s="1" t="s">
        <v>27</v>
      </c>
      <c r="D82" s="26"/>
      <c r="E82" s="26"/>
      <c r="F82" s="26"/>
      <c r="G82" s="26"/>
      <c r="H82" s="27"/>
      <c r="I82" s="28" t="s">
        <v>27</v>
      </c>
      <c r="J82" s="1" t="s">
        <v>27</v>
      </c>
      <c r="K82" s="1" t="s">
        <v>27</v>
      </c>
      <c r="L82" s="26"/>
      <c r="M82" s="26"/>
      <c r="N82" s="26"/>
      <c r="O82" s="26"/>
      <c r="P82" s="27"/>
    </row>
    <row r="83" spans="1:16">
      <c r="A83" s="28" t="s">
        <v>27</v>
      </c>
      <c r="B83" s="1" t="s">
        <v>27</v>
      </c>
      <c r="C83" s="1" t="s">
        <v>27</v>
      </c>
      <c r="D83" s="26"/>
      <c r="E83" s="26"/>
      <c r="F83" s="26"/>
      <c r="G83" s="26"/>
      <c r="H83" s="27"/>
      <c r="I83" s="28" t="s">
        <v>27</v>
      </c>
      <c r="J83" s="1" t="s">
        <v>27</v>
      </c>
      <c r="K83" s="1" t="s">
        <v>27</v>
      </c>
      <c r="L83" s="26"/>
      <c r="M83" s="26"/>
      <c r="N83" s="26"/>
      <c r="O83" s="26"/>
      <c r="P83" s="27"/>
    </row>
    <row r="84" spans="1:16">
      <c r="A84" s="28" t="s">
        <v>27</v>
      </c>
      <c r="B84" s="1" t="s">
        <v>27</v>
      </c>
      <c r="C84" s="1" t="s">
        <v>27</v>
      </c>
      <c r="D84" s="26"/>
      <c r="E84" s="26"/>
      <c r="F84" s="26"/>
      <c r="G84" s="26"/>
      <c r="H84" s="27"/>
      <c r="I84" s="28" t="s">
        <v>27</v>
      </c>
      <c r="J84" s="1" t="s">
        <v>27</v>
      </c>
      <c r="K84" s="1" t="s">
        <v>27</v>
      </c>
      <c r="L84" s="26"/>
      <c r="M84" s="26"/>
      <c r="N84" s="26"/>
      <c r="O84" s="26"/>
      <c r="P84" s="27"/>
    </row>
    <row r="85" spans="1:16">
      <c r="A85" s="28" t="s">
        <v>27</v>
      </c>
      <c r="B85" s="1" t="s">
        <v>27</v>
      </c>
      <c r="C85" s="1" t="s">
        <v>27</v>
      </c>
      <c r="D85" s="26"/>
      <c r="E85" s="26"/>
      <c r="F85" s="26"/>
      <c r="G85" s="26"/>
      <c r="H85" s="27"/>
      <c r="I85" s="28" t="s">
        <v>27</v>
      </c>
      <c r="J85" s="1" t="s">
        <v>27</v>
      </c>
      <c r="K85" s="1" t="s">
        <v>27</v>
      </c>
      <c r="L85" s="26"/>
      <c r="M85" s="26"/>
      <c r="N85" s="26"/>
      <c r="O85" s="26"/>
      <c r="P85" s="27"/>
    </row>
    <row r="86" spans="1:16">
      <c r="A86" s="28" t="s">
        <v>27</v>
      </c>
      <c r="B86" s="1" t="s">
        <v>27</v>
      </c>
      <c r="C86" s="1" t="s">
        <v>27</v>
      </c>
      <c r="D86" s="26"/>
      <c r="E86" s="26"/>
      <c r="F86" s="26"/>
      <c r="G86" s="26"/>
      <c r="H86" s="27"/>
      <c r="I86" s="28" t="s">
        <v>27</v>
      </c>
      <c r="J86" s="1" t="s">
        <v>27</v>
      </c>
      <c r="K86" s="1" t="s">
        <v>27</v>
      </c>
      <c r="L86" s="26"/>
      <c r="M86" s="26"/>
      <c r="N86" s="26"/>
      <c r="O86" s="26"/>
      <c r="P86" s="27"/>
    </row>
    <row r="87" spans="1:16">
      <c r="A87" s="28" t="s">
        <v>27</v>
      </c>
      <c r="B87" s="1" t="s">
        <v>27</v>
      </c>
      <c r="C87" s="1" t="s">
        <v>27</v>
      </c>
      <c r="D87" s="26"/>
      <c r="E87" s="26"/>
      <c r="F87" s="26"/>
      <c r="G87" s="26"/>
      <c r="H87" s="27"/>
      <c r="I87" s="28" t="s">
        <v>27</v>
      </c>
      <c r="J87" s="1" t="s">
        <v>27</v>
      </c>
      <c r="K87" s="1" t="s">
        <v>27</v>
      </c>
      <c r="L87" s="26"/>
      <c r="M87" s="26"/>
      <c r="N87" s="26"/>
      <c r="O87" s="26"/>
      <c r="P87" s="27"/>
    </row>
    <row r="88" spans="1:16">
      <c r="A88" s="28" t="s">
        <v>27</v>
      </c>
      <c r="B88" s="1" t="s">
        <v>27</v>
      </c>
      <c r="C88" s="1" t="s">
        <v>27</v>
      </c>
      <c r="D88" s="26"/>
      <c r="E88" s="26"/>
      <c r="F88" s="26"/>
      <c r="G88" s="26"/>
      <c r="H88" s="27"/>
      <c r="I88" s="28" t="s">
        <v>27</v>
      </c>
      <c r="J88" s="1" t="s">
        <v>27</v>
      </c>
      <c r="K88" s="1" t="s">
        <v>27</v>
      </c>
      <c r="L88" s="26"/>
      <c r="M88" s="26"/>
      <c r="N88" s="26"/>
      <c r="O88" s="26"/>
      <c r="P88" s="27"/>
    </row>
    <row r="89" spans="1:16">
      <c r="A89" s="28" t="s">
        <v>27</v>
      </c>
      <c r="B89" s="1" t="s">
        <v>27</v>
      </c>
      <c r="C89" s="1" t="s">
        <v>27</v>
      </c>
      <c r="D89" s="26"/>
      <c r="E89" s="26"/>
      <c r="F89" s="26"/>
      <c r="G89" s="26"/>
      <c r="H89" s="27"/>
      <c r="I89" s="28" t="s">
        <v>27</v>
      </c>
      <c r="J89" s="1" t="s">
        <v>27</v>
      </c>
      <c r="K89" s="1" t="s">
        <v>27</v>
      </c>
      <c r="L89" s="26"/>
      <c r="M89" s="26"/>
      <c r="N89" s="26"/>
      <c r="O89" s="26"/>
      <c r="P89" s="27"/>
    </row>
    <row r="90" spans="1:16">
      <c r="A90" s="28" t="s">
        <v>27</v>
      </c>
      <c r="B90" s="1" t="s">
        <v>27</v>
      </c>
      <c r="C90" s="1" t="s">
        <v>27</v>
      </c>
      <c r="D90" s="26"/>
      <c r="E90" s="26"/>
      <c r="F90" s="26"/>
      <c r="G90" s="26"/>
      <c r="H90" s="27"/>
      <c r="I90" s="28" t="s">
        <v>27</v>
      </c>
      <c r="J90" s="1" t="s">
        <v>27</v>
      </c>
      <c r="K90" s="1" t="s">
        <v>27</v>
      </c>
      <c r="L90" s="26"/>
      <c r="M90" s="26"/>
      <c r="N90" s="26"/>
      <c r="O90" s="26"/>
      <c r="P90" s="27"/>
    </row>
    <row r="91" spans="1:16">
      <c r="A91" s="28" t="s">
        <v>27</v>
      </c>
      <c r="B91" s="1" t="s">
        <v>27</v>
      </c>
      <c r="C91" s="1" t="s">
        <v>27</v>
      </c>
      <c r="D91" s="26"/>
      <c r="E91" s="26"/>
      <c r="F91" s="26"/>
      <c r="G91" s="26"/>
      <c r="H91" s="27"/>
      <c r="I91" s="28" t="s">
        <v>27</v>
      </c>
      <c r="J91" s="1" t="s">
        <v>27</v>
      </c>
      <c r="K91" s="1" t="s">
        <v>27</v>
      </c>
      <c r="L91" s="26"/>
      <c r="M91" s="26"/>
      <c r="N91" s="26"/>
      <c r="O91" s="26"/>
      <c r="P91" s="27"/>
    </row>
    <row r="92" spans="1:16">
      <c r="A92" s="28" t="s">
        <v>27</v>
      </c>
      <c r="B92" s="1" t="s">
        <v>27</v>
      </c>
      <c r="C92" s="1" t="s">
        <v>27</v>
      </c>
      <c r="D92" s="26"/>
      <c r="E92" s="26"/>
      <c r="F92" s="26"/>
      <c r="G92" s="26"/>
      <c r="H92" s="27"/>
      <c r="I92" s="28" t="s">
        <v>27</v>
      </c>
      <c r="J92" s="1" t="s">
        <v>27</v>
      </c>
      <c r="K92" s="1" t="s">
        <v>27</v>
      </c>
      <c r="L92" s="26"/>
      <c r="M92" s="26"/>
      <c r="N92" s="26"/>
      <c r="O92" s="26"/>
      <c r="P92" s="27"/>
    </row>
    <row r="93" spans="1:16">
      <c r="A93" s="28" t="s">
        <v>27</v>
      </c>
      <c r="B93" s="1" t="s">
        <v>27</v>
      </c>
      <c r="C93" s="1" t="s">
        <v>27</v>
      </c>
      <c r="D93" s="26"/>
      <c r="E93" s="26"/>
      <c r="F93" s="26"/>
      <c r="G93" s="26"/>
      <c r="H93" s="27"/>
      <c r="I93" s="28" t="s">
        <v>27</v>
      </c>
      <c r="J93" s="1" t="s">
        <v>27</v>
      </c>
      <c r="K93" s="1" t="s">
        <v>27</v>
      </c>
      <c r="L93" s="26"/>
      <c r="M93" s="26"/>
      <c r="N93" s="26"/>
      <c r="O93" s="26"/>
      <c r="P93" s="27"/>
    </row>
    <row r="94" spans="1:16">
      <c r="A94" s="28" t="s">
        <v>27</v>
      </c>
      <c r="B94" s="1" t="s">
        <v>27</v>
      </c>
      <c r="C94" s="1" t="s">
        <v>27</v>
      </c>
      <c r="D94" s="26"/>
      <c r="E94" s="26"/>
      <c r="F94" s="26"/>
      <c r="G94" s="26"/>
      <c r="H94" s="27"/>
      <c r="I94" s="28" t="s">
        <v>27</v>
      </c>
      <c r="J94" s="1" t="s">
        <v>27</v>
      </c>
      <c r="K94" s="1" t="s">
        <v>27</v>
      </c>
      <c r="L94" s="26"/>
      <c r="M94" s="26"/>
      <c r="N94" s="26"/>
      <c r="O94" s="26"/>
      <c r="P94" s="27"/>
    </row>
    <row r="95" spans="1:16">
      <c r="A95" s="28" t="s">
        <v>27</v>
      </c>
      <c r="B95" s="1" t="s">
        <v>27</v>
      </c>
      <c r="C95" s="1" t="s">
        <v>27</v>
      </c>
      <c r="D95" s="26"/>
      <c r="E95" s="26"/>
      <c r="F95" s="26"/>
      <c r="G95" s="26"/>
      <c r="H95" s="27"/>
      <c r="I95" s="28" t="s">
        <v>27</v>
      </c>
      <c r="J95" s="1" t="s">
        <v>27</v>
      </c>
      <c r="K95" s="1" t="s">
        <v>27</v>
      </c>
      <c r="L95" s="26"/>
      <c r="M95" s="26"/>
      <c r="N95" s="26"/>
      <c r="O95" s="26"/>
      <c r="P95" s="27"/>
    </row>
    <row r="96" spans="1:16">
      <c r="A96" s="28" t="s">
        <v>27</v>
      </c>
      <c r="B96" s="1" t="s">
        <v>27</v>
      </c>
      <c r="C96" s="1" t="s">
        <v>27</v>
      </c>
      <c r="D96" s="26"/>
      <c r="E96" s="26"/>
      <c r="F96" s="26"/>
      <c r="G96" s="26"/>
      <c r="H96" s="27"/>
      <c r="I96" s="28" t="s">
        <v>27</v>
      </c>
      <c r="J96" s="1" t="s">
        <v>27</v>
      </c>
      <c r="K96" s="1" t="s">
        <v>27</v>
      </c>
      <c r="L96" s="26"/>
      <c r="M96" s="26"/>
      <c r="N96" s="26"/>
      <c r="O96" s="26"/>
      <c r="P96" s="27"/>
    </row>
    <row r="97" spans="1:16">
      <c r="A97" s="28" t="s">
        <v>27</v>
      </c>
      <c r="B97" s="1" t="s">
        <v>27</v>
      </c>
      <c r="C97" s="1" t="s">
        <v>27</v>
      </c>
      <c r="D97" s="26"/>
      <c r="E97" s="26"/>
      <c r="F97" s="26"/>
      <c r="G97" s="26"/>
      <c r="H97" s="27"/>
      <c r="I97" s="28" t="s">
        <v>27</v>
      </c>
      <c r="J97" s="1" t="s">
        <v>27</v>
      </c>
      <c r="K97" s="1" t="s">
        <v>27</v>
      </c>
      <c r="L97" s="26"/>
      <c r="M97" s="26"/>
      <c r="N97" s="26"/>
      <c r="O97" s="26"/>
      <c r="P97" s="27"/>
    </row>
    <row r="98" spans="1:16">
      <c r="A98" s="28" t="s">
        <v>27</v>
      </c>
      <c r="B98" s="1" t="s">
        <v>27</v>
      </c>
      <c r="C98" s="1" t="s">
        <v>27</v>
      </c>
      <c r="D98" s="26"/>
      <c r="E98" s="26"/>
      <c r="F98" s="26"/>
      <c r="G98" s="26"/>
      <c r="H98" s="27"/>
      <c r="I98" s="28" t="s">
        <v>27</v>
      </c>
      <c r="J98" s="1" t="s">
        <v>27</v>
      </c>
      <c r="K98" s="1" t="s">
        <v>27</v>
      </c>
      <c r="L98" s="26"/>
      <c r="M98" s="26"/>
      <c r="N98" s="26"/>
      <c r="O98" s="26"/>
      <c r="P98" s="27"/>
    </row>
    <row r="99" spans="1:16">
      <c r="A99" s="28" t="s">
        <v>27</v>
      </c>
      <c r="B99" s="1" t="s">
        <v>27</v>
      </c>
      <c r="C99" s="1" t="s">
        <v>27</v>
      </c>
      <c r="D99" s="26"/>
      <c r="E99" s="26"/>
      <c r="F99" s="26"/>
      <c r="G99" s="26"/>
      <c r="H99" s="27"/>
      <c r="I99" s="28" t="s">
        <v>27</v>
      </c>
      <c r="J99" s="1" t="s">
        <v>27</v>
      </c>
      <c r="K99" s="1" t="s">
        <v>27</v>
      </c>
      <c r="L99" s="26"/>
      <c r="M99" s="26"/>
      <c r="N99" s="26"/>
      <c r="O99" s="26"/>
      <c r="P99" s="27"/>
    </row>
    <row r="100" spans="1:16" ht="15.75" thickBot="1">
      <c r="A100" s="29" t="s">
        <v>27</v>
      </c>
      <c r="B100" s="30" t="s">
        <v>27</v>
      </c>
      <c r="C100" s="30" t="s">
        <v>27</v>
      </c>
      <c r="D100" s="31"/>
      <c r="E100" s="31"/>
      <c r="F100" s="31"/>
      <c r="G100" s="31"/>
      <c r="H100" s="32"/>
      <c r="I100" s="29" t="s">
        <v>27</v>
      </c>
      <c r="J100" s="30" t="s">
        <v>27</v>
      </c>
      <c r="K100" s="30" t="s">
        <v>27</v>
      </c>
      <c r="L100" s="31"/>
      <c r="M100" s="31"/>
      <c r="N100" s="31"/>
      <c r="O100" s="31"/>
      <c r="P100" s="32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ageMargins left="0.7" right="0.7" top="0.75" bottom="0.75" header="0.3" footer="0.3"/>
  <pageSetup paperSize="9" orientation="portrait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4FBAD-EBD8-4522-97C0-AFA91E9EA1B4}">
  <dimension ref="A1:AB100"/>
  <sheetViews>
    <sheetView workbookViewId="0">
      <selection activeCell="AB10" sqref="AB10"/>
    </sheetView>
  </sheetViews>
  <sheetFormatPr defaultRowHeight="15"/>
  <sheetData>
    <row r="1" spans="1:28" ht="15.75">
      <c r="A1" s="62" t="s">
        <v>30</v>
      </c>
      <c r="B1" s="63"/>
      <c r="C1" s="63"/>
      <c r="D1" s="63"/>
      <c r="E1" s="63"/>
      <c r="F1" s="64" t="s">
        <v>3</v>
      </c>
      <c r="G1" s="64"/>
      <c r="H1" s="24" cm="1">
        <f t="array" ref="H1">SUM(VLOOKUP(A4:C100,$T$3:$W$36,4,FALSE))+H4*10-H8*50</f>
        <v>3301.327288882444</v>
      </c>
      <c r="I1" s="65" t="s">
        <v>41</v>
      </c>
      <c r="J1" s="66"/>
      <c r="K1" s="66"/>
      <c r="L1" s="66"/>
      <c r="M1" s="66"/>
      <c r="N1" s="66"/>
      <c r="O1" s="66"/>
      <c r="P1" s="67"/>
      <c r="Q1" s="65" t="s">
        <v>48</v>
      </c>
      <c r="R1" s="66"/>
      <c r="S1" s="66"/>
      <c r="T1" s="66"/>
      <c r="U1" s="66"/>
      <c r="V1" s="66"/>
      <c r="W1" s="66"/>
      <c r="X1" s="66"/>
      <c r="Y1" s="66"/>
      <c r="Z1" s="66"/>
      <c r="AA1" s="66"/>
      <c r="AB1" s="67"/>
    </row>
    <row r="2" spans="1:28" ht="30">
      <c r="A2" s="68" t="s">
        <v>35</v>
      </c>
      <c r="B2" s="69"/>
      <c r="C2" s="69"/>
      <c r="D2" s="70" t="s">
        <v>37</v>
      </c>
      <c r="E2" s="71"/>
      <c r="F2" s="71"/>
      <c r="G2" s="71"/>
      <c r="H2" s="72"/>
      <c r="I2" s="73" t="s">
        <v>35</v>
      </c>
      <c r="J2" s="74"/>
      <c r="K2" s="74"/>
      <c r="L2" s="75" t="s">
        <v>37</v>
      </c>
      <c r="M2" s="75"/>
      <c r="N2" s="75"/>
      <c r="O2" s="75"/>
      <c r="P2" s="76"/>
      <c r="Q2" s="50" t="s">
        <v>43</v>
      </c>
      <c r="R2" s="51" cm="1">
        <f t="array" ref="R2">SUM(V3:V28*AB3:AB28)+H6+P6+R4*500</f>
        <v>65025</v>
      </c>
      <c r="S2" s="26"/>
      <c r="T2" s="1" t="s">
        <v>0</v>
      </c>
      <c r="U2" s="1" t="s">
        <v>1</v>
      </c>
      <c r="V2" s="1" t="s">
        <v>2</v>
      </c>
      <c r="W2" s="44" t="s">
        <v>3</v>
      </c>
      <c r="X2" s="46" t="s">
        <v>44</v>
      </c>
      <c r="Y2" s="46" t="s">
        <v>56</v>
      </c>
      <c r="Z2" s="47" t="s">
        <v>45</v>
      </c>
      <c r="AA2" s="47" t="s">
        <v>46</v>
      </c>
      <c r="AB2" s="52" t="s">
        <v>47</v>
      </c>
    </row>
    <row r="3" spans="1:28">
      <c r="A3" s="60" t="s">
        <v>31</v>
      </c>
      <c r="B3" s="61" t="s">
        <v>32</v>
      </c>
      <c r="C3" s="20" t="s">
        <v>33</v>
      </c>
      <c r="D3" s="33"/>
      <c r="E3" s="60" t="s">
        <v>31</v>
      </c>
      <c r="F3" s="61" t="s">
        <v>32</v>
      </c>
      <c r="G3" s="20" t="s">
        <v>33</v>
      </c>
      <c r="H3" s="34" t="s">
        <v>36</v>
      </c>
      <c r="I3" s="60" t="s">
        <v>31</v>
      </c>
      <c r="J3" s="61" t="s">
        <v>32</v>
      </c>
      <c r="K3" s="20" t="s">
        <v>33</v>
      </c>
      <c r="L3" s="33"/>
      <c r="M3" s="60" t="s">
        <v>31</v>
      </c>
      <c r="N3" s="61" t="s">
        <v>32</v>
      </c>
      <c r="O3" s="20" t="s">
        <v>33</v>
      </c>
      <c r="P3" s="34" t="s">
        <v>36</v>
      </c>
      <c r="Q3" s="53" t="s">
        <v>49</v>
      </c>
      <c r="R3" s="26">
        <v>91</v>
      </c>
      <c r="S3" s="26"/>
      <c r="T3" s="2" t="s">
        <v>4</v>
      </c>
      <c r="U3" s="1">
        <v>150</v>
      </c>
      <c r="V3" s="1">
        <v>35</v>
      </c>
      <c r="W3" s="45">
        <f>U3-V3/0.330882</f>
        <v>44.222109392472248</v>
      </c>
      <c r="X3" s="46"/>
      <c r="Y3" s="46">
        <v>25</v>
      </c>
      <c r="Z3" s="1">
        <f>COUNTIF($A$4:$C$100,T3)</f>
        <v>17</v>
      </c>
      <c r="AA3" s="1">
        <f>COUNTIF($I$4:$K$100,T3)</f>
        <v>8</v>
      </c>
      <c r="AB3" s="54">
        <f>Y3-Z3-AA3</f>
        <v>0</v>
      </c>
    </row>
    <row r="4" spans="1:28">
      <c r="A4" s="2" t="s">
        <v>4</v>
      </c>
      <c r="B4" s="2" t="s">
        <v>4</v>
      </c>
      <c r="C4" s="3" t="s">
        <v>5</v>
      </c>
      <c r="D4" s="43" t="s">
        <v>34</v>
      </c>
      <c r="E4" s="39">
        <v>0</v>
      </c>
      <c r="F4" s="39">
        <v>11</v>
      </c>
      <c r="G4" s="39">
        <v>10</v>
      </c>
      <c r="H4" s="36">
        <f>SUM(E4:G4)</f>
        <v>21</v>
      </c>
      <c r="I4" s="2" t="s">
        <v>4</v>
      </c>
      <c r="J4" s="9" t="s">
        <v>11</v>
      </c>
      <c r="K4" s="3" t="s">
        <v>5</v>
      </c>
      <c r="L4" s="43" t="s">
        <v>34</v>
      </c>
      <c r="M4" s="39">
        <v>3</v>
      </c>
      <c r="N4" s="39">
        <v>2</v>
      </c>
      <c r="O4" s="39">
        <v>1</v>
      </c>
      <c r="P4" s="36">
        <f>SUM(M4:O4)</f>
        <v>6</v>
      </c>
      <c r="Q4" s="53" t="s">
        <v>50</v>
      </c>
      <c r="R4" s="40">
        <v>14</v>
      </c>
      <c r="S4" s="26"/>
      <c r="T4" s="3" t="s">
        <v>5</v>
      </c>
      <c r="U4" s="1">
        <v>160</v>
      </c>
      <c r="V4" s="1">
        <v>40</v>
      </c>
      <c r="W4" s="45">
        <f t="shared" ref="W4" si="0">U4-V4/0.330882</f>
        <v>39.110982162825422</v>
      </c>
      <c r="X4" s="46"/>
      <c r="Y4" s="46">
        <v>48</v>
      </c>
      <c r="Z4" s="1">
        <f t="shared" ref="Z4:Z28" si="1">COUNTIF($A$4:$C$100,T4)</f>
        <v>29</v>
      </c>
      <c r="AA4" s="1">
        <f t="shared" ref="AA4:AA28" si="2">COUNTIF($I$4:$K$100,T4)</f>
        <v>19</v>
      </c>
      <c r="AB4" s="54">
        <f t="shared" ref="AB4:AB28" si="3">Y4-Z4-AA4</f>
        <v>0</v>
      </c>
    </row>
    <row r="5" spans="1:28">
      <c r="A5" s="2" t="s">
        <v>4</v>
      </c>
      <c r="B5" s="2" t="s">
        <v>4</v>
      </c>
      <c r="C5" s="23" t="s">
        <v>29</v>
      </c>
      <c r="D5" s="33" t="s">
        <v>38</v>
      </c>
      <c r="E5" s="35" cm="1">
        <f t="array" ref="E5">(SUM(VLOOKUP(A4:A100,$T$3:$W$41,2,FALSE))+E4*10)-E8*50</f>
        <v>900</v>
      </c>
      <c r="F5" s="35" cm="1">
        <f t="array" ref="F5">(SUM(VLOOKUP(B4:B100,$T$3:$W$41,2,FALSE))+F4*10)-F8*50</f>
        <v>7130</v>
      </c>
      <c r="G5" s="35" cm="1">
        <f t="array" ref="G5">(SUM(VLOOKUP(C4:C100,$T$3:$W$41,2,FALSE))+G4*10)-G8*50</f>
        <v>6660</v>
      </c>
      <c r="H5" s="59">
        <f t="shared" ref="H5:H8" si="4">SUM(E5:G5)</f>
        <v>14690</v>
      </c>
      <c r="I5" s="15" t="s">
        <v>17</v>
      </c>
      <c r="J5" s="1" t="s">
        <v>27</v>
      </c>
      <c r="K5" s="3" t="s">
        <v>5</v>
      </c>
      <c r="L5" s="33" t="s">
        <v>38</v>
      </c>
      <c r="M5" s="35" cm="1">
        <f t="array" ref="M5">(SUM(VLOOKUP(I4:I100,$T$3:$W$41,2,FALSE))+M4*10)*0.8-M8*40</f>
        <v>1912</v>
      </c>
      <c r="N5" s="35" cm="1">
        <f t="array" ref="N5">(SUM(VLOOKUP(J4:J100,$T$3:$W$41,2,FALSE))+N4*10)*0.8-N8*40</f>
        <v>392</v>
      </c>
      <c r="O5" s="35" cm="1">
        <f t="array" ref="O5">(SUM(VLOOKUP(K4:K100,$T$3:$W$41,2,FALSE))+O4*10)*0.8-O8*40</f>
        <v>1496</v>
      </c>
      <c r="P5" s="59">
        <f t="shared" ref="P5:P8" si="5">SUM(M5:O5)</f>
        <v>3800</v>
      </c>
      <c r="Q5" s="53" t="s">
        <v>51</v>
      </c>
      <c r="R5" s="26">
        <v>6000</v>
      </c>
      <c r="S5" s="26"/>
      <c r="T5" s="4" t="s">
        <v>6</v>
      </c>
      <c r="U5" s="1">
        <v>170</v>
      </c>
      <c r="V5" s="1">
        <v>45</v>
      </c>
      <c r="W5" s="45">
        <v>34</v>
      </c>
      <c r="X5" s="48"/>
      <c r="Y5" s="46">
        <v>224</v>
      </c>
      <c r="Z5" s="1">
        <f t="shared" si="1"/>
        <v>32</v>
      </c>
      <c r="AA5" s="1">
        <f t="shared" si="2"/>
        <v>0</v>
      </c>
      <c r="AB5" s="54">
        <f t="shared" si="3"/>
        <v>192</v>
      </c>
    </row>
    <row r="6" spans="1:28">
      <c r="A6" s="2" t="s">
        <v>4</v>
      </c>
      <c r="B6" s="2" t="s">
        <v>4</v>
      </c>
      <c r="C6" s="3" t="s">
        <v>5</v>
      </c>
      <c r="D6" s="33" t="s">
        <v>39</v>
      </c>
      <c r="E6" s="35" cm="1">
        <f t="array" ref="E6">(SUM(VLOOKUP(A4:A100,$T$3:$W$41,3,FALSE)))</f>
        <v>210</v>
      </c>
      <c r="F6" s="35" cm="1">
        <f t="array" ref="F6">(SUM(VLOOKUP(B4:B100,$T$3:$W$41,3,FALSE)))</f>
        <v>1990</v>
      </c>
      <c r="G6" s="35" cm="1">
        <f t="array" ref="G6">(SUM(VLOOKUP(C4:C100,$T$3:$W$41,3,FALSE)))</f>
        <v>2610</v>
      </c>
      <c r="H6" s="49">
        <f t="shared" si="4"/>
        <v>4810</v>
      </c>
      <c r="I6" s="2" t="s">
        <v>4</v>
      </c>
      <c r="J6" s="3" t="s">
        <v>5</v>
      </c>
      <c r="K6" s="15" t="s">
        <v>17</v>
      </c>
      <c r="L6" s="33" t="s">
        <v>39</v>
      </c>
      <c r="M6" s="35" cm="1">
        <f t="array" ref="M6">(SUM(VLOOKUP(I4:I100,$T$3:$W$41,3,FALSE)))</f>
        <v>740</v>
      </c>
      <c r="N6" s="35" cm="1">
        <f t="array" ref="N6">(SUM(VLOOKUP(J4:J100,$T$3:$W$41,3,FALSE)))</f>
        <v>120</v>
      </c>
      <c r="O6" s="35" cm="1">
        <f t="array" ref="O6">(SUM(VLOOKUP(K4:K100,$T$3:$W$41,3,FALSE)))</f>
        <v>530</v>
      </c>
      <c r="P6" s="49">
        <f t="shared" si="5"/>
        <v>1390</v>
      </c>
      <c r="Q6" s="50" t="s">
        <v>52</v>
      </c>
      <c r="R6" s="26">
        <f>R3*1600-800+R5</f>
        <v>150800</v>
      </c>
      <c r="S6" s="26"/>
      <c r="T6" s="5" t="s">
        <v>7</v>
      </c>
      <c r="U6" s="1">
        <v>180</v>
      </c>
      <c r="V6" s="1">
        <v>50</v>
      </c>
      <c r="W6" s="45">
        <v>36</v>
      </c>
      <c r="X6" s="46">
        <v>262</v>
      </c>
      <c r="Y6" s="46">
        <v>261</v>
      </c>
      <c r="Z6" s="1">
        <f t="shared" si="1"/>
        <v>0</v>
      </c>
      <c r="AA6" s="1">
        <f t="shared" si="2"/>
        <v>0</v>
      </c>
      <c r="AB6" s="54">
        <f t="shared" si="3"/>
        <v>261</v>
      </c>
    </row>
    <row r="7" spans="1:28">
      <c r="A7" s="2" t="s">
        <v>4</v>
      </c>
      <c r="B7" s="2" t="s">
        <v>4</v>
      </c>
      <c r="C7" s="4" t="s">
        <v>6</v>
      </c>
      <c r="D7" s="33" t="s">
        <v>40</v>
      </c>
      <c r="E7" s="35">
        <f>COUNTIF(A4:A100,"&lt;&gt;空")</f>
        <v>6</v>
      </c>
      <c r="F7" s="35">
        <f>COUNTIF(B4:B100,"&lt;&gt;空")</f>
        <v>45</v>
      </c>
      <c r="G7" s="35">
        <f>COUNTIF(C4:C100,"&lt;&gt;空")</f>
        <v>47</v>
      </c>
      <c r="H7" s="36">
        <f t="shared" si="4"/>
        <v>98</v>
      </c>
      <c r="I7" s="2" t="s">
        <v>4</v>
      </c>
      <c r="J7" s="3" t="s">
        <v>5</v>
      </c>
      <c r="K7" s="3" t="s">
        <v>5</v>
      </c>
      <c r="L7" s="33" t="s">
        <v>40</v>
      </c>
      <c r="M7" s="35">
        <f>COUNTIF(I4:I100,"&lt;&gt;空")</f>
        <v>22</v>
      </c>
      <c r="N7" s="35">
        <f>COUNTIF(J4:J100,"&lt;&gt;空")</f>
        <v>3</v>
      </c>
      <c r="O7" s="35">
        <f>COUNTIF(K4:K100,"&lt;&gt;空")</f>
        <v>14</v>
      </c>
      <c r="P7" s="36">
        <f t="shared" si="5"/>
        <v>39</v>
      </c>
      <c r="Q7" s="53" t="s">
        <v>55</v>
      </c>
      <c r="R7" s="26">
        <v>0</v>
      </c>
      <c r="S7" s="26"/>
      <c r="T7" s="6" t="s">
        <v>8</v>
      </c>
      <c r="U7" s="1">
        <v>190</v>
      </c>
      <c r="V7" s="1">
        <v>55</v>
      </c>
      <c r="W7" s="45">
        <v>38</v>
      </c>
      <c r="X7" s="46">
        <v>236</v>
      </c>
      <c r="Y7" s="46">
        <v>236</v>
      </c>
      <c r="Z7" s="1">
        <f t="shared" si="1"/>
        <v>0</v>
      </c>
      <c r="AA7" s="1">
        <f t="shared" si="2"/>
        <v>0</v>
      </c>
      <c r="AB7" s="54">
        <f t="shared" si="3"/>
        <v>236</v>
      </c>
    </row>
    <row r="8" spans="1:28">
      <c r="A8" s="2" t="s">
        <v>4</v>
      </c>
      <c r="B8" s="2" t="s">
        <v>4</v>
      </c>
      <c r="C8" s="4" t="s">
        <v>6</v>
      </c>
      <c r="D8" s="42" t="s">
        <v>70</v>
      </c>
      <c r="E8" s="41">
        <v>0</v>
      </c>
      <c r="F8" s="41">
        <v>1</v>
      </c>
      <c r="G8" s="41">
        <v>0</v>
      </c>
      <c r="H8" s="36">
        <f t="shared" si="4"/>
        <v>1</v>
      </c>
      <c r="I8" s="15" t="s">
        <v>17</v>
      </c>
      <c r="J8" s="1" t="s">
        <v>27</v>
      </c>
      <c r="K8" s="3" t="s">
        <v>5</v>
      </c>
      <c r="L8" s="42" t="s">
        <v>70</v>
      </c>
      <c r="M8" s="41">
        <v>1</v>
      </c>
      <c r="N8" s="41">
        <v>0</v>
      </c>
      <c r="O8" s="41">
        <v>1</v>
      </c>
      <c r="P8" s="36">
        <f t="shared" si="5"/>
        <v>2</v>
      </c>
      <c r="Q8" s="50" t="s">
        <v>54</v>
      </c>
      <c r="R8" s="55" cm="1">
        <f t="array" ref="R8">R6-P5-H5-SUM(U3:U28*AB3:AB28)*0.8-R7*8</f>
        <v>-138</v>
      </c>
      <c r="S8" s="26"/>
      <c r="T8" s="7" t="s">
        <v>9</v>
      </c>
      <c r="U8" s="1">
        <v>200</v>
      </c>
      <c r="V8" s="1">
        <v>60</v>
      </c>
      <c r="W8" s="45"/>
      <c r="X8" s="46">
        <v>194</v>
      </c>
      <c r="Y8" s="46">
        <v>194</v>
      </c>
      <c r="Z8" s="1">
        <f t="shared" si="1"/>
        <v>0</v>
      </c>
      <c r="AA8" s="1">
        <f t="shared" si="2"/>
        <v>0</v>
      </c>
      <c r="AB8" s="54">
        <f t="shared" si="3"/>
        <v>194</v>
      </c>
    </row>
    <row r="9" spans="1:28">
      <c r="A9" s="2" t="s">
        <v>4</v>
      </c>
      <c r="B9" s="2" t="s">
        <v>4</v>
      </c>
      <c r="C9" s="17" t="s">
        <v>19</v>
      </c>
      <c r="D9" s="26"/>
      <c r="E9" s="26"/>
      <c r="F9" s="26"/>
      <c r="G9" s="26"/>
      <c r="H9" s="27"/>
      <c r="I9" s="1" t="s">
        <v>27</v>
      </c>
      <c r="J9" s="1" t="s">
        <v>27</v>
      </c>
      <c r="K9" s="3" t="s">
        <v>5</v>
      </c>
      <c r="L9" s="33" t="s">
        <v>42</v>
      </c>
      <c r="M9" s="37">
        <f>M6/M5</f>
        <v>0.38702928870292885</v>
      </c>
      <c r="N9" s="37">
        <f>N6/N5</f>
        <v>0.30612244897959184</v>
      </c>
      <c r="O9" s="37">
        <f>O6/O5</f>
        <v>0.35427807486631013</v>
      </c>
      <c r="P9" s="38">
        <f>P6/P5</f>
        <v>0.36578947368421055</v>
      </c>
      <c r="Q9" s="50"/>
      <c r="R9" s="26"/>
      <c r="S9" s="26"/>
      <c r="T9" s="8" t="s">
        <v>10</v>
      </c>
      <c r="U9" s="1">
        <v>150</v>
      </c>
      <c r="V9" s="1">
        <v>35</v>
      </c>
      <c r="W9" s="45">
        <f t="shared" ref="W9:W11" si="6">U9-V9/0.330882</f>
        <v>44.222109392472248</v>
      </c>
      <c r="X9" s="46">
        <v>3</v>
      </c>
      <c r="Y9" s="46">
        <v>0</v>
      </c>
      <c r="Z9" s="1">
        <f t="shared" si="1"/>
        <v>0</v>
      </c>
      <c r="AA9" s="1">
        <f t="shared" si="2"/>
        <v>0</v>
      </c>
      <c r="AB9" s="54">
        <f t="shared" si="3"/>
        <v>0</v>
      </c>
    </row>
    <row r="10" spans="1:28">
      <c r="A10" s="1" t="s">
        <v>27</v>
      </c>
      <c r="B10" s="1" t="s">
        <v>27</v>
      </c>
      <c r="C10" s="4" t="s">
        <v>6</v>
      </c>
      <c r="D10" s="26"/>
      <c r="E10" s="26"/>
      <c r="F10" s="26"/>
      <c r="G10" s="26"/>
      <c r="H10" s="27"/>
      <c r="I10" s="16" t="s">
        <v>28</v>
      </c>
      <c r="J10" s="1" t="s">
        <v>27</v>
      </c>
      <c r="K10" s="3" t="s">
        <v>5</v>
      </c>
      <c r="L10" s="26"/>
      <c r="M10" s="26"/>
      <c r="N10" s="26"/>
      <c r="O10" s="26"/>
      <c r="P10" s="27"/>
      <c r="Q10" s="50"/>
      <c r="R10" s="26"/>
      <c r="S10" s="26"/>
      <c r="T10" s="9" t="s">
        <v>11</v>
      </c>
      <c r="U10" s="1">
        <v>150</v>
      </c>
      <c r="V10" s="1">
        <v>40</v>
      </c>
      <c r="W10" s="45">
        <f t="shared" si="6"/>
        <v>29.110982162825422</v>
      </c>
      <c r="X10" s="46">
        <v>7</v>
      </c>
      <c r="Y10" s="46">
        <v>5</v>
      </c>
      <c r="Z10" s="1">
        <f t="shared" si="1"/>
        <v>3</v>
      </c>
      <c r="AA10" s="1">
        <f t="shared" si="2"/>
        <v>2</v>
      </c>
      <c r="AB10" s="54">
        <f t="shared" si="3"/>
        <v>0</v>
      </c>
    </row>
    <row r="11" spans="1:28">
      <c r="A11" s="1" t="s">
        <v>27</v>
      </c>
      <c r="B11" s="1" t="s">
        <v>27</v>
      </c>
      <c r="C11" s="1" t="s">
        <v>27</v>
      </c>
      <c r="D11" s="26"/>
      <c r="E11" s="26"/>
      <c r="F11" s="26"/>
      <c r="G11" s="26"/>
      <c r="H11" s="27"/>
      <c r="I11" s="3" t="s">
        <v>5</v>
      </c>
      <c r="J11" s="1" t="s">
        <v>27</v>
      </c>
      <c r="K11" s="15" t="s">
        <v>17</v>
      </c>
      <c r="L11" s="26"/>
      <c r="M11" s="26"/>
      <c r="N11" s="26"/>
      <c r="O11" s="26"/>
      <c r="P11" s="27">
        <f>H5+P5</f>
        <v>18490</v>
      </c>
      <c r="Q11" s="50"/>
      <c r="R11" s="26"/>
      <c r="S11" s="26"/>
      <c r="T11" s="10" t="s">
        <v>12</v>
      </c>
      <c r="U11" s="1">
        <v>150</v>
      </c>
      <c r="V11" s="1">
        <v>45</v>
      </c>
      <c r="W11" s="45">
        <f t="shared" si="6"/>
        <v>13.999854933178597</v>
      </c>
      <c r="X11" s="46">
        <v>6</v>
      </c>
      <c r="Y11" s="46">
        <v>6</v>
      </c>
      <c r="Z11" s="1">
        <f t="shared" si="1"/>
        <v>0</v>
      </c>
      <c r="AA11" s="1">
        <f t="shared" si="2"/>
        <v>0</v>
      </c>
      <c r="AB11" s="54">
        <f t="shared" si="3"/>
        <v>6</v>
      </c>
    </row>
    <row r="12" spans="1:28">
      <c r="A12" s="1" t="s">
        <v>27</v>
      </c>
      <c r="B12" s="4" t="s">
        <v>6</v>
      </c>
      <c r="C12" s="4" t="s">
        <v>6</v>
      </c>
      <c r="D12" s="26"/>
      <c r="E12" s="26"/>
      <c r="F12" s="26"/>
      <c r="G12" s="26"/>
      <c r="H12" s="27"/>
      <c r="I12" s="3" t="s">
        <v>5</v>
      </c>
      <c r="J12" s="1" t="s">
        <v>27</v>
      </c>
      <c r="K12" s="3" t="s">
        <v>5</v>
      </c>
      <c r="L12" s="26"/>
      <c r="M12" s="26"/>
      <c r="N12" s="26"/>
      <c r="O12" s="26"/>
      <c r="P12" s="27">
        <f>H6+P6</f>
        <v>6200</v>
      </c>
      <c r="Q12" s="50"/>
      <c r="R12" s="26"/>
      <c r="S12" s="26"/>
      <c r="T12" s="11" t="s">
        <v>13</v>
      </c>
      <c r="U12" s="1">
        <v>150</v>
      </c>
      <c r="V12" s="1">
        <v>50</v>
      </c>
      <c r="W12" s="45"/>
      <c r="X12" s="46">
        <v>4</v>
      </c>
      <c r="Y12" s="46">
        <v>4</v>
      </c>
      <c r="Z12" s="1">
        <f t="shared" si="1"/>
        <v>0</v>
      </c>
      <c r="AA12" s="1">
        <f t="shared" si="2"/>
        <v>0</v>
      </c>
      <c r="AB12" s="54">
        <f t="shared" si="3"/>
        <v>4</v>
      </c>
    </row>
    <row r="13" spans="1:28">
      <c r="A13" s="1" t="s">
        <v>27</v>
      </c>
      <c r="B13" s="4" t="s">
        <v>6</v>
      </c>
      <c r="C13" s="15" t="s">
        <v>17</v>
      </c>
      <c r="D13" s="26"/>
      <c r="E13" s="26"/>
      <c r="F13" s="26"/>
      <c r="G13" s="26"/>
      <c r="H13" s="27"/>
      <c r="I13" s="9" t="s">
        <v>11</v>
      </c>
      <c r="J13" s="1" t="s">
        <v>27</v>
      </c>
      <c r="K13" s="3" t="s">
        <v>5</v>
      </c>
      <c r="L13" s="26"/>
      <c r="M13" s="26"/>
      <c r="N13" s="26"/>
      <c r="O13" s="26"/>
      <c r="P13" s="27"/>
      <c r="Q13" s="50"/>
      <c r="R13" s="26"/>
      <c r="S13" s="26"/>
      <c r="T13" s="12" t="s">
        <v>14</v>
      </c>
      <c r="U13" s="1">
        <v>150</v>
      </c>
      <c r="V13" s="1">
        <v>55</v>
      </c>
      <c r="W13" s="45"/>
      <c r="X13" s="46">
        <v>3</v>
      </c>
      <c r="Y13" s="46">
        <v>3</v>
      </c>
      <c r="Z13" s="1">
        <f t="shared" si="1"/>
        <v>0</v>
      </c>
      <c r="AA13" s="1">
        <f t="shared" si="2"/>
        <v>0</v>
      </c>
      <c r="AB13" s="54">
        <f t="shared" si="3"/>
        <v>3</v>
      </c>
    </row>
    <row r="14" spans="1:28">
      <c r="A14" s="1" t="s">
        <v>27</v>
      </c>
      <c r="B14" s="4" t="s">
        <v>6</v>
      </c>
      <c r="C14" s="3" t="s">
        <v>5</v>
      </c>
      <c r="D14" s="26"/>
      <c r="E14" s="26"/>
      <c r="F14" s="26"/>
      <c r="G14" s="26"/>
      <c r="H14" s="27"/>
      <c r="I14" s="2" t="s">
        <v>4</v>
      </c>
      <c r="J14" s="1" t="s">
        <v>27</v>
      </c>
      <c r="K14" s="3" t="s">
        <v>5</v>
      </c>
      <c r="L14" s="26"/>
      <c r="M14" s="26"/>
      <c r="N14" s="26"/>
      <c r="O14" s="26"/>
      <c r="P14" s="27"/>
      <c r="Q14" s="50"/>
      <c r="R14" s="26"/>
      <c r="S14" s="26"/>
      <c r="T14" s="13" t="s">
        <v>15</v>
      </c>
      <c r="U14" s="1">
        <v>150</v>
      </c>
      <c r="V14" s="1">
        <v>60</v>
      </c>
      <c r="W14" s="45"/>
      <c r="X14" s="46">
        <v>1</v>
      </c>
      <c r="Y14" s="46">
        <v>1</v>
      </c>
      <c r="Z14" s="1">
        <f t="shared" si="1"/>
        <v>0</v>
      </c>
      <c r="AA14" s="1">
        <f t="shared" si="2"/>
        <v>0</v>
      </c>
      <c r="AB14" s="54">
        <f t="shared" si="3"/>
        <v>1</v>
      </c>
    </row>
    <row r="15" spans="1:28">
      <c r="A15" s="1" t="s">
        <v>27</v>
      </c>
      <c r="B15" s="4" t="s">
        <v>6</v>
      </c>
      <c r="C15" s="16" t="s">
        <v>18</v>
      </c>
      <c r="D15" s="26"/>
      <c r="E15" s="26"/>
      <c r="F15" s="26"/>
      <c r="G15" s="26"/>
      <c r="H15" s="27"/>
      <c r="I15" s="15" t="s">
        <v>17</v>
      </c>
      <c r="J15" s="1" t="s">
        <v>27</v>
      </c>
      <c r="K15" s="1" t="s">
        <v>27</v>
      </c>
      <c r="L15" s="26"/>
      <c r="M15" s="26"/>
      <c r="N15" s="26"/>
      <c r="O15" s="26"/>
      <c r="P15" s="27"/>
      <c r="Q15" s="50"/>
      <c r="R15" s="26"/>
      <c r="S15" s="26"/>
      <c r="T15" s="14" t="s">
        <v>16</v>
      </c>
      <c r="U15" s="1">
        <v>150</v>
      </c>
      <c r="V15" s="1">
        <v>35</v>
      </c>
      <c r="W15" s="45">
        <f t="shared" ref="W15" si="7">U15-V15/0.330882</f>
        <v>44.222109392472248</v>
      </c>
      <c r="X15" s="46"/>
      <c r="Y15" s="46">
        <v>0</v>
      </c>
      <c r="Z15" s="1">
        <f t="shared" si="1"/>
        <v>0</v>
      </c>
      <c r="AA15" s="1">
        <f t="shared" si="2"/>
        <v>0</v>
      </c>
      <c r="AB15" s="54">
        <f t="shared" si="3"/>
        <v>0</v>
      </c>
    </row>
    <row r="16" spans="1:28">
      <c r="A16" s="1" t="s">
        <v>27</v>
      </c>
      <c r="B16" s="15" t="s">
        <v>17</v>
      </c>
      <c r="C16" s="2" t="s">
        <v>4</v>
      </c>
      <c r="D16" s="26"/>
      <c r="E16" s="26"/>
      <c r="F16" s="26"/>
      <c r="G16" s="26"/>
      <c r="H16" s="27"/>
      <c r="I16" s="3" t="s">
        <v>5</v>
      </c>
      <c r="J16" s="1" t="s">
        <v>27</v>
      </c>
      <c r="K16" s="3" t="s">
        <v>5</v>
      </c>
      <c r="L16" s="26"/>
      <c r="M16" s="26"/>
      <c r="N16" s="26"/>
      <c r="O16" s="26"/>
      <c r="P16" s="27"/>
      <c r="Q16" s="50"/>
      <c r="R16" s="26"/>
      <c r="S16" s="26"/>
      <c r="T16" s="15" t="s">
        <v>17</v>
      </c>
      <c r="U16" s="1">
        <v>50</v>
      </c>
      <c r="V16" s="1">
        <v>30</v>
      </c>
      <c r="W16" s="45">
        <v>10</v>
      </c>
      <c r="X16" s="46">
        <v>40</v>
      </c>
      <c r="Y16" s="46">
        <v>40</v>
      </c>
      <c r="Z16" s="1">
        <f t="shared" si="1"/>
        <v>5</v>
      </c>
      <c r="AA16" s="1">
        <f t="shared" si="2"/>
        <v>9</v>
      </c>
      <c r="AB16" s="54">
        <f t="shared" si="3"/>
        <v>26</v>
      </c>
    </row>
    <row r="17" spans="1:28">
      <c r="A17" s="1" t="s">
        <v>27</v>
      </c>
      <c r="B17" s="4" t="s">
        <v>6</v>
      </c>
      <c r="C17" s="2" t="s">
        <v>4</v>
      </c>
      <c r="D17" s="26"/>
      <c r="E17" s="26"/>
      <c r="F17" s="26"/>
      <c r="G17" s="26"/>
      <c r="H17" s="27"/>
      <c r="I17" s="15" t="s">
        <v>17</v>
      </c>
      <c r="J17" s="1" t="s">
        <v>27</v>
      </c>
      <c r="K17" s="3" t="s">
        <v>5</v>
      </c>
      <c r="L17" s="26"/>
      <c r="M17" s="26"/>
      <c r="N17" s="26"/>
      <c r="O17" s="26"/>
      <c r="P17" s="27"/>
      <c r="Q17" s="50"/>
      <c r="R17" s="26"/>
      <c r="S17" s="26"/>
      <c r="T17" s="16" t="s">
        <v>18</v>
      </c>
      <c r="U17" s="1">
        <v>-150</v>
      </c>
      <c r="V17" s="1">
        <v>0</v>
      </c>
      <c r="W17" s="45">
        <v>10</v>
      </c>
      <c r="X17" s="46">
        <v>3</v>
      </c>
      <c r="Y17" s="46">
        <v>3</v>
      </c>
      <c r="Z17" s="1">
        <f t="shared" si="1"/>
        <v>3</v>
      </c>
      <c r="AA17" s="1">
        <f t="shared" si="2"/>
        <v>0</v>
      </c>
      <c r="AB17" s="54">
        <f t="shared" si="3"/>
        <v>0</v>
      </c>
    </row>
    <row r="18" spans="1:28">
      <c r="A18" s="1" t="s">
        <v>27</v>
      </c>
      <c r="B18" s="17" t="s">
        <v>20</v>
      </c>
      <c r="C18" s="2" t="s">
        <v>4</v>
      </c>
      <c r="D18" s="26"/>
      <c r="E18" s="26"/>
      <c r="F18" s="26"/>
      <c r="G18" s="26"/>
      <c r="H18" s="27"/>
      <c r="I18" s="3" t="s">
        <v>5</v>
      </c>
      <c r="J18" s="1" t="s">
        <v>27</v>
      </c>
      <c r="K18" s="15" t="s">
        <v>17</v>
      </c>
      <c r="L18" s="26"/>
      <c r="M18" s="26"/>
      <c r="N18" s="26"/>
      <c r="O18" s="26"/>
      <c r="P18" s="27"/>
      <c r="Q18" s="50"/>
      <c r="R18" s="26"/>
      <c r="S18" s="26"/>
      <c r="T18" s="17" t="s">
        <v>19</v>
      </c>
      <c r="U18" s="1">
        <v>250</v>
      </c>
      <c r="V18" s="1">
        <v>200</v>
      </c>
      <c r="W18" s="45"/>
      <c r="X18" s="46">
        <v>3</v>
      </c>
      <c r="Y18" s="46">
        <v>3</v>
      </c>
      <c r="Z18" s="1">
        <f t="shared" si="1"/>
        <v>3</v>
      </c>
      <c r="AA18" s="1">
        <f t="shared" si="2"/>
        <v>0</v>
      </c>
      <c r="AB18" s="54">
        <f t="shared" si="3"/>
        <v>0</v>
      </c>
    </row>
    <row r="19" spans="1:28">
      <c r="A19" s="1" t="s">
        <v>27</v>
      </c>
      <c r="B19" s="4" t="s">
        <v>6</v>
      </c>
      <c r="C19" s="2" t="s">
        <v>4</v>
      </c>
      <c r="D19" s="26"/>
      <c r="E19" s="26"/>
      <c r="F19" s="26"/>
      <c r="G19" s="26"/>
      <c r="H19" s="27"/>
      <c r="I19" s="3" t="s">
        <v>5</v>
      </c>
      <c r="J19" s="1" t="s">
        <v>27</v>
      </c>
      <c r="K19" s="1" t="s">
        <v>27</v>
      </c>
      <c r="L19" s="26"/>
      <c r="M19" s="26"/>
      <c r="N19" s="26"/>
      <c r="O19" s="26"/>
      <c r="P19" s="27"/>
      <c r="Q19" s="50"/>
      <c r="R19" s="26"/>
      <c r="S19" s="26"/>
      <c r="T19" s="17" t="s">
        <v>20</v>
      </c>
      <c r="U19" s="1">
        <v>170</v>
      </c>
      <c r="V19" s="1">
        <v>45</v>
      </c>
      <c r="W19" s="45"/>
      <c r="X19" s="46">
        <v>5</v>
      </c>
      <c r="Y19" s="46">
        <v>5</v>
      </c>
      <c r="Z19" s="1">
        <f t="shared" si="1"/>
        <v>5</v>
      </c>
      <c r="AA19" s="1">
        <f t="shared" si="2"/>
        <v>0</v>
      </c>
      <c r="AB19" s="54">
        <f t="shared" si="3"/>
        <v>0</v>
      </c>
    </row>
    <row r="20" spans="1:28">
      <c r="A20" s="1" t="s">
        <v>27</v>
      </c>
      <c r="B20" s="3" t="s">
        <v>5</v>
      </c>
      <c r="C20" s="15" t="s">
        <v>17</v>
      </c>
      <c r="D20" s="26"/>
      <c r="E20" s="26"/>
      <c r="F20" s="26"/>
      <c r="G20" s="26"/>
      <c r="H20" s="27"/>
      <c r="I20" s="3" t="s">
        <v>5</v>
      </c>
      <c r="J20" s="1" t="s">
        <v>27</v>
      </c>
      <c r="K20" s="1" t="s">
        <v>27</v>
      </c>
      <c r="L20" s="26"/>
      <c r="M20" s="26"/>
      <c r="N20" s="26"/>
      <c r="O20" s="26"/>
      <c r="P20" s="27"/>
      <c r="Q20" s="50"/>
      <c r="R20" s="26"/>
      <c r="S20" s="26"/>
      <c r="T20" s="18" t="s">
        <v>21</v>
      </c>
      <c r="U20" s="1">
        <v>250</v>
      </c>
      <c r="V20" s="1">
        <v>200</v>
      </c>
      <c r="W20" s="45"/>
      <c r="X20" s="46">
        <v>0</v>
      </c>
      <c r="Y20" s="46">
        <v>0</v>
      </c>
      <c r="Z20" s="1">
        <f t="shared" si="1"/>
        <v>0</v>
      </c>
      <c r="AA20" s="1">
        <f t="shared" si="2"/>
        <v>0</v>
      </c>
      <c r="AB20" s="54">
        <f t="shared" si="3"/>
        <v>0</v>
      </c>
    </row>
    <row r="21" spans="1:28">
      <c r="A21" s="1" t="s">
        <v>27</v>
      </c>
      <c r="B21" s="3" t="s">
        <v>5</v>
      </c>
      <c r="C21" s="3" t="s">
        <v>5</v>
      </c>
      <c r="D21" s="26"/>
      <c r="E21" s="26"/>
      <c r="F21" s="26"/>
      <c r="G21" s="26"/>
      <c r="H21" s="27"/>
      <c r="I21" s="2" t="s">
        <v>4</v>
      </c>
      <c r="J21" s="1" t="s">
        <v>27</v>
      </c>
      <c r="K21" s="1" t="s">
        <v>27</v>
      </c>
      <c r="L21" s="26"/>
      <c r="M21" s="26"/>
      <c r="N21" s="26"/>
      <c r="O21" s="26"/>
      <c r="P21" s="27"/>
      <c r="Q21" s="50"/>
      <c r="R21" s="26"/>
      <c r="S21" s="26"/>
      <c r="T21" s="19" t="s">
        <v>22</v>
      </c>
      <c r="U21" s="1">
        <v>250</v>
      </c>
      <c r="V21" s="1">
        <v>1000</v>
      </c>
      <c r="W21" s="45"/>
      <c r="X21" s="46">
        <v>2</v>
      </c>
      <c r="Y21" s="46">
        <v>2</v>
      </c>
      <c r="Z21" s="1">
        <f t="shared" si="1"/>
        <v>0</v>
      </c>
      <c r="AA21" s="1">
        <f t="shared" si="2"/>
        <v>0</v>
      </c>
      <c r="AB21" s="54">
        <f t="shared" si="3"/>
        <v>2</v>
      </c>
    </row>
    <row r="22" spans="1:28">
      <c r="A22" s="1" t="s">
        <v>27</v>
      </c>
      <c r="B22" s="3" t="s">
        <v>5</v>
      </c>
      <c r="C22" s="3" t="s">
        <v>5</v>
      </c>
      <c r="D22" s="26"/>
      <c r="E22" s="26"/>
      <c r="F22" s="26"/>
      <c r="G22" s="26"/>
      <c r="H22" s="27"/>
      <c r="I22" s="15" t="s">
        <v>17</v>
      </c>
      <c r="J22" s="1" t="s">
        <v>27</v>
      </c>
      <c r="K22" s="1" t="s">
        <v>27</v>
      </c>
      <c r="L22" s="26"/>
      <c r="M22" s="26"/>
      <c r="N22" s="26"/>
      <c r="O22" s="26"/>
      <c r="P22" s="27"/>
      <c r="Q22" s="50"/>
      <c r="R22" s="26"/>
      <c r="S22" s="26"/>
      <c r="T22" s="20" t="s">
        <v>23</v>
      </c>
      <c r="U22" s="1">
        <v>250</v>
      </c>
      <c r="V22" s="1">
        <v>500</v>
      </c>
      <c r="W22" s="45"/>
      <c r="X22" s="46">
        <v>2</v>
      </c>
      <c r="Y22" s="46">
        <v>2</v>
      </c>
      <c r="Z22" s="1">
        <f t="shared" si="1"/>
        <v>0</v>
      </c>
      <c r="AA22" s="1">
        <f t="shared" si="2"/>
        <v>0</v>
      </c>
      <c r="AB22" s="54">
        <f t="shared" si="3"/>
        <v>2</v>
      </c>
    </row>
    <row r="23" spans="1:28">
      <c r="A23" s="1" t="s">
        <v>27</v>
      </c>
      <c r="B23" s="3" t="s">
        <v>5</v>
      </c>
      <c r="C23" s="3" t="s">
        <v>5</v>
      </c>
      <c r="D23" s="26"/>
      <c r="E23" s="26"/>
      <c r="F23" s="26"/>
      <c r="G23" s="26"/>
      <c r="H23" s="27"/>
      <c r="I23" s="2" t="s">
        <v>4</v>
      </c>
      <c r="J23" s="1" t="s">
        <v>27</v>
      </c>
      <c r="K23" s="1" t="s">
        <v>27</v>
      </c>
      <c r="L23" s="26"/>
      <c r="M23" s="26"/>
      <c r="N23" s="26"/>
      <c r="O23" s="26"/>
      <c r="P23" s="27"/>
      <c r="Q23" s="50"/>
      <c r="R23" s="26"/>
      <c r="S23" s="26"/>
      <c r="T23" s="21" t="s">
        <v>24</v>
      </c>
      <c r="U23" s="1">
        <v>160</v>
      </c>
      <c r="V23" s="1">
        <v>40</v>
      </c>
      <c r="W23" s="45">
        <f t="shared" ref="W23:W26" si="8">U23-V23/0.330882</f>
        <v>39.110982162825422</v>
      </c>
      <c r="X23" s="46">
        <v>0</v>
      </c>
      <c r="Y23" s="46">
        <v>0</v>
      </c>
      <c r="Z23" s="1">
        <f t="shared" si="1"/>
        <v>0</v>
      </c>
      <c r="AA23" s="1">
        <f t="shared" si="2"/>
        <v>0</v>
      </c>
      <c r="AB23" s="54">
        <f t="shared" si="3"/>
        <v>0</v>
      </c>
    </row>
    <row r="24" spans="1:28">
      <c r="A24" s="1" t="s">
        <v>27</v>
      </c>
      <c r="B24" s="3" t="s">
        <v>5</v>
      </c>
      <c r="C24" s="16" t="s">
        <v>18</v>
      </c>
      <c r="D24" s="26"/>
      <c r="E24" s="26"/>
      <c r="F24" s="26"/>
      <c r="G24" s="26"/>
      <c r="H24" s="27"/>
      <c r="I24" s="2" t="s">
        <v>4</v>
      </c>
      <c r="J24" s="1" t="s">
        <v>27</v>
      </c>
      <c r="K24" s="1" t="s">
        <v>27</v>
      </c>
      <c r="L24" s="26"/>
      <c r="M24" s="26"/>
      <c r="N24" s="26"/>
      <c r="O24" s="26"/>
      <c r="P24" s="27"/>
      <c r="Q24" s="50"/>
      <c r="R24" s="26"/>
      <c r="S24" s="26"/>
      <c r="T24" s="21" t="s">
        <v>25</v>
      </c>
      <c r="U24" s="1">
        <v>160</v>
      </c>
      <c r="V24" s="1">
        <v>40</v>
      </c>
      <c r="W24" s="45">
        <f t="shared" si="8"/>
        <v>39.110982162825422</v>
      </c>
      <c r="X24" s="46">
        <v>0</v>
      </c>
      <c r="Y24" s="46">
        <v>0</v>
      </c>
      <c r="Z24" s="1">
        <f t="shared" si="1"/>
        <v>0</v>
      </c>
      <c r="AA24" s="1">
        <f t="shared" si="2"/>
        <v>0</v>
      </c>
      <c r="AB24" s="54">
        <f t="shared" si="3"/>
        <v>0</v>
      </c>
    </row>
    <row r="25" spans="1:28">
      <c r="A25" s="1" t="s">
        <v>27</v>
      </c>
      <c r="B25" s="3" t="s">
        <v>5</v>
      </c>
      <c r="C25" s="3" t="s">
        <v>5</v>
      </c>
      <c r="D25" s="26"/>
      <c r="E25" s="26"/>
      <c r="F25" s="26"/>
      <c r="G25" s="26"/>
      <c r="H25" s="27"/>
      <c r="I25" s="2" t="s">
        <v>4</v>
      </c>
      <c r="J25" s="1" t="s">
        <v>27</v>
      </c>
      <c r="K25" s="1" t="s">
        <v>27</v>
      </c>
      <c r="L25" s="26"/>
      <c r="M25" s="26"/>
      <c r="N25" s="26"/>
      <c r="O25" s="26"/>
      <c r="P25" s="27"/>
      <c r="Q25" s="50"/>
      <c r="R25" s="26"/>
      <c r="S25" s="26"/>
      <c r="T25" s="21" t="s">
        <v>26</v>
      </c>
      <c r="U25" s="1">
        <v>150</v>
      </c>
      <c r="V25" s="1">
        <v>35</v>
      </c>
      <c r="W25" s="45">
        <f t="shared" si="8"/>
        <v>44.222109392472248</v>
      </c>
      <c r="X25" s="46">
        <v>0</v>
      </c>
      <c r="Y25" s="46">
        <v>0</v>
      </c>
      <c r="Z25" s="1">
        <f t="shared" si="1"/>
        <v>0</v>
      </c>
      <c r="AA25" s="1">
        <f t="shared" si="2"/>
        <v>0</v>
      </c>
      <c r="AB25" s="54">
        <f t="shared" si="3"/>
        <v>0</v>
      </c>
    </row>
    <row r="26" spans="1:28">
      <c r="A26" s="1" t="s">
        <v>27</v>
      </c>
      <c r="B26" s="15" t="s">
        <v>17</v>
      </c>
      <c r="C26" s="3" t="s">
        <v>5</v>
      </c>
      <c r="D26" s="26"/>
      <c r="E26" s="26"/>
      <c r="F26" s="26"/>
      <c r="G26" s="26"/>
      <c r="H26" s="27"/>
      <c r="I26" s="15" t="s">
        <v>17</v>
      </c>
      <c r="J26" s="1" t="s">
        <v>27</v>
      </c>
      <c r="K26" s="1" t="s">
        <v>27</v>
      </c>
      <c r="L26" s="26"/>
      <c r="M26" s="26"/>
      <c r="N26" s="26"/>
      <c r="O26" s="26"/>
      <c r="P26" s="27"/>
      <c r="Q26" s="50"/>
      <c r="R26" s="26"/>
      <c r="S26" s="26"/>
      <c r="T26" s="22" t="s">
        <v>27</v>
      </c>
      <c r="U26" s="1">
        <v>0</v>
      </c>
      <c r="V26" s="1">
        <v>0</v>
      </c>
      <c r="W26" s="45">
        <f t="shared" si="8"/>
        <v>0</v>
      </c>
      <c r="X26" s="46">
        <v>0</v>
      </c>
      <c r="Y26" s="46">
        <v>0</v>
      </c>
      <c r="Z26" s="1"/>
      <c r="AA26" s="1"/>
      <c r="AB26" s="54"/>
    </row>
    <row r="27" spans="1:28">
      <c r="A27" s="1" t="s">
        <v>27</v>
      </c>
      <c r="B27" s="3" t="s">
        <v>5</v>
      </c>
      <c r="C27" s="4" t="s">
        <v>6</v>
      </c>
      <c r="D27" s="26"/>
      <c r="E27" s="26"/>
      <c r="F27" s="26"/>
      <c r="G27" s="26"/>
      <c r="H27" s="27"/>
      <c r="I27" s="1" t="s">
        <v>27</v>
      </c>
      <c r="J27" s="1" t="s">
        <v>27</v>
      </c>
      <c r="K27" s="1" t="s">
        <v>27</v>
      </c>
      <c r="L27" s="26"/>
      <c r="M27" s="26"/>
      <c r="N27" s="26"/>
      <c r="O27" s="26"/>
      <c r="P27" s="27"/>
      <c r="Q27" s="50"/>
      <c r="R27" s="26"/>
      <c r="S27" s="26"/>
      <c r="T27" s="16" t="s">
        <v>28</v>
      </c>
      <c r="U27" s="1">
        <v>-200</v>
      </c>
      <c r="V27" s="1">
        <v>0</v>
      </c>
      <c r="W27" s="45"/>
      <c r="X27" s="46">
        <v>12</v>
      </c>
      <c r="Y27" s="46">
        <v>12</v>
      </c>
      <c r="Z27" s="1">
        <f t="shared" si="1"/>
        <v>0</v>
      </c>
      <c r="AA27" s="1">
        <f t="shared" si="2"/>
        <v>1</v>
      </c>
      <c r="AB27" s="54">
        <f t="shared" si="3"/>
        <v>11</v>
      </c>
    </row>
    <row r="28" spans="1:28">
      <c r="A28" s="1" t="s">
        <v>27</v>
      </c>
      <c r="B28" s="3" t="s">
        <v>5</v>
      </c>
      <c r="C28" s="4" t="s">
        <v>6</v>
      </c>
      <c r="D28" s="26"/>
      <c r="E28" s="26"/>
      <c r="F28" s="26"/>
      <c r="G28" s="26"/>
      <c r="H28" s="27"/>
      <c r="I28" s="1" t="s">
        <v>27</v>
      </c>
      <c r="J28" s="1" t="s">
        <v>27</v>
      </c>
      <c r="K28" s="1" t="s">
        <v>27</v>
      </c>
      <c r="L28" s="26"/>
      <c r="M28" s="26"/>
      <c r="N28" s="26"/>
      <c r="O28" s="26"/>
      <c r="P28" s="27"/>
      <c r="Q28" s="50"/>
      <c r="R28" s="26"/>
      <c r="S28" s="26"/>
      <c r="T28" s="23" t="s">
        <v>29</v>
      </c>
      <c r="U28" s="1">
        <v>50</v>
      </c>
      <c r="V28" s="1">
        <v>520</v>
      </c>
      <c r="W28" s="45"/>
      <c r="X28" s="46">
        <v>3</v>
      </c>
      <c r="Y28" s="46">
        <v>3</v>
      </c>
      <c r="Z28" s="1">
        <f t="shared" si="1"/>
        <v>1</v>
      </c>
      <c r="AA28" s="1">
        <f t="shared" si="2"/>
        <v>0</v>
      </c>
      <c r="AB28" s="54">
        <f t="shared" si="3"/>
        <v>2</v>
      </c>
    </row>
    <row r="29" spans="1:28" ht="15.75" thickBot="1">
      <c r="A29" s="1" t="s">
        <v>27</v>
      </c>
      <c r="B29" s="3" t="s">
        <v>5</v>
      </c>
      <c r="C29" s="4" t="s">
        <v>6</v>
      </c>
      <c r="D29" s="26"/>
      <c r="E29" s="26"/>
      <c r="F29" s="26"/>
      <c r="G29" s="26"/>
      <c r="H29" s="27"/>
      <c r="I29" s="1" t="s">
        <v>27</v>
      </c>
      <c r="J29" s="1" t="s">
        <v>27</v>
      </c>
      <c r="K29" s="1" t="s">
        <v>27</v>
      </c>
      <c r="L29" s="26"/>
      <c r="M29" s="26"/>
      <c r="N29" s="26"/>
      <c r="O29" s="26"/>
      <c r="P29" s="27"/>
      <c r="Q29" s="56"/>
      <c r="R29" s="31"/>
      <c r="S29" s="31"/>
      <c r="T29" s="30"/>
      <c r="U29" s="30"/>
      <c r="V29" s="30"/>
      <c r="W29" s="30"/>
      <c r="X29" s="30"/>
      <c r="Y29" s="30"/>
      <c r="Z29" s="30"/>
      <c r="AA29" s="30"/>
      <c r="AB29" s="57"/>
    </row>
    <row r="30" spans="1:28">
      <c r="A30" s="1" t="s">
        <v>27</v>
      </c>
      <c r="B30" s="3" t="s">
        <v>5</v>
      </c>
      <c r="C30" s="4" t="s">
        <v>6</v>
      </c>
      <c r="D30" s="26"/>
      <c r="E30" s="26"/>
      <c r="F30" s="26"/>
      <c r="G30" s="26"/>
      <c r="H30" s="27"/>
      <c r="I30" s="1" t="s">
        <v>27</v>
      </c>
      <c r="J30" s="1" t="s">
        <v>27</v>
      </c>
      <c r="K30" s="1" t="s">
        <v>27</v>
      </c>
      <c r="L30" s="26"/>
      <c r="M30" s="26"/>
      <c r="N30" s="26"/>
      <c r="O30" s="26"/>
      <c r="P30" s="27"/>
    </row>
    <row r="31" spans="1:28">
      <c r="A31" s="1" t="s">
        <v>27</v>
      </c>
      <c r="B31" s="15" t="s">
        <v>17</v>
      </c>
      <c r="C31" s="4" t="s">
        <v>6</v>
      </c>
      <c r="D31" s="26"/>
      <c r="E31" s="26"/>
      <c r="F31" s="26"/>
      <c r="G31" s="26"/>
      <c r="H31" s="27"/>
      <c r="I31" s="1" t="s">
        <v>27</v>
      </c>
      <c r="J31" s="1" t="s">
        <v>27</v>
      </c>
      <c r="K31" s="1" t="s">
        <v>27</v>
      </c>
      <c r="L31" s="26"/>
      <c r="M31" s="26"/>
      <c r="N31" s="26"/>
      <c r="O31" s="26"/>
      <c r="P31" s="27"/>
      <c r="Y31">
        <f>SUM(Y3:Y28)</f>
        <v>1077</v>
      </c>
    </row>
    <row r="32" spans="1:28">
      <c r="A32" s="1" t="s">
        <v>27</v>
      </c>
      <c r="B32" s="3" t="s">
        <v>5</v>
      </c>
      <c r="C32" s="17" t="s">
        <v>20</v>
      </c>
      <c r="D32" s="26"/>
      <c r="E32" s="26"/>
      <c r="F32" s="26"/>
      <c r="G32" s="26"/>
      <c r="H32" s="27"/>
      <c r="I32" s="1" t="s">
        <v>27</v>
      </c>
      <c r="J32" s="1" t="s">
        <v>27</v>
      </c>
      <c r="K32" s="1" t="s">
        <v>27</v>
      </c>
      <c r="L32" s="26"/>
      <c r="M32" s="26"/>
      <c r="N32" s="26"/>
      <c r="O32" s="26"/>
      <c r="P32" s="27"/>
      <c r="Q32" t="s">
        <v>57</v>
      </c>
      <c r="R32">
        <v>1</v>
      </c>
      <c r="S32" t="s">
        <v>59</v>
      </c>
    </row>
    <row r="33" spans="1:19">
      <c r="A33" s="1" t="s">
        <v>27</v>
      </c>
      <c r="B33" s="4" t="s">
        <v>6</v>
      </c>
      <c r="C33" s="3" t="s">
        <v>5</v>
      </c>
      <c r="D33" s="26"/>
      <c r="E33" s="26"/>
      <c r="F33" s="26"/>
      <c r="G33" s="26"/>
      <c r="H33" s="27"/>
      <c r="I33" s="1" t="s">
        <v>27</v>
      </c>
      <c r="J33" s="1" t="s">
        <v>27</v>
      </c>
      <c r="K33" s="1" t="s">
        <v>27</v>
      </c>
      <c r="L33" s="26"/>
      <c r="M33" s="26"/>
      <c r="N33" s="26"/>
      <c r="O33" s="26"/>
      <c r="P33" s="27"/>
      <c r="R33">
        <v>2</v>
      </c>
      <c r="S33" t="s">
        <v>60</v>
      </c>
    </row>
    <row r="34" spans="1:19">
      <c r="A34" s="1" t="s">
        <v>27</v>
      </c>
      <c r="B34" s="2" t="s">
        <v>4</v>
      </c>
      <c r="C34" s="3" t="s">
        <v>5</v>
      </c>
      <c r="D34" s="26"/>
      <c r="E34" s="26"/>
      <c r="F34" s="26"/>
      <c r="G34" s="26"/>
      <c r="H34" s="27"/>
      <c r="I34" s="28" t="s">
        <v>27</v>
      </c>
      <c r="J34" s="1" t="s">
        <v>27</v>
      </c>
      <c r="K34" s="1" t="s">
        <v>27</v>
      </c>
      <c r="L34" s="26"/>
      <c r="M34" s="26"/>
      <c r="N34" s="26"/>
      <c r="O34" s="26"/>
      <c r="P34" s="27"/>
      <c r="R34">
        <v>3</v>
      </c>
      <c r="S34" t="s">
        <v>58</v>
      </c>
    </row>
    <row r="35" spans="1:19">
      <c r="A35" s="1" t="s">
        <v>27</v>
      </c>
      <c r="B35" s="4" t="s">
        <v>6</v>
      </c>
      <c r="C35" s="9" t="s">
        <v>11</v>
      </c>
      <c r="D35" s="26"/>
      <c r="E35" s="26"/>
      <c r="F35" s="26"/>
      <c r="G35" s="26"/>
      <c r="H35" s="27"/>
      <c r="I35" s="28" t="s">
        <v>27</v>
      </c>
      <c r="J35" s="1" t="s">
        <v>27</v>
      </c>
      <c r="K35" s="1" t="s">
        <v>27</v>
      </c>
      <c r="L35" s="26"/>
      <c r="M35" s="26"/>
      <c r="N35" s="26"/>
      <c r="O35" s="26"/>
      <c r="P35" s="27"/>
      <c r="R35">
        <v>4</v>
      </c>
      <c r="S35" t="s">
        <v>61</v>
      </c>
    </row>
    <row r="36" spans="1:19">
      <c r="A36" s="1" t="s">
        <v>27</v>
      </c>
      <c r="B36" s="17" t="s">
        <v>20</v>
      </c>
      <c r="C36" s="3" t="s">
        <v>5</v>
      </c>
      <c r="D36" s="26"/>
      <c r="E36" s="26"/>
      <c r="F36" s="26"/>
      <c r="G36" s="26"/>
      <c r="H36" s="27"/>
      <c r="I36" s="28" t="s">
        <v>27</v>
      </c>
      <c r="J36" s="1" t="s">
        <v>27</v>
      </c>
      <c r="K36" s="1" t="s">
        <v>27</v>
      </c>
      <c r="L36" s="26"/>
      <c r="M36" s="26"/>
      <c r="N36" s="26"/>
      <c r="O36" s="26"/>
      <c r="P36" s="27"/>
      <c r="S36" t="s">
        <v>62</v>
      </c>
    </row>
    <row r="37" spans="1:19">
      <c r="A37" s="1" t="s">
        <v>27</v>
      </c>
      <c r="B37" s="4" t="s">
        <v>6</v>
      </c>
      <c r="C37" s="3" t="s">
        <v>5</v>
      </c>
      <c r="D37" s="26"/>
      <c r="E37" s="26"/>
      <c r="F37" s="26"/>
      <c r="G37" s="26"/>
      <c r="H37" s="27"/>
      <c r="I37" s="28" t="s">
        <v>27</v>
      </c>
      <c r="J37" s="1" t="s">
        <v>27</v>
      </c>
      <c r="K37" s="1" t="s">
        <v>27</v>
      </c>
      <c r="L37" s="26"/>
      <c r="M37" s="26"/>
      <c r="N37" s="26"/>
      <c r="O37" s="26"/>
      <c r="P37" s="27"/>
      <c r="R37">
        <v>5</v>
      </c>
      <c r="S37" t="s">
        <v>63</v>
      </c>
    </row>
    <row r="38" spans="1:19">
      <c r="A38" s="1" t="s">
        <v>27</v>
      </c>
      <c r="B38" s="4" t="s">
        <v>6</v>
      </c>
      <c r="C38" s="3" t="s">
        <v>5</v>
      </c>
      <c r="D38" s="26"/>
      <c r="E38" s="26"/>
      <c r="F38" s="26"/>
      <c r="G38" s="26"/>
      <c r="H38" s="27"/>
      <c r="I38" s="28" t="s">
        <v>27</v>
      </c>
      <c r="J38" s="1" t="s">
        <v>27</v>
      </c>
      <c r="K38" s="1" t="s">
        <v>27</v>
      </c>
      <c r="L38" s="26"/>
      <c r="M38" s="26"/>
      <c r="N38" s="26"/>
      <c r="O38" s="26"/>
      <c r="P38" s="27"/>
      <c r="R38">
        <v>6</v>
      </c>
      <c r="S38" t="s">
        <v>64</v>
      </c>
    </row>
    <row r="39" spans="1:19">
      <c r="A39" s="1" t="s">
        <v>27</v>
      </c>
      <c r="B39" s="4" t="s">
        <v>6</v>
      </c>
      <c r="C39" s="3" t="s">
        <v>5</v>
      </c>
      <c r="D39" s="26"/>
      <c r="E39" s="26"/>
      <c r="F39" s="26"/>
      <c r="G39" s="26"/>
      <c r="H39" s="27"/>
      <c r="I39" s="28" t="s">
        <v>27</v>
      </c>
      <c r="J39" s="1" t="s">
        <v>27</v>
      </c>
      <c r="K39" s="1" t="s">
        <v>27</v>
      </c>
      <c r="L39" s="26"/>
      <c r="M39" s="26"/>
      <c r="N39" s="26"/>
      <c r="O39" s="26"/>
      <c r="P39" s="27"/>
      <c r="R39">
        <v>7</v>
      </c>
      <c r="S39" t="s">
        <v>65</v>
      </c>
    </row>
    <row r="40" spans="1:19">
      <c r="A40" s="1" t="s">
        <v>27</v>
      </c>
      <c r="B40" s="17" t="s">
        <v>19</v>
      </c>
      <c r="C40" s="3" t="s">
        <v>5</v>
      </c>
      <c r="D40" s="26"/>
      <c r="E40" s="26"/>
      <c r="F40" s="26"/>
      <c r="G40" s="26"/>
      <c r="H40" s="27"/>
      <c r="I40" s="28" t="s">
        <v>27</v>
      </c>
      <c r="J40" s="1" t="s">
        <v>27</v>
      </c>
      <c r="K40" s="1" t="s">
        <v>27</v>
      </c>
      <c r="L40" s="26"/>
      <c r="M40" s="26"/>
      <c r="N40" s="26"/>
      <c r="O40" s="26"/>
      <c r="P40" s="27"/>
    </row>
    <row r="41" spans="1:19">
      <c r="A41" s="1" t="s">
        <v>27</v>
      </c>
      <c r="B41" s="4" t="s">
        <v>6</v>
      </c>
      <c r="C41" s="9" t="s">
        <v>11</v>
      </c>
      <c r="D41" s="26"/>
      <c r="E41" s="26"/>
      <c r="F41" s="26"/>
      <c r="G41" s="26"/>
      <c r="H41" s="27"/>
      <c r="I41" s="28" t="s">
        <v>27</v>
      </c>
      <c r="J41" s="1" t="s">
        <v>27</v>
      </c>
      <c r="K41" s="1" t="s">
        <v>27</v>
      </c>
      <c r="L41" s="26"/>
      <c r="M41" s="26"/>
      <c r="N41" s="26"/>
      <c r="O41" s="26"/>
      <c r="P41" s="27"/>
    </row>
    <row r="42" spans="1:19">
      <c r="A42" s="1" t="s">
        <v>27</v>
      </c>
      <c r="B42" s="4" t="s">
        <v>6</v>
      </c>
      <c r="C42" s="4" t="s">
        <v>6</v>
      </c>
      <c r="D42" s="26"/>
      <c r="E42" s="26"/>
      <c r="F42" s="26"/>
      <c r="G42" s="26"/>
      <c r="H42" s="27"/>
      <c r="I42" s="28" t="s">
        <v>27</v>
      </c>
      <c r="J42" s="1" t="s">
        <v>27</v>
      </c>
      <c r="K42" s="1" t="s">
        <v>27</v>
      </c>
      <c r="L42" s="26"/>
      <c r="M42" s="26"/>
      <c r="N42" s="26"/>
      <c r="O42" s="26"/>
      <c r="P42" s="27"/>
    </row>
    <row r="43" spans="1:19">
      <c r="A43" s="1" t="s">
        <v>27</v>
      </c>
      <c r="B43" s="3" t="s">
        <v>5</v>
      </c>
      <c r="C43" s="17" t="s">
        <v>19</v>
      </c>
      <c r="D43" s="26"/>
      <c r="E43" s="26"/>
      <c r="F43" s="26"/>
      <c r="G43" s="26"/>
      <c r="H43" s="27"/>
      <c r="I43" s="28" t="s">
        <v>27</v>
      </c>
      <c r="J43" s="1" t="s">
        <v>27</v>
      </c>
      <c r="K43" s="1" t="s">
        <v>27</v>
      </c>
      <c r="L43" s="26"/>
      <c r="M43" s="26"/>
      <c r="N43" s="26"/>
      <c r="O43" s="26"/>
      <c r="P43" s="27"/>
    </row>
    <row r="44" spans="1:19">
      <c r="A44" s="1" t="s">
        <v>27</v>
      </c>
      <c r="B44" s="3" t="s">
        <v>5</v>
      </c>
      <c r="C44" s="4" t="s">
        <v>6</v>
      </c>
      <c r="D44" s="26"/>
      <c r="E44" s="26"/>
      <c r="F44" s="26"/>
      <c r="G44" s="26"/>
      <c r="H44" s="27"/>
      <c r="I44" s="28" t="s">
        <v>27</v>
      </c>
      <c r="J44" s="1" t="s">
        <v>27</v>
      </c>
      <c r="K44" s="1" t="s">
        <v>27</v>
      </c>
      <c r="L44" s="26"/>
      <c r="M44" s="26"/>
      <c r="N44" s="26"/>
      <c r="O44" s="26"/>
      <c r="P44" s="27"/>
    </row>
    <row r="45" spans="1:19">
      <c r="A45" s="1" t="s">
        <v>27</v>
      </c>
      <c r="B45" s="3" t="s">
        <v>5</v>
      </c>
      <c r="C45" s="4" t="s">
        <v>6</v>
      </c>
      <c r="D45" s="26"/>
      <c r="E45" s="26"/>
      <c r="F45" s="26"/>
      <c r="G45" s="26"/>
      <c r="H45" s="27"/>
      <c r="I45" s="28" t="s">
        <v>27</v>
      </c>
      <c r="J45" s="1" t="s">
        <v>27</v>
      </c>
      <c r="K45" s="1" t="s">
        <v>27</v>
      </c>
      <c r="L45" s="26"/>
      <c r="M45" s="26"/>
      <c r="N45" s="26"/>
      <c r="O45" s="26"/>
      <c r="P45" s="27"/>
    </row>
    <row r="46" spans="1:19">
      <c r="A46" s="1" t="s">
        <v>27</v>
      </c>
      <c r="B46" s="9" t="s">
        <v>11</v>
      </c>
      <c r="C46" s="4" t="s">
        <v>6</v>
      </c>
      <c r="D46" s="26"/>
      <c r="E46" s="26"/>
      <c r="F46" s="26"/>
      <c r="G46" s="26"/>
      <c r="H46" s="27"/>
      <c r="I46" s="28" t="s">
        <v>27</v>
      </c>
      <c r="J46" s="1" t="s">
        <v>27</v>
      </c>
      <c r="K46" s="1" t="s">
        <v>27</v>
      </c>
      <c r="L46" s="26"/>
      <c r="M46" s="26"/>
      <c r="N46" s="26"/>
      <c r="O46" s="26"/>
      <c r="P46" s="27"/>
    </row>
    <row r="47" spans="1:19">
      <c r="A47" s="1" t="s">
        <v>27</v>
      </c>
      <c r="B47" s="4" t="s">
        <v>6</v>
      </c>
      <c r="C47" s="4" t="s">
        <v>6</v>
      </c>
      <c r="D47" s="26"/>
      <c r="E47" s="26"/>
      <c r="F47" s="26"/>
      <c r="G47" s="26"/>
      <c r="H47" s="27"/>
      <c r="I47" s="28" t="s">
        <v>27</v>
      </c>
      <c r="J47" s="1" t="s">
        <v>27</v>
      </c>
      <c r="K47" s="1" t="s">
        <v>27</v>
      </c>
      <c r="L47" s="26"/>
      <c r="M47" s="26"/>
      <c r="N47" s="26"/>
      <c r="O47" s="26"/>
      <c r="P47" s="27"/>
    </row>
    <row r="48" spans="1:19">
      <c r="A48" s="1" t="s">
        <v>27</v>
      </c>
      <c r="B48" s="4" t="s">
        <v>6</v>
      </c>
      <c r="C48" s="16" t="s">
        <v>18</v>
      </c>
      <c r="D48" s="26"/>
      <c r="E48" s="26"/>
      <c r="F48" s="26"/>
      <c r="G48" s="26"/>
      <c r="H48" s="27"/>
      <c r="I48" s="28" t="s">
        <v>27</v>
      </c>
      <c r="J48" s="1" t="s">
        <v>27</v>
      </c>
      <c r="K48" s="1" t="s">
        <v>27</v>
      </c>
      <c r="L48" s="26"/>
      <c r="M48" s="26"/>
      <c r="N48" s="26"/>
      <c r="O48" s="26"/>
      <c r="P48" s="27"/>
    </row>
    <row r="49" spans="1:16">
      <c r="A49" s="1" t="s">
        <v>27</v>
      </c>
      <c r="B49" s="4" t="s">
        <v>6</v>
      </c>
      <c r="C49" s="4" t="s">
        <v>6</v>
      </c>
      <c r="D49" s="26"/>
      <c r="E49" s="26"/>
      <c r="F49" s="26"/>
      <c r="G49" s="26"/>
      <c r="H49" s="27"/>
      <c r="I49" s="28" t="s">
        <v>27</v>
      </c>
      <c r="J49" s="1" t="s">
        <v>27</v>
      </c>
      <c r="K49" s="1" t="s">
        <v>27</v>
      </c>
      <c r="L49" s="26"/>
      <c r="M49" s="26"/>
      <c r="N49" s="26"/>
      <c r="O49" s="26"/>
      <c r="P49" s="27"/>
    </row>
    <row r="50" spans="1:16">
      <c r="A50" s="1" t="s">
        <v>27</v>
      </c>
      <c r="B50" s="17" t="s">
        <v>20</v>
      </c>
      <c r="C50" s="4" t="s">
        <v>6</v>
      </c>
      <c r="D50" s="26"/>
      <c r="E50" s="26"/>
      <c r="F50" s="26"/>
      <c r="G50" s="26"/>
      <c r="H50" s="27"/>
      <c r="I50" s="28" t="s">
        <v>27</v>
      </c>
      <c r="J50" s="1" t="s">
        <v>27</v>
      </c>
      <c r="K50" s="1" t="s">
        <v>27</v>
      </c>
      <c r="L50" s="26"/>
      <c r="M50" s="26"/>
      <c r="N50" s="26"/>
      <c r="O50" s="26"/>
      <c r="P50" s="27"/>
    </row>
    <row r="51" spans="1:16">
      <c r="A51" s="1" t="s">
        <v>27</v>
      </c>
      <c r="B51" s="1" t="s">
        <v>27</v>
      </c>
      <c r="C51" s="17" t="s">
        <v>20</v>
      </c>
      <c r="D51" s="26"/>
      <c r="E51" s="26"/>
      <c r="F51" s="26"/>
      <c r="G51" s="26"/>
      <c r="H51" s="27"/>
      <c r="I51" s="28" t="s">
        <v>27</v>
      </c>
      <c r="J51" s="1" t="s">
        <v>27</v>
      </c>
      <c r="K51" s="1" t="s">
        <v>27</v>
      </c>
      <c r="L51" s="26"/>
      <c r="M51" s="26"/>
      <c r="N51" s="26"/>
      <c r="O51" s="26"/>
      <c r="P51" s="27"/>
    </row>
    <row r="52" spans="1:16">
      <c r="A52" s="1" t="s">
        <v>27</v>
      </c>
      <c r="B52" s="1" t="s">
        <v>27</v>
      </c>
      <c r="C52" s="1" t="s">
        <v>27</v>
      </c>
      <c r="D52" s="26"/>
      <c r="E52" s="26"/>
      <c r="F52" s="26"/>
      <c r="G52" s="26"/>
      <c r="H52" s="27"/>
      <c r="I52" s="28" t="s">
        <v>27</v>
      </c>
      <c r="J52" s="1" t="s">
        <v>27</v>
      </c>
      <c r="K52" s="1" t="s">
        <v>27</v>
      </c>
      <c r="L52" s="26"/>
      <c r="M52" s="26"/>
      <c r="N52" s="26"/>
      <c r="O52" s="26"/>
      <c r="P52" s="27"/>
    </row>
    <row r="53" spans="1:16">
      <c r="A53" s="1" t="s">
        <v>27</v>
      </c>
      <c r="B53" s="1" t="s">
        <v>27</v>
      </c>
      <c r="C53" s="1" t="s">
        <v>27</v>
      </c>
      <c r="D53" s="26"/>
      <c r="E53" s="26"/>
      <c r="F53" s="26"/>
      <c r="G53" s="26"/>
      <c r="H53" s="27"/>
      <c r="I53" s="28" t="s">
        <v>27</v>
      </c>
      <c r="J53" s="1" t="s">
        <v>27</v>
      </c>
      <c r="K53" s="1" t="s">
        <v>27</v>
      </c>
      <c r="L53" s="26"/>
      <c r="M53" s="26"/>
      <c r="N53" s="26"/>
      <c r="O53" s="26"/>
      <c r="P53" s="27"/>
    </row>
    <row r="54" spans="1:16">
      <c r="A54" s="1" t="s">
        <v>27</v>
      </c>
      <c r="B54" s="1" t="s">
        <v>27</v>
      </c>
      <c r="C54" s="1" t="s">
        <v>27</v>
      </c>
      <c r="D54" s="26"/>
      <c r="E54" s="26"/>
      <c r="F54" s="26"/>
      <c r="G54" s="26"/>
      <c r="H54" s="27"/>
      <c r="I54" s="28" t="s">
        <v>27</v>
      </c>
      <c r="J54" s="1" t="s">
        <v>27</v>
      </c>
      <c r="K54" s="1" t="s">
        <v>27</v>
      </c>
      <c r="L54" s="26"/>
      <c r="M54" s="26"/>
      <c r="N54" s="26"/>
      <c r="O54" s="26"/>
      <c r="P54" s="27"/>
    </row>
    <row r="55" spans="1:16">
      <c r="A55" s="1" t="s">
        <v>27</v>
      </c>
      <c r="B55" s="1" t="s">
        <v>27</v>
      </c>
      <c r="C55" s="1" t="s">
        <v>27</v>
      </c>
      <c r="D55" s="26"/>
      <c r="E55" s="26"/>
      <c r="F55" s="26"/>
      <c r="G55" s="26"/>
      <c r="H55" s="27"/>
      <c r="I55" s="28" t="s">
        <v>27</v>
      </c>
      <c r="J55" s="1" t="s">
        <v>27</v>
      </c>
      <c r="K55" s="1" t="s">
        <v>27</v>
      </c>
      <c r="L55" s="26"/>
      <c r="M55" s="26"/>
      <c r="N55" s="26"/>
      <c r="O55" s="26"/>
      <c r="P55" s="27"/>
    </row>
    <row r="56" spans="1:16">
      <c r="A56" s="28" t="s">
        <v>27</v>
      </c>
      <c r="B56" s="1" t="s">
        <v>27</v>
      </c>
      <c r="C56" s="1" t="s">
        <v>27</v>
      </c>
      <c r="D56" s="26"/>
      <c r="E56" s="26"/>
      <c r="F56" s="26"/>
      <c r="G56" s="26"/>
      <c r="H56" s="27"/>
      <c r="I56" s="28" t="s">
        <v>27</v>
      </c>
      <c r="J56" s="1" t="s">
        <v>27</v>
      </c>
      <c r="K56" s="1" t="s">
        <v>27</v>
      </c>
      <c r="L56" s="26"/>
      <c r="M56" s="26"/>
      <c r="N56" s="26"/>
      <c r="O56" s="26"/>
      <c r="P56" s="27"/>
    </row>
    <row r="57" spans="1:16">
      <c r="A57" s="28" t="s">
        <v>27</v>
      </c>
      <c r="B57" s="1" t="s">
        <v>27</v>
      </c>
      <c r="C57" s="1" t="s">
        <v>27</v>
      </c>
      <c r="D57" s="26"/>
      <c r="E57" s="26"/>
      <c r="F57" s="26"/>
      <c r="G57" s="26"/>
      <c r="H57" s="27"/>
      <c r="I57" s="28" t="s">
        <v>27</v>
      </c>
      <c r="J57" s="1" t="s">
        <v>27</v>
      </c>
      <c r="K57" s="1" t="s">
        <v>27</v>
      </c>
      <c r="L57" s="26"/>
      <c r="M57" s="26"/>
      <c r="N57" s="26"/>
      <c r="O57" s="26"/>
      <c r="P57" s="27"/>
    </row>
    <row r="58" spans="1:16">
      <c r="A58" s="28" t="s">
        <v>27</v>
      </c>
      <c r="B58" s="1" t="s">
        <v>27</v>
      </c>
      <c r="C58" s="1" t="s">
        <v>27</v>
      </c>
      <c r="D58" s="26"/>
      <c r="E58" s="26"/>
      <c r="F58" s="26"/>
      <c r="G58" s="26"/>
      <c r="H58" s="27"/>
      <c r="I58" s="28" t="s">
        <v>27</v>
      </c>
      <c r="J58" s="1" t="s">
        <v>27</v>
      </c>
      <c r="K58" s="1" t="s">
        <v>27</v>
      </c>
      <c r="L58" s="26"/>
      <c r="M58" s="26"/>
      <c r="N58" s="26"/>
      <c r="O58" s="26"/>
      <c r="P58" s="27"/>
    </row>
    <row r="59" spans="1:16">
      <c r="A59" s="28" t="s">
        <v>27</v>
      </c>
      <c r="B59" s="1" t="s">
        <v>27</v>
      </c>
      <c r="C59" s="1" t="s">
        <v>27</v>
      </c>
      <c r="D59" s="26"/>
      <c r="E59" s="26"/>
      <c r="F59" s="26"/>
      <c r="G59" s="26"/>
      <c r="H59" s="27"/>
      <c r="I59" s="28" t="s">
        <v>27</v>
      </c>
      <c r="J59" s="1" t="s">
        <v>27</v>
      </c>
      <c r="K59" s="1" t="s">
        <v>27</v>
      </c>
      <c r="L59" s="26"/>
      <c r="M59" s="26"/>
      <c r="N59" s="26"/>
      <c r="O59" s="26"/>
      <c r="P59" s="27"/>
    </row>
    <row r="60" spans="1:16">
      <c r="A60" s="28" t="s">
        <v>27</v>
      </c>
      <c r="B60" s="1" t="s">
        <v>27</v>
      </c>
      <c r="C60" s="1" t="s">
        <v>27</v>
      </c>
      <c r="D60" s="26"/>
      <c r="E60" s="26"/>
      <c r="F60" s="26"/>
      <c r="G60" s="26"/>
      <c r="H60" s="27"/>
      <c r="I60" s="28" t="s">
        <v>27</v>
      </c>
      <c r="J60" s="1" t="s">
        <v>27</v>
      </c>
      <c r="K60" s="1" t="s">
        <v>27</v>
      </c>
      <c r="L60" s="26"/>
      <c r="M60" s="26"/>
      <c r="N60" s="26"/>
      <c r="O60" s="26"/>
      <c r="P60" s="27"/>
    </row>
    <row r="61" spans="1:16">
      <c r="A61" s="28" t="s">
        <v>27</v>
      </c>
      <c r="B61" s="1" t="s">
        <v>27</v>
      </c>
      <c r="C61" s="1" t="s">
        <v>27</v>
      </c>
      <c r="D61" s="26"/>
      <c r="E61" s="26"/>
      <c r="F61" s="26"/>
      <c r="G61" s="26"/>
      <c r="H61" s="27"/>
      <c r="I61" s="28" t="s">
        <v>27</v>
      </c>
      <c r="J61" s="1" t="s">
        <v>27</v>
      </c>
      <c r="K61" s="1" t="s">
        <v>27</v>
      </c>
      <c r="L61" s="26"/>
      <c r="M61" s="26"/>
      <c r="N61" s="26"/>
      <c r="O61" s="26"/>
      <c r="P61" s="27"/>
    </row>
    <row r="62" spans="1:16">
      <c r="A62" s="28" t="s">
        <v>27</v>
      </c>
      <c r="B62" s="1" t="s">
        <v>27</v>
      </c>
      <c r="C62" s="1" t="s">
        <v>27</v>
      </c>
      <c r="D62" s="26"/>
      <c r="E62" s="26"/>
      <c r="F62" s="26"/>
      <c r="G62" s="26"/>
      <c r="H62" s="27"/>
      <c r="I62" s="28" t="s">
        <v>27</v>
      </c>
      <c r="J62" s="1" t="s">
        <v>27</v>
      </c>
      <c r="K62" s="1" t="s">
        <v>27</v>
      </c>
      <c r="L62" s="26"/>
      <c r="M62" s="26"/>
      <c r="N62" s="26"/>
      <c r="O62" s="26"/>
      <c r="P62" s="27"/>
    </row>
    <row r="63" spans="1:16">
      <c r="A63" s="28" t="s">
        <v>27</v>
      </c>
      <c r="B63" s="1" t="s">
        <v>27</v>
      </c>
      <c r="C63" s="1" t="s">
        <v>27</v>
      </c>
      <c r="D63" s="26"/>
      <c r="E63" s="26"/>
      <c r="F63" s="26"/>
      <c r="G63" s="26"/>
      <c r="H63" s="27"/>
      <c r="I63" s="28" t="s">
        <v>27</v>
      </c>
      <c r="J63" s="1" t="s">
        <v>27</v>
      </c>
      <c r="K63" s="1" t="s">
        <v>27</v>
      </c>
      <c r="L63" s="26"/>
      <c r="M63" s="26"/>
      <c r="N63" s="26"/>
      <c r="O63" s="26"/>
      <c r="P63" s="27"/>
    </row>
    <row r="64" spans="1:16">
      <c r="A64" s="28" t="s">
        <v>27</v>
      </c>
      <c r="B64" s="1" t="s">
        <v>27</v>
      </c>
      <c r="C64" s="1" t="s">
        <v>27</v>
      </c>
      <c r="D64" s="26"/>
      <c r="E64" s="26"/>
      <c r="F64" s="26"/>
      <c r="G64" s="26"/>
      <c r="H64" s="27"/>
      <c r="I64" s="28" t="s">
        <v>27</v>
      </c>
      <c r="J64" s="1" t="s">
        <v>27</v>
      </c>
      <c r="K64" s="1" t="s">
        <v>27</v>
      </c>
      <c r="L64" s="26"/>
      <c r="M64" s="26"/>
      <c r="N64" s="26"/>
      <c r="O64" s="26"/>
      <c r="P64" s="27"/>
    </row>
    <row r="65" spans="1:16">
      <c r="A65" s="28" t="s">
        <v>27</v>
      </c>
      <c r="B65" s="1" t="s">
        <v>27</v>
      </c>
      <c r="C65" s="1" t="s">
        <v>27</v>
      </c>
      <c r="D65" s="26"/>
      <c r="E65" s="26"/>
      <c r="F65" s="26"/>
      <c r="G65" s="26"/>
      <c r="H65" s="27"/>
      <c r="I65" s="28" t="s">
        <v>27</v>
      </c>
      <c r="J65" s="1" t="s">
        <v>27</v>
      </c>
      <c r="K65" s="1" t="s">
        <v>27</v>
      </c>
      <c r="L65" s="26"/>
      <c r="M65" s="26"/>
      <c r="N65" s="26"/>
      <c r="O65" s="26"/>
      <c r="P65" s="27"/>
    </row>
    <row r="66" spans="1:16">
      <c r="A66" s="28" t="s">
        <v>27</v>
      </c>
      <c r="B66" s="1" t="s">
        <v>27</v>
      </c>
      <c r="C66" s="1" t="s">
        <v>27</v>
      </c>
      <c r="D66" s="26"/>
      <c r="E66" s="26"/>
      <c r="F66" s="26"/>
      <c r="G66" s="26"/>
      <c r="H66" s="27"/>
      <c r="I66" s="28" t="s">
        <v>27</v>
      </c>
      <c r="J66" s="1" t="s">
        <v>27</v>
      </c>
      <c r="K66" s="1" t="s">
        <v>27</v>
      </c>
      <c r="L66" s="26"/>
      <c r="M66" s="26"/>
      <c r="N66" s="26"/>
      <c r="O66" s="26"/>
      <c r="P66" s="27"/>
    </row>
    <row r="67" spans="1:16">
      <c r="A67" s="28" t="s">
        <v>27</v>
      </c>
      <c r="B67" s="1" t="s">
        <v>27</v>
      </c>
      <c r="C67" s="1" t="s">
        <v>27</v>
      </c>
      <c r="D67" s="26"/>
      <c r="E67" s="26"/>
      <c r="F67" s="26"/>
      <c r="G67" s="26"/>
      <c r="H67" s="27"/>
      <c r="I67" s="28" t="s">
        <v>27</v>
      </c>
      <c r="J67" s="1" t="s">
        <v>27</v>
      </c>
      <c r="K67" s="1" t="s">
        <v>27</v>
      </c>
      <c r="L67" s="26"/>
      <c r="M67" s="26"/>
      <c r="N67" s="26"/>
      <c r="O67" s="26"/>
      <c r="P67" s="27"/>
    </row>
    <row r="68" spans="1:16">
      <c r="A68" s="28" t="s">
        <v>27</v>
      </c>
      <c r="B68" s="1" t="s">
        <v>27</v>
      </c>
      <c r="C68" s="1" t="s">
        <v>27</v>
      </c>
      <c r="D68" s="26"/>
      <c r="E68" s="26"/>
      <c r="F68" s="26"/>
      <c r="G68" s="26"/>
      <c r="H68" s="27"/>
      <c r="I68" s="28" t="s">
        <v>27</v>
      </c>
      <c r="J68" s="1" t="s">
        <v>27</v>
      </c>
      <c r="K68" s="1" t="s">
        <v>27</v>
      </c>
      <c r="L68" s="26"/>
      <c r="M68" s="26"/>
      <c r="N68" s="26"/>
      <c r="O68" s="26"/>
      <c r="P68" s="27"/>
    </row>
    <row r="69" spans="1:16">
      <c r="A69" s="28" t="s">
        <v>27</v>
      </c>
      <c r="B69" s="1" t="s">
        <v>27</v>
      </c>
      <c r="C69" s="1" t="s">
        <v>27</v>
      </c>
      <c r="D69" s="26"/>
      <c r="E69" s="26"/>
      <c r="F69" s="26"/>
      <c r="G69" s="26"/>
      <c r="H69" s="27"/>
      <c r="I69" s="28" t="s">
        <v>27</v>
      </c>
      <c r="J69" s="1" t="s">
        <v>27</v>
      </c>
      <c r="K69" s="1" t="s">
        <v>27</v>
      </c>
      <c r="L69" s="26"/>
      <c r="M69" s="26"/>
      <c r="N69" s="26"/>
      <c r="O69" s="26"/>
      <c r="P69" s="27"/>
    </row>
    <row r="70" spans="1:16">
      <c r="A70" s="28" t="s">
        <v>27</v>
      </c>
      <c r="B70" s="1" t="s">
        <v>27</v>
      </c>
      <c r="C70" s="1" t="s">
        <v>27</v>
      </c>
      <c r="D70" s="26"/>
      <c r="E70" s="26"/>
      <c r="F70" s="26"/>
      <c r="G70" s="26"/>
      <c r="H70" s="27"/>
      <c r="I70" s="28" t="s">
        <v>27</v>
      </c>
      <c r="J70" s="1" t="s">
        <v>27</v>
      </c>
      <c r="K70" s="1" t="s">
        <v>27</v>
      </c>
      <c r="L70" s="26"/>
      <c r="M70" s="26"/>
      <c r="N70" s="26"/>
      <c r="O70" s="26"/>
      <c r="P70" s="27"/>
    </row>
    <row r="71" spans="1:16">
      <c r="A71" s="28" t="s">
        <v>27</v>
      </c>
      <c r="B71" s="1" t="s">
        <v>27</v>
      </c>
      <c r="C71" s="1" t="s">
        <v>27</v>
      </c>
      <c r="D71" s="26"/>
      <c r="E71" s="26"/>
      <c r="F71" s="26"/>
      <c r="G71" s="26"/>
      <c r="H71" s="27"/>
      <c r="I71" s="28" t="s">
        <v>27</v>
      </c>
      <c r="J71" s="1" t="s">
        <v>27</v>
      </c>
      <c r="K71" s="1" t="s">
        <v>27</v>
      </c>
      <c r="L71" s="26"/>
      <c r="M71" s="26"/>
      <c r="N71" s="26"/>
      <c r="O71" s="26"/>
      <c r="P71" s="27"/>
    </row>
    <row r="72" spans="1:16">
      <c r="A72" s="28" t="s">
        <v>27</v>
      </c>
      <c r="B72" s="1" t="s">
        <v>27</v>
      </c>
      <c r="C72" s="1" t="s">
        <v>27</v>
      </c>
      <c r="D72" s="26"/>
      <c r="E72" s="26"/>
      <c r="F72" s="26"/>
      <c r="G72" s="26"/>
      <c r="H72" s="27"/>
      <c r="I72" s="28" t="s">
        <v>27</v>
      </c>
      <c r="J72" s="1" t="s">
        <v>27</v>
      </c>
      <c r="K72" s="1" t="s">
        <v>27</v>
      </c>
      <c r="L72" s="26"/>
      <c r="M72" s="26"/>
      <c r="N72" s="26"/>
      <c r="O72" s="26"/>
      <c r="P72" s="27"/>
    </row>
    <row r="73" spans="1:16">
      <c r="A73" s="28" t="s">
        <v>27</v>
      </c>
      <c r="B73" s="1" t="s">
        <v>27</v>
      </c>
      <c r="C73" s="1" t="s">
        <v>27</v>
      </c>
      <c r="D73" s="26"/>
      <c r="E73" s="26"/>
      <c r="F73" s="26"/>
      <c r="G73" s="26"/>
      <c r="H73" s="27"/>
      <c r="I73" s="28" t="s">
        <v>27</v>
      </c>
      <c r="J73" s="1" t="s">
        <v>27</v>
      </c>
      <c r="K73" s="1" t="s">
        <v>27</v>
      </c>
      <c r="L73" s="26"/>
      <c r="M73" s="26"/>
      <c r="N73" s="26"/>
      <c r="O73" s="26"/>
      <c r="P73" s="27"/>
    </row>
    <row r="74" spans="1:16">
      <c r="A74" s="28" t="s">
        <v>27</v>
      </c>
      <c r="B74" s="1" t="s">
        <v>27</v>
      </c>
      <c r="C74" s="1" t="s">
        <v>27</v>
      </c>
      <c r="D74" s="26"/>
      <c r="E74" s="26"/>
      <c r="F74" s="26"/>
      <c r="G74" s="26"/>
      <c r="H74" s="27"/>
      <c r="I74" s="28" t="s">
        <v>27</v>
      </c>
      <c r="J74" s="1" t="s">
        <v>27</v>
      </c>
      <c r="K74" s="1" t="s">
        <v>27</v>
      </c>
      <c r="L74" s="26"/>
      <c r="M74" s="26"/>
      <c r="N74" s="26"/>
      <c r="O74" s="26"/>
      <c r="P74" s="27"/>
    </row>
    <row r="75" spans="1:16">
      <c r="A75" s="28" t="s">
        <v>27</v>
      </c>
      <c r="B75" s="1" t="s">
        <v>27</v>
      </c>
      <c r="C75" s="1" t="s">
        <v>27</v>
      </c>
      <c r="D75" s="26"/>
      <c r="E75" s="26"/>
      <c r="F75" s="26"/>
      <c r="G75" s="26"/>
      <c r="H75" s="27"/>
      <c r="I75" s="28" t="s">
        <v>27</v>
      </c>
      <c r="J75" s="1" t="s">
        <v>27</v>
      </c>
      <c r="K75" s="1" t="s">
        <v>27</v>
      </c>
      <c r="L75" s="26"/>
      <c r="M75" s="26"/>
      <c r="N75" s="26"/>
      <c r="O75" s="26"/>
      <c r="P75" s="27"/>
    </row>
    <row r="76" spans="1:16">
      <c r="A76" s="28" t="s">
        <v>27</v>
      </c>
      <c r="B76" s="1" t="s">
        <v>27</v>
      </c>
      <c r="C76" s="1" t="s">
        <v>27</v>
      </c>
      <c r="D76" s="26"/>
      <c r="E76" s="26"/>
      <c r="F76" s="26"/>
      <c r="G76" s="26"/>
      <c r="H76" s="27"/>
      <c r="I76" s="28" t="s">
        <v>27</v>
      </c>
      <c r="J76" s="1" t="s">
        <v>27</v>
      </c>
      <c r="K76" s="1" t="s">
        <v>27</v>
      </c>
      <c r="L76" s="26"/>
      <c r="M76" s="26"/>
      <c r="N76" s="26"/>
      <c r="O76" s="26"/>
      <c r="P76" s="27"/>
    </row>
    <row r="77" spans="1:16">
      <c r="A77" s="28" t="s">
        <v>27</v>
      </c>
      <c r="B77" s="1" t="s">
        <v>27</v>
      </c>
      <c r="C77" s="1" t="s">
        <v>27</v>
      </c>
      <c r="D77" s="26"/>
      <c r="E77" s="26"/>
      <c r="F77" s="26"/>
      <c r="G77" s="26"/>
      <c r="H77" s="27"/>
      <c r="I77" s="28" t="s">
        <v>27</v>
      </c>
      <c r="J77" s="1" t="s">
        <v>27</v>
      </c>
      <c r="K77" s="1" t="s">
        <v>27</v>
      </c>
      <c r="L77" s="26"/>
      <c r="M77" s="26"/>
      <c r="N77" s="26"/>
      <c r="O77" s="26"/>
      <c r="P77" s="27"/>
    </row>
    <row r="78" spans="1:16">
      <c r="A78" s="28" t="s">
        <v>27</v>
      </c>
      <c r="B78" s="1" t="s">
        <v>27</v>
      </c>
      <c r="C78" s="1" t="s">
        <v>27</v>
      </c>
      <c r="D78" s="26"/>
      <c r="E78" s="26"/>
      <c r="F78" s="26"/>
      <c r="G78" s="26"/>
      <c r="H78" s="27"/>
      <c r="I78" s="28" t="s">
        <v>27</v>
      </c>
      <c r="J78" s="1" t="s">
        <v>27</v>
      </c>
      <c r="K78" s="1" t="s">
        <v>27</v>
      </c>
      <c r="L78" s="26"/>
      <c r="M78" s="26"/>
      <c r="N78" s="26"/>
      <c r="O78" s="26"/>
      <c r="P78" s="27"/>
    </row>
    <row r="79" spans="1:16">
      <c r="A79" s="28" t="s">
        <v>27</v>
      </c>
      <c r="B79" s="1" t="s">
        <v>27</v>
      </c>
      <c r="C79" s="1" t="s">
        <v>27</v>
      </c>
      <c r="D79" s="26"/>
      <c r="E79" s="26"/>
      <c r="F79" s="26"/>
      <c r="G79" s="26"/>
      <c r="H79" s="27"/>
      <c r="I79" s="28" t="s">
        <v>27</v>
      </c>
      <c r="J79" s="1" t="s">
        <v>27</v>
      </c>
      <c r="K79" s="1" t="s">
        <v>27</v>
      </c>
      <c r="L79" s="26"/>
      <c r="M79" s="26"/>
      <c r="N79" s="26"/>
      <c r="O79" s="26"/>
      <c r="P79" s="27"/>
    </row>
    <row r="80" spans="1:16">
      <c r="A80" s="28" t="s">
        <v>27</v>
      </c>
      <c r="B80" s="1" t="s">
        <v>27</v>
      </c>
      <c r="C80" s="1" t="s">
        <v>27</v>
      </c>
      <c r="D80" s="26"/>
      <c r="E80" s="26"/>
      <c r="F80" s="26"/>
      <c r="G80" s="26"/>
      <c r="H80" s="27"/>
      <c r="I80" s="28" t="s">
        <v>27</v>
      </c>
      <c r="J80" s="1" t="s">
        <v>27</v>
      </c>
      <c r="K80" s="1" t="s">
        <v>27</v>
      </c>
      <c r="L80" s="26"/>
      <c r="M80" s="26"/>
      <c r="N80" s="26"/>
      <c r="O80" s="26"/>
      <c r="P80" s="27"/>
    </row>
    <row r="81" spans="1:16">
      <c r="A81" s="28" t="s">
        <v>27</v>
      </c>
      <c r="B81" s="1" t="s">
        <v>27</v>
      </c>
      <c r="C81" s="1" t="s">
        <v>27</v>
      </c>
      <c r="D81" s="26"/>
      <c r="E81" s="26"/>
      <c r="F81" s="26"/>
      <c r="G81" s="26"/>
      <c r="H81" s="27"/>
      <c r="I81" s="28" t="s">
        <v>27</v>
      </c>
      <c r="J81" s="1" t="s">
        <v>27</v>
      </c>
      <c r="K81" s="1" t="s">
        <v>27</v>
      </c>
      <c r="L81" s="26"/>
      <c r="M81" s="26"/>
      <c r="N81" s="26"/>
      <c r="O81" s="26"/>
      <c r="P81" s="27"/>
    </row>
    <row r="82" spans="1:16">
      <c r="A82" s="28" t="s">
        <v>27</v>
      </c>
      <c r="B82" s="1" t="s">
        <v>27</v>
      </c>
      <c r="C82" s="1" t="s">
        <v>27</v>
      </c>
      <c r="D82" s="26"/>
      <c r="E82" s="26"/>
      <c r="F82" s="26"/>
      <c r="G82" s="26"/>
      <c r="H82" s="27"/>
      <c r="I82" s="28" t="s">
        <v>27</v>
      </c>
      <c r="J82" s="1" t="s">
        <v>27</v>
      </c>
      <c r="K82" s="1" t="s">
        <v>27</v>
      </c>
      <c r="L82" s="26"/>
      <c r="M82" s="26"/>
      <c r="N82" s="26"/>
      <c r="O82" s="26"/>
      <c r="P82" s="27"/>
    </row>
    <row r="83" spans="1:16">
      <c r="A83" s="28" t="s">
        <v>27</v>
      </c>
      <c r="B83" s="1" t="s">
        <v>27</v>
      </c>
      <c r="C83" s="1" t="s">
        <v>27</v>
      </c>
      <c r="D83" s="26"/>
      <c r="E83" s="26"/>
      <c r="F83" s="26"/>
      <c r="G83" s="26"/>
      <c r="H83" s="27"/>
      <c r="I83" s="28" t="s">
        <v>27</v>
      </c>
      <c r="J83" s="1" t="s">
        <v>27</v>
      </c>
      <c r="K83" s="1" t="s">
        <v>27</v>
      </c>
      <c r="L83" s="26"/>
      <c r="M83" s="26"/>
      <c r="N83" s="26"/>
      <c r="O83" s="26"/>
      <c r="P83" s="27"/>
    </row>
    <row r="84" spans="1:16">
      <c r="A84" s="28" t="s">
        <v>27</v>
      </c>
      <c r="B84" s="1" t="s">
        <v>27</v>
      </c>
      <c r="C84" s="1" t="s">
        <v>27</v>
      </c>
      <c r="D84" s="26"/>
      <c r="E84" s="26"/>
      <c r="F84" s="26"/>
      <c r="G84" s="26"/>
      <c r="H84" s="27"/>
      <c r="I84" s="28" t="s">
        <v>27</v>
      </c>
      <c r="J84" s="1" t="s">
        <v>27</v>
      </c>
      <c r="K84" s="1" t="s">
        <v>27</v>
      </c>
      <c r="L84" s="26"/>
      <c r="M84" s="26"/>
      <c r="N84" s="26"/>
      <c r="O84" s="26"/>
      <c r="P84" s="27"/>
    </row>
    <row r="85" spans="1:16">
      <c r="A85" s="28" t="s">
        <v>27</v>
      </c>
      <c r="B85" s="1" t="s">
        <v>27</v>
      </c>
      <c r="C85" s="1" t="s">
        <v>27</v>
      </c>
      <c r="D85" s="26"/>
      <c r="E85" s="26"/>
      <c r="F85" s="26"/>
      <c r="G85" s="26"/>
      <c r="H85" s="27"/>
      <c r="I85" s="28" t="s">
        <v>27</v>
      </c>
      <c r="J85" s="1" t="s">
        <v>27</v>
      </c>
      <c r="K85" s="1" t="s">
        <v>27</v>
      </c>
      <c r="L85" s="26"/>
      <c r="M85" s="26"/>
      <c r="N85" s="26"/>
      <c r="O85" s="26"/>
      <c r="P85" s="27"/>
    </row>
    <row r="86" spans="1:16">
      <c r="A86" s="28" t="s">
        <v>27</v>
      </c>
      <c r="B86" s="1" t="s">
        <v>27</v>
      </c>
      <c r="C86" s="1" t="s">
        <v>27</v>
      </c>
      <c r="D86" s="26"/>
      <c r="E86" s="26"/>
      <c r="F86" s="26"/>
      <c r="G86" s="26"/>
      <c r="H86" s="27"/>
      <c r="I86" s="28" t="s">
        <v>27</v>
      </c>
      <c r="J86" s="1" t="s">
        <v>27</v>
      </c>
      <c r="K86" s="1" t="s">
        <v>27</v>
      </c>
      <c r="L86" s="26"/>
      <c r="M86" s="26"/>
      <c r="N86" s="26"/>
      <c r="O86" s="26"/>
      <c r="P86" s="27"/>
    </row>
    <row r="87" spans="1:16">
      <c r="A87" s="28" t="s">
        <v>27</v>
      </c>
      <c r="B87" s="1" t="s">
        <v>27</v>
      </c>
      <c r="C87" s="1" t="s">
        <v>27</v>
      </c>
      <c r="D87" s="26"/>
      <c r="E87" s="26"/>
      <c r="F87" s="26"/>
      <c r="G87" s="26"/>
      <c r="H87" s="27"/>
      <c r="I87" s="28" t="s">
        <v>27</v>
      </c>
      <c r="J87" s="1" t="s">
        <v>27</v>
      </c>
      <c r="K87" s="1" t="s">
        <v>27</v>
      </c>
      <c r="L87" s="26"/>
      <c r="M87" s="26"/>
      <c r="N87" s="26"/>
      <c r="O87" s="26"/>
      <c r="P87" s="27"/>
    </row>
    <row r="88" spans="1:16">
      <c r="A88" s="28" t="s">
        <v>27</v>
      </c>
      <c r="B88" s="1" t="s">
        <v>27</v>
      </c>
      <c r="C88" s="1" t="s">
        <v>27</v>
      </c>
      <c r="D88" s="26"/>
      <c r="E88" s="26"/>
      <c r="F88" s="26"/>
      <c r="G88" s="26"/>
      <c r="H88" s="27"/>
      <c r="I88" s="28" t="s">
        <v>27</v>
      </c>
      <c r="J88" s="1" t="s">
        <v>27</v>
      </c>
      <c r="K88" s="1" t="s">
        <v>27</v>
      </c>
      <c r="L88" s="26"/>
      <c r="M88" s="26"/>
      <c r="N88" s="26"/>
      <c r="O88" s="26"/>
      <c r="P88" s="27"/>
    </row>
    <row r="89" spans="1:16">
      <c r="A89" s="28" t="s">
        <v>27</v>
      </c>
      <c r="B89" s="1" t="s">
        <v>27</v>
      </c>
      <c r="C89" s="1" t="s">
        <v>27</v>
      </c>
      <c r="D89" s="26"/>
      <c r="E89" s="26"/>
      <c r="F89" s="26"/>
      <c r="G89" s="26"/>
      <c r="H89" s="27"/>
      <c r="I89" s="28" t="s">
        <v>27</v>
      </c>
      <c r="J89" s="1" t="s">
        <v>27</v>
      </c>
      <c r="K89" s="1" t="s">
        <v>27</v>
      </c>
      <c r="L89" s="26"/>
      <c r="M89" s="26"/>
      <c r="N89" s="26"/>
      <c r="O89" s="26"/>
      <c r="P89" s="27"/>
    </row>
    <row r="90" spans="1:16">
      <c r="A90" s="28" t="s">
        <v>27</v>
      </c>
      <c r="B90" s="1" t="s">
        <v>27</v>
      </c>
      <c r="C90" s="1" t="s">
        <v>27</v>
      </c>
      <c r="D90" s="26"/>
      <c r="E90" s="26"/>
      <c r="F90" s="26"/>
      <c r="G90" s="26"/>
      <c r="H90" s="27"/>
      <c r="I90" s="28" t="s">
        <v>27</v>
      </c>
      <c r="J90" s="1" t="s">
        <v>27</v>
      </c>
      <c r="K90" s="1" t="s">
        <v>27</v>
      </c>
      <c r="L90" s="26"/>
      <c r="M90" s="26"/>
      <c r="N90" s="26"/>
      <c r="O90" s="26"/>
      <c r="P90" s="27"/>
    </row>
    <row r="91" spans="1:16">
      <c r="A91" s="28" t="s">
        <v>27</v>
      </c>
      <c r="B91" s="1" t="s">
        <v>27</v>
      </c>
      <c r="C91" s="1" t="s">
        <v>27</v>
      </c>
      <c r="D91" s="26"/>
      <c r="E91" s="26"/>
      <c r="F91" s="26"/>
      <c r="G91" s="26"/>
      <c r="H91" s="27"/>
      <c r="I91" s="28" t="s">
        <v>27</v>
      </c>
      <c r="J91" s="1" t="s">
        <v>27</v>
      </c>
      <c r="K91" s="1" t="s">
        <v>27</v>
      </c>
      <c r="L91" s="26"/>
      <c r="M91" s="26"/>
      <c r="N91" s="26"/>
      <c r="O91" s="26"/>
      <c r="P91" s="27"/>
    </row>
    <row r="92" spans="1:16">
      <c r="A92" s="28" t="s">
        <v>27</v>
      </c>
      <c r="B92" s="1" t="s">
        <v>27</v>
      </c>
      <c r="C92" s="1" t="s">
        <v>27</v>
      </c>
      <c r="D92" s="26"/>
      <c r="E92" s="26"/>
      <c r="F92" s="26"/>
      <c r="G92" s="26"/>
      <c r="H92" s="27"/>
      <c r="I92" s="28" t="s">
        <v>27</v>
      </c>
      <c r="J92" s="1" t="s">
        <v>27</v>
      </c>
      <c r="K92" s="1" t="s">
        <v>27</v>
      </c>
      <c r="L92" s="26"/>
      <c r="M92" s="26"/>
      <c r="N92" s="26"/>
      <c r="O92" s="26"/>
      <c r="P92" s="27"/>
    </row>
    <row r="93" spans="1:16">
      <c r="A93" s="28" t="s">
        <v>27</v>
      </c>
      <c r="B93" s="1" t="s">
        <v>27</v>
      </c>
      <c r="C93" s="1" t="s">
        <v>27</v>
      </c>
      <c r="D93" s="26"/>
      <c r="E93" s="26"/>
      <c r="F93" s="26"/>
      <c r="G93" s="26"/>
      <c r="H93" s="27"/>
      <c r="I93" s="28" t="s">
        <v>27</v>
      </c>
      <c r="J93" s="1" t="s">
        <v>27</v>
      </c>
      <c r="K93" s="1" t="s">
        <v>27</v>
      </c>
      <c r="L93" s="26"/>
      <c r="M93" s="26"/>
      <c r="N93" s="26"/>
      <c r="O93" s="26"/>
      <c r="P93" s="27"/>
    </row>
    <row r="94" spans="1:16">
      <c r="A94" s="28" t="s">
        <v>27</v>
      </c>
      <c r="B94" s="1" t="s">
        <v>27</v>
      </c>
      <c r="C94" s="1" t="s">
        <v>27</v>
      </c>
      <c r="D94" s="26"/>
      <c r="E94" s="26"/>
      <c r="F94" s="26"/>
      <c r="G94" s="26"/>
      <c r="H94" s="27"/>
      <c r="I94" s="28" t="s">
        <v>27</v>
      </c>
      <c r="J94" s="1" t="s">
        <v>27</v>
      </c>
      <c r="K94" s="1" t="s">
        <v>27</v>
      </c>
      <c r="L94" s="26"/>
      <c r="M94" s="26"/>
      <c r="N94" s="26"/>
      <c r="O94" s="26"/>
      <c r="P94" s="27"/>
    </row>
    <row r="95" spans="1:16">
      <c r="A95" s="28" t="s">
        <v>27</v>
      </c>
      <c r="B95" s="1" t="s">
        <v>27</v>
      </c>
      <c r="C95" s="1" t="s">
        <v>27</v>
      </c>
      <c r="D95" s="26"/>
      <c r="E95" s="26"/>
      <c r="F95" s="26"/>
      <c r="G95" s="26"/>
      <c r="H95" s="27"/>
      <c r="I95" s="28" t="s">
        <v>27</v>
      </c>
      <c r="J95" s="1" t="s">
        <v>27</v>
      </c>
      <c r="K95" s="1" t="s">
        <v>27</v>
      </c>
      <c r="L95" s="26"/>
      <c r="M95" s="26"/>
      <c r="N95" s="26"/>
      <c r="O95" s="26"/>
      <c r="P95" s="27"/>
    </row>
    <row r="96" spans="1:16">
      <c r="A96" s="28" t="s">
        <v>27</v>
      </c>
      <c r="B96" s="1" t="s">
        <v>27</v>
      </c>
      <c r="C96" s="1" t="s">
        <v>27</v>
      </c>
      <c r="D96" s="26"/>
      <c r="E96" s="26"/>
      <c r="F96" s="26"/>
      <c r="G96" s="26"/>
      <c r="H96" s="27"/>
      <c r="I96" s="28" t="s">
        <v>27</v>
      </c>
      <c r="J96" s="1" t="s">
        <v>27</v>
      </c>
      <c r="K96" s="1" t="s">
        <v>27</v>
      </c>
      <c r="L96" s="26"/>
      <c r="M96" s="26"/>
      <c r="N96" s="26"/>
      <c r="O96" s="26"/>
      <c r="P96" s="27"/>
    </row>
    <row r="97" spans="1:16">
      <c r="A97" s="28" t="s">
        <v>27</v>
      </c>
      <c r="B97" s="1" t="s">
        <v>27</v>
      </c>
      <c r="C97" s="1" t="s">
        <v>27</v>
      </c>
      <c r="D97" s="26"/>
      <c r="E97" s="26"/>
      <c r="F97" s="26"/>
      <c r="G97" s="26"/>
      <c r="H97" s="27"/>
      <c r="I97" s="28" t="s">
        <v>27</v>
      </c>
      <c r="J97" s="1" t="s">
        <v>27</v>
      </c>
      <c r="K97" s="1" t="s">
        <v>27</v>
      </c>
      <c r="L97" s="26"/>
      <c r="M97" s="26"/>
      <c r="N97" s="26"/>
      <c r="O97" s="26"/>
      <c r="P97" s="27"/>
    </row>
    <row r="98" spans="1:16">
      <c r="A98" s="28" t="s">
        <v>27</v>
      </c>
      <c r="B98" s="1" t="s">
        <v>27</v>
      </c>
      <c r="C98" s="1" t="s">
        <v>27</v>
      </c>
      <c r="D98" s="26"/>
      <c r="E98" s="26"/>
      <c r="F98" s="26"/>
      <c r="G98" s="26"/>
      <c r="H98" s="27"/>
      <c r="I98" s="28" t="s">
        <v>27</v>
      </c>
      <c r="J98" s="1" t="s">
        <v>27</v>
      </c>
      <c r="K98" s="1" t="s">
        <v>27</v>
      </c>
      <c r="L98" s="26"/>
      <c r="M98" s="26"/>
      <c r="N98" s="26"/>
      <c r="O98" s="26"/>
      <c r="P98" s="27"/>
    </row>
    <row r="99" spans="1:16">
      <c r="A99" s="28" t="s">
        <v>27</v>
      </c>
      <c r="B99" s="1" t="s">
        <v>27</v>
      </c>
      <c r="C99" s="1" t="s">
        <v>27</v>
      </c>
      <c r="D99" s="26"/>
      <c r="E99" s="26"/>
      <c r="F99" s="26"/>
      <c r="G99" s="26"/>
      <c r="H99" s="27"/>
      <c r="I99" s="28" t="s">
        <v>27</v>
      </c>
      <c r="J99" s="1" t="s">
        <v>27</v>
      </c>
      <c r="K99" s="1" t="s">
        <v>27</v>
      </c>
      <c r="L99" s="26"/>
      <c r="M99" s="26"/>
      <c r="N99" s="26"/>
      <c r="O99" s="26"/>
      <c r="P99" s="27"/>
    </row>
    <row r="100" spans="1:16" ht="15.75" thickBot="1">
      <c r="A100" s="29" t="s">
        <v>27</v>
      </c>
      <c r="B100" s="30" t="s">
        <v>27</v>
      </c>
      <c r="C100" s="30" t="s">
        <v>27</v>
      </c>
      <c r="D100" s="31"/>
      <c r="E100" s="31"/>
      <c r="F100" s="31"/>
      <c r="G100" s="31"/>
      <c r="H100" s="32"/>
      <c r="I100" s="29" t="s">
        <v>27</v>
      </c>
      <c r="J100" s="30" t="s">
        <v>27</v>
      </c>
      <c r="K100" s="30" t="s">
        <v>27</v>
      </c>
      <c r="L100" s="31"/>
      <c r="M100" s="31"/>
      <c r="N100" s="31"/>
      <c r="O100" s="31"/>
      <c r="P100" s="32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ageMargins left="0.7" right="0.7" top="0.75" bottom="0.75" header="0.3" footer="0.3"/>
  <pageSetup paperSize="9" orientation="portrait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D1ED2-2BFB-4479-B6B2-0A5C328F6F1B}">
  <dimension ref="A1:AB100"/>
  <sheetViews>
    <sheetView workbookViewId="0">
      <selection activeCell="F12" sqref="F12"/>
    </sheetView>
  </sheetViews>
  <sheetFormatPr defaultRowHeight="15"/>
  <sheetData>
    <row r="1" spans="1:28" ht="15.75">
      <c r="A1" s="62" t="s">
        <v>30</v>
      </c>
      <c r="B1" s="63"/>
      <c r="C1" s="63"/>
      <c r="D1" s="63"/>
      <c r="E1" s="63"/>
      <c r="F1" s="64" t="s">
        <v>3</v>
      </c>
      <c r="G1" s="64"/>
      <c r="H1" s="24" cm="1">
        <f t="array" ref="H1">SUM(VLOOKUP(A4:C100,$T$3:$W$36,4,FALSE))+H4*10-H8*50</f>
        <v>3366.8832151643214</v>
      </c>
      <c r="I1" s="65" t="s">
        <v>41</v>
      </c>
      <c r="J1" s="66"/>
      <c r="K1" s="66"/>
      <c r="L1" s="66"/>
      <c r="M1" s="66"/>
      <c r="N1" s="66"/>
      <c r="O1" s="66"/>
      <c r="P1" s="67"/>
      <c r="Q1" s="65" t="s">
        <v>48</v>
      </c>
      <c r="R1" s="66"/>
      <c r="S1" s="66"/>
      <c r="T1" s="66"/>
      <c r="U1" s="66"/>
      <c r="V1" s="66"/>
      <c r="W1" s="66"/>
      <c r="X1" s="66"/>
      <c r="Y1" s="66"/>
      <c r="Z1" s="66"/>
      <c r="AA1" s="66"/>
      <c r="AB1" s="67"/>
    </row>
    <row r="2" spans="1:28" ht="30">
      <c r="A2" s="68" t="s">
        <v>35</v>
      </c>
      <c r="B2" s="69"/>
      <c r="C2" s="69"/>
      <c r="D2" s="70" t="s">
        <v>37</v>
      </c>
      <c r="E2" s="71"/>
      <c r="F2" s="71"/>
      <c r="G2" s="71"/>
      <c r="H2" s="72"/>
      <c r="I2" s="73" t="s">
        <v>35</v>
      </c>
      <c r="J2" s="74"/>
      <c r="K2" s="74"/>
      <c r="L2" s="75" t="s">
        <v>37</v>
      </c>
      <c r="M2" s="75"/>
      <c r="N2" s="75"/>
      <c r="O2" s="75"/>
      <c r="P2" s="76"/>
      <c r="Q2" s="50" t="s">
        <v>43</v>
      </c>
      <c r="R2" s="51" cm="1">
        <f t="array" ref="R2">SUM(V3:V28*AB3:AB28)+H6+P6+R4*500</f>
        <v>65160</v>
      </c>
      <c r="S2" s="26"/>
      <c r="T2" s="1" t="s">
        <v>0</v>
      </c>
      <c r="U2" s="1" t="s">
        <v>1</v>
      </c>
      <c r="V2" s="1" t="s">
        <v>2</v>
      </c>
      <c r="W2" s="44" t="s">
        <v>3</v>
      </c>
      <c r="X2" s="46" t="s">
        <v>44</v>
      </c>
      <c r="Y2" s="46" t="s">
        <v>56</v>
      </c>
      <c r="Z2" s="47" t="s">
        <v>45</v>
      </c>
      <c r="AA2" s="47" t="s">
        <v>46</v>
      </c>
      <c r="AB2" s="52" t="s">
        <v>47</v>
      </c>
    </row>
    <row r="3" spans="1:28">
      <c r="A3" s="25" t="s">
        <v>31</v>
      </c>
      <c r="B3" s="58" t="s">
        <v>32</v>
      </c>
      <c r="C3" s="20" t="s">
        <v>33</v>
      </c>
      <c r="D3" s="33"/>
      <c r="E3" s="25" t="s">
        <v>31</v>
      </c>
      <c r="F3" s="58" t="s">
        <v>32</v>
      </c>
      <c r="G3" s="20" t="s">
        <v>33</v>
      </c>
      <c r="H3" s="34" t="s">
        <v>36</v>
      </c>
      <c r="I3" s="25" t="s">
        <v>31</v>
      </c>
      <c r="J3" s="58" t="s">
        <v>32</v>
      </c>
      <c r="K3" s="20" t="s">
        <v>33</v>
      </c>
      <c r="L3" s="33"/>
      <c r="M3" s="25" t="s">
        <v>31</v>
      </c>
      <c r="N3" s="58" t="s">
        <v>32</v>
      </c>
      <c r="O3" s="20" t="s">
        <v>33</v>
      </c>
      <c r="P3" s="34" t="s">
        <v>36</v>
      </c>
      <c r="Q3" s="53" t="s">
        <v>49</v>
      </c>
      <c r="R3" s="26">
        <v>91</v>
      </c>
      <c r="S3" s="26"/>
      <c r="T3" s="2" t="s">
        <v>4</v>
      </c>
      <c r="U3" s="1">
        <v>150</v>
      </c>
      <c r="V3" s="1">
        <v>35</v>
      </c>
      <c r="W3" s="45">
        <f>U3-V3/0.330882</f>
        <v>44.222109392472248</v>
      </c>
      <c r="X3" s="46"/>
      <c r="Y3" s="46">
        <v>11</v>
      </c>
      <c r="Z3" s="1">
        <f>COUNTIF($A$4:$C$100,T3)</f>
        <v>16</v>
      </c>
      <c r="AA3" s="1">
        <f>COUNTIF($I$4:$K$100,T3)</f>
        <v>0</v>
      </c>
      <c r="AB3" s="54">
        <f>Y3-Z3-AA3</f>
        <v>-5</v>
      </c>
    </row>
    <row r="4" spans="1:28">
      <c r="A4" s="2" t="s">
        <v>4</v>
      </c>
      <c r="B4" s="2" t="s">
        <v>4</v>
      </c>
      <c r="C4" s="3" t="s">
        <v>5</v>
      </c>
      <c r="D4" s="43" t="s">
        <v>34</v>
      </c>
      <c r="E4" s="39">
        <v>8</v>
      </c>
      <c r="F4" s="39">
        <v>0</v>
      </c>
      <c r="G4" s="39">
        <v>10</v>
      </c>
      <c r="H4" s="36">
        <f>SUM(E4:G4)</f>
        <v>18</v>
      </c>
      <c r="I4" s="1" t="s">
        <v>27</v>
      </c>
      <c r="J4" s="1" t="s">
        <v>27</v>
      </c>
      <c r="K4" s="1" t="s">
        <v>27</v>
      </c>
      <c r="L4" s="43" t="s">
        <v>34</v>
      </c>
      <c r="M4" s="39">
        <v>0</v>
      </c>
      <c r="N4" s="39">
        <v>2</v>
      </c>
      <c r="O4" s="39">
        <v>0</v>
      </c>
      <c r="P4" s="36">
        <f>SUM(M4:O4)</f>
        <v>2</v>
      </c>
      <c r="Q4" s="53" t="s">
        <v>50</v>
      </c>
      <c r="R4" s="40">
        <v>14</v>
      </c>
      <c r="S4" s="26"/>
      <c r="T4" s="3" t="s">
        <v>5</v>
      </c>
      <c r="U4" s="1">
        <v>160</v>
      </c>
      <c r="V4" s="1">
        <v>40</v>
      </c>
      <c r="W4" s="45">
        <f t="shared" ref="W4" si="0">U4-V4/0.330882</f>
        <v>39.110982162825422</v>
      </c>
      <c r="X4" s="46"/>
      <c r="Y4" s="46">
        <v>55</v>
      </c>
      <c r="Z4" s="1">
        <f t="shared" ref="Z4:Z28" si="1">COUNTIF($A$4:$C$100,T4)</f>
        <v>26</v>
      </c>
      <c r="AA4" s="1">
        <f t="shared" ref="AA4:AA28" si="2">COUNTIF($I$4:$K$100,T4)</f>
        <v>0</v>
      </c>
      <c r="AB4" s="54">
        <f t="shared" ref="AB4:AB28" si="3">Y4-Z4-AA4</f>
        <v>29</v>
      </c>
    </row>
    <row r="5" spans="1:28">
      <c r="A5" s="2" t="s">
        <v>4</v>
      </c>
      <c r="B5" s="2" t="s">
        <v>4</v>
      </c>
      <c r="C5" s="23" t="s">
        <v>29</v>
      </c>
      <c r="D5" s="33" t="s">
        <v>38</v>
      </c>
      <c r="E5" s="35" cm="1">
        <f t="array" ref="E5">(SUM(VLOOKUP(A4:A100,$T$3:$W$41,2,FALSE))+E4*10)-E8*50</f>
        <v>7560</v>
      </c>
      <c r="F5" s="35" cm="1">
        <f t="array" ref="F5">(SUM(VLOOKUP(B4:B100,$T$3:$W$41,2,FALSE))+F4*10)-F8*50</f>
        <v>900</v>
      </c>
      <c r="G5" s="35" cm="1">
        <f t="array" ref="G5">(SUM(VLOOKUP(C4:C100,$T$3:$W$41,2,FALSE))+G4*10)-G8*50</f>
        <v>6660</v>
      </c>
      <c r="H5" s="59">
        <f t="shared" ref="H5:H8" si="4">SUM(E5:G5)</f>
        <v>15120</v>
      </c>
      <c r="I5" s="1" t="s">
        <v>27</v>
      </c>
      <c r="J5" s="1" t="s">
        <v>27</v>
      </c>
      <c r="K5" s="1" t="s">
        <v>27</v>
      </c>
      <c r="L5" s="33" t="s">
        <v>38</v>
      </c>
      <c r="M5" s="35" cm="1">
        <f t="array" ref="M5">(SUM(VLOOKUP(I4:I100,$T$3:$W$41,2,FALSE))+M4*10)*0.8-M8*40</f>
        <v>0</v>
      </c>
      <c r="N5" s="35" cm="1">
        <f t="array" ref="N5">(SUM(VLOOKUP(J4:J100,$T$3:$W$41,2,FALSE))+N4*10)*0.8-N8*40</f>
        <v>-64</v>
      </c>
      <c r="O5" s="35" cm="1">
        <f t="array" ref="O5">(SUM(VLOOKUP(K4:K100,$T$3:$W$41,2,FALSE))+O4*10)*0.8-O8*40</f>
        <v>0</v>
      </c>
      <c r="P5" s="59">
        <f t="shared" ref="P5:P8" si="5">SUM(M5:O5)</f>
        <v>-64</v>
      </c>
      <c r="Q5" s="53" t="s">
        <v>51</v>
      </c>
      <c r="R5" s="26">
        <v>6000</v>
      </c>
      <c r="S5" s="26"/>
      <c r="T5" s="4" t="s">
        <v>6</v>
      </c>
      <c r="U5" s="1">
        <v>170</v>
      </c>
      <c r="V5" s="1">
        <v>45</v>
      </c>
      <c r="W5" s="45">
        <v>34</v>
      </c>
      <c r="X5" s="48"/>
      <c r="Y5" s="46">
        <v>233</v>
      </c>
      <c r="Z5" s="1">
        <f t="shared" si="1"/>
        <v>39</v>
      </c>
      <c r="AA5" s="1">
        <f t="shared" si="2"/>
        <v>0</v>
      </c>
      <c r="AB5" s="54">
        <f t="shared" si="3"/>
        <v>194</v>
      </c>
    </row>
    <row r="6" spans="1:28">
      <c r="A6" s="2" t="s">
        <v>4</v>
      </c>
      <c r="B6" s="2" t="s">
        <v>4</v>
      </c>
      <c r="C6" s="3" t="s">
        <v>5</v>
      </c>
      <c r="D6" s="33" t="s">
        <v>39</v>
      </c>
      <c r="E6" s="35" cm="1">
        <f t="array" ref="E6">(SUM(VLOOKUP(A4:A100,$T$3:$W$41,3,FALSE)))</f>
        <v>2130</v>
      </c>
      <c r="F6" s="35" cm="1">
        <f t="array" ref="F6">(SUM(VLOOKUP(B4:B100,$T$3:$W$41,3,FALSE)))</f>
        <v>210</v>
      </c>
      <c r="G6" s="35" cm="1">
        <f t="array" ref="G6">(SUM(VLOOKUP(C4:C100,$T$3:$W$41,3,FALSE)))</f>
        <v>2610</v>
      </c>
      <c r="H6" s="49">
        <f t="shared" si="4"/>
        <v>4950</v>
      </c>
      <c r="I6" s="1" t="s">
        <v>27</v>
      </c>
      <c r="J6" s="1" t="s">
        <v>27</v>
      </c>
      <c r="K6" s="1" t="s">
        <v>27</v>
      </c>
      <c r="L6" s="33" t="s">
        <v>39</v>
      </c>
      <c r="M6" s="35" cm="1">
        <f t="array" ref="M6">(SUM(VLOOKUP(I4:I100,$T$3:$W$41,3,FALSE)))</f>
        <v>0</v>
      </c>
      <c r="N6" s="35" cm="1">
        <f t="array" ref="N6">(SUM(VLOOKUP(J4:J100,$T$3:$W$41,3,FALSE)))</f>
        <v>0</v>
      </c>
      <c r="O6" s="35" cm="1">
        <f t="array" ref="O6">(SUM(VLOOKUP(K4:K100,$T$3:$W$41,3,FALSE)))</f>
        <v>0</v>
      </c>
      <c r="P6" s="49">
        <f t="shared" si="5"/>
        <v>0</v>
      </c>
      <c r="Q6" s="50" t="s">
        <v>52</v>
      </c>
      <c r="R6" s="26">
        <f>R3*1600-800+R5</f>
        <v>150800</v>
      </c>
      <c r="S6" s="26"/>
      <c r="T6" s="5" t="s">
        <v>7</v>
      </c>
      <c r="U6" s="1">
        <v>180</v>
      </c>
      <c r="V6" s="1">
        <v>50</v>
      </c>
      <c r="W6" s="45">
        <v>36</v>
      </c>
      <c r="X6" s="46">
        <v>265</v>
      </c>
      <c r="Y6" s="46">
        <v>265</v>
      </c>
      <c r="Z6" s="1">
        <f t="shared" si="1"/>
        <v>0</v>
      </c>
      <c r="AA6" s="1">
        <f t="shared" si="2"/>
        <v>0</v>
      </c>
      <c r="AB6" s="54">
        <f t="shared" si="3"/>
        <v>265</v>
      </c>
    </row>
    <row r="7" spans="1:28">
      <c r="A7" s="2" t="s">
        <v>4</v>
      </c>
      <c r="B7" s="2" t="s">
        <v>4</v>
      </c>
      <c r="C7" s="4" t="s">
        <v>6</v>
      </c>
      <c r="D7" s="33" t="s">
        <v>40</v>
      </c>
      <c r="E7" s="35">
        <f>COUNTIF(A4:A100,"&lt;&gt;空")</f>
        <v>48</v>
      </c>
      <c r="F7" s="35">
        <f>COUNTIF(B4:B100,"&lt;&gt;空")</f>
        <v>6</v>
      </c>
      <c r="G7" s="35">
        <f>COUNTIF(C4:C100,"&lt;&gt;空")</f>
        <v>47</v>
      </c>
      <c r="H7" s="36">
        <f t="shared" si="4"/>
        <v>101</v>
      </c>
      <c r="I7" s="1" t="s">
        <v>27</v>
      </c>
      <c r="J7" s="1" t="s">
        <v>27</v>
      </c>
      <c r="K7" s="1" t="s">
        <v>27</v>
      </c>
      <c r="L7" s="33" t="s">
        <v>40</v>
      </c>
      <c r="M7" s="35">
        <f>COUNTIF(I4:I100,"&lt;&gt;空")</f>
        <v>0</v>
      </c>
      <c r="N7" s="35">
        <f>COUNTIF(J4:J100,"&lt;&gt;空")</f>
        <v>0</v>
      </c>
      <c r="O7" s="35">
        <f>COUNTIF(K4:K100,"&lt;&gt;空")</f>
        <v>0</v>
      </c>
      <c r="P7" s="36">
        <f t="shared" si="5"/>
        <v>0</v>
      </c>
      <c r="Q7" s="53" t="s">
        <v>55</v>
      </c>
      <c r="R7" s="26">
        <v>13</v>
      </c>
      <c r="S7" s="26"/>
      <c r="T7" s="6" t="s">
        <v>8</v>
      </c>
      <c r="U7" s="1">
        <v>190</v>
      </c>
      <c r="V7" s="1">
        <v>55</v>
      </c>
      <c r="W7" s="45">
        <v>38</v>
      </c>
      <c r="X7" s="46">
        <v>234</v>
      </c>
      <c r="Y7" s="46">
        <v>234</v>
      </c>
      <c r="Z7" s="1">
        <f t="shared" si="1"/>
        <v>0</v>
      </c>
      <c r="AA7" s="1">
        <f t="shared" si="2"/>
        <v>0</v>
      </c>
      <c r="AB7" s="54">
        <f t="shared" si="3"/>
        <v>234</v>
      </c>
    </row>
    <row r="8" spans="1:28">
      <c r="A8" s="2" t="s">
        <v>4</v>
      </c>
      <c r="B8" s="2" t="s">
        <v>4</v>
      </c>
      <c r="C8" s="4" t="s">
        <v>6</v>
      </c>
      <c r="D8" s="42" t="s">
        <v>53</v>
      </c>
      <c r="E8" s="41">
        <v>1</v>
      </c>
      <c r="F8" s="41">
        <v>0</v>
      </c>
      <c r="G8" s="41">
        <v>0</v>
      </c>
      <c r="H8" s="36">
        <f t="shared" si="4"/>
        <v>1</v>
      </c>
      <c r="I8" s="1" t="s">
        <v>27</v>
      </c>
      <c r="J8" s="1" t="s">
        <v>27</v>
      </c>
      <c r="K8" s="1" t="s">
        <v>27</v>
      </c>
      <c r="L8" s="42" t="s">
        <v>53</v>
      </c>
      <c r="M8" s="41">
        <v>0</v>
      </c>
      <c r="N8" s="41">
        <v>2</v>
      </c>
      <c r="O8" s="41">
        <v>0</v>
      </c>
      <c r="P8" s="36">
        <f t="shared" si="5"/>
        <v>2</v>
      </c>
      <c r="Q8" s="50" t="s">
        <v>54</v>
      </c>
      <c r="R8" s="55" cm="1">
        <f t="array" ref="R8">R6-P5-H5-SUM(U3:U28*AB3:AB28)*0.8-R7*8</f>
        <v>-584</v>
      </c>
      <c r="S8" s="26"/>
      <c r="T8" s="7" t="s">
        <v>9</v>
      </c>
      <c r="U8" s="1">
        <v>200</v>
      </c>
      <c r="V8" s="1">
        <v>60</v>
      </c>
      <c r="W8" s="45"/>
      <c r="X8" s="46">
        <v>194</v>
      </c>
      <c r="Y8" s="46">
        <v>194</v>
      </c>
      <c r="Z8" s="1">
        <f t="shared" si="1"/>
        <v>0</v>
      </c>
      <c r="AA8" s="1">
        <f t="shared" si="2"/>
        <v>0</v>
      </c>
      <c r="AB8" s="54">
        <f t="shared" si="3"/>
        <v>194</v>
      </c>
    </row>
    <row r="9" spans="1:28">
      <c r="A9" s="2" t="s">
        <v>4</v>
      </c>
      <c r="B9" s="2" t="s">
        <v>4</v>
      </c>
      <c r="C9" s="17" t="s">
        <v>19</v>
      </c>
      <c r="D9" s="26"/>
      <c r="E9" s="26"/>
      <c r="F9" s="26"/>
      <c r="G9" s="26"/>
      <c r="H9" s="27"/>
      <c r="I9" s="1" t="s">
        <v>27</v>
      </c>
      <c r="J9" s="1" t="s">
        <v>27</v>
      </c>
      <c r="K9" s="1" t="s">
        <v>27</v>
      </c>
      <c r="L9" s="33" t="s">
        <v>42</v>
      </c>
      <c r="M9" s="37" t="e">
        <f>M6/M5</f>
        <v>#DIV/0!</v>
      </c>
      <c r="N9" s="37">
        <f>N6/N5</f>
        <v>0</v>
      </c>
      <c r="O9" s="37" t="e">
        <f>O6/O5</f>
        <v>#DIV/0!</v>
      </c>
      <c r="P9" s="38">
        <f>P6/P5</f>
        <v>0</v>
      </c>
      <c r="Q9" s="50"/>
      <c r="R9" s="26"/>
      <c r="S9" s="26"/>
      <c r="T9" s="8" t="s">
        <v>10</v>
      </c>
      <c r="U9" s="1">
        <v>150</v>
      </c>
      <c r="V9" s="1">
        <v>35</v>
      </c>
      <c r="W9" s="45">
        <f t="shared" ref="W9:W11" si="6">U9-V9/0.330882</f>
        <v>44.222109392472248</v>
      </c>
      <c r="X9" s="46">
        <v>3</v>
      </c>
      <c r="Y9" s="46">
        <v>0</v>
      </c>
      <c r="Z9" s="1">
        <f t="shared" si="1"/>
        <v>0</v>
      </c>
      <c r="AA9" s="1">
        <f t="shared" si="2"/>
        <v>0</v>
      </c>
      <c r="AB9" s="54">
        <f t="shared" si="3"/>
        <v>0</v>
      </c>
    </row>
    <row r="10" spans="1:28">
      <c r="A10" s="1" t="s">
        <v>27</v>
      </c>
      <c r="B10" s="1" t="s">
        <v>27</v>
      </c>
      <c r="C10" s="4" t="s">
        <v>6</v>
      </c>
      <c r="D10" s="26"/>
      <c r="E10" s="26"/>
      <c r="F10" s="26"/>
      <c r="G10" s="26"/>
      <c r="H10" s="27"/>
      <c r="I10" s="1" t="s">
        <v>27</v>
      </c>
      <c r="J10" s="1" t="s">
        <v>27</v>
      </c>
      <c r="K10" s="1" t="s">
        <v>27</v>
      </c>
      <c r="L10" s="26"/>
      <c r="M10" s="26"/>
      <c r="N10" s="26"/>
      <c r="O10" s="26"/>
      <c r="P10" s="27"/>
      <c r="Q10" s="50"/>
      <c r="R10" s="26"/>
      <c r="S10" s="26"/>
      <c r="T10" s="9" t="s">
        <v>11</v>
      </c>
      <c r="U10" s="1">
        <v>150</v>
      </c>
      <c r="V10" s="1">
        <v>40</v>
      </c>
      <c r="W10" s="45">
        <f t="shared" si="6"/>
        <v>29.110982162825422</v>
      </c>
      <c r="X10" s="46">
        <v>7</v>
      </c>
      <c r="Y10" s="46">
        <v>2</v>
      </c>
      <c r="Z10" s="1">
        <f t="shared" si="1"/>
        <v>4</v>
      </c>
      <c r="AA10" s="1">
        <f t="shared" si="2"/>
        <v>0</v>
      </c>
      <c r="AB10" s="54">
        <f t="shared" si="3"/>
        <v>-2</v>
      </c>
    </row>
    <row r="11" spans="1:28">
      <c r="A11" s="1" t="s">
        <v>27</v>
      </c>
      <c r="B11" s="1" t="s">
        <v>27</v>
      </c>
      <c r="C11" s="1" t="s">
        <v>27</v>
      </c>
      <c r="D11" s="26"/>
      <c r="E11" s="26"/>
      <c r="F11" s="26"/>
      <c r="G11" s="26"/>
      <c r="H11" s="27"/>
      <c r="I11" s="1" t="s">
        <v>27</v>
      </c>
      <c r="J11" s="1" t="s">
        <v>27</v>
      </c>
      <c r="K11" s="1" t="s">
        <v>27</v>
      </c>
      <c r="L11" s="26"/>
      <c r="M11" s="26"/>
      <c r="N11" s="26"/>
      <c r="O11" s="26"/>
      <c r="P11" s="27">
        <f>H5+P5</f>
        <v>15056</v>
      </c>
      <c r="Q11" s="50"/>
      <c r="R11" s="26"/>
      <c r="S11" s="26"/>
      <c r="T11" s="10" t="s">
        <v>12</v>
      </c>
      <c r="U11" s="1">
        <v>150</v>
      </c>
      <c r="V11" s="1">
        <v>45</v>
      </c>
      <c r="W11" s="45">
        <f t="shared" si="6"/>
        <v>13.999854933178597</v>
      </c>
      <c r="X11" s="46">
        <v>6</v>
      </c>
      <c r="Y11" s="46">
        <v>6</v>
      </c>
      <c r="Z11" s="1">
        <f t="shared" si="1"/>
        <v>0</v>
      </c>
      <c r="AA11" s="1">
        <f t="shared" si="2"/>
        <v>0</v>
      </c>
      <c r="AB11" s="54">
        <f t="shared" si="3"/>
        <v>6</v>
      </c>
    </row>
    <row r="12" spans="1:28">
      <c r="A12" s="4" t="s">
        <v>6</v>
      </c>
      <c r="B12" s="1" t="s">
        <v>27</v>
      </c>
      <c r="C12" s="4" t="s">
        <v>6</v>
      </c>
      <c r="D12" s="26"/>
      <c r="E12" s="26"/>
      <c r="F12" s="26"/>
      <c r="G12" s="26"/>
      <c r="H12" s="27"/>
      <c r="I12" s="1" t="s">
        <v>27</v>
      </c>
      <c r="J12" s="1" t="s">
        <v>27</v>
      </c>
      <c r="K12" s="1" t="s">
        <v>27</v>
      </c>
      <c r="L12" s="26"/>
      <c r="M12" s="26"/>
      <c r="N12" s="26"/>
      <c r="O12" s="26"/>
      <c r="P12" s="27">
        <f>H6+P6</f>
        <v>4950</v>
      </c>
      <c r="Q12" s="50"/>
      <c r="R12" s="26"/>
      <c r="S12" s="26"/>
      <c r="T12" s="11" t="s">
        <v>13</v>
      </c>
      <c r="U12" s="1">
        <v>150</v>
      </c>
      <c r="V12" s="1">
        <v>50</v>
      </c>
      <c r="W12" s="45"/>
      <c r="X12" s="46">
        <v>4</v>
      </c>
      <c r="Y12" s="46">
        <v>4</v>
      </c>
      <c r="Z12" s="1">
        <f t="shared" si="1"/>
        <v>0</v>
      </c>
      <c r="AA12" s="1">
        <f t="shared" si="2"/>
        <v>0</v>
      </c>
      <c r="AB12" s="54">
        <f t="shared" si="3"/>
        <v>4</v>
      </c>
    </row>
    <row r="13" spans="1:28">
      <c r="A13" s="4" t="s">
        <v>6</v>
      </c>
      <c r="B13" s="1" t="s">
        <v>27</v>
      </c>
      <c r="C13" s="15" t="s">
        <v>17</v>
      </c>
      <c r="D13" s="26"/>
      <c r="E13" s="26"/>
      <c r="F13" s="26"/>
      <c r="G13" s="26"/>
      <c r="H13" s="27"/>
      <c r="I13" s="1" t="s">
        <v>27</v>
      </c>
      <c r="J13" s="1" t="s">
        <v>27</v>
      </c>
      <c r="K13" s="1" t="s">
        <v>27</v>
      </c>
      <c r="L13" s="26"/>
      <c r="M13" s="26"/>
      <c r="N13" s="26"/>
      <c r="O13" s="26"/>
      <c r="P13" s="27"/>
      <c r="Q13" s="50"/>
      <c r="R13" s="26"/>
      <c r="S13" s="26"/>
      <c r="T13" s="12" t="s">
        <v>14</v>
      </c>
      <c r="U13" s="1">
        <v>150</v>
      </c>
      <c r="V13" s="1">
        <v>55</v>
      </c>
      <c r="W13" s="45"/>
      <c r="X13" s="46">
        <v>3</v>
      </c>
      <c r="Y13" s="46">
        <v>3</v>
      </c>
      <c r="Z13" s="1">
        <f t="shared" si="1"/>
        <v>0</v>
      </c>
      <c r="AA13" s="1">
        <f t="shared" si="2"/>
        <v>0</v>
      </c>
      <c r="AB13" s="54">
        <f t="shared" si="3"/>
        <v>3</v>
      </c>
    </row>
    <row r="14" spans="1:28">
      <c r="A14" s="4" t="s">
        <v>6</v>
      </c>
      <c r="B14" s="1" t="s">
        <v>27</v>
      </c>
      <c r="C14" s="3" t="s">
        <v>5</v>
      </c>
      <c r="D14" s="26"/>
      <c r="E14" s="26"/>
      <c r="F14" s="26"/>
      <c r="G14" s="26"/>
      <c r="H14" s="27"/>
      <c r="I14" s="1" t="s">
        <v>27</v>
      </c>
      <c r="J14" s="1" t="s">
        <v>27</v>
      </c>
      <c r="K14" s="1" t="s">
        <v>27</v>
      </c>
      <c r="L14" s="26"/>
      <c r="M14" s="26"/>
      <c r="N14" s="26"/>
      <c r="O14" s="26"/>
      <c r="P14" s="27"/>
      <c r="Q14" s="50"/>
      <c r="R14" s="26"/>
      <c r="S14" s="26"/>
      <c r="T14" s="13" t="s">
        <v>15</v>
      </c>
      <c r="U14" s="1">
        <v>150</v>
      </c>
      <c r="V14" s="1">
        <v>60</v>
      </c>
      <c r="W14" s="45"/>
      <c r="X14" s="46">
        <v>1</v>
      </c>
      <c r="Y14" s="46">
        <v>1</v>
      </c>
      <c r="Z14" s="1">
        <f t="shared" si="1"/>
        <v>0</v>
      </c>
      <c r="AA14" s="1">
        <f t="shared" si="2"/>
        <v>0</v>
      </c>
      <c r="AB14" s="54">
        <f t="shared" si="3"/>
        <v>1</v>
      </c>
    </row>
    <row r="15" spans="1:28">
      <c r="A15" s="4" t="s">
        <v>6</v>
      </c>
      <c r="B15" s="1" t="s">
        <v>27</v>
      </c>
      <c r="C15" s="16" t="s">
        <v>18</v>
      </c>
      <c r="D15" s="26"/>
      <c r="E15" s="26"/>
      <c r="F15" s="26"/>
      <c r="G15" s="26"/>
      <c r="H15" s="27"/>
      <c r="I15" s="1" t="s">
        <v>27</v>
      </c>
      <c r="J15" s="1" t="s">
        <v>27</v>
      </c>
      <c r="K15" s="1" t="s">
        <v>27</v>
      </c>
      <c r="L15" s="26"/>
      <c r="M15" s="26"/>
      <c r="N15" s="26"/>
      <c r="O15" s="26"/>
      <c r="P15" s="27"/>
      <c r="Q15" s="50"/>
      <c r="R15" s="26"/>
      <c r="S15" s="26"/>
      <c r="T15" s="14" t="s">
        <v>16</v>
      </c>
      <c r="U15" s="1">
        <v>150</v>
      </c>
      <c r="V15" s="1">
        <v>35</v>
      </c>
      <c r="W15" s="45">
        <f t="shared" ref="W15" si="7">U15-V15/0.330882</f>
        <v>44.222109392472248</v>
      </c>
      <c r="X15" s="46"/>
      <c r="Y15" s="46">
        <v>0</v>
      </c>
      <c r="Z15" s="1">
        <f t="shared" si="1"/>
        <v>0</v>
      </c>
      <c r="AA15" s="1">
        <f t="shared" si="2"/>
        <v>0</v>
      </c>
      <c r="AB15" s="54">
        <f t="shared" si="3"/>
        <v>0</v>
      </c>
    </row>
    <row r="16" spans="1:28">
      <c r="A16" s="15" t="s">
        <v>17</v>
      </c>
      <c r="B16" s="1" t="s">
        <v>27</v>
      </c>
      <c r="C16" s="2" t="s">
        <v>4</v>
      </c>
      <c r="D16" s="26"/>
      <c r="E16" s="26"/>
      <c r="F16" s="26"/>
      <c r="G16" s="26"/>
      <c r="H16" s="27"/>
      <c r="I16" s="1" t="s">
        <v>27</v>
      </c>
      <c r="J16" s="1" t="s">
        <v>27</v>
      </c>
      <c r="K16" s="1" t="s">
        <v>27</v>
      </c>
      <c r="L16" s="26"/>
      <c r="M16" s="26"/>
      <c r="N16" s="26"/>
      <c r="O16" s="26"/>
      <c r="P16" s="27"/>
      <c r="Q16" s="50"/>
      <c r="R16" s="26"/>
      <c r="S16" s="26"/>
      <c r="T16" s="15" t="s">
        <v>17</v>
      </c>
      <c r="U16" s="1">
        <v>50</v>
      </c>
      <c r="V16" s="1">
        <v>30</v>
      </c>
      <c r="W16" s="45">
        <v>10</v>
      </c>
      <c r="X16" s="46">
        <v>40</v>
      </c>
      <c r="Y16" s="46">
        <v>39</v>
      </c>
      <c r="Z16" s="1">
        <f t="shared" si="1"/>
        <v>3</v>
      </c>
      <c r="AA16" s="1">
        <f t="shared" si="2"/>
        <v>0</v>
      </c>
      <c r="AB16" s="54">
        <f t="shared" si="3"/>
        <v>36</v>
      </c>
    </row>
    <row r="17" spans="1:28">
      <c r="A17" s="4" t="s">
        <v>6</v>
      </c>
      <c r="B17" s="1" t="s">
        <v>27</v>
      </c>
      <c r="C17" s="2" t="s">
        <v>4</v>
      </c>
      <c r="D17" s="26"/>
      <c r="E17" s="26"/>
      <c r="F17" s="26"/>
      <c r="G17" s="26"/>
      <c r="H17" s="27"/>
      <c r="I17" s="1" t="s">
        <v>27</v>
      </c>
      <c r="J17" s="1" t="s">
        <v>27</v>
      </c>
      <c r="K17" s="1" t="s">
        <v>27</v>
      </c>
      <c r="L17" s="26"/>
      <c r="M17" s="26"/>
      <c r="N17" s="26"/>
      <c r="O17" s="26"/>
      <c r="P17" s="27"/>
      <c r="Q17" s="50"/>
      <c r="R17" s="26"/>
      <c r="S17" s="26"/>
      <c r="T17" s="16" t="s">
        <v>18</v>
      </c>
      <c r="U17" s="1">
        <v>-150</v>
      </c>
      <c r="V17" s="1">
        <v>0</v>
      </c>
      <c r="W17" s="45">
        <v>10</v>
      </c>
      <c r="X17" s="46">
        <v>3</v>
      </c>
      <c r="Y17" s="46">
        <v>3</v>
      </c>
      <c r="Z17" s="1">
        <f t="shared" si="1"/>
        <v>4</v>
      </c>
      <c r="AA17" s="1">
        <f t="shared" si="2"/>
        <v>0</v>
      </c>
      <c r="AB17" s="54">
        <f t="shared" si="3"/>
        <v>-1</v>
      </c>
    </row>
    <row r="18" spans="1:28">
      <c r="A18" s="17" t="s">
        <v>20</v>
      </c>
      <c r="B18" s="1" t="s">
        <v>27</v>
      </c>
      <c r="C18" s="2" t="s">
        <v>4</v>
      </c>
      <c r="D18" s="26"/>
      <c r="E18" s="26"/>
      <c r="F18" s="26"/>
      <c r="G18" s="26"/>
      <c r="H18" s="27"/>
      <c r="I18" s="1" t="s">
        <v>27</v>
      </c>
      <c r="J18" s="1" t="s">
        <v>27</v>
      </c>
      <c r="K18" s="1" t="s">
        <v>27</v>
      </c>
      <c r="L18" s="26"/>
      <c r="M18" s="26"/>
      <c r="N18" s="26"/>
      <c r="O18" s="26"/>
      <c r="P18" s="27"/>
      <c r="Q18" s="50"/>
      <c r="R18" s="26"/>
      <c r="S18" s="26"/>
      <c r="T18" s="17" t="s">
        <v>19</v>
      </c>
      <c r="U18" s="1">
        <v>250</v>
      </c>
      <c r="V18" s="1">
        <v>200</v>
      </c>
      <c r="W18" s="45"/>
      <c r="X18" s="46">
        <v>3</v>
      </c>
      <c r="Y18" s="46">
        <v>3</v>
      </c>
      <c r="Z18" s="1">
        <f t="shared" si="1"/>
        <v>3</v>
      </c>
      <c r="AA18" s="1">
        <f t="shared" si="2"/>
        <v>0</v>
      </c>
      <c r="AB18" s="54">
        <f t="shared" si="3"/>
        <v>0</v>
      </c>
    </row>
    <row r="19" spans="1:28">
      <c r="A19" s="4" t="s">
        <v>6</v>
      </c>
      <c r="B19" s="1" t="s">
        <v>27</v>
      </c>
      <c r="C19" s="2" t="s">
        <v>4</v>
      </c>
      <c r="D19" s="26"/>
      <c r="E19" s="26"/>
      <c r="F19" s="26"/>
      <c r="G19" s="26"/>
      <c r="H19" s="27"/>
      <c r="I19" s="1" t="s">
        <v>27</v>
      </c>
      <c r="J19" s="1" t="s">
        <v>27</v>
      </c>
      <c r="K19" s="1" t="s">
        <v>27</v>
      </c>
      <c r="L19" s="26"/>
      <c r="M19" s="26"/>
      <c r="N19" s="26"/>
      <c r="O19" s="26"/>
      <c r="P19" s="27"/>
      <c r="Q19" s="50"/>
      <c r="R19" s="26"/>
      <c r="S19" s="26"/>
      <c r="T19" s="17" t="s">
        <v>20</v>
      </c>
      <c r="U19" s="1">
        <v>170</v>
      </c>
      <c r="V19" s="1">
        <v>45</v>
      </c>
      <c r="W19" s="45"/>
      <c r="X19" s="46">
        <v>5</v>
      </c>
      <c r="Y19" s="46">
        <v>5</v>
      </c>
      <c r="Z19" s="1">
        <f t="shared" si="1"/>
        <v>5</v>
      </c>
      <c r="AA19" s="1">
        <f t="shared" si="2"/>
        <v>0</v>
      </c>
      <c r="AB19" s="54">
        <f t="shared" si="3"/>
        <v>0</v>
      </c>
    </row>
    <row r="20" spans="1:28">
      <c r="A20" s="3" t="s">
        <v>5</v>
      </c>
      <c r="B20" s="1" t="s">
        <v>27</v>
      </c>
      <c r="C20" s="15" t="s">
        <v>17</v>
      </c>
      <c r="D20" s="26"/>
      <c r="E20" s="26"/>
      <c r="F20" s="26"/>
      <c r="G20" s="26"/>
      <c r="H20" s="27"/>
      <c r="I20" s="1" t="s">
        <v>27</v>
      </c>
      <c r="J20" s="1" t="s">
        <v>27</v>
      </c>
      <c r="K20" s="1" t="s">
        <v>27</v>
      </c>
      <c r="L20" s="26"/>
      <c r="M20" s="26"/>
      <c r="N20" s="26"/>
      <c r="O20" s="26"/>
      <c r="P20" s="27"/>
      <c r="Q20" s="50"/>
      <c r="R20" s="26"/>
      <c r="S20" s="26"/>
      <c r="T20" s="18" t="s">
        <v>21</v>
      </c>
      <c r="U20" s="1">
        <v>250</v>
      </c>
      <c r="V20" s="1">
        <v>200</v>
      </c>
      <c r="W20" s="45"/>
      <c r="X20" s="46">
        <v>0</v>
      </c>
      <c r="Y20" s="46">
        <v>0</v>
      </c>
      <c r="Z20" s="1">
        <f t="shared" si="1"/>
        <v>0</v>
      </c>
      <c r="AA20" s="1">
        <f t="shared" si="2"/>
        <v>0</v>
      </c>
      <c r="AB20" s="54">
        <f t="shared" si="3"/>
        <v>0</v>
      </c>
    </row>
    <row r="21" spans="1:28">
      <c r="A21" s="3" t="s">
        <v>5</v>
      </c>
      <c r="B21" s="1" t="s">
        <v>27</v>
      </c>
      <c r="C21" s="3" t="s">
        <v>5</v>
      </c>
      <c r="D21" s="26"/>
      <c r="E21" s="26"/>
      <c r="F21" s="26"/>
      <c r="G21" s="26"/>
      <c r="H21" s="27"/>
      <c r="I21" s="1" t="s">
        <v>27</v>
      </c>
      <c r="J21" s="1" t="s">
        <v>27</v>
      </c>
      <c r="K21" s="1" t="s">
        <v>27</v>
      </c>
      <c r="L21" s="26"/>
      <c r="M21" s="26"/>
      <c r="N21" s="26"/>
      <c r="O21" s="26"/>
      <c r="P21" s="27"/>
      <c r="Q21" s="50"/>
      <c r="R21" s="26"/>
      <c r="S21" s="26"/>
      <c r="T21" s="19" t="s">
        <v>22</v>
      </c>
      <c r="U21" s="1">
        <v>250</v>
      </c>
      <c r="V21" s="1">
        <v>1000</v>
      </c>
      <c r="W21" s="45"/>
      <c r="X21" s="46">
        <v>2</v>
      </c>
      <c r="Y21" s="46">
        <v>2</v>
      </c>
      <c r="Z21" s="1">
        <f t="shared" si="1"/>
        <v>0</v>
      </c>
      <c r="AA21" s="1">
        <f t="shared" si="2"/>
        <v>0</v>
      </c>
      <c r="AB21" s="54">
        <f t="shared" si="3"/>
        <v>2</v>
      </c>
    </row>
    <row r="22" spans="1:28">
      <c r="A22" s="3" t="s">
        <v>5</v>
      </c>
      <c r="B22" s="1" t="s">
        <v>27</v>
      </c>
      <c r="C22" s="3" t="s">
        <v>5</v>
      </c>
      <c r="D22" s="26"/>
      <c r="E22" s="26"/>
      <c r="F22" s="26"/>
      <c r="G22" s="26"/>
      <c r="H22" s="27"/>
      <c r="I22" s="1" t="s">
        <v>27</v>
      </c>
      <c r="J22" s="1" t="s">
        <v>27</v>
      </c>
      <c r="K22" s="1" t="s">
        <v>27</v>
      </c>
      <c r="L22" s="26"/>
      <c r="M22" s="26"/>
      <c r="N22" s="26"/>
      <c r="O22" s="26"/>
      <c r="P22" s="27"/>
      <c r="Q22" s="50"/>
      <c r="R22" s="26"/>
      <c r="S22" s="26"/>
      <c r="T22" s="20" t="s">
        <v>23</v>
      </c>
      <c r="U22" s="1">
        <v>250</v>
      </c>
      <c r="V22" s="1">
        <v>500</v>
      </c>
      <c r="W22" s="45"/>
      <c r="X22" s="46">
        <v>2</v>
      </c>
      <c r="Y22" s="46">
        <v>2</v>
      </c>
      <c r="Z22" s="1">
        <f t="shared" si="1"/>
        <v>0</v>
      </c>
      <c r="AA22" s="1">
        <f t="shared" si="2"/>
        <v>0</v>
      </c>
      <c r="AB22" s="54">
        <f t="shared" si="3"/>
        <v>2</v>
      </c>
    </row>
    <row r="23" spans="1:28">
      <c r="A23" s="3" t="s">
        <v>5</v>
      </c>
      <c r="B23" s="1" t="s">
        <v>27</v>
      </c>
      <c r="C23" s="3" t="s">
        <v>5</v>
      </c>
      <c r="D23" s="26"/>
      <c r="E23" s="26"/>
      <c r="F23" s="26"/>
      <c r="G23" s="26"/>
      <c r="H23" s="27"/>
      <c r="I23" s="1" t="s">
        <v>27</v>
      </c>
      <c r="J23" s="1" t="s">
        <v>27</v>
      </c>
      <c r="K23" s="1" t="s">
        <v>27</v>
      </c>
      <c r="L23" s="26"/>
      <c r="M23" s="26"/>
      <c r="N23" s="26"/>
      <c r="O23" s="26"/>
      <c r="P23" s="27"/>
      <c r="Q23" s="50"/>
      <c r="R23" s="26"/>
      <c r="S23" s="26"/>
      <c r="T23" s="21" t="s">
        <v>24</v>
      </c>
      <c r="U23" s="1">
        <v>160</v>
      </c>
      <c r="V23" s="1">
        <v>40</v>
      </c>
      <c r="W23" s="45">
        <f t="shared" ref="W23:W26" si="8">U23-V23/0.330882</f>
        <v>39.110982162825422</v>
      </c>
      <c r="X23" s="46">
        <v>0</v>
      </c>
      <c r="Y23" s="46">
        <v>0</v>
      </c>
      <c r="Z23" s="1">
        <f t="shared" si="1"/>
        <v>0</v>
      </c>
      <c r="AA23" s="1">
        <f t="shared" si="2"/>
        <v>0</v>
      </c>
      <c r="AB23" s="54">
        <f t="shared" si="3"/>
        <v>0</v>
      </c>
    </row>
    <row r="24" spans="1:28">
      <c r="A24" s="3" t="s">
        <v>5</v>
      </c>
      <c r="B24" s="1" t="s">
        <v>27</v>
      </c>
      <c r="C24" s="16" t="s">
        <v>18</v>
      </c>
      <c r="D24" s="26"/>
      <c r="E24" s="26"/>
      <c r="F24" s="26"/>
      <c r="G24" s="26"/>
      <c r="H24" s="27"/>
      <c r="I24" s="1" t="s">
        <v>27</v>
      </c>
      <c r="J24" s="1" t="s">
        <v>27</v>
      </c>
      <c r="K24" s="1" t="s">
        <v>27</v>
      </c>
      <c r="L24" s="26"/>
      <c r="M24" s="26"/>
      <c r="N24" s="26"/>
      <c r="O24" s="26"/>
      <c r="P24" s="27"/>
      <c r="Q24" s="50"/>
      <c r="R24" s="26"/>
      <c r="S24" s="26"/>
      <c r="T24" s="21" t="s">
        <v>25</v>
      </c>
      <c r="U24" s="1">
        <v>160</v>
      </c>
      <c r="V24" s="1">
        <v>40</v>
      </c>
      <c r="W24" s="45">
        <f t="shared" si="8"/>
        <v>39.110982162825422</v>
      </c>
      <c r="X24" s="46">
        <v>0</v>
      </c>
      <c r="Y24" s="46">
        <v>0</v>
      </c>
      <c r="Z24" s="1">
        <f t="shared" si="1"/>
        <v>0</v>
      </c>
      <c r="AA24" s="1">
        <f t="shared" si="2"/>
        <v>0</v>
      </c>
      <c r="AB24" s="54">
        <f t="shared" si="3"/>
        <v>0</v>
      </c>
    </row>
    <row r="25" spans="1:28">
      <c r="A25" s="3" t="s">
        <v>5</v>
      </c>
      <c r="B25" s="1" t="s">
        <v>27</v>
      </c>
      <c r="C25" s="3" t="s">
        <v>5</v>
      </c>
      <c r="D25" s="26"/>
      <c r="E25" s="26"/>
      <c r="F25" s="26"/>
      <c r="G25" s="26"/>
      <c r="H25" s="27"/>
      <c r="I25" s="1" t="s">
        <v>27</v>
      </c>
      <c r="J25" s="1" t="s">
        <v>27</v>
      </c>
      <c r="K25" s="1" t="s">
        <v>27</v>
      </c>
      <c r="L25" s="26"/>
      <c r="M25" s="26"/>
      <c r="N25" s="26"/>
      <c r="O25" s="26"/>
      <c r="P25" s="27"/>
      <c r="Q25" s="50"/>
      <c r="R25" s="26"/>
      <c r="S25" s="26"/>
      <c r="T25" s="21" t="s">
        <v>26</v>
      </c>
      <c r="U25" s="1">
        <v>150</v>
      </c>
      <c r="V25" s="1">
        <v>35</v>
      </c>
      <c r="W25" s="45">
        <f t="shared" si="8"/>
        <v>44.222109392472248</v>
      </c>
      <c r="X25" s="46">
        <v>0</v>
      </c>
      <c r="Y25" s="46">
        <v>0</v>
      </c>
      <c r="Z25" s="1">
        <f t="shared" si="1"/>
        <v>0</v>
      </c>
      <c r="AA25" s="1">
        <f t="shared" si="2"/>
        <v>0</v>
      </c>
      <c r="AB25" s="54">
        <f t="shared" si="3"/>
        <v>0</v>
      </c>
    </row>
    <row r="26" spans="1:28">
      <c r="A26" s="4" t="s">
        <v>6</v>
      </c>
      <c r="B26" s="1" t="s">
        <v>27</v>
      </c>
      <c r="C26" s="3" t="s">
        <v>5</v>
      </c>
      <c r="D26" s="26"/>
      <c r="E26" s="26"/>
      <c r="F26" s="26"/>
      <c r="G26" s="26"/>
      <c r="H26" s="27"/>
      <c r="I26" s="1" t="s">
        <v>27</v>
      </c>
      <c r="J26" s="1" t="s">
        <v>27</v>
      </c>
      <c r="K26" s="1" t="s">
        <v>27</v>
      </c>
      <c r="L26" s="26"/>
      <c r="M26" s="26"/>
      <c r="N26" s="26"/>
      <c r="O26" s="26"/>
      <c r="P26" s="27"/>
      <c r="Q26" s="50"/>
      <c r="R26" s="26"/>
      <c r="S26" s="26"/>
      <c r="T26" s="22" t="s">
        <v>27</v>
      </c>
      <c r="U26" s="1">
        <v>0</v>
      </c>
      <c r="V26" s="1">
        <v>0</v>
      </c>
      <c r="W26" s="45">
        <f t="shared" si="8"/>
        <v>0</v>
      </c>
      <c r="X26" s="46">
        <v>0</v>
      </c>
      <c r="Y26" s="46">
        <v>0</v>
      </c>
      <c r="Z26" s="1"/>
      <c r="AA26" s="1"/>
      <c r="AB26" s="54"/>
    </row>
    <row r="27" spans="1:28">
      <c r="A27" s="4" t="s">
        <v>6</v>
      </c>
      <c r="B27" s="1" t="s">
        <v>27</v>
      </c>
      <c r="C27" s="4" t="s">
        <v>6</v>
      </c>
      <c r="D27" s="26"/>
      <c r="E27" s="26"/>
      <c r="F27" s="26"/>
      <c r="G27" s="26"/>
      <c r="H27" s="27"/>
      <c r="I27" s="1" t="s">
        <v>27</v>
      </c>
      <c r="J27" s="1" t="s">
        <v>27</v>
      </c>
      <c r="K27" s="1" t="s">
        <v>27</v>
      </c>
      <c r="L27" s="26"/>
      <c r="M27" s="26"/>
      <c r="N27" s="26"/>
      <c r="O27" s="26"/>
      <c r="P27" s="27"/>
      <c r="Q27" s="50"/>
      <c r="R27" s="26"/>
      <c r="S27" s="26"/>
      <c r="T27" s="16" t="s">
        <v>28</v>
      </c>
      <c r="U27" s="1">
        <v>-200</v>
      </c>
      <c r="V27" s="1">
        <v>0</v>
      </c>
      <c r="W27" s="45"/>
      <c r="X27" s="46">
        <v>12</v>
      </c>
      <c r="Y27" s="46">
        <v>12</v>
      </c>
      <c r="Z27" s="1">
        <f t="shared" si="1"/>
        <v>0</v>
      </c>
      <c r="AA27" s="1">
        <f t="shared" si="2"/>
        <v>0</v>
      </c>
      <c r="AB27" s="54">
        <f t="shared" si="3"/>
        <v>12</v>
      </c>
    </row>
    <row r="28" spans="1:28">
      <c r="A28" s="4" t="s">
        <v>6</v>
      </c>
      <c r="B28" s="1" t="s">
        <v>27</v>
      </c>
      <c r="C28" s="4" t="s">
        <v>6</v>
      </c>
      <c r="D28" s="26"/>
      <c r="E28" s="26"/>
      <c r="F28" s="26"/>
      <c r="G28" s="26"/>
      <c r="H28" s="27"/>
      <c r="I28" s="1" t="s">
        <v>27</v>
      </c>
      <c r="J28" s="1" t="s">
        <v>27</v>
      </c>
      <c r="K28" s="1" t="s">
        <v>27</v>
      </c>
      <c r="L28" s="26"/>
      <c r="M28" s="26"/>
      <c r="N28" s="26"/>
      <c r="O28" s="26"/>
      <c r="P28" s="27"/>
      <c r="Q28" s="50"/>
      <c r="R28" s="26"/>
      <c r="S28" s="26"/>
      <c r="T28" s="23" t="s">
        <v>29</v>
      </c>
      <c r="U28" s="1">
        <v>50</v>
      </c>
      <c r="V28" s="1">
        <v>520</v>
      </c>
      <c r="W28" s="45"/>
      <c r="X28" s="46">
        <v>3</v>
      </c>
      <c r="Y28" s="46">
        <v>3</v>
      </c>
      <c r="Z28" s="1">
        <f t="shared" si="1"/>
        <v>1</v>
      </c>
      <c r="AA28" s="1">
        <f t="shared" si="2"/>
        <v>0</v>
      </c>
      <c r="AB28" s="54">
        <f t="shared" si="3"/>
        <v>2</v>
      </c>
    </row>
    <row r="29" spans="1:28" ht="15.75" thickBot="1">
      <c r="A29" s="4" t="s">
        <v>6</v>
      </c>
      <c r="B29" s="1" t="s">
        <v>27</v>
      </c>
      <c r="C29" s="4" t="s">
        <v>6</v>
      </c>
      <c r="D29" s="26"/>
      <c r="E29" s="26"/>
      <c r="F29" s="26"/>
      <c r="G29" s="26"/>
      <c r="H29" s="27"/>
      <c r="I29" s="1" t="s">
        <v>27</v>
      </c>
      <c r="J29" s="1" t="s">
        <v>27</v>
      </c>
      <c r="K29" s="1" t="s">
        <v>27</v>
      </c>
      <c r="L29" s="26"/>
      <c r="M29" s="26"/>
      <c r="N29" s="26"/>
      <c r="O29" s="26"/>
      <c r="P29" s="27"/>
      <c r="Q29" s="56"/>
      <c r="R29" s="31"/>
      <c r="S29" s="31"/>
      <c r="T29" s="30"/>
      <c r="U29" s="30"/>
      <c r="V29" s="30"/>
      <c r="W29" s="30"/>
      <c r="X29" s="30"/>
      <c r="Y29" s="30"/>
      <c r="Z29" s="30"/>
      <c r="AA29" s="30"/>
      <c r="AB29" s="57"/>
    </row>
    <row r="30" spans="1:28">
      <c r="A30" s="4" t="s">
        <v>6</v>
      </c>
      <c r="B30" s="1" t="s">
        <v>27</v>
      </c>
      <c r="C30" s="4" t="s">
        <v>6</v>
      </c>
      <c r="D30" s="26"/>
      <c r="E30" s="26"/>
      <c r="F30" s="26"/>
      <c r="G30" s="26"/>
      <c r="H30" s="27"/>
      <c r="I30" s="1" t="s">
        <v>27</v>
      </c>
      <c r="J30" s="1" t="s">
        <v>27</v>
      </c>
      <c r="K30" s="1" t="s">
        <v>27</v>
      </c>
      <c r="L30" s="26"/>
      <c r="M30" s="26"/>
      <c r="N30" s="26"/>
      <c r="O30" s="26"/>
      <c r="P30" s="27"/>
    </row>
    <row r="31" spans="1:28">
      <c r="A31" s="4" t="s">
        <v>6</v>
      </c>
      <c r="B31" s="1" t="s">
        <v>27</v>
      </c>
      <c r="C31" s="4" t="s">
        <v>6</v>
      </c>
      <c r="D31" s="26"/>
      <c r="E31" s="26"/>
      <c r="F31" s="26"/>
      <c r="G31" s="26"/>
      <c r="H31" s="27"/>
      <c r="I31" s="1" t="s">
        <v>27</v>
      </c>
      <c r="J31" s="1" t="s">
        <v>27</v>
      </c>
      <c r="K31" s="1" t="s">
        <v>27</v>
      </c>
      <c r="L31" s="26"/>
      <c r="M31" s="26"/>
      <c r="N31" s="26"/>
      <c r="O31" s="26"/>
      <c r="P31" s="27"/>
      <c r="Y31">
        <f>SUM(Y3:Y28)</f>
        <v>1077</v>
      </c>
    </row>
    <row r="32" spans="1:28">
      <c r="A32" s="4" t="s">
        <v>6</v>
      </c>
      <c r="B32" s="1" t="s">
        <v>27</v>
      </c>
      <c r="C32" s="17" t="s">
        <v>20</v>
      </c>
      <c r="D32" s="26"/>
      <c r="E32" s="26"/>
      <c r="F32" s="26"/>
      <c r="G32" s="26"/>
      <c r="H32" s="27"/>
      <c r="I32" s="1" t="s">
        <v>27</v>
      </c>
      <c r="J32" s="1" t="s">
        <v>27</v>
      </c>
      <c r="K32" s="1" t="s">
        <v>27</v>
      </c>
      <c r="L32" s="26"/>
      <c r="M32" s="26"/>
      <c r="N32" s="26"/>
      <c r="O32" s="26"/>
      <c r="P32" s="27"/>
      <c r="Q32" t="s">
        <v>57</v>
      </c>
      <c r="R32">
        <v>1</v>
      </c>
      <c r="S32" t="s">
        <v>59</v>
      </c>
    </row>
    <row r="33" spans="1:19">
      <c r="A33" s="4" t="s">
        <v>6</v>
      </c>
      <c r="B33" s="1" t="s">
        <v>27</v>
      </c>
      <c r="C33" s="3" t="s">
        <v>5</v>
      </c>
      <c r="D33" s="26"/>
      <c r="E33" s="26"/>
      <c r="F33" s="26"/>
      <c r="G33" s="26"/>
      <c r="H33" s="27"/>
      <c r="I33" s="1" t="s">
        <v>27</v>
      </c>
      <c r="J33" s="1" t="s">
        <v>27</v>
      </c>
      <c r="K33" s="1" t="s">
        <v>27</v>
      </c>
      <c r="L33" s="26"/>
      <c r="M33" s="26"/>
      <c r="N33" s="26"/>
      <c r="O33" s="26"/>
      <c r="P33" s="27"/>
      <c r="R33">
        <v>2</v>
      </c>
      <c r="S33" t="s">
        <v>60</v>
      </c>
    </row>
    <row r="34" spans="1:19">
      <c r="A34" s="17" t="s">
        <v>20</v>
      </c>
      <c r="B34" s="1" t="s">
        <v>27</v>
      </c>
      <c r="C34" s="3" t="s">
        <v>5</v>
      </c>
      <c r="D34" s="26"/>
      <c r="E34" s="26"/>
      <c r="F34" s="26"/>
      <c r="G34" s="26"/>
      <c r="H34" s="27"/>
      <c r="I34" s="28" t="s">
        <v>27</v>
      </c>
      <c r="J34" s="1" t="s">
        <v>27</v>
      </c>
      <c r="K34" s="1" t="s">
        <v>27</v>
      </c>
      <c r="L34" s="26"/>
      <c r="M34" s="26"/>
      <c r="N34" s="26"/>
      <c r="O34" s="26"/>
      <c r="P34" s="27"/>
      <c r="R34">
        <v>3</v>
      </c>
      <c r="S34" t="s">
        <v>58</v>
      </c>
    </row>
    <row r="35" spans="1:19">
      <c r="A35" s="9" t="s">
        <v>11</v>
      </c>
      <c r="B35" s="1" t="s">
        <v>27</v>
      </c>
      <c r="C35" s="9" t="s">
        <v>11</v>
      </c>
      <c r="D35" s="26"/>
      <c r="E35" s="26"/>
      <c r="F35" s="26"/>
      <c r="G35" s="26"/>
      <c r="H35" s="27"/>
      <c r="I35" s="28" t="s">
        <v>27</v>
      </c>
      <c r="J35" s="1" t="s">
        <v>27</v>
      </c>
      <c r="K35" s="1" t="s">
        <v>27</v>
      </c>
      <c r="L35" s="26"/>
      <c r="M35" s="26"/>
      <c r="N35" s="26"/>
      <c r="O35" s="26"/>
      <c r="P35" s="27"/>
      <c r="R35">
        <v>4</v>
      </c>
      <c r="S35" t="s">
        <v>61</v>
      </c>
    </row>
    <row r="36" spans="1:19">
      <c r="A36" s="3" t="s">
        <v>5</v>
      </c>
      <c r="B36" s="1" t="s">
        <v>27</v>
      </c>
      <c r="C36" s="3" t="s">
        <v>5</v>
      </c>
      <c r="D36" s="26"/>
      <c r="E36" s="26"/>
      <c r="F36" s="26"/>
      <c r="G36" s="26"/>
      <c r="H36" s="27"/>
      <c r="I36" s="28" t="s">
        <v>27</v>
      </c>
      <c r="J36" s="1" t="s">
        <v>27</v>
      </c>
      <c r="K36" s="1" t="s">
        <v>27</v>
      </c>
      <c r="L36" s="26"/>
      <c r="M36" s="26"/>
      <c r="N36" s="26"/>
      <c r="O36" s="26"/>
      <c r="P36" s="27"/>
      <c r="S36" t="s">
        <v>62</v>
      </c>
    </row>
    <row r="37" spans="1:19">
      <c r="A37" s="3" t="s">
        <v>5</v>
      </c>
      <c r="B37" s="1" t="s">
        <v>27</v>
      </c>
      <c r="C37" s="3" t="s">
        <v>5</v>
      </c>
      <c r="D37" s="26"/>
      <c r="E37" s="26"/>
      <c r="F37" s="26"/>
      <c r="G37" s="26"/>
      <c r="H37" s="27"/>
      <c r="I37" s="28" t="s">
        <v>27</v>
      </c>
      <c r="J37" s="1" t="s">
        <v>27</v>
      </c>
      <c r="K37" s="1" t="s">
        <v>27</v>
      </c>
      <c r="L37" s="26"/>
      <c r="M37" s="26"/>
      <c r="N37" s="26"/>
      <c r="O37" s="26"/>
      <c r="P37" s="27"/>
      <c r="R37">
        <v>5</v>
      </c>
      <c r="S37" t="s">
        <v>63</v>
      </c>
    </row>
    <row r="38" spans="1:19">
      <c r="A38" s="3" t="s">
        <v>5</v>
      </c>
      <c r="B38" s="1" t="s">
        <v>27</v>
      </c>
      <c r="C38" s="3" t="s">
        <v>5</v>
      </c>
      <c r="D38" s="26"/>
      <c r="E38" s="26"/>
      <c r="F38" s="26"/>
      <c r="G38" s="26"/>
      <c r="H38" s="27"/>
      <c r="I38" s="28" t="s">
        <v>27</v>
      </c>
      <c r="J38" s="1" t="s">
        <v>27</v>
      </c>
      <c r="K38" s="1" t="s">
        <v>27</v>
      </c>
      <c r="L38" s="26"/>
      <c r="M38" s="26"/>
      <c r="N38" s="26"/>
      <c r="O38" s="26"/>
      <c r="P38" s="27"/>
      <c r="R38">
        <v>6</v>
      </c>
      <c r="S38" t="s">
        <v>64</v>
      </c>
    </row>
    <row r="39" spans="1:19">
      <c r="A39" s="4" t="s">
        <v>6</v>
      </c>
      <c r="B39" s="1" t="s">
        <v>27</v>
      </c>
      <c r="C39" s="3" t="s">
        <v>5</v>
      </c>
      <c r="D39" s="26"/>
      <c r="E39" s="26"/>
      <c r="F39" s="26"/>
      <c r="G39" s="26"/>
      <c r="H39" s="27"/>
      <c r="I39" s="28" t="s">
        <v>27</v>
      </c>
      <c r="J39" s="1" t="s">
        <v>27</v>
      </c>
      <c r="K39" s="1" t="s">
        <v>27</v>
      </c>
      <c r="L39" s="26"/>
      <c r="M39" s="26"/>
      <c r="N39" s="26"/>
      <c r="O39" s="26"/>
      <c r="P39" s="27"/>
      <c r="R39">
        <v>7</v>
      </c>
      <c r="S39" t="s">
        <v>65</v>
      </c>
    </row>
    <row r="40" spans="1:19">
      <c r="A40" s="4" t="s">
        <v>6</v>
      </c>
      <c r="B40" s="1" t="s">
        <v>27</v>
      </c>
      <c r="C40" s="3" t="s">
        <v>5</v>
      </c>
      <c r="D40" s="26"/>
      <c r="E40" s="26"/>
      <c r="F40" s="26"/>
      <c r="G40" s="26"/>
      <c r="H40" s="27"/>
      <c r="I40" s="28" t="s">
        <v>27</v>
      </c>
      <c r="J40" s="1" t="s">
        <v>27</v>
      </c>
      <c r="K40" s="1" t="s">
        <v>27</v>
      </c>
      <c r="L40" s="26"/>
      <c r="M40" s="26"/>
      <c r="N40" s="26"/>
      <c r="O40" s="26"/>
      <c r="P40" s="27"/>
    </row>
    <row r="41" spans="1:19">
      <c r="A41" s="4" t="s">
        <v>6</v>
      </c>
      <c r="B41" s="1" t="s">
        <v>27</v>
      </c>
      <c r="C41" s="9" t="s">
        <v>11</v>
      </c>
      <c r="D41" s="26"/>
      <c r="E41" s="26"/>
      <c r="F41" s="26"/>
      <c r="G41" s="26"/>
      <c r="H41" s="27"/>
      <c r="I41" s="28" t="s">
        <v>27</v>
      </c>
      <c r="J41" s="1" t="s">
        <v>27</v>
      </c>
      <c r="K41" s="1" t="s">
        <v>27</v>
      </c>
      <c r="L41" s="26"/>
      <c r="M41" s="26"/>
      <c r="N41" s="26"/>
      <c r="O41" s="26"/>
      <c r="P41" s="27"/>
    </row>
    <row r="42" spans="1:19">
      <c r="A42" s="17" t="s">
        <v>19</v>
      </c>
      <c r="B42" s="1" t="s">
        <v>27</v>
      </c>
      <c r="C42" s="4" t="s">
        <v>6</v>
      </c>
      <c r="D42" s="26"/>
      <c r="E42" s="26"/>
      <c r="F42" s="26"/>
      <c r="G42" s="26"/>
      <c r="H42" s="27"/>
      <c r="I42" s="28" t="s">
        <v>27</v>
      </c>
      <c r="J42" s="1" t="s">
        <v>27</v>
      </c>
      <c r="K42" s="1" t="s">
        <v>27</v>
      </c>
      <c r="L42" s="26"/>
      <c r="M42" s="26"/>
      <c r="N42" s="26"/>
      <c r="O42" s="26"/>
      <c r="P42" s="27"/>
    </row>
    <row r="43" spans="1:19">
      <c r="A43" s="4" t="s">
        <v>6</v>
      </c>
      <c r="B43" s="1" t="s">
        <v>27</v>
      </c>
      <c r="C43" s="17" t="s">
        <v>19</v>
      </c>
      <c r="D43" s="26"/>
      <c r="E43" s="26"/>
      <c r="F43" s="26"/>
      <c r="G43" s="26"/>
      <c r="H43" s="27"/>
      <c r="I43" s="28" t="s">
        <v>27</v>
      </c>
      <c r="J43" s="1" t="s">
        <v>27</v>
      </c>
      <c r="K43" s="1" t="s">
        <v>27</v>
      </c>
      <c r="L43" s="26"/>
      <c r="M43" s="26"/>
      <c r="N43" s="26"/>
      <c r="O43" s="26"/>
      <c r="P43" s="27"/>
    </row>
    <row r="44" spans="1:19">
      <c r="A44" s="16" t="s">
        <v>18</v>
      </c>
      <c r="B44" s="1" t="s">
        <v>27</v>
      </c>
      <c r="C44" s="4" t="s">
        <v>6</v>
      </c>
      <c r="D44" s="26"/>
      <c r="E44" s="26"/>
      <c r="F44" s="26"/>
      <c r="G44" s="26"/>
      <c r="H44" s="27"/>
      <c r="I44" s="28" t="s">
        <v>27</v>
      </c>
      <c r="J44" s="1" t="s">
        <v>27</v>
      </c>
      <c r="K44" s="1" t="s">
        <v>27</v>
      </c>
      <c r="L44" s="26"/>
      <c r="M44" s="26"/>
      <c r="N44" s="26"/>
      <c r="O44" s="26"/>
      <c r="P44" s="27"/>
    </row>
    <row r="45" spans="1:19">
      <c r="A45" s="3" t="s">
        <v>5</v>
      </c>
      <c r="B45" s="1" t="s">
        <v>27</v>
      </c>
      <c r="C45" s="4" t="s">
        <v>6</v>
      </c>
      <c r="D45" s="26"/>
      <c r="E45" s="26"/>
      <c r="F45" s="26"/>
      <c r="G45" s="26"/>
      <c r="H45" s="27"/>
      <c r="I45" s="28" t="s">
        <v>27</v>
      </c>
      <c r="J45" s="1" t="s">
        <v>27</v>
      </c>
      <c r="K45" s="1" t="s">
        <v>27</v>
      </c>
      <c r="L45" s="26"/>
      <c r="M45" s="26"/>
      <c r="N45" s="26"/>
      <c r="O45" s="26"/>
      <c r="P45" s="27"/>
    </row>
    <row r="46" spans="1:19">
      <c r="A46" s="9" t="s">
        <v>11</v>
      </c>
      <c r="B46" s="1" t="s">
        <v>27</v>
      </c>
      <c r="C46" s="4" t="s">
        <v>6</v>
      </c>
      <c r="D46" s="26"/>
      <c r="E46" s="26"/>
      <c r="F46" s="26"/>
      <c r="G46" s="26"/>
      <c r="H46" s="27"/>
      <c r="I46" s="28" t="s">
        <v>27</v>
      </c>
      <c r="J46" s="1" t="s">
        <v>27</v>
      </c>
      <c r="K46" s="1" t="s">
        <v>27</v>
      </c>
      <c r="L46" s="26"/>
      <c r="M46" s="26"/>
      <c r="N46" s="26"/>
      <c r="O46" s="26"/>
      <c r="P46" s="27"/>
    </row>
    <row r="47" spans="1:19">
      <c r="A47" s="3" t="s">
        <v>5</v>
      </c>
      <c r="B47" s="1" t="s">
        <v>27</v>
      </c>
      <c r="C47" s="4" t="s">
        <v>6</v>
      </c>
      <c r="D47" s="26"/>
      <c r="E47" s="26"/>
      <c r="F47" s="26"/>
      <c r="G47" s="26"/>
      <c r="H47" s="27"/>
      <c r="I47" s="28" t="s">
        <v>27</v>
      </c>
      <c r="J47" s="1" t="s">
        <v>27</v>
      </c>
      <c r="K47" s="1" t="s">
        <v>27</v>
      </c>
      <c r="L47" s="26"/>
      <c r="M47" s="26"/>
      <c r="N47" s="26"/>
      <c r="O47" s="26"/>
      <c r="P47" s="27"/>
    </row>
    <row r="48" spans="1:19">
      <c r="A48" s="4" t="s">
        <v>6</v>
      </c>
      <c r="B48" s="1" t="s">
        <v>27</v>
      </c>
      <c r="C48" s="16" t="s">
        <v>18</v>
      </c>
      <c r="D48" s="26"/>
      <c r="E48" s="26"/>
      <c r="F48" s="26"/>
      <c r="G48" s="26"/>
      <c r="H48" s="27"/>
      <c r="I48" s="28" t="s">
        <v>27</v>
      </c>
      <c r="J48" s="1" t="s">
        <v>27</v>
      </c>
      <c r="K48" s="1" t="s">
        <v>27</v>
      </c>
      <c r="L48" s="26"/>
      <c r="M48" s="26"/>
      <c r="N48" s="26"/>
      <c r="O48" s="26"/>
      <c r="P48" s="27"/>
    </row>
    <row r="49" spans="1:16">
      <c r="A49" s="4" t="s">
        <v>6</v>
      </c>
      <c r="B49" s="1" t="s">
        <v>27</v>
      </c>
      <c r="C49" s="4" t="s">
        <v>6</v>
      </c>
      <c r="D49" s="26"/>
      <c r="E49" s="26"/>
      <c r="F49" s="26"/>
      <c r="G49" s="26"/>
      <c r="H49" s="27"/>
      <c r="I49" s="28" t="s">
        <v>27</v>
      </c>
      <c r="J49" s="1" t="s">
        <v>27</v>
      </c>
      <c r="K49" s="1" t="s">
        <v>27</v>
      </c>
      <c r="L49" s="26"/>
      <c r="M49" s="26"/>
      <c r="N49" s="26"/>
      <c r="O49" s="26"/>
      <c r="P49" s="27"/>
    </row>
    <row r="50" spans="1:16">
      <c r="A50" s="4" t="s">
        <v>6</v>
      </c>
      <c r="B50" s="1" t="s">
        <v>27</v>
      </c>
      <c r="C50" s="4" t="s">
        <v>6</v>
      </c>
      <c r="D50" s="26"/>
      <c r="E50" s="26"/>
      <c r="F50" s="26"/>
      <c r="G50" s="26"/>
      <c r="H50" s="27"/>
      <c r="I50" s="28" t="s">
        <v>27</v>
      </c>
      <c r="J50" s="1" t="s">
        <v>27</v>
      </c>
      <c r="K50" s="1" t="s">
        <v>27</v>
      </c>
      <c r="L50" s="26"/>
      <c r="M50" s="26"/>
      <c r="N50" s="26"/>
      <c r="O50" s="26"/>
      <c r="P50" s="27"/>
    </row>
    <row r="51" spans="1:16">
      <c r="A51" s="4" t="s">
        <v>6</v>
      </c>
      <c r="B51" s="1" t="s">
        <v>27</v>
      </c>
      <c r="C51" s="17" t="s">
        <v>20</v>
      </c>
      <c r="D51" s="26"/>
      <c r="E51" s="26"/>
      <c r="F51" s="26"/>
      <c r="G51" s="26"/>
      <c r="H51" s="27"/>
      <c r="I51" s="28" t="s">
        <v>27</v>
      </c>
      <c r="J51" s="1" t="s">
        <v>27</v>
      </c>
      <c r="K51" s="1" t="s">
        <v>27</v>
      </c>
      <c r="L51" s="26"/>
      <c r="M51" s="26"/>
      <c r="N51" s="26"/>
      <c r="O51" s="26"/>
      <c r="P51" s="27"/>
    </row>
    <row r="52" spans="1:16">
      <c r="A52" s="4" t="s">
        <v>6</v>
      </c>
      <c r="B52" s="1" t="s">
        <v>27</v>
      </c>
      <c r="C52" s="1" t="s">
        <v>27</v>
      </c>
      <c r="D52" s="26"/>
      <c r="E52" s="26"/>
      <c r="F52" s="26"/>
      <c r="G52" s="26"/>
      <c r="H52" s="27"/>
      <c r="I52" s="28" t="s">
        <v>27</v>
      </c>
      <c r="J52" s="1" t="s">
        <v>27</v>
      </c>
      <c r="K52" s="1" t="s">
        <v>27</v>
      </c>
      <c r="L52" s="26"/>
      <c r="M52" s="26"/>
      <c r="N52" s="26"/>
      <c r="O52" s="26"/>
      <c r="P52" s="27"/>
    </row>
    <row r="53" spans="1:16">
      <c r="A53" s="17" t="s">
        <v>20</v>
      </c>
      <c r="B53" s="1" t="s">
        <v>27</v>
      </c>
      <c r="C53" s="1" t="s">
        <v>27</v>
      </c>
      <c r="D53" s="26"/>
      <c r="E53" s="26"/>
      <c r="F53" s="26"/>
      <c r="G53" s="26"/>
      <c r="H53" s="27"/>
      <c r="I53" s="28" t="s">
        <v>27</v>
      </c>
      <c r="J53" s="1" t="s">
        <v>27</v>
      </c>
      <c r="K53" s="1" t="s">
        <v>27</v>
      </c>
      <c r="L53" s="26"/>
      <c r="M53" s="26"/>
      <c r="N53" s="26"/>
      <c r="O53" s="26"/>
      <c r="P53" s="27"/>
    </row>
    <row r="54" spans="1:16">
      <c r="A54" s="1" t="s">
        <v>27</v>
      </c>
      <c r="B54" s="1" t="s">
        <v>27</v>
      </c>
      <c r="C54" s="1" t="s">
        <v>27</v>
      </c>
      <c r="D54" s="26"/>
      <c r="E54" s="26"/>
      <c r="F54" s="26"/>
      <c r="G54" s="26"/>
      <c r="H54" s="27"/>
      <c r="I54" s="28" t="s">
        <v>27</v>
      </c>
      <c r="J54" s="1" t="s">
        <v>27</v>
      </c>
      <c r="K54" s="1" t="s">
        <v>27</v>
      </c>
      <c r="L54" s="26"/>
      <c r="M54" s="26"/>
      <c r="N54" s="26"/>
      <c r="O54" s="26"/>
      <c r="P54" s="27"/>
    </row>
    <row r="55" spans="1:16">
      <c r="A55" s="1" t="s">
        <v>27</v>
      </c>
      <c r="B55" s="1" t="s">
        <v>27</v>
      </c>
      <c r="C55" s="1" t="s">
        <v>27</v>
      </c>
      <c r="D55" s="26"/>
      <c r="E55" s="26"/>
      <c r="F55" s="26"/>
      <c r="G55" s="26"/>
      <c r="H55" s="27"/>
      <c r="I55" s="28" t="s">
        <v>27</v>
      </c>
      <c r="J55" s="1" t="s">
        <v>27</v>
      </c>
      <c r="K55" s="1" t="s">
        <v>27</v>
      </c>
      <c r="L55" s="26"/>
      <c r="M55" s="26"/>
      <c r="N55" s="26"/>
      <c r="O55" s="26"/>
      <c r="P55" s="27"/>
    </row>
    <row r="56" spans="1:16">
      <c r="A56" s="28" t="s">
        <v>27</v>
      </c>
      <c r="B56" s="1" t="s">
        <v>27</v>
      </c>
      <c r="C56" s="1" t="s">
        <v>27</v>
      </c>
      <c r="D56" s="26"/>
      <c r="E56" s="26"/>
      <c r="F56" s="26"/>
      <c r="G56" s="26"/>
      <c r="H56" s="27"/>
      <c r="I56" s="28" t="s">
        <v>27</v>
      </c>
      <c r="J56" s="1" t="s">
        <v>27</v>
      </c>
      <c r="K56" s="1" t="s">
        <v>27</v>
      </c>
      <c r="L56" s="26"/>
      <c r="M56" s="26"/>
      <c r="N56" s="26"/>
      <c r="O56" s="26"/>
      <c r="P56" s="27"/>
    </row>
    <row r="57" spans="1:16">
      <c r="A57" s="28" t="s">
        <v>27</v>
      </c>
      <c r="B57" s="1" t="s">
        <v>27</v>
      </c>
      <c r="C57" s="1" t="s">
        <v>27</v>
      </c>
      <c r="D57" s="26"/>
      <c r="E57" s="26"/>
      <c r="F57" s="26"/>
      <c r="G57" s="26"/>
      <c r="H57" s="27"/>
      <c r="I57" s="28" t="s">
        <v>27</v>
      </c>
      <c r="J57" s="1" t="s">
        <v>27</v>
      </c>
      <c r="K57" s="1" t="s">
        <v>27</v>
      </c>
      <c r="L57" s="26"/>
      <c r="M57" s="26"/>
      <c r="N57" s="26"/>
      <c r="O57" s="26"/>
      <c r="P57" s="27"/>
    </row>
    <row r="58" spans="1:16">
      <c r="A58" s="28" t="s">
        <v>27</v>
      </c>
      <c r="B58" s="1" t="s">
        <v>27</v>
      </c>
      <c r="C58" s="1" t="s">
        <v>27</v>
      </c>
      <c r="D58" s="26"/>
      <c r="E58" s="26"/>
      <c r="F58" s="26"/>
      <c r="G58" s="26"/>
      <c r="H58" s="27"/>
      <c r="I58" s="28" t="s">
        <v>27</v>
      </c>
      <c r="J58" s="1" t="s">
        <v>27</v>
      </c>
      <c r="K58" s="1" t="s">
        <v>27</v>
      </c>
      <c r="L58" s="26"/>
      <c r="M58" s="26"/>
      <c r="N58" s="26"/>
      <c r="O58" s="26"/>
      <c r="P58" s="27"/>
    </row>
    <row r="59" spans="1:16">
      <c r="A59" s="28" t="s">
        <v>27</v>
      </c>
      <c r="B59" s="1" t="s">
        <v>27</v>
      </c>
      <c r="C59" s="1" t="s">
        <v>27</v>
      </c>
      <c r="D59" s="26"/>
      <c r="E59" s="26"/>
      <c r="F59" s="26"/>
      <c r="G59" s="26"/>
      <c r="H59" s="27"/>
      <c r="I59" s="28" t="s">
        <v>27</v>
      </c>
      <c r="J59" s="1" t="s">
        <v>27</v>
      </c>
      <c r="K59" s="1" t="s">
        <v>27</v>
      </c>
      <c r="L59" s="26"/>
      <c r="M59" s="26"/>
      <c r="N59" s="26"/>
      <c r="O59" s="26"/>
      <c r="P59" s="27"/>
    </row>
    <row r="60" spans="1:16">
      <c r="A60" s="28" t="s">
        <v>27</v>
      </c>
      <c r="B60" s="1" t="s">
        <v>27</v>
      </c>
      <c r="C60" s="1" t="s">
        <v>27</v>
      </c>
      <c r="D60" s="26"/>
      <c r="E60" s="26"/>
      <c r="F60" s="26"/>
      <c r="G60" s="26"/>
      <c r="H60" s="27"/>
      <c r="I60" s="28" t="s">
        <v>27</v>
      </c>
      <c r="J60" s="1" t="s">
        <v>27</v>
      </c>
      <c r="K60" s="1" t="s">
        <v>27</v>
      </c>
      <c r="L60" s="26"/>
      <c r="M60" s="26"/>
      <c r="N60" s="26"/>
      <c r="O60" s="26"/>
      <c r="P60" s="27"/>
    </row>
    <row r="61" spans="1:16">
      <c r="A61" s="28" t="s">
        <v>27</v>
      </c>
      <c r="B61" s="1" t="s">
        <v>27</v>
      </c>
      <c r="C61" s="1" t="s">
        <v>27</v>
      </c>
      <c r="D61" s="26"/>
      <c r="E61" s="26"/>
      <c r="F61" s="26"/>
      <c r="G61" s="26"/>
      <c r="H61" s="27"/>
      <c r="I61" s="28" t="s">
        <v>27</v>
      </c>
      <c r="J61" s="1" t="s">
        <v>27</v>
      </c>
      <c r="K61" s="1" t="s">
        <v>27</v>
      </c>
      <c r="L61" s="26"/>
      <c r="M61" s="26"/>
      <c r="N61" s="26"/>
      <c r="O61" s="26"/>
      <c r="P61" s="27"/>
    </row>
    <row r="62" spans="1:16">
      <c r="A62" s="28" t="s">
        <v>27</v>
      </c>
      <c r="B62" s="1" t="s">
        <v>27</v>
      </c>
      <c r="C62" s="1" t="s">
        <v>27</v>
      </c>
      <c r="D62" s="26"/>
      <c r="E62" s="26"/>
      <c r="F62" s="26"/>
      <c r="G62" s="26"/>
      <c r="H62" s="27"/>
      <c r="I62" s="28" t="s">
        <v>27</v>
      </c>
      <c r="J62" s="1" t="s">
        <v>27</v>
      </c>
      <c r="K62" s="1" t="s">
        <v>27</v>
      </c>
      <c r="L62" s="26"/>
      <c r="M62" s="26"/>
      <c r="N62" s="26"/>
      <c r="O62" s="26"/>
      <c r="P62" s="27"/>
    </row>
    <row r="63" spans="1:16">
      <c r="A63" s="28" t="s">
        <v>27</v>
      </c>
      <c r="B63" s="1" t="s">
        <v>27</v>
      </c>
      <c r="C63" s="1" t="s">
        <v>27</v>
      </c>
      <c r="D63" s="26"/>
      <c r="E63" s="26"/>
      <c r="F63" s="26"/>
      <c r="G63" s="26"/>
      <c r="H63" s="27"/>
      <c r="I63" s="28" t="s">
        <v>27</v>
      </c>
      <c r="J63" s="1" t="s">
        <v>27</v>
      </c>
      <c r="K63" s="1" t="s">
        <v>27</v>
      </c>
      <c r="L63" s="26"/>
      <c r="M63" s="26"/>
      <c r="N63" s="26"/>
      <c r="O63" s="26"/>
      <c r="P63" s="27"/>
    </row>
    <row r="64" spans="1:16">
      <c r="A64" s="28" t="s">
        <v>27</v>
      </c>
      <c r="B64" s="1" t="s">
        <v>27</v>
      </c>
      <c r="C64" s="1" t="s">
        <v>27</v>
      </c>
      <c r="D64" s="26"/>
      <c r="E64" s="26"/>
      <c r="F64" s="26"/>
      <c r="G64" s="26"/>
      <c r="H64" s="27"/>
      <c r="I64" s="28" t="s">
        <v>27</v>
      </c>
      <c r="J64" s="1" t="s">
        <v>27</v>
      </c>
      <c r="K64" s="1" t="s">
        <v>27</v>
      </c>
      <c r="L64" s="26"/>
      <c r="M64" s="26"/>
      <c r="N64" s="26"/>
      <c r="O64" s="26"/>
      <c r="P64" s="27"/>
    </row>
    <row r="65" spans="1:16">
      <c r="A65" s="28" t="s">
        <v>27</v>
      </c>
      <c r="B65" s="1" t="s">
        <v>27</v>
      </c>
      <c r="C65" s="1" t="s">
        <v>27</v>
      </c>
      <c r="D65" s="26"/>
      <c r="E65" s="26"/>
      <c r="F65" s="26"/>
      <c r="G65" s="26"/>
      <c r="H65" s="27"/>
      <c r="I65" s="28" t="s">
        <v>27</v>
      </c>
      <c r="J65" s="1" t="s">
        <v>27</v>
      </c>
      <c r="K65" s="1" t="s">
        <v>27</v>
      </c>
      <c r="L65" s="26"/>
      <c r="M65" s="26"/>
      <c r="N65" s="26"/>
      <c r="O65" s="26"/>
      <c r="P65" s="27"/>
    </row>
    <row r="66" spans="1:16">
      <c r="A66" s="28" t="s">
        <v>27</v>
      </c>
      <c r="B66" s="1" t="s">
        <v>27</v>
      </c>
      <c r="C66" s="1" t="s">
        <v>27</v>
      </c>
      <c r="D66" s="26"/>
      <c r="E66" s="26"/>
      <c r="F66" s="26"/>
      <c r="G66" s="26"/>
      <c r="H66" s="27"/>
      <c r="I66" s="28" t="s">
        <v>27</v>
      </c>
      <c r="J66" s="1" t="s">
        <v>27</v>
      </c>
      <c r="K66" s="1" t="s">
        <v>27</v>
      </c>
      <c r="L66" s="26"/>
      <c r="M66" s="26"/>
      <c r="N66" s="26"/>
      <c r="O66" s="26"/>
      <c r="P66" s="27"/>
    </row>
    <row r="67" spans="1:16">
      <c r="A67" s="28" t="s">
        <v>27</v>
      </c>
      <c r="B67" s="1" t="s">
        <v>27</v>
      </c>
      <c r="C67" s="1" t="s">
        <v>27</v>
      </c>
      <c r="D67" s="26"/>
      <c r="E67" s="26"/>
      <c r="F67" s="26"/>
      <c r="G67" s="26"/>
      <c r="H67" s="27"/>
      <c r="I67" s="28" t="s">
        <v>27</v>
      </c>
      <c r="J67" s="1" t="s">
        <v>27</v>
      </c>
      <c r="K67" s="1" t="s">
        <v>27</v>
      </c>
      <c r="L67" s="26"/>
      <c r="M67" s="26"/>
      <c r="N67" s="26"/>
      <c r="O67" s="26"/>
      <c r="P67" s="27"/>
    </row>
    <row r="68" spans="1:16">
      <c r="A68" s="28" t="s">
        <v>27</v>
      </c>
      <c r="B68" s="1" t="s">
        <v>27</v>
      </c>
      <c r="C68" s="1" t="s">
        <v>27</v>
      </c>
      <c r="D68" s="26"/>
      <c r="E68" s="26"/>
      <c r="F68" s="26"/>
      <c r="G68" s="26"/>
      <c r="H68" s="27"/>
      <c r="I68" s="28" t="s">
        <v>27</v>
      </c>
      <c r="J68" s="1" t="s">
        <v>27</v>
      </c>
      <c r="K68" s="1" t="s">
        <v>27</v>
      </c>
      <c r="L68" s="26"/>
      <c r="M68" s="26"/>
      <c r="N68" s="26"/>
      <c r="O68" s="26"/>
      <c r="P68" s="27"/>
    </row>
    <row r="69" spans="1:16">
      <c r="A69" s="28" t="s">
        <v>27</v>
      </c>
      <c r="B69" s="1" t="s">
        <v>27</v>
      </c>
      <c r="C69" s="1" t="s">
        <v>27</v>
      </c>
      <c r="D69" s="26"/>
      <c r="E69" s="26"/>
      <c r="F69" s="26"/>
      <c r="G69" s="26"/>
      <c r="H69" s="27"/>
      <c r="I69" s="28" t="s">
        <v>27</v>
      </c>
      <c r="J69" s="1" t="s">
        <v>27</v>
      </c>
      <c r="K69" s="1" t="s">
        <v>27</v>
      </c>
      <c r="L69" s="26"/>
      <c r="M69" s="26"/>
      <c r="N69" s="26"/>
      <c r="O69" s="26"/>
      <c r="P69" s="27"/>
    </row>
    <row r="70" spans="1:16">
      <c r="A70" s="28" t="s">
        <v>27</v>
      </c>
      <c r="B70" s="1" t="s">
        <v>27</v>
      </c>
      <c r="C70" s="1" t="s">
        <v>27</v>
      </c>
      <c r="D70" s="26"/>
      <c r="E70" s="26"/>
      <c r="F70" s="26"/>
      <c r="G70" s="26"/>
      <c r="H70" s="27"/>
      <c r="I70" s="28" t="s">
        <v>27</v>
      </c>
      <c r="J70" s="1" t="s">
        <v>27</v>
      </c>
      <c r="K70" s="1" t="s">
        <v>27</v>
      </c>
      <c r="L70" s="26"/>
      <c r="M70" s="26"/>
      <c r="N70" s="26"/>
      <c r="O70" s="26"/>
      <c r="P70" s="27"/>
    </row>
    <row r="71" spans="1:16">
      <c r="A71" s="28" t="s">
        <v>27</v>
      </c>
      <c r="B71" s="1" t="s">
        <v>27</v>
      </c>
      <c r="C71" s="1" t="s">
        <v>27</v>
      </c>
      <c r="D71" s="26"/>
      <c r="E71" s="26"/>
      <c r="F71" s="26"/>
      <c r="G71" s="26"/>
      <c r="H71" s="27"/>
      <c r="I71" s="28" t="s">
        <v>27</v>
      </c>
      <c r="J71" s="1" t="s">
        <v>27</v>
      </c>
      <c r="K71" s="1" t="s">
        <v>27</v>
      </c>
      <c r="L71" s="26"/>
      <c r="M71" s="26"/>
      <c r="N71" s="26"/>
      <c r="O71" s="26"/>
      <c r="P71" s="27"/>
    </row>
    <row r="72" spans="1:16">
      <c r="A72" s="28" t="s">
        <v>27</v>
      </c>
      <c r="B72" s="1" t="s">
        <v>27</v>
      </c>
      <c r="C72" s="1" t="s">
        <v>27</v>
      </c>
      <c r="D72" s="26"/>
      <c r="E72" s="26"/>
      <c r="F72" s="26"/>
      <c r="G72" s="26"/>
      <c r="H72" s="27"/>
      <c r="I72" s="28" t="s">
        <v>27</v>
      </c>
      <c r="J72" s="1" t="s">
        <v>27</v>
      </c>
      <c r="K72" s="1" t="s">
        <v>27</v>
      </c>
      <c r="L72" s="26"/>
      <c r="M72" s="26"/>
      <c r="N72" s="26"/>
      <c r="O72" s="26"/>
      <c r="P72" s="27"/>
    </row>
    <row r="73" spans="1:16">
      <c r="A73" s="28" t="s">
        <v>27</v>
      </c>
      <c r="B73" s="1" t="s">
        <v>27</v>
      </c>
      <c r="C73" s="1" t="s">
        <v>27</v>
      </c>
      <c r="D73" s="26"/>
      <c r="E73" s="26"/>
      <c r="F73" s="26"/>
      <c r="G73" s="26"/>
      <c r="H73" s="27"/>
      <c r="I73" s="28" t="s">
        <v>27</v>
      </c>
      <c r="J73" s="1" t="s">
        <v>27</v>
      </c>
      <c r="K73" s="1" t="s">
        <v>27</v>
      </c>
      <c r="L73" s="26"/>
      <c r="M73" s="26"/>
      <c r="N73" s="26"/>
      <c r="O73" s="26"/>
      <c r="P73" s="27"/>
    </row>
    <row r="74" spans="1:16">
      <c r="A74" s="28" t="s">
        <v>27</v>
      </c>
      <c r="B74" s="1" t="s">
        <v>27</v>
      </c>
      <c r="C74" s="1" t="s">
        <v>27</v>
      </c>
      <c r="D74" s="26"/>
      <c r="E74" s="26"/>
      <c r="F74" s="26"/>
      <c r="G74" s="26"/>
      <c r="H74" s="27"/>
      <c r="I74" s="28" t="s">
        <v>27</v>
      </c>
      <c r="J74" s="1" t="s">
        <v>27</v>
      </c>
      <c r="K74" s="1" t="s">
        <v>27</v>
      </c>
      <c r="L74" s="26"/>
      <c r="M74" s="26"/>
      <c r="N74" s="26"/>
      <c r="O74" s="26"/>
      <c r="P74" s="27"/>
    </row>
    <row r="75" spans="1:16">
      <c r="A75" s="28" t="s">
        <v>27</v>
      </c>
      <c r="B75" s="1" t="s">
        <v>27</v>
      </c>
      <c r="C75" s="1" t="s">
        <v>27</v>
      </c>
      <c r="D75" s="26"/>
      <c r="E75" s="26"/>
      <c r="F75" s="26"/>
      <c r="G75" s="26"/>
      <c r="H75" s="27"/>
      <c r="I75" s="28" t="s">
        <v>27</v>
      </c>
      <c r="J75" s="1" t="s">
        <v>27</v>
      </c>
      <c r="K75" s="1" t="s">
        <v>27</v>
      </c>
      <c r="L75" s="26"/>
      <c r="M75" s="26"/>
      <c r="N75" s="26"/>
      <c r="O75" s="26"/>
      <c r="P75" s="27"/>
    </row>
    <row r="76" spans="1:16">
      <c r="A76" s="28" t="s">
        <v>27</v>
      </c>
      <c r="B76" s="1" t="s">
        <v>27</v>
      </c>
      <c r="C76" s="1" t="s">
        <v>27</v>
      </c>
      <c r="D76" s="26"/>
      <c r="E76" s="26"/>
      <c r="F76" s="26"/>
      <c r="G76" s="26"/>
      <c r="H76" s="27"/>
      <c r="I76" s="28" t="s">
        <v>27</v>
      </c>
      <c r="J76" s="1" t="s">
        <v>27</v>
      </c>
      <c r="K76" s="1" t="s">
        <v>27</v>
      </c>
      <c r="L76" s="26"/>
      <c r="M76" s="26"/>
      <c r="N76" s="26"/>
      <c r="O76" s="26"/>
      <c r="P76" s="27"/>
    </row>
    <row r="77" spans="1:16">
      <c r="A77" s="28" t="s">
        <v>27</v>
      </c>
      <c r="B77" s="1" t="s">
        <v>27</v>
      </c>
      <c r="C77" s="1" t="s">
        <v>27</v>
      </c>
      <c r="D77" s="26"/>
      <c r="E77" s="26"/>
      <c r="F77" s="26"/>
      <c r="G77" s="26"/>
      <c r="H77" s="27"/>
      <c r="I77" s="28" t="s">
        <v>27</v>
      </c>
      <c r="J77" s="1" t="s">
        <v>27</v>
      </c>
      <c r="K77" s="1" t="s">
        <v>27</v>
      </c>
      <c r="L77" s="26"/>
      <c r="M77" s="26"/>
      <c r="N77" s="26"/>
      <c r="O77" s="26"/>
      <c r="P77" s="27"/>
    </row>
    <row r="78" spans="1:16">
      <c r="A78" s="28" t="s">
        <v>27</v>
      </c>
      <c r="B78" s="1" t="s">
        <v>27</v>
      </c>
      <c r="C78" s="1" t="s">
        <v>27</v>
      </c>
      <c r="D78" s="26"/>
      <c r="E78" s="26"/>
      <c r="F78" s="26"/>
      <c r="G78" s="26"/>
      <c r="H78" s="27"/>
      <c r="I78" s="28" t="s">
        <v>27</v>
      </c>
      <c r="J78" s="1" t="s">
        <v>27</v>
      </c>
      <c r="K78" s="1" t="s">
        <v>27</v>
      </c>
      <c r="L78" s="26"/>
      <c r="M78" s="26"/>
      <c r="N78" s="26"/>
      <c r="O78" s="26"/>
      <c r="P78" s="27"/>
    </row>
    <row r="79" spans="1:16">
      <c r="A79" s="28" t="s">
        <v>27</v>
      </c>
      <c r="B79" s="1" t="s">
        <v>27</v>
      </c>
      <c r="C79" s="1" t="s">
        <v>27</v>
      </c>
      <c r="D79" s="26"/>
      <c r="E79" s="26"/>
      <c r="F79" s="26"/>
      <c r="G79" s="26"/>
      <c r="H79" s="27"/>
      <c r="I79" s="28" t="s">
        <v>27</v>
      </c>
      <c r="J79" s="1" t="s">
        <v>27</v>
      </c>
      <c r="K79" s="1" t="s">
        <v>27</v>
      </c>
      <c r="L79" s="26"/>
      <c r="M79" s="26"/>
      <c r="N79" s="26"/>
      <c r="O79" s="26"/>
      <c r="P79" s="27"/>
    </row>
    <row r="80" spans="1:16">
      <c r="A80" s="28" t="s">
        <v>27</v>
      </c>
      <c r="B80" s="1" t="s">
        <v>27</v>
      </c>
      <c r="C80" s="1" t="s">
        <v>27</v>
      </c>
      <c r="D80" s="26"/>
      <c r="E80" s="26"/>
      <c r="F80" s="26"/>
      <c r="G80" s="26"/>
      <c r="H80" s="27"/>
      <c r="I80" s="28" t="s">
        <v>27</v>
      </c>
      <c r="J80" s="1" t="s">
        <v>27</v>
      </c>
      <c r="K80" s="1" t="s">
        <v>27</v>
      </c>
      <c r="L80" s="26"/>
      <c r="M80" s="26"/>
      <c r="N80" s="26"/>
      <c r="O80" s="26"/>
      <c r="P80" s="27"/>
    </row>
    <row r="81" spans="1:16">
      <c r="A81" s="28" t="s">
        <v>27</v>
      </c>
      <c r="B81" s="1" t="s">
        <v>27</v>
      </c>
      <c r="C81" s="1" t="s">
        <v>27</v>
      </c>
      <c r="D81" s="26"/>
      <c r="E81" s="26"/>
      <c r="F81" s="26"/>
      <c r="G81" s="26"/>
      <c r="H81" s="27"/>
      <c r="I81" s="28" t="s">
        <v>27</v>
      </c>
      <c r="J81" s="1" t="s">
        <v>27</v>
      </c>
      <c r="K81" s="1" t="s">
        <v>27</v>
      </c>
      <c r="L81" s="26"/>
      <c r="M81" s="26"/>
      <c r="N81" s="26"/>
      <c r="O81" s="26"/>
      <c r="P81" s="27"/>
    </row>
    <row r="82" spans="1:16">
      <c r="A82" s="28" t="s">
        <v>27</v>
      </c>
      <c r="B82" s="1" t="s">
        <v>27</v>
      </c>
      <c r="C82" s="1" t="s">
        <v>27</v>
      </c>
      <c r="D82" s="26"/>
      <c r="E82" s="26"/>
      <c r="F82" s="26"/>
      <c r="G82" s="26"/>
      <c r="H82" s="27"/>
      <c r="I82" s="28" t="s">
        <v>27</v>
      </c>
      <c r="J82" s="1" t="s">
        <v>27</v>
      </c>
      <c r="K82" s="1" t="s">
        <v>27</v>
      </c>
      <c r="L82" s="26"/>
      <c r="M82" s="26"/>
      <c r="N82" s="26"/>
      <c r="O82" s="26"/>
      <c r="P82" s="27"/>
    </row>
    <row r="83" spans="1:16">
      <c r="A83" s="28" t="s">
        <v>27</v>
      </c>
      <c r="B83" s="1" t="s">
        <v>27</v>
      </c>
      <c r="C83" s="1" t="s">
        <v>27</v>
      </c>
      <c r="D83" s="26"/>
      <c r="E83" s="26"/>
      <c r="F83" s="26"/>
      <c r="G83" s="26"/>
      <c r="H83" s="27"/>
      <c r="I83" s="28" t="s">
        <v>27</v>
      </c>
      <c r="J83" s="1" t="s">
        <v>27</v>
      </c>
      <c r="K83" s="1" t="s">
        <v>27</v>
      </c>
      <c r="L83" s="26"/>
      <c r="M83" s="26"/>
      <c r="N83" s="26"/>
      <c r="O83" s="26"/>
      <c r="P83" s="27"/>
    </row>
    <row r="84" spans="1:16">
      <c r="A84" s="28" t="s">
        <v>27</v>
      </c>
      <c r="B84" s="1" t="s">
        <v>27</v>
      </c>
      <c r="C84" s="1" t="s">
        <v>27</v>
      </c>
      <c r="D84" s="26"/>
      <c r="E84" s="26"/>
      <c r="F84" s="26"/>
      <c r="G84" s="26"/>
      <c r="H84" s="27"/>
      <c r="I84" s="28" t="s">
        <v>27</v>
      </c>
      <c r="J84" s="1" t="s">
        <v>27</v>
      </c>
      <c r="K84" s="1" t="s">
        <v>27</v>
      </c>
      <c r="L84" s="26"/>
      <c r="M84" s="26"/>
      <c r="N84" s="26"/>
      <c r="O84" s="26"/>
      <c r="P84" s="27"/>
    </row>
    <row r="85" spans="1:16">
      <c r="A85" s="28" t="s">
        <v>27</v>
      </c>
      <c r="B85" s="1" t="s">
        <v>27</v>
      </c>
      <c r="C85" s="1" t="s">
        <v>27</v>
      </c>
      <c r="D85" s="26"/>
      <c r="E85" s="26"/>
      <c r="F85" s="26"/>
      <c r="G85" s="26"/>
      <c r="H85" s="27"/>
      <c r="I85" s="28" t="s">
        <v>27</v>
      </c>
      <c r="J85" s="1" t="s">
        <v>27</v>
      </c>
      <c r="K85" s="1" t="s">
        <v>27</v>
      </c>
      <c r="L85" s="26"/>
      <c r="M85" s="26"/>
      <c r="N85" s="26"/>
      <c r="O85" s="26"/>
      <c r="P85" s="27"/>
    </row>
    <row r="86" spans="1:16">
      <c r="A86" s="28" t="s">
        <v>27</v>
      </c>
      <c r="B86" s="1" t="s">
        <v>27</v>
      </c>
      <c r="C86" s="1" t="s">
        <v>27</v>
      </c>
      <c r="D86" s="26"/>
      <c r="E86" s="26"/>
      <c r="F86" s="26"/>
      <c r="G86" s="26"/>
      <c r="H86" s="27"/>
      <c r="I86" s="28" t="s">
        <v>27</v>
      </c>
      <c r="J86" s="1" t="s">
        <v>27</v>
      </c>
      <c r="K86" s="1" t="s">
        <v>27</v>
      </c>
      <c r="L86" s="26"/>
      <c r="M86" s="26"/>
      <c r="N86" s="26"/>
      <c r="O86" s="26"/>
      <c r="P86" s="27"/>
    </row>
    <row r="87" spans="1:16">
      <c r="A87" s="28" t="s">
        <v>27</v>
      </c>
      <c r="B87" s="1" t="s">
        <v>27</v>
      </c>
      <c r="C87" s="1" t="s">
        <v>27</v>
      </c>
      <c r="D87" s="26"/>
      <c r="E87" s="26"/>
      <c r="F87" s="26"/>
      <c r="G87" s="26"/>
      <c r="H87" s="27"/>
      <c r="I87" s="28" t="s">
        <v>27</v>
      </c>
      <c r="J87" s="1" t="s">
        <v>27</v>
      </c>
      <c r="K87" s="1" t="s">
        <v>27</v>
      </c>
      <c r="L87" s="26"/>
      <c r="M87" s="26"/>
      <c r="N87" s="26"/>
      <c r="O87" s="26"/>
      <c r="P87" s="27"/>
    </row>
    <row r="88" spans="1:16">
      <c r="A88" s="28" t="s">
        <v>27</v>
      </c>
      <c r="B88" s="1" t="s">
        <v>27</v>
      </c>
      <c r="C88" s="1" t="s">
        <v>27</v>
      </c>
      <c r="D88" s="26"/>
      <c r="E88" s="26"/>
      <c r="F88" s="26"/>
      <c r="G88" s="26"/>
      <c r="H88" s="27"/>
      <c r="I88" s="28" t="s">
        <v>27</v>
      </c>
      <c r="J88" s="1" t="s">
        <v>27</v>
      </c>
      <c r="K88" s="1" t="s">
        <v>27</v>
      </c>
      <c r="L88" s="26"/>
      <c r="M88" s="26"/>
      <c r="N88" s="26"/>
      <c r="O88" s="26"/>
      <c r="P88" s="27"/>
    </row>
    <row r="89" spans="1:16">
      <c r="A89" s="28" t="s">
        <v>27</v>
      </c>
      <c r="B89" s="1" t="s">
        <v>27</v>
      </c>
      <c r="C89" s="1" t="s">
        <v>27</v>
      </c>
      <c r="D89" s="26"/>
      <c r="E89" s="26"/>
      <c r="F89" s="26"/>
      <c r="G89" s="26"/>
      <c r="H89" s="27"/>
      <c r="I89" s="28" t="s">
        <v>27</v>
      </c>
      <c r="J89" s="1" t="s">
        <v>27</v>
      </c>
      <c r="K89" s="1" t="s">
        <v>27</v>
      </c>
      <c r="L89" s="26"/>
      <c r="M89" s="26"/>
      <c r="N89" s="26"/>
      <c r="O89" s="26"/>
      <c r="P89" s="27"/>
    </row>
    <row r="90" spans="1:16">
      <c r="A90" s="28" t="s">
        <v>27</v>
      </c>
      <c r="B90" s="1" t="s">
        <v>27</v>
      </c>
      <c r="C90" s="1" t="s">
        <v>27</v>
      </c>
      <c r="D90" s="26"/>
      <c r="E90" s="26"/>
      <c r="F90" s="26"/>
      <c r="G90" s="26"/>
      <c r="H90" s="27"/>
      <c r="I90" s="28" t="s">
        <v>27</v>
      </c>
      <c r="J90" s="1" t="s">
        <v>27</v>
      </c>
      <c r="K90" s="1" t="s">
        <v>27</v>
      </c>
      <c r="L90" s="26"/>
      <c r="M90" s="26"/>
      <c r="N90" s="26"/>
      <c r="O90" s="26"/>
      <c r="P90" s="27"/>
    </row>
    <row r="91" spans="1:16">
      <c r="A91" s="28" t="s">
        <v>27</v>
      </c>
      <c r="B91" s="1" t="s">
        <v>27</v>
      </c>
      <c r="C91" s="1" t="s">
        <v>27</v>
      </c>
      <c r="D91" s="26"/>
      <c r="E91" s="26"/>
      <c r="F91" s="26"/>
      <c r="G91" s="26"/>
      <c r="H91" s="27"/>
      <c r="I91" s="28" t="s">
        <v>27</v>
      </c>
      <c r="J91" s="1" t="s">
        <v>27</v>
      </c>
      <c r="K91" s="1" t="s">
        <v>27</v>
      </c>
      <c r="L91" s="26"/>
      <c r="M91" s="26"/>
      <c r="N91" s="26"/>
      <c r="O91" s="26"/>
      <c r="P91" s="27"/>
    </row>
    <row r="92" spans="1:16">
      <c r="A92" s="28" t="s">
        <v>27</v>
      </c>
      <c r="B92" s="1" t="s">
        <v>27</v>
      </c>
      <c r="C92" s="1" t="s">
        <v>27</v>
      </c>
      <c r="D92" s="26"/>
      <c r="E92" s="26"/>
      <c r="F92" s="26"/>
      <c r="G92" s="26"/>
      <c r="H92" s="27"/>
      <c r="I92" s="28" t="s">
        <v>27</v>
      </c>
      <c r="J92" s="1" t="s">
        <v>27</v>
      </c>
      <c r="K92" s="1" t="s">
        <v>27</v>
      </c>
      <c r="L92" s="26"/>
      <c r="M92" s="26"/>
      <c r="N92" s="26"/>
      <c r="O92" s="26"/>
      <c r="P92" s="27"/>
    </row>
    <row r="93" spans="1:16">
      <c r="A93" s="28" t="s">
        <v>27</v>
      </c>
      <c r="B93" s="1" t="s">
        <v>27</v>
      </c>
      <c r="C93" s="1" t="s">
        <v>27</v>
      </c>
      <c r="D93" s="26"/>
      <c r="E93" s="26"/>
      <c r="F93" s="26"/>
      <c r="G93" s="26"/>
      <c r="H93" s="27"/>
      <c r="I93" s="28" t="s">
        <v>27</v>
      </c>
      <c r="J93" s="1" t="s">
        <v>27</v>
      </c>
      <c r="K93" s="1" t="s">
        <v>27</v>
      </c>
      <c r="L93" s="26"/>
      <c r="M93" s="26"/>
      <c r="N93" s="26"/>
      <c r="O93" s="26"/>
      <c r="P93" s="27"/>
    </row>
    <row r="94" spans="1:16">
      <c r="A94" s="28" t="s">
        <v>27</v>
      </c>
      <c r="B94" s="1" t="s">
        <v>27</v>
      </c>
      <c r="C94" s="1" t="s">
        <v>27</v>
      </c>
      <c r="D94" s="26"/>
      <c r="E94" s="26"/>
      <c r="F94" s="26"/>
      <c r="G94" s="26"/>
      <c r="H94" s="27"/>
      <c r="I94" s="28" t="s">
        <v>27</v>
      </c>
      <c r="J94" s="1" t="s">
        <v>27</v>
      </c>
      <c r="K94" s="1" t="s">
        <v>27</v>
      </c>
      <c r="L94" s="26"/>
      <c r="M94" s="26"/>
      <c r="N94" s="26"/>
      <c r="O94" s="26"/>
      <c r="P94" s="27"/>
    </row>
    <row r="95" spans="1:16">
      <c r="A95" s="28" t="s">
        <v>27</v>
      </c>
      <c r="B95" s="1" t="s">
        <v>27</v>
      </c>
      <c r="C95" s="1" t="s">
        <v>27</v>
      </c>
      <c r="D95" s="26"/>
      <c r="E95" s="26"/>
      <c r="F95" s="26"/>
      <c r="G95" s="26"/>
      <c r="H95" s="27"/>
      <c r="I95" s="28" t="s">
        <v>27</v>
      </c>
      <c r="J95" s="1" t="s">
        <v>27</v>
      </c>
      <c r="K95" s="1" t="s">
        <v>27</v>
      </c>
      <c r="L95" s="26"/>
      <c r="M95" s="26"/>
      <c r="N95" s="26"/>
      <c r="O95" s="26"/>
      <c r="P95" s="27"/>
    </row>
    <row r="96" spans="1:16">
      <c r="A96" s="28" t="s">
        <v>27</v>
      </c>
      <c r="B96" s="1" t="s">
        <v>27</v>
      </c>
      <c r="C96" s="1" t="s">
        <v>27</v>
      </c>
      <c r="D96" s="26"/>
      <c r="E96" s="26"/>
      <c r="F96" s="26"/>
      <c r="G96" s="26"/>
      <c r="H96" s="27"/>
      <c r="I96" s="28" t="s">
        <v>27</v>
      </c>
      <c r="J96" s="1" t="s">
        <v>27</v>
      </c>
      <c r="K96" s="1" t="s">
        <v>27</v>
      </c>
      <c r="L96" s="26"/>
      <c r="M96" s="26"/>
      <c r="N96" s="26"/>
      <c r="O96" s="26"/>
      <c r="P96" s="27"/>
    </row>
    <row r="97" spans="1:16">
      <c r="A97" s="28" t="s">
        <v>27</v>
      </c>
      <c r="B97" s="1" t="s">
        <v>27</v>
      </c>
      <c r="C97" s="1" t="s">
        <v>27</v>
      </c>
      <c r="D97" s="26"/>
      <c r="E97" s="26"/>
      <c r="F97" s="26"/>
      <c r="G97" s="26"/>
      <c r="H97" s="27"/>
      <c r="I97" s="28" t="s">
        <v>27</v>
      </c>
      <c r="J97" s="1" t="s">
        <v>27</v>
      </c>
      <c r="K97" s="1" t="s">
        <v>27</v>
      </c>
      <c r="L97" s="26"/>
      <c r="M97" s="26"/>
      <c r="N97" s="26"/>
      <c r="O97" s="26"/>
      <c r="P97" s="27"/>
    </row>
    <row r="98" spans="1:16">
      <c r="A98" s="28" t="s">
        <v>27</v>
      </c>
      <c r="B98" s="1" t="s">
        <v>27</v>
      </c>
      <c r="C98" s="1" t="s">
        <v>27</v>
      </c>
      <c r="D98" s="26"/>
      <c r="E98" s="26"/>
      <c r="F98" s="26"/>
      <c r="G98" s="26"/>
      <c r="H98" s="27"/>
      <c r="I98" s="28" t="s">
        <v>27</v>
      </c>
      <c r="J98" s="1" t="s">
        <v>27</v>
      </c>
      <c r="K98" s="1" t="s">
        <v>27</v>
      </c>
      <c r="L98" s="26"/>
      <c r="M98" s="26"/>
      <c r="N98" s="26"/>
      <c r="O98" s="26"/>
      <c r="P98" s="27"/>
    </row>
    <row r="99" spans="1:16">
      <c r="A99" s="28" t="s">
        <v>27</v>
      </c>
      <c r="B99" s="1" t="s">
        <v>27</v>
      </c>
      <c r="C99" s="1" t="s">
        <v>27</v>
      </c>
      <c r="D99" s="26"/>
      <c r="E99" s="26"/>
      <c r="F99" s="26"/>
      <c r="G99" s="26"/>
      <c r="H99" s="27"/>
      <c r="I99" s="28" t="s">
        <v>27</v>
      </c>
      <c r="J99" s="1" t="s">
        <v>27</v>
      </c>
      <c r="K99" s="1" t="s">
        <v>27</v>
      </c>
      <c r="L99" s="26"/>
      <c r="M99" s="26"/>
      <c r="N99" s="26"/>
      <c r="O99" s="26"/>
      <c r="P99" s="27"/>
    </row>
    <row r="100" spans="1:16" ht="15.75" thickBot="1">
      <c r="A100" s="29" t="s">
        <v>27</v>
      </c>
      <c r="B100" s="30" t="s">
        <v>27</v>
      </c>
      <c r="C100" s="30" t="s">
        <v>27</v>
      </c>
      <c r="D100" s="31"/>
      <c r="E100" s="31"/>
      <c r="F100" s="31"/>
      <c r="G100" s="31"/>
      <c r="H100" s="32"/>
      <c r="I100" s="29" t="s">
        <v>27</v>
      </c>
      <c r="J100" s="30" t="s">
        <v>27</v>
      </c>
      <c r="K100" s="30" t="s">
        <v>27</v>
      </c>
      <c r="L100" s="31"/>
      <c r="M100" s="31"/>
      <c r="N100" s="31"/>
      <c r="O100" s="31"/>
      <c r="P100" s="32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ageMargins left="0.7" right="0.7" top="0.75" bottom="0.75" header="0.3" footer="0.3"/>
  <pageSetup paperSize="9" orientation="portrait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8501D-0B15-465A-A978-E567AB659DEB}">
  <dimension ref="A1:AB100"/>
  <sheetViews>
    <sheetView workbookViewId="0">
      <selection activeCell="C55" sqref="C55"/>
    </sheetView>
  </sheetViews>
  <sheetFormatPr defaultRowHeight="15"/>
  <sheetData>
    <row r="1" spans="1:28" ht="15.75">
      <c r="A1" s="62" t="s">
        <v>30</v>
      </c>
      <c r="B1" s="63"/>
      <c r="C1" s="63"/>
      <c r="D1" s="63"/>
      <c r="E1" s="63"/>
      <c r="F1" s="64" t="s">
        <v>3</v>
      </c>
      <c r="G1" s="64"/>
      <c r="H1" s="24" cm="1">
        <f t="array" ref="H1">SUM(VLOOKUP(A4:C100,$T$3:$W$36,4,FALSE))+H4*10-H8*50</f>
        <v>3566.8832151643214</v>
      </c>
      <c r="I1" s="65" t="s">
        <v>41</v>
      </c>
      <c r="J1" s="66"/>
      <c r="K1" s="66"/>
      <c r="L1" s="66"/>
      <c r="M1" s="66"/>
      <c r="N1" s="66"/>
      <c r="O1" s="66"/>
      <c r="P1" s="67"/>
      <c r="Q1" s="65" t="s">
        <v>48</v>
      </c>
      <c r="R1" s="66"/>
      <c r="S1" s="66"/>
      <c r="T1" s="66"/>
      <c r="U1" s="66"/>
      <c r="V1" s="66"/>
      <c r="W1" s="66"/>
      <c r="X1" s="66"/>
      <c r="Y1" s="66"/>
      <c r="Z1" s="66"/>
      <c r="AA1" s="66"/>
      <c r="AB1" s="67"/>
    </row>
    <row r="2" spans="1:28" ht="30">
      <c r="A2" s="68" t="s">
        <v>35</v>
      </c>
      <c r="B2" s="69"/>
      <c r="C2" s="69"/>
      <c r="D2" s="70" t="s">
        <v>37</v>
      </c>
      <c r="E2" s="71"/>
      <c r="F2" s="71"/>
      <c r="G2" s="71"/>
      <c r="H2" s="72"/>
      <c r="I2" s="73" t="s">
        <v>35</v>
      </c>
      <c r="J2" s="74"/>
      <c r="K2" s="74"/>
      <c r="L2" s="75" t="s">
        <v>37</v>
      </c>
      <c r="M2" s="75"/>
      <c r="N2" s="75"/>
      <c r="O2" s="75"/>
      <c r="P2" s="76"/>
      <c r="Q2" s="50" t="s">
        <v>43</v>
      </c>
      <c r="R2" s="51" cm="1">
        <f t="array" ref="R2">SUM(V3:V28*AB3:AB28)+H6+P6+R4*500</f>
        <v>65160</v>
      </c>
      <c r="S2" s="26"/>
      <c r="T2" s="1" t="s">
        <v>0</v>
      </c>
      <c r="U2" s="1" t="s">
        <v>1</v>
      </c>
      <c r="V2" s="1" t="s">
        <v>2</v>
      </c>
      <c r="W2" s="44" t="s">
        <v>3</v>
      </c>
      <c r="X2" s="46" t="s">
        <v>44</v>
      </c>
      <c r="Y2" s="46" t="s">
        <v>56</v>
      </c>
      <c r="Z2" s="47" t="s">
        <v>45</v>
      </c>
      <c r="AA2" s="47" t="s">
        <v>46</v>
      </c>
      <c r="AB2" s="52" t="s">
        <v>47</v>
      </c>
    </row>
    <row r="3" spans="1:28">
      <c r="A3" s="25" t="s">
        <v>31</v>
      </c>
      <c r="B3" s="58" t="s">
        <v>32</v>
      </c>
      <c r="C3" s="20" t="s">
        <v>33</v>
      </c>
      <c r="D3" s="33"/>
      <c r="E3" s="25" t="s">
        <v>31</v>
      </c>
      <c r="F3" s="58" t="s">
        <v>32</v>
      </c>
      <c r="G3" s="20" t="s">
        <v>33</v>
      </c>
      <c r="H3" s="34" t="s">
        <v>36</v>
      </c>
      <c r="I3" s="25" t="s">
        <v>31</v>
      </c>
      <c r="J3" s="58" t="s">
        <v>32</v>
      </c>
      <c r="K3" s="20" t="s">
        <v>33</v>
      </c>
      <c r="L3" s="33"/>
      <c r="M3" s="25" t="s">
        <v>31</v>
      </c>
      <c r="N3" s="58" t="s">
        <v>32</v>
      </c>
      <c r="O3" s="20" t="s">
        <v>33</v>
      </c>
      <c r="P3" s="34" t="s">
        <v>36</v>
      </c>
      <c r="Q3" s="53" t="s">
        <v>49</v>
      </c>
      <c r="R3" s="26">
        <v>91</v>
      </c>
      <c r="S3" s="26"/>
      <c r="T3" s="2" t="s">
        <v>4</v>
      </c>
      <c r="U3" s="1">
        <v>150</v>
      </c>
      <c r="V3" s="1">
        <v>35</v>
      </c>
      <c r="W3" s="45">
        <f>U3-V3/0.330882</f>
        <v>44.222109392472248</v>
      </c>
      <c r="X3" s="46"/>
      <c r="Y3" s="46">
        <v>11</v>
      </c>
      <c r="Z3" s="1">
        <f>COUNTIF($A$4:$C$100,T3)</f>
        <v>16</v>
      </c>
      <c r="AA3" s="1">
        <f>COUNTIF($I$4:$K$100,T3)</f>
        <v>0</v>
      </c>
      <c r="AB3" s="54">
        <f>Y3-Z3-AA3</f>
        <v>-5</v>
      </c>
    </row>
    <row r="4" spans="1:28">
      <c r="A4" s="2" t="s">
        <v>4</v>
      </c>
      <c r="B4" s="2" t="s">
        <v>4</v>
      </c>
      <c r="C4" s="3" t="s">
        <v>5</v>
      </c>
      <c r="D4" s="43" t="s">
        <v>34</v>
      </c>
      <c r="E4" s="39">
        <v>8</v>
      </c>
      <c r="F4" s="39">
        <v>0</v>
      </c>
      <c r="G4" s="39">
        <v>9</v>
      </c>
      <c r="H4" s="36">
        <f>SUM(E4:G4)</f>
        <v>17</v>
      </c>
      <c r="I4" s="1" t="s">
        <v>27</v>
      </c>
      <c r="J4" s="1" t="s">
        <v>27</v>
      </c>
      <c r="K4" s="1" t="s">
        <v>27</v>
      </c>
      <c r="L4" s="43" t="s">
        <v>34</v>
      </c>
      <c r="M4" s="39">
        <v>0</v>
      </c>
      <c r="N4" s="39">
        <v>2</v>
      </c>
      <c r="O4" s="39">
        <v>0</v>
      </c>
      <c r="P4" s="36">
        <f>SUM(M4:O4)</f>
        <v>2</v>
      </c>
      <c r="Q4" s="53" t="s">
        <v>50</v>
      </c>
      <c r="R4" s="40">
        <v>14</v>
      </c>
      <c r="S4" s="26"/>
      <c r="T4" s="3" t="s">
        <v>5</v>
      </c>
      <c r="U4" s="1">
        <v>160</v>
      </c>
      <c r="V4" s="1">
        <v>40</v>
      </c>
      <c r="W4" s="45">
        <f t="shared" ref="W4" si="0">U4-V4/0.330882</f>
        <v>39.110982162825422</v>
      </c>
      <c r="X4" s="46"/>
      <c r="Y4" s="46">
        <v>55</v>
      </c>
      <c r="Z4" s="1">
        <f t="shared" ref="Z4:Z28" si="1">COUNTIF($A$4:$C$100,T4)</f>
        <v>26</v>
      </c>
      <c r="AA4" s="1">
        <f t="shared" ref="AA4:AA28" si="2">COUNTIF($I$4:$K$100,T4)</f>
        <v>0</v>
      </c>
      <c r="AB4" s="54">
        <f t="shared" ref="AB4:AB28" si="3">Y4-Z4-AA4</f>
        <v>29</v>
      </c>
    </row>
    <row r="5" spans="1:28">
      <c r="A5" s="2" t="s">
        <v>4</v>
      </c>
      <c r="B5" s="2" t="s">
        <v>4</v>
      </c>
      <c r="C5" s="23" t="s">
        <v>29</v>
      </c>
      <c r="D5" s="33" t="s">
        <v>38</v>
      </c>
      <c r="E5" s="35" cm="1">
        <f t="array" ref="E5">(SUM(VLOOKUP(A4:A100,$T$3:$W$41,2,FALSE))+E4*10)-E8*50</f>
        <v>7610</v>
      </c>
      <c r="F5" s="35" cm="1">
        <f t="array" ref="F5">(SUM(VLOOKUP(B4:B100,$T$3:$W$41,2,FALSE))+F4*10)-F8*50</f>
        <v>900</v>
      </c>
      <c r="G5" s="35" cm="1">
        <f t="array" ref="G5">(SUM(VLOOKUP(C4:C100,$T$3:$W$41,2,FALSE))+G4*10)-G8*50</f>
        <v>7650</v>
      </c>
      <c r="H5" s="59">
        <f t="shared" ref="H5:H8" si="4">SUM(E5:G5)</f>
        <v>16160</v>
      </c>
      <c r="I5" s="1" t="s">
        <v>27</v>
      </c>
      <c r="J5" s="1" t="s">
        <v>27</v>
      </c>
      <c r="K5" s="1" t="s">
        <v>27</v>
      </c>
      <c r="L5" s="33" t="s">
        <v>38</v>
      </c>
      <c r="M5" s="35" cm="1">
        <f t="array" ref="M5">(SUM(VLOOKUP(I4:I100,$T$3:$W$41,2,FALSE))+M4*10)*0.8-M8*40</f>
        <v>0</v>
      </c>
      <c r="N5" s="35" cm="1">
        <f t="array" ref="N5">(SUM(VLOOKUP(J4:J100,$T$3:$W$41,2,FALSE))+N4*10)*0.8-N8*40</f>
        <v>-64</v>
      </c>
      <c r="O5" s="35" cm="1">
        <f t="array" ref="O5">(SUM(VLOOKUP(K4:K100,$T$3:$W$41,2,FALSE))+O4*10)*0.8-O8*40</f>
        <v>0</v>
      </c>
      <c r="P5" s="59">
        <f t="shared" ref="P5:P8" si="5">SUM(M5:O5)</f>
        <v>-64</v>
      </c>
      <c r="Q5" s="53" t="s">
        <v>51</v>
      </c>
      <c r="R5" s="26">
        <v>6000</v>
      </c>
      <c r="S5" s="26"/>
      <c r="T5" s="4" t="s">
        <v>6</v>
      </c>
      <c r="U5" s="1">
        <v>170</v>
      </c>
      <c r="V5" s="1">
        <v>45</v>
      </c>
      <c r="W5" s="45">
        <v>34</v>
      </c>
      <c r="X5" s="48"/>
      <c r="Y5" s="46">
        <v>233</v>
      </c>
      <c r="Z5" s="1">
        <f t="shared" si="1"/>
        <v>44</v>
      </c>
      <c r="AA5" s="1">
        <f t="shared" si="2"/>
        <v>0</v>
      </c>
      <c r="AB5" s="54">
        <f t="shared" si="3"/>
        <v>189</v>
      </c>
    </row>
    <row r="6" spans="1:28">
      <c r="A6" s="2" t="s">
        <v>4</v>
      </c>
      <c r="B6" s="2" t="s">
        <v>4</v>
      </c>
      <c r="C6" s="3" t="s">
        <v>5</v>
      </c>
      <c r="D6" s="33" t="s">
        <v>39</v>
      </c>
      <c r="E6" s="35" cm="1">
        <f t="array" ref="E6">(SUM(VLOOKUP(A4:A100,$T$3:$W$41,3,FALSE)))</f>
        <v>2130</v>
      </c>
      <c r="F6" s="35" cm="1">
        <f t="array" ref="F6">(SUM(VLOOKUP(B4:B100,$T$3:$W$41,3,FALSE)))</f>
        <v>210</v>
      </c>
      <c r="G6" s="35" cm="1">
        <f t="array" ref="G6">(SUM(VLOOKUP(C4:C100,$T$3:$W$41,3,FALSE)))</f>
        <v>2835</v>
      </c>
      <c r="H6" s="49">
        <f t="shared" si="4"/>
        <v>5175</v>
      </c>
      <c r="I6" s="1" t="s">
        <v>27</v>
      </c>
      <c r="J6" s="1" t="s">
        <v>27</v>
      </c>
      <c r="K6" s="1" t="s">
        <v>27</v>
      </c>
      <c r="L6" s="33" t="s">
        <v>39</v>
      </c>
      <c r="M6" s="35" cm="1">
        <f t="array" ref="M6">(SUM(VLOOKUP(I4:I100,$T$3:$W$41,3,FALSE)))</f>
        <v>0</v>
      </c>
      <c r="N6" s="35" cm="1">
        <f t="array" ref="N6">(SUM(VLOOKUP(J4:J100,$T$3:$W$41,3,FALSE)))</f>
        <v>0</v>
      </c>
      <c r="O6" s="35" cm="1">
        <f t="array" ref="O6">(SUM(VLOOKUP(K4:K100,$T$3:$W$41,3,FALSE)))</f>
        <v>0</v>
      </c>
      <c r="P6" s="49">
        <f t="shared" si="5"/>
        <v>0</v>
      </c>
      <c r="Q6" s="50" t="s">
        <v>52</v>
      </c>
      <c r="R6" s="26">
        <f>R3*1600-800+R5</f>
        <v>150800</v>
      </c>
      <c r="S6" s="26"/>
      <c r="T6" s="5" t="s">
        <v>7</v>
      </c>
      <c r="U6" s="1">
        <v>180</v>
      </c>
      <c r="V6" s="1">
        <v>50</v>
      </c>
      <c r="W6" s="45">
        <v>36</v>
      </c>
      <c r="X6" s="46">
        <v>265</v>
      </c>
      <c r="Y6" s="46">
        <v>265</v>
      </c>
      <c r="Z6" s="1">
        <f t="shared" si="1"/>
        <v>0</v>
      </c>
      <c r="AA6" s="1">
        <f t="shared" si="2"/>
        <v>0</v>
      </c>
      <c r="AB6" s="54">
        <f t="shared" si="3"/>
        <v>265</v>
      </c>
    </row>
    <row r="7" spans="1:28">
      <c r="A7" s="2" t="s">
        <v>4</v>
      </c>
      <c r="B7" s="2" t="s">
        <v>4</v>
      </c>
      <c r="C7" s="4" t="s">
        <v>6</v>
      </c>
      <c r="D7" s="33" t="s">
        <v>40</v>
      </c>
      <c r="E7" s="35">
        <f>COUNTIF(A4:A100,"&lt;&gt;空")</f>
        <v>48</v>
      </c>
      <c r="F7" s="35">
        <f>COUNTIF(B4:B100,"&lt;&gt;空")</f>
        <v>6</v>
      </c>
      <c r="G7" s="35">
        <f>COUNTIF(C4:C100,"&lt;&gt;空")</f>
        <v>51</v>
      </c>
      <c r="H7" s="36">
        <f t="shared" si="4"/>
        <v>105</v>
      </c>
      <c r="I7" s="1" t="s">
        <v>27</v>
      </c>
      <c r="J7" s="1" t="s">
        <v>27</v>
      </c>
      <c r="K7" s="1" t="s">
        <v>27</v>
      </c>
      <c r="L7" s="33" t="s">
        <v>40</v>
      </c>
      <c r="M7" s="35">
        <f>COUNTIF(I4:I100,"&lt;&gt;空")</f>
        <v>0</v>
      </c>
      <c r="N7" s="35">
        <f>COUNTIF(J4:J100,"&lt;&gt;空")</f>
        <v>0</v>
      </c>
      <c r="O7" s="35">
        <f>COUNTIF(K4:K100,"&lt;&gt;空")</f>
        <v>0</v>
      </c>
      <c r="P7" s="36">
        <f t="shared" si="5"/>
        <v>0</v>
      </c>
      <c r="Q7" s="53" t="s">
        <v>55</v>
      </c>
      <c r="R7" s="26">
        <v>13</v>
      </c>
      <c r="S7" s="26"/>
      <c r="T7" s="6" t="s">
        <v>8</v>
      </c>
      <c r="U7" s="1">
        <v>190</v>
      </c>
      <c r="V7" s="1">
        <v>55</v>
      </c>
      <c r="W7" s="45">
        <v>38</v>
      </c>
      <c r="X7" s="46">
        <v>234</v>
      </c>
      <c r="Y7" s="46">
        <v>234</v>
      </c>
      <c r="Z7" s="1">
        <f t="shared" si="1"/>
        <v>0</v>
      </c>
      <c r="AA7" s="1">
        <f t="shared" si="2"/>
        <v>0</v>
      </c>
      <c r="AB7" s="54">
        <f t="shared" si="3"/>
        <v>234</v>
      </c>
    </row>
    <row r="8" spans="1:28">
      <c r="A8" s="2" t="s">
        <v>4</v>
      </c>
      <c r="B8" s="2" t="s">
        <v>4</v>
      </c>
      <c r="C8" s="4" t="s">
        <v>6</v>
      </c>
      <c r="D8" s="42" t="s">
        <v>53</v>
      </c>
      <c r="E8" s="41">
        <v>0</v>
      </c>
      <c r="F8" s="41">
        <v>0</v>
      </c>
      <c r="G8" s="41">
        <v>0</v>
      </c>
      <c r="H8" s="36">
        <f t="shared" si="4"/>
        <v>0</v>
      </c>
      <c r="I8" s="1" t="s">
        <v>27</v>
      </c>
      <c r="J8" s="1" t="s">
        <v>27</v>
      </c>
      <c r="K8" s="1" t="s">
        <v>27</v>
      </c>
      <c r="L8" s="42" t="s">
        <v>53</v>
      </c>
      <c r="M8" s="41">
        <v>0</v>
      </c>
      <c r="N8" s="41">
        <v>2</v>
      </c>
      <c r="O8" s="41">
        <v>0</v>
      </c>
      <c r="P8" s="36">
        <f t="shared" si="5"/>
        <v>2</v>
      </c>
      <c r="Q8" s="50" t="s">
        <v>54</v>
      </c>
      <c r="R8" s="55" cm="1">
        <f t="array" ref="R8">R6-P5-H5-SUM(U3:U28*AB3:AB28)*0.8-R7*8</f>
        <v>-824</v>
      </c>
      <c r="S8" s="26"/>
      <c r="T8" s="7" t="s">
        <v>9</v>
      </c>
      <c r="U8" s="1">
        <v>200</v>
      </c>
      <c r="V8" s="1">
        <v>60</v>
      </c>
      <c r="W8" s="45"/>
      <c r="X8" s="46">
        <v>194</v>
      </c>
      <c r="Y8" s="46">
        <v>194</v>
      </c>
      <c r="Z8" s="1">
        <f t="shared" si="1"/>
        <v>0</v>
      </c>
      <c r="AA8" s="1">
        <f t="shared" si="2"/>
        <v>0</v>
      </c>
      <c r="AB8" s="54">
        <f t="shared" si="3"/>
        <v>194</v>
      </c>
    </row>
    <row r="9" spans="1:28">
      <c r="A9" s="2" t="s">
        <v>4</v>
      </c>
      <c r="B9" s="2" t="s">
        <v>4</v>
      </c>
      <c r="C9" s="17" t="s">
        <v>19</v>
      </c>
      <c r="D9" s="26"/>
      <c r="E9" s="26"/>
      <c r="F9" s="26"/>
      <c r="G9" s="26"/>
      <c r="H9" s="27"/>
      <c r="I9" s="1" t="s">
        <v>27</v>
      </c>
      <c r="J9" s="1" t="s">
        <v>27</v>
      </c>
      <c r="K9" s="1" t="s">
        <v>27</v>
      </c>
      <c r="L9" s="33" t="s">
        <v>42</v>
      </c>
      <c r="M9" s="37" t="e">
        <f>M6/M5</f>
        <v>#DIV/0!</v>
      </c>
      <c r="N9" s="37">
        <f>N6/N5</f>
        <v>0</v>
      </c>
      <c r="O9" s="37" t="e">
        <f>O6/O5</f>
        <v>#DIV/0!</v>
      </c>
      <c r="P9" s="38">
        <f>P6/P5</f>
        <v>0</v>
      </c>
      <c r="Q9" s="50"/>
      <c r="R9" s="26"/>
      <c r="S9" s="26"/>
      <c r="T9" s="8" t="s">
        <v>10</v>
      </c>
      <c r="U9" s="1">
        <v>150</v>
      </c>
      <c r="V9" s="1">
        <v>35</v>
      </c>
      <c r="W9" s="45">
        <f t="shared" ref="W9:W11" si="6">U9-V9/0.330882</f>
        <v>44.222109392472248</v>
      </c>
      <c r="X9" s="46">
        <v>3</v>
      </c>
      <c r="Y9" s="46">
        <v>0</v>
      </c>
      <c r="Z9" s="1">
        <f t="shared" si="1"/>
        <v>0</v>
      </c>
      <c r="AA9" s="1">
        <f t="shared" si="2"/>
        <v>0</v>
      </c>
      <c r="AB9" s="54">
        <f t="shared" si="3"/>
        <v>0</v>
      </c>
    </row>
    <row r="10" spans="1:28">
      <c r="A10" s="1" t="s">
        <v>27</v>
      </c>
      <c r="B10" s="1" t="s">
        <v>27</v>
      </c>
      <c r="C10" s="4" t="s">
        <v>6</v>
      </c>
      <c r="D10" s="26"/>
      <c r="E10" s="26"/>
      <c r="F10" s="26"/>
      <c r="G10" s="26"/>
      <c r="H10" s="27"/>
      <c r="I10" s="1" t="s">
        <v>27</v>
      </c>
      <c r="J10" s="1" t="s">
        <v>27</v>
      </c>
      <c r="K10" s="1" t="s">
        <v>27</v>
      </c>
      <c r="L10" s="26"/>
      <c r="M10" s="26"/>
      <c r="N10" s="26"/>
      <c r="O10" s="26"/>
      <c r="P10" s="27"/>
      <c r="Q10" s="50"/>
      <c r="R10" s="26"/>
      <c r="S10" s="26"/>
      <c r="T10" s="9" t="s">
        <v>11</v>
      </c>
      <c r="U10" s="1">
        <v>150</v>
      </c>
      <c r="V10" s="1">
        <v>40</v>
      </c>
      <c r="W10" s="45">
        <f t="shared" si="6"/>
        <v>29.110982162825422</v>
      </c>
      <c r="X10" s="46">
        <v>7</v>
      </c>
      <c r="Y10" s="46">
        <v>2</v>
      </c>
      <c r="Z10" s="1">
        <f t="shared" si="1"/>
        <v>4</v>
      </c>
      <c r="AA10" s="1">
        <f t="shared" si="2"/>
        <v>0</v>
      </c>
      <c r="AB10" s="54">
        <f t="shared" si="3"/>
        <v>-2</v>
      </c>
    </row>
    <row r="11" spans="1:28">
      <c r="A11" s="1" t="s">
        <v>27</v>
      </c>
      <c r="B11" s="1" t="s">
        <v>27</v>
      </c>
      <c r="C11" s="1" t="s">
        <v>27</v>
      </c>
      <c r="D11" s="26"/>
      <c r="E11" s="26"/>
      <c r="F11" s="26"/>
      <c r="G11" s="26"/>
      <c r="H11" s="27"/>
      <c r="I11" s="1" t="s">
        <v>27</v>
      </c>
      <c r="J11" s="1" t="s">
        <v>27</v>
      </c>
      <c r="K11" s="1" t="s">
        <v>27</v>
      </c>
      <c r="L11" s="26"/>
      <c r="M11" s="26"/>
      <c r="N11" s="26"/>
      <c r="O11" s="26"/>
      <c r="P11" s="27">
        <f>H5+P5</f>
        <v>16096</v>
      </c>
      <c r="Q11" s="50"/>
      <c r="R11" s="26"/>
      <c r="S11" s="26"/>
      <c r="T11" s="10" t="s">
        <v>12</v>
      </c>
      <c r="U11" s="1">
        <v>150</v>
      </c>
      <c r="V11" s="1">
        <v>45</v>
      </c>
      <c r="W11" s="45">
        <f t="shared" si="6"/>
        <v>13.999854933178597</v>
      </c>
      <c r="X11" s="46">
        <v>6</v>
      </c>
      <c r="Y11" s="46">
        <v>6</v>
      </c>
      <c r="Z11" s="1">
        <f t="shared" si="1"/>
        <v>0</v>
      </c>
      <c r="AA11" s="1">
        <f t="shared" si="2"/>
        <v>0</v>
      </c>
      <c r="AB11" s="54">
        <f t="shared" si="3"/>
        <v>6</v>
      </c>
    </row>
    <row r="12" spans="1:28">
      <c r="A12" s="4" t="s">
        <v>6</v>
      </c>
      <c r="B12" s="1" t="s">
        <v>27</v>
      </c>
      <c r="C12" s="4" t="s">
        <v>6</v>
      </c>
      <c r="D12" s="26"/>
      <c r="E12" s="26"/>
      <c r="F12" s="26"/>
      <c r="G12" s="26"/>
      <c r="H12" s="27"/>
      <c r="I12" s="1" t="s">
        <v>27</v>
      </c>
      <c r="J12" s="1" t="s">
        <v>27</v>
      </c>
      <c r="K12" s="1" t="s">
        <v>27</v>
      </c>
      <c r="L12" s="26"/>
      <c r="M12" s="26"/>
      <c r="N12" s="26"/>
      <c r="O12" s="26"/>
      <c r="P12" s="27">
        <f>H6+P6</f>
        <v>5175</v>
      </c>
      <c r="Q12" s="50"/>
      <c r="R12" s="26"/>
      <c r="S12" s="26"/>
      <c r="T12" s="11" t="s">
        <v>13</v>
      </c>
      <c r="U12" s="1">
        <v>150</v>
      </c>
      <c r="V12" s="1">
        <v>50</v>
      </c>
      <c r="W12" s="45"/>
      <c r="X12" s="46">
        <v>4</v>
      </c>
      <c r="Y12" s="46">
        <v>4</v>
      </c>
      <c r="Z12" s="1">
        <f t="shared" si="1"/>
        <v>0</v>
      </c>
      <c r="AA12" s="1">
        <f t="shared" si="2"/>
        <v>0</v>
      </c>
      <c r="AB12" s="54">
        <f t="shared" si="3"/>
        <v>4</v>
      </c>
    </row>
    <row r="13" spans="1:28">
      <c r="A13" s="4" t="s">
        <v>6</v>
      </c>
      <c r="B13" s="1" t="s">
        <v>27</v>
      </c>
      <c r="C13" s="15" t="s">
        <v>17</v>
      </c>
      <c r="D13" s="26"/>
      <c r="E13" s="26"/>
      <c r="F13" s="26"/>
      <c r="G13" s="26"/>
      <c r="H13" s="27"/>
      <c r="I13" s="1" t="s">
        <v>27</v>
      </c>
      <c r="J13" s="1" t="s">
        <v>27</v>
      </c>
      <c r="K13" s="1" t="s">
        <v>27</v>
      </c>
      <c r="L13" s="26"/>
      <c r="M13" s="26"/>
      <c r="N13" s="26"/>
      <c r="O13" s="26"/>
      <c r="P13" s="27"/>
      <c r="Q13" s="50"/>
      <c r="R13" s="26"/>
      <c r="S13" s="26"/>
      <c r="T13" s="12" t="s">
        <v>14</v>
      </c>
      <c r="U13" s="1">
        <v>150</v>
      </c>
      <c r="V13" s="1">
        <v>55</v>
      </c>
      <c r="W13" s="45"/>
      <c r="X13" s="46">
        <v>3</v>
      </c>
      <c r="Y13" s="46">
        <v>3</v>
      </c>
      <c r="Z13" s="1">
        <f t="shared" si="1"/>
        <v>0</v>
      </c>
      <c r="AA13" s="1">
        <f t="shared" si="2"/>
        <v>0</v>
      </c>
      <c r="AB13" s="54">
        <f t="shared" si="3"/>
        <v>3</v>
      </c>
    </row>
    <row r="14" spans="1:28">
      <c r="A14" s="4" t="s">
        <v>6</v>
      </c>
      <c r="B14" s="1" t="s">
        <v>27</v>
      </c>
      <c r="C14" s="3" t="s">
        <v>5</v>
      </c>
      <c r="D14" s="26"/>
      <c r="E14" s="26"/>
      <c r="F14" s="26"/>
      <c r="G14" s="26"/>
      <c r="H14" s="27"/>
      <c r="I14" s="1" t="s">
        <v>27</v>
      </c>
      <c r="J14" s="1" t="s">
        <v>27</v>
      </c>
      <c r="K14" s="1" t="s">
        <v>27</v>
      </c>
      <c r="L14" s="26"/>
      <c r="M14" s="26"/>
      <c r="N14" s="26"/>
      <c r="O14" s="26"/>
      <c r="P14" s="27"/>
      <c r="Q14" s="50"/>
      <c r="R14" s="26"/>
      <c r="S14" s="26"/>
      <c r="T14" s="13" t="s">
        <v>15</v>
      </c>
      <c r="U14" s="1">
        <v>150</v>
      </c>
      <c r="V14" s="1">
        <v>60</v>
      </c>
      <c r="W14" s="45"/>
      <c r="X14" s="46">
        <v>1</v>
      </c>
      <c r="Y14" s="46">
        <v>1</v>
      </c>
      <c r="Z14" s="1">
        <f t="shared" si="1"/>
        <v>0</v>
      </c>
      <c r="AA14" s="1">
        <f t="shared" si="2"/>
        <v>0</v>
      </c>
      <c r="AB14" s="54">
        <f t="shared" si="3"/>
        <v>1</v>
      </c>
    </row>
    <row r="15" spans="1:28">
      <c r="A15" s="4" t="s">
        <v>6</v>
      </c>
      <c r="B15" s="1" t="s">
        <v>27</v>
      </c>
      <c r="C15" s="16" t="s">
        <v>18</v>
      </c>
      <c r="D15" s="26"/>
      <c r="E15" s="26"/>
      <c r="F15" s="26"/>
      <c r="G15" s="26"/>
      <c r="H15" s="27"/>
      <c r="I15" s="1" t="s">
        <v>27</v>
      </c>
      <c r="J15" s="1" t="s">
        <v>27</v>
      </c>
      <c r="K15" s="1" t="s">
        <v>27</v>
      </c>
      <c r="L15" s="26"/>
      <c r="M15" s="26"/>
      <c r="N15" s="26"/>
      <c r="O15" s="26"/>
      <c r="P15" s="27"/>
      <c r="Q15" s="50"/>
      <c r="R15" s="26"/>
      <c r="S15" s="26"/>
      <c r="T15" s="14" t="s">
        <v>16</v>
      </c>
      <c r="U15" s="1">
        <v>150</v>
      </c>
      <c r="V15" s="1">
        <v>35</v>
      </c>
      <c r="W15" s="45">
        <f t="shared" ref="W15" si="7">U15-V15/0.330882</f>
        <v>44.222109392472248</v>
      </c>
      <c r="X15" s="46"/>
      <c r="Y15" s="46">
        <v>0</v>
      </c>
      <c r="Z15" s="1">
        <f t="shared" si="1"/>
        <v>0</v>
      </c>
      <c r="AA15" s="1">
        <f t="shared" si="2"/>
        <v>0</v>
      </c>
      <c r="AB15" s="54">
        <f t="shared" si="3"/>
        <v>0</v>
      </c>
    </row>
    <row r="16" spans="1:28">
      <c r="A16" s="15" t="s">
        <v>17</v>
      </c>
      <c r="B16" s="1" t="s">
        <v>27</v>
      </c>
      <c r="C16" s="2" t="s">
        <v>4</v>
      </c>
      <c r="D16" s="26"/>
      <c r="E16" s="26"/>
      <c r="F16" s="26"/>
      <c r="G16" s="26"/>
      <c r="H16" s="27"/>
      <c r="I16" s="1" t="s">
        <v>27</v>
      </c>
      <c r="J16" s="1" t="s">
        <v>27</v>
      </c>
      <c r="K16" s="1" t="s">
        <v>27</v>
      </c>
      <c r="L16" s="26"/>
      <c r="M16" s="26"/>
      <c r="N16" s="26"/>
      <c r="O16" s="26"/>
      <c r="P16" s="27"/>
      <c r="Q16" s="50"/>
      <c r="R16" s="26"/>
      <c r="S16" s="26"/>
      <c r="T16" s="15" t="s">
        <v>17</v>
      </c>
      <c r="U16" s="1">
        <v>50</v>
      </c>
      <c r="V16" s="1">
        <v>30</v>
      </c>
      <c r="W16" s="45">
        <v>10</v>
      </c>
      <c r="X16" s="46">
        <v>40</v>
      </c>
      <c r="Y16" s="46">
        <v>39</v>
      </c>
      <c r="Z16" s="1">
        <f t="shared" si="1"/>
        <v>3</v>
      </c>
      <c r="AA16" s="1">
        <f t="shared" si="2"/>
        <v>0</v>
      </c>
      <c r="AB16" s="54">
        <f t="shared" si="3"/>
        <v>36</v>
      </c>
    </row>
    <row r="17" spans="1:28">
      <c r="A17" s="4" t="s">
        <v>6</v>
      </c>
      <c r="B17" s="1" t="s">
        <v>27</v>
      </c>
      <c r="C17" s="2" t="s">
        <v>4</v>
      </c>
      <c r="D17" s="26"/>
      <c r="E17" s="26"/>
      <c r="F17" s="26"/>
      <c r="G17" s="26"/>
      <c r="H17" s="27"/>
      <c r="I17" s="1" t="s">
        <v>27</v>
      </c>
      <c r="J17" s="1" t="s">
        <v>27</v>
      </c>
      <c r="K17" s="1" t="s">
        <v>27</v>
      </c>
      <c r="L17" s="26"/>
      <c r="M17" s="26"/>
      <c r="N17" s="26"/>
      <c r="O17" s="26"/>
      <c r="P17" s="27"/>
      <c r="Q17" s="50"/>
      <c r="R17" s="26"/>
      <c r="S17" s="26"/>
      <c r="T17" s="16" t="s">
        <v>18</v>
      </c>
      <c r="U17" s="1">
        <v>-150</v>
      </c>
      <c r="V17" s="1">
        <v>0</v>
      </c>
      <c r="W17" s="45">
        <v>10</v>
      </c>
      <c r="X17" s="46">
        <v>3</v>
      </c>
      <c r="Y17" s="46">
        <v>3</v>
      </c>
      <c r="Z17" s="1">
        <f t="shared" si="1"/>
        <v>3</v>
      </c>
      <c r="AA17" s="1">
        <f t="shared" si="2"/>
        <v>0</v>
      </c>
      <c r="AB17" s="54">
        <f t="shared" si="3"/>
        <v>0</v>
      </c>
    </row>
    <row r="18" spans="1:28">
      <c r="A18" s="17" t="s">
        <v>20</v>
      </c>
      <c r="B18" s="1" t="s">
        <v>27</v>
      </c>
      <c r="C18" s="2" t="s">
        <v>4</v>
      </c>
      <c r="D18" s="26"/>
      <c r="E18" s="26"/>
      <c r="F18" s="26"/>
      <c r="G18" s="26"/>
      <c r="H18" s="27"/>
      <c r="I18" s="1" t="s">
        <v>27</v>
      </c>
      <c r="J18" s="1" t="s">
        <v>27</v>
      </c>
      <c r="K18" s="1" t="s">
        <v>27</v>
      </c>
      <c r="L18" s="26"/>
      <c r="M18" s="26"/>
      <c r="N18" s="26"/>
      <c r="O18" s="26"/>
      <c r="P18" s="27"/>
      <c r="Q18" s="50"/>
      <c r="R18" s="26"/>
      <c r="S18" s="26"/>
      <c r="T18" s="17" t="s">
        <v>19</v>
      </c>
      <c r="U18" s="1">
        <v>250</v>
      </c>
      <c r="V18" s="1">
        <v>200</v>
      </c>
      <c r="W18" s="45"/>
      <c r="X18" s="46">
        <v>3</v>
      </c>
      <c r="Y18" s="46">
        <v>3</v>
      </c>
      <c r="Z18" s="1">
        <f t="shared" si="1"/>
        <v>3</v>
      </c>
      <c r="AA18" s="1">
        <f t="shared" si="2"/>
        <v>0</v>
      </c>
      <c r="AB18" s="54">
        <f t="shared" si="3"/>
        <v>0</v>
      </c>
    </row>
    <row r="19" spans="1:28">
      <c r="A19" s="4" t="s">
        <v>6</v>
      </c>
      <c r="B19" s="1" t="s">
        <v>27</v>
      </c>
      <c r="C19" s="2" t="s">
        <v>4</v>
      </c>
      <c r="D19" s="26"/>
      <c r="E19" s="26"/>
      <c r="F19" s="26"/>
      <c r="G19" s="26"/>
      <c r="H19" s="27"/>
      <c r="I19" s="1" t="s">
        <v>27</v>
      </c>
      <c r="J19" s="1" t="s">
        <v>27</v>
      </c>
      <c r="K19" s="1" t="s">
        <v>27</v>
      </c>
      <c r="L19" s="26"/>
      <c r="M19" s="26"/>
      <c r="N19" s="26"/>
      <c r="O19" s="26"/>
      <c r="P19" s="27"/>
      <c r="Q19" s="50"/>
      <c r="R19" s="26"/>
      <c r="S19" s="26"/>
      <c r="T19" s="17" t="s">
        <v>20</v>
      </c>
      <c r="U19" s="1">
        <v>170</v>
      </c>
      <c r="V19" s="1">
        <v>45</v>
      </c>
      <c r="W19" s="45"/>
      <c r="X19" s="46">
        <v>5</v>
      </c>
      <c r="Y19" s="46">
        <v>5</v>
      </c>
      <c r="Z19" s="1">
        <f t="shared" si="1"/>
        <v>5</v>
      </c>
      <c r="AA19" s="1">
        <f t="shared" si="2"/>
        <v>0</v>
      </c>
      <c r="AB19" s="54">
        <f t="shared" si="3"/>
        <v>0</v>
      </c>
    </row>
    <row r="20" spans="1:28">
      <c r="A20" s="3" t="s">
        <v>5</v>
      </c>
      <c r="B20" s="1" t="s">
        <v>27</v>
      </c>
      <c r="C20" s="15" t="s">
        <v>17</v>
      </c>
      <c r="D20" s="26"/>
      <c r="E20" s="26"/>
      <c r="F20" s="26"/>
      <c r="G20" s="26"/>
      <c r="H20" s="27"/>
      <c r="I20" s="1" t="s">
        <v>27</v>
      </c>
      <c r="J20" s="1" t="s">
        <v>27</v>
      </c>
      <c r="K20" s="1" t="s">
        <v>27</v>
      </c>
      <c r="L20" s="26"/>
      <c r="M20" s="26"/>
      <c r="N20" s="26"/>
      <c r="O20" s="26"/>
      <c r="P20" s="27"/>
      <c r="Q20" s="50"/>
      <c r="R20" s="26"/>
      <c r="S20" s="26"/>
      <c r="T20" s="18" t="s">
        <v>21</v>
      </c>
      <c r="U20" s="1">
        <v>250</v>
      </c>
      <c r="V20" s="1">
        <v>200</v>
      </c>
      <c r="W20" s="45"/>
      <c r="X20" s="46">
        <v>0</v>
      </c>
      <c r="Y20" s="46">
        <v>0</v>
      </c>
      <c r="Z20" s="1">
        <f t="shared" si="1"/>
        <v>0</v>
      </c>
      <c r="AA20" s="1">
        <f t="shared" si="2"/>
        <v>0</v>
      </c>
      <c r="AB20" s="54">
        <f t="shared" si="3"/>
        <v>0</v>
      </c>
    </row>
    <row r="21" spans="1:28">
      <c r="A21" s="3" t="s">
        <v>5</v>
      </c>
      <c r="B21" s="1" t="s">
        <v>27</v>
      </c>
      <c r="C21" s="3" t="s">
        <v>5</v>
      </c>
      <c r="D21" s="26"/>
      <c r="E21" s="26"/>
      <c r="F21" s="26"/>
      <c r="G21" s="26"/>
      <c r="H21" s="27"/>
      <c r="I21" s="1" t="s">
        <v>27</v>
      </c>
      <c r="J21" s="1" t="s">
        <v>27</v>
      </c>
      <c r="K21" s="1" t="s">
        <v>27</v>
      </c>
      <c r="L21" s="26"/>
      <c r="M21" s="26"/>
      <c r="N21" s="26"/>
      <c r="O21" s="26"/>
      <c r="P21" s="27"/>
      <c r="Q21" s="50"/>
      <c r="R21" s="26"/>
      <c r="S21" s="26"/>
      <c r="T21" s="19" t="s">
        <v>22</v>
      </c>
      <c r="U21" s="1">
        <v>250</v>
      </c>
      <c r="V21" s="1">
        <v>1000</v>
      </c>
      <c r="W21" s="45"/>
      <c r="X21" s="46">
        <v>2</v>
      </c>
      <c r="Y21" s="46">
        <v>2</v>
      </c>
      <c r="Z21" s="1">
        <f t="shared" si="1"/>
        <v>0</v>
      </c>
      <c r="AA21" s="1">
        <f t="shared" si="2"/>
        <v>0</v>
      </c>
      <c r="AB21" s="54">
        <f t="shared" si="3"/>
        <v>2</v>
      </c>
    </row>
    <row r="22" spans="1:28">
      <c r="A22" s="3" t="s">
        <v>5</v>
      </c>
      <c r="B22" s="1" t="s">
        <v>27</v>
      </c>
      <c r="C22" s="3" t="s">
        <v>5</v>
      </c>
      <c r="D22" s="26"/>
      <c r="E22" s="26"/>
      <c r="F22" s="26"/>
      <c r="G22" s="26"/>
      <c r="H22" s="27"/>
      <c r="I22" s="1" t="s">
        <v>27</v>
      </c>
      <c r="J22" s="1" t="s">
        <v>27</v>
      </c>
      <c r="K22" s="1" t="s">
        <v>27</v>
      </c>
      <c r="L22" s="26"/>
      <c r="M22" s="26"/>
      <c r="N22" s="26"/>
      <c r="O22" s="26"/>
      <c r="P22" s="27"/>
      <c r="Q22" s="50"/>
      <c r="R22" s="26"/>
      <c r="S22" s="26"/>
      <c r="T22" s="20" t="s">
        <v>23</v>
      </c>
      <c r="U22" s="1">
        <v>250</v>
      </c>
      <c r="V22" s="1">
        <v>500</v>
      </c>
      <c r="W22" s="45"/>
      <c r="X22" s="46">
        <v>2</v>
      </c>
      <c r="Y22" s="46">
        <v>2</v>
      </c>
      <c r="Z22" s="1">
        <f t="shared" si="1"/>
        <v>0</v>
      </c>
      <c r="AA22" s="1">
        <f t="shared" si="2"/>
        <v>0</v>
      </c>
      <c r="AB22" s="54">
        <f t="shared" si="3"/>
        <v>2</v>
      </c>
    </row>
    <row r="23" spans="1:28">
      <c r="A23" s="3" t="s">
        <v>5</v>
      </c>
      <c r="B23" s="1" t="s">
        <v>27</v>
      </c>
      <c r="C23" s="3" t="s">
        <v>5</v>
      </c>
      <c r="D23" s="26"/>
      <c r="E23" s="26"/>
      <c r="F23" s="26"/>
      <c r="G23" s="26"/>
      <c r="H23" s="27"/>
      <c r="I23" s="1" t="s">
        <v>27</v>
      </c>
      <c r="J23" s="1" t="s">
        <v>27</v>
      </c>
      <c r="K23" s="1" t="s">
        <v>27</v>
      </c>
      <c r="L23" s="26"/>
      <c r="M23" s="26"/>
      <c r="N23" s="26"/>
      <c r="O23" s="26"/>
      <c r="P23" s="27"/>
      <c r="Q23" s="50"/>
      <c r="R23" s="26"/>
      <c r="S23" s="26"/>
      <c r="T23" s="21" t="s">
        <v>24</v>
      </c>
      <c r="U23" s="1">
        <v>160</v>
      </c>
      <c r="V23" s="1">
        <v>40</v>
      </c>
      <c r="W23" s="45">
        <f t="shared" ref="W23:W26" si="8">U23-V23/0.330882</f>
        <v>39.110982162825422</v>
      </c>
      <c r="X23" s="46">
        <v>0</v>
      </c>
      <c r="Y23" s="46">
        <v>0</v>
      </c>
      <c r="Z23" s="1">
        <f t="shared" si="1"/>
        <v>0</v>
      </c>
      <c r="AA23" s="1">
        <f t="shared" si="2"/>
        <v>0</v>
      </c>
      <c r="AB23" s="54">
        <f t="shared" si="3"/>
        <v>0</v>
      </c>
    </row>
    <row r="24" spans="1:28">
      <c r="A24" s="3" t="s">
        <v>5</v>
      </c>
      <c r="B24" s="1" t="s">
        <v>27</v>
      </c>
      <c r="C24" s="3" t="s">
        <v>5</v>
      </c>
      <c r="D24" s="26"/>
      <c r="E24" s="26"/>
      <c r="F24" s="26"/>
      <c r="G24" s="26"/>
      <c r="H24" s="27"/>
      <c r="I24" s="1" t="s">
        <v>27</v>
      </c>
      <c r="J24" s="1" t="s">
        <v>27</v>
      </c>
      <c r="K24" s="1" t="s">
        <v>27</v>
      </c>
      <c r="L24" s="26"/>
      <c r="M24" s="26"/>
      <c r="N24" s="26"/>
      <c r="O24" s="26"/>
      <c r="P24" s="27"/>
      <c r="Q24" s="50"/>
      <c r="R24" s="26"/>
      <c r="S24" s="26"/>
      <c r="T24" s="21" t="s">
        <v>25</v>
      </c>
      <c r="U24" s="1">
        <v>160</v>
      </c>
      <c r="V24" s="1">
        <v>40</v>
      </c>
      <c r="W24" s="45">
        <f t="shared" si="8"/>
        <v>39.110982162825422</v>
      </c>
      <c r="X24" s="46">
        <v>0</v>
      </c>
      <c r="Y24" s="46">
        <v>0</v>
      </c>
      <c r="Z24" s="1">
        <f t="shared" si="1"/>
        <v>0</v>
      </c>
      <c r="AA24" s="1">
        <f t="shared" si="2"/>
        <v>0</v>
      </c>
      <c r="AB24" s="54">
        <f t="shared" si="3"/>
        <v>0</v>
      </c>
    </row>
    <row r="25" spans="1:28">
      <c r="A25" s="3" t="s">
        <v>5</v>
      </c>
      <c r="B25" s="1" t="s">
        <v>27</v>
      </c>
      <c r="C25" s="3" t="s">
        <v>5</v>
      </c>
      <c r="D25" s="26"/>
      <c r="E25" s="26"/>
      <c r="F25" s="26"/>
      <c r="G25" s="26"/>
      <c r="H25" s="27"/>
      <c r="I25" s="1" t="s">
        <v>27</v>
      </c>
      <c r="J25" s="1" t="s">
        <v>27</v>
      </c>
      <c r="K25" s="1" t="s">
        <v>27</v>
      </c>
      <c r="L25" s="26"/>
      <c r="M25" s="26"/>
      <c r="N25" s="26"/>
      <c r="O25" s="26"/>
      <c r="P25" s="27"/>
      <c r="Q25" s="50"/>
      <c r="R25" s="26"/>
      <c r="S25" s="26"/>
      <c r="T25" s="21" t="s">
        <v>26</v>
      </c>
      <c r="U25" s="1">
        <v>150</v>
      </c>
      <c r="V25" s="1">
        <v>35</v>
      </c>
      <c r="W25" s="45">
        <f t="shared" si="8"/>
        <v>44.222109392472248</v>
      </c>
      <c r="X25" s="46">
        <v>0</v>
      </c>
      <c r="Y25" s="46">
        <v>0</v>
      </c>
      <c r="Z25" s="1">
        <f t="shared" si="1"/>
        <v>0</v>
      </c>
      <c r="AA25" s="1">
        <f t="shared" si="2"/>
        <v>0</v>
      </c>
      <c r="AB25" s="54">
        <f t="shared" si="3"/>
        <v>0</v>
      </c>
    </row>
    <row r="26" spans="1:28">
      <c r="A26" s="4" t="s">
        <v>6</v>
      </c>
      <c r="B26" s="1" t="s">
        <v>27</v>
      </c>
      <c r="C26" s="4" t="s">
        <v>6</v>
      </c>
      <c r="D26" s="26"/>
      <c r="E26" s="26"/>
      <c r="F26" s="26"/>
      <c r="G26" s="26"/>
      <c r="H26" s="27"/>
      <c r="I26" s="1" t="s">
        <v>27</v>
      </c>
      <c r="J26" s="1" t="s">
        <v>27</v>
      </c>
      <c r="K26" s="1" t="s">
        <v>27</v>
      </c>
      <c r="L26" s="26"/>
      <c r="M26" s="26"/>
      <c r="N26" s="26"/>
      <c r="O26" s="26"/>
      <c r="P26" s="27"/>
      <c r="Q26" s="50"/>
      <c r="R26" s="26"/>
      <c r="S26" s="26"/>
      <c r="T26" s="22" t="s">
        <v>27</v>
      </c>
      <c r="U26" s="1">
        <v>0</v>
      </c>
      <c r="V26" s="1">
        <v>0</v>
      </c>
      <c r="W26" s="45">
        <f t="shared" si="8"/>
        <v>0</v>
      </c>
      <c r="X26" s="46">
        <v>0</v>
      </c>
      <c r="Y26" s="46">
        <v>0</v>
      </c>
      <c r="Z26" s="1"/>
      <c r="AA26" s="1"/>
      <c r="AB26" s="54"/>
    </row>
    <row r="27" spans="1:28">
      <c r="A27" s="4" t="s">
        <v>6</v>
      </c>
      <c r="B27" s="1" t="s">
        <v>27</v>
      </c>
      <c r="C27" s="4" t="s">
        <v>6</v>
      </c>
      <c r="D27" s="26"/>
      <c r="E27" s="26"/>
      <c r="F27" s="26"/>
      <c r="G27" s="26"/>
      <c r="H27" s="27"/>
      <c r="I27" s="1" t="s">
        <v>27</v>
      </c>
      <c r="J27" s="1" t="s">
        <v>27</v>
      </c>
      <c r="K27" s="1" t="s">
        <v>27</v>
      </c>
      <c r="L27" s="26"/>
      <c r="M27" s="26"/>
      <c r="N27" s="26"/>
      <c r="O27" s="26"/>
      <c r="P27" s="27"/>
      <c r="Q27" s="50"/>
      <c r="R27" s="26"/>
      <c r="S27" s="26"/>
      <c r="T27" s="16" t="s">
        <v>28</v>
      </c>
      <c r="U27" s="1">
        <v>-200</v>
      </c>
      <c r="V27" s="1">
        <v>0</v>
      </c>
      <c r="W27" s="45"/>
      <c r="X27" s="46">
        <v>12</v>
      </c>
      <c r="Y27" s="46">
        <v>12</v>
      </c>
      <c r="Z27" s="1">
        <f t="shared" si="1"/>
        <v>0</v>
      </c>
      <c r="AA27" s="1">
        <f t="shared" si="2"/>
        <v>0</v>
      </c>
      <c r="AB27" s="54">
        <f t="shared" si="3"/>
        <v>12</v>
      </c>
    </row>
    <row r="28" spans="1:28">
      <c r="A28" s="4" t="s">
        <v>6</v>
      </c>
      <c r="B28" s="1" t="s">
        <v>27</v>
      </c>
      <c r="C28" s="4" t="s">
        <v>6</v>
      </c>
      <c r="D28" s="26"/>
      <c r="E28" s="26"/>
      <c r="F28" s="26"/>
      <c r="G28" s="26"/>
      <c r="H28" s="27"/>
      <c r="I28" s="1" t="s">
        <v>27</v>
      </c>
      <c r="J28" s="1" t="s">
        <v>27</v>
      </c>
      <c r="K28" s="1" t="s">
        <v>27</v>
      </c>
      <c r="L28" s="26"/>
      <c r="M28" s="26"/>
      <c r="N28" s="26"/>
      <c r="O28" s="26"/>
      <c r="P28" s="27"/>
      <c r="Q28" s="50"/>
      <c r="R28" s="26"/>
      <c r="S28" s="26"/>
      <c r="T28" s="23" t="s">
        <v>29</v>
      </c>
      <c r="U28" s="1">
        <v>50</v>
      </c>
      <c r="V28" s="1">
        <v>520</v>
      </c>
      <c r="W28" s="45"/>
      <c r="X28" s="46">
        <v>3</v>
      </c>
      <c r="Y28" s="46">
        <v>3</v>
      </c>
      <c r="Z28" s="1">
        <f t="shared" si="1"/>
        <v>1</v>
      </c>
      <c r="AA28" s="1">
        <f t="shared" si="2"/>
        <v>0</v>
      </c>
      <c r="AB28" s="54">
        <f t="shared" si="3"/>
        <v>2</v>
      </c>
    </row>
    <row r="29" spans="1:28" ht="15.75" thickBot="1">
      <c r="A29" s="4" t="s">
        <v>6</v>
      </c>
      <c r="B29" s="1" t="s">
        <v>27</v>
      </c>
      <c r="C29" s="4" t="s">
        <v>6</v>
      </c>
      <c r="D29" s="26"/>
      <c r="E29" s="26"/>
      <c r="F29" s="26"/>
      <c r="G29" s="26"/>
      <c r="H29" s="27"/>
      <c r="I29" s="1" t="s">
        <v>27</v>
      </c>
      <c r="J29" s="1" t="s">
        <v>27</v>
      </c>
      <c r="K29" s="1" t="s">
        <v>27</v>
      </c>
      <c r="L29" s="26"/>
      <c r="M29" s="26"/>
      <c r="N29" s="26"/>
      <c r="O29" s="26"/>
      <c r="P29" s="27"/>
      <c r="Q29" s="56"/>
      <c r="R29" s="31"/>
      <c r="S29" s="31"/>
      <c r="T29" s="30"/>
      <c r="U29" s="30"/>
      <c r="V29" s="30"/>
      <c r="W29" s="30"/>
      <c r="X29" s="30"/>
      <c r="Y29" s="30"/>
      <c r="Z29" s="30"/>
      <c r="AA29" s="30"/>
      <c r="AB29" s="57"/>
    </row>
    <row r="30" spans="1:28">
      <c r="A30" s="4" t="s">
        <v>6</v>
      </c>
      <c r="B30" s="1" t="s">
        <v>27</v>
      </c>
      <c r="C30" s="4" t="s">
        <v>6</v>
      </c>
      <c r="D30" s="26"/>
      <c r="E30" s="26"/>
      <c r="F30" s="26"/>
      <c r="G30" s="26"/>
      <c r="H30" s="27"/>
      <c r="I30" s="1" t="s">
        <v>27</v>
      </c>
      <c r="J30" s="1" t="s">
        <v>27</v>
      </c>
      <c r="K30" s="1" t="s">
        <v>27</v>
      </c>
      <c r="L30" s="26"/>
      <c r="M30" s="26"/>
      <c r="N30" s="26"/>
      <c r="O30" s="26"/>
      <c r="P30" s="27"/>
    </row>
    <row r="31" spans="1:28">
      <c r="A31" s="4" t="s">
        <v>6</v>
      </c>
      <c r="B31" s="1" t="s">
        <v>27</v>
      </c>
      <c r="C31" s="4" t="s">
        <v>6</v>
      </c>
      <c r="D31" s="26"/>
      <c r="E31" s="26"/>
      <c r="F31" s="26"/>
      <c r="G31" s="26"/>
      <c r="H31" s="27"/>
      <c r="I31" s="1" t="s">
        <v>27</v>
      </c>
      <c r="J31" s="1" t="s">
        <v>27</v>
      </c>
      <c r="K31" s="1" t="s">
        <v>27</v>
      </c>
      <c r="L31" s="26"/>
      <c r="M31" s="26"/>
      <c r="N31" s="26"/>
      <c r="O31" s="26"/>
      <c r="P31" s="27"/>
      <c r="Y31">
        <f>SUM(Y3:Y28)</f>
        <v>1077</v>
      </c>
    </row>
    <row r="32" spans="1:28">
      <c r="A32" s="4" t="s">
        <v>6</v>
      </c>
      <c r="B32" s="1" t="s">
        <v>27</v>
      </c>
      <c r="C32" s="16" t="s">
        <v>18</v>
      </c>
      <c r="D32" s="26"/>
      <c r="E32" s="26"/>
      <c r="F32" s="26"/>
      <c r="G32" s="26"/>
      <c r="H32" s="27"/>
      <c r="I32" s="1" t="s">
        <v>27</v>
      </c>
      <c r="J32" s="1" t="s">
        <v>27</v>
      </c>
      <c r="K32" s="1" t="s">
        <v>27</v>
      </c>
      <c r="L32" s="26"/>
      <c r="M32" s="26"/>
      <c r="N32" s="26"/>
      <c r="O32" s="26"/>
      <c r="P32" s="27"/>
      <c r="Q32" t="s">
        <v>57</v>
      </c>
      <c r="R32">
        <v>1</v>
      </c>
      <c r="S32" t="s">
        <v>59</v>
      </c>
    </row>
    <row r="33" spans="1:19">
      <c r="A33" s="4" t="s">
        <v>6</v>
      </c>
      <c r="B33" s="1" t="s">
        <v>27</v>
      </c>
      <c r="C33" s="4" t="s">
        <v>6</v>
      </c>
      <c r="D33" s="26"/>
      <c r="E33" s="26"/>
      <c r="F33" s="26"/>
      <c r="G33" s="26"/>
      <c r="H33" s="27"/>
      <c r="I33" s="1" t="s">
        <v>27</v>
      </c>
      <c r="J33" s="1" t="s">
        <v>27</v>
      </c>
      <c r="K33" s="1" t="s">
        <v>27</v>
      </c>
      <c r="L33" s="26"/>
      <c r="M33" s="26"/>
      <c r="N33" s="26"/>
      <c r="O33" s="26"/>
      <c r="P33" s="27"/>
      <c r="R33">
        <v>2</v>
      </c>
      <c r="S33" t="s">
        <v>60</v>
      </c>
    </row>
    <row r="34" spans="1:19">
      <c r="A34" s="17" t="s">
        <v>20</v>
      </c>
      <c r="B34" s="1" t="s">
        <v>27</v>
      </c>
      <c r="C34" s="4" t="s">
        <v>6</v>
      </c>
      <c r="D34" s="26"/>
      <c r="E34" s="26"/>
      <c r="F34" s="26"/>
      <c r="G34" s="26"/>
      <c r="H34" s="27"/>
      <c r="I34" s="28" t="s">
        <v>27</v>
      </c>
      <c r="J34" s="1" t="s">
        <v>27</v>
      </c>
      <c r="K34" s="1" t="s">
        <v>27</v>
      </c>
      <c r="L34" s="26"/>
      <c r="M34" s="26"/>
      <c r="N34" s="26"/>
      <c r="O34" s="26"/>
      <c r="P34" s="27"/>
      <c r="R34">
        <v>3</v>
      </c>
      <c r="S34" t="s">
        <v>58</v>
      </c>
    </row>
    <row r="35" spans="1:19">
      <c r="A35" s="9" t="s">
        <v>11</v>
      </c>
      <c r="B35" s="1" t="s">
        <v>27</v>
      </c>
      <c r="C35" s="17" t="s">
        <v>20</v>
      </c>
      <c r="D35" s="26"/>
      <c r="E35" s="26"/>
      <c r="F35" s="26"/>
      <c r="G35" s="26"/>
      <c r="H35" s="27"/>
      <c r="I35" s="28" t="s">
        <v>27</v>
      </c>
      <c r="J35" s="1" t="s">
        <v>27</v>
      </c>
      <c r="K35" s="1" t="s">
        <v>27</v>
      </c>
      <c r="L35" s="26"/>
      <c r="M35" s="26"/>
      <c r="N35" s="26"/>
      <c r="O35" s="26"/>
      <c r="P35" s="27"/>
      <c r="R35">
        <v>4</v>
      </c>
      <c r="S35" t="s">
        <v>61</v>
      </c>
    </row>
    <row r="36" spans="1:19">
      <c r="A36" s="3" t="s">
        <v>5</v>
      </c>
      <c r="B36" s="1" t="s">
        <v>27</v>
      </c>
      <c r="C36" s="4" t="s">
        <v>6</v>
      </c>
      <c r="D36" s="26"/>
      <c r="E36" s="26"/>
      <c r="F36" s="26"/>
      <c r="G36" s="26"/>
      <c r="H36" s="27"/>
      <c r="I36" s="28" t="s">
        <v>27</v>
      </c>
      <c r="J36" s="1" t="s">
        <v>27</v>
      </c>
      <c r="K36" s="1" t="s">
        <v>27</v>
      </c>
      <c r="L36" s="26"/>
      <c r="M36" s="26"/>
      <c r="N36" s="26"/>
      <c r="O36" s="26"/>
      <c r="P36" s="27"/>
      <c r="S36" t="s">
        <v>62</v>
      </c>
    </row>
    <row r="37" spans="1:19">
      <c r="A37" s="3" t="s">
        <v>5</v>
      </c>
      <c r="B37" s="1" t="s">
        <v>27</v>
      </c>
      <c r="C37" s="4" t="s">
        <v>6</v>
      </c>
      <c r="D37" s="26"/>
      <c r="E37" s="26"/>
      <c r="F37" s="26"/>
      <c r="G37" s="26"/>
      <c r="H37" s="27"/>
      <c r="I37" s="28" t="s">
        <v>27</v>
      </c>
      <c r="J37" s="1" t="s">
        <v>27</v>
      </c>
      <c r="K37" s="1" t="s">
        <v>27</v>
      </c>
      <c r="L37" s="26"/>
      <c r="M37" s="26"/>
      <c r="N37" s="26"/>
      <c r="O37" s="26"/>
      <c r="P37" s="27"/>
      <c r="R37">
        <v>5</v>
      </c>
      <c r="S37" t="s">
        <v>63</v>
      </c>
    </row>
    <row r="38" spans="1:19">
      <c r="A38" s="3" t="s">
        <v>5</v>
      </c>
      <c r="B38" s="1" t="s">
        <v>27</v>
      </c>
      <c r="C38" s="4" t="s">
        <v>6</v>
      </c>
      <c r="D38" s="26"/>
      <c r="E38" s="26"/>
      <c r="F38" s="26"/>
      <c r="G38" s="26"/>
      <c r="H38" s="27"/>
      <c r="I38" s="28" t="s">
        <v>27</v>
      </c>
      <c r="J38" s="1" t="s">
        <v>27</v>
      </c>
      <c r="K38" s="1" t="s">
        <v>27</v>
      </c>
      <c r="L38" s="26"/>
      <c r="M38" s="26"/>
      <c r="N38" s="26"/>
      <c r="O38" s="26"/>
      <c r="P38" s="27"/>
      <c r="R38">
        <v>6</v>
      </c>
      <c r="S38" t="s">
        <v>64</v>
      </c>
    </row>
    <row r="39" spans="1:19">
      <c r="A39" s="4" t="s">
        <v>6</v>
      </c>
      <c r="B39" s="1" t="s">
        <v>27</v>
      </c>
      <c r="C39" s="17" t="s">
        <v>19</v>
      </c>
      <c r="D39" s="26"/>
      <c r="E39" s="26"/>
      <c r="F39" s="26"/>
      <c r="G39" s="26"/>
      <c r="H39" s="27"/>
      <c r="I39" s="28" t="s">
        <v>27</v>
      </c>
      <c r="J39" s="1" t="s">
        <v>27</v>
      </c>
      <c r="K39" s="1" t="s">
        <v>27</v>
      </c>
      <c r="L39" s="26"/>
      <c r="M39" s="26"/>
      <c r="N39" s="26"/>
      <c r="O39" s="26"/>
      <c r="P39" s="27"/>
      <c r="R39">
        <v>7</v>
      </c>
      <c r="S39" t="s">
        <v>65</v>
      </c>
    </row>
    <row r="40" spans="1:19">
      <c r="A40" s="4" t="s">
        <v>6</v>
      </c>
      <c r="B40" s="1" t="s">
        <v>27</v>
      </c>
      <c r="C40" s="4" t="s">
        <v>6</v>
      </c>
      <c r="D40" s="26"/>
      <c r="E40" s="26"/>
      <c r="F40" s="26"/>
      <c r="G40" s="26"/>
      <c r="H40" s="27"/>
      <c r="I40" s="28" t="s">
        <v>27</v>
      </c>
      <c r="J40" s="1" t="s">
        <v>27</v>
      </c>
      <c r="K40" s="1" t="s">
        <v>27</v>
      </c>
      <c r="L40" s="26"/>
      <c r="M40" s="26"/>
      <c r="N40" s="26"/>
      <c r="O40" s="26"/>
      <c r="P40" s="27"/>
    </row>
    <row r="41" spans="1:19">
      <c r="A41" s="4" t="s">
        <v>6</v>
      </c>
      <c r="B41" s="1" t="s">
        <v>27</v>
      </c>
      <c r="C41" s="9" t="s">
        <v>11</v>
      </c>
      <c r="D41" s="26"/>
      <c r="E41" s="26"/>
      <c r="F41" s="26"/>
      <c r="G41" s="26"/>
      <c r="H41" s="27"/>
      <c r="I41" s="28" t="s">
        <v>27</v>
      </c>
      <c r="J41" s="1" t="s">
        <v>27</v>
      </c>
      <c r="K41" s="1" t="s">
        <v>27</v>
      </c>
      <c r="L41" s="26"/>
      <c r="M41" s="26"/>
      <c r="N41" s="26"/>
      <c r="O41" s="26"/>
      <c r="P41" s="27"/>
    </row>
    <row r="42" spans="1:19">
      <c r="A42" s="17" t="s">
        <v>19</v>
      </c>
      <c r="B42" s="1" t="s">
        <v>27</v>
      </c>
      <c r="C42" s="3" t="s">
        <v>5</v>
      </c>
      <c r="D42" s="26"/>
      <c r="E42" s="26"/>
      <c r="F42" s="26"/>
      <c r="G42" s="26"/>
      <c r="H42" s="27"/>
      <c r="I42" s="28" t="s">
        <v>27</v>
      </c>
      <c r="J42" s="1" t="s">
        <v>27</v>
      </c>
      <c r="K42" s="1" t="s">
        <v>27</v>
      </c>
      <c r="L42" s="26"/>
      <c r="M42" s="26"/>
      <c r="N42" s="26"/>
      <c r="O42" s="26"/>
      <c r="P42" s="27"/>
    </row>
    <row r="43" spans="1:19">
      <c r="A43" s="4" t="s">
        <v>6</v>
      </c>
      <c r="B43" s="1" t="s">
        <v>27</v>
      </c>
      <c r="C43" s="3" t="s">
        <v>5</v>
      </c>
      <c r="D43" s="26"/>
      <c r="E43" s="26"/>
      <c r="F43" s="26"/>
      <c r="G43" s="26"/>
      <c r="H43" s="27"/>
      <c r="I43" s="28" t="s">
        <v>27</v>
      </c>
      <c r="J43" s="1" t="s">
        <v>27</v>
      </c>
      <c r="K43" s="1" t="s">
        <v>27</v>
      </c>
      <c r="L43" s="26"/>
      <c r="M43" s="26"/>
      <c r="N43" s="26"/>
      <c r="O43" s="26"/>
      <c r="P43" s="27"/>
    </row>
    <row r="44" spans="1:19">
      <c r="A44" s="16" t="s">
        <v>18</v>
      </c>
      <c r="B44" s="1" t="s">
        <v>27</v>
      </c>
      <c r="C44" s="3" t="s">
        <v>5</v>
      </c>
      <c r="D44" s="26"/>
      <c r="E44" s="26"/>
      <c r="F44" s="26"/>
      <c r="G44" s="26"/>
      <c r="H44" s="27"/>
      <c r="I44" s="28" t="s">
        <v>27</v>
      </c>
      <c r="J44" s="1" t="s">
        <v>27</v>
      </c>
      <c r="K44" s="1" t="s">
        <v>27</v>
      </c>
      <c r="L44" s="26"/>
      <c r="M44" s="26"/>
      <c r="N44" s="26"/>
      <c r="O44" s="26"/>
      <c r="P44" s="27"/>
    </row>
    <row r="45" spans="1:19">
      <c r="A45" s="3" t="s">
        <v>5</v>
      </c>
      <c r="B45" s="1" t="s">
        <v>27</v>
      </c>
      <c r="C45" s="3" t="s">
        <v>5</v>
      </c>
      <c r="D45" s="26"/>
      <c r="E45" s="26"/>
      <c r="F45" s="26"/>
      <c r="G45" s="26"/>
      <c r="H45" s="27"/>
      <c r="I45" s="28" t="s">
        <v>27</v>
      </c>
      <c r="J45" s="1" t="s">
        <v>27</v>
      </c>
      <c r="K45" s="1" t="s">
        <v>27</v>
      </c>
      <c r="L45" s="26"/>
      <c r="M45" s="26"/>
      <c r="N45" s="26"/>
      <c r="O45" s="26"/>
      <c r="P45" s="27"/>
    </row>
    <row r="46" spans="1:19">
      <c r="A46" s="9" t="s">
        <v>11</v>
      </c>
      <c r="B46" s="1" t="s">
        <v>27</v>
      </c>
      <c r="C46" s="3" t="s">
        <v>5</v>
      </c>
      <c r="D46" s="26"/>
      <c r="E46" s="26"/>
      <c r="F46" s="26"/>
      <c r="G46" s="26"/>
      <c r="H46" s="27"/>
      <c r="I46" s="28" t="s">
        <v>27</v>
      </c>
      <c r="J46" s="1" t="s">
        <v>27</v>
      </c>
      <c r="K46" s="1" t="s">
        <v>27</v>
      </c>
      <c r="L46" s="26"/>
      <c r="M46" s="26"/>
      <c r="N46" s="26"/>
      <c r="O46" s="26"/>
      <c r="P46" s="27"/>
    </row>
    <row r="47" spans="1:19">
      <c r="A47" s="3" t="s">
        <v>5</v>
      </c>
      <c r="B47" s="1" t="s">
        <v>27</v>
      </c>
      <c r="C47" s="9" t="s">
        <v>11</v>
      </c>
      <c r="D47" s="26"/>
      <c r="E47" s="26"/>
      <c r="F47" s="26"/>
      <c r="G47" s="26"/>
      <c r="H47" s="27"/>
      <c r="I47" s="28" t="s">
        <v>27</v>
      </c>
      <c r="J47" s="1" t="s">
        <v>27</v>
      </c>
      <c r="K47" s="1" t="s">
        <v>27</v>
      </c>
      <c r="L47" s="26"/>
      <c r="M47" s="26"/>
      <c r="N47" s="26"/>
      <c r="O47" s="26"/>
      <c r="P47" s="27"/>
    </row>
    <row r="48" spans="1:19">
      <c r="A48" s="4" t="s">
        <v>6</v>
      </c>
      <c r="B48" s="1" t="s">
        <v>27</v>
      </c>
      <c r="C48" s="3" t="s">
        <v>5</v>
      </c>
      <c r="D48" s="26"/>
      <c r="E48" s="26"/>
      <c r="F48" s="26"/>
      <c r="G48" s="26"/>
      <c r="H48" s="27"/>
      <c r="I48" s="28" t="s">
        <v>27</v>
      </c>
      <c r="J48" s="1" t="s">
        <v>27</v>
      </c>
      <c r="K48" s="1" t="s">
        <v>27</v>
      </c>
      <c r="L48" s="26"/>
      <c r="M48" s="26"/>
      <c r="N48" s="26"/>
      <c r="O48" s="26"/>
      <c r="P48" s="27"/>
    </row>
    <row r="49" spans="1:16">
      <c r="A49" s="4" t="s">
        <v>6</v>
      </c>
      <c r="B49" s="1" t="s">
        <v>27</v>
      </c>
      <c r="C49" s="3" t="s">
        <v>5</v>
      </c>
      <c r="D49" s="26"/>
      <c r="E49" s="26"/>
      <c r="F49" s="26"/>
      <c r="G49" s="26"/>
      <c r="H49" s="27"/>
      <c r="I49" s="28" t="s">
        <v>27</v>
      </c>
      <c r="J49" s="1" t="s">
        <v>27</v>
      </c>
      <c r="K49" s="1" t="s">
        <v>27</v>
      </c>
      <c r="L49" s="26"/>
      <c r="M49" s="26"/>
      <c r="N49" s="26"/>
      <c r="O49" s="26"/>
      <c r="P49" s="27"/>
    </row>
    <row r="50" spans="1:16">
      <c r="A50" s="4" t="s">
        <v>6</v>
      </c>
      <c r="B50" s="1" t="s">
        <v>27</v>
      </c>
      <c r="C50" s="4" t="s">
        <v>6</v>
      </c>
      <c r="D50" s="26"/>
      <c r="E50" s="26"/>
      <c r="F50" s="26"/>
      <c r="G50" s="26"/>
      <c r="H50" s="27"/>
      <c r="I50" s="28" t="s">
        <v>27</v>
      </c>
      <c r="J50" s="1" t="s">
        <v>27</v>
      </c>
      <c r="K50" s="1" t="s">
        <v>27</v>
      </c>
      <c r="L50" s="26"/>
      <c r="M50" s="26"/>
      <c r="N50" s="26"/>
      <c r="O50" s="26"/>
      <c r="P50" s="27"/>
    </row>
    <row r="51" spans="1:16">
      <c r="A51" s="4" t="s">
        <v>6</v>
      </c>
      <c r="B51" s="1" t="s">
        <v>27</v>
      </c>
      <c r="C51" s="4" t="s">
        <v>6</v>
      </c>
      <c r="D51" s="26"/>
      <c r="E51" s="26"/>
      <c r="F51" s="26"/>
      <c r="G51" s="26"/>
      <c r="H51" s="27"/>
      <c r="I51" s="28" t="s">
        <v>27</v>
      </c>
      <c r="J51" s="1" t="s">
        <v>27</v>
      </c>
      <c r="K51" s="1" t="s">
        <v>27</v>
      </c>
      <c r="L51" s="26"/>
      <c r="M51" s="26"/>
      <c r="N51" s="26"/>
      <c r="O51" s="26"/>
      <c r="P51" s="27"/>
    </row>
    <row r="52" spans="1:16">
      <c r="A52" s="4" t="s">
        <v>6</v>
      </c>
      <c r="B52" s="1" t="s">
        <v>27</v>
      </c>
      <c r="C52" s="4" t="s">
        <v>6</v>
      </c>
      <c r="D52" s="26"/>
      <c r="E52" s="26"/>
      <c r="F52" s="26"/>
      <c r="G52" s="26"/>
      <c r="H52" s="27"/>
      <c r="I52" s="28" t="s">
        <v>27</v>
      </c>
      <c r="J52" s="1" t="s">
        <v>27</v>
      </c>
      <c r="K52" s="1" t="s">
        <v>27</v>
      </c>
      <c r="L52" s="26"/>
      <c r="M52" s="26"/>
      <c r="N52" s="26"/>
      <c r="O52" s="26"/>
      <c r="P52" s="27"/>
    </row>
    <row r="53" spans="1:16">
      <c r="A53" s="17" t="s">
        <v>20</v>
      </c>
      <c r="B53" s="1" t="s">
        <v>27</v>
      </c>
      <c r="C53" s="4" t="s">
        <v>6</v>
      </c>
      <c r="D53" s="26"/>
      <c r="E53" s="26"/>
      <c r="F53" s="26"/>
      <c r="G53" s="26"/>
      <c r="H53" s="27"/>
      <c r="I53" s="28" t="s">
        <v>27</v>
      </c>
      <c r="J53" s="1" t="s">
        <v>27</v>
      </c>
      <c r="K53" s="1" t="s">
        <v>27</v>
      </c>
      <c r="L53" s="26"/>
      <c r="M53" s="26"/>
      <c r="N53" s="26"/>
      <c r="O53" s="26"/>
      <c r="P53" s="27"/>
    </row>
    <row r="54" spans="1:16">
      <c r="A54" s="1" t="s">
        <v>27</v>
      </c>
      <c r="B54" s="1" t="s">
        <v>27</v>
      </c>
      <c r="C54" s="4" t="s">
        <v>6</v>
      </c>
      <c r="D54" s="26"/>
      <c r="E54" s="26"/>
      <c r="F54" s="26"/>
      <c r="G54" s="26"/>
      <c r="H54" s="27"/>
      <c r="I54" s="28" t="s">
        <v>27</v>
      </c>
      <c r="J54" s="1" t="s">
        <v>27</v>
      </c>
      <c r="K54" s="1" t="s">
        <v>27</v>
      </c>
      <c r="L54" s="26"/>
      <c r="M54" s="26"/>
      <c r="N54" s="26"/>
      <c r="O54" s="26"/>
      <c r="P54" s="27"/>
    </row>
    <row r="55" spans="1:16">
      <c r="A55" s="1" t="s">
        <v>27</v>
      </c>
      <c r="B55" s="1" t="s">
        <v>27</v>
      </c>
      <c r="C55" s="17" t="s">
        <v>20</v>
      </c>
      <c r="D55" s="26"/>
      <c r="E55" s="26"/>
      <c r="F55" s="26"/>
      <c r="G55" s="26"/>
      <c r="H55" s="27"/>
      <c r="I55" s="28" t="s">
        <v>27</v>
      </c>
      <c r="J55" s="1" t="s">
        <v>27</v>
      </c>
      <c r="K55" s="1" t="s">
        <v>27</v>
      </c>
      <c r="L55" s="26"/>
      <c r="M55" s="26"/>
      <c r="N55" s="26"/>
      <c r="O55" s="26"/>
      <c r="P55" s="27"/>
    </row>
    <row r="56" spans="1:16">
      <c r="A56" s="28" t="s">
        <v>27</v>
      </c>
      <c r="B56" s="1" t="s">
        <v>27</v>
      </c>
      <c r="C56" s="1" t="s">
        <v>27</v>
      </c>
      <c r="D56" s="26"/>
      <c r="E56" s="26"/>
      <c r="F56" s="26"/>
      <c r="G56" s="26"/>
      <c r="H56" s="27"/>
      <c r="I56" s="28" t="s">
        <v>27</v>
      </c>
      <c r="J56" s="1" t="s">
        <v>27</v>
      </c>
      <c r="K56" s="1" t="s">
        <v>27</v>
      </c>
      <c r="L56" s="26"/>
      <c r="M56" s="26"/>
      <c r="N56" s="26"/>
      <c r="O56" s="26"/>
      <c r="P56" s="27"/>
    </row>
    <row r="57" spans="1:16">
      <c r="A57" s="28" t="s">
        <v>27</v>
      </c>
      <c r="B57" s="1" t="s">
        <v>27</v>
      </c>
      <c r="C57" s="1" t="s">
        <v>27</v>
      </c>
      <c r="D57" s="26"/>
      <c r="E57" s="26"/>
      <c r="F57" s="26"/>
      <c r="G57" s="26"/>
      <c r="H57" s="27"/>
      <c r="I57" s="28" t="s">
        <v>27</v>
      </c>
      <c r="J57" s="1" t="s">
        <v>27</v>
      </c>
      <c r="K57" s="1" t="s">
        <v>27</v>
      </c>
      <c r="L57" s="26"/>
      <c r="M57" s="26"/>
      <c r="N57" s="26"/>
      <c r="O57" s="26"/>
      <c r="P57" s="27"/>
    </row>
    <row r="58" spans="1:16">
      <c r="A58" s="28" t="s">
        <v>27</v>
      </c>
      <c r="B58" s="1" t="s">
        <v>27</v>
      </c>
      <c r="C58" s="1" t="s">
        <v>27</v>
      </c>
      <c r="D58" s="26"/>
      <c r="E58" s="26"/>
      <c r="F58" s="26"/>
      <c r="G58" s="26"/>
      <c r="H58" s="27"/>
      <c r="I58" s="28" t="s">
        <v>27</v>
      </c>
      <c r="J58" s="1" t="s">
        <v>27</v>
      </c>
      <c r="K58" s="1" t="s">
        <v>27</v>
      </c>
      <c r="L58" s="26"/>
      <c r="M58" s="26"/>
      <c r="N58" s="26"/>
      <c r="O58" s="26"/>
      <c r="P58" s="27"/>
    </row>
    <row r="59" spans="1:16">
      <c r="A59" s="28" t="s">
        <v>27</v>
      </c>
      <c r="B59" s="1" t="s">
        <v>27</v>
      </c>
      <c r="C59" s="1" t="s">
        <v>27</v>
      </c>
      <c r="D59" s="26"/>
      <c r="E59" s="26"/>
      <c r="F59" s="26"/>
      <c r="G59" s="26"/>
      <c r="H59" s="27"/>
      <c r="I59" s="28" t="s">
        <v>27</v>
      </c>
      <c r="J59" s="1" t="s">
        <v>27</v>
      </c>
      <c r="K59" s="1" t="s">
        <v>27</v>
      </c>
      <c r="L59" s="26"/>
      <c r="M59" s="26"/>
      <c r="N59" s="26"/>
      <c r="O59" s="26"/>
      <c r="P59" s="27"/>
    </row>
    <row r="60" spans="1:16">
      <c r="A60" s="28" t="s">
        <v>27</v>
      </c>
      <c r="B60" s="1" t="s">
        <v>27</v>
      </c>
      <c r="C60" s="1" t="s">
        <v>27</v>
      </c>
      <c r="D60" s="26"/>
      <c r="E60" s="26"/>
      <c r="F60" s="26"/>
      <c r="G60" s="26"/>
      <c r="H60" s="27"/>
      <c r="I60" s="28" t="s">
        <v>27</v>
      </c>
      <c r="J60" s="1" t="s">
        <v>27</v>
      </c>
      <c r="K60" s="1" t="s">
        <v>27</v>
      </c>
      <c r="L60" s="26"/>
      <c r="M60" s="26"/>
      <c r="N60" s="26"/>
      <c r="O60" s="26"/>
      <c r="P60" s="27"/>
    </row>
    <row r="61" spans="1:16">
      <c r="A61" s="28" t="s">
        <v>27</v>
      </c>
      <c r="B61" s="1" t="s">
        <v>27</v>
      </c>
      <c r="C61" s="1" t="s">
        <v>27</v>
      </c>
      <c r="D61" s="26"/>
      <c r="E61" s="26"/>
      <c r="F61" s="26"/>
      <c r="G61" s="26"/>
      <c r="H61" s="27"/>
      <c r="I61" s="28" t="s">
        <v>27</v>
      </c>
      <c r="J61" s="1" t="s">
        <v>27</v>
      </c>
      <c r="K61" s="1" t="s">
        <v>27</v>
      </c>
      <c r="L61" s="26"/>
      <c r="M61" s="26"/>
      <c r="N61" s="26"/>
      <c r="O61" s="26"/>
      <c r="P61" s="27"/>
    </row>
    <row r="62" spans="1:16">
      <c r="A62" s="28" t="s">
        <v>27</v>
      </c>
      <c r="B62" s="1" t="s">
        <v>27</v>
      </c>
      <c r="C62" s="1" t="s">
        <v>27</v>
      </c>
      <c r="D62" s="26"/>
      <c r="E62" s="26"/>
      <c r="F62" s="26"/>
      <c r="G62" s="26"/>
      <c r="H62" s="27"/>
      <c r="I62" s="28" t="s">
        <v>27</v>
      </c>
      <c r="J62" s="1" t="s">
        <v>27</v>
      </c>
      <c r="K62" s="1" t="s">
        <v>27</v>
      </c>
      <c r="L62" s="26"/>
      <c r="M62" s="26"/>
      <c r="N62" s="26"/>
      <c r="O62" s="26"/>
      <c r="P62" s="27"/>
    </row>
    <row r="63" spans="1:16">
      <c r="A63" s="28" t="s">
        <v>27</v>
      </c>
      <c r="B63" s="1" t="s">
        <v>27</v>
      </c>
      <c r="C63" s="1" t="s">
        <v>27</v>
      </c>
      <c r="D63" s="26"/>
      <c r="E63" s="26"/>
      <c r="F63" s="26"/>
      <c r="G63" s="26"/>
      <c r="H63" s="27"/>
      <c r="I63" s="28" t="s">
        <v>27</v>
      </c>
      <c r="J63" s="1" t="s">
        <v>27</v>
      </c>
      <c r="K63" s="1" t="s">
        <v>27</v>
      </c>
      <c r="L63" s="26"/>
      <c r="M63" s="26"/>
      <c r="N63" s="26"/>
      <c r="O63" s="26"/>
      <c r="P63" s="27"/>
    </row>
    <row r="64" spans="1:16">
      <c r="A64" s="28" t="s">
        <v>27</v>
      </c>
      <c r="B64" s="1" t="s">
        <v>27</v>
      </c>
      <c r="C64" s="1" t="s">
        <v>27</v>
      </c>
      <c r="D64" s="26"/>
      <c r="E64" s="26"/>
      <c r="F64" s="26"/>
      <c r="G64" s="26"/>
      <c r="H64" s="27"/>
      <c r="I64" s="28" t="s">
        <v>27</v>
      </c>
      <c r="J64" s="1" t="s">
        <v>27</v>
      </c>
      <c r="K64" s="1" t="s">
        <v>27</v>
      </c>
      <c r="L64" s="26"/>
      <c r="M64" s="26"/>
      <c r="N64" s="26"/>
      <c r="O64" s="26"/>
      <c r="P64" s="27"/>
    </row>
    <row r="65" spans="1:16">
      <c r="A65" s="28" t="s">
        <v>27</v>
      </c>
      <c r="B65" s="1" t="s">
        <v>27</v>
      </c>
      <c r="C65" s="1" t="s">
        <v>27</v>
      </c>
      <c r="D65" s="26"/>
      <c r="E65" s="26"/>
      <c r="F65" s="26"/>
      <c r="G65" s="26"/>
      <c r="H65" s="27"/>
      <c r="I65" s="28" t="s">
        <v>27</v>
      </c>
      <c r="J65" s="1" t="s">
        <v>27</v>
      </c>
      <c r="K65" s="1" t="s">
        <v>27</v>
      </c>
      <c r="L65" s="26"/>
      <c r="M65" s="26"/>
      <c r="N65" s="26"/>
      <c r="O65" s="26"/>
      <c r="P65" s="27"/>
    </row>
    <row r="66" spans="1:16">
      <c r="A66" s="28" t="s">
        <v>27</v>
      </c>
      <c r="B66" s="1" t="s">
        <v>27</v>
      </c>
      <c r="C66" s="1" t="s">
        <v>27</v>
      </c>
      <c r="D66" s="26"/>
      <c r="E66" s="26"/>
      <c r="F66" s="26"/>
      <c r="G66" s="26"/>
      <c r="H66" s="27"/>
      <c r="I66" s="28" t="s">
        <v>27</v>
      </c>
      <c r="J66" s="1" t="s">
        <v>27</v>
      </c>
      <c r="K66" s="1" t="s">
        <v>27</v>
      </c>
      <c r="L66" s="26"/>
      <c r="M66" s="26"/>
      <c r="N66" s="26"/>
      <c r="O66" s="26"/>
      <c r="P66" s="27"/>
    </row>
    <row r="67" spans="1:16">
      <c r="A67" s="28" t="s">
        <v>27</v>
      </c>
      <c r="B67" s="1" t="s">
        <v>27</v>
      </c>
      <c r="C67" s="1" t="s">
        <v>27</v>
      </c>
      <c r="D67" s="26"/>
      <c r="E67" s="26"/>
      <c r="F67" s="26"/>
      <c r="G67" s="26"/>
      <c r="H67" s="27"/>
      <c r="I67" s="28" t="s">
        <v>27</v>
      </c>
      <c r="J67" s="1" t="s">
        <v>27</v>
      </c>
      <c r="K67" s="1" t="s">
        <v>27</v>
      </c>
      <c r="L67" s="26"/>
      <c r="M67" s="26"/>
      <c r="N67" s="26"/>
      <c r="O67" s="26"/>
      <c r="P67" s="27"/>
    </row>
    <row r="68" spans="1:16">
      <c r="A68" s="28" t="s">
        <v>27</v>
      </c>
      <c r="B68" s="1" t="s">
        <v>27</v>
      </c>
      <c r="C68" s="1" t="s">
        <v>27</v>
      </c>
      <c r="D68" s="26"/>
      <c r="E68" s="26"/>
      <c r="F68" s="26"/>
      <c r="G68" s="26"/>
      <c r="H68" s="27"/>
      <c r="I68" s="28" t="s">
        <v>27</v>
      </c>
      <c r="J68" s="1" t="s">
        <v>27</v>
      </c>
      <c r="K68" s="1" t="s">
        <v>27</v>
      </c>
      <c r="L68" s="26"/>
      <c r="M68" s="26"/>
      <c r="N68" s="26"/>
      <c r="O68" s="26"/>
      <c r="P68" s="27"/>
    </row>
    <row r="69" spans="1:16">
      <c r="A69" s="28" t="s">
        <v>27</v>
      </c>
      <c r="B69" s="1" t="s">
        <v>27</v>
      </c>
      <c r="C69" s="1" t="s">
        <v>27</v>
      </c>
      <c r="D69" s="26"/>
      <c r="E69" s="26"/>
      <c r="F69" s="26"/>
      <c r="G69" s="26"/>
      <c r="H69" s="27"/>
      <c r="I69" s="28" t="s">
        <v>27</v>
      </c>
      <c r="J69" s="1" t="s">
        <v>27</v>
      </c>
      <c r="K69" s="1" t="s">
        <v>27</v>
      </c>
      <c r="L69" s="26"/>
      <c r="M69" s="26"/>
      <c r="N69" s="26"/>
      <c r="O69" s="26"/>
      <c r="P69" s="27"/>
    </row>
    <row r="70" spans="1:16">
      <c r="A70" s="28" t="s">
        <v>27</v>
      </c>
      <c r="B70" s="1" t="s">
        <v>27</v>
      </c>
      <c r="C70" s="1" t="s">
        <v>27</v>
      </c>
      <c r="D70" s="26"/>
      <c r="E70" s="26"/>
      <c r="F70" s="26"/>
      <c r="G70" s="26"/>
      <c r="H70" s="27"/>
      <c r="I70" s="28" t="s">
        <v>27</v>
      </c>
      <c r="J70" s="1" t="s">
        <v>27</v>
      </c>
      <c r="K70" s="1" t="s">
        <v>27</v>
      </c>
      <c r="L70" s="26"/>
      <c r="M70" s="26"/>
      <c r="N70" s="26"/>
      <c r="O70" s="26"/>
      <c r="P70" s="27"/>
    </row>
    <row r="71" spans="1:16">
      <c r="A71" s="28" t="s">
        <v>27</v>
      </c>
      <c r="B71" s="1" t="s">
        <v>27</v>
      </c>
      <c r="C71" s="1" t="s">
        <v>27</v>
      </c>
      <c r="D71" s="26"/>
      <c r="E71" s="26"/>
      <c r="F71" s="26"/>
      <c r="G71" s="26"/>
      <c r="H71" s="27"/>
      <c r="I71" s="28" t="s">
        <v>27</v>
      </c>
      <c r="J71" s="1" t="s">
        <v>27</v>
      </c>
      <c r="K71" s="1" t="s">
        <v>27</v>
      </c>
      <c r="L71" s="26"/>
      <c r="M71" s="26"/>
      <c r="N71" s="26"/>
      <c r="O71" s="26"/>
      <c r="P71" s="27"/>
    </row>
    <row r="72" spans="1:16">
      <c r="A72" s="28" t="s">
        <v>27</v>
      </c>
      <c r="B72" s="1" t="s">
        <v>27</v>
      </c>
      <c r="C72" s="1" t="s">
        <v>27</v>
      </c>
      <c r="D72" s="26"/>
      <c r="E72" s="26"/>
      <c r="F72" s="26"/>
      <c r="G72" s="26"/>
      <c r="H72" s="27"/>
      <c r="I72" s="28" t="s">
        <v>27</v>
      </c>
      <c r="J72" s="1" t="s">
        <v>27</v>
      </c>
      <c r="K72" s="1" t="s">
        <v>27</v>
      </c>
      <c r="L72" s="26"/>
      <c r="M72" s="26"/>
      <c r="N72" s="26"/>
      <c r="O72" s="26"/>
      <c r="P72" s="27"/>
    </row>
    <row r="73" spans="1:16">
      <c r="A73" s="28" t="s">
        <v>27</v>
      </c>
      <c r="B73" s="1" t="s">
        <v>27</v>
      </c>
      <c r="C73" s="1" t="s">
        <v>27</v>
      </c>
      <c r="D73" s="26"/>
      <c r="E73" s="26"/>
      <c r="F73" s="26"/>
      <c r="G73" s="26"/>
      <c r="H73" s="27"/>
      <c r="I73" s="28" t="s">
        <v>27</v>
      </c>
      <c r="J73" s="1" t="s">
        <v>27</v>
      </c>
      <c r="K73" s="1" t="s">
        <v>27</v>
      </c>
      <c r="L73" s="26"/>
      <c r="M73" s="26"/>
      <c r="N73" s="26"/>
      <c r="O73" s="26"/>
      <c r="P73" s="27"/>
    </row>
    <row r="74" spans="1:16">
      <c r="A74" s="28" t="s">
        <v>27</v>
      </c>
      <c r="B74" s="1" t="s">
        <v>27</v>
      </c>
      <c r="C74" s="1" t="s">
        <v>27</v>
      </c>
      <c r="D74" s="26"/>
      <c r="E74" s="26"/>
      <c r="F74" s="26"/>
      <c r="G74" s="26"/>
      <c r="H74" s="27"/>
      <c r="I74" s="28" t="s">
        <v>27</v>
      </c>
      <c r="J74" s="1" t="s">
        <v>27</v>
      </c>
      <c r="K74" s="1" t="s">
        <v>27</v>
      </c>
      <c r="L74" s="26"/>
      <c r="M74" s="26"/>
      <c r="N74" s="26"/>
      <c r="O74" s="26"/>
      <c r="P74" s="27"/>
    </row>
    <row r="75" spans="1:16">
      <c r="A75" s="28" t="s">
        <v>27</v>
      </c>
      <c r="B75" s="1" t="s">
        <v>27</v>
      </c>
      <c r="C75" s="1" t="s">
        <v>27</v>
      </c>
      <c r="D75" s="26"/>
      <c r="E75" s="26"/>
      <c r="F75" s="26"/>
      <c r="G75" s="26"/>
      <c r="H75" s="27"/>
      <c r="I75" s="28" t="s">
        <v>27</v>
      </c>
      <c r="J75" s="1" t="s">
        <v>27</v>
      </c>
      <c r="K75" s="1" t="s">
        <v>27</v>
      </c>
      <c r="L75" s="26"/>
      <c r="M75" s="26"/>
      <c r="N75" s="26"/>
      <c r="O75" s="26"/>
      <c r="P75" s="27"/>
    </row>
    <row r="76" spans="1:16">
      <c r="A76" s="28" t="s">
        <v>27</v>
      </c>
      <c r="B76" s="1" t="s">
        <v>27</v>
      </c>
      <c r="C76" s="1" t="s">
        <v>27</v>
      </c>
      <c r="D76" s="26"/>
      <c r="E76" s="26"/>
      <c r="F76" s="26"/>
      <c r="G76" s="26"/>
      <c r="H76" s="27"/>
      <c r="I76" s="28" t="s">
        <v>27</v>
      </c>
      <c r="J76" s="1" t="s">
        <v>27</v>
      </c>
      <c r="K76" s="1" t="s">
        <v>27</v>
      </c>
      <c r="L76" s="26"/>
      <c r="M76" s="26"/>
      <c r="N76" s="26"/>
      <c r="O76" s="26"/>
      <c r="P76" s="27"/>
    </row>
    <row r="77" spans="1:16">
      <c r="A77" s="28" t="s">
        <v>27</v>
      </c>
      <c r="B77" s="1" t="s">
        <v>27</v>
      </c>
      <c r="C77" s="1" t="s">
        <v>27</v>
      </c>
      <c r="D77" s="26"/>
      <c r="E77" s="26"/>
      <c r="F77" s="26"/>
      <c r="G77" s="26"/>
      <c r="H77" s="27"/>
      <c r="I77" s="28" t="s">
        <v>27</v>
      </c>
      <c r="J77" s="1" t="s">
        <v>27</v>
      </c>
      <c r="K77" s="1" t="s">
        <v>27</v>
      </c>
      <c r="L77" s="26"/>
      <c r="M77" s="26"/>
      <c r="N77" s="26"/>
      <c r="O77" s="26"/>
      <c r="P77" s="27"/>
    </row>
    <row r="78" spans="1:16">
      <c r="A78" s="28" t="s">
        <v>27</v>
      </c>
      <c r="B78" s="1" t="s">
        <v>27</v>
      </c>
      <c r="C78" s="1" t="s">
        <v>27</v>
      </c>
      <c r="D78" s="26"/>
      <c r="E78" s="26"/>
      <c r="F78" s="26"/>
      <c r="G78" s="26"/>
      <c r="H78" s="27"/>
      <c r="I78" s="28" t="s">
        <v>27</v>
      </c>
      <c r="J78" s="1" t="s">
        <v>27</v>
      </c>
      <c r="K78" s="1" t="s">
        <v>27</v>
      </c>
      <c r="L78" s="26"/>
      <c r="M78" s="26"/>
      <c r="N78" s="26"/>
      <c r="O78" s="26"/>
      <c r="P78" s="27"/>
    </row>
    <row r="79" spans="1:16">
      <c r="A79" s="28" t="s">
        <v>27</v>
      </c>
      <c r="B79" s="1" t="s">
        <v>27</v>
      </c>
      <c r="C79" s="1" t="s">
        <v>27</v>
      </c>
      <c r="D79" s="26"/>
      <c r="E79" s="26"/>
      <c r="F79" s="26"/>
      <c r="G79" s="26"/>
      <c r="H79" s="27"/>
      <c r="I79" s="28" t="s">
        <v>27</v>
      </c>
      <c r="J79" s="1" t="s">
        <v>27</v>
      </c>
      <c r="K79" s="1" t="s">
        <v>27</v>
      </c>
      <c r="L79" s="26"/>
      <c r="M79" s="26"/>
      <c r="N79" s="26"/>
      <c r="O79" s="26"/>
      <c r="P79" s="27"/>
    </row>
    <row r="80" spans="1:16">
      <c r="A80" s="28" t="s">
        <v>27</v>
      </c>
      <c r="B80" s="1" t="s">
        <v>27</v>
      </c>
      <c r="C80" s="1" t="s">
        <v>27</v>
      </c>
      <c r="D80" s="26"/>
      <c r="E80" s="26"/>
      <c r="F80" s="26"/>
      <c r="G80" s="26"/>
      <c r="H80" s="27"/>
      <c r="I80" s="28" t="s">
        <v>27</v>
      </c>
      <c r="J80" s="1" t="s">
        <v>27</v>
      </c>
      <c r="K80" s="1" t="s">
        <v>27</v>
      </c>
      <c r="L80" s="26"/>
      <c r="M80" s="26"/>
      <c r="N80" s="26"/>
      <c r="O80" s="26"/>
      <c r="P80" s="27"/>
    </row>
    <row r="81" spans="1:16">
      <c r="A81" s="28" t="s">
        <v>27</v>
      </c>
      <c r="B81" s="1" t="s">
        <v>27</v>
      </c>
      <c r="C81" s="1" t="s">
        <v>27</v>
      </c>
      <c r="D81" s="26"/>
      <c r="E81" s="26"/>
      <c r="F81" s="26"/>
      <c r="G81" s="26"/>
      <c r="H81" s="27"/>
      <c r="I81" s="28" t="s">
        <v>27</v>
      </c>
      <c r="J81" s="1" t="s">
        <v>27</v>
      </c>
      <c r="K81" s="1" t="s">
        <v>27</v>
      </c>
      <c r="L81" s="26"/>
      <c r="M81" s="26"/>
      <c r="N81" s="26"/>
      <c r="O81" s="26"/>
      <c r="P81" s="27"/>
    </row>
    <row r="82" spans="1:16">
      <c r="A82" s="28" t="s">
        <v>27</v>
      </c>
      <c r="B82" s="1" t="s">
        <v>27</v>
      </c>
      <c r="C82" s="1" t="s">
        <v>27</v>
      </c>
      <c r="D82" s="26"/>
      <c r="E82" s="26"/>
      <c r="F82" s="26"/>
      <c r="G82" s="26"/>
      <c r="H82" s="27"/>
      <c r="I82" s="28" t="s">
        <v>27</v>
      </c>
      <c r="J82" s="1" t="s">
        <v>27</v>
      </c>
      <c r="K82" s="1" t="s">
        <v>27</v>
      </c>
      <c r="L82" s="26"/>
      <c r="M82" s="26"/>
      <c r="N82" s="26"/>
      <c r="O82" s="26"/>
      <c r="P82" s="27"/>
    </row>
    <row r="83" spans="1:16">
      <c r="A83" s="28" t="s">
        <v>27</v>
      </c>
      <c r="B83" s="1" t="s">
        <v>27</v>
      </c>
      <c r="C83" s="1" t="s">
        <v>27</v>
      </c>
      <c r="D83" s="26"/>
      <c r="E83" s="26"/>
      <c r="F83" s="26"/>
      <c r="G83" s="26"/>
      <c r="H83" s="27"/>
      <c r="I83" s="28" t="s">
        <v>27</v>
      </c>
      <c r="J83" s="1" t="s">
        <v>27</v>
      </c>
      <c r="K83" s="1" t="s">
        <v>27</v>
      </c>
      <c r="L83" s="26"/>
      <c r="M83" s="26"/>
      <c r="N83" s="26"/>
      <c r="O83" s="26"/>
      <c r="P83" s="27"/>
    </row>
    <row r="84" spans="1:16">
      <c r="A84" s="28" t="s">
        <v>27</v>
      </c>
      <c r="B84" s="1" t="s">
        <v>27</v>
      </c>
      <c r="C84" s="1" t="s">
        <v>27</v>
      </c>
      <c r="D84" s="26"/>
      <c r="E84" s="26"/>
      <c r="F84" s="26"/>
      <c r="G84" s="26"/>
      <c r="H84" s="27"/>
      <c r="I84" s="28" t="s">
        <v>27</v>
      </c>
      <c r="J84" s="1" t="s">
        <v>27</v>
      </c>
      <c r="K84" s="1" t="s">
        <v>27</v>
      </c>
      <c r="L84" s="26"/>
      <c r="M84" s="26"/>
      <c r="N84" s="26"/>
      <c r="O84" s="26"/>
      <c r="P84" s="27"/>
    </row>
    <row r="85" spans="1:16">
      <c r="A85" s="28" t="s">
        <v>27</v>
      </c>
      <c r="B85" s="1" t="s">
        <v>27</v>
      </c>
      <c r="C85" s="1" t="s">
        <v>27</v>
      </c>
      <c r="D85" s="26"/>
      <c r="E85" s="26"/>
      <c r="F85" s="26"/>
      <c r="G85" s="26"/>
      <c r="H85" s="27"/>
      <c r="I85" s="28" t="s">
        <v>27</v>
      </c>
      <c r="J85" s="1" t="s">
        <v>27</v>
      </c>
      <c r="K85" s="1" t="s">
        <v>27</v>
      </c>
      <c r="L85" s="26"/>
      <c r="M85" s="26"/>
      <c r="N85" s="26"/>
      <c r="O85" s="26"/>
      <c r="P85" s="27"/>
    </row>
    <row r="86" spans="1:16">
      <c r="A86" s="28" t="s">
        <v>27</v>
      </c>
      <c r="B86" s="1" t="s">
        <v>27</v>
      </c>
      <c r="C86" s="1" t="s">
        <v>27</v>
      </c>
      <c r="D86" s="26"/>
      <c r="E86" s="26"/>
      <c r="F86" s="26"/>
      <c r="G86" s="26"/>
      <c r="H86" s="27"/>
      <c r="I86" s="28" t="s">
        <v>27</v>
      </c>
      <c r="J86" s="1" t="s">
        <v>27</v>
      </c>
      <c r="K86" s="1" t="s">
        <v>27</v>
      </c>
      <c r="L86" s="26"/>
      <c r="M86" s="26"/>
      <c r="N86" s="26"/>
      <c r="O86" s="26"/>
      <c r="P86" s="27"/>
    </row>
    <row r="87" spans="1:16">
      <c r="A87" s="28" t="s">
        <v>27</v>
      </c>
      <c r="B87" s="1" t="s">
        <v>27</v>
      </c>
      <c r="C87" s="1" t="s">
        <v>27</v>
      </c>
      <c r="D87" s="26"/>
      <c r="E87" s="26"/>
      <c r="F87" s="26"/>
      <c r="G87" s="26"/>
      <c r="H87" s="27"/>
      <c r="I87" s="28" t="s">
        <v>27</v>
      </c>
      <c r="J87" s="1" t="s">
        <v>27</v>
      </c>
      <c r="K87" s="1" t="s">
        <v>27</v>
      </c>
      <c r="L87" s="26"/>
      <c r="M87" s="26"/>
      <c r="N87" s="26"/>
      <c r="O87" s="26"/>
      <c r="P87" s="27"/>
    </row>
    <row r="88" spans="1:16">
      <c r="A88" s="28" t="s">
        <v>27</v>
      </c>
      <c r="B88" s="1" t="s">
        <v>27</v>
      </c>
      <c r="C88" s="1" t="s">
        <v>27</v>
      </c>
      <c r="D88" s="26"/>
      <c r="E88" s="26"/>
      <c r="F88" s="26"/>
      <c r="G88" s="26"/>
      <c r="H88" s="27"/>
      <c r="I88" s="28" t="s">
        <v>27</v>
      </c>
      <c r="J88" s="1" t="s">
        <v>27</v>
      </c>
      <c r="K88" s="1" t="s">
        <v>27</v>
      </c>
      <c r="L88" s="26"/>
      <c r="M88" s="26"/>
      <c r="N88" s="26"/>
      <c r="O88" s="26"/>
      <c r="P88" s="27"/>
    </row>
    <row r="89" spans="1:16">
      <c r="A89" s="28" t="s">
        <v>27</v>
      </c>
      <c r="B89" s="1" t="s">
        <v>27</v>
      </c>
      <c r="C89" s="1" t="s">
        <v>27</v>
      </c>
      <c r="D89" s="26"/>
      <c r="E89" s="26"/>
      <c r="F89" s="26"/>
      <c r="G89" s="26"/>
      <c r="H89" s="27"/>
      <c r="I89" s="28" t="s">
        <v>27</v>
      </c>
      <c r="J89" s="1" t="s">
        <v>27</v>
      </c>
      <c r="K89" s="1" t="s">
        <v>27</v>
      </c>
      <c r="L89" s="26"/>
      <c r="M89" s="26"/>
      <c r="N89" s="26"/>
      <c r="O89" s="26"/>
      <c r="P89" s="27"/>
    </row>
    <row r="90" spans="1:16">
      <c r="A90" s="28" t="s">
        <v>27</v>
      </c>
      <c r="B90" s="1" t="s">
        <v>27</v>
      </c>
      <c r="C90" s="1" t="s">
        <v>27</v>
      </c>
      <c r="D90" s="26"/>
      <c r="E90" s="26"/>
      <c r="F90" s="26"/>
      <c r="G90" s="26"/>
      <c r="H90" s="27"/>
      <c r="I90" s="28" t="s">
        <v>27</v>
      </c>
      <c r="J90" s="1" t="s">
        <v>27</v>
      </c>
      <c r="K90" s="1" t="s">
        <v>27</v>
      </c>
      <c r="L90" s="26"/>
      <c r="M90" s="26"/>
      <c r="N90" s="26"/>
      <c r="O90" s="26"/>
      <c r="P90" s="27"/>
    </row>
    <row r="91" spans="1:16">
      <c r="A91" s="28" t="s">
        <v>27</v>
      </c>
      <c r="B91" s="1" t="s">
        <v>27</v>
      </c>
      <c r="C91" s="1" t="s">
        <v>27</v>
      </c>
      <c r="D91" s="26"/>
      <c r="E91" s="26"/>
      <c r="F91" s="26"/>
      <c r="G91" s="26"/>
      <c r="H91" s="27"/>
      <c r="I91" s="28" t="s">
        <v>27</v>
      </c>
      <c r="J91" s="1" t="s">
        <v>27</v>
      </c>
      <c r="K91" s="1" t="s">
        <v>27</v>
      </c>
      <c r="L91" s="26"/>
      <c r="M91" s="26"/>
      <c r="N91" s="26"/>
      <c r="O91" s="26"/>
      <c r="P91" s="27"/>
    </row>
    <row r="92" spans="1:16">
      <c r="A92" s="28" t="s">
        <v>27</v>
      </c>
      <c r="B92" s="1" t="s">
        <v>27</v>
      </c>
      <c r="C92" s="1" t="s">
        <v>27</v>
      </c>
      <c r="D92" s="26"/>
      <c r="E92" s="26"/>
      <c r="F92" s="26"/>
      <c r="G92" s="26"/>
      <c r="H92" s="27"/>
      <c r="I92" s="28" t="s">
        <v>27</v>
      </c>
      <c r="J92" s="1" t="s">
        <v>27</v>
      </c>
      <c r="K92" s="1" t="s">
        <v>27</v>
      </c>
      <c r="L92" s="26"/>
      <c r="M92" s="26"/>
      <c r="N92" s="26"/>
      <c r="O92" s="26"/>
      <c r="P92" s="27"/>
    </row>
    <row r="93" spans="1:16">
      <c r="A93" s="28" t="s">
        <v>27</v>
      </c>
      <c r="B93" s="1" t="s">
        <v>27</v>
      </c>
      <c r="C93" s="1" t="s">
        <v>27</v>
      </c>
      <c r="D93" s="26"/>
      <c r="E93" s="26"/>
      <c r="F93" s="26"/>
      <c r="G93" s="26"/>
      <c r="H93" s="27"/>
      <c r="I93" s="28" t="s">
        <v>27</v>
      </c>
      <c r="J93" s="1" t="s">
        <v>27</v>
      </c>
      <c r="K93" s="1" t="s">
        <v>27</v>
      </c>
      <c r="L93" s="26"/>
      <c r="M93" s="26"/>
      <c r="N93" s="26"/>
      <c r="O93" s="26"/>
      <c r="P93" s="27"/>
    </row>
    <row r="94" spans="1:16">
      <c r="A94" s="28" t="s">
        <v>27</v>
      </c>
      <c r="B94" s="1" t="s">
        <v>27</v>
      </c>
      <c r="C94" s="1" t="s">
        <v>27</v>
      </c>
      <c r="D94" s="26"/>
      <c r="E94" s="26"/>
      <c r="F94" s="26"/>
      <c r="G94" s="26"/>
      <c r="H94" s="27"/>
      <c r="I94" s="28" t="s">
        <v>27</v>
      </c>
      <c r="J94" s="1" t="s">
        <v>27</v>
      </c>
      <c r="K94" s="1" t="s">
        <v>27</v>
      </c>
      <c r="L94" s="26"/>
      <c r="M94" s="26"/>
      <c r="N94" s="26"/>
      <c r="O94" s="26"/>
      <c r="P94" s="27"/>
    </row>
    <row r="95" spans="1:16">
      <c r="A95" s="28" t="s">
        <v>27</v>
      </c>
      <c r="B95" s="1" t="s">
        <v>27</v>
      </c>
      <c r="C95" s="1" t="s">
        <v>27</v>
      </c>
      <c r="D95" s="26"/>
      <c r="E95" s="26"/>
      <c r="F95" s="26"/>
      <c r="G95" s="26"/>
      <c r="H95" s="27"/>
      <c r="I95" s="28" t="s">
        <v>27</v>
      </c>
      <c r="J95" s="1" t="s">
        <v>27</v>
      </c>
      <c r="K95" s="1" t="s">
        <v>27</v>
      </c>
      <c r="L95" s="26"/>
      <c r="M95" s="26"/>
      <c r="N95" s="26"/>
      <c r="O95" s="26"/>
      <c r="P95" s="27"/>
    </row>
    <row r="96" spans="1:16">
      <c r="A96" s="28" t="s">
        <v>27</v>
      </c>
      <c r="B96" s="1" t="s">
        <v>27</v>
      </c>
      <c r="C96" s="1" t="s">
        <v>27</v>
      </c>
      <c r="D96" s="26"/>
      <c r="E96" s="26"/>
      <c r="F96" s="26"/>
      <c r="G96" s="26"/>
      <c r="H96" s="27"/>
      <c r="I96" s="28" t="s">
        <v>27</v>
      </c>
      <c r="J96" s="1" t="s">
        <v>27</v>
      </c>
      <c r="K96" s="1" t="s">
        <v>27</v>
      </c>
      <c r="L96" s="26"/>
      <c r="M96" s="26"/>
      <c r="N96" s="26"/>
      <c r="O96" s="26"/>
      <c r="P96" s="27"/>
    </row>
    <row r="97" spans="1:16">
      <c r="A97" s="28" t="s">
        <v>27</v>
      </c>
      <c r="B97" s="1" t="s">
        <v>27</v>
      </c>
      <c r="C97" s="1" t="s">
        <v>27</v>
      </c>
      <c r="D97" s="26"/>
      <c r="E97" s="26"/>
      <c r="F97" s="26"/>
      <c r="G97" s="26"/>
      <c r="H97" s="27"/>
      <c r="I97" s="28" t="s">
        <v>27</v>
      </c>
      <c r="J97" s="1" t="s">
        <v>27</v>
      </c>
      <c r="K97" s="1" t="s">
        <v>27</v>
      </c>
      <c r="L97" s="26"/>
      <c r="M97" s="26"/>
      <c r="N97" s="26"/>
      <c r="O97" s="26"/>
      <c r="P97" s="27"/>
    </row>
    <row r="98" spans="1:16">
      <c r="A98" s="28" t="s">
        <v>27</v>
      </c>
      <c r="B98" s="1" t="s">
        <v>27</v>
      </c>
      <c r="C98" s="1" t="s">
        <v>27</v>
      </c>
      <c r="D98" s="26"/>
      <c r="E98" s="26"/>
      <c r="F98" s="26"/>
      <c r="G98" s="26"/>
      <c r="H98" s="27"/>
      <c r="I98" s="28" t="s">
        <v>27</v>
      </c>
      <c r="J98" s="1" t="s">
        <v>27</v>
      </c>
      <c r="K98" s="1" t="s">
        <v>27</v>
      </c>
      <c r="L98" s="26"/>
      <c r="M98" s="26"/>
      <c r="N98" s="26"/>
      <c r="O98" s="26"/>
      <c r="P98" s="27"/>
    </row>
    <row r="99" spans="1:16">
      <c r="A99" s="28" t="s">
        <v>27</v>
      </c>
      <c r="B99" s="1" t="s">
        <v>27</v>
      </c>
      <c r="C99" s="1" t="s">
        <v>27</v>
      </c>
      <c r="D99" s="26"/>
      <c r="E99" s="26"/>
      <c r="F99" s="26"/>
      <c r="G99" s="26"/>
      <c r="H99" s="27"/>
      <c r="I99" s="28" t="s">
        <v>27</v>
      </c>
      <c r="J99" s="1" t="s">
        <v>27</v>
      </c>
      <c r="K99" s="1" t="s">
        <v>27</v>
      </c>
      <c r="L99" s="26"/>
      <c r="M99" s="26"/>
      <c r="N99" s="26"/>
      <c r="O99" s="26"/>
      <c r="P99" s="27"/>
    </row>
    <row r="100" spans="1:16" ht="15.75" thickBot="1">
      <c r="A100" s="29" t="s">
        <v>27</v>
      </c>
      <c r="B100" s="30" t="s">
        <v>27</v>
      </c>
      <c r="C100" s="30" t="s">
        <v>27</v>
      </c>
      <c r="D100" s="31"/>
      <c r="E100" s="31"/>
      <c r="F100" s="31"/>
      <c r="G100" s="31"/>
      <c r="H100" s="32"/>
      <c r="I100" s="29" t="s">
        <v>27</v>
      </c>
      <c r="J100" s="30" t="s">
        <v>27</v>
      </c>
      <c r="K100" s="30" t="s">
        <v>27</v>
      </c>
      <c r="L100" s="31"/>
      <c r="M100" s="31"/>
      <c r="N100" s="31"/>
      <c r="O100" s="31"/>
      <c r="P100" s="32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ageMargins left="0.7" right="0.7" top="0.75" bottom="0.75" header="0.3" footer="0.3"/>
  <pageSetup paperSize="9" orientation="portrait" horizontalDpi="0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5559A-0A55-42B3-B160-97776EB74D68}">
  <dimension ref="A1:AB100"/>
  <sheetViews>
    <sheetView workbookViewId="0">
      <selection activeCell="F23" sqref="F23"/>
    </sheetView>
  </sheetViews>
  <sheetFormatPr defaultRowHeight="15"/>
  <sheetData>
    <row r="1" spans="1:28" ht="15.75">
      <c r="A1" s="62" t="s">
        <v>30</v>
      </c>
      <c r="B1" s="63"/>
      <c r="C1" s="63"/>
      <c r="D1" s="63"/>
      <c r="E1" s="63"/>
      <c r="F1" s="64" t="s">
        <v>3</v>
      </c>
      <c r="G1" s="64"/>
      <c r="H1" s="24" cm="1">
        <f t="array" ref="H1">SUM(VLOOKUP(A4:C100,$T$3:$W$36,4,FALSE))+H4*10-H8*50</f>
        <v>3421.7722330014958</v>
      </c>
      <c r="I1" s="65" t="s">
        <v>41</v>
      </c>
      <c r="J1" s="66"/>
      <c r="K1" s="66"/>
      <c r="L1" s="66"/>
      <c r="M1" s="66"/>
      <c r="N1" s="66"/>
      <c r="O1" s="66"/>
      <c r="P1" s="67"/>
      <c r="Q1" s="65" t="s">
        <v>48</v>
      </c>
      <c r="R1" s="66"/>
      <c r="S1" s="66"/>
      <c r="T1" s="66"/>
      <c r="U1" s="66"/>
      <c r="V1" s="66"/>
      <c r="W1" s="66"/>
      <c r="X1" s="66"/>
      <c r="Y1" s="66"/>
      <c r="Z1" s="66"/>
      <c r="AA1" s="66"/>
      <c r="AB1" s="67"/>
    </row>
    <row r="2" spans="1:28" ht="30">
      <c r="A2" s="68" t="s">
        <v>35</v>
      </c>
      <c r="B2" s="69"/>
      <c r="C2" s="69"/>
      <c r="D2" s="70" t="s">
        <v>37</v>
      </c>
      <c r="E2" s="71"/>
      <c r="F2" s="71"/>
      <c r="G2" s="71"/>
      <c r="H2" s="72"/>
      <c r="I2" s="73" t="s">
        <v>35</v>
      </c>
      <c r="J2" s="74"/>
      <c r="K2" s="74"/>
      <c r="L2" s="75" t="s">
        <v>37</v>
      </c>
      <c r="M2" s="75"/>
      <c r="N2" s="75"/>
      <c r="O2" s="75"/>
      <c r="P2" s="76"/>
      <c r="Q2" s="50" t="s">
        <v>43</v>
      </c>
      <c r="R2" s="51" cm="1">
        <f t="array" ref="R2">SUM(V3:V28*AB3:AB28)+H6+P6+R4*500</f>
        <v>65160</v>
      </c>
      <c r="S2" s="26"/>
      <c r="T2" s="1" t="s">
        <v>0</v>
      </c>
      <c r="U2" s="1" t="s">
        <v>1</v>
      </c>
      <c r="V2" s="1" t="s">
        <v>2</v>
      </c>
      <c r="W2" s="44" t="s">
        <v>3</v>
      </c>
      <c r="X2" s="46" t="s">
        <v>44</v>
      </c>
      <c r="Y2" s="46" t="s">
        <v>56</v>
      </c>
      <c r="Z2" s="47" t="s">
        <v>45</v>
      </c>
      <c r="AA2" s="47" t="s">
        <v>46</v>
      </c>
      <c r="AB2" s="52" t="s">
        <v>47</v>
      </c>
    </row>
    <row r="3" spans="1:28">
      <c r="A3" s="25" t="s">
        <v>31</v>
      </c>
      <c r="B3" s="58" t="s">
        <v>32</v>
      </c>
      <c r="C3" s="20" t="s">
        <v>33</v>
      </c>
      <c r="D3" s="33"/>
      <c r="E3" s="25" t="s">
        <v>31</v>
      </c>
      <c r="F3" s="58" t="s">
        <v>32</v>
      </c>
      <c r="G3" s="20" t="s">
        <v>33</v>
      </c>
      <c r="H3" s="34" t="s">
        <v>36</v>
      </c>
      <c r="I3" s="25" t="s">
        <v>31</v>
      </c>
      <c r="J3" s="58" t="s">
        <v>32</v>
      </c>
      <c r="K3" s="20" t="s">
        <v>33</v>
      </c>
      <c r="L3" s="33"/>
      <c r="M3" s="25" t="s">
        <v>31</v>
      </c>
      <c r="N3" s="58" t="s">
        <v>32</v>
      </c>
      <c r="O3" s="20" t="s">
        <v>33</v>
      </c>
      <c r="P3" s="34" t="s">
        <v>36</v>
      </c>
      <c r="Q3" s="53" t="s">
        <v>49</v>
      </c>
      <c r="R3" s="26">
        <v>91</v>
      </c>
      <c r="S3" s="26"/>
      <c r="T3" s="2" t="s">
        <v>4</v>
      </c>
      <c r="U3" s="1">
        <v>150</v>
      </c>
      <c r="V3" s="1">
        <v>35</v>
      </c>
      <c r="W3" s="45">
        <f>U3-V3/0.330882</f>
        <v>44.222109392472248</v>
      </c>
      <c r="X3" s="46"/>
      <c r="Y3" s="46">
        <v>11</v>
      </c>
      <c r="Z3" s="1">
        <f>COUNTIF($A$4:$C$100,T3)</f>
        <v>16</v>
      </c>
      <c r="AA3" s="1">
        <f>COUNTIF($I$4:$K$100,T3)</f>
        <v>0</v>
      </c>
      <c r="AB3" s="54">
        <f>Y3-Z3-AA3</f>
        <v>-5</v>
      </c>
    </row>
    <row r="4" spans="1:28">
      <c r="A4" s="2" t="s">
        <v>4</v>
      </c>
      <c r="B4" s="2" t="s">
        <v>4</v>
      </c>
      <c r="C4" s="3" t="s">
        <v>5</v>
      </c>
      <c r="D4" s="43" t="s">
        <v>34</v>
      </c>
      <c r="E4" s="39">
        <v>8</v>
      </c>
      <c r="F4" s="39">
        <v>0</v>
      </c>
      <c r="G4" s="39">
        <v>10</v>
      </c>
      <c r="H4" s="36">
        <f>SUM(E4:G4)</f>
        <v>18</v>
      </c>
      <c r="I4" s="1" t="s">
        <v>27</v>
      </c>
      <c r="J4" s="1" t="s">
        <v>27</v>
      </c>
      <c r="K4" s="1" t="s">
        <v>27</v>
      </c>
      <c r="L4" s="43" t="s">
        <v>34</v>
      </c>
      <c r="M4" s="39">
        <v>0</v>
      </c>
      <c r="N4" s="39">
        <v>2</v>
      </c>
      <c r="O4" s="39">
        <v>0</v>
      </c>
      <c r="P4" s="36">
        <f>SUM(M4:O4)</f>
        <v>2</v>
      </c>
      <c r="Q4" s="53" t="s">
        <v>50</v>
      </c>
      <c r="R4" s="40">
        <v>14</v>
      </c>
      <c r="S4" s="26"/>
      <c r="T4" s="3" t="s">
        <v>5</v>
      </c>
      <c r="U4" s="1">
        <v>160</v>
      </c>
      <c r="V4" s="1">
        <v>40</v>
      </c>
      <c r="W4" s="45">
        <f t="shared" ref="W4" si="0">U4-V4/0.330882</f>
        <v>39.110982162825422</v>
      </c>
      <c r="X4" s="46"/>
      <c r="Y4" s="46">
        <v>55</v>
      </c>
      <c r="Z4" s="1">
        <f t="shared" ref="Z4:Z28" si="1">COUNTIF($A$4:$C$100,T4)</f>
        <v>26</v>
      </c>
      <c r="AA4" s="1">
        <f t="shared" ref="AA4:AA28" si="2">COUNTIF($I$4:$K$100,T4)</f>
        <v>0</v>
      </c>
      <c r="AB4" s="54">
        <f t="shared" ref="AB4:AB28" si="3">Y4-Z4-AA4</f>
        <v>29</v>
      </c>
    </row>
    <row r="5" spans="1:28">
      <c r="A5" s="2" t="s">
        <v>4</v>
      </c>
      <c r="B5" s="2" t="s">
        <v>4</v>
      </c>
      <c r="C5" s="23" t="s">
        <v>29</v>
      </c>
      <c r="D5" s="33" t="s">
        <v>38</v>
      </c>
      <c r="E5" s="35" cm="1">
        <f t="array" ref="E5">(SUM(VLOOKUP(A4:A100,$T$3:$W$41,2,FALSE))+E4*10)-E8*50</f>
        <v>7610</v>
      </c>
      <c r="F5" s="35" cm="1">
        <f t="array" ref="F5">(SUM(VLOOKUP(B4:B100,$T$3:$W$41,2,FALSE))+F4*10)-F8*50</f>
        <v>900</v>
      </c>
      <c r="G5" s="35" cm="1">
        <f t="array" ref="G5">(SUM(VLOOKUP(C4:C100,$T$3:$W$41,2,FALSE))+G4*10)-G8*50</f>
        <v>6680</v>
      </c>
      <c r="H5" s="59">
        <f t="shared" ref="H5:H8" si="4">SUM(E5:G5)</f>
        <v>15190</v>
      </c>
      <c r="I5" s="1" t="s">
        <v>27</v>
      </c>
      <c r="J5" s="1" t="s">
        <v>27</v>
      </c>
      <c r="K5" s="1" t="s">
        <v>27</v>
      </c>
      <c r="L5" s="33" t="s">
        <v>38</v>
      </c>
      <c r="M5" s="35" cm="1">
        <f t="array" ref="M5">(SUM(VLOOKUP(I4:I100,$T$3:$W$41,2,FALSE))+M4*10)*0.8-M8*40</f>
        <v>0</v>
      </c>
      <c r="N5" s="35" cm="1">
        <f t="array" ref="N5">(SUM(VLOOKUP(J4:J100,$T$3:$W$41,2,FALSE))+N4*10)*0.8-N8*40</f>
        <v>-64</v>
      </c>
      <c r="O5" s="35" cm="1">
        <f t="array" ref="O5">(SUM(VLOOKUP(K4:K100,$T$3:$W$41,2,FALSE))+O4*10)*0.8-O8*40</f>
        <v>0</v>
      </c>
      <c r="P5" s="59">
        <f t="shared" ref="P5:P8" si="5">SUM(M5:O5)</f>
        <v>-64</v>
      </c>
      <c r="Q5" s="53" t="s">
        <v>51</v>
      </c>
      <c r="R5" s="26">
        <v>6000</v>
      </c>
      <c r="S5" s="26"/>
      <c r="T5" s="4" t="s">
        <v>6</v>
      </c>
      <c r="U5" s="1">
        <v>170</v>
      </c>
      <c r="V5" s="1">
        <v>45</v>
      </c>
      <c r="W5" s="45">
        <v>34</v>
      </c>
      <c r="X5" s="48"/>
      <c r="Y5" s="46">
        <v>233</v>
      </c>
      <c r="Z5" s="1">
        <f t="shared" si="1"/>
        <v>40</v>
      </c>
      <c r="AA5" s="1">
        <f t="shared" si="2"/>
        <v>0</v>
      </c>
      <c r="AB5" s="54">
        <f t="shared" si="3"/>
        <v>193</v>
      </c>
    </row>
    <row r="6" spans="1:28">
      <c r="A6" s="2" t="s">
        <v>4</v>
      </c>
      <c r="B6" s="2" t="s">
        <v>4</v>
      </c>
      <c r="C6" s="3" t="s">
        <v>5</v>
      </c>
      <c r="D6" s="33" t="s">
        <v>39</v>
      </c>
      <c r="E6" s="35" cm="1">
        <f t="array" ref="E6">(SUM(VLOOKUP(A4:A100,$T$3:$W$41,3,FALSE)))</f>
        <v>2130</v>
      </c>
      <c r="F6" s="35" cm="1">
        <f t="array" ref="F6">(SUM(VLOOKUP(B4:B100,$T$3:$W$41,3,FALSE)))</f>
        <v>210</v>
      </c>
      <c r="G6" s="35" cm="1">
        <f t="array" ref="G6">(SUM(VLOOKUP(C4:C100,$T$3:$W$41,3,FALSE)))</f>
        <v>2615</v>
      </c>
      <c r="H6" s="49">
        <f t="shared" si="4"/>
        <v>4955</v>
      </c>
      <c r="I6" s="1" t="s">
        <v>27</v>
      </c>
      <c r="J6" s="1" t="s">
        <v>27</v>
      </c>
      <c r="K6" s="1" t="s">
        <v>27</v>
      </c>
      <c r="L6" s="33" t="s">
        <v>39</v>
      </c>
      <c r="M6" s="35" cm="1">
        <f t="array" ref="M6">(SUM(VLOOKUP(I4:I100,$T$3:$W$41,3,FALSE)))</f>
        <v>0</v>
      </c>
      <c r="N6" s="35" cm="1">
        <f t="array" ref="N6">(SUM(VLOOKUP(J4:J100,$T$3:$W$41,3,FALSE)))</f>
        <v>0</v>
      </c>
      <c r="O6" s="35" cm="1">
        <f t="array" ref="O6">(SUM(VLOOKUP(K4:K100,$T$3:$W$41,3,FALSE)))</f>
        <v>0</v>
      </c>
      <c r="P6" s="49">
        <f t="shared" si="5"/>
        <v>0</v>
      </c>
      <c r="Q6" s="50" t="s">
        <v>52</v>
      </c>
      <c r="R6" s="26">
        <f>R3*1600-800+R5</f>
        <v>150800</v>
      </c>
      <c r="S6" s="26"/>
      <c r="T6" s="5" t="s">
        <v>7</v>
      </c>
      <c r="U6" s="1">
        <v>180</v>
      </c>
      <c r="V6" s="1">
        <v>50</v>
      </c>
      <c r="W6" s="45">
        <v>36</v>
      </c>
      <c r="X6" s="46">
        <v>265</v>
      </c>
      <c r="Y6" s="46">
        <v>265</v>
      </c>
      <c r="Z6" s="1">
        <f t="shared" si="1"/>
        <v>0</v>
      </c>
      <c r="AA6" s="1">
        <f t="shared" si="2"/>
        <v>0</v>
      </c>
      <c r="AB6" s="54">
        <f t="shared" si="3"/>
        <v>265</v>
      </c>
    </row>
    <row r="7" spans="1:28">
      <c r="A7" s="2" t="s">
        <v>4</v>
      </c>
      <c r="B7" s="2" t="s">
        <v>4</v>
      </c>
      <c r="C7" s="4" t="s">
        <v>6</v>
      </c>
      <c r="D7" s="33" t="s">
        <v>40</v>
      </c>
      <c r="E7" s="35">
        <f>COUNTIF(A4:A100,"&lt;&gt;空")</f>
        <v>48</v>
      </c>
      <c r="F7" s="35">
        <f>COUNTIF(B4:B100,"&lt;&gt;空")</f>
        <v>6</v>
      </c>
      <c r="G7" s="35">
        <f>COUNTIF(C4:C100,"&lt;&gt;空")</f>
        <v>47</v>
      </c>
      <c r="H7" s="36">
        <f t="shared" si="4"/>
        <v>101</v>
      </c>
      <c r="I7" s="1" t="s">
        <v>27</v>
      </c>
      <c r="J7" s="1" t="s">
        <v>27</v>
      </c>
      <c r="K7" s="1" t="s">
        <v>27</v>
      </c>
      <c r="L7" s="33" t="s">
        <v>40</v>
      </c>
      <c r="M7" s="35">
        <f>COUNTIF(I4:I100,"&lt;&gt;空")</f>
        <v>0</v>
      </c>
      <c r="N7" s="35">
        <f>COUNTIF(J4:J100,"&lt;&gt;空")</f>
        <v>0</v>
      </c>
      <c r="O7" s="35">
        <f>COUNTIF(K4:K100,"&lt;&gt;空")</f>
        <v>0</v>
      </c>
      <c r="P7" s="36">
        <f t="shared" si="5"/>
        <v>0</v>
      </c>
      <c r="Q7" s="53" t="s">
        <v>55</v>
      </c>
      <c r="R7" s="26">
        <v>13</v>
      </c>
      <c r="S7" s="26"/>
      <c r="T7" s="6" t="s">
        <v>8</v>
      </c>
      <c r="U7" s="1">
        <v>190</v>
      </c>
      <c r="V7" s="1">
        <v>55</v>
      </c>
      <c r="W7" s="45">
        <v>38</v>
      </c>
      <c r="X7" s="46">
        <v>234</v>
      </c>
      <c r="Y7" s="46">
        <v>234</v>
      </c>
      <c r="Z7" s="1">
        <f t="shared" si="1"/>
        <v>0</v>
      </c>
      <c r="AA7" s="1">
        <f t="shared" si="2"/>
        <v>0</v>
      </c>
      <c r="AB7" s="54">
        <f t="shared" si="3"/>
        <v>234</v>
      </c>
    </row>
    <row r="8" spans="1:28">
      <c r="A8" s="2" t="s">
        <v>4</v>
      </c>
      <c r="B8" s="2" t="s">
        <v>4</v>
      </c>
      <c r="C8" s="4" t="s">
        <v>6</v>
      </c>
      <c r="D8" s="42" t="s">
        <v>53</v>
      </c>
      <c r="E8" s="41">
        <v>0</v>
      </c>
      <c r="F8" s="41">
        <v>0</v>
      </c>
      <c r="G8" s="41">
        <v>0</v>
      </c>
      <c r="H8" s="36">
        <f t="shared" si="4"/>
        <v>0</v>
      </c>
      <c r="I8" s="1" t="s">
        <v>27</v>
      </c>
      <c r="J8" s="1" t="s">
        <v>27</v>
      </c>
      <c r="K8" s="1" t="s">
        <v>27</v>
      </c>
      <c r="L8" s="42" t="s">
        <v>53</v>
      </c>
      <c r="M8" s="41">
        <v>0</v>
      </c>
      <c r="N8" s="41">
        <v>2</v>
      </c>
      <c r="O8" s="41">
        <v>0</v>
      </c>
      <c r="P8" s="36">
        <f t="shared" si="5"/>
        <v>2</v>
      </c>
      <c r="Q8" s="50" t="s">
        <v>54</v>
      </c>
      <c r="R8" s="55" cm="1">
        <f t="array" ref="R8">R6-P5-H5-SUM(U3:U28*AB3:AB28)*0.8-R7*8</f>
        <v>-638</v>
      </c>
      <c r="S8" s="26"/>
      <c r="T8" s="7" t="s">
        <v>9</v>
      </c>
      <c r="U8" s="1">
        <v>200</v>
      </c>
      <c r="V8" s="1">
        <v>60</v>
      </c>
      <c r="W8" s="45"/>
      <c r="X8" s="46">
        <v>194</v>
      </c>
      <c r="Y8" s="46">
        <v>194</v>
      </c>
      <c r="Z8" s="1">
        <f t="shared" si="1"/>
        <v>0</v>
      </c>
      <c r="AA8" s="1">
        <f t="shared" si="2"/>
        <v>0</v>
      </c>
      <c r="AB8" s="54">
        <f t="shared" si="3"/>
        <v>194</v>
      </c>
    </row>
    <row r="9" spans="1:28">
      <c r="A9" s="2" t="s">
        <v>4</v>
      </c>
      <c r="B9" s="2" t="s">
        <v>4</v>
      </c>
      <c r="C9" s="17" t="s">
        <v>19</v>
      </c>
      <c r="D9" s="26"/>
      <c r="E9" s="26"/>
      <c r="F9" s="26"/>
      <c r="G9" s="26"/>
      <c r="H9" s="27"/>
      <c r="I9" s="1" t="s">
        <v>27</v>
      </c>
      <c r="J9" s="1" t="s">
        <v>27</v>
      </c>
      <c r="K9" s="1" t="s">
        <v>27</v>
      </c>
      <c r="L9" s="33" t="s">
        <v>42</v>
      </c>
      <c r="M9" s="37" t="e">
        <f>M6/M5</f>
        <v>#DIV/0!</v>
      </c>
      <c r="N9" s="37">
        <f>N6/N5</f>
        <v>0</v>
      </c>
      <c r="O9" s="37" t="e">
        <f>O6/O5</f>
        <v>#DIV/0!</v>
      </c>
      <c r="P9" s="38">
        <f>P6/P5</f>
        <v>0</v>
      </c>
      <c r="Q9" s="50"/>
      <c r="R9" s="26"/>
      <c r="S9" s="26"/>
      <c r="T9" s="8" t="s">
        <v>10</v>
      </c>
      <c r="U9" s="1">
        <v>150</v>
      </c>
      <c r="V9" s="1">
        <v>35</v>
      </c>
      <c r="W9" s="45">
        <f t="shared" ref="W9:W11" si="6">U9-V9/0.330882</f>
        <v>44.222109392472248</v>
      </c>
      <c r="X9" s="46">
        <v>3</v>
      </c>
      <c r="Y9" s="46">
        <v>0</v>
      </c>
      <c r="Z9" s="1">
        <f t="shared" si="1"/>
        <v>0</v>
      </c>
      <c r="AA9" s="1">
        <f t="shared" si="2"/>
        <v>0</v>
      </c>
      <c r="AB9" s="54">
        <f t="shared" si="3"/>
        <v>0</v>
      </c>
    </row>
    <row r="10" spans="1:28">
      <c r="A10" s="1" t="s">
        <v>27</v>
      </c>
      <c r="B10" s="1" t="s">
        <v>27</v>
      </c>
      <c r="C10" s="4" t="s">
        <v>6</v>
      </c>
      <c r="D10" s="26"/>
      <c r="E10" s="26"/>
      <c r="F10" s="26"/>
      <c r="G10" s="26"/>
      <c r="H10" s="27"/>
      <c r="I10" s="1" t="s">
        <v>27</v>
      </c>
      <c r="J10" s="1" t="s">
        <v>27</v>
      </c>
      <c r="K10" s="1" t="s">
        <v>27</v>
      </c>
      <c r="L10" s="26"/>
      <c r="M10" s="26"/>
      <c r="N10" s="26"/>
      <c r="O10" s="26"/>
      <c r="P10" s="27"/>
      <c r="Q10" s="50"/>
      <c r="R10" s="26"/>
      <c r="S10" s="26"/>
      <c r="T10" s="9" t="s">
        <v>11</v>
      </c>
      <c r="U10" s="1">
        <v>150</v>
      </c>
      <c r="V10" s="1">
        <v>40</v>
      </c>
      <c r="W10" s="45">
        <f t="shared" si="6"/>
        <v>29.110982162825422</v>
      </c>
      <c r="X10" s="46">
        <v>7</v>
      </c>
      <c r="Y10" s="46">
        <v>2</v>
      </c>
      <c r="Z10" s="1">
        <f t="shared" si="1"/>
        <v>3</v>
      </c>
      <c r="AA10" s="1">
        <f t="shared" si="2"/>
        <v>0</v>
      </c>
      <c r="AB10" s="54">
        <f t="shared" si="3"/>
        <v>-1</v>
      </c>
    </row>
    <row r="11" spans="1:28">
      <c r="A11" s="1" t="s">
        <v>27</v>
      </c>
      <c r="B11" s="1" t="s">
        <v>27</v>
      </c>
      <c r="C11" s="1" t="s">
        <v>27</v>
      </c>
      <c r="D11" s="26"/>
      <c r="E11" s="26"/>
      <c r="F11" s="26"/>
      <c r="G11" s="26"/>
      <c r="H11" s="27"/>
      <c r="I11" s="1" t="s">
        <v>27</v>
      </c>
      <c r="J11" s="1" t="s">
        <v>27</v>
      </c>
      <c r="K11" s="1" t="s">
        <v>27</v>
      </c>
      <c r="L11" s="26"/>
      <c r="M11" s="26"/>
      <c r="N11" s="26"/>
      <c r="O11" s="26"/>
      <c r="P11" s="27">
        <f>H5+P5</f>
        <v>15126</v>
      </c>
      <c r="Q11" s="50"/>
      <c r="R11" s="26"/>
      <c r="S11" s="26"/>
      <c r="T11" s="10" t="s">
        <v>12</v>
      </c>
      <c r="U11" s="1">
        <v>150</v>
      </c>
      <c r="V11" s="1">
        <v>45</v>
      </c>
      <c r="W11" s="45">
        <f t="shared" si="6"/>
        <v>13.999854933178597</v>
      </c>
      <c r="X11" s="46">
        <v>6</v>
      </c>
      <c r="Y11" s="46">
        <v>6</v>
      </c>
      <c r="Z11" s="1">
        <f t="shared" si="1"/>
        <v>0</v>
      </c>
      <c r="AA11" s="1">
        <f t="shared" si="2"/>
        <v>0</v>
      </c>
      <c r="AB11" s="54">
        <f t="shared" si="3"/>
        <v>6</v>
      </c>
    </row>
    <row r="12" spans="1:28">
      <c r="A12" s="4" t="s">
        <v>6</v>
      </c>
      <c r="B12" s="1" t="s">
        <v>27</v>
      </c>
      <c r="C12" s="4" t="s">
        <v>6</v>
      </c>
      <c r="D12" s="26"/>
      <c r="E12" s="26"/>
      <c r="F12" s="26"/>
      <c r="G12" s="26"/>
      <c r="H12" s="27"/>
      <c r="I12" s="1" t="s">
        <v>27</v>
      </c>
      <c r="J12" s="1" t="s">
        <v>27</v>
      </c>
      <c r="K12" s="1" t="s">
        <v>27</v>
      </c>
      <c r="L12" s="26"/>
      <c r="M12" s="26"/>
      <c r="N12" s="26"/>
      <c r="O12" s="26"/>
      <c r="P12" s="27">
        <f>H6+P6</f>
        <v>4955</v>
      </c>
      <c r="Q12" s="50"/>
      <c r="R12" s="26"/>
      <c r="S12" s="26"/>
      <c r="T12" s="11" t="s">
        <v>13</v>
      </c>
      <c r="U12" s="1">
        <v>150</v>
      </c>
      <c r="V12" s="1">
        <v>50</v>
      </c>
      <c r="W12" s="45"/>
      <c r="X12" s="46">
        <v>4</v>
      </c>
      <c r="Y12" s="46">
        <v>4</v>
      </c>
      <c r="Z12" s="1">
        <f t="shared" si="1"/>
        <v>0</v>
      </c>
      <c r="AA12" s="1">
        <f t="shared" si="2"/>
        <v>0</v>
      </c>
      <c r="AB12" s="54">
        <f t="shared" si="3"/>
        <v>4</v>
      </c>
    </row>
    <row r="13" spans="1:28">
      <c r="A13" s="4" t="s">
        <v>6</v>
      </c>
      <c r="B13" s="1" t="s">
        <v>27</v>
      </c>
      <c r="C13" s="15" t="s">
        <v>17</v>
      </c>
      <c r="D13" s="26"/>
      <c r="E13" s="26"/>
      <c r="F13" s="26"/>
      <c r="G13" s="26"/>
      <c r="H13" s="27"/>
      <c r="I13" s="1" t="s">
        <v>27</v>
      </c>
      <c r="J13" s="1" t="s">
        <v>27</v>
      </c>
      <c r="K13" s="1" t="s">
        <v>27</v>
      </c>
      <c r="L13" s="26"/>
      <c r="M13" s="26"/>
      <c r="N13" s="26"/>
      <c r="O13" s="26"/>
      <c r="P13" s="27"/>
      <c r="Q13" s="50"/>
      <c r="R13" s="26"/>
      <c r="S13" s="26"/>
      <c r="T13" s="12" t="s">
        <v>14</v>
      </c>
      <c r="U13" s="1">
        <v>150</v>
      </c>
      <c r="V13" s="1">
        <v>55</v>
      </c>
      <c r="W13" s="45"/>
      <c r="X13" s="46">
        <v>3</v>
      </c>
      <c r="Y13" s="46">
        <v>3</v>
      </c>
      <c r="Z13" s="1">
        <f t="shared" si="1"/>
        <v>0</v>
      </c>
      <c r="AA13" s="1">
        <f t="shared" si="2"/>
        <v>0</v>
      </c>
      <c r="AB13" s="54">
        <f t="shared" si="3"/>
        <v>3</v>
      </c>
    </row>
    <row r="14" spans="1:28">
      <c r="A14" s="4" t="s">
        <v>6</v>
      </c>
      <c r="B14" s="1" t="s">
        <v>27</v>
      </c>
      <c r="C14" s="3" t="s">
        <v>5</v>
      </c>
      <c r="D14" s="26"/>
      <c r="E14" s="26"/>
      <c r="F14" s="26"/>
      <c r="G14" s="26"/>
      <c r="H14" s="27"/>
      <c r="I14" s="1" t="s">
        <v>27</v>
      </c>
      <c r="J14" s="1" t="s">
        <v>27</v>
      </c>
      <c r="K14" s="1" t="s">
        <v>27</v>
      </c>
      <c r="L14" s="26"/>
      <c r="M14" s="26"/>
      <c r="N14" s="26"/>
      <c r="O14" s="26"/>
      <c r="P14" s="27"/>
      <c r="Q14" s="50"/>
      <c r="R14" s="26"/>
      <c r="S14" s="26"/>
      <c r="T14" s="13" t="s">
        <v>15</v>
      </c>
      <c r="U14" s="1">
        <v>150</v>
      </c>
      <c r="V14" s="1">
        <v>60</v>
      </c>
      <c r="W14" s="45"/>
      <c r="X14" s="46">
        <v>1</v>
      </c>
      <c r="Y14" s="46">
        <v>1</v>
      </c>
      <c r="Z14" s="1">
        <f t="shared" si="1"/>
        <v>0</v>
      </c>
      <c r="AA14" s="1">
        <f t="shared" si="2"/>
        <v>0</v>
      </c>
      <c r="AB14" s="54">
        <f t="shared" si="3"/>
        <v>1</v>
      </c>
    </row>
    <row r="15" spans="1:28">
      <c r="A15" s="4" t="s">
        <v>6</v>
      </c>
      <c r="B15" s="1" t="s">
        <v>27</v>
      </c>
      <c r="C15" s="16" t="s">
        <v>18</v>
      </c>
      <c r="D15" s="26"/>
      <c r="E15" s="26"/>
      <c r="F15" s="26"/>
      <c r="G15" s="26"/>
      <c r="H15" s="27"/>
      <c r="I15" s="1" t="s">
        <v>27</v>
      </c>
      <c r="J15" s="1" t="s">
        <v>27</v>
      </c>
      <c r="K15" s="1" t="s">
        <v>27</v>
      </c>
      <c r="L15" s="26"/>
      <c r="M15" s="26"/>
      <c r="N15" s="26"/>
      <c r="O15" s="26"/>
      <c r="P15" s="27"/>
      <c r="Q15" s="50"/>
      <c r="R15" s="26"/>
      <c r="S15" s="26"/>
      <c r="T15" s="14" t="s">
        <v>16</v>
      </c>
      <c r="U15" s="1">
        <v>150</v>
      </c>
      <c r="V15" s="1">
        <v>35</v>
      </c>
      <c r="W15" s="45">
        <f t="shared" ref="W15" si="7">U15-V15/0.330882</f>
        <v>44.222109392472248</v>
      </c>
      <c r="X15" s="46"/>
      <c r="Y15" s="46">
        <v>0</v>
      </c>
      <c r="Z15" s="1">
        <f t="shared" si="1"/>
        <v>0</v>
      </c>
      <c r="AA15" s="1">
        <f t="shared" si="2"/>
        <v>0</v>
      </c>
      <c r="AB15" s="54">
        <f t="shared" si="3"/>
        <v>0</v>
      </c>
    </row>
    <row r="16" spans="1:28">
      <c r="A16" s="15" t="s">
        <v>17</v>
      </c>
      <c r="B16" s="1" t="s">
        <v>27</v>
      </c>
      <c r="C16" s="2" t="s">
        <v>4</v>
      </c>
      <c r="D16" s="26"/>
      <c r="E16" s="26"/>
      <c r="F16" s="26"/>
      <c r="G16" s="26"/>
      <c r="H16" s="27"/>
      <c r="I16" s="1" t="s">
        <v>27</v>
      </c>
      <c r="J16" s="1" t="s">
        <v>27</v>
      </c>
      <c r="K16" s="1" t="s">
        <v>27</v>
      </c>
      <c r="L16" s="26"/>
      <c r="M16" s="26"/>
      <c r="N16" s="26"/>
      <c r="O16" s="26"/>
      <c r="P16" s="27"/>
      <c r="Q16" s="50"/>
      <c r="R16" s="26"/>
      <c r="S16" s="26"/>
      <c r="T16" s="15" t="s">
        <v>17</v>
      </c>
      <c r="U16" s="1">
        <v>50</v>
      </c>
      <c r="V16" s="1">
        <v>30</v>
      </c>
      <c r="W16" s="45">
        <v>10</v>
      </c>
      <c r="X16" s="46">
        <v>40</v>
      </c>
      <c r="Y16" s="46">
        <v>39</v>
      </c>
      <c r="Z16" s="1">
        <f t="shared" si="1"/>
        <v>3</v>
      </c>
      <c r="AA16" s="1">
        <f t="shared" si="2"/>
        <v>0</v>
      </c>
      <c r="AB16" s="54">
        <f t="shared" si="3"/>
        <v>36</v>
      </c>
    </row>
    <row r="17" spans="1:28">
      <c r="A17" s="4" t="s">
        <v>6</v>
      </c>
      <c r="B17" s="1" t="s">
        <v>27</v>
      </c>
      <c r="C17" s="2" t="s">
        <v>4</v>
      </c>
      <c r="D17" s="26"/>
      <c r="E17" s="26"/>
      <c r="F17" s="26"/>
      <c r="G17" s="26"/>
      <c r="H17" s="27"/>
      <c r="I17" s="1" t="s">
        <v>27</v>
      </c>
      <c r="J17" s="1" t="s">
        <v>27</v>
      </c>
      <c r="K17" s="1" t="s">
        <v>27</v>
      </c>
      <c r="L17" s="26"/>
      <c r="M17" s="26"/>
      <c r="N17" s="26"/>
      <c r="O17" s="26"/>
      <c r="P17" s="27"/>
      <c r="Q17" s="50"/>
      <c r="R17" s="26"/>
      <c r="S17" s="26"/>
      <c r="T17" s="16" t="s">
        <v>18</v>
      </c>
      <c r="U17" s="1">
        <v>-150</v>
      </c>
      <c r="V17" s="1">
        <v>0</v>
      </c>
      <c r="W17" s="45">
        <v>10</v>
      </c>
      <c r="X17" s="46">
        <v>3</v>
      </c>
      <c r="Y17" s="46">
        <v>3</v>
      </c>
      <c r="Z17" s="1">
        <f t="shared" si="1"/>
        <v>4</v>
      </c>
      <c r="AA17" s="1">
        <f t="shared" si="2"/>
        <v>0</v>
      </c>
      <c r="AB17" s="54">
        <f t="shared" si="3"/>
        <v>-1</v>
      </c>
    </row>
    <row r="18" spans="1:28">
      <c r="A18" s="17" t="s">
        <v>20</v>
      </c>
      <c r="B18" s="1" t="s">
        <v>27</v>
      </c>
      <c r="C18" s="2" t="s">
        <v>4</v>
      </c>
      <c r="D18" s="26"/>
      <c r="E18" s="26"/>
      <c r="F18" s="26"/>
      <c r="G18" s="26"/>
      <c r="H18" s="27"/>
      <c r="I18" s="1" t="s">
        <v>27</v>
      </c>
      <c r="J18" s="1" t="s">
        <v>27</v>
      </c>
      <c r="K18" s="1" t="s">
        <v>27</v>
      </c>
      <c r="L18" s="26"/>
      <c r="M18" s="26"/>
      <c r="N18" s="26"/>
      <c r="O18" s="26"/>
      <c r="P18" s="27"/>
      <c r="Q18" s="50"/>
      <c r="R18" s="26"/>
      <c r="S18" s="26"/>
      <c r="T18" s="17" t="s">
        <v>19</v>
      </c>
      <c r="U18" s="1">
        <v>250</v>
      </c>
      <c r="V18" s="1">
        <v>200</v>
      </c>
      <c r="W18" s="45"/>
      <c r="X18" s="46">
        <v>3</v>
      </c>
      <c r="Y18" s="46">
        <v>3</v>
      </c>
      <c r="Z18" s="1">
        <f t="shared" si="1"/>
        <v>3</v>
      </c>
      <c r="AA18" s="1">
        <f t="shared" si="2"/>
        <v>0</v>
      </c>
      <c r="AB18" s="54">
        <f t="shared" si="3"/>
        <v>0</v>
      </c>
    </row>
    <row r="19" spans="1:28">
      <c r="A19" s="4" t="s">
        <v>6</v>
      </c>
      <c r="B19" s="1" t="s">
        <v>27</v>
      </c>
      <c r="C19" s="2" t="s">
        <v>4</v>
      </c>
      <c r="D19" s="26"/>
      <c r="E19" s="26"/>
      <c r="F19" s="26"/>
      <c r="G19" s="26"/>
      <c r="H19" s="27"/>
      <c r="I19" s="1" t="s">
        <v>27</v>
      </c>
      <c r="J19" s="1" t="s">
        <v>27</v>
      </c>
      <c r="K19" s="1" t="s">
        <v>27</v>
      </c>
      <c r="L19" s="26"/>
      <c r="M19" s="26"/>
      <c r="N19" s="26"/>
      <c r="O19" s="26"/>
      <c r="P19" s="27"/>
      <c r="Q19" s="50"/>
      <c r="R19" s="26"/>
      <c r="S19" s="26"/>
      <c r="T19" s="17" t="s">
        <v>20</v>
      </c>
      <c r="U19" s="1">
        <v>170</v>
      </c>
      <c r="V19" s="1">
        <v>45</v>
      </c>
      <c r="W19" s="45"/>
      <c r="X19" s="46">
        <v>5</v>
      </c>
      <c r="Y19" s="46">
        <v>5</v>
      </c>
      <c r="Z19" s="1">
        <f t="shared" si="1"/>
        <v>5</v>
      </c>
      <c r="AA19" s="1">
        <f t="shared" si="2"/>
        <v>0</v>
      </c>
      <c r="AB19" s="54">
        <f t="shared" si="3"/>
        <v>0</v>
      </c>
    </row>
    <row r="20" spans="1:28">
      <c r="A20" s="3" t="s">
        <v>5</v>
      </c>
      <c r="B20" s="1" t="s">
        <v>27</v>
      </c>
      <c r="C20" s="15" t="s">
        <v>17</v>
      </c>
      <c r="D20" s="26"/>
      <c r="E20" s="26"/>
      <c r="F20" s="26"/>
      <c r="G20" s="26"/>
      <c r="H20" s="27"/>
      <c r="I20" s="1" t="s">
        <v>27</v>
      </c>
      <c r="J20" s="1" t="s">
        <v>27</v>
      </c>
      <c r="K20" s="1" t="s">
        <v>27</v>
      </c>
      <c r="L20" s="26"/>
      <c r="M20" s="26"/>
      <c r="N20" s="26"/>
      <c r="O20" s="26"/>
      <c r="P20" s="27"/>
      <c r="Q20" s="50"/>
      <c r="R20" s="26"/>
      <c r="S20" s="26"/>
      <c r="T20" s="18" t="s">
        <v>21</v>
      </c>
      <c r="U20" s="1">
        <v>250</v>
      </c>
      <c r="V20" s="1">
        <v>200</v>
      </c>
      <c r="W20" s="45"/>
      <c r="X20" s="46">
        <v>0</v>
      </c>
      <c r="Y20" s="46">
        <v>0</v>
      </c>
      <c r="Z20" s="1">
        <f t="shared" si="1"/>
        <v>0</v>
      </c>
      <c r="AA20" s="1">
        <f t="shared" si="2"/>
        <v>0</v>
      </c>
      <c r="AB20" s="54">
        <f t="shared" si="3"/>
        <v>0</v>
      </c>
    </row>
    <row r="21" spans="1:28">
      <c r="A21" s="3" t="s">
        <v>5</v>
      </c>
      <c r="B21" s="1" t="s">
        <v>27</v>
      </c>
      <c r="C21" s="3" t="s">
        <v>5</v>
      </c>
      <c r="D21" s="26"/>
      <c r="E21" s="26"/>
      <c r="F21" s="26"/>
      <c r="G21" s="26"/>
      <c r="H21" s="27"/>
      <c r="I21" s="1" t="s">
        <v>27</v>
      </c>
      <c r="J21" s="1" t="s">
        <v>27</v>
      </c>
      <c r="K21" s="1" t="s">
        <v>27</v>
      </c>
      <c r="L21" s="26"/>
      <c r="M21" s="26"/>
      <c r="N21" s="26"/>
      <c r="O21" s="26"/>
      <c r="P21" s="27"/>
      <c r="Q21" s="50"/>
      <c r="R21" s="26"/>
      <c r="S21" s="26"/>
      <c r="T21" s="19" t="s">
        <v>22</v>
      </c>
      <c r="U21" s="1">
        <v>250</v>
      </c>
      <c r="V21" s="1">
        <v>1000</v>
      </c>
      <c r="W21" s="45"/>
      <c r="X21" s="46">
        <v>2</v>
      </c>
      <c r="Y21" s="46">
        <v>2</v>
      </c>
      <c r="Z21" s="1">
        <f t="shared" si="1"/>
        <v>0</v>
      </c>
      <c r="AA21" s="1">
        <f t="shared" si="2"/>
        <v>0</v>
      </c>
      <c r="AB21" s="54">
        <f t="shared" si="3"/>
        <v>2</v>
      </c>
    </row>
    <row r="22" spans="1:28">
      <c r="A22" s="3" t="s">
        <v>5</v>
      </c>
      <c r="B22" s="1" t="s">
        <v>27</v>
      </c>
      <c r="C22" s="3" t="s">
        <v>5</v>
      </c>
      <c r="D22" s="26"/>
      <c r="E22" s="26"/>
      <c r="F22" s="26"/>
      <c r="G22" s="26"/>
      <c r="H22" s="27"/>
      <c r="I22" s="1" t="s">
        <v>27</v>
      </c>
      <c r="J22" s="1" t="s">
        <v>27</v>
      </c>
      <c r="K22" s="1" t="s">
        <v>27</v>
      </c>
      <c r="L22" s="26"/>
      <c r="M22" s="26"/>
      <c r="N22" s="26"/>
      <c r="O22" s="26"/>
      <c r="P22" s="27"/>
      <c r="Q22" s="50"/>
      <c r="R22" s="26"/>
      <c r="S22" s="26"/>
      <c r="T22" s="20" t="s">
        <v>23</v>
      </c>
      <c r="U22" s="1">
        <v>250</v>
      </c>
      <c r="V22" s="1">
        <v>500</v>
      </c>
      <c r="W22" s="45"/>
      <c r="X22" s="46">
        <v>2</v>
      </c>
      <c r="Y22" s="46">
        <v>2</v>
      </c>
      <c r="Z22" s="1">
        <f t="shared" si="1"/>
        <v>0</v>
      </c>
      <c r="AA22" s="1">
        <f t="shared" si="2"/>
        <v>0</v>
      </c>
      <c r="AB22" s="54">
        <f t="shared" si="3"/>
        <v>2</v>
      </c>
    </row>
    <row r="23" spans="1:28">
      <c r="A23" s="3" t="s">
        <v>5</v>
      </c>
      <c r="B23" s="1" t="s">
        <v>27</v>
      </c>
      <c r="C23" s="3" t="s">
        <v>5</v>
      </c>
      <c r="D23" s="26"/>
      <c r="E23" s="26"/>
      <c r="F23" s="26"/>
      <c r="G23" s="26"/>
      <c r="H23" s="27"/>
      <c r="I23" s="1" t="s">
        <v>27</v>
      </c>
      <c r="J23" s="1" t="s">
        <v>27</v>
      </c>
      <c r="K23" s="1" t="s">
        <v>27</v>
      </c>
      <c r="L23" s="26"/>
      <c r="M23" s="26"/>
      <c r="N23" s="26"/>
      <c r="O23" s="26"/>
      <c r="P23" s="27"/>
      <c r="Q23" s="50"/>
      <c r="R23" s="26"/>
      <c r="S23" s="26"/>
      <c r="T23" s="21" t="s">
        <v>24</v>
      </c>
      <c r="U23" s="1">
        <v>160</v>
      </c>
      <c r="V23" s="1">
        <v>40</v>
      </c>
      <c r="W23" s="45">
        <f t="shared" ref="W23:W26" si="8">U23-V23/0.330882</f>
        <v>39.110982162825422</v>
      </c>
      <c r="X23" s="46">
        <v>0</v>
      </c>
      <c r="Y23" s="46">
        <v>0</v>
      </c>
      <c r="Z23" s="1">
        <f t="shared" si="1"/>
        <v>0</v>
      </c>
      <c r="AA23" s="1">
        <f t="shared" si="2"/>
        <v>0</v>
      </c>
      <c r="AB23" s="54">
        <f t="shared" si="3"/>
        <v>0</v>
      </c>
    </row>
    <row r="24" spans="1:28">
      <c r="A24" s="3" t="s">
        <v>5</v>
      </c>
      <c r="B24" s="1" t="s">
        <v>27</v>
      </c>
      <c r="C24" s="16" t="s">
        <v>18</v>
      </c>
      <c r="D24" s="26"/>
      <c r="E24" s="26"/>
      <c r="F24" s="26"/>
      <c r="G24" s="26"/>
      <c r="H24" s="27"/>
      <c r="I24" s="1" t="s">
        <v>27</v>
      </c>
      <c r="J24" s="1" t="s">
        <v>27</v>
      </c>
      <c r="K24" s="1" t="s">
        <v>27</v>
      </c>
      <c r="L24" s="26"/>
      <c r="M24" s="26"/>
      <c r="N24" s="26"/>
      <c r="O24" s="26"/>
      <c r="P24" s="27"/>
      <c r="Q24" s="50"/>
      <c r="R24" s="26"/>
      <c r="S24" s="26"/>
      <c r="T24" s="21" t="s">
        <v>25</v>
      </c>
      <c r="U24" s="1">
        <v>160</v>
      </c>
      <c r="V24" s="1">
        <v>40</v>
      </c>
      <c r="W24" s="45">
        <f t="shared" si="8"/>
        <v>39.110982162825422</v>
      </c>
      <c r="X24" s="46">
        <v>0</v>
      </c>
      <c r="Y24" s="46">
        <v>0</v>
      </c>
      <c r="Z24" s="1">
        <f t="shared" si="1"/>
        <v>0</v>
      </c>
      <c r="AA24" s="1">
        <f t="shared" si="2"/>
        <v>0</v>
      </c>
      <c r="AB24" s="54">
        <f t="shared" si="3"/>
        <v>0</v>
      </c>
    </row>
    <row r="25" spans="1:28">
      <c r="A25" s="3" t="s">
        <v>5</v>
      </c>
      <c r="B25" s="1" t="s">
        <v>27</v>
      </c>
      <c r="C25" s="3" t="s">
        <v>5</v>
      </c>
      <c r="D25" s="26"/>
      <c r="E25" s="26"/>
      <c r="F25" s="26"/>
      <c r="G25" s="26"/>
      <c r="H25" s="27"/>
      <c r="I25" s="1" t="s">
        <v>27</v>
      </c>
      <c r="J25" s="1" t="s">
        <v>27</v>
      </c>
      <c r="K25" s="1" t="s">
        <v>27</v>
      </c>
      <c r="L25" s="26"/>
      <c r="M25" s="26"/>
      <c r="N25" s="26"/>
      <c r="O25" s="26"/>
      <c r="P25" s="27"/>
      <c r="Q25" s="50"/>
      <c r="R25" s="26"/>
      <c r="S25" s="26"/>
      <c r="T25" s="21" t="s">
        <v>26</v>
      </c>
      <c r="U25" s="1">
        <v>150</v>
      </c>
      <c r="V25" s="1">
        <v>35</v>
      </c>
      <c r="W25" s="45">
        <f t="shared" si="8"/>
        <v>44.222109392472248</v>
      </c>
      <c r="X25" s="46">
        <v>0</v>
      </c>
      <c r="Y25" s="46">
        <v>0</v>
      </c>
      <c r="Z25" s="1">
        <f t="shared" si="1"/>
        <v>0</v>
      </c>
      <c r="AA25" s="1">
        <f t="shared" si="2"/>
        <v>0</v>
      </c>
      <c r="AB25" s="54">
        <f t="shared" si="3"/>
        <v>0</v>
      </c>
    </row>
    <row r="26" spans="1:28">
      <c r="A26" s="4" t="s">
        <v>6</v>
      </c>
      <c r="B26" s="1" t="s">
        <v>27</v>
      </c>
      <c r="C26" s="3" t="s">
        <v>5</v>
      </c>
      <c r="D26" s="26"/>
      <c r="E26" s="26"/>
      <c r="F26" s="26"/>
      <c r="G26" s="26"/>
      <c r="H26" s="27"/>
      <c r="I26" s="1" t="s">
        <v>27</v>
      </c>
      <c r="J26" s="1" t="s">
        <v>27</v>
      </c>
      <c r="K26" s="1" t="s">
        <v>27</v>
      </c>
      <c r="L26" s="26"/>
      <c r="M26" s="26"/>
      <c r="N26" s="26"/>
      <c r="O26" s="26"/>
      <c r="P26" s="27"/>
      <c r="Q26" s="50"/>
      <c r="R26" s="26"/>
      <c r="S26" s="26"/>
      <c r="T26" s="22" t="s">
        <v>27</v>
      </c>
      <c r="U26" s="1">
        <v>0</v>
      </c>
      <c r="V26" s="1">
        <v>0</v>
      </c>
      <c r="W26" s="45">
        <f t="shared" si="8"/>
        <v>0</v>
      </c>
      <c r="X26" s="46">
        <v>0</v>
      </c>
      <c r="Y26" s="46">
        <v>0</v>
      </c>
      <c r="Z26" s="1"/>
      <c r="AA26" s="1"/>
      <c r="AB26" s="54"/>
    </row>
    <row r="27" spans="1:28">
      <c r="A27" s="4" t="s">
        <v>6</v>
      </c>
      <c r="B27" s="1" t="s">
        <v>27</v>
      </c>
      <c r="C27" s="4" t="s">
        <v>6</v>
      </c>
      <c r="D27" s="26"/>
      <c r="E27" s="26"/>
      <c r="F27" s="26"/>
      <c r="G27" s="26"/>
      <c r="H27" s="27"/>
      <c r="I27" s="1" t="s">
        <v>27</v>
      </c>
      <c r="J27" s="1" t="s">
        <v>27</v>
      </c>
      <c r="K27" s="1" t="s">
        <v>27</v>
      </c>
      <c r="L27" s="26"/>
      <c r="M27" s="26"/>
      <c r="N27" s="26"/>
      <c r="O27" s="26"/>
      <c r="P27" s="27"/>
      <c r="Q27" s="50"/>
      <c r="R27" s="26"/>
      <c r="S27" s="26"/>
      <c r="T27" s="16" t="s">
        <v>28</v>
      </c>
      <c r="U27" s="1">
        <v>-200</v>
      </c>
      <c r="V27" s="1">
        <v>0</v>
      </c>
      <c r="W27" s="45"/>
      <c r="X27" s="46">
        <v>12</v>
      </c>
      <c r="Y27" s="46">
        <v>12</v>
      </c>
      <c r="Z27" s="1">
        <f t="shared" si="1"/>
        <v>0</v>
      </c>
      <c r="AA27" s="1">
        <f t="shared" si="2"/>
        <v>0</v>
      </c>
      <c r="AB27" s="54">
        <f t="shared" si="3"/>
        <v>12</v>
      </c>
    </row>
    <row r="28" spans="1:28">
      <c r="A28" s="4" t="s">
        <v>6</v>
      </c>
      <c r="B28" s="1" t="s">
        <v>27</v>
      </c>
      <c r="C28" s="4" t="s">
        <v>6</v>
      </c>
      <c r="D28" s="26"/>
      <c r="E28" s="26"/>
      <c r="F28" s="26"/>
      <c r="G28" s="26"/>
      <c r="H28" s="27"/>
      <c r="I28" s="1" t="s">
        <v>27</v>
      </c>
      <c r="J28" s="1" t="s">
        <v>27</v>
      </c>
      <c r="K28" s="1" t="s">
        <v>27</v>
      </c>
      <c r="L28" s="26"/>
      <c r="M28" s="26"/>
      <c r="N28" s="26"/>
      <c r="O28" s="26"/>
      <c r="P28" s="27"/>
      <c r="Q28" s="50"/>
      <c r="R28" s="26"/>
      <c r="S28" s="26"/>
      <c r="T28" s="23" t="s">
        <v>29</v>
      </c>
      <c r="U28" s="1">
        <v>50</v>
      </c>
      <c r="V28" s="1">
        <v>520</v>
      </c>
      <c r="W28" s="45"/>
      <c r="X28" s="46">
        <v>3</v>
      </c>
      <c r="Y28" s="46">
        <v>3</v>
      </c>
      <c r="Z28" s="1">
        <f t="shared" si="1"/>
        <v>1</v>
      </c>
      <c r="AA28" s="1">
        <f t="shared" si="2"/>
        <v>0</v>
      </c>
      <c r="AB28" s="54">
        <f t="shared" si="3"/>
        <v>2</v>
      </c>
    </row>
    <row r="29" spans="1:28" ht="15.75" thickBot="1">
      <c r="A29" s="4" t="s">
        <v>6</v>
      </c>
      <c r="B29" s="1" t="s">
        <v>27</v>
      </c>
      <c r="C29" s="4" t="s">
        <v>6</v>
      </c>
      <c r="D29" s="26"/>
      <c r="E29" s="26"/>
      <c r="F29" s="26"/>
      <c r="G29" s="26"/>
      <c r="H29" s="27"/>
      <c r="I29" s="1" t="s">
        <v>27</v>
      </c>
      <c r="J29" s="1" t="s">
        <v>27</v>
      </c>
      <c r="K29" s="1" t="s">
        <v>27</v>
      </c>
      <c r="L29" s="26"/>
      <c r="M29" s="26"/>
      <c r="N29" s="26"/>
      <c r="O29" s="26"/>
      <c r="P29" s="27"/>
      <c r="Q29" s="56"/>
      <c r="R29" s="31"/>
      <c r="S29" s="31"/>
      <c r="T29" s="30"/>
      <c r="U29" s="30"/>
      <c r="V29" s="30"/>
      <c r="W29" s="30"/>
      <c r="X29" s="30"/>
      <c r="Y29" s="30"/>
      <c r="Z29" s="30"/>
      <c r="AA29" s="30"/>
      <c r="AB29" s="57"/>
    </row>
    <row r="30" spans="1:28">
      <c r="A30" s="4" t="s">
        <v>6</v>
      </c>
      <c r="B30" s="1" t="s">
        <v>27</v>
      </c>
      <c r="C30" s="4" t="s">
        <v>6</v>
      </c>
      <c r="D30" s="26"/>
      <c r="E30" s="26"/>
      <c r="F30" s="26"/>
      <c r="G30" s="26"/>
      <c r="H30" s="27"/>
      <c r="I30" s="1" t="s">
        <v>27</v>
      </c>
      <c r="J30" s="1" t="s">
        <v>27</v>
      </c>
      <c r="K30" s="1" t="s">
        <v>27</v>
      </c>
      <c r="L30" s="26"/>
      <c r="M30" s="26"/>
      <c r="N30" s="26"/>
      <c r="O30" s="26"/>
      <c r="P30" s="27"/>
    </row>
    <row r="31" spans="1:28">
      <c r="A31" s="4" t="s">
        <v>6</v>
      </c>
      <c r="B31" s="1" t="s">
        <v>27</v>
      </c>
      <c r="C31" s="4" t="s">
        <v>6</v>
      </c>
      <c r="D31" s="26"/>
      <c r="E31" s="26"/>
      <c r="F31" s="26"/>
      <c r="G31" s="26"/>
      <c r="H31" s="27"/>
      <c r="I31" s="1" t="s">
        <v>27</v>
      </c>
      <c r="J31" s="1" t="s">
        <v>27</v>
      </c>
      <c r="K31" s="1" t="s">
        <v>27</v>
      </c>
      <c r="L31" s="26"/>
      <c r="M31" s="26"/>
      <c r="N31" s="26"/>
      <c r="O31" s="26"/>
      <c r="P31" s="27"/>
      <c r="Y31">
        <f>SUM(Y3:Y28)</f>
        <v>1077</v>
      </c>
    </row>
    <row r="32" spans="1:28">
      <c r="A32" s="4" t="s">
        <v>6</v>
      </c>
      <c r="B32" s="1" t="s">
        <v>27</v>
      </c>
      <c r="C32" s="17" t="s">
        <v>20</v>
      </c>
      <c r="D32" s="26"/>
      <c r="E32" s="26"/>
      <c r="F32" s="26"/>
      <c r="G32" s="26"/>
      <c r="H32" s="27"/>
      <c r="I32" s="1" t="s">
        <v>27</v>
      </c>
      <c r="J32" s="1" t="s">
        <v>27</v>
      </c>
      <c r="K32" s="1" t="s">
        <v>27</v>
      </c>
      <c r="L32" s="26"/>
      <c r="M32" s="26"/>
      <c r="N32" s="26"/>
      <c r="O32" s="26"/>
      <c r="P32" s="27"/>
      <c r="Q32" t="s">
        <v>57</v>
      </c>
      <c r="R32">
        <v>1</v>
      </c>
      <c r="S32" t="s">
        <v>59</v>
      </c>
    </row>
    <row r="33" spans="1:19">
      <c r="A33" s="4" t="s">
        <v>6</v>
      </c>
      <c r="B33" s="1" t="s">
        <v>27</v>
      </c>
      <c r="C33" s="3" t="s">
        <v>5</v>
      </c>
      <c r="D33" s="26"/>
      <c r="E33" s="26"/>
      <c r="F33" s="26"/>
      <c r="G33" s="26"/>
      <c r="H33" s="27"/>
      <c r="I33" s="1" t="s">
        <v>27</v>
      </c>
      <c r="J33" s="1" t="s">
        <v>27</v>
      </c>
      <c r="K33" s="1" t="s">
        <v>27</v>
      </c>
      <c r="L33" s="26"/>
      <c r="M33" s="26"/>
      <c r="N33" s="26"/>
      <c r="O33" s="26"/>
      <c r="P33" s="27"/>
      <c r="R33">
        <v>2</v>
      </c>
      <c r="S33" t="s">
        <v>60</v>
      </c>
    </row>
    <row r="34" spans="1:19">
      <c r="A34" s="17" t="s">
        <v>20</v>
      </c>
      <c r="B34" s="1" t="s">
        <v>27</v>
      </c>
      <c r="C34" s="3" t="s">
        <v>5</v>
      </c>
      <c r="D34" s="26"/>
      <c r="E34" s="26"/>
      <c r="F34" s="26"/>
      <c r="G34" s="26"/>
      <c r="H34" s="27"/>
      <c r="I34" s="28" t="s">
        <v>27</v>
      </c>
      <c r="J34" s="1" t="s">
        <v>27</v>
      </c>
      <c r="K34" s="1" t="s">
        <v>27</v>
      </c>
      <c r="L34" s="26"/>
      <c r="M34" s="26"/>
      <c r="N34" s="26"/>
      <c r="O34" s="26"/>
      <c r="P34" s="27"/>
      <c r="R34">
        <v>3</v>
      </c>
      <c r="S34" t="s">
        <v>58</v>
      </c>
    </row>
    <row r="35" spans="1:19">
      <c r="A35" s="9" t="s">
        <v>11</v>
      </c>
      <c r="B35" s="1" t="s">
        <v>27</v>
      </c>
      <c r="C35" s="9" t="s">
        <v>11</v>
      </c>
      <c r="D35" s="26"/>
      <c r="E35" s="26"/>
      <c r="F35" s="26"/>
      <c r="G35" s="26"/>
      <c r="H35" s="27"/>
      <c r="I35" s="28" t="s">
        <v>27</v>
      </c>
      <c r="J35" s="1" t="s">
        <v>27</v>
      </c>
      <c r="K35" s="1" t="s">
        <v>27</v>
      </c>
      <c r="L35" s="26"/>
      <c r="M35" s="26"/>
      <c r="N35" s="26"/>
      <c r="O35" s="26"/>
      <c r="P35" s="27"/>
      <c r="R35">
        <v>4</v>
      </c>
      <c r="S35" t="s">
        <v>61</v>
      </c>
    </row>
    <row r="36" spans="1:19">
      <c r="A36" s="3" t="s">
        <v>5</v>
      </c>
      <c r="B36" s="1" t="s">
        <v>27</v>
      </c>
      <c r="C36" s="3" t="s">
        <v>5</v>
      </c>
      <c r="D36" s="26"/>
      <c r="E36" s="26"/>
      <c r="F36" s="26"/>
      <c r="G36" s="26"/>
      <c r="H36" s="27"/>
      <c r="I36" s="28" t="s">
        <v>27</v>
      </c>
      <c r="J36" s="1" t="s">
        <v>27</v>
      </c>
      <c r="K36" s="1" t="s">
        <v>27</v>
      </c>
      <c r="L36" s="26"/>
      <c r="M36" s="26"/>
      <c r="N36" s="26"/>
      <c r="O36" s="26"/>
      <c r="P36" s="27"/>
      <c r="S36" t="s">
        <v>62</v>
      </c>
    </row>
    <row r="37" spans="1:19">
      <c r="A37" s="3" t="s">
        <v>5</v>
      </c>
      <c r="B37" s="1" t="s">
        <v>27</v>
      </c>
      <c r="C37" s="3" t="s">
        <v>5</v>
      </c>
      <c r="D37" s="26"/>
      <c r="E37" s="26"/>
      <c r="F37" s="26"/>
      <c r="G37" s="26"/>
      <c r="H37" s="27"/>
      <c r="I37" s="28" t="s">
        <v>27</v>
      </c>
      <c r="J37" s="1" t="s">
        <v>27</v>
      </c>
      <c r="K37" s="1" t="s">
        <v>27</v>
      </c>
      <c r="L37" s="26"/>
      <c r="M37" s="26"/>
      <c r="N37" s="26"/>
      <c r="O37" s="26"/>
      <c r="P37" s="27"/>
      <c r="R37">
        <v>5</v>
      </c>
      <c r="S37" t="s">
        <v>63</v>
      </c>
    </row>
    <row r="38" spans="1:19">
      <c r="A38" s="3" t="s">
        <v>5</v>
      </c>
      <c r="B38" s="1" t="s">
        <v>27</v>
      </c>
      <c r="C38" s="3" t="s">
        <v>5</v>
      </c>
      <c r="D38" s="26"/>
      <c r="E38" s="26"/>
      <c r="F38" s="26"/>
      <c r="G38" s="26"/>
      <c r="H38" s="27"/>
      <c r="I38" s="28" t="s">
        <v>27</v>
      </c>
      <c r="J38" s="1" t="s">
        <v>27</v>
      </c>
      <c r="K38" s="1" t="s">
        <v>27</v>
      </c>
      <c r="L38" s="26"/>
      <c r="M38" s="26"/>
      <c r="N38" s="26"/>
      <c r="O38" s="26"/>
      <c r="P38" s="27"/>
      <c r="R38">
        <v>6</v>
      </c>
      <c r="S38" t="s">
        <v>64</v>
      </c>
    </row>
    <row r="39" spans="1:19">
      <c r="A39" s="4" t="s">
        <v>6</v>
      </c>
      <c r="B39" s="1" t="s">
        <v>27</v>
      </c>
      <c r="C39" s="3" t="s">
        <v>5</v>
      </c>
      <c r="D39" s="26"/>
      <c r="E39" s="26"/>
      <c r="F39" s="26"/>
      <c r="G39" s="26"/>
      <c r="H39" s="27"/>
      <c r="I39" s="28" t="s">
        <v>27</v>
      </c>
      <c r="J39" s="1" t="s">
        <v>27</v>
      </c>
      <c r="K39" s="1" t="s">
        <v>27</v>
      </c>
      <c r="L39" s="26"/>
      <c r="M39" s="26"/>
      <c r="N39" s="26"/>
      <c r="O39" s="26"/>
      <c r="P39" s="27"/>
      <c r="R39">
        <v>7</v>
      </c>
      <c r="S39" t="s">
        <v>65</v>
      </c>
    </row>
    <row r="40" spans="1:19">
      <c r="A40" s="4" t="s">
        <v>6</v>
      </c>
      <c r="B40" s="1" t="s">
        <v>27</v>
      </c>
      <c r="C40" s="3" t="s">
        <v>5</v>
      </c>
      <c r="D40" s="26"/>
      <c r="E40" s="26"/>
      <c r="F40" s="26"/>
      <c r="G40" s="26"/>
      <c r="H40" s="27"/>
      <c r="I40" s="28" t="s">
        <v>27</v>
      </c>
      <c r="J40" s="1" t="s">
        <v>27</v>
      </c>
      <c r="K40" s="1" t="s">
        <v>27</v>
      </c>
      <c r="L40" s="26"/>
      <c r="M40" s="26"/>
      <c r="N40" s="26"/>
      <c r="O40" s="26"/>
      <c r="P40" s="27"/>
    </row>
    <row r="41" spans="1:19">
      <c r="A41" s="4" t="s">
        <v>6</v>
      </c>
      <c r="B41" s="1" t="s">
        <v>27</v>
      </c>
      <c r="C41" s="4" t="s">
        <v>6</v>
      </c>
      <c r="D41" s="26"/>
      <c r="E41" s="26"/>
      <c r="F41" s="26"/>
      <c r="G41" s="26"/>
      <c r="H41" s="27"/>
      <c r="I41" s="28" t="s">
        <v>27</v>
      </c>
      <c r="J41" s="1" t="s">
        <v>27</v>
      </c>
      <c r="K41" s="1" t="s">
        <v>27</v>
      </c>
      <c r="L41" s="26"/>
      <c r="M41" s="26"/>
      <c r="N41" s="26"/>
      <c r="O41" s="26"/>
      <c r="P41" s="27"/>
    </row>
    <row r="42" spans="1:19">
      <c r="A42" s="17" t="s">
        <v>19</v>
      </c>
      <c r="B42" s="1" t="s">
        <v>27</v>
      </c>
      <c r="C42" s="4" t="s">
        <v>6</v>
      </c>
      <c r="D42" s="26"/>
      <c r="E42" s="26"/>
      <c r="F42" s="26"/>
      <c r="G42" s="26"/>
      <c r="H42" s="27"/>
      <c r="I42" s="28" t="s">
        <v>27</v>
      </c>
      <c r="J42" s="1" t="s">
        <v>27</v>
      </c>
      <c r="K42" s="1" t="s">
        <v>27</v>
      </c>
      <c r="L42" s="26"/>
      <c r="M42" s="26"/>
      <c r="N42" s="26"/>
      <c r="O42" s="26"/>
      <c r="P42" s="27"/>
    </row>
    <row r="43" spans="1:19">
      <c r="A43" s="4" t="s">
        <v>6</v>
      </c>
      <c r="B43" s="1" t="s">
        <v>27</v>
      </c>
      <c r="C43" s="17" t="s">
        <v>19</v>
      </c>
      <c r="D43" s="26"/>
      <c r="E43" s="26"/>
      <c r="F43" s="26"/>
      <c r="G43" s="26"/>
      <c r="H43" s="27"/>
      <c r="I43" s="28" t="s">
        <v>27</v>
      </c>
      <c r="J43" s="1" t="s">
        <v>27</v>
      </c>
      <c r="K43" s="1" t="s">
        <v>27</v>
      </c>
      <c r="L43" s="26"/>
      <c r="M43" s="26"/>
      <c r="N43" s="26"/>
      <c r="O43" s="26"/>
      <c r="P43" s="27"/>
    </row>
    <row r="44" spans="1:19">
      <c r="A44" s="16" t="s">
        <v>18</v>
      </c>
      <c r="B44" s="1" t="s">
        <v>27</v>
      </c>
      <c r="C44" s="4" t="s">
        <v>6</v>
      </c>
      <c r="D44" s="26"/>
      <c r="E44" s="26"/>
      <c r="F44" s="26"/>
      <c r="G44" s="26"/>
      <c r="H44" s="27"/>
      <c r="I44" s="28" t="s">
        <v>27</v>
      </c>
      <c r="J44" s="1" t="s">
        <v>27</v>
      </c>
      <c r="K44" s="1" t="s">
        <v>27</v>
      </c>
      <c r="L44" s="26"/>
      <c r="M44" s="26"/>
      <c r="N44" s="26"/>
      <c r="O44" s="26"/>
      <c r="P44" s="27"/>
    </row>
    <row r="45" spans="1:19">
      <c r="A45" s="3" t="s">
        <v>5</v>
      </c>
      <c r="B45" s="1" t="s">
        <v>27</v>
      </c>
      <c r="C45" s="4" t="s">
        <v>6</v>
      </c>
      <c r="D45" s="26"/>
      <c r="E45" s="26"/>
      <c r="F45" s="26"/>
      <c r="G45" s="26"/>
      <c r="H45" s="27"/>
      <c r="I45" s="28" t="s">
        <v>27</v>
      </c>
      <c r="J45" s="1" t="s">
        <v>27</v>
      </c>
      <c r="K45" s="1" t="s">
        <v>27</v>
      </c>
      <c r="L45" s="26"/>
      <c r="M45" s="26"/>
      <c r="N45" s="26"/>
      <c r="O45" s="26"/>
      <c r="P45" s="27"/>
    </row>
    <row r="46" spans="1:19">
      <c r="A46" s="9" t="s">
        <v>11</v>
      </c>
      <c r="B46" s="1" t="s">
        <v>27</v>
      </c>
      <c r="C46" s="4" t="s">
        <v>6</v>
      </c>
      <c r="D46" s="26"/>
      <c r="E46" s="26"/>
      <c r="F46" s="26"/>
      <c r="G46" s="26"/>
      <c r="H46" s="27"/>
      <c r="I46" s="28" t="s">
        <v>27</v>
      </c>
      <c r="J46" s="1" t="s">
        <v>27</v>
      </c>
      <c r="K46" s="1" t="s">
        <v>27</v>
      </c>
      <c r="L46" s="26"/>
      <c r="M46" s="26"/>
      <c r="N46" s="26"/>
      <c r="O46" s="26"/>
      <c r="P46" s="27"/>
    </row>
    <row r="47" spans="1:19">
      <c r="A47" s="3" t="s">
        <v>5</v>
      </c>
      <c r="B47" s="1" t="s">
        <v>27</v>
      </c>
      <c r="C47" s="4" t="s">
        <v>6</v>
      </c>
      <c r="D47" s="26"/>
      <c r="E47" s="26"/>
      <c r="F47" s="26"/>
      <c r="G47" s="26"/>
      <c r="H47" s="27"/>
      <c r="I47" s="28" t="s">
        <v>27</v>
      </c>
      <c r="J47" s="1" t="s">
        <v>27</v>
      </c>
      <c r="K47" s="1" t="s">
        <v>27</v>
      </c>
      <c r="L47" s="26"/>
      <c r="M47" s="26"/>
      <c r="N47" s="26"/>
      <c r="O47" s="26"/>
      <c r="P47" s="27"/>
    </row>
    <row r="48" spans="1:19">
      <c r="A48" s="4" t="s">
        <v>6</v>
      </c>
      <c r="B48" s="1" t="s">
        <v>27</v>
      </c>
      <c r="C48" s="16" t="s">
        <v>18</v>
      </c>
      <c r="D48" s="26"/>
      <c r="E48" s="26"/>
      <c r="F48" s="26"/>
      <c r="G48" s="26"/>
      <c r="H48" s="27"/>
      <c r="I48" s="28" t="s">
        <v>27</v>
      </c>
      <c r="J48" s="1" t="s">
        <v>27</v>
      </c>
      <c r="K48" s="1" t="s">
        <v>27</v>
      </c>
      <c r="L48" s="26"/>
      <c r="M48" s="26"/>
      <c r="N48" s="26"/>
      <c r="O48" s="26"/>
      <c r="P48" s="27"/>
    </row>
    <row r="49" spans="1:16">
      <c r="A49" s="4" t="s">
        <v>6</v>
      </c>
      <c r="B49" s="1" t="s">
        <v>27</v>
      </c>
      <c r="C49" s="4" t="s">
        <v>6</v>
      </c>
      <c r="D49" s="26"/>
      <c r="E49" s="26"/>
      <c r="F49" s="26"/>
      <c r="G49" s="26"/>
      <c r="H49" s="27"/>
      <c r="I49" s="28" t="s">
        <v>27</v>
      </c>
      <c r="J49" s="1" t="s">
        <v>27</v>
      </c>
      <c r="K49" s="1" t="s">
        <v>27</v>
      </c>
      <c r="L49" s="26"/>
      <c r="M49" s="26"/>
      <c r="N49" s="26"/>
      <c r="O49" s="26"/>
      <c r="P49" s="27"/>
    </row>
    <row r="50" spans="1:16">
      <c r="A50" s="4" t="s">
        <v>6</v>
      </c>
      <c r="B50" s="1" t="s">
        <v>27</v>
      </c>
      <c r="C50" s="4" t="s">
        <v>6</v>
      </c>
      <c r="D50" s="26"/>
      <c r="E50" s="26"/>
      <c r="F50" s="26"/>
      <c r="G50" s="26"/>
      <c r="H50" s="27"/>
      <c r="I50" s="28" t="s">
        <v>27</v>
      </c>
      <c r="J50" s="1" t="s">
        <v>27</v>
      </c>
      <c r="K50" s="1" t="s">
        <v>27</v>
      </c>
      <c r="L50" s="26"/>
      <c r="M50" s="26"/>
      <c r="N50" s="26"/>
      <c r="O50" s="26"/>
      <c r="P50" s="27"/>
    </row>
    <row r="51" spans="1:16">
      <c r="A51" s="4" t="s">
        <v>6</v>
      </c>
      <c r="B51" s="1" t="s">
        <v>27</v>
      </c>
      <c r="C51" s="17" t="s">
        <v>20</v>
      </c>
      <c r="D51" s="26"/>
      <c r="E51" s="26"/>
      <c r="F51" s="26"/>
      <c r="G51" s="26"/>
      <c r="H51" s="27"/>
      <c r="I51" s="28" t="s">
        <v>27</v>
      </c>
      <c r="J51" s="1" t="s">
        <v>27</v>
      </c>
      <c r="K51" s="1" t="s">
        <v>27</v>
      </c>
      <c r="L51" s="26"/>
      <c r="M51" s="26"/>
      <c r="N51" s="26"/>
      <c r="O51" s="26"/>
      <c r="P51" s="27"/>
    </row>
    <row r="52" spans="1:16">
      <c r="A52" s="4" t="s">
        <v>6</v>
      </c>
      <c r="B52" s="1" t="s">
        <v>27</v>
      </c>
      <c r="C52" s="1" t="s">
        <v>27</v>
      </c>
      <c r="D52" s="26"/>
      <c r="E52" s="26"/>
      <c r="F52" s="26"/>
      <c r="G52" s="26"/>
      <c r="H52" s="27"/>
      <c r="I52" s="28" t="s">
        <v>27</v>
      </c>
      <c r="J52" s="1" t="s">
        <v>27</v>
      </c>
      <c r="K52" s="1" t="s">
        <v>27</v>
      </c>
      <c r="L52" s="26"/>
      <c r="M52" s="26"/>
      <c r="N52" s="26"/>
      <c r="O52" s="26"/>
      <c r="P52" s="27"/>
    </row>
    <row r="53" spans="1:16">
      <c r="A53" s="17" t="s">
        <v>20</v>
      </c>
      <c r="B53" s="1" t="s">
        <v>27</v>
      </c>
      <c r="C53" s="1" t="s">
        <v>27</v>
      </c>
      <c r="D53" s="26"/>
      <c r="E53" s="26"/>
      <c r="F53" s="26"/>
      <c r="G53" s="26"/>
      <c r="H53" s="27"/>
      <c r="I53" s="28" t="s">
        <v>27</v>
      </c>
      <c r="J53" s="1" t="s">
        <v>27</v>
      </c>
      <c r="K53" s="1" t="s">
        <v>27</v>
      </c>
      <c r="L53" s="26"/>
      <c r="M53" s="26"/>
      <c r="N53" s="26"/>
      <c r="O53" s="26"/>
      <c r="P53" s="27"/>
    </row>
    <row r="54" spans="1:16">
      <c r="A54" s="1" t="s">
        <v>27</v>
      </c>
      <c r="B54" s="1" t="s">
        <v>27</v>
      </c>
      <c r="C54" s="1" t="s">
        <v>27</v>
      </c>
      <c r="D54" s="26"/>
      <c r="E54" s="26"/>
      <c r="F54" s="26"/>
      <c r="G54" s="26"/>
      <c r="H54" s="27"/>
      <c r="I54" s="28" t="s">
        <v>27</v>
      </c>
      <c r="J54" s="1" t="s">
        <v>27</v>
      </c>
      <c r="K54" s="1" t="s">
        <v>27</v>
      </c>
      <c r="L54" s="26"/>
      <c r="M54" s="26"/>
      <c r="N54" s="26"/>
      <c r="O54" s="26"/>
      <c r="P54" s="27"/>
    </row>
    <row r="55" spans="1:16">
      <c r="A55" s="1" t="s">
        <v>27</v>
      </c>
      <c r="B55" s="1" t="s">
        <v>27</v>
      </c>
      <c r="C55" s="1" t="s">
        <v>27</v>
      </c>
      <c r="D55" s="26"/>
      <c r="E55" s="26"/>
      <c r="F55" s="26"/>
      <c r="G55" s="26"/>
      <c r="H55" s="27"/>
      <c r="I55" s="28" t="s">
        <v>27</v>
      </c>
      <c r="J55" s="1" t="s">
        <v>27</v>
      </c>
      <c r="K55" s="1" t="s">
        <v>27</v>
      </c>
      <c r="L55" s="26"/>
      <c r="M55" s="26"/>
      <c r="N55" s="26"/>
      <c r="O55" s="26"/>
      <c r="P55" s="27"/>
    </row>
    <row r="56" spans="1:16">
      <c r="A56" s="28" t="s">
        <v>27</v>
      </c>
      <c r="B56" s="1" t="s">
        <v>27</v>
      </c>
      <c r="C56" s="1" t="s">
        <v>27</v>
      </c>
      <c r="D56" s="26"/>
      <c r="E56" s="26"/>
      <c r="F56" s="26"/>
      <c r="G56" s="26"/>
      <c r="H56" s="27"/>
      <c r="I56" s="28" t="s">
        <v>27</v>
      </c>
      <c r="J56" s="1" t="s">
        <v>27</v>
      </c>
      <c r="K56" s="1" t="s">
        <v>27</v>
      </c>
      <c r="L56" s="26"/>
      <c r="M56" s="26"/>
      <c r="N56" s="26"/>
      <c r="O56" s="26"/>
      <c r="P56" s="27"/>
    </row>
    <row r="57" spans="1:16">
      <c r="A57" s="28" t="s">
        <v>27</v>
      </c>
      <c r="B57" s="1" t="s">
        <v>27</v>
      </c>
      <c r="C57" s="1" t="s">
        <v>27</v>
      </c>
      <c r="D57" s="26"/>
      <c r="E57" s="26"/>
      <c r="F57" s="26"/>
      <c r="G57" s="26"/>
      <c r="H57" s="27"/>
      <c r="I57" s="28" t="s">
        <v>27</v>
      </c>
      <c r="J57" s="1" t="s">
        <v>27</v>
      </c>
      <c r="K57" s="1" t="s">
        <v>27</v>
      </c>
      <c r="L57" s="26"/>
      <c r="M57" s="26"/>
      <c r="N57" s="26"/>
      <c r="O57" s="26"/>
      <c r="P57" s="27"/>
    </row>
    <row r="58" spans="1:16">
      <c r="A58" s="28" t="s">
        <v>27</v>
      </c>
      <c r="B58" s="1" t="s">
        <v>27</v>
      </c>
      <c r="C58" s="1" t="s">
        <v>27</v>
      </c>
      <c r="D58" s="26"/>
      <c r="E58" s="26"/>
      <c r="F58" s="26"/>
      <c r="G58" s="26"/>
      <c r="H58" s="27"/>
      <c r="I58" s="28" t="s">
        <v>27</v>
      </c>
      <c r="J58" s="1" t="s">
        <v>27</v>
      </c>
      <c r="K58" s="1" t="s">
        <v>27</v>
      </c>
      <c r="L58" s="26"/>
      <c r="M58" s="26"/>
      <c r="N58" s="26"/>
      <c r="O58" s="26"/>
      <c r="P58" s="27"/>
    </row>
    <row r="59" spans="1:16">
      <c r="A59" s="28" t="s">
        <v>27</v>
      </c>
      <c r="B59" s="1" t="s">
        <v>27</v>
      </c>
      <c r="C59" s="1" t="s">
        <v>27</v>
      </c>
      <c r="D59" s="26"/>
      <c r="E59" s="26"/>
      <c r="F59" s="26"/>
      <c r="G59" s="26"/>
      <c r="H59" s="27"/>
      <c r="I59" s="28" t="s">
        <v>27</v>
      </c>
      <c r="J59" s="1" t="s">
        <v>27</v>
      </c>
      <c r="K59" s="1" t="s">
        <v>27</v>
      </c>
      <c r="L59" s="26"/>
      <c r="M59" s="26"/>
      <c r="N59" s="26"/>
      <c r="O59" s="26"/>
      <c r="P59" s="27"/>
    </row>
    <row r="60" spans="1:16">
      <c r="A60" s="28" t="s">
        <v>27</v>
      </c>
      <c r="B60" s="1" t="s">
        <v>27</v>
      </c>
      <c r="C60" s="1" t="s">
        <v>27</v>
      </c>
      <c r="D60" s="26"/>
      <c r="E60" s="26"/>
      <c r="F60" s="26"/>
      <c r="G60" s="26"/>
      <c r="H60" s="27"/>
      <c r="I60" s="28" t="s">
        <v>27</v>
      </c>
      <c r="J60" s="1" t="s">
        <v>27</v>
      </c>
      <c r="K60" s="1" t="s">
        <v>27</v>
      </c>
      <c r="L60" s="26"/>
      <c r="M60" s="26"/>
      <c r="N60" s="26"/>
      <c r="O60" s="26"/>
      <c r="P60" s="27"/>
    </row>
    <row r="61" spans="1:16">
      <c r="A61" s="28" t="s">
        <v>27</v>
      </c>
      <c r="B61" s="1" t="s">
        <v>27</v>
      </c>
      <c r="C61" s="1" t="s">
        <v>27</v>
      </c>
      <c r="D61" s="26"/>
      <c r="E61" s="26"/>
      <c r="F61" s="26"/>
      <c r="G61" s="26"/>
      <c r="H61" s="27"/>
      <c r="I61" s="28" t="s">
        <v>27</v>
      </c>
      <c r="J61" s="1" t="s">
        <v>27</v>
      </c>
      <c r="K61" s="1" t="s">
        <v>27</v>
      </c>
      <c r="L61" s="26"/>
      <c r="M61" s="26"/>
      <c r="N61" s="26"/>
      <c r="O61" s="26"/>
      <c r="P61" s="27"/>
    </row>
    <row r="62" spans="1:16">
      <c r="A62" s="28" t="s">
        <v>27</v>
      </c>
      <c r="B62" s="1" t="s">
        <v>27</v>
      </c>
      <c r="C62" s="1" t="s">
        <v>27</v>
      </c>
      <c r="D62" s="26"/>
      <c r="E62" s="26"/>
      <c r="F62" s="26"/>
      <c r="G62" s="26"/>
      <c r="H62" s="27"/>
      <c r="I62" s="28" t="s">
        <v>27</v>
      </c>
      <c r="J62" s="1" t="s">
        <v>27</v>
      </c>
      <c r="K62" s="1" t="s">
        <v>27</v>
      </c>
      <c r="L62" s="26"/>
      <c r="M62" s="26"/>
      <c r="N62" s="26"/>
      <c r="O62" s="26"/>
      <c r="P62" s="27"/>
    </row>
    <row r="63" spans="1:16">
      <c r="A63" s="28" t="s">
        <v>27</v>
      </c>
      <c r="B63" s="1" t="s">
        <v>27</v>
      </c>
      <c r="C63" s="1" t="s">
        <v>27</v>
      </c>
      <c r="D63" s="26"/>
      <c r="E63" s="26"/>
      <c r="F63" s="26"/>
      <c r="G63" s="26"/>
      <c r="H63" s="27"/>
      <c r="I63" s="28" t="s">
        <v>27</v>
      </c>
      <c r="J63" s="1" t="s">
        <v>27</v>
      </c>
      <c r="K63" s="1" t="s">
        <v>27</v>
      </c>
      <c r="L63" s="26"/>
      <c r="M63" s="26"/>
      <c r="N63" s="26"/>
      <c r="O63" s="26"/>
      <c r="P63" s="27"/>
    </row>
    <row r="64" spans="1:16">
      <c r="A64" s="28" t="s">
        <v>27</v>
      </c>
      <c r="B64" s="1" t="s">
        <v>27</v>
      </c>
      <c r="C64" s="1" t="s">
        <v>27</v>
      </c>
      <c r="D64" s="26"/>
      <c r="E64" s="26"/>
      <c r="F64" s="26"/>
      <c r="G64" s="26"/>
      <c r="H64" s="27"/>
      <c r="I64" s="28" t="s">
        <v>27</v>
      </c>
      <c r="J64" s="1" t="s">
        <v>27</v>
      </c>
      <c r="K64" s="1" t="s">
        <v>27</v>
      </c>
      <c r="L64" s="26"/>
      <c r="M64" s="26"/>
      <c r="N64" s="26"/>
      <c r="O64" s="26"/>
      <c r="P64" s="27"/>
    </row>
    <row r="65" spans="1:16">
      <c r="A65" s="28" t="s">
        <v>27</v>
      </c>
      <c r="B65" s="1" t="s">
        <v>27</v>
      </c>
      <c r="C65" s="1" t="s">
        <v>27</v>
      </c>
      <c r="D65" s="26"/>
      <c r="E65" s="26"/>
      <c r="F65" s="26"/>
      <c r="G65" s="26"/>
      <c r="H65" s="27"/>
      <c r="I65" s="28" t="s">
        <v>27</v>
      </c>
      <c r="J65" s="1" t="s">
        <v>27</v>
      </c>
      <c r="K65" s="1" t="s">
        <v>27</v>
      </c>
      <c r="L65" s="26"/>
      <c r="M65" s="26"/>
      <c r="N65" s="26"/>
      <c r="O65" s="26"/>
      <c r="P65" s="27"/>
    </row>
    <row r="66" spans="1:16">
      <c r="A66" s="28" t="s">
        <v>27</v>
      </c>
      <c r="B66" s="1" t="s">
        <v>27</v>
      </c>
      <c r="C66" s="1" t="s">
        <v>27</v>
      </c>
      <c r="D66" s="26"/>
      <c r="E66" s="26"/>
      <c r="F66" s="26"/>
      <c r="G66" s="26"/>
      <c r="H66" s="27"/>
      <c r="I66" s="28" t="s">
        <v>27</v>
      </c>
      <c r="J66" s="1" t="s">
        <v>27</v>
      </c>
      <c r="K66" s="1" t="s">
        <v>27</v>
      </c>
      <c r="L66" s="26"/>
      <c r="M66" s="26"/>
      <c r="N66" s="26"/>
      <c r="O66" s="26"/>
      <c r="P66" s="27"/>
    </row>
    <row r="67" spans="1:16">
      <c r="A67" s="28" t="s">
        <v>27</v>
      </c>
      <c r="B67" s="1" t="s">
        <v>27</v>
      </c>
      <c r="C67" s="1" t="s">
        <v>27</v>
      </c>
      <c r="D67" s="26"/>
      <c r="E67" s="26"/>
      <c r="F67" s="26"/>
      <c r="G67" s="26"/>
      <c r="H67" s="27"/>
      <c r="I67" s="28" t="s">
        <v>27</v>
      </c>
      <c r="J67" s="1" t="s">
        <v>27</v>
      </c>
      <c r="K67" s="1" t="s">
        <v>27</v>
      </c>
      <c r="L67" s="26"/>
      <c r="M67" s="26"/>
      <c r="N67" s="26"/>
      <c r="O67" s="26"/>
      <c r="P67" s="27"/>
    </row>
    <row r="68" spans="1:16">
      <c r="A68" s="28" t="s">
        <v>27</v>
      </c>
      <c r="B68" s="1" t="s">
        <v>27</v>
      </c>
      <c r="C68" s="1" t="s">
        <v>27</v>
      </c>
      <c r="D68" s="26"/>
      <c r="E68" s="26"/>
      <c r="F68" s="26"/>
      <c r="G68" s="26"/>
      <c r="H68" s="27"/>
      <c r="I68" s="28" t="s">
        <v>27</v>
      </c>
      <c r="J68" s="1" t="s">
        <v>27</v>
      </c>
      <c r="K68" s="1" t="s">
        <v>27</v>
      </c>
      <c r="L68" s="26"/>
      <c r="M68" s="26"/>
      <c r="N68" s="26"/>
      <c r="O68" s="26"/>
      <c r="P68" s="27"/>
    </row>
    <row r="69" spans="1:16">
      <c r="A69" s="28" t="s">
        <v>27</v>
      </c>
      <c r="B69" s="1" t="s">
        <v>27</v>
      </c>
      <c r="C69" s="1" t="s">
        <v>27</v>
      </c>
      <c r="D69" s="26"/>
      <c r="E69" s="26"/>
      <c r="F69" s="26"/>
      <c r="G69" s="26"/>
      <c r="H69" s="27"/>
      <c r="I69" s="28" t="s">
        <v>27</v>
      </c>
      <c r="J69" s="1" t="s">
        <v>27</v>
      </c>
      <c r="K69" s="1" t="s">
        <v>27</v>
      </c>
      <c r="L69" s="26"/>
      <c r="M69" s="26"/>
      <c r="N69" s="26"/>
      <c r="O69" s="26"/>
      <c r="P69" s="27"/>
    </row>
    <row r="70" spans="1:16">
      <c r="A70" s="28" t="s">
        <v>27</v>
      </c>
      <c r="B70" s="1" t="s">
        <v>27</v>
      </c>
      <c r="C70" s="1" t="s">
        <v>27</v>
      </c>
      <c r="D70" s="26"/>
      <c r="E70" s="26"/>
      <c r="F70" s="26"/>
      <c r="G70" s="26"/>
      <c r="H70" s="27"/>
      <c r="I70" s="28" t="s">
        <v>27</v>
      </c>
      <c r="J70" s="1" t="s">
        <v>27</v>
      </c>
      <c r="K70" s="1" t="s">
        <v>27</v>
      </c>
      <c r="L70" s="26"/>
      <c r="M70" s="26"/>
      <c r="N70" s="26"/>
      <c r="O70" s="26"/>
      <c r="P70" s="27"/>
    </row>
    <row r="71" spans="1:16">
      <c r="A71" s="28" t="s">
        <v>27</v>
      </c>
      <c r="B71" s="1" t="s">
        <v>27</v>
      </c>
      <c r="C71" s="1" t="s">
        <v>27</v>
      </c>
      <c r="D71" s="26"/>
      <c r="E71" s="26"/>
      <c r="F71" s="26"/>
      <c r="G71" s="26"/>
      <c r="H71" s="27"/>
      <c r="I71" s="28" t="s">
        <v>27</v>
      </c>
      <c r="J71" s="1" t="s">
        <v>27</v>
      </c>
      <c r="K71" s="1" t="s">
        <v>27</v>
      </c>
      <c r="L71" s="26"/>
      <c r="M71" s="26"/>
      <c r="N71" s="26"/>
      <c r="O71" s="26"/>
      <c r="P71" s="27"/>
    </row>
    <row r="72" spans="1:16">
      <c r="A72" s="28" t="s">
        <v>27</v>
      </c>
      <c r="B72" s="1" t="s">
        <v>27</v>
      </c>
      <c r="C72" s="1" t="s">
        <v>27</v>
      </c>
      <c r="D72" s="26"/>
      <c r="E72" s="26"/>
      <c r="F72" s="26"/>
      <c r="G72" s="26"/>
      <c r="H72" s="27"/>
      <c r="I72" s="28" t="s">
        <v>27</v>
      </c>
      <c r="J72" s="1" t="s">
        <v>27</v>
      </c>
      <c r="K72" s="1" t="s">
        <v>27</v>
      </c>
      <c r="L72" s="26"/>
      <c r="M72" s="26"/>
      <c r="N72" s="26"/>
      <c r="O72" s="26"/>
      <c r="P72" s="27"/>
    </row>
    <row r="73" spans="1:16">
      <c r="A73" s="28" t="s">
        <v>27</v>
      </c>
      <c r="B73" s="1" t="s">
        <v>27</v>
      </c>
      <c r="C73" s="1" t="s">
        <v>27</v>
      </c>
      <c r="D73" s="26"/>
      <c r="E73" s="26"/>
      <c r="F73" s="26"/>
      <c r="G73" s="26"/>
      <c r="H73" s="27"/>
      <c r="I73" s="28" t="s">
        <v>27</v>
      </c>
      <c r="J73" s="1" t="s">
        <v>27</v>
      </c>
      <c r="K73" s="1" t="s">
        <v>27</v>
      </c>
      <c r="L73" s="26"/>
      <c r="M73" s="26"/>
      <c r="N73" s="26"/>
      <c r="O73" s="26"/>
      <c r="P73" s="27"/>
    </row>
    <row r="74" spans="1:16">
      <c r="A74" s="28" t="s">
        <v>27</v>
      </c>
      <c r="B74" s="1" t="s">
        <v>27</v>
      </c>
      <c r="C74" s="1" t="s">
        <v>27</v>
      </c>
      <c r="D74" s="26"/>
      <c r="E74" s="26"/>
      <c r="F74" s="26"/>
      <c r="G74" s="26"/>
      <c r="H74" s="27"/>
      <c r="I74" s="28" t="s">
        <v>27</v>
      </c>
      <c r="J74" s="1" t="s">
        <v>27</v>
      </c>
      <c r="K74" s="1" t="s">
        <v>27</v>
      </c>
      <c r="L74" s="26"/>
      <c r="M74" s="26"/>
      <c r="N74" s="26"/>
      <c r="O74" s="26"/>
      <c r="P74" s="27"/>
    </row>
    <row r="75" spans="1:16">
      <c r="A75" s="28" t="s">
        <v>27</v>
      </c>
      <c r="B75" s="1" t="s">
        <v>27</v>
      </c>
      <c r="C75" s="1" t="s">
        <v>27</v>
      </c>
      <c r="D75" s="26"/>
      <c r="E75" s="26"/>
      <c r="F75" s="26"/>
      <c r="G75" s="26"/>
      <c r="H75" s="27"/>
      <c r="I75" s="28" t="s">
        <v>27</v>
      </c>
      <c r="J75" s="1" t="s">
        <v>27</v>
      </c>
      <c r="K75" s="1" t="s">
        <v>27</v>
      </c>
      <c r="L75" s="26"/>
      <c r="M75" s="26"/>
      <c r="N75" s="26"/>
      <c r="O75" s="26"/>
      <c r="P75" s="27"/>
    </row>
    <row r="76" spans="1:16">
      <c r="A76" s="28" t="s">
        <v>27</v>
      </c>
      <c r="B76" s="1" t="s">
        <v>27</v>
      </c>
      <c r="C76" s="1" t="s">
        <v>27</v>
      </c>
      <c r="D76" s="26"/>
      <c r="E76" s="26"/>
      <c r="F76" s="26"/>
      <c r="G76" s="26"/>
      <c r="H76" s="27"/>
      <c r="I76" s="28" t="s">
        <v>27</v>
      </c>
      <c r="J76" s="1" t="s">
        <v>27</v>
      </c>
      <c r="K76" s="1" t="s">
        <v>27</v>
      </c>
      <c r="L76" s="26"/>
      <c r="M76" s="26"/>
      <c r="N76" s="26"/>
      <c r="O76" s="26"/>
      <c r="P76" s="27"/>
    </row>
    <row r="77" spans="1:16">
      <c r="A77" s="28" t="s">
        <v>27</v>
      </c>
      <c r="B77" s="1" t="s">
        <v>27</v>
      </c>
      <c r="C77" s="1" t="s">
        <v>27</v>
      </c>
      <c r="D77" s="26"/>
      <c r="E77" s="26"/>
      <c r="F77" s="26"/>
      <c r="G77" s="26"/>
      <c r="H77" s="27"/>
      <c r="I77" s="28" t="s">
        <v>27</v>
      </c>
      <c r="J77" s="1" t="s">
        <v>27</v>
      </c>
      <c r="K77" s="1" t="s">
        <v>27</v>
      </c>
      <c r="L77" s="26"/>
      <c r="M77" s="26"/>
      <c r="N77" s="26"/>
      <c r="O77" s="26"/>
      <c r="P77" s="27"/>
    </row>
    <row r="78" spans="1:16">
      <c r="A78" s="28" t="s">
        <v>27</v>
      </c>
      <c r="B78" s="1" t="s">
        <v>27</v>
      </c>
      <c r="C78" s="1" t="s">
        <v>27</v>
      </c>
      <c r="D78" s="26"/>
      <c r="E78" s="26"/>
      <c r="F78" s="26"/>
      <c r="G78" s="26"/>
      <c r="H78" s="27"/>
      <c r="I78" s="28" t="s">
        <v>27</v>
      </c>
      <c r="J78" s="1" t="s">
        <v>27</v>
      </c>
      <c r="K78" s="1" t="s">
        <v>27</v>
      </c>
      <c r="L78" s="26"/>
      <c r="M78" s="26"/>
      <c r="N78" s="26"/>
      <c r="O78" s="26"/>
      <c r="P78" s="27"/>
    </row>
    <row r="79" spans="1:16">
      <c r="A79" s="28" t="s">
        <v>27</v>
      </c>
      <c r="B79" s="1" t="s">
        <v>27</v>
      </c>
      <c r="C79" s="1" t="s">
        <v>27</v>
      </c>
      <c r="D79" s="26"/>
      <c r="E79" s="26"/>
      <c r="F79" s="26"/>
      <c r="G79" s="26"/>
      <c r="H79" s="27"/>
      <c r="I79" s="28" t="s">
        <v>27</v>
      </c>
      <c r="J79" s="1" t="s">
        <v>27</v>
      </c>
      <c r="K79" s="1" t="s">
        <v>27</v>
      </c>
      <c r="L79" s="26"/>
      <c r="M79" s="26"/>
      <c r="N79" s="26"/>
      <c r="O79" s="26"/>
      <c r="P79" s="27"/>
    </row>
    <row r="80" spans="1:16">
      <c r="A80" s="28" t="s">
        <v>27</v>
      </c>
      <c r="B80" s="1" t="s">
        <v>27</v>
      </c>
      <c r="C80" s="1" t="s">
        <v>27</v>
      </c>
      <c r="D80" s="26"/>
      <c r="E80" s="26"/>
      <c r="F80" s="26"/>
      <c r="G80" s="26"/>
      <c r="H80" s="27"/>
      <c r="I80" s="28" t="s">
        <v>27</v>
      </c>
      <c r="J80" s="1" t="s">
        <v>27</v>
      </c>
      <c r="K80" s="1" t="s">
        <v>27</v>
      </c>
      <c r="L80" s="26"/>
      <c r="M80" s="26"/>
      <c r="N80" s="26"/>
      <c r="O80" s="26"/>
      <c r="P80" s="27"/>
    </row>
    <row r="81" spans="1:16">
      <c r="A81" s="28" t="s">
        <v>27</v>
      </c>
      <c r="B81" s="1" t="s">
        <v>27</v>
      </c>
      <c r="C81" s="1" t="s">
        <v>27</v>
      </c>
      <c r="D81" s="26"/>
      <c r="E81" s="26"/>
      <c r="F81" s="26"/>
      <c r="G81" s="26"/>
      <c r="H81" s="27"/>
      <c r="I81" s="28" t="s">
        <v>27</v>
      </c>
      <c r="J81" s="1" t="s">
        <v>27</v>
      </c>
      <c r="K81" s="1" t="s">
        <v>27</v>
      </c>
      <c r="L81" s="26"/>
      <c r="M81" s="26"/>
      <c r="N81" s="26"/>
      <c r="O81" s="26"/>
      <c r="P81" s="27"/>
    </row>
    <row r="82" spans="1:16">
      <c r="A82" s="28" t="s">
        <v>27</v>
      </c>
      <c r="B82" s="1" t="s">
        <v>27</v>
      </c>
      <c r="C82" s="1" t="s">
        <v>27</v>
      </c>
      <c r="D82" s="26"/>
      <c r="E82" s="26"/>
      <c r="F82" s="26"/>
      <c r="G82" s="26"/>
      <c r="H82" s="27"/>
      <c r="I82" s="28" t="s">
        <v>27</v>
      </c>
      <c r="J82" s="1" t="s">
        <v>27</v>
      </c>
      <c r="K82" s="1" t="s">
        <v>27</v>
      </c>
      <c r="L82" s="26"/>
      <c r="M82" s="26"/>
      <c r="N82" s="26"/>
      <c r="O82" s="26"/>
      <c r="P82" s="27"/>
    </row>
    <row r="83" spans="1:16">
      <c r="A83" s="28" t="s">
        <v>27</v>
      </c>
      <c r="B83" s="1" t="s">
        <v>27</v>
      </c>
      <c r="C83" s="1" t="s">
        <v>27</v>
      </c>
      <c r="D83" s="26"/>
      <c r="E83" s="26"/>
      <c r="F83" s="26"/>
      <c r="G83" s="26"/>
      <c r="H83" s="27"/>
      <c r="I83" s="28" t="s">
        <v>27</v>
      </c>
      <c r="J83" s="1" t="s">
        <v>27</v>
      </c>
      <c r="K83" s="1" t="s">
        <v>27</v>
      </c>
      <c r="L83" s="26"/>
      <c r="M83" s="26"/>
      <c r="N83" s="26"/>
      <c r="O83" s="26"/>
      <c r="P83" s="27"/>
    </row>
    <row r="84" spans="1:16">
      <c r="A84" s="28" t="s">
        <v>27</v>
      </c>
      <c r="B84" s="1" t="s">
        <v>27</v>
      </c>
      <c r="C84" s="1" t="s">
        <v>27</v>
      </c>
      <c r="D84" s="26"/>
      <c r="E84" s="26"/>
      <c r="F84" s="26"/>
      <c r="G84" s="26"/>
      <c r="H84" s="27"/>
      <c r="I84" s="28" t="s">
        <v>27</v>
      </c>
      <c r="J84" s="1" t="s">
        <v>27</v>
      </c>
      <c r="K84" s="1" t="s">
        <v>27</v>
      </c>
      <c r="L84" s="26"/>
      <c r="M84" s="26"/>
      <c r="N84" s="26"/>
      <c r="O84" s="26"/>
      <c r="P84" s="27"/>
    </row>
    <row r="85" spans="1:16">
      <c r="A85" s="28" t="s">
        <v>27</v>
      </c>
      <c r="B85" s="1" t="s">
        <v>27</v>
      </c>
      <c r="C85" s="1" t="s">
        <v>27</v>
      </c>
      <c r="D85" s="26"/>
      <c r="E85" s="26"/>
      <c r="F85" s="26"/>
      <c r="G85" s="26"/>
      <c r="H85" s="27"/>
      <c r="I85" s="28" t="s">
        <v>27</v>
      </c>
      <c r="J85" s="1" t="s">
        <v>27</v>
      </c>
      <c r="K85" s="1" t="s">
        <v>27</v>
      </c>
      <c r="L85" s="26"/>
      <c r="M85" s="26"/>
      <c r="N85" s="26"/>
      <c r="O85" s="26"/>
      <c r="P85" s="27"/>
    </row>
    <row r="86" spans="1:16">
      <c r="A86" s="28" t="s">
        <v>27</v>
      </c>
      <c r="B86" s="1" t="s">
        <v>27</v>
      </c>
      <c r="C86" s="1" t="s">
        <v>27</v>
      </c>
      <c r="D86" s="26"/>
      <c r="E86" s="26"/>
      <c r="F86" s="26"/>
      <c r="G86" s="26"/>
      <c r="H86" s="27"/>
      <c r="I86" s="28" t="s">
        <v>27</v>
      </c>
      <c r="J86" s="1" t="s">
        <v>27</v>
      </c>
      <c r="K86" s="1" t="s">
        <v>27</v>
      </c>
      <c r="L86" s="26"/>
      <c r="M86" s="26"/>
      <c r="N86" s="26"/>
      <c r="O86" s="26"/>
      <c r="P86" s="27"/>
    </row>
    <row r="87" spans="1:16">
      <c r="A87" s="28" t="s">
        <v>27</v>
      </c>
      <c r="B87" s="1" t="s">
        <v>27</v>
      </c>
      <c r="C87" s="1" t="s">
        <v>27</v>
      </c>
      <c r="D87" s="26"/>
      <c r="E87" s="26"/>
      <c r="F87" s="26"/>
      <c r="G87" s="26"/>
      <c r="H87" s="27"/>
      <c r="I87" s="28" t="s">
        <v>27</v>
      </c>
      <c r="J87" s="1" t="s">
        <v>27</v>
      </c>
      <c r="K87" s="1" t="s">
        <v>27</v>
      </c>
      <c r="L87" s="26"/>
      <c r="M87" s="26"/>
      <c r="N87" s="26"/>
      <c r="O87" s="26"/>
      <c r="P87" s="27"/>
    </row>
    <row r="88" spans="1:16">
      <c r="A88" s="28" t="s">
        <v>27</v>
      </c>
      <c r="B88" s="1" t="s">
        <v>27</v>
      </c>
      <c r="C88" s="1" t="s">
        <v>27</v>
      </c>
      <c r="D88" s="26"/>
      <c r="E88" s="26"/>
      <c r="F88" s="26"/>
      <c r="G88" s="26"/>
      <c r="H88" s="27"/>
      <c r="I88" s="28" t="s">
        <v>27</v>
      </c>
      <c r="J88" s="1" t="s">
        <v>27</v>
      </c>
      <c r="K88" s="1" t="s">
        <v>27</v>
      </c>
      <c r="L88" s="26"/>
      <c r="M88" s="26"/>
      <c r="N88" s="26"/>
      <c r="O88" s="26"/>
      <c r="P88" s="27"/>
    </row>
    <row r="89" spans="1:16">
      <c r="A89" s="28" t="s">
        <v>27</v>
      </c>
      <c r="B89" s="1" t="s">
        <v>27</v>
      </c>
      <c r="C89" s="1" t="s">
        <v>27</v>
      </c>
      <c r="D89" s="26"/>
      <c r="E89" s="26"/>
      <c r="F89" s="26"/>
      <c r="G89" s="26"/>
      <c r="H89" s="27"/>
      <c r="I89" s="28" t="s">
        <v>27</v>
      </c>
      <c r="J89" s="1" t="s">
        <v>27</v>
      </c>
      <c r="K89" s="1" t="s">
        <v>27</v>
      </c>
      <c r="L89" s="26"/>
      <c r="M89" s="26"/>
      <c r="N89" s="26"/>
      <c r="O89" s="26"/>
      <c r="P89" s="27"/>
    </row>
    <row r="90" spans="1:16">
      <c r="A90" s="28" t="s">
        <v>27</v>
      </c>
      <c r="B90" s="1" t="s">
        <v>27</v>
      </c>
      <c r="C90" s="1" t="s">
        <v>27</v>
      </c>
      <c r="D90" s="26"/>
      <c r="E90" s="26"/>
      <c r="F90" s="26"/>
      <c r="G90" s="26"/>
      <c r="H90" s="27"/>
      <c r="I90" s="28" t="s">
        <v>27</v>
      </c>
      <c r="J90" s="1" t="s">
        <v>27</v>
      </c>
      <c r="K90" s="1" t="s">
        <v>27</v>
      </c>
      <c r="L90" s="26"/>
      <c r="M90" s="26"/>
      <c r="N90" s="26"/>
      <c r="O90" s="26"/>
      <c r="P90" s="27"/>
    </row>
    <row r="91" spans="1:16">
      <c r="A91" s="28" t="s">
        <v>27</v>
      </c>
      <c r="B91" s="1" t="s">
        <v>27</v>
      </c>
      <c r="C91" s="1" t="s">
        <v>27</v>
      </c>
      <c r="D91" s="26"/>
      <c r="E91" s="26"/>
      <c r="F91" s="26"/>
      <c r="G91" s="26"/>
      <c r="H91" s="27"/>
      <c r="I91" s="28" t="s">
        <v>27</v>
      </c>
      <c r="J91" s="1" t="s">
        <v>27</v>
      </c>
      <c r="K91" s="1" t="s">
        <v>27</v>
      </c>
      <c r="L91" s="26"/>
      <c r="M91" s="26"/>
      <c r="N91" s="26"/>
      <c r="O91" s="26"/>
      <c r="P91" s="27"/>
    </row>
    <row r="92" spans="1:16">
      <c r="A92" s="28" t="s">
        <v>27</v>
      </c>
      <c r="B92" s="1" t="s">
        <v>27</v>
      </c>
      <c r="C92" s="1" t="s">
        <v>27</v>
      </c>
      <c r="D92" s="26"/>
      <c r="E92" s="26"/>
      <c r="F92" s="26"/>
      <c r="G92" s="26"/>
      <c r="H92" s="27"/>
      <c r="I92" s="28" t="s">
        <v>27</v>
      </c>
      <c r="J92" s="1" t="s">
        <v>27</v>
      </c>
      <c r="K92" s="1" t="s">
        <v>27</v>
      </c>
      <c r="L92" s="26"/>
      <c r="M92" s="26"/>
      <c r="N92" s="26"/>
      <c r="O92" s="26"/>
      <c r="P92" s="27"/>
    </row>
    <row r="93" spans="1:16">
      <c r="A93" s="28" t="s">
        <v>27</v>
      </c>
      <c r="B93" s="1" t="s">
        <v>27</v>
      </c>
      <c r="C93" s="1" t="s">
        <v>27</v>
      </c>
      <c r="D93" s="26"/>
      <c r="E93" s="26"/>
      <c r="F93" s="26"/>
      <c r="G93" s="26"/>
      <c r="H93" s="27"/>
      <c r="I93" s="28" t="s">
        <v>27</v>
      </c>
      <c r="J93" s="1" t="s">
        <v>27</v>
      </c>
      <c r="K93" s="1" t="s">
        <v>27</v>
      </c>
      <c r="L93" s="26"/>
      <c r="M93" s="26"/>
      <c r="N93" s="26"/>
      <c r="O93" s="26"/>
      <c r="P93" s="27"/>
    </row>
    <row r="94" spans="1:16">
      <c r="A94" s="28" t="s">
        <v>27</v>
      </c>
      <c r="B94" s="1" t="s">
        <v>27</v>
      </c>
      <c r="C94" s="1" t="s">
        <v>27</v>
      </c>
      <c r="D94" s="26"/>
      <c r="E94" s="26"/>
      <c r="F94" s="26"/>
      <c r="G94" s="26"/>
      <c r="H94" s="27"/>
      <c r="I94" s="28" t="s">
        <v>27</v>
      </c>
      <c r="J94" s="1" t="s">
        <v>27</v>
      </c>
      <c r="K94" s="1" t="s">
        <v>27</v>
      </c>
      <c r="L94" s="26"/>
      <c r="M94" s="26"/>
      <c r="N94" s="26"/>
      <c r="O94" s="26"/>
      <c r="P94" s="27"/>
    </row>
    <row r="95" spans="1:16">
      <c r="A95" s="28" t="s">
        <v>27</v>
      </c>
      <c r="B95" s="1" t="s">
        <v>27</v>
      </c>
      <c r="C95" s="1" t="s">
        <v>27</v>
      </c>
      <c r="D95" s="26"/>
      <c r="E95" s="26"/>
      <c r="F95" s="26"/>
      <c r="G95" s="26"/>
      <c r="H95" s="27"/>
      <c r="I95" s="28" t="s">
        <v>27</v>
      </c>
      <c r="J95" s="1" t="s">
        <v>27</v>
      </c>
      <c r="K95" s="1" t="s">
        <v>27</v>
      </c>
      <c r="L95" s="26"/>
      <c r="M95" s="26"/>
      <c r="N95" s="26"/>
      <c r="O95" s="26"/>
      <c r="P95" s="27"/>
    </row>
    <row r="96" spans="1:16">
      <c r="A96" s="28" t="s">
        <v>27</v>
      </c>
      <c r="B96" s="1" t="s">
        <v>27</v>
      </c>
      <c r="C96" s="1" t="s">
        <v>27</v>
      </c>
      <c r="D96" s="26"/>
      <c r="E96" s="26"/>
      <c r="F96" s="26"/>
      <c r="G96" s="26"/>
      <c r="H96" s="27"/>
      <c r="I96" s="28" t="s">
        <v>27</v>
      </c>
      <c r="J96" s="1" t="s">
        <v>27</v>
      </c>
      <c r="K96" s="1" t="s">
        <v>27</v>
      </c>
      <c r="L96" s="26"/>
      <c r="M96" s="26"/>
      <c r="N96" s="26"/>
      <c r="O96" s="26"/>
      <c r="P96" s="27"/>
    </row>
    <row r="97" spans="1:16">
      <c r="A97" s="28" t="s">
        <v>27</v>
      </c>
      <c r="B97" s="1" t="s">
        <v>27</v>
      </c>
      <c r="C97" s="1" t="s">
        <v>27</v>
      </c>
      <c r="D97" s="26"/>
      <c r="E97" s="26"/>
      <c r="F97" s="26"/>
      <c r="G97" s="26"/>
      <c r="H97" s="27"/>
      <c r="I97" s="28" t="s">
        <v>27</v>
      </c>
      <c r="J97" s="1" t="s">
        <v>27</v>
      </c>
      <c r="K97" s="1" t="s">
        <v>27</v>
      </c>
      <c r="L97" s="26"/>
      <c r="M97" s="26"/>
      <c r="N97" s="26"/>
      <c r="O97" s="26"/>
      <c r="P97" s="27"/>
    </row>
    <row r="98" spans="1:16">
      <c r="A98" s="28" t="s">
        <v>27</v>
      </c>
      <c r="B98" s="1" t="s">
        <v>27</v>
      </c>
      <c r="C98" s="1" t="s">
        <v>27</v>
      </c>
      <c r="D98" s="26"/>
      <c r="E98" s="26"/>
      <c r="F98" s="26"/>
      <c r="G98" s="26"/>
      <c r="H98" s="27"/>
      <c r="I98" s="28" t="s">
        <v>27</v>
      </c>
      <c r="J98" s="1" t="s">
        <v>27</v>
      </c>
      <c r="K98" s="1" t="s">
        <v>27</v>
      </c>
      <c r="L98" s="26"/>
      <c r="M98" s="26"/>
      <c r="N98" s="26"/>
      <c r="O98" s="26"/>
      <c r="P98" s="27"/>
    </row>
    <row r="99" spans="1:16">
      <c r="A99" s="28" t="s">
        <v>27</v>
      </c>
      <c r="B99" s="1" t="s">
        <v>27</v>
      </c>
      <c r="C99" s="1" t="s">
        <v>27</v>
      </c>
      <c r="D99" s="26"/>
      <c r="E99" s="26"/>
      <c r="F99" s="26"/>
      <c r="G99" s="26"/>
      <c r="H99" s="27"/>
      <c r="I99" s="28" t="s">
        <v>27</v>
      </c>
      <c r="J99" s="1" t="s">
        <v>27</v>
      </c>
      <c r="K99" s="1" t="s">
        <v>27</v>
      </c>
      <c r="L99" s="26"/>
      <c r="M99" s="26"/>
      <c r="N99" s="26"/>
      <c r="O99" s="26"/>
      <c r="P99" s="27"/>
    </row>
    <row r="100" spans="1:16" ht="15.75" thickBot="1">
      <c r="A100" s="29" t="s">
        <v>27</v>
      </c>
      <c r="B100" s="30" t="s">
        <v>27</v>
      </c>
      <c r="C100" s="30" t="s">
        <v>27</v>
      </c>
      <c r="D100" s="31"/>
      <c r="E100" s="31"/>
      <c r="F100" s="31"/>
      <c r="G100" s="31"/>
      <c r="H100" s="32"/>
      <c r="I100" s="29" t="s">
        <v>27</v>
      </c>
      <c r="J100" s="30" t="s">
        <v>27</v>
      </c>
      <c r="K100" s="30" t="s">
        <v>27</v>
      </c>
      <c r="L100" s="31"/>
      <c r="M100" s="31"/>
      <c r="N100" s="31"/>
      <c r="O100" s="31"/>
      <c r="P100" s="32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ageMargins left="0.7" right="0.7" top="0.75" bottom="0.75" header="0.3" footer="0.3"/>
  <pageSetup paperSize="9" orientation="portrait" horizontalDpi="0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E5F6D-B013-41B4-95AB-8A095EAA2BAA}">
  <dimension ref="A1:D4"/>
  <sheetViews>
    <sheetView workbookViewId="0">
      <selection activeCell="G43" sqref="G43"/>
    </sheetView>
  </sheetViews>
  <sheetFormatPr defaultRowHeight="15"/>
  <sheetData>
    <row r="1" spans="1:4">
      <c r="B1" t="s">
        <v>68</v>
      </c>
      <c r="C1" t="s">
        <v>69</v>
      </c>
    </row>
    <row r="2" spans="1:4">
      <c r="A2" t="s">
        <v>66</v>
      </c>
      <c r="B2">
        <v>18890</v>
      </c>
      <c r="C2">
        <v>18300</v>
      </c>
      <c r="D2">
        <f>B2-C2</f>
        <v>590</v>
      </c>
    </row>
    <row r="3" spans="1:4">
      <c r="A3" t="s">
        <v>67</v>
      </c>
      <c r="B3">
        <v>6630</v>
      </c>
      <c r="C3">
        <v>6440</v>
      </c>
      <c r="D3">
        <f>B3-C3</f>
        <v>190</v>
      </c>
    </row>
    <row r="4" spans="1:4">
      <c r="D4">
        <f>D3/D2</f>
        <v>0.32203389830508472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9.0.19_满</vt:lpstr>
      <vt:lpstr>9.0.21</vt:lpstr>
      <vt:lpstr>9.0.19_boss</vt:lpstr>
      <vt:lpstr>9.0.19_二</vt:lpstr>
      <vt:lpstr>9.0.10</vt:lpstr>
      <vt:lpstr>9.0.20</vt:lpstr>
      <vt:lpstr>9.0.18</vt:lpstr>
      <vt:lpstr>9.0.13</vt:lpstr>
      <vt:lpstr>9.0.9</vt:lpstr>
      <vt:lpstr>9.0.15</vt:lpstr>
      <vt:lpstr>9.0.14</vt:lpstr>
      <vt:lpstr>9.0.6</vt:lpstr>
      <vt:lpstr>9.0.11</vt:lpstr>
      <vt:lpstr>9.0.7</vt:lpstr>
      <vt:lpstr>9.0.12</vt:lpstr>
      <vt:lpstr>9.0.4</vt:lpstr>
      <vt:lpstr>9.0.5</vt:lpstr>
      <vt:lpstr>9.0.8</vt:lpstr>
      <vt:lpstr>9.0.2</vt:lpstr>
      <vt:lpstr>9.0.3</vt:lpstr>
      <vt:lpstr>9.0.1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Ruoli</dc:creator>
  <cp:lastModifiedBy>Jiang, Ruoli</cp:lastModifiedBy>
  <dcterms:created xsi:type="dcterms:W3CDTF">2022-03-21T23:53:23Z</dcterms:created>
  <dcterms:modified xsi:type="dcterms:W3CDTF">2022-09-26T16:57:27Z</dcterms:modified>
</cp:coreProperties>
</file>