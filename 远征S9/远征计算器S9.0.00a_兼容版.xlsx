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0ED466DF-7057-405C-A272-DCFFE6CA16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9.0.10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8" i="12" l="1"/>
  <c r="D26" i="12"/>
  <c r="D11" i="12"/>
  <c r="AG94" i="12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1" i="12"/>
  <c r="AI2" i="12"/>
  <c r="AH2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5" i="12" l="1"/>
  <c r="D87" i="12"/>
  <c r="D85" i="12"/>
  <c r="D90" i="12"/>
  <c r="D9" i="12"/>
  <c r="D83" i="12"/>
  <c r="D84" i="12"/>
  <c r="D93" i="12"/>
  <c r="D92" i="12"/>
  <c r="D94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<sst xmlns="http://schemas.openxmlformats.org/spreadsheetml/2006/main" count="3100" uniqueCount="75">
  <si>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</si>
  <si>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</si>
  <si>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</si>
  <si>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</si>
  <si>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</si>
  <si>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</si>
  <si>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</si>
  <si>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</si>
  <si>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</si>
  <si>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</si>
  <si>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</si>
  <si>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</si>
  <si>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</si>
  <si>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</si>
  <si>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</si>
  <si>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</si>
  <si>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</si>
  <si>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</si>
  <si>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</si>
  <si>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</si>
  <si>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</si>
  <si>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</si>
  <si>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</si>
  <si>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</si>
  <si>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</si>
  <si>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</si>
  <si>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</si>
  <si>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</si>
  <si>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</si>
  <si>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</si>
  <si>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</si>
  <si>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</si>
  <si>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</si>
  <si>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</si>
  <si>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</si>
  <si>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</si>
  <si>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</si>
  <si>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</si>
  <si>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</si>
  <si>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</si>
  <si>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</si>
  <si>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</si>
  <si>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</si>
  <si>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</si>
  <si>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</si>
  <si>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</si>
  <si>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</si>
  <si>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</si>
  <si>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</si>
  <si>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</si>
  <si>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</si>
  <si>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</si>
  <si>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</si>
  <si>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</si>
  <si>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</si>
  <si>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</si>
  <si>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</si>
  <si>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</si>
  <si>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</si>
  <si>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</si>
  <si>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</si>
  <si>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</si>
  <si>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</si>
  <si>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</si>
  <si>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</si>
  <si>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</si>
  <si>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</si>
  <si>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</si>
  <si>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</si>
  <si>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</si>
  <si>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</si>
  <si>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</si>
  <si>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</si>
  <si>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小卦</t>
  </si>
  <si>
    <t>version 9.0.10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</si>
</sst>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3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4" fillId="0" borderId="0" xfId="0" applyFont="1" applyFill="1" applyBorder="1"/>
    <xf numFmtId="0" fontId="4" fillId="3" borderId="0" xfId="0" applyFont="1" applyFill="1" applyBorder="1"/>
    <xf numFmtId="0" fontId="3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4" fillId="3" borderId="0" xfId="0" applyFont="1" applyFill="1"/>
    <xf numFmtId="0" fontId="4" fillId="0" borderId="0" xfId="0" applyFont="1"/>
    <xf numFmtId="0" fontId="7" fillId="0" borderId="0" xfId="0" applyFont="1"/>
    <xf numFmtId="0" fontId="3" fillId="9" borderId="13" xfId="0" applyFont="1" applyFill="1" applyBorder="1"/>
    <xf numFmtId="0" fontId="3" fillId="14" borderId="13" xfId="0" applyFont="1" applyFill="1" applyBorder="1"/>
    <xf numFmtId="0" fontId="3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3" fillId="10" borderId="15" xfId="0" applyFont="1" applyFill="1" applyBorder="1" applyAlignment="1">
      <alignment wrapText="1"/>
    </xf>
    <xf numFmtId="0" fontId="3" fillId="0" borderId="0" xfId="0" applyFont="1"/>
    <xf numFmtId="0" fontId="0" fillId="0" borderId="13" xfId="0" applyBorder="1"/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3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3" fillId="19" borderId="13" xfId="0" applyFont="1" applyFill="1" applyBorder="1"/>
    <xf numFmtId="0" fontId="3" fillId="20" borderId="13" xfId="0" applyFont="1" applyFill="1" applyBorder="1"/>
    <xf numFmtId="0" fontId="3" fillId="21" borderId="13" xfId="0" applyFont="1" applyFill="1" applyBorder="1"/>
    <xf numFmtId="0" fontId="3" fillId="5" borderId="13" xfId="0" applyFont="1" applyFill="1" applyBorder="1"/>
    <xf numFmtId="0" fontId="3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9" fillId="0" borderId="0" xfId="0" applyFont="1"/>
    <xf numFmtId="0" fontId="9" fillId="11" borderId="10" xfId="0" applyFont="1" applyFill="1" applyBorder="1"/>
    <xf numFmtId="0" fontId="9" fillId="11" borderId="11" xfId="0" applyFont="1" applyFill="1" applyBorder="1"/>
    <xf numFmtId="0" fontId="10" fillId="22" borderId="14" xfId="0" applyFont="1" applyFill="1" applyBorder="1" applyAlignment="1">
      <alignment horizontal="center" wrapText="1"/>
    </xf>
    <xf numFmtId="0" fontId="10" fillId="22" borderId="14" xfId="0" applyFont="1" applyFill="1" applyBorder="1" applyAlignment="1">
      <alignment wrapText="1"/>
    </xf>
    <xf numFmtId="0" fontId="10" fillId="22" borderId="15" xfId="0" applyFont="1" applyFill="1" applyBorder="1" applyAlignment="1">
      <alignment wrapText="1"/>
    </xf>
    <xf numFmtId="0" fontId="11" fillId="15" borderId="15" xfId="0" applyFont="1" applyFill="1" applyBorder="1" applyAlignment="1">
      <alignment horizontal="center"/>
    </xf>
    <xf numFmtId="0" fontId="12" fillId="0" borderId="0" xfId="0" applyFont="1"/>
    <xf numFmtId="0" fontId="0" fillId="23" borderId="0" xfId="0" applyFill="1" applyAlignment="1">
      <alignment wrapText="1"/>
    </xf>
    <xf numFmtId="14" fontId="12" fillId="0" borderId="0" xfId="0" applyNumberFormat="1" applyFont="1" applyFill="1"/>
    <xf numFmtId="0" fontId="12" fillId="3" borderId="0" xfId="0" applyFont="1" applyFill="1"/>
    <xf numFmtId="0" fontId="12" fillId="8" borderId="13" xfId="0" applyFont="1" applyFill="1" applyBorder="1" applyAlignment="1">
      <alignment vertical="top"/>
    </xf>
    <xf numFmtId="0" fontId="12" fillId="0" borderId="13" xfId="0" applyFont="1" applyBorder="1"/>
    <xf numFmtId="0" fontId="12" fillId="0" borderId="0" xfId="0" applyFont="1" applyBorder="1"/>
    <xf numFmtId="0" fontId="12" fillId="13" borderId="13" xfId="0" applyFont="1" applyFill="1" applyBorder="1" applyAlignment="1">
      <alignment vertical="top"/>
    </xf>
    <xf numFmtId="0" fontId="12" fillId="10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3" fillId="12" borderId="5" xfId="0" applyFont="1" applyFill="1" applyBorder="1"/>
    <xf numFmtId="0" fontId="10" fillId="11" borderId="13" xfId="0" applyFont="1" applyFill="1" applyBorder="1"/>
    <xf numFmtId="10" fontId="0" fillId="24" borderId="0" xfId="0" applyNumberFormat="1" applyFill="1"/>
    <xf numFmtId="2" fontId="0" fillId="24" borderId="0" xfId="0" applyNumberFormat="1" applyFill="1"/>
    <xf numFmtId="0" fontId="7" fillId="3" borderId="0" xfId="0" applyFont="1" applyFill="1"/>
    <xf numFmtId="0" fontId="10" fillId="25" borderId="13" xfId="0" applyFont="1" applyFill="1" applyBorder="1"/>
    <xf numFmtId="0" fontId="13" fillId="0" borderId="15" xfId="0" applyFont="1" applyBorder="1"/>
    <xf numFmtId="0" fontId="13" fillId="0" borderId="0" xfId="0" applyFont="1"/>
    <xf numFmtId="0" fontId="14" fillId="17" borderId="13" xfId="0" applyFont="1" applyFill="1" applyBorder="1" applyAlignment="1">
      <alignment vertical="top"/>
    </xf>
    <xf numFmtId="0" fontId="13" fillId="0" borderId="17" xfId="0" applyFont="1" applyBorder="1"/>
    <xf numFmtId="0" fontId="14" fillId="8" borderId="13" xfId="0" applyFont="1" applyFill="1" applyBorder="1" applyAlignment="1">
      <alignment vertical="top"/>
    </xf>
    <xf numFmtId="0" fontId="14" fillId="13" borderId="13" xfId="0" applyFont="1" applyFill="1" applyBorder="1" applyAlignment="1">
      <alignment vertical="top"/>
    </xf>
    <xf numFmtId="0" fontId="14" fillId="10" borderId="13" xfId="0" applyFont="1" applyFill="1" applyBorder="1" applyAlignment="1">
      <alignment vertical="top"/>
    </xf>
    <xf numFmtId="0" fontId="14" fillId="16" borderId="13" xfId="0" applyFont="1" applyFill="1" applyBorder="1" applyAlignment="1">
      <alignment vertical="top"/>
    </xf>
    <xf numFmtId="0" fontId="14" fillId="2" borderId="13" xfId="0" applyFont="1" applyFill="1" applyBorder="1" applyAlignment="1">
      <alignment vertical="top"/>
    </xf>
    <xf numFmtId="0" fontId="2" fillId="7" borderId="12" xfId="0" applyFont="1" applyFill="1" applyBorder="1" applyAlignment="1">
      <alignment wrapText="1"/>
    </xf>
    <xf numFmtId="0" fontId="3" fillId="19" borderId="2" xfId="0" applyFont="1" applyFill="1" applyBorder="1" applyAlignment="1"/>
    <xf numFmtId="0" fontId="3" fillId="19" borderId="2" xfId="0" applyFont="1" applyFill="1" applyBorder="1" applyAlignment="1">
      <alignment horizontal="center"/>
    </xf>
    <xf numFmtId="0" fontId="0" fillId="19" borderId="4" xfId="0" applyFill="1" applyBorder="1"/>
    <xf numFmtId="0" fontId="0" fillId="19" borderId="0" xfId="0" applyFill="1" applyBorder="1"/>
    <xf numFmtId="0" fontId="0" fillId="19" borderId="5" xfId="0" applyFill="1" applyBorder="1"/>
    <xf numFmtId="0" fontId="3" fillId="11" borderId="2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0" fillId="24" borderId="4" xfId="0" applyFill="1" applyBorder="1"/>
    <xf numFmtId="0" fontId="0" fillId="24" borderId="0" xfId="0" applyFill="1" applyBorder="1"/>
    <xf numFmtId="0" fontId="4" fillId="22" borderId="0" xfId="0" applyFont="1" applyFill="1"/>
    <xf numFmtId="0" fontId="0" fillId="8" borderId="13" xfId="0" applyFill="1" applyBorder="1" applyAlignment="1">
      <alignment vertical="top"/>
    </xf>
    <xf numFmtId="0" fontId="0" fillId="26" borderId="13" xfId="0" applyFill="1" applyBorder="1" applyAlignment="1">
      <alignment vertical="top"/>
    </xf>
    <xf numFmtId="0" fontId="0" fillId="22" borderId="13" xfId="0" applyFill="1" applyBorder="1" applyAlignment="1">
      <alignment vertical="top"/>
    </xf>
    <xf numFmtId="0" fontId="10" fillId="27" borderId="13" xfId="0" applyFont="1" applyFill="1" applyBorder="1"/>
    <xf numFmtId="0" fontId="10" fillId="28" borderId="13" xfId="0" applyFont="1" applyFill="1" applyBorder="1"/>
    <xf numFmtId="0" fontId="14" fillId="26" borderId="13" xfId="0" applyFont="1" applyFill="1" applyBorder="1" applyAlignment="1">
      <alignment vertical="top"/>
    </xf>
    <xf numFmtId="0" fontId="14" fillId="22" borderId="13" xfId="0" applyFont="1" applyFill="1" applyBorder="1" applyAlignment="1">
      <alignment vertical="top"/>
    </xf>
    <xf numFmtId="0" fontId="0" fillId="29" borderId="13" xfId="0" applyFill="1" applyBorder="1" applyAlignment="1">
      <alignment vertical="top"/>
    </xf>
    <xf numFmtId="0" fontId="14" fillId="29" borderId="13" xfId="0" applyFont="1" applyFill="1" applyBorder="1" applyAlignment="1">
      <alignment vertical="top"/>
    </xf>
    <xf numFmtId="0" fontId="10" fillId="19" borderId="13" xfId="0" applyFont="1" applyFill="1" applyBorder="1"/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10" fillId="20" borderId="13" xfId="0" applyFont="1" applyFill="1" applyBorder="1"/>
    <xf numFmtId="0" fontId="14" fillId="24" borderId="13" xfId="0" applyFont="1" applyFill="1" applyBorder="1" applyAlignment="1">
      <alignment vertical="top"/>
    </xf>
    <xf numFmtId="0" fontId="1" fillId="0" borderId="0" xfId="0" applyFont="1"/>
    <xf numFmtId="0" fontId="4" fillId="30" borderId="0" xfId="0" applyFont="1" applyFill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5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3" fillId="12" borderId="0" xfId="0" applyFont="1" applyFill="1"/>
    <xf numFmtId="0" fontId="0" fillId="22" borderId="18" xfId="0" applyFill="1" applyBorder="1" applyAlignment="1">
      <alignment vertical="top"/>
    </xf>
    <xf numFmtId="0" fontId="0" fillId="22" borderId="19" xfId="0" applyFill="1" applyBorder="1" applyAlignment="1">
      <alignment vertical="top"/>
    </xf>
    <xf numFmtId="0" fontId="0" fillId="22" borderId="20" xfId="0" applyFill="1" applyBorder="1" applyAlignment="1">
      <alignment vertical="top"/>
    </xf>
    <xf numFmtId="0" fontId="0" fillId="17" borderId="21" xfId="0" applyFill="1" applyBorder="1" applyAlignment="1">
      <alignment vertical="top"/>
    </xf>
    <xf numFmtId="0" fontId="0" fillId="22" borderId="22" xfId="0" applyFill="1" applyBorder="1" applyAlignment="1">
      <alignment vertical="top"/>
    </xf>
    <xf numFmtId="0" fontId="0" fillId="22" borderId="23" xfId="0" applyFill="1" applyBorder="1" applyAlignment="1">
      <alignment vertical="top"/>
    </xf>
    <xf numFmtId="0" fontId="10" fillId="20" borderId="21" xfId="0" applyFont="1" applyFill="1" applyBorder="1"/>
    <xf numFmtId="0" fontId="0" fillId="22" borderId="24" xfId="0" applyFill="1" applyBorder="1" applyAlignment="1">
      <alignment vertical="top"/>
    </xf>
    <xf numFmtId="0" fontId="0" fillId="22" borderId="25" xfId="0" applyFill="1" applyBorder="1" applyAlignment="1">
      <alignment vertical="top"/>
    </xf>
    <xf numFmtId="0" fontId="14" fillId="22" borderId="26" xfId="0" applyFont="1" applyFill="1" applyBorder="1" applyAlignment="1">
      <alignment vertical="top"/>
    </xf>
    <xf numFmtId="0" fontId="0" fillId="22" borderId="27" xfId="0" applyFill="1" applyBorder="1" applyAlignment="1">
      <alignment vertical="top"/>
    </xf>
    <xf numFmtId="0" fontId="0" fillId="29" borderId="27" xfId="0" applyFill="1" applyBorder="1" applyAlignment="1">
      <alignment vertical="top"/>
    </xf>
    <xf numFmtId="0" fontId="4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abSelected="1" zoomScaleNormal="100" workbookViewId="0">
      <pane ySplit="3" topLeftCell="A79" activePane="bottomLeft" state="frozen"/>
      <selection activeCell="AO32" sqref="AO32"/>
      <selection pane="bottomLeft" activeCell="H95" sqref="H95"/>
    </sheetView>
  </sheetViews>
  <sheetFormatPr defaultColWidth="9" defaultRowHeight="14.4"/>
  <cols>
    <col min="1" max="1" width="11.88671875" customWidth="1"/>
    <col min="2" max="2" width="9" customWidth="1"/>
    <col min="3" max="3" width="7.441406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15" width="7.33203125" customWidth="1"/>
    <col min="16" max="16" width="7.109375" customWidth="1"/>
    <col min="17" max="32" width="7.33203125" customWidth="1"/>
    <col min="33" max="37" width="5.109375" customWidth="1"/>
  </cols>
  <sheetData>
    <row r="1" spans="1:53" ht="28.2" customHeight="1" thickBot="1">
      <c r="A1" s="119">
        <f ca="1">(_xlfn.DAYS(TODAY(),A4)+2)/((_xlfn.DAYS(A94,A4))+1)</f>
        <v>5.4945054945054944E-2</v>
      </c>
      <c r="B1" s="120"/>
      <c r="C1" s="120"/>
      <c r="D1" s="120"/>
      <c r="E1" s="120"/>
      <c r="F1" s="120"/>
      <c r="G1" s="120"/>
      <c r="H1" s="121"/>
      <c r="I1" s="122" t="s">
        <v>0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4"/>
      <c r="AH1" s="23"/>
      <c r="AI1" s="23"/>
      <c r="AJ1" s="23"/>
      <c r="AM1" s="117" t="s">
        <v>1</v>
      </c>
      <c r="AN1" s="117"/>
      <c r="AO1" s="117"/>
      <c r="AP1" s="66"/>
    </row>
    <row r="2" spans="1:53" ht="16.2" customHeight="1" thickBot="1">
      <c r="A2" s="112" t="s">
        <v>74</v>
      </c>
      <c r="B2" s="74" t="s">
        <v>70</v>
      </c>
      <c r="C2" s="75">
        <f>SUM(亏损!A4:X94)+SUM(AG4:AG14)*10</f>
        <v>29783.32409741238</v>
      </c>
      <c r="D2" s="125" t="s">
        <v>2</v>
      </c>
      <c r="E2" s="126"/>
      <c r="F2" s="127">
        <f>SUM(F4:F94)+SUM(H4:H94)</f>
        <v>65010</v>
      </c>
      <c r="G2" s="127"/>
      <c r="H2" s="128"/>
      <c r="I2" s="129" t="s">
        <v>3</v>
      </c>
      <c r="J2" s="130"/>
      <c r="K2" s="93" t="s">
        <v>4</v>
      </c>
      <c r="L2" s="93">
        <f>COUNTIF(I4:P94,"&lt;&gt;空")</f>
        <v>34</v>
      </c>
      <c r="M2" s="130" t="s">
        <v>5</v>
      </c>
      <c r="N2" s="130"/>
      <c r="O2" s="130"/>
      <c r="P2" s="131"/>
      <c r="Q2" s="132" t="s">
        <v>6</v>
      </c>
      <c r="R2" s="133"/>
      <c r="S2" s="94" t="s">
        <v>4</v>
      </c>
      <c r="T2" s="94">
        <f>COUNTIF(Q4:X94,"&lt;&gt;空")</f>
        <v>557</v>
      </c>
      <c r="U2" s="133" t="s">
        <v>5</v>
      </c>
      <c r="V2" s="133"/>
      <c r="W2" s="133"/>
      <c r="X2" s="134"/>
      <c r="Y2" s="135" t="s">
        <v>7</v>
      </c>
      <c r="Z2" s="136"/>
      <c r="AA2" s="88" t="s">
        <v>8</v>
      </c>
      <c r="AB2" s="89">
        <f>COUNTIF(Y4:AF94,"&lt;&gt;空")</f>
        <v>484</v>
      </c>
      <c r="AC2" s="136" t="s">
        <v>5</v>
      </c>
      <c r="AD2" s="136"/>
      <c r="AE2" s="136"/>
      <c r="AF2" s="137"/>
      <c r="AG2" s="53">
        <f>SUM(AG4:AG94)</f>
        <v>32</v>
      </c>
      <c r="AH2" s="53">
        <f t="shared" ref="AH2" si="0">SUM(AH4:AH94)</f>
        <v>3</v>
      </c>
      <c r="AI2" s="53">
        <f>SUM(AI4:AI94)</f>
        <v>15</v>
      </c>
      <c r="AJ2" s="22">
        <f t="shared" ref="AJ2" si="1">SUM(AJ4:AJ94)</f>
        <v>14</v>
      </c>
      <c r="AK2" s="114" t="s">
        <v>9</v>
      </c>
      <c r="AM2" s="118"/>
      <c r="AN2" s="118"/>
      <c r="AO2" s="118"/>
      <c r="AP2" s="71"/>
      <c r="AS2" t="s">
        <v>28</v>
      </c>
      <c r="AT2">
        <f>SUM(AT4:AT29)</f>
        <v>1075</v>
      </c>
      <c r="AV2" t="s">
        <v>60</v>
      </c>
      <c r="AW2" s="46">
        <f>SUM(AU4:AW29)+7000</f>
        <v>65010</v>
      </c>
      <c r="AX2" s="39"/>
      <c r="AY2" s="47" t="s">
        <v>10</v>
      </c>
    </row>
    <row r="3" spans="1:53" ht="31.5" customHeight="1" thickBot="1">
      <c r="A3" s="14" t="s">
        <v>11</v>
      </c>
      <c r="B3" s="15" t="s">
        <v>12</v>
      </c>
      <c r="C3" s="58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87" t="s">
        <v>17</v>
      </c>
      <c r="I3" s="32">
        <v>1</v>
      </c>
      <c r="J3" s="44">
        <v>2</v>
      </c>
      <c r="K3" s="44">
        <v>3</v>
      </c>
      <c r="L3" s="44">
        <v>4</v>
      </c>
      <c r="M3" s="44">
        <v>5</v>
      </c>
      <c r="N3" s="44">
        <v>6</v>
      </c>
      <c r="O3" s="44">
        <v>7</v>
      </c>
      <c r="P3" s="44">
        <v>8</v>
      </c>
      <c r="Q3" s="95">
        <v>1</v>
      </c>
      <c r="R3" s="96">
        <v>2</v>
      </c>
      <c r="S3" s="96">
        <v>3</v>
      </c>
      <c r="T3" s="96">
        <v>4</v>
      </c>
      <c r="U3" s="96">
        <v>5</v>
      </c>
      <c r="V3" s="96">
        <v>6</v>
      </c>
      <c r="W3" s="96">
        <v>7</v>
      </c>
      <c r="X3" s="96">
        <v>8</v>
      </c>
      <c r="Y3" s="90">
        <v>1</v>
      </c>
      <c r="Z3" s="91">
        <v>2</v>
      </c>
      <c r="AA3" s="91">
        <v>3</v>
      </c>
      <c r="AB3" s="91">
        <v>4</v>
      </c>
      <c r="AC3" s="91">
        <v>5</v>
      </c>
      <c r="AD3" s="91">
        <v>6</v>
      </c>
      <c r="AE3" s="91">
        <v>7</v>
      </c>
      <c r="AF3" s="92">
        <v>8</v>
      </c>
      <c r="AG3" s="54" t="s">
        <v>18</v>
      </c>
      <c r="AH3" s="55" t="s">
        <v>19</v>
      </c>
      <c r="AI3" s="55" t="s">
        <v>20</v>
      </c>
      <c r="AJ3" s="24" t="s">
        <v>21</v>
      </c>
      <c r="AK3" s="115"/>
      <c r="AL3" s="25"/>
      <c r="AM3" s="26" t="s">
        <v>22</v>
      </c>
      <c r="AN3" s="26" t="s">
        <v>23</v>
      </c>
      <c r="AO3" s="26" t="s">
        <v>24</v>
      </c>
      <c r="AP3" s="26" t="s">
        <v>69</v>
      </c>
      <c r="AQ3" s="40" t="s">
        <v>25</v>
      </c>
      <c r="AR3" s="41" t="s">
        <v>26</v>
      </c>
      <c r="AS3" s="42" t="s">
        <v>27</v>
      </c>
      <c r="AT3" s="43" t="s">
        <v>28</v>
      </c>
      <c r="AU3" s="40" t="s">
        <v>29</v>
      </c>
      <c r="AV3" s="41" t="s">
        <v>30</v>
      </c>
      <c r="AW3" s="42" t="s">
        <v>31</v>
      </c>
      <c r="AX3" s="44" t="s">
        <v>32</v>
      </c>
      <c r="AY3" s="48">
        <v>1</v>
      </c>
    </row>
    <row r="4" spans="1:53" s="50" customFormat="1" ht="15" thickBot="1">
      <c r="A4" s="59">
        <v>44820</v>
      </c>
      <c r="B4" s="60">
        <v>800</v>
      </c>
      <c r="C4" s="60">
        <v>6000</v>
      </c>
      <c r="D4" s="60">
        <f>(SUM(粮草!A4:X4)+AG4*10)*IF(AK4="是",$AY$4,$AY$3)</f>
        <v>2930</v>
      </c>
      <c r="E4" s="76">
        <f>SUM($B$4:B4)+SUM($C$4:C4)-SUM($D$4:D4)</f>
        <v>3870</v>
      </c>
      <c r="F4" s="60">
        <f>SUM(经验!A4:X4)</f>
        <v>1355</v>
      </c>
      <c r="G4" s="60">
        <f>SUM($F$4:F4)+SUM($H$4:H4)</f>
        <v>1855</v>
      </c>
      <c r="H4" s="60">
        <v>500</v>
      </c>
      <c r="I4" s="98" t="s">
        <v>33</v>
      </c>
      <c r="J4" s="98" t="s">
        <v>33</v>
      </c>
      <c r="K4" s="98" t="s">
        <v>33</v>
      </c>
      <c r="L4" s="98" t="s">
        <v>33</v>
      </c>
      <c r="M4" s="98" t="s">
        <v>33</v>
      </c>
      <c r="N4" s="98" t="s">
        <v>33</v>
      </c>
      <c r="O4" s="72" t="s">
        <v>34</v>
      </c>
      <c r="P4" s="72" t="s">
        <v>34</v>
      </c>
      <c r="Q4" s="98" t="s">
        <v>33</v>
      </c>
      <c r="R4" s="98" t="s">
        <v>33</v>
      </c>
      <c r="S4" s="98" t="s">
        <v>33</v>
      </c>
      <c r="T4" s="98" t="s">
        <v>33</v>
      </c>
      <c r="U4" s="98" t="s">
        <v>33</v>
      </c>
      <c r="V4" s="98" t="s">
        <v>33</v>
      </c>
      <c r="W4" s="72" t="s">
        <v>34</v>
      </c>
      <c r="X4" s="72" t="s">
        <v>34</v>
      </c>
      <c r="Y4" s="99" t="s">
        <v>37</v>
      </c>
      <c r="Z4" s="77" t="s">
        <v>71</v>
      </c>
      <c r="AA4" s="99" t="s">
        <v>37</v>
      </c>
      <c r="AB4" s="100" t="s">
        <v>40</v>
      </c>
      <c r="AC4" s="100" t="s">
        <v>40</v>
      </c>
      <c r="AD4" s="73" t="s">
        <v>72</v>
      </c>
      <c r="AE4" s="100" t="s">
        <v>40</v>
      </c>
      <c r="AF4" s="72" t="s">
        <v>34</v>
      </c>
      <c r="AG4" s="56">
        <f>AH4+AI4+AJ4</f>
        <v>0</v>
      </c>
      <c r="AH4" s="56"/>
      <c r="AI4" s="56"/>
      <c r="AJ4" s="56"/>
      <c r="AK4" s="78" t="s">
        <v>35</v>
      </c>
      <c r="AM4" s="61" t="s">
        <v>33</v>
      </c>
      <c r="AN4" s="62">
        <v>150</v>
      </c>
      <c r="AO4" s="62">
        <v>35</v>
      </c>
      <c r="AP4" s="62">
        <v>44.222109392472248</v>
      </c>
      <c r="AQ4" s="62">
        <f>COUNTIF($I$4:$P$94,AM4)</f>
        <v>14</v>
      </c>
      <c r="AR4" s="62">
        <f>COUNTIF($Q$4:$X$94,AM4)</f>
        <v>7</v>
      </c>
      <c r="AS4" s="62">
        <f>COUNTIF($Y$4:$AF$94,AM4)</f>
        <v>4</v>
      </c>
      <c r="AT4" s="62">
        <f>AQ4+AR4+AS4</f>
        <v>25</v>
      </c>
      <c r="AU4" s="63">
        <f>AQ4*$AO4</f>
        <v>490</v>
      </c>
      <c r="AV4" s="63">
        <f t="shared" ref="AV4:AW19" si="2">AR4*$AO4</f>
        <v>245</v>
      </c>
      <c r="AW4" s="63">
        <f t="shared" si="2"/>
        <v>140</v>
      </c>
      <c r="AX4" s="51" t="s">
        <v>36</v>
      </c>
      <c r="AY4" s="52">
        <v>0.8</v>
      </c>
      <c r="BA4" s="57">
        <f>AN4*0.8</f>
        <v>120</v>
      </c>
    </row>
    <row r="5" spans="1:53" s="50" customFormat="1">
      <c r="A5" s="59">
        <v>44821</v>
      </c>
      <c r="B5" s="60">
        <v>1600</v>
      </c>
      <c r="C5" s="60"/>
      <c r="D5" s="60">
        <f>(SUM(粮草!A5:X5)+AG5*10)*IF(AK5="是",$AY$4,$AY$3)</f>
        <v>1770</v>
      </c>
      <c r="E5" s="76">
        <f>SUM($B$4:B5)+SUM($C$4:C5)-SUM($D$4:D5)</f>
        <v>3700</v>
      </c>
      <c r="F5" s="60">
        <f>SUM(经验!A5:X5)</f>
        <v>510</v>
      </c>
      <c r="G5" s="60">
        <f>SUM($F$4:F5)+SUM($H$4:H5)</f>
        <v>2365</v>
      </c>
      <c r="H5" s="60">
        <v>0</v>
      </c>
      <c r="I5" s="79" t="s">
        <v>34</v>
      </c>
      <c r="J5" s="79" t="s">
        <v>34</v>
      </c>
      <c r="K5" s="79" t="s">
        <v>34</v>
      </c>
      <c r="L5" s="79" t="s">
        <v>34</v>
      </c>
      <c r="M5" s="79" t="s">
        <v>34</v>
      </c>
      <c r="N5" s="79" t="s">
        <v>34</v>
      </c>
      <c r="O5" s="72" t="s">
        <v>34</v>
      </c>
      <c r="P5" s="72" t="s">
        <v>34</v>
      </c>
      <c r="Q5" s="100" t="s">
        <v>40</v>
      </c>
      <c r="R5" s="100" t="s">
        <v>40</v>
      </c>
      <c r="S5" s="100" t="s">
        <v>40</v>
      </c>
      <c r="T5" s="100" t="s">
        <v>40</v>
      </c>
      <c r="U5" s="101" t="s">
        <v>39</v>
      </c>
      <c r="V5" s="100" t="s">
        <v>40</v>
      </c>
      <c r="W5" s="72" t="s">
        <v>34</v>
      </c>
      <c r="X5" s="72" t="s">
        <v>34</v>
      </c>
      <c r="Y5" s="100" t="s">
        <v>40</v>
      </c>
      <c r="Z5" s="101" t="s">
        <v>39</v>
      </c>
      <c r="AA5" s="99" t="s">
        <v>37</v>
      </c>
      <c r="AB5" s="102" t="s">
        <v>46</v>
      </c>
      <c r="AC5" s="98" t="s">
        <v>33</v>
      </c>
      <c r="AD5" s="98" t="s">
        <v>33</v>
      </c>
      <c r="AE5" s="98" t="s">
        <v>33</v>
      </c>
      <c r="AF5" s="98" t="s">
        <v>33</v>
      </c>
      <c r="AG5" s="56">
        <f t="shared" ref="AG5:AG68" si="3">AH5+AI5+AJ5</f>
        <v>4</v>
      </c>
      <c r="AH5" s="56"/>
      <c r="AI5" s="56">
        <v>4</v>
      </c>
      <c r="AJ5" s="56"/>
      <c r="AK5" s="78" t="s">
        <v>35</v>
      </c>
      <c r="AM5" s="64" t="s">
        <v>37</v>
      </c>
      <c r="AN5" s="62">
        <v>160</v>
      </c>
      <c r="AO5" s="62">
        <v>40</v>
      </c>
      <c r="AP5" s="62">
        <v>39.110982162825422</v>
      </c>
      <c r="AQ5" s="62">
        <f t="shared" ref="AQ5:AQ26" si="4">COUNTIF($I$4:$P$94,AM5)</f>
        <v>6</v>
      </c>
      <c r="AR5" s="62">
        <f t="shared" ref="AR5:AR26" si="5">COUNTIF($Q$4:$X$94,AM5)</f>
        <v>15</v>
      </c>
      <c r="AS5" s="62">
        <f t="shared" ref="AS5:AS26" si="6">COUNTIF($Y$4:$AF$94,AM5)</f>
        <v>19</v>
      </c>
      <c r="AT5" s="62">
        <f t="shared" ref="AT5:AT26" si="7">AQ5+AR5+AS5</f>
        <v>40</v>
      </c>
      <c r="AU5" s="63">
        <f t="shared" ref="AU5:AW28" si="8">AQ5*$AO5</f>
        <v>240</v>
      </c>
      <c r="AV5" s="63">
        <f t="shared" si="2"/>
        <v>600</v>
      </c>
      <c r="AW5" s="63">
        <f t="shared" si="2"/>
        <v>760</v>
      </c>
      <c r="AX5" s="116" t="s">
        <v>38</v>
      </c>
      <c r="AY5" s="116"/>
      <c r="BA5" s="57">
        <f t="shared" ref="BA5:BA29" si="9">AN5*0.8</f>
        <v>128</v>
      </c>
    </row>
    <row r="6" spans="1:53" s="50" customFormat="1">
      <c r="A6" s="59">
        <v>44822</v>
      </c>
      <c r="B6" s="60">
        <v>1600</v>
      </c>
      <c r="C6" s="60"/>
      <c r="D6" s="60">
        <f>(SUM(粮草!A6:X6)+AG6*10)*IF(AK6="是",$AY$4,$AY$3)</f>
        <v>1950</v>
      </c>
      <c r="E6" s="76">
        <f>SUM($B$4:B6)+SUM($C$4:C6)-SUM($D$4:D6)</f>
        <v>3350</v>
      </c>
      <c r="F6" s="60">
        <f>SUM(经验!A6:X6)</f>
        <v>525</v>
      </c>
      <c r="G6" s="60">
        <f>SUM($F$4:F6)+SUM($H$4:H6)</f>
        <v>2890</v>
      </c>
      <c r="H6" s="60">
        <v>0</v>
      </c>
      <c r="I6" s="79" t="s">
        <v>34</v>
      </c>
      <c r="J6" s="79" t="s">
        <v>34</v>
      </c>
      <c r="K6" s="79" t="s">
        <v>34</v>
      </c>
      <c r="L6" s="79" t="s">
        <v>34</v>
      </c>
      <c r="M6" s="79" t="s">
        <v>34</v>
      </c>
      <c r="N6" s="79" t="s">
        <v>34</v>
      </c>
      <c r="O6" s="72" t="s">
        <v>34</v>
      </c>
      <c r="P6" s="72" t="s">
        <v>34</v>
      </c>
      <c r="Q6" s="73" t="s">
        <v>73</v>
      </c>
      <c r="R6" s="100" t="s">
        <v>40</v>
      </c>
      <c r="S6" s="99" t="s">
        <v>37</v>
      </c>
      <c r="T6" s="99" t="s">
        <v>37</v>
      </c>
      <c r="U6" s="99" t="s">
        <v>37</v>
      </c>
      <c r="V6" s="99" t="s">
        <v>37</v>
      </c>
      <c r="W6" s="72" t="s">
        <v>34</v>
      </c>
      <c r="X6" s="72" t="s">
        <v>34</v>
      </c>
      <c r="Y6" s="101" t="s">
        <v>39</v>
      </c>
      <c r="Z6" s="99" t="s">
        <v>37</v>
      </c>
      <c r="AA6" s="99" t="s">
        <v>37</v>
      </c>
      <c r="AB6" s="99" t="s">
        <v>37</v>
      </c>
      <c r="AC6" s="102" t="s">
        <v>46</v>
      </c>
      <c r="AD6" s="99" t="s">
        <v>37</v>
      </c>
      <c r="AE6" s="99" t="s">
        <v>37</v>
      </c>
      <c r="AF6" s="100" t="s">
        <v>40</v>
      </c>
      <c r="AG6" s="56">
        <f t="shared" si="3"/>
        <v>10</v>
      </c>
      <c r="AH6" s="56"/>
      <c r="AI6" s="56">
        <v>5</v>
      </c>
      <c r="AJ6" s="56">
        <v>5</v>
      </c>
      <c r="AK6" s="78" t="s">
        <v>35</v>
      </c>
      <c r="AM6" s="65" t="s">
        <v>40</v>
      </c>
      <c r="AN6" s="62">
        <v>170</v>
      </c>
      <c r="AO6" s="62">
        <v>45</v>
      </c>
      <c r="AP6" s="62">
        <v>34</v>
      </c>
      <c r="AQ6" s="62">
        <f t="shared" si="4"/>
        <v>6</v>
      </c>
      <c r="AR6" s="62">
        <f t="shared" si="5"/>
        <v>75</v>
      </c>
      <c r="AS6" s="62">
        <f t="shared" si="6"/>
        <v>146</v>
      </c>
      <c r="AT6" s="62">
        <f t="shared" si="7"/>
        <v>227</v>
      </c>
      <c r="AU6" s="63">
        <f t="shared" si="8"/>
        <v>270</v>
      </c>
      <c r="AV6" s="63">
        <f t="shared" si="2"/>
        <v>3375</v>
      </c>
      <c r="AW6" s="63">
        <f t="shared" si="2"/>
        <v>6570</v>
      </c>
      <c r="AX6" s="117"/>
      <c r="AY6" s="117"/>
      <c r="BA6" s="57">
        <f t="shared" si="9"/>
        <v>136</v>
      </c>
    </row>
    <row r="7" spans="1:53">
      <c r="A7" s="59">
        <v>44823</v>
      </c>
      <c r="B7" s="18">
        <v>1600</v>
      </c>
      <c r="C7" s="18"/>
      <c r="D7" s="17">
        <f>(SUM(粮草!A7:X7)+AG7*10)*IF(AK7="是",$AY$4,$AY$3)</f>
        <v>1940</v>
      </c>
      <c r="E7" s="76">
        <f>SUM($B$4:B7)+SUM($C$4:C7)-SUM($D$4:D7)</f>
        <v>3010</v>
      </c>
      <c r="F7" s="17">
        <f>SUM(经验!A7:X7)</f>
        <v>495</v>
      </c>
      <c r="G7" s="17">
        <f>SUM($F$4:F7)+SUM($H$4:H7)</f>
        <v>3585</v>
      </c>
      <c r="H7" s="18">
        <v>200</v>
      </c>
      <c r="I7" s="79" t="s">
        <v>34</v>
      </c>
      <c r="J7" s="79" t="s">
        <v>34</v>
      </c>
      <c r="K7" s="79" t="s">
        <v>34</v>
      </c>
      <c r="L7" s="79" t="s">
        <v>34</v>
      </c>
      <c r="M7" s="79" t="s">
        <v>34</v>
      </c>
      <c r="N7" s="79" t="s">
        <v>34</v>
      </c>
      <c r="O7" s="72" t="s">
        <v>34</v>
      </c>
      <c r="P7" s="72" t="s">
        <v>34</v>
      </c>
      <c r="Q7" s="99" t="s">
        <v>37</v>
      </c>
      <c r="R7" s="99" t="s">
        <v>37</v>
      </c>
      <c r="S7" s="101" t="s">
        <v>39</v>
      </c>
      <c r="T7" s="99" t="s">
        <v>37</v>
      </c>
      <c r="U7" s="99" t="s">
        <v>37</v>
      </c>
      <c r="V7" s="99" t="s">
        <v>37</v>
      </c>
      <c r="W7" s="72" t="s">
        <v>34</v>
      </c>
      <c r="X7" s="72" t="s">
        <v>34</v>
      </c>
      <c r="Y7" s="100" t="s">
        <v>40</v>
      </c>
      <c r="Z7" s="100" t="s">
        <v>40</v>
      </c>
      <c r="AA7" s="100" t="s">
        <v>40</v>
      </c>
      <c r="AB7" s="100" t="s">
        <v>40</v>
      </c>
      <c r="AC7" s="73" t="s">
        <v>73</v>
      </c>
      <c r="AD7" s="99" t="s">
        <v>37</v>
      </c>
      <c r="AE7" s="72" t="s">
        <v>34</v>
      </c>
      <c r="AF7" s="72" t="s">
        <v>34</v>
      </c>
      <c r="AG7" s="56">
        <f t="shared" si="3"/>
        <v>8</v>
      </c>
      <c r="AH7" s="56"/>
      <c r="AI7" s="56"/>
      <c r="AJ7" s="56">
        <v>8</v>
      </c>
      <c r="AK7" s="78" t="s">
        <v>35</v>
      </c>
      <c r="AM7" s="27" t="s">
        <v>42</v>
      </c>
      <c r="AN7" s="26">
        <v>180</v>
      </c>
      <c r="AO7" s="26">
        <v>50</v>
      </c>
      <c r="AP7" s="26">
        <v>36</v>
      </c>
      <c r="AQ7" s="26">
        <f t="shared" si="4"/>
        <v>0</v>
      </c>
      <c r="AR7" s="26">
        <f t="shared" si="5"/>
        <v>173</v>
      </c>
      <c r="AS7" s="26">
        <f t="shared" si="6"/>
        <v>93</v>
      </c>
      <c r="AT7" s="26">
        <f t="shared" si="7"/>
        <v>266</v>
      </c>
      <c r="AU7" s="45">
        <f t="shared" si="8"/>
        <v>0</v>
      </c>
      <c r="AV7" s="45">
        <f t="shared" si="2"/>
        <v>8650</v>
      </c>
      <c r="AW7" s="45">
        <f t="shared" si="2"/>
        <v>4650</v>
      </c>
      <c r="AX7" s="117"/>
      <c r="AY7" s="117"/>
      <c r="BA7">
        <f t="shared" si="9"/>
        <v>144</v>
      </c>
    </row>
    <row r="8" spans="1:53">
      <c r="A8" s="59">
        <v>44824</v>
      </c>
      <c r="B8" s="18">
        <v>1600</v>
      </c>
      <c r="C8" s="18"/>
      <c r="D8" s="17">
        <f>(SUM(粮草!A8:X8)+AG8*10)*IF(AK8="是",$AY$4,$AY$3)</f>
        <v>1720</v>
      </c>
      <c r="E8" s="76">
        <f>SUM($B$4:B8)+SUM($C$4:C8)-SUM($D$4:D8)</f>
        <v>2890</v>
      </c>
      <c r="F8" s="17">
        <f>SUM(经验!A8:X8)</f>
        <v>470</v>
      </c>
      <c r="G8" s="17">
        <f>SUM($F$4:F8)+SUM($H$4:H8)</f>
        <v>4155</v>
      </c>
      <c r="H8" s="18">
        <v>100</v>
      </c>
      <c r="I8" s="79" t="s">
        <v>34</v>
      </c>
      <c r="J8" s="79" t="s">
        <v>34</v>
      </c>
      <c r="K8" s="79" t="s">
        <v>34</v>
      </c>
      <c r="L8" s="79" t="s">
        <v>34</v>
      </c>
      <c r="M8" s="79" t="s">
        <v>34</v>
      </c>
      <c r="N8" s="79" t="s">
        <v>34</v>
      </c>
      <c r="O8" s="72" t="s">
        <v>34</v>
      </c>
      <c r="P8" s="72" t="s">
        <v>34</v>
      </c>
      <c r="Q8" s="99" t="s">
        <v>37</v>
      </c>
      <c r="R8" s="101" t="s">
        <v>39</v>
      </c>
      <c r="S8" s="99" t="s">
        <v>37</v>
      </c>
      <c r="T8" s="100" t="s">
        <v>40</v>
      </c>
      <c r="U8" s="98" t="s">
        <v>33</v>
      </c>
      <c r="V8" s="100" t="s">
        <v>40</v>
      </c>
      <c r="W8" s="72" t="s">
        <v>34</v>
      </c>
      <c r="X8" s="72" t="s">
        <v>34</v>
      </c>
      <c r="Y8" s="99" t="s">
        <v>37</v>
      </c>
      <c r="Z8" s="99" t="s">
        <v>37</v>
      </c>
      <c r="AA8" s="101" t="s">
        <v>39</v>
      </c>
      <c r="AB8" s="99" t="s">
        <v>37</v>
      </c>
      <c r="AC8" s="99" t="s">
        <v>37</v>
      </c>
      <c r="AD8" s="100" t="s">
        <v>40</v>
      </c>
      <c r="AE8" s="72" t="s">
        <v>34</v>
      </c>
      <c r="AF8" s="72" t="s">
        <v>34</v>
      </c>
      <c r="AG8" s="56">
        <f t="shared" si="3"/>
        <v>0</v>
      </c>
      <c r="AH8" s="56"/>
      <c r="AI8" s="56"/>
      <c r="AJ8" s="56"/>
      <c r="AK8" s="78" t="s">
        <v>35</v>
      </c>
      <c r="AM8" s="28" t="s">
        <v>43</v>
      </c>
      <c r="AN8" s="26">
        <v>190</v>
      </c>
      <c r="AO8" s="26">
        <v>55</v>
      </c>
      <c r="AP8" s="26">
        <v>38</v>
      </c>
      <c r="AQ8" s="26">
        <f t="shared" si="4"/>
        <v>0</v>
      </c>
      <c r="AR8" s="26">
        <f t="shared" si="5"/>
        <v>76</v>
      </c>
      <c r="AS8" s="26">
        <f t="shared" si="6"/>
        <v>160</v>
      </c>
      <c r="AT8" s="26">
        <f t="shared" si="7"/>
        <v>236</v>
      </c>
      <c r="AU8" s="45">
        <f t="shared" si="8"/>
        <v>0</v>
      </c>
      <c r="AV8" s="45">
        <f t="shared" si="2"/>
        <v>4180</v>
      </c>
      <c r="AW8" s="45">
        <f t="shared" si="2"/>
        <v>8800</v>
      </c>
      <c r="AX8" s="117"/>
      <c r="AY8" s="117"/>
      <c r="BA8">
        <f t="shared" si="9"/>
        <v>152</v>
      </c>
    </row>
    <row r="9" spans="1:53">
      <c r="A9" s="59">
        <v>44825</v>
      </c>
      <c r="B9" s="18">
        <v>1600</v>
      </c>
      <c r="C9" s="18"/>
      <c r="D9" s="97">
        <f>(SUM(粮草!A9:X9)+AG9*10)*IF(AK9="是",$AY$4,$AY$3)-50</f>
        <v>2150</v>
      </c>
      <c r="E9" s="76">
        <f>SUM($B$4:B9)+SUM($C$4:C9)-SUM($D$4:D9)</f>
        <v>2340</v>
      </c>
      <c r="F9" s="17">
        <f>SUM(经验!A9:X9)</f>
        <v>845</v>
      </c>
      <c r="G9" s="17">
        <f>SUM($F$4:F9)+SUM($H$4:H9)</f>
        <v>5200</v>
      </c>
      <c r="H9" s="18">
        <v>200</v>
      </c>
      <c r="I9" s="79" t="s">
        <v>34</v>
      </c>
      <c r="J9" s="79" t="s">
        <v>34</v>
      </c>
      <c r="K9" s="79" t="s">
        <v>34</v>
      </c>
      <c r="L9" s="79" t="s">
        <v>34</v>
      </c>
      <c r="M9" s="79" t="s">
        <v>34</v>
      </c>
      <c r="N9" s="79" t="s">
        <v>34</v>
      </c>
      <c r="O9" s="72" t="s">
        <v>34</v>
      </c>
      <c r="P9" s="72" t="s">
        <v>34</v>
      </c>
      <c r="Q9" s="73" t="s">
        <v>73</v>
      </c>
      <c r="R9" s="100" t="s">
        <v>40</v>
      </c>
      <c r="S9" s="100" t="s">
        <v>40</v>
      </c>
      <c r="T9" s="100" t="s">
        <v>40</v>
      </c>
      <c r="U9" s="73" t="s">
        <v>72</v>
      </c>
      <c r="V9" s="100" t="s">
        <v>40</v>
      </c>
      <c r="W9" s="72" t="s">
        <v>34</v>
      </c>
      <c r="X9" s="72" t="s">
        <v>34</v>
      </c>
      <c r="Y9" s="100" t="s">
        <v>40</v>
      </c>
      <c r="Z9" s="103" t="s">
        <v>41</v>
      </c>
      <c r="AA9" s="100" t="s">
        <v>40</v>
      </c>
      <c r="AB9" s="73" t="s">
        <v>72</v>
      </c>
      <c r="AC9" s="100" t="s">
        <v>40</v>
      </c>
      <c r="AD9" s="100" t="s">
        <v>40</v>
      </c>
      <c r="AE9" s="72" t="s">
        <v>34</v>
      </c>
      <c r="AF9" s="72" t="s">
        <v>34</v>
      </c>
      <c r="AG9" s="56">
        <f t="shared" si="3"/>
        <v>2</v>
      </c>
      <c r="AH9" s="56"/>
      <c r="AI9" s="56">
        <v>2</v>
      </c>
      <c r="AJ9" s="56"/>
      <c r="AK9" s="78" t="s">
        <v>35</v>
      </c>
      <c r="AM9" s="29" t="s">
        <v>44</v>
      </c>
      <c r="AN9" s="26">
        <v>200</v>
      </c>
      <c r="AO9" s="26">
        <v>60</v>
      </c>
      <c r="AP9" s="26"/>
      <c r="AQ9" s="26">
        <f t="shared" si="4"/>
        <v>0</v>
      </c>
      <c r="AR9" s="26">
        <f t="shared" si="5"/>
        <v>171</v>
      </c>
      <c r="AS9" s="26">
        <f t="shared" si="6"/>
        <v>23</v>
      </c>
      <c r="AT9" s="26">
        <f t="shared" si="7"/>
        <v>194</v>
      </c>
      <c r="AU9" s="45">
        <f t="shared" si="8"/>
        <v>0</v>
      </c>
      <c r="AV9" s="45">
        <f t="shared" si="2"/>
        <v>10260</v>
      </c>
      <c r="AW9" s="45">
        <f t="shared" si="2"/>
        <v>1380</v>
      </c>
      <c r="BA9">
        <f t="shared" si="9"/>
        <v>160</v>
      </c>
    </row>
    <row r="10" spans="1:53">
      <c r="A10" s="59">
        <v>44826</v>
      </c>
      <c r="B10" s="18">
        <v>1600</v>
      </c>
      <c r="C10" s="18"/>
      <c r="D10" s="17">
        <f>(SUM(粮草!A10:X10)+AG10*10)*IF(AK10="是",$AY$4,$AY$3)</f>
        <v>1680</v>
      </c>
      <c r="E10" s="76">
        <f>SUM($B$4:B10)+SUM($C$4:C10)-SUM($D$4:D10)</f>
        <v>2260</v>
      </c>
      <c r="F10" s="17">
        <f>SUM(经验!A10:X10)</f>
        <v>475</v>
      </c>
      <c r="G10" s="17">
        <f>SUM($F$4:F10)+SUM($H$4:H10)</f>
        <v>5675</v>
      </c>
      <c r="H10" s="18">
        <v>0</v>
      </c>
      <c r="I10" s="79" t="s">
        <v>34</v>
      </c>
      <c r="J10" s="79" t="s">
        <v>34</v>
      </c>
      <c r="K10" s="79" t="s">
        <v>34</v>
      </c>
      <c r="L10" s="79" t="s">
        <v>34</v>
      </c>
      <c r="M10" s="79" t="s">
        <v>34</v>
      </c>
      <c r="N10" s="79" t="s">
        <v>34</v>
      </c>
      <c r="O10" s="72" t="s">
        <v>34</v>
      </c>
      <c r="P10" s="72" t="s">
        <v>34</v>
      </c>
      <c r="Q10" s="99" t="s">
        <v>37</v>
      </c>
      <c r="R10" s="99" t="s">
        <v>37</v>
      </c>
      <c r="S10" s="99" t="s">
        <v>37</v>
      </c>
      <c r="T10" s="99" t="s">
        <v>37</v>
      </c>
      <c r="U10" s="100" t="s">
        <v>40</v>
      </c>
      <c r="V10" s="100" t="s">
        <v>40</v>
      </c>
      <c r="W10" s="72" t="s">
        <v>34</v>
      </c>
      <c r="X10" s="72" t="s">
        <v>34</v>
      </c>
      <c r="Y10" s="100" t="s">
        <v>40</v>
      </c>
      <c r="Z10" s="100" t="s">
        <v>40</v>
      </c>
      <c r="AA10" s="102" t="s">
        <v>46</v>
      </c>
      <c r="AB10" s="100" t="s">
        <v>40</v>
      </c>
      <c r="AC10" s="100" t="s">
        <v>40</v>
      </c>
      <c r="AD10" s="73" t="s">
        <v>73</v>
      </c>
      <c r="AE10" s="72" t="s">
        <v>34</v>
      </c>
      <c r="AF10" s="72" t="s">
        <v>34</v>
      </c>
      <c r="AG10" s="56">
        <f t="shared" si="3"/>
        <v>0</v>
      </c>
      <c r="AH10" s="56"/>
      <c r="AI10" s="56"/>
      <c r="AJ10" s="56"/>
      <c r="AK10" s="78" t="s">
        <v>35</v>
      </c>
      <c r="AM10" s="82" t="s">
        <v>45</v>
      </c>
      <c r="AN10" s="26">
        <v>150</v>
      </c>
      <c r="AO10" s="26">
        <v>35</v>
      </c>
      <c r="AP10" s="26">
        <v>44.222109392472248</v>
      </c>
      <c r="AQ10" s="26">
        <f t="shared" si="4"/>
        <v>0</v>
      </c>
      <c r="AR10" s="26">
        <f t="shared" si="5"/>
        <v>0</v>
      </c>
      <c r="AS10" s="26">
        <f t="shared" si="6"/>
        <v>0</v>
      </c>
      <c r="AT10" s="26">
        <f t="shared" si="7"/>
        <v>0</v>
      </c>
      <c r="AU10" s="45">
        <f t="shared" si="8"/>
        <v>0</v>
      </c>
      <c r="AV10" s="45">
        <f t="shared" si="2"/>
        <v>0</v>
      </c>
      <c r="AW10" s="45">
        <f t="shared" si="2"/>
        <v>0</v>
      </c>
      <c r="BA10">
        <f t="shared" si="9"/>
        <v>120</v>
      </c>
    </row>
    <row r="11" spans="1:53">
      <c r="A11" s="59">
        <v>44827</v>
      </c>
      <c r="B11" s="18">
        <v>1600</v>
      </c>
      <c r="C11" s="18"/>
      <c r="D11" s="160">
        <f>(SUM(粮草!A11:X11)+AG11*10)*IF(AK11="是",$AY$4,$AY$3)-132</f>
        <v>868</v>
      </c>
      <c r="E11" s="76">
        <f>SUM($B$4:B11)+SUM($C$4:C11)-SUM($D$4:D11)</f>
        <v>2992</v>
      </c>
      <c r="F11" s="17">
        <f>SUM(经验!A11:X11)</f>
        <v>265</v>
      </c>
      <c r="G11" s="17">
        <f>SUM($F$4:F11)+SUM($H$4:H11)</f>
        <v>5940</v>
      </c>
      <c r="H11" s="18">
        <v>0</v>
      </c>
      <c r="I11" s="79" t="s">
        <v>34</v>
      </c>
      <c r="J11" s="79" t="s">
        <v>34</v>
      </c>
      <c r="K11" s="79" t="s">
        <v>34</v>
      </c>
      <c r="L11" s="79" t="s">
        <v>34</v>
      </c>
      <c r="M11" s="79" t="s">
        <v>34</v>
      </c>
      <c r="N11" s="79" t="s">
        <v>34</v>
      </c>
      <c r="O11" s="72" t="s">
        <v>34</v>
      </c>
      <c r="P11" s="72" t="s">
        <v>34</v>
      </c>
      <c r="Q11" s="100" t="s">
        <v>40</v>
      </c>
      <c r="R11" s="73" t="s">
        <v>73</v>
      </c>
      <c r="S11" s="100" t="s">
        <v>40</v>
      </c>
      <c r="T11" s="100" t="s">
        <v>40</v>
      </c>
      <c r="U11" s="100" t="s">
        <v>40</v>
      </c>
      <c r="V11" s="103" t="s">
        <v>41</v>
      </c>
      <c r="W11" s="72" t="s">
        <v>34</v>
      </c>
      <c r="X11" s="72" t="s">
        <v>34</v>
      </c>
      <c r="Y11" s="79" t="s">
        <v>34</v>
      </c>
      <c r="Z11" s="79" t="s">
        <v>34</v>
      </c>
      <c r="AA11" s="79" t="s">
        <v>34</v>
      </c>
      <c r="AB11" s="79" t="s">
        <v>34</v>
      </c>
      <c r="AC11" s="79" t="s">
        <v>34</v>
      </c>
      <c r="AD11" s="79" t="s">
        <v>34</v>
      </c>
      <c r="AE11" s="72" t="s">
        <v>34</v>
      </c>
      <c r="AF11" s="72" t="s">
        <v>34</v>
      </c>
      <c r="AG11" s="56">
        <f t="shared" si="3"/>
        <v>0</v>
      </c>
      <c r="AH11" s="56"/>
      <c r="AI11" s="56"/>
      <c r="AJ11" s="56"/>
      <c r="AK11" s="78" t="s">
        <v>35</v>
      </c>
      <c r="AM11" s="83" t="s">
        <v>41</v>
      </c>
      <c r="AN11" s="26">
        <v>150</v>
      </c>
      <c r="AO11" s="26">
        <v>40</v>
      </c>
      <c r="AP11" s="26">
        <v>29.110982162825422</v>
      </c>
      <c r="AQ11" s="26">
        <f t="shared" si="4"/>
        <v>1</v>
      </c>
      <c r="AR11" s="26">
        <f t="shared" si="5"/>
        <v>1</v>
      </c>
      <c r="AS11" s="26">
        <f t="shared" si="6"/>
        <v>1</v>
      </c>
      <c r="AT11" s="26">
        <f t="shared" si="7"/>
        <v>3</v>
      </c>
      <c r="AU11" s="45">
        <f t="shared" si="8"/>
        <v>40</v>
      </c>
      <c r="AV11" s="45">
        <f t="shared" si="2"/>
        <v>40</v>
      </c>
      <c r="AW11" s="45">
        <f t="shared" si="2"/>
        <v>40</v>
      </c>
      <c r="BA11">
        <f t="shared" si="9"/>
        <v>120</v>
      </c>
    </row>
    <row r="12" spans="1:53">
      <c r="A12" s="59">
        <v>44828</v>
      </c>
      <c r="B12" s="18">
        <v>1600</v>
      </c>
      <c r="C12" s="18"/>
      <c r="D12" s="17">
        <f>(SUM(粮草!A12:X12)+AG12*10)*IF(AK12="是",$AY$4,$AY$3)</f>
        <v>1536</v>
      </c>
      <c r="E12" s="76">
        <f>SUM($B$4:B12)+SUM($C$4:C12)-SUM($D$4:D12)</f>
        <v>3056</v>
      </c>
      <c r="F12" s="17">
        <f>SUM(经验!A12:X12)</f>
        <v>525</v>
      </c>
      <c r="G12" s="17">
        <f>SUM($F$4:F12)+SUM($H$4:H12)</f>
        <v>6465</v>
      </c>
      <c r="H12" s="18">
        <v>0</v>
      </c>
      <c r="I12" s="79" t="s">
        <v>34</v>
      </c>
      <c r="J12" s="79" t="s">
        <v>34</v>
      </c>
      <c r="K12" s="79" t="s">
        <v>34</v>
      </c>
      <c r="L12" s="79" t="s">
        <v>34</v>
      </c>
      <c r="M12" s="79" t="s">
        <v>34</v>
      </c>
      <c r="N12" s="79" t="s">
        <v>34</v>
      </c>
      <c r="O12" s="72" t="s">
        <v>34</v>
      </c>
      <c r="P12" s="72" t="s">
        <v>34</v>
      </c>
      <c r="Q12" s="100" t="s">
        <v>40</v>
      </c>
      <c r="R12" s="100" t="s">
        <v>40</v>
      </c>
      <c r="S12" s="101" t="s">
        <v>39</v>
      </c>
      <c r="T12" s="100" t="s">
        <v>40</v>
      </c>
      <c r="U12" s="100" t="s">
        <v>40</v>
      </c>
      <c r="V12" s="100" t="s">
        <v>40</v>
      </c>
      <c r="W12" s="72" t="s">
        <v>34</v>
      </c>
      <c r="X12" s="72" t="s">
        <v>34</v>
      </c>
      <c r="Y12" s="100" t="s">
        <v>40</v>
      </c>
      <c r="Z12" s="100" t="s">
        <v>40</v>
      </c>
      <c r="AA12" s="100" t="s">
        <v>40</v>
      </c>
      <c r="AB12" s="100" t="s">
        <v>40</v>
      </c>
      <c r="AC12" s="100" t="s">
        <v>40</v>
      </c>
      <c r="AD12" s="100" t="s">
        <v>40</v>
      </c>
      <c r="AE12" s="72" t="s">
        <v>34</v>
      </c>
      <c r="AF12" s="72" t="s">
        <v>34</v>
      </c>
      <c r="AG12" s="56">
        <f t="shared" si="3"/>
        <v>0</v>
      </c>
      <c r="AH12" s="56"/>
      <c r="AI12" s="56"/>
      <c r="AJ12" s="56"/>
      <c r="AK12" s="78" t="s">
        <v>52</v>
      </c>
      <c r="AM12" s="84" t="s">
        <v>47</v>
      </c>
      <c r="AN12" s="26">
        <v>150</v>
      </c>
      <c r="AO12" s="26">
        <v>45</v>
      </c>
      <c r="AP12" s="26">
        <v>13.999854933178597</v>
      </c>
      <c r="AQ12" s="26">
        <f t="shared" si="4"/>
        <v>0</v>
      </c>
      <c r="AR12" s="26">
        <f t="shared" si="5"/>
        <v>3</v>
      </c>
      <c r="AS12" s="26">
        <f t="shared" si="6"/>
        <v>3</v>
      </c>
      <c r="AT12" s="26">
        <f t="shared" si="7"/>
        <v>6</v>
      </c>
      <c r="AU12" s="45">
        <f t="shared" si="8"/>
        <v>0</v>
      </c>
      <c r="AV12" s="45">
        <f t="shared" si="2"/>
        <v>135</v>
      </c>
      <c r="AW12" s="45">
        <f t="shared" si="2"/>
        <v>135</v>
      </c>
      <c r="BA12">
        <f t="shared" si="9"/>
        <v>120</v>
      </c>
    </row>
    <row r="13" spans="1:53">
      <c r="A13" s="59">
        <v>44829</v>
      </c>
      <c r="B13" s="18">
        <v>1600</v>
      </c>
      <c r="C13" s="18"/>
      <c r="D13" s="17">
        <f>(SUM(粮草!A13:X13)+AG13*10)*IF(AK13="是",$AY$4,$AY$3)</f>
        <v>1496</v>
      </c>
      <c r="E13" s="76">
        <f>SUM($B$4:B13)+SUM($C$4:C13)-SUM($D$4:D13)</f>
        <v>3160</v>
      </c>
      <c r="F13" s="17">
        <f>SUM(经验!A13:X13)</f>
        <v>495</v>
      </c>
      <c r="G13" s="17">
        <f>SUM($F$4:F13)+SUM($H$4:H13)</f>
        <v>6960</v>
      </c>
      <c r="H13" s="18">
        <v>0</v>
      </c>
      <c r="I13" s="79" t="s">
        <v>34</v>
      </c>
      <c r="J13" s="79" t="s">
        <v>34</v>
      </c>
      <c r="K13" s="79" t="s">
        <v>34</v>
      </c>
      <c r="L13" s="79" t="s">
        <v>34</v>
      </c>
      <c r="M13" s="79" t="s">
        <v>34</v>
      </c>
      <c r="N13" s="79" t="s">
        <v>34</v>
      </c>
      <c r="O13" s="72" t="s">
        <v>34</v>
      </c>
      <c r="P13" s="72" t="s">
        <v>34</v>
      </c>
      <c r="Q13" s="100" t="s">
        <v>40</v>
      </c>
      <c r="R13" s="100" t="s">
        <v>40</v>
      </c>
      <c r="S13" s="100" t="s">
        <v>40</v>
      </c>
      <c r="T13" s="100" t="s">
        <v>40</v>
      </c>
      <c r="U13" s="100" t="s">
        <v>40</v>
      </c>
      <c r="V13" s="79" t="s">
        <v>34</v>
      </c>
      <c r="W13" s="72" t="s">
        <v>34</v>
      </c>
      <c r="X13" s="72" t="s">
        <v>34</v>
      </c>
      <c r="Y13" s="100" t="s">
        <v>40</v>
      </c>
      <c r="Z13" s="100" t="s">
        <v>40</v>
      </c>
      <c r="AA13" s="100" t="s">
        <v>40</v>
      </c>
      <c r="AB13" s="100" t="s">
        <v>40</v>
      </c>
      <c r="AC13" s="100" t="s">
        <v>40</v>
      </c>
      <c r="AD13" s="100" t="s">
        <v>40</v>
      </c>
      <c r="AE13" s="72" t="s">
        <v>34</v>
      </c>
      <c r="AF13" s="72" t="s">
        <v>34</v>
      </c>
      <c r="AG13" s="56">
        <f t="shared" si="3"/>
        <v>0</v>
      </c>
      <c r="AH13" s="56"/>
      <c r="AI13" s="56"/>
      <c r="AJ13" s="56"/>
      <c r="AK13" s="78" t="s">
        <v>52</v>
      </c>
      <c r="AM13" s="85" t="s">
        <v>48</v>
      </c>
      <c r="AN13" s="26">
        <v>150</v>
      </c>
      <c r="AO13" s="26">
        <v>50</v>
      </c>
      <c r="AP13" s="26"/>
      <c r="AQ13" s="26">
        <f t="shared" si="4"/>
        <v>0</v>
      </c>
      <c r="AR13" s="26">
        <f t="shared" si="5"/>
        <v>3</v>
      </c>
      <c r="AS13" s="26">
        <f t="shared" si="6"/>
        <v>1</v>
      </c>
      <c r="AT13" s="26">
        <f t="shared" si="7"/>
        <v>4</v>
      </c>
      <c r="AU13" s="45">
        <f t="shared" si="8"/>
        <v>0</v>
      </c>
      <c r="AV13" s="45">
        <f t="shared" si="2"/>
        <v>150</v>
      </c>
      <c r="AW13" s="45">
        <f t="shared" si="2"/>
        <v>50</v>
      </c>
      <c r="BA13">
        <f t="shared" si="9"/>
        <v>120</v>
      </c>
    </row>
    <row r="14" spans="1:53">
      <c r="A14" s="59">
        <v>44830</v>
      </c>
      <c r="B14" s="17">
        <v>1600</v>
      </c>
      <c r="C14" s="17"/>
      <c r="D14" s="17">
        <f>(SUM(粮草!A14:X14)+AG14*10)*IF(AK14="是",$AY$4,$AY$3)</f>
        <v>1408</v>
      </c>
      <c r="E14" s="76">
        <f>SUM($B$4:B14)+SUM($C$4:C14)-SUM($D$4:D14)</f>
        <v>3352</v>
      </c>
      <c r="F14" s="17">
        <f>SUM(经验!A14:X14)</f>
        <v>480</v>
      </c>
      <c r="G14" s="17">
        <f>SUM($F$4:F14)+SUM($H$4:H14)</f>
        <v>7740</v>
      </c>
      <c r="H14" s="17">
        <v>300</v>
      </c>
      <c r="I14" s="79" t="s">
        <v>34</v>
      </c>
      <c r="J14" s="79" t="s">
        <v>34</v>
      </c>
      <c r="K14" s="79" t="s">
        <v>34</v>
      </c>
      <c r="L14" s="79" t="s">
        <v>34</v>
      </c>
      <c r="M14" s="79" t="s">
        <v>34</v>
      </c>
      <c r="N14" s="79" t="s">
        <v>34</v>
      </c>
      <c r="O14" s="72" t="s">
        <v>34</v>
      </c>
      <c r="P14" s="72" t="s">
        <v>34</v>
      </c>
      <c r="Q14" s="101" t="s">
        <v>39</v>
      </c>
      <c r="R14" s="100" t="s">
        <v>40</v>
      </c>
      <c r="S14" s="100" t="s">
        <v>40</v>
      </c>
      <c r="T14" s="100" t="s">
        <v>40</v>
      </c>
      <c r="U14" s="100" t="s">
        <v>40</v>
      </c>
      <c r="V14" s="79" t="s">
        <v>34</v>
      </c>
      <c r="W14" s="72" t="s">
        <v>34</v>
      </c>
      <c r="X14" s="72" t="s">
        <v>34</v>
      </c>
      <c r="Y14" s="100" t="s">
        <v>40</v>
      </c>
      <c r="Z14" s="100" t="s">
        <v>40</v>
      </c>
      <c r="AA14" s="100" t="s">
        <v>40</v>
      </c>
      <c r="AB14" s="100" t="s">
        <v>40</v>
      </c>
      <c r="AC14" s="100" t="s">
        <v>40</v>
      </c>
      <c r="AD14" s="100" t="s">
        <v>40</v>
      </c>
      <c r="AE14" s="72" t="s">
        <v>34</v>
      </c>
      <c r="AF14" s="72" t="s">
        <v>34</v>
      </c>
      <c r="AG14" s="56">
        <f t="shared" si="3"/>
        <v>1</v>
      </c>
      <c r="AH14" s="56"/>
      <c r="AI14" s="56">
        <v>1</v>
      </c>
      <c r="AJ14" s="56"/>
      <c r="AK14" s="78" t="s">
        <v>52</v>
      </c>
      <c r="AM14" s="80" t="s">
        <v>49</v>
      </c>
      <c r="AN14" s="26">
        <v>150</v>
      </c>
      <c r="AO14" s="26">
        <v>55</v>
      </c>
      <c r="AP14" s="26"/>
      <c r="AQ14" s="26">
        <f t="shared" si="4"/>
        <v>0</v>
      </c>
      <c r="AR14" s="26">
        <f t="shared" si="5"/>
        <v>1</v>
      </c>
      <c r="AS14" s="26">
        <f t="shared" si="6"/>
        <v>2</v>
      </c>
      <c r="AT14" s="26">
        <f t="shared" si="7"/>
        <v>3</v>
      </c>
      <c r="AU14" s="45">
        <f t="shared" si="8"/>
        <v>0</v>
      </c>
      <c r="AV14" s="45">
        <f t="shared" si="2"/>
        <v>55</v>
      </c>
      <c r="AW14" s="45">
        <f t="shared" si="2"/>
        <v>110</v>
      </c>
      <c r="BA14">
        <f t="shared" si="9"/>
        <v>120</v>
      </c>
    </row>
    <row r="15" spans="1:53">
      <c r="A15" s="59">
        <v>44831</v>
      </c>
      <c r="B15" s="17">
        <v>1600</v>
      </c>
      <c r="C15" s="17"/>
      <c r="D15" s="17">
        <f>(SUM(粮草!A15:X15)+AG15*10)*IF(AK15="是",$AY$4,$AY$3)</f>
        <v>1552</v>
      </c>
      <c r="E15" s="76">
        <f>SUM($B$4:B15)+SUM($C$4:C15)-SUM($D$4:D15)</f>
        <v>3400</v>
      </c>
      <c r="F15" s="17">
        <f>SUM(经验!A15:X15)</f>
        <v>525</v>
      </c>
      <c r="G15" s="17">
        <f>SUM($F$4:F15)+SUM($H$4:H15)</f>
        <v>8265</v>
      </c>
      <c r="H15" s="17">
        <v>0</v>
      </c>
      <c r="I15" s="79" t="s">
        <v>34</v>
      </c>
      <c r="J15" s="79" t="s">
        <v>34</v>
      </c>
      <c r="K15" s="79" t="s">
        <v>34</v>
      </c>
      <c r="L15" s="79" t="s">
        <v>34</v>
      </c>
      <c r="M15" s="79" t="s">
        <v>34</v>
      </c>
      <c r="N15" s="79" t="s">
        <v>34</v>
      </c>
      <c r="O15" s="72" t="s">
        <v>34</v>
      </c>
      <c r="P15" s="72" t="s">
        <v>34</v>
      </c>
      <c r="Q15" s="100" t="s">
        <v>40</v>
      </c>
      <c r="R15" s="100" t="s">
        <v>40</v>
      </c>
      <c r="S15" s="100" t="s">
        <v>40</v>
      </c>
      <c r="T15" s="100" t="s">
        <v>40</v>
      </c>
      <c r="U15" s="100" t="s">
        <v>40</v>
      </c>
      <c r="V15" s="100" t="s">
        <v>40</v>
      </c>
      <c r="W15" s="72" t="s">
        <v>34</v>
      </c>
      <c r="X15" s="72" t="s">
        <v>34</v>
      </c>
      <c r="Y15" s="100" t="s">
        <v>40</v>
      </c>
      <c r="Z15" s="100" t="s">
        <v>40</v>
      </c>
      <c r="AA15" s="101" t="s">
        <v>39</v>
      </c>
      <c r="AB15" s="100" t="s">
        <v>40</v>
      </c>
      <c r="AC15" s="100" t="s">
        <v>40</v>
      </c>
      <c r="AD15" s="100" t="s">
        <v>40</v>
      </c>
      <c r="AE15" s="72" t="s">
        <v>34</v>
      </c>
      <c r="AF15" s="72" t="s">
        <v>34</v>
      </c>
      <c r="AG15" s="56">
        <f t="shared" si="3"/>
        <v>2</v>
      </c>
      <c r="AH15" s="56"/>
      <c r="AI15" s="56">
        <v>2</v>
      </c>
      <c r="AJ15" s="56"/>
      <c r="AK15" s="78" t="s">
        <v>52</v>
      </c>
      <c r="AM15" s="86" t="s">
        <v>50</v>
      </c>
      <c r="AN15" s="26">
        <v>150</v>
      </c>
      <c r="AO15" s="26">
        <v>60</v>
      </c>
      <c r="AP15" s="26"/>
      <c r="AQ15" s="26">
        <f t="shared" si="4"/>
        <v>0</v>
      </c>
      <c r="AR15" s="26">
        <f t="shared" si="5"/>
        <v>0</v>
      </c>
      <c r="AS15" s="26">
        <f t="shared" si="6"/>
        <v>1</v>
      </c>
      <c r="AT15" s="26">
        <f t="shared" si="7"/>
        <v>1</v>
      </c>
      <c r="AU15" s="45">
        <f t="shared" si="8"/>
        <v>0</v>
      </c>
      <c r="AV15" s="45">
        <f t="shared" si="2"/>
        <v>0</v>
      </c>
      <c r="AW15" s="45">
        <f t="shared" si="2"/>
        <v>60</v>
      </c>
      <c r="BA15">
        <f t="shared" si="9"/>
        <v>120</v>
      </c>
    </row>
    <row r="16" spans="1:53">
      <c r="A16" s="59">
        <v>44832</v>
      </c>
      <c r="B16" s="17">
        <v>1600</v>
      </c>
      <c r="C16" s="17"/>
      <c r="D16" s="17">
        <f>(SUM(粮草!A16:X16)+AG16*10)*IF(AK16="是",$AY$4,$AY$3)</f>
        <v>1512</v>
      </c>
      <c r="E16" s="76">
        <f>SUM($B$4:B16)+SUM($C$4:C16)-SUM($D$4:D16)</f>
        <v>3488</v>
      </c>
      <c r="F16" s="17">
        <f>SUM(经验!A16:X16)</f>
        <v>570</v>
      </c>
      <c r="G16" s="17">
        <f>SUM($F$4:F16)+SUM($H$4:H16)</f>
        <v>9035</v>
      </c>
      <c r="H16" s="17">
        <v>200</v>
      </c>
      <c r="I16" s="79" t="s">
        <v>34</v>
      </c>
      <c r="J16" s="79" t="s">
        <v>34</v>
      </c>
      <c r="K16" s="79" t="s">
        <v>34</v>
      </c>
      <c r="L16" s="79" t="s">
        <v>34</v>
      </c>
      <c r="M16" s="79" t="s">
        <v>34</v>
      </c>
      <c r="N16" s="79" t="s">
        <v>34</v>
      </c>
      <c r="O16" s="72" t="s">
        <v>34</v>
      </c>
      <c r="P16" s="72" t="s">
        <v>34</v>
      </c>
      <c r="Q16" s="100" t="s">
        <v>40</v>
      </c>
      <c r="R16" s="100" t="s">
        <v>40</v>
      </c>
      <c r="S16" s="102" t="s">
        <v>59</v>
      </c>
      <c r="T16" s="100" t="s">
        <v>40</v>
      </c>
      <c r="U16" s="101" t="s">
        <v>39</v>
      </c>
      <c r="V16" s="100" t="s">
        <v>40</v>
      </c>
      <c r="W16" s="100" t="s">
        <v>40</v>
      </c>
      <c r="X16" s="100" t="s">
        <v>40</v>
      </c>
      <c r="Y16" s="100" t="s">
        <v>40</v>
      </c>
      <c r="Z16" s="100" t="s">
        <v>40</v>
      </c>
      <c r="AA16" s="100" t="s">
        <v>40</v>
      </c>
      <c r="AB16" s="100" t="s">
        <v>40</v>
      </c>
      <c r="AC16" s="100" t="s">
        <v>40</v>
      </c>
      <c r="AD16" s="100" t="s">
        <v>40</v>
      </c>
      <c r="AE16" s="72" t="s">
        <v>34</v>
      </c>
      <c r="AF16" s="72" t="s">
        <v>34</v>
      </c>
      <c r="AG16" s="56">
        <f t="shared" si="3"/>
        <v>0</v>
      </c>
      <c r="AH16" s="56"/>
      <c r="AI16" s="56"/>
      <c r="AJ16" s="56"/>
      <c r="AK16" s="78" t="s">
        <v>52</v>
      </c>
      <c r="AM16" s="30" t="s">
        <v>51</v>
      </c>
      <c r="AN16" s="31">
        <v>150</v>
      </c>
      <c r="AO16" s="26">
        <v>35</v>
      </c>
      <c r="AP16" s="26">
        <v>44.222109392472248</v>
      </c>
      <c r="AQ16" s="26">
        <f t="shared" si="4"/>
        <v>0</v>
      </c>
      <c r="AR16" s="26">
        <f t="shared" si="5"/>
        <v>0</v>
      </c>
      <c r="AS16" s="26">
        <f t="shared" si="6"/>
        <v>0</v>
      </c>
      <c r="AT16" s="26">
        <f t="shared" si="7"/>
        <v>0</v>
      </c>
      <c r="AU16" s="45">
        <f t="shared" si="8"/>
        <v>0</v>
      </c>
      <c r="AV16" s="45">
        <f t="shared" si="2"/>
        <v>0</v>
      </c>
      <c r="AW16" s="45">
        <f t="shared" si="2"/>
        <v>0</v>
      </c>
      <c r="BA16">
        <f t="shared" si="9"/>
        <v>120</v>
      </c>
    </row>
    <row r="17" spans="1:53">
      <c r="A17" s="59">
        <v>44833</v>
      </c>
      <c r="B17" s="17">
        <v>1600</v>
      </c>
      <c r="C17" s="17"/>
      <c r="D17" s="17">
        <f>(SUM(粮草!A17:X17)+AG17*10)*IF(AK17="是",$AY$4,$AY$3)</f>
        <v>1520</v>
      </c>
      <c r="E17" s="76">
        <f>SUM($B$4:B17)+SUM($C$4:C17)-SUM($D$4:D17)</f>
        <v>3568</v>
      </c>
      <c r="F17" s="17">
        <f>SUM(经验!A17:X17)</f>
        <v>525</v>
      </c>
      <c r="G17" s="17">
        <f>SUM($F$4:F17)+SUM($H$4:H17)</f>
        <v>9560</v>
      </c>
      <c r="H17" s="17">
        <v>0</v>
      </c>
      <c r="I17" s="79" t="s">
        <v>34</v>
      </c>
      <c r="J17" s="79" t="s">
        <v>34</v>
      </c>
      <c r="K17" s="79" t="s">
        <v>34</v>
      </c>
      <c r="L17" s="79" t="s">
        <v>34</v>
      </c>
      <c r="M17" s="79" t="s">
        <v>34</v>
      </c>
      <c r="N17" s="79" t="s">
        <v>34</v>
      </c>
      <c r="O17" s="72" t="s">
        <v>34</v>
      </c>
      <c r="P17" s="72" t="s">
        <v>34</v>
      </c>
      <c r="Q17" s="100" t="s">
        <v>40</v>
      </c>
      <c r="R17" s="100" t="s">
        <v>40</v>
      </c>
      <c r="S17" s="104" t="s">
        <v>47</v>
      </c>
      <c r="T17" s="100" t="s">
        <v>40</v>
      </c>
      <c r="U17" s="100" t="s">
        <v>40</v>
      </c>
      <c r="V17" s="101" t="s">
        <v>39</v>
      </c>
      <c r="W17" s="72" t="s">
        <v>34</v>
      </c>
      <c r="X17" s="72" t="s">
        <v>34</v>
      </c>
      <c r="Y17" s="100" t="s">
        <v>40</v>
      </c>
      <c r="Z17" s="100" t="s">
        <v>40</v>
      </c>
      <c r="AA17" s="100" t="s">
        <v>40</v>
      </c>
      <c r="AB17" s="100" t="s">
        <v>40</v>
      </c>
      <c r="AC17" s="100" t="s">
        <v>40</v>
      </c>
      <c r="AD17" s="100" t="s">
        <v>40</v>
      </c>
      <c r="AE17" s="72" t="s">
        <v>34</v>
      </c>
      <c r="AF17" s="72" t="s">
        <v>34</v>
      </c>
      <c r="AG17" s="56">
        <f t="shared" si="3"/>
        <v>0</v>
      </c>
      <c r="AH17" s="56"/>
      <c r="AI17" s="56"/>
      <c r="AJ17" s="56"/>
      <c r="AK17" s="78" t="s">
        <v>52</v>
      </c>
      <c r="AM17" s="20" t="s">
        <v>39</v>
      </c>
      <c r="AN17" s="26">
        <v>50</v>
      </c>
      <c r="AO17" s="26">
        <v>30</v>
      </c>
      <c r="AP17" s="26">
        <v>10</v>
      </c>
      <c r="AQ17" s="26">
        <f t="shared" si="4"/>
        <v>6</v>
      </c>
      <c r="AR17" s="26">
        <f t="shared" si="5"/>
        <v>18</v>
      </c>
      <c r="AS17" s="26">
        <f t="shared" si="6"/>
        <v>16</v>
      </c>
      <c r="AT17" s="26">
        <f t="shared" si="7"/>
        <v>40</v>
      </c>
      <c r="AU17" s="45">
        <f t="shared" si="8"/>
        <v>180</v>
      </c>
      <c r="AV17" s="45">
        <f t="shared" si="2"/>
        <v>540</v>
      </c>
      <c r="AW17" s="45">
        <f t="shared" si="2"/>
        <v>480</v>
      </c>
      <c r="BA17">
        <f t="shared" si="9"/>
        <v>40</v>
      </c>
    </row>
    <row r="18" spans="1:53">
      <c r="A18" s="59">
        <v>44834</v>
      </c>
      <c r="B18" s="17">
        <v>1600</v>
      </c>
      <c r="C18" s="17"/>
      <c r="D18" s="17">
        <f>(SUM(粮草!A18:X18)+AG18*10)*IF(AK18="是",$AY$4,$AY$3)</f>
        <v>1568</v>
      </c>
      <c r="E18" s="76">
        <f>SUM($B$4:B18)+SUM($C$4:C18)-SUM($D$4:D18)</f>
        <v>3600</v>
      </c>
      <c r="F18" s="17">
        <f>SUM(经验!A18:X18)</f>
        <v>545</v>
      </c>
      <c r="G18" s="17">
        <f>SUM($F$4:F18)+SUM($H$4:H18)</f>
        <v>10105</v>
      </c>
      <c r="H18" s="17">
        <v>0</v>
      </c>
      <c r="I18" s="79" t="s">
        <v>34</v>
      </c>
      <c r="J18" s="79" t="s">
        <v>34</v>
      </c>
      <c r="K18" s="79" t="s">
        <v>34</v>
      </c>
      <c r="L18" s="79" t="s">
        <v>34</v>
      </c>
      <c r="M18" s="79" t="s">
        <v>34</v>
      </c>
      <c r="N18" s="79" t="s">
        <v>34</v>
      </c>
      <c r="O18" s="72" t="s">
        <v>34</v>
      </c>
      <c r="P18" s="72" t="s">
        <v>34</v>
      </c>
      <c r="Q18" s="100" t="s">
        <v>40</v>
      </c>
      <c r="R18" s="100" t="s">
        <v>40</v>
      </c>
      <c r="S18" s="105" t="s">
        <v>42</v>
      </c>
      <c r="T18" s="105" t="s">
        <v>42</v>
      </c>
      <c r="U18" s="105" t="s">
        <v>42</v>
      </c>
      <c r="V18" s="105" t="s">
        <v>42</v>
      </c>
      <c r="W18" s="72" t="s">
        <v>34</v>
      </c>
      <c r="X18" s="72" t="s">
        <v>34</v>
      </c>
      <c r="Y18" s="100" t="s">
        <v>40</v>
      </c>
      <c r="Z18" s="100" t="s">
        <v>40</v>
      </c>
      <c r="AA18" s="100" t="s">
        <v>40</v>
      </c>
      <c r="AB18" s="101" t="s">
        <v>39</v>
      </c>
      <c r="AC18" s="100" t="s">
        <v>40</v>
      </c>
      <c r="AD18" s="100" t="s">
        <v>40</v>
      </c>
      <c r="AE18" s="72" t="s">
        <v>34</v>
      </c>
      <c r="AF18" s="72" t="s">
        <v>34</v>
      </c>
      <c r="AG18" s="56">
        <f t="shared" si="3"/>
        <v>0</v>
      </c>
      <c r="AH18" s="56"/>
      <c r="AI18" s="56"/>
      <c r="AJ18" s="56"/>
      <c r="AK18" s="78" t="s">
        <v>52</v>
      </c>
      <c r="AL18" s="32" t="s">
        <v>32</v>
      </c>
      <c r="AM18" s="21" t="s">
        <v>46</v>
      </c>
      <c r="AN18" s="26">
        <v>-150</v>
      </c>
      <c r="AO18" s="26">
        <v>0</v>
      </c>
      <c r="AP18" s="26">
        <v>10</v>
      </c>
      <c r="AQ18" s="26">
        <f t="shared" si="4"/>
        <v>0</v>
      </c>
      <c r="AR18" s="26">
        <f t="shared" si="5"/>
        <v>0</v>
      </c>
      <c r="AS18" s="26">
        <f t="shared" si="6"/>
        <v>3</v>
      </c>
      <c r="AT18" s="26">
        <f t="shared" si="7"/>
        <v>3</v>
      </c>
      <c r="AU18" s="45">
        <f t="shared" si="8"/>
        <v>0</v>
      </c>
      <c r="AV18" s="45">
        <f t="shared" si="2"/>
        <v>0</v>
      </c>
      <c r="AW18" s="45">
        <f t="shared" si="2"/>
        <v>0</v>
      </c>
      <c r="BA18">
        <f t="shared" si="9"/>
        <v>-120</v>
      </c>
    </row>
    <row r="19" spans="1:53">
      <c r="A19" s="59">
        <v>44835</v>
      </c>
      <c r="B19" s="17">
        <v>1600</v>
      </c>
      <c r="C19" s="17"/>
      <c r="D19" s="17">
        <f>(SUM(粮草!A19:X19)+AG19*10)*IF(AK19="是",$AY$4,$AY$3)</f>
        <v>1680</v>
      </c>
      <c r="E19" s="76">
        <f>SUM($B$4:B19)+SUM($C$4:C19)-SUM($D$4:D19)</f>
        <v>3520</v>
      </c>
      <c r="F19" s="17">
        <f>SUM(经验!A19:X19)</f>
        <v>570</v>
      </c>
      <c r="G19" s="17">
        <f>SUM($F$4:F19)+SUM($H$4:H19)</f>
        <v>10675</v>
      </c>
      <c r="H19" s="17">
        <v>0</v>
      </c>
      <c r="I19" s="79" t="s">
        <v>34</v>
      </c>
      <c r="J19" s="79" t="s">
        <v>34</v>
      </c>
      <c r="K19" s="79" t="s">
        <v>34</v>
      </c>
      <c r="L19" s="79" t="s">
        <v>34</v>
      </c>
      <c r="M19" s="79" t="s">
        <v>34</v>
      </c>
      <c r="N19" s="79" t="s">
        <v>34</v>
      </c>
      <c r="O19" s="72" t="s">
        <v>34</v>
      </c>
      <c r="P19" s="72" t="s">
        <v>34</v>
      </c>
      <c r="Q19" s="105" t="s">
        <v>42</v>
      </c>
      <c r="R19" s="105" t="s">
        <v>42</v>
      </c>
      <c r="S19" s="105" t="s">
        <v>42</v>
      </c>
      <c r="T19" s="105" t="s">
        <v>42</v>
      </c>
      <c r="U19" s="105" t="s">
        <v>42</v>
      </c>
      <c r="V19" s="105" t="s">
        <v>42</v>
      </c>
      <c r="W19" s="72" t="s">
        <v>34</v>
      </c>
      <c r="X19" s="72" t="s">
        <v>34</v>
      </c>
      <c r="Y19" s="100" t="s">
        <v>40</v>
      </c>
      <c r="Z19" s="100" t="s">
        <v>40</v>
      </c>
      <c r="AA19" s="100" t="s">
        <v>40</v>
      </c>
      <c r="AB19" s="100" t="s">
        <v>40</v>
      </c>
      <c r="AC19" s="100" t="s">
        <v>40</v>
      </c>
      <c r="AD19" s="100" t="s">
        <v>40</v>
      </c>
      <c r="AE19" s="72" t="s">
        <v>34</v>
      </c>
      <c r="AF19" s="72" t="s">
        <v>34</v>
      </c>
      <c r="AG19" s="56">
        <f t="shared" si="3"/>
        <v>0</v>
      </c>
      <c r="AH19" s="56"/>
      <c r="AI19" s="56"/>
      <c r="AJ19" s="56"/>
      <c r="AK19" s="78" t="s">
        <v>52</v>
      </c>
      <c r="AM19" s="73" t="s">
        <v>72</v>
      </c>
      <c r="AN19" s="26">
        <v>250</v>
      </c>
      <c r="AO19" s="26">
        <v>200</v>
      </c>
      <c r="AP19" s="26"/>
      <c r="AQ19" s="26">
        <f t="shared" si="4"/>
        <v>0</v>
      </c>
      <c r="AR19" s="26">
        <f t="shared" si="5"/>
        <v>1</v>
      </c>
      <c r="AS19" s="26">
        <f t="shared" si="6"/>
        <v>2</v>
      </c>
      <c r="AT19" s="26">
        <f t="shared" si="7"/>
        <v>3</v>
      </c>
      <c r="AU19" s="45">
        <f t="shared" si="8"/>
        <v>0</v>
      </c>
      <c r="AV19" s="45">
        <f t="shared" si="2"/>
        <v>200</v>
      </c>
      <c r="AW19" s="45">
        <f t="shared" si="2"/>
        <v>400</v>
      </c>
      <c r="BA19">
        <f t="shared" si="9"/>
        <v>200</v>
      </c>
    </row>
    <row r="20" spans="1:53">
      <c r="A20" s="59">
        <v>44836</v>
      </c>
      <c r="B20" s="17">
        <v>1600</v>
      </c>
      <c r="C20" s="17"/>
      <c r="D20" s="17">
        <f>(SUM(粮草!A20:X20)+AG20*10)*IF(AK20="是",$AY$4,$AY$3)</f>
        <v>1584</v>
      </c>
      <c r="E20" s="76">
        <f>SUM($B$4:B20)+SUM($C$4:C20)-SUM($D$4:D20)</f>
        <v>3536</v>
      </c>
      <c r="F20" s="17">
        <f>SUM(经验!A20:X20)</f>
        <v>555</v>
      </c>
      <c r="G20" s="17">
        <f>SUM($F$4:F20)+SUM($H$4:H20)</f>
        <v>11230</v>
      </c>
      <c r="H20" s="17">
        <v>0</v>
      </c>
      <c r="I20" s="79" t="s">
        <v>34</v>
      </c>
      <c r="J20" s="79" t="s">
        <v>34</v>
      </c>
      <c r="K20" s="79" t="s">
        <v>34</v>
      </c>
      <c r="L20" s="79" t="s">
        <v>34</v>
      </c>
      <c r="M20" s="79" t="s">
        <v>34</v>
      </c>
      <c r="N20" s="79" t="s">
        <v>34</v>
      </c>
      <c r="O20" s="72" t="s">
        <v>34</v>
      </c>
      <c r="P20" s="72" t="s">
        <v>34</v>
      </c>
      <c r="Q20" s="105" t="s">
        <v>42</v>
      </c>
      <c r="R20" s="105" t="s">
        <v>42</v>
      </c>
      <c r="S20" s="105" t="s">
        <v>42</v>
      </c>
      <c r="T20" s="105" t="s">
        <v>42</v>
      </c>
      <c r="U20" s="105" t="s">
        <v>42</v>
      </c>
      <c r="V20" s="105" t="s">
        <v>42</v>
      </c>
      <c r="W20" s="72" t="s">
        <v>34</v>
      </c>
      <c r="X20" s="72" t="s">
        <v>34</v>
      </c>
      <c r="Y20" s="100" t="s">
        <v>40</v>
      </c>
      <c r="Z20" s="100" t="s">
        <v>40</v>
      </c>
      <c r="AA20" s="100" t="s">
        <v>40</v>
      </c>
      <c r="AB20" s="101" t="s">
        <v>39</v>
      </c>
      <c r="AC20" s="100" t="s">
        <v>40</v>
      </c>
      <c r="AD20" s="100" t="s">
        <v>40</v>
      </c>
      <c r="AE20" s="72" t="s">
        <v>34</v>
      </c>
      <c r="AF20" s="72" t="s">
        <v>34</v>
      </c>
      <c r="AG20" s="56">
        <f t="shared" si="3"/>
        <v>0</v>
      </c>
      <c r="AH20" s="56"/>
      <c r="AI20" s="56"/>
      <c r="AJ20" s="56"/>
      <c r="AK20" s="78" t="s">
        <v>52</v>
      </c>
      <c r="AM20" s="73" t="s">
        <v>73</v>
      </c>
      <c r="AN20" s="26">
        <v>170</v>
      </c>
      <c r="AO20" s="26">
        <v>45</v>
      </c>
      <c r="AP20" s="26"/>
      <c r="AQ20" s="26">
        <f t="shared" si="4"/>
        <v>0</v>
      </c>
      <c r="AR20" s="26">
        <f t="shared" si="5"/>
        <v>3</v>
      </c>
      <c r="AS20" s="26">
        <f t="shared" si="6"/>
        <v>2</v>
      </c>
      <c r="AT20" s="26">
        <f t="shared" si="7"/>
        <v>5</v>
      </c>
      <c r="AU20" s="45">
        <f t="shared" si="8"/>
        <v>0</v>
      </c>
      <c r="AV20" s="45">
        <f t="shared" si="8"/>
        <v>135</v>
      </c>
      <c r="AW20" s="45">
        <f t="shared" si="8"/>
        <v>90</v>
      </c>
      <c r="BA20">
        <f t="shared" si="9"/>
        <v>136</v>
      </c>
    </row>
    <row r="21" spans="1:53">
      <c r="A21" s="59">
        <v>44837</v>
      </c>
      <c r="B21" s="18">
        <v>1600</v>
      </c>
      <c r="C21" s="18"/>
      <c r="D21" s="17">
        <f>(SUM(粮草!A21:X21)+AG21*10)*IF(AK21="是",$AY$4,$AY$3)</f>
        <v>1560</v>
      </c>
      <c r="E21" s="76">
        <f>SUM($B$4:B21)+SUM($C$4:C21)-SUM($D$4:D21)</f>
        <v>3576</v>
      </c>
      <c r="F21" s="17">
        <f>SUM(经验!A21:X21)</f>
        <v>600</v>
      </c>
      <c r="G21" s="17">
        <f>SUM($F$4:F21)+SUM($H$4:H21)</f>
        <v>12030</v>
      </c>
      <c r="H21" s="18">
        <v>200</v>
      </c>
      <c r="I21" s="79" t="s">
        <v>34</v>
      </c>
      <c r="J21" s="79" t="s">
        <v>34</v>
      </c>
      <c r="K21" s="79" t="s">
        <v>34</v>
      </c>
      <c r="L21" s="79" t="s">
        <v>34</v>
      </c>
      <c r="M21" s="79" t="s">
        <v>34</v>
      </c>
      <c r="N21" s="79" t="s">
        <v>34</v>
      </c>
      <c r="O21" s="72" t="s">
        <v>34</v>
      </c>
      <c r="P21" s="72" t="s">
        <v>34</v>
      </c>
      <c r="Q21" s="105" t="s">
        <v>42</v>
      </c>
      <c r="R21" s="105" t="s">
        <v>42</v>
      </c>
      <c r="S21" s="105" t="s">
        <v>42</v>
      </c>
      <c r="T21" s="105" t="s">
        <v>42</v>
      </c>
      <c r="U21" s="105" t="s">
        <v>42</v>
      </c>
      <c r="V21" s="102" t="s">
        <v>59</v>
      </c>
      <c r="W21" s="105" t="s">
        <v>42</v>
      </c>
      <c r="X21" s="101" t="s">
        <v>39</v>
      </c>
      <c r="Y21" s="100" t="s">
        <v>40</v>
      </c>
      <c r="Z21" s="100" t="s">
        <v>40</v>
      </c>
      <c r="AA21" s="100" t="s">
        <v>40</v>
      </c>
      <c r="AB21" s="100" t="s">
        <v>40</v>
      </c>
      <c r="AC21" s="100" t="s">
        <v>40</v>
      </c>
      <c r="AD21" s="100" t="s">
        <v>40</v>
      </c>
      <c r="AE21" s="72" t="s">
        <v>34</v>
      </c>
      <c r="AF21" s="72" t="s">
        <v>34</v>
      </c>
      <c r="AG21" s="56">
        <f t="shared" si="3"/>
        <v>0</v>
      </c>
      <c r="AH21" s="56"/>
      <c r="AI21" s="56"/>
      <c r="AJ21" s="56"/>
      <c r="AK21" s="78" t="s">
        <v>52</v>
      </c>
      <c r="AM21" s="33" t="s">
        <v>53</v>
      </c>
      <c r="AN21" s="26">
        <v>250</v>
      </c>
      <c r="AO21" s="26">
        <v>200</v>
      </c>
      <c r="AP21" s="26"/>
      <c r="AQ21" s="26">
        <f t="shared" si="4"/>
        <v>0</v>
      </c>
      <c r="AR21" s="26">
        <f t="shared" si="5"/>
        <v>0</v>
      </c>
      <c r="AS21" s="26">
        <f t="shared" si="6"/>
        <v>0</v>
      </c>
      <c r="AT21" s="26">
        <f t="shared" si="7"/>
        <v>0</v>
      </c>
      <c r="AU21" s="45">
        <f t="shared" si="8"/>
        <v>0</v>
      </c>
      <c r="AV21" s="45">
        <f t="shared" si="8"/>
        <v>0</v>
      </c>
      <c r="AW21" s="45">
        <f t="shared" si="8"/>
        <v>0</v>
      </c>
      <c r="BA21">
        <f t="shared" si="9"/>
        <v>200</v>
      </c>
    </row>
    <row r="22" spans="1:53">
      <c r="A22" s="59">
        <v>44838</v>
      </c>
      <c r="B22" s="18">
        <v>1600</v>
      </c>
      <c r="C22" s="18"/>
      <c r="D22" s="17">
        <f>(SUM(粮草!A22:X22)+AG22*10)*IF(AK22="是",$AY$4,$AY$3)</f>
        <v>1680</v>
      </c>
      <c r="E22" s="76">
        <f>SUM($B$4:B22)+SUM($C$4:C22)-SUM($D$4:D22)</f>
        <v>3496</v>
      </c>
      <c r="F22" s="17">
        <f>SUM(经验!A22:X22)</f>
        <v>570</v>
      </c>
      <c r="G22" s="17">
        <f>SUM($F$4:F22)+SUM($H$4:H22)</f>
        <v>12700</v>
      </c>
      <c r="H22" s="18">
        <v>100</v>
      </c>
      <c r="I22" s="79" t="s">
        <v>34</v>
      </c>
      <c r="J22" s="79" t="s">
        <v>34</v>
      </c>
      <c r="K22" s="79" t="s">
        <v>34</v>
      </c>
      <c r="L22" s="79" t="s">
        <v>34</v>
      </c>
      <c r="M22" s="79" t="s">
        <v>34</v>
      </c>
      <c r="N22" s="79" t="s">
        <v>34</v>
      </c>
      <c r="O22" s="72" t="s">
        <v>34</v>
      </c>
      <c r="P22" s="72" t="s">
        <v>34</v>
      </c>
      <c r="Q22" s="105" t="s">
        <v>42</v>
      </c>
      <c r="R22" s="105" t="s">
        <v>42</v>
      </c>
      <c r="S22" s="105" t="s">
        <v>42</v>
      </c>
      <c r="T22" s="105" t="s">
        <v>42</v>
      </c>
      <c r="U22" s="105" t="s">
        <v>42</v>
      </c>
      <c r="V22" s="105" t="s">
        <v>42</v>
      </c>
      <c r="W22" s="72" t="s">
        <v>34</v>
      </c>
      <c r="X22" s="72" t="s">
        <v>34</v>
      </c>
      <c r="Y22" s="100" t="s">
        <v>40</v>
      </c>
      <c r="Z22" s="100" t="s">
        <v>40</v>
      </c>
      <c r="AA22" s="100" t="s">
        <v>40</v>
      </c>
      <c r="AB22" s="100" t="s">
        <v>40</v>
      </c>
      <c r="AC22" s="100" t="s">
        <v>40</v>
      </c>
      <c r="AD22" s="100" t="s">
        <v>40</v>
      </c>
      <c r="AE22" s="72" t="s">
        <v>34</v>
      </c>
      <c r="AF22" s="72" t="s">
        <v>34</v>
      </c>
      <c r="AG22" s="56">
        <f t="shared" si="3"/>
        <v>0</v>
      </c>
      <c r="AH22" s="56"/>
      <c r="AI22" s="56"/>
      <c r="AJ22" s="56"/>
      <c r="AK22" s="78" t="s">
        <v>52</v>
      </c>
      <c r="AM22" s="34" t="s">
        <v>54</v>
      </c>
      <c r="AN22" s="26">
        <v>250</v>
      </c>
      <c r="AO22" s="26">
        <v>1000</v>
      </c>
      <c r="AP22" s="26"/>
      <c r="AQ22" s="26">
        <f t="shared" si="4"/>
        <v>0</v>
      </c>
      <c r="AR22" s="26">
        <f t="shared" si="5"/>
        <v>2</v>
      </c>
      <c r="AS22" s="26">
        <f t="shared" si="6"/>
        <v>0</v>
      </c>
      <c r="AT22" s="26">
        <f t="shared" si="7"/>
        <v>2</v>
      </c>
      <c r="AU22" s="45">
        <f t="shared" si="8"/>
        <v>0</v>
      </c>
      <c r="AV22" s="45">
        <f t="shared" si="8"/>
        <v>2000</v>
      </c>
      <c r="AW22" s="45">
        <f t="shared" si="8"/>
        <v>0</v>
      </c>
      <c r="BA22">
        <f t="shared" si="9"/>
        <v>200</v>
      </c>
    </row>
    <row r="23" spans="1:53">
      <c r="A23" s="59">
        <v>44839</v>
      </c>
      <c r="B23" s="18">
        <v>1600</v>
      </c>
      <c r="C23" s="18"/>
      <c r="D23" s="17">
        <f>(SUM(粮草!A23:X23)+AG23*10)*IF(AK23="是",$AY$4,$AY$3)</f>
        <v>1656</v>
      </c>
      <c r="E23" s="76">
        <f>SUM($B$4:B23)+SUM($C$4:C23)-SUM($D$4:D23)</f>
        <v>3440</v>
      </c>
      <c r="F23" s="17">
        <f>SUM(经验!A23:X23)</f>
        <v>555</v>
      </c>
      <c r="G23" s="17">
        <f>SUM($F$4:F23)+SUM($H$4:H23)</f>
        <v>13455</v>
      </c>
      <c r="H23" s="18">
        <v>200</v>
      </c>
      <c r="I23" s="79" t="s">
        <v>34</v>
      </c>
      <c r="J23" s="79" t="s">
        <v>34</v>
      </c>
      <c r="K23" s="79" t="s">
        <v>34</v>
      </c>
      <c r="L23" s="79" t="s">
        <v>34</v>
      </c>
      <c r="M23" s="79" t="s">
        <v>34</v>
      </c>
      <c r="N23" s="79" t="s">
        <v>34</v>
      </c>
      <c r="O23" s="72" t="s">
        <v>34</v>
      </c>
      <c r="P23" s="72" t="s">
        <v>34</v>
      </c>
      <c r="Q23" s="105" t="s">
        <v>42</v>
      </c>
      <c r="R23" s="105" t="s">
        <v>42</v>
      </c>
      <c r="S23" s="105" t="s">
        <v>42</v>
      </c>
      <c r="T23" s="100" t="s">
        <v>40</v>
      </c>
      <c r="U23" s="100" t="s">
        <v>40</v>
      </c>
      <c r="V23" s="100" t="s">
        <v>40</v>
      </c>
      <c r="W23" s="72" t="s">
        <v>34</v>
      </c>
      <c r="X23" s="72" t="s">
        <v>34</v>
      </c>
      <c r="Y23" s="100" t="s">
        <v>40</v>
      </c>
      <c r="Z23" s="100" t="s">
        <v>40</v>
      </c>
      <c r="AA23" s="100" t="s">
        <v>40</v>
      </c>
      <c r="AB23" s="100" t="s">
        <v>40</v>
      </c>
      <c r="AC23" s="100" t="s">
        <v>40</v>
      </c>
      <c r="AD23" s="100" t="s">
        <v>40</v>
      </c>
      <c r="AE23" s="72" t="s">
        <v>34</v>
      </c>
      <c r="AF23" s="72" t="s">
        <v>34</v>
      </c>
      <c r="AG23" s="56">
        <f t="shared" si="3"/>
        <v>0</v>
      </c>
      <c r="AH23" s="56"/>
      <c r="AI23" s="56"/>
      <c r="AJ23" s="56"/>
      <c r="AK23" s="78" t="s">
        <v>52</v>
      </c>
      <c r="AM23" s="35" t="s">
        <v>55</v>
      </c>
      <c r="AN23" s="26">
        <v>250</v>
      </c>
      <c r="AO23" s="26">
        <v>500</v>
      </c>
      <c r="AP23" s="26"/>
      <c r="AQ23" s="26">
        <f t="shared" si="4"/>
        <v>0</v>
      </c>
      <c r="AR23" s="26">
        <f t="shared" si="5"/>
        <v>1</v>
      </c>
      <c r="AS23" s="26">
        <f t="shared" si="6"/>
        <v>1</v>
      </c>
      <c r="AT23" s="26">
        <f t="shared" si="7"/>
        <v>2</v>
      </c>
      <c r="AU23" s="45">
        <f t="shared" si="8"/>
        <v>0</v>
      </c>
      <c r="AV23" s="45">
        <f t="shared" si="8"/>
        <v>500</v>
      </c>
      <c r="AW23" s="45">
        <f t="shared" si="8"/>
        <v>500</v>
      </c>
      <c r="BA23">
        <f t="shared" si="9"/>
        <v>200</v>
      </c>
    </row>
    <row r="24" spans="1:53">
      <c r="A24" s="59">
        <v>44840</v>
      </c>
      <c r="B24" s="18">
        <v>1600</v>
      </c>
      <c r="C24" s="18"/>
      <c r="D24" s="17">
        <f>(SUM(粮草!A24:X24)+AG24*10)*IF(AK24="是",$AY$4,$AY$3)</f>
        <v>1520</v>
      </c>
      <c r="E24" s="76">
        <f>SUM($B$4:B24)+SUM($C$4:C24)-SUM($D$4:D24)</f>
        <v>3520</v>
      </c>
      <c r="F24" s="17">
        <f>SUM(经验!A24:X24)</f>
        <v>525</v>
      </c>
      <c r="G24" s="17">
        <f>SUM($F$4:F24)+SUM($H$4:H24)</f>
        <v>13980</v>
      </c>
      <c r="H24" s="18">
        <v>0</v>
      </c>
      <c r="I24" s="79" t="s">
        <v>34</v>
      </c>
      <c r="J24" s="79" t="s">
        <v>34</v>
      </c>
      <c r="K24" s="79" t="s">
        <v>34</v>
      </c>
      <c r="L24" s="79" t="s">
        <v>34</v>
      </c>
      <c r="M24" s="79" t="s">
        <v>34</v>
      </c>
      <c r="N24" s="79" t="s">
        <v>34</v>
      </c>
      <c r="O24" s="72" t="s">
        <v>34</v>
      </c>
      <c r="P24" s="72" t="s">
        <v>34</v>
      </c>
      <c r="Q24" s="100" t="s">
        <v>40</v>
      </c>
      <c r="R24" s="100" t="s">
        <v>40</v>
      </c>
      <c r="S24" s="101" t="s">
        <v>39</v>
      </c>
      <c r="T24" s="100" t="s">
        <v>40</v>
      </c>
      <c r="U24" s="100" t="s">
        <v>40</v>
      </c>
      <c r="V24" s="100" t="s">
        <v>40</v>
      </c>
      <c r="W24" s="72" t="s">
        <v>34</v>
      </c>
      <c r="X24" s="72" t="s">
        <v>34</v>
      </c>
      <c r="Y24" s="104" t="s">
        <v>47</v>
      </c>
      <c r="Z24" s="100" t="s">
        <v>40</v>
      </c>
      <c r="AA24" s="100" t="s">
        <v>40</v>
      </c>
      <c r="AB24" s="100" t="s">
        <v>40</v>
      </c>
      <c r="AC24" s="100" t="s">
        <v>40</v>
      </c>
      <c r="AD24" s="100" t="s">
        <v>40</v>
      </c>
      <c r="AE24" s="72" t="s">
        <v>34</v>
      </c>
      <c r="AF24" s="72" t="s">
        <v>34</v>
      </c>
      <c r="AG24" s="56">
        <f t="shared" si="3"/>
        <v>0</v>
      </c>
      <c r="AH24" s="56"/>
      <c r="AI24" s="56"/>
      <c r="AJ24" s="56"/>
      <c r="AK24" s="78" t="s">
        <v>52</v>
      </c>
      <c r="AM24" s="36" t="s">
        <v>56</v>
      </c>
      <c r="AN24" s="26">
        <v>160</v>
      </c>
      <c r="AO24" s="26">
        <v>40</v>
      </c>
      <c r="AP24" s="26">
        <v>39.110982162825422</v>
      </c>
      <c r="AQ24" s="26">
        <f t="shared" si="4"/>
        <v>0</v>
      </c>
      <c r="AR24" s="26">
        <f t="shared" si="5"/>
        <v>0</v>
      </c>
      <c r="AS24" s="26">
        <f t="shared" si="6"/>
        <v>0</v>
      </c>
      <c r="AT24" s="26">
        <f t="shared" si="7"/>
        <v>0</v>
      </c>
      <c r="AU24" s="45">
        <f t="shared" si="8"/>
        <v>0</v>
      </c>
      <c r="AV24" s="45">
        <f t="shared" si="8"/>
        <v>0</v>
      </c>
      <c r="AW24" s="45">
        <f t="shared" si="8"/>
        <v>0</v>
      </c>
      <c r="BA24">
        <f t="shared" si="9"/>
        <v>128</v>
      </c>
    </row>
    <row r="25" spans="1:53">
      <c r="A25" s="59">
        <v>44841</v>
      </c>
      <c r="B25" s="18">
        <v>1600</v>
      </c>
      <c r="C25" s="18"/>
      <c r="D25" s="17">
        <f>(SUM(粮草!A25:X25)+AG25*10)*IF(AK25="是",$AY$4,$AY$3)</f>
        <v>1528</v>
      </c>
      <c r="E25" s="76">
        <f>SUM($B$4:B25)+SUM($C$4:C25)-SUM($D$4:D25)</f>
        <v>3592</v>
      </c>
      <c r="F25" s="17">
        <f>SUM(经验!A25:X25)</f>
        <v>580</v>
      </c>
      <c r="G25" s="17">
        <f>SUM($F$4:F25)+SUM($H$4:H25)</f>
        <v>14560</v>
      </c>
      <c r="H25" s="18">
        <v>0</v>
      </c>
      <c r="I25" s="79" t="s">
        <v>34</v>
      </c>
      <c r="J25" s="79" t="s">
        <v>34</v>
      </c>
      <c r="K25" s="79" t="s">
        <v>34</v>
      </c>
      <c r="L25" s="79" t="s">
        <v>34</v>
      </c>
      <c r="M25" s="79" t="s">
        <v>34</v>
      </c>
      <c r="N25" s="79" t="s">
        <v>34</v>
      </c>
      <c r="O25" s="72" t="s">
        <v>34</v>
      </c>
      <c r="P25" s="72" t="s">
        <v>34</v>
      </c>
      <c r="Q25" s="100" t="s">
        <v>40</v>
      </c>
      <c r="R25" s="100" t="s">
        <v>40</v>
      </c>
      <c r="S25" s="100" t="s">
        <v>40</v>
      </c>
      <c r="T25" s="102" t="s">
        <v>59</v>
      </c>
      <c r="U25" s="105" t="s">
        <v>42</v>
      </c>
      <c r="V25" s="105" t="s">
        <v>42</v>
      </c>
      <c r="W25" s="105" t="s">
        <v>42</v>
      </c>
      <c r="X25" s="105" t="s">
        <v>42</v>
      </c>
      <c r="Y25" s="101" t="s">
        <v>39</v>
      </c>
      <c r="Z25" s="100" t="s">
        <v>40</v>
      </c>
      <c r="AA25" s="100" t="s">
        <v>40</v>
      </c>
      <c r="AB25" s="100" t="s">
        <v>40</v>
      </c>
      <c r="AC25" s="99" t="s">
        <v>37</v>
      </c>
      <c r="AD25" s="99" t="s">
        <v>37</v>
      </c>
      <c r="AE25" s="72" t="s">
        <v>34</v>
      </c>
      <c r="AF25" s="72" t="s">
        <v>34</v>
      </c>
      <c r="AG25" s="56">
        <f t="shared" si="3"/>
        <v>0</v>
      </c>
      <c r="AH25" s="56"/>
      <c r="AI25" s="56"/>
      <c r="AJ25" s="56"/>
      <c r="AK25" s="78" t="s">
        <v>52</v>
      </c>
      <c r="AM25" s="36" t="s">
        <v>57</v>
      </c>
      <c r="AN25" s="26">
        <v>160</v>
      </c>
      <c r="AO25" s="26">
        <v>40</v>
      </c>
      <c r="AP25" s="26">
        <v>39.110982162825422</v>
      </c>
      <c r="AQ25" s="26">
        <f t="shared" si="4"/>
        <v>0</v>
      </c>
      <c r="AR25" s="26">
        <f t="shared" si="5"/>
        <v>0</v>
      </c>
      <c r="AS25" s="26">
        <f t="shared" si="6"/>
        <v>0</v>
      </c>
      <c r="AT25" s="26">
        <f t="shared" si="7"/>
        <v>0</v>
      </c>
      <c r="AU25" s="45">
        <f t="shared" si="8"/>
        <v>0</v>
      </c>
      <c r="AV25" s="45">
        <f t="shared" si="8"/>
        <v>0</v>
      </c>
      <c r="AW25" s="45">
        <f t="shared" si="8"/>
        <v>0</v>
      </c>
      <c r="BA25">
        <f t="shared" si="9"/>
        <v>128</v>
      </c>
    </row>
    <row r="26" spans="1:53">
      <c r="A26" s="59">
        <v>44842</v>
      </c>
      <c r="B26" s="18">
        <v>1600</v>
      </c>
      <c r="C26" s="18"/>
      <c r="D26" s="97">
        <f>(SUM(粮草!A26:X26)+AG26*10)*IF(AK26="是",$AY$4,$AY$3)-40</f>
        <v>992</v>
      </c>
      <c r="E26" s="76">
        <f>SUM($B$4:B26)+SUM($C$4:C26)-SUM($D$4:D26)</f>
        <v>4200</v>
      </c>
      <c r="F26" s="17">
        <f>SUM(经验!A26:X26)</f>
        <v>370</v>
      </c>
      <c r="G26" s="17">
        <f>SUM($F$4:F26)+SUM($H$4:H26)</f>
        <v>14930</v>
      </c>
      <c r="H26" s="18">
        <v>0</v>
      </c>
      <c r="I26" s="79" t="s">
        <v>34</v>
      </c>
      <c r="J26" s="79" t="s">
        <v>34</v>
      </c>
      <c r="K26" s="79" t="s">
        <v>34</v>
      </c>
      <c r="L26" s="79" t="s">
        <v>34</v>
      </c>
      <c r="M26" s="79" t="s">
        <v>34</v>
      </c>
      <c r="N26" s="79" t="s">
        <v>34</v>
      </c>
      <c r="O26" s="72" t="s">
        <v>34</v>
      </c>
      <c r="P26" s="72" t="s">
        <v>34</v>
      </c>
      <c r="Q26" s="105" t="s">
        <v>42</v>
      </c>
      <c r="R26" s="105" t="s">
        <v>42</v>
      </c>
      <c r="S26" s="105" t="s">
        <v>42</v>
      </c>
      <c r="T26" s="105" t="s">
        <v>42</v>
      </c>
      <c r="U26" s="105" t="s">
        <v>42</v>
      </c>
      <c r="V26" s="105" t="s">
        <v>42</v>
      </c>
      <c r="W26" s="72" t="s">
        <v>34</v>
      </c>
      <c r="X26" s="72" t="s">
        <v>34</v>
      </c>
      <c r="Y26" s="99" t="s">
        <v>37</v>
      </c>
      <c r="Z26" s="101" t="s">
        <v>39</v>
      </c>
      <c r="AA26" s="79" t="s">
        <v>34</v>
      </c>
      <c r="AB26" s="79" t="s">
        <v>34</v>
      </c>
      <c r="AC26" s="79" t="s">
        <v>34</v>
      </c>
      <c r="AD26" s="79" t="s">
        <v>34</v>
      </c>
      <c r="AE26" s="72" t="s">
        <v>34</v>
      </c>
      <c r="AF26" s="72" t="s">
        <v>34</v>
      </c>
      <c r="AG26" s="56">
        <f t="shared" si="3"/>
        <v>0</v>
      </c>
      <c r="AH26" s="56"/>
      <c r="AI26" s="56"/>
      <c r="AJ26" s="56"/>
      <c r="AK26" s="78" t="s">
        <v>52</v>
      </c>
      <c r="AM26" s="36" t="s">
        <v>58</v>
      </c>
      <c r="AN26" s="26">
        <v>150</v>
      </c>
      <c r="AO26" s="26">
        <v>35</v>
      </c>
      <c r="AP26" s="26">
        <v>44.222109392472248</v>
      </c>
      <c r="AQ26" s="26">
        <f t="shared" si="4"/>
        <v>0</v>
      </c>
      <c r="AR26" s="26">
        <f t="shared" si="5"/>
        <v>0</v>
      </c>
      <c r="AS26" s="26">
        <f t="shared" si="6"/>
        <v>0</v>
      </c>
      <c r="AT26" s="26">
        <f t="shared" si="7"/>
        <v>0</v>
      </c>
      <c r="AU26" s="45">
        <f t="shared" si="8"/>
        <v>0</v>
      </c>
      <c r="AV26" s="45">
        <f t="shared" si="8"/>
        <v>0</v>
      </c>
      <c r="AW26" s="45">
        <f t="shared" si="8"/>
        <v>0</v>
      </c>
      <c r="BA26">
        <f t="shared" si="9"/>
        <v>120</v>
      </c>
    </row>
    <row r="27" spans="1:53">
      <c r="A27" s="59">
        <v>44843</v>
      </c>
      <c r="B27" s="18">
        <v>1600</v>
      </c>
      <c r="C27" s="18"/>
      <c r="D27" s="17">
        <f>(SUM(粮草!A27:X27)+AG27*10)*IF(AK27="是",$AY$4,$AY$3)</f>
        <v>864</v>
      </c>
      <c r="E27" s="76">
        <f>SUM($B$4:B27)+SUM($C$4:C27)-SUM($D$4:D27)</f>
        <v>4936</v>
      </c>
      <c r="F27" s="17">
        <f>SUM(经验!A27:X27)</f>
        <v>300</v>
      </c>
      <c r="G27" s="17">
        <f>SUM($F$4:F27)+SUM($H$4:H27)</f>
        <v>15230</v>
      </c>
      <c r="H27" s="18">
        <v>0</v>
      </c>
      <c r="I27" s="79" t="s">
        <v>34</v>
      </c>
      <c r="J27" s="79" t="s">
        <v>34</v>
      </c>
      <c r="K27" s="79" t="s">
        <v>34</v>
      </c>
      <c r="L27" s="79" t="s">
        <v>34</v>
      </c>
      <c r="M27" s="79" t="s">
        <v>34</v>
      </c>
      <c r="N27" s="79" t="s">
        <v>34</v>
      </c>
      <c r="O27" s="72" t="s">
        <v>34</v>
      </c>
      <c r="P27" s="72" t="s">
        <v>34</v>
      </c>
      <c r="Q27" s="105" t="s">
        <v>42</v>
      </c>
      <c r="R27" s="105" t="s">
        <v>42</v>
      </c>
      <c r="S27" s="105" t="s">
        <v>42</v>
      </c>
      <c r="T27" s="105" t="s">
        <v>42</v>
      </c>
      <c r="U27" s="105" t="s">
        <v>42</v>
      </c>
      <c r="V27" s="105" t="s">
        <v>42</v>
      </c>
      <c r="W27" s="72" t="s">
        <v>34</v>
      </c>
      <c r="X27" s="72" t="s">
        <v>34</v>
      </c>
      <c r="Y27" s="79" t="s">
        <v>34</v>
      </c>
      <c r="Z27" s="79" t="s">
        <v>34</v>
      </c>
      <c r="AA27" s="79" t="s">
        <v>34</v>
      </c>
      <c r="AB27" s="79" t="s">
        <v>34</v>
      </c>
      <c r="AC27" s="79" t="s">
        <v>34</v>
      </c>
      <c r="AD27" s="79" t="s">
        <v>34</v>
      </c>
      <c r="AE27" s="72" t="s">
        <v>34</v>
      </c>
      <c r="AF27" s="72" t="s">
        <v>34</v>
      </c>
      <c r="AG27" s="56">
        <f t="shared" si="3"/>
        <v>0</v>
      </c>
      <c r="AH27" s="56"/>
      <c r="AI27" s="56"/>
      <c r="AJ27" s="56"/>
      <c r="AK27" s="78" t="s">
        <v>52</v>
      </c>
      <c r="AM27" s="37" t="s">
        <v>34</v>
      </c>
      <c r="AN27" s="26">
        <v>0</v>
      </c>
      <c r="AO27" s="26">
        <v>0</v>
      </c>
      <c r="AP27" s="26">
        <v>0</v>
      </c>
      <c r="AQ27" s="26"/>
      <c r="AR27" s="26"/>
      <c r="AS27" s="26"/>
      <c r="AT27" s="26"/>
      <c r="AU27" s="45">
        <f t="shared" si="8"/>
        <v>0</v>
      </c>
      <c r="AV27" s="45">
        <f t="shared" si="8"/>
        <v>0</v>
      </c>
      <c r="AW27" s="45">
        <f t="shared" si="8"/>
        <v>0</v>
      </c>
      <c r="BA27">
        <f t="shared" si="9"/>
        <v>0</v>
      </c>
    </row>
    <row r="28" spans="1:53" ht="15" thickBot="1">
      <c r="A28" s="59">
        <v>44844</v>
      </c>
      <c r="B28" s="17">
        <v>1600</v>
      </c>
      <c r="C28" s="17"/>
      <c r="D28" s="17">
        <f>(SUM(粮草!A28:X28)+AG28*10)*IF(AK28="是",$AY$4,$AY$3)</f>
        <v>840</v>
      </c>
      <c r="E28" s="76">
        <f>SUM($B$4:B28)+SUM($C$4:C28)-SUM($D$4:D28)</f>
        <v>5696</v>
      </c>
      <c r="F28" s="17">
        <f>SUM(经验!A28:X28)</f>
        <v>300</v>
      </c>
      <c r="G28" s="17">
        <f>SUM($F$4:F28)+SUM($H$4:H28)</f>
        <v>15730</v>
      </c>
      <c r="H28" s="17">
        <v>200</v>
      </c>
      <c r="I28" s="79" t="s">
        <v>34</v>
      </c>
      <c r="J28" s="79" t="s">
        <v>34</v>
      </c>
      <c r="K28" s="79" t="s">
        <v>34</v>
      </c>
      <c r="L28" s="79" t="s">
        <v>34</v>
      </c>
      <c r="M28" s="79" t="s">
        <v>34</v>
      </c>
      <c r="N28" s="79" t="s">
        <v>34</v>
      </c>
      <c r="O28" s="72" t="s">
        <v>34</v>
      </c>
      <c r="P28" s="72" t="s">
        <v>34</v>
      </c>
      <c r="Q28" s="105" t="s">
        <v>42</v>
      </c>
      <c r="R28" s="105" t="s">
        <v>42</v>
      </c>
      <c r="S28" s="106" t="s">
        <v>48</v>
      </c>
      <c r="T28" s="105" t="s">
        <v>42</v>
      </c>
      <c r="U28" s="105" t="s">
        <v>42</v>
      </c>
      <c r="V28" s="105" t="s">
        <v>42</v>
      </c>
      <c r="W28" s="72" t="s">
        <v>34</v>
      </c>
      <c r="X28" s="72" t="s">
        <v>34</v>
      </c>
      <c r="Y28" s="79" t="s">
        <v>34</v>
      </c>
      <c r="Z28" s="79" t="s">
        <v>34</v>
      </c>
      <c r="AA28" s="79" t="s">
        <v>34</v>
      </c>
      <c r="AB28" s="79" t="s">
        <v>34</v>
      </c>
      <c r="AC28" s="79" t="s">
        <v>34</v>
      </c>
      <c r="AD28" s="79" t="s">
        <v>34</v>
      </c>
      <c r="AE28" s="72" t="s">
        <v>34</v>
      </c>
      <c r="AF28" s="72" t="s">
        <v>34</v>
      </c>
      <c r="AG28" s="56">
        <f t="shared" si="3"/>
        <v>0</v>
      </c>
      <c r="AH28" s="56"/>
      <c r="AI28" s="56"/>
      <c r="AJ28" s="56"/>
      <c r="AK28" s="78" t="s">
        <v>52</v>
      </c>
      <c r="AL28" s="38" t="s">
        <v>36</v>
      </c>
      <c r="AM28" s="21" t="s">
        <v>59</v>
      </c>
      <c r="AN28" s="26">
        <v>-200</v>
      </c>
      <c r="AO28" s="26">
        <v>0</v>
      </c>
      <c r="AP28" s="26"/>
      <c r="AQ28" s="26">
        <f>COUNTIF($I$4:$P$94,AM28)</f>
        <v>1</v>
      </c>
      <c r="AR28" s="26">
        <f>COUNTIF($Q$4:$X$94,AM28)</f>
        <v>7</v>
      </c>
      <c r="AS28" s="26">
        <f>COUNTIF($Y$4:$AF$94,AM28)</f>
        <v>4</v>
      </c>
      <c r="AT28" s="26">
        <f>AQ28+AR28+AS28</f>
        <v>12</v>
      </c>
      <c r="AU28" s="45">
        <f t="shared" si="8"/>
        <v>0</v>
      </c>
      <c r="AV28" s="45">
        <f t="shared" si="8"/>
        <v>0</v>
      </c>
      <c r="AW28" s="45">
        <f t="shared" si="8"/>
        <v>0</v>
      </c>
      <c r="BA28">
        <f t="shared" si="9"/>
        <v>-160</v>
      </c>
    </row>
    <row r="29" spans="1:53">
      <c r="A29" s="59">
        <v>44845</v>
      </c>
      <c r="B29" s="17">
        <v>1600</v>
      </c>
      <c r="C29" s="17"/>
      <c r="D29" s="17">
        <f>(SUM(粮草!A29:X29)+AG29*10)*IF(AK29="是",$AY$4,$AY$3)</f>
        <v>864</v>
      </c>
      <c r="E29" s="76">
        <f>SUM($B$4:B29)+SUM($C$4:C29)-SUM($D$4:D29)</f>
        <v>6432</v>
      </c>
      <c r="F29" s="17">
        <f>SUM(经验!A29:X29)</f>
        <v>300</v>
      </c>
      <c r="G29" s="17">
        <f>SUM($F$4:F29)+SUM($H$4:H29)</f>
        <v>16130</v>
      </c>
      <c r="H29" s="17">
        <v>100</v>
      </c>
      <c r="I29" s="79" t="s">
        <v>34</v>
      </c>
      <c r="J29" s="79" t="s">
        <v>34</v>
      </c>
      <c r="K29" s="79" t="s">
        <v>34</v>
      </c>
      <c r="L29" s="79" t="s">
        <v>34</v>
      </c>
      <c r="M29" s="79" t="s">
        <v>34</v>
      </c>
      <c r="N29" s="79" t="s">
        <v>34</v>
      </c>
      <c r="O29" s="72" t="s">
        <v>34</v>
      </c>
      <c r="P29" s="72" t="s">
        <v>34</v>
      </c>
      <c r="Q29" s="105" t="s">
        <v>42</v>
      </c>
      <c r="R29" s="105" t="s">
        <v>42</v>
      </c>
      <c r="S29" s="105" t="s">
        <v>42</v>
      </c>
      <c r="T29" s="105" t="s">
        <v>42</v>
      </c>
      <c r="U29" s="105" t="s">
        <v>42</v>
      </c>
      <c r="V29" s="105" t="s">
        <v>42</v>
      </c>
      <c r="W29" s="72" t="s">
        <v>34</v>
      </c>
      <c r="X29" s="72" t="s">
        <v>34</v>
      </c>
      <c r="Y29" s="79" t="s">
        <v>34</v>
      </c>
      <c r="Z29" s="79" t="s">
        <v>34</v>
      </c>
      <c r="AA29" s="79" t="s">
        <v>34</v>
      </c>
      <c r="AB29" s="79" t="s">
        <v>34</v>
      </c>
      <c r="AC29" s="79" t="s">
        <v>34</v>
      </c>
      <c r="AD29" s="79" t="s">
        <v>34</v>
      </c>
      <c r="AE29" s="72" t="s">
        <v>34</v>
      </c>
      <c r="AF29" s="72" t="s">
        <v>34</v>
      </c>
      <c r="AG29" s="56">
        <f t="shared" si="3"/>
        <v>0</v>
      </c>
      <c r="AH29" s="56"/>
      <c r="AI29" s="56"/>
      <c r="AJ29" s="56"/>
      <c r="AK29" s="78" t="s">
        <v>52</v>
      </c>
      <c r="AM29" s="77" t="s">
        <v>71</v>
      </c>
      <c r="AN29" s="26">
        <v>50</v>
      </c>
      <c r="AO29" s="26">
        <v>520</v>
      </c>
      <c r="AP29" s="26"/>
      <c r="AQ29" s="26">
        <f>COUNTIF($I$4:$P$94,AM29)</f>
        <v>0</v>
      </c>
      <c r="AR29" s="26">
        <f>COUNTIF($Q$4:$X$94,AM29)</f>
        <v>0</v>
      </c>
      <c r="AS29" s="26">
        <f>COUNTIF($Y$4:$AF$94,AM29)</f>
        <v>3</v>
      </c>
      <c r="AT29" s="26">
        <f>AQ29+AR29+AS29</f>
        <v>3</v>
      </c>
      <c r="AU29" s="45">
        <f t="shared" ref="AU29" si="10">AQ29*$AO29</f>
        <v>0</v>
      </c>
      <c r="AV29" s="45">
        <f t="shared" ref="AV29" si="11">AR29*$AO29</f>
        <v>0</v>
      </c>
      <c r="AW29" s="45">
        <f t="shared" ref="AW29" si="12">AS29*$AO29</f>
        <v>1560</v>
      </c>
      <c r="BA29">
        <f t="shared" si="9"/>
        <v>40</v>
      </c>
    </row>
    <row r="30" spans="1:53">
      <c r="A30" s="59">
        <v>44846</v>
      </c>
      <c r="B30" s="17">
        <v>1600</v>
      </c>
      <c r="C30" s="17"/>
      <c r="D30" s="17">
        <f>(SUM(粮草!A30:X30)+AG30*10)*IF(AK30="是",$AY$4,$AY$3)</f>
        <v>760</v>
      </c>
      <c r="E30" s="76">
        <f>SUM($B$4:B30)+SUM($C$4:C30)-SUM($D$4:D30)</f>
        <v>7272</v>
      </c>
      <c r="F30" s="17">
        <f>SUM(经验!A30:X30)</f>
        <v>280</v>
      </c>
      <c r="G30" s="17">
        <f>SUM($F$4:F30)+SUM($H$4:H30)</f>
        <v>16610</v>
      </c>
      <c r="H30" s="17">
        <v>200</v>
      </c>
      <c r="I30" s="79" t="s">
        <v>34</v>
      </c>
      <c r="J30" s="79" t="s">
        <v>34</v>
      </c>
      <c r="K30" s="79" t="s">
        <v>34</v>
      </c>
      <c r="L30" s="79" t="s">
        <v>34</v>
      </c>
      <c r="M30" s="79" t="s">
        <v>34</v>
      </c>
      <c r="N30" s="79" t="s">
        <v>34</v>
      </c>
      <c r="O30" s="72" t="s">
        <v>34</v>
      </c>
      <c r="P30" s="72" t="s">
        <v>34</v>
      </c>
      <c r="Q30" s="105" t="s">
        <v>42</v>
      </c>
      <c r="R30" s="105" t="s">
        <v>42</v>
      </c>
      <c r="S30" s="105" t="s">
        <v>42</v>
      </c>
      <c r="T30" s="105" t="s">
        <v>42</v>
      </c>
      <c r="U30" s="105" t="s">
        <v>42</v>
      </c>
      <c r="V30" s="101" t="s">
        <v>39</v>
      </c>
      <c r="W30" s="72" t="s">
        <v>34</v>
      </c>
      <c r="X30" s="72" t="s">
        <v>34</v>
      </c>
      <c r="Y30" s="79" t="s">
        <v>34</v>
      </c>
      <c r="Z30" s="79" t="s">
        <v>34</v>
      </c>
      <c r="AA30" s="79" t="s">
        <v>34</v>
      </c>
      <c r="AB30" s="79" t="s">
        <v>34</v>
      </c>
      <c r="AC30" s="79" t="s">
        <v>34</v>
      </c>
      <c r="AD30" s="79" t="s">
        <v>34</v>
      </c>
      <c r="AE30" s="72" t="s">
        <v>34</v>
      </c>
      <c r="AF30" s="72" t="s">
        <v>34</v>
      </c>
      <c r="AG30" s="56">
        <f t="shared" si="3"/>
        <v>0</v>
      </c>
      <c r="AH30" s="56"/>
      <c r="AI30" s="56"/>
      <c r="AJ30" s="56"/>
      <c r="AK30" s="78" t="s">
        <v>52</v>
      </c>
      <c r="AM30" s="26"/>
      <c r="AN30" s="26"/>
      <c r="AO30" s="26"/>
      <c r="AP30" s="45"/>
    </row>
    <row r="31" spans="1:53">
      <c r="A31" s="59">
        <v>44847</v>
      </c>
      <c r="B31" s="17">
        <v>1600</v>
      </c>
      <c r="C31" s="17"/>
      <c r="D31" s="17">
        <f>(SUM(粮草!A31:X31)+AG31*10)*IF(AK31="是",$AY$4,$AY$3)</f>
        <v>864</v>
      </c>
      <c r="E31" s="76">
        <f>SUM($B$4:B31)+SUM($C$4:C31)-SUM($D$4:D31)</f>
        <v>8008</v>
      </c>
      <c r="F31" s="17">
        <f>SUM(经验!A31:X31)</f>
        <v>300</v>
      </c>
      <c r="G31" s="17">
        <f>SUM($F$4:F31)+SUM($H$4:H31)</f>
        <v>16910</v>
      </c>
      <c r="H31" s="17">
        <v>0</v>
      </c>
      <c r="I31" s="79" t="s">
        <v>34</v>
      </c>
      <c r="J31" s="79" t="s">
        <v>34</v>
      </c>
      <c r="K31" s="79" t="s">
        <v>34</v>
      </c>
      <c r="L31" s="79" t="s">
        <v>34</v>
      </c>
      <c r="M31" s="79" t="s">
        <v>34</v>
      </c>
      <c r="N31" s="79" t="s">
        <v>34</v>
      </c>
      <c r="O31" s="72" t="s">
        <v>34</v>
      </c>
      <c r="P31" s="72" t="s">
        <v>34</v>
      </c>
      <c r="Q31" s="105" t="s">
        <v>42</v>
      </c>
      <c r="R31" s="105" t="s">
        <v>42</v>
      </c>
      <c r="S31" s="105" t="s">
        <v>42</v>
      </c>
      <c r="T31" s="105" t="s">
        <v>42</v>
      </c>
      <c r="U31" s="105" t="s">
        <v>42</v>
      </c>
      <c r="V31" s="105" t="s">
        <v>42</v>
      </c>
      <c r="W31" s="72" t="s">
        <v>34</v>
      </c>
      <c r="X31" s="72" t="s">
        <v>34</v>
      </c>
      <c r="Y31" s="79" t="s">
        <v>34</v>
      </c>
      <c r="Z31" s="79" t="s">
        <v>34</v>
      </c>
      <c r="AA31" s="79" t="s">
        <v>34</v>
      </c>
      <c r="AB31" s="79" t="s">
        <v>34</v>
      </c>
      <c r="AC31" s="79" t="s">
        <v>34</v>
      </c>
      <c r="AD31" s="79" t="s">
        <v>34</v>
      </c>
      <c r="AE31" s="72" t="s">
        <v>34</v>
      </c>
      <c r="AF31" s="72" t="s">
        <v>34</v>
      </c>
      <c r="AG31" s="56">
        <f t="shared" si="3"/>
        <v>0</v>
      </c>
      <c r="AH31" s="56"/>
      <c r="AI31" s="56"/>
      <c r="AJ31" s="56"/>
      <c r="AK31" s="78" t="s">
        <v>52</v>
      </c>
      <c r="AM31" s="26"/>
      <c r="AN31" s="26"/>
      <c r="AO31" s="26"/>
      <c r="AP31" s="45"/>
    </row>
    <row r="32" spans="1:53">
      <c r="A32" s="59">
        <v>44848</v>
      </c>
      <c r="B32" s="17">
        <v>1600</v>
      </c>
      <c r="C32" s="17"/>
      <c r="D32" s="17">
        <f>(SUM(粮草!A32:X32)+AG32*10)*IF(AK32="是",$AY$4,$AY$3)</f>
        <v>864</v>
      </c>
      <c r="E32" s="76">
        <f>SUM($B$4:B32)+SUM($C$4:C32)-SUM($D$4:D32)</f>
        <v>8744</v>
      </c>
      <c r="F32" s="17">
        <f>SUM(经验!A32:X32)</f>
        <v>300</v>
      </c>
      <c r="G32" s="17">
        <f>SUM($F$4:F32)+SUM($H$4:H32)</f>
        <v>17210</v>
      </c>
      <c r="H32" s="17">
        <v>0</v>
      </c>
      <c r="I32" s="79" t="s">
        <v>34</v>
      </c>
      <c r="J32" s="79" t="s">
        <v>34</v>
      </c>
      <c r="K32" s="79" t="s">
        <v>34</v>
      </c>
      <c r="L32" s="79" t="s">
        <v>34</v>
      </c>
      <c r="M32" s="79" t="s">
        <v>34</v>
      </c>
      <c r="N32" s="79" t="s">
        <v>34</v>
      </c>
      <c r="O32" s="72" t="s">
        <v>34</v>
      </c>
      <c r="P32" s="72" t="s">
        <v>34</v>
      </c>
      <c r="Q32" s="105" t="s">
        <v>42</v>
      </c>
      <c r="R32" s="105" t="s">
        <v>42</v>
      </c>
      <c r="S32" s="105" t="s">
        <v>42</v>
      </c>
      <c r="T32" s="105" t="s">
        <v>42</v>
      </c>
      <c r="U32" s="105" t="s">
        <v>42</v>
      </c>
      <c r="V32" s="105" t="s">
        <v>42</v>
      </c>
      <c r="W32" s="72" t="s">
        <v>34</v>
      </c>
      <c r="X32" s="72" t="s">
        <v>34</v>
      </c>
      <c r="Y32" s="79" t="s">
        <v>34</v>
      </c>
      <c r="Z32" s="79" t="s">
        <v>34</v>
      </c>
      <c r="AA32" s="79" t="s">
        <v>34</v>
      </c>
      <c r="AB32" s="79" t="s">
        <v>34</v>
      </c>
      <c r="AC32" s="79" t="s">
        <v>34</v>
      </c>
      <c r="AD32" s="79" t="s">
        <v>34</v>
      </c>
      <c r="AE32" s="72" t="s">
        <v>34</v>
      </c>
      <c r="AF32" s="72" t="s">
        <v>34</v>
      </c>
      <c r="AG32" s="56">
        <f t="shared" si="3"/>
        <v>0</v>
      </c>
      <c r="AH32" s="56"/>
      <c r="AI32" s="56"/>
      <c r="AJ32" s="56"/>
      <c r="AK32" s="78" t="s">
        <v>52</v>
      </c>
      <c r="AM32" s="26"/>
      <c r="AN32" s="26"/>
      <c r="AO32" s="26"/>
      <c r="AP32" s="45"/>
    </row>
    <row r="33" spans="1:42">
      <c r="A33" s="59">
        <v>44849</v>
      </c>
      <c r="B33" s="17">
        <v>1600</v>
      </c>
      <c r="C33" s="17"/>
      <c r="D33" s="17">
        <f>(SUM(粮草!A33:X33)+AG33*10)*IF(AK33="是",$AY$4,$AY$3)</f>
        <v>864</v>
      </c>
      <c r="E33" s="76">
        <f>SUM($B$4:B33)+SUM($C$4:C33)-SUM($D$4:D33)</f>
        <v>9480</v>
      </c>
      <c r="F33" s="17">
        <f>SUM(经验!A33:X33)</f>
        <v>300</v>
      </c>
      <c r="G33" s="17">
        <f>SUM($F$4:F33)+SUM($H$4:H33)</f>
        <v>17510</v>
      </c>
      <c r="H33" s="17">
        <v>0</v>
      </c>
      <c r="I33" s="79" t="s">
        <v>34</v>
      </c>
      <c r="J33" s="79" t="s">
        <v>34</v>
      </c>
      <c r="K33" s="79" t="s">
        <v>34</v>
      </c>
      <c r="L33" s="79" t="s">
        <v>34</v>
      </c>
      <c r="M33" s="79" t="s">
        <v>34</v>
      </c>
      <c r="N33" s="79" t="s">
        <v>34</v>
      </c>
      <c r="O33" s="72" t="s">
        <v>34</v>
      </c>
      <c r="P33" s="72" t="s">
        <v>34</v>
      </c>
      <c r="Q33" s="105" t="s">
        <v>42</v>
      </c>
      <c r="R33" s="105" t="s">
        <v>42</v>
      </c>
      <c r="S33" s="105" t="s">
        <v>42</v>
      </c>
      <c r="T33" s="105" t="s">
        <v>42</v>
      </c>
      <c r="U33" s="105" t="s">
        <v>42</v>
      </c>
      <c r="V33" s="105" t="s">
        <v>42</v>
      </c>
      <c r="W33" s="72" t="s">
        <v>34</v>
      </c>
      <c r="X33" s="72" t="s">
        <v>34</v>
      </c>
      <c r="Y33" s="79" t="s">
        <v>34</v>
      </c>
      <c r="Z33" s="79" t="s">
        <v>34</v>
      </c>
      <c r="AA33" s="79" t="s">
        <v>34</v>
      </c>
      <c r="AB33" s="79" t="s">
        <v>34</v>
      </c>
      <c r="AC33" s="79" t="s">
        <v>34</v>
      </c>
      <c r="AD33" s="79" t="s">
        <v>34</v>
      </c>
      <c r="AE33" s="72" t="s">
        <v>34</v>
      </c>
      <c r="AF33" s="72" t="s">
        <v>34</v>
      </c>
      <c r="AG33" s="56">
        <f t="shared" si="3"/>
        <v>0</v>
      </c>
      <c r="AH33" s="56"/>
      <c r="AI33" s="56"/>
      <c r="AJ33" s="56"/>
      <c r="AK33" s="78" t="s">
        <v>52</v>
      </c>
      <c r="AM33" s="26"/>
      <c r="AN33" s="26"/>
      <c r="AO33" s="26"/>
      <c r="AP33" s="45"/>
    </row>
    <row r="34" spans="1:42">
      <c r="A34" s="59">
        <v>44850</v>
      </c>
      <c r="B34" s="17">
        <v>1600</v>
      </c>
      <c r="C34" s="17"/>
      <c r="D34" s="17">
        <f>(SUM(粮草!A34:X34)+AG34*10)*IF(AK34="是",$AY$4,$AY$3)</f>
        <v>760</v>
      </c>
      <c r="E34" s="76">
        <f>SUM($B$4:B34)+SUM($C$4:C34)-SUM($D$4:D34)</f>
        <v>10320</v>
      </c>
      <c r="F34" s="17">
        <f>SUM(经验!A34:X34)</f>
        <v>280</v>
      </c>
      <c r="G34" s="17">
        <f>SUM($F$4:F34)+SUM($H$4:H34)</f>
        <v>17790</v>
      </c>
      <c r="H34" s="17">
        <v>0</v>
      </c>
      <c r="I34" s="79" t="s">
        <v>34</v>
      </c>
      <c r="J34" s="79" t="s">
        <v>34</v>
      </c>
      <c r="K34" s="79" t="s">
        <v>34</v>
      </c>
      <c r="L34" s="79" t="s">
        <v>34</v>
      </c>
      <c r="M34" s="79" t="s">
        <v>34</v>
      </c>
      <c r="N34" s="79" t="s">
        <v>34</v>
      </c>
      <c r="O34" s="72" t="s">
        <v>34</v>
      </c>
      <c r="P34" s="72" t="s">
        <v>34</v>
      </c>
      <c r="Q34" s="101" t="s">
        <v>39</v>
      </c>
      <c r="R34" s="105" t="s">
        <v>42</v>
      </c>
      <c r="S34" s="105" t="s">
        <v>42</v>
      </c>
      <c r="T34" s="105" t="s">
        <v>42</v>
      </c>
      <c r="U34" s="105" t="s">
        <v>42</v>
      </c>
      <c r="V34" s="105" t="s">
        <v>42</v>
      </c>
      <c r="W34" s="72" t="s">
        <v>34</v>
      </c>
      <c r="X34" s="72" t="s">
        <v>34</v>
      </c>
      <c r="Y34" s="79" t="s">
        <v>34</v>
      </c>
      <c r="Z34" s="79" t="s">
        <v>34</v>
      </c>
      <c r="AA34" s="79" t="s">
        <v>34</v>
      </c>
      <c r="AB34" s="79" t="s">
        <v>34</v>
      </c>
      <c r="AC34" s="79" t="s">
        <v>34</v>
      </c>
      <c r="AD34" s="79" t="s">
        <v>34</v>
      </c>
      <c r="AE34" s="72" t="s">
        <v>34</v>
      </c>
      <c r="AF34" s="72" t="s">
        <v>34</v>
      </c>
      <c r="AG34" s="56">
        <f t="shared" si="3"/>
        <v>0</v>
      </c>
      <c r="AH34" s="56"/>
      <c r="AI34" s="56"/>
      <c r="AJ34" s="56"/>
      <c r="AK34" s="78" t="s">
        <v>52</v>
      </c>
      <c r="AM34" s="26"/>
      <c r="AN34" s="26"/>
      <c r="AO34" s="26"/>
      <c r="AP34" s="45"/>
    </row>
    <row r="35" spans="1:42">
      <c r="A35" s="59">
        <v>44851</v>
      </c>
      <c r="B35" s="18">
        <v>1600</v>
      </c>
      <c r="C35" s="18"/>
      <c r="D35" s="17">
        <f>(SUM(粮草!A35:X35)+AG35*10)*IF(AK35="是",$AY$4,$AY$3)</f>
        <v>848</v>
      </c>
      <c r="E35" s="76">
        <f>SUM($B$4:B35)+SUM($C$4:C35)-SUM($D$4:D35)</f>
        <v>11072</v>
      </c>
      <c r="F35" s="17">
        <f>SUM(经验!A35:X35)</f>
        <v>350</v>
      </c>
      <c r="G35" s="17">
        <f>SUM($F$4:F35)+SUM($H$4:H35)</f>
        <v>18340</v>
      </c>
      <c r="H35" s="18">
        <v>200</v>
      </c>
      <c r="I35" s="79" t="s">
        <v>34</v>
      </c>
      <c r="J35" s="79" t="s">
        <v>34</v>
      </c>
      <c r="K35" s="79" t="s">
        <v>34</v>
      </c>
      <c r="L35" s="79" t="s">
        <v>34</v>
      </c>
      <c r="M35" s="79" t="s">
        <v>34</v>
      </c>
      <c r="N35" s="79" t="s">
        <v>34</v>
      </c>
      <c r="O35" s="72" t="s">
        <v>34</v>
      </c>
      <c r="P35" s="72" t="s">
        <v>34</v>
      </c>
      <c r="Q35" s="105" t="s">
        <v>42</v>
      </c>
      <c r="R35" s="105" t="s">
        <v>42</v>
      </c>
      <c r="S35" s="105" t="s">
        <v>42</v>
      </c>
      <c r="T35" s="105" t="s">
        <v>42</v>
      </c>
      <c r="U35" s="105" t="s">
        <v>42</v>
      </c>
      <c r="V35" s="102" t="s">
        <v>59</v>
      </c>
      <c r="W35" s="105" t="s">
        <v>42</v>
      </c>
      <c r="X35" s="105" t="s">
        <v>42</v>
      </c>
      <c r="Y35" s="79" t="s">
        <v>34</v>
      </c>
      <c r="Z35" s="79" t="s">
        <v>34</v>
      </c>
      <c r="AA35" s="79" t="s">
        <v>34</v>
      </c>
      <c r="AB35" s="79" t="s">
        <v>34</v>
      </c>
      <c r="AC35" s="79" t="s">
        <v>34</v>
      </c>
      <c r="AD35" s="79" t="s">
        <v>34</v>
      </c>
      <c r="AE35" s="72" t="s">
        <v>34</v>
      </c>
      <c r="AF35" s="72" t="s">
        <v>34</v>
      </c>
      <c r="AG35" s="56">
        <f t="shared" si="3"/>
        <v>0</v>
      </c>
      <c r="AH35" s="56"/>
      <c r="AI35" s="56"/>
      <c r="AJ35" s="56"/>
      <c r="AK35" s="78" t="s">
        <v>52</v>
      </c>
      <c r="AM35" s="26"/>
      <c r="AN35" s="26"/>
      <c r="AO35" s="26"/>
      <c r="AP35" s="45"/>
    </row>
    <row r="36" spans="1:42">
      <c r="A36" s="59">
        <v>44852</v>
      </c>
      <c r="B36" s="18">
        <v>1600</v>
      </c>
      <c r="C36" s="18"/>
      <c r="D36" s="17">
        <f>(SUM(粮草!A36:X36)+AG36*10)*IF(AK36="是",$AY$4,$AY$3)</f>
        <v>864</v>
      </c>
      <c r="E36" s="76">
        <f>SUM($B$4:B36)+SUM($C$4:C36)-SUM($D$4:D36)</f>
        <v>11808</v>
      </c>
      <c r="F36" s="17">
        <f>SUM(经验!A36:X36)</f>
        <v>300</v>
      </c>
      <c r="G36" s="17">
        <f>SUM($F$4:F36)+SUM($H$4:H36)</f>
        <v>18740</v>
      </c>
      <c r="H36" s="18">
        <v>100</v>
      </c>
      <c r="I36" s="79" t="s">
        <v>34</v>
      </c>
      <c r="J36" s="79" t="s">
        <v>34</v>
      </c>
      <c r="K36" s="79" t="s">
        <v>34</v>
      </c>
      <c r="L36" s="79" t="s">
        <v>34</v>
      </c>
      <c r="M36" s="79" t="s">
        <v>34</v>
      </c>
      <c r="N36" s="79" t="s">
        <v>34</v>
      </c>
      <c r="O36" s="72" t="s">
        <v>34</v>
      </c>
      <c r="P36" s="72" t="s">
        <v>34</v>
      </c>
      <c r="Q36" s="105" t="s">
        <v>42</v>
      </c>
      <c r="R36" s="105" t="s">
        <v>42</v>
      </c>
      <c r="S36" s="105" t="s">
        <v>42</v>
      </c>
      <c r="T36" s="105" t="s">
        <v>42</v>
      </c>
      <c r="U36" s="105" t="s">
        <v>42</v>
      </c>
      <c r="V36" s="105" t="s">
        <v>42</v>
      </c>
      <c r="W36" s="72" t="s">
        <v>34</v>
      </c>
      <c r="X36" s="72" t="s">
        <v>34</v>
      </c>
      <c r="Y36" s="79" t="s">
        <v>34</v>
      </c>
      <c r="Z36" s="79" t="s">
        <v>34</v>
      </c>
      <c r="AA36" s="79" t="s">
        <v>34</v>
      </c>
      <c r="AB36" s="79" t="s">
        <v>34</v>
      </c>
      <c r="AC36" s="79" t="s">
        <v>34</v>
      </c>
      <c r="AD36" s="79" t="s">
        <v>34</v>
      </c>
      <c r="AE36" s="72" t="s">
        <v>34</v>
      </c>
      <c r="AF36" s="72" t="s">
        <v>34</v>
      </c>
      <c r="AG36" s="56">
        <f t="shared" si="3"/>
        <v>0</v>
      </c>
      <c r="AH36" s="56"/>
      <c r="AI36" s="56"/>
      <c r="AJ36" s="56"/>
      <c r="AK36" s="78" t="s">
        <v>52</v>
      </c>
      <c r="AM36" s="26"/>
      <c r="AN36" s="26"/>
      <c r="AO36" s="26"/>
      <c r="AP36" s="45"/>
    </row>
    <row r="37" spans="1:42" ht="15" thickBot="1">
      <c r="A37" s="59">
        <v>44853</v>
      </c>
      <c r="B37" s="18">
        <v>1600</v>
      </c>
      <c r="C37" s="18"/>
      <c r="D37" s="17">
        <f>(SUM(粮草!A37:X37)+AG37*10)*IF(AK37="是",$AY$4,$AY$3)</f>
        <v>864</v>
      </c>
      <c r="E37" s="76">
        <f>SUM($B$4:B37)+SUM($C$4:C37)-SUM($D$4:D37)</f>
        <v>12544</v>
      </c>
      <c r="F37" s="17">
        <f>SUM(经验!A37:X37)</f>
        <v>300</v>
      </c>
      <c r="G37" s="17">
        <f>SUM($F$4:F37)+SUM($H$4:H37)</f>
        <v>19240</v>
      </c>
      <c r="H37" s="18">
        <v>200</v>
      </c>
      <c r="I37" s="79" t="s">
        <v>34</v>
      </c>
      <c r="J37" s="79" t="s">
        <v>34</v>
      </c>
      <c r="K37" s="79" t="s">
        <v>34</v>
      </c>
      <c r="L37" s="79" t="s">
        <v>34</v>
      </c>
      <c r="M37" s="79" t="s">
        <v>34</v>
      </c>
      <c r="N37" s="79" t="s">
        <v>34</v>
      </c>
      <c r="O37" s="72" t="s">
        <v>34</v>
      </c>
      <c r="P37" s="72" t="s">
        <v>34</v>
      </c>
      <c r="Q37" s="105" t="s">
        <v>42</v>
      </c>
      <c r="R37" s="105" t="s">
        <v>42</v>
      </c>
      <c r="S37" s="105" t="s">
        <v>42</v>
      </c>
      <c r="T37" s="105" t="s">
        <v>42</v>
      </c>
      <c r="U37" s="105" t="s">
        <v>42</v>
      </c>
      <c r="V37" s="105" t="s">
        <v>42</v>
      </c>
      <c r="W37" s="72" t="s">
        <v>34</v>
      </c>
      <c r="X37" s="72" t="s">
        <v>34</v>
      </c>
      <c r="Y37" s="79" t="s">
        <v>34</v>
      </c>
      <c r="Z37" s="79" t="s">
        <v>34</v>
      </c>
      <c r="AA37" s="79" t="s">
        <v>34</v>
      </c>
      <c r="AB37" s="79" t="s">
        <v>34</v>
      </c>
      <c r="AC37" s="79" t="s">
        <v>34</v>
      </c>
      <c r="AD37" s="79" t="s">
        <v>34</v>
      </c>
      <c r="AE37" s="72" t="s">
        <v>34</v>
      </c>
      <c r="AF37" s="72" t="s">
        <v>34</v>
      </c>
      <c r="AG37" s="56">
        <f t="shared" si="3"/>
        <v>0</v>
      </c>
      <c r="AH37" s="56"/>
      <c r="AI37" s="56"/>
      <c r="AJ37" s="56"/>
      <c r="AK37" s="78" t="s">
        <v>52</v>
      </c>
      <c r="AM37" s="26"/>
      <c r="AN37" s="26"/>
      <c r="AO37" s="26"/>
      <c r="AP37" s="45"/>
    </row>
    <row r="38" spans="1:42">
      <c r="A38" s="59">
        <v>44854</v>
      </c>
      <c r="B38" s="18">
        <v>1600</v>
      </c>
      <c r="C38" s="18"/>
      <c r="D38" s="17">
        <f>(SUM(粮草!A38:X38)+AG38*10)*IF(AK38="是",$AY$4,$AY$3)</f>
        <v>1680</v>
      </c>
      <c r="E38" s="76">
        <f>SUM($B$4:B38)+SUM($C$4:C38)-SUM($D$4:D38)</f>
        <v>12464</v>
      </c>
      <c r="F38" s="17">
        <f>SUM(经验!A38:X38)</f>
        <v>570</v>
      </c>
      <c r="G38" s="17">
        <f>SUM($F$4:F38)+SUM($H$4:H38)</f>
        <v>19810</v>
      </c>
      <c r="H38" s="18">
        <v>0</v>
      </c>
      <c r="I38" s="79" t="s">
        <v>34</v>
      </c>
      <c r="J38" s="79" t="s">
        <v>34</v>
      </c>
      <c r="K38" s="79" t="s">
        <v>34</v>
      </c>
      <c r="L38" s="79" t="s">
        <v>34</v>
      </c>
      <c r="M38" s="79" t="s">
        <v>34</v>
      </c>
      <c r="N38" s="79" t="s">
        <v>34</v>
      </c>
      <c r="O38" s="72" t="s">
        <v>34</v>
      </c>
      <c r="P38" s="72" t="s">
        <v>34</v>
      </c>
      <c r="Q38" s="105" t="s">
        <v>42</v>
      </c>
      <c r="R38" s="105" t="s">
        <v>42</v>
      </c>
      <c r="S38" s="105" t="s">
        <v>42</v>
      </c>
      <c r="T38" s="105" t="s">
        <v>42</v>
      </c>
      <c r="U38" s="105" t="s">
        <v>42</v>
      </c>
      <c r="V38" s="105" t="s">
        <v>42</v>
      </c>
      <c r="W38" s="72" t="s">
        <v>34</v>
      </c>
      <c r="X38" s="147" t="s">
        <v>34</v>
      </c>
      <c r="Y38" s="148" t="s">
        <v>40</v>
      </c>
      <c r="Z38" s="149" t="s">
        <v>40</v>
      </c>
      <c r="AA38" s="149" t="s">
        <v>40</v>
      </c>
      <c r="AB38" s="149" t="s">
        <v>40</v>
      </c>
      <c r="AC38" s="149" t="s">
        <v>40</v>
      </c>
      <c r="AD38" s="150" t="s">
        <v>40</v>
      </c>
      <c r="AE38" s="72" t="s">
        <v>34</v>
      </c>
      <c r="AF38" s="72" t="s">
        <v>34</v>
      </c>
      <c r="AG38" s="56">
        <f t="shared" si="3"/>
        <v>0</v>
      </c>
      <c r="AH38" s="56"/>
      <c r="AI38" s="56"/>
      <c r="AJ38" s="56"/>
      <c r="AK38" s="78" t="s">
        <v>52</v>
      </c>
      <c r="AM38" s="26"/>
      <c r="AN38" s="26"/>
      <c r="AO38" s="26"/>
      <c r="AP38" s="45"/>
    </row>
    <row r="39" spans="1:42">
      <c r="A39" s="59">
        <v>44855</v>
      </c>
      <c r="B39" s="18">
        <v>1600</v>
      </c>
      <c r="C39" s="18"/>
      <c r="D39" s="17">
        <f>(SUM(粮草!A39:X39)+AG39*10)*IF(AK39="是",$AY$4,$AY$3)</f>
        <v>2064</v>
      </c>
      <c r="E39" s="76">
        <f>SUM($B$4:B39)+SUM($C$4:C39)-SUM($D$4:D39)</f>
        <v>12000</v>
      </c>
      <c r="F39" s="17">
        <f>SUM(经验!A39:X39)</f>
        <v>1145</v>
      </c>
      <c r="G39" s="17">
        <f>SUM($F$4:F39)+SUM($H$4:H39)</f>
        <v>20955</v>
      </c>
      <c r="H39" s="18">
        <v>0</v>
      </c>
      <c r="I39" s="79" t="s">
        <v>34</v>
      </c>
      <c r="J39" s="79" t="s">
        <v>34</v>
      </c>
      <c r="K39" s="79" t="s">
        <v>34</v>
      </c>
      <c r="L39" s="79" t="s">
        <v>34</v>
      </c>
      <c r="M39" s="79" t="s">
        <v>34</v>
      </c>
      <c r="N39" s="79" t="s">
        <v>34</v>
      </c>
      <c r="O39" s="72" t="s">
        <v>34</v>
      </c>
      <c r="P39" s="72" t="s">
        <v>34</v>
      </c>
      <c r="Q39" s="105" t="s">
        <v>42</v>
      </c>
      <c r="R39" s="105" t="s">
        <v>42</v>
      </c>
      <c r="S39" s="107" t="s">
        <v>55</v>
      </c>
      <c r="T39" s="108" t="s">
        <v>43</v>
      </c>
      <c r="U39" s="108" t="s">
        <v>43</v>
      </c>
      <c r="V39" s="108" t="s">
        <v>43</v>
      </c>
      <c r="W39" s="108" t="s">
        <v>43</v>
      </c>
      <c r="X39" s="151" t="s">
        <v>43</v>
      </c>
      <c r="Y39" s="152" t="s">
        <v>40</v>
      </c>
      <c r="Z39" s="100" t="s">
        <v>40</v>
      </c>
      <c r="AA39" s="100" t="s">
        <v>40</v>
      </c>
      <c r="AB39" s="100" t="s">
        <v>40</v>
      </c>
      <c r="AC39" s="100" t="s">
        <v>40</v>
      </c>
      <c r="AD39" s="153" t="s">
        <v>40</v>
      </c>
      <c r="AE39" s="72" t="s">
        <v>34</v>
      </c>
      <c r="AF39" s="72" t="s">
        <v>34</v>
      </c>
      <c r="AG39" s="56">
        <f t="shared" si="3"/>
        <v>0</v>
      </c>
      <c r="AH39" s="56"/>
      <c r="AI39" s="56"/>
      <c r="AJ39" s="56"/>
      <c r="AK39" s="78" t="s">
        <v>52</v>
      </c>
      <c r="AM39" s="26" t="s">
        <v>64</v>
      </c>
      <c r="AN39" s="26"/>
      <c r="AO39" s="26"/>
      <c r="AP39" s="45"/>
    </row>
    <row r="40" spans="1:42" ht="15" thickBot="1">
      <c r="A40" s="59">
        <v>44856</v>
      </c>
      <c r="B40" s="18">
        <v>1600</v>
      </c>
      <c r="C40" s="18"/>
      <c r="D40" s="17">
        <f>(SUM(粮草!A40:X40)+AG40*10)*IF(AK40="是",$AY$4,$AY$3)</f>
        <v>1776</v>
      </c>
      <c r="E40" s="76">
        <f>SUM($B$4:B40)+SUM($C$4:C40)-SUM($D$4:D40)</f>
        <v>11824</v>
      </c>
      <c r="F40" s="17">
        <f>SUM(经验!A40:X40)</f>
        <v>1615</v>
      </c>
      <c r="G40" s="17">
        <f>SUM($F$4:F40)+SUM($H$4:H40)</f>
        <v>22570</v>
      </c>
      <c r="H40" s="18">
        <v>0</v>
      </c>
      <c r="I40" s="79" t="s">
        <v>34</v>
      </c>
      <c r="J40" s="79" t="s">
        <v>34</v>
      </c>
      <c r="K40" s="79" t="s">
        <v>34</v>
      </c>
      <c r="L40" s="79" t="s">
        <v>34</v>
      </c>
      <c r="M40" s="79" t="s">
        <v>34</v>
      </c>
      <c r="N40" s="79" t="s">
        <v>34</v>
      </c>
      <c r="O40" s="72" t="s">
        <v>34</v>
      </c>
      <c r="P40" s="72" t="s">
        <v>34</v>
      </c>
      <c r="Q40" s="109" t="s">
        <v>44</v>
      </c>
      <c r="R40" s="102" t="s">
        <v>59</v>
      </c>
      <c r="S40" s="109" t="s">
        <v>44</v>
      </c>
      <c r="T40" s="108" t="s">
        <v>43</v>
      </c>
      <c r="U40" s="108" t="s">
        <v>43</v>
      </c>
      <c r="V40" s="108" t="s">
        <v>43</v>
      </c>
      <c r="W40" s="109" t="s">
        <v>44</v>
      </c>
      <c r="X40" s="154" t="s">
        <v>54</v>
      </c>
      <c r="Y40" s="155" t="s">
        <v>40</v>
      </c>
      <c r="Z40" s="156" t="s">
        <v>40</v>
      </c>
      <c r="AA40" s="156" t="s">
        <v>40</v>
      </c>
      <c r="AB40" s="156" t="s">
        <v>40</v>
      </c>
      <c r="AC40" s="156" t="s">
        <v>40</v>
      </c>
      <c r="AD40" s="157" t="s">
        <v>47</v>
      </c>
      <c r="AE40" s="72" t="s">
        <v>34</v>
      </c>
      <c r="AF40" s="72" t="s">
        <v>34</v>
      </c>
      <c r="AG40" s="56">
        <f t="shared" si="3"/>
        <v>0</v>
      </c>
      <c r="AH40" s="56"/>
      <c r="AI40" s="56"/>
      <c r="AJ40" s="56"/>
      <c r="AK40" s="78" t="s">
        <v>52</v>
      </c>
      <c r="AM40" s="26" t="s">
        <v>65</v>
      </c>
      <c r="AN40" s="26"/>
      <c r="AO40" s="26"/>
      <c r="AP40" s="45"/>
    </row>
    <row r="41" spans="1:42">
      <c r="A41" s="59">
        <v>44857</v>
      </c>
      <c r="B41" s="18">
        <v>1600</v>
      </c>
      <c r="C41" s="18"/>
      <c r="D41" s="17">
        <f>(SUM(粮草!A41:X41)+AG41*10)*IF(AK41="是",$AY$4,$AY$3)</f>
        <v>1784</v>
      </c>
      <c r="E41" s="76">
        <f>SUM($B$4:B41)+SUM($C$4:C41)-SUM($D$4:D41)</f>
        <v>11640</v>
      </c>
      <c r="F41" s="17">
        <f>SUM(经验!A41:X41)</f>
        <v>635</v>
      </c>
      <c r="G41" s="17">
        <f>SUM($F$4:F41)+SUM($H$4:H41)</f>
        <v>23205</v>
      </c>
      <c r="H41" s="18">
        <v>0</v>
      </c>
      <c r="I41" s="79" t="s">
        <v>34</v>
      </c>
      <c r="J41" s="79" t="s">
        <v>34</v>
      </c>
      <c r="K41" s="79" t="s">
        <v>34</v>
      </c>
      <c r="L41" s="79" t="s">
        <v>34</v>
      </c>
      <c r="M41" s="79" t="s">
        <v>34</v>
      </c>
      <c r="N41" s="79" t="s">
        <v>34</v>
      </c>
      <c r="O41" s="72" t="s">
        <v>34</v>
      </c>
      <c r="P41" s="72" t="s">
        <v>34</v>
      </c>
      <c r="Q41" s="109" t="s">
        <v>44</v>
      </c>
      <c r="R41" s="109" t="s">
        <v>44</v>
      </c>
      <c r="S41" s="109" t="s">
        <v>44</v>
      </c>
      <c r="T41" s="109" t="s">
        <v>44</v>
      </c>
      <c r="U41" s="109" t="s">
        <v>44</v>
      </c>
      <c r="V41" s="108" t="s">
        <v>43</v>
      </c>
      <c r="W41" s="72" t="s">
        <v>34</v>
      </c>
      <c r="X41" s="72" t="s">
        <v>34</v>
      </c>
      <c r="Y41" s="158" t="s">
        <v>40</v>
      </c>
      <c r="Z41" s="158" t="s">
        <v>40</v>
      </c>
      <c r="AA41" s="158" t="s">
        <v>40</v>
      </c>
      <c r="AB41" s="158" t="s">
        <v>40</v>
      </c>
      <c r="AC41" s="159" t="s">
        <v>42</v>
      </c>
      <c r="AD41" s="159" t="s">
        <v>42</v>
      </c>
      <c r="AE41" s="72" t="s">
        <v>34</v>
      </c>
      <c r="AF41" s="72" t="s">
        <v>34</v>
      </c>
      <c r="AG41" s="56">
        <f t="shared" si="3"/>
        <v>0</v>
      </c>
      <c r="AH41" s="56"/>
      <c r="AI41" s="56"/>
      <c r="AJ41" s="56"/>
      <c r="AK41" s="78" t="s">
        <v>52</v>
      </c>
      <c r="AM41" s="26" t="s">
        <v>66</v>
      </c>
      <c r="AN41" s="26"/>
      <c r="AO41" s="26"/>
      <c r="AP41" s="45"/>
    </row>
    <row r="42" spans="1:42">
      <c r="A42" s="59">
        <v>44858</v>
      </c>
      <c r="B42" s="17">
        <v>1600</v>
      </c>
      <c r="C42" s="17"/>
      <c r="D42" s="17">
        <f>(SUM(粮草!A42:X42)+AG42*10)*IF(AK42="是",$AY$4,$AY$3)</f>
        <v>1696</v>
      </c>
      <c r="E42" s="76">
        <f>SUM($B$4:B42)+SUM($C$4:C42)-SUM($D$4:D42)</f>
        <v>11544</v>
      </c>
      <c r="F42" s="17">
        <f>SUM(经验!A42:X42)</f>
        <v>625</v>
      </c>
      <c r="G42" s="17">
        <f>SUM($F$4:F42)+SUM($H$4:H42)</f>
        <v>24130</v>
      </c>
      <c r="H42" s="17">
        <v>300</v>
      </c>
      <c r="I42" s="79" t="s">
        <v>34</v>
      </c>
      <c r="J42" s="79" t="s">
        <v>34</v>
      </c>
      <c r="K42" s="79" t="s">
        <v>34</v>
      </c>
      <c r="L42" s="79" t="s">
        <v>34</v>
      </c>
      <c r="M42" s="79" t="s">
        <v>34</v>
      </c>
      <c r="N42" s="79" t="s">
        <v>34</v>
      </c>
      <c r="O42" s="72" t="s">
        <v>34</v>
      </c>
      <c r="P42" s="72" t="s">
        <v>34</v>
      </c>
      <c r="Q42" s="108" t="s">
        <v>43</v>
      </c>
      <c r="R42" s="108" t="s">
        <v>43</v>
      </c>
      <c r="S42" s="108" t="s">
        <v>43</v>
      </c>
      <c r="T42" s="109" t="s">
        <v>44</v>
      </c>
      <c r="U42" s="109" t="s">
        <v>44</v>
      </c>
      <c r="V42" s="109" t="s">
        <v>44</v>
      </c>
      <c r="W42" s="72" t="s">
        <v>34</v>
      </c>
      <c r="X42" s="72" t="s">
        <v>34</v>
      </c>
      <c r="Y42" s="105" t="s">
        <v>42</v>
      </c>
      <c r="Z42" s="105" t="s">
        <v>42</v>
      </c>
      <c r="AA42" s="105" t="s">
        <v>42</v>
      </c>
      <c r="AB42" s="105" t="s">
        <v>42</v>
      </c>
      <c r="AC42" s="101" t="s">
        <v>39</v>
      </c>
      <c r="AD42" s="105" t="s">
        <v>42</v>
      </c>
      <c r="AE42" s="72" t="s">
        <v>34</v>
      </c>
      <c r="AF42" s="72" t="s">
        <v>34</v>
      </c>
      <c r="AG42" s="56">
        <f t="shared" si="3"/>
        <v>0</v>
      </c>
      <c r="AH42" s="56"/>
      <c r="AI42" s="56"/>
      <c r="AJ42" s="56"/>
      <c r="AK42" s="78" t="s">
        <v>52</v>
      </c>
      <c r="AM42" s="26" t="s">
        <v>67</v>
      </c>
      <c r="AN42" s="26"/>
      <c r="AO42" s="26"/>
      <c r="AP42" s="45"/>
    </row>
    <row r="43" spans="1:42">
      <c r="A43" s="59">
        <v>44859</v>
      </c>
      <c r="B43" s="17">
        <v>1600</v>
      </c>
      <c r="C43" s="17"/>
      <c r="D43" s="17">
        <f>(SUM(粮草!A43:X43)+AG43*10)*IF(AK43="是",$AY$4,$AY$3)</f>
        <v>1808</v>
      </c>
      <c r="E43" s="76">
        <f>SUM($B$4:B43)+SUM($C$4:C43)-SUM($D$4:D43)</f>
        <v>11336</v>
      </c>
      <c r="F43" s="17">
        <f>SUM(经验!A43:X43)</f>
        <v>650</v>
      </c>
      <c r="G43" s="17">
        <f>SUM($F$4:F43)+SUM($H$4:H43)</f>
        <v>24780</v>
      </c>
      <c r="H43" s="17">
        <v>0</v>
      </c>
      <c r="I43" s="79" t="s">
        <v>34</v>
      </c>
      <c r="J43" s="79" t="s">
        <v>34</v>
      </c>
      <c r="K43" s="79" t="s">
        <v>34</v>
      </c>
      <c r="L43" s="79" t="s">
        <v>34</v>
      </c>
      <c r="M43" s="79" t="s">
        <v>34</v>
      </c>
      <c r="N43" s="79" t="s">
        <v>34</v>
      </c>
      <c r="O43" s="72" t="s">
        <v>34</v>
      </c>
      <c r="P43" s="72" t="s">
        <v>34</v>
      </c>
      <c r="Q43" s="108" t="s">
        <v>43</v>
      </c>
      <c r="R43" s="108" t="s">
        <v>43</v>
      </c>
      <c r="S43" s="109" t="s">
        <v>44</v>
      </c>
      <c r="T43" s="109" t="s">
        <v>44</v>
      </c>
      <c r="U43" s="109" t="s">
        <v>44</v>
      </c>
      <c r="V43" s="109" t="s">
        <v>44</v>
      </c>
      <c r="W43" s="72" t="s">
        <v>34</v>
      </c>
      <c r="X43" s="72" t="s">
        <v>34</v>
      </c>
      <c r="Y43" s="105" t="s">
        <v>42</v>
      </c>
      <c r="Z43" s="105" t="s">
        <v>42</v>
      </c>
      <c r="AA43" s="105" t="s">
        <v>42</v>
      </c>
      <c r="AB43" s="105" t="s">
        <v>42</v>
      </c>
      <c r="AC43" s="105" t="s">
        <v>42</v>
      </c>
      <c r="AD43" s="105" t="s">
        <v>42</v>
      </c>
      <c r="AE43" s="72" t="s">
        <v>34</v>
      </c>
      <c r="AF43" s="72" t="s">
        <v>34</v>
      </c>
      <c r="AG43" s="56">
        <f t="shared" si="3"/>
        <v>0</v>
      </c>
      <c r="AH43" s="56"/>
      <c r="AI43" s="56"/>
      <c r="AJ43" s="56"/>
      <c r="AK43" s="78" t="s">
        <v>52</v>
      </c>
      <c r="AM43" s="70" t="s">
        <v>68</v>
      </c>
      <c r="AN43" s="26"/>
      <c r="AO43" s="26"/>
      <c r="AP43" s="45"/>
    </row>
    <row r="44" spans="1:42">
      <c r="A44" s="59">
        <v>44860</v>
      </c>
      <c r="B44" s="17">
        <v>1600</v>
      </c>
      <c r="C44" s="17"/>
      <c r="D44" s="17">
        <f>(SUM(粮草!A44:X44)+AG44*10)*IF(AK44="是",$AY$4,$AY$3)</f>
        <v>1808</v>
      </c>
      <c r="E44" s="76">
        <f>SUM($B$4:B44)+SUM($C$4:C44)-SUM($D$4:D44)</f>
        <v>11128</v>
      </c>
      <c r="F44" s="17">
        <f>SUM(经验!A44:X44)</f>
        <v>710</v>
      </c>
      <c r="G44" s="17">
        <f>SUM($F$4:F44)+SUM($H$4:H44)</f>
        <v>25690</v>
      </c>
      <c r="H44" s="17">
        <v>200</v>
      </c>
      <c r="I44" s="79" t="s">
        <v>34</v>
      </c>
      <c r="J44" s="79" t="s">
        <v>34</v>
      </c>
      <c r="K44" s="79" t="s">
        <v>34</v>
      </c>
      <c r="L44" s="79" t="s">
        <v>34</v>
      </c>
      <c r="M44" s="79" t="s">
        <v>34</v>
      </c>
      <c r="N44" s="79" t="s">
        <v>34</v>
      </c>
      <c r="O44" s="72" t="s">
        <v>34</v>
      </c>
      <c r="P44" s="72" t="s">
        <v>34</v>
      </c>
      <c r="Q44" s="109" t="s">
        <v>44</v>
      </c>
      <c r="R44" s="109" t="s">
        <v>44</v>
      </c>
      <c r="S44" s="109" t="s">
        <v>44</v>
      </c>
      <c r="T44" s="109" t="s">
        <v>44</v>
      </c>
      <c r="U44" s="109" t="s">
        <v>44</v>
      </c>
      <c r="V44" s="109" t="s">
        <v>44</v>
      </c>
      <c r="W44" s="72" t="s">
        <v>34</v>
      </c>
      <c r="X44" s="72" t="s">
        <v>34</v>
      </c>
      <c r="Y44" s="105" t="s">
        <v>42</v>
      </c>
      <c r="Z44" s="105" t="s">
        <v>42</v>
      </c>
      <c r="AA44" s="102" t="s">
        <v>59</v>
      </c>
      <c r="AB44" s="105" t="s">
        <v>42</v>
      </c>
      <c r="AC44" s="105" t="s">
        <v>42</v>
      </c>
      <c r="AD44" s="105" t="s">
        <v>42</v>
      </c>
      <c r="AE44" s="105" t="s">
        <v>42</v>
      </c>
      <c r="AF44" s="105" t="s">
        <v>42</v>
      </c>
      <c r="AG44" s="56">
        <f t="shared" si="3"/>
        <v>0</v>
      </c>
      <c r="AH44" s="56"/>
      <c r="AI44" s="56"/>
      <c r="AJ44" s="56"/>
      <c r="AK44" s="78" t="s">
        <v>52</v>
      </c>
      <c r="AM44" s="26"/>
      <c r="AN44" s="26"/>
      <c r="AO44" s="26"/>
      <c r="AP44" s="45"/>
    </row>
    <row r="45" spans="1:42">
      <c r="A45" s="59">
        <v>44861</v>
      </c>
      <c r="B45" s="17">
        <v>1600</v>
      </c>
      <c r="C45" s="17"/>
      <c r="D45" s="17">
        <f>(SUM(粮草!A45:X45)+AG45*10)*IF(AK45="是",$AY$4,$AY$3)</f>
        <v>1936</v>
      </c>
      <c r="E45" s="76">
        <f>SUM($B$4:B45)+SUM($C$4:C45)-SUM($D$4:D45)</f>
        <v>10792</v>
      </c>
      <c r="F45" s="17">
        <f>SUM(经验!A45:X45)</f>
        <v>1145</v>
      </c>
      <c r="G45" s="17">
        <f>SUM($F$4:F45)+SUM($H$4:H45)</f>
        <v>26835</v>
      </c>
      <c r="H45" s="17">
        <v>0</v>
      </c>
      <c r="I45" s="79" t="s">
        <v>34</v>
      </c>
      <c r="J45" s="79" t="s">
        <v>34</v>
      </c>
      <c r="K45" s="79" t="s">
        <v>34</v>
      </c>
      <c r="L45" s="79" t="s">
        <v>34</v>
      </c>
      <c r="M45" s="79" t="s">
        <v>34</v>
      </c>
      <c r="N45" s="79" t="s">
        <v>34</v>
      </c>
      <c r="O45" s="72" t="s">
        <v>34</v>
      </c>
      <c r="P45" s="72" t="s">
        <v>34</v>
      </c>
      <c r="Q45" s="109" t="s">
        <v>44</v>
      </c>
      <c r="R45" s="109" t="s">
        <v>44</v>
      </c>
      <c r="S45" s="109" t="s">
        <v>44</v>
      </c>
      <c r="T45" s="109" t="s">
        <v>44</v>
      </c>
      <c r="U45" s="109" t="s">
        <v>44</v>
      </c>
      <c r="V45" s="109" t="s">
        <v>44</v>
      </c>
      <c r="W45" s="72" t="s">
        <v>34</v>
      </c>
      <c r="X45" s="72" t="s">
        <v>34</v>
      </c>
      <c r="Y45" s="107" t="s">
        <v>55</v>
      </c>
      <c r="Z45" s="108" t="s">
        <v>43</v>
      </c>
      <c r="AA45" s="109" t="s">
        <v>44</v>
      </c>
      <c r="AB45" s="109" t="s">
        <v>44</v>
      </c>
      <c r="AC45" s="108" t="s">
        <v>43</v>
      </c>
      <c r="AD45" s="108" t="s">
        <v>43</v>
      </c>
      <c r="AE45" s="72" t="s">
        <v>34</v>
      </c>
      <c r="AF45" s="72" t="s">
        <v>34</v>
      </c>
      <c r="AG45" s="56">
        <f t="shared" si="3"/>
        <v>0</v>
      </c>
      <c r="AH45" s="56"/>
      <c r="AI45" s="56"/>
      <c r="AJ45" s="56"/>
      <c r="AK45" s="78" t="s">
        <v>52</v>
      </c>
    </row>
    <row r="46" spans="1:42">
      <c r="A46" s="59">
        <v>44862</v>
      </c>
      <c r="B46" s="17">
        <v>1600</v>
      </c>
      <c r="C46" s="17"/>
      <c r="D46" s="17">
        <f>(SUM(粮草!A46:X46)+AG46*10)*IF(AK46="是",$AY$4,$AY$3)</f>
        <v>1872</v>
      </c>
      <c r="E46" s="76">
        <f>SUM($B$4:B46)+SUM($C$4:C46)-SUM($D$4:D46)</f>
        <v>10520</v>
      </c>
      <c r="F46" s="17">
        <f>SUM(经验!A46:X46)</f>
        <v>690</v>
      </c>
      <c r="G46" s="17">
        <f>SUM($F$4:F46)+SUM($H$4:H46)</f>
        <v>27525</v>
      </c>
      <c r="H46" s="17">
        <v>0</v>
      </c>
      <c r="I46" s="79" t="s">
        <v>34</v>
      </c>
      <c r="J46" s="79" t="s">
        <v>34</v>
      </c>
      <c r="K46" s="79" t="s">
        <v>34</v>
      </c>
      <c r="L46" s="79" t="s">
        <v>34</v>
      </c>
      <c r="M46" s="79" t="s">
        <v>34</v>
      </c>
      <c r="N46" s="79" t="s">
        <v>34</v>
      </c>
      <c r="O46" s="72" t="s">
        <v>34</v>
      </c>
      <c r="P46" s="72" t="s">
        <v>34</v>
      </c>
      <c r="Q46" s="109" t="s">
        <v>44</v>
      </c>
      <c r="R46" s="109" t="s">
        <v>44</v>
      </c>
      <c r="S46" s="109" t="s">
        <v>44</v>
      </c>
      <c r="T46" s="109" t="s">
        <v>44</v>
      </c>
      <c r="U46" s="109" t="s">
        <v>44</v>
      </c>
      <c r="V46" s="109" t="s">
        <v>44</v>
      </c>
      <c r="W46" s="72" t="s">
        <v>34</v>
      </c>
      <c r="X46" s="72" t="s">
        <v>34</v>
      </c>
      <c r="Y46" s="108" t="s">
        <v>43</v>
      </c>
      <c r="Z46" s="108" t="s">
        <v>43</v>
      </c>
      <c r="AA46" s="108" t="s">
        <v>43</v>
      </c>
      <c r="AB46" s="108" t="s">
        <v>43</v>
      </c>
      <c r="AC46" s="108" t="s">
        <v>43</v>
      </c>
      <c r="AD46" s="108" t="s">
        <v>43</v>
      </c>
      <c r="AE46" s="72" t="s">
        <v>34</v>
      </c>
      <c r="AF46" s="72" t="s">
        <v>34</v>
      </c>
      <c r="AG46" s="56">
        <f t="shared" si="3"/>
        <v>0</v>
      </c>
      <c r="AH46" s="56"/>
      <c r="AI46" s="56"/>
      <c r="AJ46" s="56"/>
      <c r="AK46" s="78" t="s">
        <v>52</v>
      </c>
    </row>
    <row r="47" spans="1:42">
      <c r="A47" s="59">
        <v>44863</v>
      </c>
      <c r="B47" s="17">
        <v>1600</v>
      </c>
      <c r="C47" s="17"/>
      <c r="D47" s="17">
        <f>(SUM(粮草!A47:X47)+AG47*10)*IF(AK47="是",$AY$4,$AY$3)</f>
        <v>1872</v>
      </c>
      <c r="E47" s="76">
        <f>SUM($B$4:B47)+SUM($C$4:C47)-SUM($D$4:D47)</f>
        <v>10248</v>
      </c>
      <c r="F47" s="17">
        <f>SUM(经验!A47:X47)</f>
        <v>690</v>
      </c>
      <c r="G47" s="17">
        <f>SUM($F$4:F47)+SUM($H$4:H47)</f>
        <v>28215</v>
      </c>
      <c r="H47" s="17">
        <v>0</v>
      </c>
      <c r="I47" s="79" t="s">
        <v>34</v>
      </c>
      <c r="J47" s="79" t="s">
        <v>34</v>
      </c>
      <c r="K47" s="79" t="s">
        <v>34</v>
      </c>
      <c r="L47" s="79" t="s">
        <v>34</v>
      </c>
      <c r="M47" s="79" t="s">
        <v>34</v>
      </c>
      <c r="N47" s="79" t="s">
        <v>34</v>
      </c>
      <c r="O47" s="72" t="s">
        <v>34</v>
      </c>
      <c r="P47" s="72" t="s">
        <v>34</v>
      </c>
      <c r="Q47" s="109" t="s">
        <v>44</v>
      </c>
      <c r="R47" s="109" t="s">
        <v>44</v>
      </c>
      <c r="S47" s="109" t="s">
        <v>44</v>
      </c>
      <c r="T47" s="109" t="s">
        <v>44</v>
      </c>
      <c r="U47" s="109" t="s">
        <v>44</v>
      </c>
      <c r="V47" s="109" t="s">
        <v>44</v>
      </c>
      <c r="W47" s="72" t="s">
        <v>34</v>
      </c>
      <c r="X47" s="72" t="s">
        <v>34</v>
      </c>
      <c r="Y47" s="108" t="s">
        <v>43</v>
      </c>
      <c r="Z47" s="108" t="s">
        <v>43</v>
      </c>
      <c r="AA47" s="108" t="s">
        <v>43</v>
      </c>
      <c r="AB47" s="108" t="s">
        <v>43</v>
      </c>
      <c r="AC47" s="108" t="s">
        <v>43</v>
      </c>
      <c r="AD47" s="108" t="s">
        <v>43</v>
      </c>
      <c r="AE47" s="72" t="s">
        <v>34</v>
      </c>
      <c r="AF47" s="72" t="s">
        <v>34</v>
      </c>
      <c r="AG47" s="56">
        <f t="shared" si="3"/>
        <v>0</v>
      </c>
      <c r="AH47" s="56"/>
      <c r="AI47" s="56"/>
      <c r="AJ47" s="56"/>
      <c r="AK47" s="78" t="s">
        <v>52</v>
      </c>
    </row>
    <row r="48" spans="1:42">
      <c r="A48" s="59">
        <v>44864</v>
      </c>
      <c r="B48" s="17">
        <v>1600</v>
      </c>
      <c r="C48" s="17"/>
      <c r="D48" s="17">
        <f>(SUM(粮草!A48:X48)+AG48*10)*IF(AK48="是",$AY$4,$AY$3)</f>
        <v>1840</v>
      </c>
      <c r="E48" s="76">
        <f>SUM($B$4:B48)+SUM($C$4:C48)-SUM($D$4:D48)</f>
        <v>10008</v>
      </c>
      <c r="F48" s="17">
        <f>SUM(经验!A48:X48)</f>
        <v>670</v>
      </c>
      <c r="G48" s="17">
        <f>SUM($F$4:F48)+SUM($H$4:H48)</f>
        <v>28885</v>
      </c>
      <c r="H48" s="17">
        <v>0</v>
      </c>
      <c r="I48" s="79" t="s">
        <v>34</v>
      </c>
      <c r="J48" s="79" t="s">
        <v>34</v>
      </c>
      <c r="K48" s="79" t="s">
        <v>34</v>
      </c>
      <c r="L48" s="79" t="s">
        <v>34</v>
      </c>
      <c r="M48" s="79" t="s">
        <v>34</v>
      </c>
      <c r="N48" s="79" t="s">
        <v>34</v>
      </c>
      <c r="O48" s="72" t="s">
        <v>34</v>
      </c>
      <c r="P48" s="72" t="s">
        <v>34</v>
      </c>
      <c r="Q48" s="109" t="s">
        <v>44</v>
      </c>
      <c r="R48" s="108" t="s">
        <v>43</v>
      </c>
      <c r="S48" s="108" t="s">
        <v>43</v>
      </c>
      <c r="T48" s="108" t="s">
        <v>43</v>
      </c>
      <c r="U48" s="109" t="s">
        <v>44</v>
      </c>
      <c r="V48" s="108" t="s">
        <v>43</v>
      </c>
      <c r="W48" s="72" t="s">
        <v>34</v>
      </c>
      <c r="X48" s="72" t="s">
        <v>34</v>
      </c>
      <c r="Y48" s="108" t="s">
        <v>43</v>
      </c>
      <c r="Z48" s="108" t="s">
        <v>43</v>
      </c>
      <c r="AA48" s="108" t="s">
        <v>43</v>
      </c>
      <c r="AB48" s="108" t="s">
        <v>43</v>
      </c>
      <c r="AC48" s="108" t="s">
        <v>43</v>
      </c>
      <c r="AD48" s="108" t="s">
        <v>43</v>
      </c>
      <c r="AE48" s="72" t="s">
        <v>34</v>
      </c>
      <c r="AF48" s="72" t="s">
        <v>34</v>
      </c>
      <c r="AG48" s="56">
        <f t="shared" si="3"/>
        <v>0</v>
      </c>
      <c r="AH48" s="56"/>
      <c r="AI48" s="56"/>
      <c r="AJ48" s="56"/>
      <c r="AK48" s="78" t="s">
        <v>52</v>
      </c>
    </row>
    <row r="49" spans="1:37">
      <c r="A49" s="59">
        <v>44865</v>
      </c>
      <c r="B49" s="18">
        <v>1600</v>
      </c>
      <c r="C49" s="18"/>
      <c r="D49" s="17">
        <f>(SUM(粮草!A49:X49)+AG49*10)*IF(AK49="是",$AY$4,$AY$3)</f>
        <v>1840</v>
      </c>
      <c r="E49" s="76">
        <f>SUM($B$4:B49)+SUM($C$4:C49)-SUM($D$4:D49)</f>
        <v>9768</v>
      </c>
      <c r="F49" s="17">
        <f>SUM(经验!A49:X49)</f>
        <v>690</v>
      </c>
      <c r="G49" s="17">
        <f>SUM($F$4:F49)+SUM($H$4:H49)</f>
        <v>29775</v>
      </c>
      <c r="H49" s="18">
        <v>200</v>
      </c>
      <c r="I49" s="79" t="s">
        <v>34</v>
      </c>
      <c r="J49" s="79" t="s">
        <v>34</v>
      </c>
      <c r="K49" s="79" t="s">
        <v>34</v>
      </c>
      <c r="L49" s="79" t="s">
        <v>34</v>
      </c>
      <c r="M49" s="79" t="s">
        <v>34</v>
      </c>
      <c r="N49" s="79" t="s">
        <v>34</v>
      </c>
      <c r="O49" s="72" t="s">
        <v>34</v>
      </c>
      <c r="P49" s="72" t="s">
        <v>34</v>
      </c>
      <c r="Q49" s="109" t="s">
        <v>44</v>
      </c>
      <c r="R49" s="108" t="s">
        <v>43</v>
      </c>
      <c r="S49" s="109" t="s">
        <v>44</v>
      </c>
      <c r="T49" s="109" t="s">
        <v>44</v>
      </c>
      <c r="U49" s="109" t="s">
        <v>44</v>
      </c>
      <c r="V49" s="109" t="s">
        <v>44</v>
      </c>
      <c r="W49" s="72" t="s">
        <v>34</v>
      </c>
      <c r="X49" s="72" t="s">
        <v>34</v>
      </c>
      <c r="Y49" s="109" t="s">
        <v>44</v>
      </c>
      <c r="Z49" s="108" t="s">
        <v>43</v>
      </c>
      <c r="AA49" s="80" t="s">
        <v>49</v>
      </c>
      <c r="AB49" s="108" t="s">
        <v>43</v>
      </c>
      <c r="AC49" s="108" t="s">
        <v>43</v>
      </c>
      <c r="AD49" s="108" t="s">
        <v>43</v>
      </c>
      <c r="AE49" s="72" t="s">
        <v>34</v>
      </c>
      <c r="AF49" s="72" t="s">
        <v>34</v>
      </c>
      <c r="AG49" s="56">
        <f t="shared" si="3"/>
        <v>0</v>
      </c>
      <c r="AH49" s="56"/>
      <c r="AI49" s="56"/>
      <c r="AJ49" s="56"/>
      <c r="AK49" s="78" t="s">
        <v>52</v>
      </c>
    </row>
    <row r="50" spans="1:37">
      <c r="A50" s="59">
        <v>44866</v>
      </c>
      <c r="B50" s="18">
        <v>1600</v>
      </c>
      <c r="C50" s="18"/>
      <c r="D50" s="17">
        <f>(SUM(粮草!A50:X50)+AG50*10)*IF(AK50="是",$AY$4,$AY$3)</f>
        <v>1856</v>
      </c>
      <c r="E50" s="76">
        <f>SUM($B$4:B50)+SUM($C$4:C50)-SUM($D$4:D50)</f>
        <v>9512</v>
      </c>
      <c r="F50" s="17">
        <f>SUM(经验!A50:X50)</f>
        <v>680</v>
      </c>
      <c r="G50" s="17">
        <f>SUM($F$4:F50)+SUM($H$4:H50)</f>
        <v>30555</v>
      </c>
      <c r="H50" s="18">
        <v>100</v>
      </c>
      <c r="I50" s="79" t="s">
        <v>34</v>
      </c>
      <c r="J50" s="79" t="s">
        <v>34</v>
      </c>
      <c r="K50" s="79" t="s">
        <v>34</v>
      </c>
      <c r="L50" s="79" t="s">
        <v>34</v>
      </c>
      <c r="M50" s="79" t="s">
        <v>34</v>
      </c>
      <c r="N50" s="79" t="s">
        <v>34</v>
      </c>
      <c r="O50" s="72" t="s">
        <v>34</v>
      </c>
      <c r="P50" s="72" t="s">
        <v>34</v>
      </c>
      <c r="Q50" s="109" t="s">
        <v>44</v>
      </c>
      <c r="R50" s="109" t="s">
        <v>44</v>
      </c>
      <c r="S50" s="109" t="s">
        <v>44</v>
      </c>
      <c r="T50" s="109" t="s">
        <v>44</v>
      </c>
      <c r="U50" s="109" t="s">
        <v>44</v>
      </c>
      <c r="V50" s="108" t="s">
        <v>43</v>
      </c>
      <c r="W50" s="72" t="s">
        <v>34</v>
      </c>
      <c r="X50" s="72" t="s">
        <v>34</v>
      </c>
      <c r="Y50" s="108" t="s">
        <v>43</v>
      </c>
      <c r="Z50" s="108" t="s">
        <v>43</v>
      </c>
      <c r="AA50" s="108" t="s">
        <v>43</v>
      </c>
      <c r="AB50" s="108" t="s">
        <v>43</v>
      </c>
      <c r="AC50" s="105" t="s">
        <v>42</v>
      </c>
      <c r="AD50" s="108" t="s">
        <v>43</v>
      </c>
      <c r="AE50" s="72" t="s">
        <v>34</v>
      </c>
      <c r="AF50" s="72" t="s">
        <v>34</v>
      </c>
      <c r="AG50" s="56">
        <f t="shared" si="3"/>
        <v>0</v>
      </c>
      <c r="AH50" s="56"/>
      <c r="AI50" s="56"/>
      <c r="AJ50" s="56"/>
      <c r="AK50" s="78" t="s">
        <v>52</v>
      </c>
    </row>
    <row r="51" spans="1:37">
      <c r="A51" s="59">
        <v>44867</v>
      </c>
      <c r="B51" s="18">
        <v>1600</v>
      </c>
      <c r="C51" s="18"/>
      <c r="D51" s="17">
        <f>(SUM(粮草!A51:X51)+AG51*10)*IF(AK51="是",$AY$4,$AY$3)</f>
        <v>1904</v>
      </c>
      <c r="E51" s="76">
        <f>SUM($B$4:B51)+SUM($C$4:C51)-SUM($D$4:D51)</f>
        <v>9208</v>
      </c>
      <c r="F51" s="17">
        <f>SUM(经验!A51:X51)</f>
        <v>1205</v>
      </c>
      <c r="G51" s="17">
        <f>SUM($F$4:F51)+SUM($H$4:H51)</f>
        <v>31960</v>
      </c>
      <c r="H51" s="18">
        <v>200</v>
      </c>
      <c r="I51" s="79" t="s">
        <v>34</v>
      </c>
      <c r="J51" s="79" t="s">
        <v>34</v>
      </c>
      <c r="K51" s="79" t="s">
        <v>34</v>
      </c>
      <c r="L51" s="79" t="s">
        <v>34</v>
      </c>
      <c r="M51" s="79" t="s">
        <v>34</v>
      </c>
      <c r="N51" s="79" t="s">
        <v>34</v>
      </c>
      <c r="O51" s="72" t="s">
        <v>34</v>
      </c>
      <c r="P51" s="72" t="s">
        <v>34</v>
      </c>
      <c r="Q51" s="108" t="s">
        <v>43</v>
      </c>
      <c r="R51" s="109" t="s">
        <v>44</v>
      </c>
      <c r="S51" s="109" t="s">
        <v>44</v>
      </c>
      <c r="T51" s="109" t="s">
        <v>44</v>
      </c>
      <c r="U51" s="109" t="s">
        <v>44</v>
      </c>
      <c r="V51" s="109" t="s">
        <v>44</v>
      </c>
      <c r="W51" s="72" t="s">
        <v>34</v>
      </c>
      <c r="X51" s="72" t="s">
        <v>34</v>
      </c>
      <c r="Y51" s="108" t="s">
        <v>43</v>
      </c>
      <c r="Z51" s="108" t="s">
        <v>43</v>
      </c>
      <c r="AA51" s="108" t="s">
        <v>43</v>
      </c>
      <c r="AB51" s="108" t="s">
        <v>43</v>
      </c>
      <c r="AC51" s="108" t="s">
        <v>43</v>
      </c>
      <c r="AD51" s="108" t="s">
        <v>43</v>
      </c>
      <c r="AE51" s="77" t="s">
        <v>71</v>
      </c>
      <c r="AF51" s="72" t="s">
        <v>34</v>
      </c>
      <c r="AG51" s="56">
        <f t="shared" si="3"/>
        <v>0</v>
      </c>
      <c r="AH51" s="56"/>
      <c r="AI51" s="56"/>
      <c r="AJ51" s="56"/>
      <c r="AK51" s="78" t="s">
        <v>52</v>
      </c>
    </row>
    <row r="52" spans="1:37">
      <c r="A52" s="59">
        <v>44868</v>
      </c>
      <c r="B52" s="18">
        <v>1600</v>
      </c>
      <c r="C52" s="18"/>
      <c r="D52" s="17">
        <f>(SUM(粮草!A52:X52)+AG52*10)*IF(AK52="是",$AY$4,$AY$3)</f>
        <v>1840</v>
      </c>
      <c r="E52" s="76">
        <f>SUM($B$4:B52)+SUM($C$4:C52)-SUM($D$4:D52)</f>
        <v>8968</v>
      </c>
      <c r="F52" s="17">
        <f>SUM(经验!A52:X52)</f>
        <v>730</v>
      </c>
      <c r="G52" s="17">
        <f>SUM($F$4:F52)+SUM($H$4:H52)</f>
        <v>32690</v>
      </c>
      <c r="H52" s="18">
        <v>0</v>
      </c>
      <c r="I52" s="79" t="s">
        <v>34</v>
      </c>
      <c r="J52" s="79" t="s">
        <v>34</v>
      </c>
      <c r="K52" s="79" t="s">
        <v>34</v>
      </c>
      <c r="L52" s="79" t="s">
        <v>34</v>
      </c>
      <c r="M52" s="79" t="s">
        <v>34</v>
      </c>
      <c r="N52" s="79" t="s">
        <v>34</v>
      </c>
      <c r="O52" s="72" t="s">
        <v>34</v>
      </c>
      <c r="P52" s="72" t="s">
        <v>34</v>
      </c>
      <c r="Q52" s="109" t="s">
        <v>44</v>
      </c>
      <c r="R52" s="108" t="s">
        <v>43</v>
      </c>
      <c r="S52" s="108" t="s">
        <v>43</v>
      </c>
      <c r="T52" s="108" t="s">
        <v>43</v>
      </c>
      <c r="U52" s="109" t="s">
        <v>44</v>
      </c>
      <c r="V52" s="109" t="s">
        <v>44</v>
      </c>
      <c r="W52" s="72" t="s">
        <v>34</v>
      </c>
      <c r="X52" s="72" t="s">
        <v>34</v>
      </c>
      <c r="Y52" s="108" t="s">
        <v>43</v>
      </c>
      <c r="Z52" s="108" t="s">
        <v>43</v>
      </c>
      <c r="AA52" s="108" t="s">
        <v>43</v>
      </c>
      <c r="AB52" s="102" t="s">
        <v>59</v>
      </c>
      <c r="AC52" s="108" t="s">
        <v>43</v>
      </c>
      <c r="AD52" s="108" t="s">
        <v>43</v>
      </c>
      <c r="AE52" s="108" t="s">
        <v>43</v>
      </c>
      <c r="AF52" s="108" t="s">
        <v>43</v>
      </c>
      <c r="AG52" s="56">
        <f t="shared" si="3"/>
        <v>0</v>
      </c>
      <c r="AH52" s="56"/>
      <c r="AI52" s="56"/>
      <c r="AJ52" s="56"/>
      <c r="AK52" s="78" t="s">
        <v>52</v>
      </c>
    </row>
    <row r="53" spans="1:37">
      <c r="A53" s="59">
        <v>44869</v>
      </c>
      <c r="B53" s="18">
        <v>1600</v>
      </c>
      <c r="C53" s="18"/>
      <c r="D53" s="17">
        <f>(SUM(粮草!A53:X53)+AG53*10)*IF(AK53="是",$AY$4,$AY$3)</f>
        <v>1872</v>
      </c>
      <c r="E53" s="76">
        <f>SUM($B$4:B53)+SUM($C$4:C53)-SUM($D$4:D53)</f>
        <v>8696</v>
      </c>
      <c r="F53" s="17">
        <f>SUM(经验!A53:X53)</f>
        <v>750</v>
      </c>
      <c r="G53" s="17">
        <f>SUM($F$4:F53)+SUM($H$4:H53)</f>
        <v>33440</v>
      </c>
      <c r="H53" s="18">
        <v>0</v>
      </c>
      <c r="I53" s="79" t="s">
        <v>34</v>
      </c>
      <c r="J53" s="79" t="s">
        <v>34</v>
      </c>
      <c r="K53" s="79" t="s">
        <v>34</v>
      </c>
      <c r="L53" s="79" t="s">
        <v>34</v>
      </c>
      <c r="M53" s="79" t="s">
        <v>34</v>
      </c>
      <c r="N53" s="79" t="s">
        <v>34</v>
      </c>
      <c r="O53" s="72" t="s">
        <v>34</v>
      </c>
      <c r="P53" s="72" t="s">
        <v>34</v>
      </c>
      <c r="Q53" s="108" t="s">
        <v>43</v>
      </c>
      <c r="R53" s="109" t="s">
        <v>44</v>
      </c>
      <c r="S53" s="109" t="s">
        <v>44</v>
      </c>
      <c r="T53" s="102" t="s">
        <v>59</v>
      </c>
      <c r="U53" s="109" t="s">
        <v>44</v>
      </c>
      <c r="V53" s="109" t="s">
        <v>44</v>
      </c>
      <c r="W53" s="108" t="s">
        <v>43</v>
      </c>
      <c r="X53" s="109" t="s">
        <v>44</v>
      </c>
      <c r="Y53" s="108" t="s">
        <v>43</v>
      </c>
      <c r="Z53" s="108" t="s">
        <v>43</v>
      </c>
      <c r="AA53" s="109" t="s">
        <v>44</v>
      </c>
      <c r="AB53" s="109" t="s">
        <v>44</v>
      </c>
      <c r="AC53" s="108" t="s">
        <v>43</v>
      </c>
      <c r="AD53" s="108" t="s">
        <v>43</v>
      </c>
      <c r="AE53" s="72" t="s">
        <v>34</v>
      </c>
      <c r="AF53" s="72" t="s">
        <v>34</v>
      </c>
      <c r="AG53" s="56">
        <f t="shared" si="3"/>
        <v>0</v>
      </c>
      <c r="AH53" s="56"/>
      <c r="AI53" s="56"/>
      <c r="AJ53" s="56"/>
      <c r="AK53" s="78" t="s">
        <v>52</v>
      </c>
    </row>
    <row r="54" spans="1:37">
      <c r="A54" s="59">
        <v>44870</v>
      </c>
      <c r="B54" s="18">
        <v>1600</v>
      </c>
      <c r="C54" s="18"/>
      <c r="D54" s="17">
        <f>(SUM(粮草!A54:X54)+AG54*10)*IF(AK54="是",$AY$4,$AY$3)</f>
        <v>1856</v>
      </c>
      <c r="E54" s="76">
        <f>SUM($B$4:B54)+SUM($C$4:C54)-SUM($D$4:D54)</f>
        <v>8440</v>
      </c>
      <c r="F54" s="17">
        <f>SUM(经验!A54:X54)</f>
        <v>680</v>
      </c>
      <c r="G54" s="17">
        <f>SUM($F$4:F54)+SUM($H$4:H54)</f>
        <v>34120</v>
      </c>
      <c r="H54" s="18">
        <v>0</v>
      </c>
      <c r="I54" s="79" t="s">
        <v>34</v>
      </c>
      <c r="J54" s="79" t="s">
        <v>34</v>
      </c>
      <c r="K54" s="79" t="s">
        <v>34</v>
      </c>
      <c r="L54" s="79" t="s">
        <v>34</v>
      </c>
      <c r="M54" s="79" t="s">
        <v>34</v>
      </c>
      <c r="N54" s="79" t="s">
        <v>34</v>
      </c>
      <c r="O54" s="72" t="s">
        <v>34</v>
      </c>
      <c r="P54" s="72" t="s">
        <v>34</v>
      </c>
      <c r="Q54" s="109" t="s">
        <v>44</v>
      </c>
      <c r="R54" s="109" t="s">
        <v>44</v>
      </c>
      <c r="S54" s="108" t="s">
        <v>43</v>
      </c>
      <c r="T54" s="108" t="s">
        <v>43</v>
      </c>
      <c r="U54" s="108" t="s">
        <v>43</v>
      </c>
      <c r="V54" s="108" t="s">
        <v>43</v>
      </c>
      <c r="W54" s="72" t="s">
        <v>34</v>
      </c>
      <c r="X54" s="72" t="s">
        <v>34</v>
      </c>
      <c r="Y54" s="108" t="s">
        <v>43</v>
      </c>
      <c r="Z54" s="108" t="s">
        <v>43</v>
      </c>
      <c r="AA54" s="108" t="s">
        <v>43</v>
      </c>
      <c r="AB54" s="108" t="s">
        <v>43</v>
      </c>
      <c r="AC54" s="109" t="s">
        <v>44</v>
      </c>
      <c r="AD54" s="109" t="s">
        <v>44</v>
      </c>
      <c r="AE54" s="72" t="s">
        <v>34</v>
      </c>
      <c r="AF54" s="72" t="s">
        <v>34</v>
      </c>
      <c r="AG54" s="56">
        <f t="shared" si="3"/>
        <v>0</v>
      </c>
      <c r="AH54" s="56"/>
      <c r="AI54" s="56"/>
      <c r="AJ54" s="56"/>
      <c r="AK54" s="78" t="s">
        <v>52</v>
      </c>
    </row>
    <row r="55" spans="1:37">
      <c r="A55" s="59">
        <v>44871</v>
      </c>
      <c r="B55" s="18">
        <v>1600</v>
      </c>
      <c r="C55" s="18"/>
      <c r="D55" s="17">
        <f>(SUM(粮草!A55:X55)+AG55*10)*IF(AK55="是",$AY$4,$AY$3)</f>
        <v>1872</v>
      </c>
      <c r="E55" s="76">
        <f>SUM($B$4:B55)+SUM($C$4:C55)-SUM($D$4:D55)</f>
        <v>8168</v>
      </c>
      <c r="F55" s="17">
        <f>SUM(经验!A55:X55)</f>
        <v>690</v>
      </c>
      <c r="G55" s="17">
        <f>SUM($F$4:F55)+SUM($H$4:H55)</f>
        <v>34810</v>
      </c>
      <c r="H55" s="18">
        <v>0</v>
      </c>
      <c r="I55" s="79" t="s">
        <v>34</v>
      </c>
      <c r="J55" s="79" t="s">
        <v>34</v>
      </c>
      <c r="K55" s="79" t="s">
        <v>34</v>
      </c>
      <c r="L55" s="79" t="s">
        <v>34</v>
      </c>
      <c r="M55" s="79" t="s">
        <v>34</v>
      </c>
      <c r="N55" s="79" t="s">
        <v>34</v>
      </c>
      <c r="O55" s="72" t="s">
        <v>34</v>
      </c>
      <c r="P55" s="72" t="s">
        <v>34</v>
      </c>
      <c r="Q55" s="108" t="s">
        <v>43</v>
      </c>
      <c r="R55" s="109" t="s">
        <v>44</v>
      </c>
      <c r="S55" s="109" t="s">
        <v>44</v>
      </c>
      <c r="T55" s="109" t="s">
        <v>44</v>
      </c>
      <c r="U55" s="109" t="s">
        <v>44</v>
      </c>
      <c r="V55" s="109" t="s">
        <v>44</v>
      </c>
      <c r="W55" s="72" t="s">
        <v>34</v>
      </c>
      <c r="X55" s="72" t="s">
        <v>34</v>
      </c>
      <c r="Y55" s="109" t="s">
        <v>44</v>
      </c>
      <c r="Z55" s="108" t="s">
        <v>43</v>
      </c>
      <c r="AA55" s="108" t="s">
        <v>43</v>
      </c>
      <c r="AB55" s="108" t="s">
        <v>43</v>
      </c>
      <c r="AC55" s="108" t="s">
        <v>43</v>
      </c>
      <c r="AD55" s="108" t="s">
        <v>43</v>
      </c>
      <c r="AE55" s="72" t="s">
        <v>34</v>
      </c>
      <c r="AF55" s="72" t="s">
        <v>34</v>
      </c>
      <c r="AG55" s="56">
        <f t="shared" si="3"/>
        <v>0</v>
      </c>
      <c r="AH55" s="56"/>
      <c r="AI55" s="56"/>
      <c r="AJ55" s="56"/>
      <c r="AK55" s="78" t="s">
        <v>52</v>
      </c>
    </row>
    <row r="56" spans="1:37">
      <c r="A56" s="59">
        <v>44872</v>
      </c>
      <c r="B56" s="17">
        <v>1600</v>
      </c>
      <c r="C56" s="17"/>
      <c r="D56" s="17">
        <f>(SUM(粮草!A56:X56)+AG56*10)*IF(AK56="是",$AY$4,$AY$3)</f>
        <v>1776</v>
      </c>
      <c r="E56" s="76">
        <f>SUM($B$4:B56)+SUM($C$4:C56)-SUM($D$4:D56)</f>
        <v>7992</v>
      </c>
      <c r="F56" s="17">
        <f>SUM(经验!A56:X56)</f>
        <v>675</v>
      </c>
      <c r="G56" s="17">
        <f>SUM($F$4:F56)+SUM($H$4:H56)</f>
        <v>35785</v>
      </c>
      <c r="H56" s="17">
        <v>300</v>
      </c>
      <c r="I56" s="79" t="s">
        <v>34</v>
      </c>
      <c r="J56" s="79" t="s">
        <v>34</v>
      </c>
      <c r="K56" s="79" t="s">
        <v>34</v>
      </c>
      <c r="L56" s="79" t="s">
        <v>34</v>
      </c>
      <c r="M56" s="79" t="s">
        <v>34</v>
      </c>
      <c r="N56" s="79" t="s">
        <v>34</v>
      </c>
      <c r="O56" s="72" t="s">
        <v>34</v>
      </c>
      <c r="P56" s="72" t="s">
        <v>34</v>
      </c>
      <c r="Q56" s="109" t="s">
        <v>44</v>
      </c>
      <c r="R56" s="109" t="s">
        <v>44</v>
      </c>
      <c r="S56" s="109" t="s">
        <v>44</v>
      </c>
      <c r="T56" s="109" t="s">
        <v>44</v>
      </c>
      <c r="U56" s="109" t="s">
        <v>44</v>
      </c>
      <c r="V56" s="109" t="s">
        <v>44</v>
      </c>
      <c r="W56" s="72" t="s">
        <v>34</v>
      </c>
      <c r="X56" s="72" t="s">
        <v>34</v>
      </c>
      <c r="Y56" s="109" t="s">
        <v>44</v>
      </c>
      <c r="Z56" s="109" t="s">
        <v>44</v>
      </c>
      <c r="AA56" s="108" t="s">
        <v>43</v>
      </c>
      <c r="AB56" s="108" t="s">
        <v>43</v>
      </c>
      <c r="AC56" s="108" t="s">
        <v>43</v>
      </c>
      <c r="AD56" s="101" t="s">
        <v>39</v>
      </c>
      <c r="AE56" s="72" t="s">
        <v>34</v>
      </c>
      <c r="AF56" s="72" t="s">
        <v>34</v>
      </c>
      <c r="AG56" s="56">
        <f t="shared" si="3"/>
        <v>0</v>
      </c>
      <c r="AH56" s="56"/>
      <c r="AI56" s="56"/>
      <c r="AJ56" s="56"/>
      <c r="AK56" s="78" t="s">
        <v>52</v>
      </c>
    </row>
    <row r="57" spans="1:37">
      <c r="A57" s="59">
        <v>44873</v>
      </c>
      <c r="B57" s="17">
        <v>1600</v>
      </c>
      <c r="C57" s="17"/>
      <c r="D57" s="17">
        <f>(SUM(粮草!A57:X57)+AG57*10)*IF(AK57="是",$AY$4,$AY$3)</f>
        <v>1872</v>
      </c>
      <c r="E57" s="76">
        <f>SUM($B$4:B57)+SUM($C$4:C57)-SUM($D$4:D57)</f>
        <v>7720</v>
      </c>
      <c r="F57" s="17">
        <f>SUM(经验!A57:X57)</f>
        <v>690</v>
      </c>
      <c r="G57" s="17">
        <f>SUM($F$4:F57)+SUM($H$4:H57)</f>
        <v>36475</v>
      </c>
      <c r="H57" s="17">
        <v>0</v>
      </c>
      <c r="I57" s="79" t="s">
        <v>34</v>
      </c>
      <c r="J57" s="79" t="s">
        <v>34</v>
      </c>
      <c r="K57" s="79" t="s">
        <v>34</v>
      </c>
      <c r="L57" s="79" t="s">
        <v>34</v>
      </c>
      <c r="M57" s="79" t="s">
        <v>34</v>
      </c>
      <c r="N57" s="79" t="s">
        <v>34</v>
      </c>
      <c r="O57" s="72" t="s">
        <v>34</v>
      </c>
      <c r="P57" s="72" t="s">
        <v>34</v>
      </c>
      <c r="Q57" s="109" t="s">
        <v>44</v>
      </c>
      <c r="R57" s="109" t="s">
        <v>44</v>
      </c>
      <c r="S57" s="109" t="s">
        <v>44</v>
      </c>
      <c r="T57" s="109" t="s">
        <v>44</v>
      </c>
      <c r="U57" s="109" t="s">
        <v>44</v>
      </c>
      <c r="V57" s="109" t="s">
        <v>44</v>
      </c>
      <c r="W57" s="72" t="s">
        <v>34</v>
      </c>
      <c r="X57" s="72" t="s">
        <v>34</v>
      </c>
      <c r="Y57" s="108" t="s">
        <v>43</v>
      </c>
      <c r="Z57" s="108" t="s">
        <v>43</v>
      </c>
      <c r="AA57" s="108" t="s">
        <v>43</v>
      </c>
      <c r="AB57" s="108" t="s">
        <v>43</v>
      </c>
      <c r="AC57" s="108" t="s">
        <v>43</v>
      </c>
      <c r="AD57" s="108" t="s">
        <v>43</v>
      </c>
      <c r="AE57" s="72" t="s">
        <v>34</v>
      </c>
      <c r="AF57" s="72" t="s">
        <v>34</v>
      </c>
      <c r="AG57" s="56">
        <f t="shared" si="3"/>
        <v>0</v>
      </c>
      <c r="AH57" s="56"/>
      <c r="AI57" s="56"/>
      <c r="AJ57" s="56"/>
      <c r="AK57" s="78" t="s">
        <v>52</v>
      </c>
    </row>
    <row r="58" spans="1:37">
      <c r="A58" s="59">
        <v>44874</v>
      </c>
      <c r="B58" s="17">
        <v>1600</v>
      </c>
      <c r="C58" s="17"/>
      <c r="D58" s="17">
        <f>(SUM(粮草!A58:X58)+AG58*10)*IF(AK58="是",$AY$4,$AY$3)</f>
        <v>1872</v>
      </c>
      <c r="E58" s="76">
        <f>SUM($B$4:B58)+SUM($C$4:C58)-SUM($D$4:D58)</f>
        <v>7448</v>
      </c>
      <c r="F58" s="17">
        <f>SUM(经验!A58:X58)</f>
        <v>750</v>
      </c>
      <c r="G58" s="17">
        <f>SUM($F$4:F58)+SUM($H$4:H58)</f>
        <v>37425</v>
      </c>
      <c r="H58" s="17">
        <v>200</v>
      </c>
      <c r="I58" s="79" t="s">
        <v>34</v>
      </c>
      <c r="J58" s="79" t="s">
        <v>34</v>
      </c>
      <c r="K58" s="79" t="s">
        <v>34</v>
      </c>
      <c r="L58" s="79" t="s">
        <v>34</v>
      </c>
      <c r="M58" s="79" t="s">
        <v>34</v>
      </c>
      <c r="N58" s="79" t="s">
        <v>34</v>
      </c>
      <c r="O58" s="72" t="s">
        <v>34</v>
      </c>
      <c r="P58" s="72" t="s">
        <v>34</v>
      </c>
      <c r="Q58" s="109" t="s">
        <v>44</v>
      </c>
      <c r="R58" s="109" t="s">
        <v>44</v>
      </c>
      <c r="S58" s="109" t="s">
        <v>44</v>
      </c>
      <c r="T58" s="102" t="s">
        <v>59</v>
      </c>
      <c r="U58" s="109" t="s">
        <v>44</v>
      </c>
      <c r="V58" s="109" t="s">
        <v>44</v>
      </c>
      <c r="W58" s="109" t="s">
        <v>44</v>
      </c>
      <c r="X58" s="109" t="s">
        <v>44</v>
      </c>
      <c r="Y58" s="108" t="s">
        <v>43</v>
      </c>
      <c r="Z58" s="108" t="s">
        <v>43</v>
      </c>
      <c r="AA58" s="108" t="s">
        <v>43</v>
      </c>
      <c r="AB58" s="108" t="s">
        <v>43</v>
      </c>
      <c r="AC58" s="108" t="s">
        <v>43</v>
      </c>
      <c r="AD58" s="108" t="s">
        <v>43</v>
      </c>
      <c r="AE58" s="72" t="s">
        <v>34</v>
      </c>
      <c r="AF58" s="72" t="s">
        <v>34</v>
      </c>
      <c r="AG58" s="56">
        <f t="shared" si="3"/>
        <v>0</v>
      </c>
      <c r="AH58" s="56"/>
      <c r="AI58" s="56"/>
      <c r="AJ58" s="56"/>
      <c r="AK58" s="78" t="s">
        <v>52</v>
      </c>
    </row>
    <row r="59" spans="1:37">
      <c r="A59" s="59">
        <v>44875</v>
      </c>
      <c r="B59" s="17">
        <v>1600</v>
      </c>
      <c r="C59" s="17"/>
      <c r="D59" s="17">
        <f>(SUM(粮草!A59:X59)+AG59*10)*IF(AK59="是",$AY$4,$AY$3)</f>
        <v>1872</v>
      </c>
      <c r="E59" s="76">
        <f>SUM($B$4:B59)+SUM($C$4:C59)-SUM($D$4:D59)</f>
        <v>7176</v>
      </c>
      <c r="F59" s="17">
        <f>SUM(经验!A59:X59)</f>
        <v>690</v>
      </c>
      <c r="G59" s="17">
        <f>SUM($F$4:F59)+SUM($H$4:H59)</f>
        <v>38115</v>
      </c>
      <c r="H59" s="17">
        <v>0</v>
      </c>
      <c r="I59" s="79" t="s">
        <v>34</v>
      </c>
      <c r="J59" s="79" t="s">
        <v>34</v>
      </c>
      <c r="K59" s="79" t="s">
        <v>34</v>
      </c>
      <c r="L59" s="79" t="s">
        <v>34</v>
      </c>
      <c r="M59" s="79" t="s">
        <v>34</v>
      </c>
      <c r="N59" s="79" t="s">
        <v>34</v>
      </c>
      <c r="O59" s="72" t="s">
        <v>34</v>
      </c>
      <c r="P59" s="72" t="s">
        <v>34</v>
      </c>
      <c r="Q59" s="109" t="s">
        <v>44</v>
      </c>
      <c r="R59" s="109" t="s">
        <v>44</v>
      </c>
      <c r="S59" s="109" t="s">
        <v>44</v>
      </c>
      <c r="T59" s="109" t="s">
        <v>44</v>
      </c>
      <c r="U59" s="109" t="s">
        <v>44</v>
      </c>
      <c r="V59" s="109" t="s">
        <v>44</v>
      </c>
      <c r="W59" s="72" t="s">
        <v>34</v>
      </c>
      <c r="X59" s="72" t="s">
        <v>34</v>
      </c>
      <c r="Y59" s="108" t="s">
        <v>43</v>
      </c>
      <c r="Z59" s="108" t="s">
        <v>43</v>
      </c>
      <c r="AA59" s="108" t="s">
        <v>43</v>
      </c>
      <c r="AB59" s="108" t="s">
        <v>43</v>
      </c>
      <c r="AC59" s="108" t="s">
        <v>43</v>
      </c>
      <c r="AD59" s="108" t="s">
        <v>43</v>
      </c>
      <c r="AE59" s="72" t="s">
        <v>34</v>
      </c>
      <c r="AF59" s="72" t="s">
        <v>34</v>
      </c>
      <c r="AG59" s="56">
        <f t="shared" si="3"/>
        <v>0</v>
      </c>
      <c r="AH59" s="56"/>
      <c r="AI59" s="56"/>
      <c r="AJ59" s="56"/>
      <c r="AK59" s="78" t="s">
        <v>52</v>
      </c>
    </row>
    <row r="60" spans="1:37">
      <c r="A60" s="59">
        <v>44876</v>
      </c>
      <c r="B60" s="17">
        <v>1600</v>
      </c>
      <c r="C60" s="17"/>
      <c r="D60" s="17">
        <f>(SUM(粮草!A60:X60)+AG60*10)*IF(AK60="是",$AY$4,$AY$3)</f>
        <v>1864</v>
      </c>
      <c r="E60" s="76">
        <f>SUM($B$4:B60)+SUM($C$4:C60)-SUM($D$4:D60)</f>
        <v>6912</v>
      </c>
      <c r="F60" s="17">
        <f>SUM(经验!A60:X60)</f>
        <v>745</v>
      </c>
      <c r="G60" s="17">
        <f>SUM($F$4:F60)+SUM($H$4:H60)</f>
        <v>38860</v>
      </c>
      <c r="H60" s="17">
        <v>0</v>
      </c>
      <c r="I60" s="79" t="s">
        <v>34</v>
      </c>
      <c r="J60" s="79" t="s">
        <v>34</v>
      </c>
      <c r="K60" s="79" t="s">
        <v>34</v>
      </c>
      <c r="L60" s="79" t="s">
        <v>34</v>
      </c>
      <c r="M60" s="79" t="s">
        <v>34</v>
      </c>
      <c r="N60" s="79" t="s">
        <v>34</v>
      </c>
      <c r="O60" s="72" t="s">
        <v>34</v>
      </c>
      <c r="P60" s="72" t="s">
        <v>34</v>
      </c>
      <c r="Q60" s="109" t="s">
        <v>44</v>
      </c>
      <c r="R60" s="109" t="s">
        <v>44</v>
      </c>
      <c r="S60" s="109" t="s">
        <v>44</v>
      </c>
      <c r="T60" s="109" t="s">
        <v>44</v>
      </c>
      <c r="U60" s="109" t="s">
        <v>44</v>
      </c>
      <c r="V60" s="109" t="s">
        <v>44</v>
      </c>
      <c r="W60" s="72" t="s">
        <v>34</v>
      </c>
      <c r="X60" s="72" t="s">
        <v>34</v>
      </c>
      <c r="Y60" s="108" t="s">
        <v>43</v>
      </c>
      <c r="Z60" s="102" t="s">
        <v>59</v>
      </c>
      <c r="AA60" s="108" t="s">
        <v>43</v>
      </c>
      <c r="AB60" s="108" t="s">
        <v>43</v>
      </c>
      <c r="AC60" s="108" t="s">
        <v>43</v>
      </c>
      <c r="AD60" s="108" t="s">
        <v>43</v>
      </c>
      <c r="AE60" s="108" t="s">
        <v>43</v>
      </c>
      <c r="AF60" s="108" t="s">
        <v>43</v>
      </c>
      <c r="AG60" s="56">
        <f t="shared" si="3"/>
        <v>0</v>
      </c>
      <c r="AH60" s="56"/>
      <c r="AI60" s="56"/>
      <c r="AJ60" s="56"/>
      <c r="AK60" s="78" t="s">
        <v>52</v>
      </c>
    </row>
    <row r="61" spans="1:37">
      <c r="A61" s="59">
        <v>44877</v>
      </c>
      <c r="B61" s="17">
        <v>1600</v>
      </c>
      <c r="C61" s="17"/>
      <c r="D61" s="17">
        <f>(SUM(粮草!A61:X61)+AG61*10)*IF(AK61="是",$AY$4,$AY$3)</f>
        <v>1872</v>
      </c>
      <c r="E61" s="76">
        <f>SUM($B$4:B61)+SUM($C$4:C61)-SUM($D$4:D61)</f>
        <v>6640</v>
      </c>
      <c r="F61" s="17">
        <f>SUM(经验!A61:X61)</f>
        <v>690</v>
      </c>
      <c r="G61" s="17">
        <f>SUM($F$4:F61)+SUM($H$4:H61)</f>
        <v>39550</v>
      </c>
      <c r="H61" s="17">
        <v>0</v>
      </c>
      <c r="I61" s="79" t="s">
        <v>34</v>
      </c>
      <c r="J61" s="79" t="s">
        <v>34</v>
      </c>
      <c r="K61" s="79" t="s">
        <v>34</v>
      </c>
      <c r="L61" s="79" t="s">
        <v>34</v>
      </c>
      <c r="M61" s="79" t="s">
        <v>34</v>
      </c>
      <c r="N61" s="79" t="s">
        <v>34</v>
      </c>
      <c r="O61" s="72" t="s">
        <v>34</v>
      </c>
      <c r="P61" s="72" t="s">
        <v>34</v>
      </c>
      <c r="Q61" s="109" t="s">
        <v>44</v>
      </c>
      <c r="R61" s="109" t="s">
        <v>44</v>
      </c>
      <c r="S61" s="109" t="s">
        <v>44</v>
      </c>
      <c r="T61" s="109" t="s">
        <v>44</v>
      </c>
      <c r="U61" s="109" t="s">
        <v>44</v>
      </c>
      <c r="V61" s="109" t="s">
        <v>44</v>
      </c>
      <c r="W61" s="72" t="s">
        <v>34</v>
      </c>
      <c r="X61" s="72" t="s">
        <v>34</v>
      </c>
      <c r="Y61" s="108" t="s">
        <v>43</v>
      </c>
      <c r="Z61" s="108" t="s">
        <v>43</v>
      </c>
      <c r="AA61" s="108" t="s">
        <v>43</v>
      </c>
      <c r="AB61" s="108" t="s">
        <v>43</v>
      </c>
      <c r="AC61" s="108" t="s">
        <v>43</v>
      </c>
      <c r="AD61" s="108" t="s">
        <v>43</v>
      </c>
      <c r="AE61" s="72" t="s">
        <v>34</v>
      </c>
      <c r="AF61" s="72" t="s">
        <v>34</v>
      </c>
      <c r="AG61" s="56">
        <f t="shared" si="3"/>
        <v>0</v>
      </c>
      <c r="AH61" s="56"/>
      <c r="AI61" s="56"/>
      <c r="AJ61" s="56"/>
      <c r="AK61" s="78" t="s">
        <v>52</v>
      </c>
    </row>
    <row r="62" spans="1:37">
      <c r="A62" s="59">
        <v>44878</v>
      </c>
      <c r="B62" s="17">
        <v>1600</v>
      </c>
      <c r="C62" s="17"/>
      <c r="D62" s="17">
        <f>(SUM(粮草!A62:X62)+AG62*10)*IF(AK62="是",$AY$4,$AY$3)</f>
        <v>1880</v>
      </c>
      <c r="E62" s="76">
        <f>SUM($B$4:B62)+SUM($C$4:C62)-SUM($D$4:D62)</f>
        <v>6360</v>
      </c>
      <c r="F62" s="17">
        <f>SUM(经验!A62:X62)</f>
        <v>720</v>
      </c>
      <c r="G62" s="17">
        <f>SUM($F$4:F62)+SUM($H$4:H62)</f>
        <v>40270</v>
      </c>
      <c r="H62" s="17">
        <v>0</v>
      </c>
      <c r="I62" s="79" t="s">
        <v>34</v>
      </c>
      <c r="J62" s="79" t="s">
        <v>34</v>
      </c>
      <c r="K62" s="79" t="s">
        <v>34</v>
      </c>
      <c r="L62" s="79" t="s">
        <v>34</v>
      </c>
      <c r="M62" s="79" t="s">
        <v>34</v>
      </c>
      <c r="N62" s="79" t="s">
        <v>34</v>
      </c>
      <c r="O62" s="72" t="s">
        <v>34</v>
      </c>
      <c r="P62" s="72" t="s">
        <v>34</v>
      </c>
      <c r="Q62" s="109" t="s">
        <v>44</v>
      </c>
      <c r="R62" s="109" t="s">
        <v>44</v>
      </c>
      <c r="S62" s="109" t="s">
        <v>44</v>
      </c>
      <c r="T62" s="109" t="s">
        <v>44</v>
      </c>
      <c r="U62" s="109" t="s">
        <v>44</v>
      </c>
      <c r="V62" s="109" t="s">
        <v>44</v>
      </c>
      <c r="W62" s="72" t="s">
        <v>34</v>
      </c>
      <c r="X62" s="72" t="s">
        <v>34</v>
      </c>
      <c r="Y62" s="109" t="s">
        <v>44</v>
      </c>
      <c r="Z62" s="109" t="s">
        <v>44</v>
      </c>
      <c r="AA62" s="109" t="s">
        <v>44</v>
      </c>
      <c r="AB62" s="109" t="s">
        <v>44</v>
      </c>
      <c r="AC62" s="109" t="s">
        <v>44</v>
      </c>
      <c r="AD62" s="111" t="s">
        <v>50</v>
      </c>
      <c r="AE62" s="72" t="s">
        <v>34</v>
      </c>
      <c r="AF62" s="72" t="s">
        <v>34</v>
      </c>
      <c r="AG62" s="56">
        <f t="shared" si="3"/>
        <v>0</v>
      </c>
      <c r="AH62" s="56"/>
      <c r="AI62" s="56"/>
      <c r="AJ62" s="56"/>
      <c r="AK62" s="78" t="s">
        <v>52</v>
      </c>
    </row>
    <row r="63" spans="1:37">
      <c r="A63" s="59">
        <v>44879</v>
      </c>
      <c r="B63" s="18">
        <v>1600</v>
      </c>
      <c r="C63" s="18"/>
      <c r="D63" s="17">
        <f>(SUM(粮草!A63:X63)+AG63*10)*IF(AK63="是",$AY$4,$AY$3)</f>
        <v>1880</v>
      </c>
      <c r="E63" s="76">
        <f>SUM($B$4:B63)+SUM($C$4:C63)-SUM($D$4:D63)</f>
        <v>6080</v>
      </c>
      <c r="F63" s="17">
        <f>SUM(经验!A63:X63)</f>
        <v>695</v>
      </c>
      <c r="G63" s="17">
        <f>SUM($F$4:F63)+SUM($H$4:H63)</f>
        <v>41265</v>
      </c>
      <c r="H63" s="18">
        <v>300</v>
      </c>
      <c r="I63" s="79" t="s">
        <v>34</v>
      </c>
      <c r="J63" s="79" t="s">
        <v>34</v>
      </c>
      <c r="K63" s="79" t="s">
        <v>34</v>
      </c>
      <c r="L63" s="79" t="s">
        <v>34</v>
      </c>
      <c r="M63" s="79" t="s">
        <v>34</v>
      </c>
      <c r="N63" s="79" t="s">
        <v>34</v>
      </c>
      <c r="O63" s="72" t="s">
        <v>34</v>
      </c>
      <c r="P63" s="72" t="s">
        <v>34</v>
      </c>
      <c r="Q63" s="109" t="s">
        <v>44</v>
      </c>
      <c r="R63" s="109" t="s">
        <v>44</v>
      </c>
      <c r="S63" s="109" t="s">
        <v>44</v>
      </c>
      <c r="T63" s="109" t="s">
        <v>44</v>
      </c>
      <c r="U63" s="109" t="s">
        <v>44</v>
      </c>
      <c r="V63" s="109" t="s">
        <v>44</v>
      </c>
      <c r="W63" s="72" t="s">
        <v>34</v>
      </c>
      <c r="X63" s="72" t="s">
        <v>34</v>
      </c>
      <c r="Y63" s="109" t="s">
        <v>44</v>
      </c>
      <c r="Z63" s="108" t="s">
        <v>43</v>
      </c>
      <c r="AA63" s="108" t="s">
        <v>43</v>
      </c>
      <c r="AB63" s="108" t="s">
        <v>43</v>
      </c>
      <c r="AC63" s="108" t="s">
        <v>43</v>
      </c>
      <c r="AD63" s="108" t="s">
        <v>43</v>
      </c>
      <c r="AE63" s="72" t="s">
        <v>34</v>
      </c>
      <c r="AF63" s="72" t="s">
        <v>34</v>
      </c>
      <c r="AG63" s="56">
        <f t="shared" si="3"/>
        <v>0</v>
      </c>
      <c r="AH63" s="56"/>
      <c r="AI63" s="56"/>
      <c r="AJ63" s="56"/>
      <c r="AK63" s="78" t="s">
        <v>52</v>
      </c>
    </row>
    <row r="64" spans="1:37">
      <c r="A64" s="59">
        <v>44880</v>
      </c>
      <c r="B64" s="18">
        <v>1600</v>
      </c>
      <c r="C64" s="18"/>
      <c r="D64" s="17">
        <f>(SUM(粮草!A64:X64)+AG64*10)*IF(AK64="是",$AY$4,$AY$3)</f>
        <v>1872</v>
      </c>
      <c r="E64" s="76">
        <f>SUM($B$4:B64)+SUM($C$4:C64)-SUM($D$4:D64)</f>
        <v>5808</v>
      </c>
      <c r="F64" s="17">
        <f>SUM(经验!A64:X64)</f>
        <v>690</v>
      </c>
      <c r="G64" s="17">
        <f>SUM($F$4:F64)+SUM($H$4:H64)</f>
        <v>41955</v>
      </c>
      <c r="H64" s="18">
        <v>0</v>
      </c>
      <c r="I64" s="79" t="s">
        <v>34</v>
      </c>
      <c r="J64" s="79" t="s">
        <v>34</v>
      </c>
      <c r="K64" s="79" t="s">
        <v>34</v>
      </c>
      <c r="L64" s="79" t="s">
        <v>34</v>
      </c>
      <c r="M64" s="79" t="s">
        <v>34</v>
      </c>
      <c r="N64" s="79" t="s">
        <v>34</v>
      </c>
      <c r="O64" s="72" t="s">
        <v>34</v>
      </c>
      <c r="P64" s="72" t="s">
        <v>34</v>
      </c>
      <c r="Q64" s="109" t="s">
        <v>44</v>
      </c>
      <c r="R64" s="109" t="s">
        <v>44</v>
      </c>
      <c r="S64" s="109" t="s">
        <v>44</v>
      </c>
      <c r="T64" s="109" t="s">
        <v>44</v>
      </c>
      <c r="U64" s="109" t="s">
        <v>44</v>
      </c>
      <c r="V64" s="109" t="s">
        <v>44</v>
      </c>
      <c r="W64" s="72" t="s">
        <v>34</v>
      </c>
      <c r="X64" s="72" t="s">
        <v>34</v>
      </c>
      <c r="Y64" s="108" t="s">
        <v>43</v>
      </c>
      <c r="Z64" s="108" t="s">
        <v>43</v>
      </c>
      <c r="AA64" s="108" t="s">
        <v>43</v>
      </c>
      <c r="AB64" s="108" t="s">
        <v>43</v>
      </c>
      <c r="AC64" s="108" t="s">
        <v>43</v>
      </c>
      <c r="AD64" s="108" t="s">
        <v>43</v>
      </c>
      <c r="AE64" s="72" t="s">
        <v>34</v>
      </c>
      <c r="AF64" s="72" t="s">
        <v>34</v>
      </c>
      <c r="AG64" s="56">
        <f t="shared" si="3"/>
        <v>0</v>
      </c>
      <c r="AH64" s="56"/>
      <c r="AI64" s="56"/>
      <c r="AJ64" s="56"/>
      <c r="AK64" s="78" t="s">
        <v>52</v>
      </c>
    </row>
    <row r="65" spans="1:37">
      <c r="A65" s="59">
        <v>44881</v>
      </c>
      <c r="B65" s="18">
        <v>1600</v>
      </c>
      <c r="C65" s="18"/>
      <c r="D65" s="17">
        <f>(SUM(粮草!A65:X65)+AG65*10)*IF(AK65="是",$AY$4,$AY$3)</f>
        <v>1872</v>
      </c>
      <c r="E65" s="76">
        <f>SUM($B$4:B65)+SUM($C$4:C65)-SUM($D$4:D65)</f>
        <v>5536</v>
      </c>
      <c r="F65" s="17">
        <f>SUM(经验!A65:X65)</f>
        <v>690</v>
      </c>
      <c r="G65" s="17">
        <f>SUM($F$4:F65)+SUM($H$4:H65)</f>
        <v>42845</v>
      </c>
      <c r="H65" s="18">
        <v>200</v>
      </c>
      <c r="I65" s="79" t="s">
        <v>34</v>
      </c>
      <c r="J65" s="79" t="s">
        <v>34</v>
      </c>
      <c r="K65" s="79" t="s">
        <v>34</v>
      </c>
      <c r="L65" s="79" t="s">
        <v>34</v>
      </c>
      <c r="M65" s="79" t="s">
        <v>34</v>
      </c>
      <c r="N65" s="79" t="s">
        <v>34</v>
      </c>
      <c r="O65" s="72" t="s">
        <v>34</v>
      </c>
      <c r="P65" s="72" t="s">
        <v>34</v>
      </c>
      <c r="Q65" s="109" t="s">
        <v>44</v>
      </c>
      <c r="R65" s="109" t="s">
        <v>44</v>
      </c>
      <c r="S65" s="109" t="s">
        <v>44</v>
      </c>
      <c r="T65" s="109" t="s">
        <v>44</v>
      </c>
      <c r="U65" s="109" t="s">
        <v>44</v>
      </c>
      <c r="V65" s="109" t="s">
        <v>44</v>
      </c>
      <c r="W65" s="72" t="s">
        <v>34</v>
      </c>
      <c r="X65" s="72" t="s">
        <v>34</v>
      </c>
      <c r="Y65" s="108" t="s">
        <v>43</v>
      </c>
      <c r="Z65" s="108" t="s">
        <v>43</v>
      </c>
      <c r="AA65" s="108" t="s">
        <v>43</v>
      </c>
      <c r="AB65" s="108" t="s">
        <v>43</v>
      </c>
      <c r="AC65" s="108" t="s">
        <v>43</v>
      </c>
      <c r="AD65" s="108" t="s">
        <v>43</v>
      </c>
      <c r="AE65" s="72" t="s">
        <v>34</v>
      </c>
      <c r="AF65" s="72" t="s">
        <v>34</v>
      </c>
      <c r="AG65" s="56">
        <f t="shared" si="3"/>
        <v>0</v>
      </c>
      <c r="AH65" s="56"/>
      <c r="AI65" s="56"/>
      <c r="AJ65" s="56"/>
      <c r="AK65" s="78" t="s">
        <v>52</v>
      </c>
    </row>
    <row r="66" spans="1:37">
      <c r="A66" s="59">
        <v>44882</v>
      </c>
      <c r="B66" s="18">
        <v>1600</v>
      </c>
      <c r="C66" s="18"/>
      <c r="D66" s="17">
        <f>(SUM(粮草!A66:X66)+AG66*10)*IF(AK66="是",$AY$4,$AY$3)</f>
        <v>1760</v>
      </c>
      <c r="E66" s="76">
        <f>SUM($B$4:B66)+SUM($C$4:C66)-SUM($D$4:D66)</f>
        <v>5376</v>
      </c>
      <c r="F66" s="17">
        <f>SUM(经验!A66:X66)</f>
        <v>665</v>
      </c>
      <c r="G66" s="17">
        <f>SUM($F$4:F66)+SUM($H$4:H66)</f>
        <v>43510</v>
      </c>
      <c r="H66" s="18">
        <v>0</v>
      </c>
      <c r="I66" s="79" t="s">
        <v>34</v>
      </c>
      <c r="J66" s="79" t="s">
        <v>34</v>
      </c>
      <c r="K66" s="79" t="s">
        <v>34</v>
      </c>
      <c r="L66" s="79" t="s">
        <v>34</v>
      </c>
      <c r="M66" s="79" t="s">
        <v>34</v>
      </c>
      <c r="N66" s="79" t="s">
        <v>34</v>
      </c>
      <c r="O66" s="72" t="s">
        <v>34</v>
      </c>
      <c r="P66" s="72" t="s">
        <v>34</v>
      </c>
      <c r="Q66" s="109" t="s">
        <v>44</v>
      </c>
      <c r="R66" s="109" t="s">
        <v>44</v>
      </c>
      <c r="S66" s="109" t="s">
        <v>44</v>
      </c>
      <c r="T66" s="109" t="s">
        <v>44</v>
      </c>
      <c r="U66" s="109" t="s">
        <v>44</v>
      </c>
      <c r="V66" s="109" t="s">
        <v>44</v>
      </c>
      <c r="W66" s="72" t="s">
        <v>34</v>
      </c>
      <c r="X66" s="72" t="s">
        <v>34</v>
      </c>
      <c r="Y66" s="108" t="s">
        <v>43</v>
      </c>
      <c r="Z66" s="108" t="s">
        <v>43</v>
      </c>
      <c r="AA66" s="108" t="s">
        <v>43</v>
      </c>
      <c r="AB66" s="108" t="s">
        <v>43</v>
      </c>
      <c r="AC66" s="101" t="s">
        <v>39</v>
      </c>
      <c r="AD66" s="108" t="s">
        <v>43</v>
      </c>
      <c r="AE66" s="72" t="s">
        <v>34</v>
      </c>
      <c r="AF66" s="72" t="s">
        <v>34</v>
      </c>
      <c r="AG66" s="56">
        <f t="shared" si="3"/>
        <v>0</v>
      </c>
      <c r="AH66" s="56"/>
      <c r="AI66" s="56"/>
      <c r="AJ66" s="56"/>
      <c r="AK66" s="78" t="s">
        <v>52</v>
      </c>
    </row>
    <row r="67" spans="1:37">
      <c r="A67" s="59">
        <v>44883</v>
      </c>
      <c r="B67" s="18">
        <v>1600</v>
      </c>
      <c r="C67" s="18"/>
      <c r="D67" s="17">
        <f>(SUM(粮草!A67:X67)+AG67*10)*IF(AK67="是",$AY$4,$AY$3)</f>
        <v>1872</v>
      </c>
      <c r="E67" s="76">
        <f>SUM($B$4:B67)+SUM($C$4:C67)-SUM($D$4:D67)</f>
        <v>5104</v>
      </c>
      <c r="F67" s="17">
        <f>SUM(经验!A67:X67)</f>
        <v>690</v>
      </c>
      <c r="G67" s="17">
        <f>SUM($F$4:F67)+SUM($H$4:H67)</f>
        <v>44200</v>
      </c>
      <c r="H67" s="18">
        <v>0</v>
      </c>
      <c r="I67" s="79" t="s">
        <v>34</v>
      </c>
      <c r="J67" s="79" t="s">
        <v>34</v>
      </c>
      <c r="K67" s="79" t="s">
        <v>34</v>
      </c>
      <c r="L67" s="79" t="s">
        <v>34</v>
      </c>
      <c r="M67" s="79" t="s">
        <v>34</v>
      </c>
      <c r="N67" s="79" t="s">
        <v>34</v>
      </c>
      <c r="O67" s="72" t="s">
        <v>34</v>
      </c>
      <c r="P67" s="72" t="s">
        <v>34</v>
      </c>
      <c r="Q67" s="109" t="s">
        <v>44</v>
      </c>
      <c r="R67" s="109" t="s">
        <v>44</v>
      </c>
      <c r="S67" s="109" t="s">
        <v>44</v>
      </c>
      <c r="T67" s="109" t="s">
        <v>44</v>
      </c>
      <c r="U67" s="109" t="s">
        <v>44</v>
      </c>
      <c r="V67" s="109" t="s">
        <v>44</v>
      </c>
      <c r="W67" s="72" t="s">
        <v>34</v>
      </c>
      <c r="X67" s="72" t="s">
        <v>34</v>
      </c>
      <c r="Y67" s="108" t="s">
        <v>43</v>
      </c>
      <c r="Z67" s="108" t="s">
        <v>43</v>
      </c>
      <c r="AA67" s="108" t="s">
        <v>43</v>
      </c>
      <c r="AB67" s="108" t="s">
        <v>43</v>
      </c>
      <c r="AC67" s="108" t="s">
        <v>43</v>
      </c>
      <c r="AD67" s="108" t="s">
        <v>43</v>
      </c>
      <c r="AE67" s="72" t="s">
        <v>34</v>
      </c>
      <c r="AF67" s="72" t="s">
        <v>34</v>
      </c>
      <c r="AG67" s="56">
        <f t="shared" si="3"/>
        <v>0</v>
      </c>
      <c r="AH67" s="56"/>
      <c r="AI67" s="56"/>
      <c r="AJ67" s="56"/>
      <c r="AK67" s="78" t="s">
        <v>52</v>
      </c>
    </row>
    <row r="68" spans="1:37">
      <c r="A68" s="59">
        <v>44884</v>
      </c>
      <c r="B68" s="18">
        <v>1600</v>
      </c>
      <c r="C68" s="18"/>
      <c r="D68" s="17">
        <f>(SUM(粮草!A68:X68)+AG68*10)*IF(AK68="是",$AY$4,$AY$3)</f>
        <v>1880</v>
      </c>
      <c r="E68" s="76">
        <f>SUM($B$4:B68)+SUM($C$4:C68)-SUM($D$4:D68)</f>
        <v>4824</v>
      </c>
      <c r="F68" s="17">
        <f>SUM(经验!A68:X68)</f>
        <v>695</v>
      </c>
      <c r="G68" s="17">
        <f>SUM($F$4:F68)+SUM($H$4:H68)</f>
        <v>44895</v>
      </c>
      <c r="H68" s="18">
        <v>0</v>
      </c>
      <c r="I68" s="79" t="s">
        <v>34</v>
      </c>
      <c r="J68" s="79" t="s">
        <v>34</v>
      </c>
      <c r="K68" s="79" t="s">
        <v>34</v>
      </c>
      <c r="L68" s="79" t="s">
        <v>34</v>
      </c>
      <c r="M68" s="79" t="s">
        <v>34</v>
      </c>
      <c r="N68" s="79" t="s">
        <v>34</v>
      </c>
      <c r="O68" s="72" t="s">
        <v>34</v>
      </c>
      <c r="P68" s="72" t="s">
        <v>34</v>
      </c>
      <c r="Q68" s="109" t="s">
        <v>44</v>
      </c>
      <c r="R68" s="109" t="s">
        <v>44</v>
      </c>
      <c r="S68" s="109" t="s">
        <v>44</v>
      </c>
      <c r="T68" s="109" t="s">
        <v>44</v>
      </c>
      <c r="U68" s="109" t="s">
        <v>44</v>
      </c>
      <c r="V68" s="109" t="s">
        <v>44</v>
      </c>
      <c r="W68" s="72" t="s">
        <v>34</v>
      </c>
      <c r="X68" s="72" t="s">
        <v>34</v>
      </c>
      <c r="Y68" s="108" t="s">
        <v>43</v>
      </c>
      <c r="Z68" s="108" t="s">
        <v>43</v>
      </c>
      <c r="AA68" s="108" t="s">
        <v>43</v>
      </c>
      <c r="AB68" s="108" t="s">
        <v>43</v>
      </c>
      <c r="AC68" s="108" t="s">
        <v>43</v>
      </c>
      <c r="AD68" s="109" t="s">
        <v>44</v>
      </c>
      <c r="AE68" s="72" t="s">
        <v>34</v>
      </c>
      <c r="AF68" s="72" t="s">
        <v>34</v>
      </c>
      <c r="AG68" s="56">
        <f t="shared" si="3"/>
        <v>0</v>
      </c>
      <c r="AH68" s="56"/>
      <c r="AI68" s="56"/>
      <c r="AJ68" s="56"/>
      <c r="AK68" s="78" t="s">
        <v>52</v>
      </c>
    </row>
    <row r="69" spans="1:37">
      <c r="A69" s="59">
        <v>44885</v>
      </c>
      <c r="B69" s="18">
        <v>1600</v>
      </c>
      <c r="C69" s="18"/>
      <c r="D69" s="17">
        <f>(SUM(粮草!A69:X69)+AG69*10)*IF(AK69="是",$AY$4,$AY$3)</f>
        <v>1904</v>
      </c>
      <c r="E69" s="76">
        <f>SUM($B$4:B69)+SUM($C$4:C69)-SUM($D$4:D69)</f>
        <v>4520</v>
      </c>
      <c r="F69" s="17">
        <f>SUM(经验!A69:X69)</f>
        <v>710</v>
      </c>
      <c r="G69" s="17">
        <f>SUM($F$4:F69)+SUM($H$4:H69)</f>
        <v>45605</v>
      </c>
      <c r="H69" s="18">
        <v>0</v>
      </c>
      <c r="I69" s="79" t="s">
        <v>34</v>
      </c>
      <c r="J69" s="79" t="s">
        <v>34</v>
      </c>
      <c r="K69" s="79" t="s">
        <v>34</v>
      </c>
      <c r="L69" s="79" t="s">
        <v>34</v>
      </c>
      <c r="M69" s="79" t="s">
        <v>34</v>
      </c>
      <c r="N69" s="79" t="s">
        <v>34</v>
      </c>
      <c r="O69" s="72" t="s">
        <v>34</v>
      </c>
      <c r="P69" s="72" t="s">
        <v>34</v>
      </c>
      <c r="Q69" s="109" t="s">
        <v>44</v>
      </c>
      <c r="R69" s="109" t="s">
        <v>44</v>
      </c>
      <c r="S69" s="109" t="s">
        <v>44</v>
      </c>
      <c r="T69" s="109" t="s">
        <v>44</v>
      </c>
      <c r="U69" s="109" t="s">
        <v>44</v>
      </c>
      <c r="V69" s="109" t="s">
        <v>44</v>
      </c>
      <c r="W69" s="72" t="s">
        <v>34</v>
      </c>
      <c r="X69" s="72" t="s">
        <v>34</v>
      </c>
      <c r="Y69" s="109" t="s">
        <v>44</v>
      </c>
      <c r="Z69" s="108" t="s">
        <v>43</v>
      </c>
      <c r="AA69" s="109" t="s">
        <v>44</v>
      </c>
      <c r="AB69" s="109" t="s">
        <v>44</v>
      </c>
      <c r="AC69" s="109" t="s">
        <v>44</v>
      </c>
      <c r="AD69" s="108" t="s">
        <v>43</v>
      </c>
      <c r="AE69" s="72" t="s">
        <v>34</v>
      </c>
      <c r="AF69" s="72" t="s">
        <v>34</v>
      </c>
      <c r="AG69" s="56">
        <f t="shared" ref="AG69:AG94" si="13">AH69+AI69+AJ69</f>
        <v>0</v>
      </c>
      <c r="AH69" s="56"/>
      <c r="AI69" s="56"/>
      <c r="AJ69" s="56"/>
      <c r="AK69" s="78" t="s">
        <v>52</v>
      </c>
    </row>
    <row r="70" spans="1:37">
      <c r="A70" s="59">
        <v>44886</v>
      </c>
      <c r="B70" s="17">
        <v>1600</v>
      </c>
      <c r="C70" s="17"/>
      <c r="D70" s="17">
        <f>(SUM(粮草!A70:X70)+AG70*10)*IF(AK70="是",$AY$4,$AY$3)</f>
        <v>1888</v>
      </c>
      <c r="E70" s="76">
        <f>SUM($B$4:B70)+SUM($C$4:C70)-SUM($D$4:D70)</f>
        <v>4232</v>
      </c>
      <c r="F70" s="17">
        <f>SUM(经验!A70:X70)</f>
        <v>700</v>
      </c>
      <c r="G70" s="17">
        <f>SUM($F$4:F70)+SUM($H$4:H70)</f>
        <v>46605</v>
      </c>
      <c r="H70" s="17">
        <v>300</v>
      </c>
      <c r="I70" s="79" t="s">
        <v>34</v>
      </c>
      <c r="J70" s="79" t="s">
        <v>34</v>
      </c>
      <c r="K70" s="79" t="s">
        <v>34</v>
      </c>
      <c r="L70" s="79" t="s">
        <v>34</v>
      </c>
      <c r="M70" s="79" t="s">
        <v>34</v>
      </c>
      <c r="N70" s="79" t="s">
        <v>34</v>
      </c>
      <c r="O70" s="72" t="s">
        <v>34</v>
      </c>
      <c r="P70" s="72" t="s">
        <v>34</v>
      </c>
      <c r="Q70" s="109" t="s">
        <v>44</v>
      </c>
      <c r="R70" s="109" t="s">
        <v>44</v>
      </c>
      <c r="S70" s="109" t="s">
        <v>44</v>
      </c>
      <c r="T70" s="109" t="s">
        <v>44</v>
      </c>
      <c r="U70" s="109" t="s">
        <v>44</v>
      </c>
      <c r="V70" s="109" t="s">
        <v>44</v>
      </c>
      <c r="W70" s="72" t="s">
        <v>34</v>
      </c>
      <c r="X70" s="72" t="s">
        <v>34</v>
      </c>
      <c r="Y70" s="108" t="s">
        <v>43</v>
      </c>
      <c r="Z70" s="108" t="s">
        <v>43</v>
      </c>
      <c r="AA70" s="108" t="s">
        <v>43</v>
      </c>
      <c r="AB70" s="108" t="s">
        <v>43</v>
      </c>
      <c r="AC70" s="109" t="s">
        <v>44</v>
      </c>
      <c r="AD70" s="109" t="s">
        <v>44</v>
      </c>
      <c r="AE70" s="72" t="s">
        <v>34</v>
      </c>
      <c r="AF70" s="72" t="s">
        <v>34</v>
      </c>
      <c r="AG70" s="56">
        <f t="shared" si="13"/>
        <v>0</v>
      </c>
      <c r="AH70" s="56"/>
      <c r="AI70" s="56"/>
      <c r="AJ70" s="56"/>
      <c r="AK70" s="78" t="s">
        <v>52</v>
      </c>
    </row>
    <row r="71" spans="1:37">
      <c r="A71" s="59">
        <v>44887</v>
      </c>
      <c r="B71" s="17">
        <v>1600</v>
      </c>
      <c r="C71" s="17"/>
      <c r="D71" s="17">
        <f>(SUM(粮草!A71:X71)+AG71*10)*IF(AK71="是",$AY$4,$AY$3)</f>
        <v>1872</v>
      </c>
      <c r="E71" s="76">
        <f>SUM($B$4:B71)+SUM($C$4:C71)-SUM($D$4:D71)</f>
        <v>3960</v>
      </c>
      <c r="F71" s="17">
        <f>SUM(经验!A71:X71)</f>
        <v>690</v>
      </c>
      <c r="G71" s="17">
        <f>SUM($F$4:F71)+SUM($H$4:H71)</f>
        <v>47295</v>
      </c>
      <c r="H71" s="17">
        <v>0</v>
      </c>
      <c r="I71" s="79" t="s">
        <v>34</v>
      </c>
      <c r="J71" s="79" t="s">
        <v>34</v>
      </c>
      <c r="K71" s="79" t="s">
        <v>34</v>
      </c>
      <c r="L71" s="79" t="s">
        <v>34</v>
      </c>
      <c r="M71" s="79" t="s">
        <v>34</v>
      </c>
      <c r="N71" s="79" t="s">
        <v>34</v>
      </c>
      <c r="O71" s="72" t="s">
        <v>34</v>
      </c>
      <c r="P71" s="72" t="s">
        <v>34</v>
      </c>
      <c r="Q71" s="109" t="s">
        <v>44</v>
      </c>
      <c r="R71" s="109" t="s">
        <v>44</v>
      </c>
      <c r="S71" s="109" t="s">
        <v>44</v>
      </c>
      <c r="T71" s="109" t="s">
        <v>44</v>
      </c>
      <c r="U71" s="109" t="s">
        <v>44</v>
      </c>
      <c r="V71" s="109" t="s">
        <v>44</v>
      </c>
      <c r="W71" s="72" t="s">
        <v>34</v>
      </c>
      <c r="X71" s="72" t="s">
        <v>34</v>
      </c>
      <c r="Y71" s="108" t="s">
        <v>43</v>
      </c>
      <c r="Z71" s="108" t="s">
        <v>43</v>
      </c>
      <c r="AA71" s="108" t="s">
        <v>43</v>
      </c>
      <c r="AB71" s="108" t="s">
        <v>43</v>
      </c>
      <c r="AC71" s="108" t="s">
        <v>43</v>
      </c>
      <c r="AD71" s="108" t="s">
        <v>43</v>
      </c>
      <c r="AE71" s="72" t="s">
        <v>34</v>
      </c>
      <c r="AF71" s="72" t="s">
        <v>34</v>
      </c>
      <c r="AG71" s="56">
        <f t="shared" si="13"/>
        <v>0</v>
      </c>
      <c r="AH71" s="56"/>
      <c r="AI71" s="56"/>
      <c r="AJ71" s="56"/>
      <c r="AK71" s="78" t="s">
        <v>52</v>
      </c>
    </row>
    <row r="72" spans="1:37">
      <c r="A72" s="59">
        <v>44888</v>
      </c>
      <c r="B72" s="17">
        <v>1600</v>
      </c>
      <c r="C72" s="17"/>
      <c r="D72" s="17">
        <f>(SUM(粮草!A72:X72)+AG72*10)*IF(AK72="是",$AY$4,$AY$3)</f>
        <v>1888</v>
      </c>
      <c r="E72" s="76">
        <f>SUM($B$4:B72)+SUM($C$4:C72)-SUM($D$4:D72)</f>
        <v>3672</v>
      </c>
      <c r="F72" s="17">
        <f>SUM(经验!A72:X72)</f>
        <v>1675</v>
      </c>
      <c r="G72" s="17">
        <f>SUM($F$4:F72)+SUM($H$4:H72)</f>
        <v>49170</v>
      </c>
      <c r="H72" s="17">
        <v>200</v>
      </c>
      <c r="I72" s="79" t="s">
        <v>34</v>
      </c>
      <c r="J72" s="79" t="s">
        <v>34</v>
      </c>
      <c r="K72" s="79" t="s">
        <v>34</v>
      </c>
      <c r="L72" s="79" t="s">
        <v>34</v>
      </c>
      <c r="M72" s="79" t="s">
        <v>34</v>
      </c>
      <c r="N72" s="79" t="s">
        <v>34</v>
      </c>
      <c r="O72" s="72" t="s">
        <v>34</v>
      </c>
      <c r="P72" s="72" t="s">
        <v>34</v>
      </c>
      <c r="Q72" s="109" t="s">
        <v>44</v>
      </c>
      <c r="R72" s="109" t="s">
        <v>44</v>
      </c>
      <c r="S72" s="109" t="s">
        <v>44</v>
      </c>
      <c r="T72" s="110" t="s">
        <v>54</v>
      </c>
      <c r="U72" s="108" t="s">
        <v>43</v>
      </c>
      <c r="V72" s="108" t="s">
        <v>43</v>
      </c>
      <c r="W72" s="72" t="s">
        <v>34</v>
      </c>
      <c r="X72" s="72" t="s">
        <v>34</v>
      </c>
      <c r="Y72" s="108" t="s">
        <v>43</v>
      </c>
      <c r="Z72" s="108" t="s">
        <v>43</v>
      </c>
      <c r="AA72" s="108" t="s">
        <v>43</v>
      </c>
      <c r="AB72" s="108" t="s">
        <v>43</v>
      </c>
      <c r="AC72" s="102" t="s">
        <v>59</v>
      </c>
      <c r="AD72" s="108" t="s">
        <v>43</v>
      </c>
      <c r="AE72" s="108" t="s">
        <v>43</v>
      </c>
      <c r="AF72" s="108" t="s">
        <v>43</v>
      </c>
      <c r="AG72" s="56">
        <f t="shared" si="13"/>
        <v>0</v>
      </c>
      <c r="AH72" s="56"/>
      <c r="AI72" s="56"/>
      <c r="AJ72" s="56"/>
      <c r="AK72" s="78" t="s">
        <v>52</v>
      </c>
    </row>
    <row r="73" spans="1:37">
      <c r="A73" s="59">
        <v>44889</v>
      </c>
      <c r="B73" s="17">
        <v>1600</v>
      </c>
      <c r="C73" s="17"/>
      <c r="D73" s="17">
        <f>(SUM(粮草!A73:X73)+AG73*10)*IF(AK73="是",$AY$4,$AY$3)</f>
        <v>1864</v>
      </c>
      <c r="E73" s="76">
        <f>SUM($B$4:B73)+SUM($C$4:C73)-SUM($D$4:D73)</f>
        <v>3408</v>
      </c>
      <c r="F73" s="17">
        <f>SUM(经验!A73:X73)</f>
        <v>1180</v>
      </c>
      <c r="G73" s="17">
        <f>SUM($F$4:F73)+SUM($H$4:H73)</f>
        <v>50350</v>
      </c>
      <c r="H73" s="17">
        <v>0</v>
      </c>
      <c r="I73" s="79" t="s">
        <v>34</v>
      </c>
      <c r="J73" s="79" t="s">
        <v>34</v>
      </c>
      <c r="K73" s="79" t="s">
        <v>34</v>
      </c>
      <c r="L73" s="79" t="s">
        <v>34</v>
      </c>
      <c r="M73" s="79" t="s">
        <v>34</v>
      </c>
      <c r="N73" s="79" t="s">
        <v>34</v>
      </c>
      <c r="O73" s="72" t="s">
        <v>34</v>
      </c>
      <c r="P73" s="72" t="s">
        <v>34</v>
      </c>
      <c r="Q73" s="108" t="s">
        <v>43</v>
      </c>
      <c r="R73" s="108" t="s">
        <v>43</v>
      </c>
      <c r="S73" s="108" t="s">
        <v>43</v>
      </c>
      <c r="T73" s="108" t="s">
        <v>43</v>
      </c>
      <c r="U73" s="108" t="s">
        <v>43</v>
      </c>
      <c r="V73" s="108" t="s">
        <v>43</v>
      </c>
      <c r="W73" s="72" t="s">
        <v>34</v>
      </c>
      <c r="X73" s="72" t="s">
        <v>34</v>
      </c>
      <c r="Y73" s="108" t="s">
        <v>43</v>
      </c>
      <c r="Z73" s="77" t="s">
        <v>71</v>
      </c>
      <c r="AA73" s="108" t="s">
        <v>43</v>
      </c>
      <c r="AB73" s="108" t="s">
        <v>43</v>
      </c>
      <c r="AC73" s="108" t="s">
        <v>43</v>
      </c>
      <c r="AD73" s="108" t="s">
        <v>43</v>
      </c>
      <c r="AE73" s="108" t="s">
        <v>43</v>
      </c>
      <c r="AF73" s="72" t="s">
        <v>34</v>
      </c>
      <c r="AG73" s="56">
        <f t="shared" si="13"/>
        <v>0</v>
      </c>
      <c r="AH73" s="56"/>
      <c r="AI73" s="56"/>
      <c r="AJ73" s="56"/>
      <c r="AK73" s="78" t="s">
        <v>52</v>
      </c>
    </row>
    <row r="74" spans="1:37">
      <c r="A74" s="59">
        <v>44890</v>
      </c>
      <c r="B74" s="17">
        <v>1600</v>
      </c>
      <c r="C74" s="17"/>
      <c r="D74" s="17">
        <f>(SUM(粮草!A74:X74)+AG74*10)*IF(AK74="是",$AY$4,$AY$3)</f>
        <v>1792</v>
      </c>
      <c r="E74" s="76">
        <f>SUM($B$4:B74)+SUM($C$4:C74)-SUM($D$4:D74)</f>
        <v>3216</v>
      </c>
      <c r="F74" s="17">
        <f>SUM(经验!A74:X74)</f>
        <v>660</v>
      </c>
      <c r="G74" s="17">
        <f>SUM($F$4:F74)+SUM($H$4:H74)</f>
        <v>51010</v>
      </c>
      <c r="H74" s="17">
        <v>0</v>
      </c>
      <c r="I74" s="79" t="s">
        <v>34</v>
      </c>
      <c r="J74" s="79" t="s">
        <v>34</v>
      </c>
      <c r="K74" s="79" t="s">
        <v>34</v>
      </c>
      <c r="L74" s="79" t="s">
        <v>34</v>
      </c>
      <c r="M74" s="79" t="s">
        <v>34</v>
      </c>
      <c r="N74" s="79" t="s">
        <v>34</v>
      </c>
      <c r="O74" s="72" t="s">
        <v>34</v>
      </c>
      <c r="P74" s="72" t="s">
        <v>34</v>
      </c>
      <c r="Q74" s="108" t="s">
        <v>43</v>
      </c>
      <c r="R74" s="108" t="s">
        <v>43</v>
      </c>
      <c r="S74" s="108" t="s">
        <v>43</v>
      </c>
      <c r="T74" s="108" t="s">
        <v>43</v>
      </c>
      <c r="U74" s="108" t="s">
        <v>43</v>
      </c>
      <c r="V74" s="108" t="s">
        <v>43</v>
      </c>
      <c r="W74" s="72" t="s">
        <v>34</v>
      </c>
      <c r="X74" s="72" t="s">
        <v>34</v>
      </c>
      <c r="Y74" s="108" t="s">
        <v>43</v>
      </c>
      <c r="Z74" s="108" t="s">
        <v>43</v>
      </c>
      <c r="AA74" s="108" t="s">
        <v>43</v>
      </c>
      <c r="AB74" s="108" t="s">
        <v>43</v>
      </c>
      <c r="AC74" s="80" t="s">
        <v>49</v>
      </c>
      <c r="AD74" s="108" t="s">
        <v>43</v>
      </c>
      <c r="AE74" s="72" t="s">
        <v>34</v>
      </c>
      <c r="AF74" s="72" t="s">
        <v>34</v>
      </c>
      <c r="AG74" s="56">
        <f t="shared" si="13"/>
        <v>0</v>
      </c>
      <c r="AH74" s="56"/>
      <c r="AI74" s="56"/>
      <c r="AJ74" s="56"/>
      <c r="AK74" s="78" t="s">
        <v>52</v>
      </c>
    </row>
    <row r="75" spans="1:37">
      <c r="A75" s="59">
        <v>44891</v>
      </c>
      <c r="B75" s="17">
        <v>1600</v>
      </c>
      <c r="C75" s="17"/>
      <c r="D75" s="17">
        <f>(SUM(粮草!A75:X75)+AG75*10)*IF(AK75="是",$AY$4,$AY$3)</f>
        <v>1680</v>
      </c>
      <c r="E75" s="76">
        <f>SUM($B$4:B75)+SUM($C$4:C75)-SUM($D$4:D75)</f>
        <v>3136</v>
      </c>
      <c r="F75" s="17">
        <f>SUM(经验!A75:X75)</f>
        <v>630</v>
      </c>
      <c r="G75" s="17">
        <f>SUM($F$4:F75)+SUM($H$4:H75)</f>
        <v>51640</v>
      </c>
      <c r="H75" s="17">
        <v>0</v>
      </c>
      <c r="I75" s="79" t="s">
        <v>34</v>
      </c>
      <c r="J75" s="79" t="s">
        <v>34</v>
      </c>
      <c r="K75" s="79" t="s">
        <v>34</v>
      </c>
      <c r="L75" s="79" t="s">
        <v>34</v>
      </c>
      <c r="M75" s="79" t="s">
        <v>34</v>
      </c>
      <c r="N75" s="79" t="s">
        <v>34</v>
      </c>
      <c r="O75" s="72" t="s">
        <v>34</v>
      </c>
      <c r="P75" s="72" t="s">
        <v>34</v>
      </c>
      <c r="Q75" s="106" t="s">
        <v>48</v>
      </c>
      <c r="R75" s="108" t="s">
        <v>43</v>
      </c>
      <c r="S75" s="108" t="s">
        <v>43</v>
      </c>
      <c r="T75" s="101" t="s">
        <v>39</v>
      </c>
      <c r="U75" s="108" t="s">
        <v>43</v>
      </c>
      <c r="V75" s="108" t="s">
        <v>43</v>
      </c>
      <c r="W75" s="72" t="s">
        <v>34</v>
      </c>
      <c r="X75" s="72" t="s">
        <v>34</v>
      </c>
      <c r="Y75" s="108" t="s">
        <v>43</v>
      </c>
      <c r="Z75" s="108" t="s">
        <v>43</v>
      </c>
      <c r="AA75" s="108" t="s">
        <v>43</v>
      </c>
      <c r="AB75" s="108" t="s">
        <v>43</v>
      </c>
      <c r="AC75" s="108" t="s">
        <v>43</v>
      </c>
      <c r="AD75" s="108" t="s">
        <v>43</v>
      </c>
      <c r="AE75" s="72" t="s">
        <v>34</v>
      </c>
      <c r="AF75" s="72" t="s">
        <v>34</v>
      </c>
      <c r="AG75" s="56">
        <f t="shared" si="13"/>
        <v>0</v>
      </c>
      <c r="AH75" s="56"/>
      <c r="AI75" s="56"/>
      <c r="AJ75" s="56"/>
      <c r="AK75" s="78" t="s">
        <v>52</v>
      </c>
    </row>
    <row r="76" spans="1:37">
      <c r="A76" s="59">
        <v>44892</v>
      </c>
      <c r="B76" s="17">
        <v>1600</v>
      </c>
      <c r="C76" s="17"/>
      <c r="D76" s="17">
        <f>(SUM(粮草!A76:X76)+AG76*10)*IF(AK76="是",$AY$4,$AY$3)</f>
        <v>1792</v>
      </c>
      <c r="E76" s="76">
        <f>SUM($B$4:B76)+SUM($C$4:C76)-SUM($D$4:D76)</f>
        <v>2944</v>
      </c>
      <c r="F76" s="17">
        <f>SUM(经验!A76:X76)</f>
        <v>635</v>
      </c>
      <c r="G76" s="17">
        <f>SUM($F$4:F76)+SUM($H$4:H76)</f>
        <v>52275</v>
      </c>
      <c r="H76" s="17">
        <v>0</v>
      </c>
      <c r="I76" s="79" t="s">
        <v>34</v>
      </c>
      <c r="J76" s="79" t="s">
        <v>34</v>
      </c>
      <c r="K76" s="79" t="s">
        <v>34</v>
      </c>
      <c r="L76" s="79" t="s">
        <v>34</v>
      </c>
      <c r="M76" s="79" t="s">
        <v>34</v>
      </c>
      <c r="N76" s="79" t="s">
        <v>34</v>
      </c>
      <c r="O76" s="72" t="s">
        <v>34</v>
      </c>
      <c r="P76" s="72" t="s">
        <v>34</v>
      </c>
      <c r="Q76" s="108" t="s">
        <v>43</v>
      </c>
      <c r="R76" s="108" t="s">
        <v>43</v>
      </c>
      <c r="S76" s="108" t="s">
        <v>43</v>
      </c>
      <c r="T76" s="108" t="s">
        <v>43</v>
      </c>
      <c r="U76" s="108" t="s">
        <v>43</v>
      </c>
      <c r="V76" s="108" t="s">
        <v>43</v>
      </c>
      <c r="W76" s="72" t="s">
        <v>34</v>
      </c>
      <c r="X76" s="72" t="s">
        <v>34</v>
      </c>
      <c r="Y76" s="108" t="s">
        <v>43</v>
      </c>
      <c r="Z76" s="105" t="s">
        <v>42</v>
      </c>
      <c r="AA76" s="105" t="s">
        <v>42</v>
      </c>
      <c r="AB76" s="105" t="s">
        <v>42</v>
      </c>
      <c r="AC76" s="105" t="s">
        <v>42</v>
      </c>
      <c r="AD76" s="105" t="s">
        <v>42</v>
      </c>
      <c r="AE76" s="72" t="s">
        <v>34</v>
      </c>
      <c r="AF76" s="72" t="s">
        <v>34</v>
      </c>
      <c r="AG76" s="56">
        <f t="shared" si="13"/>
        <v>1</v>
      </c>
      <c r="AH76" s="56"/>
      <c r="AI76" s="56"/>
      <c r="AJ76" s="56">
        <v>1</v>
      </c>
      <c r="AK76" s="78" t="s">
        <v>52</v>
      </c>
    </row>
    <row r="77" spans="1:37">
      <c r="A77" s="59">
        <v>44893</v>
      </c>
      <c r="B77" s="18">
        <v>1600</v>
      </c>
      <c r="C77" s="18"/>
      <c r="D77" s="17">
        <f>(SUM(粮草!A77:X77)+AG77*10)*IF(AK77="是",$AY$4,$AY$3)</f>
        <v>1632</v>
      </c>
      <c r="E77" s="76">
        <f>SUM($B$4:B77)+SUM($C$4:C77)-SUM($D$4:D77)</f>
        <v>2912</v>
      </c>
      <c r="F77" s="17">
        <f>SUM(经验!A77:X77)</f>
        <v>585</v>
      </c>
      <c r="G77" s="17">
        <f>SUM($F$4:F77)+SUM($H$4:H77)</f>
        <v>53060</v>
      </c>
      <c r="H77" s="18">
        <v>200</v>
      </c>
      <c r="I77" s="79" t="s">
        <v>34</v>
      </c>
      <c r="J77" s="79" t="s">
        <v>34</v>
      </c>
      <c r="K77" s="79" t="s">
        <v>34</v>
      </c>
      <c r="L77" s="79" t="s">
        <v>34</v>
      </c>
      <c r="M77" s="79" t="s">
        <v>34</v>
      </c>
      <c r="N77" s="79" t="s">
        <v>34</v>
      </c>
      <c r="O77" s="72" t="s">
        <v>34</v>
      </c>
      <c r="P77" s="72" t="s">
        <v>34</v>
      </c>
      <c r="Q77" s="108" t="s">
        <v>43</v>
      </c>
      <c r="R77" s="105" t="s">
        <v>42</v>
      </c>
      <c r="S77" s="105" t="s">
        <v>42</v>
      </c>
      <c r="T77" s="105" t="s">
        <v>42</v>
      </c>
      <c r="U77" s="105" t="s">
        <v>42</v>
      </c>
      <c r="V77" s="105" t="s">
        <v>42</v>
      </c>
      <c r="W77" s="72" t="s">
        <v>34</v>
      </c>
      <c r="X77" s="72" t="s">
        <v>34</v>
      </c>
      <c r="Y77" s="105" t="s">
        <v>42</v>
      </c>
      <c r="Z77" s="101" t="s">
        <v>39</v>
      </c>
      <c r="AA77" s="105" t="s">
        <v>42</v>
      </c>
      <c r="AB77" s="105" t="s">
        <v>42</v>
      </c>
      <c r="AC77" s="105" t="s">
        <v>42</v>
      </c>
      <c r="AD77" s="105" t="s">
        <v>42</v>
      </c>
      <c r="AE77" s="72" t="s">
        <v>34</v>
      </c>
      <c r="AF77" s="72" t="s">
        <v>34</v>
      </c>
      <c r="AG77" s="56">
        <f t="shared" si="13"/>
        <v>0</v>
      </c>
      <c r="AH77" s="56"/>
      <c r="AI77" s="56"/>
      <c r="AJ77" s="56"/>
      <c r="AK77" s="78" t="s">
        <v>52</v>
      </c>
    </row>
    <row r="78" spans="1:37">
      <c r="A78" s="59">
        <v>44894</v>
      </c>
      <c r="B78" s="18">
        <v>1600</v>
      </c>
      <c r="C78" s="18"/>
      <c r="D78" s="17">
        <f>(SUM(粮草!A78:X78)+AG78*10)*IF(AK78="是",$AY$4,$AY$3)</f>
        <v>1600</v>
      </c>
      <c r="E78" s="76">
        <f>SUM($B$4:B78)+SUM($C$4:C78)-SUM($D$4:D78)</f>
        <v>2912</v>
      </c>
      <c r="F78" s="17">
        <f>SUM(经验!A78:X78)</f>
        <v>580</v>
      </c>
      <c r="G78" s="17">
        <f>SUM($F$4:F78)+SUM($H$4:H78)</f>
        <v>53740</v>
      </c>
      <c r="H78" s="18">
        <v>100</v>
      </c>
      <c r="I78" s="79" t="s">
        <v>34</v>
      </c>
      <c r="J78" s="79" t="s">
        <v>34</v>
      </c>
      <c r="K78" s="79" t="s">
        <v>34</v>
      </c>
      <c r="L78" s="79" t="s">
        <v>34</v>
      </c>
      <c r="M78" s="79" t="s">
        <v>34</v>
      </c>
      <c r="N78" s="79" t="s">
        <v>34</v>
      </c>
      <c r="O78" s="72" t="s">
        <v>34</v>
      </c>
      <c r="P78" s="72" t="s">
        <v>34</v>
      </c>
      <c r="Q78" s="105" t="s">
        <v>42</v>
      </c>
      <c r="R78" s="105" t="s">
        <v>42</v>
      </c>
      <c r="S78" s="105" t="s">
        <v>42</v>
      </c>
      <c r="T78" s="105" t="s">
        <v>42</v>
      </c>
      <c r="U78" s="105" t="s">
        <v>42</v>
      </c>
      <c r="V78" s="101" t="s">
        <v>39</v>
      </c>
      <c r="W78" s="72" t="s">
        <v>34</v>
      </c>
      <c r="X78" s="72" t="s">
        <v>34</v>
      </c>
      <c r="Y78" s="105" t="s">
        <v>42</v>
      </c>
      <c r="Z78" s="106" t="s">
        <v>48</v>
      </c>
      <c r="AA78" s="105" t="s">
        <v>42</v>
      </c>
      <c r="AB78" s="105" t="s">
        <v>42</v>
      </c>
      <c r="AC78" s="105" t="s">
        <v>42</v>
      </c>
      <c r="AD78" s="105" t="s">
        <v>42</v>
      </c>
      <c r="AE78" s="72" t="s">
        <v>34</v>
      </c>
      <c r="AF78" s="72" t="s">
        <v>34</v>
      </c>
      <c r="AG78" s="56">
        <f t="shared" si="13"/>
        <v>0</v>
      </c>
      <c r="AH78" s="56"/>
      <c r="AI78" s="56"/>
      <c r="AJ78" s="56"/>
      <c r="AK78" s="78" t="s">
        <v>52</v>
      </c>
    </row>
    <row r="79" spans="1:37">
      <c r="A79" s="59">
        <v>44895</v>
      </c>
      <c r="B79">
        <v>1600</v>
      </c>
      <c r="D79" s="17">
        <f>(SUM(粮草!A79:X79)+AG79*10)*IF(AK79="是",$AY$4,$AY$3)</f>
        <v>1624</v>
      </c>
      <c r="E79" s="76">
        <f>SUM($B$4:B79)+SUM($C$4:C79)-SUM($D$4:D79)</f>
        <v>2888</v>
      </c>
      <c r="F79" s="17">
        <f>SUM(经验!A79:X79)</f>
        <v>580</v>
      </c>
      <c r="G79" s="49">
        <f>SUM($F$4:F79)+SUM($H$4:H79)</f>
        <v>54520</v>
      </c>
      <c r="H79">
        <v>200</v>
      </c>
      <c r="I79" s="79" t="s">
        <v>34</v>
      </c>
      <c r="J79" s="79" t="s">
        <v>34</v>
      </c>
      <c r="K79" s="79" t="s">
        <v>34</v>
      </c>
      <c r="L79" s="79" t="s">
        <v>34</v>
      </c>
      <c r="M79" s="79" t="s">
        <v>34</v>
      </c>
      <c r="N79" s="79" t="s">
        <v>34</v>
      </c>
      <c r="O79" s="72" t="s">
        <v>34</v>
      </c>
      <c r="P79" s="72" t="s">
        <v>34</v>
      </c>
      <c r="Q79" s="105" t="s">
        <v>42</v>
      </c>
      <c r="R79" s="105" t="s">
        <v>42</v>
      </c>
      <c r="S79" s="105" t="s">
        <v>42</v>
      </c>
      <c r="T79" s="105" t="s">
        <v>42</v>
      </c>
      <c r="U79" s="105" t="s">
        <v>42</v>
      </c>
      <c r="V79" s="101" t="s">
        <v>39</v>
      </c>
      <c r="W79" s="72" t="s">
        <v>34</v>
      </c>
      <c r="X79" s="72" t="s">
        <v>34</v>
      </c>
      <c r="Y79" s="105" t="s">
        <v>42</v>
      </c>
      <c r="Z79" s="105" t="s">
        <v>42</v>
      </c>
      <c r="AA79" s="105" t="s">
        <v>42</v>
      </c>
      <c r="AB79" s="105" t="s">
        <v>42</v>
      </c>
      <c r="AC79" s="105" t="s">
        <v>42</v>
      </c>
      <c r="AD79" s="105" t="s">
        <v>42</v>
      </c>
      <c r="AE79" s="72" t="s">
        <v>34</v>
      </c>
      <c r="AF79" s="72" t="s">
        <v>34</v>
      </c>
      <c r="AG79" s="56">
        <f t="shared" si="13"/>
        <v>0</v>
      </c>
      <c r="AH79" s="56"/>
      <c r="AI79" s="56"/>
      <c r="AJ79" s="56"/>
      <c r="AK79" s="78" t="s">
        <v>52</v>
      </c>
    </row>
    <row r="80" spans="1:37">
      <c r="A80" s="59">
        <v>44896</v>
      </c>
      <c r="B80">
        <v>1600</v>
      </c>
      <c r="D80" s="17">
        <f>(SUM(粮草!A80:X80)+AG80*10)*IF(AK80="是",$AY$4,$AY$3)</f>
        <v>1704</v>
      </c>
      <c r="E80" s="76">
        <f>SUM($B$4:B80)+SUM($C$4:C80)-SUM($D$4:D80)</f>
        <v>2784</v>
      </c>
      <c r="F80" s="17">
        <f>SUM(经验!A80:X80)</f>
        <v>585</v>
      </c>
      <c r="G80" s="49">
        <f>SUM($F$4:F80)+SUM($H$4:H80)</f>
        <v>55105</v>
      </c>
      <c r="H80">
        <v>0</v>
      </c>
      <c r="I80" s="79" t="s">
        <v>34</v>
      </c>
      <c r="J80" s="79" t="s">
        <v>34</v>
      </c>
      <c r="K80" s="79" t="s">
        <v>34</v>
      </c>
      <c r="L80" s="79" t="s">
        <v>34</v>
      </c>
      <c r="M80" s="79" t="s">
        <v>34</v>
      </c>
      <c r="N80" s="79" t="s">
        <v>34</v>
      </c>
      <c r="O80" s="72" t="s">
        <v>34</v>
      </c>
      <c r="P80" s="72" t="s">
        <v>34</v>
      </c>
      <c r="Q80" s="105" t="s">
        <v>42</v>
      </c>
      <c r="R80" s="105" t="s">
        <v>42</v>
      </c>
      <c r="S80" s="105" t="s">
        <v>42</v>
      </c>
      <c r="T80" s="100" t="s">
        <v>40</v>
      </c>
      <c r="U80" s="100" t="s">
        <v>40</v>
      </c>
      <c r="V80" s="100" t="s">
        <v>40</v>
      </c>
      <c r="W80" s="72" t="s">
        <v>34</v>
      </c>
      <c r="X80" s="72" t="s">
        <v>34</v>
      </c>
      <c r="Y80" s="105" t="s">
        <v>42</v>
      </c>
      <c r="Z80" s="105" t="s">
        <v>42</v>
      </c>
      <c r="AA80" s="105" t="s">
        <v>42</v>
      </c>
      <c r="AB80" s="105" t="s">
        <v>42</v>
      </c>
      <c r="AC80" s="105" t="s">
        <v>42</v>
      </c>
      <c r="AD80" s="105" t="s">
        <v>42</v>
      </c>
      <c r="AE80" s="72" t="s">
        <v>34</v>
      </c>
      <c r="AF80" s="72" t="s">
        <v>34</v>
      </c>
      <c r="AG80" s="56">
        <f t="shared" si="13"/>
        <v>0</v>
      </c>
      <c r="AH80" s="56"/>
      <c r="AI80" s="56"/>
      <c r="AJ80" s="56"/>
      <c r="AK80" s="78" t="s">
        <v>52</v>
      </c>
    </row>
    <row r="81" spans="1:37">
      <c r="A81" s="59">
        <v>44897</v>
      </c>
      <c r="B81">
        <v>1600</v>
      </c>
      <c r="D81" s="17">
        <f>(SUM(粮草!A81:X81)+AG81*10)*IF(AK81="是",$AY$4,$AY$3)</f>
        <v>1592</v>
      </c>
      <c r="E81" s="76">
        <f>SUM($B$4:B81)+SUM($C$4:C81)-SUM($D$4:D81)</f>
        <v>2792</v>
      </c>
      <c r="F81" s="17">
        <f>SUM(经验!A81:X81)</f>
        <v>570</v>
      </c>
      <c r="G81" s="49">
        <f>SUM($F$4:F81)+SUM($H$4:H81)</f>
        <v>55675</v>
      </c>
      <c r="H81">
        <v>0</v>
      </c>
      <c r="I81" s="79" t="s">
        <v>34</v>
      </c>
      <c r="J81" s="79" t="s">
        <v>34</v>
      </c>
      <c r="K81" s="79" t="s">
        <v>34</v>
      </c>
      <c r="L81" s="79" t="s">
        <v>34</v>
      </c>
      <c r="M81" s="79" t="s">
        <v>34</v>
      </c>
      <c r="N81" s="79" t="s">
        <v>34</v>
      </c>
      <c r="O81" s="72" t="s">
        <v>34</v>
      </c>
      <c r="P81" s="72" t="s">
        <v>34</v>
      </c>
      <c r="Q81" s="101" t="s">
        <v>39</v>
      </c>
      <c r="R81" s="100" t="s">
        <v>40</v>
      </c>
      <c r="S81" s="100" t="s">
        <v>40</v>
      </c>
      <c r="T81" s="105" t="s">
        <v>42</v>
      </c>
      <c r="U81" s="105" t="s">
        <v>42</v>
      </c>
      <c r="V81" s="106" t="s">
        <v>48</v>
      </c>
      <c r="W81" s="72" t="s">
        <v>34</v>
      </c>
      <c r="X81" s="72" t="s">
        <v>34</v>
      </c>
      <c r="Y81" s="105" t="s">
        <v>42</v>
      </c>
      <c r="Z81" s="105" t="s">
        <v>42</v>
      </c>
      <c r="AA81" s="105" t="s">
        <v>42</v>
      </c>
      <c r="AB81" s="105" t="s">
        <v>42</v>
      </c>
      <c r="AC81" s="105" t="s">
        <v>42</v>
      </c>
      <c r="AD81" s="105" t="s">
        <v>42</v>
      </c>
      <c r="AE81" s="72" t="s">
        <v>34</v>
      </c>
      <c r="AF81" s="72" t="s">
        <v>34</v>
      </c>
      <c r="AG81" s="56">
        <f t="shared" si="13"/>
        <v>1</v>
      </c>
      <c r="AH81" s="56"/>
      <c r="AI81" s="56">
        <v>1</v>
      </c>
      <c r="AJ81" s="56"/>
      <c r="AK81" s="78" t="s">
        <v>52</v>
      </c>
    </row>
    <row r="82" spans="1:37">
      <c r="A82" s="59">
        <v>44898</v>
      </c>
      <c r="B82">
        <v>1600</v>
      </c>
      <c r="D82" s="17">
        <f>(SUM(粮草!A82:X82)+AG82*10)*IF(AK82="是",$AY$4,$AY$3)</f>
        <v>1728</v>
      </c>
      <c r="E82" s="76">
        <f>SUM($B$4:B82)+SUM($C$4:C82)-SUM($D$4:D82)</f>
        <v>2664</v>
      </c>
      <c r="F82" s="17">
        <f>SUM(经验!A82:X82)</f>
        <v>600</v>
      </c>
      <c r="G82" s="49">
        <f>SUM($F$4:F82)+SUM($H$4:H82)</f>
        <v>56275</v>
      </c>
      <c r="H82">
        <v>0</v>
      </c>
      <c r="I82" s="79" t="s">
        <v>34</v>
      </c>
      <c r="J82" s="79" t="s">
        <v>34</v>
      </c>
      <c r="K82" s="79" t="s">
        <v>34</v>
      </c>
      <c r="L82" s="79" t="s">
        <v>34</v>
      </c>
      <c r="M82" s="79" t="s">
        <v>34</v>
      </c>
      <c r="N82" s="79" t="s">
        <v>34</v>
      </c>
      <c r="O82" s="72" t="s">
        <v>34</v>
      </c>
      <c r="P82" s="72" t="s">
        <v>34</v>
      </c>
      <c r="Q82" s="105" t="s">
        <v>42</v>
      </c>
      <c r="R82" s="105" t="s">
        <v>42</v>
      </c>
      <c r="S82" s="105" t="s">
        <v>42</v>
      </c>
      <c r="T82" s="105" t="s">
        <v>42</v>
      </c>
      <c r="U82" s="105" t="s">
        <v>42</v>
      </c>
      <c r="V82" s="105" t="s">
        <v>42</v>
      </c>
      <c r="W82" s="72" t="s">
        <v>34</v>
      </c>
      <c r="X82" s="72" t="s">
        <v>34</v>
      </c>
      <c r="Y82" s="105" t="s">
        <v>42</v>
      </c>
      <c r="Z82" s="105" t="s">
        <v>42</v>
      </c>
      <c r="AA82" s="105" t="s">
        <v>42</v>
      </c>
      <c r="AB82" s="105" t="s">
        <v>42</v>
      </c>
      <c r="AC82" s="105" t="s">
        <v>42</v>
      </c>
      <c r="AD82" s="105" t="s">
        <v>42</v>
      </c>
      <c r="AE82" s="72" t="s">
        <v>34</v>
      </c>
      <c r="AF82" s="72" t="s">
        <v>34</v>
      </c>
      <c r="AG82" s="56">
        <f t="shared" si="13"/>
        <v>0</v>
      </c>
      <c r="AH82" s="56"/>
      <c r="AI82" s="56"/>
      <c r="AJ82" s="56"/>
      <c r="AK82" s="78" t="s">
        <v>52</v>
      </c>
    </row>
    <row r="83" spans="1:37">
      <c r="A83" s="59">
        <v>44899</v>
      </c>
      <c r="B83">
        <v>1600</v>
      </c>
      <c r="D83" s="17">
        <f>(SUM(粮草!A83:X83)+AG83*10)*IF(AK83="是",$AY$4,$AY$3)</f>
        <v>1624</v>
      </c>
      <c r="E83" s="76">
        <f>SUM($B$4:B83)+SUM($C$4:C83)-SUM($D$4:D83)</f>
        <v>2640</v>
      </c>
      <c r="F83" s="17">
        <f>SUM(经验!A83:X83)</f>
        <v>580</v>
      </c>
      <c r="G83" s="49">
        <f>SUM($F$4:F83)+SUM($H$4:H83)</f>
        <v>56855</v>
      </c>
      <c r="H83">
        <v>0</v>
      </c>
      <c r="I83" s="79" t="s">
        <v>34</v>
      </c>
      <c r="J83" s="79" t="s">
        <v>34</v>
      </c>
      <c r="K83" s="79" t="s">
        <v>34</v>
      </c>
      <c r="L83" s="79" t="s">
        <v>34</v>
      </c>
      <c r="M83" s="79" t="s">
        <v>34</v>
      </c>
      <c r="N83" s="79" t="s">
        <v>34</v>
      </c>
      <c r="O83" s="72" t="s">
        <v>34</v>
      </c>
      <c r="P83" s="72" t="s">
        <v>34</v>
      </c>
      <c r="Q83" s="105" t="s">
        <v>42</v>
      </c>
      <c r="R83" s="105" t="s">
        <v>42</v>
      </c>
      <c r="S83" s="105" t="s">
        <v>42</v>
      </c>
      <c r="T83" s="105" t="s">
        <v>42</v>
      </c>
      <c r="U83" s="105" t="s">
        <v>42</v>
      </c>
      <c r="V83" s="105" t="s">
        <v>42</v>
      </c>
      <c r="W83" s="72" t="s">
        <v>34</v>
      </c>
      <c r="X83" s="72" t="s">
        <v>34</v>
      </c>
      <c r="Y83" s="105" t="s">
        <v>42</v>
      </c>
      <c r="Z83" s="105" t="s">
        <v>42</v>
      </c>
      <c r="AA83" s="105" t="s">
        <v>42</v>
      </c>
      <c r="AB83" s="105" t="s">
        <v>42</v>
      </c>
      <c r="AC83" s="101" t="s">
        <v>39</v>
      </c>
      <c r="AD83" s="105" t="s">
        <v>42</v>
      </c>
      <c r="AE83" s="72" t="s">
        <v>34</v>
      </c>
      <c r="AF83" s="72" t="s">
        <v>34</v>
      </c>
      <c r="AG83" s="56">
        <f t="shared" si="13"/>
        <v>0</v>
      </c>
      <c r="AH83" s="56"/>
      <c r="AI83" s="56"/>
      <c r="AJ83" s="56"/>
      <c r="AK83" s="78" t="s">
        <v>52</v>
      </c>
    </row>
    <row r="84" spans="1:37">
      <c r="A84" s="59">
        <v>44900</v>
      </c>
      <c r="B84" s="49">
        <v>1600</v>
      </c>
      <c r="C84" s="49"/>
      <c r="D84" s="17">
        <f>(SUM(粮草!A84:X84)+AG84*10)*IF(AK84="是",$AY$4,$AY$3)</f>
        <v>2064</v>
      </c>
      <c r="E84" s="76">
        <f>SUM($B$4:B84)+SUM($C$4:C84)-SUM($D$4:D84)</f>
        <v>2176</v>
      </c>
      <c r="F84" s="17">
        <f>SUM(经验!A84:X84)</f>
        <v>745</v>
      </c>
      <c r="G84" s="49">
        <f>SUM($F$4:F84)+SUM($H$4:H84)</f>
        <v>57800</v>
      </c>
      <c r="H84" s="49">
        <v>200</v>
      </c>
      <c r="I84" s="98" t="s">
        <v>33</v>
      </c>
      <c r="J84" s="101" t="s">
        <v>39</v>
      </c>
      <c r="K84" s="98" t="s">
        <v>33</v>
      </c>
      <c r="L84" s="98" t="s">
        <v>33</v>
      </c>
      <c r="M84" s="101" t="s">
        <v>39</v>
      </c>
      <c r="N84" s="79" t="s">
        <v>34</v>
      </c>
      <c r="O84" s="72" t="s">
        <v>34</v>
      </c>
      <c r="P84" s="72" t="s">
        <v>34</v>
      </c>
      <c r="Q84" s="105" t="s">
        <v>42</v>
      </c>
      <c r="R84" s="105" t="s">
        <v>42</v>
      </c>
      <c r="S84" s="105" t="s">
        <v>42</v>
      </c>
      <c r="T84" s="105" t="s">
        <v>42</v>
      </c>
      <c r="U84" s="105" t="s">
        <v>42</v>
      </c>
      <c r="V84" s="101" t="s">
        <v>39</v>
      </c>
      <c r="W84" s="72" t="s">
        <v>34</v>
      </c>
      <c r="X84" s="72" t="s">
        <v>34</v>
      </c>
      <c r="Y84" s="105" t="s">
        <v>42</v>
      </c>
      <c r="Z84" s="105" t="s">
        <v>42</v>
      </c>
      <c r="AA84" s="105" t="s">
        <v>42</v>
      </c>
      <c r="AB84" s="105" t="s">
        <v>42</v>
      </c>
      <c r="AC84" s="105" t="s">
        <v>42</v>
      </c>
      <c r="AD84" s="105" t="s">
        <v>42</v>
      </c>
      <c r="AE84" s="72" t="s">
        <v>34</v>
      </c>
      <c r="AF84" s="72" t="s">
        <v>34</v>
      </c>
      <c r="AG84" s="56">
        <f t="shared" si="13"/>
        <v>0</v>
      </c>
      <c r="AH84" s="56"/>
      <c r="AI84" s="56"/>
      <c r="AJ84" s="56"/>
      <c r="AK84" s="78" t="s">
        <v>52</v>
      </c>
    </row>
    <row r="85" spans="1:37">
      <c r="A85" s="59">
        <v>44901</v>
      </c>
      <c r="B85" s="49">
        <v>1600</v>
      </c>
      <c r="C85" s="49"/>
      <c r="D85" s="113">
        <f>(SUM(粮草!A85:X85)+AG85*10)*IF(AK85="是",$AY$4,$AY$3)-40</f>
        <v>2424</v>
      </c>
      <c r="E85" s="76">
        <f>SUM($B$4:B85)+SUM($C$4:C85)-SUM($D$4:D85)</f>
        <v>1352</v>
      </c>
      <c r="F85" s="17">
        <f>SUM(经验!A85:X85)</f>
        <v>885</v>
      </c>
      <c r="G85" s="49">
        <f>SUM($F$4:F85)+SUM($H$4:H85)</f>
        <v>58685</v>
      </c>
      <c r="H85" s="49">
        <v>0</v>
      </c>
      <c r="I85" s="100" t="s">
        <v>40</v>
      </c>
      <c r="J85" s="100" t="s">
        <v>40</v>
      </c>
      <c r="K85" s="100" t="s">
        <v>40</v>
      </c>
      <c r="L85" s="100" t="s">
        <v>40</v>
      </c>
      <c r="M85" s="102" t="s">
        <v>59</v>
      </c>
      <c r="N85" s="99" t="s">
        <v>37</v>
      </c>
      <c r="O85" s="99" t="s">
        <v>37</v>
      </c>
      <c r="P85" s="103" t="s">
        <v>41</v>
      </c>
      <c r="Q85" s="105" t="s">
        <v>42</v>
      </c>
      <c r="R85" s="105" t="s">
        <v>42</v>
      </c>
      <c r="S85" s="100" t="s">
        <v>40</v>
      </c>
      <c r="T85" s="100" t="s">
        <v>40</v>
      </c>
      <c r="U85" s="100" t="s">
        <v>40</v>
      </c>
      <c r="V85" s="105" t="s">
        <v>42</v>
      </c>
      <c r="W85" s="72" t="s">
        <v>34</v>
      </c>
      <c r="X85" s="72" t="s">
        <v>34</v>
      </c>
      <c r="Y85" s="105" t="s">
        <v>42</v>
      </c>
      <c r="Z85" s="105" t="s">
        <v>42</v>
      </c>
      <c r="AA85" s="105" t="s">
        <v>42</v>
      </c>
      <c r="AB85" s="105" t="s">
        <v>42</v>
      </c>
      <c r="AC85" s="105" t="s">
        <v>42</v>
      </c>
      <c r="AD85" s="105" t="s">
        <v>42</v>
      </c>
      <c r="AE85" s="72" t="s">
        <v>34</v>
      </c>
      <c r="AF85" s="72" t="s">
        <v>34</v>
      </c>
      <c r="AG85" s="56">
        <f t="shared" si="13"/>
        <v>0</v>
      </c>
      <c r="AH85" s="56"/>
      <c r="AI85" s="56"/>
      <c r="AJ85" s="56"/>
      <c r="AK85" s="78" t="s">
        <v>52</v>
      </c>
    </row>
    <row r="86" spans="1:37">
      <c r="A86" s="59">
        <v>44902</v>
      </c>
      <c r="B86" s="49">
        <v>1600</v>
      </c>
      <c r="C86" s="49"/>
      <c r="D86" s="17">
        <f>(SUM(粮草!A86:X86)+AG86*10)*IF(AK86="是",$AY$4,$AY$3)</f>
        <v>2200</v>
      </c>
      <c r="E86" s="76">
        <f>SUM($B$4:B86)+SUM($C$4:C86)-SUM($D$4:D86)</f>
        <v>752</v>
      </c>
      <c r="F86" s="17">
        <f>SUM(经验!A86:X86)</f>
        <v>785</v>
      </c>
      <c r="G86" s="49">
        <f>SUM($F$4:F86)+SUM($H$4:H86)</f>
        <v>59770</v>
      </c>
      <c r="H86" s="49">
        <v>300</v>
      </c>
      <c r="I86" s="98" t="s">
        <v>33</v>
      </c>
      <c r="J86" s="101" t="s">
        <v>39</v>
      </c>
      <c r="K86" s="99" t="s">
        <v>37</v>
      </c>
      <c r="L86" s="101" t="s">
        <v>39</v>
      </c>
      <c r="M86" s="99" t="s">
        <v>37</v>
      </c>
      <c r="N86" s="100" t="s">
        <v>40</v>
      </c>
      <c r="O86" s="72" t="s">
        <v>34</v>
      </c>
      <c r="P86" s="72" t="s">
        <v>34</v>
      </c>
      <c r="Q86" s="105" t="s">
        <v>42</v>
      </c>
      <c r="R86" s="104" t="s">
        <v>47</v>
      </c>
      <c r="S86" s="100" t="s">
        <v>40</v>
      </c>
      <c r="T86" s="100" t="s">
        <v>40</v>
      </c>
      <c r="U86" s="105" t="s">
        <v>42</v>
      </c>
      <c r="V86" s="105" t="s">
        <v>42</v>
      </c>
      <c r="W86" s="72" t="s">
        <v>34</v>
      </c>
      <c r="X86" s="72" t="s">
        <v>34</v>
      </c>
      <c r="Y86" s="101" t="s">
        <v>39</v>
      </c>
      <c r="Z86" s="105" t="s">
        <v>42</v>
      </c>
      <c r="AA86" s="105" t="s">
        <v>42</v>
      </c>
      <c r="AB86" s="105" t="s">
        <v>42</v>
      </c>
      <c r="AC86" s="105" t="s">
        <v>42</v>
      </c>
      <c r="AD86" s="105" t="s">
        <v>42</v>
      </c>
      <c r="AE86" s="72" t="s">
        <v>34</v>
      </c>
      <c r="AF86" s="72" t="s">
        <v>34</v>
      </c>
      <c r="AG86" s="56">
        <f t="shared" si="13"/>
        <v>3</v>
      </c>
      <c r="AH86" s="56">
        <v>3</v>
      </c>
      <c r="AI86" s="56"/>
      <c r="AJ86" s="56"/>
      <c r="AK86" s="78" t="s">
        <v>52</v>
      </c>
    </row>
    <row r="87" spans="1:37">
      <c r="A87" s="59">
        <v>44903</v>
      </c>
      <c r="B87" s="49">
        <v>1600</v>
      </c>
      <c r="C87" s="49"/>
      <c r="D87" s="17">
        <f>(SUM(粮草!A87:X87)+AG87*10)*IF(AK87="是",$AY$4,$AY$3)</f>
        <v>2080</v>
      </c>
      <c r="E87" s="76">
        <f>SUM($B$4:B87)+SUM($C$4:C87)-SUM($D$4:D87)</f>
        <v>272</v>
      </c>
      <c r="F87" s="17">
        <f>SUM(经验!A87:X87)</f>
        <v>710</v>
      </c>
      <c r="G87" s="49">
        <f>SUM($F$4:F87)+SUM($H$4:H87)</f>
        <v>60480</v>
      </c>
      <c r="H87" s="49">
        <v>0</v>
      </c>
      <c r="I87" s="100" t="s">
        <v>40</v>
      </c>
      <c r="J87" s="99" t="s">
        <v>37</v>
      </c>
      <c r="K87" s="99" t="s">
        <v>37</v>
      </c>
      <c r="L87" s="79" t="s">
        <v>34</v>
      </c>
      <c r="M87" s="79" t="s">
        <v>34</v>
      </c>
      <c r="N87" s="79" t="s">
        <v>34</v>
      </c>
      <c r="O87" s="72" t="s">
        <v>34</v>
      </c>
      <c r="P87" s="72" t="s">
        <v>34</v>
      </c>
      <c r="Q87" s="105" t="s">
        <v>42</v>
      </c>
      <c r="R87" s="105" t="s">
        <v>42</v>
      </c>
      <c r="S87" s="105" t="s">
        <v>42</v>
      </c>
      <c r="T87" s="104" t="s">
        <v>47</v>
      </c>
      <c r="U87" s="100" t="s">
        <v>40</v>
      </c>
      <c r="V87" s="100" t="s">
        <v>40</v>
      </c>
      <c r="W87" s="72" t="s">
        <v>34</v>
      </c>
      <c r="X87" s="72" t="s">
        <v>34</v>
      </c>
      <c r="Y87" s="105" t="s">
        <v>42</v>
      </c>
      <c r="Z87" s="105" t="s">
        <v>42</v>
      </c>
      <c r="AA87" s="105" t="s">
        <v>42</v>
      </c>
      <c r="AB87" s="105" t="s">
        <v>42</v>
      </c>
      <c r="AC87" s="105" t="s">
        <v>42</v>
      </c>
      <c r="AD87" s="105" t="s">
        <v>42</v>
      </c>
      <c r="AE87" s="72" t="s">
        <v>34</v>
      </c>
      <c r="AF87" s="72" t="s">
        <v>34</v>
      </c>
      <c r="AG87" s="56">
        <f t="shared" si="13"/>
        <v>0</v>
      </c>
      <c r="AH87" s="56"/>
      <c r="AI87" s="56"/>
      <c r="AJ87" s="56"/>
      <c r="AK87" s="78" t="s">
        <v>52</v>
      </c>
    </row>
    <row r="88" spans="1:37">
      <c r="A88" s="59">
        <v>44904</v>
      </c>
      <c r="B88" s="49">
        <v>1600</v>
      </c>
      <c r="C88" s="49"/>
      <c r="D88" s="17">
        <f>(SUM(粮草!A88:X88)+AG88*10)*IF(AK88="是",$AY$4,$AY$3)</f>
        <v>1552</v>
      </c>
      <c r="E88" s="76">
        <f>SUM($B$4:B88)+SUM($C$4:C88)-SUM($D$4:D88)</f>
        <v>320</v>
      </c>
      <c r="F88" s="17">
        <f>SUM(经验!A88:X88)</f>
        <v>545</v>
      </c>
      <c r="G88" s="49">
        <f>SUM($F$4:F88)+SUM($H$4:H88)</f>
        <v>61025</v>
      </c>
      <c r="H88" s="49">
        <v>0</v>
      </c>
      <c r="I88" s="79" t="s">
        <v>34</v>
      </c>
      <c r="J88" s="79" t="s">
        <v>34</v>
      </c>
      <c r="K88" s="79" t="s">
        <v>34</v>
      </c>
      <c r="L88" s="79" t="s">
        <v>34</v>
      </c>
      <c r="M88" s="79" t="s">
        <v>34</v>
      </c>
      <c r="N88" s="79" t="s">
        <v>34</v>
      </c>
      <c r="O88" s="72" t="s">
        <v>34</v>
      </c>
      <c r="P88" s="72" t="s">
        <v>34</v>
      </c>
      <c r="Q88" s="100" t="s">
        <v>40</v>
      </c>
      <c r="R88" s="100" t="s">
        <v>40</v>
      </c>
      <c r="S88" s="101" t="s">
        <v>39</v>
      </c>
      <c r="T88" s="105" t="s">
        <v>42</v>
      </c>
      <c r="U88" s="105" t="s">
        <v>42</v>
      </c>
      <c r="V88" s="105" t="s">
        <v>42</v>
      </c>
      <c r="W88" s="72" t="s">
        <v>34</v>
      </c>
      <c r="X88" s="72" t="s">
        <v>34</v>
      </c>
      <c r="Y88" s="104" t="s">
        <v>47</v>
      </c>
      <c r="Z88" s="100" t="s">
        <v>40</v>
      </c>
      <c r="AA88" s="100" t="s">
        <v>40</v>
      </c>
      <c r="AB88" s="105" t="s">
        <v>42</v>
      </c>
      <c r="AC88" s="100" t="s">
        <v>40</v>
      </c>
      <c r="AD88" s="100" t="s">
        <v>40</v>
      </c>
      <c r="AE88" s="72" t="s">
        <v>34</v>
      </c>
      <c r="AF88" s="72" t="s">
        <v>34</v>
      </c>
      <c r="AG88" s="56">
        <f t="shared" si="13"/>
        <v>0</v>
      </c>
      <c r="AH88" s="56"/>
      <c r="AI88" s="56"/>
      <c r="AJ88" s="56"/>
      <c r="AK88" s="78" t="s">
        <v>52</v>
      </c>
    </row>
    <row r="89" spans="1:37">
      <c r="A89" s="59">
        <v>44905</v>
      </c>
      <c r="B89" s="49">
        <v>1600</v>
      </c>
      <c r="C89" s="49"/>
      <c r="D89" s="17">
        <f>(SUM(粮草!A89:X89)+AG89*10)*IF(AK89="是",$AY$4,$AY$3)</f>
        <v>1616</v>
      </c>
      <c r="E89" s="76">
        <f>SUM($B$4:B89)+SUM($C$4:C89)-SUM($D$4:D89)</f>
        <v>304</v>
      </c>
      <c r="F89" s="17">
        <f>SUM(经验!A89:X89)</f>
        <v>575</v>
      </c>
      <c r="G89" s="49">
        <f>SUM($F$4:F89)+SUM($H$4:H89)</f>
        <v>61600</v>
      </c>
      <c r="H89" s="49">
        <v>0</v>
      </c>
      <c r="I89" s="79" t="s">
        <v>34</v>
      </c>
      <c r="J89" s="79" t="s">
        <v>34</v>
      </c>
      <c r="K89" s="79" t="s">
        <v>34</v>
      </c>
      <c r="L89" s="79" t="s">
        <v>34</v>
      </c>
      <c r="M89" s="79" t="s">
        <v>34</v>
      </c>
      <c r="N89" s="79" t="s">
        <v>34</v>
      </c>
      <c r="O89" s="72" t="s">
        <v>34</v>
      </c>
      <c r="P89" s="72" t="s">
        <v>34</v>
      </c>
      <c r="Q89" s="108" t="s">
        <v>43</v>
      </c>
      <c r="R89" s="108" t="s">
        <v>43</v>
      </c>
      <c r="S89" s="108" t="s">
        <v>43</v>
      </c>
      <c r="T89" s="108" t="s">
        <v>43</v>
      </c>
      <c r="U89" s="101" t="s">
        <v>39</v>
      </c>
      <c r="V89" s="108" t="s">
        <v>43</v>
      </c>
      <c r="W89" s="72" t="s">
        <v>34</v>
      </c>
      <c r="X89" s="72" t="s">
        <v>34</v>
      </c>
      <c r="Y89" s="100" t="s">
        <v>40</v>
      </c>
      <c r="Z89" s="100" t="s">
        <v>40</v>
      </c>
      <c r="AA89" s="100" t="s">
        <v>40</v>
      </c>
      <c r="AB89" s="100" t="s">
        <v>40</v>
      </c>
      <c r="AC89" s="100" t="s">
        <v>40</v>
      </c>
      <c r="AD89" s="100" t="s">
        <v>40</v>
      </c>
      <c r="AE89" s="72" t="s">
        <v>34</v>
      </c>
      <c r="AF89" s="72" t="s">
        <v>34</v>
      </c>
      <c r="AG89" s="56">
        <f t="shared" si="13"/>
        <v>0</v>
      </c>
      <c r="AH89" s="56"/>
      <c r="AI89" s="56"/>
      <c r="AJ89" s="56"/>
      <c r="AK89" s="78" t="s">
        <v>52</v>
      </c>
    </row>
    <row r="90" spans="1:37">
      <c r="A90" s="59">
        <v>44906</v>
      </c>
      <c r="B90" s="49">
        <v>1600</v>
      </c>
      <c r="C90" s="49"/>
      <c r="D90" s="17">
        <f>(SUM(粮草!A90:X90)+AG90*10)*IF(AK90="是",$AY$4,$AY$3)</f>
        <v>1696</v>
      </c>
      <c r="E90" s="76">
        <f>SUM($B$4:B90)+SUM($C$4:C90)-SUM($D$4:D90)</f>
        <v>208</v>
      </c>
      <c r="F90" s="17">
        <f>SUM(经验!A90:X90)</f>
        <v>600</v>
      </c>
      <c r="G90" s="49">
        <f>SUM($F$4:F90)+SUM($H$4:H90)</f>
        <v>62200</v>
      </c>
      <c r="H90" s="49">
        <v>0</v>
      </c>
      <c r="I90" s="79" t="s">
        <v>34</v>
      </c>
      <c r="J90" s="79" t="s">
        <v>34</v>
      </c>
      <c r="K90" s="79" t="s">
        <v>34</v>
      </c>
      <c r="L90" s="79" t="s">
        <v>34</v>
      </c>
      <c r="M90" s="79" t="s">
        <v>34</v>
      </c>
      <c r="N90" s="79" t="s">
        <v>34</v>
      </c>
      <c r="O90" s="72" t="s">
        <v>34</v>
      </c>
      <c r="P90" s="72" t="s">
        <v>34</v>
      </c>
      <c r="Q90" s="108" t="s">
        <v>43</v>
      </c>
      <c r="R90" s="108" t="s">
        <v>43</v>
      </c>
      <c r="S90" s="108" t="s">
        <v>43</v>
      </c>
      <c r="T90" s="108" t="s">
        <v>43</v>
      </c>
      <c r="U90" s="108" t="s">
        <v>43</v>
      </c>
      <c r="V90" s="80" t="s">
        <v>49</v>
      </c>
      <c r="W90" s="72" t="s">
        <v>34</v>
      </c>
      <c r="X90" s="72" t="s">
        <v>34</v>
      </c>
      <c r="Y90" s="100" t="s">
        <v>40</v>
      </c>
      <c r="Z90" s="100" t="s">
        <v>40</v>
      </c>
      <c r="AA90" s="100" t="s">
        <v>40</v>
      </c>
      <c r="AB90" s="100" t="s">
        <v>40</v>
      </c>
      <c r="AC90" s="100" t="s">
        <v>40</v>
      </c>
      <c r="AD90" s="100" t="s">
        <v>40</v>
      </c>
      <c r="AE90" s="72" t="s">
        <v>34</v>
      </c>
      <c r="AF90" s="72" t="s">
        <v>34</v>
      </c>
      <c r="AG90" s="56">
        <f t="shared" si="13"/>
        <v>0</v>
      </c>
      <c r="AH90" s="56"/>
      <c r="AI90" s="56"/>
      <c r="AJ90" s="56"/>
      <c r="AK90" s="78" t="s">
        <v>52</v>
      </c>
    </row>
    <row r="91" spans="1:37">
      <c r="A91" s="59">
        <v>44907</v>
      </c>
      <c r="B91">
        <v>1600</v>
      </c>
      <c r="D91" s="17">
        <f>(SUM(粮草!A91:X91)+AG91*10)*IF(AK91="是",$AY$4,$AY$3)</f>
        <v>1760</v>
      </c>
      <c r="E91" s="76">
        <f>SUM($B$4:B91)+SUM($C$4:C91)-SUM($D$4:D91)</f>
        <v>48</v>
      </c>
      <c r="F91" s="17">
        <f>SUM(经验!A91:X91)</f>
        <v>620</v>
      </c>
      <c r="G91" s="49">
        <f>SUM($F$4:F91)+SUM($H$4:H91)</f>
        <v>63020</v>
      </c>
      <c r="H91">
        <v>200</v>
      </c>
      <c r="I91" s="79" t="s">
        <v>34</v>
      </c>
      <c r="J91" s="79" t="s">
        <v>34</v>
      </c>
      <c r="K91" s="79" t="s">
        <v>34</v>
      </c>
      <c r="L91" s="79" t="s">
        <v>34</v>
      </c>
      <c r="M91" s="79" t="s">
        <v>34</v>
      </c>
      <c r="N91" s="79" t="s">
        <v>34</v>
      </c>
      <c r="O91" s="72" t="s">
        <v>34</v>
      </c>
      <c r="P91" s="72" t="s">
        <v>34</v>
      </c>
      <c r="Q91" s="108" t="s">
        <v>43</v>
      </c>
      <c r="R91" s="108" t="s">
        <v>43</v>
      </c>
      <c r="S91" s="108" t="s">
        <v>43</v>
      </c>
      <c r="T91" s="108" t="s">
        <v>43</v>
      </c>
      <c r="U91" s="108" t="s">
        <v>43</v>
      </c>
      <c r="V91" s="108" t="s">
        <v>43</v>
      </c>
      <c r="W91" s="72" t="s">
        <v>34</v>
      </c>
      <c r="X91" s="72" t="s">
        <v>34</v>
      </c>
      <c r="Y91" s="100" t="s">
        <v>40</v>
      </c>
      <c r="Z91" s="105" t="s">
        <v>42</v>
      </c>
      <c r="AA91" s="105" t="s">
        <v>42</v>
      </c>
      <c r="AB91" s="105" t="s">
        <v>42</v>
      </c>
      <c r="AC91" s="105" t="s">
        <v>42</v>
      </c>
      <c r="AD91" s="100" t="s">
        <v>40</v>
      </c>
      <c r="AE91" s="72" t="s">
        <v>34</v>
      </c>
      <c r="AF91" s="72" t="s">
        <v>34</v>
      </c>
      <c r="AG91" s="56">
        <f t="shared" si="13"/>
        <v>0</v>
      </c>
      <c r="AH91" s="56"/>
      <c r="AI91" s="56"/>
      <c r="AJ91" s="56"/>
      <c r="AK91" s="78" t="s">
        <v>52</v>
      </c>
    </row>
    <row r="92" spans="1:37">
      <c r="A92" s="59">
        <v>44908</v>
      </c>
      <c r="B92">
        <v>1600</v>
      </c>
      <c r="D92" s="17">
        <f>(SUM(粮草!A92:X92)+AG92*10)*IF(AK92="是",$AY$4,$AY$3)</f>
        <v>1568</v>
      </c>
      <c r="E92" s="76">
        <f>SUM($B$4:B92)+SUM($C$4:C92)-SUM($D$4:D92)</f>
        <v>80</v>
      </c>
      <c r="F92" s="17">
        <f>SUM(经验!A92:X92)</f>
        <v>540</v>
      </c>
      <c r="G92" s="49">
        <f>SUM($F$4:F92)+SUM($H$4:H92)</f>
        <v>63660</v>
      </c>
      <c r="H92">
        <v>100</v>
      </c>
      <c r="I92" s="79" t="s">
        <v>34</v>
      </c>
      <c r="J92" s="79" t="s">
        <v>34</v>
      </c>
      <c r="K92" s="79" t="s">
        <v>34</v>
      </c>
      <c r="L92" s="79" t="s">
        <v>34</v>
      </c>
      <c r="M92" s="79" t="s">
        <v>34</v>
      </c>
      <c r="N92" s="79" t="s">
        <v>34</v>
      </c>
      <c r="O92" s="72" t="s">
        <v>34</v>
      </c>
      <c r="P92" s="72" t="s">
        <v>34</v>
      </c>
      <c r="Q92" s="108" t="s">
        <v>43</v>
      </c>
      <c r="R92" s="108" t="s">
        <v>43</v>
      </c>
      <c r="S92" s="108" t="s">
        <v>43</v>
      </c>
      <c r="T92" s="108" t="s">
        <v>43</v>
      </c>
      <c r="U92" s="105" t="s">
        <v>42</v>
      </c>
      <c r="V92" s="79" t="s">
        <v>34</v>
      </c>
      <c r="W92" s="72" t="s">
        <v>34</v>
      </c>
      <c r="X92" s="72" t="s">
        <v>34</v>
      </c>
      <c r="Y92" s="100" t="s">
        <v>40</v>
      </c>
      <c r="Z92" s="100" t="s">
        <v>40</v>
      </c>
      <c r="AA92" s="100" t="s">
        <v>40</v>
      </c>
      <c r="AB92" s="100" t="s">
        <v>40</v>
      </c>
      <c r="AC92" s="100" t="s">
        <v>40</v>
      </c>
      <c r="AD92" s="100" t="s">
        <v>40</v>
      </c>
      <c r="AE92" s="72" t="s">
        <v>34</v>
      </c>
      <c r="AF92" s="72" t="s">
        <v>34</v>
      </c>
      <c r="AG92" s="56">
        <f t="shared" si="13"/>
        <v>0</v>
      </c>
      <c r="AH92" s="56"/>
      <c r="AI92" s="56"/>
      <c r="AJ92" s="56"/>
      <c r="AK92" s="78" t="s">
        <v>52</v>
      </c>
    </row>
    <row r="93" spans="1:37">
      <c r="A93" s="59">
        <v>44909</v>
      </c>
      <c r="B93">
        <v>1600</v>
      </c>
      <c r="D93" s="17">
        <f>(SUM(粮草!A93:X93)+AG93*10)*IF(AK93="是",$AY$4,$AY$3)</f>
        <v>1600</v>
      </c>
      <c r="E93" s="76">
        <f>SUM($B$4:B93)+SUM($C$4:C93)-SUM($D$4:D93)</f>
        <v>80</v>
      </c>
      <c r="F93" s="17">
        <f>SUM(经验!A93:X93)</f>
        <v>570</v>
      </c>
      <c r="G93" s="49">
        <f>SUM($F$4:F93)+SUM($H$4:H93)</f>
        <v>64430</v>
      </c>
      <c r="H93">
        <v>200</v>
      </c>
      <c r="I93" s="98" t="s">
        <v>33</v>
      </c>
      <c r="J93" s="101" t="s">
        <v>39</v>
      </c>
      <c r="K93" s="79" t="s">
        <v>34</v>
      </c>
      <c r="L93" s="79" t="s">
        <v>34</v>
      </c>
      <c r="M93" s="79" t="s">
        <v>34</v>
      </c>
      <c r="N93" s="79" t="s">
        <v>34</v>
      </c>
      <c r="O93" s="72" t="s">
        <v>34</v>
      </c>
      <c r="P93" s="72" t="s">
        <v>34</v>
      </c>
      <c r="Q93" s="105" t="s">
        <v>42</v>
      </c>
      <c r="R93" s="105" t="s">
        <v>42</v>
      </c>
      <c r="S93" s="105" t="s">
        <v>42</v>
      </c>
      <c r="T93" s="105" t="s">
        <v>42</v>
      </c>
      <c r="U93" s="105" t="s">
        <v>42</v>
      </c>
      <c r="V93" s="79" t="s">
        <v>34</v>
      </c>
      <c r="W93" s="72" t="s">
        <v>34</v>
      </c>
      <c r="X93" s="72" t="s">
        <v>34</v>
      </c>
      <c r="Y93" s="100" t="s">
        <v>40</v>
      </c>
      <c r="Z93" s="100" t="s">
        <v>40</v>
      </c>
      <c r="AA93" s="101" t="s">
        <v>39</v>
      </c>
      <c r="AB93" s="100" t="s">
        <v>40</v>
      </c>
      <c r="AC93" s="100" t="s">
        <v>40</v>
      </c>
      <c r="AD93" s="100" t="s">
        <v>40</v>
      </c>
      <c r="AE93" s="72" t="s">
        <v>34</v>
      </c>
      <c r="AF93" s="72" t="s">
        <v>34</v>
      </c>
      <c r="AG93" s="56">
        <f t="shared" si="13"/>
        <v>0</v>
      </c>
      <c r="AH93" s="56"/>
      <c r="AI93" s="56"/>
      <c r="AJ93" s="56"/>
      <c r="AK93" s="78" t="s">
        <v>52</v>
      </c>
    </row>
    <row r="94" spans="1:37" ht="15" thickBot="1">
      <c r="A94" s="59">
        <v>44910</v>
      </c>
      <c r="B94">
        <v>1600</v>
      </c>
      <c r="D94" s="17">
        <f>(SUM(粮草!A94:X94)+AG94*10)*IF(AK94="是",$AY$4,$AY$3)</f>
        <v>1680</v>
      </c>
      <c r="E94" s="76">
        <f>SUM($B$4:B94)+SUM($C$4:C94)-SUM($D$4:D94)</f>
        <v>0</v>
      </c>
      <c r="F94" s="17">
        <f>SUM(经验!A94:X94)</f>
        <v>580</v>
      </c>
      <c r="G94" s="49">
        <f>SUM($F$4:F94)+SUM($H$4:H94)</f>
        <v>65010</v>
      </c>
      <c r="H94">
        <v>0</v>
      </c>
      <c r="I94" s="98" t="s">
        <v>33</v>
      </c>
      <c r="J94" s="98" t="s">
        <v>33</v>
      </c>
      <c r="K94" s="98" t="s">
        <v>33</v>
      </c>
      <c r="L94" s="101" t="s">
        <v>39</v>
      </c>
      <c r="M94" s="79" t="s">
        <v>34</v>
      </c>
      <c r="N94" s="79" t="s">
        <v>34</v>
      </c>
      <c r="O94" s="72" t="s">
        <v>34</v>
      </c>
      <c r="P94" s="72" t="s">
        <v>34</v>
      </c>
      <c r="Q94" s="105" t="s">
        <v>42</v>
      </c>
      <c r="R94" s="105" t="s">
        <v>42</v>
      </c>
      <c r="S94" s="105" t="s">
        <v>42</v>
      </c>
      <c r="T94" s="105" t="s">
        <v>42</v>
      </c>
      <c r="U94" s="105" t="s">
        <v>42</v>
      </c>
      <c r="V94" s="79" t="s">
        <v>34</v>
      </c>
      <c r="W94" s="72" t="s">
        <v>34</v>
      </c>
      <c r="X94" s="72" t="s">
        <v>34</v>
      </c>
      <c r="Y94" s="100" t="s">
        <v>40</v>
      </c>
      <c r="Z94" s="99" t="s">
        <v>37</v>
      </c>
      <c r="AA94" s="99" t="s">
        <v>37</v>
      </c>
      <c r="AB94" s="99" t="s">
        <v>37</v>
      </c>
      <c r="AC94" s="101" t="s">
        <v>39</v>
      </c>
      <c r="AD94" s="79" t="s">
        <v>34</v>
      </c>
      <c r="AE94" s="72" t="s">
        <v>34</v>
      </c>
      <c r="AF94" s="72" t="s">
        <v>34</v>
      </c>
      <c r="AG94" s="56">
        <f t="shared" si="13"/>
        <v>0</v>
      </c>
      <c r="AH94" s="56"/>
      <c r="AI94" s="56"/>
      <c r="AJ94" s="56"/>
      <c r="AK94" s="81" t="s">
        <v>52</v>
      </c>
    </row>
    <row r="96" spans="1:37">
      <c r="D96" t="s">
        <v>61</v>
      </c>
      <c r="E96" s="19">
        <f>COUNTIF(E4:E94,"&lt;0")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8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4879-CB49-43D5-BFFA-291B5D92CAFF}">
  <dimension ref="A1:H90"/>
  <sheetViews>
    <sheetView workbookViewId="0">
      <selection sqref="A1:H90"/>
    </sheetView>
  </sheetViews>
  <sheetFormatPr defaultRowHeight="14.4"/>
  <sheetData>
    <row r="1" spans="1:8">
      <c r="A1" s="100" t="s">
        <v>40</v>
      </c>
      <c r="B1" s="100" t="s">
        <v>40</v>
      </c>
      <c r="C1" s="100" t="s">
        <v>40</v>
      </c>
      <c r="D1" s="100" t="s">
        <v>40</v>
      </c>
      <c r="E1" s="101" t="s">
        <v>39</v>
      </c>
      <c r="F1" s="100" t="s">
        <v>40</v>
      </c>
      <c r="G1" s="72" t="s">
        <v>34</v>
      </c>
      <c r="H1" s="72" t="s">
        <v>34</v>
      </c>
    </row>
    <row r="2" spans="1:8">
      <c r="A2" s="73" t="s">
        <v>73</v>
      </c>
      <c r="B2" s="100" t="s">
        <v>40</v>
      </c>
      <c r="C2" s="99" t="s">
        <v>37</v>
      </c>
      <c r="D2" s="99" t="s">
        <v>37</v>
      </c>
      <c r="E2" s="99" t="s">
        <v>37</v>
      </c>
      <c r="F2" s="99" t="s">
        <v>37</v>
      </c>
      <c r="G2" s="72" t="s">
        <v>34</v>
      </c>
      <c r="H2" s="72" t="s">
        <v>34</v>
      </c>
    </row>
    <row r="3" spans="1:8">
      <c r="A3" s="99" t="s">
        <v>37</v>
      </c>
      <c r="B3" s="99" t="s">
        <v>37</v>
      </c>
      <c r="C3" s="101" t="s">
        <v>39</v>
      </c>
      <c r="D3" s="99" t="s">
        <v>37</v>
      </c>
      <c r="E3" s="99" t="s">
        <v>37</v>
      </c>
      <c r="F3" s="99" t="s">
        <v>37</v>
      </c>
      <c r="G3" s="72" t="s">
        <v>34</v>
      </c>
      <c r="H3" s="72" t="s">
        <v>34</v>
      </c>
    </row>
    <row r="4" spans="1:8">
      <c r="A4" s="99" t="s">
        <v>37</v>
      </c>
      <c r="B4" s="101" t="s">
        <v>39</v>
      </c>
      <c r="C4" s="99" t="s">
        <v>37</v>
      </c>
      <c r="D4" s="100" t="s">
        <v>40</v>
      </c>
      <c r="E4" s="98" t="s">
        <v>33</v>
      </c>
      <c r="F4" s="100" t="s">
        <v>40</v>
      </c>
      <c r="G4" s="72" t="s">
        <v>34</v>
      </c>
      <c r="H4" s="72" t="s">
        <v>34</v>
      </c>
    </row>
    <row r="5" spans="1:8">
      <c r="A5" s="73" t="s">
        <v>73</v>
      </c>
      <c r="B5" s="100" t="s">
        <v>40</v>
      </c>
      <c r="C5" s="100" t="s">
        <v>40</v>
      </c>
      <c r="D5" s="100" t="s">
        <v>40</v>
      </c>
      <c r="E5" s="73" t="s">
        <v>72</v>
      </c>
      <c r="F5" s="100" t="s">
        <v>40</v>
      </c>
      <c r="G5" s="72" t="s">
        <v>34</v>
      </c>
      <c r="H5" s="72" t="s">
        <v>34</v>
      </c>
    </row>
    <row r="6" spans="1:8">
      <c r="A6" s="99" t="s">
        <v>37</v>
      </c>
      <c r="B6" s="99" t="s">
        <v>37</v>
      </c>
      <c r="C6" s="99" t="s">
        <v>37</v>
      </c>
      <c r="D6" s="99" t="s">
        <v>37</v>
      </c>
      <c r="E6" s="100" t="s">
        <v>40</v>
      </c>
      <c r="F6" s="100" t="s">
        <v>40</v>
      </c>
      <c r="G6" s="72" t="s">
        <v>34</v>
      </c>
      <c r="H6" s="72" t="s">
        <v>34</v>
      </c>
    </row>
    <row r="7" spans="1:8">
      <c r="A7" s="100" t="s">
        <v>40</v>
      </c>
      <c r="B7" s="73" t="s">
        <v>73</v>
      </c>
      <c r="C7" s="79" t="s">
        <v>34</v>
      </c>
      <c r="D7" s="79" t="s">
        <v>34</v>
      </c>
      <c r="E7" s="79" t="s">
        <v>34</v>
      </c>
      <c r="F7" s="79" t="s">
        <v>34</v>
      </c>
      <c r="G7" s="72" t="s">
        <v>34</v>
      </c>
      <c r="H7" s="72" t="s">
        <v>34</v>
      </c>
    </row>
    <row r="8" spans="1:8">
      <c r="A8" s="100" t="s">
        <v>40</v>
      </c>
      <c r="B8" s="100" t="s">
        <v>40</v>
      </c>
      <c r="C8" s="100" t="s">
        <v>40</v>
      </c>
      <c r="D8" s="103" t="s">
        <v>41</v>
      </c>
      <c r="E8" s="100" t="s">
        <v>40</v>
      </c>
      <c r="F8" s="100" t="s">
        <v>40</v>
      </c>
      <c r="G8" s="72" t="s">
        <v>34</v>
      </c>
      <c r="H8" s="72" t="s">
        <v>34</v>
      </c>
    </row>
    <row r="9" spans="1:8">
      <c r="A9" s="100" t="s">
        <v>40</v>
      </c>
      <c r="B9" s="100" t="s">
        <v>40</v>
      </c>
      <c r="C9" s="100" t="s">
        <v>40</v>
      </c>
      <c r="D9" s="100" t="s">
        <v>40</v>
      </c>
      <c r="E9" s="100" t="s">
        <v>40</v>
      </c>
      <c r="F9" s="100" t="s">
        <v>40</v>
      </c>
      <c r="G9" s="72" t="s">
        <v>34</v>
      </c>
      <c r="H9" s="72" t="s">
        <v>34</v>
      </c>
    </row>
    <row r="10" spans="1:8">
      <c r="A10" s="100" t="s">
        <v>40</v>
      </c>
      <c r="B10" s="100" t="s">
        <v>40</v>
      </c>
      <c r="C10" s="100" t="s">
        <v>40</v>
      </c>
      <c r="D10" s="100" t="s">
        <v>40</v>
      </c>
      <c r="E10" s="101" t="s">
        <v>39</v>
      </c>
      <c r="F10" s="100" t="s">
        <v>40</v>
      </c>
      <c r="G10" s="72" t="s">
        <v>34</v>
      </c>
      <c r="H10" s="72" t="s">
        <v>34</v>
      </c>
    </row>
    <row r="11" spans="1:8">
      <c r="A11" s="100" t="s">
        <v>40</v>
      </c>
      <c r="B11" s="100" t="s">
        <v>40</v>
      </c>
      <c r="C11" s="100" t="s">
        <v>40</v>
      </c>
      <c r="D11" s="100" t="s">
        <v>40</v>
      </c>
      <c r="E11" s="100" t="s">
        <v>40</v>
      </c>
      <c r="F11" s="100" t="s">
        <v>40</v>
      </c>
      <c r="G11" s="72" t="s">
        <v>34</v>
      </c>
      <c r="H11" s="72" t="s">
        <v>34</v>
      </c>
    </row>
    <row r="12" spans="1:8">
      <c r="A12" s="100" t="s">
        <v>40</v>
      </c>
      <c r="B12" s="100" t="s">
        <v>40</v>
      </c>
      <c r="C12" s="100" t="s">
        <v>40</v>
      </c>
      <c r="D12" s="100" t="s">
        <v>40</v>
      </c>
      <c r="E12" s="100" t="s">
        <v>40</v>
      </c>
      <c r="F12" s="100" t="s">
        <v>40</v>
      </c>
      <c r="G12" s="72" t="s">
        <v>34</v>
      </c>
      <c r="H12" s="72" t="s">
        <v>34</v>
      </c>
    </row>
    <row r="13" spans="1:8">
      <c r="A13" s="100" t="s">
        <v>40</v>
      </c>
      <c r="B13" s="100" t="s">
        <v>40</v>
      </c>
      <c r="C13" s="100" t="s">
        <v>40</v>
      </c>
      <c r="D13" s="101" t="s">
        <v>39</v>
      </c>
      <c r="E13" s="99" t="s">
        <v>37</v>
      </c>
      <c r="F13" s="100" t="s">
        <v>40</v>
      </c>
      <c r="G13" s="72" t="s">
        <v>34</v>
      </c>
      <c r="H13" s="72" t="s">
        <v>34</v>
      </c>
    </row>
    <row r="14" spans="1:8">
      <c r="A14" s="100" t="s">
        <v>40</v>
      </c>
      <c r="B14" s="100" t="s">
        <v>40</v>
      </c>
      <c r="C14" s="100" t="s">
        <v>40</v>
      </c>
      <c r="D14" s="100" t="s">
        <v>40</v>
      </c>
      <c r="E14" s="100" t="s">
        <v>40</v>
      </c>
      <c r="F14" s="100" t="s">
        <v>40</v>
      </c>
      <c r="G14" s="72" t="s">
        <v>34</v>
      </c>
      <c r="H14" s="72" t="s">
        <v>34</v>
      </c>
    </row>
    <row r="15" spans="1:8">
      <c r="A15" s="100" t="s">
        <v>40</v>
      </c>
      <c r="B15" s="100" t="s">
        <v>40</v>
      </c>
      <c r="C15" s="100" t="s">
        <v>40</v>
      </c>
      <c r="D15" s="100" t="s">
        <v>40</v>
      </c>
      <c r="E15" s="100" t="s">
        <v>40</v>
      </c>
      <c r="F15" s="100" t="s">
        <v>40</v>
      </c>
      <c r="G15" s="72" t="s">
        <v>34</v>
      </c>
      <c r="H15" s="72" t="s">
        <v>34</v>
      </c>
    </row>
    <row r="16" spans="1:8">
      <c r="A16" s="100" t="s">
        <v>40</v>
      </c>
      <c r="B16" s="100" t="s">
        <v>40</v>
      </c>
      <c r="C16" s="100" t="s">
        <v>40</v>
      </c>
      <c r="D16" s="99" t="s">
        <v>37</v>
      </c>
      <c r="E16" s="100" t="s">
        <v>40</v>
      </c>
      <c r="F16" s="100" t="s">
        <v>40</v>
      </c>
      <c r="G16" s="72" t="s">
        <v>34</v>
      </c>
      <c r="H16" s="72" t="s">
        <v>34</v>
      </c>
    </row>
    <row r="17" spans="1:8">
      <c r="A17" s="100" t="s">
        <v>40</v>
      </c>
      <c r="B17" s="100" t="s">
        <v>40</v>
      </c>
      <c r="C17" s="100" t="s">
        <v>40</v>
      </c>
      <c r="D17" s="100" t="s">
        <v>40</v>
      </c>
      <c r="E17" s="100" t="s">
        <v>40</v>
      </c>
      <c r="F17" s="100" t="s">
        <v>40</v>
      </c>
      <c r="G17" s="72" t="s">
        <v>34</v>
      </c>
      <c r="H17" s="72" t="s">
        <v>34</v>
      </c>
    </row>
    <row r="18" spans="1:8">
      <c r="A18" s="100" t="s">
        <v>40</v>
      </c>
      <c r="B18" s="100" t="s">
        <v>40</v>
      </c>
      <c r="C18" s="100" t="s">
        <v>40</v>
      </c>
      <c r="D18" s="100" t="s">
        <v>40</v>
      </c>
      <c r="E18" s="100" t="s">
        <v>40</v>
      </c>
      <c r="F18" s="100" t="s">
        <v>40</v>
      </c>
      <c r="G18" s="72" t="s">
        <v>34</v>
      </c>
      <c r="H18" s="72" t="s">
        <v>34</v>
      </c>
    </row>
    <row r="19" spans="1:8">
      <c r="A19" s="100" t="s">
        <v>40</v>
      </c>
      <c r="B19" s="100" t="s">
        <v>40</v>
      </c>
      <c r="C19" s="100" t="s">
        <v>40</v>
      </c>
      <c r="D19" s="100" t="s">
        <v>40</v>
      </c>
      <c r="E19" s="100" t="s">
        <v>40</v>
      </c>
      <c r="F19" s="100" t="s">
        <v>40</v>
      </c>
      <c r="G19" s="72" t="s">
        <v>34</v>
      </c>
      <c r="H19" s="72" t="s">
        <v>34</v>
      </c>
    </row>
    <row r="20" spans="1:8">
      <c r="A20" s="102" t="s">
        <v>59</v>
      </c>
      <c r="B20" s="100" t="s">
        <v>40</v>
      </c>
      <c r="C20" s="101" t="s">
        <v>39</v>
      </c>
      <c r="D20" s="100" t="s">
        <v>40</v>
      </c>
      <c r="E20" s="100" t="s">
        <v>40</v>
      </c>
      <c r="F20" s="100" t="s">
        <v>40</v>
      </c>
      <c r="G20" s="72" t="s">
        <v>34</v>
      </c>
      <c r="H20" s="72" t="s">
        <v>34</v>
      </c>
    </row>
    <row r="21" spans="1:8">
      <c r="A21" s="100" t="s">
        <v>40</v>
      </c>
      <c r="B21" s="100" t="s">
        <v>40</v>
      </c>
      <c r="C21" s="100" t="s">
        <v>40</v>
      </c>
      <c r="D21" s="100" t="s">
        <v>40</v>
      </c>
      <c r="E21" s="100" t="s">
        <v>40</v>
      </c>
      <c r="F21" s="100" t="s">
        <v>40</v>
      </c>
      <c r="G21" s="72" t="s">
        <v>34</v>
      </c>
      <c r="H21" s="72" t="s">
        <v>34</v>
      </c>
    </row>
    <row r="22" spans="1:8">
      <c r="A22" s="100" t="s">
        <v>40</v>
      </c>
      <c r="B22" s="105" t="s">
        <v>42</v>
      </c>
      <c r="C22" s="105" t="s">
        <v>42</v>
      </c>
      <c r="D22" s="105" t="s">
        <v>42</v>
      </c>
      <c r="E22" s="100" t="s">
        <v>40</v>
      </c>
      <c r="F22" s="104" t="s">
        <v>47</v>
      </c>
      <c r="G22" s="72" t="s">
        <v>34</v>
      </c>
      <c r="H22" s="72" t="s">
        <v>34</v>
      </c>
    </row>
    <row r="23" spans="1:8">
      <c r="A23" s="100" t="s">
        <v>40</v>
      </c>
      <c r="B23" s="101" t="s">
        <v>39</v>
      </c>
      <c r="C23" s="100" t="s">
        <v>40</v>
      </c>
      <c r="D23" s="100" t="s">
        <v>40</v>
      </c>
      <c r="E23" s="100" t="s">
        <v>40</v>
      </c>
      <c r="F23" s="100" t="s">
        <v>40</v>
      </c>
      <c r="G23" s="72" t="s">
        <v>34</v>
      </c>
      <c r="H23" s="72" t="s">
        <v>34</v>
      </c>
    </row>
    <row r="24" spans="1:8">
      <c r="A24" s="100" t="s">
        <v>40</v>
      </c>
      <c r="B24" s="100" t="s">
        <v>40</v>
      </c>
      <c r="C24" s="101" t="s">
        <v>39</v>
      </c>
      <c r="D24" s="100" t="s">
        <v>40</v>
      </c>
      <c r="E24" s="100" t="s">
        <v>40</v>
      </c>
      <c r="F24" s="103" t="s">
        <v>41</v>
      </c>
      <c r="G24" s="72" t="s">
        <v>34</v>
      </c>
      <c r="H24" s="72" t="s">
        <v>34</v>
      </c>
    </row>
    <row r="25" spans="1:8">
      <c r="A25" s="100" t="s">
        <v>40</v>
      </c>
      <c r="B25" s="100" t="s">
        <v>40</v>
      </c>
      <c r="C25" s="100" t="s">
        <v>40</v>
      </c>
      <c r="D25" s="100" t="s">
        <v>40</v>
      </c>
      <c r="E25" s="100" t="s">
        <v>40</v>
      </c>
      <c r="F25" s="100" t="s">
        <v>40</v>
      </c>
      <c r="G25" s="100" t="s">
        <v>40</v>
      </c>
      <c r="H25" s="72" t="s">
        <v>34</v>
      </c>
    </row>
    <row r="26" spans="1:8">
      <c r="A26" s="100" t="s">
        <v>40</v>
      </c>
      <c r="B26" s="100" t="s">
        <v>40</v>
      </c>
      <c r="C26" s="100" t="s">
        <v>40</v>
      </c>
      <c r="D26" s="102" t="s">
        <v>59</v>
      </c>
      <c r="E26" s="105" t="s">
        <v>42</v>
      </c>
      <c r="F26" s="105" t="s">
        <v>42</v>
      </c>
      <c r="G26" s="72" t="s">
        <v>34</v>
      </c>
      <c r="H26" s="72" t="s">
        <v>34</v>
      </c>
    </row>
    <row r="27" spans="1:8">
      <c r="A27" s="105" t="s">
        <v>42</v>
      </c>
      <c r="B27" s="105" t="s">
        <v>42</v>
      </c>
      <c r="C27" s="100" t="s">
        <v>40</v>
      </c>
      <c r="D27" s="100" t="s">
        <v>40</v>
      </c>
      <c r="E27" s="100" t="s">
        <v>40</v>
      </c>
      <c r="F27" s="79" t="s">
        <v>34</v>
      </c>
      <c r="G27" s="72" t="s">
        <v>34</v>
      </c>
      <c r="H27" s="72" t="s">
        <v>34</v>
      </c>
    </row>
    <row r="28" spans="1:8">
      <c r="A28" s="105" t="s">
        <v>42</v>
      </c>
      <c r="B28" s="105" t="s">
        <v>42</v>
      </c>
      <c r="C28" s="105" t="s">
        <v>42</v>
      </c>
      <c r="D28" s="105" t="s">
        <v>42</v>
      </c>
      <c r="E28" s="105" t="s">
        <v>42</v>
      </c>
      <c r="F28" s="105" t="s">
        <v>42</v>
      </c>
      <c r="G28" s="72" t="s">
        <v>34</v>
      </c>
      <c r="H28" s="72" t="s">
        <v>34</v>
      </c>
    </row>
    <row r="29" spans="1:8">
      <c r="A29" s="105" t="s">
        <v>42</v>
      </c>
      <c r="B29" s="105" t="s">
        <v>42</v>
      </c>
      <c r="C29" s="105" t="s">
        <v>42</v>
      </c>
      <c r="D29" s="105" t="s">
        <v>42</v>
      </c>
      <c r="E29" s="105" t="s">
        <v>42</v>
      </c>
      <c r="F29" s="105" t="s">
        <v>42</v>
      </c>
      <c r="G29" s="72" t="s">
        <v>34</v>
      </c>
      <c r="H29" s="72" t="s">
        <v>34</v>
      </c>
    </row>
    <row r="30" spans="1:8">
      <c r="A30" s="105" t="s">
        <v>42</v>
      </c>
      <c r="B30" s="105" t="s">
        <v>42</v>
      </c>
      <c r="C30" s="105" t="s">
        <v>42</v>
      </c>
      <c r="D30" s="105" t="s">
        <v>42</v>
      </c>
      <c r="E30" s="105" t="s">
        <v>42</v>
      </c>
      <c r="F30" s="105" t="s">
        <v>42</v>
      </c>
      <c r="G30" s="72" t="s">
        <v>34</v>
      </c>
      <c r="H30" s="72" t="s">
        <v>34</v>
      </c>
    </row>
    <row r="31" spans="1:8">
      <c r="A31" s="105" t="s">
        <v>42</v>
      </c>
      <c r="B31" s="105" t="s">
        <v>42</v>
      </c>
      <c r="C31" s="105" t="s">
        <v>42</v>
      </c>
      <c r="D31" s="105" t="s">
        <v>42</v>
      </c>
      <c r="E31" s="102" t="s">
        <v>59</v>
      </c>
      <c r="F31" s="105" t="s">
        <v>42</v>
      </c>
      <c r="G31" s="72" t="s">
        <v>34</v>
      </c>
      <c r="H31" s="72" t="s">
        <v>34</v>
      </c>
    </row>
    <row r="32" spans="1:8">
      <c r="A32" s="101" t="s">
        <v>39</v>
      </c>
      <c r="B32" s="105" t="s">
        <v>42</v>
      </c>
      <c r="C32" s="105" t="s">
        <v>42</v>
      </c>
      <c r="D32" s="105" t="s">
        <v>42</v>
      </c>
      <c r="E32" s="105" t="s">
        <v>42</v>
      </c>
      <c r="F32" s="105" t="s">
        <v>42</v>
      </c>
      <c r="G32" s="72" t="s">
        <v>34</v>
      </c>
      <c r="H32" s="72" t="s">
        <v>34</v>
      </c>
    </row>
    <row r="33" spans="1:8">
      <c r="A33" s="105" t="s">
        <v>42</v>
      </c>
      <c r="B33" s="105" t="s">
        <v>42</v>
      </c>
      <c r="C33" s="105" t="s">
        <v>42</v>
      </c>
      <c r="D33" s="105" t="s">
        <v>42</v>
      </c>
      <c r="E33" s="105" t="s">
        <v>42</v>
      </c>
      <c r="F33" s="105" t="s">
        <v>42</v>
      </c>
      <c r="G33" s="72" t="s">
        <v>34</v>
      </c>
      <c r="H33" s="72" t="s">
        <v>34</v>
      </c>
    </row>
    <row r="34" spans="1:8">
      <c r="A34" s="105" t="s">
        <v>42</v>
      </c>
      <c r="B34" s="105" t="s">
        <v>42</v>
      </c>
      <c r="C34" s="105" t="s">
        <v>42</v>
      </c>
      <c r="D34" s="105" t="s">
        <v>42</v>
      </c>
      <c r="E34" s="105" t="s">
        <v>42</v>
      </c>
      <c r="F34" s="105" t="s">
        <v>42</v>
      </c>
      <c r="G34" s="72" t="s">
        <v>34</v>
      </c>
      <c r="H34" s="72" t="s">
        <v>34</v>
      </c>
    </row>
    <row r="35" spans="1:8">
      <c r="A35" s="105" t="s">
        <v>42</v>
      </c>
      <c r="B35" s="105" t="s">
        <v>42</v>
      </c>
      <c r="C35" s="106" t="s">
        <v>48</v>
      </c>
      <c r="D35" s="105" t="s">
        <v>42</v>
      </c>
      <c r="E35" s="105" t="s">
        <v>42</v>
      </c>
      <c r="F35" s="105" t="s">
        <v>42</v>
      </c>
      <c r="G35" s="72" t="s">
        <v>34</v>
      </c>
      <c r="H35" s="72" t="s">
        <v>34</v>
      </c>
    </row>
    <row r="36" spans="1:8">
      <c r="A36" s="105" t="s">
        <v>42</v>
      </c>
      <c r="B36" s="105" t="s">
        <v>42</v>
      </c>
      <c r="C36" s="105" t="s">
        <v>42</v>
      </c>
      <c r="D36" s="105" t="s">
        <v>42</v>
      </c>
      <c r="E36" s="105" t="s">
        <v>42</v>
      </c>
      <c r="F36" s="105" t="s">
        <v>42</v>
      </c>
      <c r="G36" s="72" t="s">
        <v>34</v>
      </c>
      <c r="H36" s="72" t="s">
        <v>34</v>
      </c>
    </row>
    <row r="37" spans="1:8">
      <c r="A37" s="105" t="s">
        <v>42</v>
      </c>
      <c r="B37" s="105" t="s">
        <v>42</v>
      </c>
      <c r="C37" s="105" t="s">
        <v>42</v>
      </c>
      <c r="D37" s="105" t="s">
        <v>42</v>
      </c>
      <c r="E37" s="105" t="s">
        <v>42</v>
      </c>
      <c r="F37" s="105" t="s">
        <v>42</v>
      </c>
      <c r="G37" s="72" t="s">
        <v>34</v>
      </c>
      <c r="H37" s="72" t="s">
        <v>34</v>
      </c>
    </row>
    <row r="38" spans="1:8">
      <c r="A38" s="105" t="s">
        <v>42</v>
      </c>
      <c r="B38" s="105" t="s">
        <v>42</v>
      </c>
      <c r="C38" s="105" t="s">
        <v>42</v>
      </c>
      <c r="D38" s="105" t="s">
        <v>42</v>
      </c>
      <c r="E38" s="105" t="s">
        <v>42</v>
      </c>
      <c r="F38" s="105" t="s">
        <v>42</v>
      </c>
      <c r="G38" s="72" t="s">
        <v>34</v>
      </c>
      <c r="H38" s="72" t="s">
        <v>34</v>
      </c>
    </row>
    <row r="39" spans="1:8">
      <c r="A39" s="105" t="s">
        <v>42</v>
      </c>
      <c r="B39" s="105" t="s">
        <v>42</v>
      </c>
      <c r="C39" s="105" t="s">
        <v>42</v>
      </c>
      <c r="D39" s="105" t="s">
        <v>42</v>
      </c>
      <c r="E39" s="105" t="s">
        <v>42</v>
      </c>
      <c r="F39" s="105" t="s">
        <v>42</v>
      </c>
      <c r="G39" s="72" t="s">
        <v>34</v>
      </c>
      <c r="H39" s="72" t="s">
        <v>34</v>
      </c>
    </row>
    <row r="40" spans="1:8">
      <c r="A40" s="101" t="s">
        <v>39</v>
      </c>
      <c r="B40" s="105" t="s">
        <v>42</v>
      </c>
      <c r="C40" s="105" t="s">
        <v>42</v>
      </c>
      <c r="D40" s="105" t="s">
        <v>42</v>
      </c>
      <c r="E40" s="105" t="s">
        <v>42</v>
      </c>
      <c r="F40" s="105" t="s">
        <v>42</v>
      </c>
      <c r="G40" s="72" t="s">
        <v>34</v>
      </c>
      <c r="H40" s="72" t="s">
        <v>34</v>
      </c>
    </row>
    <row r="41" spans="1:8">
      <c r="A41" s="105" t="s">
        <v>42</v>
      </c>
      <c r="B41" s="105" t="s">
        <v>42</v>
      </c>
      <c r="C41" s="105" t="s">
        <v>42</v>
      </c>
      <c r="D41" s="105" t="s">
        <v>42</v>
      </c>
      <c r="E41" s="105" t="s">
        <v>42</v>
      </c>
      <c r="F41" s="105" t="s">
        <v>42</v>
      </c>
      <c r="G41" s="72" t="s">
        <v>34</v>
      </c>
      <c r="H41" s="72" t="s">
        <v>34</v>
      </c>
    </row>
    <row r="42" spans="1:8">
      <c r="A42" s="105" t="s">
        <v>42</v>
      </c>
      <c r="B42" s="105" t="s">
        <v>42</v>
      </c>
      <c r="C42" s="105" t="s">
        <v>42</v>
      </c>
      <c r="D42" s="105" t="s">
        <v>42</v>
      </c>
      <c r="E42" s="105" t="s">
        <v>42</v>
      </c>
      <c r="F42" s="105" t="s">
        <v>42</v>
      </c>
      <c r="G42" s="72" t="s">
        <v>34</v>
      </c>
      <c r="H42" s="72" t="s">
        <v>34</v>
      </c>
    </row>
    <row r="43" spans="1:8">
      <c r="A43" s="105" t="s">
        <v>42</v>
      </c>
      <c r="B43" s="101" t="s">
        <v>39</v>
      </c>
      <c r="C43" s="105" t="s">
        <v>42</v>
      </c>
      <c r="D43" s="105" t="s">
        <v>42</v>
      </c>
      <c r="E43" s="105" t="s">
        <v>42</v>
      </c>
      <c r="F43" s="105" t="s">
        <v>42</v>
      </c>
      <c r="G43" s="72" t="s">
        <v>34</v>
      </c>
      <c r="H43" s="72" t="s">
        <v>34</v>
      </c>
    </row>
    <row r="44" spans="1:8">
      <c r="A44" s="105" t="s">
        <v>42</v>
      </c>
      <c r="B44" s="105" t="s">
        <v>42</v>
      </c>
      <c r="C44" s="105" t="s">
        <v>42</v>
      </c>
      <c r="D44" s="105" t="s">
        <v>42</v>
      </c>
      <c r="E44" s="105" t="s">
        <v>42</v>
      </c>
      <c r="F44" s="105" t="s">
        <v>42</v>
      </c>
      <c r="G44" s="72" t="s">
        <v>34</v>
      </c>
      <c r="H44" s="72" t="s">
        <v>34</v>
      </c>
    </row>
    <row r="45" spans="1:8">
      <c r="A45" s="102" t="s">
        <v>59</v>
      </c>
      <c r="B45" s="105" t="s">
        <v>42</v>
      </c>
      <c r="C45" s="105" t="s">
        <v>42</v>
      </c>
      <c r="D45" s="105" t="s">
        <v>42</v>
      </c>
      <c r="E45" s="105" t="s">
        <v>42</v>
      </c>
      <c r="F45" s="105" t="s">
        <v>42</v>
      </c>
      <c r="G45" s="72" t="s">
        <v>34</v>
      </c>
      <c r="H45" s="72" t="s">
        <v>34</v>
      </c>
    </row>
    <row r="46" spans="1:8">
      <c r="A46" s="105" t="s">
        <v>42</v>
      </c>
      <c r="B46" s="105" t="s">
        <v>42</v>
      </c>
      <c r="C46" s="105" t="s">
        <v>42</v>
      </c>
      <c r="D46" s="105" t="s">
        <v>42</v>
      </c>
      <c r="E46" s="107" t="s">
        <v>55</v>
      </c>
      <c r="F46" s="108" t="s">
        <v>43</v>
      </c>
      <c r="G46" s="72" t="s">
        <v>34</v>
      </c>
      <c r="H46" s="72" t="s">
        <v>34</v>
      </c>
    </row>
    <row r="47" spans="1:8">
      <c r="A47" s="108" t="s">
        <v>43</v>
      </c>
      <c r="B47" s="105" t="s">
        <v>42</v>
      </c>
      <c r="C47" s="79" t="s">
        <v>34</v>
      </c>
      <c r="D47" s="79" t="s">
        <v>34</v>
      </c>
      <c r="E47" s="79" t="s">
        <v>34</v>
      </c>
      <c r="F47" s="79" t="s">
        <v>34</v>
      </c>
      <c r="G47" s="72" t="s">
        <v>34</v>
      </c>
      <c r="H47" s="72" t="s">
        <v>34</v>
      </c>
    </row>
    <row r="48" spans="1:8">
      <c r="A48" s="108" t="s">
        <v>43</v>
      </c>
      <c r="B48" s="108" t="s">
        <v>43</v>
      </c>
      <c r="C48" s="108" t="s">
        <v>43</v>
      </c>
      <c r="D48" s="108" t="s">
        <v>43</v>
      </c>
      <c r="E48" s="108" t="s">
        <v>43</v>
      </c>
      <c r="F48" s="108" t="s">
        <v>43</v>
      </c>
      <c r="G48" s="72" t="s">
        <v>34</v>
      </c>
      <c r="H48" s="72" t="s">
        <v>34</v>
      </c>
    </row>
    <row r="49" spans="1:8">
      <c r="A49" s="109" t="s">
        <v>44</v>
      </c>
      <c r="B49" s="109" t="s">
        <v>44</v>
      </c>
      <c r="C49" s="109" t="s">
        <v>44</v>
      </c>
      <c r="D49" s="109" t="s">
        <v>44</v>
      </c>
      <c r="E49" s="109" t="s">
        <v>44</v>
      </c>
      <c r="F49" s="109" t="s">
        <v>44</v>
      </c>
      <c r="G49" s="72" t="s">
        <v>34</v>
      </c>
      <c r="H49" s="72" t="s">
        <v>34</v>
      </c>
    </row>
    <row r="50" spans="1:8">
      <c r="A50" s="109" t="s">
        <v>44</v>
      </c>
      <c r="B50" s="109" t="s">
        <v>44</v>
      </c>
      <c r="C50" s="109" t="s">
        <v>44</v>
      </c>
      <c r="D50" s="109" t="s">
        <v>44</v>
      </c>
      <c r="E50" s="109" t="s">
        <v>44</v>
      </c>
      <c r="F50" s="109" t="s">
        <v>44</v>
      </c>
      <c r="G50" s="72" t="s">
        <v>34</v>
      </c>
      <c r="H50" s="72" t="s">
        <v>34</v>
      </c>
    </row>
    <row r="51" spans="1:8">
      <c r="A51" s="109" t="s">
        <v>44</v>
      </c>
      <c r="B51" s="109" t="s">
        <v>44</v>
      </c>
      <c r="C51" s="109" t="s">
        <v>44</v>
      </c>
      <c r="D51" s="109" t="s">
        <v>44</v>
      </c>
      <c r="E51" s="109" t="s">
        <v>44</v>
      </c>
      <c r="F51" s="109" t="s">
        <v>44</v>
      </c>
      <c r="G51" s="72" t="s">
        <v>34</v>
      </c>
      <c r="H51" s="72" t="s">
        <v>34</v>
      </c>
    </row>
    <row r="52" spans="1:8">
      <c r="A52" s="109" t="s">
        <v>44</v>
      </c>
      <c r="B52" s="109" t="s">
        <v>44</v>
      </c>
      <c r="C52" s="109" t="s">
        <v>44</v>
      </c>
      <c r="D52" s="109" t="s">
        <v>44</v>
      </c>
      <c r="E52" s="109" t="s">
        <v>44</v>
      </c>
      <c r="F52" s="109" t="s">
        <v>44</v>
      </c>
      <c r="G52" s="72" t="s">
        <v>34</v>
      </c>
      <c r="H52" s="72" t="s">
        <v>34</v>
      </c>
    </row>
    <row r="53" spans="1:8">
      <c r="A53" s="109" t="s">
        <v>44</v>
      </c>
      <c r="B53" s="109" t="s">
        <v>44</v>
      </c>
      <c r="C53" s="109" t="s">
        <v>44</v>
      </c>
      <c r="D53" s="109" t="s">
        <v>44</v>
      </c>
      <c r="E53" s="109" t="s">
        <v>44</v>
      </c>
      <c r="F53" s="108" t="s">
        <v>43</v>
      </c>
      <c r="G53" s="72" t="s">
        <v>34</v>
      </c>
      <c r="H53" s="72" t="s">
        <v>34</v>
      </c>
    </row>
    <row r="54" spans="1:8">
      <c r="A54" s="108" t="s">
        <v>43</v>
      </c>
      <c r="B54" s="108" t="s">
        <v>43</v>
      </c>
      <c r="C54" s="102" t="s">
        <v>59</v>
      </c>
      <c r="D54" s="108" t="s">
        <v>43</v>
      </c>
      <c r="E54" s="108" t="s">
        <v>43</v>
      </c>
      <c r="F54" s="108" t="s">
        <v>43</v>
      </c>
      <c r="G54" s="72" t="s">
        <v>34</v>
      </c>
      <c r="H54" s="72" t="s">
        <v>34</v>
      </c>
    </row>
    <row r="55" spans="1:8">
      <c r="A55" s="108" t="s">
        <v>43</v>
      </c>
      <c r="B55" s="108" t="s">
        <v>43</v>
      </c>
      <c r="C55" s="108" t="s">
        <v>43</v>
      </c>
      <c r="D55" s="108" t="s">
        <v>43</v>
      </c>
      <c r="E55" s="109" t="s">
        <v>44</v>
      </c>
      <c r="F55" s="109" t="s">
        <v>44</v>
      </c>
      <c r="G55" s="72" t="s">
        <v>34</v>
      </c>
      <c r="H55" s="72" t="s">
        <v>34</v>
      </c>
    </row>
    <row r="56" spans="1:8">
      <c r="A56" s="109" t="s">
        <v>44</v>
      </c>
      <c r="B56" s="109" t="s">
        <v>44</v>
      </c>
      <c r="C56" s="109" t="s">
        <v>44</v>
      </c>
      <c r="D56" s="109" t="s">
        <v>44</v>
      </c>
      <c r="E56" s="109" t="s">
        <v>44</v>
      </c>
      <c r="F56" s="109" t="s">
        <v>44</v>
      </c>
      <c r="G56" s="72" t="s">
        <v>34</v>
      </c>
      <c r="H56" s="72" t="s">
        <v>34</v>
      </c>
    </row>
    <row r="57" spans="1:8">
      <c r="A57" s="109" t="s">
        <v>44</v>
      </c>
      <c r="B57" s="109" t="s">
        <v>44</v>
      </c>
      <c r="C57" s="108" t="s">
        <v>43</v>
      </c>
      <c r="D57" s="108" t="s">
        <v>43</v>
      </c>
      <c r="E57" s="109" t="s">
        <v>44</v>
      </c>
      <c r="F57" s="109" t="s">
        <v>44</v>
      </c>
      <c r="G57" s="72" t="s">
        <v>34</v>
      </c>
      <c r="H57" s="72" t="s">
        <v>34</v>
      </c>
    </row>
    <row r="58" spans="1:8">
      <c r="A58" s="109" t="s">
        <v>44</v>
      </c>
      <c r="B58" s="102" t="s">
        <v>59</v>
      </c>
      <c r="C58" s="109" t="s">
        <v>44</v>
      </c>
      <c r="D58" s="109" t="s">
        <v>44</v>
      </c>
      <c r="E58" s="109" t="s">
        <v>44</v>
      </c>
      <c r="F58" s="108" t="s">
        <v>43</v>
      </c>
      <c r="G58" s="72" t="s">
        <v>34</v>
      </c>
      <c r="H58" s="72" t="s">
        <v>34</v>
      </c>
    </row>
    <row r="59" spans="1:8">
      <c r="A59" s="108" t="s">
        <v>43</v>
      </c>
      <c r="B59" s="80" t="s">
        <v>49</v>
      </c>
      <c r="C59" s="108" t="s">
        <v>43</v>
      </c>
      <c r="D59" s="108" t="s">
        <v>43</v>
      </c>
      <c r="E59" s="108" t="s">
        <v>43</v>
      </c>
      <c r="F59" s="108" t="s">
        <v>43</v>
      </c>
      <c r="G59" s="72" t="s">
        <v>34</v>
      </c>
      <c r="H59" s="72" t="s">
        <v>34</v>
      </c>
    </row>
    <row r="60" spans="1:8">
      <c r="A60" s="108" t="s">
        <v>43</v>
      </c>
      <c r="B60" s="108" t="s">
        <v>43</v>
      </c>
      <c r="C60" s="108" t="s">
        <v>43</v>
      </c>
      <c r="D60" s="77" t="s">
        <v>71</v>
      </c>
      <c r="E60" s="108" t="s">
        <v>43</v>
      </c>
      <c r="F60" s="108" t="s">
        <v>43</v>
      </c>
      <c r="G60" s="72" t="s">
        <v>34</v>
      </c>
      <c r="H60" s="72" t="s">
        <v>34</v>
      </c>
    </row>
    <row r="61" spans="1:8">
      <c r="A61" s="108" t="s">
        <v>43</v>
      </c>
      <c r="B61" s="108" t="s">
        <v>43</v>
      </c>
      <c r="C61" s="108" t="s">
        <v>43</v>
      </c>
      <c r="D61" s="108" t="s">
        <v>43</v>
      </c>
      <c r="E61" s="108" t="s">
        <v>43</v>
      </c>
      <c r="F61" s="108" t="s">
        <v>43</v>
      </c>
      <c r="G61" s="72" t="s">
        <v>34</v>
      </c>
      <c r="H61" s="72" t="s">
        <v>34</v>
      </c>
    </row>
    <row r="62" spans="1:8">
      <c r="A62" s="108" t="s">
        <v>43</v>
      </c>
      <c r="B62" s="108" t="s">
        <v>43</v>
      </c>
      <c r="C62" s="108" t="s">
        <v>43</v>
      </c>
      <c r="D62" s="108" t="s">
        <v>43</v>
      </c>
      <c r="E62" s="108" t="s">
        <v>43</v>
      </c>
      <c r="F62" s="108" t="s">
        <v>43</v>
      </c>
      <c r="G62" s="72" t="s">
        <v>34</v>
      </c>
      <c r="H62" s="72" t="s">
        <v>34</v>
      </c>
    </row>
    <row r="63" spans="1:8">
      <c r="A63" s="108" t="s">
        <v>43</v>
      </c>
      <c r="B63" s="108" t="s">
        <v>43</v>
      </c>
      <c r="C63" s="108" t="s">
        <v>43</v>
      </c>
      <c r="D63" s="108" t="s">
        <v>43</v>
      </c>
      <c r="E63" s="108" t="s">
        <v>43</v>
      </c>
      <c r="F63" s="108" t="s">
        <v>43</v>
      </c>
      <c r="G63" s="72" t="s">
        <v>34</v>
      </c>
      <c r="H63" s="72" t="s">
        <v>34</v>
      </c>
    </row>
    <row r="64" spans="1:8">
      <c r="A64" s="109" t="s">
        <v>44</v>
      </c>
      <c r="B64" s="109" t="s">
        <v>44</v>
      </c>
      <c r="C64" s="109" t="s">
        <v>44</v>
      </c>
      <c r="D64" s="108" t="s">
        <v>43</v>
      </c>
      <c r="E64" s="108" t="s">
        <v>43</v>
      </c>
      <c r="F64" s="109" t="s">
        <v>44</v>
      </c>
      <c r="G64" s="72" t="s">
        <v>34</v>
      </c>
      <c r="H64" s="72" t="s">
        <v>34</v>
      </c>
    </row>
    <row r="65" spans="1:8">
      <c r="A65" s="109" t="s">
        <v>44</v>
      </c>
      <c r="B65" s="109" t="s">
        <v>44</v>
      </c>
      <c r="C65" s="109" t="s">
        <v>44</v>
      </c>
      <c r="D65" s="108" t="s">
        <v>43</v>
      </c>
      <c r="E65" s="108" t="s">
        <v>43</v>
      </c>
      <c r="F65" s="101" t="s">
        <v>39</v>
      </c>
      <c r="G65" s="72" t="s">
        <v>34</v>
      </c>
      <c r="H65" s="72" t="s">
        <v>34</v>
      </c>
    </row>
    <row r="66" spans="1:8">
      <c r="A66" s="108" t="s">
        <v>43</v>
      </c>
      <c r="B66" s="108" t="s">
        <v>43</v>
      </c>
      <c r="C66" s="108" t="s">
        <v>43</v>
      </c>
      <c r="D66" s="108" t="s">
        <v>43</v>
      </c>
      <c r="E66" s="108" t="s">
        <v>43</v>
      </c>
      <c r="F66" s="109" t="s">
        <v>44</v>
      </c>
      <c r="G66" s="109" t="s">
        <v>44</v>
      </c>
      <c r="H66" s="72" t="s">
        <v>34</v>
      </c>
    </row>
    <row r="67" spans="1:8">
      <c r="A67" s="109" t="s">
        <v>44</v>
      </c>
      <c r="B67" s="110" t="s">
        <v>54</v>
      </c>
      <c r="C67" s="109" t="s">
        <v>44</v>
      </c>
      <c r="D67" s="109" t="s">
        <v>44</v>
      </c>
      <c r="E67" s="109" t="s">
        <v>44</v>
      </c>
      <c r="F67" s="108" t="s">
        <v>43</v>
      </c>
      <c r="G67" s="72" t="s">
        <v>34</v>
      </c>
      <c r="H67" s="72" t="s">
        <v>34</v>
      </c>
    </row>
    <row r="68" spans="1:8">
      <c r="A68" s="108" t="s">
        <v>43</v>
      </c>
      <c r="B68" s="108" t="s">
        <v>43</v>
      </c>
      <c r="C68" s="108" t="s">
        <v>43</v>
      </c>
      <c r="D68" s="108" t="s">
        <v>43</v>
      </c>
      <c r="E68" s="108" t="s">
        <v>43</v>
      </c>
      <c r="F68" s="108" t="s">
        <v>43</v>
      </c>
      <c r="G68" s="72" t="s">
        <v>34</v>
      </c>
      <c r="H68" s="72" t="s">
        <v>34</v>
      </c>
    </row>
    <row r="69" spans="1:8">
      <c r="A69" s="108" t="s">
        <v>43</v>
      </c>
      <c r="B69" s="108" t="s">
        <v>43</v>
      </c>
      <c r="C69" s="108" t="s">
        <v>43</v>
      </c>
      <c r="D69" s="108" t="s">
        <v>43</v>
      </c>
      <c r="E69" s="108" t="s">
        <v>43</v>
      </c>
      <c r="F69" s="108" t="s">
        <v>43</v>
      </c>
      <c r="G69" s="72" t="s">
        <v>34</v>
      </c>
      <c r="H69" s="72" t="s">
        <v>34</v>
      </c>
    </row>
    <row r="70" spans="1:8">
      <c r="A70" s="108" t="s">
        <v>43</v>
      </c>
      <c r="B70" s="108" t="s">
        <v>43</v>
      </c>
      <c r="C70" s="108" t="s">
        <v>43</v>
      </c>
      <c r="D70" s="108" t="s">
        <v>43</v>
      </c>
      <c r="E70" s="108" t="s">
        <v>43</v>
      </c>
      <c r="F70" s="108" t="s">
        <v>43</v>
      </c>
      <c r="G70" s="72" t="s">
        <v>34</v>
      </c>
      <c r="H70" s="72" t="s">
        <v>34</v>
      </c>
    </row>
    <row r="71" spans="1:8">
      <c r="A71" s="108" t="s">
        <v>43</v>
      </c>
      <c r="B71" s="108" t="s">
        <v>43</v>
      </c>
      <c r="C71" s="108" t="s">
        <v>43</v>
      </c>
      <c r="D71" s="108" t="s">
        <v>43</v>
      </c>
      <c r="E71" s="108" t="s">
        <v>43</v>
      </c>
      <c r="F71" s="108" t="s">
        <v>43</v>
      </c>
      <c r="G71" s="72" t="s">
        <v>34</v>
      </c>
      <c r="H71" s="72" t="s">
        <v>34</v>
      </c>
    </row>
    <row r="72" spans="1:8">
      <c r="A72" s="108" t="s">
        <v>43</v>
      </c>
      <c r="B72" s="102" t="s">
        <v>59</v>
      </c>
      <c r="C72" s="108" t="s">
        <v>43</v>
      </c>
      <c r="D72" s="108" t="s">
        <v>43</v>
      </c>
      <c r="E72" s="108" t="s">
        <v>43</v>
      </c>
      <c r="F72" s="108" t="s">
        <v>43</v>
      </c>
      <c r="G72" s="72" t="s">
        <v>34</v>
      </c>
      <c r="H72" s="72" t="s">
        <v>34</v>
      </c>
    </row>
    <row r="73" spans="1:8">
      <c r="A73" s="108" t="s">
        <v>43</v>
      </c>
      <c r="B73" s="108" t="s">
        <v>43</v>
      </c>
      <c r="C73" s="108" t="s">
        <v>43</v>
      </c>
      <c r="D73" s="108" t="s">
        <v>43</v>
      </c>
      <c r="E73" s="108" t="s">
        <v>43</v>
      </c>
      <c r="F73" s="108" t="s">
        <v>43</v>
      </c>
      <c r="G73" s="72" t="s">
        <v>34</v>
      </c>
      <c r="H73" s="72" t="s">
        <v>34</v>
      </c>
    </row>
    <row r="74" spans="1:8">
      <c r="A74" s="108" t="s">
        <v>43</v>
      </c>
      <c r="B74" s="108" t="s">
        <v>43</v>
      </c>
      <c r="C74" s="108" t="s">
        <v>43</v>
      </c>
      <c r="D74" s="109" t="s">
        <v>44</v>
      </c>
      <c r="E74" s="109" t="s">
        <v>44</v>
      </c>
      <c r="F74" s="109" t="s">
        <v>44</v>
      </c>
      <c r="G74" s="72" t="s">
        <v>34</v>
      </c>
      <c r="H74" s="72" t="s">
        <v>34</v>
      </c>
    </row>
    <row r="75" spans="1:8">
      <c r="A75" s="109" t="s">
        <v>44</v>
      </c>
      <c r="B75" s="109" t="s">
        <v>44</v>
      </c>
      <c r="C75" s="79" t="s">
        <v>34</v>
      </c>
      <c r="D75" s="79" t="s">
        <v>34</v>
      </c>
      <c r="E75" s="79" t="s">
        <v>34</v>
      </c>
      <c r="F75" s="79" t="s">
        <v>34</v>
      </c>
      <c r="G75" s="72" t="s">
        <v>34</v>
      </c>
      <c r="H75" s="72" t="s">
        <v>34</v>
      </c>
    </row>
    <row r="76" spans="1:8">
      <c r="A76" s="111" t="s">
        <v>50</v>
      </c>
      <c r="B76" s="109" t="s">
        <v>44</v>
      </c>
      <c r="C76" s="108" t="s">
        <v>43</v>
      </c>
      <c r="D76" s="108" t="s">
        <v>43</v>
      </c>
      <c r="E76" s="108" t="s">
        <v>43</v>
      </c>
      <c r="F76" s="108" t="s">
        <v>43</v>
      </c>
      <c r="G76" s="72" t="s">
        <v>34</v>
      </c>
      <c r="H76" s="72" t="s">
        <v>34</v>
      </c>
    </row>
    <row r="77" spans="1:8">
      <c r="A77" s="108" t="s">
        <v>43</v>
      </c>
      <c r="B77" s="108" t="s">
        <v>43</v>
      </c>
      <c r="C77" s="108" t="s">
        <v>43</v>
      </c>
      <c r="D77" s="108" t="s">
        <v>43</v>
      </c>
      <c r="E77" s="108" t="s">
        <v>43</v>
      </c>
      <c r="F77" s="108" t="s">
        <v>43</v>
      </c>
      <c r="G77" s="72" t="s">
        <v>34</v>
      </c>
      <c r="H77" s="72" t="s">
        <v>34</v>
      </c>
    </row>
    <row r="78" spans="1:8">
      <c r="A78" s="108" t="s">
        <v>43</v>
      </c>
      <c r="B78" s="108" t="s">
        <v>43</v>
      </c>
      <c r="C78" s="108" t="s">
        <v>43</v>
      </c>
      <c r="D78" s="108" t="s">
        <v>43</v>
      </c>
      <c r="E78" s="108" t="s">
        <v>43</v>
      </c>
      <c r="F78" s="108" t="s">
        <v>43</v>
      </c>
      <c r="G78" s="72" t="s">
        <v>34</v>
      </c>
      <c r="H78" s="72" t="s">
        <v>34</v>
      </c>
    </row>
    <row r="79" spans="1:8">
      <c r="A79" s="108" t="s">
        <v>43</v>
      </c>
      <c r="B79" s="108" t="s">
        <v>43</v>
      </c>
      <c r="C79" s="108" t="s">
        <v>43</v>
      </c>
      <c r="D79" s="108" t="s">
        <v>43</v>
      </c>
      <c r="E79" s="108" t="s">
        <v>43</v>
      </c>
      <c r="F79" s="101" t="s">
        <v>39</v>
      </c>
      <c r="G79" s="72" t="s">
        <v>34</v>
      </c>
      <c r="H79" s="72" t="s">
        <v>34</v>
      </c>
    </row>
    <row r="80" spans="1:8">
      <c r="A80" s="108" t="s">
        <v>43</v>
      </c>
      <c r="B80" s="108" t="s">
        <v>43</v>
      </c>
      <c r="C80" s="108" t="s">
        <v>43</v>
      </c>
      <c r="D80" s="108" t="s">
        <v>43</v>
      </c>
      <c r="E80" s="108" t="s">
        <v>43</v>
      </c>
      <c r="F80" s="108" t="s">
        <v>43</v>
      </c>
      <c r="G80" s="72" t="s">
        <v>34</v>
      </c>
      <c r="H80" s="72" t="s">
        <v>34</v>
      </c>
    </row>
    <row r="81" spans="1:8">
      <c r="A81" s="108" t="s">
        <v>43</v>
      </c>
      <c r="B81" s="108" t="s">
        <v>43</v>
      </c>
      <c r="C81" s="108" t="s">
        <v>43</v>
      </c>
      <c r="D81" s="108" t="s">
        <v>43</v>
      </c>
      <c r="E81" s="108" t="s">
        <v>43</v>
      </c>
      <c r="F81" s="108" t="s">
        <v>43</v>
      </c>
      <c r="G81" s="72" t="s">
        <v>34</v>
      </c>
      <c r="H81" s="72" t="s">
        <v>34</v>
      </c>
    </row>
    <row r="82" spans="1:8">
      <c r="A82" s="108" t="s">
        <v>43</v>
      </c>
      <c r="B82" s="109" t="s">
        <v>44</v>
      </c>
      <c r="C82" s="109" t="s">
        <v>44</v>
      </c>
      <c r="D82" s="108" t="s">
        <v>43</v>
      </c>
      <c r="E82" s="109" t="s">
        <v>44</v>
      </c>
      <c r="F82" s="109" t="s">
        <v>44</v>
      </c>
      <c r="G82" s="72" t="s">
        <v>34</v>
      </c>
      <c r="H82" s="72" t="s">
        <v>34</v>
      </c>
    </row>
    <row r="83" spans="1:8">
      <c r="A83" s="109" t="s">
        <v>44</v>
      </c>
      <c r="B83" s="108" t="s">
        <v>43</v>
      </c>
      <c r="C83" s="108" t="s">
        <v>43</v>
      </c>
      <c r="D83" s="108" t="s">
        <v>43</v>
      </c>
      <c r="E83" s="108" t="s">
        <v>43</v>
      </c>
      <c r="F83" s="108" t="s">
        <v>43</v>
      </c>
      <c r="G83" s="72" t="s">
        <v>34</v>
      </c>
      <c r="H83" s="72" t="s">
        <v>34</v>
      </c>
    </row>
    <row r="84" spans="1:8">
      <c r="A84" s="108" t="s">
        <v>43</v>
      </c>
      <c r="B84" s="108" t="s">
        <v>43</v>
      </c>
      <c r="C84" s="108" t="s">
        <v>43</v>
      </c>
      <c r="D84" s="108" t="s">
        <v>43</v>
      </c>
      <c r="E84" s="109" t="s">
        <v>44</v>
      </c>
      <c r="F84" s="109" t="s">
        <v>44</v>
      </c>
      <c r="G84" s="72" t="s">
        <v>34</v>
      </c>
      <c r="H84" s="72" t="s">
        <v>34</v>
      </c>
    </row>
    <row r="85" spans="1:8">
      <c r="A85" s="108" t="s">
        <v>43</v>
      </c>
      <c r="B85" s="108" t="s">
        <v>43</v>
      </c>
      <c r="C85" s="108" t="s">
        <v>43</v>
      </c>
      <c r="D85" s="108" t="s">
        <v>43</v>
      </c>
      <c r="E85" s="108" t="s">
        <v>43</v>
      </c>
      <c r="F85" s="108" t="s">
        <v>43</v>
      </c>
      <c r="G85" s="72" t="s">
        <v>34</v>
      </c>
      <c r="H85" s="72" t="s">
        <v>34</v>
      </c>
    </row>
    <row r="86" spans="1:8">
      <c r="A86" s="108" t="s">
        <v>43</v>
      </c>
      <c r="B86" s="108" t="s">
        <v>43</v>
      </c>
      <c r="C86" s="108" t="s">
        <v>43</v>
      </c>
      <c r="D86" s="108" t="s">
        <v>43</v>
      </c>
      <c r="E86" s="102" t="s">
        <v>59</v>
      </c>
      <c r="F86" s="108" t="s">
        <v>43</v>
      </c>
      <c r="G86" s="72" t="s">
        <v>34</v>
      </c>
      <c r="H86" s="72" t="s">
        <v>34</v>
      </c>
    </row>
    <row r="87" spans="1:8">
      <c r="A87" s="108" t="s">
        <v>43</v>
      </c>
      <c r="B87" s="108" t="s">
        <v>43</v>
      </c>
      <c r="C87" s="108" t="s">
        <v>43</v>
      </c>
      <c r="D87" s="108" t="s">
        <v>43</v>
      </c>
      <c r="E87" s="108" t="s">
        <v>43</v>
      </c>
      <c r="F87" s="79" t="s">
        <v>34</v>
      </c>
      <c r="G87" s="72" t="s">
        <v>34</v>
      </c>
      <c r="H87" s="72" t="s">
        <v>34</v>
      </c>
    </row>
    <row r="88" spans="1:8">
      <c r="A88" s="77" t="s">
        <v>71</v>
      </c>
      <c r="B88" s="108" t="s">
        <v>43</v>
      </c>
      <c r="C88" s="108" t="s">
        <v>43</v>
      </c>
      <c r="D88" s="108" t="s">
        <v>43</v>
      </c>
      <c r="E88" s="108" t="s">
        <v>43</v>
      </c>
      <c r="F88" s="79" t="s">
        <v>34</v>
      </c>
      <c r="G88" s="72" t="s">
        <v>34</v>
      </c>
      <c r="H88" s="72" t="s">
        <v>34</v>
      </c>
    </row>
    <row r="89" spans="1:8">
      <c r="A89" s="108" t="s">
        <v>43</v>
      </c>
      <c r="B89" s="108" t="s">
        <v>43</v>
      </c>
      <c r="C89" s="108" t="s">
        <v>43</v>
      </c>
      <c r="D89" s="108" t="s">
        <v>43</v>
      </c>
      <c r="E89" s="108" t="s">
        <v>43</v>
      </c>
      <c r="F89" s="80" t="s">
        <v>49</v>
      </c>
      <c r="G89" s="72" t="s">
        <v>34</v>
      </c>
      <c r="H89" s="72" t="s">
        <v>34</v>
      </c>
    </row>
    <row r="90" spans="1:8">
      <c r="A90" s="108" t="s">
        <v>43</v>
      </c>
      <c r="B90" s="108" t="s">
        <v>43</v>
      </c>
      <c r="C90" s="108" t="s">
        <v>43</v>
      </c>
      <c r="D90" s="108" t="s">
        <v>43</v>
      </c>
      <c r="E90" s="108" t="s">
        <v>43</v>
      </c>
      <c r="F90" s="79" t="s">
        <v>34</v>
      </c>
      <c r="G90" s="72" t="s">
        <v>34</v>
      </c>
      <c r="H90" s="7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40" t="s">
        <v>62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6" t="s">
        <v>4</v>
      </c>
      <c r="L2" s="6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10" t="s">
        <v>8</v>
      </c>
      <c r="T2" s="9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(VLOOKUP('9.0.10'!I4,'9.0.10'!$AM$4:$AO$55,2,FALSE))*IF('9.0.10'!AK$4="是",'9.0.10'!$AY$4,'9.0.10'!$AY$3)</f>
        <v>150</v>
      </c>
      <c r="B4" s="4">
        <f>(VLOOKUP('9.0.10'!J4,'9.0.10'!$AM$4:$AO$55,2,FALSE))*IF('9.0.10'!AL$4="是",'9.0.10'!$AY$4,'9.0.10'!$AY$3)</f>
        <v>150</v>
      </c>
      <c r="C4" s="4">
        <f>(VLOOKUP('9.0.10'!K4,'9.0.10'!$AM$4:$AO$55,2,FALSE))*IF('9.0.10'!AM$4="是",'9.0.10'!$AY$4,'9.0.10'!$AY$3)</f>
        <v>150</v>
      </c>
      <c r="D4" s="4">
        <f>(VLOOKUP('9.0.10'!L4,'9.0.10'!$AM$4:$AO$55,2,FALSE))*IF('9.0.10'!AN$4="是",'9.0.10'!$AY$4,'9.0.10'!$AY$3)</f>
        <v>150</v>
      </c>
      <c r="E4" s="4">
        <f>(VLOOKUP('9.0.10'!M4,'9.0.10'!$AM$4:$AO$55,2,FALSE))*IF('9.0.10'!AO$4="是",'9.0.10'!$AY$4,'9.0.10'!$AY$3)</f>
        <v>150</v>
      </c>
      <c r="F4" s="4">
        <f>(VLOOKUP('9.0.10'!N4,'9.0.10'!$AM$4:$AO$55,2,FALSE))*IF('9.0.10'!AQ$4="是",'9.0.10'!$AY$4,'9.0.10'!$AY$3)</f>
        <v>150</v>
      </c>
      <c r="G4" s="5">
        <f>(VLOOKUP('9.0.10'!O4,'9.0.10'!$AM$4:$AO$55,2,FALSE))*IF('9.0.10'!AR$4="是",'9.0.10'!$AY$4,'9.0.10'!$AY$3)</f>
        <v>0</v>
      </c>
      <c r="H4" s="5">
        <f>(VLOOKUP('9.0.10'!P4,'9.0.10'!$AM$4:$AO$55,2,FALSE))*IF('9.0.10'!AS$4="是",'9.0.10'!$AY$4,'9.0.10'!$AY$3)</f>
        <v>0</v>
      </c>
      <c r="I4" s="4">
        <f>(VLOOKUP('9.0.10'!Q4,'9.0.10'!$AM$4:$AO$55,2,FALSE))*IF('9.0.10'!AT$4="是",'9.0.10'!$AY$4,'9.0.10'!$AY$3)</f>
        <v>150</v>
      </c>
      <c r="J4" s="4">
        <f>(VLOOKUP('9.0.10'!R4,'9.0.10'!$AM$4:$AO$55,2,FALSE))*IF('9.0.10'!AU$4="是",'9.0.10'!$AY$4,'9.0.10'!$AY$3)</f>
        <v>150</v>
      </c>
      <c r="K4" s="4">
        <f>(VLOOKUP('9.0.10'!S4,'9.0.10'!$AM$4:$AO$55,2,FALSE))*IF('9.0.10'!AV$4="是",'9.0.10'!$AY$4,'9.0.10'!$AY$3)</f>
        <v>150</v>
      </c>
      <c r="L4" s="4">
        <f>(VLOOKUP('9.0.10'!T4,'9.0.10'!$AM$4:$AO$55,2,FALSE))*IF('9.0.10'!AW$4="是",'9.0.10'!$AY$4,'9.0.10'!$AY$3)</f>
        <v>150</v>
      </c>
      <c r="M4" s="4">
        <f>(VLOOKUP('9.0.10'!U4,'9.0.10'!$AM$4:$AO$55,2,FALSE))*IF('9.0.10'!AX$4="是",'9.0.10'!$AY$4,'9.0.10'!$AY$3)</f>
        <v>150</v>
      </c>
      <c r="N4" s="4">
        <f>(VLOOKUP('9.0.10'!V4,'9.0.10'!$AM$4:$AO$55,2,FALSE))*IF('9.0.10'!AY$4="是",'9.0.10'!$AY$4,'9.0.10'!$AY$3)</f>
        <v>150</v>
      </c>
      <c r="O4" s="5">
        <f>(VLOOKUP('9.0.10'!W4,'9.0.10'!$AM$4:$AO$55,2,FALSE))*IF('9.0.10'!AZ$4="是",'9.0.10'!$AY$4,'9.0.10'!$AY$3)</f>
        <v>0</v>
      </c>
      <c r="P4" s="5">
        <f>(VLOOKUP('9.0.10'!X4,'9.0.10'!$AM$4:$AO$55,2,FALSE))*IF('9.0.10'!BA$4="是",'9.0.10'!$AY$4,'9.0.10'!$AY$3)</f>
        <v>0</v>
      </c>
      <c r="Q4" s="4">
        <f>(VLOOKUP('9.0.10'!Y4,'9.0.10'!$AM$4:$AO$55,2,FALSE))*IF('9.0.10'!BB$4="是",'9.0.10'!$AY$4,'9.0.10'!$AY$3)</f>
        <v>160</v>
      </c>
      <c r="R4" s="4">
        <f>(VLOOKUP('9.0.10'!Z4,'9.0.10'!$AM$4:$AO$55,2,FALSE))*IF('9.0.10'!BC$4="是",'9.0.10'!$AY$4,'9.0.10'!$AY$3)</f>
        <v>50</v>
      </c>
      <c r="S4" s="4">
        <f>(VLOOKUP('9.0.10'!AA4,'9.0.10'!$AM$4:$AO$55,2,FALSE))*IF('9.0.10'!BD$4="是",'9.0.10'!$AY$4,'9.0.10'!$AY$3)</f>
        <v>160</v>
      </c>
      <c r="T4" s="4">
        <f>(VLOOKUP('9.0.10'!AB4,'9.0.10'!$AM$4:$AO$55,2,FALSE))*IF('9.0.10'!BE$4="是",'9.0.10'!$AY$4,'9.0.10'!$AY$3)</f>
        <v>170</v>
      </c>
      <c r="U4" s="4">
        <f>(VLOOKUP('9.0.10'!AC4,'9.0.10'!$AM$4:$AO$55,2,FALSE))*IF('9.0.10'!BF$4="是",'9.0.10'!$AY$4,'9.0.10'!$AY$3)</f>
        <v>170</v>
      </c>
      <c r="V4" s="4">
        <f>(VLOOKUP('9.0.10'!AD4,'9.0.10'!$AM$4:$AO$55,2,FALSE))*IF('9.0.10'!BG$4="是",'9.0.10'!$AY$4,'9.0.10'!$AY$3)</f>
        <v>250</v>
      </c>
      <c r="W4" s="5">
        <f>(VLOOKUP('9.0.10'!AE4,'9.0.10'!$AM$4:$AO$55,2,FALSE))*IF('9.0.10'!BH$4="是",'9.0.10'!$AY$4,'9.0.10'!$AY$3)</f>
        <v>170</v>
      </c>
      <c r="X4" s="5">
        <f>(VLOOKUP('9.0.10'!AF4,'9.0.10'!$AM$4:$AO$55,2,FALSE))*IF('9.0.10'!BI$4="是",'9.0.10'!$AY$4,'9.0.10'!$AY$3)</f>
        <v>0</v>
      </c>
    </row>
    <row r="5" spans="1:24">
      <c r="A5" s="4">
        <f>(VLOOKUP('9.0.10'!I5,'9.0.10'!$AM$4:$AO$55,2,FALSE))*IF('9.0.10'!AK$4="是",'9.0.10'!$AY$4,'9.0.10'!$AY$3)</f>
        <v>0</v>
      </c>
      <c r="B5" s="4">
        <f>(VLOOKUP('9.0.10'!J5,'9.0.10'!$AM$4:$AO$55,2,FALSE))*IF('9.0.10'!AL$4="是",'9.0.10'!$AY$4,'9.0.10'!$AY$3)</f>
        <v>0</v>
      </c>
      <c r="C5" s="4">
        <f>(VLOOKUP('9.0.10'!K5,'9.0.10'!$AM$4:$AO$55,2,FALSE))*IF('9.0.10'!AM$4="是",'9.0.10'!$AY$4,'9.0.10'!$AY$3)</f>
        <v>0</v>
      </c>
      <c r="D5" s="4">
        <f>(VLOOKUP('9.0.10'!L5,'9.0.10'!$AM$4:$AO$55,2,FALSE))*IF('9.0.10'!AN$4="是",'9.0.10'!$AY$4,'9.0.10'!$AY$3)</f>
        <v>0</v>
      </c>
      <c r="E5" s="4">
        <f>(VLOOKUP('9.0.10'!M5,'9.0.10'!$AM$4:$AO$55,2,FALSE))*IF('9.0.10'!AO$4="是",'9.0.10'!$AY$4,'9.0.10'!$AY$3)</f>
        <v>0</v>
      </c>
      <c r="F5" s="4">
        <f>(VLOOKUP('9.0.10'!N5,'9.0.10'!$AM$4:$AO$55,2,FALSE))*IF('9.0.10'!AQ$4="是",'9.0.10'!$AY$4,'9.0.10'!$AY$3)</f>
        <v>0</v>
      </c>
      <c r="G5" s="5">
        <f>(VLOOKUP('9.0.10'!O5,'9.0.10'!$AM$4:$AO$55,2,FALSE))*IF('9.0.10'!AR$4="是",'9.0.10'!$AY$4,'9.0.10'!$AY$3)</f>
        <v>0</v>
      </c>
      <c r="H5" s="5">
        <f>(VLOOKUP('9.0.10'!P5,'9.0.10'!$AM$4:$AO$55,2,FALSE))*IF('9.0.10'!AS$4="是",'9.0.10'!$AY$4,'9.0.10'!$AY$3)</f>
        <v>0</v>
      </c>
      <c r="I5" s="4">
        <f>(VLOOKUP('9.0.10'!Q5,'9.0.10'!$AM$4:$AO$55,2,FALSE))*IF('9.0.10'!AT$4="是",'9.0.10'!$AY$4,'9.0.10'!$AY$3)</f>
        <v>170</v>
      </c>
      <c r="J5" s="4">
        <f>(VLOOKUP('9.0.10'!R5,'9.0.10'!$AM$4:$AO$55,2,FALSE))*IF('9.0.10'!AU$4="是",'9.0.10'!$AY$4,'9.0.10'!$AY$3)</f>
        <v>170</v>
      </c>
      <c r="K5" s="4">
        <f>(VLOOKUP('9.0.10'!S5,'9.0.10'!$AM$4:$AO$55,2,FALSE))*IF('9.0.10'!AV$4="是",'9.0.10'!$AY$4,'9.0.10'!$AY$3)</f>
        <v>170</v>
      </c>
      <c r="L5" s="4">
        <f>(VLOOKUP('9.0.10'!T5,'9.0.10'!$AM$4:$AO$55,2,FALSE))*IF('9.0.10'!AW$4="是",'9.0.10'!$AY$4,'9.0.10'!$AY$3)</f>
        <v>170</v>
      </c>
      <c r="M5" s="4">
        <f>(VLOOKUP('9.0.10'!U5,'9.0.10'!$AM$4:$AO$55,2,FALSE))*IF('9.0.10'!AX$4="是",'9.0.10'!$AY$4,'9.0.10'!$AY$3)</f>
        <v>50</v>
      </c>
      <c r="N5" s="4">
        <f>(VLOOKUP('9.0.10'!V5,'9.0.10'!$AM$4:$AO$55,2,FALSE))*IF('9.0.10'!AY$4="是",'9.0.10'!$AY$4,'9.0.10'!$AY$3)</f>
        <v>170</v>
      </c>
      <c r="O5" s="5">
        <f>(VLOOKUP('9.0.10'!W5,'9.0.10'!$AM$4:$AO$55,2,FALSE))*IF('9.0.10'!AZ$4="是",'9.0.10'!$AY$4,'9.0.10'!$AY$3)</f>
        <v>0</v>
      </c>
      <c r="P5" s="5">
        <f>(VLOOKUP('9.0.10'!X5,'9.0.10'!$AM$4:$AO$55,2,FALSE))*IF('9.0.10'!BA$4="是",'9.0.10'!$AY$4,'9.0.10'!$AY$3)</f>
        <v>0</v>
      </c>
      <c r="Q5" s="4">
        <f>(VLOOKUP('9.0.10'!Y5,'9.0.10'!$AM$4:$AO$55,2,FALSE))*IF('9.0.10'!BB$4="是",'9.0.10'!$AY$4,'9.0.10'!$AY$3)</f>
        <v>170</v>
      </c>
      <c r="R5" s="4">
        <f>(VLOOKUP('9.0.10'!Z5,'9.0.10'!$AM$4:$AO$55,2,FALSE))*IF('9.0.10'!BC$4="是",'9.0.10'!$AY$4,'9.0.10'!$AY$3)</f>
        <v>50</v>
      </c>
      <c r="S5" s="4">
        <f>(VLOOKUP('9.0.10'!AA5,'9.0.10'!$AM$4:$AO$55,2,FALSE))*IF('9.0.10'!BD$4="是",'9.0.10'!$AY$4,'9.0.10'!$AY$3)</f>
        <v>160</v>
      </c>
      <c r="T5" s="4">
        <f>(VLOOKUP('9.0.10'!AB5,'9.0.10'!$AM$4:$AO$55,2,FALSE))*IF('9.0.10'!BE$4="是",'9.0.10'!$AY$4,'9.0.10'!$AY$3)</f>
        <v>-150</v>
      </c>
      <c r="U5" s="4">
        <f>(VLOOKUP('9.0.10'!AC5,'9.0.10'!$AM$4:$AO$55,2,FALSE))*IF('9.0.10'!BF$4="是",'9.0.10'!$AY$4,'9.0.10'!$AY$3)</f>
        <v>150</v>
      </c>
      <c r="V5" s="4">
        <f>(VLOOKUP('9.0.10'!AD5,'9.0.10'!$AM$4:$AO$55,2,FALSE))*IF('9.0.10'!BG$4="是",'9.0.10'!$AY$4,'9.0.10'!$AY$3)</f>
        <v>150</v>
      </c>
      <c r="W5" s="5">
        <f>(VLOOKUP('9.0.10'!AE5,'9.0.10'!$AM$4:$AO$55,2,FALSE))*IF('9.0.10'!BH$4="是",'9.0.10'!$AY$4,'9.0.10'!$AY$3)</f>
        <v>150</v>
      </c>
      <c r="X5" s="5">
        <f>(VLOOKUP('9.0.10'!AF5,'9.0.10'!$AM$4:$AO$55,2,FALSE))*IF('9.0.10'!BI$4="是",'9.0.10'!$AY$4,'9.0.10'!$AY$3)</f>
        <v>150</v>
      </c>
    </row>
    <row r="6" spans="1:24">
      <c r="A6" s="4">
        <f>(VLOOKUP('9.0.10'!I6,'9.0.10'!$AM$4:$AO$55,2,FALSE))*IF('9.0.10'!AK$4="是",'9.0.10'!$AY$4,'9.0.10'!$AY$3)</f>
        <v>0</v>
      </c>
      <c r="B6" s="4">
        <f>(VLOOKUP('9.0.10'!J6,'9.0.10'!$AM$4:$AO$55,2,FALSE))*IF('9.0.10'!AL$4="是",'9.0.10'!$AY$4,'9.0.10'!$AY$3)</f>
        <v>0</v>
      </c>
      <c r="C6" s="4">
        <f>(VLOOKUP('9.0.10'!K6,'9.0.10'!$AM$4:$AO$55,2,FALSE))*IF('9.0.10'!AM$4="是",'9.0.10'!$AY$4,'9.0.10'!$AY$3)</f>
        <v>0</v>
      </c>
      <c r="D6" s="4">
        <f>(VLOOKUP('9.0.10'!L6,'9.0.10'!$AM$4:$AO$55,2,FALSE))*IF('9.0.10'!AN$4="是",'9.0.10'!$AY$4,'9.0.10'!$AY$3)</f>
        <v>0</v>
      </c>
      <c r="E6" s="4">
        <f>(VLOOKUP('9.0.10'!M6,'9.0.10'!$AM$4:$AO$55,2,FALSE))*IF('9.0.10'!AO$4="是",'9.0.10'!$AY$4,'9.0.10'!$AY$3)</f>
        <v>0</v>
      </c>
      <c r="F6" s="4">
        <f>(VLOOKUP('9.0.10'!N6,'9.0.10'!$AM$4:$AO$55,2,FALSE))*IF('9.0.10'!AQ$4="是",'9.0.10'!$AY$4,'9.0.10'!$AY$3)</f>
        <v>0</v>
      </c>
      <c r="G6" s="5">
        <f>(VLOOKUP('9.0.10'!O6,'9.0.10'!$AM$4:$AO$55,2,FALSE))*IF('9.0.10'!AR$4="是",'9.0.10'!$AY$4,'9.0.10'!$AY$3)</f>
        <v>0</v>
      </c>
      <c r="H6" s="5">
        <f>(VLOOKUP('9.0.10'!P6,'9.0.10'!$AM$4:$AO$55,2,FALSE))*IF('9.0.10'!AS$4="是",'9.0.10'!$AY$4,'9.0.10'!$AY$3)</f>
        <v>0</v>
      </c>
      <c r="I6" s="4">
        <f>(VLOOKUP('9.0.10'!Q6,'9.0.10'!$AM$4:$AO$55,2,FALSE))*IF('9.0.10'!AT$4="是",'9.0.10'!$AY$4,'9.0.10'!$AY$3)</f>
        <v>170</v>
      </c>
      <c r="J6" s="4">
        <f>(VLOOKUP('9.0.10'!R6,'9.0.10'!$AM$4:$AO$55,2,FALSE))*IF('9.0.10'!AU$4="是",'9.0.10'!$AY$4,'9.0.10'!$AY$3)</f>
        <v>170</v>
      </c>
      <c r="K6" s="4">
        <f>(VLOOKUP('9.0.10'!S6,'9.0.10'!$AM$4:$AO$55,2,FALSE))*IF('9.0.10'!AV$4="是",'9.0.10'!$AY$4,'9.0.10'!$AY$3)</f>
        <v>160</v>
      </c>
      <c r="L6" s="4">
        <f>(VLOOKUP('9.0.10'!T6,'9.0.10'!$AM$4:$AO$55,2,FALSE))*IF('9.0.10'!AW$4="是",'9.0.10'!$AY$4,'9.0.10'!$AY$3)</f>
        <v>160</v>
      </c>
      <c r="M6" s="4">
        <f>(VLOOKUP('9.0.10'!U6,'9.0.10'!$AM$4:$AO$55,2,FALSE))*IF('9.0.10'!AX$4="是",'9.0.10'!$AY$4,'9.0.10'!$AY$3)</f>
        <v>160</v>
      </c>
      <c r="N6" s="4">
        <f>(VLOOKUP('9.0.10'!V6,'9.0.10'!$AM$4:$AO$55,2,FALSE))*IF('9.0.10'!AY$4="是",'9.0.10'!$AY$4,'9.0.10'!$AY$3)</f>
        <v>160</v>
      </c>
      <c r="O6" s="5">
        <f>(VLOOKUP('9.0.10'!W6,'9.0.10'!$AM$4:$AO$55,2,FALSE))*IF('9.0.10'!AZ$4="是",'9.0.10'!$AY$4,'9.0.10'!$AY$3)</f>
        <v>0</v>
      </c>
      <c r="P6" s="5">
        <f>(VLOOKUP('9.0.10'!X6,'9.0.10'!$AM$4:$AO$55,2,FALSE))*IF('9.0.10'!BA$4="是",'9.0.10'!$AY$4,'9.0.10'!$AY$3)</f>
        <v>0</v>
      </c>
      <c r="Q6" s="4">
        <f>(VLOOKUP('9.0.10'!Y6,'9.0.10'!$AM$4:$AO$55,2,FALSE))*IF('9.0.10'!BB$4="是",'9.0.10'!$AY$4,'9.0.10'!$AY$3)</f>
        <v>50</v>
      </c>
      <c r="R6" s="4">
        <f>(VLOOKUP('9.0.10'!Z6,'9.0.10'!$AM$4:$AO$55,2,FALSE))*IF('9.0.10'!BC$4="是",'9.0.10'!$AY$4,'9.0.10'!$AY$3)</f>
        <v>160</v>
      </c>
      <c r="S6" s="4">
        <f>(VLOOKUP('9.0.10'!AA6,'9.0.10'!$AM$4:$AO$55,2,FALSE))*IF('9.0.10'!BD$4="是",'9.0.10'!$AY$4,'9.0.10'!$AY$3)</f>
        <v>160</v>
      </c>
      <c r="T6" s="4">
        <f>(VLOOKUP('9.0.10'!AB6,'9.0.10'!$AM$4:$AO$55,2,FALSE))*IF('9.0.10'!BE$4="是",'9.0.10'!$AY$4,'9.0.10'!$AY$3)</f>
        <v>160</v>
      </c>
      <c r="U6" s="4">
        <f>(VLOOKUP('9.0.10'!AC6,'9.0.10'!$AM$4:$AO$55,2,FALSE))*IF('9.0.10'!BF$4="是",'9.0.10'!$AY$4,'9.0.10'!$AY$3)</f>
        <v>-150</v>
      </c>
      <c r="V6" s="4">
        <f>(VLOOKUP('9.0.10'!AD6,'9.0.10'!$AM$4:$AO$55,2,FALSE))*IF('9.0.10'!BG$4="是",'9.0.10'!$AY$4,'9.0.10'!$AY$3)</f>
        <v>160</v>
      </c>
      <c r="W6" s="5">
        <f>(VLOOKUP('9.0.10'!AE6,'9.0.10'!$AM$4:$AO$55,2,FALSE))*IF('9.0.10'!BH$4="是",'9.0.10'!$AY$4,'9.0.10'!$AY$3)</f>
        <v>160</v>
      </c>
      <c r="X6" s="5">
        <f>(VLOOKUP('9.0.10'!AF6,'9.0.10'!$AM$4:$AO$55,2,FALSE))*IF('9.0.10'!BI$4="是",'9.0.10'!$AY$4,'9.0.10'!$AY$3)</f>
        <v>170</v>
      </c>
    </row>
    <row r="7" spans="1:24">
      <c r="A7" s="4">
        <f>(VLOOKUP('9.0.10'!I7,'9.0.10'!$AM$4:$AO$55,2,FALSE))*IF('9.0.10'!AK$4="是",'9.0.10'!$AY$4,'9.0.10'!$AY$3)</f>
        <v>0</v>
      </c>
      <c r="B7" s="4">
        <f>(VLOOKUP('9.0.10'!J7,'9.0.10'!$AM$4:$AO$55,2,FALSE))*IF('9.0.10'!AL$4="是",'9.0.10'!$AY$4,'9.0.10'!$AY$3)</f>
        <v>0</v>
      </c>
      <c r="C7" s="4">
        <f>(VLOOKUP('9.0.10'!K7,'9.0.10'!$AM$4:$AO$55,2,FALSE))*IF('9.0.10'!AM$4="是",'9.0.10'!$AY$4,'9.0.10'!$AY$3)</f>
        <v>0</v>
      </c>
      <c r="D7" s="4">
        <f>(VLOOKUP('9.0.10'!L7,'9.0.10'!$AM$4:$AO$55,2,FALSE))*IF('9.0.10'!AN$4="是",'9.0.10'!$AY$4,'9.0.10'!$AY$3)</f>
        <v>0</v>
      </c>
      <c r="E7" s="4">
        <f>(VLOOKUP('9.0.10'!M7,'9.0.10'!$AM$4:$AO$55,2,FALSE))*IF('9.0.10'!AO$4="是",'9.0.10'!$AY$4,'9.0.10'!$AY$3)</f>
        <v>0</v>
      </c>
      <c r="F7" s="4">
        <f>(VLOOKUP('9.0.10'!N7,'9.0.10'!$AM$4:$AO$55,2,FALSE))*IF('9.0.10'!AQ$4="是",'9.0.10'!$AY$4,'9.0.10'!$AY$3)</f>
        <v>0</v>
      </c>
      <c r="G7" s="5">
        <f>(VLOOKUP('9.0.10'!O7,'9.0.10'!$AM$4:$AO$55,2,FALSE))*IF('9.0.10'!AR$4="是",'9.0.10'!$AY$4,'9.0.10'!$AY$3)</f>
        <v>0</v>
      </c>
      <c r="H7" s="5">
        <f>(VLOOKUP('9.0.10'!P7,'9.0.10'!$AM$4:$AO$55,2,FALSE))*IF('9.0.10'!AS$4="是",'9.0.10'!$AY$4,'9.0.10'!$AY$3)</f>
        <v>0</v>
      </c>
      <c r="I7" s="4">
        <f>(VLOOKUP('9.0.10'!Q7,'9.0.10'!$AM$4:$AO$55,2,FALSE))*IF('9.0.10'!AT$4="是",'9.0.10'!$AY$4,'9.0.10'!$AY$3)</f>
        <v>160</v>
      </c>
      <c r="J7" s="4">
        <f>(VLOOKUP('9.0.10'!R7,'9.0.10'!$AM$4:$AO$55,2,FALSE))*IF('9.0.10'!AU$4="是",'9.0.10'!$AY$4,'9.0.10'!$AY$3)</f>
        <v>160</v>
      </c>
      <c r="K7" s="4">
        <f>(VLOOKUP('9.0.10'!S7,'9.0.10'!$AM$4:$AO$55,2,FALSE))*IF('9.0.10'!AV$4="是",'9.0.10'!$AY$4,'9.0.10'!$AY$3)</f>
        <v>50</v>
      </c>
      <c r="L7" s="4">
        <f>(VLOOKUP('9.0.10'!T7,'9.0.10'!$AM$4:$AO$55,2,FALSE))*IF('9.0.10'!AW$4="是",'9.0.10'!$AY$4,'9.0.10'!$AY$3)</f>
        <v>160</v>
      </c>
      <c r="M7" s="4">
        <f>(VLOOKUP('9.0.10'!U7,'9.0.10'!$AM$4:$AO$55,2,FALSE))*IF('9.0.10'!AX$4="是",'9.0.10'!$AY$4,'9.0.10'!$AY$3)</f>
        <v>160</v>
      </c>
      <c r="N7" s="4">
        <f>(VLOOKUP('9.0.10'!V7,'9.0.10'!$AM$4:$AO$55,2,FALSE))*IF('9.0.10'!AY$4="是",'9.0.10'!$AY$4,'9.0.10'!$AY$3)</f>
        <v>160</v>
      </c>
      <c r="O7" s="5">
        <f>(VLOOKUP('9.0.10'!W7,'9.0.10'!$AM$4:$AO$55,2,FALSE))*IF('9.0.10'!AZ$4="是",'9.0.10'!$AY$4,'9.0.10'!$AY$3)</f>
        <v>0</v>
      </c>
      <c r="P7" s="5">
        <f>(VLOOKUP('9.0.10'!X7,'9.0.10'!$AM$4:$AO$55,2,FALSE))*IF('9.0.10'!BA$4="是",'9.0.10'!$AY$4,'9.0.10'!$AY$3)</f>
        <v>0</v>
      </c>
      <c r="Q7" s="4">
        <f>(VLOOKUP('9.0.10'!Y7,'9.0.10'!$AM$4:$AO$55,2,FALSE))*IF('9.0.10'!BB$4="是",'9.0.10'!$AY$4,'9.0.10'!$AY$3)</f>
        <v>170</v>
      </c>
      <c r="R7" s="4">
        <f>(VLOOKUP('9.0.10'!Z7,'9.0.10'!$AM$4:$AO$55,2,FALSE))*IF('9.0.10'!BC$4="是",'9.0.10'!$AY$4,'9.0.10'!$AY$3)</f>
        <v>170</v>
      </c>
      <c r="S7" s="4">
        <f>(VLOOKUP('9.0.10'!AA7,'9.0.10'!$AM$4:$AO$55,2,FALSE))*IF('9.0.10'!BD$4="是",'9.0.10'!$AY$4,'9.0.10'!$AY$3)</f>
        <v>170</v>
      </c>
      <c r="T7" s="4">
        <f>(VLOOKUP('9.0.10'!AB7,'9.0.10'!$AM$4:$AO$55,2,FALSE))*IF('9.0.10'!BE$4="是",'9.0.10'!$AY$4,'9.0.10'!$AY$3)</f>
        <v>170</v>
      </c>
      <c r="U7" s="4">
        <f>(VLOOKUP('9.0.10'!AC7,'9.0.10'!$AM$4:$AO$55,2,FALSE))*IF('9.0.10'!BF$4="是",'9.0.10'!$AY$4,'9.0.10'!$AY$3)</f>
        <v>170</v>
      </c>
      <c r="V7" s="4">
        <f>(VLOOKUP('9.0.10'!AD7,'9.0.10'!$AM$4:$AO$55,2,FALSE))*IF('9.0.10'!BG$4="是",'9.0.10'!$AY$4,'9.0.10'!$AY$3)</f>
        <v>160</v>
      </c>
      <c r="W7" s="5">
        <f>(VLOOKUP('9.0.10'!AE7,'9.0.10'!$AM$4:$AO$55,2,FALSE))*IF('9.0.10'!BH$4="是",'9.0.10'!$AY$4,'9.0.10'!$AY$3)</f>
        <v>0</v>
      </c>
      <c r="X7" s="5">
        <f>(VLOOKUP('9.0.10'!AF7,'9.0.10'!$AM$4:$AO$55,2,FALSE))*IF('9.0.10'!BI$4="是",'9.0.10'!$AY$4,'9.0.10'!$AY$3)</f>
        <v>0</v>
      </c>
    </row>
    <row r="8" spans="1:24">
      <c r="A8" s="4">
        <f>(VLOOKUP('9.0.10'!I8,'9.0.10'!$AM$4:$AO$55,2,FALSE))*IF('9.0.10'!AK$4="是",'9.0.10'!$AY$4,'9.0.10'!$AY$3)</f>
        <v>0</v>
      </c>
      <c r="B8" s="4">
        <f>(VLOOKUP('9.0.10'!J8,'9.0.10'!$AM$4:$AO$55,2,FALSE))*IF('9.0.10'!AL$4="是",'9.0.10'!$AY$4,'9.0.10'!$AY$3)</f>
        <v>0</v>
      </c>
      <c r="C8" s="4">
        <f>(VLOOKUP('9.0.10'!K8,'9.0.10'!$AM$4:$AO$55,2,FALSE))*IF('9.0.10'!AM$4="是",'9.0.10'!$AY$4,'9.0.10'!$AY$3)</f>
        <v>0</v>
      </c>
      <c r="D8" s="4">
        <f>(VLOOKUP('9.0.10'!L8,'9.0.10'!$AM$4:$AO$55,2,FALSE))*IF('9.0.10'!AN$4="是",'9.0.10'!$AY$4,'9.0.10'!$AY$3)</f>
        <v>0</v>
      </c>
      <c r="E8" s="4">
        <f>(VLOOKUP('9.0.10'!M8,'9.0.10'!$AM$4:$AO$55,2,FALSE))*IF('9.0.10'!AO$4="是",'9.0.10'!$AY$4,'9.0.10'!$AY$3)</f>
        <v>0</v>
      </c>
      <c r="F8" s="4">
        <f>(VLOOKUP('9.0.10'!N8,'9.0.10'!$AM$4:$AO$55,2,FALSE))*IF('9.0.10'!AQ$4="是",'9.0.10'!$AY$4,'9.0.10'!$AY$3)</f>
        <v>0</v>
      </c>
      <c r="G8" s="5">
        <f>(VLOOKUP('9.0.10'!O8,'9.0.10'!$AM$4:$AO$55,2,FALSE))*IF('9.0.10'!AR$4="是",'9.0.10'!$AY$4,'9.0.10'!$AY$3)</f>
        <v>0</v>
      </c>
      <c r="H8" s="5">
        <f>(VLOOKUP('9.0.10'!P8,'9.0.10'!$AM$4:$AO$55,2,FALSE))*IF('9.0.10'!AS$4="是",'9.0.10'!$AY$4,'9.0.10'!$AY$3)</f>
        <v>0</v>
      </c>
      <c r="I8" s="4">
        <f>(VLOOKUP('9.0.10'!Q8,'9.0.10'!$AM$4:$AO$55,2,FALSE))*IF('9.0.10'!AT$4="是",'9.0.10'!$AY$4,'9.0.10'!$AY$3)</f>
        <v>160</v>
      </c>
      <c r="J8" s="4">
        <f>(VLOOKUP('9.0.10'!R8,'9.0.10'!$AM$4:$AO$55,2,FALSE))*IF('9.0.10'!AU$4="是",'9.0.10'!$AY$4,'9.0.10'!$AY$3)</f>
        <v>50</v>
      </c>
      <c r="K8" s="4">
        <f>(VLOOKUP('9.0.10'!S8,'9.0.10'!$AM$4:$AO$55,2,FALSE))*IF('9.0.10'!AV$4="是",'9.0.10'!$AY$4,'9.0.10'!$AY$3)</f>
        <v>160</v>
      </c>
      <c r="L8" s="4">
        <f>(VLOOKUP('9.0.10'!T8,'9.0.10'!$AM$4:$AO$55,2,FALSE))*IF('9.0.10'!AW$4="是",'9.0.10'!$AY$4,'9.0.10'!$AY$3)</f>
        <v>170</v>
      </c>
      <c r="M8" s="4">
        <f>(VLOOKUP('9.0.10'!U8,'9.0.10'!$AM$4:$AO$55,2,FALSE))*IF('9.0.10'!AX$4="是",'9.0.10'!$AY$4,'9.0.10'!$AY$3)</f>
        <v>150</v>
      </c>
      <c r="N8" s="4">
        <f>(VLOOKUP('9.0.10'!V8,'9.0.10'!$AM$4:$AO$55,2,FALSE))*IF('9.0.10'!AY$4="是",'9.0.10'!$AY$4,'9.0.10'!$AY$3)</f>
        <v>170</v>
      </c>
      <c r="O8" s="5">
        <f>(VLOOKUP('9.0.10'!W8,'9.0.10'!$AM$4:$AO$55,2,FALSE))*IF('9.0.10'!AZ$4="是",'9.0.10'!$AY$4,'9.0.10'!$AY$3)</f>
        <v>0</v>
      </c>
      <c r="P8" s="5">
        <f>(VLOOKUP('9.0.10'!X8,'9.0.10'!$AM$4:$AO$55,2,FALSE))*IF('9.0.10'!BA$4="是",'9.0.10'!$AY$4,'9.0.10'!$AY$3)</f>
        <v>0</v>
      </c>
      <c r="Q8" s="4">
        <f>(VLOOKUP('9.0.10'!Y8,'9.0.10'!$AM$4:$AO$55,2,FALSE))*IF('9.0.10'!BB$4="是",'9.0.10'!$AY$4,'9.0.10'!$AY$3)</f>
        <v>160</v>
      </c>
      <c r="R8" s="4">
        <f>(VLOOKUP('9.0.10'!Z8,'9.0.10'!$AM$4:$AO$55,2,FALSE))*IF('9.0.10'!BC$4="是",'9.0.10'!$AY$4,'9.0.10'!$AY$3)</f>
        <v>160</v>
      </c>
      <c r="S8" s="4">
        <f>(VLOOKUP('9.0.10'!AA8,'9.0.10'!$AM$4:$AO$55,2,FALSE))*IF('9.0.10'!BD$4="是",'9.0.10'!$AY$4,'9.0.10'!$AY$3)</f>
        <v>50</v>
      </c>
      <c r="T8" s="4">
        <f>(VLOOKUP('9.0.10'!AB8,'9.0.10'!$AM$4:$AO$55,2,FALSE))*IF('9.0.10'!BE$4="是",'9.0.10'!$AY$4,'9.0.10'!$AY$3)</f>
        <v>160</v>
      </c>
      <c r="U8" s="4">
        <f>(VLOOKUP('9.0.10'!AC8,'9.0.10'!$AM$4:$AO$55,2,FALSE))*IF('9.0.10'!BF$4="是",'9.0.10'!$AY$4,'9.0.10'!$AY$3)</f>
        <v>160</v>
      </c>
      <c r="V8" s="4">
        <f>(VLOOKUP('9.0.10'!AD8,'9.0.10'!$AM$4:$AO$55,2,FALSE))*IF('9.0.10'!BG$4="是",'9.0.10'!$AY$4,'9.0.10'!$AY$3)</f>
        <v>170</v>
      </c>
      <c r="W8" s="5">
        <f>(VLOOKUP('9.0.10'!AE8,'9.0.10'!$AM$4:$AO$55,2,FALSE))*IF('9.0.10'!BH$4="是",'9.0.10'!$AY$4,'9.0.10'!$AY$3)</f>
        <v>0</v>
      </c>
      <c r="X8" s="5">
        <f>(VLOOKUP('9.0.10'!AF8,'9.0.10'!$AM$4:$AO$55,2,FALSE))*IF('9.0.10'!BI$4="是",'9.0.10'!$AY$4,'9.0.10'!$AY$3)</f>
        <v>0</v>
      </c>
    </row>
    <row r="9" spans="1:24">
      <c r="A9" s="4">
        <f>(VLOOKUP('9.0.10'!I9,'9.0.10'!$AM$4:$AO$55,2,FALSE))*IF('9.0.10'!AK$4="是",'9.0.10'!$AY$4,'9.0.10'!$AY$3)</f>
        <v>0</v>
      </c>
      <c r="B9" s="4">
        <f>(VLOOKUP('9.0.10'!J9,'9.0.10'!$AM$4:$AO$55,2,FALSE))*IF('9.0.10'!AL$4="是",'9.0.10'!$AY$4,'9.0.10'!$AY$3)</f>
        <v>0</v>
      </c>
      <c r="C9" s="4">
        <f>(VLOOKUP('9.0.10'!K9,'9.0.10'!$AM$4:$AO$55,2,FALSE))*IF('9.0.10'!AM$4="是",'9.0.10'!$AY$4,'9.0.10'!$AY$3)</f>
        <v>0</v>
      </c>
      <c r="D9" s="4">
        <f>(VLOOKUP('9.0.10'!L9,'9.0.10'!$AM$4:$AO$55,2,FALSE))*IF('9.0.10'!AN$4="是",'9.0.10'!$AY$4,'9.0.10'!$AY$3)</f>
        <v>0</v>
      </c>
      <c r="E9" s="4">
        <f>(VLOOKUP('9.0.10'!M9,'9.0.10'!$AM$4:$AO$55,2,FALSE))*IF('9.0.10'!AO$4="是",'9.0.10'!$AY$4,'9.0.10'!$AY$3)</f>
        <v>0</v>
      </c>
      <c r="F9" s="4">
        <f>(VLOOKUP('9.0.10'!N9,'9.0.10'!$AM$4:$AO$55,2,FALSE))*IF('9.0.10'!AQ$4="是",'9.0.10'!$AY$4,'9.0.10'!$AY$3)</f>
        <v>0</v>
      </c>
      <c r="G9" s="5">
        <f>(VLOOKUP('9.0.10'!O9,'9.0.10'!$AM$4:$AO$55,2,FALSE))*IF('9.0.10'!AR$4="是",'9.0.10'!$AY$4,'9.0.10'!$AY$3)</f>
        <v>0</v>
      </c>
      <c r="H9" s="5">
        <f>(VLOOKUP('9.0.10'!P9,'9.0.10'!$AM$4:$AO$55,2,FALSE))*IF('9.0.10'!AS$4="是",'9.0.10'!$AY$4,'9.0.10'!$AY$3)</f>
        <v>0</v>
      </c>
      <c r="I9" s="4">
        <f>(VLOOKUP('9.0.10'!Q9,'9.0.10'!$AM$4:$AO$55,2,FALSE))*IF('9.0.10'!AT$4="是",'9.0.10'!$AY$4,'9.0.10'!$AY$3)</f>
        <v>170</v>
      </c>
      <c r="J9" s="4">
        <f>(VLOOKUP('9.0.10'!R9,'9.0.10'!$AM$4:$AO$55,2,FALSE))*IF('9.0.10'!AU$4="是",'9.0.10'!$AY$4,'9.0.10'!$AY$3)</f>
        <v>170</v>
      </c>
      <c r="K9" s="4">
        <f>(VLOOKUP('9.0.10'!S9,'9.0.10'!$AM$4:$AO$55,2,FALSE))*IF('9.0.10'!AV$4="是",'9.0.10'!$AY$4,'9.0.10'!$AY$3)</f>
        <v>170</v>
      </c>
      <c r="L9" s="4">
        <f>(VLOOKUP('9.0.10'!T9,'9.0.10'!$AM$4:$AO$55,2,FALSE))*IF('9.0.10'!AW$4="是",'9.0.10'!$AY$4,'9.0.10'!$AY$3)</f>
        <v>170</v>
      </c>
      <c r="M9" s="4">
        <f>(VLOOKUP('9.0.10'!U9,'9.0.10'!$AM$4:$AO$55,2,FALSE))*IF('9.0.10'!AX$4="是",'9.0.10'!$AY$4,'9.0.10'!$AY$3)</f>
        <v>250</v>
      </c>
      <c r="N9" s="4">
        <f>(VLOOKUP('9.0.10'!V9,'9.0.10'!$AM$4:$AO$55,2,FALSE))*IF('9.0.10'!AY$4="是",'9.0.10'!$AY$4,'9.0.10'!$AY$3)</f>
        <v>170</v>
      </c>
      <c r="O9" s="5">
        <f>(VLOOKUP('9.0.10'!W9,'9.0.10'!$AM$4:$AO$55,2,FALSE))*IF('9.0.10'!AZ$4="是",'9.0.10'!$AY$4,'9.0.10'!$AY$3)</f>
        <v>0</v>
      </c>
      <c r="P9" s="5">
        <f>(VLOOKUP('9.0.10'!X9,'9.0.10'!$AM$4:$AO$55,2,FALSE))*IF('9.0.10'!BA$4="是",'9.0.10'!$AY$4,'9.0.10'!$AY$3)</f>
        <v>0</v>
      </c>
      <c r="Q9" s="4">
        <f>(VLOOKUP('9.0.10'!Y9,'9.0.10'!$AM$4:$AO$55,2,FALSE))*IF('9.0.10'!BB$4="是",'9.0.10'!$AY$4,'9.0.10'!$AY$3)</f>
        <v>170</v>
      </c>
      <c r="R9" s="4">
        <f>(VLOOKUP('9.0.10'!Z9,'9.0.10'!$AM$4:$AO$55,2,FALSE))*IF('9.0.10'!BC$4="是",'9.0.10'!$AY$4,'9.0.10'!$AY$3)</f>
        <v>150</v>
      </c>
      <c r="S9" s="4">
        <f>(VLOOKUP('9.0.10'!AA9,'9.0.10'!$AM$4:$AO$55,2,FALSE))*IF('9.0.10'!BD$4="是",'9.0.10'!$AY$4,'9.0.10'!$AY$3)</f>
        <v>170</v>
      </c>
      <c r="T9" s="4">
        <f>(VLOOKUP('9.0.10'!AB9,'9.0.10'!$AM$4:$AO$55,2,FALSE))*IF('9.0.10'!BE$4="是",'9.0.10'!$AY$4,'9.0.10'!$AY$3)</f>
        <v>250</v>
      </c>
      <c r="U9" s="4">
        <f>(VLOOKUP('9.0.10'!AC9,'9.0.10'!$AM$4:$AO$55,2,FALSE))*IF('9.0.10'!BF$4="是",'9.0.10'!$AY$4,'9.0.10'!$AY$3)</f>
        <v>170</v>
      </c>
      <c r="V9" s="4">
        <f>(VLOOKUP('9.0.10'!AD9,'9.0.10'!$AM$4:$AO$55,2,FALSE))*IF('9.0.10'!BG$4="是",'9.0.10'!$AY$4,'9.0.10'!$AY$3)</f>
        <v>170</v>
      </c>
      <c r="W9" s="5">
        <f>(VLOOKUP('9.0.10'!AE9,'9.0.10'!$AM$4:$AO$55,2,FALSE))*IF('9.0.10'!BH$4="是",'9.0.10'!$AY$4,'9.0.10'!$AY$3)</f>
        <v>0</v>
      </c>
      <c r="X9" s="5">
        <f>(VLOOKUP('9.0.10'!AF9,'9.0.10'!$AM$4:$AO$55,2,FALSE))*IF('9.0.10'!BI$4="是",'9.0.10'!$AY$4,'9.0.10'!$AY$3)</f>
        <v>0</v>
      </c>
    </row>
    <row r="10" spans="1:24">
      <c r="A10" s="4">
        <f>(VLOOKUP('9.0.10'!I10,'9.0.10'!$AM$4:$AO$55,2,FALSE))*IF('9.0.10'!AK$4="是",'9.0.10'!$AY$4,'9.0.10'!$AY$3)</f>
        <v>0</v>
      </c>
      <c r="B10" s="4">
        <f>(VLOOKUP('9.0.10'!J10,'9.0.10'!$AM$4:$AO$55,2,FALSE))*IF('9.0.10'!AL$4="是",'9.0.10'!$AY$4,'9.0.10'!$AY$3)</f>
        <v>0</v>
      </c>
      <c r="C10" s="4">
        <f>(VLOOKUP('9.0.10'!K10,'9.0.10'!$AM$4:$AO$55,2,FALSE))*IF('9.0.10'!AM$4="是",'9.0.10'!$AY$4,'9.0.10'!$AY$3)</f>
        <v>0</v>
      </c>
      <c r="D10" s="4">
        <f>(VLOOKUP('9.0.10'!L10,'9.0.10'!$AM$4:$AO$55,2,FALSE))*IF('9.0.10'!AN$4="是",'9.0.10'!$AY$4,'9.0.10'!$AY$3)</f>
        <v>0</v>
      </c>
      <c r="E10" s="4">
        <f>(VLOOKUP('9.0.10'!M10,'9.0.10'!$AM$4:$AO$55,2,FALSE))*IF('9.0.10'!AO$4="是",'9.0.10'!$AY$4,'9.0.10'!$AY$3)</f>
        <v>0</v>
      </c>
      <c r="F10" s="4">
        <f>(VLOOKUP('9.0.10'!N10,'9.0.10'!$AM$4:$AO$55,2,FALSE))*IF('9.0.10'!AQ$4="是",'9.0.10'!$AY$4,'9.0.10'!$AY$3)</f>
        <v>0</v>
      </c>
      <c r="G10" s="5">
        <f>(VLOOKUP('9.0.10'!O10,'9.0.10'!$AM$4:$AO$55,2,FALSE))*IF('9.0.10'!AR$4="是",'9.0.10'!$AY$4,'9.0.10'!$AY$3)</f>
        <v>0</v>
      </c>
      <c r="H10" s="5">
        <f>(VLOOKUP('9.0.10'!P10,'9.0.10'!$AM$4:$AO$55,2,FALSE))*IF('9.0.10'!AS$4="是",'9.0.10'!$AY$4,'9.0.10'!$AY$3)</f>
        <v>0</v>
      </c>
      <c r="I10" s="4">
        <f>(VLOOKUP('9.0.10'!Q10,'9.0.10'!$AM$4:$AO$55,2,FALSE))*IF('9.0.10'!AT$4="是",'9.0.10'!$AY$4,'9.0.10'!$AY$3)</f>
        <v>160</v>
      </c>
      <c r="J10" s="4">
        <f>(VLOOKUP('9.0.10'!R10,'9.0.10'!$AM$4:$AO$55,2,FALSE))*IF('9.0.10'!AU$4="是",'9.0.10'!$AY$4,'9.0.10'!$AY$3)</f>
        <v>160</v>
      </c>
      <c r="K10" s="4">
        <f>(VLOOKUP('9.0.10'!S10,'9.0.10'!$AM$4:$AO$55,2,FALSE))*IF('9.0.10'!AV$4="是",'9.0.10'!$AY$4,'9.0.10'!$AY$3)</f>
        <v>160</v>
      </c>
      <c r="L10" s="4">
        <f>(VLOOKUP('9.0.10'!T10,'9.0.10'!$AM$4:$AO$55,2,FALSE))*IF('9.0.10'!AW$4="是",'9.0.10'!$AY$4,'9.0.10'!$AY$3)</f>
        <v>160</v>
      </c>
      <c r="M10" s="4">
        <f>(VLOOKUP('9.0.10'!U10,'9.0.10'!$AM$4:$AO$55,2,FALSE))*IF('9.0.10'!AX$4="是",'9.0.10'!$AY$4,'9.0.10'!$AY$3)</f>
        <v>170</v>
      </c>
      <c r="N10" s="4">
        <f>(VLOOKUP('9.0.10'!V10,'9.0.10'!$AM$4:$AO$55,2,FALSE))*IF('9.0.10'!AY$4="是",'9.0.10'!$AY$4,'9.0.10'!$AY$3)</f>
        <v>170</v>
      </c>
      <c r="O10" s="5">
        <f>(VLOOKUP('9.0.10'!W10,'9.0.10'!$AM$4:$AO$55,2,FALSE))*IF('9.0.10'!AZ$4="是",'9.0.10'!$AY$4,'9.0.10'!$AY$3)</f>
        <v>0</v>
      </c>
      <c r="P10" s="5">
        <f>(VLOOKUP('9.0.10'!X10,'9.0.10'!$AM$4:$AO$55,2,FALSE))*IF('9.0.10'!BA$4="是",'9.0.10'!$AY$4,'9.0.10'!$AY$3)</f>
        <v>0</v>
      </c>
      <c r="Q10" s="4">
        <f>(VLOOKUP('9.0.10'!Y10,'9.0.10'!$AM$4:$AO$55,2,FALSE))*IF('9.0.10'!BB$4="是",'9.0.10'!$AY$4,'9.0.10'!$AY$3)</f>
        <v>170</v>
      </c>
      <c r="R10" s="4">
        <f>(VLOOKUP('9.0.10'!Z10,'9.0.10'!$AM$4:$AO$55,2,FALSE))*IF('9.0.10'!BC$4="是",'9.0.10'!$AY$4,'9.0.10'!$AY$3)</f>
        <v>170</v>
      </c>
      <c r="S10" s="4">
        <f>(VLOOKUP('9.0.10'!AA10,'9.0.10'!$AM$4:$AO$55,2,FALSE))*IF('9.0.10'!BD$4="是",'9.0.10'!$AY$4,'9.0.10'!$AY$3)</f>
        <v>-150</v>
      </c>
      <c r="T10" s="4">
        <f>(VLOOKUP('9.0.10'!AB10,'9.0.10'!$AM$4:$AO$55,2,FALSE))*IF('9.0.10'!BE$4="是",'9.0.10'!$AY$4,'9.0.10'!$AY$3)</f>
        <v>170</v>
      </c>
      <c r="U10" s="4">
        <f>(VLOOKUP('9.0.10'!AC10,'9.0.10'!$AM$4:$AO$55,2,FALSE))*IF('9.0.10'!BF$4="是",'9.0.10'!$AY$4,'9.0.10'!$AY$3)</f>
        <v>170</v>
      </c>
      <c r="V10" s="4">
        <f>(VLOOKUP('9.0.10'!AD10,'9.0.10'!$AM$4:$AO$55,2,FALSE))*IF('9.0.10'!BG$4="是",'9.0.10'!$AY$4,'9.0.10'!$AY$3)</f>
        <v>170</v>
      </c>
      <c r="W10" s="5">
        <f>(VLOOKUP('9.0.10'!AE10,'9.0.10'!$AM$4:$AO$55,2,FALSE))*IF('9.0.10'!BH$4="是",'9.0.10'!$AY$4,'9.0.10'!$AY$3)</f>
        <v>0</v>
      </c>
      <c r="X10" s="5">
        <f>(VLOOKUP('9.0.10'!AF10,'9.0.10'!$AM$4:$AO$55,2,FALSE))*IF('9.0.10'!BI$4="是",'9.0.10'!$AY$4,'9.0.10'!$AY$3)</f>
        <v>0</v>
      </c>
    </row>
    <row r="11" spans="1:24">
      <c r="A11" s="4">
        <f>(VLOOKUP('9.0.10'!I11,'9.0.10'!$AM$4:$AO$55,2,FALSE))*IF('9.0.10'!AK$4="是",'9.0.10'!$AY$4,'9.0.10'!$AY$3)</f>
        <v>0</v>
      </c>
      <c r="B11" s="4">
        <f>(VLOOKUP('9.0.10'!J11,'9.0.10'!$AM$4:$AO$55,2,FALSE))*IF('9.0.10'!AL$4="是",'9.0.10'!$AY$4,'9.0.10'!$AY$3)</f>
        <v>0</v>
      </c>
      <c r="C11" s="4">
        <f>(VLOOKUP('9.0.10'!K11,'9.0.10'!$AM$4:$AO$55,2,FALSE))*IF('9.0.10'!AM$4="是",'9.0.10'!$AY$4,'9.0.10'!$AY$3)</f>
        <v>0</v>
      </c>
      <c r="D11" s="4">
        <f>(VLOOKUP('9.0.10'!L11,'9.0.10'!$AM$4:$AO$55,2,FALSE))*IF('9.0.10'!AN$4="是",'9.0.10'!$AY$4,'9.0.10'!$AY$3)</f>
        <v>0</v>
      </c>
      <c r="E11" s="4">
        <f>(VLOOKUP('9.0.10'!M11,'9.0.10'!$AM$4:$AO$55,2,FALSE))*IF('9.0.10'!AO$4="是",'9.0.10'!$AY$4,'9.0.10'!$AY$3)</f>
        <v>0</v>
      </c>
      <c r="F11" s="4">
        <f>(VLOOKUP('9.0.10'!N11,'9.0.10'!$AM$4:$AO$55,2,FALSE))*IF('9.0.10'!AQ$4="是",'9.0.10'!$AY$4,'9.0.10'!$AY$3)</f>
        <v>0</v>
      </c>
      <c r="G11" s="5">
        <f>(VLOOKUP('9.0.10'!O11,'9.0.10'!$AM$4:$AO$55,2,FALSE))*IF('9.0.10'!AR$4="是",'9.0.10'!$AY$4,'9.0.10'!$AY$3)</f>
        <v>0</v>
      </c>
      <c r="H11" s="5">
        <f>(VLOOKUP('9.0.10'!P11,'9.0.10'!$AM$4:$AO$55,2,FALSE))*IF('9.0.10'!AS$4="是",'9.0.10'!$AY$4,'9.0.10'!$AY$3)</f>
        <v>0</v>
      </c>
      <c r="I11" s="4">
        <f>(VLOOKUP('9.0.10'!Q11,'9.0.10'!$AM$4:$AO$55,2,FALSE))*IF('9.0.10'!AT$4="是",'9.0.10'!$AY$4,'9.0.10'!$AY$3)</f>
        <v>170</v>
      </c>
      <c r="J11" s="4">
        <f>(VLOOKUP('9.0.10'!R11,'9.0.10'!$AM$4:$AO$55,2,FALSE))*IF('9.0.10'!AU$4="是",'9.0.10'!$AY$4,'9.0.10'!$AY$3)</f>
        <v>170</v>
      </c>
      <c r="K11" s="4">
        <f>(VLOOKUP('9.0.10'!S11,'9.0.10'!$AM$4:$AO$55,2,FALSE))*IF('9.0.10'!AV$4="是",'9.0.10'!$AY$4,'9.0.10'!$AY$3)</f>
        <v>170</v>
      </c>
      <c r="L11" s="4">
        <f>(VLOOKUP('9.0.10'!T11,'9.0.10'!$AM$4:$AO$55,2,FALSE))*IF('9.0.10'!AW$4="是",'9.0.10'!$AY$4,'9.0.10'!$AY$3)</f>
        <v>170</v>
      </c>
      <c r="M11" s="4">
        <f>(VLOOKUP('9.0.10'!U11,'9.0.10'!$AM$4:$AO$55,2,FALSE))*IF('9.0.10'!AX$4="是",'9.0.10'!$AY$4,'9.0.10'!$AY$3)</f>
        <v>170</v>
      </c>
      <c r="N11" s="4">
        <f>(VLOOKUP('9.0.10'!V11,'9.0.10'!$AM$4:$AO$55,2,FALSE))*IF('9.0.10'!AY$4="是",'9.0.10'!$AY$4,'9.0.10'!$AY$3)</f>
        <v>150</v>
      </c>
      <c r="O11" s="5">
        <f>(VLOOKUP('9.0.10'!W11,'9.0.10'!$AM$4:$AO$55,2,FALSE))*IF('9.0.10'!AZ$4="是",'9.0.10'!$AY$4,'9.0.10'!$AY$3)</f>
        <v>0</v>
      </c>
      <c r="P11" s="5">
        <f>(VLOOKUP('9.0.10'!X11,'9.0.10'!$AM$4:$AO$55,2,FALSE))*IF('9.0.10'!BA$4="是",'9.0.10'!$AY$4,'9.0.10'!$AY$3)</f>
        <v>0</v>
      </c>
      <c r="Q11" s="4">
        <f>(VLOOKUP('9.0.10'!Y11,'9.0.10'!$AM$4:$AO$55,2,FALSE))*IF('9.0.10'!BB$4="是",'9.0.10'!$AY$4,'9.0.10'!$AY$3)</f>
        <v>0</v>
      </c>
      <c r="R11" s="4">
        <f>(VLOOKUP('9.0.10'!Z11,'9.0.10'!$AM$4:$AO$55,2,FALSE))*IF('9.0.10'!BC$4="是",'9.0.10'!$AY$4,'9.0.10'!$AY$3)</f>
        <v>0</v>
      </c>
      <c r="S11" s="4">
        <f>(VLOOKUP('9.0.10'!AA11,'9.0.10'!$AM$4:$AO$55,2,FALSE))*IF('9.0.10'!BD$4="是",'9.0.10'!$AY$4,'9.0.10'!$AY$3)</f>
        <v>0</v>
      </c>
      <c r="T11" s="4">
        <f>(VLOOKUP('9.0.10'!AB11,'9.0.10'!$AM$4:$AO$55,2,FALSE))*IF('9.0.10'!BE$4="是",'9.0.10'!$AY$4,'9.0.10'!$AY$3)</f>
        <v>0</v>
      </c>
      <c r="U11" s="4">
        <f>(VLOOKUP('9.0.10'!AC11,'9.0.10'!$AM$4:$AO$55,2,FALSE))*IF('9.0.10'!BF$4="是",'9.0.10'!$AY$4,'9.0.10'!$AY$3)</f>
        <v>0</v>
      </c>
      <c r="V11" s="4">
        <f>(VLOOKUP('9.0.10'!AD11,'9.0.10'!$AM$4:$AO$55,2,FALSE))*IF('9.0.10'!BG$4="是",'9.0.10'!$AY$4,'9.0.10'!$AY$3)</f>
        <v>0</v>
      </c>
      <c r="W11" s="5">
        <f>(VLOOKUP('9.0.10'!AE11,'9.0.10'!$AM$4:$AO$55,2,FALSE))*IF('9.0.10'!BH$4="是",'9.0.10'!$AY$4,'9.0.10'!$AY$3)</f>
        <v>0</v>
      </c>
      <c r="X11" s="5">
        <f>(VLOOKUP('9.0.10'!AF11,'9.0.10'!$AM$4:$AO$55,2,FALSE))*IF('9.0.10'!BI$4="是",'9.0.10'!$AY$4,'9.0.10'!$AY$3)</f>
        <v>0</v>
      </c>
    </row>
    <row r="12" spans="1:24">
      <c r="A12" s="4">
        <f>(VLOOKUP('9.0.10'!I12,'9.0.10'!$AM$4:$AO$55,2,FALSE))*IF('9.0.10'!AK$4="是",'9.0.10'!$AY$4,'9.0.10'!$AY$3)</f>
        <v>0</v>
      </c>
      <c r="B12" s="4">
        <f>(VLOOKUP('9.0.10'!J12,'9.0.10'!$AM$4:$AO$55,2,FALSE))*IF('9.0.10'!AL$4="是",'9.0.10'!$AY$4,'9.0.10'!$AY$3)</f>
        <v>0</v>
      </c>
      <c r="C12" s="4">
        <f>(VLOOKUP('9.0.10'!K12,'9.0.10'!$AM$4:$AO$55,2,FALSE))*IF('9.0.10'!AM$4="是",'9.0.10'!$AY$4,'9.0.10'!$AY$3)</f>
        <v>0</v>
      </c>
      <c r="D12" s="4">
        <f>(VLOOKUP('9.0.10'!L12,'9.0.10'!$AM$4:$AO$55,2,FALSE))*IF('9.0.10'!AN$4="是",'9.0.10'!$AY$4,'9.0.10'!$AY$3)</f>
        <v>0</v>
      </c>
      <c r="E12" s="4">
        <f>(VLOOKUP('9.0.10'!M12,'9.0.10'!$AM$4:$AO$55,2,FALSE))*IF('9.0.10'!AO$4="是",'9.0.10'!$AY$4,'9.0.10'!$AY$3)</f>
        <v>0</v>
      </c>
      <c r="F12" s="4">
        <f>(VLOOKUP('9.0.10'!N12,'9.0.10'!$AM$4:$AO$55,2,FALSE))*IF('9.0.10'!AQ$4="是",'9.0.10'!$AY$4,'9.0.10'!$AY$3)</f>
        <v>0</v>
      </c>
      <c r="G12" s="5">
        <f>(VLOOKUP('9.0.10'!O12,'9.0.10'!$AM$4:$AO$55,2,FALSE))*IF('9.0.10'!AR$4="是",'9.0.10'!$AY$4,'9.0.10'!$AY$3)</f>
        <v>0</v>
      </c>
      <c r="H12" s="5">
        <f>(VLOOKUP('9.0.10'!P12,'9.0.10'!$AM$4:$AO$55,2,FALSE))*IF('9.0.10'!AS$4="是",'9.0.10'!$AY$4,'9.0.10'!$AY$3)</f>
        <v>0</v>
      </c>
      <c r="I12" s="4">
        <f>(VLOOKUP('9.0.10'!Q12,'9.0.10'!$AM$4:$AO$55,2,FALSE))*IF('9.0.10'!AT$4="是",'9.0.10'!$AY$4,'9.0.10'!$AY$3)</f>
        <v>170</v>
      </c>
      <c r="J12" s="4">
        <f>(VLOOKUP('9.0.10'!R12,'9.0.10'!$AM$4:$AO$55,2,FALSE))*IF('9.0.10'!AU$4="是",'9.0.10'!$AY$4,'9.0.10'!$AY$3)</f>
        <v>170</v>
      </c>
      <c r="K12" s="4">
        <f>(VLOOKUP('9.0.10'!S12,'9.0.10'!$AM$4:$AO$55,2,FALSE))*IF('9.0.10'!AV$4="是",'9.0.10'!$AY$4,'9.0.10'!$AY$3)</f>
        <v>50</v>
      </c>
      <c r="L12" s="4">
        <f>(VLOOKUP('9.0.10'!T12,'9.0.10'!$AM$4:$AO$55,2,FALSE))*IF('9.0.10'!AW$4="是",'9.0.10'!$AY$4,'9.0.10'!$AY$3)</f>
        <v>170</v>
      </c>
      <c r="M12" s="4">
        <f>(VLOOKUP('9.0.10'!U12,'9.0.10'!$AM$4:$AO$55,2,FALSE))*IF('9.0.10'!AX$4="是",'9.0.10'!$AY$4,'9.0.10'!$AY$3)</f>
        <v>170</v>
      </c>
      <c r="N12" s="4">
        <f>(VLOOKUP('9.0.10'!V12,'9.0.10'!$AM$4:$AO$55,2,FALSE))*IF('9.0.10'!AY$4="是",'9.0.10'!$AY$4,'9.0.10'!$AY$3)</f>
        <v>170</v>
      </c>
      <c r="O12" s="5">
        <f>(VLOOKUP('9.0.10'!W12,'9.0.10'!$AM$4:$AO$55,2,FALSE))*IF('9.0.10'!AZ$4="是",'9.0.10'!$AY$4,'9.0.10'!$AY$3)</f>
        <v>0</v>
      </c>
      <c r="P12" s="5">
        <f>(VLOOKUP('9.0.10'!X12,'9.0.10'!$AM$4:$AO$55,2,FALSE))*IF('9.0.10'!BA$4="是",'9.0.10'!$AY$4,'9.0.10'!$AY$3)</f>
        <v>0</v>
      </c>
      <c r="Q12" s="4">
        <f>(VLOOKUP('9.0.10'!Y12,'9.0.10'!$AM$4:$AO$55,2,FALSE))*IF('9.0.10'!BB$4="是",'9.0.10'!$AY$4,'9.0.10'!$AY$3)</f>
        <v>170</v>
      </c>
      <c r="R12" s="4">
        <f>(VLOOKUP('9.0.10'!Z12,'9.0.10'!$AM$4:$AO$55,2,FALSE))*IF('9.0.10'!BC$4="是",'9.0.10'!$AY$4,'9.0.10'!$AY$3)</f>
        <v>170</v>
      </c>
      <c r="S12" s="4">
        <f>(VLOOKUP('9.0.10'!AA12,'9.0.10'!$AM$4:$AO$55,2,FALSE))*IF('9.0.10'!BD$4="是",'9.0.10'!$AY$4,'9.0.10'!$AY$3)</f>
        <v>170</v>
      </c>
      <c r="T12" s="4">
        <f>(VLOOKUP('9.0.10'!AB12,'9.0.10'!$AM$4:$AO$55,2,FALSE))*IF('9.0.10'!BE$4="是",'9.0.10'!$AY$4,'9.0.10'!$AY$3)</f>
        <v>170</v>
      </c>
      <c r="U12" s="4">
        <f>(VLOOKUP('9.0.10'!AC12,'9.0.10'!$AM$4:$AO$55,2,FALSE))*IF('9.0.10'!BF$4="是",'9.0.10'!$AY$4,'9.0.10'!$AY$3)</f>
        <v>170</v>
      </c>
      <c r="V12" s="4">
        <f>(VLOOKUP('9.0.10'!AD12,'9.0.10'!$AM$4:$AO$55,2,FALSE))*IF('9.0.10'!BG$4="是",'9.0.10'!$AY$4,'9.0.10'!$AY$3)</f>
        <v>170</v>
      </c>
      <c r="W12" s="5">
        <f>(VLOOKUP('9.0.10'!AE12,'9.0.10'!$AM$4:$AO$55,2,FALSE))*IF('9.0.10'!BH$4="是",'9.0.10'!$AY$4,'9.0.10'!$AY$3)</f>
        <v>0</v>
      </c>
      <c r="X12" s="5">
        <f>(VLOOKUP('9.0.10'!AF12,'9.0.10'!$AM$4:$AO$55,2,FALSE))*IF('9.0.10'!BI$4="是",'9.0.10'!$AY$4,'9.0.10'!$AY$3)</f>
        <v>0</v>
      </c>
    </row>
    <row r="13" spans="1:24">
      <c r="A13" s="4">
        <f>(VLOOKUP('9.0.10'!I13,'9.0.10'!$AM$4:$AO$55,2,FALSE))*IF('9.0.10'!AK$4="是",'9.0.10'!$AY$4,'9.0.10'!$AY$3)</f>
        <v>0</v>
      </c>
      <c r="B13" s="4">
        <f>(VLOOKUP('9.0.10'!J13,'9.0.10'!$AM$4:$AO$55,2,FALSE))*IF('9.0.10'!AL$4="是",'9.0.10'!$AY$4,'9.0.10'!$AY$3)</f>
        <v>0</v>
      </c>
      <c r="C13" s="4">
        <f>(VLOOKUP('9.0.10'!K13,'9.0.10'!$AM$4:$AO$55,2,FALSE))*IF('9.0.10'!AM$4="是",'9.0.10'!$AY$4,'9.0.10'!$AY$3)</f>
        <v>0</v>
      </c>
      <c r="D13" s="4">
        <f>(VLOOKUP('9.0.10'!L13,'9.0.10'!$AM$4:$AO$55,2,FALSE))*IF('9.0.10'!AN$4="是",'9.0.10'!$AY$4,'9.0.10'!$AY$3)</f>
        <v>0</v>
      </c>
      <c r="E13" s="4">
        <f>(VLOOKUP('9.0.10'!M13,'9.0.10'!$AM$4:$AO$55,2,FALSE))*IF('9.0.10'!AO$4="是",'9.0.10'!$AY$4,'9.0.10'!$AY$3)</f>
        <v>0</v>
      </c>
      <c r="F13" s="4">
        <f>(VLOOKUP('9.0.10'!N13,'9.0.10'!$AM$4:$AO$55,2,FALSE))*IF('9.0.10'!AQ$4="是",'9.0.10'!$AY$4,'9.0.10'!$AY$3)</f>
        <v>0</v>
      </c>
      <c r="G13" s="5">
        <f>(VLOOKUP('9.0.10'!O13,'9.0.10'!$AM$4:$AO$55,2,FALSE))*IF('9.0.10'!AR$4="是",'9.0.10'!$AY$4,'9.0.10'!$AY$3)</f>
        <v>0</v>
      </c>
      <c r="H13" s="5">
        <f>(VLOOKUP('9.0.10'!P13,'9.0.10'!$AM$4:$AO$55,2,FALSE))*IF('9.0.10'!AS$4="是",'9.0.10'!$AY$4,'9.0.10'!$AY$3)</f>
        <v>0</v>
      </c>
      <c r="I13" s="4">
        <f>(VLOOKUP('9.0.10'!Q13,'9.0.10'!$AM$4:$AO$55,2,FALSE))*IF('9.0.10'!AT$4="是",'9.0.10'!$AY$4,'9.0.10'!$AY$3)</f>
        <v>170</v>
      </c>
      <c r="J13" s="4">
        <f>(VLOOKUP('9.0.10'!R13,'9.0.10'!$AM$4:$AO$55,2,FALSE))*IF('9.0.10'!AU$4="是",'9.0.10'!$AY$4,'9.0.10'!$AY$3)</f>
        <v>170</v>
      </c>
      <c r="K13" s="4">
        <f>(VLOOKUP('9.0.10'!S13,'9.0.10'!$AM$4:$AO$55,2,FALSE))*IF('9.0.10'!AV$4="是",'9.0.10'!$AY$4,'9.0.10'!$AY$3)</f>
        <v>170</v>
      </c>
      <c r="L13" s="4">
        <f>(VLOOKUP('9.0.10'!T13,'9.0.10'!$AM$4:$AO$55,2,FALSE))*IF('9.0.10'!AW$4="是",'9.0.10'!$AY$4,'9.0.10'!$AY$3)</f>
        <v>170</v>
      </c>
      <c r="M13" s="4">
        <f>(VLOOKUP('9.0.10'!U13,'9.0.10'!$AM$4:$AO$55,2,FALSE))*IF('9.0.10'!AX$4="是",'9.0.10'!$AY$4,'9.0.10'!$AY$3)</f>
        <v>170</v>
      </c>
      <c r="N13" s="4">
        <f>(VLOOKUP('9.0.10'!V13,'9.0.10'!$AM$4:$AO$55,2,FALSE))*IF('9.0.10'!AY$4="是",'9.0.10'!$AY$4,'9.0.10'!$AY$3)</f>
        <v>0</v>
      </c>
      <c r="O13" s="5">
        <f>(VLOOKUP('9.0.10'!W13,'9.0.10'!$AM$4:$AO$55,2,FALSE))*IF('9.0.10'!AZ$4="是",'9.0.10'!$AY$4,'9.0.10'!$AY$3)</f>
        <v>0</v>
      </c>
      <c r="P13" s="5">
        <f>(VLOOKUP('9.0.10'!X13,'9.0.10'!$AM$4:$AO$55,2,FALSE))*IF('9.0.10'!BA$4="是",'9.0.10'!$AY$4,'9.0.10'!$AY$3)</f>
        <v>0</v>
      </c>
      <c r="Q13" s="4">
        <f>(VLOOKUP('9.0.10'!Y13,'9.0.10'!$AM$4:$AO$55,2,FALSE))*IF('9.0.10'!BB$4="是",'9.0.10'!$AY$4,'9.0.10'!$AY$3)</f>
        <v>170</v>
      </c>
      <c r="R13" s="4">
        <f>(VLOOKUP('9.0.10'!Z13,'9.0.10'!$AM$4:$AO$55,2,FALSE))*IF('9.0.10'!BC$4="是",'9.0.10'!$AY$4,'9.0.10'!$AY$3)</f>
        <v>170</v>
      </c>
      <c r="S13" s="4">
        <f>(VLOOKUP('9.0.10'!AA13,'9.0.10'!$AM$4:$AO$55,2,FALSE))*IF('9.0.10'!BD$4="是",'9.0.10'!$AY$4,'9.0.10'!$AY$3)</f>
        <v>170</v>
      </c>
      <c r="T13" s="4">
        <f>(VLOOKUP('9.0.10'!AB13,'9.0.10'!$AM$4:$AO$55,2,FALSE))*IF('9.0.10'!BE$4="是",'9.0.10'!$AY$4,'9.0.10'!$AY$3)</f>
        <v>170</v>
      </c>
      <c r="U13" s="4">
        <f>(VLOOKUP('9.0.10'!AC13,'9.0.10'!$AM$4:$AO$55,2,FALSE))*IF('9.0.10'!BF$4="是",'9.0.10'!$AY$4,'9.0.10'!$AY$3)</f>
        <v>170</v>
      </c>
      <c r="V13" s="4">
        <f>(VLOOKUP('9.0.10'!AD13,'9.0.10'!$AM$4:$AO$55,2,FALSE))*IF('9.0.10'!BG$4="是",'9.0.10'!$AY$4,'9.0.10'!$AY$3)</f>
        <v>170</v>
      </c>
      <c r="W13" s="5">
        <f>(VLOOKUP('9.0.10'!AE13,'9.0.10'!$AM$4:$AO$55,2,FALSE))*IF('9.0.10'!BH$4="是",'9.0.10'!$AY$4,'9.0.10'!$AY$3)</f>
        <v>0</v>
      </c>
      <c r="X13" s="5">
        <f>(VLOOKUP('9.0.10'!AF13,'9.0.10'!$AM$4:$AO$55,2,FALSE))*IF('9.0.10'!BI$4="是",'9.0.10'!$AY$4,'9.0.10'!$AY$3)</f>
        <v>0</v>
      </c>
    </row>
    <row r="14" spans="1:24">
      <c r="A14" s="4">
        <f>(VLOOKUP('9.0.10'!I14,'9.0.10'!$AM$4:$AO$55,2,FALSE))*IF('9.0.10'!AK$4="是",'9.0.10'!$AY$4,'9.0.10'!$AY$3)</f>
        <v>0</v>
      </c>
      <c r="B14" s="4">
        <f>(VLOOKUP('9.0.10'!J14,'9.0.10'!$AM$4:$AO$55,2,FALSE))*IF('9.0.10'!AL$4="是",'9.0.10'!$AY$4,'9.0.10'!$AY$3)</f>
        <v>0</v>
      </c>
      <c r="C14" s="4">
        <f>(VLOOKUP('9.0.10'!K14,'9.0.10'!$AM$4:$AO$55,2,FALSE))*IF('9.0.10'!AM$4="是",'9.0.10'!$AY$4,'9.0.10'!$AY$3)</f>
        <v>0</v>
      </c>
      <c r="D14" s="4">
        <f>(VLOOKUP('9.0.10'!L14,'9.0.10'!$AM$4:$AO$55,2,FALSE))*IF('9.0.10'!AN$4="是",'9.0.10'!$AY$4,'9.0.10'!$AY$3)</f>
        <v>0</v>
      </c>
      <c r="E14" s="4">
        <f>(VLOOKUP('9.0.10'!M14,'9.0.10'!$AM$4:$AO$55,2,FALSE))*IF('9.0.10'!AO$4="是",'9.0.10'!$AY$4,'9.0.10'!$AY$3)</f>
        <v>0</v>
      </c>
      <c r="F14" s="4">
        <f>(VLOOKUP('9.0.10'!N14,'9.0.10'!$AM$4:$AO$55,2,FALSE))*IF('9.0.10'!AQ$4="是",'9.0.10'!$AY$4,'9.0.10'!$AY$3)</f>
        <v>0</v>
      </c>
      <c r="G14" s="5">
        <f>(VLOOKUP('9.0.10'!O14,'9.0.10'!$AM$4:$AO$55,2,FALSE))*IF('9.0.10'!AR$4="是",'9.0.10'!$AY$4,'9.0.10'!$AY$3)</f>
        <v>0</v>
      </c>
      <c r="H14" s="5">
        <f>(VLOOKUP('9.0.10'!P14,'9.0.10'!$AM$4:$AO$55,2,FALSE))*IF('9.0.10'!AS$4="是",'9.0.10'!$AY$4,'9.0.10'!$AY$3)</f>
        <v>0</v>
      </c>
      <c r="I14" s="4">
        <f>(VLOOKUP('9.0.10'!Q14,'9.0.10'!$AM$4:$AO$55,2,FALSE))*IF('9.0.10'!AT$4="是",'9.0.10'!$AY$4,'9.0.10'!$AY$3)</f>
        <v>50</v>
      </c>
      <c r="J14" s="4">
        <f>(VLOOKUP('9.0.10'!R14,'9.0.10'!$AM$4:$AO$55,2,FALSE))*IF('9.0.10'!AU$4="是",'9.0.10'!$AY$4,'9.0.10'!$AY$3)</f>
        <v>170</v>
      </c>
      <c r="K14" s="4">
        <f>(VLOOKUP('9.0.10'!S14,'9.0.10'!$AM$4:$AO$55,2,FALSE))*IF('9.0.10'!AV$4="是",'9.0.10'!$AY$4,'9.0.10'!$AY$3)</f>
        <v>170</v>
      </c>
      <c r="L14" s="4">
        <f>(VLOOKUP('9.0.10'!T14,'9.0.10'!$AM$4:$AO$55,2,FALSE))*IF('9.0.10'!AW$4="是",'9.0.10'!$AY$4,'9.0.10'!$AY$3)</f>
        <v>170</v>
      </c>
      <c r="M14" s="4">
        <f>(VLOOKUP('9.0.10'!U14,'9.0.10'!$AM$4:$AO$55,2,FALSE))*IF('9.0.10'!AX$4="是",'9.0.10'!$AY$4,'9.0.10'!$AY$3)</f>
        <v>170</v>
      </c>
      <c r="N14" s="4">
        <f>(VLOOKUP('9.0.10'!V14,'9.0.10'!$AM$4:$AO$55,2,FALSE))*IF('9.0.10'!AY$4="是",'9.0.10'!$AY$4,'9.0.10'!$AY$3)</f>
        <v>0</v>
      </c>
      <c r="O14" s="5">
        <f>(VLOOKUP('9.0.10'!W14,'9.0.10'!$AM$4:$AO$55,2,FALSE))*IF('9.0.10'!AZ$4="是",'9.0.10'!$AY$4,'9.0.10'!$AY$3)</f>
        <v>0</v>
      </c>
      <c r="P14" s="5">
        <f>(VLOOKUP('9.0.10'!X14,'9.0.10'!$AM$4:$AO$55,2,FALSE))*IF('9.0.10'!BA$4="是",'9.0.10'!$AY$4,'9.0.10'!$AY$3)</f>
        <v>0</v>
      </c>
      <c r="Q14" s="4">
        <f>(VLOOKUP('9.0.10'!Y14,'9.0.10'!$AM$4:$AO$55,2,FALSE))*IF('9.0.10'!BB$4="是",'9.0.10'!$AY$4,'9.0.10'!$AY$3)</f>
        <v>170</v>
      </c>
      <c r="R14" s="4">
        <f>(VLOOKUP('9.0.10'!Z14,'9.0.10'!$AM$4:$AO$55,2,FALSE))*IF('9.0.10'!BC$4="是",'9.0.10'!$AY$4,'9.0.10'!$AY$3)</f>
        <v>170</v>
      </c>
      <c r="S14" s="4">
        <f>(VLOOKUP('9.0.10'!AA14,'9.0.10'!$AM$4:$AO$55,2,FALSE))*IF('9.0.10'!BD$4="是",'9.0.10'!$AY$4,'9.0.10'!$AY$3)</f>
        <v>170</v>
      </c>
      <c r="T14" s="4">
        <f>(VLOOKUP('9.0.10'!AB14,'9.0.10'!$AM$4:$AO$55,2,FALSE))*IF('9.0.10'!BE$4="是",'9.0.10'!$AY$4,'9.0.10'!$AY$3)</f>
        <v>170</v>
      </c>
      <c r="U14" s="4">
        <f>(VLOOKUP('9.0.10'!AC14,'9.0.10'!$AM$4:$AO$55,2,FALSE))*IF('9.0.10'!BF$4="是",'9.0.10'!$AY$4,'9.0.10'!$AY$3)</f>
        <v>170</v>
      </c>
      <c r="V14" s="4">
        <f>(VLOOKUP('9.0.10'!AD14,'9.0.10'!$AM$4:$AO$55,2,FALSE))*IF('9.0.10'!BG$4="是",'9.0.10'!$AY$4,'9.0.10'!$AY$3)</f>
        <v>170</v>
      </c>
      <c r="W14" s="5">
        <f>(VLOOKUP('9.0.10'!AE14,'9.0.10'!$AM$4:$AO$55,2,FALSE))*IF('9.0.10'!BH$4="是",'9.0.10'!$AY$4,'9.0.10'!$AY$3)</f>
        <v>0</v>
      </c>
      <c r="X14" s="5">
        <f>(VLOOKUP('9.0.10'!AF14,'9.0.10'!$AM$4:$AO$55,2,FALSE))*IF('9.0.10'!BI$4="是",'9.0.10'!$AY$4,'9.0.10'!$AY$3)</f>
        <v>0</v>
      </c>
    </row>
    <row r="15" spans="1:24">
      <c r="A15" s="4">
        <f>(VLOOKUP('9.0.10'!I15,'9.0.10'!$AM$4:$AO$55,2,FALSE))*IF('9.0.10'!AK$4="是",'9.0.10'!$AY$4,'9.0.10'!$AY$3)</f>
        <v>0</v>
      </c>
      <c r="B15" s="4">
        <f>(VLOOKUP('9.0.10'!J15,'9.0.10'!$AM$4:$AO$55,2,FALSE))*IF('9.0.10'!AL$4="是",'9.0.10'!$AY$4,'9.0.10'!$AY$3)</f>
        <v>0</v>
      </c>
      <c r="C15" s="4">
        <f>(VLOOKUP('9.0.10'!K15,'9.0.10'!$AM$4:$AO$55,2,FALSE))*IF('9.0.10'!AM$4="是",'9.0.10'!$AY$4,'9.0.10'!$AY$3)</f>
        <v>0</v>
      </c>
      <c r="D15" s="4">
        <f>(VLOOKUP('9.0.10'!L15,'9.0.10'!$AM$4:$AO$55,2,FALSE))*IF('9.0.10'!AN$4="是",'9.0.10'!$AY$4,'9.0.10'!$AY$3)</f>
        <v>0</v>
      </c>
      <c r="E15" s="4">
        <f>(VLOOKUP('9.0.10'!M15,'9.0.10'!$AM$4:$AO$55,2,FALSE))*IF('9.0.10'!AO$4="是",'9.0.10'!$AY$4,'9.0.10'!$AY$3)</f>
        <v>0</v>
      </c>
      <c r="F15" s="4">
        <f>(VLOOKUP('9.0.10'!N15,'9.0.10'!$AM$4:$AO$55,2,FALSE))*IF('9.0.10'!AQ$4="是",'9.0.10'!$AY$4,'9.0.10'!$AY$3)</f>
        <v>0</v>
      </c>
      <c r="G15" s="5">
        <f>(VLOOKUP('9.0.10'!O15,'9.0.10'!$AM$4:$AO$55,2,FALSE))*IF('9.0.10'!AR$4="是",'9.0.10'!$AY$4,'9.0.10'!$AY$3)</f>
        <v>0</v>
      </c>
      <c r="H15" s="5">
        <f>(VLOOKUP('9.0.10'!P15,'9.0.10'!$AM$4:$AO$55,2,FALSE))*IF('9.0.10'!AS$4="是",'9.0.10'!$AY$4,'9.0.10'!$AY$3)</f>
        <v>0</v>
      </c>
      <c r="I15" s="4">
        <f>(VLOOKUP('9.0.10'!Q15,'9.0.10'!$AM$4:$AO$55,2,FALSE))*IF('9.0.10'!AT$4="是",'9.0.10'!$AY$4,'9.0.10'!$AY$3)</f>
        <v>170</v>
      </c>
      <c r="J15" s="4">
        <f>(VLOOKUP('9.0.10'!R15,'9.0.10'!$AM$4:$AO$55,2,FALSE))*IF('9.0.10'!AU$4="是",'9.0.10'!$AY$4,'9.0.10'!$AY$3)</f>
        <v>170</v>
      </c>
      <c r="K15" s="4">
        <f>(VLOOKUP('9.0.10'!S15,'9.0.10'!$AM$4:$AO$55,2,FALSE))*IF('9.0.10'!AV$4="是",'9.0.10'!$AY$4,'9.0.10'!$AY$3)</f>
        <v>170</v>
      </c>
      <c r="L15" s="4">
        <f>(VLOOKUP('9.0.10'!T15,'9.0.10'!$AM$4:$AO$55,2,FALSE))*IF('9.0.10'!AW$4="是",'9.0.10'!$AY$4,'9.0.10'!$AY$3)</f>
        <v>170</v>
      </c>
      <c r="M15" s="4">
        <f>(VLOOKUP('9.0.10'!U15,'9.0.10'!$AM$4:$AO$55,2,FALSE))*IF('9.0.10'!AX$4="是",'9.0.10'!$AY$4,'9.0.10'!$AY$3)</f>
        <v>170</v>
      </c>
      <c r="N15" s="4">
        <f>(VLOOKUP('9.0.10'!V15,'9.0.10'!$AM$4:$AO$55,2,FALSE))*IF('9.0.10'!AY$4="是",'9.0.10'!$AY$4,'9.0.10'!$AY$3)</f>
        <v>170</v>
      </c>
      <c r="O15" s="5">
        <f>(VLOOKUP('9.0.10'!W15,'9.0.10'!$AM$4:$AO$55,2,FALSE))*IF('9.0.10'!AZ$4="是",'9.0.10'!$AY$4,'9.0.10'!$AY$3)</f>
        <v>0</v>
      </c>
      <c r="P15" s="5">
        <f>(VLOOKUP('9.0.10'!X15,'9.0.10'!$AM$4:$AO$55,2,FALSE))*IF('9.0.10'!BA$4="是",'9.0.10'!$AY$4,'9.0.10'!$AY$3)</f>
        <v>0</v>
      </c>
      <c r="Q15" s="4">
        <f>(VLOOKUP('9.0.10'!Y15,'9.0.10'!$AM$4:$AO$55,2,FALSE))*IF('9.0.10'!BB$4="是",'9.0.10'!$AY$4,'9.0.10'!$AY$3)</f>
        <v>170</v>
      </c>
      <c r="R15" s="4">
        <f>(VLOOKUP('9.0.10'!Z15,'9.0.10'!$AM$4:$AO$55,2,FALSE))*IF('9.0.10'!BC$4="是",'9.0.10'!$AY$4,'9.0.10'!$AY$3)</f>
        <v>170</v>
      </c>
      <c r="S15" s="4">
        <f>(VLOOKUP('9.0.10'!AA15,'9.0.10'!$AM$4:$AO$55,2,FALSE))*IF('9.0.10'!BD$4="是",'9.0.10'!$AY$4,'9.0.10'!$AY$3)</f>
        <v>50</v>
      </c>
      <c r="T15" s="4">
        <f>(VLOOKUP('9.0.10'!AB15,'9.0.10'!$AM$4:$AO$55,2,FALSE))*IF('9.0.10'!BE$4="是",'9.0.10'!$AY$4,'9.0.10'!$AY$3)</f>
        <v>170</v>
      </c>
      <c r="U15" s="4">
        <f>(VLOOKUP('9.0.10'!AC15,'9.0.10'!$AM$4:$AO$55,2,FALSE))*IF('9.0.10'!BF$4="是",'9.0.10'!$AY$4,'9.0.10'!$AY$3)</f>
        <v>170</v>
      </c>
      <c r="V15" s="4">
        <f>(VLOOKUP('9.0.10'!AD15,'9.0.10'!$AM$4:$AO$55,2,FALSE))*IF('9.0.10'!BG$4="是",'9.0.10'!$AY$4,'9.0.10'!$AY$3)</f>
        <v>170</v>
      </c>
      <c r="W15" s="5">
        <f>(VLOOKUP('9.0.10'!AE15,'9.0.10'!$AM$4:$AO$55,2,FALSE))*IF('9.0.10'!BH$4="是",'9.0.10'!$AY$4,'9.0.10'!$AY$3)</f>
        <v>0</v>
      </c>
      <c r="X15" s="5">
        <f>(VLOOKUP('9.0.10'!AF15,'9.0.10'!$AM$4:$AO$55,2,FALSE))*IF('9.0.10'!BI$4="是",'9.0.10'!$AY$4,'9.0.10'!$AY$3)</f>
        <v>0</v>
      </c>
    </row>
    <row r="16" spans="1:24">
      <c r="A16" s="4">
        <f>(VLOOKUP('9.0.10'!I16,'9.0.10'!$AM$4:$AO$55,2,FALSE))*IF('9.0.10'!AK$4="是",'9.0.10'!$AY$4,'9.0.10'!$AY$3)</f>
        <v>0</v>
      </c>
      <c r="B16" s="4">
        <f>(VLOOKUP('9.0.10'!J16,'9.0.10'!$AM$4:$AO$55,2,FALSE))*IF('9.0.10'!AL$4="是",'9.0.10'!$AY$4,'9.0.10'!$AY$3)</f>
        <v>0</v>
      </c>
      <c r="C16" s="4">
        <f>(VLOOKUP('9.0.10'!K16,'9.0.10'!$AM$4:$AO$55,2,FALSE))*IF('9.0.10'!AM$4="是",'9.0.10'!$AY$4,'9.0.10'!$AY$3)</f>
        <v>0</v>
      </c>
      <c r="D16" s="4">
        <f>(VLOOKUP('9.0.10'!L16,'9.0.10'!$AM$4:$AO$55,2,FALSE))*IF('9.0.10'!AN$4="是",'9.0.10'!$AY$4,'9.0.10'!$AY$3)</f>
        <v>0</v>
      </c>
      <c r="E16" s="4">
        <f>(VLOOKUP('9.0.10'!M16,'9.0.10'!$AM$4:$AO$55,2,FALSE))*IF('9.0.10'!AO$4="是",'9.0.10'!$AY$4,'9.0.10'!$AY$3)</f>
        <v>0</v>
      </c>
      <c r="F16" s="4">
        <f>(VLOOKUP('9.0.10'!N16,'9.0.10'!$AM$4:$AO$55,2,FALSE))*IF('9.0.10'!AQ$4="是",'9.0.10'!$AY$4,'9.0.10'!$AY$3)</f>
        <v>0</v>
      </c>
      <c r="G16" s="5">
        <f>(VLOOKUP('9.0.10'!O16,'9.0.10'!$AM$4:$AO$55,2,FALSE))*IF('9.0.10'!AR$4="是",'9.0.10'!$AY$4,'9.0.10'!$AY$3)</f>
        <v>0</v>
      </c>
      <c r="H16" s="5">
        <f>(VLOOKUP('9.0.10'!P16,'9.0.10'!$AM$4:$AO$55,2,FALSE))*IF('9.0.10'!AS$4="是",'9.0.10'!$AY$4,'9.0.10'!$AY$3)</f>
        <v>0</v>
      </c>
      <c r="I16" s="4">
        <f>(VLOOKUP('9.0.10'!Q16,'9.0.10'!$AM$4:$AO$55,2,FALSE))*IF('9.0.10'!AT$4="是",'9.0.10'!$AY$4,'9.0.10'!$AY$3)</f>
        <v>170</v>
      </c>
      <c r="J16" s="4">
        <f>(VLOOKUP('9.0.10'!R16,'9.0.10'!$AM$4:$AO$55,2,FALSE))*IF('9.0.10'!AU$4="是",'9.0.10'!$AY$4,'9.0.10'!$AY$3)</f>
        <v>170</v>
      </c>
      <c r="K16" s="4">
        <f>(VLOOKUP('9.0.10'!S16,'9.0.10'!$AM$4:$AO$55,2,FALSE))*IF('9.0.10'!AV$4="是",'9.0.10'!$AY$4,'9.0.10'!$AY$3)</f>
        <v>-200</v>
      </c>
      <c r="L16" s="4">
        <f>(VLOOKUP('9.0.10'!T16,'9.0.10'!$AM$4:$AO$55,2,FALSE))*IF('9.0.10'!AW$4="是",'9.0.10'!$AY$4,'9.0.10'!$AY$3)</f>
        <v>170</v>
      </c>
      <c r="M16" s="4">
        <f>(VLOOKUP('9.0.10'!U16,'9.0.10'!$AM$4:$AO$55,2,FALSE))*IF('9.0.10'!AX$4="是",'9.0.10'!$AY$4,'9.0.10'!$AY$3)</f>
        <v>50</v>
      </c>
      <c r="N16" s="4">
        <f>(VLOOKUP('9.0.10'!V16,'9.0.10'!$AM$4:$AO$55,2,FALSE))*IF('9.0.10'!AY$4="是",'9.0.10'!$AY$4,'9.0.10'!$AY$3)</f>
        <v>170</v>
      </c>
      <c r="O16" s="5">
        <f>(VLOOKUP('9.0.10'!W16,'9.0.10'!$AM$4:$AO$55,2,FALSE))*IF('9.0.10'!AZ$4="是",'9.0.10'!$AY$4,'9.0.10'!$AY$3)</f>
        <v>170</v>
      </c>
      <c r="P16" s="5">
        <f>(VLOOKUP('9.0.10'!X16,'9.0.10'!$AM$4:$AO$55,2,FALSE))*IF('9.0.10'!BA$4="是",'9.0.10'!$AY$4,'9.0.10'!$AY$3)</f>
        <v>170</v>
      </c>
      <c r="Q16" s="4">
        <f>(VLOOKUP('9.0.10'!Y16,'9.0.10'!$AM$4:$AO$55,2,FALSE))*IF('9.0.10'!BB$4="是",'9.0.10'!$AY$4,'9.0.10'!$AY$3)</f>
        <v>170</v>
      </c>
      <c r="R16" s="4">
        <f>(VLOOKUP('9.0.10'!Z16,'9.0.10'!$AM$4:$AO$55,2,FALSE))*IF('9.0.10'!BC$4="是",'9.0.10'!$AY$4,'9.0.10'!$AY$3)</f>
        <v>170</v>
      </c>
      <c r="S16" s="4">
        <f>(VLOOKUP('9.0.10'!AA16,'9.0.10'!$AM$4:$AO$55,2,FALSE))*IF('9.0.10'!BD$4="是",'9.0.10'!$AY$4,'9.0.10'!$AY$3)</f>
        <v>170</v>
      </c>
      <c r="T16" s="4">
        <f>(VLOOKUP('9.0.10'!AB16,'9.0.10'!$AM$4:$AO$55,2,FALSE))*IF('9.0.10'!BE$4="是",'9.0.10'!$AY$4,'9.0.10'!$AY$3)</f>
        <v>170</v>
      </c>
      <c r="U16" s="4">
        <f>(VLOOKUP('9.0.10'!AC16,'9.0.10'!$AM$4:$AO$55,2,FALSE))*IF('9.0.10'!BF$4="是",'9.0.10'!$AY$4,'9.0.10'!$AY$3)</f>
        <v>170</v>
      </c>
      <c r="V16" s="4">
        <f>(VLOOKUP('9.0.10'!AD16,'9.0.10'!$AM$4:$AO$55,2,FALSE))*IF('9.0.10'!BG$4="是",'9.0.10'!$AY$4,'9.0.10'!$AY$3)</f>
        <v>170</v>
      </c>
      <c r="W16" s="5">
        <f>(VLOOKUP('9.0.10'!AE16,'9.0.10'!$AM$4:$AO$55,2,FALSE))*IF('9.0.10'!BH$4="是",'9.0.10'!$AY$4,'9.0.10'!$AY$3)</f>
        <v>0</v>
      </c>
      <c r="X16" s="5">
        <f>(VLOOKUP('9.0.10'!AF16,'9.0.10'!$AM$4:$AO$55,2,FALSE))*IF('9.0.10'!BI$4="是",'9.0.10'!$AY$4,'9.0.10'!$AY$3)</f>
        <v>0</v>
      </c>
    </row>
    <row r="17" spans="1:24">
      <c r="A17" s="4">
        <f>(VLOOKUP('9.0.10'!I17,'9.0.10'!$AM$4:$AO$55,2,FALSE))*IF('9.0.10'!AK$4="是",'9.0.10'!$AY$4,'9.0.10'!$AY$3)</f>
        <v>0</v>
      </c>
      <c r="B17" s="4">
        <f>(VLOOKUP('9.0.10'!J17,'9.0.10'!$AM$4:$AO$55,2,FALSE))*IF('9.0.10'!AL$4="是",'9.0.10'!$AY$4,'9.0.10'!$AY$3)</f>
        <v>0</v>
      </c>
      <c r="C17" s="4">
        <f>(VLOOKUP('9.0.10'!K17,'9.0.10'!$AM$4:$AO$55,2,FALSE))*IF('9.0.10'!AM$4="是",'9.0.10'!$AY$4,'9.0.10'!$AY$3)</f>
        <v>0</v>
      </c>
      <c r="D17" s="4">
        <f>(VLOOKUP('9.0.10'!L17,'9.0.10'!$AM$4:$AO$55,2,FALSE))*IF('9.0.10'!AN$4="是",'9.0.10'!$AY$4,'9.0.10'!$AY$3)</f>
        <v>0</v>
      </c>
      <c r="E17" s="4">
        <f>(VLOOKUP('9.0.10'!M17,'9.0.10'!$AM$4:$AO$55,2,FALSE))*IF('9.0.10'!AO$4="是",'9.0.10'!$AY$4,'9.0.10'!$AY$3)</f>
        <v>0</v>
      </c>
      <c r="F17" s="4">
        <f>(VLOOKUP('9.0.10'!N17,'9.0.10'!$AM$4:$AO$55,2,FALSE))*IF('9.0.10'!AQ$4="是",'9.0.10'!$AY$4,'9.0.10'!$AY$3)</f>
        <v>0</v>
      </c>
      <c r="G17" s="5">
        <f>(VLOOKUP('9.0.10'!O17,'9.0.10'!$AM$4:$AO$55,2,FALSE))*IF('9.0.10'!AR$4="是",'9.0.10'!$AY$4,'9.0.10'!$AY$3)</f>
        <v>0</v>
      </c>
      <c r="H17" s="5">
        <f>(VLOOKUP('9.0.10'!P17,'9.0.10'!$AM$4:$AO$55,2,FALSE))*IF('9.0.10'!AS$4="是",'9.0.10'!$AY$4,'9.0.10'!$AY$3)</f>
        <v>0</v>
      </c>
      <c r="I17" s="4">
        <f>(VLOOKUP('9.0.10'!Q17,'9.0.10'!$AM$4:$AO$55,2,FALSE))*IF('9.0.10'!AT$4="是",'9.0.10'!$AY$4,'9.0.10'!$AY$3)</f>
        <v>170</v>
      </c>
      <c r="J17" s="4">
        <f>(VLOOKUP('9.0.10'!R17,'9.0.10'!$AM$4:$AO$55,2,FALSE))*IF('9.0.10'!AU$4="是",'9.0.10'!$AY$4,'9.0.10'!$AY$3)</f>
        <v>170</v>
      </c>
      <c r="K17" s="4">
        <f>(VLOOKUP('9.0.10'!S17,'9.0.10'!$AM$4:$AO$55,2,FALSE))*IF('9.0.10'!AV$4="是",'9.0.10'!$AY$4,'9.0.10'!$AY$3)</f>
        <v>150</v>
      </c>
      <c r="L17" s="4">
        <f>(VLOOKUP('9.0.10'!T17,'9.0.10'!$AM$4:$AO$55,2,FALSE))*IF('9.0.10'!AW$4="是",'9.0.10'!$AY$4,'9.0.10'!$AY$3)</f>
        <v>170</v>
      </c>
      <c r="M17" s="4">
        <f>(VLOOKUP('9.0.10'!U17,'9.0.10'!$AM$4:$AO$55,2,FALSE))*IF('9.0.10'!AX$4="是",'9.0.10'!$AY$4,'9.0.10'!$AY$3)</f>
        <v>170</v>
      </c>
      <c r="N17" s="4">
        <f>(VLOOKUP('9.0.10'!V17,'9.0.10'!$AM$4:$AO$55,2,FALSE))*IF('9.0.10'!AY$4="是",'9.0.10'!$AY$4,'9.0.10'!$AY$3)</f>
        <v>50</v>
      </c>
      <c r="O17" s="5">
        <f>(VLOOKUP('9.0.10'!W17,'9.0.10'!$AM$4:$AO$55,2,FALSE))*IF('9.0.10'!AZ$4="是",'9.0.10'!$AY$4,'9.0.10'!$AY$3)</f>
        <v>0</v>
      </c>
      <c r="P17" s="5">
        <f>(VLOOKUP('9.0.10'!X17,'9.0.10'!$AM$4:$AO$55,2,FALSE))*IF('9.0.10'!BA$4="是",'9.0.10'!$AY$4,'9.0.10'!$AY$3)</f>
        <v>0</v>
      </c>
      <c r="Q17" s="4">
        <f>(VLOOKUP('9.0.10'!Y17,'9.0.10'!$AM$4:$AO$55,2,FALSE))*IF('9.0.10'!BB$4="是",'9.0.10'!$AY$4,'9.0.10'!$AY$3)</f>
        <v>170</v>
      </c>
      <c r="R17" s="4">
        <f>(VLOOKUP('9.0.10'!Z17,'9.0.10'!$AM$4:$AO$55,2,FALSE))*IF('9.0.10'!BC$4="是",'9.0.10'!$AY$4,'9.0.10'!$AY$3)</f>
        <v>170</v>
      </c>
      <c r="S17" s="4">
        <f>(VLOOKUP('9.0.10'!AA17,'9.0.10'!$AM$4:$AO$55,2,FALSE))*IF('9.0.10'!BD$4="是",'9.0.10'!$AY$4,'9.0.10'!$AY$3)</f>
        <v>170</v>
      </c>
      <c r="T17" s="4">
        <f>(VLOOKUP('9.0.10'!AB17,'9.0.10'!$AM$4:$AO$55,2,FALSE))*IF('9.0.10'!BE$4="是",'9.0.10'!$AY$4,'9.0.10'!$AY$3)</f>
        <v>170</v>
      </c>
      <c r="U17" s="4">
        <f>(VLOOKUP('9.0.10'!AC17,'9.0.10'!$AM$4:$AO$55,2,FALSE))*IF('9.0.10'!BF$4="是",'9.0.10'!$AY$4,'9.0.10'!$AY$3)</f>
        <v>170</v>
      </c>
      <c r="V17" s="4">
        <f>(VLOOKUP('9.0.10'!AD17,'9.0.10'!$AM$4:$AO$55,2,FALSE))*IF('9.0.10'!BG$4="是",'9.0.10'!$AY$4,'9.0.10'!$AY$3)</f>
        <v>170</v>
      </c>
      <c r="W17" s="5">
        <f>(VLOOKUP('9.0.10'!AE17,'9.0.10'!$AM$4:$AO$55,2,FALSE))*IF('9.0.10'!BH$4="是",'9.0.10'!$AY$4,'9.0.10'!$AY$3)</f>
        <v>0</v>
      </c>
      <c r="X17" s="5">
        <f>(VLOOKUP('9.0.10'!AF17,'9.0.10'!$AM$4:$AO$55,2,FALSE))*IF('9.0.10'!BI$4="是",'9.0.10'!$AY$4,'9.0.10'!$AY$3)</f>
        <v>0</v>
      </c>
    </row>
    <row r="18" spans="1:24">
      <c r="A18" s="4">
        <f>(VLOOKUP('9.0.10'!I18,'9.0.10'!$AM$4:$AO$55,2,FALSE))*IF('9.0.10'!AK$4="是",'9.0.10'!$AY$4,'9.0.10'!$AY$3)</f>
        <v>0</v>
      </c>
      <c r="B18" s="4">
        <f>(VLOOKUP('9.0.10'!J18,'9.0.10'!$AM$4:$AO$55,2,FALSE))*IF('9.0.10'!AL$4="是",'9.0.10'!$AY$4,'9.0.10'!$AY$3)</f>
        <v>0</v>
      </c>
      <c r="C18" s="4">
        <f>(VLOOKUP('9.0.10'!K18,'9.0.10'!$AM$4:$AO$55,2,FALSE))*IF('9.0.10'!AM$4="是",'9.0.10'!$AY$4,'9.0.10'!$AY$3)</f>
        <v>0</v>
      </c>
      <c r="D18" s="4">
        <f>(VLOOKUP('9.0.10'!L18,'9.0.10'!$AM$4:$AO$55,2,FALSE))*IF('9.0.10'!AN$4="是",'9.0.10'!$AY$4,'9.0.10'!$AY$3)</f>
        <v>0</v>
      </c>
      <c r="E18" s="4">
        <f>(VLOOKUP('9.0.10'!M18,'9.0.10'!$AM$4:$AO$55,2,FALSE))*IF('9.0.10'!AO$4="是",'9.0.10'!$AY$4,'9.0.10'!$AY$3)</f>
        <v>0</v>
      </c>
      <c r="F18" s="4">
        <f>(VLOOKUP('9.0.10'!N18,'9.0.10'!$AM$4:$AO$55,2,FALSE))*IF('9.0.10'!AQ$4="是",'9.0.10'!$AY$4,'9.0.10'!$AY$3)</f>
        <v>0</v>
      </c>
      <c r="G18" s="5">
        <f>(VLOOKUP('9.0.10'!O18,'9.0.10'!$AM$4:$AO$55,2,FALSE))*IF('9.0.10'!AR$4="是",'9.0.10'!$AY$4,'9.0.10'!$AY$3)</f>
        <v>0</v>
      </c>
      <c r="H18" s="5">
        <f>(VLOOKUP('9.0.10'!P18,'9.0.10'!$AM$4:$AO$55,2,FALSE))*IF('9.0.10'!AS$4="是",'9.0.10'!$AY$4,'9.0.10'!$AY$3)</f>
        <v>0</v>
      </c>
      <c r="I18" s="4">
        <f>(VLOOKUP('9.0.10'!Q18,'9.0.10'!$AM$4:$AO$55,2,FALSE))*IF('9.0.10'!AT$4="是",'9.0.10'!$AY$4,'9.0.10'!$AY$3)</f>
        <v>170</v>
      </c>
      <c r="J18" s="4">
        <f>(VLOOKUP('9.0.10'!R18,'9.0.10'!$AM$4:$AO$55,2,FALSE))*IF('9.0.10'!AU$4="是",'9.0.10'!$AY$4,'9.0.10'!$AY$3)</f>
        <v>170</v>
      </c>
      <c r="K18" s="4">
        <f>(VLOOKUP('9.0.10'!S18,'9.0.10'!$AM$4:$AO$55,2,FALSE))*IF('9.0.10'!AV$4="是",'9.0.10'!$AY$4,'9.0.10'!$AY$3)</f>
        <v>180</v>
      </c>
      <c r="L18" s="4">
        <f>(VLOOKUP('9.0.10'!T18,'9.0.10'!$AM$4:$AO$55,2,FALSE))*IF('9.0.10'!AW$4="是",'9.0.10'!$AY$4,'9.0.10'!$AY$3)</f>
        <v>180</v>
      </c>
      <c r="M18" s="4">
        <f>(VLOOKUP('9.0.10'!U18,'9.0.10'!$AM$4:$AO$55,2,FALSE))*IF('9.0.10'!AX$4="是",'9.0.10'!$AY$4,'9.0.10'!$AY$3)</f>
        <v>180</v>
      </c>
      <c r="N18" s="4">
        <f>(VLOOKUP('9.0.10'!V18,'9.0.10'!$AM$4:$AO$55,2,FALSE))*IF('9.0.10'!AY$4="是",'9.0.10'!$AY$4,'9.0.10'!$AY$3)</f>
        <v>180</v>
      </c>
      <c r="O18" s="5">
        <f>(VLOOKUP('9.0.10'!W18,'9.0.10'!$AM$4:$AO$55,2,FALSE))*IF('9.0.10'!AZ$4="是",'9.0.10'!$AY$4,'9.0.10'!$AY$3)</f>
        <v>0</v>
      </c>
      <c r="P18" s="5">
        <f>(VLOOKUP('9.0.10'!X18,'9.0.10'!$AM$4:$AO$55,2,FALSE))*IF('9.0.10'!BA$4="是",'9.0.10'!$AY$4,'9.0.10'!$AY$3)</f>
        <v>0</v>
      </c>
      <c r="Q18" s="4">
        <f>(VLOOKUP('9.0.10'!Y18,'9.0.10'!$AM$4:$AO$55,2,FALSE))*IF('9.0.10'!BB$4="是",'9.0.10'!$AY$4,'9.0.10'!$AY$3)</f>
        <v>170</v>
      </c>
      <c r="R18" s="4">
        <f>(VLOOKUP('9.0.10'!Z18,'9.0.10'!$AM$4:$AO$55,2,FALSE))*IF('9.0.10'!BC$4="是",'9.0.10'!$AY$4,'9.0.10'!$AY$3)</f>
        <v>170</v>
      </c>
      <c r="S18" s="4">
        <f>(VLOOKUP('9.0.10'!AA18,'9.0.10'!$AM$4:$AO$55,2,FALSE))*IF('9.0.10'!BD$4="是",'9.0.10'!$AY$4,'9.0.10'!$AY$3)</f>
        <v>170</v>
      </c>
      <c r="T18" s="4">
        <f>(VLOOKUP('9.0.10'!AB18,'9.0.10'!$AM$4:$AO$55,2,FALSE))*IF('9.0.10'!BE$4="是",'9.0.10'!$AY$4,'9.0.10'!$AY$3)</f>
        <v>50</v>
      </c>
      <c r="U18" s="4">
        <f>(VLOOKUP('9.0.10'!AC18,'9.0.10'!$AM$4:$AO$55,2,FALSE))*IF('9.0.10'!BF$4="是",'9.0.10'!$AY$4,'9.0.10'!$AY$3)</f>
        <v>170</v>
      </c>
      <c r="V18" s="4">
        <f>(VLOOKUP('9.0.10'!AD18,'9.0.10'!$AM$4:$AO$55,2,FALSE))*IF('9.0.10'!BG$4="是",'9.0.10'!$AY$4,'9.0.10'!$AY$3)</f>
        <v>170</v>
      </c>
      <c r="W18" s="5">
        <f>(VLOOKUP('9.0.10'!AE18,'9.0.10'!$AM$4:$AO$55,2,FALSE))*IF('9.0.10'!BH$4="是",'9.0.10'!$AY$4,'9.0.10'!$AY$3)</f>
        <v>0</v>
      </c>
      <c r="X18" s="5">
        <f>(VLOOKUP('9.0.10'!AF18,'9.0.10'!$AM$4:$AO$55,2,FALSE))*IF('9.0.10'!BI$4="是",'9.0.10'!$AY$4,'9.0.10'!$AY$3)</f>
        <v>0</v>
      </c>
    </row>
    <row r="19" spans="1:24">
      <c r="A19" s="4">
        <f>(VLOOKUP('9.0.10'!I19,'9.0.10'!$AM$4:$AO$55,2,FALSE))*IF('9.0.10'!AK$4="是",'9.0.10'!$AY$4,'9.0.10'!$AY$3)</f>
        <v>0</v>
      </c>
      <c r="B19" s="4">
        <f>(VLOOKUP('9.0.10'!J19,'9.0.10'!$AM$4:$AO$55,2,FALSE))*IF('9.0.10'!AL$4="是",'9.0.10'!$AY$4,'9.0.10'!$AY$3)</f>
        <v>0</v>
      </c>
      <c r="C19" s="4">
        <f>(VLOOKUP('9.0.10'!K19,'9.0.10'!$AM$4:$AO$55,2,FALSE))*IF('9.0.10'!AM$4="是",'9.0.10'!$AY$4,'9.0.10'!$AY$3)</f>
        <v>0</v>
      </c>
      <c r="D19" s="4">
        <f>(VLOOKUP('9.0.10'!L19,'9.0.10'!$AM$4:$AO$55,2,FALSE))*IF('9.0.10'!AN$4="是",'9.0.10'!$AY$4,'9.0.10'!$AY$3)</f>
        <v>0</v>
      </c>
      <c r="E19" s="4">
        <f>(VLOOKUP('9.0.10'!M19,'9.0.10'!$AM$4:$AO$55,2,FALSE))*IF('9.0.10'!AO$4="是",'9.0.10'!$AY$4,'9.0.10'!$AY$3)</f>
        <v>0</v>
      </c>
      <c r="F19" s="4">
        <f>(VLOOKUP('9.0.10'!N19,'9.0.10'!$AM$4:$AO$55,2,FALSE))*IF('9.0.10'!AQ$4="是",'9.0.10'!$AY$4,'9.0.10'!$AY$3)</f>
        <v>0</v>
      </c>
      <c r="G19" s="5">
        <f>(VLOOKUP('9.0.10'!O19,'9.0.10'!$AM$4:$AO$55,2,FALSE))*IF('9.0.10'!AR$4="是",'9.0.10'!$AY$4,'9.0.10'!$AY$3)</f>
        <v>0</v>
      </c>
      <c r="H19" s="5">
        <f>(VLOOKUP('9.0.10'!P19,'9.0.10'!$AM$4:$AO$55,2,FALSE))*IF('9.0.10'!AS$4="是",'9.0.10'!$AY$4,'9.0.10'!$AY$3)</f>
        <v>0</v>
      </c>
      <c r="I19" s="4">
        <f>(VLOOKUP('9.0.10'!Q19,'9.0.10'!$AM$4:$AO$55,2,FALSE))*IF('9.0.10'!AT$4="是",'9.0.10'!$AY$4,'9.0.10'!$AY$3)</f>
        <v>180</v>
      </c>
      <c r="J19" s="4">
        <f>(VLOOKUP('9.0.10'!R19,'9.0.10'!$AM$4:$AO$55,2,FALSE))*IF('9.0.10'!AU$4="是",'9.0.10'!$AY$4,'9.0.10'!$AY$3)</f>
        <v>180</v>
      </c>
      <c r="K19" s="4">
        <f>(VLOOKUP('9.0.10'!S19,'9.0.10'!$AM$4:$AO$55,2,FALSE))*IF('9.0.10'!AV$4="是",'9.0.10'!$AY$4,'9.0.10'!$AY$3)</f>
        <v>180</v>
      </c>
      <c r="L19" s="4">
        <f>(VLOOKUP('9.0.10'!T19,'9.0.10'!$AM$4:$AO$55,2,FALSE))*IF('9.0.10'!AW$4="是",'9.0.10'!$AY$4,'9.0.10'!$AY$3)</f>
        <v>180</v>
      </c>
      <c r="M19" s="4">
        <f>(VLOOKUP('9.0.10'!U19,'9.0.10'!$AM$4:$AO$55,2,FALSE))*IF('9.0.10'!AX$4="是",'9.0.10'!$AY$4,'9.0.10'!$AY$3)</f>
        <v>180</v>
      </c>
      <c r="N19" s="4">
        <f>(VLOOKUP('9.0.10'!V19,'9.0.10'!$AM$4:$AO$55,2,FALSE))*IF('9.0.10'!AY$4="是",'9.0.10'!$AY$4,'9.0.10'!$AY$3)</f>
        <v>180</v>
      </c>
      <c r="O19" s="5">
        <f>(VLOOKUP('9.0.10'!W19,'9.0.10'!$AM$4:$AO$55,2,FALSE))*IF('9.0.10'!AZ$4="是",'9.0.10'!$AY$4,'9.0.10'!$AY$3)</f>
        <v>0</v>
      </c>
      <c r="P19" s="5">
        <f>(VLOOKUP('9.0.10'!X19,'9.0.10'!$AM$4:$AO$55,2,FALSE))*IF('9.0.10'!BA$4="是",'9.0.10'!$AY$4,'9.0.10'!$AY$3)</f>
        <v>0</v>
      </c>
      <c r="Q19" s="4">
        <f>(VLOOKUP('9.0.10'!Y19,'9.0.10'!$AM$4:$AO$55,2,FALSE))*IF('9.0.10'!BB$4="是",'9.0.10'!$AY$4,'9.0.10'!$AY$3)</f>
        <v>170</v>
      </c>
      <c r="R19" s="4">
        <f>(VLOOKUP('9.0.10'!Z19,'9.0.10'!$AM$4:$AO$55,2,FALSE))*IF('9.0.10'!BC$4="是",'9.0.10'!$AY$4,'9.0.10'!$AY$3)</f>
        <v>170</v>
      </c>
      <c r="S19" s="4">
        <f>(VLOOKUP('9.0.10'!AA19,'9.0.10'!$AM$4:$AO$55,2,FALSE))*IF('9.0.10'!BD$4="是",'9.0.10'!$AY$4,'9.0.10'!$AY$3)</f>
        <v>170</v>
      </c>
      <c r="T19" s="4">
        <f>(VLOOKUP('9.0.10'!AB19,'9.0.10'!$AM$4:$AO$55,2,FALSE))*IF('9.0.10'!BE$4="是",'9.0.10'!$AY$4,'9.0.10'!$AY$3)</f>
        <v>170</v>
      </c>
      <c r="U19" s="4">
        <f>(VLOOKUP('9.0.10'!AC19,'9.0.10'!$AM$4:$AO$55,2,FALSE))*IF('9.0.10'!BF$4="是",'9.0.10'!$AY$4,'9.0.10'!$AY$3)</f>
        <v>170</v>
      </c>
      <c r="V19" s="4">
        <f>(VLOOKUP('9.0.10'!AD19,'9.0.10'!$AM$4:$AO$55,2,FALSE))*IF('9.0.10'!BG$4="是",'9.0.10'!$AY$4,'9.0.10'!$AY$3)</f>
        <v>170</v>
      </c>
      <c r="W19" s="5">
        <f>(VLOOKUP('9.0.10'!AE19,'9.0.10'!$AM$4:$AO$55,2,FALSE))*IF('9.0.10'!BH$4="是",'9.0.10'!$AY$4,'9.0.10'!$AY$3)</f>
        <v>0</v>
      </c>
      <c r="X19" s="5">
        <f>(VLOOKUP('9.0.10'!AF19,'9.0.10'!$AM$4:$AO$55,2,FALSE))*IF('9.0.10'!BI$4="是",'9.0.10'!$AY$4,'9.0.10'!$AY$3)</f>
        <v>0</v>
      </c>
    </row>
    <row r="20" spans="1:24">
      <c r="A20" s="4">
        <f>(VLOOKUP('9.0.10'!I20,'9.0.10'!$AM$4:$AO$55,2,FALSE))*IF('9.0.10'!AK$4="是",'9.0.10'!$AY$4,'9.0.10'!$AY$3)</f>
        <v>0</v>
      </c>
      <c r="B20" s="4">
        <f>(VLOOKUP('9.0.10'!J20,'9.0.10'!$AM$4:$AO$55,2,FALSE))*IF('9.0.10'!AL$4="是",'9.0.10'!$AY$4,'9.0.10'!$AY$3)</f>
        <v>0</v>
      </c>
      <c r="C20" s="4">
        <f>(VLOOKUP('9.0.10'!K20,'9.0.10'!$AM$4:$AO$55,2,FALSE))*IF('9.0.10'!AM$4="是",'9.0.10'!$AY$4,'9.0.10'!$AY$3)</f>
        <v>0</v>
      </c>
      <c r="D20" s="4">
        <f>(VLOOKUP('9.0.10'!L20,'9.0.10'!$AM$4:$AO$55,2,FALSE))*IF('9.0.10'!AN$4="是",'9.0.10'!$AY$4,'9.0.10'!$AY$3)</f>
        <v>0</v>
      </c>
      <c r="E20" s="4">
        <f>(VLOOKUP('9.0.10'!M20,'9.0.10'!$AM$4:$AO$55,2,FALSE))*IF('9.0.10'!AO$4="是",'9.0.10'!$AY$4,'9.0.10'!$AY$3)</f>
        <v>0</v>
      </c>
      <c r="F20" s="4">
        <f>(VLOOKUP('9.0.10'!N20,'9.0.10'!$AM$4:$AO$55,2,FALSE))*IF('9.0.10'!AQ$4="是",'9.0.10'!$AY$4,'9.0.10'!$AY$3)</f>
        <v>0</v>
      </c>
      <c r="G20" s="5">
        <f>(VLOOKUP('9.0.10'!O20,'9.0.10'!$AM$4:$AO$55,2,FALSE))*IF('9.0.10'!AR$4="是",'9.0.10'!$AY$4,'9.0.10'!$AY$3)</f>
        <v>0</v>
      </c>
      <c r="H20" s="5">
        <f>(VLOOKUP('9.0.10'!P20,'9.0.10'!$AM$4:$AO$55,2,FALSE))*IF('9.0.10'!AS$4="是",'9.0.10'!$AY$4,'9.0.10'!$AY$3)</f>
        <v>0</v>
      </c>
      <c r="I20" s="4">
        <f>(VLOOKUP('9.0.10'!Q20,'9.0.10'!$AM$4:$AO$55,2,FALSE))*IF('9.0.10'!AT$4="是",'9.0.10'!$AY$4,'9.0.10'!$AY$3)</f>
        <v>180</v>
      </c>
      <c r="J20" s="4">
        <f>(VLOOKUP('9.0.10'!R20,'9.0.10'!$AM$4:$AO$55,2,FALSE))*IF('9.0.10'!AU$4="是",'9.0.10'!$AY$4,'9.0.10'!$AY$3)</f>
        <v>180</v>
      </c>
      <c r="K20" s="4">
        <f>(VLOOKUP('9.0.10'!S20,'9.0.10'!$AM$4:$AO$55,2,FALSE))*IF('9.0.10'!AV$4="是",'9.0.10'!$AY$4,'9.0.10'!$AY$3)</f>
        <v>180</v>
      </c>
      <c r="L20" s="4">
        <f>(VLOOKUP('9.0.10'!T20,'9.0.10'!$AM$4:$AO$55,2,FALSE))*IF('9.0.10'!AW$4="是",'9.0.10'!$AY$4,'9.0.10'!$AY$3)</f>
        <v>180</v>
      </c>
      <c r="M20" s="4">
        <f>(VLOOKUP('9.0.10'!U20,'9.0.10'!$AM$4:$AO$55,2,FALSE))*IF('9.0.10'!AX$4="是",'9.0.10'!$AY$4,'9.0.10'!$AY$3)</f>
        <v>180</v>
      </c>
      <c r="N20" s="4">
        <f>(VLOOKUP('9.0.10'!V20,'9.0.10'!$AM$4:$AO$55,2,FALSE))*IF('9.0.10'!AY$4="是",'9.0.10'!$AY$4,'9.0.10'!$AY$3)</f>
        <v>180</v>
      </c>
      <c r="O20" s="5">
        <f>(VLOOKUP('9.0.10'!W20,'9.0.10'!$AM$4:$AO$55,2,FALSE))*IF('9.0.10'!AZ$4="是",'9.0.10'!$AY$4,'9.0.10'!$AY$3)</f>
        <v>0</v>
      </c>
      <c r="P20" s="5">
        <f>(VLOOKUP('9.0.10'!X20,'9.0.10'!$AM$4:$AO$55,2,FALSE))*IF('9.0.10'!BA$4="是",'9.0.10'!$AY$4,'9.0.10'!$AY$3)</f>
        <v>0</v>
      </c>
      <c r="Q20" s="4">
        <f>(VLOOKUP('9.0.10'!Y20,'9.0.10'!$AM$4:$AO$55,2,FALSE))*IF('9.0.10'!BB$4="是",'9.0.10'!$AY$4,'9.0.10'!$AY$3)</f>
        <v>170</v>
      </c>
      <c r="R20" s="4">
        <f>(VLOOKUP('9.0.10'!Z20,'9.0.10'!$AM$4:$AO$55,2,FALSE))*IF('9.0.10'!BC$4="是",'9.0.10'!$AY$4,'9.0.10'!$AY$3)</f>
        <v>170</v>
      </c>
      <c r="S20" s="4">
        <f>(VLOOKUP('9.0.10'!AA20,'9.0.10'!$AM$4:$AO$55,2,FALSE))*IF('9.0.10'!BD$4="是",'9.0.10'!$AY$4,'9.0.10'!$AY$3)</f>
        <v>170</v>
      </c>
      <c r="T20" s="4">
        <f>(VLOOKUP('9.0.10'!AB20,'9.0.10'!$AM$4:$AO$55,2,FALSE))*IF('9.0.10'!BE$4="是",'9.0.10'!$AY$4,'9.0.10'!$AY$3)</f>
        <v>50</v>
      </c>
      <c r="U20" s="4">
        <f>(VLOOKUP('9.0.10'!AC20,'9.0.10'!$AM$4:$AO$55,2,FALSE))*IF('9.0.10'!BF$4="是",'9.0.10'!$AY$4,'9.0.10'!$AY$3)</f>
        <v>170</v>
      </c>
      <c r="V20" s="4">
        <f>(VLOOKUP('9.0.10'!AD20,'9.0.10'!$AM$4:$AO$55,2,FALSE))*IF('9.0.10'!BG$4="是",'9.0.10'!$AY$4,'9.0.10'!$AY$3)</f>
        <v>170</v>
      </c>
      <c r="W20" s="5">
        <f>(VLOOKUP('9.0.10'!AE20,'9.0.10'!$AM$4:$AO$55,2,FALSE))*IF('9.0.10'!BH$4="是",'9.0.10'!$AY$4,'9.0.10'!$AY$3)</f>
        <v>0</v>
      </c>
      <c r="X20" s="5">
        <f>(VLOOKUP('9.0.10'!AF20,'9.0.10'!$AM$4:$AO$55,2,FALSE))*IF('9.0.10'!BI$4="是",'9.0.10'!$AY$4,'9.0.10'!$AY$3)</f>
        <v>0</v>
      </c>
    </row>
    <row r="21" spans="1:24">
      <c r="A21" s="4">
        <f>(VLOOKUP('9.0.10'!I21,'9.0.10'!$AM$4:$AO$55,2,FALSE))*IF('9.0.10'!AK$4="是",'9.0.10'!$AY$4,'9.0.10'!$AY$3)</f>
        <v>0</v>
      </c>
      <c r="B21" s="4">
        <f>(VLOOKUP('9.0.10'!J21,'9.0.10'!$AM$4:$AO$55,2,FALSE))*IF('9.0.10'!AL$4="是",'9.0.10'!$AY$4,'9.0.10'!$AY$3)</f>
        <v>0</v>
      </c>
      <c r="C21" s="4">
        <f>(VLOOKUP('9.0.10'!K21,'9.0.10'!$AM$4:$AO$55,2,FALSE))*IF('9.0.10'!AM$4="是",'9.0.10'!$AY$4,'9.0.10'!$AY$3)</f>
        <v>0</v>
      </c>
      <c r="D21" s="4">
        <f>(VLOOKUP('9.0.10'!L21,'9.0.10'!$AM$4:$AO$55,2,FALSE))*IF('9.0.10'!AN$4="是",'9.0.10'!$AY$4,'9.0.10'!$AY$3)</f>
        <v>0</v>
      </c>
      <c r="E21" s="4">
        <f>(VLOOKUP('9.0.10'!M21,'9.0.10'!$AM$4:$AO$55,2,FALSE))*IF('9.0.10'!AO$4="是",'9.0.10'!$AY$4,'9.0.10'!$AY$3)</f>
        <v>0</v>
      </c>
      <c r="F21" s="4">
        <f>(VLOOKUP('9.0.10'!N21,'9.0.10'!$AM$4:$AO$55,2,FALSE))*IF('9.0.10'!AQ$4="是",'9.0.10'!$AY$4,'9.0.10'!$AY$3)</f>
        <v>0</v>
      </c>
      <c r="G21" s="5">
        <f>(VLOOKUP('9.0.10'!O21,'9.0.10'!$AM$4:$AO$55,2,FALSE))*IF('9.0.10'!AR$4="是",'9.0.10'!$AY$4,'9.0.10'!$AY$3)</f>
        <v>0</v>
      </c>
      <c r="H21" s="5">
        <f>(VLOOKUP('9.0.10'!P21,'9.0.10'!$AM$4:$AO$55,2,FALSE))*IF('9.0.10'!AS$4="是",'9.0.10'!$AY$4,'9.0.10'!$AY$3)</f>
        <v>0</v>
      </c>
      <c r="I21" s="4">
        <f>(VLOOKUP('9.0.10'!Q21,'9.0.10'!$AM$4:$AO$55,2,FALSE))*IF('9.0.10'!AT$4="是",'9.0.10'!$AY$4,'9.0.10'!$AY$3)</f>
        <v>180</v>
      </c>
      <c r="J21" s="4">
        <f>(VLOOKUP('9.0.10'!R21,'9.0.10'!$AM$4:$AO$55,2,FALSE))*IF('9.0.10'!AU$4="是",'9.0.10'!$AY$4,'9.0.10'!$AY$3)</f>
        <v>180</v>
      </c>
      <c r="K21" s="4">
        <f>(VLOOKUP('9.0.10'!S21,'9.0.10'!$AM$4:$AO$55,2,FALSE))*IF('9.0.10'!AV$4="是",'9.0.10'!$AY$4,'9.0.10'!$AY$3)</f>
        <v>180</v>
      </c>
      <c r="L21" s="4">
        <f>(VLOOKUP('9.0.10'!T21,'9.0.10'!$AM$4:$AO$55,2,FALSE))*IF('9.0.10'!AW$4="是",'9.0.10'!$AY$4,'9.0.10'!$AY$3)</f>
        <v>180</v>
      </c>
      <c r="M21" s="4">
        <f>(VLOOKUP('9.0.10'!U21,'9.0.10'!$AM$4:$AO$55,2,FALSE))*IF('9.0.10'!AX$4="是",'9.0.10'!$AY$4,'9.0.10'!$AY$3)</f>
        <v>180</v>
      </c>
      <c r="N21" s="4">
        <f>(VLOOKUP('9.0.10'!V21,'9.0.10'!$AM$4:$AO$55,2,FALSE))*IF('9.0.10'!AY$4="是",'9.0.10'!$AY$4,'9.0.10'!$AY$3)</f>
        <v>-200</v>
      </c>
      <c r="O21" s="5">
        <f>(VLOOKUP('9.0.10'!W21,'9.0.10'!$AM$4:$AO$55,2,FALSE))*IF('9.0.10'!AZ$4="是",'9.0.10'!$AY$4,'9.0.10'!$AY$3)</f>
        <v>180</v>
      </c>
      <c r="P21" s="5">
        <f>(VLOOKUP('9.0.10'!X21,'9.0.10'!$AM$4:$AO$55,2,FALSE))*IF('9.0.10'!BA$4="是",'9.0.10'!$AY$4,'9.0.10'!$AY$3)</f>
        <v>50</v>
      </c>
      <c r="Q21" s="4">
        <f>(VLOOKUP('9.0.10'!Y21,'9.0.10'!$AM$4:$AO$55,2,FALSE))*IF('9.0.10'!BB$4="是",'9.0.10'!$AY$4,'9.0.10'!$AY$3)</f>
        <v>170</v>
      </c>
      <c r="R21" s="4">
        <f>(VLOOKUP('9.0.10'!Z21,'9.0.10'!$AM$4:$AO$55,2,FALSE))*IF('9.0.10'!BC$4="是",'9.0.10'!$AY$4,'9.0.10'!$AY$3)</f>
        <v>170</v>
      </c>
      <c r="S21" s="4">
        <f>(VLOOKUP('9.0.10'!AA21,'9.0.10'!$AM$4:$AO$55,2,FALSE))*IF('9.0.10'!BD$4="是",'9.0.10'!$AY$4,'9.0.10'!$AY$3)</f>
        <v>170</v>
      </c>
      <c r="T21" s="4">
        <f>(VLOOKUP('9.0.10'!AB21,'9.0.10'!$AM$4:$AO$55,2,FALSE))*IF('9.0.10'!BE$4="是",'9.0.10'!$AY$4,'9.0.10'!$AY$3)</f>
        <v>170</v>
      </c>
      <c r="U21" s="4">
        <f>(VLOOKUP('9.0.10'!AC21,'9.0.10'!$AM$4:$AO$55,2,FALSE))*IF('9.0.10'!BF$4="是",'9.0.10'!$AY$4,'9.0.10'!$AY$3)</f>
        <v>170</v>
      </c>
      <c r="V21" s="4">
        <f>(VLOOKUP('9.0.10'!AD21,'9.0.10'!$AM$4:$AO$55,2,FALSE))*IF('9.0.10'!BG$4="是",'9.0.10'!$AY$4,'9.0.10'!$AY$3)</f>
        <v>170</v>
      </c>
      <c r="W21" s="5">
        <f>(VLOOKUP('9.0.10'!AE21,'9.0.10'!$AM$4:$AO$55,2,FALSE))*IF('9.0.10'!BH$4="是",'9.0.10'!$AY$4,'9.0.10'!$AY$3)</f>
        <v>0</v>
      </c>
      <c r="X21" s="5">
        <f>(VLOOKUP('9.0.10'!AF21,'9.0.10'!$AM$4:$AO$55,2,FALSE))*IF('9.0.10'!BI$4="是",'9.0.10'!$AY$4,'9.0.10'!$AY$3)</f>
        <v>0</v>
      </c>
    </row>
    <row r="22" spans="1:24">
      <c r="A22" s="4">
        <f>(VLOOKUP('9.0.10'!I22,'9.0.10'!$AM$4:$AO$55,2,FALSE))*IF('9.0.10'!AK$4="是",'9.0.10'!$AY$4,'9.0.10'!$AY$3)</f>
        <v>0</v>
      </c>
      <c r="B22" s="4">
        <f>(VLOOKUP('9.0.10'!J22,'9.0.10'!$AM$4:$AO$55,2,FALSE))*IF('9.0.10'!AL$4="是",'9.0.10'!$AY$4,'9.0.10'!$AY$3)</f>
        <v>0</v>
      </c>
      <c r="C22" s="4">
        <f>(VLOOKUP('9.0.10'!K22,'9.0.10'!$AM$4:$AO$55,2,FALSE))*IF('9.0.10'!AM$4="是",'9.0.10'!$AY$4,'9.0.10'!$AY$3)</f>
        <v>0</v>
      </c>
      <c r="D22" s="4">
        <f>(VLOOKUP('9.0.10'!L22,'9.0.10'!$AM$4:$AO$55,2,FALSE))*IF('9.0.10'!AN$4="是",'9.0.10'!$AY$4,'9.0.10'!$AY$3)</f>
        <v>0</v>
      </c>
      <c r="E22" s="4">
        <f>(VLOOKUP('9.0.10'!M22,'9.0.10'!$AM$4:$AO$55,2,FALSE))*IF('9.0.10'!AO$4="是",'9.0.10'!$AY$4,'9.0.10'!$AY$3)</f>
        <v>0</v>
      </c>
      <c r="F22" s="4">
        <f>(VLOOKUP('9.0.10'!N22,'9.0.10'!$AM$4:$AO$55,2,FALSE))*IF('9.0.10'!AQ$4="是",'9.0.10'!$AY$4,'9.0.10'!$AY$3)</f>
        <v>0</v>
      </c>
      <c r="G22" s="5">
        <f>(VLOOKUP('9.0.10'!O22,'9.0.10'!$AM$4:$AO$55,2,FALSE))*IF('9.0.10'!AR$4="是",'9.0.10'!$AY$4,'9.0.10'!$AY$3)</f>
        <v>0</v>
      </c>
      <c r="H22" s="5">
        <f>(VLOOKUP('9.0.10'!P22,'9.0.10'!$AM$4:$AO$55,2,FALSE))*IF('9.0.10'!AS$4="是",'9.0.10'!$AY$4,'9.0.10'!$AY$3)</f>
        <v>0</v>
      </c>
      <c r="I22" s="4">
        <f>(VLOOKUP('9.0.10'!Q22,'9.0.10'!$AM$4:$AO$55,2,FALSE))*IF('9.0.10'!AT$4="是",'9.0.10'!$AY$4,'9.0.10'!$AY$3)</f>
        <v>180</v>
      </c>
      <c r="J22" s="4">
        <f>(VLOOKUP('9.0.10'!R22,'9.0.10'!$AM$4:$AO$55,2,FALSE))*IF('9.0.10'!AU$4="是",'9.0.10'!$AY$4,'9.0.10'!$AY$3)</f>
        <v>180</v>
      </c>
      <c r="K22" s="4">
        <f>(VLOOKUP('9.0.10'!S22,'9.0.10'!$AM$4:$AO$55,2,FALSE))*IF('9.0.10'!AV$4="是",'9.0.10'!$AY$4,'9.0.10'!$AY$3)</f>
        <v>180</v>
      </c>
      <c r="L22" s="4">
        <f>(VLOOKUP('9.0.10'!T22,'9.0.10'!$AM$4:$AO$55,2,FALSE))*IF('9.0.10'!AW$4="是",'9.0.10'!$AY$4,'9.0.10'!$AY$3)</f>
        <v>180</v>
      </c>
      <c r="M22" s="4">
        <f>(VLOOKUP('9.0.10'!U22,'9.0.10'!$AM$4:$AO$55,2,FALSE))*IF('9.0.10'!AX$4="是",'9.0.10'!$AY$4,'9.0.10'!$AY$3)</f>
        <v>180</v>
      </c>
      <c r="N22" s="4">
        <f>(VLOOKUP('9.0.10'!V22,'9.0.10'!$AM$4:$AO$55,2,FALSE))*IF('9.0.10'!AY$4="是",'9.0.10'!$AY$4,'9.0.10'!$AY$3)</f>
        <v>180</v>
      </c>
      <c r="O22" s="5">
        <f>(VLOOKUP('9.0.10'!W22,'9.0.10'!$AM$4:$AO$55,2,FALSE))*IF('9.0.10'!AZ$4="是",'9.0.10'!$AY$4,'9.0.10'!$AY$3)</f>
        <v>0</v>
      </c>
      <c r="P22" s="5">
        <f>(VLOOKUP('9.0.10'!X22,'9.0.10'!$AM$4:$AO$55,2,FALSE))*IF('9.0.10'!BA$4="是",'9.0.10'!$AY$4,'9.0.10'!$AY$3)</f>
        <v>0</v>
      </c>
      <c r="Q22" s="4">
        <f>(VLOOKUP('9.0.10'!Y22,'9.0.10'!$AM$4:$AO$55,2,FALSE))*IF('9.0.10'!BB$4="是",'9.0.10'!$AY$4,'9.0.10'!$AY$3)</f>
        <v>170</v>
      </c>
      <c r="R22" s="4">
        <f>(VLOOKUP('9.0.10'!Z22,'9.0.10'!$AM$4:$AO$55,2,FALSE))*IF('9.0.10'!BC$4="是",'9.0.10'!$AY$4,'9.0.10'!$AY$3)</f>
        <v>170</v>
      </c>
      <c r="S22" s="4">
        <f>(VLOOKUP('9.0.10'!AA22,'9.0.10'!$AM$4:$AO$55,2,FALSE))*IF('9.0.10'!BD$4="是",'9.0.10'!$AY$4,'9.0.10'!$AY$3)</f>
        <v>170</v>
      </c>
      <c r="T22" s="4">
        <f>(VLOOKUP('9.0.10'!AB22,'9.0.10'!$AM$4:$AO$55,2,FALSE))*IF('9.0.10'!BE$4="是",'9.0.10'!$AY$4,'9.0.10'!$AY$3)</f>
        <v>170</v>
      </c>
      <c r="U22" s="4">
        <f>(VLOOKUP('9.0.10'!AC22,'9.0.10'!$AM$4:$AO$55,2,FALSE))*IF('9.0.10'!BF$4="是",'9.0.10'!$AY$4,'9.0.10'!$AY$3)</f>
        <v>170</v>
      </c>
      <c r="V22" s="4">
        <f>(VLOOKUP('9.0.10'!AD22,'9.0.10'!$AM$4:$AO$55,2,FALSE))*IF('9.0.10'!BG$4="是",'9.0.10'!$AY$4,'9.0.10'!$AY$3)</f>
        <v>170</v>
      </c>
      <c r="W22" s="5">
        <f>(VLOOKUP('9.0.10'!AE22,'9.0.10'!$AM$4:$AO$55,2,FALSE))*IF('9.0.10'!BH$4="是",'9.0.10'!$AY$4,'9.0.10'!$AY$3)</f>
        <v>0</v>
      </c>
      <c r="X22" s="5">
        <f>(VLOOKUP('9.0.10'!AF22,'9.0.10'!$AM$4:$AO$55,2,FALSE))*IF('9.0.10'!BI$4="是",'9.0.10'!$AY$4,'9.0.10'!$AY$3)</f>
        <v>0</v>
      </c>
    </row>
    <row r="23" spans="1:24">
      <c r="A23" s="4">
        <f>(VLOOKUP('9.0.10'!I23,'9.0.10'!$AM$4:$AO$55,2,FALSE))*IF('9.0.10'!AK$4="是",'9.0.10'!$AY$4,'9.0.10'!$AY$3)</f>
        <v>0</v>
      </c>
      <c r="B23" s="4">
        <f>(VLOOKUP('9.0.10'!J23,'9.0.10'!$AM$4:$AO$55,2,FALSE))*IF('9.0.10'!AL$4="是",'9.0.10'!$AY$4,'9.0.10'!$AY$3)</f>
        <v>0</v>
      </c>
      <c r="C23" s="4">
        <f>(VLOOKUP('9.0.10'!K23,'9.0.10'!$AM$4:$AO$55,2,FALSE))*IF('9.0.10'!AM$4="是",'9.0.10'!$AY$4,'9.0.10'!$AY$3)</f>
        <v>0</v>
      </c>
      <c r="D23" s="4">
        <f>(VLOOKUP('9.0.10'!L23,'9.0.10'!$AM$4:$AO$55,2,FALSE))*IF('9.0.10'!AN$4="是",'9.0.10'!$AY$4,'9.0.10'!$AY$3)</f>
        <v>0</v>
      </c>
      <c r="E23" s="4">
        <f>(VLOOKUP('9.0.10'!M23,'9.0.10'!$AM$4:$AO$55,2,FALSE))*IF('9.0.10'!AO$4="是",'9.0.10'!$AY$4,'9.0.10'!$AY$3)</f>
        <v>0</v>
      </c>
      <c r="F23" s="4">
        <f>(VLOOKUP('9.0.10'!N23,'9.0.10'!$AM$4:$AO$55,2,FALSE))*IF('9.0.10'!AQ$4="是",'9.0.10'!$AY$4,'9.0.10'!$AY$3)</f>
        <v>0</v>
      </c>
      <c r="G23" s="5">
        <f>(VLOOKUP('9.0.10'!O23,'9.0.10'!$AM$4:$AO$55,2,FALSE))*IF('9.0.10'!AR$4="是",'9.0.10'!$AY$4,'9.0.10'!$AY$3)</f>
        <v>0</v>
      </c>
      <c r="H23" s="5">
        <f>(VLOOKUP('9.0.10'!P23,'9.0.10'!$AM$4:$AO$55,2,FALSE))*IF('9.0.10'!AS$4="是",'9.0.10'!$AY$4,'9.0.10'!$AY$3)</f>
        <v>0</v>
      </c>
      <c r="I23" s="4">
        <f>(VLOOKUP('9.0.10'!Q23,'9.0.10'!$AM$4:$AO$55,2,FALSE))*IF('9.0.10'!AT$4="是",'9.0.10'!$AY$4,'9.0.10'!$AY$3)</f>
        <v>180</v>
      </c>
      <c r="J23" s="4">
        <f>(VLOOKUP('9.0.10'!R23,'9.0.10'!$AM$4:$AO$55,2,FALSE))*IF('9.0.10'!AU$4="是",'9.0.10'!$AY$4,'9.0.10'!$AY$3)</f>
        <v>180</v>
      </c>
      <c r="K23" s="4">
        <f>(VLOOKUP('9.0.10'!S23,'9.0.10'!$AM$4:$AO$55,2,FALSE))*IF('9.0.10'!AV$4="是",'9.0.10'!$AY$4,'9.0.10'!$AY$3)</f>
        <v>180</v>
      </c>
      <c r="L23" s="4">
        <f>(VLOOKUP('9.0.10'!T23,'9.0.10'!$AM$4:$AO$55,2,FALSE))*IF('9.0.10'!AW$4="是",'9.0.10'!$AY$4,'9.0.10'!$AY$3)</f>
        <v>170</v>
      </c>
      <c r="M23" s="4">
        <f>(VLOOKUP('9.0.10'!U23,'9.0.10'!$AM$4:$AO$55,2,FALSE))*IF('9.0.10'!AX$4="是",'9.0.10'!$AY$4,'9.0.10'!$AY$3)</f>
        <v>170</v>
      </c>
      <c r="N23" s="4">
        <f>(VLOOKUP('9.0.10'!V23,'9.0.10'!$AM$4:$AO$55,2,FALSE))*IF('9.0.10'!AY$4="是",'9.0.10'!$AY$4,'9.0.10'!$AY$3)</f>
        <v>170</v>
      </c>
      <c r="O23" s="5">
        <f>(VLOOKUP('9.0.10'!W23,'9.0.10'!$AM$4:$AO$55,2,FALSE))*IF('9.0.10'!AZ$4="是",'9.0.10'!$AY$4,'9.0.10'!$AY$3)</f>
        <v>0</v>
      </c>
      <c r="P23" s="5">
        <f>(VLOOKUP('9.0.10'!X23,'9.0.10'!$AM$4:$AO$55,2,FALSE))*IF('9.0.10'!BA$4="是",'9.0.10'!$AY$4,'9.0.10'!$AY$3)</f>
        <v>0</v>
      </c>
      <c r="Q23" s="4">
        <f>(VLOOKUP('9.0.10'!Y23,'9.0.10'!$AM$4:$AO$55,2,FALSE))*IF('9.0.10'!BB$4="是",'9.0.10'!$AY$4,'9.0.10'!$AY$3)</f>
        <v>170</v>
      </c>
      <c r="R23" s="4">
        <f>(VLOOKUP('9.0.10'!Z23,'9.0.10'!$AM$4:$AO$55,2,FALSE))*IF('9.0.10'!BC$4="是",'9.0.10'!$AY$4,'9.0.10'!$AY$3)</f>
        <v>170</v>
      </c>
      <c r="S23" s="4">
        <f>(VLOOKUP('9.0.10'!AA23,'9.0.10'!$AM$4:$AO$55,2,FALSE))*IF('9.0.10'!BD$4="是",'9.0.10'!$AY$4,'9.0.10'!$AY$3)</f>
        <v>170</v>
      </c>
      <c r="T23" s="4">
        <f>(VLOOKUP('9.0.10'!AB23,'9.0.10'!$AM$4:$AO$55,2,FALSE))*IF('9.0.10'!BE$4="是",'9.0.10'!$AY$4,'9.0.10'!$AY$3)</f>
        <v>170</v>
      </c>
      <c r="U23" s="4">
        <f>(VLOOKUP('9.0.10'!AC23,'9.0.10'!$AM$4:$AO$55,2,FALSE))*IF('9.0.10'!BF$4="是",'9.0.10'!$AY$4,'9.0.10'!$AY$3)</f>
        <v>170</v>
      </c>
      <c r="V23" s="4">
        <f>(VLOOKUP('9.0.10'!AD23,'9.0.10'!$AM$4:$AO$55,2,FALSE))*IF('9.0.10'!BG$4="是",'9.0.10'!$AY$4,'9.0.10'!$AY$3)</f>
        <v>170</v>
      </c>
      <c r="W23" s="5">
        <f>(VLOOKUP('9.0.10'!AE23,'9.0.10'!$AM$4:$AO$55,2,FALSE))*IF('9.0.10'!BH$4="是",'9.0.10'!$AY$4,'9.0.10'!$AY$3)</f>
        <v>0</v>
      </c>
      <c r="X23" s="5">
        <f>(VLOOKUP('9.0.10'!AF23,'9.0.10'!$AM$4:$AO$55,2,FALSE))*IF('9.0.10'!BI$4="是",'9.0.10'!$AY$4,'9.0.10'!$AY$3)</f>
        <v>0</v>
      </c>
    </row>
    <row r="24" spans="1:24">
      <c r="A24" s="4">
        <f>(VLOOKUP('9.0.10'!I24,'9.0.10'!$AM$4:$AO$55,2,FALSE))*IF('9.0.10'!AK$4="是",'9.0.10'!$AY$4,'9.0.10'!$AY$3)</f>
        <v>0</v>
      </c>
      <c r="B24" s="4">
        <f>(VLOOKUP('9.0.10'!J24,'9.0.10'!$AM$4:$AO$55,2,FALSE))*IF('9.0.10'!AL$4="是",'9.0.10'!$AY$4,'9.0.10'!$AY$3)</f>
        <v>0</v>
      </c>
      <c r="C24" s="4">
        <f>(VLOOKUP('9.0.10'!K24,'9.0.10'!$AM$4:$AO$55,2,FALSE))*IF('9.0.10'!AM$4="是",'9.0.10'!$AY$4,'9.0.10'!$AY$3)</f>
        <v>0</v>
      </c>
      <c r="D24" s="4">
        <f>(VLOOKUP('9.0.10'!L24,'9.0.10'!$AM$4:$AO$55,2,FALSE))*IF('9.0.10'!AN$4="是",'9.0.10'!$AY$4,'9.0.10'!$AY$3)</f>
        <v>0</v>
      </c>
      <c r="E24" s="4">
        <f>(VLOOKUP('9.0.10'!M24,'9.0.10'!$AM$4:$AO$55,2,FALSE))*IF('9.0.10'!AO$4="是",'9.0.10'!$AY$4,'9.0.10'!$AY$3)</f>
        <v>0</v>
      </c>
      <c r="F24" s="4">
        <f>(VLOOKUP('9.0.10'!N24,'9.0.10'!$AM$4:$AO$55,2,FALSE))*IF('9.0.10'!AQ$4="是",'9.0.10'!$AY$4,'9.0.10'!$AY$3)</f>
        <v>0</v>
      </c>
      <c r="G24" s="5">
        <f>(VLOOKUP('9.0.10'!O24,'9.0.10'!$AM$4:$AO$55,2,FALSE))*IF('9.0.10'!AR$4="是",'9.0.10'!$AY$4,'9.0.10'!$AY$3)</f>
        <v>0</v>
      </c>
      <c r="H24" s="5">
        <f>(VLOOKUP('9.0.10'!P24,'9.0.10'!$AM$4:$AO$55,2,FALSE))*IF('9.0.10'!AS$4="是",'9.0.10'!$AY$4,'9.0.10'!$AY$3)</f>
        <v>0</v>
      </c>
      <c r="I24" s="4">
        <f>(VLOOKUP('9.0.10'!Q24,'9.0.10'!$AM$4:$AO$55,2,FALSE))*IF('9.0.10'!AT$4="是",'9.0.10'!$AY$4,'9.0.10'!$AY$3)</f>
        <v>170</v>
      </c>
      <c r="J24" s="4">
        <f>(VLOOKUP('9.0.10'!R24,'9.0.10'!$AM$4:$AO$55,2,FALSE))*IF('9.0.10'!AU$4="是",'9.0.10'!$AY$4,'9.0.10'!$AY$3)</f>
        <v>170</v>
      </c>
      <c r="K24" s="4">
        <f>(VLOOKUP('9.0.10'!S24,'9.0.10'!$AM$4:$AO$55,2,FALSE))*IF('9.0.10'!AV$4="是",'9.0.10'!$AY$4,'9.0.10'!$AY$3)</f>
        <v>50</v>
      </c>
      <c r="L24" s="4">
        <f>(VLOOKUP('9.0.10'!T24,'9.0.10'!$AM$4:$AO$55,2,FALSE))*IF('9.0.10'!AW$4="是",'9.0.10'!$AY$4,'9.0.10'!$AY$3)</f>
        <v>170</v>
      </c>
      <c r="M24" s="4">
        <f>(VLOOKUP('9.0.10'!U24,'9.0.10'!$AM$4:$AO$55,2,FALSE))*IF('9.0.10'!AX$4="是",'9.0.10'!$AY$4,'9.0.10'!$AY$3)</f>
        <v>170</v>
      </c>
      <c r="N24" s="4">
        <f>(VLOOKUP('9.0.10'!V24,'9.0.10'!$AM$4:$AO$55,2,FALSE))*IF('9.0.10'!AY$4="是",'9.0.10'!$AY$4,'9.0.10'!$AY$3)</f>
        <v>170</v>
      </c>
      <c r="O24" s="5">
        <f>(VLOOKUP('9.0.10'!W24,'9.0.10'!$AM$4:$AO$55,2,FALSE))*IF('9.0.10'!AZ$4="是",'9.0.10'!$AY$4,'9.0.10'!$AY$3)</f>
        <v>0</v>
      </c>
      <c r="P24" s="5">
        <f>(VLOOKUP('9.0.10'!X24,'9.0.10'!$AM$4:$AO$55,2,FALSE))*IF('9.0.10'!BA$4="是",'9.0.10'!$AY$4,'9.0.10'!$AY$3)</f>
        <v>0</v>
      </c>
      <c r="Q24" s="4">
        <f>(VLOOKUP('9.0.10'!Y24,'9.0.10'!$AM$4:$AO$55,2,FALSE))*IF('9.0.10'!BB$4="是",'9.0.10'!$AY$4,'9.0.10'!$AY$3)</f>
        <v>150</v>
      </c>
      <c r="R24" s="4">
        <f>(VLOOKUP('9.0.10'!Z24,'9.0.10'!$AM$4:$AO$55,2,FALSE))*IF('9.0.10'!BC$4="是",'9.0.10'!$AY$4,'9.0.10'!$AY$3)</f>
        <v>170</v>
      </c>
      <c r="S24" s="4">
        <f>(VLOOKUP('9.0.10'!AA24,'9.0.10'!$AM$4:$AO$55,2,FALSE))*IF('9.0.10'!BD$4="是",'9.0.10'!$AY$4,'9.0.10'!$AY$3)</f>
        <v>170</v>
      </c>
      <c r="T24" s="4">
        <f>(VLOOKUP('9.0.10'!AB24,'9.0.10'!$AM$4:$AO$55,2,FALSE))*IF('9.0.10'!BE$4="是",'9.0.10'!$AY$4,'9.0.10'!$AY$3)</f>
        <v>170</v>
      </c>
      <c r="U24" s="4">
        <f>(VLOOKUP('9.0.10'!AC24,'9.0.10'!$AM$4:$AO$55,2,FALSE))*IF('9.0.10'!BF$4="是",'9.0.10'!$AY$4,'9.0.10'!$AY$3)</f>
        <v>170</v>
      </c>
      <c r="V24" s="4">
        <f>(VLOOKUP('9.0.10'!AD24,'9.0.10'!$AM$4:$AO$55,2,FALSE))*IF('9.0.10'!BG$4="是",'9.0.10'!$AY$4,'9.0.10'!$AY$3)</f>
        <v>170</v>
      </c>
      <c r="W24" s="5">
        <f>(VLOOKUP('9.0.10'!AE24,'9.0.10'!$AM$4:$AO$55,2,FALSE))*IF('9.0.10'!BH$4="是",'9.0.10'!$AY$4,'9.0.10'!$AY$3)</f>
        <v>0</v>
      </c>
      <c r="X24" s="5">
        <f>(VLOOKUP('9.0.10'!AF24,'9.0.10'!$AM$4:$AO$55,2,FALSE))*IF('9.0.10'!BI$4="是",'9.0.10'!$AY$4,'9.0.10'!$AY$3)</f>
        <v>0</v>
      </c>
    </row>
    <row r="25" spans="1:24">
      <c r="A25" s="4">
        <f>(VLOOKUP('9.0.10'!I25,'9.0.10'!$AM$4:$AO$55,2,FALSE))*IF('9.0.10'!AK$4="是",'9.0.10'!$AY$4,'9.0.10'!$AY$3)</f>
        <v>0</v>
      </c>
      <c r="B25" s="4">
        <f>(VLOOKUP('9.0.10'!J25,'9.0.10'!$AM$4:$AO$55,2,FALSE))*IF('9.0.10'!AL$4="是",'9.0.10'!$AY$4,'9.0.10'!$AY$3)</f>
        <v>0</v>
      </c>
      <c r="C25" s="4">
        <f>(VLOOKUP('9.0.10'!K25,'9.0.10'!$AM$4:$AO$55,2,FALSE))*IF('9.0.10'!AM$4="是",'9.0.10'!$AY$4,'9.0.10'!$AY$3)</f>
        <v>0</v>
      </c>
      <c r="D25" s="4">
        <f>(VLOOKUP('9.0.10'!L25,'9.0.10'!$AM$4:$AO$55,2,FALSE))*IF('9.0.10'!AN$4="是",'9.0.10'!$AY$4,'9.0.10'!$AY$3)</f>
        <v>0</v>
      </c>
      <c r="E25" s="4">
        <f>(VLOOKUP('9.0.10'!M25,'9.0.10'!$AM$4:$AO$55,2,FALSE))*IF('9.0.10'!AO$4="是",'9.0.10'!$AY$4,'9.0.10'!$AY$3)</f>
        <v>0</v>
      </c>
      <c r="F25" s="4">
        <f>(VLOOKUP('9.0.10'!N25,'9.0.10'!$AM$4:$AO$55,2,FALSE))*IF('9.0.10'!AQ$4="是",'9.0.10'!$AY$4,'9.0.10'!$AY$3)</f>
        <v>0</v>
      </c>
      <c r="G25" s="5">
        <f>(VLOOKUP('9.0.10'!O25,'9.0.10'!$AM$4:$AO$55,2,FALSE))*IF('9.0.10'!AR$4="是",'9.0.10'!$AY$4,'9.0.10'!$AY$3)</f>
        <v>0</v>
      </c>
      <c r="H25" s="5">
        <f>(VLOOKUP('9.0.10'!P25,'9.0.10'!$AM$4:$AO$55,2,FALSE))*IF('9.0.10'!AS$4="是",'9.0.10'!$AY$4,'9.0.10'!$AY$3)</f>
        <v>0</v>
      </c>
      <c r="I25" s="4">
        <f>(VLOOKUP('9.0.10'!Q25,'9.0.10'!$AM$4:$AO$55,2,FALSE))*IF('9.0.10'!AT$4="是",'9.0.10'!$AY$4,'9.0.10'!$AY$3)</f>
        <v>170</v>
      </c>
      <c r="J25" s="4">
        <f>(VLOOKUP('9.0.10'!R25,'9.0.10'!$AM$4:$AO$55,2,FALSE))*IF('9.0.10'!AU$4="是",'9.0.10'!$AY$4,'9.0.10'!$AY$3)</f>
        <v>170</v>
      </c>
      <c r="K25" s="4">
        <f>(VLOOKUP('9.0.10'!S25,'9.0.10'!$AM$4:$AO$55,2,FALSE))*IF('9.0.10'!AV$4="是",'9.0.10'!$AY$4,'9.0.10'!$AY$3)</f>
        <v>170</v>
      </c>
      <c r="L25" s="4">
        <f>(VLOOKUP('9.0.10'!T25,'9.0.10'!$AM$4:$AO$55,2,FALSE))*IF('9.0.10'!AW$4="是",'9.0.10'!$AY$4,'9.0.10'!$AY$3)</f>
        <v>-200</v>
      </c>
      <c r="M25" s="4">
        <f>(VLOOKUP('9.0.10'!U25,'9.0.10'!$AM$4:$AO$55,2,FALSE))*IF('9.0.10'!AX$4="是",'9.0.10'!$AY$4,'9.0.10'!$AY$3)</f>
        <v>180</v>
      </c>
      <c r="N25" s="4">
        <f>(VLOOKUP('9.0.10'!V25,'9.0.10'!$AM$4:$AO$55,2,FALSE))*IF('9.0.10'!AY$4="是",'9.0.10'!$AY$4,'9.0.10'!$AY$3)</f>
        <v>180</v>
      </c>
      <c r="O25" s="5">
        <f>(VLOOKUP('9.0.10'!W25,'9.0.10'!$AM$4:$AO$55,2,FALSE))*IF('9.0.10'!AZ$4="是",'9.0.10'!$AY$4,'9.0.10'!$AY$3)</f>
        <v>180</v>
      </c>
      <c r="P25" s="5">
        <f>(VLOOKUP('9.0.10'!X25,'9.0.10'!$AM$4:$AO$55,2,FALSE))*IF('9.0.10'!BA$4="是",'9.0.10'!$AY$4,'9.0.10'!$AY$3)</f>
        <v>180</v>
      </c>
      <c r="Q25" s="4">
        <f>(VLOOKUP('9.0.10'!Y25,'9.0.10'!$AM$4:$AO$55,2,FALSE))*IF('9.0.10'!BB$4="是",'9.0.10'!$AY$4,'9.0.10'!$AY$3)</f>
        <v>50</v>
      </c>
      <c r="R25" s="4">
        <f>(VLOOKUP('9.0.10'!Z25,'9.0.10'!$AM$4:$AO$55,2,FALSE))*IF('9.0.10'!BC$4="是",'9.0.10'!$AY$4,'9.0.10'!$AY$3)</f>
        <v>170</v>
      </c>
      <c r="S25" s="4">
        <f>(VLOOKUP('9.0.10'!AA25,'9.0.10'!$AM$4:$AO$55,2,FALSE))*IF('9.0.10'!BD$4="是",'9.0.10'!$AY$4,'9.0.10'!$AY$3)</f>
        <v>170</v>
      </c>
      <c r="T25" s="4">
        <f>(VLOOKUP('9.0.10'!AB25,'9.0.10'!$AM$4:$AO$55,2,FALSE))*IF('9.0.10'!BE$4="是",'9.0.10'!$AY$4,'9.0.10'!$AY$3)</f>
        <v>170</v>
      </c>
      <c r="U25" s="4">
        <f>(VLOOKUP('9.0.10'!AC25,'9.0.10'!$AM$4:$AO$55,2,FALSE))*IF('9.0.10'!BF$4="是",'9.0.10'!$AY$4,'9.0.10'!$AY$3)</f>
        <v>160</v>
      </c>
      <c r="V25" s="4">
        <f>(VLOOKUP('9.0.10'!AD25,'9.0.10'!$AM$4:$AO$55,2,FALSE))*IF('9.0.10'!BG$4="是",'9.0.10'!$AY$4,'9.0.10'!$AY$3)</f>
        <v>160</v>
      </c>
      <c r="W25" s="5">
        <f>(VLOOKUP('9.0.10'!AE25,'9.0.10'!$AM$4:$AO$55,2,FALSE))*IF('9.0.10'!BH$4="是",'9.0.10'!$AY$4,'9.0.10'!$AY$3)</f>
        <v>0</v>
      </c>
      <c r="X25" s="5">
        <f>(VLOOKUP('9.0.10'!AF25,'9.0.10'!$AM$4:$AO$55,2,FALSE))*IF('9.0.10'!BI$4="是",'9.0.10'!$AY$4,'9.0.10'!$AY$3)</f>
        <v>0</v>
      </c>
    </row>
    <row r="26" spans="1:24">
      <c r="A26" s="4">
        <f>(VLOOKUP('9.0.10'!I26,'9.0.10'!$AM$4:$AO$55,2,FALSE))*IF('9.0.10'!AK$4="是",'9.0.10'!$AY$4,'9.0.10'!$AY$3)</f>
        <v>0</v>
      </c>
      <c r="B26" s="4">
        <f>(VLOOKUP('9.0.10'!J26,'9.0.10'!$AM$4:$AO$55,2,FALSE))*IF('9.0.10'!AL$4="是",'9.0.10'!$AY$4,'9.0.10'!$AY$3)</f>
        <v>0</v>
      </c>
      <c r="C26" s="4">
        <f>(VLOOKUP('9.0.10'!K26,'9.0.10'!$AM$4:$AO$55,2,FALSE))*IF('9.0.10'!AM$4="是",'9.0.10'!$AY$4,'9.0.10'!$AY$3)</f>
        <v>0</v>
      </c>
      <c r="D26" s="4">
        <f>(VLOOKUP('9.0.10'!L26,'9.0.10'!$AM$4:$AO$55,2,FALSE))*IF('9.0.10'!AN$4="是",'9.0.10'!$AY$4,'9.0.10'!$AY$3)</f>
        <v>0</v>
      </c>
      <c r="E26" s="4">
        <f>(VLOOKUP('9.0.10'!M26,'9.0.10'!$AM$4:$AO$55,2,FALSE))*IF('9.0.10'!AO$4="是",'9.0.10'!$AY$4,'9.0.10'!$AY$3)</f>
        <v>0</v>
      </c>
      <c r="F26" s="4">
        <f>(VLOOKUP('9.0.10'!N26,'9.0.10'!$AM$4:$AO$55,2,FALSE))*IF('9.0.10'!AQ$4="是",'9.0.10'!$AY$4,'9.0.10'!$AY$3)</f>
        <v>0</v>
      </c>
      <c r="G26" s="5">
        <f>(VLOOKUP('9.0.10'!O26,'9.0.10'!$AM$4:$AO$55,2,FALSE))*IF('9.0.10'!AR$4="是",'9.0.10'!$AY$4,'9.0.10'!$AY$3)</f>
        <v>0</v>
      </c>
      <c r="H26" s="5">
        <f>(VLOOKUP('9.0.10'!P26,'9.0.10'!$AM$4:$AO$55,2,FALSE))*IF('9.0.10'!AS$4="是",'9.0.10'!$AY$4,'9.0.10'!$AY$3)</f>
        <v>0</v>
      </c>
      <c r="I26" s="4">
        <f>(VLOOKUP('9.0.10'!Q26,'9.0.10'!$AM$4:$AO$55,2,FALSE))*IF('9.0.10'!AT$4="是",'9.0.10'!$AY$4,'9.0.10'!$AY$3)</f>
        <v>180</v>
      </c>
      <c r="J26" s="4">
        <f>(VLOOKUP('9.0.10'!R26,'9.0.10'!$AM$4:$AO$55,2,FALSE))*IF('9.0.10'!AU$4="是",'9.0.10'!$AY$4,'9.0.10'!$AY$3)</f>
        <v>180</v>
      </c>
      <c r="K26" s="4">
        <f>(VLOOKUP('9.0.10'!S26,'9.0.10'!$AM$4:$AO$55,2,FALSE))*IF('9.0.10'!AV$4="是",'9.0.10'!$AY$4,'9.0.10'!$AY$3)</f>
        <v>180</v>
      </c>
      <c r="L26" s="4">
        <f>(VLOOKUP('9.0.10'!T26,'9.0.10'!$AM$4:$AO$55,2,FALSE))*IF('9.0.10'!AW$4="是",'9.0.10'!$AY$4,'9.0.10'!$AY$3)</f>
        <v>180</v>
      </c>
      <c r="M26" s="4">
        <f>(VLOOKUP('9.0.10'!U26,'9.0.10'!$AM$4:$AO$55,2,FALSE))*IF('9.0.10'!AX$4="是",'9.0.10'!$AY$4,'9.0.10'!$AY$3)</f>
        <v>180</v>
      </c>
      <c r="N26" s="4">
        <f>(VLOOKUP('9.0.10'!V26,'9.0.10'!$AM$4:$AO$55,2,FALSE))*IF('9.0.10'!AY$4="是",'9.0.10'!$AY$4,'9.0.10'!$AY$3)</f>
        <v>180</v>
      </c>
      <c r="O26" s="5">
        <f>(VLOOKUP('9.0.10'!W26,'9.0.10'!$AM$4:$AO$55,2,FALSE))*IF('9.0.10'!AZ$4="是",'9.0.10'!$AY$4,'9.0.10'!$AY$3)</f>
        <v>0</v>
      </c>
      <c r="P26" s="5">
        <f>(VLOOKUP('9.0.10'!X26,'9.0.10'!$AM$4:$AO$55,2,FALSE))*IF('9.0.10'!BA$4="是",'9.0.10'!$AY$4,'9.0.10'!$AY$3)</f>
        <v>0</v>
      </c>
      <c r="Q26" s="4">
        <f>(VLOOKUP('9.0.10'!Y26,'9.0.10'!$AM$4:$AO$55,2,FALSE))*IF('9.0.10'!BB$4="是",'9.0.10'!$AY$4,'9.0.10'!$AY$3)</f>
        <v>160</v>
      </c>
      <c r="R26" s="4">
        <f>(VLOOKUP('9.0.10'!Z26,'9.0.10'!$AM$4:$AO$55,2,FALSE))*IF('9.0.10'!BC$4="是",'9.0.10'!$AY$4,'9.0.10'!$AY$3)</f>
        <v>50</v>
      </c>
      <c r="S26" s="4">
        <f>(VLOOKUP('9.0.10'!AA26,'9.0.10'!$AM$4:$AO$55,2,FALSE))*IF('9.0.10'!BD$4="是",'9.0.10'!$AY$4,'9.0.10'!$AY$3)</f>
        <v>0</v>
      </c>
      <c r="T26" s="4">
        <f>(VLOOKUP('9.0.10'!AB26,'9.0.10'!$AM$4:$AO$55,2,FALSE))*IF('9.0.10'!BE$4="是",'9.0.10'!$AY$4,'9.0.10'!$AY$3)</f>
        <v>0</v>
      </c>
      <c r="U26" s="4">
        <f>(VLOOKUP('9.0.10'!AC26,'9.0.10'!$AM$4:$AO$55,2,FALSE))*IF('9.0.10'!BF$4="是",'9.0.10'!$AY$4,'9.0.10'!$AY$3)</f>
        <v>0</v>
      </c>
      <c r="V26" s="4">
        <f>(VLOOKUP('9.0.10'!AD26,'9.0.10'!$AM$4:$AO$55,2,FALSE))*IF('9.0.10'!BG$4="是",'9.0.10'!$AY$4,'9.0.10'!$AY$3)</f>
        <v>0</v>
      </c>
      <c r="W26" s="5">
        <f>(VLOOKUP('9.0.10'!AE26,'9.0.10'!$AM$4:$AO$55,2,FALSE))*IF('9.0.10'!BH$4="是",'9.0.10'!$AY$4,'9.0.10'!$AY$3)</f>
        <v>0</v>
      </c>
      <c r="X26" s="5">
        <f>(VLOOKUP('9.0.10'!AF26,'9.0.10'!$AM$4:$AO$55,2,FALSE))*IF('9.0.10'!BI$4="是",'9.0.10'!$AY$4,'9.0.10'!$AY$3)</f>
        <v>0</v>
      </c>
    </row>
    <row r="27" spans="1:24">
      <c r="A27" s="4">
        <f>(VLOOKUP('9.0.10'!I27,'9.0.10'!$AM$4:$AO$55,2,FALSE))*IF('9.0.10'!AK$4="是",'9.0.10'!$AY$4,'9.0.10'!$AY$3)</f>
        <v>0</v>
      </c>
      <c r="B27" s="4">
        <f>(VLOOKUP('9.0.10'!J27,'9.0.10'!$AM$4:$AO$55,2,FALSE))*IF('9.0.10'!AL$4="是",'9.0.10'!$AY$4,'9.0.10'!$AY$3)</f>
        <v>0</v>
      </c>
      <c r="C27" s="4">
        <f>(VLOOKUP('9.0.10'!K27,'9.0.10'!$AM$4:$AO$55,2,FALSE))*IF('9.0.10'!AM$4="是",'9.0.10'!$AY$4,'9.0.10'!$AY$3)</f>
        <v>0</v>
      </c>
      <c r="D27" s="4">
        <f>(VLOOKUP('9.0.10'!L27,'9.0.10'!$AM$4:$AO$55,2,FALSE))*IF('9.0.10'!AN$4="是",'9.0.10'!$AY$4,'9.0.10'!$AY$3)</f>
        <v>0</v>
      </c>
      <c r="E27" s="4">
        <f>(VLOOKUP('9.0.10'!M27,'9.0.10'!$AM$4:$AO$55,2,FALSE))*IF('9.0.10'!AO$4="是",'9.0.10'!$AY$4,'9.0.10'!$AY$3)</f>
        <v>0</v>
      </c>
      <c r="F27" s="4">
        <f>(VLOOKUP('9.0.10'!N27,'9.0.10'!$AM$4:$AO$55,2,FALSE))*IF('9.0.10'!AQ$4="是",'9.0.10'!$AY$4,'9.0.10'!$AY$3)</f>
        <v>0</v>
      </c>
      <c r="G27" s="5">
        <f>(VLOOKUP('9.0.10'!O27,'9.0.10'!$AM$4:$AO$55,2,FALSE))*IF('9.0.10'!AR$4="是",'9.0.10'!$AY$4,'9.0.10'!$AY$3)</f>
        <v>0</v>
      </c>
      <c r="H27" s="5">
        <f>(VLOOKUP('9.0.10'!P27,'9.0.10'!$AM$4:$AO$55,2,FALSE))*IF('9.0.10'!AS$4="是",'9.0.10'!$AY$4,'9.0.10'!$AY$3)</f>
        <v>0</v>
      </c>
      <c r="I27" s="4">
        <f>(VLOOKUP('9.0.10'!Q27,'9.0.10'!$AM$4:$AO$55,2,FALSE))*IF('9.0.10'!AT$4="是",'9.0.10'!$AY$4,'9.0.10'!$AY$3)</f>
        <v>180</v>
      </c>
      <c r="J27" s="4">
        <f>(VLOOKUP('9.0.10'!R27,'9.0.10'!$AM$4:$AO$55,2,FALSE))*IF('9.0.10'!AU$4="是",'9.0.10'!$AY$4,'9.0.10'!$AY$3)</f>
        <v>180</v>
      </c>
      <c r="K27" s="4">
        <f>(VLOOKUP('9.0.10'!S27,'9.0.10'!$AM$4:$AO$55,2,FALSE))*IF('9.0.10'!AV$4="是",'9.0.10'!$AY$4,'9.0.10'!$AY$3)</f>
        <v>180</v>
      </c>
      <c r="L27" s="4">
        <f>(VLOOKUP('9.0.10'!T27,'9.0.10'!$AM$4:$AO$55,2,FALSE))*IF('9.0.10'!AW$4="是",'9.0.10'!$AY$4,'9.0.10'!$AY$3)</f>
        <v>180</v>
      </c>
      <c r="M27" s="4">
        <f>(VLOOKUP('9.0.10'!U27,'9.0.10'!$AM$4:$AO$55,2,FALSE))*IF('9.0.10'!AX$4="是",'9.0.10'!$AY$4,'9.0.10'!$AY$3)</f>
        <v>180</v>
      </c>
      <c r="N27" s="4">
        <f>(VLOOKUP('9.0.10'!V27,'9.0.10'!$AM$4:$AO$55,2,FALSE))*IF('9.0.10'!AY$4="是",'9.0.10'!$AY$4,'9.0.10'!$AY$3)</f>
        <v>180</v>
      </c>
      <c r="O27" s="5">
        <f>(VLOOKUP('9.0.10'!W27,'9.0.10'!$AM$4:$AO$55,2,FALSE))*IF('9.0.10'!AZ$4="是",'9.0.10'!$AY$4,'9.0.10'!$AY$3)</f>
        <v>0</v>
      </c>
      <c r="P27" s="5">
        <f>(VLOOKUP('9.0.10'!X27,'9.0.10'!$AM$4:$AO$55,2,FALSE))*IF('9.0.10'!BA$4="是",'9.0.10'!$AY$4,'9.0.10'!$AY$3)</f>
        <v>0</v>
      </c>
      <c r="Q27" s="4">
        <f>(VLOOKUP('9.0.10'!Y27,'9.0.10'!$AM$4:$AO$55,2,FALSE))*IF('9.0.10'!BB$4="是",'9.0.10'!$AY$4,'9.0.10'!$AY$3)</f>
        <v>0</v>
      </c>
      <c r="R27" s="4">
        <f>(VLOOKUP('9.0.10'!Z27,'9.0.10'!$AM$4:$AO$55,2,FALSE))*IF('9.0.10'!BC$4="是",'9.0.10'!$AY$4,'9.0.10'!$AY$3)</f>
        <v>0</v>
      </c>
      <c r="S27" s="4">
        <f>(VLOOKUP('9.0.10'!AA27,'9.0.10'!$AM$4:$AO$55,2,FALSE))*IF('9.0.10'!BD$4="是",'9.0.10'!$AY$4,'9.0.10'!$AY$3)</f>
        <v>0</v>
      </c>
      <c r="T27" s="4">
        <f>(VLOOKUP('9.0.10'!AB27,'9.0.10'!$AM$4:$AO$55,2,FALSE))*IF('9.0.10'!BE$4="是",'9.0.10'!$AY$4,'9.0.10'!$AY$3)</f>
        <v>0</v>
      </c>
      <c r="U27" s="4">
        <f>(VLOOKUP('9.0.10'!AC27,'9.0.10'!$AM$4:$AO$55,2,FALSE))*IF('9.0.10'!BF$4="是",'9.0.10'!$AY$4,'9.0.10'!$AY$3)</f>
        <v>0</v>
      </c>
      <c r="V27" s="4">
        <f>(VLOOKUP('9.0.10'!AD27,'9.0.10'!$AM$4:$AO$55,2,FALSE))*IF('9.0.10'!BG$4="是",'9.0.10'!$AY$4,'9.0.10'!$AY$3)</f>
        <v>0</v>
      </c>
      <c r="W27" s="5">
        <f>(VLOOKUP('9.0.10'!AE27,'9.0.10'!$AM$4:$AO$55,2,FALSE))*IF('9.0.10'!BH$4="是",'9.0.10'!$AY$4,'9.0.10'!$AY$3)</f>
        <v>0</v>
      </c>
      <c r="X27" s="5">
        <f>(VLOOKUP('9.0.10'!AF27,'9.0.10'!$AM$4:$AO$55,2,FALSE))*IF('9.0.10'!BI$4="是",'9.0.10'!$AY$4,'9.0.10'!$AY$3)</f>
        <v>0</v>
      </c>
    </row>
    <row r="28" spans="1:24">
      <c r="A28" s="4">
        <f>(VLOOKUP('9.0.10'!I28,'9.0.10'!$AM$4:$AO$55,2,FALSE))*IF('9.0.10'!AK$4="是",'9.0.10'!$AY$4,'9.0.10'!$AY$3)</f>
        <v>0</v>
      </c>
      <c r="B28" s="4">
        <f>(VLOOKUP('9.0.10'!J28,'9.0.10'!$AM$4:$AO$55,2,FALSE))*IF('9.0.10'!AL$4="是",'9.0.10'!$AY$4,'9.0.10'!$AY$3)</f>
        <v>0</v>
      </c>
      <c r="C28" s="4">
        <f>(VLOOKUP('9.0.10'!K28,'9.0.10'!$AM$4:$AO$55,2,FALSE))*IF('9.0.10'!AM$4="是",'9.0.10'!$AY$4,'9.0.10'!$AY$3)</f>
        <v>0</v>
      </c>
      <c r="D28" s="4">
        <f>(VLOOKUP('9.0.10'!L28,'9.0.10'!$AM$4:$AO$55,2,FALSE))*IF('9.0.10'!AN$4="是",'9.0.10'!$AY$4,'9.0.10'!$AY$3)</f>
        <v>0</v>
      </c>
      <c r="E28" s="4">
        <f>(VLOOKUP('9.0.10'!M28,'9.0.10'!$AM$4:$AO$55,2,FALSE))*IF('9.0.10'!AO$4="是",'9.0.10'!$AY$4,'9.0.10'!$AY$3)</f>
        <v>0</v>
      </c>
      <c r="F28" s="4">
        <f>(VLOOKUP('9.0.10'!N28,'9.0.10'!$AM$4:$AO$55,2,FALSE))*IF('9.0.10'!AQ$4="是",'9.0.10'!$AY$4,'9.0.10'!$AY$3)</f>
        <v>0</v>
      </c>
      <c r="G28" s="5">
        <f>(VLOOKUP('9.0.10'!O28,'9.0.10'!$AM$4:$AO$55,2,FALSE))*IF('9.0.10'!AR$4="是",'9.0.10'!$AY$4,'9.0.10'!$AY$3)</f>
        <v>0</v>
      </c>
      <c r="H28" s="5">
        <f>(VLOOKUP('9.0.10'!P28,'9.0.10'!$AM$4:$AO$55,2,FALSE))*IF('9.0.10'!AS$4="是",'9.0.10'!$AY$4,'9.0.10'!$AY$3)</f>
        <v>0</v>
      </c>
      <c r="I28" s="4">
        <f>(VLOOKUP('9.0.10'!Q28,'9.0.10'!$AM$4:$AO$55,2,FALSE))*IF('9.0.10'!AT$4="是",'9.0.10'!$AY$4,'9.0.10'!$AY$3)</f>
        <v>180</v>
      </c>
      <c r="J28" s="4">
        <f>(VLOOKUP('9.0.10'!R28,'9.0.10'!$AM$4:$AO$55,2,FALSE))*IF('9.0.10'!AU$4="是",'9.0.10'!$AY$4,'9.0.10'!$AY$3)</f>
        <v>180</v>
      </c>
      <c r="K28" s="4">
        <f>(VLOOKUP('9.0.10'!S28,'9.0.10'!$AM$4:$AO$55,2,FALSE))*IF('9.0.10'!AV$4="是",'9.0.10'!$AY$4,'9.0.10'!$AY$3)</f>
        <v>150</v>
      </c>
      <c r="L28" s="4">
        <f>(VLOOKUP('9.0.10'!T28,'9.0.10'!$AM$4:$AO$55,2,FALSE))*IF('9.0.10'!AW$4="是",'9.0.10'!$AY$4,'9.0.10'!$AY$3)</f>
        <v>180</v>
      </c>
      <c r="M28" s="4">
        <f>(VLOOKUP('9.0.10'!U28,'9.0.10'!$AM$4:$AO$55,2,FALSE))*IF('9.0.10'!AX$4="是",'9.0.10'!$AY$4,'9.0.10'!$AY$3)</f>
        <v>180</v>
      </c>
      <c r="N28" s="4">
        <f>(VLOOKUP('9.0.10'!V28,'9.0.10'!$AM$4:$AO$55,2,FALSE))*IF('9.0.10'!AY$4="是",'9.0.10'!$AY$4,'9.0.10'!$AY$3)</f>
        <v>180</v>
      </c>
      <c r="O28" s="5">
        <f>(VLOOKUP('9.0.10'!W28,'9.0.10'!$AM$4:$AO$55,2,FALSE))*IF('9.0.10'!AZ$4="是",'9.0.10'!$AY$4,'9.0.10'!$AY$3)</f>
        <v>0</v>
      </c>
      <c r="P28" s="5">
        <f>(VLOOKUP('9.0.10'!X28,'9.0.10'!$AM$4:$AO$55,2,FALSE))*IF('9.0.10'!BA$4="是",'9.0.10'!$AY$4,'9.0.10'!$AY$3)</f>
        <v>0</v>
      </c>
      <c r="Q28" s="4">
        <f>(VLOOKUP('9.0.10'!Y28,'9.0.10'!$AM$4:$AO$55,2,FALSE))*IF('9.0.10'!BB$4="是",'9.0.10'!$AY$4,'9.0.10'!$AY$3)</f>
        <v>0</v>
      </c>
      <c r="R28" s="4">
        <f>(VLOOKUP('9.0.10'!Z28,'9.0.10'!$AM$4:$AO$55,2,FALSE))*IF('9.0.10'!BC$4="是",'9.0.10'!$AY$4,'9.0.10'!$AY$3)</f>
        <v>0</v>
      </c>
      <c r="S28" s="4">
        <f>(VLOOKUP('9.0.10'!AA28,'9.0.10'!$AM$4:$AO$55,2,FALSE))*IF('9.0.10'!BD$4="是",'9.0.10'!$AY$4,'9.0.10'!$AY$3)</f>
        <v>0</v>
      </c>
      <c r="T28" s="4">
        <f>(VLOOKUP('9.0.10'!AB28,'9.0.10'!$AM$4:$AO$55,2,FALSE))*IF('9.0.10'!BE$4="是",'9.0.10'!$AY$4,'9.0.10'!$AY$3)</f>
        <v>0</v>
      </c>
      <c r="U28" s="4">
        <f>(VLOOKUP('9.0.10'!AC28,'9.0.10'!$AM$4:$AO$55,2,FALSE))*IF('9.0.10'!BF$4="是",'9.0.10'!$AY$4,'9.0.10'!$AY$3)</f>
        <v>0</v>
      </c>
      <c r="V28" s="4">
        <f>(VLOOKUP('9.0.10'!AD28,'9.0.10'!$AM$4:$AO$55,2,FALSE))*IF('9.0.10'!BG$4="是",'9.0.10'!$AY$4,'9.0.10'!$AY$3)</f>
        <v>0</v>
      </c>
      <c r="W28" s="5">
        <f>(VLOOKUP('9.0.10'!AE28,'9.0.10'!$AM$4:$AO$55,2,FALSE))*IF('9.0.10'!BH$4="是",'9.0.10'!$AY$4,'9.0.10'!$AY$3)</f>
        <v>0</v>
      </c>
      <c r="X28" s="5">
        <f>(VLOOKUP('9.0.10'!AF28,'9.0.10'!$AM$4:$AO$55,2,FALSE))*IF('9.0.10'!BI$4="是",'9.0.10'!$AY$4,'9.0.10'!$AY$3)</f>
        <v>0</v>
      </c>
    </row>
    <row r="29" spans="1:24">
      <c r="A29" s="4">
        <f>(VLOOKUP('9.0.10'!I29,'9.0.10'!$AM$4:$AO$55,2,FALSE))*IF('9.0.10'!AK$4="是",'9.0.10'!$AY$4,'9.0.10'!$AY$3)</f>
        <v>0</v>
      </c>
      <c r="B29" s="4">
        <f>(VLOOKUP('9.0.10'!J29,'9.0.10'!$AM$4:$AO$55,2,FALSE))*IF('9.0.10'!AL$4="是",'9.0.10'!$AY$4,'9.0.10'!$AY$3)</f>
        <v>0</v>
      </c>
      <c r="C29" s="4">
        <f>(VLOOKUP('9.0.10'!K29,'9.0.10'!$AM$4:$AO$55,2,FALSE))*IF('9.0.10'!AM$4="是",'9.0.10'!$AY$4,'9.0.10'!$AY$3)</f>
        <v>0</v>
      </c>
      <c r="D29" s="4">
        <f>(VLOOKUP('9.0.10'!L29,'9.0.10'!$AM$4:$AO$55,2,FALSE))*IF('9.0.10'!AN$4="是",'9.0.10'!$AY$4,'9.0.10'!$AY$3)</f>
        <v>0</v>
      </c>
      <c r="E29" s="4">
        <f>(VLOOKUP('9.0.10'!M29,'9.0.10'!$AM$4:$AO$55,2,FALSE))*IF('9.0.10'!AO$4="是",'9.0.10'!$AY$4,'9.0.10'!$AY$3)</f>
        <v>0</v>
      </c>
      <c r="F29" s="4">
        <f>(VLOOKUP('9.0.10'!N29,'9.0.10'!$AM$4:$AO$55,2,FALSE))*IF('9.0.10'!AQ$4="是",'9.0.10'!$AY$4,'9.0.10'!$AY$3)</f>
        <v>0</v>
      </c>
      <c r="G29" s="5">
        <f>(VLOOKUP('9.0.10'!O29,'9.0.10'!$AM$4:$AO$55,2,FALSE))*IF('9.0.10'!AR$4="是",'9.0.10'!$AY$4,'9.0.10'!$AY$3)</f>
        <v>0</v>
      </c>
      <c r="H29" s="5">
        <f>(VLOOKUP('9.0.10'!P29,'9.0.10'!$AM$4:$AO$55,2,FALSE))*IF('9.0.10'!AS$4="是",'9.0.10'!$AY$4,'9.0.10'!$AY$3)</f>
        <v>0</v>
      </c>
      <c r="I29" s="4">
        <f>(VLOOKUP('9.0.10'!Q29,'9.0.10'!$AM$4:$AO$55,2,FALSE))*IF('9.0.10'!AT$4="是",'9.0.10'!$AY$4,'9.0.10'!$AY$3)</f>
        <v>180</v>
      </c>
      <c r="J29" s="4">
        <f>(VLOOKUP('9.0.10'!R29,'9.0.10'!$AM$4:$AO$55,2,FALSE))*IF('9.0.10'!AU$4="是",'9.0.10'!$AY$4,'9.0.10'!$AY$3)</f>
        <v>180</v>
      </c>
      <c r="K29" s="4">
        <f>(VLOOKUP('9.0.10'!S29,'9.0.10'!$AM$4:$AO$55,2,FALSE))*IF('9.0.10'!AV$4="是",'9.0.10'!$AY$4,'9.0.10'!$AY$3)</f>
        <v>180</v>
      </c>
      <c r="L29" s="4">
        <f>(VLOOKUP('9.0.10'!T29,'9.0.10'!$AM$4:$AO$55,2,FALSE))*IF('9.0.10'!AW$4="是",'9.0.10'!$AY$4,'9.0.10'!$AY$3)</f>
        <v>180</v>
      </c>
      <c r="M29" s="4">
        <f>(VLOOKUP('9.0.10'!U29,'9.0.10'!$AM$4:$AO$55,2,FALSE))*IF('9.0.10'!AX$4="是",'9.0.10'!$AY$4,'9.0.10'!$AY$3)</f>
        <v>180</v>
      </c>
      <c r="N29" s="4">
        <f>(VLOOKUP('9.0.10'!V29,'9.0.10'!$AM$4:$AO$55,2,FALSE))*IF('9.0.10'!AY$4="是",'9.0.10'!$AY$4,'9.0.10'!$AY$3)</f>
        <v>180</v>
      </c>
      <c r="O29" s="5">
        <f>(VLOOKUP('9.0.10'!W29,'9.0.10'!$AM$4:$AO$55,2,FALSE))*IF('9.0.10'!AZ$4="是",'9.0.10'!$AY$4,'9.0.10'!$AY$3)</f>
        <v>0</v>
      </c>
      <c r="P29" s="5">
        <f>(VLOOKUP('9.0.10'!X29,'9.0.10'!$AM$4:$AO$55,2,FALSE))*IF('9.0.10'!BA$4="是",'9.0.10'!$AY$4,'9.0.10'!$AY$3)</f>
        <v>0</v>
      </c>
      <c r="Q29" s="4">
        <f>(VLOOKUP('9.0.10'!Y29,'9.0.10'!$AM$4:$AO$55,2,FALSE))*IF('9.0.10'!BB$4="是",'9.0.10'!$AY$4,'9.0.10'!$AY$3)</f>
        <v>0</v>
      </c>
      <c r="R29" s="4">
        <f>(VLOOKUP('9.0.10'!Z29,'9.0.10'!$AM$4:$AO$55,2,FALSE))*IF('9.0.10'!BC$4="是",'9.0.10'!$AY$4,'9.0.10'!$AY$3)</f>
        <v>0</v>
      </c>
      <c r="S29" s="4">
        <f>(VLOOKUP('9.0.10'!AA29,'9.0.10'!$AM$4:$AO$55,2,FALSE))*IF('9.0.10'!BD$4="是",'9.0.10'!$AY$4,'9.0.10'!$AY$3)</f>
        <v>0</v>
      </c>
      <c r="T29" s="4">
        <f>(VLOOKUP('9.0.10'!AB29,'9.0.10'!$AM$4:$AO$55,2,FALSE))*IF('9.0.10'!BE$4="是",'9.0.10'!$AY$4,'9.0.10'!$AY$3)</f>
        <v>0</v>
      </c>
      <c r="U29" s="4">
        <f>(VLOOKUP('9.0.10'!AC29,'9.0.10'!$AM$4:$AO$55,2,FALSE))*IF('9.0.10'!BF$4="是",'9.0.10'!$AY$4,'9.0.10'!$AY$3)</f>
        <v>0</v>
      </c>
      <c r="V29" s="4">
        <f>(VLOOKUP('9.0.10'!AD29,'9.0.10'!$AM$4:$AO$55,2,FALSE))*IF('9.0.10'!BG$4="是",'9.0.10'!$AY$4,'9.0.10'!$AY$3)</f>
        <v>0</v>
      </c>
      <c r="W29" s="5">
        <f>(VLOOKUP('9.0.10'!AE29,'9.0.10'!$AM$4:$AO$55,2,FALSE))*IF('9.0.10'!BH$4="是",'9.0.10'!$AY$4,'9.0.10'!$AY$3)</f>
        <v>0</v>
      </c>
      <c r="X29" s="5">
        <f>(VLOOKUP('9.0.10'!AF29,'9.0.10'!$AM$4:$AO$55,2,FALSE))*IF('9.0.10'!BI$4="是",'9.0.10'!$AY$4,'9.0.10'!$AY$3)</f>
        <v>0</v>
      </c>
    </row>
    <row r="30" spans="1:24">
      <c r="A30" s="4">
        <f>(VLOOKUP('9.0.10'!I30,'9.0.10'!$AM$4:$AO$55,2,FALSE))*IF('9.0.10'!AK$4="是",'9.0.10'!$AY$4,'9.0.10'!$AY$3)</f>
        <v>0</v>
      </c>
      <c r="B30" s="4">
        <f>(VLOOKUP('9.0.10'!J30,'9.0.10'!$AM$4:$AO$55,2,FALSE))*IF('9.0.10'!AL$4="是",'9.0.10'!$AY$4,'9.0.10'!$AY$3)</f>
        <v>0</v>
      </c>
      <c r="C30" s="4">
        <f>(VLOOKUP('9.0.10'!K30,'9.0.10'!$AM$4:$AO$55,2,FALSE))*IF('9.0.10'!AM$4="是",'9.0.10'!$AY$4,'9.0.10'!$AY$3)</f>
        <v>0</v>
      </c>
      <c r="D30" s="4">
        <f>(VLOOKUP('9.0.10'!L30,'9.0.10'!$AM$4:$AO$55,2,FALSE))*IF('9.0.10'!AN$4="是",'9.0.10'!$AY$4,'9.0.10'!$AY$3)</f>
        <v>0</v>
      </c>
      <c r="E30" s="4">
        <f>(VLOOKUP('9.0.10'!M30,'9.0.10'!$AM$4:$AO$55,2,FALSE))*IF('9.0.10'!AO$4="是",'9.0.10'!$AY$4,'9.0.10'!$AY$3)</f>
        <v>0</v>
      </c>
      <c r="F30" s="4">
        <f>(VLOOKUP('9.0.10'!N30,'9.0.10'!$AM$4:$AO$55,2,FALSE))*IF('9.0.10'!AQ$4="是",'9.0.10'!$AY$4,'9.0.10'!$AY$3)</f>
        <v>0</v>
      </c>
      <c r="G30" s="5">
        <f>(VLOOKUP('9.0.10'!O30,'9.0.10'!$AM$4:$AO$55,2,FALSE))*IF('9.0.10'!AR$4="是",'9.0.10'!$AY$4,'9.0.10'!$AY$3)</f>
        <v>0</v>
      </c>
      <c r="H30" s="5">
        <f>(VLOOKUP('9.0.10'!P30,'9.0.10'!$AM$4:$AO$55,2,FALSE))*IF('9.0.10'!AS$4="是",'9.0.10'!$AY$4,'9.0.10'!$AY$3)</f>
        <v>0</v>
      </c>
      <c r="I30" s="4">
        <f>(VLOOKUP('9.0.10'!Q30,'9.0.10'!$AM$4:$AO$55,2,FALSE))*IF('9.0.10'!AT$4="是",'9.0.10'!$AY$4,'9.0.10'!$AY$3)</f>
        <v>180</v>
      </c>
      <c r="J30" s="4">
        <f>(VLOOKUP('9.0.10'!R30,'9.0.10'!$AM$4:$AO$55,2,FALSE))*IF('9.0.10'!AU$4="是",'9.0.10'!$AY$4,'9.0.10'!$AY$3)</f>
        <v>180</v>
      </c>
      <c r="K30" s="4">
        <f>(VLOOKUP('9.0.10'!S30,'9.0.10'!$AM$4:$AO$55,2,FALSE))*IF('9.0.10'!AV$4="是",'9.0.10'!$AY$4,'9.0.10'!$AY$3)</f>
        <v>180</v>
      </c>
      <c r="L30" s="4">
        <f>(VLOOKUP('9.0.10'!T30,'9.0.10'!$AM$4:$AO$55,2,FALSE))*IF('9.0.10'!AW$4="是",'9.0.10'!$AY$4,'9.0.10'!$AY$3)</f>
        <v>180</v>
      </c>
      <c r="M30" s="4">
        <f>(VLOOKUP('9.0.10'!U30,'9.0.10'!$AM$4:$AO$55,2,FALSE))*IF('9.0.10'!AX$4="是",'9.0.10'!$AY$4,'9.0.10'!$AY$3)</f>
        <v>180</v>
      </c>
      <c r="N30" s="4">
        <f>(VLOOKUP('9.0.10'!V30,'9.0.10'!$AM$4:$AO$55,2,FALSE))*IF('9.0.10'!AY$4="是",'9.0.10'!$AY$4,'9.0.10'!$AY$3)</f>
        <v>50</v>
      </c>
      <c r="O30" s="5">
        <f>(VLOOKUP('9.0.10'!W30,'9.0.10'!$AM$4:$AO$55,2,FALSE))*IF('9.0.10'!AZ$4="是",'9.0.10'!$AY$4,'9.0.10'!$AY$3)</f>
        <v>0</v>
      </c>
      <c r="P30" s="5">
        <f>(VLOOKUP('9.0.10'!X30,'9.0.10'!$AM$4:$AO$55,2,FALSE))*IF('9.0.10'!BA$4="是",'9.0.10'!$AY$4,'9.0.10'!$AY$3)</f>
        <v>0</v>
      </c>
      <c r="Q30" s="4">
        <f>(VLOOKUP('9.0.10'!Y30,'9.0.10'!$AM$4:$AO$55,2,FALSE))*IF('9.0.10'!BB$4="是",'9.0.10'!$AY$4,'9.0.10'!$AY$3)</f>
        <v>0</v>
      </c>
      <c r="R30" s="4">
        <f>(VLOOKUP('9.0.10'!Z30,'9.0.10'!$AM$4:$AO$55,2,FALSE))*IF('9.0.10'!BC$4="是",'9.0.10'!$AY$4,'9.0.10'!$AY$3)</f>
        <v>0</v>
      </c>
      <c r="S30" s="4">
        <f>(VLOOKUP('9.0.10'!AA30,'9.0.10'!$AM$4:$AO$55,2,FALSE))*IF('9.0.10'!BD$4="是",'9.0.10'!$AY$4,'9.0.10'!$AY$3)</f>
        <v>0</v>
      </c>
      <c r="T30" s="4">
        <f>(VLOOKUP('9.0.10'!AB30,'9.0.10'!$AM$4:$AO$55,2,FALSE))*IF('9.0.10'!BE$4="是",'9.0.10'!$AY$4,'9.0.10'!$AY$3)</f>
        <v>0</v>
      </c>
      <c r="U30" s="4">
        <f>(VLOOKUP('9.0.10'!AC30,'9.0.10'!$AM$4:$AO$55,2,FALSE))*IF('9.0.10'!BF$4="是",'9.0.10'!$AY$4,'9.0.10'!$AY$3)</f>
        <v>0</v>
      </c>
      <c r="V30" s="4">
        <f>(VLOOKUP('9.0.10'!AD30,'9.0.10'!$AM$4:$AO$55,2,FALSE))*IF('9.0.10'!BG$4="是",'9.0.10'!$AY$4,'9.0.10'!$AY$3)</f>
        <v>0</v>
      </c>
      <c r="W30" s="5">
        <f>(VLOOKUP('9.0.10'!AE30,'9.0.10'!$AM$4:$AO$55,2,FALSE))*IF('9.0.10'!BH$4="是",'9.0.10'!$AY$4,'9.0.10'!$AY$3)</f>
        <v>0</v>
      </c>
      <c r="X30" s="5">
        <f>(VLOOKUP('9.0.10'!AF30,'9.0.10'!$AM$4:$AO$55,2,FALSE))*IF('9.0.10'!BI$4="是",'9.0.10'!$AY$4,'9.0.10'!$AY$3)</f>
        <v>0</v>
      </c>
    </row>
    <row r="31" spans="1:24">
      <c r="A31" s="4">
        <f>(VLOOKUP('9.0.10'!I31,'9.0.10'!$AM$4:$AO$55,2,FALSE))*IF('9.0.10'!AK$4="是",'9.0.10'!$AY$4,'9.0.10'!$AY$3)</f>
        <v>0</v>
      </c>
      <c r="B31" s="4">
        <f>(VLOOKUP('9.0.10'!J31,'9.0.10'!$AM$4:$AO$55,2,FALSE))*IF('9.0.10'!AL$4="是",'9.0.10'!$AY$4,'9.0.10'!$AY$3)</f>
        <v>0</v>
      </c>
      <c r="C31" s="4">
        <f>(VLOOKUP('9.0.10'!K31,'9.0.10'!$AM$4:$AO$55,2,FALSE))*IF('9.0.10'!AM$4="是",'9.0.10'!$AY$4,'9.0.10'!$AY$3)</f>
        <v>0</v>
      </c>
      <c r="D31" s="4">
        <f>(VLOOKUP('9.0.10'!L31,'9.0.10'!$AM$4:$AO$55,2,FALSE))*IF('9.0.10'!AN$4="是",'9.0.10'!$AY$4,'9.0.10'!$AY$3)</f>
        <v>0</v>
      </c>
      <c r="E31" s="4">
        <f>(VLOOKUP('9.0.10'!M31,'9.0.10'!$AM$4:$AO$55,2,FALSE))*IF('9.0.10'!AO$4="是",'9.0.10'!$AY$4,'9.0.10'!$AY$3)</f>
        <v>0</v>
      </c>
      <c r="F31" s="4">
        <f>(VLOOKUP('9.0.10'!N31,'9.0.10'!$AM$4:$AO$55,2,FALSE))*IF('9.0.10'!AQ$4="是",'9.0.10'!$AY$4,'9.0.10'!$AY$3)</f>
        <v>0</v>
      </c>
      <c r="G31" s="5">
        <f>(VLOOKUP('9.0.10'!O31,'9.0.10'!$AM$4:$AO$55,2,FALSE))*IF('9.0.10'!AR$4="是",'9.0.10'!$AY$4,'9.0.10'!$AY$3)</f>
        <v>0</v>
      </c>
      <c r="H31" s="5">
        <f>(VLOOKUP('9.0.10'!P31,'9.0.10'!$AM$4:$AO$55,2,FALSE))*IF('9.0.10'!AS$4="是",'9.0.10'!$AY$4,'9.0.10'!$AY$3)</f>
        <v>0</v>
      </c>
      <c r="I31" s="4">
        <f>(VLOOKUP('9.0.10'!Q31,'9.0.10'!$AM$4:$AO$55,2,FALSE))*IF('9.0.10'!AT$4="是",'9.0.10'!$AY$4,'9.0.10'!$AY$3)</f>
        <v>180</v>
      </c>
      <c r="J31" s="4">
        <f>(VLOOKUP('9.0.10'!R31,'9.0.10'!$AM$4:$AO$55,2,FALSE))*IF('9.0.10'!AU$4="是",'9.0.10'!$AY$4,'9.0.10'!$AY$3)</f>
        <v>180</v>
      </c>
      <c r="K31" s="4">
        <f>(VLOOKUP('9.0.10'!S31,'9.0.10'!$AM$4:$AO$55,2,FALSE))*IF('9.0.10'!AV$4="是",'9.0.10'!$AY$4,'9.0.10'!$AY$3)</f>
        <v>180</v>
      </c>
      <c r="L31" s="4">
        <f>(VLOOKUP('9.0.10'!T31,'9.0.10'!$AM$4:$AO$55,2,FALSE))*IF('9.0.10'!AW$4="是",'9.0.10'!$AY$4,'9.0.10'!$AY$3)</f>
        <v>180</v>
      </c>
      <c r="M31" s="4">
        <f>(VLOOKUP('9.0.10'!U31,'9.0.10'!$AM$4:$AO$55,2,FALSE))*IF('9.0.10'!AX$4="是",'9.0.10'!$AY$4,'9.0.10'!$AY$3)</f>
        <v>180</v>
      </c>
      <c r="N31" s="4">
        <f>(VLOOKUP('9.0.10'!V31,'9.0.10'!$AM$4:$AO$55,2,FALSE))*IF('9.0.10'!AY$4="是",'9.0.10'!$AY$4,'9.0.10'!$AY$3)</f>
        <v>180</v>
      </c>
      <c r="O31" s="5">
        <f>(VLOOKUP('9.0.10'!W31,'9.0.10'!$AM$4:$AO$55,2,FALSE))*IF('9.0.10'!AZ$4="是",'9.0.10'!$AY$4,'9.0.10'!$AY$3)</f>
        <v>0</v>
      </c>
      <c r="P31" s="5">
        <f>(VLOOKUP('9.0.10'!X31,'9.0.10'!$AM$4:$AO$55,2,FALSE))*IF('9.0.10'!BA$4="是",'9.0.10'!$AY$4,'9.0.10'!$AY$3)</f>
        <v>0</v>
      </c>
      <c r="Q31" s="4">
        <f>(VLOOKUP('9.0.10'!Y31,'9.0.10'!$AM$4:$AO$55,2,FALSE))*IF('9.0.10'!BB$4="是",'9.0.10'!$AY$4,'9.0.10'!$AY$3)</f>
        <v>0</v>
      </c>
      <c r="R31" s="4">
        <f>(VLOOKUP('9.0.10'!Z31,'9.0.10'!$AM$4:$AO$55,2,FALSE))*IF('9.0.10'!BC$4="是",'9.0.10'!$AY$4,'9.0.10'!$AY$3)</f>
        <v>0</v>
      </c>
      <c r="S31" s="4">
        <f>(VLOOKUP('9.0.10'!AA31,'9.0.10'!$AM$4:$AO$55,2,FALSE))*IF('9.0.10'!BD$4="是",'9.0.10'!$AY$4,'9.0.10'!$AY$3)</f>
        <v>0</v>
      </c>
      <c r="T31" s="4">
        <f>(VLOOKUP('9.0.10'!AB31,'9.0.10'!$AM$4:$AO$55,2,FALSE))*IF('9.0.10'!BE$4="是",'9.0.10'!$AY$4,'9.0.10'!$AY$3)</f>
        <v>0</v>
      </c>
      <c r="U31" s="4">
        <f>(VLOOKUP('9.0.10'!AC31,'9.0.10'!$AM$4:$AO$55,2,FALSE))*IF('9.0.10'!BF$4="是",'9.0.10'!$AY$4,'9.0.10'!$AY$3)</f>
        <v>0</v>
      </c>
      <c r="V31" s="4">
        <f>(VLOOKUP('9.0.10'!AD31,'9.0.10'!$AM$4:$AO$55,2,FALSE))*IF('9.0.10'!BG$4="是",'9.0.10'!$AY$4,'9.0.10'!$AY$3)</f>
        <v>0</v>
      </c>
      <c r="W31" s="5">
        <f>(VLOOKUP('9.0.10'!AE31,'9.0.10'!$AM$4:$AO$55,2,FALSE))*IF('9.0.10'!BH$4="是",'9.0.10'!$AY$4,'9.0.10'!$AY$3)</f>
        <v>0</v>
      </c>
      <c r="X31" s="5">
        <f>(VLOOKUP('9.0.10'!AF31,'9.0.10'!$AM$4:$AO$55,2,FALSE))*IF('9.0.10'!BI$4="是",'9.0.10'!$AY$4,'9.0.10'!$AY$3)</f>
        <v>0</v>
      </c>
    </row>
    <row r="32" spans="1:24">
      <c r="A32" s="4">
        <f>(VLOOKUP('9.0.10'!I32,'9.0.10'!$AM$4:$AO$55,2,FALSE))*IF('9.0.10'!AK$4="是",'9.0.10'!$AY$4,'9.0.10'!$AY$3)</f>
        <v>0</v>
      </c>
      <c r="B32" s="4">
        <f>(VLOOKUP('9.0.10'!J32,'9.0.10'!$AM$4:$AO$55,2,FALSE))*IF('9.0.10'!AL$4="是",'9.0.10'!$AY$4,'9.0.10'!$AY$3)</f>
        <v>0</v>
      </c>
      <c r="C32" s="4">
        <f>(VLOOKUP('9.0.10'!K32,'9.0.10'!$AM$4:$AO$55,2,FALSE))*IF('9.0.10'!AM$4="是",'9.0.10'!$AY$4,'9.0.10'!$AY$3)</f>
        <v>0</v>
      </c>
      <c r="D32" s="4">
        <f>(VLOOKUP('9.0.10'!L32,'9.0.10'!$AM$4:$AO$55,2,FALSE))*IF('9.0.10'!AN$4="是",'9.0.10'!$AY$4,'9.0.10'!$AY$3)</f>
        <v>0</v>
      </c>
      <c r="E32" s="4">
        <f>(VLOOKUP('9.0.10'!M32,'9.0.10'!$AM$4:$AO$55,2,FALSE))*IF('9.0.10'!AO$4="是",'9.0.10'!$AY$4,'9.0.10'!$AY$3)</f>
        <v>0</v>
      </c>
      <c r="F32" s="4">
        <f>(VLOOKUP('9.0.10'!N32,'9.0.10'!$AM$4:$AO$55,2,FALSE))*IF('9.0.10'!AQ$4="是",'9.0.10'!$AY$4,'9.0.10'!$AY$3)</f>
        <v>0</v>
      </c>
      <c r="G32" s="5">
        <f>(VLOOKUP('9.0.10'!O32,'9.0.10'!$AM$4:$AO$55,2,FALSE))*IF('9.0.10'!AR$4="是",'9.0.10'!$AY$4,'9.0.10'!$AY$3)</f>
        <v>0</v>
      </c>
      <c r="H32" s="5">
        <f>(VLOOKUP('9.0.10'!P32,'9.0.10'!$AM$4:$AO$55,2,FALSE))*IF('9.0.10'!AS$4="是",'9.0.10'!$AY$4,'9.0.10'!$AY$3)</f>
        <v>0</v>
      </c>
      <c r="I32" s="4">
        <f>(VLOOKUP('9.0.10'!Q32,'9.0.10'!$AM$4:$AO$55,2,FALSE))*IF('9.0.10'!AT$4="是",'9.0.10'!$AY$4,'9.0.10'!$AY$3)</f>
        <v>180</v>
      </c>
      <c r="J32" s="4">
        <f>(VLOOKUP('9.0.10'!R32,'9.0.10'!$AM$4:$AO$55,2,FALSE))*IF('9.0.10'!AU$4="是",'9.0.10'!$AY$4,'9.0.10'!$AY$3)</f>
        <v>180</v>
      </c>
      <c r="K32" s="4">
        <f>(VLOOKUP('9.0.10'!S32,'9.0.10'!$AM$4:$AO$55,2,FALSE))*IF('9.0.10'!AV$4="是",'9.0.10'!$AY$4,'9.0.10'!$AY$3)</f>
        <v>180</v>
      </c>
      <c r="L32" s="4">
        <f>(VLOOKUP('9.0.10'!T32,'9.0.10'!$AM$4:$AO$55,2,FALSE))*IF('9.0.10'!AW$4="是",'9.0.10'!$AY$4,'9.0.10'!$AY$3)</f>
        <v>180</v>
      </c>
      <c r="M32" s="4">
        <f>(VLOOKUP('9.0.10'!U32,'9.0.10'!$AM$4:$AO$55,2,FALSE))*IF('9.0.10'!AX$4="是",'9.0.10'!$AY$4,'9.0.10'!$AY$3)</f>
        <v>180</v>
      </c>
      <c r="N32" s="4">
        <f>(VLOOKUP('9.0.10'!V32,'9.0.10'!$AM$4:$AO$55,2,FALSE))*IF('9.0.10'!AY$4="是",'9.0.10'!$AY$4,'9.0.10'!$AY$3)</f>
        <v>180</v>
      </c>
      <c r="O32" s="5">
        <f>(VLOOKUP('9.0.10'!W32,'9.0.10'!$AM$4:$AO$55,2,FALSE))*IF('9.0.10'!AZ$4="是",'9.0.10'!$AY$4,'9.0.10'!$AY$3)</f>
        <v>0</v>
      </c>
      <c r="P32" s="5">
        <f>(VLOOKUP('9.0.10'!X32,'9.0.10'!$AM$4:$AO$55,2,FALSE))*IF('9.0.10'!BA$4="是",'9.0.10'!$AY$4,'9.0.10'!$AY$3)</f>
        <v>0</v>
      </c>
      <c r="Q32" s="4">
        <f>(VLOOKUP('9.0.10'!Y32,'9.0.10'!$AM$4:$AO$55,2,FALSE))*IF('9.0.10'!BB$4="是",'9.0.10'!$AY$4,'9.0.10'!$AY$3)</f>
        <v>0</v>
      </c>
      <c r="R32" s="4">
        <f>(VLOOKUP('9.0.10'!Z32,'9.0.10'!$AM$4:$AO$55,2,FALSE))*IF('9.0.10'!BC$4="是",'9.0.10'!$AY$4,'9.0.10'!$AY$3)</f>
        <v>0</v>
      </c>
      <c r="S32" s="4">
        <f>(VLOOKUP('9.0.10'!AA32,'9.0.10'!$AM$4:$AO$55,2,FALSE))*IF('9.0.10'!BD$4="是",'9.0.10'!$AY$4,'9.0.10'!$AY$3)</f>
        <v>0</v>
      </c>
      <c r="T32" s="4">
        <f>(VLOOKUP('9.0.10'!AB32,'9.0.10'!$AM$4:$AO$55,2,FALSE))*IF('9.0.10'!BE$4="是",'9.0.10'!$AY$4,'9.0.10'!$AY$3)</f>
        <v>0</v>
      </c>
      <c r="U32" s="4">
        <f>(VLOOKUP('9.0.10'!AC32,'9.0.10'!$AM$4:$AO$55,2,FALSE))*IF('9.0.10'!BF$4="是",'9.0.10'!$AY$4,'9.0.10'!$AY$3)</f>
        <v>0</v>
      </c>
      <c r="V32" s="4">
        <f>(VLOOKUP('9.0.10'!AD32,'9.0.10'!$AM$4:$AO$55,2,FALSE))*IF('9.0.10'!BG$4="是",'9.0.10'!$AY$4,'9.0.10'!$AY$3)</f>
        <v>0</v>
      </c>
      <c r="W32" s="5">
        <f>(VLOOKUP('9.0.10'!AE32,'9.0.10'!$AM$4:$AO$55,2,FALSE))*IF('9.0.10'!BH$4="是",'9.0.10'!$AY$4,'9.0.10'!$AY$3)</f>
        <v>0</v>
      </c>
      <c r="X32" s="5">
        <f>(VLOOKUP('9.0.10'!AF32,'9.0.10'!$AM$4:$AO$55,2,FALSE))*IF('9.0.10'!BI$4="是",'9.0.10'!$AY$4,'9.0.10'!$AY$3)</f>
        <v>0</v>
      </c>
    </row>
    <row r="33" spans="1:24">
      <c r="A33" s="4">
        <f>(VLOOKUP('9.0.10'!I33,'9.0.10'!$AM$4:$AO$55,2,FALSE))*IF('9.0.10'!AK$4="是",'9.0.10'!$AY$4,'9.0.10'!$AY$3)</f>
        <v>0</v>
      </c>
      <c r="B33" s="4">
        <f>(VLOOKUP('9.0.10'!J33,'9.0.10'!$AM$4:$AO$55,2,FALSE))*IF('9.0.10'!AL$4="是",'9.0.10'!$AY$4,'9.0.10'!$AY$3)</f>
        <v>0</v>
      </c>
      <c r="C33" s="4">
        <f>(VLOOKUP('9.0.10'!K33,'9.0.10'!$AM$4:$AO$55,2,FALSE))*IF('9.0.10'!AM$4="是",'9.0.10'!$AY$4,'9.0.10'!$AY$3)</f>
        <v>0</v>
      </c>
      <c r="D33" s="4">
        <f>(VLOOKUP('9.0.10'!L33,'9.0.10'!$AM$4:$AO$55,2,FALSE))*IF('9.0.10'!AN$4="是",'9.0.10'!$AY$4,'9.0.10'!$AY$3)</f>
        <v>0</v>
      </c>
      <c r="E33" s="4">
        <f>(VLOOKUP('9.0.10'!M33,'9.0.10'!$AM$4:$AO$55,2,FALSE))*IF('9.0.10'!AO$4="是",'9.0.10'!$AY$4,'9.0.10'!$AY$3)</f>
        <v>0</v>
      </c>
      <c r="F33" s="4">
        <f>(VLOOKUP('9.0.10'!N33,'9.0.10'!$AM$4:$AO$55,2,FALSE))*IF('9.0.10'!AQ$4="是",'9.0.10'!$AY$4,'9.0.10'!$AY$3)</f>
        <v>0</v>
      </c>
      <c r="G33" s="5">
        <f>(VLOOKUP('9.0.10'!O33,'9.0.10'!$AM$4:$AO$55,2,FALSE))*IF('9.0.10'!AR$4="是",'9.0.10'!$AY$4,'9.0.10'!$AY$3)</f>
        <v>0</v>
      </c>
      <c r="H33" s="5">
        <f>(VLOOKUP('9.0.10'!P33,'9.0.10'!$AM$4:$AO$55,2,FALSE))*IF('9.0.10'!AS$4="是",'9.0.10'!$AY$4,'9.0.10'!$AY$3)</f>
        <v>0</v>
      </c>
      <c r="I33" s="4">
        <f>(VLOOKUP('9.0.10'!Q33,'9.0.10'!$AM$4:$AO$55,2,FALSE))*IF('9.0.10'!AT$4="是",'9.0.10'!$AY$4,'9.0.10'!$AY$3)</f>
        <v>180</v>
      </c>
      <c r="J33" s="4">
        <f>(VLOOKUP('9.0.10'!R33,'9.0.10'!$AM$4:$AO$55,2,FALSE))*IF('9.0.10'!AU$4="是",'9.0.10'!$AY$4,'9.0.10'!$AY$3)</f>
        <v>180</v>
      </c>
      <c r="K33" s="4">
        <f>(VLOOKUP('9.0.10'!S33,'9.0.10'!$AM$4:$AO$55,2,FALSE))*IF('9.0.10'!AV$4="是",'9.0.10'!$AY$4,'9.0.10'!$AY$3)</f>
        <v>180</v>
      </c>
      <c r="L33" s="4">
        <f>(VLOOKUP('9.0.10'!T33,'9.0.10'!$AM$4:$AO$55,2,FALSE))*IF('9.0.10'!AW$4="是",'9.0.10'!$AY$4,'9.0.10'!$AY$3)</f>
        <v>180</v>
      </c>
      <c r="M33" s="4">
        <f>(VLOOKUP('9.0.10'!U33,'9.0.10'!$AM$4:$AO$55,2,FALSE))*IF('9.0.10'!AX$4="是",'9.0.10'!$AY$4,'9.0.10'!$AY$3)</f>
        <v>180</v>
      </c>
      <c r="N33" s="4">
        <f>(VLOOKUP('9.0.10'!V33,'9.0.10'!$AM$4:$AO$55,2,FALSE))*IF('9.0.10'!AY$4="是",'9.0.10'!$AY$4,'9.0.10'!$AY$3)</f>
        <v>180</v>
      </c>
      <c r="O33" s="5">
        <f>(VLOOKUP('9.0.10'!W33,'9.0.10'!$AM$4:$AO$55,2,FALSE))*IF('9.0.10'!AZ$4="是",'9.0.10'!$AY$4,'9.0.10'!$AY$3)</f>
        <v>0</v>
      </c>
      <c r="P33" s="5">
        <f>(VLOOKUP('9.0.10'!X33,'9.0.10'!$AM$4:$AO$55,2,FALSE))*IF('9.0.10'!BA$4="是",'9.0.10'!$AY$4,'9.0.10'!$AY$3)</f>
        <v>0</v>
      </c>
      <c r="Q33" s="4">
        <f>(VLOOKUP('9.0.10'!Y33,'9.0.10'!$AM$4:$AO$55,2,FALSE))*IF('9.0.10'!BB$4="是",'9.0.10'!$AY$4,'9.0.10'!$AY$3)</f>
        <v>0</v>
      </c>
      <c r="R33" s="4">
        <f>(VLOOKUP('9.0.10'!Z33,'9.0.10'!$AM$4:$AO$55,2,FALSE))*IF('9.0.10'!BC$4="是",'9.0.10'!$AY$4,'9.0.10'!$AY$3)</f>
        <v>0</v>
      </c>
      <c r="S33" s="4">
        <f>(VLOOKUP('9.0.10'!AA33,'9.0.10'!$AM$4:$AO$55,2,FALSE))*IF('9.0.10'!BD$4="是",'9.0.10'!$AY$4,'9.0.10'!$AY$3)</f>
        <v>0</v>
      </c>
      <c r="T33" s="4">
        <f>(VLOOKUP('9.0.10'!AB33,'9.0.10'!$AM$4:$AO$55,2,FALSE))*IF('9.0.10'!BE$4="是",'9.0.10'!$AY$4,'9.0.10'!$AY$3)</f>
        <v>0</v>
      </c>
      <c r="U33" s="4">
        <f>(VLOOKUP('9.0.10'!AC33,'9.0.10'!$AM$4:$AO$55,2,FALSE))*IF('9.0.10'!BF$4="是",'9.0.10'!$AY$4,'9.0.10'!$AY$3)</f>
        <v>0</v>
      </c>
      <c r="V33" s="4">
        <f>(VLOOKUP('9.0.10'!AD33,'9.0.10'!$AM$4:$AO$55,2,FALSE))*IF('9.0.10'!BG$4="是",'9.0.10'!$AY$4,'9.0.10'!$AY$3)</f>
        <v>0</v>
      </c>
      <c r="W33" s="5">
        <f>(VLOOKUP('9.0.10'!AE33,'9.0.10'!$AM$4:$AO$55,2,FALSE))*IF('9.0.10'!BH$4="是",'9.0.10'!$AY$4,'9.0.10'!$AY$3)</f>
        <v>0</v>
      </c>
      <c r="X33" s="5">
        <f>(VLOOKUP('9.0.10'!AF33,'9.0.10'!$AM$4:$AO$55,2,FALSE))*IF('9.0.10'!BI$4="是",'9.0.10'!$AY$4,'9.0.10'!$AY$3)</f>
        <v>0</v>
      </c>
    </row>
    <row r="34" spans="1:24">
      <c r="A34" s="4">
        <f>(VLOOKUP('9.0.10'!I34,'9.0.10'!$AM$4:$AO$55,2,FALSE))*IF('9.0.10'!AK$4="是",'9.0.10'!$AY$4,'9.0.10'!$AY$3)</f>
        <v>0</v>
      </c>
      <c r="B34" s="4">
        <f>(VLOOKUP('9.0.10'!J34,'9.0.10'!$AM$4:$AO$55,2,FALSE))*IF('9.0.10'!AL$4="是",'9.0.10'!$AY$4,'9.0.10'!$AY$3)</f>
        <v>0</v>
      </c>
      <c r="C34" s="4">
        <f>(VLOOKUP('9.0.10'!K34,'9.0.10'!$AM$4:$AO$55,2,FALSE))*IF('9.0.10'!AM$4="是",'9.0.10'!$AY$4,'9.0.10'!$AY$3)</f>
        <v>0</v>
      </c>
      <c r="D34" s="4">
        <f>(VLOOKUP('9.0.10'!L34,'9.0.10'!$AM$4:$AO$55,2,FALSE))*IF('9.0.10'!AN$4="是",'9.0.10'!$AY$4,'9.0.10'!$AY$3)</f>
        <v>0</v>
      </c>
      <c r="E34" s="4">
        <f>(VLOOKUP('9.0.10'!M34,'9.0.10'!$AM$4:$AO$55,2,FALSE))*IF('9.0.10'!AO$4="是",'9.0.10'!$AY$4,'9.0.10'!$AY$3)</f>
        <v>0</v>
      </c>
      <c r="F34" s="4">
        <f>(VLOOKUP('9.0.10'!N34,'9.0.10'!$AM$4:$AO$55,2,FALSE))*IF('9.0.10'!AQ$4="是",'9.0.10'!$AY$4,'9.0.10'!$AY$3)</f>
        <v>0</v>
      </c>
      <c r="G34" s="5">
        <f>(VLOOKUP('9.0.10'!O34,'9.0.10'!$AM$4:$AO$55,2,FALSE))*IF('9.0.10'!AR$4="是",'9.0.10'!$AY$4,'9.0.10'!$AY$3)</f>
        <v>0</v>
      </c>
      <c r="H34" s="5">
        <f>(VLOOKUP('9.0.10'!P34,'9.0.10'!$AM$4:$AO$55,2,FALSE))*IF('9.0.10'!AS$4="是",'9.0.10'!$AY$4,'9.0.10'!$AY$3)</f>
        <v>0</v>
      </c>
      <c r="I34" s="4">
        <f>(VLOOKUP('9.0.10'!Q34,'9.0.10'!$AM$4:$AO$55,2,FALSE))*IF('9.0.10'!AT$4="是",'9.0.10'!$AY$4,'9.0.10'!$AY$3)</f>
        <v>50</v>
      </c>
      <c r="J34" s="4">
        <f>(VLOOKUP('9.0.10'!R34,'9.0.10'!$AM$4:$AO$55,2,FALSE))*IF('9.0.10'!AU$4="是",'9.0.10'!$AY$4,'9.0.10'!$AY$3)</f>
        <v>180</v>
      </c>
      <c r="K34" s="4">
        <f>(VLOOKUP('9.0.10'!S34,'9.0.10'!$AM$4:$AO$55,2,FALSE))*IF('9.0.10'!AV$4="是",'9.0.10'!$AY$4,'9.0.10'!$AY$3)</f>
        <v>180</v>
      </c>
      <c r="L34" s="4">
        <f>(VLOOKUP('9.0.10'!T34,'9.0.10'!$AM$4:$AO$55,2,FALSE))*IF('9.0.10'!AW$4="是",'9.0.10'!$AY$4,'9.0.10'!$AY$3)</f>
        <v>180</v>
      </c>
      <c r="M34" s="4">
        <f>(VLOOKUP('9.0.10'!U34,'9.0.10'!$AM$4:$AO$55,2,FALSE))*IF('9.0.10'!AX$4="是",'9.0.10'!$AY$4,'9.0.10'!$AY$3)</f>
        <v>180</v>
      </c>
      <c r="N34" s="4">
        <f>(VLOOKUP('9.0.10'!V34,'9.0.10'!$AM$4:$AO$55,2,FALSE))*IF('9.0.10'!AY$4="是",'9.0.10'!$AY$4,'9.0.10'!$AY$3)</f>
        <v>180</v>
      </c>
      <c r="O34" s="5">
        <f>(VLOOKUP('9.0.10'!W34,'9.0.10'!$AM$4:$AO$55,2,FALSE))*IF('9.0.10'!AZ$4="是",'9.0.10'!$AY$4,'9.0.10'!$AY$3)</f>
        <v>0</v>
      </c>
      <c r="P34" s="5">
        <f>(VLOOKUP('9.0.10'!X34,'9.0.10'!$AM$4:$AO$55,2,FALSE))*IF('9.0.10'!BA$4="是",'9.0.10'!$AY$4,'9.0.10'!$AY$3)</f>
        <v>0</v>
      </c>
      <c r="Q34" s="4">
        <f>(VLOOKUP('9.0.10'!Y34,'9.0.10'!$AM$4:$AO$55,2,FALSE))*IF('9.0.10'!BB$4="是",'9.0.10'!$AY$4,'9.0.10'!$AY$3)</f>
        <v>0</v>
      </c>
      <c r="R34" s="4">
        <f>(VLOOKUP('9.0.10'!Z34,'9.0.10'!$AM$4:$AO$55,2,FALSE))*IF('9.0.10'!BC$4="是",'9.0.10'!$AY$4,'9.0.10'!$AY$3)</f>
        <v>0</v>
      </c>
      <c r="S34" s="4">
        <f>(VLOOKUP('9.0.10'!AA34,'9.0.10'!$AM$4:$AO$55,2,FALSE))*IF('9.0.10'!BD$4="是",'9.0.10'!$AY$4,'9.0.10'!$AY$3)</f>
        <v>0</v>
      </c>
      <c r="T34" s="4">
        <f>(VLOOKUP('9.0.10'!AB34,'9.0.10'!$AM$4:$AO$55,2,FALSE))*IF('9.0.10'!BE$4="是",'9.0.10'!$AY$4,'9.0.10'!$AY$3)</f>
        <v>0</v>
      </c>
      <c r="U34" s="4">
        <f>(VLOOKUP('9.0.10'!AC34,'9.0.10'!$AM$4:$AO$55,2,FALSE))*IF('9.0.10'!BF$4="是",'9.0.10'!$AY$4,'9.0.10'!$AY$3)</f>
        <v>0</v>
      </c>
      <c r="V34" s="4">
        <f>(VLOOKUP('9.0.10'!AD34,'9.0.10'!$AM$4:$AO$55,2,FALSE))*IF('9.0.10'!BG$4="是",'9.0.10'!$AY$4,'9.0.10'!$AY$3)</f>
        <v>0</v>
      </c>
      <c r="W34" s="5">
        <f>(VLOOKUP('9.0.10'!AE34,'9.0.10'!$AM$4:$AO$55,2,FALSE))*IF('9.0.10'!BH$4="是",'9.0.10'!$AY$4,'9.0.10'!$AY$3)</f>
        <v>0</v>
      </c>
      <c r="X34" s="5">
        <f>(VLOOKUP('9.0.10'!AF34,'9.0.10'!$AM$4:$AO$55,2,FALSE))*IF('9.0.10'!BI$4="是",'9.0.10'!$AY$4,'9.0.10'!$AY$3)</f>
        <v>0</v>
      </c>
    </row>
    <row r="35" spans="1:24">
      <c r="A35" s="4">
        <f>(VLOOKUP('9.0.10'!I35,'9.0.10'!$AM$4:$AO$55,2,FALSE))*IF('9.0.10'!AK$4="是",'9.0.10'!$AY$4,'9.0.10'!$AY$3)</f>
        <v>0</v>
      </c>
      <c r="B35" s="4">
        <f>(VLOOKUP('9.0.10'!J35,'9.0.10'!$AM$4:$AO$55,2,FALSE))*IF('9.0.10'!AL$4="是",'9.0.10'!$AY$4,'9.0.10'!$AY$3)</f>
        <v>0</v>
      </c>
      <c r="C35" s="4">
        <f>(VLOOKUP('9.0.10'!K35,'9.0.10'!$AM$4:$AO$55,2,FALSE))*IF('9.0.10'!AM$4="是",'9.0.10'!$AY$4,'9.0.10'!$AY$3)</f>
        <v>0</v>
      </c>
      <c r="D35" s="4">
        <f>(VLOOKUP('9.0.10'!L35,'9.0.10'!$AM$4:$AO$55,2,FALSE))*IF('9.0.10'!AN$4="是",'9.0.10'!$AY$4,'9.0.10'!$AY$3)</f>
        <v>0</v>
      </c>
      <c r="E35" s="4">
        <f>(VLOOKUP('9.0.10'!M35,'9.0.10'!$AM$4:$AO$55,2,FALSE))*IF('9.0.10'!AO$4="是",'9.0.10'!$AY$4,'9.0.10'!$AY$3)</f>
        <v>0</v>
      </c>
      <c r="F35" s="4">
        <f>(VLOOKUP('9.0.10'!N35,'9.0.10'!$AM$4:$AO$55,2,FALSE))*IF('9.0.10'!AQ$4="是",'9.0.10'!$AY$4,'9.0.10'!$AY$3)</f>
        <v>0</v>
      </c>
      <c r="G35" s="5">
        <f>(VLOOKUP('9.0.10'!O35,'9.0.10'!$AM$4:$AO$55,2,FALSE))*IF('9.0.10'!AR$4="是",'9.0.10'!$AY$4,'9.0.10'!$AY$3)</f>
        <v>0</v>
      </c>
      <c r="H35" s="5">
        <f>(VLOOKUP('9.0.10'!P35,'9.0.10'!$AM$4:$AO$55,2,FALSE))*IF('9.0.10'!AS$4="是",'9.0.10'!$AY$4,'9.0.10'!$AY$3)</f>
        <v>0</v>
      </c>
      <c r="I35" s="4">
        <f>(VLOOKUP('9.0.10'!Q35,'9.0.10'!$AM$4:$AO$55,2,FALSE))*IF('9.0.10'!AT$4="是",'9.0.10'!$AY$4,'9.0.10'!$AY$3)</f>
        <v>180</v>
      </c>
      <c r="J35" s="4">
        <f>(VLOOKUP('9.0.10'!R35,'9.0.10'!$AM$4:$AO$55,2,FALSE))*IF('9.0.10'!AU$4="是",'9.0.10'!$AY$4,'9.0.10'!$AY$3)</f>
        <v>180</v>
      </c>
      <c r="K35" s="4">
        <f>(VLOOKUP('9.0.10'!S35,'9.0.10'!$AM$4:$AO$55,2,FALSE))*IF('9.0.10'!AV$4="是",'9.0.10'!$AY$4,'9.0.10'!$AY$3)</f>
        <v>180</v>
      </c>
      <c r="L35" s="4">
        <f>(VLOOKUP('9.0.10'!T35,'9.0.10'!$AM$4:$AO$55,2,FALSE))*IF('9.0.10'!AW$4="是",'9.0.10'!$AY$4,'9.0.10'!$AY$3)</f>
        <v>180</v>
      </c>
      <c r="M35" s="4">
        <f>(VLOOKUP('9.0.10'!U35,'9.0.10'!$AM$4:$AO$55,2,FALSE))*IF('9.0.10'!AX$4="是",'9.0.10'!$AY$4,'9.0.10'!$AY$3)</f>
        <v>180</v>
      </c>
      <c r="N35" s="4">
        <f>(VLOOKUP('9.0.10'!V35,'9.0.10'!$AM$4:$AO$55,2,FALSE))*IF('9.0.10'!AY$4="是",'9.0.10'!$AY$4,'9.0.10'!$AY$3)</f>
        <v>-200</v>
      </c>
      <c r="O35" s="5">
        <f>(VLOOKUP('9.0.10'!W35,'9.0.10'!$AM$4:$AO$55,2,FALSE))*IF('9.0.10'!AZ$4="是",'9.0.10'!$AY$4,'9.0.10'!$AY$3)</f>
        <v>180</v>
      </c>
      <c r="P35" s="5">
        <f>(VLOOKUP('9.0.10'!X35,'9.0.10'!$AM$4:$AO$55,2,FALSE))*IF('9.0.10'!BA$4="是",'9.0.10'!$AY$4,'9.0.10'!$AY$3)</f>
        <v>180</v>
      </c>
      <c r="Q35" s="4">
        <f>(VLOOKUP('9.0.10'!Y35,'9.0.10'!$AM$4:$AO$55,2,FALSE))*IF('9.0.10'!BB$4="是",'9.0.10'!$AY$4,'9.0.10'!$AY$3)</f>
        <v>0</v>
      </c>
      <c r="R35" s="4">
        <f>(VLOOKUP('9.0.10'!Z35,'9.0.10'!$AM$4:$AO$55,2,FALSE))*IF('9.0.10'!BC$4="是",'9.0.10'!$AY$4,'9.0.10'!$AY$3)</f>
        <v>0</v>
      </c>
      <c r="S35" s="4">
        <f>(VLOOKUP('9.0.10'!AA35,'9.0.10'!$AM$4:$AO$55,2,FALSE))*IF('9.0.10'!BD$4="是",'9.0.10'!$AY$4,'9.0.10'!$AY$3)</f>
        <v>0</v>
      </c>
      <c r="T35" s="4">
        <f>(VLOOKUP('9.0.10'!AB35,'9.0.10'!$AM$4:$AO$55,2,FALSE))*IF('9.0.10'!BE$4="是",'9.0.10'!$AY$4,'9.0.10'!$AY$3)</f>
        <v>0</v>
      </c>
      <c r="U35" s="4">
        <f>(VLOOKUP('9.0.10'!AC35,'9.0.10'!$AM$4:$AO$55,2,FALSE))*IF('9.0.10'!BF$4="是",'9.0.10'!$AY$4,'9.0.10'!$AY$3)</f>
        <v>0</v>
      </c>
      <c r="V35" s="4">
        <f>(VLOOKUP('9.0.10'!AD35,'9.0.10'!$AM$4:$AO$55,2,FALSE))*IF('9.0.10'!BG$4="是",'9.0.10'!$AY$4,'9.0.10'!$AY$3)</f>
        <v>0</v>
      </c>
      <c r="W35" s="5">
        <f>(VLOOKUP('9.0.10'!AE35,'9.0.10'!$AM$4:$AO$55,2,FALSE))*IF('9.0.10'!BH$4="是",'9.0.10'!$AY$4,'9.0.10'!$AY$3)</f>
        <v>0</v>
      </c>
      <c r="X35" s="5">
        <f>(VLOOKUP('9.0.10'!AF35,'9.0.10'!$AM$4:$AO$55,2,FALSE))*IF('9.0.10'!BI$4="是",'9.0.10'!$AY$4,'9.0.10'!$AY$3)</f>
        <v>0</v>
      </c>
    </row>
    <row r="36" spans="1:24">
      <c r="A36" s="4">
        <f>(VLOOKUP('9.0.10'!I36,'9.0.10'!$AM$4:$AO$55,2,FALSE))*IF('9.0.10'!AK$4="是",'9.0.10'!$AY$4,'9.0.10'!$AY$3)</f>
        <v>0</v>
      </c>
      <c r="B36" s="4">
        <f>(VLOOKUP('9.0.10'!J36,'9.0.10'!$AM$4:$AO$55,2,FALSE))*IF('9.0.10'!AL$4="是",'9.0.10'!$AY$4,'9.0.10'!$AY$3)</f>
        <v>0</v>
      </c>
      <c r="C36" s="4">
        <f>(VLOOKUP('9.0.10'!K36,'9.0.10'!$AM$4:$AO$55,2,FALSE))*IF('9.0.10'!AM$4="是",'9.0.10'!$AY$4,'9.0.10'!$AY$3)</f>
        <v>0</v>
      </c>
      <c r="D36" s="4">
        <f>(VLOOKUP('9.0.10'!L36,'9.0.10'!$AM$4:$AO$55,2,FALSE))*IF('9.0.10'!AN$4="是",'9.0.10'!$AY$4,'9.0.10'!$AY$3)</f>
        <v>0</v>
      </c>
      <c r="E36" s="4">
        <f>(VLOOKUP('9.0.10'!M36,'9.0.10'!$AM$4:$AO$55,2,FALSE))*IF('9.0.10'!AO$4="是",'9.0.10'!$AY$4,'9.0.10'!$AY$3)</f>
        <v>0</v>
      </c>
      <c r="F36" s="4">
        <f>(VLOOKUP('9.0.10'!N36,'9.0.10'!$AM$4:$AO$55,2,FALSE))*IF('9.0.10'!AQ$4="是",'9.0.10'!$AY$4,'9.0.10'!$AY$3)</f>
        <v>0</v>
      </c>
      <c r="G36" s="5">
        <f>(VLOOKUP('9.0.10'!O36,'9.0.10'!$AM$4:$AO$55,2,FALSE))*IF('9.0.10'!AR$4="是",'9.0.10'!$AY$4,'9.0.10'!$AY$3)</f>
        <v>0</v>
      </c>
      <c r="H36" s="5">
        <f>(VLOOKUP('9.0.10'!P36,'9.0.10'!$AM$4:$AO$55,2,FALSE))*IF('9.0.10'!AS$4="是",'9.0.10'!$AY$4,'9.0.10'!$AY$3)</f>
        <v>0</v>
      </c>
      <c r="I36" s="4">
        <f>(VLOOKUP('9.0.10'!Q36,'9.0.10'!$AM$4:$AO$55,2,FALSE))*IF('9.0.10'!AT$4="是",'9.0.10'!$AY$4,'9.0.10'!$AY$3)</f>
        <v>180</v>
      </c>
      <c r="J36" s="4">
        <f>(VLOOKUP('9.0.10'!R36,'9.0.10'!$AM$4:$AO$55,2,FALSE))*IF('9.0.10'!AU$4="是",'9.0.10'!$AY$4,'9.0.10'!$AY$3)</f>
        <v>180</v>
      </c>
      <c r="K36" s="4">
        <f>(VLOOKUP('9.0.10'!S36,'9.0.10'!$AM$4:$AO$55,2,FALSE))*IF('9.0.10'!AV$4="是",'9.0.10'!$AY$4,'9.0.10'!$AY$3)</f>
        <v>180</v>
      </c>
      <c r="L36" s="4">
        <f>(VLOOKUP('9.0.10'!T36,'9.0.10'!$AM$4:$AO$55,2,FALSE))*IF('9.0.10'!AW$4="是",'9.0.10'!$AY$4,'9.0.10'!$AY$3)</f>
        <v>180</v>
      </c>
      <c r="M36" s="4">
        <f>(VLOOKUP('9.0.10'!U36,'9.0.10'!$AM$4:$AO$55,2,FALSE))*IF('9.0.10'!AX$4="是",'9.0.10'!$AY$4,'9.0.10'!$AY$3)</f>
        <v>180</v>
      </c>
      <c r="N36" s="4">
        <f>(VLOOKUP('9.0.10'!V36,'9.0.10'!$AM$4:$AO$55,2,FALSE))*IF('9.0.10'!AY$4="是",'9.0.10'!$AY$4,'9.0.10'!$AY$3)</f>
        <v>180</v>
      </c>
      <c r="O36" s="5">
        <f>(VLOOKUP('9.0.10'!W36,'9.0.10'!$AM$4:$AO$55,2,FALSE))*IF('9.0.10'!AZ$4="是",'9.0.10'!$AY$4,'9.0.10'!$AY$3)</f>
        <v>0</v>
      </c>
      <c r="P36" s="5">
        <f>(VLOOKUP('9.0.10'!X36,'9.0.10'!$AM$4:$AO$55,2,FALSE))*IF('9.0.10'!BA$4="是",'9.0.10'!$AY$4,'9.0.10'!$AY$3)</f>
        <v>0</v>
      </c>
      <c r="Q36" s="4">
        <f>(VLOOKUP('9.0.10'!Y36,'9.0.10'!$AM$4:$AO$55,2,FALSE))*IF('9.0.10'!BB$4="是",'9.0.10'!$AY$4,'9.0.10'!$AY$3)</f>
        <v>0</v>
      </c>
      <c r="R36" s="4">
        <f>(VLOOKUP('9.0.10'!Z36,'9.0.10'!$AM$4:$AO$55,2,FALSE))*IF('9.0.10'!BC$4="是",'9.0.10'!$AY$4,'9.0.10'!$AY$3)</f>
        <v>0</v>
      </c>
      <c r="S36" s="4">
        <f>(VLOOKUP('9.0.10'!AA36,'9.0.10'!$AM$4:$AO$55,2,FALSE))*IF('9.0.10'!BD$4="是",'9.0.10'!$AY$4,'9.0.10'!$AY$3)</f>
        <v>0</v>
      </c>
      <c r="T36" s="4">
        <f>(VLOOKUP('9.0.10'!AB36,'9.0.10'!$AM$4:$AO$55,2,FALSE))*IF('9.0.10'!BE$4="是",'9.0.10'!$AY$4,'9.0.10'!$AY$3)</f>
        <v>0</v>
      </c>
      <c r="U36" s="4">
        <f>(VLOOKUP('9.0.10'!AC36,'9.0.10'!$AM$4:$AO$55,2,FALSE))*IF('9.0.10'!BF$4="是",'9.0.10'!$AY$4,'9.0.10'!$AY$3)</f>
        <v>0</v>
      </c>
      <c r="V36" s="4">
        <f>(VLOOKUP('9.0.10'!AD36,'9.0.10'!$AM$4:$AO$55,2,FALSE))*IF('9.0.10'!BG$4="是",'9.0.10'!$AY$4,'9.0.10'!$AY$3)</f>
        <v>0</v>
      </c>
      <c r="W36" s="5">
        <f>(VLOOKUP('9.0.10'!AE36,'9.0.10'!$AM$4:$AO$55,2,FALSE))*IF('9.0.10'!BH$4="是",'9.0.10'!$AY$4,'9.0.10'!$AY$3)</f>
        <v>0</v>
      </c>
      <c r="X36" s="5">
        <f>(VLOOKUP('9.0.10'!AF36,'9.0.10'!$AM$4:$AO$55,2,FALSE))*IF('9.0.10'!BI$4="是",'9.0.10'!$AY$4,'9.0.10'!$AY$3)</f>
        <v>0</v>
      </c>
    </row>
    <row r="37" spans="1:24">
      <c r="A37" s="4">
        <f>(VLOOKUP('9.0.10'!I37,'9.0.10'!$AM$4:$AO$55,2,FALSE))*IF('9.0.10'!AK$4="是",'9.0.10'!$AY$4,'9.0.10'!$AY$3)</f>
        <v>0</v>
      </c>
      <c r="B37" s="4">
        <f>(VLOOKUP('9.0.10'!J37,'9.0.10'!$AM$4:$AO$55,2,FALSE))*IF('9.0.10'!AL$4="是",'9.0.10'!$AY$4,'9.0.10'!$AY$3)</f>
        <v>0</v>
      </c>
      <c r="C37" s="4">
        <f>(VLOOKUP('9.0.10'!K37,'9.0.10'!$AM$4:$AO$55,2,FALSE))*IF('9.0.10'!AM$4="是",'9.0.10'!$AY$4,'9.0.10'!$AY$3)</f>
        <v>0</v>
      </c>
      <c r="D37" s="4">
        <f>(VLOOKUP('9.0.10'!L37,'9.0.10'!$AM$4:$AO$55,2,FALSE))*IF('9.0.10'!AN$4="是",'9.0.10'!$AY$4,'9.0.10'!$AY$3)</f>
        <v>0</v>
      </c>
      <c r="E37" s="4">
        <f>(VLOOKUP('9.0.10'!M37,'9.0.10'!$AM$4:$AO$55,2,FALSE))*IF('9.0.10'!AO$4="是",'9.0.10'!$AY$4,'9.0.10'!$AY$3)</f>
        <v>0</v>
      </c>
      <c r="F37" s="4">
        <f>(VLOOKUP('9.0.10'!N37,'9.0.10'!$AM$4:$AO$55,2,FALSE))*IF('9.0.10'!AQ$4="是",'9.0.10'!$AY$4,'9.0.10'!$AY$3)</f>
        <v>0</v>
      </c>
      <c r="G37" s="5">
        <f>(VLOOKUP('9.0.10'!O37,'9.0.10'!$AM$4:$AO$55,2,FALSE))*IF('9.0.10'!AR$4="是",'9.0.10'!$AY$4,'9.0.10'!$AY$3)</f>
        <v>0</v>
      </c>
      <c r="H37" s="5">
        <f>(VLOOKUP('9.0.10'!P37,'9.0.10'!$AM$4:$AO$55,2,FALSE))*IF('9.0.10'!AS$4="是",'9.0.10'!$AY$4,'9.0.10'!$AY$3)</f>
        <v>0</v>
      </c>
      <c r="I37" s="4">
        <f>(VLOOKUP('9.0.10'!Q37,'9.0.10'!$AM$4:$AO$55,2,FALSE))*IF('9.0.10'!AT$4="是",'9.0.10'!$AY$4,'9.0.10'!$AY$3)</f>
        <v>180</v>
      </c>
      <c r="J37" s="4">
        <f>(VLOOKUP('9.0.10'!R37,'9.0.10'!$AM$4:$AO$55,2,FALSE))*IF('9.0.10'!AU$4="是",'9.0.10'!$AY$4,'9.0.10'!$AY$3)</f>
        <v>180</v>
      </c>
      <c r="K37" s="4">
        <f>(VLOOKUP('9.0.10'!S37,'9.0.10'!$AM$4:$AO$55,2,FALSE))*IF('9.0.10'!AV$4="是",'9.0.10'!$AY$4,'9.0.10'!$AY$3)</f>
        <v>180</v>
      </c>
      <c r="L37" s="4">
        <f>(VLOOKUP('9.0.10'!T37,'9.0.10'!$AM$4:$AO$55,2,FALSE))*IF('9.0.10'!AW$4="是",'9.0.10'!$AY$4,'9.0.10'!$AY$3)</f>
        <v>180</v>
      </c>
      <c r="M37" s="4">
        <f>(VLOOKUP('9.0.10'!U37,'9.0.10'!$AM$4:$AO$55,2,FALSE))*IF('9.0.10'!AX$4="是",'9.0.10'!$AY$4,'9.0.10'!$AY$3)</f>
        <v>180</v>
      </c>
      <c r="N37" s="4">
        <f>(VLOOKUP('9.0.10'!V37,'9.0.10'!$AM$4:$AO$55,2,FALSE))*IF('9.0.10'!AY$4="是",'9.0.10'!$AY$4,'9.0.10'!$AY$3)</f>
        <v>180</v>
      </c>
      <c r="O37" s="5">
        <f>(VLOOKUP('9.0.10'!W37,'9.0.10'!$AM$4:$AO$55,2,FALSE))*IF('9.0.10'!AZ$4="是",'9.0.10'!$AY$4,'9.0.10'!$AY$3)</f>
        <v>0</v>
      </c>
      <c r="P37" s="5">
        <f>(VLOOKUP('9.0.10'!X37,'9.0.10'!$AM$4:$AO$55,2,FALSE))*IF('9.0.10'!BA$4="是",'9.0.10'!$AY$4,'9.0.10'!$AY$3)</f>
        <v>0</v>
      </c>
      <c r="Q37" s="4">
        <f>(VLOOKUP('9.0.10'!Y37,'9.0.10'!$AM$4:$AO$55,2,FALSE))*IF('9.0.10'!BB$4="是",'9.0.10'!$AY$4,'9.0.10'!$AY$3)</f>
        <v>0</v>
      </c>
      <c r="R37" s="4">
        <f>(VLOOKUP('9.0.10'!Z37,'9.0.10'!$AM$4:$AO$55,2,FALSE))*IF('9.0.10'!BC$4="是",'9.0.10'!$AY$4,'9.0.10'!$AY$3)</f>
        <v>0</v>
      </c>
      <c r="S37" s="4">
        <f>(VLOOKUP('9.0.10'!AA37,'9.0.10'!$AM$4:$AO$55,2,FALSE))*IF('9.0.10'!BD$4="是",'9.0.10'!$AY$4,'9.0.10'!$AY$3)</f>
        <v>0</v>
      </c>
      <c r="T37" s="4">
        <f>(VLOOKUP('9.0.10'!AB37,'9.0.10'!$AM$4:$AO$55,2,FALSE))*IF('9.0.10'!BE$4="是",'9.0.10'!$AY$4,'9.0.10'!$AY$3)</f>
        <v>0</v>
      </c>
      <c r="U37" s="4">
        <f>(VLOOKUP('9.0.10'!AC37,'9.0.10'!$AM$4:$AO$55,2,FALSE))*IF('9.0.10'!BF$4="是",'9.0.10'!$AY$4,'9.0.10'!$AY$3)</f>
        <v>0</v>
      </c>
      <c r="V37" s="4">
        <f>(VLOOKUP('9.0.10'!AD37,'9.0.10'!$AM$4:$AO$55,2,FALSE))*IF('9.0.10'!BG$4="是",'9.0.10'!$AY$4,'9.0.10'!$AY$3)</f>
        <v>0</v>
      </c>
      <c r="W37" s="5">
        <f>(VLOOKUP('9.0.10'!AE37,'9.0.10'!$AM$4:$AO$55,2,FALSE))*IF('9.0.10'!BH$4="是",'9.0.10'!$AY$4,'9.0.10'!$AY$3)</f>
        <v>0</v>
      </c>
      <c r="X37" s="5">
        <f>(VLOOKUP('9.0.10'!AF37,'9.0.10'!$AM$4:$AO$55,2,FALSE))*IF('9.0.10'!BI$4="是",'9.0.10'!$AY$4,'9.0.10'!$AY$3)</f>
        <v>0</v>
      </c>
    </row>
    <row r="38" spans="1:24">
      <c r="A38" s="4">
        <f>(VLOOKUP('9.0.10'!I38,'9.0.10'!$AM$4:$AO$55,2,FALSE))*IF('9.0.10'!AK$4="是",'9.0.10'!$AY$4,'9.0.10'!$AY$3)</f>
        <v>0</v>
      </c>
      <c r="B38" s="4">
        <f>(VLOOKUP('9.0.10'!J38,'9.0.10'!$AM$4:$AO$55,2,FALSE))*IF('9.0.10'!AL$4="是",'9.0.10'!$AY$4,'9.0.10'!$AY$3)</f>
        <v>0</v>
      </c>
      <c r="C38" s="4">
        <f>(VLOOKUP('9.0.10'!K38,'9.0.10'!$AM$4:$AO$55,2,FALSE))*IF('9.0.10'!AM$4="是",'9.0.10'!$AY$4,'9.0.10'!$AY$3)</f>
        <v>0</v>
      </c>
      <c r="D38" s="4">
        <f>(VLOOKUP('9.0.10'!L38,'9.0.10'!$AM$4:$AO$55,2,FALSE))*IF('9.0.10'!AN$4="是",'9.0.10'!$AY$4,'9.0.10'!$AY$3)</f>
        <v>0</v>
      </c>
      <c r="E38" s="4">
        <f>(VLOOKUP('9.0.10'!M38,'9.0.10'!$AM$4:$AO$55,2,FALSE))*IF('9.0.10'!AO$4="是",'9.0.10'!$AY$4,'9.0.10'!$AY$3)</f>
        <v>0</v>
      </c>
      <c r="F38" s="4">
        <f>(VLOOKUP('9.0.10'!N38,'9.0.10'!$AM$4:$AO$55,2,FALSE))*IF('9.0.10'!AQ$4="是",'9.0.10'!$AY$4,'9.0.10'!$AY$3)</f>
        <v>0</v>
      </c>
      <c r="G38" s="5">
        <f>(VLOOKUP('9.0.10'!O38,'9.0.10'!$AM$4:$AO$55,2,FALSE))*IF('9.0.10'!AR$4="是",'9.0.10'!$AY$4,'9.0.10'!$AY$3)</f>
        <v>0</v>
      </c>
      <c r="H38" s="5">
        <f>(VLOOKUP('9.0.10'!P38,'9.0.10'!$AM$4:$AO$55,2,FALSE))*IF('9.0.10'!AS$4="是",'9.0.10'!$AY$4,'9.0.10'!$AY$3)</f>
        <v>0</v>
      </c>
      <c r="I38" s="4">
        <f>(VLOOKUP('9.0.10'!Q38,'9.0.10'!$AM$4:$AO$55,2,FALSE))*IF('9.0.10'!AT$4="是",'9.0.10'!$AY$4,'9.0.10'!$AY$3)</f>
        <v>180</v>
      </c>
      <c r="J38" s="4">
        <f>(VLOOKUP('9.0.10'!R38,'9.0.10'!$AM$4:$AO$55,2,FALSE))*IF('9.0.10'!AU$4="是",'9.0.10'!$AY$4,'9.0.10'!$AY$3)</f>
        <v>180</v>
      </c>
      <c r="K38" s="4">
        <f>(VLOOKUP('9.0.10'!S38,'9.0.10'!$AM$4:$AO$55,2,FALSE))*IF('9.0.10'!AV$4="是",'9.0.10'!$AY$4,'9.0.10'!$AY$3)</f>
        <v>180</v>
      </c>
      <c r="L38" s="4">
        <f>(VLOOKUP('9.0.10'!T38,'9.0.10'!$AM$4:$AO$55,2,FALSE))*IF('9.0.10'!AW$4="是",'9.0.10'!$AY$4,'9.0.10'!$AY$3)</f>
        <v>180</v>
      </c>
      <c r="M38" s="4">
        <f>(VLOOKUP('9.0.10'!U38,'9.0.10'!$AM$4:$AO$55,2,FALSE))*IF('9.0.10'!AX$4="是",'9.0.10'!$AY$4,'9.0.10'!$AY$3)</f>
        <v>180</v>
      </c>
      <c r="N38" s="4">
        <f>(VLOOKUP('9.0.10'!V38,'9.0.10'!$AM$4:$AO$55,2,FALSE))*IF('9.0.10'!AY$4="是",'9.0.10'!$AY$4,'9.0.10'!$AY$3)</f>
        <v>180</v>
      </c>
      <c r="O38" s="5">
        <f>(VLOOKUP('9.0.10'!W38,'9.0.10'!$AM$4:$AO$55,2,FALSE))*IF('9.0.10'!AZ$4="是",'9.0.10'!$AY$4,'9.0.10'!$AY$3)</f>
        <v>0</v>
      </c>
      <c r="P38" s="5">
        <f>(VLOOKUP('9.0.10'!X38,'9.0.10'!$AM$4:$AO$55,2,FALSE))*IF('9.0.10'!BA$4="是",'9.0.10'!$AY$4,'9.0.10'!$AY$3)</f>
        <v>0</v>
      </c>
      <c r="Q38" s="4">
        <f>(VLOOKUP('9.0.10'!Y38,'9.0.10'!$AM$4:$AO$55,2,FALSE))*IF('9.0.10'!BB$4="是",'9.0.10'!$AY$4,'9.0.10'!$AY$3)</f>
        <v>170</v>
      </c>
      <c r="R38" s="4">
        <f>(VLOOKUP('9.0.10'!Z38,'9.0.10'!$AM$4:$AO$55,2,FALSE))*IF('9.0.10'!BC$4="是",'9.0.10'!$AY$4,'9.0.10'!$AY$3)</f>
        <v>170</v>
      </c>
      <c r="S38" s="4">
        <f>(VLOOKUP('9.0.10'!AA38,'9.0.10'!$AM$4:$AO$55,2,FALSE))*IF('9.0.10'!BD$4="是",'9.0.10'!$AY$4,'9.0.10'!$AY$3)</f>
        <v>170</v>
      </c>
      <c r="T38" s="4">
        <f>(VLOOKUP('9.0.10'!AB38,'9.0.10'!$AM$4:$AO$55,2,FALSE))*IF('9.0.10'!BE$4="是",'9.0.10'!$AY$4,'9.0.10'!$AY$3)</f>
        <v>170</v>
      </c>
      <c r="U38" s="4">
        <f>(VLOOKUP('9.0.10'!AC38,'9.0.10'!$AM$4:$AO$55,2,FALSE))*IF('9.0.10'!BF$4="是",'9.0.10'!$AY$4,'9.0.10'!$AY$3)</f>
        <v>170</v>
      </c>
      <c r="V38" s="4">
        <f>(VLOOKUP('9.0.10'!AD38,'9.0.10'!$AM$4:$AO$55,2,FALSE))*IF('9.0.10'!BG$4="是",'9.0.10'!$AY$4,'9.0.10'!$AY$3)</f>
        <v>170</v>
      </c>
      <c r="W38" s="5">
        <f>(VLOOKUP('9.0.10'!AE38,'9.0.10'!$AM$4:$AO$55,2,FALSE))*IF('9.0.10'!BH$4="是",'9.0.10'!$AY$4,'9.0.10'!$AY$3)</f>
        <v>0</v>
      </c>
      <c r="X38" s="5">
        <f>(VLOOKUP('9.0.10'!AF38,'9.0.10'!$AM$4:$AO$55,2,FALSE))*IF('9.0.10'!BI$4="是",'9.0.10'!$AY$4,'9.0.10'!$AY$3)</f>
        <v>0</v>
      </c>
    </row>
    <row r="39" spans="1:24">
      <c r="A39" s="4">
        <f>(VLOOKUP('9.0.10'!I39,'9.0.10'!$AM$4:$AO$55,2,FALSE))*IF('9.0.10'!AK$4="是",'9.0.10'!$AY$4,'9.0.10'!$AY$3)</f>
        <v>0</v>
      </c>
      <c r="B39" s="4">
        <f>(VLOOKUP('9.0.10'!J39,'9.0.10'!$AM$4:$AO$55,2,FALSE))*IF('9.0.10'!AL$4="是",'9.0.10'!$AY$4,'9.0.10'!$AY$3)</f>
        <v>0</v>
      </c>
      <c r="C39" s="4">
        <f>(VLOOKUP('9.0.10'!K39,'9.0.10'!$AM$4:$AO$55,2,FALSE))*IF('9.0.10'!AM$4="是",'9.0.10'!$AY$4,'9.0.10'!$AY$3)</f>
        <v>0</v>
      </c>
      <c r="D39" s="4">
        <f>(VLOOKUP('9.0.10'!L39,'9.0.10'!$AM$4:$AO$55,2,FALSE))*IF('9.0.10'!AN$4="是",'9.0.10'!$AY$4,'9.0.10'!$AY$3)</f>
        <v>0</v>
      </c>
      <c r="E39" s="4">
        <f>(VLOOKUP('9.0.10'!M39,'9.0.10'!$AM$4:$AO$55,2,FALSE))*IF('9.0.10'!AO$4="是",'9.0.10'!$AY$4,'9.0.10'!$AY$3)</f>
        <v>0</v>
      </c>
      <c r="F39" s="4">
        <f>(VLOOKUP('9.0.10'!N39,'9.0.10'!$AM$4:$AO$55,2,FALSE))*IF('9.0.10'!AQ$4="是",'9.0.10'!$AY$4,'9.0.10'!$AY$3)</f>
        <v>0</v>
      </c>
      <c r="G39" s="5">
        <f>(VLOOKUP('9.0.10'!O39,'9.0.10'!$AM$4:$AO$55,2,FALSE))*IF('9.0.10'!AR$4="是",'9.0.10'!$AY$4,'9.0.10'!$AY$3)</f>
        <v>0</v>
      </c>
      <c r="H39" s="5">
        <f>(VLOOKUP('9.0.10'!P39,'9.0.10'!$AM$4:$AO$55,2,FALSE))*IF('9.0.10'!AS$4="是",'9.0.10'!$AY$4,'9.0.10'!$AY$3)</f>
        <v>0</v>
      </c>
      <c r="I39" s="4">
        <f>(VLOOKUP('9.0.10'!Q39,'9.0.10'!$AM$4:$AO$55,2,FALSE))*IF('9.0.10'!AT$4="是",'9.0.10'!$AY$4,'9.0.10'!$AY$3)</f>
        <v>180</v>
      </c>
      <c r="J39" s="4">
        <f>(VLOOKUP('9.0.10'!R39,'9.0.10'!$AM$4:$AO$55,2,FALSE))*IF('9.0.10'!AU$4="是",'9.0.10'!$AY$4,'9.0.10'!$AY$3)</f>
        <v>180</v>
      </c>
      <c r="K39" s="4">
        <f>(VLOOKUP('9.0.10'!S39,'9.0.10'!$AM$4:$AO$55,2,FALSE))*IF('9.0.10'!AV$4="是",'9.0.10'!$AY$4,'9.0.10'!$AY$3)</f>
        <v>250</v>
      </c>
      <c r="L39" s="4">
        <f>(VLOOKUP('9.0.10'!T39,'9.0.10'!$AM$4:$AO$55,2,FALSE))*IF('9.0.10'!AW$4="是",'9.0.10'!$AY$4,'9.0.10'!$AY$3)</f>
        <v>190</v>
      </c>
      <c r="M39" s="4">
        <f>(VLOOKUP('9.0.10'!U39,'9.0.10'!$AM$4:$AO$55,2,FALSE))*IF('9.0.10'!AX$4="是",'9.0.10'!$AY$4,'9.0.10'!$AY$3)</f>
        <v>190</v>
      </c>
      <c r="N39" s="4">
        <f>(VLOOKUP('9.0.10'!V39,'9.0.10'!$AM$4:$AO$55,2,FALSE))*IF('9.0.10'!AY$4="是",'9.0.10'!$AY$4,'9.0.10'!$AY$3)</f>
        <v>190</v>
      </c>
      <c r="O39" s="5">
        <f>(VLOOKUP('9.0.10'!W39,'9.0.10'!$AM$4:$AO$55,2,FALSE))*IF('9.0.10'!AZ$4="是",'9.0.10'!$AY$4,'9.0.10'!$AY$3)</f>
        <v>190</v>
      </c>
      <c r="P39" s="5">
        <f>(VLOOKUP('9.0.10'!X39,'9.0.10'!$AM$4:$AO$55,2,FALSE))*IF('9.0.10'!BA$4="是",'9.0.10'!$AY$4,'9.0.10'!$AY$3)</f>
        <v>190</v>
      </c>
      <c r="Q39" s="4">
        <f>(VLOOKUP('9.0.10'!Y39,'9.0.10'!$AM$4:$AO$55,2,FALSE))*IF('9.0.10'!BB$4="是",'9.0.10'!$AY$4,'9.0.10'!$AY$3)</f>
        <v>170</v>
      </c>
      <c r="R39" s="4">
        <f>(VLOOKUP('9.0.10'!Z39,'9.0.10'!$AM$4:$AO$55,2,FALSE))*IF('9.0.10'!BC$4="是",'9.0.10'!$AY$4,'9.0.10'!$AY$3)</f>
        <v>170</v>
      </c>
      <c r="S39" s="4">
        <f>(VLOOKUP('9.0.10'!AA39,'9.0.10'!$AM$4:$AO$55,2,FALSE))*IF('9.0.10'!BD$4="是",'9.0.10'!$AY$4,'9.0.10'!$AY$3)</f>
        <v>170</v>
      </c>
      <c r="T39" s="4">
        <f>(VLOOKUP('9.0.10'!AB39,'9.0.10'!$AM$4:$AO$55,2,FALSE))*IF('9.0.10'!BE$4="是",'9.0.10'!$AY$4,'9.0.10'!$AY$3)</f>
        <v>170</v>
      </c>
      <c r="U39" s="4">
        <f>(VLOOKUP('9.0.10'!AC39,'9.0.10'!$AM$4:$AO$55,2,FALSE))*IF('9.0.10'!BF$4="是",'9.0.10'!$AY$4,'9.0.10'!$AY$3)</f>
        <v>170</v>
      </c>
      <c r="V39" s="4">
        <f>(VLOOKUP('9.0.10'!AD39,'9.0.10'!$AM$4:$AO$55,2,FALSE))*IF('9.0.10'!BG$4="是",'9.0.10'!$AY$4,'9.0.10'!$AY$3)</f>
        <v>170</v>
      </c>
      <c r="W39" s="5">
        <f>(VLOOKUP('9.0.10'!AE39,'9.0.10'!$AM$4:$AO$55,2,FALSE))*IF('9.0.10'!BH$4="是",'9.0.10'!$AY$4,'9.0.10'!$AY$3)</f>
        <v>0</v>
      </c>
      <c r="X39" s="5">
        <f>(VLOOKUP('9.0.10'!AF39,'9.0.10'!$AM$4:$AO$55,2,FALSE))*IF('9.0.10'!BI$4="是",'9.0.10'!$AY$4,'9.0.10'!$AY$3)</f>
        <v>0</v>
      </c>
    </row>
    <row r="40" spans="1:24">
      <c r="A40" s="4">
        <f>(VLOOKUP('9.0.10'!I40,'9.0.10'!$AM$4:$AO$55,2,FALSE))*IF('9.0.10'!AK$4="是",'9.0.10'!$AY$4,'9.0.10'!$AY$3)</f>
        <v>0</v>
      </c>
      <c r="B40" s="4">
        <f>(VLOOKUP('9.0.10'!J40,'9.0.10'!$AM$4:$AO$55,2,FALSE))*IF('9.0.10'!AL$4="是",'9.0.10'!$AY$4,'9.0.10'!$AY$3)</f>
        <v>0</v>
      </c>
      <c r="C40" s="4">
        <f>(VLOOKUP('9.0.10'!K40,'9.0.10'!$AM$4:$AO$55,2,FALSE))*IF('9.0.10'!AM$4="是",'9.0.10'!$AY$4,'9.0.10'!$AY$3)</f>
        <v>0</v>
      </c>
      <c r="D40" s="4">
        <f>(VLOOKUP('9.0.10'!L40,'9.0.10'!$AM$4:$AO$55,2,FALSE))*IF('9.0.10'!AN$4="是",'9.0.10'!$AY$4,'9.0.10'!$AY$3)</f>
        <v>0</v>
      </c>
      <c r="E40" s="4">
        <f>(VLOOKUP('9.0.10'!M40,'9.0.10'!$AM$4:$AO$55,2,FALSE))*IF('9.0.10'!AO$4="是",'9.0.10'!$AY$4,'9.0.10'!$AY$3)</f>
        <v>0</v>
      </c>
      <c r="F40" s="4">
        <f>(VLOOKUP('9.0.10'!N40,'9.0.10'!$AM$4:$AO$55,2,FALSE))*IF('9.0.10'!AQ$4="是",'9.0.10'!$AY$4,'9.0.10'!$AY$3)</f>
        <v>0</v>
      </c>
      <c r="G40" s="5">
        <f>(VLOOKUP('9.0.10'!O40,'9.0.10'!$AM$4:$AO$55,2,FALSE))*IF('9.0.10'!AR$4="是",'9.0.10'!$AY$4,'9.0.10'!$AY$3)</f>
        <v>0</v>
      </c>
      <c r="H40" s="5">
        <f>(VLOOKUP('9.0.10'!P40,'9.0.10'!$AM$4:$AO$55,2,FALSE))*IF('9.0.10'!AS$4="是",'9.0.10'!$AY$4,'9.0.10'!$AY$3)</f>
        <v>0</v>
      </c>
      <c r="I40" s="4">
        <f>(VLOOKUP('9.0.10'!Q40,'9.0.10'!$AM$4:$AO$55,2,FALSE))*IF('9.0.10'!AT$4="是",'9.0.10'!$AY$4,'9.0.10'!$AY$3)</f>
        <v>200</v>
      </c>
      <c r="J40" s="4">
        <f>(VLOOKUP('9.0.10'!R40,'9.0.10'!$AM$4:$AO$55,2,FALSE))*IF('9.0.10'!AU$4="是",'9.0.10'!$AY$4,'9.0.10'!$AY$3)</f>
        <v>-200</v>
      </c>
      <c r="K40" s="4">
        <f>(VLOOKUP('9.0.10'!S40,'9.0.10'!$AM$4:$AO$55,2,FALSE))*IF('9.0.10'!AV$4="是",'9.0.10'!$AY$4,'9.0.10'!$AY$3)</f>
        <v>200</v>
      </c>
      <c r="L40" s="4">
        <f>(VLOOKUP('9.0.10'!T40,'9.0.10'!$AM$4:$AO$55,2,FALSE))*IF('9.0.10'!AW$4="是",'9.0.10'!$AY$4,'9.0.10'!$AY$3)</f>
        <v>190</v>
      </c>
      <c r="M40" s="4">
        <f>(VLOOKUP('9.0.10'!U40,'9.0.10'!$AM$4:$AO$55,2,FALSE))*IF('9.0.10'!AX$4="是",'9.0.10'!$AY$4,'9.0.10'!$AY$3)</f>
        <v>190</v>
      </c>
      <c r="N40" s="4">
        <f>(VLOOKUP('9.0.10'!V40,'9.0.10'!$AM$4:$AO$55,2,FALSE))*IF('9.0.10'!AY$4="是",'9.0.10'!$AY$4,'9.0.10'!$AY$3)</f>
        <v>190</v>
      </c>
      <c r="O40" s="5">
        <f>(VLOOKUP('9.0.10'!W40,'9.0.10'!$AM$4:$AO$55,2,FALSE))*IF('9.0.10'!AZ$4="是",'9.0.10'!$AY$4,'9.0.10'!$AY$3)</f>
        <v>200</v>
      </c>
      <c r="P40" s="5">
        <f>(VLOOKUP('9.0.10'!X40,'9.0.10'!$AM$4:$AO$55,2,FALSE))*IF('9.0.10'!BA$4="是",'9.0.10'!$AY$4,'9.0.10'!$AY$3)</f>
        <v>250</v>
      </c>
      <c r="Q40" s="4">
        <f>(VLOOKUP('9.0.10'!Y40,'9.0.10'!$AM$4:$AO$55,2,FALSE))*IF('9.0.10'!BB$4="是",'9.0.10'!$AY$4,'9.0.10'!$AY$3)</f>
        <v>170</v>
      </c>
      <c r="R40" s="4">
        <f>(VLOOKUP('9.0.10'!Z40,'9.0.10'!$AM$4:$AO$55,2,FALSE))*IF('9.0.10'!BC$4="是",'9.0.10'!$AY$4,'9.0.10'!$AY$3)</f>
        <v>170</v>
      </c>
      <c r="S40" s="4">
        <f>(VLOOKUP('9.0.10'!AA40,'9.0.10'!$AM$4:$AO$55,2,FALSE))*IF('9.0.10'!BD$4="是",'9.0.10'!$AY$4,'9.0.10'!$AY$3)</f>
        <v>170</v>
      </c>
      <c r="T40" s="4">
        <f>(VLOOKUP('9.0.10'!AB40,'9.0.10'!$AM$4:$AO$55,2,FALSE))*IF('9.0.10'!BE$4="是",'9.0.10'!$AY$4,'9.0.10'!$AY$3)</f>
        <v>170</v>
      </c>
      <c r="U40" s="4">
        <f>(VLOOKUP('9.0.10'!AC40,'9.0.10'!$AM$4:$AO$55,2,FALSE))*IF('9.0.10'!BF$4="是",'9.0.10'!$AY$4,'9.0.10'!$AY$3)</f>
        <v>170</v>
      </c>
      <c r="V40" s="4">
        <f>(VLOOKUP('9.0.10'!AD40,'9.0.10'!$AM$4:$AO$55,2,FALSE))*IF('9.0.10'!BG$4="是",'9.0.10'!$AY$4,'9.0.10'!$AY$3)</f>
        <v>150</v>
      </c>
      <c r="W40" s="5">
        <f>(VLOOKUP('9.0.10'!AE40,'9.0.10'!$AM$4:$AO$55,2,FALSE))*IF('9.0.10'!BH$4="是",'9.0.10'!$AY$4,'9.0.10'!$AY$3)</f>
        <v>0</v>
      </c>
      <c r="X40" s="5">
        <f>(VLOOKUP('9.0.10'!AF40,'9.0.10'!$AM$4:$AO$55,2,FALSE))*IF('9.0.10'!BI$4="是",'9.0.10'!$AY$4,'9.0.10'!$AY$3)</f>
        <v>0</v>
      </c>
    </row>
    <row r="41" spans="1:24">
      <c r="A41" s="4">
        <f>(VLOOKUP('9.0.10'!I41,'9.0.10'!$AM$4:$AO$55,2,FALSE))*IF('9.0.10'!AK$4="是",'9.0.10'!$AY$4,'9.0.10'!$AY$3)</f>
        <v>0</v>
      </c>
      <c r="B41" s="4">
        <f>(VLOOKUP('9.0.10'!J41,'9.0.10'!$AM$4:$AO$55,2,FALSE))*IF('9.0.10'!AL$4="是",'9.0.10'!$AY$4,'9.0.10'!$AY$3)</f>
        <v>0</v>
      </c>
      <c r="C41" s="4">
        <f>(VLOOKUP('9.0.10'!K41,'9.0.10'!$AM$4:$AO$55,2,FALSE))*IF('9.0.10'!AM$4="是",'9.0.10'!$AY$4,'9.0.10'!$AY$3)</f>
        <v>0</v>
      </c>
      <c r="D41" s="4">
        <f>(VLOOKUP('9.0.10'!L41,'9.0.10'!$AM$4:$AO$55,2,FALSE))*IF('9.0.10'!AN$4="是",'9.0.10'!$AY$4,'9.0.10'!$AY$3)</f>
        <v>0</v>
      </c>
      <c r="E41" s="4">
        <f>(VLOOKUP('9.0.10'!M41,'9.0.10'!$AM$4:$AO$55,2,FALSE))*IF('9.0.10'!AO$4="是",'9.0.10'!$AY$4,'9.0.10'!$AY$3)</f>
        <v>0</v>
      </c>
      <c r="F41" s="4">
        <f>(VLOOKUP('9.0.10'!N41,'9.0.10'!$AM$4:$AO$55,2,FALSE))*IF('9.0.10'!AQ$4="是",'9.0.10'!$AY$4,'9.0.10'!$AY$3)</f>
        <v>0</v>
      </c>
      <c r="G41" s="5">
        <f>(VLOOKUP('9.0.10'!O41,'9.0.10'!$AM$4:$AO$55,2,FALSE))*IF('9.0.10'!AR$4="是",'9.0.10'!$AY$4,'9.0.10'!$AY$3)</f>
        <v>0</v>
      </c>
      <c r="H41" s="5">
        <f>(VLOOKUP('9.0.10'!P41,'9.0.10'!$AM$4:$AO$55,2,FALSE))*IF('9.0.10'!AS$4="是",'9.0.10'!$AY$4,'9.0.10'!$AY$3)</f>
        <v>0</v>
      </c>
      <c r="I41" s="4">
        <f>(VLOOKUP('9.0.10'!Q41,'9.0.10'!$AM$4:$AO$55,2,FALSE))*IF('9.0.10'!AT$4="是",'9.0.10'!$AY$4,'9.0.10'!$AY$3)</f>
        <v>200</v>
      </c>
      <c r="J41" s="4">
        <f>(VLOOKUP('9.0.10'!R41,'9.0.10'!$AM$4:$AO$55,2,FALSE))*IF('9.0.10'!AU$4="是",'9.0.10'!$AY$4,'9.0.10'!$AY$3)</f>
        <v>200</v>
      </c>
      <c r="K41" s="4">
        <f>(VLOOKUP('9.0.10'!S41,'9.0.10'!$AM$4:$AO$55,2,FALSE))*IF('9.0.10'!AV$4="是",'9.0.10'!$AY$4,'9.0.10'!$AY$3)</f>
        <v>200</v>
      </c>
      <c r="L41" s="4">
        <f>(VLOOKUP('9.0.10'!T41,'9.0.10'!$AM$4:$AO$55,2,FALSE))*IF('9.0.10'!AW$4="是",'9.0.10'!$AY$4,'9.0.10'!$AY$3)</f>
        <v>200</v>
      </c>
      <c r="M41" s="4">
        <f>(VLOOKUP('9.0.10'!U41,'9.0.10'!$AM$4:$AO$55,2,FALSE))*IF('9.0.10'!AX$4="是",'9.0.10'!$AY$4,'9.0.10'!$AY$3)</f>
        <v>200</v>
      </c>
      <c r="N41" s="4">
        <f>(VLOOKUP('9.0.10'!V41,'9.0.10'!$AM$4:$AO$55,2,FALSE))*IF('9.0.10'!AY$4="是",'9.0.10'!$AY$4,'9.0.10'!$AY$3)</f>
        <v>190</v>
      </c>
      <c r="O41" s="5">
        <f>(VLOOKUP('9.0.10'!W41,'9.0.10'!$AM$4:$AO$55,2,FALSE))*IF('9.0.10'!AZ$4="是",'9.0.10'!$AY$4,'9.0.10'!$AY$3)</f>
        <v>0</v>
      </c>
      <c r="P41" s="5">
        <f>(VLOOKUP('9.0.10'!X41,'9.0.10'!$AM$4:$AO$55,2,FALSE))*IF('9.0.10'!BA$4="是",'9.0.10'!$AY$4,'9.0.10'!$AY$3)</f>
        <v>0</v>
      </c>
      <c r="Q41" s="4">
        <f>(VLOOKUP('9.0.10'!Y41,'9.0.10'!$AM$4:$AO$55,2,FALSE))*IF('9.0.10'!BB$4="是",'9.0.10'!$AY$4,'9.0.10'!$AY$3)</f>
        <v>170</v>
      </c>
      <c r="R41" s="4">
        <f>(VLOOKUP('9.0.10'!Z41,'9.0.10'!$AM$4:$AO$55,2,FALSE))*IF('9.0.10'!BC$4="是",'9.0.10'!$AY$4,'9.0.10'!$AY$3)</f>
        <v>170</v>
      </c>
      <c r="S41" s="4">
        <f>(VLOOKUP('9.0.10'!AA41,'9.0.10'!$AM$4:$AO$55,2,FALSE))*IF('9.0.10'!BD$4="是",'9.0.10'!$AY$4,'9.0.10'!$AY$3)</f>
        <v>170</v>
      </c>
      <c r="T41" s="4">
        <f>(VLOOKUP('9.0.10'!AB41,'9.0.10'!$AM$4:$AO$55,2,FALSE))*IF('9.0.10'!BE$4="是",'9.0.10'!$AY$4,'9.0.10'!$AY$3)</f>
        <v>170</v>
      </c>
      <c r="U41" s="4">
        <f>(VLOOKUP('9.0.10'!AC41,'9.0.10'!$AM$4:$AO$55,2,FALSE))*IF('9.0.10'!BF$4="是",'9.0.10'!$AY$4,'9.0.10'!$AY$3)</f>
        <v>180</v>
      </c>
      <c r="V41" s="4">
        <f>(VLOOKUP('9.0.10'!AD41,'9.0.10'!$AM$4:$AO$55,2,FALSE))*IF('9.0.10'!BG$4="是",'9.0.10'!$AY$4,'9.0.10'!$AY$3)</f>
        <v>180</v>
      </c>
      <c r="W41" s="5">
        <f>(VLOOKUP('9.0.10'!AE41,'9.0.10'!$AM$4:$AO$55,2,FALSE))*IF('9.0.10'!BH$4="是",'9.0.10'!$AY$4,'9.0.10'!$AY$3)</f>
        <v>0</v>
      </c>
      <c r="X41" s="5">
        <f>(VLOOKUP('9.0.10'!AF41,'9.0.10'!$AM$4:$AO$55,2,FALSE))*IF('9.0.10'!BI$4="是",'9.0.10'!$AY$4,'9.0.10'!$AY$3)</f>
        <v>0</v>
      </c>
    </row>
    <row r="42" spans="1:24">
      <c r="A42" s="4">
        <f>(VLOOKUP('9.0.10'!I42,'9.0.10'!$AM$4:$AO$55,2,FALSE))*IF('9.0.10'!AK$4="是",'9.0.10'!$AY$4,'9.0.10'!$AY$3)</f>
        <v>0</v>
      </c>
      <c r="B42" s="4">
        <f>(VLOOKUP('9.0.10'!J42,'9.0.10'!$AM$4:$AO$55,2,FALSE))*IF('9.0.10'!AL$4="是",'9.0.10'!$AY$4,'9.0.10'!$AY$3)</f>
        <v>0</v>
      </c>
      <c r="C42" s="4">
        <f>(VLOOKUP('9.0.10'!K42,'9.0.10'!$AM$4:$AO$55,2,FALSE))*IF('9.0.10'!AM$4="是",'9.0.10'!$AY$4,'9.0.10'!$AY$3)</f>
        <v>0</v>
      </c>
      <c r="D42" s="4">
        <f>(VLOOKUP('9.0.10'!L42,'9.0.10'!$AM$4:$AO$55,2,FALSE))*IF('9.0.10'!AN$4="是",'9.0.10'!$AY$4,'9.0.10'!$AY$3)</f>
        <v>0</v>
      </c>
      <c r="E42" s="4">
        <f>(VLOOKUP('9.0.10'!M42,'9.0.10'!$AM$4:$AO$55,2,FALSE))*IF('9.0.10'!AO$4="是",'9.0.10'!$AY$4,'9.0.10'!$AY$3)</f>
        <v>0</v>
      </c>
      <c r="F42" s="4">
        <f>(VLOOKUP('9.0.10'!N42,'9.0.10'!$AM$4:$AO$55,2,FALSE))*IF('9.0.10'!AQ$4="是",'9.0.10'!$AY$4,'9.0.10'!$AY$3)</f>
        <v>0</v>
      </c>
      <c r="G42" s="5">
        <f>(VLOOKUP('9.0.10'!O42,'9.0.10'!$AM$4:$AO$55,2,FALSE))*IF('9.0.10'!AR$4="是",'9.0.10'!$AY$4,'9.0.10'!$AY$3)</f>
        <v>0</v>
      </c>
      <c r="H42" s="5">
        <f>(VLOOKUP('9.0.10'!P42,'9.0.10'!$AM$4:$AO$55,2,FALSE))*IF('9.0.10'!AS$4="是",'9.0.10'!$AY$4,'9.0.10'!$AY$3)</f>
        <v>0</v>
      </c>
      <c r="I42" s="4">
        <f>(VLOOKUP('9.0.10'!Q42,'9.0.10'!$AM$4:$AO$55,2,FALSE))*IF('9.0.10'!AT$4="是",'9.0.10'!$AY$4,'9.0.10'!$AY$3)</f>
        <v>190</v>
      </c>
      <c r="J42" s="4">
        <f>(VLOOKUP('9.0.10'!R42,'9.0.10'!$AM$4:$AO$55,2,FALSE))*IF('9.0.10'!AU$4="是",'9.0.10'!$AY$4,'9.0.10'!$AY$3)</f>
        <v>190</v>
      </c>
      <c r="K42" s="4">
        <f>(VLOOKUP('9.0.10'!S42,'9.0.10'!$AM$4:$AO$55,2,FALSE))*IF('9.0.10'!AV$4="是",'9.0.10'!$AY$4,'9.0.10'!$AY$3)</f>
        <v>190</v>
      </c>
      <c r="L42" s="4">
        <f>(VLOOKUP('9.0.10'!T42,'9.0.10'!$AM$4:$AO$55,2,FALSE))*IF('9.0.10'!AW$4="是",'9.0.10'!$AY$4,'9.0.10'!$AY$3)</f>
        <v>200</v>
      </c>
      <c r="M42" s="4">
        <f>(VLOOKUP('9.0.10'!U42,'9.0.10'!$AM$4:$AO$55,2,FALSE))*IF('9.0.10'!AX$4="是",'9.0.10'!$AY$4,'9.0.10'!$AY$3)</f>
        <v>200</v>
      </c>
      <c r="N42" s="4">
        <f>(VLOOKUP('9.0.10'!V42,'9.0.10'!$AM$4:$AO$55,2,FALSE))*IF('9.0.10'!AY$4="是",'9.0.10'!$AY$4,'9.0.10'!$AY$3)</f>
        <v>200</v>
      </c>
      <c r="O42" s="5">
        <f>(VLOOKUP('9.0.10'!W42,'9.0.10'!$AM$4:$AO$55,2,FALSE))*IF('9.0.10'!AZ$4="是",'9.0.10'!$AY$4,'9.0.10'!$AY$3)</f>
        <v>0</v>
      </c>
      <c r="P42" s="5">
        <f>(VLOOKUP('9.0.10'!X42,'9.0.10'!$AM$4:$AO$55,2,FALSE))*IF('9.0.10'!BA$4="是",'9.0.10'!$AY$4,'9.0.10'!$AY$3)</f>
        <v>0</v>
      </c>
      <c r="Q42" s="4">
        <f>(VLOOKUP('9.0.10'!Y42,'9.0.10'!$AM$4:$AO$55,2,FALSE))*IF('9.0.10'!BB$4="是",'9.0.10'!$AY$4,'9.0.10'!$AY$3)</f>
        <v>180</v>
      </c>
      <c r="R42" s="4">
        <f>(VLOOKUP('9.0.10'!Z42,'9.0.10'!$AM$4:$AO$55,2,FALSE))*IF('9.0.10'!BC$4="是",'9.0.10'!$AY$4,'9.0.10'!$AY$3)</f>
        <v>180</v>
      </c>
      <c r="S42" s="4">
        <f>(VLOOKUP('9.0.10'!AA42,'9.0.10'!$AM$4:$AO$55,2,FALSE))*IF('9.0.10'!BD$4="是",'9.0.10'!$AY$4,'9.0.10'!$AY$3)</f>
        <v>180</v>
      </c>
      <c r="T42" s="4">
        <f>(VLOOKUP('9.0.10'!AB42,'9.0.10'!$AM$4:$AO$55,2,FALSE))*IF('9.0.10'!BE$4="是",'9.0.10'!$AY$4,'9.0.10'!$AY$3)</f>
        <v>180</v>
      </c>
      <c r="U42" s="4">
        <f>(VLOOKUP('9.0.10'!AC42,'9.0.10'!$AM$4:$AO$55,2,FALSE))*IF('9.0.10'!BF$4="是",'9.0.10'!$AY$4,'9.0.10'!$AY$3)</f>
        <v>50</v>
      </c>
      <c r="V42" s="4">
        <f>(VLOOKUP('9.0.10'!AD42,'9.0.10'!$AM$4:$AO$55,2,FALSE))*IF('9.0.10'!BG$4="是",'9.0.10'!$AY$4,'9.0.10'!$AY$3)</f>
        <v>180</v>
      </c>
      <c r="W42" s="5">
        <f>(VLOOKUP('9.0.10'!AE42,'9.0.10'!$AM$4:$AO$55,2,FALSE))*IF('9.0.10'!BH$4="是",'9.0.10'!$AY$4,'9.0.10'!$AY$3)</f>
        <v>0</v>
      </c>
      <c r="X42" s="5">
        <f>(VLOOKUP('9.0.10'!AF42,'9.0.10'!$AM$4:$AO$55,2,FALSE))*IF('9.0.10'!BI$4="是",'9.0.10'!$AY$4,'9.0.10'!$AY$3)</f>
        <v>0</v>
      </c>
    </row>
    <row r="43" spans="1:24">
      <c r="A43" s="4">
        <f>(VLOOKUP('9.0.10'!I43,'9.0.10'!$AM$4:$AO$55,2,FALSE))*IF('9.0.10'!AK$4="是",'9.0.10'!$AY$4,'9.0.10'!$AY$3)</f>
        <v>0</v>
      </c>
      <c r="B43" s="4">
        <f>(VLOOKUP('9.0.10'!J43,'9.0.10'!$AM$4:$AO$55,2,FALSE))*IF('9.0.10'!AL$4="是",'9.0.10'!$AY$4,'9.0.10'!$AY$3)</f>
        <v>0</v>
      </c>
      <c r="C43" s="4">
        <f>(VLOOKUP('9.0.10'!K43,'9.0.10'!$AM$4:$AO$55,2,FALSE))*IF('9.0.10'!AM$4="是",'9.0.10'!$AY$4,'9.0.10'!$AY$3)</f>
        <v>0</v>
      </c>
      <c r="D43" s="4">
        <f>(VLOOKUP('9.0.10'!L43,'9.0.10'!$AM$4:$AO$55,2,FALSE))*IF('9.0.10'!AN$4="是",'9.0.10'!$AY$4,'9.0.10'!$AY$3)</f>
        <v>0</v>
      </c>
      <c r="E43" s="4">
        <f>(VLOOKUP('9.0.10'!M43,'9.0.10'!$AM$4:$AO$55,2,FALSE))*IF('9.0.10'!AO$4="是",'9.0.10'!$AY$4,'9.0.10'!$AY$3)</f>
        <v>0</v>
      </c>
      <c r="F43" s="4">
        <f>(VLOOKUP('9.0.10'!N43,'9.0.10'!$AM$4:$AO$55,2,FALSE))*IF('9.0.10'!AQ$4="是",'9.0.10'!$AY$4,'9.0.10'!$AY$3)</f>
        <v>0</v>
      </c>
      <c r="G43" s="5">
        <f>(VLOOKUP('9.0.10'!O43,'9.0.10'!$AM$4:$AO$55,2,FALSE))*IF('9.0.10'!AR$4="是",'9.0.10'!$AY$4,'9.0.10'!$AY$3)</f>
        <v>0</v>
      </c>
      <c r="H43" s="5">
        <f>(VLOOKUP('9.0.10'!P43,'9.0.10'!$AM$4:$AO$55,2,FALSE))*IF('9.0.10'!AS$4="是",'9.0.10'!$AY$4,'9.0.10'!$AY$3)</f>
        <v>0</v>
      </c>
      <c r="I43" s="4">
        <f>(VLOOKUP('9.0.10'!Q43,'9.0.10'!$AM$4:$AO$55,2,FALSE))*IF('9.0.10'!AT$4="是",'9.0.10'!$AY$4,'9.0.10'!$AY$3)</f>
        <v>190</v>
      </c>
      <c r="J43" s="4">
        <f>(VLOOKUP('9.0.10'!R43,'9.0.10'!$AM$4:$AO$55,2,FALSE))*IF('9.0.10'!AU$4="是",'9.0.10'!$AY$4,'9.0.10'!$AY$3)</f>
        <v>190</v>
      </c>
      <c r="K43" s="4">
        <f>(VLOOKUP('9.0.10'!S43,'9.0.10'!$AM$4:$AO$55,2,FALSE))*IF('9.0.10'!AV$4="是",'9.0.10'!$AY$4,'9.0.10'!$AY$3)</f>
        <v>200</v>
      </c>
      <c r="L43" s="4">
        <f>(VLOOKUP('9.0.10'!T43,'9.0.10'!$AM$4:$AO$55,2,FALSE))*IF('9.0.10'!AW$4="是",'9.0.10'!$AY$4,'9.0.10'!$AY$3)</f>
        <v>200</v>
      </c>
      <c r="M43" s="4">
        <f>(VLOOKUP('9.0.10'!U43,'9.0.10'!$AM$4:$AO$55,2,FALSE))*IF('9.0.10'!AX$4="是",'9.0.10'!$AY$4,'9.0.10'!$AY$3)</f>
        <v>200</v>
      </c>
      <c r="N43" s="4">
        <f>(VLOOKUP('9.0.10'!V43,'9.0.10'!$AM$4:$AO$55,2,FALSE))*IF('9.0.10'!AY$4="是",'9.0.10'!$AY$4,'9.0.10'!$AY$3)</f>
        <v>200</v>
      </c>
      <c r="O43" s="5">
        <f>(VLOOKUP('9.0.10'!W43,'9.0.10'!$AM$4:$AO$55,2,FALSE))*IF('9.0.10'!AZ$4="是",'9.0.10'!$AY$4,'9.0.10'!$AY$3)</f>
        <v>0</v>
      </c>
      <c r="P43" s="5">
        <f>(VLOOKUP('9.0.10'!X43,'9.0.10'!$AM$4:$AO$55,2,FALSE))*IF('9.0.10'!BA$4="是",'9.0.10'!$AY$4,'9.0.10'!$AY$3)</f>
        <v>0</v>
      </c>
      <c r="Q43" s="4">
        <f>(VLOOKUP('9.0.10'!Y43,'9.0.10'!$AM$4:$AO$55,2,FALSE))*IF('9.0.10'!BB$4="是",'9.0.10'!$AY$4,'9.0.10'!$AY$3)</f>
        <v>180</v>
      </c>
      <c r="R43" s="4">
        <f>(VLOOKUP('9.0.10'!Z43,'9.0.10'!$AM$4:$AO$55,2,FALSE))*IF('9.0.10'!BC$4="是",'9.0.10'!$AY$4,'9.0.10'!$AY$3)</f>
        <v>180</v>
      </c>
      <c r="S43" s="4">
        <f>(VLOOKUP('9.0.10'!AA43,'9.0.10'!$AM$4:$AO$55,2,FALSE))*IF('9.0.10'!BD$4="是",'9.0.10'!$AY$4,'9.0.10'!$AY$3)</f>
        <v>180</v>
      </c>
      <c r="T43" s="4">
        <f>(VLOOKUP('9.0.10'!AB43,'9.0.10'!$AM$4:$AO$55,2,FALSE))*IF('9.0.10'!BE$4="是",'9.0.10'!$AY$4,'9.0.10'!$AY$3)</f>
        <v>180</v>
      </c>
      <c r="U43" s="4">
        <f>(VLOOKUP('9.0.10'!AC43,'9.0.10'!$AM$4:$AO$55,2,FALSE))*IF('9.0.10'!BF$4="是",'9.0.10'!$AY$4,'9.0.10'!$AY$3)</f>
        <v>180</v>
      </c>
      <c r="V43" s="4">
        <f>(VLOOKUP('9.0.10'!AD43,'9.0.10'!$AM$4:$AO$55,2,FALSE))*IF('9.0.10'!BG$4="是",'9.0.10'!$AY$4,'9.0.10'!$AY$3)</f>
        <v>180</v>
      </c>
      <c r="W43" s="5">
        <f>(VLOOKUP('9.0.10'!AE43,'9.0.10'!$AM$4:$AO$55,2,FALSE))*IF('9.0.10'!BH$4="是",'9.0.10'!$AY$4,'9.0.10'!$AY$3)</f>
        <v>0</v>
      </c>
      <c r="X43" s="5">
        <f>(VLOOKUP('9.0.10'!AF43,'9.0.10'!$AM$4:$AO$55,2,FALSE))*IF('9.0.10'!BI$4="是",'9.0.10'!$AY$4,'9.0.10'!$AY$3)</f>
        <v>0</v>
      </c>
    </row>
    <row r="44" spans="1:24">
      <c r="A44" s="4">
        <f>(VLOOKUP('9.0.10'!I44,'9.0.10'!$AM$4:$AO$55,2,FALSE))*IF('9.0.10'!AK$4="是",'9.0.10'!$AY$4,'9.0.10'!$AY$3)</f>
        <v>0</v>
      </c>
      <c r="B44" s="4">
        <f>(VLOOKUP('9.0.10'!J44,'9.0.10'!$AM$4:$AO$55,2,FALSE))*IF('9.0.10'!AL$4="是",'9.0.10'!$AY$4,'9.0.10'!$AY$3)</f>
        <v>0</v>
      </c>
      <c r="C44" s="4">
        <f>(VLOOKUP('9.0.10'!K44,'9.0.10'!$AM$4:$AO$55,2,FALSE))*IF('9.0.10'!AM$4="是",'9.0.10'!$AY$4,'9.0.10'!$AY$3)</f>
        <v>0</v>
      </c>
      <c r="D44" s="4">
        <f>(VLOOKUP('9.0.10'!L44,'9.0.10'!$AM$4:$AO$55,2,FALSE))*IF('9.0.10'!AN$4="是",'9.0.10'!$AY$4,'9.0.10'!$AY$3)</f>
        <v>0</v>
      </c>
      <c r="E44" s="4">
        <f>(VLOOKUP('9.0.10'!M44,'9.0.10'!$AM$4:$AO$55,2,FALSE))*IF('9.0.10'!AO$4="是",'9.0.10'!$AY$4,'9.0.10'!$AY$3)</f>
        <v>0</v>
      </c>
      <c r="F44" s="4">
        <f>(VLOOKUP('9.0.10'!N44,'9.0.10'!$AM$4:$AO$55,2,FALSE))*IF('9.0.10'!AQ$4="是",'9.0.10'!$AY$4,'9.0.10'!$AY$3)</f>
        <v>0</v>
      </c>
      <c r="G44" s="5">
        <f>(VLOOKUP('9.0.10'!O44,'9.0.10'!$AM$4:$AO$55,2,FALSE))*IF('9.0.10'!AR$4="是",'9.0.10'!$AY$4,'9.0.10'!$AY$3)</f>
        <v>0</v>
      </c>
      <c r="H44" s="5">
        <f>(VLOOKUP('9.0.10'!P44,'9.0.10'!$AM$4:$AO$55,2,FALSE))*IF('9.0.10'!AS$4="是",'9.0.10'!$AY$4,'9.0.10'!$AY$3)</f>
        <v>0</v>
      </c>
      <c r="I44" s="4">
        <f>(VLOOKUP('9.0.10'!Q44,'9.0.10'!$AM$4:$AO$55,2,FALSE))*IF('9.0.10'!AT$4="是",'9.0.10'!$AY$4,'9.0.10'!$AY$3)</f>
        <v>200</v>
      </c>
      <c r="J44" s="4">
        <f>(VLOOKUP('9.0.10'!R44,'9.0.10'!$AM$4:$AO$55,2,FALSE))*IF('9.0.10'!AU$4="是",'9.0.10'!$AY$4,'9.0.10'!$AY$3)</f>
        <v>200</v>
      </c>
      <c r="K44" s="4">
        <f>(VLOOKUP('9.0.10'!S44,'9.0.10'!$AM$4:$AO$55,2,FALSE))*IF('9.0.10'!AV$4="是",'9.0.10'!$AY$4,'9.0.10'!$AY$3)</f>
        <v>200</v>
      </c>
      <c r="L44" s="4">
        <f>(VLOOKUP('9.0.10'!T44,'9.0.10'!$AM$4:$AO$55,2,FALSE))*IF('9.0.10'!AW$4="是",'9.0.10'!$AY$4,'9.0.10'!$AY$3)</f>
        <v>200</v>
      </c>
      <c r="M44" s="4">
        <f>(VLOOKUP('9.0.10'!U44,'9.0.10'!$AM$4:$AO$55,2,FALSE))*IF('9.0.10'!AX$4="是",'9.0.10'!$AY$4,'9.0.10'!$AY$3)</f>
        <v>200</v>
      </c>
      <c r="N44" s="4">
        <f>(VLOOKUP('9.0.10'!V44,'9.0.10'!$AM$4:$AO$55,2,FALSE))*IF('9.0.10'!AY$4="是",'9.0.10'!$AY$4,'9.0.10'!$AY$3)</f>
        <v>200</v>
      </c>
      <c r="O44" s="5">
        <f>(VLOOKUP('9.0.10'!W44,'9.0.10'!$AM$4:$AO$55,2,FALSE))*IF('9.0.10'!AZ$4="是",'9.0.10'!$AY$4,'9.0.10'!$AY$3)</f>
        <v>0</v>
      </c>
      <c r="P44" s="5">
        <f>(VLOOKUP('9.0.10'!X44,'9.0.10'!$AM$4:$AO$55,2,FALSE))*IF('9.0.10'!BA$4="是",'9.0.10'!$AY$4,'9.0.10'!$AY$3)</f>
        <v>0</v>
      </c>
      <c r="Q44" s="4">
        <f>(VLOOKUP('9.0.10'!Y44,'9.0.10'!$AM$4:$AO$55,2,FALSE))*IF('9.0.10'!BB$4="是",'9.0.10'!$AY$4,'9.0.10'!$AY$3)</f>
        <v>180</v>
      </c>
      <c r="R44" s="4">
        <f>(VLOOKUP('9.0.10'!Z44,'9.0.10'!$AM$4:$AO$55,2,FALSE))*IF('9.0.10'!BC$4="是",'9.0.10'!$AY$4,'9.0.10'!$AY$3)</f>
        <v>180</v>
      </c>
      <c r="S44" s="4">
        <f>(VLOOKUP('9.0.10'!AA44,'9.0.10'!$AM$4:$AO$55,2,FALSE))*IF('9.0.10'!BD$4="是",'9.0.10'!$AY$4,'9.0.10'!$AY$3)</f>
        <v>-200</v>
      </c>
      <c r="T44" s="4">
        <f>(VLOOKUP('9.0.10'!AB44,'9.0.10'!$AM$4:$AO$55,2,FALSE))*IF('9.0.10'!BE$4="是",'9.0.10'!$AY$4,'9.0.10'!$AY$3)</f>
        <v>180</v>
      </c>
      <c r="U44" s="4">
        <f>(VLOOKUP('9.0.10'!AC44,'9.0.10'!$AM$4:$AO$55,2,FALSE))*IF('9.0.10'!BF$4="是",'9.0.10'!$AY$4,'9.0.10'!$AY$3)</f>
        <v>180</v>
      </c>
      <c r="V44" s="4">
        <f>(VLOOKUP('9.0.10'!AD44,'9.0.10'!$AM$4:$AO$55,2,FALSE))*IF('9.0.10'!BG$4="是",'9.0.10'!$AY$4,'9.0.10'!$AY$3)</f>
        <v>180</v>
      </c>
      <c r="W44" s="5">
        <f>(VLOOKUP('9.0.10'!AE44,'9.0.10'!$AM$4:$AO$55,2,FALSE))*IF('9.0.10'!BH$4="是",'9.0.10'!$AY$4,'9.0.10'!$AY$3)</f>
        <v>180</v>
      </c>
      <c r="X44" s="5">
        <f>(VLOOKUP('9.0.10'!AF44,'9.0.10'!$AM$4:$AO$55,2,FALSE))*IF('9.0.10'!BI$4="是",'9.0.10'!$AY$4,'9.0.10'!$AY$3)</f>
        <v>180</v>
      </c>
    </row>
    <row r="45" spans="1:24">
      <c r="A45" s="4">
        <f>(VLOOKUP('9.0.10'!I45,'9.0.10'!$AM$4:$AO$55,2,FALSE))*IF('9.0.10'!AK$4="是",'9.0.10'!$AY$4,'9.0.10'!$AY$3)</f>
        <v>0</v>
      </c>
      <c r="B45" s="4">
        <f>(VLOOKUP('9.0.10'!J45,'9.0.10'!$AM$4:$AO$55,2,FALSE))*IF('9.0.10'!AL$4="是",'9.0.10'!$AY$4,'9.0.10'!$AY$3)</f>
        <v>0</v>
      </c>
      <c r="C45" s="4">
        <f>(VLOOKUP('9.0.10'!K45,'9.0.10'!$AM$4:$AO$55,2,FALSE))*IF('9.0.10'!AM$4="是",'9.0.10'!$AY$4,'9.0.10'!$AY$3)</f>
        <v>0</v>
      </c>
      <c r="D45" s="4">
        <f>(VLOOKUP('9.0.10'!L45,'9.0.10'!$AM$4:$AO$55,2,FALSE))*IF('9.0.10'!AN$4="是",'9.0.10'!$AY$4,'9.0.10'!$AY$3)</f>
        <v>0</v>
      </c>
      <c r="E45" s="4">
        <f>(VLOOKUP('9.0.10'!M45,'9.0.10'!$AM$4:$AO$55,2,FALSE))*IF('9.0.10'!AO$4="是",'9.0.10'!$AY$4,'9.0.10'!$AY$3)</f>
        <v>0</v>
      </c>
      <c r="F45" s="4">
        <f>(VLOOKUP('9.0.10'!N45,'9.0.10'!$AM$4:$AO$55,2,FALSE))*IF('9.0.10'!AQ$4="是",'9.0.10'!$AY$4,'9.0.10'!$AY$3)</f>
        <v>0</v>
      </c>
      <c r="G45" s="5">
        <f>(VLOOKUP('9.0.10'!O45,'9.0.10'!$AM$4:$AO$55,2,FALSE))*IF('9.0.10'!AR$4="是",'9.0.10'!$AY$4,'9.0.10'!$AY$3)</f>
        <v>0</v>
      </c>
      <c r="H45" s="5">
        <f>(VLOOKUP('9.0.10'!P45,'9.0.10'!$AM$4:$AO$55,2,FALSE))*IF('9.0.10'!AS$4="是",'9.0.10'!$AY$4,'9.0.10'!$AY$3)</f>
        <v>0</v>
      </c>
      <c r="I45" s="4">
        <f>(VLOOKUP('9.0.10'!Q45,'9.0.10'!$AM$4:$AO$55,2,FALSE))*IF('9.0.10'!AT$4="是",'9.0.10'!$AY$4,'9.0.10'!$AY$3)</f>
        <v>200</v>
      </c>
      <c r="J45" s="4">
        <f>(VLOOKUP('9.0.10'!R45,'9.0.10'!$AM$4:$AO$55,2,FALSE))*IF('9.0.10'!AU$4="是",'9.0.10'!$AY$4,'9.0.10'!$AY$3)</f>
        <v>200</v>
      </c>
      <c r="K45" s="4">
        <f>(VLOOKUP('9.0.10'!S45,'9.0.10'!$AM$4:$AO$55,2,FALSE))*IF('9.0.10'!AV$4="是",'9.0.10'!$AY$4,'9.0.10'!$AY$3)</f>
        <v>200</v>
      </c>
      <c r="L45" s="4">
        <f>(VLOOKUP('9.0.10'!T45,'9.0.10'!$AM$4:$AO$55,2,FALSE))*IF('9.0.10'!AW$4="是",'9.0.10'!$AY$4,'9.0.10'!$AY$3)</f>
        <v>200</v>
      </c>
      <c r="M45" s="4">
        <f>(VLOOKUP('9.0.10'!U45,'9.0.10'!$AM$4:$AO$55,2,FALSE))*IF('9.0.10'!AX$4="是",'9.0.10'!$AY$4,'9.0.10'!$AY$3)</f>
        <v>200</v>
      </c>
      <c r="N45" s="4">
        <f>(VLOOKUP('9.0.10'!V45,'9.0.10'!$AM$4:$AO$55,2,FALSE))*IF('9.0.10'!AY$4="是",'9.0.10'!$AY$4,'9.0.10'!$AY$3)</f>
        <v>200</v>
      </c>
      <c r="O45" s="5">
        <f>(VLOOKUP('9.0.10'!W45,'9.0.10'!$AM$4:$AO$55,2,FALSE))*IF('9.0.10'!AZ$4="是",'9.0.10'!$AY$4,'9.0.10'!$AY$3)</f>
        <v>0</v>
      </c>
      <c r="P45" s="5">
        <f>(VLOOKUP('9.0.10'!X45,'9.0.10'!$AM$4:$AO$55,2,FALSE))*IF('9.0.10'!BA$4="是",'9.0.10'!$AY$4,'9.0.10'!$AY$3)</f>
        <v>0</v>
      </c>
      <c r="Q45" s="4">
        <f>(VLOOKUP('9.0.10'!Y45,'9.0.10'!$AM$4:$AO$55,2,FALSE))*IF('9.0.10'!BB$4="是",'9.0.10'!$AY$4,'9.0.10'!$AY$3)</f>
        <v>250</v>
      </c>
      <c r="R45" s="4">
        <f>(VLOOKUP('9.0.10'!Z45,'9.0.10'!$AM$4:$AO$55,2,FALSE))*IF('9.0.10'!BC$4="是",'9.0.10'!$AY$4,'9.0.10'!$AY$3)</f>
        <v>190</v>
      </c>
      <c r="S45" s="4">
        <f>(VLOOKUP('9.0.10'!AA45,'9.0.10'!$AM$4:$AO$55,2,FALSE))*IF('9.0.10'!BD$4="是",'9.0.10'!$AY$4,'9.0.10'!$AY$3)</f>
        <v>200</v>
      </c>
      <c r="T45" s="4">
        <f>(VLOOKUP('9.0.10'!AB45,'9.0.10'!$AM$4:$AO$55,2,FALSE))*IF('9.0.10'!BE$4="是",'9.0.10'!$AY$4,'9.0.10'!$AY$3)</f>
        <v>200</v>
      </c>
      <c r="U45" s="4">
        <f>(VLOOKUP('9.0.10'!AC45,'9.0.10'!$AM$4:$AO$55,2,FALSE))*IF('9.0.10'!BF$4="是",'9.0.10'!$AY$4,'9.0.10'!$AY$3)</f>
        <v>190</v>
      </c>
      <c r="V45" s="4">
        <f>(VLOOKUP('9.0.10'!AD45,'9.0.10'!$AM$4:$AO$55,2,FALSE))*IF('9.0.10'!BG$4="是",'9.0.10'!$AY$4,'9.0.10'!$AY$3)</f>
        <v>190</v>
      </c>
      <c r="W45" s="5">
        <f>(VLOOKUP('9.0.10'!AE45,'9.0.10'!$AM$4:$AO$55,2,FALSE))*IF('9.0.10'!BH$4="是",'9.0.10'!$AY$4,'9.0.10'!$AY$3)</f>
        <v>0</v>
      </c>
      <c r="X45" s="5">
        <f>(VLOOKUP('9.0.10'!AF45,'9.0.10'!$AM$4:$AO$55,2,FALSE))*IF('9.0.10'!BI$4="是",'9.0.10'!$AY$4,'9.0.10'!$AY$3)</f>
        <v>0</v>
      </c>
    </row>
    <row r="46" spans="1:24">
      <c r="A46" s="4">
        <f>(VLOOKUP('9.0.10'!I46,'9.0.10'!$AM$4:$AO$55,2,FALSE))*IF('9.0.10'!AK$4="是",'9.0.10'!$AY$4,'9.0.10'!$AY$3)</f>
        <v>0</v>
      </c>
      <c r="B46" s="4">
        <f>(VLOOKUP('9.0.10'!J46,'9.0.10'!$AM$4:$AO$55,2,FALSE))*IF('9.0.10'!AL$4="是",'9.0.10'!$AY$4,'9.0.10'!$AY$3)</f>
        <v>0</v>
      </c>
      <c r="C46" s="4">
        <f>(VLOOKUP('9.0.10'!K46,'9.0.10'!$AM$4:$AO$55,2,FALSE))*IF('9.0.10'!AM$4="是",'9.0.10'!$AY$4,'9.0.10'!$AY$3)</f>
        <v>0</v>
      </c>
      <c r="D46" s="4">
        <f>(VLOOKUP('9.0.10'!L46,'9.0.10'!$AM$4:$AO$55,2,FALSE))*IF('9.0.10'!AN$4="是",'9.0.10'!$AY$4,'9.0.10'!$AY$3)</f>
        <v>0</v>
      </c>
      <c r="E46" s="4">
        <f>(VLOOKUP('9.0.10'!M46,'9.0.10'!$AM$4:$AO$55,2,FALSE))*IF('9.0.10'!AO$4="是",'9.0.10'!$AY$4,'9.0.10'!$AY$3)</f>
        <v>0</v>
      </c>
      <c r="F46" s="4">
        <f>(VLOOKUP('9.0.10'!N46,'9.0.10'!$AM$4:$AO$55,2,FALSE))*IF('9.0.10'!AQ$4="是",'9.0.10'!$AY$4,'9.0.10'!$AY$3)</f>
        <v>0</v>
      </c>
      <c r="G46" s="5">
        <f>(VLOOKUP('9.0.10'!O46,'9.0.10'!$AM$4:$AO$55,2,FALSE))*IF('9.0.10'!AR$4="是",'9.0.10'!$AY$4,'9.0.10'!$AY$3)</f>
        <v>0</v>
      </c>
      <c r="H46" s="5">
        <f>(VLOOKUP('9.0.10'!P46,'9.0.10'!$AM$4:$AO$55,2,FALSE))*IF('9.0.10'!AS$4="是",'9.0.10'!$AY$4,'9.0.10'!$AY$3)</f>
        <v>0</v>
      </c>
      <c r="I46" s="4">
        <f>(VLOOKUP('9.0.10'!Q46,'9.0.10'!$AM$4:$AO$55,2,FALSE))*IF('9.0.10'!AT$4="是",'9.0.10'!$AY$4,'9.0.10'!$AY$3)</f>
        <v>200</v>
      </c>
      <c r="J46" s="4">
        <f>(VLOOKUP('9.0.10'!R46,'9.0.10'!$AM$4:$AO$55,2,FALSE))*IF('9.0.10'!AU$4="是",'9.0.10'!$AY$4,'9.0.10'!$AY$3)</f>
        <v>200</v>
      </c>
      <c r="K46" s="4">
        <f>(VLOOKUP('9.0.10'!S46,'9.0.10'!$AM$4:$AO$55,2,FALSE))*IF('9.0.10'!AV$4="是",'9.0.10'!$AY$4,'9.0.10'!$AY$3)</f>
        <v>200</v>
      </c>
      <c r="L46" s="4">
        <f>(VLOOKUP('9.0.10'!T46,'9.0.10'!$AM$4:$AO$55,2,FALSE))*IF('9.0.10'!AW$4="是",'9.0.10'!$AY$4,'9.0.10'!$AY$3)</f>
        <v>200</v>
      </c>
      <c r="M46" s="4">
        <f>(VLOOKUP('9.0.10'!U46,'9.0.10'!$AM$4:$AO$55,2,FALSE))*IF('9.0.10'!AX$4="是",'9.0.10'!$AY$4,'9.0.10'!$AY$3)</f>
        <v>200</v>
      </c>
      <c r="N46" s="4">
        <f>(VLOOKUP('9.0.10'!V46,'9.0.10'!$AM$4:$AO$55,2,FALSE))*IF('9.0.10'!AY$4="是",'9.0.10'!$AY$4,'9.0.10'!$AY$3)</f>
        <v>200</v>
      </c>
      <c r="O46" s="5">
        <f>(VLOOKUP('9.0.10'!W46,'9.0.10'!$AM$4:$AO$55,2,FALSE))*IF('9.0.10'!AZ$4="是",'9.0.10'!$AY$4,'9.0.10'!$AY$3)</f>
        <v>0</v>
      </c>
      <c r="P46" s="5">
        <f>(VLOOKUP('9.0.10'!X46,'9.0.10'!$AM$4:$AO$55,2,FALSE))*IF('9.0.10'!BA$4="是",'9.0.10'!$AY$4,'9.0.10'!$AY$3)</f>
        <v>0</v>
      </c>
      <c r="Q46" s="4">
        <f>(VLOOKUP('9.0.10'!Y46,'9.0.10'!$AM$4:$AO$55,2,FALSE))*IF('9.0.10'!BB$4="是",'9.0.10'!$AY$4,'9.0.10'!$AY$3)</f>
        <v>190</v>
      </c>
      <c r="R46" s="4">
        <f>(VLOOKUP('9.0.10'!Z46,'9.0.10'!$AM$4:$AO$55,2,FALSE))*IF('9.0.10'!BC$4="是",'9.0.10'!$AY$4,'9.0.10'!$AY$3)</f>
        <v>190</v>
      </c>
      <c r="S46" s="4">
        <f>(VLOOKUP('9.0.10'!AA46,'9.0.10'!$AM$4:$AO$55,2,FALSE))*IF('9.0.10'!BD$4="是",'9.0.10'!$AY$4,'9.0.10'!$AY$3)</f>
        <v>190</v>
      </c>
      <c r="T46" s="4">
        <f>(VLOOKUP('9.0.10'!AB46,'9.0.10'!$AM$4:$AO$55,2,FALSE))*IF('9.0.10'!BE$4="是",'9.0.10'!$AY$4,'9.0.10'!$AY$3)</f>
        <v>190</v>
      </c>
      <c r="U46" s="4">
        <f>(VLOOKUP('9.0.10'!AC46,'9.0.10'!$AM$4:$AO$55,2,FALSE))*IF('9.0.10'!BF$4="是",'9.0.10'!$AY$4,'9.0.10'!$AY$3)</f>
        <v>190</v>
      </c>
      <c r="V46" s="4">
        <f>(VLOOKUP('9.0.10'!AD46,'9.0.10'!$AM$4:$AO$55,2,FALSE))*IF('9.0.10'!BG$4="是",'9.0.10'!$AY$4,'9.0.10'!$AY$3)</f>
        <v>190</v>
      </c>
      <c r="W46" s="5">
        <f>(VLOOKUP('9.0.10'!AE46,'9.0.10'!$AM$4:$AO$55,2,FALSE))*IF('9.0.10'!BH$4="是",'9.0.10'!$AY$4,'9.0.10'!$AY$3)</f>
        <v>0</v>
      </c>
      <c r="X46" s="5">
        <f>(VLOOKUP('9.0.10'!AF46,'9.0.10'!$AM$4:$AO$55,2,FALSE))*IF('9.0.10'!BI$4="是",'9.0.10'!$AY$4,'9.0.10'!$AY$3)</f>
        <v>0</v>
      </c>
    </row>
    <row r="47" spans="1:24">
      <c r="A47" s="4">
        <f>(VLOOKUP('9.0.10'!I47,'9.0.10'!$AM$4:$AO$55,2,FALSE))*IF('9.0.10'!AK$4="是",'9.0.10'!$AY$4,'9.0.10'!$AY$3)</f>
        <v>0</v>
      </c>
      <c r="B47" s="4">
        <f>(VLOOKUP('9.0.10'!J47,'9.0.10'!$AM$4:$AO$55,2,FALSE))*IF('9.0.10'!AL$4="是",'9.0.10'!$AY$4,'9.0.10'!$AY$3)</f>
        <v>0</v>
      </c>
      <c r="C47" s="4">
        <f>(VLOOKUP('9.0.10'!K47,'9.0.10'!$AM$4:$AO$55,2,FALSE))*IF('9.0.10'!AM$4="是",'9.0.10'!$AY$4,'9.0.10'!$AY$3)</f>
        <v>0</v>
      </c>
      <c r="D47" s="4">
        <f>(VLOOKUP('9.0.10'!L47,'9.0.10'!$AM$4:$AO$55,2,FALSE))*IF('9.0.10'!AN$4="是",'9.0.10'!$AY$4,'9.0.10'!$AY$3)</f>
        <v>0</v>
      </c>
      <c r="E47" s="4">
        <f>(VLOOKUP('9.0.10'!M47,'9.0.10'!$AM$4:$AO$55,2,FALSE))*IF('9.0.10'!AO$4="是",'9.0.10'!$AY$4,'9.0.10'!$AY$3)</f>
        <v>0</v>
      </c>
      <c r="F47" s="4">
        <f>(VLOOKUP('9.0.10'!N47,'9.0.10'!$AM$4:$AO$55,2,FALSE))*IF('9.0.10'!AQ$4="是",'9.0.10'!$AY$4,'9.0.10'!$AY$3)</f>
        <v>0</v>
      </c>
      <c r="G47" s="5">
        <f>(VLOOKUP('9.0.10'!O47,'9.0.10'!$AM$4:$AO$55,2,FALSE))*IF('9.0.10'!AR$4="是",'9.0.10'!$AY$4,'9.0.10'!$AY$3)</f>
        <v>0</v>
      </c>
      <c r="H47" s="5">
        <f>(VLOOKUP('9.0.10'!P47,'9.0.10'!$AM$4:$AO$55,2,FALSE))*IF('9.0.10'!AS$4="是",'9.0.10'!$AY$4,'9.0.10'!$AY$3)</f>
        <v>0</v>
      </c>
      <c r="I47" s="4">
        <f>(VLOOKUP('9.0.10'!Q47,'9.0.10'!$AM$4:$AO$55,2,FALSE))*IF('9.0.10'!AT$4="是",'9.0.10'!$AY$4,'9.0.10'!$AY$3)</f>
        <v>200</v>
      </c>
      <c r="J47" s="4">
        <f>(VLOOKUP('9.0.10'!R47,'9.0.10'!$AM$4:$AO$55,2,FALSE))*IF('9.0.10'!AU$4="是",'9.0.10'!$AY$4,'9.0.10'!$AY$3)</f>
        <v>200</v>
      </c>
      <c r="K47" s="4">
        <f>(VLOOKUP('9.0.10'!S47,'9.0.10'!$AM$4:$AO$55,2,FALSE))*IF('9.0.10'!AV$4="是",'9.0.10'!$AY$4,'9.0.10'!$AY$3)</f>
        <v>200</v>
      </c>
      <c r="L47" s="4">
        <f>(VLOOKUP('9.0.10'!T47,'9.0.10'!$AM$4:$AO$55,2,FALSE))*IF('9.0.10'!AW$4="是",'9.0.10'!$AY$4,'9.0.10'!$AY$3)</f>
        <v>200</v>
      </c>
      <c r="M47" s="4">
        <f>(VLOOKUP('9.0.10'!U47,'9.0.10'!$AM$4:$AO$55,2,FALSE))*IF('9.0.10'!AX$4="是",'9.0.10'!$AY$4,'9.0.10'!$AY$3)</f>
        <v>200</v>
      </c>
      <c r="N47" s="4">
        <f>(VLOOKUP('9.0.10'!V47,'9.0.10'!$AM$4:$AO$55,2,FALSE))*IF('9.0.10'!AY$4="是",'9.0.10'!$AY$4,'9.0.10'!$AY$3)</f>
        <v>200</v>
      </c>
      <c r="O47" s="5">
        <f>(VLOOKUP('9.0.10'!W47,'9.0.10'!$AM$4:$AO$55,2,FALSE))*IF('9.0.10'!AZ$4="是",'9.0.10'!$AY$4,'9.0.10'!$AY$3)</f>
        <v>0</v>
      </c>
      <c r="P47" s="5">
        <f>(VLOOKUP('9.0.10'!X47,'9.0.10'!$AM$4:$AO$55,2,FALSE))*IF('9.0.10'!BA$4="是",'9.0.10'!$AY$4,'9.0.10'!$AY$3)</f>
        <v>0</v>
      </c>
      <c r="Q47" s="4">
        <f>(VLOOKUP('9.0.10'!Y47,'9.0.10'!$AM$4:$AO$55,2,FALSE))*IF('9.0.10'!BB$4="是",'9.0.10'!$AY$4,'9.0.10'!$AY$3)</f>
        <v>190</v>
      </c>
      <c r="R47" s="4">
        <f>(VLOOKUP('9.0.10'!Z47,'9.0.10'!$AM$4:$AO$55,2,FALSE))*IF('9.0.10'!BC$4="是",'9.0.10'!$AY$4,'9.0.10'!$AY$3)</f>
        <v>190</v>
      </c>
      <c r="S47" s="4">
        <f>(VLOOKUP('9.0.10'!AA47,'9.0.10'!$AM$4:$AO$55,2,FALSE))*IF('9.0.10'!BD$4="是",'9.0.10'!$AY$4,'9.0.10'!$AY$3)</f>
        <v>190</v>
      </c>
      <c r="T47" s="4">
        <f>(VLOOKUP('9.0.10'!AB47,'9.0.10'!$AM$4:$AO$55,2,FALSE))*IF('9.0.10'!BE$4="是",'9.0.10'!$AY$4,'9.0.10'!$AY$3)</f>
        <v>190</v>
      </c>
      <c r="U47" s="4">
        <f>(VLOOKUP('9.0.10'!AC47,'9.0.10'!$AM$4:$AO$55,2,FALSE))*IF('9.0.10'!BF$4="是",'9.0.10'!$AY$4,'9.0.10'!$AY$3)</f>
        <v>190</v>
      </c>
      <c r="V47" s="4">
        <f>(VLOOKUP('9.0.10'!AD47,'9.0.10'!$AM$4:$AO$55,2,FALSE))*IF('9.0.10'!BG$4="是",'9.0.10'!$AY$4,'9.0.10'!$AY$3)</f>
        <v>190</v>
      </c>
      <c r="W47" s="5">
        <f>(VLOOKUP('9.0.10'!AE47,'9.0.10'!$AM$4:$AO$55,2,FALSE))*IF('9.0.10'!BH$4="是",'9.0.10'!$AY$4,'9.0.10'!$AY$3)</f>
        <v>0</v>
      </c>
      <c r="X47" s="5">
        <f>(VLOOKUP('9.0.10'!AF47,'9.0.10'!$AM$4:$AO$55,2,FALSE))*IF('9.0.10'!BI$4="是",'9.0.10'!$AY$4,'9.0.10'!$AY$3)</f>
        <v>0</v>
      </c>
    </row>
    <row r="48" spans="1:24">
      <c r="A48" s="4">
        <f>(VLOOKUP('9.0.10'!I48,'9.0.10'!$AM$4:$AO$55,2,FALSE))*IF('9.0.10'!AK$4="是",'9.0.10'!$AY$4,'9.0.10'!$AY$3)</f>
        <v>0</v>
      </c>
      <c r="B48" s="4">
        <f>(VLOOKUP('9.0.10'!J48,'9.0.10'!$AM$4:$AO$55,2,FALSE))*IF('9.0.10'!AL$4="是",'9.0.10'!$AY$4,'9.0.10'!$AY$3)</f>
        <v>0</v>
      </c>
      <c r="C48" s="4">
        <f>(VLOOKUP('9.0.10'!K48,'9.0.10'!$AM$4:$AO$55,2,FALSE))*IF('9.0.10'!AM$4="是",'9.0.10'!$AY$4,'9.0.10'!$AY$3)</f>
        <v>0</v>
      </c>
      <c r="D48" s="4">
        <f>(VLOOKUP('9.0.10'!L48,'9.0.10'!$AM$4:$AO$55,2,FALSE))*IF('9.0.10'!AN$4="是",'9.0.10'!$AY$4,'9.0.10'!$AY$3)</f>
        <v>0</v>
      </c>
      <c r="E48" s="4">
        <f>(VLOOKUP('9.0.10'!M48,'9.0.10'!$AM$4:$AO$55,2,FALSE))*IF('9.0.10'!AO$4="是",'9.0.10'!$AY$4,'9.0.10'!$AY$3)</f>
        <v>0</v>
      </c>
      <c r="F48" s="4">
        <f>(VLOOKUP('9.0.10'!N48,'9.0.10'!$AM$4:$AO$55,2,FALSE))*IF('9.0.10'!AQ$4="是",'9.0.10'!$AY$4,'9.0.10'!$AY$3)</f>
        <v>0</v>
      </c>
      <c r="G48" s="5">
        <f>(VLOOKUP('9.0.10'!O48,'9.0.10'!$AM$4:$AO$55,2,FALSE))*IF('9.0.10'!AR$4="是",'9.0.10'!$AY$4,'9.0.10'!$AY$3)</f>
        <v>0</v>
      </c>
      <c r="H48" s="5">
        <f>(VLOOKUP('9.0.10'!P48,'9.0.10'!$AM$4:$AO$55,2,FALSE))*IF('9.0.10'!AS$4="是",'9.0.10'!$AY$4,'9.0.10'!$AY$3)</f>
        <v>0</v>
      </c>
      <c r="I48" s="4">
        <f>(VLOOKUP('9.0.10'!Q48,'9.0.10'!$AM$4:$AO$55,2,FALSE))*IF('9.0.10'!AT$4="是",'9.0.10'!$AY$4,'9.0.10'!$AY$3)</f>
        <v>200</v>
      </c>
      <c r="J48" s="4">
        <f>(VLOOKUP('9.0.10'!R48,'9.0.10'!$AM$4:$AO$55,2,FALSE))*IF('9.0.10'!AU$4="是",'9.0.10'!$AY$4,'9.0.10'!$AY$3)</f>
        <v>190</v>
      </c>
      <c r="K48" s="4">
        <f>(VLOOKUP('9.0.10'!S48,'9.0.10'!$AM$4:$AO$55,2,FALSE))*IF('9.0.10'!AV$4="是",'9.0.10'!$AY$4,'9.0.10'!$AY$3)</f>
        <v>190</v>
      </c>
      <c r="L48" s="4">
        <f>(VLOOKUP('9.0.10'!T48,'9.0.10'!$AM$4:$AO$55,2,FALSE))*IF('9.0.10'!AW$4="是",'9.0.10'!$AY$4,'9.0.10'!$AY$3)</f>
        <v>190</v>
      </c>
      <c r="M48" s="4">
        <f>(VLOOKUP('9.0.10'!U48,'9.0.10'!$AM$4:$AO$55,2,FALSE))*IF('9.0.10'!AX$4="是",'9.0.10'!$AY$4,'9.0.10'!$AY$3)</f>
        <v>200</v>
      </c>
      <c r="N48" s="4">
        <f>(VLOOKUP('9.0.10'!V48,'9.0.10'!$AM$4:$AO$55,2,FALSE))*IF('9.0.10'!AY$4="是",'9.0.10'!$AY$4,'9.0.10'!$AY$3)</f>
        <v>190</v>
      </c>
      <c r="O48" s="5">
        <f>(VLOOKUP('9.0.10'!W48,'9.0.10'!$AM$4:$AO$55,2,FALSE))*IF('9.0.10'!AZ$4="是",'9.0.10'!$AY$4,'9.0.10'!$AY$3)</f>
        <v>0</v>
      </c>
      <c r="P48" s="5">
        <f>(VLOOKUP('9.0.10'!X48,'9.0.10'!$AM$4:$AO$55,2,FALSE))*IF('9.0.10'!BA$4="是",'9.0.10'!$AY$4,'9.0.10'!$AY$3)</f>
        <v>0</v>
      </c>
      <c r="Q48" s="4">
        <f>(VLOOKUP('9.0.10'!Y48,'9.0.10'!$AM$4:$AO$55,2,FALSE))*IF('9.0.10'!BB$4="是",'9.0.10'!$AY$4,'9.0.10'!$AY$3)</f>
        <v>190</v>
      </c>
      <c r="R48" s="4">
        <f>(VLOOKUP('9.0.10'!Z48,'9.0.10'!$AM$4:$AO$55,2,FALSE))*IF('9.0.10'!BC$4="是",'9.0.10'!$AY$4,'9.0.10'!$AY$3)</f>
        <v>190</v>
      </c>
      <c r="S48" s="4">
        <f>(VLOOKUP('9.0.10'!AA48,'9.0.10'!$AM$4:$AO$55,2,FALSE))*IF('9.0.10'!BD$4="是",'9.0.10'!$AY$4,'9.0.10'!$AY$3)</f>
        <v>190</v>
      </c>
      <c r="T48" s="4">
        <f>(VLOOKUP('9.0.10'!AB48,'9.0.10'!$AM$4:$AO$55,2,FALSE))*IF('9.0.10'!BE$4="是",'9.0.10'!$AY$4,'9.0.10'!$AY$3)</f>
        <v>190</v>
      </c>
      <c r="U48" s="4">
        <f>(VLOOKUP('9.0.10'!AC48,'9.0.10'!$AM$4:$AO$55,2,FALSE))*IF('9.0.10'!BF$4="是",'9.0.10'!$AY$4,'9.0.10'!$AY$3)</f>
        <v>190</v>
      </c>
      <c r="V48" s="4">
        <f>(VLOOKUP('9.0.10'!AD48,'9.0.10'!$AM$4:$AO$55,2,FALSE))*IF('9.0.10'!BG$4="是",'9.0.10'!$AY$4,'9.0.10'!$AY$3)</f>
        <v>190</v>
      </c>
      <c r="W48" s="5">
        <f>(VLOOKUP('9.0.10'!AE48,'9.0.10'!$AM$4:$AO$55,2,FALSE))*IF('9.0.10'!BH$4="是",'9.0.10'!$AY$4,'9.0.10'!$AY$3)</f>
        <v>0</v>
      </c>
      <c r="X48" s="5">
        <f>(VLOOKUP('9.0.10'!AF48,'9.0.10'!$AM$4:$AO$55,2,FALSE))*IF('9.0.10'!BI$4="是",'9.0.10'!$AY$4,'9.0.10'!$AY$3)</f>
        <v>0</v>
      </c>
    </row>
    <row r="49" spans="1:24">
      <c r="A49" s="4">
        <f>(VLOOKUP('9.0.10'!I49,'9.0.10'!$AM$4:$AO$55,2,FALSE))*IF('9.0.10'!AK$4="是",'9.0.10'!$AY$4,'9.0.10'!$AY$3)</f>
        <v>0</v>
      </c>
      <c r="B49" s="4">
        <f>(VLOOKUP('9.0.10'!J49,'9.0.10'!$AM$4:$AO$55,2,FALSE))*IF('9.0.10'!AL$4="是",'9.0.10'!$AY$4,'9.0.10'!$AY$3)</f>
        <v>0</v>
      </c>
      <c r="C49" s="4">
        <f>(VLOOKUP('9.0.10'!K49,'9.0.10'!$AM$4:$AO$55,2,FALSE))*IF('9.0.10'!AM$4="是",'9.0.10'!$AY$4,'9.0.10'!$AY$3)</f>
        <v>0</v>
      </c>
      <c r="D49" s="4">
        <f>(VLOOKUP('9.0.10'!L49,'9.0.10'!$AM$4:$AO$55,2,FALSE))*IF('9.0.10'!AN$4="是",'9.0.10'!$AY$4,'9.0.10'!$AY$3)</f>
        <v>0</v>
      </c>
      <c r="E49" s="4">
        <f>(VLOOKUP('9.0.10'!M49,'9.0.10'!$AM$4:$AO$55,2,FALSE))*IF('9.0.10'!AO$4="是",'9.0.10'!$AY$4,'9.0.10'!$AY$3)</f>
        <v>0</v>
      </c>
      <c r="F49" s="4">
        <f>(VLOOKUP('9.0.10'!N49,'9.0.10'!$AM$4:$AO$55,2,FALSE))*IF('9.0.10'!AQ$4="是",'9.0.10'!$AY$4,'9.0.10'!$AY$3)</f>
        <v>0</v>
      </c>
      <c r="G49" s="5">
        <f>(VLOOKUP('9.0.10'!O49,'9.0.10'!$AM$4:$AO$55,2,FALSE))*IF('9.0.10'!AR$4="是",'9.0.10'!$AY$4,'9.0.10'!$AY$3)</f>
        <v>0</v>
      </c>
      <c r="H49" s="5">
        <f>(VLOOKUP('9.0.10'!P49,'9.0.10'!$AM$4:$AO$55,2,FALSE))*IF('9.0.10'!AS$4="是",'9.0.10'!$AY$4,'9.0.10'!$AY$3)</f>
        <v>0</v>
      </c>
      <c r="I49" s="4">
        <f>(VLOOKUP('9.0.10'!Q49,'9.0.10'!$AM$4:$AO$55,2,FALSE))*IF('9.0.10'!AT$4="是",'9.0.10'!$AY$4,'9.0.10'!$AY$3)</f>
        <v>200</v>
      </c>
      <c r="J49" s="4">
        <f>(VLOOKUP('9.0.10'!R49,'9.0.10'!$AM$4:$AO$55,2,FALSE))*IF('9.0.10'!AU$4="是",'9.0.10'!$AY$4,'9.0.10'!$AY$3)</f>
        <v>190</v>
      </c>
      <c r="K49" s="4">
        <f>(VLOOKUP('9.0.10'!S49,'9.0.10'!$AM$4:$AO$55,2,FALSE))*IF('9.0.10'!AV$4="是",'9.0.10'!$AY$4,'9.0.10'!$AY$3)</f>
        <v>200</v>
      </c>
      <c r="L49" s="4">
        <f>(VLOOKUP('9.0.10'!T49,'9.0.10'!$AM$4:$AO$55,2,FALSE))*IF('9.0.10'!AW$4="是",'9.0.10'!$AY$4,'9.0.10'!$AY$3)</f>
        <v>200</v>
      </c>
      <c r="M49" s="4">
        <f>(VLOOKUP('9.0.10'!U49,'9.0.10'!$AM$4:$AO$55,2,FALSE))*IF('9.0.10'!AX$4="是",'9.0.10'!$AY$4,'9.0.10'!$AY$3)</f>
        <v>200</v>
      </c>
      <c r="N49" s="4">
        <f>(VLOOKUP('9.0.10'!V49,'9.0.10'!$AM$4:$AO$55,2,FALSE))*IF('9.0.10'!AY$4="是",'9.0.10'!$AY$4,'9.0.10'!$AY$3)</f>
        <v>200</v>
      </c>
      <c r="O49" s="5">
        <f>(VLOOKUP('9.0.10'!W49,'9.0.10'!$AM$4:$AO$55,2,FALSE))*IF('9.0.10'!AZ$4="是",'9.0.10'!$AY$4,'9.0.10'!$AY$3)</f>
        <v>0</v>
      </c>
      <c r="P49" s="5">
        <f>(VLOOKUP('9.0.10'!X49,'9.0.10'!$AM$4:$AO$55,2,FALSE))*IF('9.0.10'!BA$4="是",'9.0.10'!$AY$4,'9.0.10'!$AY$3)</f>
        <v>0</v>
      </c>
      <c r="Q49" s="4">
        <f>(VLOOKUP('9.0.10'!Y49,'9.0.10'!$AM$4:$AO$55,2,FALSE))*IF('9.0.10'!BB$4="是",'9.0.10'!$AY$4,'9.0.10'!$AY$3)</f>
        <v>200</v>
      </c>
      <c r="R49" s="4">
        <f>(VLOOKUP('9.0.10'!Z49,'9.0.10'!$AM$4:$AO$55,2,FALSE))*IF('9.0.10'!BC$4="是",'9.0.10'!$AY$4,'9.0.10'!$AY$3)</f>
        <v>190</v>
      </c>
      <c r="S49" s="4">
        <f>(VLOOKUP('9.0.10'!AA49,'9.0.10'!$AM$4:$AO$55,2,FALSE))*IF('9.0.10'!BD$4="是",'9.0.10'!$AY$4,'9.0.10'!$AY$3)</f>
        <v>150</v>
      </c>
      <c r="T49" s="4">
        <f>(VLOOKUP('9.0.10'!AB49,'9.0.10'!$AM$4:$AO$55,2,FALSE))*IF('9.0.10'!BE$4="是",'9.0.10'!$AY$4,'9.0.10'!$AY$3)</f>
        <v>190</v>
      </c>
      <c r="U49" s="4">
        <f>(VLOOKUP('9.0.10'!AC49,'9.0.10'!$AM$4:$AO$55,2,FALSE))*IF('9.0.10'!BF$4="是",'9.0.10'!$AY$4,'9.0.10'!$AY$3)</f>
        <v>190</v>
      </c>
      <c r="V49" s="4">
        <f>(VLOOKUP('9.0.10'!AD49,'9.0.10'!$AM$4:$AO$55,2,FALSE))*IF('9.0.10'!BG$4="是",'9.0.10'!$AY$4,'9.0.10'!$AY$3)</f>
        <v>190</v>
      </c>
      <c r="W49" s="5">
        <f>(VLOOKUP('9.0.10'!AE49,'9.0.10'!$AM$4:$AO$55,2,FALSE))*IF('9.0.10'!BH$4="是",'9.0.10'!$AY$4,'9.0.10'!$AY$3)</f>
        <v>0</v>
      </c>
      <c r="X49" s="5">
        <f>(VLOOKUP('9.0.10'!AF49,'9.0.10'!$AM$4:$AO$55,2,FALSE))*IF('9.0.10'!BI$4="是",'9.0.10'!$AY$4,'9.0.10'!$AY$3)</f>
        <v>0</v>
      </c>
    </row>
    <row r="50" spans="1:24">
      <c r="A50" s="4">
        <f>(VLOOKUP('9.0.10'!I50,'9.0.10'!$AM$4:$AO$55,2,FALSE))*IF('9.0.10'!AK$4="是",'9.0.10'!$AY$4,'9.0.10'!$AY$3)</f>
        <v>0</v>
      </c>
      <c r="B50" s="4">
        <f>(VLOOKUP('9.0.10'!J50,'9.0.10'!$AM$4:$AO$55,2,FALSE))*IF('9.0.10'!AL$4="是",'9.0.10'!$AY$4,'9.0.10'!$AY$3)</f>
        <v>0</v>
      </c>
      <c r="C50" s="4">
        <f>(VLOOKUP('9.0.10'!K50,'9.0.10'!$AM$4:$AO$55,2,FALSE))*IF('9.0.10'!AM$4="是",'9.0.10'!$AY$4,'9.0.10'!$AY$3)</f>
        <v>0</v>
      </c>
      <c r="D50" s="4">
        <f>(VLOOKUP('9.0.10'!L50,'9.0.10'!$AM$4:$AO$55,2,FALSE))*IF('9.0.10'!AN$4="是",'9.0.10'!$AY$4,'9.0.10'!$AY$3)</f>
        <v>0</v>
      </c>
      <c r="E50" s="4">
        <f>(VLOOKUP('9.0.10'!M50,'9.0.10'!$AM$4:$AO$55,2,FALSE))*IF('9.0.10'!AO$4="是",'9.0.10'!$AY$4,'9.0.10'!$AY$3)</f>
        <v>0</v>
      </c>
      <c r="F50" s="4">
        <f>(VLOOKUP('9.0.10'!N50,'9.0.10'!$AM$4:$AO$55,2,FALSE))*IF('9.0.10'!AQ$4="是",'9.0.10'!$AY$4,'9.0.10'!$AY$3)</f>
        <v>0</v>
      </c>
      <c r="G50" s="5">
        <f>(VLOOKUP('9.0.10'!O50,'9.0.10'!$AM$4:$AO$55,2,FALSE))*IF('9.0.10'!AR$4="是",'9.0.10'!$AY$4,'9.0.10'!$AY$3)</f>
        <v>0</v>
      </c>
      <c r="H50" s="5">
        <f>(VLOOKUP('9.0.10'!P50,'9.0.10'!$AM$4:$AO$55,2,FALSE))*IF('9.0.10'!AS$4="是",'9.0.10'!$AY$4,'9.0.10'!$AY$3)</f>
        <v>0</v>
      </c>
      <c r="I50" s="4">
        <f>(VLOOKUP('9.0.10'!Q50,'9.0.10'!$AM$4:$AO$55,2,FALSE))*IF('9.0.10'!AT$4="是",'9.0.10'!$AY$4,'9.0.10'!$AY$3)</f>
        <v>200</v>
      </c>
      <c r="J50" s="4">
        <f>(VLOOKUP('9.0.10'!R50,'9.0.10'!$AM$4:$AO$55,2,FALSE))*IF('9.0.10'!AU$4="是",'9.0.10'!$AY$4,'9.0.10'!$AY$3)</f>
        <v>200</v>
      </c>
      <c r="K50" s="4">
        <f>(VLOOKUP('9.0.10'!S50,'9.0.10'!$AM$4:$AO$55,2,FALSE))*IF('9.0.10'!AV$4="是",'9.0.10'!$AY$4,'9.0.10'!$AY$3)</f>
        <v>200</v>
      </c>
      <c r="L50" s="4">
        <f>(VLOOKUP('9.0.10'!T50,'9.0.10'!$AM$4:$AO$55,2,FALSE))*IF('9.0.10'!AW$4="是",'9.0.10'!$AY$4,'9.0.10'!$AY$3)</f>
        <v>200</v>
      </c>
      <c r="M50" s="4">
        <f>(VLOOKUP('9.0.10'!U50,'9.0.10'!$AM$4:$AO$55,2,FALSE))*IF('9.0.10'!AX$4="是",'9.0.10'!$AY$4,'9.0.10'!$AY$3)</f>
        <v>200</v>
      </c>
      <c r="N50" s="4">
        <f>(VLOOKUP('9.0.10'!V50,'9.0.10'!$AM$4:$AO$55,2,FALSE))*IF('9.0.10'!AY$4="是",'9.0.10'!$AY$4,'9.0.10'!$AY$3)</f>
        <v>190</v>
      </c>
      <c r="O50" s="5">
        <f>(VLOOKUP('9.0.10'!W50,'9.0.10'!$AM$4:$AO$55,2,FALSE))*IF('9.0.10'!AZ$4="是",'9.0.10'!$AY$4,'9.0.10'!$AY$3)</f>
        <v>0</v>
      </c>
      <c r="P50" s="5">
        <f>(VLOOKUP('9.0.10'!X50,'9.0.10'!$AM$4:$AO$55,2,FALSE))*IF('9.0.10'!BA$4="是",'9.0.10'!$AY$4,'9.0.10'!$AY$3)</f>
        <v>0</v>
      </c>
      <c r="Q50" s="4">
        <f>(VLOOKUP('9.0.10'!Y50,'9.0.10'!$AM$4:$AO$55,2,FALSE))*IF('9.0.10'!BB$4="是",'9.0.10'!$AY$4,'9.0.10'!$AY$3)</f>
        <v>190</v>
      </c>
      <c r="R50" s="4">
        <f>(VLOOKUP('9.0.10'!Z50,'9.0.10'!$AM$4:$AO$55,2,FALSE))*IF('9.0.10'!BC$4="是",'9.0.10'!$AY$4,'9.0.10'!$AY$3)</f>
        <v>190</v>
      </c>
      <c r="S50" s="4">
        <f>(VLOOKUP('9.0.10'!AA50,'9.0.10'!$AM$4:$AO$55,2,FALSE))*IF('9.0.10'!BD$4="是",'9.0.10'!$AY$4,'9.0.10'!$AY$3)</f>
        <v>190</v>
      </c>
      <c r="T50" s="4">
        <f>(VLOOKUP('9.0.10'!AB50,'9.0.10'!$AM$4:$AO$55,2,FALSE))*IF('9.0.10'!BE$4="是",'9.0.10'!$AY$4,'9.0.10'!$AY$3)</f>
        <v>190</v>
      </c>
      <c r="U50" s="4">
        <f>(VLOOKUP('9.0.10'!AC50,'9.0.10'!$AM$4:$AO$55,2,FALSE))*IF('9.0.10'!BF$4="是",'9.0.10'!$AY$4,'9.0.10'!$AY$3)</f>
        <v>180</v>
      </c>
      <c r="V50" s="4">
        <f>(VLOOKUP('9.0.10'!AD50,'9.0.10'!$AM$4:$AO$55,2,FALSE))*IF('9.0.10'!BG$4="是",'9.0.10'!$AY$4,'9.0.10'!$AY$3)</f>
        <v>190</v>
      </c>
      <c r="W50" s="5">
        <f>(VLOOKUP('9.0.10'!AE50,'9.0.10'!$AM$4:$AO$55,2,FALSE))*IF('9.0.10'!BH$4="是",'9.0.10'!$AY$4,'9.0.10'!$AY$3)</f>
        <v>0</v>
      </c>
      <c r="X50" s="5">
        <f>(VLOOKUP('9.0.10'!AF50,'9.0.10'!$AM$4:$AO$55,2,FALSE))*IF('9.0.10'!BI$4="是",'9.0.10'!$AY$4,'9.0.10'!$AY$3)</f>
        <v>0</v>
      </c>
    </row>
    <row r="51" spans="1:24">
      <c r="A51" s="4">
        <f>(VLOOKUP('9.0.10'!I51,'9.0.10'!$AM$4:$AO$55,2,FALSE))*IF('9.0.10'!AK$4="是",'9.0.10'!$AY$4,'9.0.10'!$AY$3)</f>
        <v>0</v>
      </c>
      <c r="B51" s="4">
        <f>(VLOOKUP('9.0.10'!J51,'9.0.10'!$AM$4:$AO$55,2,FALSE))*IF('9.0.10'!AL$4="是",'9.0.10'!$AY$4,'9.0.10'!$AY$3)</f>
        <v>0</v>
      </c>
      <c r="C51" s="4">
        <f>(VLOOKUP('9.0.10'!K51,'9.0.10'!$AM$4:$AO$55,2,FALSE))*IF('9.0.10'!AM$4="是",'9.0.10'!$AY$4,'9.0.10'!$AY$3)</f>
        <v>0</v>
      </c>
      <c r="D51" s="4">
        <f>(VLOOKUP('9.0.10'!L51,'9.0.10'!$AM$4:$AO$55,2,FALSE))*IF('9.0.10'!AN$4="是",'9.0.10'!$AY$4,'9.0.10'!$AY$3)</f>
        <v>0</v>
      </c>
      <c r="E51" s="4">
        <f>(VLOOKUP('9.0.10'!M51,'9.0.10'!$AM$4:$AO$55,2,FALSE))*IF('9.0.10'!AO$4="是",'9.0.10'!$AY$4,'9.0.10'!$AY$3)</f>
        <v>0</v>
      </c>
      <c r="F51" s="4">
        <f>(VLOOKUP('9.0.10'!N51,'9.0.10'!$AM$4:$AO$55,2,FALSE))*IF('9.0.10'!AQ$4="是",'9.0.10'!$AY$4,'9.0.10'!$AY$3)</f>
        <v>0</v>
      </c>
      <c r="G51" s="5">
        <f>(VLOOKUP('9.0.10'!O51,'9.0.10'!$AM$4:$AO$55,2,FALSE))*IF('9.0.10'!AR$4="是",'9.0.10'!$AY$4,'9.0.10'!$AY$3)</f>
        <v>0</v>
      </c>
      <c r="H51" s="5">
        <f>(VLOOKUP('9.0.10'!P51,'9.0.10'!$AM$4:$AO$55,2,FALSE))*IF('9.0.10'!AS$4="是",'9.0.10'!$AY$4,'9.0.10'!$AY$3)</f>
        <v>0</v>
      </c>
      <c r="I51" s="4">
        <f>(VLOOKUP('9.0.10'!Q51,'9.0.10'!$AM$4:$AO$55,2,FALSE))*IF('9.0.10'!AT$4="是",'9.0.10'!$AY$4,'9.0.10'!$AY$3)</f>
        <v>190</v>
      </c>
      <c r="J51" s="4">
        <f>(VLOOKUP('9.0.10'!R51,'9.0.10'!$AM$4:$AO$55,2,FALSE))*IF('9.0.10'!AU$4="是",'9.0.10'!$AY$4,'9.0.10'!$AY$3)</f>
        <v>200</v>
      </c>
      <c r="K51" s="4">
        <f>(VLOOKUP('9.0.10'!S51,'9.0.10'!$AM$4:$AO$55,2,FALSE))*IF('9.0.10'!AV$4="是",'9.0.10'!$AY$4,'9.0.10'!$AY$3)</f>
        <v>200</v>
      </c>
      <c r="L51" s="4">
        <f>(VLOOKUP('9.0.10'!T51,'9.0.10'!$AM$4:$AO$55,2,FALSE))*IF('9.0.10'!AW$4="是",'9.0.10'!$AY$4,'9.0.10'!$AY$3)</f>
        <v>200</v>
      </c>
      <c r="M51" s="4">
        <f>(VLOOKUP('9.0.10'!U51,'9.0.10'!$AM$4:$AO$55,2,FALSE))*IF('9.0.10'!AX$4="是",'9.0.10'!$AY$4,'9.0.10'!$AY$3)</f>
        <v>200</v>
      </c>
      <c r="N51" s="4">
        <f>(VLOOKUP('9.0.10'!V51,'9.0.10'!$AM$4:$AO$55,2,FALSE))*IF('9.0.10'!AY$4="是",'9.0.10'!$AY$4,'9.0.10'!$AY$3)</f>
        <v>200</v>
      </c>
      <c r="O51" s="5">
        <f>(VLOOKUP('9.0.10'!W51,'9.0.10'!$AM$4:$AO$55,2,FALSE))*IF('9.0.10'!AZ$4="是",'9.0.10'!$AY$4,'9.0.10'!$AY$3)</f>
        <v>0</v>
      </c>
      <c r="P51" s="5">
        <f>(VLOOKUP('9.0.10'!X51,'9.0.10'!$AM$4:$AO$55,2,FALSE))*IF('9.0.10'!BA$4="是",'9.0.10'!$AY$4,'9.0.10'!$AY$3)</f>
        <v>0</v>
      </c>
      <c r="Q51" s="4">
        <f>(VLOOKUP('9.0.10'!Y51,'9.0.10'!$AM$4:$AO$55,2,FALSE))*IF('9.0.10'!BB$4="是",'9.0.10'!$AY$4,'9.0.10'!$AY$3)</f>
        <v>190</v>
      </c>
      <c r="R51" s="4">
        <f>(VLOOKUP('9.0.10'!Z51,'9.0.10'!$AM$4:$AO$55,2,FALSE))*IF('9.0.10'!BC$4="是",'9.0.10'!$AY$4,'9.0.10'!$AY$3)</f>
        <v>190</v>
      </c>
      <c r="S51" s="4">
        <f>(VLOOKUP('9.0.10'!AA51,'9.0.10'!$AM$4:$AO$55,2,FALSE))*IF('9.0.10'!BD$4="是",'9.0.10'!$AY$4,'9.0.10'!$AY$3)</f>
        <v>190</v>
      </c>
      <c r="T51" s="4">
        <f>(VLOOKUP('9.0.10'!AB51,'9.0.10'!$AM$4:$AO$55,2,FALSE))*IF('9.0.10'!BE$4="是",'9.0.10'!$AY$4,'9.0.10'!$AY$3)</f>
        <v>190</v>
      </c>
      <c r="U51" s="4">
        <f>(VLOOKUP('9.0.10'!AC51,'9.0.10'!$AM$4:$AO$55,2,FALSE))*IF('9.0.10'!BF$4="是",'9.0.10'!$AY$4,'9.0.10'!$AY$3)</f>
        <v>190</v>
      </c>
      <c r="V51" s="4">
        <f>(VLOOKUP('9.0.10'!AD51,'9.0.10'!$AM$4:$AO$55,2,FALSE))*IF('9.0.10'!BG$4="是",'9.0.10'!$AY$4,'9.0.10'!$AY$3)</f>
        <v>190</v>
      </c>
      <c r="W51" s="5">
        <f>(VLOOKUP('9.0.10'!AE51,'9.0.10'!$AM$4:$AO$55,2,FALSE))*IF('9.0.10'!BH$4="是",'9.0.10'!$AY$4,'9.0.10'!$AY$3)</f>
        <v>50</v>
      </c>
      <c r="X51" s="5">
        <f>(VLOOKUP('9.0.10'!AF51,'9.0.10'!$AM$4:$AO$55,2,FALSE))*IF('9.0.10'!BI$4="是",'9.0.10'!$AY$4,'9.0.10'!$AY$3)</f>
        <v>0</v>
      </c>
    </row>
    <row r="52" spans="1:24">
      <c r="A52" s="4">
        <f>(VLOOKUP('9.0.10'!I52,'9.0.10'!$AM$4:$AO$55,2,FALSE))*IF('9.0.10'!AK$4="是",'9.0.10'!$AY$4,'9.0.10'!$AY$3)</f>
        <v>0</v>
      </c>
      <c r="B52" s="4">
        <f>(VLOOKUP('9.0.10'!J52,'9.0.10'!$AM$4:$AO$55,2,FALSE))*IF('9.0.10'!AL$4="是",'9.0.10'!$AY$4,'9.0.10'!$AY$3)</f>
        <v>0</v>
      </c>
      <c r="C52" s="4">
        <f>(VLOOKUP('9.0.10'!K52,'9.0.10'!$AM$4:$AO$55,2,FALSE))*IF('9.0.10'!AM$4="是",'9.0.10'!$AY$4,'9.0.10'!$AY$3)</f>
        <v>0</v>
      </c>
      <c r="D52" s="4">
        <f>(VLOOKUP('9.0.10'!L52,'9.0.10'!$AM$4:$AO$55,2,FALSE))*IF('9.0.10'!AN$4="是",'9.0.10'!$AY$4,'9.0.10'!$AY$3)</f>
        <v>0</v>
      </c>
      <c r="E52" s="4">
        <f>(VLOOKUP('9.0.10'!M52,'9.0.10'!$AM$4:$AO$55,2,FALSE))*IF('9.0.10'!AO$4="是",'9.0.10'!$AY$4,'9.0.10'!$AY$3)</f>
        <v>0</v>
      </c>
      <c r="F52" s="4">
        <f>(VLOOKUP('9.0.10'!N52,'9.0.10'!$AM$4:$AO$55,2,FALSE))*IF('9.0.10'!AQ$4="是",'9.0.10'!$AY$4,'9.0.10'!$AY$3)</f>
        <v>0</v>
      </c>
      <c r="G52" s="5">
        <f>(VLOOKUP('9.0.10'!O52,'9.0.10'!$AM$4:$AO$55,2,FALSE))*IF('9.0.10'!AR$4="是",'9.0.10'!$AY$4,'9.0.10'!$AY$3)</f>
        <v>0</v>
      </c>
      <c r="H52" s="5">
        <f>(VLOOKUP('9.0.10'!P52,'9.0.10'!$AM$4:$AO$55,2,FALSE))*IF('9.0.10'!AS$4="是",'9.0.10'!$AY$4,'9.0.10'!$AY$3)</f>
        <v>0</v>
      </c>
      <c r="I52" s="4">
        <f>(VLOOKUP('9.0.10'!Q52,'9.0.10'!$AM$4:$AO$55,2,FALSE))*IF('9.0.10'!AT$4="是",'9.0.10'!$AY$4,'9.0.10'!$AY$3)</f>
        <v>200</v>
      </c>
      <c r="J52" s="4">
        <f>(VLOOKUP('9.0.10'!R52,'9.0.10'!$AM$4:$AO$55,2,FALSE))*IF('9.0.10'!AU$4="是",'9.0.10'!$AY$4,'9.0.10'!$AY$3)</f>
        <v>190</v>
      </c>
      <c r="K52" s="4">
        <f>(VLOOKUP('9.0.10'!S52,'9.0.10'!$AM$4:$AO$55,2,FALSE))*IF('9.0.10'!AV$4="是",'9.0.10'!$AY$4,'9.0.10'!$AY$3)</f>
        <v>190</v>
      </c>
      <c r="L52" s="4">
        <f>(VLOOKUP('9.0.10'!T52,'9.0.10'!$AM$4:$AO$55,2,FALSE))*IF('9.0.10'!AW$4="是",'9.0.10'!$AY$4,'9.0.10'!$AY$3)</f>
        <v>190</v>
      </c>
      <c r="M52" s="4">
        <f>(VLOOKUP('9.0.10'!U52,'9.0.10'!$AM$4:$AO$55,2,FALSE))*IF('9.0.10'!AX$4="是",'9.0.10'!$AY$4,'9.0.10'!$AY$3)</f>
        <v>200</v>
      </c>
      <c r="N52" s="4">
        <f>(VLOOKUP('9.0.10'!V52,'9.0.10'!$AM$4:$AO$55,2,FALSE))*IF('9.0.10'!AY$4="是",'9.0.10'!$AY$4,'9.0.10'!$AY$3)</f>
        <v>200</v>
      </c>
      <c r="O52" s="5">
        <f>(VLOOKUP('9.0.10'!W52,'9.0.10'!$AM$4:$AO$55,2,FALSE))*IF('9.0.10'!AZ$4="是",'9.0.10'!$AY$4,'9.0.10'!$AY$3)</f>
        <v>0</v>
      </c>
      <c r="P52" s="5">
        <f>(VLOOKUP('9.0.10'!X52,'9.0.10'!$AM$4:$AO$55,2,FALSE))*IF('9.0.10'!BA$4="是",'9.0.10'!$AY$4,'9.0.10'!$AY$3)</f>
        <v>0</v>
      </c>
      <c r="Q52" s="4">
        <f>(VLOOKUP('9.0.10'!Y52,'9.0.10'!$AM$4:$AO$55,2,FALSE))*IF('9.0.10'!BB$4="是",'9.0.10'!$AY$4,'9.0.10'!$AY$3)</f>
        <v>190</v>
      </c>
      <c r="R52" s="4">
        <f>(VLOOKUP('9.0.10'!Z52,'9.0.10'!$AM$4:$AO$55,2,FALSE))*IF('9.0.10'!BC$4="是",'9.0.10'!$AY$4,'9.0.10'!$AY$3)</f>
        <v>190</v>
      </c>
      <c r="S52" s="4">
        <f>(VLOOKUP('9.0.10'!AA52,'9.0.10'!$AM$4:$AO$55,2,FALSE))*IF('9.0.10'!BD$4="是",'9.0.10'!$AY$4,'9.0.10'!$AY$3)</f>
        <v>190</v>
      </c>
      <c r="T52" s="4">
        <f>(VLOOKUP('9.0.10'!AB52,'9.0.10'!$AM$4:$AO$55,2,FALSE))*IF('9.0.10'!BE$4="是",'9.0.10'!$AY$4,'9.0.10'!$AY$3)</f>
        <v>-200</v>
      </c>
      <c r="U52" s="4">
        <f>(VLOOKUP('9.0.10'!AC52,'9.0.10'!$AM$4:$AO$55,2,FALSE))*IF('9.0.10'!BF$4="是",'9.0.10'!$AY$4,'9.0.10'!$AY$3)</f>
        <v>190</v>
      </c>
      <c r="V52" s="4">
        <f>(VLOOKUP('9.0.10'!AD52,'9.0.10'!$AM$4:$AO$55,2,FALSE))*IF('9.0.10'!BG$4="是",'9.0.10'!$AY$4,'9.0.10'!$AY$3)</f>
        <v>190</v>
      </c>
      <c r="W52" s="5">
        <f>(VLOOKUP('9.0.10'!AE52,'9.0.10'!$AM$4:$AO$55,2,FALSE))*IF('9.0.10'!BH$4="是",'9.0.10'!$AY$4,'9.0.10'!$AY$3)</f>
        <v>190</v>
      </c>
      <c r="X52" s="5">
        <f>(VLOOKUP('9.0.10'!AF52,'9.0.10'!$AM$4:$AO$55,2,FALSE))*IF('9.0.10'!BI$4="是",'9.0.10'!$AY$4,'9.0.10'!$AY$3)</f>
        <v>190</v>
      </c>
    </row>
    <row r="53" spans="1:24">
      <c r="A53" s="4">
        <f>(VLOOKUP('9.0.10'!I53,'9.0.10'!$AM$4:$AO$55,2,FALSE))*IF('9.0.10'!AK$4="是",'9.0.10'!$AY$4,'9.0.10'!$AY$3)</f>
        <v>0</v>
      </c>
      <c r="B53" s="4">
        <f>(VLOOKUP('9.0.10'!J53,'9.0.10'!$AM$4:$AO$55,2,FALSE))*IF('9.0.10'!AL$4="是",'9.0.10'!$AY$4,'9.0.10'!$AY$3)</f>
        <v>0</v>
      </c>
      <c r="C53" s="4">
        <f>(VLOOKUP('9.0.10'!K53,'9.0.10'!$AM$4:$AO$55,2,FALSE))*IF('9.0.10'!AM$4="是",'9.0.10'!$AY$4,'9.0.10'!$AY$3)</f>
        <v>0</v>
      </c>
      <c r="D53" s="4">
        <f>(VLOOKUP('9.0.10'!L53,'9.0.10'!$AM$4:$AO$55,2,FALSE))*IF('9.0.10'!AN$4="是",'9.0.10'!$AY$4,'9.0.10'!$AY$3)</f>
        <v>0</v>
      </c>
      <c r="E53" s="4">
        <f>(VLOOKUP('9.0.10'!M53,'9.0.10'!$AM$4:$AO$55,2,FALSE))*IF('9.0.10'!AO$4="是",'9.0.10'!$AY$4,'9.0.10'!$AY$3)</f>
        <v>0</v>
      </c>
      <c r="F53" s="4">
        <f>(VLOOKUP('9.0.10'!N53,'9.0.10'!$AM$4:$AO$55,2,FALSE))*IF('9.0.10'!AQ$4="是",'9.0.10'!$AY$4,'9.0.10'!$AY$3)</f>
        <v>0</v>
      </c>
      <c r="G53" s="5">
        <f>(VLOOKUP('9.0.10'!O53,'9.0.10'!$AM$4:$AO$55,2,FALSE))*IF('9.0.10'!AR$4="是",'9.0.10'!$AY$4,'9.0.10'!$AY$3)</f>
        <v>0</v>
      </c>
      <c r="H53" s="5">
        <f>(VLOOKUP('9.0.10'!P53,'9.0.10'!$AM$4:$AO$55,2,FALSE))*IF('9.0.10'!AS$4="是",'9.0.10'!$AY$4,'9.0.10'!$AY$3)</f>
        <v>0</v>
      </c>
      <c r="I53" s="4">
        <f>(VLOOKUP('9.0.10'!Q53,'9.0.10'!$AM$4:$AO$55,2,FALSE))*IF('9.0.10'!AT$4="是",'9.0.10'!$AY$4,'9.0.10'!$AY$3)</f>
        <v>190</v>
      </c>
      <c r="J53" s="4">
        <f>(VLOOKUP('9.0.10'!R53,'9.0.10'!$AM$4:$AO$55,2,FALSE))*IF('9.0.10'!AU$4="是",'9.0.10'!$AY$4,'9.0.10'!$AY$3)</f>
        <v>200</v>
      </c>
      <c r="K53" s="4">
        <f>(VLOOKUP('9.0.10'!S53,'9.0.10'!$AM$4:$AO$55,2,FALSE))*IF('9.0.10'!AV$4="是",'9.0.10'!$AY$4,'9.0.10'!$AY$3)</f>
        <v>200</v>
      </c>
      <c r="L53" s="4">
        <f>(VLOOKUP('9.0.10'!T53,'9.0.10'!$AM$4:$AO$55,2,FALSE))*IF('9.0.10'!AW$4="是",'9.0.10'!$AY$4,'9.0.10'!$AY$3)</f>
        <v>-200</v>
      </c>
      <c r="M53" s="4">
        <f>(VLOOKUP('9.0.10'!U53,'9.0.10'!$AM$4:$AO$55,2,FALSE))*IF('9.0.10'!AX$4="是",'9.0.10'!$AY$4,'9.0.10'!$AY$3)</f>
        <v>200</v>
      </c>
      <c r="N53" s="4">
        <f>(VLOOKUP('9.0.10'!V53,'9.0.10'!$AM$4:$AO$55,2,FALSE))*IF('9.0.10'!AY$4="是",'9.0.10'!$AY$4,'9.0.10'!$AY$3)</f>
        <v>200</v>
      </c>
      <c r="O53" s="5">
        <f>(VLOOKUP('9.0.10'!W53,'9.0.10'!$AM$4:$AO$55,2,FALSE))*IF('9.0.10'!AZ$4="是",'9.0.10'!$AY$4,'9.0.10'!$AY$3)</f>
        <v>190</v>
      </c>
      <c r="P53" s="5">
        <f>(VLOOKUP('9.0.10'!X53,'9.0.10'!$AM$4:$AO$55,2,FALSE))*IF('9.0.10'!BA$4="是",'9.0.10'!$AY$4,'9.0.10'!$AY$3)</f>
        <v>200</v>
      </c>
      <c r="Q53" s="4">
        <f>(VLOOKUP('9.0.10'!Y53,'9.0.10'!$AM$4:$AO$55,2,FALSE))*IF('9.0.10'!BB$4="是",'9.0.10'!$AY$4,'9.0.10'!$AY$3)</f>
        <v>190</v>
      </c>
      <c r="R53" s="4">
        <f>(VLOOKUP('9.0.10'!Z53,'9.0.10'!$AM$4:$AO$55,2,FALSE))*IF('9.0.10'!BC$4="是",'9.0.10'!$AY$4,'9.0.10'!$AY$3)</f>
        <v>190</v>
      </c>
      <c r="S53" s="4">
        <f>(VLOOKUP('9.0.10'!AA53,'9.0.10'!$AM$4:$AO$55,2,FALSE))*IF('9.0.10'!BD$4="是",'9.0.10'!$AY$4,'9.0.10'!$AY$3)</f>
        <v>200</v>
      </c>
      <c r="T53" s="4">
        <f>(VLOOKUP('9.0.10'!AB53,'9.0.10'!$AM$4:$AO$55,2,FALSE))*IF('9.0.10'!BE$4="是",'9.0.10'!$AY$4,'9.0.10'!$AY$3)</f>
        <v>200</v>
      </c>
      <c r="U53" s="4">
        <f>(VLOOKUP('9.0.10'!AC53,'9.0.10'!$AM$4:$AO$55,2,FALSE))*IF('9.0.10'!BF$4="是",'9.0.10'!$AY$4,'9.0.10'!$AY$3)</f>
        <v>190</v>
      </c>
      <c r="V53" s="4">
        <f>(VLOOKUP('9.0.10'!AD53,'9.0.10'!$AM$4:$AO$55,2,FALSE))*IF('9.0.10'!BG$4="是",'9.0.10'!$AY$4,'9.0.10'!$AY$3)</f>
        <v>190</v>
      </c>
      <c r="W53" s="5">
        <f>(VLOOKUP('9.0.10'!AE53,'9.0.10'!$AM$4:$AO$55,2,FALSE))*IF('9.0.10'!BH$4="是",'9.0.10'!$AY$4,'9.0.10'!$AY$3)</f>
        <v>0</v>
      </c>
      <c r="X53" s="5">
        <f>(VLOOKUP('9.0.10'!AF53,'9.0.10'!$AM$4:$AO$55,2,FALSE))*IF('9.0.10'!BI$4="是",'9.0.10'!$AY$4,'9.0.10'!$AY$3)</f>
        <v>0</v>
      </c>
    </row>
    <row r="54" spans="1:24">
      <c r="A54" s="4">
        <f>(VLOOKUP('9.0.10'!I54,'9.0.10'!$AM$4:$AO$55,2,FALSE))*IF('9.0.10'!AK$4="是",'9.0.10'!$AY$4,'9.0.10'!$AY$3)</f>
        <v>0</v>
      </c>
      <c r="B54" s="4">
        <f>(VLOOKUP('9.0.10'!J54,'9.0.10'!$AM$4:$AO$55,2,FALSE))*IF('9.0.10'!AL$4="是",'9.0.10'!$AY$4,'9.0.10'!$AY$3)</f>
        <v>0</v>
      </c>
      <c r="C54" s="4">
        <f>(VLOOKUP('9.0.10'!K54,'9.0.10'!$AM$4:$AO$55,2,FALSE))*IF('9.0.10'!AM$4="是",'9.0.10'!$AY$4,'9.0.10'!$AY$3)</f>
        <v>0</v>
      </c>
      <c r="D54" s="4">
        <f>(VLOOKUP('9.0.10'!L54,'9.0.10'!$AM$4:$AO$55,2,FALSE))*IF('9.0.10'!AN$4="是",'9.0.10'!$AY$4,'9.0.10'!$AY$3)</f>
        <v>0</v>
      </c>
      <c r="E54" s="4">
        <f>(VLOOKUP('9.0.10'!M54,'9.0.10'!$AM$4:$AO$55,2,FALSE))*IF('9.0.10'!AO$4="是",'9.0.10'!$AY$4,'9.0.10'!$AY$3)</f>
        <v>0</v>
      </c>
      <c r="F54" s="4">
        <f>(VLOOKUP('9.0.10'!N54,'9.0.10'!$AM$4:$AO$55,2,FALSE))*IF('9.0.10'!AQ$4="是",'9.0.10'!$AY$4,'9.0.10'!$AY$3)</f>
        <v>0</v>
      </c>
      <c r="G54" s="5">
        <f>(VLOOKUP('9.0.10'!O54,'9.0.10'!$AM$4:$AO$55,2,FALSE))*IF('9.0.10'!AR$4="是",'9.0.10'!$AY$4,'9.0.10'!$AY$3)</f>
        <v>0</v>
      </c>
      <c r="H54" s="5">
        <f>(VLOOKUP('9.0.10'!P54,'9.0.10'!$AM$4:$AO$55,2,FALSE))*IF('9.0.10'!AS$4="是",'9.0.10'!$AY$4,'9.0.10'!$AY$3)</f>
        <v>0</v>
      </c>
      <c r="I54" s="4">
        <f>(VLOOKUP('9.0.10'!Q54,'9.0.10'!$AM$4:$AO$55,2,FALSE))*IF('9.0.10'!AT$4="是",'9.0.10'!$AY$4,'9.0.10'!$AY$3)</f>
        <v>200</v>
      </c>
      <c r="J54" s="4">
        <f>(VLOOKUP('9.0.10'!R54,'9.0.10'!$AM$4:$AO$55,2,FALSE))*IF('9.0.10'!AU$4="是",'9.0.10'!$AY$4,'9.0.10'!$AY$3)</f>
        <v>200</v>
      </c>
      <c r="K54" s="4">
        <f>(VLOOKUP('9.0.10'!S54,'9.0.10'!$AM$4:$AO$55,2,FALSE))*IF('9.0.10'!AV$4="是",'9.0.10'!$AY$4,'9.0.10'!$AY$3)</f>
        <v>190</v>
      </c>
      <c r="L54" s="4">
        <f>(VLOOKUP('9.0.10'!T54,'9.0.10'!$AM$4:$AO$55,2,FALSE))*IF('9.0.10'!AW$4="是",'9.0.10'!$AY$4,'9.0.10'!$AY$3)</f>
        <v>190</v>
      </c>
      <c r="M54" s="4">
        <f>(VLOOKUP('9.0.10'!U54,'9.0.10'!$AM$4:$AO$55,2,FALSE))*IF('9.0.10'!AX$4="是",'9.0.10'!$AY$4,'9.0.10'!$AY$3)</f>
        <v>190</v>
      </c>
      <c r="N54" s="4">
        <f>(VLOOKUP('9.0.10'!V54,'9.0.10'!$AM$4:$AO$55,2,FALSE))*IF('9.0.10'!AY$4="是",'9.0.10'!$AY$4,'9.0.10'!$AY$3)</f>
        <v>190</v>
      </c>
      <c r="O54" s="5">
        <f>(VLOOKUP('9.0.10'!W54,'9.0.10'!$AM$4:$AO$55,2,FALSE))*IF('9.0.10'!AZ$4="是",'9.0.10'!$AY$4,'9.0.10'!$AY$3)</f>
        <v>0</v>
      </c>
      <c r="P54" s="5">
        <f>(VLOOKUP('9.0.10'!X54,'9.0.10'!$AM$4:$AO$55,2,FALSE))*IF('9.0.10'!BA$4="是",'9.0.10'!$AY$4,'9.0.10'!$AY$3)</f>
        <v>0</v>
      </c>
      <c r="Q54" s="4">
        <f>(VLOOKUP('9.0.10'!Y54,'9.0.10'!$AM$4:$AO$55,2,FALSE))*IF('9.0.10'!BB$4="是",'9.0.10'!$AY$4,'9.0.10'!$AY$3)</f>
        <v>190</v>
      </c>
      <c r="R54" s="4">
        <f>(VLOOKUP('9.0.10'!Z54,'9.0.10'!$AM$4:$AO$55,2,FALSE))*IF('9.0.10'!BC$4="是",'9.0.10'!$AY$4,'9.0.10'!$AY$3)</f>
        <v>190</v>
      </c>
      <c r="S54" s="4">
        <f>(VLOOKUP('9.0.10'!AA54,'9.0.10'!$AM$4:$AO$55,2,FALSE))*IF('9.0.10'!BD$4="是",'9.0.10'!$AY$4,'9.0.10'!$AY$3)</f>
        <v>190</v>
      </c>
      <c r="T54" s="4">
        <f>(VLOOKUP('9.0.10'!AB54,'9.0.10'!$AM$4:$AO$55,2,FALSE))*IF('9.0.10'!BE$4="是",'9.0.10'!$AY$4,'9.0.10'!$AY$3)</f>
        <v>190</v>
      </c>
      <c r="U54" s="4">
        <f>(VLOOKUP('9.0.10'!AC54,'9.0.10'!$AM$4:$AO$55,2,FALSE))*IF('9.0.10'!BF$4="是",'9.0.10'!$AY$4,'9.0.10'!$AY$3)</f>
        <v>200</v>
      </c>
      <c r="V54" s="4">
        <f>(VLOOKUP('9.0.10'!AD54,'9.0.10'!$AM$4:$AO$55,2,FALSE))*IF('9.0.10'!BG$4="是",'9.0.10'!$AY$4,'9.0.10'!$AY$3)</f>
        <v>200</v>
      </c>
      <c r="W54" s="5">
        <f>(VLOOKUP('9.0.10'!AE54,'9.0.10'!$AM$4:$AO$55,2,FALSE))*IF('9.0.10'!BH$4="是",'9.0.10'!$AY$4,'9.0.10'!$AY$3)</f>
        <v>0</v>
      </c>
      <c r="X54" s="5">
        <f>(VLOOKUP('9.0.10'!AF54,'9.0.10'!$AM$4:$AO$55,2,FALSE))*IF('9.0.10'!BI$4="是",'9.0.10'!$AY$4,'9.0.10'!$AY$3)</f>
        <v>0</v>
      </c>
    </row>
    <row r="55" spans="1:24">
      <c r="A55" s="4">
        <f>(VLOOKUP('9.0.10'!I55,'9.0.10'!$AM$4:$AO$55,2,FALSE))*IF('9.0.10'!AK$4="是",'9.0.10'!$AY$4,'9.0.10'!$AY$3)</f>
        <v>0</v>
      </c>
      <c r="B55" s="4">
        <f>(VLOOKUP('9.0.10'!J55,'9.0.10'!$AM$4:$AO$55,2,FALSE))*IF('9.0.10'!AL$4="是",'9.0.10'!$AY$4,'9.0.10'!$AY$3)</f>
        <v>0</v>
      </c>
      <c r="C55" s="4">
        <f>(VLOOKUP('9.0.10'!K55,'9.0.10'!$AM$4:$AO$55,2,FALSE))*IF('9.0.10'!AM$4="是",'9.0.10'!$AY$4,'9.0.10'!$AY$3)</f>
        <v>0</v>
      </c>
      <c r="D55" s="4">
        <f>(VLOOKUP('9.0.10'!L55,'9.0.10'!$AM$4:$AO$55,2,FALSE))*IF('9.0.10'!AN$4="是",'9.0.10'!$AY$4,'9.0.10'!$AY$3)</f>
        <v>0</v>
      </c>
      <c r="E55" s="4">
        <f>(VLOOKUP('9.0.10'!M55,'9.0.10'!$AM$4:$AO$55,2,FALSE))*IF('9.0.10'!AO$4="是",'9.0.10'!$AY$4,'9.0.10'!$AY$3)</f>
        <v>0</v>
      </c>
      <c r="F55" s="4">
        <f>(VLOOKUP('9.0.10'!N55,'9.0.10'!$AM$4:$AO$55,2,FALSE))*IF('9.0.10'!AQ$4="是",'9.0.10'!$AY$4,'9.0.10'!$AY$3)</f>
        <v>0</v>
      </c>
      <c r="G55" s="5">
        <f>(VLOOKUP('9.0.10'!O55,'9.0.10'!$AM$4:$AO$55,2,FALSE))*IF('9.0.10'!AR$4="是",'9.0.10'!$AY$4,'9.0.10'!$AY$3)</f>
        <v>0</v>
      </c>
      <c r="H55" s="5">
        <f>(VLOOKUP('9.0.10'!P55,'9.0.10'!$AM$4:$AO$55,2,FALSE))*IF('9.0.10'!AS$4="是",'9.0.10'!$AY$4,'9.0.10'!$AY$3)</f>
        <v>0</v>
      </c>
      <c r="I55" s="4">
        <f>(VLOOKUP('9.0.10'!Q55,'9.0.10'!$AM$4:$AO$55,2,FALSE))*IF('9.0.10'!AT$4="是",'9.0.10'!$AY$4,'9.0.10'!$AY$3)</f>
        <v>190</v>
      </c>
      <c r="J55" s="4">
        <f>(VLOOKUP('9.0.10'!R55,'9.0.10'!$AM$4:$AO$55,2,FALSE))*IF('9.0.10'!AU$4="是",'9.0.10'!$AY$4,'9.0.10'!$AY$3)</f>
        <v>200</v>
      </c>
      <c r="K55" s="4">
        <f>(VLOOKUP('9.0.10'!S55,'9.0.10'!$AM$4:$AO$55,2,FALSE))*IF('9.0.10'!AV$4="是",'9.0.10'!$AY$4,'9.0.10'!$AY$3)</f>
        <v>200</v>
      </c>
      <c r="L55" s="4">
        <f>(VLOOKUP('9.0.10'!T55,'9.0.10'!$AM$4:$AO$55,2,FALSE))*IF('9.0.10'!AW$4="是",'9.0.10'!$AY$4,'9.0.10'!$AY$3)</f>
        <v>200</v>
      </c>
      <c r="M55" s="4">
        <f>(VLOOKUP('9.0.10'!U55,'9.0.10'!$AM$4:$AO$55,2,FALSE))*IF('9.0.10'!AX$4="是",'9.0.10'!$AY$4,'9.0.10'!$AY$3)</f>
        <v>200</v>
      </c>
      <c r="N55" s="4">
        <f>(VLOOKUP('9.0.10'!V55,'9.0.10'!$AM$4:$AO$55,2,FALSE))*IF('9.0.10'!AY$4="是",'9.0.10'!$AY$4,'9.0.10'!$AY$3)</f>
        <v>200</v>
      </c>
      <c r="O55" s="5">
        <f>(VLOOKUP('9.0.10'!W55,'9.0.10'!$AM$4:$AO$55,2,FALSE))*IF('9.0.10'!AZ$4="是",'9.0.10'!$AY$4,'9.0.10'!$AY$3)</f>
        <v>0</v>
      </c>
      <c r="P55" s="5">
        <f>(VLOOKUP('9.0.10'!X55,'9.0.10'!$AM$4:$AO$55,2,FALSE))*IF('9.0.10'!BA$4="是",'9.0.10'!$AY$4,'9.0.10'!$AY$3)</f>
        <v>0</v>
      </c>
      <c r="Q55" s="4">
        <f>(VLOOKUP('9.0.10'!Y55,'9.0.10'!$AM$4:$AO$55,2,FALSE))*IF('9.0.10'!BB$4="是",'9.0.10'!$AY$4,'9.0.10'!$AY$3)</f>
        <v>200</v>
      </c>
      <c r="R55" s="4">
        <f>(VLOOKUP('9.0.10'!Z55,'9.0.10'!$AM$4:$AO$55,2,FALSE))*IF('9.0.10'!BC$4="是",'9.0.10'!$AY$4,'9.0.10'!$AY$3)</f>
        <v>190</v>
      </c>
      <c r="S55" s="4">
        <f>(VLOOKUP('9.0.10'!AA55,'9.0.10'!$AM$4:$AO$55,2,FALSE))*IF('9.0.10'!BD$4="是",'9.0.10'!$AY$4,'9.0.10'!$AY$3)</f>
        <v>190</v>
      </c>
      <c r="T55" s="4">
        <f>(VLOOKUP('9.0.10'!AB55,'9.0.10'!$AM$4:$AO$55,2,FALSE))*IF('9.0.10'!BE$4="是",'9.0.10'!$AY$4,'9.0.10'!$AY$3)</f>
        <v>190</v>
      </c>
      <c r="U55" s="4">
        <f>(VLOOKUP('9.0.10'!AC55,'9.0.10'!$AM$4:$AO$55,2,FALSE))*IF('9.0.10'!BF$4="是",'9.0.10'!$AY$4,'9.0.10'!$AY$3)</f>
        <v>190</v>
      </c>
      <c r="V55" s="4">
        <f>(VLOOKUP('9.0.10'!AD55,'9.0.10'!$AM$4:$AO$55,2,FALSE))*IF('9.0.10'!BG$4="是",'9.0.10'!$AY$4,'9.0.10'!$AY$3)</f>
        <v>190</v>
      </c>
      <c r="W55" s="5">
        <f>(VLOOKUP('9.0.10'!AE55,'9.0.10'!$AM$4:$AO$55,2,FALSE))*IF('9.0.10'!BH$4="是",'9.0.10'!$AY$4,'9.0.10'!$AY$3)</f>
        <v>0</v>
      </c>
      <c r="X55" s="5">
        <f>(VLOOKUP('9.0.10'!AF55,'9.0.10'!$AM$4:$AO$55,2,FALSE))*IF('9.0.10'!BI$4="是",'9.0.10'!$AY$4,'9.0.10'!$AY$3)</f>
        <v>0</v>
      </c>
    </row>
    <row r="56" spans="1:24">
      <c r="A56" s="4">
        <f>(VLOOKUP('9.0.10'!I56,'9.0.10'!$AM$4:$AO$55,2,FALSE))*IF('9.0.10'!AK$4="是",'9.0.10'!$AY$4,'9.0.10'!$AY$3)</f>
        <v>0</v>
      </c>
      <c r="B56" s="4">
        <f>(VLOOKUP('9.0.10'!J56,'9.0.10'!$AM$4:$AO$55,2,FALSE))*IF('9.0.10'!AL$4="是",'9.0.10'!$AY$4,'9.0.10'!$AY$3)</f>
        <v>0</v>
      </c>
      <c r="C56" s="4">
        <f>(VLOOKUP('9.0.10'!K56,'9.0.10'!$AM$4:$AO$55,2,FALSE))*IF('9.0.10'!AM$4="是",'9.0.10'!$AY$4,'9.0.10'!$AY$3)</f>
        <v>0</v>
      </c>
      <c r="D56" s="4">
        <f>(VLOOKUP('9.0.10'!L56,'9.0.10'!$AM$4:$AO$55,2,FALSE))*IF('9.0.10'!AN$4="是",'9.0.10'!$AY$4,'9.0.10'!$AY$3)</f>
        <v>0</v>
      </c>
      <c r="E56" s="4">
        <f>(VLOOKUP('9.0.10'!M56,'9.0.10'!$AM$4:$AO$55,2,FALSE))*IF('9.0.10'!AO$4="是",'9.0.10'!$AY$4,'9.0.10'!$AY$3)</f>
        <v>0</v>
      </c>
      <c r="F56" s="4">
        <f>(VLOOKUP('9.0.10'!N56,'9.0.10'!$AM$4:$AO$55,2,FALSE))*IF('9.0.10'!AQ$4="是",'9.0.10'!$AY$4,'9.0.10'!$AY$3)</f>
        <v>0</v>
      </c>
      <c r="G56" s="5">
        <f>(VLOOKUP('9.0.10'!O56,'9.0.10'!$AM$4:$AO$55,2,FALSE))*IF('9.0.10'!AR$4="是",'9.0.10'!$AY$4,'9.0.10'!$AY$3)</f>
        <v>0</v>
      </c>
      <c r="H56" s="5">
        <f>(VLOOKUP('9.0.10'!P56,'9.0.10'!$AM$4:$AO$55,2,FALSE))*IF('9.0.10'!AS$4="是",'9.0.10'!$AY$4,'9.0.10'!$AY$3)</f>
        <v>0</v>
      </c>
      <c r="I56" s="4">
        <f>(VLOOKUP('9.0.10'!Q56,'9.0.10'!$AM$4:$AO$55,2,FALSE))*IF('9.0.10'!AT$4="是",'9.0.10'!$AY$4,'9.0.10'!$AY$3)</f>
        <v>200</v>
      </c>
      <c r="J56" s="4">
        <f>(VLOOKUP('9.0.10'!R56,'9.0.10'!$AM$4:$AO$55,2,FALSE))*IF('9.0.10'!AU$4="是",'9.0.10'!$AY$4,'9.0.10'!$AY$3)</f>
        <v>200</v>
      </c>
      <c r="K56" s="4">
        <f>(VLOOKUP('9.0.10'!S56,'9.0.10'!$AM$4:$AO$55,2,FALSE))*IF('9.0.10'!AV$4="是",'9.0.10'!$AY$4,'9.0.10'!$AY$3)</f>
        <v>200</v>
      </c>
      <c r="L56" s="4">
        <f>(VLOOKUP('9.0.10'!T56,'9.0.10'!$AM$4:$AO$55,2,FALSE))*IF('9.0.10'!AW$4="是",'9.0.10'!$AY$4,'9.0.10'!$AY$3)</f>
        <v>200</v>
      </c>
      <c r="M56" s="4">
        <f>(VLOOKUP('9.0.10'!U56,'9.0.10'!$AM$4:$AO$55,2,FALSE))*IF('9.0.10'!AX$4="是",'9.0.10'!$AY$4,'9.0.10'!$AY$3)</f>
        <v>200</v>
      </c>
      <c r="N56" s="4">
        <f>(VLOOKUP('9.0.10'!V56,'9.0.10'!$AM$4:$AO$55,2,FALSE))*IF('9.0.10'!AY$4="是",'9.0.10'!$AY$4,'9.0.10'!$AY$3)</f>
        <v>200</v>
      </c>
      <c r="O56" s="5">
        <f>(VLOOKUP('9.0.10'!W56,'9.0.10'!$AM$4:$AO$55,2,FALSE))*IF('9.0.10'!AZ$4="是",'9.0.10'!$AY$4,'9.0.10'!$AY$3)</f>
        <v>0</v>
      </c>
      <c r="P56" s="5">
        <f>(VLOOKUP('9.0.10'!X56,'9.0.10'!$AM$4:$AO$55,2,FALSE))*IF('9.0.10'!BA$4="是",'9.0.10'!$AY$4,'9.0.10'!$AY$3)</f>
        <v>0</v>
      </c>
      <c r="Q56" s="4">
        <f>(VLOOKUP('9.0.10'!Y56,'9.0.10'!$AM$4:$AO$55,2,FALSE))*IF('9.0.10'!BB$4="是",'9.0.10'!$AY$4,'9.0.10'!$AY$3)</f>
        <v>200</v>
      </c>
      <c r="R56" s="4">
        <f>(VLOOKUP('9.0.10'!Z56,'9.0.10'!$AM$4:$AO$55,2,FALSE))*IF('9.0.10'!BC$4="是",'9.0.10'!$AY$4,'9.0.10'!$AY$3)</f>
        <v>200</v>
      </c>
      <c r="S56" s="4">
        <f>(VLOOKUP('9.0.10'!AA56,'9.0.10'!$AM$4:$AO$55,2,FALSE))*IF('9.0.10'!BD$4="是",'9.0.10'!$AY$4,'9.0.10'!$AY$3)</f>
        <v>190</v>
      </c>
      <c r="T56" s="4">
        <f>(VLOOKUP('9.0.10'!AB56,'9.0.10'!$AM$4:$AO$55,2,FALSE))*IF('9.0.10'!BE$4="是",'9.0.10'!$AY$4,'9.0.10'!$AY$3)</f>
        <v>190</v>
      </c>
      <c r="U56" s="4">
        <f>(VLOOKUP('9.0.10'!AC56,'9.0.10'!$AM$4:$AO$55,2,FALSE))*IF('9.0.10'!BF$4="是",'9.0.10'!$AY$4,'9.0.10'!$AY$3)</f>
        <v>190</v>
      </c>
      <c r="V56" s="4">
        <f>(VLOOKUP('9.0.10'!AD56,'9.0.10'!$AM$4:$AO$55,2,FALSE))*IF('9.0.10'!BG$4="是",'9.0.10'!$AY$4,'9.0.10'!$AY$3)</f>
        <v>50</v>
      </c>
      <c r="W56" s="5">
        <f>(VLOOKUP('9.0.10'!AE56,'9.0.10'!$AM$4:$AO$55,2,FALSE))*IF('9.0.10'!BH$4="是",'9.0.10'!$AY$4,'9.0.10'!$AY$3)</f>
        <v>0</v>
      </c>
      <c r="X56" s="5">
        <f>(VLOOKUP('9.0.10'!AF56,'9.0.10'!$AM$4:$AO$55,2,FALSE))*IF('9.0.10'!BI$4="是",'9.0.10'!$AY$4,'9.0.10'!$AY$3)</f>
        <v>0</v>
      </c>
    </row>
    <row r="57" spans="1:24">
      <c r="A57" s="4">
        <f>(VLOOKUP('9.0.10'!I57,'9.0.10'!$AM$4:$AO$55,2,FALSE))*IF('9.0.10'!AK$4="是",'9.0.10'!$AY$4,'9.0.10'!$AY$3)</f>
        <v>0</v>
      </c>
      <c r="B57" s="4">
        <f>(VLOOKUP('9.0.10'!J57,'9.0.10'!$AM$4:$AO$55,2,FALSE))*IF('9.0.10'!AL$4="是",'9.0.10'!$AY$4,'9.0.10'!$AY$3)</f>
        <v>0</v>
      </c>
      <c r="C57" s="4">
        <f>(VLOOKUP('9.0.10'!K57,'9.0.10'!$AM$4:$AO$55,2,FALSE))*IF('9.0.10'!AM$4="是",'9.0.10'!$AY$4,'9.0.10'!$AY$3)</f>
        <v>0</v>
      </c>
      <c r="D57" s="4">
        <f>(VLOOKUP('9.0.10'!L57,'9.0.10'!$AM$4:$AO$55,2,FALSE))*IF('9.0.10'!AN$4="是",'9.0.10'!$AY$4,'9.0.10'!$AY$3)</f>
        <v>0</v>
      </c>
      <c r="E57" s="4">
        <f>(VLOOKUP('9.0.10'!M57,'9.0.10'!$AM$4:$AO$55,2,FALSE))*IF('9.0.10'!AO$4="是",'9.0.10'!$AY$4,'9.0.10'!$AY$3)</f>
        <v>0</v>
      </c>
      <c r="F57" s="4">
        <f>(VLOOKUP('9.0.10'!N57,'9.0.10'!$AM$4:$AO$55,2,FALSE))*IF('9.0.10'!AQ$4="是",'9.0.10'!$AY$4,'9.0.10'!$AY$3)</f>
        <v>0</v>
      </c>
      <c r="G57" s="5">
        <f>(VLOOKUP('9.0.10'!O57,'9.0.10'!$AM$4:$AO$55,2,FALSE))*IF('9.0.10'!AR$4="是",'9.0.10'!$AY$4,'9.0.10'!$AY$3)</f>
        <v>0</v>
      </c>
      <c r="H57" s="5">
        <f>(VLOOKUP('9.0.10'!P57,'9.0.10'!$AM$4:$AO$55,2,FALSE))*IF('9.0.10'!AS$4="是",'9.0.10'!$AY$4,'9.0.10'!$AY$3)</f>
        <v>0</v>
      </c>
      <c r="I57" s="4">
        <f>(VLOOKUP('9.0.10'!Q57,'9.0.10'!$AM$4:$AO$55,2,FALSE))*IF('9.0.10'!AT$4="是",'9.0.10'!$AY$4,'9.0.10'!$AY$3)</f>
        <v>200</v>
      </c>
      <c r="J57" s="4">
        <f>(VLOOKUP('9.0.10'!R57,'9.0.10'!$AM$4:$AO$55,2,FALSE))*IF('9.0.10'!AU$4="是",'9.0.10'!$AY$4,'9.0.10'!$AY$3)</f>
        <v>200</v>
      </c>
      <c r="K57" s="4">
        <f>(VLOOKUP('9.0.10'!S57,'9.0.10'!$AM$4:$AO$55,2,FALSE))*IF('9.0.10'!AV$4="是",'9.0.10'!$AY$4,'9.0.10'!$AY$3)</f>
        <v>200</v>
      </c>
      <c r="L57" s="4">
        <f>(VLOOKUP('9.0.10'!T57,'9.0.10'!$AM$4:$AO$55,2,FALSE))*IF('9.0.10'!AW$4="是",'9.0.10'!$AY$4,'9.0.10'!$AY$3)</f>
        <v>200</v>
      </c>
      <c r="M57" s="4">
        <f>(VLOOKUP('9.0.10'!U57,'9.0.10'!$AM$4:$AO$55,2,FALSE))*IF('9.0.10'!AX$4="是",'9.0.10'!$AY$4,'9.0.10'!$AY$3)</f>
        <v>200</v>
      </c>
      <c r="N57" s="4">
        <f>(VLOOKUP('9.0.10'!V57,'9.0.10'!$AM$4:$AO$55,2,FALSE))*IF('9.0.10'!AY$4="是",'9.0.10'!$AY$4,'9.0.10'!$AY$3)</f>
        <v>200</v>
      </c>
      <c r="O57" s="5">
        <f>(VLOOKUP('9.0.10'!W57,'9.0.10'!$AM$4:$AO$55,2,FALSE))*IF('9.0.10'!AZ$4="是",'9.0.10'!$AY$4,'9.0.10'!$AY$3)</f>
        <v>0</v>
      </c>
      <c r="P57" s="5">
        <f>(VLOOKUP('9.0.10'!X57,'9.0.10'!$AM$4:$AO$55,2,FALSE))*IF('9.0.10'!BA$4="是",'9.0.10'!$AY$4,'9.0.10'!$AY$3)</f>
        <v>0</v>
      </c>
      <c r="Q57" s="4">
        <f>(VLOOKUP('9.0.10'!Y57,'9.0.10'!$AM$4:$AO$55,2,FALSE))*IF('9.0.10'!BB$4="是",'9.0.10'!$AY$4,'9.0.10'!$AY$3)</f>
        <v>190</v>
      </c>
      <c r="R57" s="4">
        <f>(VLOOKUP('9.0.10'!Z57,'9.0.10'!$AM$4:$AO$55,2,FALSE))*IF('9.0.10'!BC$4="是",'9.0.10'!$AY$4,'9.0.10'!$AY$3)</f>
        <v>190</v>
      </c>
      <c r="S57" s="4">
        <f>(VLOOKUP('9.0.10'!AA57,'9.0.10'!$AM$4:$AO$55,2,FALSE))*IF('9.0.10'!BD$4="是",'9.0.10'!$AY$4,'9.0.10'!$AY$3)</f>
        <v>190</v>
      </c>
      <c r="T57" s="4">
        <f>(VLOOKUP('9.0.10'!AB57,'9.0.10'!$AM$4:$AO$55,2,FALSE))*IF('9.0.10'!BE$4="是",'9.0.10'!$AY$4,'9.0.10'!$AY$3)</f>
        <v>190</v>
      </c>
      <c r="U57" s="4">
        <f>(VLOOKUP('9.0.10'!AC57,'9.0.10'!$AM$4:$AO$55,2,FALSE))*IF('9.0.10'!BF$4="是",'9.0.10'!$AY$4,'9.0.10'!$AY$3)</f>
        <v>190</v>
      </c>
      <c r="V57" s="4">
        <f>(VLOOKUP('9.0.10'!AD57,'9.0.10'!$AM$4:$AO$55,2,FALSE))*IF('9.0.10'!BG$4="是",'9.0.10'!$AY$4,'9.0.10'!$AY$3)</f>
        <v>190</v>
      </c>
      <c r="W57" s="5">
        <f>(VLOOKUP('9.0.10'!AE57,'9.0.10'!$AM$4:$AO$55,2,FALSE))*IF('9.0.10'!BH$4="是",'9.0.10'!$AY$4,'9.0.10'!$AY$3)</f>
        <v>0</v>
      </c>
      <c r="X57" s="5">
        <f>(VLOOKUP('9.0.10'!AF57,'9.0.10'!$AM$4:$AO$55,2,FALSE))*IF('9.0.10'!BI$4="是",'9.0.10'!$AY$4,'9.0.10'!$AY$3)</f>
        <v>0</v>
      </c>
    </row>
    <row r="58" spans="1:24">
      <c r="A58" s="4">
        <f>(VLOOKUP('9.0.10'!I58,'9.0.10'!$AM$4:$AO$55,2,FALSE))*IF('9.0.10'!AK$4="是",'9.0.10'!$AY$4,'9.0.10'!$AY$3)</f>
        <v>0</v>
      </c>
      <c r="B58" s="4">
        <f>(VLOOKUP('9.0.10'!J58,'9.0.10'!$AM$4:$AO$55,2,FALSE))*IF('9.0.10'!AL$4="是",'9.0.10'!$AY$4,'9.0.10'!$AY$3)</f>
        <v>0</v>
      </c>
      <c r="C58" s="4">
        <f>(VLOOKUP('9.0.10'!K58,'9.0.10'!$AM$4:$AO$55,2,FALSE))*IF('9.0.10'!AM$4="是",'9.0.10'!$AY$4,'9.0.10'!$AY$3)</f>
        <v>0</v>
      </c>
      <c r="D58" s="4">
        <f>(VLOOKUP('9.0.10'!L58,'9.0.10'!$AM$4:$AO$55,2,FALSE))*IF('9.0.10'!AN$4="是",'9.0.10'!$AY$4,'9.0.10'!$AY$3)</f>
        <v>0</v>
      </c>
      <c r="E58" s="4">
        <f>(VLOOKUP('9.0.10'!M58,'9.0.10'!$AM$4:$AO$55,2,FALSE))*IF('9.0.10'!AO$4="是",'9.0.10'!$AY$4,'9.0.10'!$AY$3)</f>
        <v>0</v>
      </c>
      <c r="F58" s="4">
        <f>(VLOOKUP('9.0.10'!N58,'9.0.10'!$AM$4:$AO$55,2,FALSE))*IF('9.0.10'!AQ$4="是",'9.0.10'!$AY$4,'9.0.10'!$AY$3)</f>
        <v>0</v>
      </c>
      <c r="G58" s="5">
        <f>(VLOOKUP('9.0.10'!O58,'9.0.10'!$AM$4:$AO$55,2,FALSE))*IF('9.0.10'!AR$4="是",'9.0.10'!$AY$4,'9.0.10'!$AY$3)</f>
        <v>0</v>
      </c>
      <c r="H58" s="5">
        <f>(VLOOKUP('9.0.10'!P58,'9.0.10'!$AM$4:$AO$55,2,FALSE))*IF('9.0.10'!AS$4="是",'9.0.10'!$AY$4,'9.0.10'!$AY$3)</f>
        <v>0</v>
      </c>
      <c r="I58" s="4">
        <f>(VLOOKUP('9.0.10'!Q58,'9.0.10'!$AM$4:$AO$55,2,FALSE))*IF('9.0.10'!AT$4="是",'9.0.10'!$AY$4,'9.0.10'!$AY$3)</f>
        <v>200</v>
      </c>
      <c r="J58" s="4">
        <f>(VLOOKUP('9.0.10'!R58,'9.0.10'!$AM$4:$AO$55,2,FALSE))*IF('9.0.10'!AU$4="是",'9.0.10'!$AY$4,'9.0.10'!$AY$3)</f>
        <v>200</v>
      </c>
      <c r="K58" s="4">
        <f>(VLOOKUP('9.0.10'!S58,'9.0.10'!$AM$4:$AO$55,2,FALSE))*IF('9.0.10'!AV$4="是",'9.0.10'!$AY$4,'9.0.10'!$AY$3)</f>
        <v>200</v>
      </c>
      <c r="L58" s="4">
        <f>(VLOOKUP('9.0.10'!T58,'9.0.10'!$AM$4:$AO$55,2,FALSE))*IF('9.0.10'!AW$4="是",'9.0.10'!$AY$4,'9.0.10'!$AY$3)</f>
        <v>-200</v>
      </c>
      <c r="M58" s="4">
        <f>(VLOOKUP('9.0.10'!U58,'9.0.10'!$AM$4:$AO$55,2,FALSE))*IF('9.0.10'!AX$4="是",'9.0.10'!$AY$4,'9.0.10'!$AY$3)</f>
        <v>200</v>
      </c>
      <c r="N58" s="4">
        <f>(VLOOKUP('9.0.10'!V58,'9.0.10'!$AM$4:$AO$55,2,FALSE))*IF('9.0.10'!AY$4="是",'9.0.10'!$AY$4,'9.0.10'!$AY$3)</f>
        <v>200</v>
      </c>
      <c r="O58" s="5">
        <f>(VLOOKUP('9.0.10'!W58,'9.0.10'!$AM$4:$AO$55,2,FALSE))*IF('9.0.10'!AZ$4="是",'9.0.10'!$AY$4,'9.0.10'!$AY$3)</f>
        <v>200</v>
      </c>
      <c r="P58" s="5">
        <f>(VLOOKUP('9.0.10'!X58,'9.0.10'!$AM$4:$AO$55,2,FALSE))*IF('9.0.10'!BA$4="是",'9.0.10'!$AY$4,'9.0.10'!$AY$3)</f>
        <v>200</v>
      </c>
      <c r="Q58" s="4">
        <f>(VLOOKUP('9.0.10'!Y58,'9.0.10'!$AM$4:$AO$55,2,FALSE))*IF('9.0.10'!BB$4="是",'9.0.10'!$AY$4,'9.0.10'!$AY$3)</f>
        <v>190</v>
      </c>
      <c r="R58" s="4">
        <f>(VLOOKUP('9.0.10'!Z58,'9.0.10'!$AM$4:$AO$55,2,FALSE))*IF('9.0.10'!BC$4="是",'9.0.10'!$AY$4,'9.0.10'!$AY$3)</f>
        <v>190</v>
      </c>
      <c r="S58" s="4">
        <f>(VLOOKUP('9.0.10'!AA58,'9.0.10'!$AM$4:$AO$55,2,FALSE))*IF('9.0.10'!BD$4="是",'9.0.10'!$AY$4,'9.0.10'!$AY$3)</f>
        <v>190</v>
      </c>
      <c r="T58" s="4">
        <f>(VLOOKUP('9.0.10'!AB58,'9.0.10'!$AM$4:$AO$55,2,FALSE))*IF('9.0.10'!BE$4="是",'9.0.10'!$AY$4,'9.0.10'!$AY$3)</f>
        <v>190</v>
      </c>
      <c r="U58" s="4">
        <f>(VLOOKUP('9.0.10'!AC58,'9.0.10'!$AM$4:$AO$55,2,FALSE))*IF('9.0.10'!BF$4="是",'9.0.10'!$AY$4,'9.0.10'!$AY$3)</f>
        <v>190</v>
      </c>
      <c r="V58" s="4">
        <f>(VLOOKUP('9.0.10'!AD58,'9.0.10'!$AM$4:$AO$55,2,FALSE))*IF('9.0.10'!BG$4="是",'9.0.10'!$AY$4,'9.0.10'!$AY$3)</f>
        <v>190</v>
      </c>
      <c r="W58" s="5">
        <f>(VLOOKUP('9.0.10'!AE58,'9.0.10'!$AM$4:$AO$55,2,FALSE))*IF('9.0.10'!BH$4="是",'9.0.10'!$AY$4,'9.0.10'!$AY$3)</f>
        <v>0</v>
      </c>
      <c r="X58" s="5">
        <f>(VLOOKUP('9.0.10'!AF58,'9.0.10'!$AM$4:$AO$55,2,FALSE))*IF('9.0.10'!BI$4="是",'9.0.10'!$AY$4,'9.0.10'!$AY$3)</f>
        <v>0</v>
      </c>
    </row>
    <row r="59" spans="1:24">
      <c r="A59" s="4">
        <f>(VLOOKUP('9.0.10'!I59,'9.0.10'!$AM$4:$AO$55,2,FALSE))*IF('9.0.10'!AK$4="是",'9.0.10'!$AY$4,'9.0.10'!$AY$3)</f>
        <v>0</v>
      </c>
      <c r="B59" s="4">
        <f>(VLOOKUP('9.0.10'!J59,'9.0.10'!$AM$4:$AO$55,2,FALSE))*IF('9.0.10'!AL$4="是",'9.0.10'!$AY$4,'9.0.10'!$AY$3)</f>
        <v>0</v>
      </c>
      <c r="C59" s="4">
        <f>(VLOOKUP('9.0.10'!K59,'9.0.10'!$AM$4:$AO$55,2,FALSE))*IF('9.0.10'!AM$4="是",'9.0.10'!$AY$4,'9.0.10'!$AY$3)</f>
        <v>0</v>
      </c>
      <c r="D59" s="4">
        <f>(VLOOKUP('9.0.10'!L59,'9.0.10'!$AM$4:$AO$55,2,FALSE))*IF('9.0.10'!AN$4="是",'9.0.10'!$AY$4,'9.0.10'!$AY$3)</f>
        <v>0</v>
      </c>
      <c r="E59" s="4">
        <f>(VLOOKUP('9.0.10'!M59,'9.0.10'!$AM$4:$AO$55,2,FALSE))*IF('9.0.10'!AO$4="是",'9.0.10'!$AY$4,'9.0.10'!$AY$3)</f>
        <v>0</v>
      </c>
      <c r="F59" s="4">
        <f>(VLOOKUP('9.0.10'!N59,'9.0.10'!$AM$4:$AO$55,2,FALSE))*IF('9.0.10'!AQ$4="是",'9.0.10'!$AY$4,'9.0.10'!$AY$3)</f>
        <v>0</v>
      </c>
      <c r="G59" s="5">
        <f>(VLOOKUP('9.0.10'!O59,'9.0.10'!$AM$4:$AO$55,2,FALSE))*IF('9.0.10'!AR$4="是",'9.0.10'!$AY$4,'9.0.10'!$AY$3)</f>
        <v>0</v>
      </c>
      <c r="H59" s="5">
        <f>(VLOOKUP('9.0.10'!P59,'9.0.10'!$AM$4:$AO$55,2,FALSE))*IF('9.0.10'!AS$4="是",'9.0.10'!$AY$4,'9.0.10'!$AY$3)</f>
        <v>0</v>
      </c>
      <c r="I59" s="4">
        <f>(VLOOKUP('9.0.10'!Q59,'9.0.10'!$AM$4:$AO$55,2,FALSE))*IF('9.0.10'!AT$4="是",'9.0.10'!$AY$4,'9.0.10'!$AY$3)</f>
        <v>200</v>
      </c>
      <c r="J59" s="4">
        <f>(VLOOKUP('9.0.10'!R59,'9.0.10'!$AM$4:$AO$55,2,FALSE))*IF('9.0.10'!AU$4="是",'9.0.10'!$AY$4,'9.0.10'!$AY$3)</f>
        <v>200</v>
      </c>
      <c r="K59" s="4">
        <f>(VLOOKUP('9.0.10'!S59,'9.0.10'!$AM$4:$AO$55,2,FALSE))*IF('9.0.10'!AV$4="是",'9.0.10'!$AY$4,'9.0.10'!$AY$3)</f>
        <v>200</v>
      </c>
      <c r="L59" s="4">
        <f>(VLOOKUP('9.0.10'!T59,'9.0.10'!$AM$4:$AO$55,2,FALSE))*IF('9.0.10'!AW$4="是",'9.0.10'!$AY$4,'9.0.10'!$AY$3)</f>
        <v>200</v>
      </c>
      <c r="M59" s="4">
        <f>(VLOOKUP('9.0.10'!U59,'9.0.10'!$AM$4:$AO$55,2,FALSE))*IF('9.0.10'!AX$4="是",'9.0.10'!$AY$4,'9.0.10'!$AY$3)</f>
        <v>200</v>
      </c>
      <c r="N59" s="4">
        <f>(VLOOKUP('9.0.10'!V59,'9.0.10'!$AM$4:$AO$55,2,FALSE))*IF('9.0.10'!AY$4="是",'9.0.10'!$AY$4,'9.0.10'!$AY$3)</f>
        <v>200</v>
      </c>
      <c r="O59" s="5">
        <f>(VLOOKUP('9.0.10'!W59,'9.0.10'!$AM$4:$AO$55,2,FALSE))*IF('9.0.10'!AZ$4="是",'9.0.10'!$AY$4,'9.0.10'!$AY$3)</f>
        <v>0</v>
      </c>
      <c r="P59" s="5">
        <f>(VLOOKUP('9.0.10'!X59,'9.0.10'!$AM$4:$AO$55,2,FALSE))*IF('9.0.10'!BA$4="是",'9.0.10'!$AY$4,'9.0.10'!$AY$3)</f>
        <v>0</v>
      </c>
      <c r="Q59" s="4">
        <f>(VLOOKUP('9.0.10'!Y59,'9.0.10'!$AM$4:$AO$55,2,FALSE))*IF('9.0.10'!BB$4="是",'9.0.10'!$AY$4,'9.0.10'!$AY$3)</f>
        <v>190</v>
      </c>
      <c r="R59" s="4">
        <f>(VLOOKUP('9.0.10'!Z59,'9.0.10'!$AM$4:$AO$55,2,FALSE))*IF('9.0.10'!BC$4="是",'9.0.10'!$AY$4,'9.0.10'!$AY$3)</f>
        <v>190</v>
      </c>
      <c r="S59" s="4">
        <f>(VLOOKUP('9.0.10'!AA59,'9.0.10'!$AM$4:$AO$55,2,FALSE))*IF('9.0.10'!BD$4="是",'9.0.10'!$AY$4,'9.0.10'!$AY$3)</f>
        <v>190</v>
      </c>
      <c r="T59" s="4">
        <f>(VLOOKUP('9.0.10'!AB59,'9.0.10'!$AM$4:$AO$55,2,FALSE))*IF('9.0.10'!BE$4="是",'9.0.10'!$AY$4,'9.0.10'!$AY$3)</f>
        <v>190</v>
      </c>
      <c r="U59" s="4">
        <f>(VLOOKUP('9.0.10'!AC59,'9.0.10'!$AM$4:$AO$55,2,FALSE))*IF('9.0.10'!BF$4="是",'9.0.10'!$AY$4,'9.0.10'!$AY$3)</f>
        <v>190</v>
      </c>
      <c r="V59" s="4">
        <f>(VLOOKUP('9.0.10'!AD59,'9.0.10'!$AM$4:$AO$55,2,FALSE))*IF('9.0.10'!BG$4="是",'9.0.10'!$AY$4,'9.0.10'!$AY$3)</f>
        <v>190</v>
      </c>
      <c r="W59" s="5">
        <f>(VLOOKUP('9.0.10'!AE59,'9.0.10'!$AM$4:$AO$55,2,FALSE))*IF('9.0.10'!BH$4="是",'9.0.10'!$AY$4,'9.0.10'!$AY$3)</f>
        <v>0</v>
      </c>
      <c r="X59" s="5">
        <f>(VLOOKUP('9.0.10'!AF59,'9.0.10'!$AM$4:$AO$55,2,FALSE))*IF('9.0.10'!BI$4="是",'9.0.10'!$AY$4,'9.0.10'!$AY$3)</f>
        <v>0</v>
      </c>
    </row>
    <row r="60" spans="1:24">
      <c r="A60" s="4">
        <f>(VLOOKUP('9.0.10'!I60,'9.0.10'!$AM$4:$AO$55,2,FALSE))*IF('9.0.10'!AK$4="是",'9.0.10'!$AY$4,'9.0.10'!$AY$3)</f>
        <v>0</v>
      </c>
      <c r="B60" s="4">
        <f>(VLOOKUP('9.0.10'!J60,'9.0.10'!$AM$4:$AO$55,2,FALSE))*IF('9.0.10'!AL$4="是",'9.0.10'!$AY$4,'9.0.10'!$AY$3)</f>
        <v>0</v>
      </c>
      <c r="C60" s="4">
        <f>(VLOOKUP('9.0.10'!K60,'9.0.10'!$AM$4:$AO$55,2,FALSE))*IF('9.0.10'!AM$4="是",'9.0.10'!$AY$4,'9.0.10'!$AY$3)</f>
        <v>0</v>
      </c>
      <c r="D60" s="4">
        <f>(VLOOKUP('9.0.10'!L60,'9.0.10'!$AM$4:$AO$55,2,FALSE))*IF('9.0.10'!AN$4="是",'9.0.10'!$AY$4,'9.0.10'!$AY$3)</f>
        <v>0</v>
      </c>
      <c r="E60" s="4">
        <f>(VLOOKUP('9.0.10'!M60,'9.0.10'!$AM$4:$AO$55,2,FALSE))*IF('9.0.10'!AO$4="是",'9.0.10'!$AY$4,'9.0.10'!$AY$3)</f>
        <v>0</v>
      </c>
      <c r="F60" s="4">
        <f>(VLOOKUP('9.0.10'!N60,'9.0.10'!$AM$4:$AO$55,2,FALSE))*IF('9.0.10'!AQ$4="是",'9.0.10'!$AY$4,'9.0.10'!$AY$3)</f>
        <v>0</v>
      </c>
      <c r="G60" s="5">
        <f>(VLOOKUP('9.0.10'!O60,'9.0.10'!$AM$4:$AO$55,2,FALSE))*IF('9.0.10'!AR$4="是",'9.0.10'!$AY$4,'9.0.10'!$AY$3)</f>
        <v>0</v>
      </c>
      <c r="H60" s="5">
        <f>(VLOOKUP('9.0.10'!P60,'9.0.10'!$AM$4:$AO$55,2,FALSE))*IF('9.0.10'!AS$4="是",'9.0.10'!$AY$4,'9.0.10'!$AY$3)</f>
        <v>0</v>
      </c>
      <c r="I60" s="4">
        <f>(VLOOKUP('9.0.10'!Q60,'9.0.10'!$AM$4:$AO$55,2,FALSE))*IF('9.0.10'!AT$4="是",'9.0.10'!$AY$4,'9.0.10'!$AY$3)</f>
        <v>200</v>
      </c>
      <c r="J60" s="4">
        <f>(VLOOKUP('9.0.10'!R60,'9.0.10'!$AM$4:$AO$55,2,FALSE))*IF('9.0.10'!AU$4="是",'9.0.10'!$AY$4,'9.0.10'!$AY$3)</f>
        <v>200</v>
      </c>
      <c r="K60" s="4">
        <f>(VLOOKUP('9.0.10'!S60,'9.0.10'!$AM$4:$AO$55,2,FALSE))*IF('9.0.10'!AV$4="是",'9.0.10'!$AY$4,'9.0.10'!$AY$3)</f>
        <v>200</v>
      </c>
      <c r="L60" s="4">
        <f>(VLOOKUP('9.0.10'!T60,'9.0.10'!$AM$4:$AO$55,2,FALSE))*IF('9.0.10'!AW$4="是",'9.0.10'!$AY$4,'9.0.10'!$AY$3)</f>
        <v>200</v>
      </c>
      <c r="M60" s="4">
        <f>(VLOOKUP('9.0.10'!U60,'9.0.10'!$AM$4:$AO$55,2,FALSE))*IF('9.0.10'!AX$4="是",'9.0.10'!$AY$4,'9.0.10'!$AY$3)</f>
        <v>200</v>
      </c>
      <c r="N60" s="4">
        <f>(VLOOKUP('9.0.10'!V60,'9.0.10'!$AM$4:$AO$55,2,FALSE))*IF('9.0.10'!AY$4="是",'9.0.10'!$AY$4,'9.0.10'!$AY$3)</f>
        <v>200</v>
      </c>
      <c r="O60" s="5">
        <f>(VLOOKUP('9.0.10'!W60,'9.0.10'!$AM$4:$AO$55,2,FALSE))*IF('9.0.10'!AZ$4="是",'9.0.10'!$AY$4,'9.0.10'!$AY$3)</f>
        <v>0</v>
      </c>
      <c r="P60" s="5">
        <f>(VLOOKUP('9.0.10'!X60,'9.0.10'!$AM$4:$AO$55,2,FALSE))*IF('9.0.10'!BA$4="是",'9.0.10'!$AY$4,'9.0.10'!$AY$3)</f>
        <v>0</v>
      </c>
      <c r="Q60" s="4">
        <f>(VLOOKUP('9.0.10'!Y60,'9.0.10'!$AM$4:$AO$55,2,FALSE))*IF('9.0.10'!BB$4="是",'9.0.10'!$AY$4,'9.0.10'!$AY$3)</f>
        <v>190</v>
      </c>
      <c r="R60" s="4">
        <f>(VLOOKUP('9.0.10'!Z60,'9.0.10'!$AM$4:$AO$55,2,FALSE))*IF('9.0.10'!BC$4="是",'9.0.10'!$AY$4,'9.0.10'!$AY$3)</f>
        <v>-200</v>
      </c>
      <c r="S60" s="4">
        <f>(VLOOKUP('9.0.10'!AA60,'9.0.10'!$AM$4:$AO$55,2,FALSE))*IF('9.0.10'!BD$4="是",'9.0.10'!$AY$4,'9.0.10'!$AY$3)</f>
        <v>190</v>
      </c>
      <c r="T60" s="4">
        <f>(VLOOKUP('9.0.10'!AB60,'9.0.10'!$AM$4:$AO$55,2,FALSE))*IF('9.0.10'!BE$4="是",'9.0.10'!$AY$4,'9.0.10'!$AY$3)</f>
        <v>190</v>
      </c>
      <c r="U60" s="4">
        <f>(VLOOKUP('9.0.10'!AC60,'9.0.10'!$AM$4:$AO$55,2,FALSE))*IF('9.0.10'!BF$4="是",'9.0.10'!$AY$4,'9.0.10'!$AY$3)</f>
        <v>190</v>
      </c>
      <c r="V60" s="4">
        <f>(VLOOKUP('9.0.10'!AD60,'9.0.10'!$AM$4:$AO$55,2,FALSE))*IF('9.0.10'!BG$4="是",'9.0.10'!$AY$4,'9.0.10'!$AY$3)</f>
        <v>190</v>
      </c>
      <c r="W60" s="5">
        <f>(VLOOKUP('9.0.10'!AE60,'9.0.10'!$AM$4:$AO$55,2,FALSE))*IF('9.0.10'!BH$4="是",'9.0.10'!$AY$4,'9.0.10'!$AY$3)</f>
        <v>190</v>
      </c>
      <c r="X60" s="5">
        <f>(VLOOKUP('9.0.10'!AF60,'9.0.10'!$AM$4:$AO$55,2,FALSE))*IF('9.0.10'!BI$4="是",'9.0.10'!$AY$4,'9.0.10'!$AY$3)</f>
        <v>190</v>
      </c>
    </row>
    <row r="61" spans="1:24">
      <c r="A61" s="4">
        <f>(VLOOKUP('9.0.10'!I61,'9.0.10'!$AM$4:$AO$55,2,FALSE))*IF('9.0.10'!AK$4="是",'9.0.10'!$AY$4,'9.0.10'!$AY$3)</f>
        <v>0</v>
      </c>
      <c r="B61" s="4">
        <f>(VLOOKUP('9.0.10'!J61,'9.0.10'!$AM$4:$AO$55,2,FALSE))*IF('9.0.10'!AL$4="是",'9.0.10'!$AY$4,'9.0.10'!$AY$3)</f>
        <v>0</v>
      </c>
      <c r="C61" s="4">
        <f>(VLOOKUP('9.0.10'!K61,'9.0.10'!$AM$4:$AO$55,2,FALSE))*IF('9.0.10'!AM$4="是",'9.0.10'!$AY$4,'9.0.10'!$AY$3)</f>
        <v>0</v>
      </c>
      <c r="D61" s="4">
        <f>(VLOOKUP('9.0.10'!L61,'9.0.10'!$AM$4:$AO$55,2,FALSE))*IF('9.0.10'!AN$4="是",'9.0.10'!$AY$4,'9.0.10'!$AY$3)</f>
        <v>0</v>
      </c>
      <c r="E61" s="4">
        <f>(VLOOKUP('9.0.10'!M61,'9.0.10'!$AM$4:$AO$55,2,FALSE))*IF('9.0.10'!AO$4="是",'9.0.10'!$AY$4,'9.0.10'!$AY$3)</f>
        <v>0</v>
      </c>
      <c r="F61" s="4">
        <f>(VLOOKUP('9.0.10'!N61,'9.0.10'!$AM$4:$AO$55,2,FALSE))*IF('9.0.10'!AQ$4="是",'9.0.10'!$AY$4,'9.0.10'!$AY$3)</f>
        <v>0</v>
      </c>
      <c r="G61" s="5">
        <f>(VLOOKUP('9.0.10'!O61,'9.0.10'!$AM$4:$AO$55,2,FALSE))*IF('9.0.10'!AR$4="是",'9.0.10'!$AY$4,'9.0.10'!$AY$3)</f>
        <v>0</v>
      </c>
      <c r="H61" s="5">
        <f>(VLOOKUP('9.0.10'!P61,'9.0.10'!$AM$4:$AO$55,2,FALSE))*IF('9.0.10'!AS$4="是",'9.0.10'!$AY$4,'9.0.10'!$AY$3)</f>
        <v>0</v>
      </c>
      <c r="I61" s="4">
        <f>(VLOOKUP('9.0.10'!Q61,'9.0.10'!$AM$4:$AO$55,2,FALSE))*IF('9.0.10'!AT$4="是",'9.0.10'!$AY$4,'9.0.10'!$AY$3)</f>
        <v>200</v>
      </c>
      <c r="J61" s="4">
        <f>(VLOOKUP('9.0.10'!R61,'9.0.10'!$AM$4:$AO$55,2,FALSE))*IF('9.0.10'!AU$4="是",'9.0.10'!$AY$4,'9.0.10'!$AY$3)</f>
        <v>200</v>
      </c>
      <c r="K61" s="4">
        <f>(VLOOKUP('9.0.10'!S61,'9.0.10'!$AM$4:$AO$55,2,FALSE))*IF('9.0.10'!AV$4="是",'9.0.10'!$AY$4,'9.0.10'!$AY$3)</f>
        <v>200</v>
      </c>
      <c r="L61" s="4">
        <f>(VLOOKUP('9.0.10'!T61,'9.0.10'!$AM$4:$AO$55,2,FALSE))*IF('9.0.10'!AW$4="是",'9.0.10'!$AY$4,'9.0.10'!$AY$3)</f>
        <v>200</v>
      </c>
      <c r="M61" s="4">
        <f>(VLOOKUP('9.0.10'!U61,'9.0.10'!$AM$4:$AO$55,2,FALSE))*IF('9.0.10'!AX$4="是",'9.0.10'!$AY$4,'9.0.10'!$AY$3)</f>
        <v>200</v>
      </c>
      <c r="N61" s="4">
        <f>(VLOOKUP('9.0.10'!V61,'9.0.10'!$AM$4:$AO$55,2,FALSE))*IF('9.0.10'!AY$4="是",'9.0.10'!$AY$4,'9.0.10'!$AY$3)</f>
        <v>200</v>
      </c>
      <c r="O61" s="5">
        <f>(VLOOKUP('9.0.10'!W61,'9.0.10'!$AM$4:$AO$55,2,FALSE))*IF('9.0.10'!AZ$4="是",'9.0.10'!$AY$4,'9.0.10'!$AY$3)</f>
        <v>0</v>
      </c>
      <c r="P61" s="5">
        <f>(VLOOKUP('9.0.10'!X61,'9.0.10'!$AM$4:$AO$55,2,FALSE))*IF('9.0.10'!BA$4="是",'9.0.10'!$AY$4,'9.0.10'!$AY$3)</f>
        <v>0</v>
      </c>
      <c r="Q61" s="4">
        <f>(VLOOKUP('9.0.10'!Y61,'9.0.10'!$AM$4:$AO$55,2,FALSE))*IF('9.0.10'!BB$4="是",'9.0.10'!$AY$4,'9.0.10'!$AY$3)</f>
        <v>190</v>
      </c>
      <c r="R61" s="4">
        <f>(VLOOKUP('9.0.10'!Z61,'9.0.10'!$AM$4:$AO$55,2,FALSE))*IF('9.0.10'!BC$4="是",'9.0.10'!$AY$4,'9.0.10'!$AY$3)</f>
        <v>190</v>
      </c>
      <c r="S61" s="4">
        <f>(VLOOKUP('9.0.10'!AA61,'9.0.10'!$AM$4:$AO$55,2,FALSE))*IF('9.0.10'!BD$4="是",'9.0.10'!$AY$4,'9.0.10'!$AY$3)</f>
        <v>190</v>
      </c>
      <c r="T61" s="4">
        <f>(VLOOKUP('9.0.10'!AB61,'9.0.10'!$AM$4:$AO$55,2,FALSE))*IF('9.0.10'!BE$4="是",'9.0.10'!$AY$4,'9.0.10'!$AY$3)</f>
        <v>190</v>
      </c>
      <c r="U61" s="4">
        <f>(VLOOKUP('9.0.10'!AC61,'9.0.10'!$AM$4:$AO$55,2,FALSE))*IF('9.0.10'!BF$4="是",'9.0.10'!$AY$4,'9.0.10'!$AY$3)</f>
        <v>190</v>
      </c>
      <c r="V61" s="4">
        <f>(VLOOKUP('9.0.10'!AD61,'9.0.10'!$AM$4:$AO$55,2,FALSE))*IF('9.0.10'!BG$4="是",'9.0.10'!$AY$4,'9.0.10'!$AY$3)</f>
        <v>190</v>
      </c>
      <c r="W61" s="5">
        <f>(VLOOKUP('9.0.10'!AE61,'9.0.10'!$AM$4:$AO$55,2,FALSE))*IF('9.0.10'!BH$4="是",'9.0.10'!$AY$4,'9.0.10'!$AY$3)</f>
        <v>0</v>
      </c>
      <c r="X61" s="5">
        <f>(VLOOKUP('9.0.10'!AF61,'9.0.10'!$AM$4:$AO$55,2,FALSE))*IF('9.0.10'!BI$4="是",'9.0.10'!$AY$4,'9.0.10'!$AY$3)</f>
        <v>0</v>
      </c>
    </row>
    <row r="62" spans="1:24">
      <c r="A62" s="4">
        <f>(VLOOKUP('9.0.10'!I62,'9.0.10'!$AM$4:$AO$55,2,FALSE))*IF('9.0.10'!AK$4="是",'9.0.10'!$AY$4,'9.0.10'!$AY$3)</f>
        <v>0</v>
      </c>
      <c r="B62" s="4">
        <f>(VLOOKUP('9.0.10'!J62,'9.0.10'!$AM$4:$AO$55,2,FALSE))*IF('9.0.10'!AL$4="是",'9.0.10'!$AY$4,'9.0.10'!$AY$3)</f>
        <v>0</v>
      </c>
      <c r="C62" s="4">
        <f>(VLOOKUP('9.0.10'!K62,'9.0.10'!$AM$4:$AO$55,2,FALSE))*IF('9.0.10'!AM$4="是",'9.0.10'!$AY$4,'9.0.10'!$AY$3)</f>
        <v>0</v>
      </c>
      <c r="D62" s="4">
        <f>(VLOOKUP('9.0.10'!L62,'9.0.10'!$AM$4:$AO$55,2,FALSE))*IF('9.0.10'!AN$4="是",'9.0.10'!$AY$4,'9.0.10'!$AY$3)</f>
        <v>0</v>
      </c>
      <c r="E62" s="4">
        <f>(VLOOKUP('9.0.10'!M62,'9.0.10'!$AM$4:$AO$55,2,FALSE))*IF('9.0.10'!AO$4="是",'9.0.10'!$AY$4,'9.0.10'!$AY$3)</f>
        <v>0</v>
      </c>
      <c r="F62" s="4">
        <f>(VLOOKUP('9.0.10'!N62,'9.0.10'!$AM$4:$AO$55,2,FALSE))*IF('9.0.10'!AQ$4="是",'9.0.10'!$AY$4,'9.0.10'!$AY$3)</f>
        <v>0</v>
      </c>
      <c r="G62" s="5">
        <f>(VLOOKUP('9.0.10'!O62,'9.0.10'!$AM$4:$AO$55,2,FALSE))*IF('9.0.10'!AR$4="是",'9.0.10'!$AY$4,'9.0.10'!$AY$3)</f>
        <v>0</v>
      </c>
      <c r="H62" s="5">
        <f>(VLOOKUP('9.0.10'!P62,'9.0.10'!$AM$4:$AO$55,2,FALSE))*IF('9.0.10'!AS$4="是",'9.0.10'!$AY$4,'9.0.10'!$AY$3)</f>
        <v>0</v>
      </c>
      <c r="I62" s="4">
        <f>(VLOOKUP('9.0.10'!Q62,'9.0.10'!$AM$4:$AO$55,2,FALSE))*IF('9.0.10'!AT$4="是",'9.0.10'!$AY$4,'9.0.10'!$AY$3)</f>
        <v>200</v>
      </c>
      <c r="J62" s="4">
        <f>(VLOOKUP('9.0.10'!R62,'9.0.10'!$AM$4:$AO$55,2,FALSE))*IF('9.0.10'!AU$4="是",'9.0.10'!$AY$4,'9.0.10'!$AY$3)</f>
        <v>200</v>
      </c>
      <c r="K62" s="4">
        <f>(VLOOKUP('9.0.10'!S62,'9.0.10'!$AM$4:$AO$55,2,FALSE))*IF('9.0.10'!AV$4="是",'9.0.10'!$AY$4,'9.0.10'!$AY$3)</f>
        <v>200</v>
      </c>
      <c r="L62" s="4">
        <f>(VLOOKUP('9.0.10'!T62,'9.0.10'!$AM$4:$AO$55,2,FALSE))*IF('9.0.10'!AW$4="是",'9.0.10'!$AY$4,'9.0.10'!$AY$3)</f>
        <v>200</v>
      </c>
      <c r="M62" s="4">
        <f>(VLOOKUP('9.0.10'!U62,'9.0.10'!$AM$4:$AO$55,2,FALSE))*IF('9.0.10'!AX$4="是",'9.0.10'!$AY$4,'9.0.10'!$AY$3)</f>
        <v>200</v>
      </c>
      <c r="N62" s="4">
        <f>(VLOOKUP('9.0.10'!V62,'9.0.10'!$AM$4:$AO$55,2,FALSE))*IF('9.0.10'!AY$4="是",'9.0.10'!$AY$4,'9.0.10'!$AY$3)</f>
        <v>200</v>
      </c>
      <c r="O62" s="5">
        <f>(VLOOKUP('9.0.10'!W62,'9.0.10'!$AM$4:$AO$55,2,FALSE))*IF('9.0.10'!AZ$4="是",'9.0.10'!$AY$4,'9.0.10'!$AY$3)</f>
        <v>0</v>
      </c>
      <c r="P62" s="5">
        <f>(VLOOKUP('9.0.10'!X62,'9.0.10'!$AM$4:$AO$55,2,FALSE))*IF('9.0.10'!BA$4="是",'9.0.10'!$AY$4,'9.0.10'!$AY$3)</f>
        <v>0</v>
      </c>
      <c r="Q62" s="4">
        <f>(VLOOKUP('9.0.10'!Y62,'9.0.10'!$AM$4:$AO$55,2,FALSE))*IF('9.0.10'!BB$4="是",'9.0.10'!$AY$4,'9.0.10'!$AY$3)</f>
        <v>200</v>
      </c>
      <c r="R62" s="4">
        <f>(VLOOKUP('9.0.10'!Z62,'9.0.10'!$AM$4:$AO$55,2,FALSE))*IF('9.0.10'!BC$4="是",'9.0.10'!$AY$4,'9.0.10'!$AY$3)</f>
        <v>200</v>
      </c>
      <c r="S62" s="4">
        <f>(VLOOKUP('9.0.10'!AA62,'9.0.10'!$AM$4:$AO$55,2,FALSE))*IF('9.0.10'!BD$4="是",'9.0.10'!$AY$4,'9.0.10'!$AY$3)</f>
        <v>200</v>
      </c>
      <c r="T62" s="4">
        <f>(VLOOKUP('9.0.10'!AB62,'9.0.10'!$AM$4:$AO$55,2,FALSE))*IF('9.0.10'!BE$4="是",'9.0.10'!$AY$4,'9.0.10'!$AY$3)</f>
        <v>200</v>
      </c>
      <c r="U62" s="4">
        <f>(VLOOKUP('9.0.10'!AC62,'9.0.10'!$AM$4:$AO$55,2,FALSE))*IF('9.0.10'!BF$4="是",'9.0.10'!$AY$4,'9.0.10'!$AY$3)</f>
        <v>200</v>
      </c>
      <c r="V62" s="4">
        <f>(VLOOKUP('9.0.10'!AD62,'9.0.10'!$AM$4:$AO$55,2,FALSE))*IF('9.0.10'!BG$4="是",'9.0.10'!$AY$4,'9.0.10'!$AY$3)</f>
        <v>150</v>
      </c>
      <c r="W62" s="5">
        <f>(VLOOKUP('9.0.10'!AE62,'9.0.10'!$AM$4:$AO$55,2,FALSE))*IF('9.0.10'!BH$4="是",'9.0.10'!$AY$4,'9.0.10'!$AY$3)</f>
        <v>0</v>
      </c>
      <c r="X62" s="5">
        <f>(VLOOKUP('9.0.10'!AF62,'9.0.10'!$AM$4:$AO$55,2,FALSE))*IF('9.0.10'!BI$4="是",'9.0.10'!$AY$4,'9.0.10'!$AY$3)</f>
        <v>0</v>
      </c>
    </row>
    <row r="63" spans="1:24">
      <c r="A63" s="4">
        <f>(VLOOKUP('9.0.10'!I63,'9.0.10'!$AM$4:$AO$55,2,FALSE))*IF('9.0.10'!AK$4="是",'9.0.10'!$AY$4,'9.0.10'!$AY$3)</f>
        <v>0</v>
      </c>
      <c r="B63" s="4">
        <f>(VLOOKUP('9.0.10'!J63,'9.0.10'!$AM$4:$AO$55,2,FALSE))*IF('9.0.10'!AL$4="是",'9.0.10'!$AY$4,'9.0.10'!$AY$3)</f>
        <v>0</v>
      </c>
      <c r="C63" s="4">
        <f>(VLOOKUP('9.0.10'!K63,'9.0.10'!$AM$4:$AO$55,2,FALSE))*IF('9.0.10'!AM$4="是",'9.0.10'!$AY$4,'9.0.10'!$AY$3)</f>
        <v>0</v>
      </c>
      <c r="D63" s="4">
        <f>(VLOOKUP('9.0.10'!L63,'9.0.10'!$AM$4:$AO$55,2,FALSE))*IF('9.0.10'!AN$4="是",'9.0.10'!$AY$4,'9.0.10'!$AY$3)</f>
        <v>0</v>
      </c>
      <c r="E63" s="4">
        <f>(VLOOKUP('9.0.10'!M63,'9.0.10'!$AM$4:$AO$55,2,FALSE))*IF('9.0.10'!AO$4="是",'9.0.10'!$AY$4,'9.0.10'!$AY$3)</f>
        <v>0</v>
      </c>
      <c r="F63" s="4">
        <f>(VLOOKUP('9.0.10'!N63,'9.0.10'!$AM$4:$AO$55,2,FALSE))*IF('9.0.10'!AQ$4="是",'9.0.10'!$AY$4,'9.0.10'!$AY$3)</f>
        <v>0</v>
      </c>
      <c r="G63" s="5">
        <f>(VLOOKUP('9.0.10'!O63,'9.0.10'!$AM$4:$AO$55,2,FALSE))*IF('9.0.10'!AR$4="是",'9.0.10'!$AY$4,'9.0.10'!$AY$3)</f>
        <v>0</v>
      </c>
      <c r="H63" s="5">
        <f>(VLOOKUP('9.0.10'!P63,'9.0.10'!$AM$4:$AO$55,2,FALSE))*IF('9.0.10'!AS$4="是",'9.0.10'!$AY$4,'9.0.10'!$AY$3)</f>
        <v>0</v>
      </c>
      <c r="I63" s="4">
        <f>(VLOOKUP('9.0.10'!Q63,'9.0.10'!$AM$4:$AO$55,2,FALSE))*IF('9.0.10'!AT$4="是",'9.0.10'!$AY$4,'9.0.10'!$AY$3)</f>
        <v>200</v>
      </c>
      <c r="J63" s="4">
        <f>(VLOOKUP('9.0.10'!R63,'9.0.10'!$AM$4:$AO$55,2,FALSE))*IF('9.0.10'!AU$4="是",'9.0.10'!$AY$4,'9.0.10'!$AY$3)</f>
        <v>200</v>
      </c>
      <c r="K63" s="4">
        <f>(VLOOKUP('9.0.10'!S63,'9.0.10'!$AM$4:$AO$55,2,FALSE))*IF('9.0.10'!AV$4="是",'9.0.10'!$AY$4,'9.0.10'!$AY$3)</f>
        <v>200</v>
      </c>
      <c r="L63" s="4">
        <f>(VLOOKUP('9.0.10'!T63,'9.0.10'!$AM$4:$AO$55,2,FALSE))*IF('9.0.10'!AW$4="是",'9.0.10'!$AY$4,'9.0.10'!$AY$3)</f>
        <v>200</v>
      </c>
      <c r="M63" s="4">
        <f>(VLOOKUP('9.0.10'!U63,'9.0.10'!$AM$4:$AO$55,2,FALSE))*IF('9.0.10'!AX$4="是",'9.0.10'!$AY$4,'9.0.10'!$AY$3)</f>
        <v>200</v>
      </c>
      <c r="N63" s="4">
        <f>(VLOOKUP('9.0.10'!V63,'9.0.10'!$AM$4:$AO$55,2,FALSE))*IF('9.0.10'!AY$4="是",'9.0.10'!$AY$4,'9.0.10'!$AY$3)</f>
        <v>200</v>
      </c>
      <c r="O63" s="5">
        <f>(VLOOKUP('9.0.10'!W63,'9.0.10'!$AM$4:$AO$55,2,FALSE))*IF('9.0.10'!AZ$4="是",'9.0.10'!$AY$4,'9.0.10'!$AY$3)</f>
        <v>0</v>
      </c>
      <c r="P63" s="5">
        <f>(VLOOKUP('9.0.10'!X63,'9.0.10'!$AM$4:$AO$55,2,FALSE))*IF('9.0.10'!BA$4="是",'9.0.10'!$AY$4,'9.0.10'!$AY$3)</f>
        <v>0</v>
      </c>
      <c r="Q63" s="4">
        <f>(VLOOKUP('9.0.10'!Y63,'9.0.10'!$AM$4:$AO$55,2,FALSE))*IF('9.0.10'!BB$4="是",'9.0.10'!$AY$4,'9.0.10'!$AY$3)</f>
        <v>200</v>
      </c>
      <c r="R63" s="4">
        <f>(VLOOKUP('9.0.10'!Z63,'9.0.10'!$AM$4:$AO$55,2,FALSE))*IF('9.0.10'!BC$4="是",'9.0.10'!$AY$4,'9.0.10'!$AY$3)</f>
        <v>190</v>
      </c>
      <c r="S63" s="4">
        <f>(VLOOKUP('9.0.10'!AA63,'9.0.10'!$AM$4:$AO$55,2,FALSE))*IF('9.0.10'!BD$4="是",'9.0.10'!$AY$4,'9.0.10'!$AY$3)</f>
        <v>190</v>
      </c>
      <c r="T63" s="4">
        <f>(VLOOKUP('9.0.10'!AB63,'9.0.10'!$AM$4:$AO$55,2,FALSE))*IF('9.0.10'!BE$4="是",'9.0.10'!$AY$4,'9.0.10'!$AY$3)</f>
        <v>190</v>
      </c>
      <c r="U63" s="4">
        <f>(VLOOKUP('9.0.10'!AC63,'9.0.10'!$AM$4:$AO$55,2,FALSE))*IF('9.0.10'!BF$4="是",'9.0.10'!$AY$4,'9.0.10'!$AY$3)</f>
        <v>190</v>
      </c>
      <c r="V63" s="4">
        <f>(VLOOKUP('9.0.10'!AD63,'9.0.10'!$AM$4:$AO$55,2,FALSE))*IF('9.0.10'!BG$4="是",'9.0.10'!$AY$4,'9.0.10'!$AY$3)</f>
        <v>190</v>
      </c>
      <c r="W63" s="5">
        <f>(VLOOKUP('9.0.10'!AE63,'9.0.10'!$AM$4:$AO$55,2,FALSE))*IF('9.0.10'!BH$4="是",'9.0.10'!$AY$4,'9.0.10'!$AY$3)</f>
        <v>0</v>
      </c>
      <c r="X63" s="5">
        <f>(VLOOKUP('9.0.10'!AF63,'9.0.10'!$AM$4:$AO$55,2,FALSE))*IF('9.0.10'!BI$4="是",'9.0.10'!$AY$4,'9.0.10'!$AY$3)</f>
        <v>0</v>
      </c>
    </row>
    <row r="64" spans="1:24">
      <c r="A64" s="4">
        <f>(VLOOKUP('9.0.10'!I64,'9.0.10'!$AM$4:$AO$55,2,FALSE))*IF('9.0.10'!AK$4="是",'9.0.10'!$AY$4,'9.0.10'!$AY$3)</f>
        <v>0</v>
      </c>
      <c r="B64" s="4">
        <f>(VLOOKUP('9.0.10'!J64,'9.0.10'!$AM$4:$AO$55,2,FALSE))*IF('9.0.10'!AL$4="是",'9.0.10'!$AY$4,'9.0.10'!$AY$3)</f>
        <v>0</v>
      </c>
      <c r="C64" s="4">
        <f>(VLOOKUP('9.0.10'!K64,'9.0.10'!$AM$4:$AO$55,2,FALSE))*IF('9.0.10'!AM$4="是",'9.0.10'!$AY$4,'9.0.10'!$AY$3)</f>
        <v>0</v>
      </c>
      <c r="D64" s="4">
        <f>(VLOOKUP('9.0.10'!L64,'9.0.10'!$AM$4:$AO$55,2,FALSE))*IF('9.0.10'!AN$4="是",'9.0.10'!$AY$4,'9.0.10'!$AY$3)</f>
        <v>0</v>
      </c>
      <c r="E64" s="4">
        <f>(VLOOKUP('9.0.10'!M64,'9.0.10'!$AM$4:$AO$55,2,FALSE))*IF('9.0.10'!AO$4="是",'9.0.10'!$AY$4,'9.0.10'!$AY$3)</f>
        <v>0</v>
      </c>
      <c r="F64" s="4">
        <f>(VLOOKUP('9.0.10'!N64,'9.0.10'!$AM$4:$AO$55,2,FALSE))*IF('9.0.10'!AQ$4="是",'9.0.10'!$AY$4,'9.0.10'!$AY$3)</f>
        <v>0</v>
      </c>
      <c r="G64" s="5">
        <f>(VLOOKUP('9.0.10'!O64,'9.0.10'!$AM$4:$AO$55,2,FALSE))*IF('9.0.10'!AR$4="是",'9.0.10'!$AY$4,'9.0.10'!$AY$3)</f>
        <v>0</v>
      </c>
      <c r="H64" s="5">
        <f>(VLOOKUP('9.0.10'!P64,'9.0.10'!$AM$4:$AO$55,2,FALSE))*IF('9.0.10'!AS$4="是",'9.0.10'!$AY$4,'9.0.10'!$AY$3)</f>
        <v>0</v>
      </c>
      <c r="I64" s="4">
        <f>(VLOOKUP('9.0.10'!Q64,'9.0.10'!$AM$4:$AO$55,2,FALSE))*IF('9.0.10'!AT$4="是",'9.0.10'!$AY$4,'9.0.10'!$AY$3)</f>
        <v>200</v>
      </c>
      <c r="J64" s="4">
        <f>(VLOOKUP('9.0.10'!R64,'9.0.10'!$AM$4:$AO$55,2,FALSE))*IF('9.0.10'!AU$4="是",'9.0.10'!$AY$4,'9.0.10'!$AY$3)</f>
        <v>200</v>
      </c>
      <c r="K64" s="4">
        <f>(VLOOKUP('9.0.10'!S64,'9.0.10'!$AM$4:$AO$55,2,FALSE))*IF('9.0.10'!AV$4="是",'9.0.10'!$AY$4,'9.0.10'!$AY$3)</f>
        <v>200</v>
      </c>
      <c r="L64" s="4">
        <f>(VLOOKUP('9.0.10'!T64,'9.0.10'!$AM$4:$AO$55,2,FALSE))*IF('9.0.10'!AW$4="是",'9.0.10'!$AY$4,'9.0.10'!$AY$3)</f>
        <v>200</v>
      </c>
      <c r="M64" s="4">
        <f>(VLOOKUP('9.0.10'!U64,'9.0.10'!$AM$4:$AO$55,2,FALSE))*IF('9.0.10'!AX$4="是",'9.0.10'!$AY$4,'9.0.10'!$AY$3)</f>
        <v>200</v>
      </c>
      <c r="N64" s="4">
        <f>(VLOOKUP('9.0.10'!V64,'9.0.10'!$AM$4:$AO$55,2,FALSE))*IF('9.0.10'!AY$4="是",'9.0.10'!$AY$4,'9.0.10'!$AY$3)</f>
        <v>200</v>
      </c>
      <c r="O64" s="5">
        <f>(VLOOKUP('9.0.10'!W64,'9.0.10'!$AM$4:$AO$55,2,FALSE))*IF('9.0.10'!AZ$4="是",'9.0.10'!$AY$4,'9.0.10'!$AY$3)</f>
        <v>0</v>
      </c>
      <c r="P64" s="5">
        <f>(VLOOKUP('9.0.10'!X64,'9.0.10'!$AM$4:$AO$55,2,FALSE))*IF('9.0.10'!BA$4="是",'9.0.10'!$AY$4,'9.0.10'!$AY$3)</f>
        <v>0</v>
      </c>
      <c r="Q64" s="4">
        <f>(VLOOKUP('9.0.10'!Y64,'9.0.10'!$AM$4:$AO$55,2,FALSE))*IF('9.0.10'!BB$4="是",'9.0.10'!$AY$4,'9.0.10'!$AY$3)</f>
        <v>190</v>
      </c>
      <c r="R64" s="4">
        <f>(VLOOKUP('9.0.10'!Z64,'9.0.10'!$AM$4:$AO$55,2,FALSE))*IF('9.0.10'!BC$4="是",'9.0.10'!$AY$4,'9.0.10'!$AY$3)</f>
        <v>190</v>
      </c>
      <c r="S64" s="4">
        <f>(VLOOKUP('9.0.10'!AA64,'9.0.10'!$AM$4:$AO$55,2,FALSE))*IF('9.0.10'!BD$4="是",'9.0.10'!$AY$4,'9.0.10'!$AY$3)</f>
        <v>190</v>
      </c>
      <c r="T64" s="4">
        <f>(VLOOKUP('9.0.10'!AB64,'9.0.10'!$AM$4:$AO$55,2,FALSE))*IF('9.0.10'!BE$4="是",'9.0.10'!$AY$4,'9.0.10'!$AY$3)</f>
        <v>190</v>
      </c>
      <c r="U64" s="4">
        <f>(VLOOKUP('9.0.10'!AC64,'9.0.10'!$AM$4:$AO$55,2,FALSE))*IF('9.0.10'!BF$4="是",'9.0.10'!$AY$4,'9.0.10'!$AY$3)</f>
        <v>190</v>
      </c>
      <c r="V64" s="4">
        <f>(VLOOKUP('9.0.10'!AD64,'9.0.10'!$AM$4:$AO$55,2,FALSE))*IF('9.0.10'!BG$4="是",'9.0.10'!$AY$4,'9.0.10'!$AY$3)</f>
        <v>190</v>
      </c>
      <c r="W64" s="5">
        <f>(VLOOKUP('9.0.10'!AE64,'9.0.10'!$AM$4:$AO$55,2,FALSE))*IF('9.0.10'!BH$4="是",'9.0.10'!$AY$4,'9.0.10'!$AY$3)</f>
        <v>0</v>
      </c>
      <c r="X64" s="5">
        <f>(VLOOKUP('9.0.10'!AF64,'9.0.10'!$AM$4:$AO$55,2,FALSE))*IF('9.0.10'!BI$4="是",'9.0.10'!$AY$4,'9.0.10'!$AY$3)</f>
        <v>0</v>
      </c>
    </row>
    <row r="65" spans="1:24">
      <c r="A65" s="4">
        <f>(VLOOKUP('9.0.10'!I65,'9.0.10'!$AM$4:$AO$55,2,FALSE))*IF('9.0.10'!AK$4="是",'9.0.10'!$AY$4,'9.0.10'!$AY$3)</f>
        <v>0</v>
      </c>
      <c r="B65" s="4">
        <f>(VLOOKUP('9.0.10'!J65,'9.0.10'!$AM$4:$AO$55,2,FALSE))*IF('9.0.10'!AL$4="是",'9.0.10'!$AY$4,'9.0.10'!$AY$3)</f>
        <v>0</v>
      </c>
      <c r="C65" s="4">
        <f>(VLOOKUP('9.0.10'!K65,'9.0.10'!$AM$4:$AO$55,2,FALSE))*IF('9.0.10'!AM$4="是",'9.0.10'!$AY$4,'9.0.10'!$AY$3)</f>
        <v>0</v>
      </c>
      <c r="D65" s="4">
        <f>(VLOOKUP('9.0.10'!L65,'9.0.10'!$AM$4:$AO$55,2,FALSE))*IF('9.0.10'!AN$4="是",'9.0.10'!$AY$4,'9.0.10'!$AY$3)</f>
        <v>0</v>
      </c>
      <c r="E65" s="4">
        <f>(VLOOKUP('9.0.10'!M65,'9.0.10'!$AM$4:$AO$55,2,FALSE))*IF('9.0.10'!AO$4="是",'9.0.10'!$AY$4,'9.0.10'!$AY$3)</f>
        <v>0</v>
      </c>
      <c r="F65" s="4">
        <f>(VLOOKUP('9.0.10'!N65,'9.0.10'!$AM$4:$AO$55,2,FALSE))*IF('9.0.10'!AQ$4="是",'9.0.10'!$AY$4,'9.0.10'!$AY$3)</f>
        <v>0</v>
      </c>
      <c r="G65" s="5">
        <f>(VLOOKUP('9.0.10'!O65,'9.0.10'!$AM$4:$AO$55,2,FALSE))*IF('9.0.10'!AR$4="是",'9.0.10'!$AY$4,'9.0.10'!$AY$3)</f>
        <v>0</v>
      </c>
      <c r="H65" s="5">
        <f>(VLOOKUP('9.0.10'!P65,'9.0.10'!$AM$4:$AO$55,2,FALSE))*IF('9.0.10'!AS$4="是",'9.0.10'!$AY$4,'9.0.10'!$AY$3)</f>
        <v>0</v>
      </c>
      <c r="I65" s="4">
        <f>(VLOOKUP('9.0.10'!Q65,'9.0.10'!$AM$4:$AO$55,2,FALSE))*IF('9.0.10'!AT$4="是",'9.0.10'!$AY$4,'9.0.10'!$AY$3)</f>
        <v>200</v>
      </c>
      <c r="J65" s="4">
        <f>(VLOOKUP('9.0.10'!R65,'9.0.10'!$AM$4:$AO$55,2,FALSE))*IF('9.0.10'!AU$4="是",'9.0.10'!$AY$4,'9.0.10'!$AY$3)</f>
        <v>200</v>
      </c>
      <c r="K65" s="4">
        <f>(VLOOKUP('9.0.10'!S65,'9.0.10'!$AM$4:$AO$55,2,FALSE))*IF('9.0.10'!AV$4="是",'9.0.10'!$AY$4,'9.0.10'!$AY$3)</f>
        <v>200</v>
      </c>
      <c r="L65" s="4">
        <f>(VLOOKUP('9.0.10'!T65,'9.0.10'!$AM$4:$AO$55,2,FALSE))*IF('9.0.10'!AW$4="是",'9.0.10'!$AY$4,'9.0.10'!$AY$3)</f>
        <v>200</v>
      </c>
      <c r="M65" s="4">
        <f>(VLOOKUP('9.0.10'!U65,'9.0.10'!$AM$4:$AO$55,2,FALSE))*IF('9.0.10'!AX$4="是",'9.0.10'!$AY$4,'9.0.10'!$AY$3)</f>
        <v>200</v>
      </c>
      <c r="N65" s="4">
        <f>(VLOOKUP('9.0.10'!V65,'9.0.10'!$AM$4:$AO$55,2,FALSE))*IF('9.0.10'!AY$4="是",'9.0.10'!$AY$4,'9.0.10'!$AY$3)</f>
        <v>200</v>
      </c>
      <c r="O65" s="5">
        <f>(VLOOKUP('9.0.10'!W65,'9.0.10'!$AM$4:$AO$55,2,FALSE))*IF('9.0.10'!AZ$4="是",'9.0.10'!$AY$4,'9.0.10'!$AY$3)</f>
        <v>0</v>
      </c>
      <c r="P65" s="5">
        <f>(VLOOKUP('9.0.10'!X65,'9.0.10'!$AM$4:$AO$55,2,FALSE))*IF('9.0.10'!BA$4="是",'9.0.10'!$AY$4,'9.0.10'!$AY$3)</f>
        <v>0</v>
      </c>
      <c r="Q65" s="4">
        <f>(VLOOKUP('9.0.10'!Y65,'9.0.10'!$AM$4:$AO$55,2,FALSE))*IF('9.0.10'!BB$4="是",'9.0.10'!$AY$4,'9.0.10'!$AY$3)</f>
        <v>190</v>
      </c>
      <c r="R65" s="4">
        <f>(VLOOKUP('9.0.10'!Z65,'9.0.10'!$AM$4:$AO$55,2,FALSE))*IF('9.0.10'!BC$4="是",'9.0.10'!$AY$4,'9.0.10'!$AY$3)</f>
        <v>190</v>
      </c>
      <c r="S65" s="4">
        <f>(VLOOKUP('9.0.10'!AA65,'9.0.10'!$AM$4:$AO$55,2,FALSE))*IF('9.0.10'!BD$4="是",'9.0.10'!$AY$4,'9.0.10'!$AY$3)</f>
        <v>190</v>
      </c>
      <c r="T65" s="4">
        <f>(VLOOKUP('9.0.10'!AB65,'9.0.10'!$AM$4:$AO$55,2,FALSE))*IF('9.0.10'!BE$4="是",'9.0.10'!$AY$4,'9.0.10'!$AY$3)</f>
        <v>190</v>
      </c>
      <c r="U65" s="4">
        <f>(VLOOKUP('9.0.10'!AC65,'9.0.10'!$AM$4:$AO$55,2,FALSE))*IF('9.0.10'!BF$4="是",'9.0.10'!$AY$4,'9.0.10'!$AY$3)</f>
        <v>190</v>
      </c>
      <c r="V65" s="4">
        <f>(VLOOKUP('9.0.10'!AD65,'9.0.10'!$AM$4:$AO$55,2,FALSE))*IF('9.0.10'!BG$4="是",'9.0.10'!$AY$4,'9.0.10'!$AY$3)</f>
        <v>190</v>
      </c>
      <c r="W65" s="5">
        <f>(VLOOKUP('9.0.10'!AE65,'9.0.10'!$AM$4:$AO$55,2,FALSE))*IF('9.0.10'!BH$4="是",'9.0.10'!$AY$4,'9.0.10'!$AY$3)</f>
        <v>0</v>
      </c>
      <c r="X65" s="5">
        <f>(VLOOKUP('9.0.10'!AF65,'9.0.10'!$AM$4:$AO$55,2,FALSE))*IF('9.0.10'!BI$4="是",'9.0.10'!$AY$4,'9.0.10'!$AY$3)</f>
        <v>0</v>
      </c>
    </row>
    <row r="66" spans="1:24">
      <c r="A66" s="4">
        <f>(VLOOKUP('9.0.10'!I66,'9.0.10'!$AM$4:$AO$55,2,FALSE))*IF('9.0.10'!AK$4="是",'9.0.10'!$AY$4,'9.0.10'!$AY$3)</f>
        <v>0</v>
      </c>
      <c r="B66" s="4">
        <f>(VLOOKUP('9.0.10'!J66,'9.0.10'!$AM$4:$AO$55,2,FALSE))*IF('9.0.10'!AL$4="是",'9.0.10'!$AY$4,'9.0.10'!$AY$3)</f>
        <v>0</v>
      </c>
      <c r="C66" s="4">
        <f>(VLOOKUP('9.0.10'!K66,'9.0.10'!$AM$4:$AO$55,2,FALSE))*IF('9.0.10'!AM$4="是",'9.0.10'!$AY$4,'9.0.10'!$AY$3)</f>
        <v>0</v>
      </c>
      <c r="D66" s="4">
        <f>(VLOOKUP('9.0.10'!L66,'9.0.10'!$AM$4:$AO$55,2,FALSE))*IF('9.0.10'!AN$4="是",'9.0.10'!$AY$4,'9.0.10'!$AY$3)</f>
        <v>0</v>
      </c>
      <c r="E66" s="4">
        <f>(VLOOKUP('9.0.10'!M66,'9.0.10'!$AM$4:$AO$55,2,FALSE))*IF('9.0.10'!AO$4="是",'9.0.10'!$AY$4,'9.0.10'!$AY$3)</f>
        <v>0</v>
      </c>
      <c r="F66" s="4">
        <f>(VLOOKUP('9.0.10'!N66,'9.0.10'!$AM$4:$AO$55,2,FALSE))*IF('9.0.10'!AQ$4="是",'9.0.10'!$AY$4,'9.0.10'!$AY$3)</f>
        <v>0</v>
      </c>
      <c r="G66" s="5">
        <f>(VLOOKUP('9.0.10'!O66,'9.0.10'!$AM$4:$AO$55,2,FALSE))*IF('9.0.10'!AR$4="是",'9.0.10'!$AY$4,'9.0.10'!$AY$3)</f>
        <v>0</v>
      </c>
      <c r="H66" s="5">
        <f>(VLOOKUP('9.0.10'!P66,'9.0.10'!$AM$4:$AO$55,2,FALSE))*IF('9.0.10'!AS$4="是",'9.0.10'!$AY$4,'9.0.10'!$AY$3)</f>
        <v>0</v>
      </c>
      <c r="I66" s="4">
        <f>(VLOOKUP('9.0.10'!Q66,'9.0.10'!$AM$4:$AO$55,2,FALSE))*IF('9.0.10'!AT$4="是",'9.0.10'!$AY$4,'9.0.10'!$AY$3)</f>
        <v>200</v>
      </c>
      <c r="J66" s="4">
        <f>(VLOOKUP('9.0.10'!R66,'9.0.10'!$AM$4:$AO$55,2,FALSE))*IF('9.0.10'!AU$4="是",'9.0.10'!$AY$4,'9.0.10'!$AY$3)</f>
        <v>200</v>
      </c>
      <c r="K66" s="4">
        <f>(VLOOKUP('9.0.10'!S66,'9.0.10'!$AM$4:$AO$55,2,FALSE))*IF('9.0.10'!AV$4="是",'9.0.10'!$AY$4,'9.0.10'!$AY$3)</f>
        <v>200</v>
      </c>
      <c r="L66" s="4">
        <f>(VLOOKUP('9.0.10'!T66,'9.0.10'!$AM$4:$AO$55,2,FALSE))*IF('9.0.10'!AW$4="是",'9.0.10'!$AY$4,'9.0.10'!$AY$3)</f>
        <v>200</v>
      </c>
      <c r="M66" s="4">
        <f>(VLOOKUP('9.0.10'!U66,'9.0.10'!$AM$4:$AO$55,2,FALSE))*IF('9.0.10'!AX$4="是",'9.0.10'!$AY$4,'9.0.10'!$AY$3)</f>
        <v>200</v>
      </c>
      <c r="N66" s="4">
        <f>(VLOOKUP('9.0.10'!V66,'9.0.10'!$AM$4:$AO$55,2,FALSE))*IF('9.0.10'!AY$4="是",'9.0.10'!$AY$4,'9.0.10'!$AY$3)</f>
        <v>200</v>
      </c>
      <c r="O66" s="5">
        <f>(VLOOKUP('9.0.10'!W66,'9.0.10'!$AM$4:$AO$55,2,FALSE))*IF('9.0.10'!AZ$4="是",'9.0.10'!$AY$4,'9.0.10'!$AY$3)</f>
        <v>0</v>
      </c>
      <c r="P66" s="5">
        <f>(VLOOKUP('9.0.10'!X66,'9.0.10'!$AM$4:$AO$55,2,FALSE))*IF('9.0.10'!BA$4="是",'9.0.10'!$AY$4,'9.0.10'!$AY$3)</f>
        <v>0</v>
      </c>
      <c r="Q66" s="4">
        <f>(VLOOKUP('9.0.10'!Y66,'9.0.10'!$AM$4:$AO$55,2,FALSE))*IF('9.0.10'!BB$4="是",'9.0.10'!$AY$4,'9.0.10'!$AY$3)</f>
        <v>190</v>
      </c>
      <c r="R66" s="4">
        <f>(VLOOKUP('9.0.10'!Z66,'9.0.10'!$AM$4:$AO$55,2,FALSE))*IF('9.0.10'!BC$4="是",'9.0.10'!$AY$4,'9.0.10'!$AY$3)</f>
        <v>190</v>
      </c>
      <c r="S66" s="4">
        <f>(VLOOKUP('9.0.10'!AA66,'9.0.10'!$AM$4:$AO$55,2,FALSE))*IF('9.0.10'!BD$4="是",'9.0.10'!$AY$4,'9.0.10'!$AY$3)</f>
        <v>190</v>
      </c>
      <c r="T66" s="4">
        <f>(VLOOKUP('9.0.10'!AB66,'9.0.10'!$AM$4:$AO$55,2,FALSE))*IF('9.0.10'!BE$4="是",'9.0.10'!$AY$4,'9.0.10'!$AY$3)</f>
        <v>190</v>
      </c>
      <c r="U66" s="4">
        <f>(VLOOKUP('9.0.10'!AC66,'9.0.10'!$AM$4:$AO$55,2,FALSE))*IF('9.0.10'!BF$4="是",'9.0.10'!$AY$4,'9.0.10'!$AY$3)</f>
        <v>50</v>
      </c>
      <c r="V66" s="4">
        <f>(VLOOKUP('9.0.10'!AD66,'9.0.10'!$AM$4:$AO$55,2,FALSE))*IF('9.0.10'!BG$4="是",'9.0.10'!$AY$4,'9.0.10'!$AY$3)</f>
        <v>190</v>
      </c>
      <c r="W66" s="5">
        <f>(VLOOKUP('9.0.10'!AE66,'9.0.10'!$AM$4:$AO$55,2,FALSE))*IF('9.0.10'!BH$4="是",'9.0.10'!$AY$4,'9.0.10'!$AY$3)</f>
        <v>0</v>
      </c>
      <c r="X66" s="5">
        <f>(VLOOKUP('9.0.10'!AF66,'9.0.10'!$AM$4:$AO$55,2,FALSE))*IF('9.0.10'!BI$4="是",'9.0.10'!$AY$4,'9.0.10'!$AY$3)</f>
        <v>0</v>
      </c>
    </row>
    <row r="67" spans="1:24">
      <c r="A67" s="4">
        <f>(VLOOKUP('9.0.10'!I67,'9.0.10'!$AM$4:$AO$55,2,FALSE))*IF('9.0.10'!AK$4="是",'9.0.10'!$AY$4,'9.0.10'!$AY$3)</f>
        <v>0</v>
      </c>
      <c r="B67" s="4">
        <f>(VLOOKUP('9.0.10'!J67,'9.0.10'!$AM$4:$AO$55,2,FALSE))*IF('9.0.10'!AL$4="是",'9.0.10'!$AY$4,'9.0.10'!$AY$3)</f>
        <v>0</v>
      </c>
      <c r="C67" s="4">
        <f>(VLOOKUP('9.0.10'!K67,'9.0.10'!$AM$4:$AO$55,2,FALSE))*IF('9.0.10'!AM$4="是",'9.0.10'!$AY$4,'9.0.10'!$AY$3)</f>
        <v>0</v>
      </c>
      <c r="D67" s="4">
        <f>(VLOOKUP('9.0.10'!L67,'9.0.10'!$AM$4:$AO$55,2,FALSE))*IF('9.0.10'!AN$4="是",'9.0.10'!$AY$4,'9.0.10'!$AY$3)</f>
        <v>0</v>
      </c>
      <c r="E67" s="4">
        <f>(VLOOKUP('9.0.10'!M67,'9.0.10'!$AM$4:$AO$55,2,FALSE))*IF('9.0.10'!AO$4="是",'9.0.10'!$AY$4,'9.0.10'!$AY$3)</f>
        <v>0</v>
      </c>
      <c r="F67" s="4">
        <f>(VLOOKUP('9.0.10'!N67,'9.0.10'!$AM$4:$AO$55,2,FALSE))*IF('9.0.10'!AQ$4="是",'9.0.10'!$AY$4,'9.0.10'!$AY$3)</f>
        <v>0</v>
      </c>
      <c r="G67" s="5">
        <f>(VLOOKUP('9.0.10'!O67,'9.0.10'!$AM$4:$AO$55,2,FALSE))*IF('9.0.10'!AR$4="是",'9.0.10'!$AY$4,'9.0.10'!$AY$3)</f>
        <v>0</v>
      </c>
      <c r="H67" s="5">
        <f>(VLOOKUP('9.0.10'!P67,'9.0.10'!$AM$4:$AO$55,2,FALSE))*IF('9.0.10'!AS$4="是",'9.0.10'!$AY$4,'9.0.10'!$AY$3)</f>
        <v>0</v>
      </c>
      <c r="I67" s="4">
        <f>(VLOOKUP('9.0.10'!Q67,'9.0.10'!$AM$4:$AO$55,2,FALSE))*IF('9.0.10'!AT$4="是",'9.0.10'!$AY$4,'9.0.10'!$AY$3)</f>
        <v>200</v>
      </c>
      <c r="J67" s="4">
        <f>(VLOOKUP('9.0.10'!R67,'9.0.10'!$AM$4:$AO$55,2,FALSE))*IF('9.0.10'!AU$4="是",'9.0.10'!$AY$4,'9.0.10'!$AY$3)</f>
        <v>200</v>
      </c>
      <c r="K67" s="4">
        <f>(VLOOKUP('9.0.10'!S67,'9.0.10'!$AM$4:$AO$55,2,FALSE))*IF('9.0.10'!AV$4="是",'9.0.10'!$AY$4,'9.0.10'!$AY$3)</f>
        <v>200</v>
      </c>
      <c r="L67" s="4">
        <f>(VLOOKUP('9.0.10'!T67,'9.0.10'!$AM$4:$AO$55,2,FALSE))*IF('9.0.10'!AW$4="是",'9.0.10'!$AY$4,'9.0.10'!$AY$3)</f>
        <v>200</v>
      </c>
      <c r="M67" s="4">
        <f>(VLOOKUP('9.0.10'!U67,'9.0.10'!$AM$4:$AO$55,2,FALSE))*IF('9.0.10'!AX$4="是",'9.0.10'!$AY$4,'9.0.10'!$AY$3)</f>
        <v>200</v>
      </c>
      <c r="N67" s="4">
        <f>(VLOOKUP('9.0.10'!V67,'9.0.10'!$AM$4:$AO$55,2,FALSE))*IF('9.0.10'!AY$4="是",'9.0.10'!$AY$4,'9.0.10'!$AY$3)</f>
        <v>200</v>
      </c>
      <c r="O67" s="5">
        <f>(VLOOKUP('9.0.10'!W67,'9.0.10'!$AM$4:$AO$55,2,FALSE))*IF('9.0.10'!AZ$4="是",'9.0.10'!$AY$4,'9.0.10'!$AY$3)</f>
        <v>0</v>
      </c>
      <c r="P67" s="5">
        <f>(VLOOKUP('9.0.10'!X67,'9.0.10'!$AM$4:$AO$55,2,FALSE))*IF('9.0.10'!BA$4="是",'9.0.10'!$AY$4,'9.0.10'!$AY$3)</f>
        <v>0</v>
      </c>
      <c r="Q67" s="4">
        <f>(VLOOKUP('9.0.10'!Y67,'9.0.10'!$AM$4:$AO$55,2,FALSE))*IF('9.0.10'!BB$4="是",'9.0.10'!$AY$4,'9.0.10'!$AY$3)</f>
        <v>190</v>
      </c>
      <c r="R67" s="4">
        <f>(VLOOKUP('9.0.10'!Z67,'9.0.10'!$AM$4:$AO$55,2,FALSE))*IF('9.0.10'!BC$4="是",'9.0.10'!$AY$4,'9.0.10'!$AY$3)</f>
        <v>190</v>
      </c>
      <c r="S67" s="4">
        <f>(VLOOKUP('9.0.10'!AA67,'9.0.10'!$AM$4:$AO$55,2,FALSE))*IF('9.0.10'!BD$4="是",'9.0.10'!$AY$4,'9.0.10'!$AY$3)</f>
        <v>190</v>
      </c>
      <c r="T67" s="4">
        <f>(VLOOKUP('9.0.10'!AB67,'9.0.10'!$AM$4:$AO$55,2,FALSE))*IF('9.0.10'!BE$4="是",'9.0.10'!$AY$4,'9.0.10'!$AY$3)</f>
        <v>190</v>
      </c>
      <c r="U67" s="4">
        <f>(VLOOKUP('9.0.10'!AC67,'9.0.10'!$AM$4:$AO$55,2,FALSE))*IF('9.0.10'!BF$4="是",'9.0.10'!$AY$4,'9.0.10'!$AY$3)</f>
        <v>190</v>
      </c>
      <c r="V67" s="4">
        <f>(VLOOKUP('9.0.10'!AD67,'9.0.10'!$AM$4:$AO$55,2,FALSE))*IF('9.0.10'!BG$4="是",'9.0.10'!$AY$4,'9.0.10'!$AY$3)</f>
        <v>190</v>
      </c>
      <c r="W67" s="5">
        <f>(VLOOKUP('9.0.10'!AE67,'9.0.10'!$AM$4:$AO$55,2,FALSE))*IF('9.0.10'!BH$4="是",'9.0.10'!$AY$4,'9.0.10'!$AY$3)</f>
        <v>0</v>
      </c>
      <c r="X67" s="5">
        <f>(VLOOKUP('9.0.10'!AF67,'9.0.10'!$AM$4:$AO$55,2,FALSE))*IF('9.0.10'!BI$4="是",'9.0.10'!$AY$4,'9.0.10'!$AY$3)</f>
        <v>0</v>
      </c>
    </row>
    <row r="68" spans="1:24">
      <c r="A68" s="4">
        <f>(VLOOKUP('9.0.10'!I68,'9.0.10'!$AM$4:$AO$55,2,FALSE))*IF('9.0.10'!AK$4="是",'9.0.10'!$AY$4,'9.0.10'!$AY$3)</f>
        <v>0</v>
      </c>
      <c r="B68" s="4">
        <f>(VLOOKUP('9.0.10'!J68,'9.0.10'!$AM$4:$AO$55,2,FALSE))*IF('9.0.10'!AL$4="是",'9.0.10'!$AY$4,'9.0.10'!$AY$3)</f>
        <v>0</v>
      </c>
      <c r="C68" s="4">
        <f>(VLOOKUP('9.0.10'!K68,'9.0.10'!$AM$4:$AO$55,2,FALSE))*IF('9.0.10'!AM$4="是",'9.0.10'!$AY$4,'9.0.10'!$AY$3)</f>
        <v>0</v>
      </c>
      <c r="D68" s="4">
        <f>(VLOOKUP('9.0.10'!L68,'9.0.10'!$AM$4:$AO$55,2,FALSE))*IF('9.0.10'!AN$4="是",'9.0.10'!$AY$4,'9.0.10'!$AY$3)</f>
        <v>0</v>
      </c>
      <c r="E68" s="4">
        <f>(VLOOKUP('9.0.10'!M68,'9.0.10'!$AM$4:$AO$55,2,FALSE))*IF('9.0.10'!AO$4="是",'9.0.10'!$AY$4,'9.0.10'!$AY$3)</f>
        <v>0</v>
      </c>
      <c r="F68" s="4">
        <f>(VLOOKUP('9.0.10'!N68,'9.0.10'!$AM$4:$AO$55,2,FALSE))*IF('9.0.10'!AQ$4="是",'9.0.10'!$AY$4,'9.0.10'!$AY$3)</f>
        <v>0</v>
      </c>
      <c r="G68" s="5">
        <f>(VLOOKUP('9.0.10'!O68,'9.0.10'!$AM$4:$AO$55,2,FALSE))*IF('9.0.10'!AR$4="是",'9.0.10'!$AY$4,'9.0.10'!$AY$3)</f>
        <v>0</v>
      </c>
      <c r="H68" s="5">
        <f>(VLOOKUP('9.0.10'!P68,'9.0.10'!$AM$4:$AO$55,2,FALSE))*IF('9.0.10'!AS$4="是",'9.0.10'!$AY$4,'9.0.10'!$AY$3)</f>
        <v>0</v>
      </c>
      <c r="I68" s="4">
        <f>(VLOOKUP('9.0.10'!Q68,'9.0.10'!$AM$4:$AO$55,2,FALSE))*IF('9.0.10'!AT$4="是",'9.0.10'!$AY$4,'9.0.10'!$AY$3)</f>
        <v>200</v>
      </c>
      <c r="J68" s="4">
        <f>(VLOOKUP('9.0.10'!R68,'9.0.10'!$AM$4:$AO$55,2,FALSE))*IF('9.0.10'!AU$4="是",'9.0.10'!$AY$4,'9.0.10'!$AY$3)</f>
        <v>200</v>
      </c>
      <c r="K68" s="4">
        <f>(VLOOKUP('9.0.10'!S68,'9.0.10'!$AM$4:$AO$55,2,FALSE))*IF('9.0.10'!AV$4="是",'9.0.10'!$AY$4,'9.0.10'!$AY$3)</f>
        <v>200</v>
      </c>
      <c r="L68" s="4">
        <f>(VLOOKUP('9.0.10'!T68,'9.0.10'!$AM$4:$AO$55,2,FALSE))*IF('9.0.10'!AW$4="是",'9.0.10'!$AY$4,'9.0.10'!$AY$3)</f>
        <v>200</v>
      </c>
      <c r="M68" s="4">
        <f>(VLOOKUP('9.0.10'!U68,'9.0.10'!$AM$4:$AO$55,2,FALSE))*IF('9.0.10'!AX$4="是",'9.0.10'!$AY$4,'9.0.10'!$AY$3)</f>
        <v>200</v>
      </c>
      <c r="N68" s="4">
        <f>(VLOOKUP('9.0.10'!V68,'9.0.10'!$AM$4:$AO$55,2,FALSE))*IF('9.0.10'!AY$4="是",'9.0.10'!$AY$4,'9.0.10'!$AY$3)</f>
        <v>200</v>
      </c>
      <c r="O68" s="5">
        <f>(VLOOKUP('9.0.10'!W68,'9.0.10'!$AM$4:$AO$55,2,FALSE))*IF('9.0.10'!AZ$4="是",'9.0.10'!$AY$4,'9.0.10'!$AY$3)</f>
        <v>0</v>
      </c>
      <c r="P68" s="5">
        <f>(VLOOKUP('9.0.10'!X68,'9.0.10'!$AM$4:$AO$55,2,FALSE))*IF('9.0.10'!BA$4="是",'9.0.10'!$AY$4,'9.0.10'!$AY$3)</f>
        <v>0</v>
      </c>
      <c r="Q68" s="4">
        <f>(VLOOKUP('9.0.10'!Y68,'9.0.10'!$AM$4:$AO$55,2,FALSE))*IF('9.0.10'!BB$4="是",'9.0.10'!$AY$4,'9.0.10'!$AY$3)</f>
        <v>190</v>
      </c>
      <c r="R68" s="4">
        <f>(VLOOKUP('9.0.10'!Z68,'9.0.10'!$AM$4:$AO$55,2,FALSE))*IF('9.0.10'!BC$4="是",'9.0.10'!$AY$4,'9.0.10'!$AY$3)</f>
        <v>190</v>
      </c>
      <c r="S68" s="4">
        <f>(VLOOKUP('9.0.10'!AA68,'9.0.10'!$AM$4:$AO$55,2,FALSE))*IF('9.0.10'!BD$4="是",'9.0.10'!$AY$4,'9.0.10'!$AY$3)</f>
        <v>190</v>
      </c>
      <c r="T68" s="4">
        <f>(VLOOKUP('9.0.10'!AB68,'9.0.10'!$AM$4:$AO$55,2,FALSE))*IF('9.0.10'!BE$4="是",'9.0.10'!$AY$4,'9.0.10'!$AY$3)</f>
        <v>190</v>
      </c>
      <c r="U68" s="4">
        <f>(VLOOKUP('9.0.10'!AC68,'9.0.10'!$AM$4:$AO$55,2,FALSE))*IF('9.0.10'!BF$4="是",'9.0.10'!$AY$4,'9.0.10'!$AY$3)</f>
        <v>190</v>
      </c>
      <c r="V68" s="4">
        <f>(VLOOKUP('9.0.10'!AD68,'9.0.10'!$AM$4:$AO$55,2,FALSE))*IF('9.0.10'!BG$4="是",'9.0.10'!$AY$4,'9.0.10'!$AY$3)</f>
        <v>200</v>
      </c>
      <c r="W68" s="5">
        <f>(VLOOKUP('9.0.10'!AE68,'9.0.10'!$AM$4:$AO$55,2,FALSE))*IF('9.0.10'!BH$4="是",'9.0.10'!$AY$4,'9.0.10'!$AY$3)</f>
        <v>0</v>
      </c>
      <c r="X68" s="5">
        <f>(VLOOKUP('9.0.10'!AF68,'9.0.10'!$AM$4:$AO$55,2,FALSE))*IF('9.0.10'!BI$4="是",'9.0.10'!$AY$4,'9.0.10'!$AY$3)</f>
        <v>0</v>
      </c>
    </row>
    <row r="69" spans="1:24">
      <c r="A69" s="4">
        <f>(VLOOKUP('9.0.10'!I69,'9.0.10'!$AM$4:$AO$55,2,FALSE))*IF('9.0.10'!AK$4="是",'9.0.10'!$AY$4,'9.0.10'!$AY$3)</f>
        <v>0</v>
      </c>
      <c r="B69" s="4">
        <f>(VLOOKUP('9.0.10'!J69,'9.0.10'!$AM$4:$AO$55,2,FALSE))*IF('9.0.10'!AL$4="是",'9.0.10'!$AY$4,'9.0.10'!$AY$3)</f>
        <v>0</v>
      </c>
      <c r="C69" s="4">
        <f>(VLOOKUP('9.0.10'!K69,'9.0.10'!$AM$4:$AO$55,2,FALSE))*IF('9.0.10'!AM$4="是",'9.0.10'!$AY$4,'9.0.10'!$AY$3)</f>
        <v>0</v>
      </c>
      <c r="D69" s="4">
        <f>(VLOOKUP('9.0.10'!L69,'9.0.10'!$AM$4:$AO$55,2,FALSE))*IF('9.0.10'!AN$4="是",'9.0.10'!$AY$4,'9.0.10'!$AY$3)</f>
        <v>0</v>
      </c>
      <c r="E69" s="4">
        <f>(VLOOKUP('9.0.10'!M69,'9.0.10'!$AM$4:$AO$55,2,FALSE))*IF('9.0.10'!AO$4="是",'9.0.10'!$AY$4,'9.0.10'!$AY$3)</f>
        <v>0</v>
      </c>
      <c r="F69" s="4">
        <f>(VLOOKUP('9.0.10'!N69,'9.0.10'!$AM$4:$AO$55,2,FALSE))*IF('9.0.10'!AQ$4="是",'9.0.10'!$AY$4,'9.0.10'!$AY$3)</f>
        <v>0</v>
      </c>
      <c r="G69" s="5">
        <f>(VLOOKUP('9.0.10'!O69,'9.0.10'!$AM$4:$AO$55,2,FALSE))*IF('9.0.10'!AR$4="是",'9.0.10'!$AY$4,'9.0.10'!$AY$3)</f>
        <v>0</v>
      </c>
      <c r="H69" s="5">
        <f>(VLOOKUP('9.0.10'!P69,'9.0.10'!$AM$4:$AO$55,2,FALSE))*IF('9.0.10'!AS$4="是",'9.0.10'!$AY$4,'9.0.10'!$AY$3)</f>
        <v>0</v>
      </c>
      <c r="I69" s="4">
        <f>(VLOOKUP('9.0.10'!Q69,'9.0.10'!$AM$4:$AO$55,2,FALSE))*IF('9.0.10'!AT$4="是",'9.0.10'!$AY$4,'9.0.10'!$AY$3)</f>
        <v>200</v>
      </c>
      <c r="J69" s="4">
        <f>(VLOOKUP('9.0.10'!R69,'9.0.10'!$AM$4:$AO$55,2,FALSE))*IF('9.0.10'!AU$4="是",'9.0.10'!$AY$4,'9.0.10'!$AY$3)</f>
        <v>200</v>
      </c>
      <c r="K69" s="4">
        <f>(VLOOKUP('9.0.10'!S69,'9.0.10'!$AM$4:$AO$55,2,FALSE))*IF('9.0.10'!AV$4="是",'9.0.10'!$AY$4,'9.0.10'!$AY$3)</f>
        <v>200</v>
      </c>
      <c r="L69" s="4">
        <f>(VLOOKUP('9.0.10'!T69,'9.0.10'!$AM$4:$AO$55,2,FALSE))*IF('9.0.10'!AW$4="是",'9.0.10'!$AY$4,'9.0.10'!$AY$3)</f>
        <v>200</v>
      </c>
      <c r="M69" s="4">
        <f>(VLOOKUP('9.0.10'!U69,'9.0.10'!$AM$4:$AO$55,2,FALSE))*IF('9.0.10'!AX$4="是",'9.0.10'!$AY$4,'9.0.10'!$AY$3)</f>
        <v>200</v>
      </c>
      <c r="N69" s="4">
        <f>(VLOOKUP('9.0.10'!V69,'9.0.10'!$AM$4:$AO$55,2,FALSE))*IF('9.0.10'!AY$4="是",'9.0.10'!$AY$4,'9.0.10'!$AY$3)</f>
        <v>200</v>
      </c>
      <c r="O69" s="5">
        <f>(VLOOKUP('9.0.10'!W69,'9.0.10'!$AM$4:$AO$55,2,FALSE))*IF('9.0.10'!AZ$4="是",'9.0.10'!$AY$4,'9.0.10'!$AY$3)</f>
        <v>0</v>
      </c>
      <c r="P69" s="5">
        <f>(VLOOKUP('9.0.10'!X69,'9.0.10'!$AM$4:$AO$55,2,FALSE))*IF('9.0.10'!BA$4="是",'9.0.10'!$AY$4,'9.0.10'!$AY$3)</f>
        <v>0</v>
      </c>
      <c r="Q69" s="4">
        <f>(VLOOKUP('9.0.10'!Y69,'9.0.10'!$AM$4:$AO$55,2,FALSE))*IF('9.0.10'!BB$4="是",'9.0.10'!$AY$4,'9.0.10'!$AY$3)</f>
        <v>200</v>
      </c>
      <c r="R69" s="4">
        <f>(VLOOKUP('9.0.10'!Z69,'9.0.10'!$AM$4:$AO$55,2,FALSE))*IF('9.0.10'!BC$4="是",'9.0.10'!$AY$4,'9.0.10'!$AY$3)</f>
        <v>190</v>
      </c>
      <c r="S69" s="4">
        <f>(VLOOKUP('9.0.10'!AA69,'9.0.10'!$AM$4:$AO$55,2,FALSE))*IF('9.0.10'!BD$4="是",'9.0.10'!$AY$4,'9.0.10'!$AY$3)</f>
        <v>200</v>
      </c>
      <c r="T69" s="4">
        <f>(VLOOKUP('9.0.10'!AB69,'9.0.10'!$AM$4:$AO$55,2,FALSE))*IF('9.0.10'!BE$4="是",'9.0.10'!$AY$4,'9.0.10'!$AY$3)</f>
        <v>200</v>
      </c>
      <c r="U69" s="4">
        <f>(VLOOKUP('9.0.10'!AC69,'9.0.10'!$AM$4:$AO$55,2,FALSE))*IF('9.0.10'!BF$4="是",'9.0.10'!$AY$4,'9.0.10'!$AY$3)</f>
        <v>200</v>
      </c>
      <c r="V69" s="4">
        <f>(VLOOKUP('9.0.10'!AD69,'9.0.10'!$AM$4:$AO$55,2,FALSE))*IF('9.0.10'!BG$4="是",'9.0.10'!$AY$4,'9.0.10'!$AY$3)</f>
        <v>190</v>
      </c>
      <c r="W69" s="5">
        <f>(VLOOKUP('9.0.10'!AE69,'9.0.10'!$AM$4:$AO$55,2,FALSE))*IF('9.0.10'!BH$4="是",'9.0.10'!$AY$4,'9.0.10'!$AY$3)</f>
        <v>0</v>
      </c>
      <c r="X69" s="5">
        <f>(VLOOKUP('9.0.10'!AF69,'9.0.10'!$AM$4:$AO$55,2,FALSE))*IF('9.0.10'!BI$4="是",'9.0.10'!$AY$4,'9.0.10'!$AY$3)</f>
        <v>0</v>
      </c>
    </row>
    <row r="70" spans="1:24">
      <c r="A70" s="4">
        <f>(VLOOKUP('9.0.10'!I70,'9.0.10'!$AM$4:$AO$55,2,FALSE))*IF('9.0.10'!AK$4="是",'9.0.10'!$AY$4,'9.0.10'!$AY$3)</f>
        <v>0</v>
      </c>
      <c r="B70" s="4">
        <f>(VLOOKUP('9.0.10'!J70,'9.0.10'!$AM$4:$AO$55,2,FALSE))*IF('9.0.10'!AL$4="是",'9.0.10'!$AY$4,'9.0.10'!$AY$3)</f>
        <v>0</v>
      </c>
      <c r="C70" s="4">
        <f>(VLOOKUP('9.0.10'!K70,'9.0.10'!$AM$4:$AO$55,2,FALSE))*IF('9.0.10'!AM$4="是",'9.0.10'!$AY$4,'9.0.10'!$AY$3)</f>
        <v>0</v>
      </c>
      <c r="D70" s="4">
        <f>(VLOOKUP('9.0.10'!L70,'9.0.10'!$AM$4:$AO$55,2,FALSE))*IF('9.0.10'!AN$4="是",'9.0.10'!$AY$4,'9.0.10'!$AY$3)</f>
        <v>0</v>
      </c>
      <c r="E70" s="4">
        <f>(VLOOKUP('9.0.10'!M70,'9.0.10'!$AM$4:$AO$55,2,FALSE))*IF('9.0.10'!AO$4="是",'9.0.10'!$AY$4,'9.0.10'!$AY$3)</f>
        <v>0</v>
      </c>
      <c r="F70" s="4">
        <f>(VLOOKUP('9.0.10'!N70,'9.0.10'!$AM$4:$AO$55,2,FALSE))*IF('9.0.10'!AQ$4="是",'9.0.10'!$AY$4,'9.0.10'!$AY$3)</f>
        <v>0</v>
      </c>
      <c r="G70" s="5">
        <f>(VLOOKUP('9.0.10'!O70,'9.0.10'!$AM$4:$AO$55,2,FALSE))*IF('9.0.10'!AR$4="是",'9.0.10'!$AY$4,'9.0.10'!$AY$3)</f>
        <v>0</v>
      </c>
      <c r="H70" s="5">
        <f>(VLOOKUP('9.0.10'!P70,'9.0.10'!$AM$4:$AO$55,2,FALSE))*IF('9.0.10'!AS$4="是",'9.0.10'!$AY$4,'9.0.10'!$AY$3)</f>
        <v>0</v>
      </c>
      <c r="I70" s="4">
        <f>(VLOOKUP('9.0.10'!Q70,'9.0.10'!$AM$4:$AO$55,2,FALSE))*IF('9.0.10'!AT$4="是",'9.0.10'!$AY$4,'9.0.10'!$AY$3)</f>
        <v>200</v>
      </c>
      <c r="J70" s="4">
        <f>(VLOOKUP('9.0.10'!R70,'9.0.10'!$AM$4:$AO$55,2,FALSE))*IF('9.0.10'!AU$4="是",'9.0.10'!$AY$4,'9.0.10'!$AY$3)</f>
        <v>200</v>
      </c>
      <c r="K70" s="4">
        <f>(VLOOKUP('9.0.10'!S70,'9.0.10'!$AM$4:$AO$55,2,FALSE))*IF('9.0.10'!AV$4="是",'9.0.10'!$AY$4,'9.0.10'!$AY$3)</f>
        <v>200</v>
      </c>
      <c r="L70" s="4">
        <f>(VLOOKUP('9.0.10'!T70,'9.0.10'!$AM$4:$AO$55,2,FALSE))*IF('9.0.10'!AW$4="是",'9.0.10'!$AY$4,'9.0.10'!$AY$3)</f>
        <v>200</v>
      </c>
      <c r="M70" s="4">
        <f>(VLOOKUP('9.0.10'!U70,'9.0.10'!$AM$4:$AO$55,2,FALSE))*IF('9.0.10'!AX$4="是",'9.0.10'!$AY$4,'9.0.10'!$AY$3)</f>
        <v>200</v>
      </c>
      <c r="N70" s="4">
        <f>(VLOOKUP('9.0.10'!V70,'9.0.10'!$AM$4:$AO$55,2,FALSE))*IF('9.0.10'!AY$4="是",'9.0.10'!$AY$4,'9.0.10'!$AY$3)</f>
        <v>200</v>
      </c>
      <c r="O70" s="5">
        <f>(VLOOKUP('9.0.10'!W70,'9.0.10'!$AM$4:$AO$55,2,FALSE))*IF('9.0.10'!AZ$4="是",'9.0.10'!$AY$4,'9.0.10'!$AY$3)</f>
        <v>0</v>
      </c>
      <c r="P70" s="5">
        <f>(VLOOKUP('9.0.10'!X70,'9.0.10'!$AM$4:$AO$55,2,FALSE))*IF('9.0.10'!BA$4="是",'9.0.10'!$AY$4,'9.0.10'!$AY$3)</f>
        <v>0</v>
      </c>
      <c r="Q70" s="4">
        <f>(VLOOKUP('9.0.10'!Y70,'9.0.10'!$AM$4:$AO$55,2,FALSE))*IF('9.0.10'!BB$4="是",'9.0.10'!$AY$4,'9.0.10'!$AY$3)</f>
        <v>190</v>
      </c>
      <c r="R70" s="4">
        <f>(VLOOKUP('9.0.10'!Z70,'9.0.10'!$AM$4:$AO$55,2,FALSE))*IF('9.0.10'!BC$4="是",'9.0.10'!$AY$4,'9.0.10'!$AY$3)</f>
        <v>190</v>
      </c>
      <c r="S70" s="4">
        <f>(VLOOKUP('9.0.10'!AA70,'9.0.10'!$AM$4:$AO$55,2,FALSE))*IF('9.0.10'!BD$4="是",'9.0.10'!$AY$4,'9.0.10'!$AY$3)</f>
        <v>190</v>
      </c>
      <c r="T70" s="4">
        <f>(VLOOKUP('9.0.10'!AB70,'9.0.10'!$AM$4:$AO$55,2,FALSE))*IF('9.0.10'!BE$4="是",'9.0.10'!$AY$4,'9.0.10'!$AY$3)</f>
        <v>190</v>
      </c>
      <c r="U70" s="4">
        <f>(VLOOKUP('9.0.10'!AC70,'9.0.10'!$AM$4:$AO$55,2,FALSE))*IF('9.0.10'!BF$4="是",'9.0.10'!$AY$4,'9.0.10'!$AY$3)</f>
        <v>200</v>
      </c>
      <c r="V70" s="4">
        <f>(VLOOKUP('9.0.10'!AD70,'9.0.10'!$AM$4:$AO$55,2,FALSE))*IF('9.0.10'!BG$4="是",'9.0.10'!$AY$4,'9.0.10'!$AY$3)</f>
        <v>200</v>
      </c>
      <c r="W70" s="5">
        <f>(VLOOKUP('9.0.10'!AE70,'9.0.10'!$AM$4:$AO$55,2,FALSE))*IF('9.0.10'!BH$4="是",'9.0.10'!$AY$4,'9.0.10'!$AY$3)</f>
        <v>0</v>
      </c>
      <c r="X70" s="5">
        <f>(VLOOKUP('9.0.10'!AF70,'9.0.10'!$AM$4:$AO$55,2,FALSE))*IF('9.0.10'!BI$4="是",'9.0.10'!$AY$4,'9.0.10'!$AY$3)</f>
        <v>0</v>
      </c>
    </row>
    <row r="71" spans="1:24">
      <c r="A71" s="4">
        <f>(VLOOKUP('9.0.10'!I71,'9.0.10'!$AM$4:$AO$55,2,FALSE))*IF('9.0.10'!AK$4="是",'9.0.10'!$AY$4,'9.0.10'!$AY$3)</f>
        <v>0</v>
      </c>
      <c r="B71" s="4">
        <f>(VLOOKUP('9.0.10'!J71,'9.0.10'!$AM$4:$AO$55,2,FALSE))*IF('9.0.10'!AL$4="是",'9.0.10'!$AY$4,'9.0.10'!$AY$3)</f>
        <v>0</v>
      </c>
      <c r="C71" s="4">
        <f>(VLOOKUP('9.0.10'!K71,'9.0.10'!$AM$4:$AO$55,2,FALSE))*IF('9.0.10'!AM$4="是",'9.0.10'!$AY$4,'9.0.10'!$AY$3)</f>
        <v>0</v>
      </c>
      <c r="D71" s="4">
        <f>(VLOOKUP('9.0.10'!L71,'9.0.10'!$AM$4:$AO$55,2,FALSE))*IF('9.0.10'!AN$4="是",'9.0.10'!$AY$4,'9.0.10'!$AY$3)</f>
        <v>0</v>
      </c>
      <c r="E71" s="4">
        <f>(VLOOKUP('9.0.10'!M71,'9.0.10'!$AM$4:$AO$55,2,FALSE))*IF('9.0.10'!AO$4="是",'9.0.10'!$AY$4,'9.0.10'!$AY$3)</f>
        <v>0</v>
      </c>
      <c r="F71" s="4">
        <f>(VLOOKUP('9.0.10'!N71,'9.0.10'!$AM$4:$AO$55,2,FALSE))*IF('9.0.10'!AQ$4="是",'9.0.10'!$AY$4,'9.0.10'!$AY$3)</f>
        <v>0</v>
      </c>
      <c r="G71" s="5">
        <f>(VLOOKUP('9.0.10'!O71,'9.0.10'!$AM$4:$AO$55,2,FALSE))*IF('9.0.10'!AR$4="是",'9.0.10'!$AY$4,'9.0.10'!$AY$3)</f>
        <v>0</v>
      </c>
      <c r="H71" s="5">
        <f>(VLOOKUP('9.0.10'!P71,'9.0.10'!$AM$4:$AO$55,2,FALSE))*IF('9.0.10'!AS$4="是",'9.0.10'!$AY$4,'9.0.10'!$AY$3)</f>
        <v>0</v>
      </c>
      <c r="I71" s="4">
        <f>(VLOOKUP('9.0.10'!Q71,'9.0.10'!$AM$4:$AO$55,2,FALSE))*IF('9.0.10'!AT$4="是",'9.0.10'!$AY$4,'9.0.10'!$AY$3)</f>
        <v>200</v>
      </c>
      <c r="J71" s="4">
        <f>(VLOOKUP('9.0.10'!R71,'9.0.10'!$AM$4:$AO$55,2,FALSE))*IF('9.0.10'!AU$4="是",'9.0.10'!$AY$4,'9.0.10'!$AY$3)</f>
        <v>200</v>
      </c>
      <c r="K71" s="4">
        <f>(VLOOKUP('9.0.10'!S71,'9.0.10'!$AM$4:$AO$55,2,FALSE))*IF('9.0.10'!AV$4="是",'9.0.10'!$AY$4,'9.0.10'!$AY$3)</f>
        <v>200</v>
      </c>
      <c r="L71" s="4">
        <f>(VLOOKUP('9.0.10'!T71,'9.0.10'!$AM$4:$AO$55,2,FALSE))*IF('9.0.10'!AW$4="是",'9.0.10'!$AY$4,'9.0.10'!$AY$3)</f>
        <v>200</v>
      </c>
      <c r="M71" s="4">
        <f>(VLOOKUP('9.0.10'!U71,'9.0.10'!$AM$4:$AO$55,2,FALSE))*IF('9.0.10'!AX$4="是",'9.0.10'!$AY$4,'9.0.10'!$AY$3)</f>
        <v>200</v>
      </c>
      <c r="N71" s="4">
        <f>(VLOOKUP('9.0.10'!V71,'9.0.10'!$AM$4:$AO$55,2,FALSE))*IF('9.0.10'!AY$4="是",'9.0.10'!$AY$4,'9.0.10'!$AY$3)</f>
        <v>200</v>
      </c>
      <c r="O71" s="5">
        <f>(VLOOKUP('9.0.10'!W71,'9.0.10'!$AM$4:$AO$55,2,FALSE))*IF('9.0.10'!AZ$4="是",'9.0.10'!$AY$4,'9.0.10'!$AY$3)</f>
        <v>0</v>
      </c>
      <c r="P71" s="5">
        <f>(VLOOKUP('9.0.10'!X71,'9.0.10'!$AM$4:$AO$55,2,FALSE))*IF('9.0.10'!BA$4="是",'9.0.10'!$AY$4,'9.0.10'!$AY$3)</f>
        <v>0</v>
      </c>
      <c r="Q71" s="4">
        <f>(VLOOKUP('9.0.10'!Y71,'9.0.10'!$AM$4:$AO$55,2,FALSE))*IF('9.0.10'!BB$4="是",'9.0.10'!$AY$4,'9.0.10'!$AY$3)</f>
        <v>190</v>
      </c>
      <c r="R71" s="4">
        <f>(VLOOKUP('9.0.10'!Z71,'9.0.10'!$AM$4:$AO$55,2,FALSE))*IF('9.0.10'!BC$4="是",'9.0.10'!$AY$4,'9.0.10'!$AY$3)</f>
        <v>190</v>
      </c>
      <c r="S71" s="4">
        <f>(VLOOKUP('9.0.10'!AA71,'9.0.10'!$AM$4:$AO$55,2,FALSE))*IF('9.0.10'!BD$4="是",'9.0.10'!$AY$4,'9.0.10'!$AY$3)</f>
        <v>190</v>
      </c>
      <c r="T71" s="4">
        <f>(VLOOKUP('9.0.10'!AB71,'9.0.10'!$AM$4:$AO$55,2,FALSE))*IF('9.0.10'!BE$4="是",'9.0.10'!$AY$4,'9.0.10'!$AY$3)</f>
        <v>190</v>
      </c>
      <c r="U71" s="4">
        <f>(VLOOKUP('9.0.10'!AC71,'9.0.10'!$AM$4:$AO$55,2,FALSE))*IF('9.0.10'!BF$4="是",'9.0.10'!$AY$4,'9.0.10'!$AY$3)</f>
        <v>190</v>
      </c>
      <c r="V71" s="4">
        <f>(VLOOKUP('9.0.10'!AD71,'9.0.10'!$AM$4:$AO$55,2,FALSE))*IF('9.0.10'!BG$4="是",'9.0.10'!$AY$4,'9.0.10'!$AY$3)</f>
        <v>190</v>
      </c>
      <c r="W71" s="5">
        <f>(VLOOKUP('9.0.10'!AE71,'9.0.10'!$AM$4:$AO$55,2,FALSE))*IF('9.0.10'!BH$4="是",'9.0.10'!$AY$4,'9.0.10'!$AY$3)</f>
        <v>0</v>
      </c>
      <c r="X71" s="5">
        <f>(VLOOKUP('9.0.10'!AF71,'9.0.10'!$AM$4:$AO$55,2,FALSE))*IF('9.0.10'!BI$4="是",'9.0.10'!$AY$4,'9.0.10'!$AY$3)</f>
        <v>0</v>
      </c>
    </row>
    <row r="72" spans="1:24">
      <c r="A72" s="4">
        <f>(VLOOKUP('9.0.10'!I72,'9.0.10'!$AM$4:$AO$55,2,FALSE))*IF('9.0.10'!AK$4="是",'9.0.10'!$AY$4,'9.0.10'!$AY$3)</f>
        <v>0</v>
      </c>
      <c r="B72" s="4">
        <f>(VLOOKUP('9.0.10'!J72,'9.0.10'!$AM$4:$AO$55,2,FALSE))*IF('9.0.10'!AL$4="是",'9.0.10'!$AY$4,'9.0.10'!$AY$3)</f>
        <v>0</v>
      </c>
      <c r="C72" s="4">
        <f>(VLOOKUP('9.0.10'!K72,'9.0.10'!$AM$4:$AO$55,2,FALSE))*IF('9.0.10'!AM$4="是",'9.0.10'!$AY$4,'9.0.10'!$AY$3)</f>
        <v>0</v>
      </c>
      <c r="D72" s="4">
        <f>(VLOOKUP('9.0.10'!L72,'9.0.10'!$AM$4:$AO$55,2,FALSE))*IF('9.0.10'!AN$4="是",'9.0.10'!$AY$4,'9.0.10'!$AY$3)</f>
        <v>0</v>
      </c>
      <c r="E72" s="4">
        <f>(VLOOKUP('9.0.10'!M72,'9.0.10'!$AM$4:$AO$55,2,FALSE))*IF('9.0.10'!AO$4="是",'9.0.10'!$AY$4,'9.0.10'!$AY$3)</f>
        <v>0</v>
      </c>
      <c r="F72" s="4">
        <f>(VLOOKUP('9.0.10'!N72,'9.0.10'!$AM$4:$AO$55,2,FALSE))*IF('9.0.10'!AQ$4="是",'9.0.10'!$AY$4,'9.0.10'!$AY$3)</f>
        <v>0</v>
      </c>
      <c r="G72" s="5">
        <f>(VLOOKUP('9.0.10'!O72,'9.0.10'!$AM$4:$AO$55,2,FALSE))*IF('9.0.10'!AR$4="是",'9.0.10'!$AY$4,'9.0.10'!$AY$3)</f>
        <v>0</v>
      </c>
      <c r="H72" s="5">
        <f>(VLOOKUP('9.0.10'!P72,'9.0.10'!$AM$4:$AO$55,2,FALSE))*IF('9.0.10'!AS$4="是",'9.0.10'!$AY$4,'9.0.10'!$AY$3)</f>
        <v>0</v>
      </c>
      <c r="I72" s="4">
        <f>(VLOOKUP('9.0.10'!Q72,'9.0.10'!$AM$4:$AO$55,2,FALSE))*IF('9.0.10'!AT$4="是",'9.0.10'!$AY$4,'9.0.10'!$AY$3)</f>
        <v>200</v>
      </c>
      <c r="J72" s="4">
        <f>(VLOOKUP('9.0.10'!R72,'9.0.10'!$AM$4:$AO$55,2,FALSE))*IF('9.0.10'!AU$4="是",'9.0.10'!$AY$4,'9.0.10'!$AY$3)</f>
        <v>200</v>
      </c>
      <c r="K72" s="4">
        <f>(VLOOKUP('9.0.10'!S72,'9.0.10'!$AM$4:$AO$55,2,FALSE))*IF('9.0.10'!AV$4="是",'9.0.10'!$AY$4,'9.0.10'!$AY$3)</f>
        <v>200</v>
      </c>
      <c r="L72" s="4">
        <f>(VLOOKUP('9.0.10'!T72,'9.0.10'!$AM$4:$AO$55,2,FALSE))*IF('9.0.10'!AW$4="是",'9.0.10'!$AY$4,'9.0.10'!$AY$3)</f>
        <v>250</v>
      </c>
      <c r="M72" s="4">
        <f>(VLOOKUP('9.0.10'!U72,'9.0.10'!$AM$4:$AO$55,2,FALSE))*IF('9.0.10'!AX$4="是",'9.0.10'!$AY$4,'9.0.10'!$AY$3)</f>
        <v>190</v>
      </c>
      <c r="N72" s="4">
        <f>(VLOOKUP('9.0.10'!V72,'9.0.10'!$AM$4:$AO$55,2,FALSE))*IF('9.0.10'!AY$4="是",'9.0.10'!$AY$4,'9.0.10'!$AY$3)</f>
        <v>190</v>
      </c>
      <c r="O72" s="5">
        <f>(VLOOKUP('9.0.10'!W72,'9.0.10'!$AM$4:$AO$55,2,FALSE))*IF('9.0.10'!AZ$4="是",'9.0.10'!$AY$4,'9.0.10'!$AY$3)</f>
        <v>0</v>
      </c>
      <c r="P72" s="5">
        <f>(VLOOKUP('9.0.10'!X72,'9.0.10'!$AM$4:$AO$55,2,FALSE))*IF('9.0.10'!BA$4="是",'9.0.10'!$AY$4,'9.0.10'!$AY$3)</f>
        <v>0</v>
      </c>
      <c r="Q72" s="4">
        <f>(VLOOKUP('9.0.10'!Y72,'9.0.10'!$AM$4:$AO$55,2,FALSE))*IF('9.0.10'!BB$4="是",'9.0.10'!$AY$4,'9.0.10'!$AY$3)</f>
        <v>190</v>
      </c>
      <c r="R72" s="4">
        <f>(VLOOKUP('9.0.10'!Z72,'9.0.10'!$AM$4:$AO$55,2,FALSE))*IF('9.0.10'!BC$4="是",'9.0.10'!$AY$4,'9.0.10'!$AY$3)</f>
        <v>190</v>
      </c>
      <c r="S72" s="4">
        <f>(VLOOKUP('9.0.10'!AA72,'9.0.10'!$AM$4:$AO$55,2,FALSE))*IF('9.0.10'!BD$4="是",'9.0.10'!$AY$4,'9.0.10'!$AY$3)</f>
        <v>190</v>
      </c>
      <c r="T72" s="4">
        <f>(VLOOKUP('9.0.10'!AB72,'9.0.10'!$AM$4:$AO$55,2,FALSE))*IF('9.0.10'!BE$4="是",'9.0.10'!$AY$4,'9.0.10'!$AY$3)</f>
        <v>190</v>
      </c>
      <c r="U72" s="4">
        <f>(VLOOKUP('9.0.10'!AC72,'9.0.10'!$AM$4:$AO$55,2,FALSE))*IF('9.0.10'!BF$4="是",'9.0.10'!$AY$4,'9.0.10'!$AY$3)</f>
        <v>-200</v>
      </c>
      <c r="V72" s="4">
        <f>(VLOOKUP('9.0.10'!AD72,'9.0.10'!$AM$4:$AO$55,2,FALSE))*IF('9.0.10'!BG$4="是",'9.0.10'!$AY$4,'9.0.10'!$AY$3)</f>
        <v>190</v>
      </c>
      <c r="W72" s="5">
        <f>(VLOOKUP('9.0.10'!AE72,'9.0.10'!$AM$4:$AO$55,2,FALSE))*IF('9.0.10'!BH$4="是",'9.0.10'!$AY$4,'9.0.10'!$AY$3)</f>
        <v>190</v>
      </c>
      <c r="X72" s="5">
        <f>(VLOOKUP('9.0.10'!AF72,'9.0.10'!$AM$4:$AO$55,2,FALSE))*IF('9.0.10'!BI$4="是",'9.0.10'!$AY$4,'9.0.10'!$AY$3)</f>
        <v>190</v>
      </c>
    </row>
    <row r="73" spans="1:24">
      <c r="A73" s="4">
        <f>(VLOOKUP('9.0.10'!I73,'9.0.10'!$AM$4:$AO$55,2,FALSE))*IF('9.0.10'!AK$4="是",'9.0.10'!$AY$4,'9.0.10'!$AY$3)</f>
        <v>0</v>
      </c>
      <c r="B73" s="4">
        <f>(VLOOKUP('9.0.10'!J73,'9.0.10'!$AM$4:$AO$55,2,FALSE))*IF('9.0.10'!AL$4="是",'9.0.10'!$AY$4,'9.0.10'!$AY$3)</f>
        <v>0</v>
      </c>
      <c r="C73" s="4">
        <f>(VLOOKUP('9.0.10'!K73,'9.0.10'!$AM$4:$AO$55,2,FALSE))*IF('9.0.10'!AM$4="是",'9.0.10'!$AY$4,'9.0.10'!$AY$3)</f>
        <v>0</v>
      </c>
      <c r="D73" s="4">
        <f>(VLOOKUP('9.0.10'!L73,'9.0.10'!$AM$4:$AO$55,2,FALSE))*IF('9.0.10'!AN$4="是",'9.0.10'!$AY$4,'9.0.10'!$AY$3)</f>
        <v>0</v>
      </c>
      <c r="E73" s="4">
        <f>(VLOOKUP('9.0.10'!M73,'9.0.10'!$AM$4:$AO$55,2,FALSE))*IF('9.0.10'!AO$4="是",'9.0.10'!$AY$4,'9.0.10'!$AY$3)</f>
        <v>0</v>
      </c>
      <c r="F73" s="4">
        <f>(VLOOKUP('9.0.10'!N73,'9.0.10'!$AM$4:$AO$55,2,FALSE))*IF('9.0.10'!AQ$4="是",'9.0.10'!$AY$4,'9.0.10'!$AY$3)</f>
        <v>0</v>
      </c>
      <c r="G73" s="5">
        <f>(VLOOKUP('9.0.10'!O73,'9.0.10'!$AM$4:$AO$55,2,FALSE))*IF('9.0.10'!AR$4="是",'9.0.10'!$AY$4,'9.0.10'!$AY$3)</f>
        <v>0</v>
      </c>
      <c r="H73" s="5">
        <f>(VLOOKUP('9.0.10'!P73,'9.0.10'!$AM$4:$AO$55,2,FALSE))*IF('9.0.10'!AS$4="是",'9.0.10'!$AY$4,'9.0.10'!$AY$3)</f>
        <v>0</v>
      </c>
      <c r="I73" s="4">
        <f>(VLOOKUP('9.0.10'!Q73,'9.0.10'!$AM$4:$AO$55,2,FALSE))*IF('9.0.10'!AT$4="是",'9.0.10'!$AY$4,'9.0.10'!$AY$3)</f>
        <v>190</v>
      </c>
      <c r="J73" s="4">
        <f>(VLOOKUP('9.0.10'!R73,'9.0.10'!$AM$4:$AO$55,2,FALSE))*IF('9.0.10'!AU$4="是",'9.0.10'!$AY$4,'9.0.10'!$AY$3)</f>
        <v>190</v>
      </c>
      <c r="K73" s="4">
        <f>(VLOOKUP('9.0.10'!S73,'9.0.10'!$AM$4:$AO$55,2,FALSE))*IF('9.0.10'!AV$4="是",'9.0.10'!$AY$4,'9.0.10'!$AY$3)</f>
        <v>190</v>
      </c>
      <c r="L73" s="4">
        <f>(VLOOKUP('9.0.10'!T73,'9.0.10'!$AM$4:$AO$55,2,FALSE))*IF('9.0.10'!AW$4="是",'9.0.10'!$AY$4,'9.0.10'!$AY$3)</f>
        <v>190</v>
      </c>
      <c r="M73" s="4">
        <f>(VLOOKUP('9.0.10'!U73,'9.0.10'!$AM$4:$AO$55,2,FALSE))*IF('9.0.10'!AX$4="是",'9.0.10'!$AY$4,'9.0.10'!$AY$3)</f>
        <v>190</v>
      </c>
      <c r="N73" s="4">
        <f>(VLOOKUP('9.0.10'!V73,'9.0.10'!$AM$4:$AO$55,2,FALSE))*IF('9.0.10'!AY$4="是",'9.0.10'!$AY$4,'9.0.10'!$AY$3)</f>
        <v>190</v>
      </c>
      <c r="O73" s="5">
        <f>(VLOOKUP('9.0.10'!W73,'9.0.10'!$AM$4:$AO$55,2,FALSE))*IF('9.0.10'!AZ$4="是",'9.0.10'!$AY$4,'9.0.10'!$AY$3)</f>
        <v>0</v>
      </c>
      <c r="P73" s="5">
        <f>(VLOOKUP('9.0.10'!X73,'9.0.10'!$AM$4:$AO$55,2,FALSE))*IF('9.0.10'!BA$4="是",'9.0.10'!$AY$4,'9.0.10'!$AY$3)</f>
        <v>0</v>
      </c>
      <c r="Q73" s="4">
        <f>(VLOOKUP('9.0.10'!Y73,'9.0.10'!$AM$4:$AO$55,2,FALSE))*IF('9.0.10'!BB$4="是",'9.0.10'!$AY$4,'9.0.10'!$AY$3)</f>
        <v>190</v>
      </c>
      <c r="R73" s="4">
        <f>(VLOOKUP('9.0.10'!Z73,'9.0.10'!$AM$4:$AO$55,2,FALSE))*IF('9.0.10'!BC$4="是",'9.0.10'!$AY$4,'9.0.10'!$AY$3)</f>
        <v>50</v>
      </c>
      <c r="S73" s="4">
        <f>(VLOOKUP('9.0.10'!AA73,'9.0.10'!$AM$4:$AO$55,2,FALSE))*IF('9.0.10'!BD$4="是",'9.0.10'!$AY$4,'9.0.10'!$AY$3)</f>
        <v>190</v>
      </c>
      <c r="T73" s="4">
        <f>(VLOOKUP('9.0.10'!AB73,'9.0.10'!$AM$4:$AO$55,2,FALSE))*IF('9.0.10'!BE$4="是",'9.0.10'!$AY$4,'9.0.10'!$AY$3)</f>
        <v>190</v>
      </c>
      <c r="U73" s="4">
        <f>(VLOOKUP('9.0.10'!AC73,'9.0.10'!$AM$4:$AO$55,2,FALSE))*IF('9.0.10'!BF$4="是",'9.0.10'!$AY$4,'9.0.10'!$AY$3)</f>
        <v>190</v>
      </c>
      <c r="V73" s="4">
        <f>(VLOOKUP('9.0.10'!AD73,'9.0.10'!$AM$4:$AO$55,2,FALSE))*IF('9.0.10'!BG$4="是",'9.0.10'!$AY$4,'9.0.10'!$AY$3)</f>
        <v>190</v>
      </c>
      <c r="W73" s="5">
        <f>(VLOOKUP('9.0.10'!AE73,'9.0.10'!$AM$4:$AO$55,2,FALSE))*IF('9.0.10'!BH$4="是",'9.0.10'!$AY$4,'9.0.10'!$AY$3)</f>
        <v>190</v>
      </c>
      <c r="X73" s="5">
        <f>(VLOOKUP('9.0.10'!AF73,'9.0.10'!$AM$4:$AO$55,2,FALSE))*IF('9.0.10'!BI$4="是",'9.0.10'!$AY$4,'9.0.10'!$AY$3)</f>
        <v>0</v>
      </c>
    </row>
    <row r="74" spans="1:24">
      <c r="A74" s="4">
        <f>(VLOOKUP('9.0.10'!I74,'9.0.10'!$AM$4:$AO$55,2,FALSE))*IF('9.0.10'!AK$4="是",'9.0.10'!$AY$4,'9.0.10'!$AY$3)</f>
        <v>0</v>
      </c>
      <c r="B74" s="4">
        <f>(VLOOKUP('9.0.10'!J74,'9.0.10'!$AM$4:$AO$55,2,FALSE))*IF('9.0.10'!AL$4="是",'9.0.10'!$AY$4,'9.0.10'!$AY$3)</f>
        <v>0</v>
      </c>
      <c r="C74" s="4">
        <f>(VLOOKUP('9.0.10'!K74,'9.0.10'!$AM$4:$AO$55,2,FALSE))*IF('9.0.10'!AM$4="是",'9.0.10'!$AY$4,'9.0.10'!$AY$3)</f>
        <v>0</v>
      </c>
      <c r="D74" s="4">
        <f>(VLOOKUP('9.0.10'!L74,'9.0.10'!$AM$4:$AO$55,2,FALSE))*IF('9.0.10'!AN$4="是",'9.0.10'!$AY$4,'9.0.10'!$AY$3)</f>
        <v>0</v>
      </c>
      <c r="E74" s="4">
        <f>(VLOOKUP('9.0.10'!M74,'9.0.10'!$AM$4:$AO$55,2,FALSE))*IF('9.0.10'!AO$4="是",'9.0.10'!$AY$4,'9.0.10'!$AY$3)</f>
        <v>0</v>
      </c>
      <c r="F74" s="4">
        <f>(VLOOKUP('9.0.10'!N74,'9.0.10'!$AM$4:$AO$55,2,FALSE))*IF('9.0.10'!AQ$4="是",'9.0.10'!$AY$4,'9.0.10'!$AY$3)</f>
        <v>0</v>
      </c>
      <c r="G74" s="5">
        <f>(VLOOKUP('9.0.10'!O74,'9.0.10'!$AM$4:$AO$55,2,FALSE))*IF('9.0.10'!AR$4="是",'9.0.10'!$AY$4,'9.0.10'!$AY$3)</f>
        <v>0</v>
      </c>
      <c r="H74" s="5">
        <f>(VLOOKUP('9.0.10'!P74,'9.0.10'!$AM$4:$AO$55,2,FALSE))*IF('9.0.10'!AS$4="是",'9.0.10'!$AY$4,'9.0.10'!$AY$3)</f>
        <v>0</v>
      </c>
      <c r="I74" s="4">
        <f>(VLOOKUP('9.0.10'!Q74,'9.0.10'!$AM$4:$AO$55,2,FALSE))*IF('9.0.10'!AT$4="是",'9.0.10'!$AY$4,'9.0.10'!$AY$3)</f>
        <v>190</v>
      </c>
      <c r="J74" s="4">
        <f>(VLOOKUP('9.0.10'!R74,'9.0.10'!$AM$4:$AO$55,2,FALSE))*IF('9.0.10'!AU$4="是",'9.0.10'!$AY$4,'9.0.10'!$AY$3)</f>
        <v>190</v>
      </c>
      <c r="K74" s="4">
        <f>(VLOOKUP('9.0.10'!S74,'9.0.10'!$AM$4:$AO$55,2,FALSE))*IF('9.0.10'!AV$4="是",'9.0.10'!$AY$4,'9.0.10'!$AY$3)</f>
        <v>190</v>
      </c>
      <c r="L74" s="4">
        <f>(VLOOKUP('9.0.10'!T74,'9.0.10'!$AM$4:$AO$55,2,FALSE))*IF('9.0.10'!AW$4="是",'9.0.10'!$AY$4,'9.0.10'!$AY$3)</f>
        <v>190</v>
      </c>
      <c r="M74" s="4">
        <f>(VLOOKUP('9.0.10'!U74,'9.0.10'!$AM$4:$AO$55,2,FALSE))*IF('9.0.10'!AX$4="是",'9.0.10'!$AY$4,'9.0.10'!$AY$3)</f>
        <v>190</v>
      </c>
      <c r="N74" s="4">
        <f>(VLOOKUP('9.0.10'!V74,'9.0.10'!$AM$4:$AO$55,2,FALSE))*IF('9.0.10'!AY$4="是",'9.0.10'!$AY$4,'9.0.10'!$AY$3)</f>
        <v>190</v>
      </c>
      <c r="O74" s="5">
        <f>(VLOOKUP('9.0.10'!W74,'9.0.10'!$AM$4:$AO$55,2,FALSE))*IF('9.0.10'!AZ$4="是",'9.0.10'!$AY$4,'9.0.10'!$AY$3)</f>
        <v>0</v>
      </c>
      <c r="P74" s="5">
        <f>(VLOOKUP('9.0.10'!X74,'9.0.10'!$AM$4:$AO$55,2,FALSE))*IF('9.0.10'!BA$4="是",'9.0.10'!$AY$4,'9.0.10'!$AY$3)</f>
        <v>0</v>
      </c>
      <c r="Q74" s="4">
        <f>(VLOOKUP('9.0.10'!Y74,'9.0.10'!$AM$4:$AO$55,2,FALSE))*IF('9.0.10'!BB$4="是",'9.0.10'!$AY$4,'9.0.10'!$AY$3)</f>
        <v>190</v>
      </c>
      <c r="R74" s="4">
        <f>(VLOOKUP('9.0.10'!Z74,'9.0.10'!$AM$4:$AO$55,2,FALSE))*IF('9.0.10'!BC$4="是",'9.0.10'!$AY$4,'9.0.10'!$AY$3)</f>
        <v>190</v>
      </c>
      <c r="S74" s="4">
        <f>(VLOOKUP('9.0.10'!AA74,'9.0.10'!$AM$4:$AO$55,2,FALSE))*IF('9.0.10'!BD$4="是",'9.0.10'!$AY$4,'9.0.10'!$AY$3)</f>
        <v>190</v>
      </c>
      <c r="T74" s="4">
        <f>(VLOOKUP('9.0.10'!AB74,'9.0.10'!$AM$4:$AO$55,2,FALSE))*IF('9.0.10'!BE$4="是",'9.0.10'!$AY$4,'9.0.10'!$AY$3)</f>
        <v>190</v>
      </c>
      <c r="U74" s="4">
        <f>(VLOOKUP('9.0.10'!AC74,'9.0.10'!$AM$4:$AO$55,2,FALSE))*IF('9.0.10'!BF$4="是",'9.0.10'!$AY$4,'9.0.10'!$AY$3)</f>
        <v>150</v>
      </c>
      <c r="V74" s="4">
        <f>(VLOOKUP('9.0.10'!AD74,'9.0.10'!$AM$4:$AO$55,2,FALSE))*IF('9.0.10'!BG$4="是",'9.0.10'!$AY$4,'9.0.10'!$AY$3)</f>
        <v>190</v>
      </c>
      <c r="W74" s="5">
        <f>(VLOOKUP('9.0.10'!AE74,'9.0.10'!$AM$4:$AO$55,2,FALSE))*IF('9.0.10'!BH$4="是",'9.0.10'!$AY$4,'9.0.10'!$AY$3)</f>
        <v>0</v>
      </c>
      <c r="X74" s="5">
        <f>(VLOOKUP('9.0.10'!AF74,'9.0.10'!$AM$4:$AO$55,2,FALSE))*IF('9.0.10'!BI$4="是",'9.0.10'!$AY$4,'9.0.10'!$AY$3)</f>
        <v>0</v>
      </c>
    </row>
    <row r="75" spans="1:24">
      <c r="A75" s="4">
        <f>(VLOOKUP('9.0.10'!I75,'9.0.10'!$AM$4:$AO$55,2,FALSE))*IF('9.0.10'!AK$4="是",'9.0.10'!$AY$4,'9.0.10'!$AY$3)</f>
        <v>0</v>
      </c>
      <c r="B75" s="4">
        <f>(VLOOKUP('9.0.10'!J75,'9.0.10'!$AM$4:$AO$55,2,FALSE))*IF('9.0.10'!AL$4="是",'9.0.10'!$AY$4,'9.0.10'!$AY$3)</f>
        <v>0</v>
      </c>
      <c r="C75" s="4">
        <f>(VLOOKUP('9.0.10'!K75,'9.0.10'!$AM$4:$AO$55,2,FALSE))*IF('9.0.10'!AM$4="是",'9.0.10'!$AY$4,'9.0.10'!$AY$3)</f>
        <v>0</v>
      </c>
      <c r="D75" s="4">
        <f>(VLOOKUP('9.0.10'!L75,'9.0.10'!$AM$4:$AO$55,2,FALSE))*IF('9.0.10'!AN$4="是",'9.0.10'!$AY$4,'9.0.10'!$AY$3)</f>
        <v>0</v>
      </c>
      <c r="E75" s="4">
        <f>(VLOOKUP('9.0.10'!M75,'9.0.10'!$AM$4:$AO$55,2,FALSE))*IF('9.0.10'!AO$4="是",'9.0.10'!$AY$4,'9.0.10'!$AY$3)</f>
        <v>0</v>
      </c>
      <c r="F75" s="4">
        <f>(VLOOKUP('9.0.10'!N75,'9.0.10'!$AM$4:$AO$55,2,FALSE))*IF('9.0.10'!AQ$4="是",'9.0.10'!$AY$4,'9.0.10'!$AY$3)</f>
        <v>0</v>
      </c>
      <c r="G75" s="5">
        <f>(VLOOKUP('9.0.10'!O75,'9.0.10'!$AM$4:$AO$55,2,FALSE))*IF('9.0.10'!AR$4="是",'9.0.10'!$AY$4,'9.0.10'!$AY$3)</f>
        <v>0</v>
      </c>
      <c r="H75" s="5">
        <f>(VLOOKUP('9.0.10'!P75,'9.0.10'!$AM$4:$AO$55,2,FALSE))*IF('9.0.10'!AS$4="是",'9.0.10'!$AY$4,'9.0.10'!$AY$3)</f>
        <v>0</v>
      </c>
      <c r="I75" s="4">
        <f>(VLOOKUP('9.0.10'!Q75,'9.0.10'!$AM$4:$AO$55,2,FALSE))*IF('9.0.10'!AT$4="是",'9.0.10'!$AY$4,'9.0.10'!$AY$3)</f>
        <v>150</v>
      </c>
      <c r="J75" s="4">
        <f>(VLOOKUP('9.0.10'!R75,'9.0.10'!$AM$4:$AO$55,2,FALSE))*IF('9.0.10'!AU$4="是",'9.0.10'!$AY$4,'9.0.10'!$AY$3)</f>
        <v>190</v>
      </c>
      <c r="K75" s="4">
        <f>(VLOOKUP('9.0.10'!S75,'9.0.10'!$AM$4:$AO$55,2,FALSE))*IF('9.0.10'!AV$4="是",'9.0.10'!$AY$4,'9.0.10'!$AY$3)</f>
        <v>190</v>
      </c>
      <c r="L75" s="4">
        <f>(VLOOKUP('9.0.10'!T75,'9.0.10'!$AM$4:$AO$55,2,FALSE))*IF('9.0.10'!AW$4="是",'9.0.10'!$AY$4,'9.0.10'!$AY$3)</f>
        <v>50</v>
      </c>
      <c r="M75" s="4">
        <f>(VLOOKUP('9.0.10'!U75,'9.0.10'!$AM$4:$AO$55,2,FALSE))*IF('9.0.10'!AX$4="是",'9.0.10'!$AY$4,'9.0.10'!$AY$3)</f>
        <v>190</v>
      </c>
      <c r="N75" s="4">
        <f>(VLOOKUP('9.0.10'!V75,'9.0.10'!$AM$4:$AO$55,2,FALSE))*IF('9.0.10'!AY$4="是",'9.0.10'!$AY$4,'9.0.10'!$AY$3)</f>
        <v>190</v>
      </c>
      <c r="O75" s="5">
        <f>(VLOOKUP('9.0.10'!W75,'9.0.10'!$AM$4:$AO$55,2,FALSE))*IF('9.0.10'!AZ$4="是",'9.0.10'!$AY$4,'9.0.10'!$AY$3)</f>
        <v>0</v>
      </c>
      <c r="P75" s="5">
        <f>(VLOOKUP('9.0.10'!X75,'9.0.10'!$AM$4:$AO$55,2,FALSE))*IF('9.0.10'!BA$4="是",'9.0.10'!$AY$4,'9.0.10'!$AY$3)</f>
        <v>0</v>
      </c>
      <c r="Q75" s="4">
        <f>(VLOOKUP('9.0.10'!Y75,'9.0.10'!$AM$4:$AO$55,2,FALSE))*IF('9.0.10'!BB$4="是",'9.0.10'!$AY$4,'9.0.10'!$AY$3)</f>
        <v>190</v>
      </c>
      <c r="R75" s="4">
        <f>(VLOOKUP('9.0.10'!Z75,'9.0.10'!$AM$4:$AO$55,2,FALSE))*IF('9.0.10'!BC$4="是",'9.0.10'!$AY$4,'9.0.10'!$AY$3)</f>
        <v>190</v>
      </c>
      <c r="S75" s="4">
        <f>(VLOOKUP('9.0.10'!AA75,'9.0.10'!$AM$4:$AO$55,2,FALSE))*IF('9.0.10'!BD$4="是",'9.0.10'!$AY$4,'9.0.10'!$AY$3)</f>
        <v>190</v>
      </c>
      <c r="T75" s="4">
        <f>(VLOOKUP('9.0.10'!AB75,'9.0.10'!$AM$4:$AO$55,2,FALSE))*IF('9.0.10'!BE$4="是",'9.0.10'!$AY$4,'9.0.10'!$AY$3)</f>
        <v>190</v>
      </c>
      <c r="U75" s="4">
        <f>(VLOOKUP('9.0.10'!AC75,'9.0.10'!$AM$4:$AO$55,2,FALSE))*IF('9.0.10'!BF$4="是",'9.0.10'!$AY$4,'9.0.10'!$AY$3)</f>
        <v>190</v>
      </c>
      <c r="V75" s="4">
        <f>(VLOOKUP('9.0.10'!AD75,'9.0.10'!$AM$4:$AO$55,2,FALSE))*IF('9.0.10'!BG$4="是",'9.0.10'!$AY$4,'9.0.10'!$AY$3)</f>
        <v>190</v>
      </c>
      <c r="W75" s="5">
        <f>(VLOOKUP('9.0.10'!AE75,'9.0.10'!$AM$4:$AO$55,2,FALSE))*IF('9.0.10'!BH$4="是",'9.0.10'!$AY$4,'9.0.10'!$AY$3)</f>
        <v>0</v>
      </c>
      <c r="X75" s="5">
        <f>(VLOOKUP('9.0.10'!AF75,'9.0.10'!$AM$4:$AO$55,2,FALSE))*IF('9.0.10'!BI$4="是",'9.0.10'!$AY$4,'9.0.10'!$AY$3)</f>
        <v>0</v>
      </c>
    </row>
    <row r="76" spans="1:24">
      <c r="A76" s="4">
        <f>(VLOOKUP('9.0.10'!I76,'9.0.10'!$AM$4:$AO$55,2,FALSE))*IF('9.0.10'!AK$4="是",'9.0.10'!$AY$4,'9.0.10'!$AY$3)</f>
        <v>0</v>
      </c>
      <c r="B76" s="4">
        <f>(VLOOKUP('9.0.10'!J76,'9.0.10'!$AM$4:$AO$55,2,FALSE))*IF('9.0.10'!AL$4="是",'9.0.10'!$AY$4,'9.0.10'!$AY$3)</f>
        <v>0</v>
      </c>
      <c r="C76" s="4">
        <f>(VLOOKUP('9.0.10'!K76,'9.0.10'!$AM$4:$AO$55,2,FALSE))*IF('9.0.10'!AM$4="是",'9.0.10'!$AY$4,'9.0.10'!$AY$3)</f>
        <v>0</v>
      </c>
      <c r="D76" s="4">
        <f>(VLOOKUP('9.0.10'!L76,'9.0.10'!$AM$4:$AO$55,2,FALSE))*IF('9.0.10'!AN$4="是",'9.0.10'!$AY$4,'9.0.10'!$AY$3)</f>
        <v>0</v>
      </c>
      <c r="E76" s="4">
        <f>(VLOOKUP('9.0.10'!M76,'9.0.10'!$AM$4:$AO$55,2,FALSE))*IF('9.0.10'!AO$4="是",'9.0.10'!$AY$4,'9.0.10'!$AY$3)</f>
        <v>0</v>
      </c>
      <c r="F76" s="4">
        <f>(VLOOKUP('9.0.10'!N76,'9.0.10'!$AM$4:$AO$55,2,FALSE))*IF('9.0.10'!AQ$4="是",'9.0.10'!$AY$4,'9.0.10'!$AY$3)</f>
        <v>0</v>
      </c>
      <c r="G76" s="5">
        <f>(VLOOKUP('9.0.10'!O76,'9.0.10'!$AM$4:$AO$55,2,FALSE))*IF('9.0.10'!AR$4="是",'9.0.10'!$AY$4,'9.0.10'!$AY$3)</f>
        <v>0</v>
      </c>
      <c r="H76" s="5">
        <f>(VLOOKUP('9.0.10'!P76,'9.0.10'!$AM$4:$AO$55,2,FALSE))*IF('9.0.10'!AS$4="是",'9.0.10'!$AY$4,'9.0.10'!$AY$3)</f>
        <v>0</v>
      </c>
      <c r="I76" s="4">
        <f>(VLOOKUP('9.0.10'!Q76,'9.0.10'!$AM$4:$AO$55,2,FALSE))*IF('9.0.10'!AT$4="是",'9.0.10'!$AY$4,'9.0.10'!$AY$3)</f>
        <v>190</v>
      </c>
      <c r="J76" s="4">
        <f>(VLOOKUP('9.0.10'!R76,'9.0.10'!$AM$4:$AO$55,2,FALSE))*IF('9.0.10'!AU$4="是",'9.0.10'!$AY$4,'9.0.10'!$AY$3)</f>
        <v>190</v>
      </c>
      <c r="K76" s="4">
        <f>(VLOOKUP('9.0.10'!S76,'9.0.10'!$AM$4:$AO$55,2,FALSE))*IF('9.0.10'!AV$4="是",'9.0.10'!$AY$4,'9.0.10'!$AY$3)</f>
        <v>190</v>
      </c>
      <c r="L76" s="4">
        <f>(VLOOKUP('9.0.10'!T76,'9.0.10'!$AM$4:$AO$55,2,FALSE))*IF('9.0.10'!AW$4="是",'9.0.10'!$AY$4,'9.0.10'!$AY$3)</f>
        <v>190</v>
      </c>
      <c r="M76" s="4">
        <f>(VLOOKUP('9.0.10'!U76,'9.0.10'!$AM$4:$AO$55,2,FALSE))*IF('9.0.10'!AX$4="是",'9.0.10'!$AY$4,'9.0.10'!$AY$3)</f>
        <v>190</v>
      </c>
      <c r="N76" s="4">
        <f>(VLOOKUP('9.0.10'!V76,'9.0.10'!$AM$4:$AO$55,2,FALSE))*IF('9.0.10'!AY$4="是",'9.0.10'!$AY$4,'9.0.10'!$AY$3)</f>
        <v>190</v>
      </c>
      <c r="O76" s="5">
        <f>(VLOOKUP('9.0.10'!W76,'9.0.10'!$AM$4:$AO$55,2,FALSE))*IF('9.0.10'!AZ$4="是",'9.0.10'!$AY$4,'9.0.10'!$AY$3)</f>
        <v>0</v>
      </c>
      <c r="P76" s="5">
        <f>(VLOOKUP('9.0.10'!X76,'9.0.10'!$AM$4:$AO$55,2,FALSE))*IF('9.0.10'!BA$4="是",'9.0.10'!$AY$4,'9.0.10'!$AY$3)</f>
        <v>0</v>
      </c>
      <c r="Q76" s="4">
        <f>(VLOOKUP('9.0.10'!Y76,'9.0.10'!$AM$4:$AO$55,2,FALSE))*IF('9.0.10'!BB$4="是",'9.0.10'!$AY$4,'9.0.10'!$AY$3)</f>
        <v>190</v>
      </c>
      <c r="R76" s="4">
        <f>(VLOOKUP('9.0.10'!Z76,'9.0.10'!$AM$4:$AO$55,2,FALSE))*IF('9.0.10'!BC$4="是",'9.0.10'!$AY$4,'9.0.10'!$AY$3)</f>
        <v>180</v>
      </c>
      <c r="S76" s="4">
        <f>(VLOOKUP('9.0.10'!AA76,'9.0.10'!$AM$4:$AO$55,2,FALSE))*IF('9.0.10'!BD$4="是",'9.0.10'!$AY$4,'9.0.10'!$AY$3)</f>
        <v>180</v>
      </c>
      <c r="T76" s="4">
        <f>(VLOOKUP('9.0.10'!AB76,'9.0.10'!$AM$4:$AO$55,2,FALSE))*IF('9.0.10'!BE$4="是",'9.0.10'!$AY$4,'9.0.10'!$AY$3)</f>
        <v>180</v>
      </c>
      <c r="U76" s="4">
        <f>(VLOOKUP('9.0.10'!AC76,'9.0.10'!$AM$4:$AO$55,2,FALSE))*IF('9.0.10'!BF$4="是",'9.0.10'!$AY$4,'9.0.10'!$AY$3)</f>
        <v>180</v>
      </c>
      <c r="V76" s="4">
        <f>(VLOOKUP('9.0.10'!AD76,'9.0.10'!$AM$4:$AO$55,2,FALSE))*IF('9.0.10'!BG$4="是",'9.0.10'!$AY$4,'9.0.10'!$AY$3)</f>
        <v>180</v>
      </c>
      <c r="W76" s="5">
        <f>(VLOOKUP('9.0.10'!AE76,'9.0.10'!$AM$4:$AO$55,2,FALSE))*IF('9.0.10'!BH$4="是",'9.0.10'!$AY$4,'9.0.10'!$AY$3)</f>
        <v>0</v>
      </c>
      <c r="X76" s="5">
        <f>(VLOOKUP('9.0.10'!AF76,'9.0.10'!$AM$4:$AO$55,2,FALSE))*IF('9.0.10'!BI$4="是",'9.0.10'!$AY$4,'9.0.10'!$AY$3)</f>
        <v>0</v>
      </c>
    </row>
    <row r="77" spans="1:24">
      <c r="A77" s="4">
        <f>(VLOOKUP('9.0.10'!I77,'9.0.10'!$AM$4:$AO$55,2,FALSE))*IF('9.0.10'!AK$4="是",'9.0.10'!$AY$4,'9.0.10'!$AY$3)</f>
        <v>0</v>
      </c>
      <c r="B77" s="4">
        <f>(VLOOKUP('9.0.10'!J77,'9.0.10'!$AM$4:$AO$55,2,FALSE))*IF('9.0.10'!AL$4="是",'9.0.10'!$AY$4,'9.0.10'!$AY$3)</f>
        <v>0</v>
      </c>
      <c r="C77" s="4">
        <f>(VLOOKUP('9.0.10'!K77,'9.0.10'!$AM$4:$AO$55,2,FALSE))*IF('9.0.10'!AM$4="是",'9.0.10'!$AY$4,'9.0.10'!$AY$3)</f>
        <v>0</v>
      </c>
      <c r="D77" s="4">
        <f>(VLOOKUP('9.0.10'!L77,'9.0.10'!$AM$4:$AO$55,2,FALSE))*IF('9.0.10'!AN$4="是",'9.0.10'!$AY$4,'9.0.10'!$AY$3)</f>
        <v>0</v>
      </c>
      <c r="E77" s="4">
        <f>(VLOOKUP('9.0.10'!M77,'9.0.10'!$AM$4:$AO$55,2,FALSE))*IF('9.0.10'!AO$4="是",'9.0.10'!$AY$4,'9.0.10'!$AY$3)</f>
        <v>0</v>
      </c>
      <c r="F77" s="4">
        <f>(VLOOKUP('9.0.10'!N77,'9.0.10'!$AM$4:$AO$55,2,FALSE))*IF('9.0.10'!AQ$4="是",'9.0.10'!$AY$4,'9.0.10'!$AY$3)</f>
        <v>0</v>
      </c>
      <c r="G77" s="5">
        <f>(VLOOKUP('9.0.10'!O77,'9.0.10'!$AM$4:$AO$55,2,FALSE))*IF('9.0.10'!AR$4="是",'9.0.10'!$AY$4,'9.0.10'!$AY$3)</f>
        <v>0</v>
      </c>
      <c r="H77" s="5">
        <f>(VLOOKUP('9.0.10'!P77,'9.0.10'!$AM$4:$AO$55,2,FALSE))*IF('9.0.10'!AS$4="是",'9.0.10'!$AY$4,'9.0.10'!$AY$3)</f>
        <v>0</v>
      </c>
      <c r="I77" s="4">
        <f>(VLOOKUP('9.0.10'!Q77,'9.0.10'!$AM$4:$AO$55,2,FALSE))*IF('9.0.10'!AT$4="是",'9.0.10'!$AY$4,'9.0.10'!$AY$3)</f>
        <v>190</v>
      </c>
      <c r="J77" s="4">
        <f>(VLOOKUP('9.0.10'!R77,'9.0.10'!$AM$4:$AO$55,2,FALSE))*IF('9.0.10'!AU$4="是",'9.0.10'!$AY$4,'9.0.10'!$AY$3)</f>
        <v>180</v>
      </c>
      <c r="K77" s="4">
        <f>(VLOOKUP('9.0.10'!S77,'9.0.10'!$AM$4:$AO$55,2,FALSE))*IF('9.0.10'!AV$4="是",'9.0.10'!$AY$4,'9.0.10'!$AY$3)</f>
        <v>180</v>
      </c>
      <c r="L77" s="4">
        <f>(VLOOKUP('9.0.10'!T77,'9.0.10'!$AM$4:$AO$55,2,FALSE))*IF('9.0.10'!AW$4="是",'9.0.10'!$AY$4,'9.0.10'!$AY$3)</f>
        <v>180</v>
      </c>
      <c r="M77" s="4">
        <f>(VLOOKUP('9.0.10'!U77,'9.0.10'!$AM$4:$AO$55,2,FALSE))*IF('9.0.10'!AX$4="是",'9.0.10'!$AY$4,'9.0.10'!$AY$3)</f>
        <v>180</v>
      </c>
      <c r="N77" s="4">
        <f>(VLOOKUP('9.0.10'!V77,'9.0.10'!$AM$4:$AO$55,2,FALSE))*IF('9.0.10'!AY$4="是",'9.0.10'!$AY$4,'9.0.10'!$AY$3)</f>
        <v>180</v>
      </c>
      <c r="O77" s="5">
        <f>(VLOOKUP('9.0.10'!W77,'9.0.10'!$AM$4:$AO$55,2,FALSE))*IF('9.0.10'!AZ$4="是",'9.0.10'!$AY$4,'9.0.10'!$AY$3)</f>
        <v>0</v>
      </c>
      <c r="P77" s="5">
        <f>(VLOOKUP('9.0.10'!X77,'9.0.10'!$AM$4:$AO$55,2,FALSE))*IF('9.0.10'!BA$4="是",'9.0.10'!$AY$4,'9.0.10'!$AY$3)</f>
        <v>0</v>
      </c>
      <c r="Q77" s="4">
        <f>(VLOOKUP('9.0.10'!Y77,'9.0.10'!$AM$4:$AO$55,2,FALSE))*IF('9.0.10'!BB$4="是",'9.0.10'!$AY$4,'9.0.10'!$AY$3)</f>
        <v>180</v>
      </c>
      <c r="R77" s="4">
        <f>(VLOOKUP('9.0.10'!Z77,'9.0.10'!$AM$4:$AO$55,2,FALSE))*IF('9.0.10'!BC$4="是",'9.0.10'!$AY$4,'9.0.10'!$AY$3)</f>
        <v>50</v>
      </c>
      <c r="S77" s="4">
        <f>(VLOOKUP('9.0.10'!AA77,'9.0.10'!$AM$4:$AO$55,2,FALSE))*IF('9.0.10'!BD$4="是",'9.0.10'!$AY$4,'9.0.10'!$AY$3)</f>
        <v>180</v>
      </c>
      <c r="T77" s="4">
        <f>(VLOOKUP('9.0.10'!AB77,'9.0.10'!$AM$4:$AO$55,2,FALSE))*IF('9.0.10'!BE$4="是",'9.0.10'!$AY$4,'9.0.10'!$AY$3)</f>
        <v>180</v>
      </c>
      <c r="U77" s="4">
        <f>(VLOOKUP('9.0.10'!AC77,'9.0.10'!$AM$4:$AO$55,2,FALSE))*IF('9.0.10'!BF$4="是",'9.0.10'!$AY$4,'9.0.10'!$AY$3)</f>
        <v>180</v>
      </c>
      <c r="V77" s="4">
        <f>(VLOOKUP('9.0.10'!AD77,'9.0.10'!$AM$4:$AO$55,2,FALSE))*IF('9.0.10'!BG$4="是",'9.0.10'!$AY$4,'9.0.10'!$AY$3)</f>
        <v>180</v>
      </c>
      <c r="W77" s="5">
        <f>(VLOOKUP('9.0.10'!AE77,'9.0.10'!$AM$4:$AO$55,2,FALSE))*IF('9.0.10'!BH$4="是",'9.0.10'!$AY$4,'9.0.10'!$AY$3)</f>
        <v>0</v>
      </c>
      <c r="X77" s="5">
        <f>(VLOOKUP('9.0.10'!AF77,'9.0.10'!$AM$4:$AO$55,2,FALSE))*IF('9.0.10'!BI$4="是",'9.0.10'!$AY$4,'9.0.10'!$AY$3)</f>
        <v>0</v>
      </c>
    </row>
    <row r="78" spans="1:24">
      <c r="A78" s="4">
        <f>(VLOOKUP('9.0.10'!I78,'9.0.10'!$AM$4:$AO$55,2,FALSE))*IF('9.0.10'!AK$4="是",'9.0.10'!$AY$4,'9.0.10'!$AY$3)</f>
        <v>0</v>
      </c>
      <c r="B78" s="4">
        <f>(VLOOKUP('9.0.10'!J78,'9.0.10'!$AM$4:$AO$55,2,FALSE))*IF('9.0.10'!AL$4="是",'9.0.10'!$AY$4,'9.0.10'!$AY$3)</f>
        <v>0</v>
      </c>
      <c r="C78" s="4">
        <f>(VLOOKUP('9.0.10'!K78,'9.0.10'!$AM$4:$AO$55,2,FALSE))*IF('9.0.10'!AM$4="是",'9.0.10'!$AY$4,'9.0.10'!$AY$3)</f>
        <v>0</v>
      </c>
      <c r="D78" s="4">
        <f>(VLOOKUP('9.0.10'!L78,'9.0.10'!$AM$4:$AO$55,2,FALSE))*IF('9.0.10'!AN$4="是",'9.0.10'!$AY$4,'9.0.10'!$AY$3)</f>
        <v>0</v>
      </c>
      <c r="E78" s="4">
        <f>(VLOOKUP('9.0.10'!M78,'9.0.10'!$AM$4:$AO$55,2,FALSE))*IF('9.0.10'!AO$4="是",'9.0.10'!$AY$4,'9.0.10'!$AY$3)</f>
        <v>0</v>
      </c>
      <c r="F78" s="4">
        <f>(VLOOKUP('9.0.10'!N78,'9.0.10'!$AM$4:$AO$55,2,FALSE))*IF('9.0.10'!AQ$4="是",'9.0.10'!$AY$4,'9.0.10'!$AY$3)</f>
        <v>0</v>
      </c>
      <c r="G78" s="5">
        <f>(VLOOKUP('9.0.10'!O78,'9.0.10'!$AM$4:$AO$55,2,FALSE))*IF('9.0.10'!AR$4="是",'9.0.10'!$AY$4,'9.0.10'!$AY$3)</f>
        <v>0</v>
      </c>
      <c r="H78" s="5">
        <f>(VLOOKUP('9.0.10'!P78,'9.0.10'!$AM$4:$AO$55,2,FALSE))*IF('9.0.10'!AS$4="是",'9.0.10'!$AY$4,'9.0.10'!$AY$3)</f>
        <v>0</v>
      </c>
      <c r="I78" s="4">
        <f>(VLOOKUP('9.0.10'!Q78,'9.0.10'!$AM$4:$AO$55,2,FALSE))*IF('9.0.10'!AT$4="是",'9.0.10'!$AY$4,'9.0.10'!$AY$3)</f>
        <v>180</v>
      </c>
      <c r="J78" s="4">
        <f>(VLOOKUP('9.0.10'!R78,'9.0.10'!$AM$4:$AO$55,2,FALSE))*IF('9.0.10'!AU$4="是",'9.0.10'!$AY$4,'9.0.10'!$AY$3)</f>
        <v>180</v>
      </c>
      <c r="K78" s="4">
        <f>(VLOOKUP('9.0.10'!S78,'9.0.10'!$AM$4:$AO$55,2,FALSE))*IF('9.0.10'!AV$4="是",'9.0.10'!$AY$4,'9.0.10'!$AY$3)</f>
        <v>180</v>
      </c>
      <c r="L78" s="4">
        <f>(VLOOKUP('9.0.10'!T78,'9.0.10'!$AM$4:$AO$55,2,FALSE))*IF('9.0.10'!AW$4="是",'9.0.10'!$AY$4,'9.0.10'!$AY$3)</f>
        <v>180</v>
      </c>
      <c r="M78" s="4">
        <f>(VLOOKUP('9.0.10'!U78,'9.0.10'!$AM$4:$AO$55,2,FALSE))*IF('9.0.10'!AX$4="是",'9.0.10'!$AY$4,'9.0.10'!$AY$3)</f>
        <v>180</v>
      </c>
      <c r="N78" s="4">
        <f>(VLOOKUP('9.0.10'!V78,'9.0.10'!$AM$4:$AO$55,2,FALSE))*IF('9.0.10'!AY$4="是",'9.0.10'!$AY$4,'9.0.10'!$AY$3)</f>
        <v>50</v>
      </c>
      <c r="O78" s="5">
        <f>(VLOOKUP('9.0.10'!W78,'9.0.10'!$AM$4:$AO$55,2,FALSE))*IF('9.0.10'!AZ$4="是",'9.0.10'!$AY$4,'9.0.10'!$AY$3)</f>
        <v>0</v>
      </c>
      <c r="P78" s="5">
        <f>(VLOOKUP('9.0.10'!X78,'9.0.10'!$AM$4:$AO$55,2,FALSE))*IF('9.0.10'!BA$4="是",'9.0.10'!$AY$4,'9.0.10'!$AY$3)</f>
        <v>0</v>
      </c>
      <c r="Q78" s="4">
        <f>(VLOOKUP('9.0.10'!Y78,'9.0.10'!$AM$4:$AO$55,2,FALSE))*IF('9.0.10'!BB$4="是",'9.0.10'!$AY$4,'9.0.10'!$AY$3)</f>
        <v>180</v>
      </c>
      <c r="R78" s="4">
        <f>(VLOOKUP('9.0.10'!Z78,'9.0.10'!$AM$4:$AO$55,2,FALSE))*IF('9.0.10'!BC$4="是",'9.0.10'!$AY$4,'9.0.10'!$AY$3)</f>
        <v>150</v>
      </c>
      <c r="S78" s="4">
        <f>(VLOOKUP('9.0.10'!AA78,'9.0.10'!$AM$4:$AO$55,2,FALSE))*IF('9.0.10'!BD$4="是",'9.0.10'!$AY$4,'9.0.10'!$AY$3)</f>
        <v>180</v>
      </c>
      <c r="T78" s="4">
        <f>(VLOOKUP('9.0.10'!AB78,'9.0.10'!$AM$4:$AO$55,2,FALSE))*IF('9.0.10'!BE$4="是",'9.0.10'!$AY$4,'9.0.10'!$AY$3)</f>
        <v>180</v>
      </c>
      <c r="U78" s="4">
        <f>(VLOOKUP('9.0.10'!AC78,'9.0.10'!$AM$4:$AO$55,2,FALSE))*IF('9.0.10'!BF$4="是",'9.0.10'!$AY$4,'9.0.10'!$AY$3)</f>
        <v>180</v>
      </c>
      <c r="V78" s="4">
        <f>(VLOOKUP('9.0.10'!AD78,'9.0.10'!$AM$4:$AO$55,2,FALSE))*IF('9.0.10'!BG$4="是",'9.0.10'!$AY$4,'9.0.10'!$AY$3)</f>
        <v>180</v>
      </c>
      <c r="W78" s="5">
        <f>(VLOOKUP('9.0.10'!AE78,'9.0.10'!$AM$4:$AO$55,2,FALSE))*IF('9.0.10'!BH$4="是",'9.0.10'!$AY$4,'9.0.10'!$AY$3)</f>
        <v>0</v>
      </c>
      <c r="X78" s="5">
        <f>(VLOOKUP('9.0.10'!AF78,'9.0.10'!$AM$4:$AO$55,2,FALSE))*IF('9.0.10'!BI$4="是",'9.0.10'!$AY$4,'9.0.10'!$AY$3)</f>
        <v>0</v>
      </c>
    </row>
    <row r="79" spans="1:24">
      <c r="A79" s="4">
        <f>(VLOOKUP('9.0.10'!I79,'9.0.10'!$AM$4:$AO$55,2,FALSE))*IF('9.0.10'!AK$4="是",'9.0.10'!$AY$4,'9.0.10'!$AY$3)</f>
        <v>0</v>
      </c>
      <c r="B79" s="4">
        <f>(VLOOKUP('9.0.10'!J79,'9.0.10'!$AM$4:$AO$55,2,FALSE))*IF('9.0.10'!AL$4="是",'9.0.10'!$AY$4,'9.0.10'!$AY$3)</f>
        <v>0</v>
      </c>
      <c r="C79" s="4">
        <f>(VLOOKUP('9.0.10'!K79,'9.0.10'!$AM$4:$AO$55,2,FALSE))*IF('9.0.10'!AM$4="是",'9.0.10'!$AY$4,'9.0.10'!$AY$3)</f>
        <v>0</v>
      </c>
      <c r="D79" s="4">
        <f>(VLOOKUP('9.0.10'!L79,'9.0.10'!$AM$4:$AO$55,2,FALSE))*IF('9.0.10'!AN$4="是",'9.0.10'!$AY$4,'9.0.10'!$AY$3)</f>
        <v>0</v>
      </c>
      <c r="E79" s="4">
        <f>(VLOOKUP('9.0.10'!M79,'9.0.10'!$AM$4:$AO$55,2,FALSE))*IF('9.0.10'!AO$4="是",'9.0.10'!$AY$4,'9.0.10'!$AY$3)</f>
        <v>0</v>
      </c>
      <c r="F79" s="4">
        <f>(VLOOKUP('9.0.10'!N79,'9.0.10'!$AM$4:$AO$55,2,FALSE))*IF('9.0.10'!AQ$4="是",'9.0.10'!$AY$4,'9.0.10'!$AY$3)</f>
        <v>0</v>
      </c>
      <c r="G79" s="5">
        <f>(VLOOKUP('9.0.10'!O79,'9.0.10'!$AM$4:$AO$55,2,FALSE))*IF('9.0.10'!AR$4="是",'9.0.10'!$AY$4,'9.0.10'!$AY$3)</f>
        <v>0</v>
      </c>
      <c r="H79" s="5">
        <f>(VLOOKUP('9.0.10'!P79,'9.0.10'!$AM$4:$AO$55,2,FALSE))*IF('9.0.10'!AS$4="是",'9.0.10'!$AY$4,'9.0.10'!$AY$3)</f>
        <v>0</v>
      </c>
      <c r="I79" s="4">
        <f>(VLOOKUP('9.0.10'!Q79,'9.0.10'!$AM$4:$AO$55,2,FALSE))*IF('9.0.10'!AT$4="是",'9.0.10'!$AY$4,'9.0.10'!$AY$3)</f>
        <v>180</v>
      </c>
      <c r="J79" s="4">
        <f>(VLOOKUP('9.0.10'!R79,'9.0.10'!$AM$4:$AO$55,2,FALSE))*IF('9.0.10'!AU$4="是",'9.0.10'!$AY$4,'9.0.10'!$AY$3)</f>
        <v>180</v>
      </c>
      <c r="K79" s="4">
        <f>(VLOOKUP('9.0.10'!S79,'9.0.10'!$AM$4:$AO$55,2,FALSE))*IF('9.0.10'!AV$4="是",'9.0.10'!$AY$4,'9.0.10'!$AY$3)</f>
        <v>180</v>
      </c>
      <c r="L79" s="4">
        <f>(VLOOKUP('9.0.10'!T79,'9.0.10'!$AM$4:$AO$55,2,FALSE))*IF('9.0.10'!AW$4="是",'9.0.10'!$AY$4,'9.0.10'!$AY$3)</f>
        <v>180</v>
      </c>
      <c r="M79" s="4">
        <f>(VLOOKUP('9.0.10'!U79,'9.0.10'!$AM$4:$AO$55,2,FALSE))*IF('9.0.10'!AX$4="是",'9.0.10'!$AY$4,'9.0.10'!$AY$3)</f>
        <v>180</v>
      </c>
      <c r="N79" s="4">
        <f>(VLOOKUP('9.0.10'!V79,'9.0.10'!$AM$4:$AO$55,2,FALSE))*IF('9.0.10'!AY$4="是",'9.0.10'!$AY$4,'9.0.10'!$AY$3)</f>
        <v>50</v>
      </c>
      <c r="O79" s="5">
        <f>(VLOOKUP('9.0.10'!W79,'9.0.10'!$AM$4:$AO$55,2,FALSE))*IF('9.0.10'!AZ$4="是",'9.0.10'!$AY$4,'9.0.10'!$AY$3)</f>
        <v>0</v>
      </c>
      <c r="P79" s="5">
        <f>(VLOOKUP('9.0.10'!X79,'9.0.10'!$AM$4:$AO$55,2,FALSE))*IF('9.0.10'!BA$4="是",'9.0.10'!$AY$4,'9.0.10'!$AY$3)</f>
        <v>0</v>
      </c>
      <c r="Q79" s="4">
        <f>(VLOOKUP('9.0.10'!Y79,'9.0.10'!$AM$4:$AO$55,2,FALSE))*IF('9.0.10'!BB$4="是",'9.0.10'!$AY$4,'9.0.10'!$AY$3)</f>
        <v>180</v>
      </c>
      <c r="R79" s="4">
        <f>(VLOOKUP('9.0.10'!Z79,'9.0.10'!$AM$4:$AO$55,2,FALSE))*IF('9.0.10'!BC$4="是",'9.0.10'!$AY$4,'9.0.10'!$AY$3)</f>
        <v>180</v>
      </c>
      <c r="S79" s="4">
        <f>(VLOOKUP('9.0.10'!AA79,'9.0.10'!$AM$4:$AO$55,2,FALSE))*IF('9.0.10'!BD$4="是",'9.0.10'!$AY$4,'9.0.10'!$AY$3)</f>
        <v>180</v>
      </c>
      <c r="T79" s="4">
        <f>(VLOOKUP('9.0.10'!AB79,'9.0.10'!$AM$4:$AO$55,2,FALSE))*IF('9.0.10'!BE$4="是",'9.0.10'!$AY$4,'9.0.10'!$AY$3)</f>
        <v>180</v>
      </c>
      <c r="U79" s="4">
        <f>(VLOOKUP('9.0.10'!AC79,'9.0.10'!$AM$4:$AO$55,2,FALSE))*IF('9.0.10'!BF$4="是",'9.0.10'!$AY$4,'9.0.10'!$AY$3)</f>
        <v>180</v>
      </c>
      <c r="V79" s="4">
        <f>(VLOOKUP('9.0.10'!AD79,'9.0.10'!$AM$4:$AO$55,2,FALSE))*IF('9.0.10'!BG$4="是",'9.0.10'!$AY$4,'9.0.10'!$AY$3)</f>
        <v>180</v>
      </c>
      <c r="W79" s="5">
        <f>(VLOOKUP('9.0.10'!AE79,'9.0.10'!$AM$4:$AO$55,2,FALSE))*IF('9.0.10'!BH$4="是",'9.0.10'!$AY$4,'9.0.10'!$AY$3)</f>
        <v>0</v>
      </c>
      <c r="X79" s="5">
        <f>(VLOOKUP('9.0.10'!AF79,'9.0.10'!$AM$4:$AO$55,2,FALSE))*IF('9.0.10'!BI$4="是",'9.0.10'!$AY$4,'9.0.10'!$AY$3)</f>
        <v>0</v>
      </c>
    </row>
    <row r="80" spans="1:24">
      <c r="A80" s="4">
        <f>(VLOOKUP('9.0.10'!I80,'9.0.10'!$AM$4:$AO$55,2,FALSE))*IF('9.0.10'!AK$4="是",'9.0.10'!$AY$4,'9.0.10'!$AY$3)</f>
        <v>0</v>
      </c>
      <c r="B80" s="4">
        <f>(VLOOKUP('9.0.10'!J80,'9.0.10'!$AM$4:$AO$55,2,FALSE))*IF('9.0.10'!AL$4="是",'9.0.10'!$AY$4,'9.0.10'!$AY$3)</f>
        <v>0</v>
      </c>
      <c r="C80" s="4">
        <f>(VLOOKUP('9.0.10'!K80,'9.0.10'!$AM$4:$AO$55,2,FALSE))*IF('9.0.10'!AM$4="是",'9.0.10'!$AY$4,'9.0.10'!$AY$3)</f>
        <v>0</v>
      </c>
      <c r="D80" s="4">
        <f>(VLOOKUP('9.0.10'!L80,'9.0.10'!$AM$4:$AO$55,2,FALSE))*IF('9.0.10'!AN$4="是",'9.0.10'!$AY$4,'9.0.10'!$AY$3)</f>
        <v>0</v>
      </c>
      <c r="E80" s="4">
        <f>(VLOOKUP('9.0.10'!M80,'9.0.10'!$AM$4:$AO$55,2,FALSE))*IF('9.0.10'!AO$4="是",'9.0.10'!$AY$4,'9.0.10'!$AY$3)</f>
        <v>0</v>
      </c>
      <c r="F80" s="4">
        <f>(VLOOKUP('9.0.10'!N80,'9.0.10'!$AM$4:$AO$55,2,FALSE))*IF('9.0.10'!AQ$4="是",'9.0.10'!$AY$4,'9.0.10'!$AY$3)</f>
        <v>0</v>
      </c>
      <c r="G80" s="5">
        <f>(VLOOKUP('9.0.10'!O80,'9.0.10'!$AM$4:$AO$55,2,FALSE))*IF('9.0.10'!AR$4="是",'9.0.10'!$AY$4,'9.0.10'!$AY$3)</f>
        <v>0</v>
      </c>
      <c r="H80" s="5">
        <f>(VLOOKUP('9.0.10'!P80,'9.0.10'!$AM$4:$AO$55,2,FALSE))*IF('9.0.10'!AS$4="是",'9.0.10'!$AY$4,'9.0.10'!$AY$3)</f>
        <v>0</v>
      </c>
      <c r="I80" s="4">
        <f>(VLOOKUP('9.0.10'!Q80,'9.0.10'!$AM$4:$AO$55,2,FALSE))*IF('9.0.10'!AT$4="是",'9.0.10'!$AY$4,'9.0.10'!$AY$3)</f>
        <v>180</v>
      </c>
      <c r="J80" s="4">
        <f>(VLOOKUP('9.0.10'!R80,'9.0.10'!$AM$4:$AO$55,2,FALSE))*IF('9.0.10'!AU$4="是",'9.0.10'!$AY$4,'9.0.10'!$AY$3)</f>
        <v>180</v>
      </c>
      <c r="K80" s="4">
        <f>(VLOOKUP('9.0.10'!S80,'9.0.10'!$AM$4:$AO$55,2,FALSE))*IF('9.0.10'!AV$4="是",'9.0.10'!$AY$4,'9.0.10'!$AY$3)</f>
        <v>180</v>
      </c>
      <c r="L80" s="4">
        <f>(VLOOKUP('9.0.10'!T80,'9.0.10'!$AM$4:$AO$55,2,FALSE))*IF('9.0.10'!AW$4="是",'9.0.10'!$AY$4,'9.0.10'!$AY$3)</f>
        <v>170</v>
      </c>
      <c r="M80" s="4">
        <f>(VLOOKUP('9.0.10'!U80,'9.0.10'!$AM$4:$AO$55,2,FALSE))*IF('9.0.10'!AX$4="是",'9.0.10'!$AY$4,'9.0.10'!$AY$3)</f>
        <v>170</v>
      </c>
      <c r="N80" s="4">
        <f>(VLOOKUP('9.0.10'!V80,'9.0.10'!$AM$4:$AO$55,2,FALSE))*IF('9.0.10'!AY$4="是",'9.0.10'!$AY$4,'9.0.10'!$AY$3)</f>
        <v>170</v>
      </c>
      <c r="O80" s="5">
        <f>(VLOOKUP('9.0.10'!W80,'9.0.10'!$AM$4:$AO$55,2,FALSE))*IF('9.0.10'!AZ$4="是",'9.0.10'!$AY$4,'9.0.10'!$AY$3)</f>
        <v>0</v>
      </c>
      <c r="P80" s="5">
        <f>(VLOOKUP('9.0.10'!X80,'9.0.10'!$AM$4:$AO$55,2,FALSE))*IF('9.0.10'!BA$4="是",'9.0.10'!$AY$4,'9.0.10'!$AY$3)</f>
        <v>0</v>
      </c>
      <c r="Q80" s="4">
        <f>(VLOOKUP('9.0.10'!Y80,'9.0.10'!$AM$4:$AO$55,2,FALSE))*IF('9.0.10'!BB$4="是",'9.0.10'!$AY$4,'9.0.10'!$AY$3)</f>
        <v>180</v>
      </c>
      <c r="R80" s="4">
        <f>(VLOOKUP('9.0.10'!Z80,'9.0.10'!$AM$4:$AO$55,2,FALSE))*IF('9.0.10'!BC$4="是",'9.0.10'!$AY$4,'9.0.10'!$AY$3)</f>
        <v>180</v>
      </c>
      <c r="S80" s="4">
        <f>(VLOOKUP('9.0.10'!AA80,'9.0.10'!$AM$4:$AO$55,2,FALSE))*IF('9.0.10'!BD$4="是",'9.0.10'!$AY$4,'9.0.10'!$AY$3)</f>
        <v>180</v>
      </c>
      <c r="T80" s="4">
        <f>(VLOOKUP('9.0.10'!AB80,'9.0.10'!$AM$4:$AO$55,2,FALSE))*IF('9.0.10'!BE$4="是",'9.0.10'!$AY$4,'9.0.10'!$AY$3)</f>
        <v>180</v>
      </c>
      <c r="U80" s="4">
        <f>(VLOOKUP('9.0.10'!AC80,'9.0.10'!$AM$4:$AO$55,2,FALSE))*IF('9.0.10'!BF$4="是",'9.0.10'!$AY$4,'9.0.10'!$AY$3)</f>
        <v>180</v>
      </c>
      <c r="V80" s="4">
        <f>(VLOOKUP('9.0.10'!AD80,'9.0.10'!$AM$4:$AO$55,2,FALSE))*IF('9.0.10'!BG$4="是",'9.0.10'!$AY$4,'9.0.10'!$AY$3)</f>
        <v>180</v>
      </c>
      <c r="W80" s="5">
        <f>(VLOOKUP('9.0.10'!AE80,'9.0.10'!$AM$4:$AO$55,2,FALSE))*IF('9.0.10'!BH$4="是",'9.0.10'!$AY$4,'9.0.10'!$AY$3)</f>
        <v>0</v>
      </c>
      <c r="X80" s="5">
        <f>(VLOOKUP('9.0.10'!AF80,'9.0.10'!$AM$4:$AO$55,2,FALSE))*IF('9.0.10'!BI$4="是",'9.0.10'!$AY$4,'9.0.10'!$AY$3)</f>
        <v>0</v>
      </c>
    </row>
    <row r="81" spans="1:24">
      <c r="A81" s="4">
        <f>(VLOOKUP('9.0.10'!I81,'9.0.10'!$AM$4:$AO$55,2,FALSE))*IF('9.0.10'!AK$4="是",'9.0.10'!$AY$4,'9.0.10'!$AY$3)</f>
        <v>0</v>
      </c>
      <c r="B81" s="4">
        <f>(VLOOKUP('9.0.10'!J81,'9.0.10'!$AM$4:$AO$55,2,FALSE))*IF('9.0.10'!AL$4="是",'9.0.10'!$AY$4,'9.0.10'!$AY$3)</f>
        <v>0</v>
      </c>
      <c r="C81" s="4">
        <f>(VLOOKUP('9.0.10'!K81,'9.0.10'!$AM$4:$AO$55,2,FALSE))*IF('9.0.10'!AM$4="是",'9.0.10'!$AY$4,'9.0.10'!$AY$3)</f>
        <v>0</v>
      </c>
      <c r="D81" s="4">
        <f>(VLOOKUP('9.0.10'!L81,'9.0.10'!$AM$4:$AO$55,2,FALSE))*IF('9.0.10'!AN$4="是",'9.0.10'!$AY$4,'9.0.10'!$AY$3)</f>
        <v>0</v>
      </c>
      <c r="E81" s="4">
        <f>(VLOOKUP('9.0.10'!M81,'9.0.10'!$AM$4:$AO$55,2,FALSE))*IF('9.0.10'!AO$4="是",'9.0.10'!$AY$4,'9.0.10'!$AY$3)</f>
        <v>0</v>
      </c>
      <c r="F81" s="4">
        <f>(VLOOKUP('9.0.10'!N81,'9.0.10'!$AM$4:$AO$55,2,FALSE))*IF('9.0.10'!AQ$4="是",'9.0.10'!$AY$4,'9.0.10'!$AY$3)</f>
        <v>0</v>
      </c>
      <c r="G81" s="5">
        <f>(VLOOKUP('9.0.10'!O81,'9.0.10'!$AM$4:$AO$55,2,FALSE))*IF('9.0.10'!AR$4="是",'9.0.10'!$AY$4,'9.0.10'!$AY$3)</f>
        <v>0</v>
      </c>
      <c r="H81" s="5">
        <f>(VLOOKUP('9.0.10'!P81,'9.0.10'!$AM$4:$AO$55,2,FALSE))*IF('9.0.10'!AS$4="是",'9.0.10'!$AY$4,'9.0.10'!$AY$3)</f>
        <v>0</v>
      </c>
      <c r="I81" s="4">
        <f>(VLOOKUP('9.0.10'!Q81,'9.0.10'!$AM$4:$AO$55,2,FALSE))*IF('9.0.10'!AT$4="是",'9.0.10'!$AY$4,'9.0.10'!$AY$3)</f>
        <v>50</v>
      </c>
      <c r="J81" s="4">
        <f>(VLOOKUP('9.0.10'!R81,'9.0.10'!$AM$4:$AO$55,2,FALSE))*IF('9.0.10'!AU$4="是",'9.0.10'!$AY$4,'9.0.10'!$AY$3)</f>
        <v>170</v>
      </c>
      <c r="K81" s="4">
        <f>(VLOOKUP('9.0.10'!S81,'9.0.10'!$AM$4:$AO$55,2,FALSE))*IF('9.0.10'!AV$4="是",'9.0.10'!$AY$4,'9.0.10'!$AY$3)</f>
        <v>170</v>
      </c>
      <c r="L81" s="4">
        <f>(VLOOKUP('9.0.10'!T81,'9.0.10'!$AM$4:$AO$55,2,FALSE))*IF('9.0.10'!AW$4="是",'9.0.10'!$AY$4,'9.0.10'!$AY$3)</f>
        <v>180</v>
      </c>
      <c r="M81" s="4">
        <f>(VLOOKUP('9.0.10'!U81,'9.0.10'!$AM$4:$AO$55,2,FALSE))*IF('9.0.10'!AX$4="是",'9.0.10'!$AY$4,'9.0.10'!$AY$3)</f>
        <v>180</v>
      </c>
      <c r="N81" s="4">
        <f>(VLOOKUP('9.0.10'!V81,'9.0.10'!$AM$4:$AO$55,2,FALSE))*IF('9.0.10'!AY$4="是",'9.0.10'!$AY$4,'9.0.10'!$AY$3)</f>
        <v>150</v>
      </c>
      <c r="O81" s="5">
        <f>(VLOOKUP('9.0.10'!W81,'9.0.10'!$AM$4:$AO$55,2,FALSE))*IF('9.0.10'!AZ$4="是",'9.0.10'!$AY$4,'9.0.10'!$AY$3)</f>
        <v>0</v>
      </c>
      <c r="P81" s="5">
        <f>(VLOOKUP('9.0.10'!X81,'9.0.10'!$AM$4:$AO$55,2,FALSE))*IF('9.0.10'!BA$4="是",'9.0.10'!$AY$4,'9.0.10'!$AY$3)</f>
        <v>0</v>
      </c>
      <c r="Q81" s="4">
        <f>(VLOOKUP('9.0.10'!Y81,'9.0.10'!$AM$4:$AO$55,2,FALSE))*IF('9.0.10'!BB$4="是",'9.0.10'!$AY$4,'9.0.10'!$AY$3)</f>
        <v>180</v>
      </c>
      <c r="R81" s="4">
        <f>(VLOOKUP('9.0.10'!Z81,'9.0.10'!$AM$4:$AO$55,2,FALSE))*IF('9.0.10'!BC$4="是",'9.0.10'!$AY$4,'9.0.10'!$AY$3)</f>
        <v>180</v>
      </c>
      <c r="S81" s="4">
        <f>(VLOOKUP('9.0.10'!AA81,'9.0.10'!$AM$4:$AO$55,2,FALSE))*IF('9.0.10'!BD$4="是",'9.0.10'!$AY$4,'9.0.10'!$AY$3)</f>
        <v>180</v>
      </c>
      <c r="T81" s="4">
        <f>(VLOOKUP('9.0.10'!AB81,'9.0.10'!$AM$4:$AO$55,2,FALSE))*IF('9.0.10'!BE$4="是",'9.0.10'!$AY$4,'9.0.10'!$AY$3)</f>
        <v>180</v>
      </c>
      <c r="U81" s="4">
        <f>(VLOOKUP('9.0.10'!AC81,'9.0.10'!$AM$4:$AO$55,2,FALSE))*IF('9.0.10'!BF$4="是",'9.0.10'!$AY$4,'9.0.10'!$AY$3)</f>
        <v>180</v>
      </c>
      <c r="V81" s="4">
        <f>(VLOOKUP('9.0.10'!AD81,'9.0.10'!$AM$4:$AO$55,2,FALSE))*IF('9.0.10'!BG$4="是",'9.0.10'!$AY$4,'9.0.10'!$AY$3)</f>
        <v>180</v>
      </c>
      <c r="W81" s="5">
        <f>(VLOOKUP('9.0.10'!AE81,'9.0.10'!$AM$4:$AO$55,2,FALSE))*IF('9.0.10'!BH$4="是",'9.0.10'!$AY$4,'9.0.10'!$AY$3)</f>
        <v>0</v>
      </c>
      <c r="X81" s="5">
        <f>(VLOOKUP('9.0.10'!AF81,'9.0.10'!$AM$4:$AO$55,2,FALSE))*IF('9.0.10'!BI$4="是",'9.0.10'!$AY$4,'9.0.10'!$AY$3)</f>
        <v>0</v>
      </c>
    </row>
    <row r="82" spans="1:24">
      <c r="A82" s="4">
        <f>(VLOOKUP('9.0.10'!I82,'9.0.10'!$AM$4:$AO$55,2,FALSE))*IF('9.0.10'!AK$4="是",'9.0.10'!$AY$4,'9.0.10'!$AY$3)</f>
        <v>0</v>
      </c>
      <c r="B82" s="4">
        <f>(VLOOKUP('9.0.10'!J82,'9.0.10'!$AM$4:$AO$55,2,FALSE))*IF('9.0.10'!AL$4="是",'9.0.10'!$AY$4,'9.0.10'!$AY$3)</f>
        <v>0</v>
      </c>
      <c r="C82" s="4">
        <f>(VLOOKUP('9.0.10'!K82,'9.0.10'!$AM$4:$AO$55,2,FALSE))*IF('9.0.10'!AM$4="是",'9.0.10'!$AY$4,'9.0.10'!$AY$3)</f>
        <v>0</v>
      </c>
      <c r="D82" s="4">
        <f>(VLOOKUP('9.0.10'!L82,'9.0.10'!$AM$4:$AO$55,2,FALSE))*IF('9.0.10'!AN$4="是",'9.0.10'!$AY$4,'9.0.10'!$AY$3)</f>
        <v>0</v>
      </c>
      <c r="E82" s="4">
        <f>(VLOOKUP('9.0.10'!M82,'9.0.10'!$AM$4:$AO$55,2,FALSE))*IF('9.0.10'!AO$4="是",'9.0.10'!$AY$4,'9.0.10'!$AY$3)</f>
        <v>0</v>
      </c>
      <c r="F82" s="4">
        <f>(VLOOKUP('9.0.10'!N82,'9.0.10'!$AM$4:$AO$55,2,FALSE))*IF('9.0.10'!AQ$4="是",'9.0.10'!$AY$4,'9.0.10'!$AY$3)</f>
        <v>0</v>
      </c>
      <c r="G82" s="5">
        <f>(VLOOKUP('9.0.10'!O82,'9.0.10'!$AM$4:$AO$55,2,FALSE))*IF('9.0.10'!AR$4="是",'9.0.10'!$AY$4,'9.0.10'!$AY$3)</f>
        <v>0</v>
      </c>
      <c r="H82" s="5">
        <f>(VLOOKUP('9.0.10'!P82,'9.0.10'!$AM$4:$AO$55,2,FALSE))*IF('9.0.10'!AS$4="是",'9.0.10'!$AY$4,'9.0.10'!$AY$3)</f>
        <v>0</v>
      </c>
      <c r="I82" s="4">
        <f>(VLOOKUP('9.0.10'!Q82,'9.0.10'!$AM$4:$AO$55,2,FALSE))*IF('9.0.10'!AT$4="是",'9.0.10'!$AY$4,'9.0.10'!$AY$3)</f>
        <v>180</v>
      </c>
      <c r="J82" s="4">
        <f>(VLOOKUP('9.0.10'!R82,'9.0.10'!$AM$4:$AO$55,2,FALSE))*IF('9.0.10'!AU$4="是",'9.0.10'!$AY$4,'9.0.10'!$AY$3)</f>
        <v>180</v>
      </c>
      <c r="K82" s="4">
        <f>(VLOOKUP('9.0.10'!S82,'9.0.10'!$AM$4:$AO$55,2,FALSE))*IF('9.0.10'!AV$4="是",'9.0.10'!$AY$4,'9.0.10'!$AY$3)</f>
        <v>180</v>
      </c>
      <c r="L82" s="4">
        <f>(VLOOKUP('9.0.10'!T82,'9.0.10'!$AM$4:$AO$55,2,FALSE))*IF('9.0.10'!AW$4="是",'9.0.10'!$AY$4,'9.0.10'!$AY$3)</f>
        <v>180</v>
      </c>
      <c r="M82" s="4">
        <f>(VLOOKUP('9.0.10'!U82,'9.0.10'!$AM$4:$AO$55,2,FALSE))*IF('9.0.10'!AX$4="是",'9.0.10'!$AY$4,'9.0.10'!$AY$3)</f>
        <v>180</v>
      </c>
      <c r="N82" s="4">
        <f>(VLOOKUP('9.0.10'!V82,'9.0.10'!$AM$4:$AO$55,2,FALSE))*IF('9.0.10'!AY$4="是",'9.0.10'!$AY$4,'9.0.10'!$AY$3)</f>
        <v>180</v>
      </c>
      <c r="O82" s="5">
        <f>(VLOOKUP('9.0.10'!W82,'9.0.10'!$AM$4:$AO$55,2,FALSE))*IF('9.0.10'!AZ$4="是",'9.0.10'!$AY$4,'9.0.10'!$AY$3)</f>
        <v>0</v>
      </c>
      <c r="P82" s="5">
        <f>(VLOOKUP('9.0.10'!X82,'9.0.10'!$AM$4:$AO$55,2,FALSE))*IF('9.0.10'!BA$4="是",'9.0.10'!$AY$4,'9.0.10'!$AY$3)</f>
        <v>0</v>
      </c>
      <c r="Q82" s="4">
        <f>(VLOOKUP('9.0.10'!Y82,'9.0.10'!$AM$4:$AO$55,2,FALSE))*IF('9.0.10'!BB$4="是",'9.0.10'!$AY$4,'9.0.10'!$AY$3)</f>
        <v>180</v>
      </c>
      <c r="R82" s="4">
        <f>(VLOOKUP('9.0.10'!Z82,'9.0.10'!$AM$4:$AO$55,2,FALSE))*IF('9.0.10'!BC$4="是",'9.0.10'!$AY$4,'9.0.10'!$AY$3)</f>
        <v>180</v>
      </c>
      <c r="S82" s="4">
        <f>(VLOOKUP('9.0.10'!AA82,'9.0.10'!$AM$4:$AO$55,2,FALSE))*IF('9.0.10'!BD$4="是",'9.0.10'!$AY$4,'9.0.10'!$AY$3)</f>
        <v>180</v>
      </c>
      <c r="T82" s="4">
        <f>(VLOOKUP('9.0.10'!AB82,'9.0.10'!$AM$4:$AO$55,2,FALSE))*IF('9.0.10'!BE$4="是",'9.0.10'!$AY$4,'9.0.10'!$AY$3)</f>
        <v>180</v>
      </c>
      <c r="U82" s="4">
        <f>(VLOOKUP('9.0.10'!AC82,'9.0.10'!$AM$4:$AO$55,2,FALSE))*IF('9.0.10'!BF$4="是",'9.0.10'!$AY$4,'9.0.10'!$AY$3)</f>
        <v>180</v>
      </c>
      <c r="V82" s="4">
        <f>(VLOOKUP('9.0.10'!AD82,'9.0.10'!$AM$4:$AO$55,2,FALSE))*IF('9.0.10'!BG$4="是",'9.0.10'!$AY$4,'9.0.10'!$AY$3)</f>
        <v>180</v>
      </c>
      <c r="W82" s="5">
        <f>(VLOOKUP('9.0.10'!AE82,'9.0.10'!$AM$4:$AO$55,2,FALSE))*IF('9.0.10'!BH$4="是",'9.0.10'!$AY$4,'9.0.10'!$AY$3)</f>
        <v>0</v>
      </c>
      <c r="X82" s="5">
        <f>(VLOOKUP('9.0.10'!AF82,'9.0.10'!$AM$4:$AO$55,2,FALSE))*IF('9.0.10'!BI$4="是",'9.0.10'!$AY$4,'9.0.10'!$AY$3)</f>
        <v>0</v>
      </c>
    </row>
    <row r="83" spans="1:24">
      <c r="A83" s="4">
        <f>(VLOOKUP('9.0.10'!I83,'9.0.10'!$AM$4:$AO$55,2,FALSE))*IF('9.0.10'!AK$4="是",'9.0.10'!$AY$4,'9.0.10'!$AY$3)</f>
        <v>0</v>
      </c>
      <c r="B83" s="4">
        <f>(VLOOKUP('9.0.10'!J83,'9.0.10'!$AM$4:$AO$55,2,FALSE))*IF('9.0.10'!AL$4="是",'9.0.10'!$AY$4,'9.0.10'!$AY$3)</f>
        <v>0</v>
      </c>
      <c r="C83" s="4">
        <f>(VLOOKUP('9.0.10'!K83,'9.0.10'!$AM$4:$AO$55,2,FALSE))*IF('9.0.10'!AM$4="是",'9.0.10'!$AY$4,'9.0.10'!$AY$3)</f>
        <v>0</v>
      </c>
      <c r="D83" s="4">
        <f>(VLOOKUP('9.0.10'!L83,'9.0.10'!$AM$4:$AO$55,2,FALSE))*IF('9.0.10'!AN$4="是",'9.0.10'!$AY$4,'9.0.10'!$AY$3)</f>
        <v>0</v>
      </c>
      <c r="E83" s="4">
        <f>(VLOOKUP('9.0.10'!M83,'9.0.10'!$AM$4:$AO$55,2,FALSE))*IF('9.0.10'!AO$4="是",'9.0.10'!$AY$4,'9.0.10'!$AY$3)</f>
        <v>0</v>
      </c>
      <c r="F83" s="4">
        <f>(VLOOKUP('9.0.10'!N83,'9.0.10'!$AM$4:$AO$55,2,FALSE))*IF('9.0.10'!AQ$4="是",'9.0.10'!$AY$4,'9.0.10'!$AY$3)</f>
        <v>0</v>
      </c>
      <c r="G83" s="5">
        <f>(VLOOKUP('9.0.10'!O83,'9.0.10'!$AM$4:$AO$55,2,FALSE))*IF('9.0.10'!AR$4="是",'9.0.10'!$AY$4,'9.0.10'!$AY$3)</f>
        <v>0</v>
      </c>
      <c r="H83" s="5">
        <f>(VLOOKUP('9.0.10'!P83,'9.0.10'!$AM$4:$AO$55,2,FALSE))*IF('9.0.10'!AS$4="是",'9.0.10'!$AY$4,'9.0.10'!$AY$3)</f>
        <v>0</v>
      </c>
      <c r="I83" s="4">
        <f>(VLOOKUP('9.0.10'!Q83,'9.0.10'!$AM$4:$AO$55,2,FALSE))*IF('9.0.10'!AT$4="是",'9.0.10'!$AY$4,'9.0.10'!$AY$3)</f>
        <v>180</v>
      </c>
      <c r="J83" s="4">
        <f>(VLOOKUP('9.0.10'!R83,'9.0.10'!$AM$4:$AO$55,2,FALSE))*IF('9.0.10'!AU$4="是",'9.0.10'!$AY$4,'9.0.10'!$AY$3)</f>
        <v>180</v>
      </c>
      <c r="K83" s="4">
        <f>(VLOOKUP('9.0.10'!S83,'9.0.10'!$AM$4:$AO$55,2,FALSE))*IF('9.0.10'!AV$4="是",'9.0.10'!$AY$4,'9.0.10'!$AY$3)</f>
        <v>180</v>
      </c>
      <c r="L83" s="4">
        <f>(VLOOKUP('9.0.10'!T83,'9.0.10'!$AM$4:$AO$55,2,FALSE))*IF('9.0.10'!AW$4="是",'9.0.10'!$AY$4,'9.0.10'!$AY$3)</f>
        <v>180</v>
      </c>
      <c r="M83" s="4">
        <f>(VLOOKUP('9.0.10'!U83,'9.0.10'!$AM$4:$AO$55,2,FALSE))*IF('9.0.10'!AX$4="是",'9.0.10'!$AY$4,'9.0.10'!$AY$3)</f>
        <v>180</v>
      </c>
      <c r="N83" s="4">
        <f>(VLOOKUP('9.0.10'!V83,'9.0.10'!$AM$4:$AO$55,2,FALSE))*IF('9.0.10'!AY$4="是",'9.0.10'!$AY$4,'9.0.10'!$AY$3)</f>
        <v>180</v>
      </c>
      <c r="O83" s="5">
        <f>(VLOOKUP('9.0.10'!W83,'9.0.10'!$AM$4:$AO$55,2,FALSE))*IF('9.0.10'!AZ$4="是",'9.0.10'!$AY$4,'9.0.10'!$AY$3)</f>
        <v>0</v>
      </c>
      <c r="P83" s="5">
        <f>(VLOOKUP('9.0.10'!X83,'9.0.10'!$AM$4:$AO$55,2,FALSE))*IF('9.0.10'!BA$4="是",'9.0.10'!$AY$4,'9.0.10'!$AY$3)</f>
        <v>0</v>
      </c>
      <c r="Q83" s="4">
        <f>(VLOOKUP('9.0.10'!Y83,'9.0.10'!$AM$4:$AO$55,2,FALSE))*IF('9.0.10'!BB$4="是",'9.0.10'!$AY$4,'9.0.10'!$AY$3)</f>
        <v>180</v>
      </c>
      <c r="R83" s="4">
        <f>(VLOOKUP('9.0.10'!Z83,'9.0.10'!$AM$4:$AO$55,2,FALSE))*IF('9.0.10'!BC$4="是",'9.0.10'!$AY$4,'9.0.10'!$AY$3)</f>
        <v>180</v>
      </c>
      <c r="S83" s="4">
        <f>(VLOOKUP('9.0.10'!AA83,'9.0.10'!$AM$4:$AO$55,2,FALSE))*IF('9.0.10'!BD$4="是",'9.0.10'!$AY$4,'9.0.10'!$AY$3)</f>
        <v>180</v>
      </c>
      <c r="T83" s="4">
        <f>(VLOOKUP('9.0.10'!AB83,'9.0.10'!$AM$4:$AO$55,2,FALSE))*IF('9.0.10'!BE$4="是",'9.0.10'!$AY$4,'9.0.10'!$AY$3)</f>
        <v>180</v>
      </c>
      <c r="U83" s="4">
        <f>(VLOOKUP('9.0.10'!AC83,'9.0.10'!$AM$4:$AO$55,2,FALSE))*IF('9.0.10'!BF$4="是",'9.0.10'!$AY$4,'9.0.10'!$AY$3)</f>
        <v>50</v>
      </c>
      <c r="V83" s="4">
        <f>(VLOOKUP('9.0.10'!AD83,'9.0.10'!$AM$4:$AO$55,2,FALSE))*IF('9.0.10'!BG$4="是",'9.0.10'!$AY$4,'9.0.10'!$AY$3)</f>
        <v>180</v>
      </c>
      <c r="W83" s="5">
        <f>(VLOOKUP('9.0.10'!AE83,'9.0.10'!$AM$4:$AO$55,2,FALSE))*IF('9.0.10'!BH$4="是",'9.0.10'!$AY$4,'9.0.10'!$AY$3)</f>
        <v>0</v>
      </c>
      <c r="X83" s="5">
        <f>(VLOOKUP('9.0.10'!AF83,'9.0.10'!$AM$4:$AO$55,2,FALSE))*IF('9.0.10'!BI$4="是",'9.0.10'!$AY$4,'9.0.10'!$AY$3)</f>
        <v>0</v>
      </c>
    </row>
    <row r="84" spans="1:24">
      <c r="A84" s="4">
        <f>(VLOOKUP('9.0.10'!I84,'9.0.10'!$AM$4:$AO$55,2,FALSE))*IF('9.0.10'!AK$4="是",'9.0.10'!$AY$4,'9.0.10'!$AY$3)</f>
        <v>150</v>
      </c>
      <c r="B84" s="4">
        <f>(VLOOKUP('9.0.10'!J84,'9.0.10'!$AM$4:$AO$55,2,FALSE))*IF('9.0.10'!AL$4="是",'9.0.10'!$AY$4,'9.0.10'!$AY$3)</f>
        <v>50</v>
      </c>
      <c r="C84" s="4">
        <f>(VLOOKUP('9.0.10'!K84,'9.0.10'!$AM$4:$AO$55,2,FALSE))*IF('9.0.10'!AM$4="是",'9.0.10'!$AY$4,'9.0.10'!$AY$3)</f>
        <v>150</v>
      </c>
      <c r="D84" s="4">
        <f>(VLOOKUP('9.0.10'!L84,'9.0.10'!$AM$4:$AO$55,2,FALSE))*IF('9.0.10'!AN$4="是",'9.0.10'!$AY$4,'9.0.10'!$AY$3)</f>
        <v>150</v>
      </c>
      <c r="E84" s="4">
        <f>(VLOOKUP('9.0.10'!M84,'9.0.10'!$AM$4:$AO$55,2,FALSE))*IF('9.0.10'!AO$4="是",'9.0.10'!$AY$4,'9.0.10'!$AY$3)</f>
        <v>50</v>
      </c>
      <c r="F84" s="4">
        <f>(VLOOKUP('9.0.10'!N84,'9.0.10'!$AM$4:$AO$55,2,FALSE))*IF('9.0.10'!AQ$4="是",'9.0.10'!$AY$4,'9.0.10'!$AY$3)</f>
        <v>0</v>
      </c>
      <c r="G84" s="5">
        <f>(VLOOKUP('9.0.10'!O84,'9.0.10'!$AM$4:$AO$55,2,FALSE))*IF('9.0.10'!AR$4="是",'9.0.10'!$AY$4,'9.0.10'!$AY$3)</f>
        <v>0</v>
      </c>
      <c r="H84" s="5">
        <f>(VLOOKUP('9.0.10'!P84,'9.0.10'!$AM$4:$AO$55,2,FALSE))*IF('9.0.10'!AS$4="是",'9.0.10'!$AY$4,'9.0.10'!$AY$3)</f>
        <v>0</v>
      </c>
      <c r="I84" s="4">
        <f>(VLOOKUP('9.0.10'!Q84,'9.0.10'!$AM$4:$AO$55,2,FALSE))*IF('9.0.10'!AT$4="是",'9.0.10'!$AY$4,'9.0.10'!$AY$3)</f>
        <v>180</v>
      </c>
      <c r="J84" s="4">
        <f>(VLOOKUP('9.0.10'!R84,'9.0.10'!$AM$4:$AO$55,2,FALSE))*IF('9.0.10'!AU$4="是",'9.0.10'!$AY$4,'9.0.10'!$AY$3)</f>
        <v>180</v>
      </c>
      <c r="K84" s="4">
        <f>(VLOOKUP('9.0.10'!S84,'9.0.10'!$AM$4:$AO$55,2,FALSE))*IF('9.0.10'!AV$4="是",'9.0.10'!$AY$4,'9.0.10'!$AY$3)</f>
        <v>180</v>
      </c>
      <c r="L84" s="4">
        <f>(VLOOKUP('9.0.10'!T84,'9.0.10'!$AM$4:$AO$55,2,FALSE))*IF('9.0.10'!AW$4="是",'9.0.10'!$AY$4,'9.0.10'!$AY$3)</f>
        <v>180</v>
      </c>
      <c r="M84" s="4">
        <f>(VLOOKUP('9.0.10'!U84,'9.0.10'!$AM$4:$AO$55,2,FALSE))*IF('9.0.10'!AX$4="是",'9.0.10'!$AY$4,'9.0.10'!$AY$3)</f>
        <v>180</v>
      </c>
      <c r="N84" s="4">
        <f>(VLOOKUP('9.0.10'!V84,'9.0.10'!$AM$4:$AO$55,2,FALSE))*IF('9.0.10'!AY$4="是",'9.0.10'!$AY$4,'9.0.10'!$AY$3)</f>
        <v>50</v>
      </c>
      <c r="O84" s="5">
        <f>(VLOOKUP('9.0.10'!W84,'9.0.10'!$AM$4:$AO$55,2,FALSE))*IF('9.0.10'!AZ$4="是",'9.0.10'!$AY$4,'9.0.10'!$AY$3)</f>
        <v>0</v>
      </c>
      <c r="P84" s="5">
        <f>(VLOOKUP('9.0.10'!X84,'9.0.10'!$AM$4:$AO$55,2,FALSE))*IF('9.0.10'!BA$4="是",'9.0.10'!$AY$4,'9.0.10'!$AY$3)</f>
        <v>0</v>
      </c>
      <c r="Q84" s="4">
        <f>(VLOOKUP('9.0.10'!Y84,'9.0.10'!$AM$4:$AO$55,2,FALSE))*IF('9.0.10'!BB$4="是",'9.0.10'!$AY$4,'9.0.10'!$AY$3)</f>
        <v>180</v>
      </c>
      <c r="R84" s="4">
        <f>(VLOOKUP('9.0.10'!Z84,'9.0.10'!$AM$4:$AO$55,2,FALSE))*IF('9.0.10'!BC$4="是",'9.0.10'!$AY$4,'9.0.10'!$AY$3)</f>
        <v>180</v>
      </c>
      <c r="S84" s="4">
        <f>(VLOOKUP('9.0.10'!AA84,'9.0.10'!$AM$4:$AO$55,2,FALSE))*IF('9.0.10'!BD$4="是",'9.0.10'!$AY$4,'9.0.10'!$AY$3)</f>
        <v>180</v>
      </c>
      <c r="T84" s="4">
        <f>(VLOOKUP('9.0.10'!AB84,'9.0.10'!$AM$4:$AO$55,2,FALSE))*IF('9.0.10'!BE$4="是",'9.0.10'!$AY$4,'9.0.10'!$AY$3)</f>
        <v>180</v>
      </c>
      <c r="U84" s="4">
        <f>(VLOOKUP('9.0.10'!AC84,'9.0.10'!$AM$4:$AO$55,2,FALSE))*IF('9.0.10'!BF$4="是",'9.0.10'!$AY$4,'9.0.10'!$AY$3)</f>
        <v>180</v>
      </c>
      <c r="V84" s="4">
        <f>(VLOOKUP('9.0.10'!AD84,'9.0.10'!$AM$4:$AO$55,2,FALSE))*IF('9.0.10'!BG$4="是",'9.0.10'!$AY$4,'9.0.10'!$AY$3)</f>
        <v>180</v>
      </c>
      <c r="W84" s="5">
        <f>(VLOOKUP('9.0.10'!AE84,'9.0.10'!$AM$4:$AO$55,2,FALSE))*IF('9.0.10'!BH$4="是",'9.0.10'!$AY$4,'9.0.10'!$AY$3)</f>
        <v>0</v>
      </c>
      <c r="X84" s="5">
        <f>(VLOOKUP('9.0.10'!AF84,'9.0.10'!$AM$4:$AO$55,2,FALSE))*IF('9.0.10'!BI$4="是",'9.0.10'!$AY$4,'9.0.10'!$AY$3)</f>
        <v>0</v>
      </c>
    </row>
    <row r="85" spans="1:24">
      <c r="A85" s="4">
        <f>(VLOOKUP('9.0.10'!I85,'9.0.10'!$AM$4:$AO$55,2,FALSE))*IF('9.0.10'!AK$4="是",'9.0.10'!$AY$4,'9.0.10'!$AY$3)</f>
        <v>170</v>
      </c>
      <c r="B85" s="4">
        <f>(VLOOKUP('9.0.10'!J85,'9.0.10'!$AM$4:$AO$55,2,FALSE))*IF('9.0.10'!AL$4="是",'9.0.10'!$AY$4,'9.0.10'!$AY$3)</f>
        <v>170</v>
      </c>
      <c r="C85" s="4">
        <f>(VLOOKUP('9.0.10'!K85,'9.0.10'!$AM$4:$AO$55,2,FALSE))*IF('9.0.10'!AM$4="是",'9.0.10'!$AY$4,'9.0.10'!$AY$3)</f>
        <v>170</v>
      </c>
      <c r="D85" s="4">
        <f>(VLOOKUP('9.0.10'!L85,'9.0.10'!$AM$4:$AO$55,2,FALSE))*IF('9.0.10'!AN$4="是",'9.0.10'!$AY$4,'9.0.10'!$AY$3)</f>
        <v>170</v>
      </c>
      <c r="E85" s="4">
        <f>(VLOOKUP('9.0.10'!M85,'9.0.10'!$AM$4:$AO$55,2,FALSE))*IF('9.0.10'!AO$4="是",'9.0.10'!$AY$4,'9.0.10'!$AY$3)</f>
        <v>-200</v>
      </c>
      <c r="F85" s="4">
        <f>(VLOOKUP('9.0.10'!N85,'9.0.10'!$AM$4:$AO$55,2,FALSE))*IF('9.0.10'!AQ$4="是",'9.0.10'!$AY$4,'9.0.10'!$AY$3)</f>
        <v>160</v>
      </c>
      <c r="G85" s="5">
        <f>(VLOOKUP('9.0.10'!O85,'9.0.10'!$AM$4:$AO$55,2,FALSE))*IF('9.0.10'!AR$4="是",'9.0.10'!$AY$4,'9.0.10'!$AY$3)</f>
        <v>160</v>
      </c>
      <c r="H85" s="5">
        <f>(VLOOKUP('9.0.10'!P85,'9.0.10'!$AM$4:$AO$55,2,FALSE))*IF('9.0.10'!AS$4="是",'9.0.10'!$AY$4,'9.0.10'!$AY$3)</f>
        <v>150</v>
      </c>
      <c r="I85" s="4">
        <f>(VLOOKUP('9.0.10'!Q85,'9.0.10'!$AM$4:$AO$55,2,FALSE))*IF('9.0.10'!AT$4="是",'9.0.10'!$AY$4,'9.0.10'!$AY$3)</f>
        <v>180</v>
      </c>
      <c r="J85" s="4">
        <f>(VLOOKUP('9.0.10'!R85,'9.0.10'!$AM$4:$AO$55,2,FALSE))*IF('9.0.10'!AU$4="是",'9.0.10'!$AY$4,'9.0.10'!$AY$3)</f>
        <v>180</v>
      </c>
      <c r="K85" s="4">
        <f>(VLOOKUP('9.0.10'!S85,'9.0.10'!$AM$4:$AO$55,2,FALSE))*IF('9.0.10'!AV$4="是",'9.0.10'!$AY$4,'9.0.10'!$AY$3)</f>
        <v>170</v>
      </c>
      <c r="L85" s="4">
        <f>(VLOOKUP('9.0.10'!T85,'9.0.10'!$AM$4:$AO$55,2,FALSE))*IF('9.0.10'!AW$4="是",'9.0.10'!$AY$4,'9.0.10'!$AY$3)</f>
        <v>170</v>
      </c>
      <c r="M85" s="4">
        <f>(VLOOKUP('9.0.10'!U85,'9.0.10'!$AM$4:$AO$55,2,FALSE))*IF('9.0.10'!AX$4="是",'9.0.10'!$AY$4,'9.0.10'!$AY$3)</f>
        <v>170</v>
      </c>
      <c r="N85" s="4">
        <f>(VLOOKUP('9.0.10'!V85,'9.0.10'!$AM$4:$AO$55,2,FALSE))*IF('9.0.10'!AY$4="是",'9.0.10'!$AY$4,'9.0.10'!$AY$3)</f>
        <v>180</v>
      </c>
      <c r="O85" s="5">
        <f>(VLOOKUP('9.0.10'!W85,'9.0.10'!$AM$4:$AO$55,2,FALSE))*IF('9.0.10'!AZ$4="是",'9.0.10'!$AY$4,'9.0.10'!$AY$3)</f>
        <v>0</v>
      </c>
      <c r="P85" s="5">
        <f>(VLOOKUP('9.0.10'!X85,'9.0.10'!$AM$4:$AO$55,2,FALSE))*IF('9.0.10'!BA$4="是",'9.0.10'!$AY$4,'9.0.10'!$AY$3)</f>
        <v>0</v>
      </c>
      <c r="Q85" s="4">
        <f>(VLOOKUP('9.0.10'!Y85,'9.0.10'!$AM$4:$AO$55,2,FALSE))*IF('9.0.10'!BB$4="是",'9.0.10'!$AY$4,'9.0.10'!$AY$3)</f>
        <v>180</v>
      </c>
      <c r="R85" s="4">
        <f>(VLOOKUP('9.0.10'!Z85,'9.0.10'!$AM$4:$AO$55,2,FALSE))*IF('9.0.10'!BC$4="是",'9.0.10'!$AY$4,'9.0.10'!$AY$3)</f>
        <v>180</v>
      </c>
      <c r="S85" s="4">
        <f>(VLOOKUP('9.0.10'!AA85,'9.0.10'!$AM$4:$AO$55,2,FALSE))*IF('9.0.10'!BD$4="是",'9.0.10'!$AY$4,'9.0.10'!$AY$3)</f>
        <v>180</v>
      </c>
      <c r="T85" s="4">
        <f>(VLOOKUP('9.0.10'!AB85,'9.0.10'!$AM$4:$AO$55,2,FALSE))*IF('9.0.10'!BE$4="是",'9.0.10'!$AY$4,'9.0.10'!$AY$3)</f>
        <v>180</v>
      </c>
      <c r="U85" s="4">
        <f>(VLOOKUP('9.0.10'!AC85,'9.0.10'!$AM$4:$AO$55,2,FALSE))*IF('9.0.10'!BF$4="是",'9.0.10'!$AY$4,'9.0.10'!$AY$3)</f>
        <v>180</v>
      </c>
      <c r="V85" s="4">
        <f>(VLOOKUP('9.0.10'!AD85,'9.0.10'!$AM$4:$AO$55,2,FALSE))*IF('9.0.10'!BG$4="是",'9.0.10'!$AY$4,'9.0.10'!$AY$3)</f>
        <v>180</v>
      </c>
      <c r="W85" s="5">
        <f>(VLOOKUP('9.0.10'!AE85,'9.0.10'!$AM$4:$AO$55,2,FALSE))*IF('9.0.10'!BH$4="是",'9.0.10'!$AY$4,'9.0.10'!$AY$3)</f>
        <v>0</v>
      </c>
      <c r="X85" s="5">
        <f>(VLOOKUP('9.0.10'!AF85,'9.0.10'!$AM$4:$AO$55,2,FALSE))*IF('9.0.10'!BI$4="是",'9.0.10'!$AY$4,'9.0.10'!$AY$3)</f>
        <v>0</v>
      </c>
    </row>
    <row r="86" spans="1:24">
      <c r="A86" s="4">
        <f>(VLOOKUP('9.0.10'!I86,'9.0.10'!$AM$4:$AO$55,2,FALSE))*IF('9.0.10'!AK$4="是",'9.0.10'!$AY$4,'9.0.10'!$AY$3)</f>
        <v>150</v>
      </c>
      <c r="B86" s="4">
        <f>(VLOOKUP('9.0.10'!J86,'9.0.10'!$AM$4:$AO$55,2,FALSE))*IF('9.0.10'!AL$4="是",'9.0.10'!$AY$4,'9.0.10'!$AY$3)</f>
        <v>50</v>
      </c>
      <c r="C86" s="4">
        <f>(VLOOKUP('9.0.10'!K86,'9.0.10'!$AM$4:$AO$55,2,FALSE))*IF('9.0.10'!AM$4="是",'9.0.10'!$AY$4,'9.0.10'!$AY$3)</f>
        <v>160</v>
      </c>
      <c r="D86" s="4">
        <f>(VLOOKUP('9.0.10'!L86,'9.0.10'!$AM$4:$AO$55,2,FALSE))*IF('9.0.10'!AN$4="是",'9.0.10'!$AY$4,'9.0.10'!$AY$3)</f>
        <v>50</v>
      </c>
      <c r="E86" s="4">
        <f>(VLOOKUP('9.0.10'!M86,'9.0.10'!$AM$4:$AO$55,2,FALSE))*IF('9.0.10'!AO$4="是",'9.0.10'!$AY$4,'9.0.10'!$AY$3)</f>
        <v>160</v>
      </c>
      <c r="F86" s="4">
        <f>(VLOOKUP('9.0.10'!N86,'9.0.10'!$AM$4:$AO$55,2,FALSE))*IF('9.0.10'!AQ$4="是",'9.0.10'!$AY$4,'9.0.10'!$AY$3)</f>
        <v>170</v>
      </c>
      <c r="G86" s="5">
        <f>(VLOOKUP('9.0.10'!O86,'9.0.10'!$AM$4:$AO$55,2,FALSE))*IF('9.0.10'!AR$4="是",'9.0.10'!$AY$4,'9.0.10'!$AY$3)</f>
        <v>0</v>
      </c>
      <c r="H86" s="5">
        <f>(VLOOKUP('9.0.10'!P86,'9.0.10'!$AM$4:$AO$55,2,FALSE))*IF('9.0.10'!AS$4="是",'9.0.10'!$AY$4,'9.0.10'!$AY$3)</f>
        <v>0</v>
      </c>
      <c r="I86" s="4">
        <f>(VLOOKUP('9.0.10'!Q86,'9.0.10'!$AM$4:$AO$55,2,FALSE))*IF('9.0.10'!AT$4="是",'9.0.10'!$AY$4,'9.0.10'!$AY$3)</f>
        <v>180</v>
      </c>
      <c r="J86" s="4">
        <f>(VLOOKUP('9.0.10'!R86,'9.0.10'!$AM$4:$AO$55,2,FALSE))*IF('9.0.10'!AU$4="是",'9.0.10'!$AY$4,'9.0.10'!$AY$3)</f>
        <v>150</v>
      </c>
      <c r="K86" s="4">
        <f>(VLOOKUP('9.0.10'!S86,'9.0.10'!$AM$4:$AO$55,2,FALSE))*IF('9.0.10'!AV$4="是",'9.0.10'!$AY$4,'9.0.10'!$AY$3)</f>
        <v>170</v>
      </c>
      <c r="L86" s="4">
        <f>(VLOOKUP('9.0.10'!T86,'9.0.10'!$AM$4:$AO$55,2,FALSE))*IF('9.0.10'!AW$4="是",'9.0.10'!$AY$4,'9.0.10'!$AY$3)</f>
        <v>170</v>
      </c>
      <c r="M86" s="4">
        <f>(VLOOKUP('9.0.10'!U86,'9.0.10'!$AM$4:$AO$55,2,FALSE))*IF('9.0.10'!AX$4="是",'9.0.10'!$AY$4,'9.0.10'!$AY$3)</f>
        <v>180</v>
      </c>
      <c r="N86" s="4">
        <f>(VLOOKUP('9.0.10'!V86,'9.0.10'!$AM$4:$AO$55,2,FALSE))*IF('9.0.10'!AY$4="是",'9.0.10'!$AY$4,'9.0.10'!$AY$3)</f>
        <v>180</v>
      </c>
      <c r="O86" s="5">
        <f>(VLOOKUP('9.0.10'!W86,'9.0.10'!$AM$4:$AO$55,2,FALSE))*IF('9.0.10'!AZ$4="是",'9.0.10'!$AY$4,'9.0.10'!$AY$3)</f>
        <v>0</v>
      </c>
      <c r="P86" s="5">
        <f>(VLOOKUP('9.0.10'!X86,'9.0.10'!$AM$4:$AO$55,2,FALSE))*IF('9.0.10'!BA$4="是",'9.0.10'!$AY$4,'9.0.10'!$AY$3)</f>
        <v>0</v>
      </c>
      <c r="Q86" s="4">
        <f>(VLOOKUP('9.0.10'!Y86,'9.0.10'!$AM$4:$AO$55,2,FALSE))*IF('9.0.10'!BB$4="是",'9.0.10'!$AY$4,'9.0.10'!$AY$3)</f>
        <v>50</v>
      </c>
      <c r="R86" s="4">
        <f>(VLOOKUP('9.0.10'!Z86,'9.0.10'!$AM$4:$AO$55,2,FALSE))*IF('9.0.10'!BC$4="是",'9.0.10'!$AY$4,'9.0.10'!$AY$3)</f>
        <v>180</v>
      </c>
      <c r="S86" s="4">
        <f>(VLOOKUP('9.0.10'!AA86,'9.0.10'!$AM$4:$AO$55,2,FALSE))*IF('9.0.10'!BD$4="是",'9.0.10'!$AY$4,'9.0.10'!$AY$3)</f>
        <v>180</v>
      </c>
      <c r="T86" s="4">
        <f>(VLOOKUP('9.0.10'!AB86,'9.0.10'!$AM$4:$AO$55,2,FALSE))*IF('9.0.10'!BE$4="是",'9.0.10'!$AY$4,'9.0.10'!$AY$3)</f>
        <v>180</v>
      </c>
      <c r="U86" s="4">
        <f>(VLOOKUP('9.0.10'!AC86,'9.0.10'!$AM$4:$AO$55,2,FALSE))*IF('9.0.10'!BF$4="是",'9.0.10'!$AY$4,'9.0.10'!$AY$3)</f>
        <v>180</v>
      </c>
      <c r="V86" s="4">
        <f>(VLOOKUP('9.0.10'!AD86,'9.0.10'!$AM$4:$AO$55,2,FALSE))*IF('9.0.10'!BG$4="是",'9.0.10'!$AY$4,'9.0.10'!$AY$3)</f>
        <v>180</v>
      </c>
      <c r="W86" s="5">
        <f>(VLOOKUP('9.0.10'!AE86,'9.0.10'!$AM$4:$AO$55,2,FALSE))*IF('9.0.10'!BH$4="是",'9.0.10'!$AY$4,'9.0.10'!$AY$3)</f>
        <v>0</v>
      </c>
      <c r="X86" s="5">
        <f>(VLOOKUP('9.0.10'!AF86,'9.0.10'!$AM$4:$AO$55,2,FALSE))*IF('9.0.10'!BI$4="是",'9.0.10'!$AY$4,'9.0.10'!$AY$3)</f>
        <v>0</v>
      </c>
    </row>
    <row r="87" spans="1:24">
      <c r="A87" s="4">
        <f>(VLOOKUP('9.0.10'!I87,'9.0.10'!$AM$4:$AO$55,2,FALSE))*IF('9.0.10'!AK$4="是",'9.0.10'!$AY$4,'9.0.10'!$AY$3)</f>
        <v>170</v>
      </c>
      <c r="B87" s="4">
        <f>(VLOOKUP('9.0.10'!J87,'9.0.10'!$AM$4:$AO$55,2,FALSE))*IF('9.0.10'!AL$4="是",'9.0.10'!$AY$4,'9.0.10'!$AY$3)</f>
        <v>160</v>
      </c>
      <c r="C87" s="4">
        <f>(VLOOKUP('9.0.10'!K87,'9.0.10'!$AM$4:$AO$55,2,FALSE))*IF('9.0.10'!AM$4="是",'9.0.10'!$AY$4,'9.0.10'!$AY$3)</f>
        <v>160</v>
      </c>
      <c r="D87" s="4">
        <f>(VLOOKUP('9.0.10'!L87,'9.0.10'!$AM$4:$AO$55,2,FALSE))*IF('9.0.10'!AN$4="是",'9.0.10'!$AY$4,'9.0.10'!$AY$3)</f>
        <v>0</v>
      </c>
      <c r="E87" s="4">
        <f>(VLOOKUP('9.0.10'!M87,'9.0.10'!$AM$4:$AO$55,2,FALSE))*IF('9.0.10'!AO$4="是",'9.0.10'!$AY$4,'9.0.10'!$AY$3)</f>
        <v>0</v>
      </c>
      <c r="F87" s="4">
        <f>(VLOOKUP('9.0.10'!N87,'9.0.10'!$AM$4:$AO$55,2,FALSE))*IF('9.0.10'!AQ$4="是",'9.0.10'!$AY$4,'9.0.10'!$AY$3)</f>
        <v>0</v>
      </c>
      <c r="G87" s="5">
        <f>(VLOOKUP('9.0.10'!O87,'9.0.10'!$AM$4:$AO$55,2,FALSE))*IF('9.0.10'!AR$4="是",'9.0.10'!$AY$4,'9.0.10'!$AY$3)</f>
        <v>0</v>
      </c>
      <c r="H87" s="5">
        <f>(VLOOKUP('9.0.10'!P87,'9.0.10'!$AM$4:$AO$55,2,FALSE))*IF('9.0.10'!AS$4="是",'9.0.10'!$AY$4,'9.0.10'!$AY$3)</f>
        <v>0</v>
      </c>
      <c r="I87" s="4">
        <f>(VLOOKUP('9.0.10'!Q87,'9.0.10'!$AM$4:$AO$55,2,FALSE))*IF('9.0.10'!AT$4="是",'9.0.10'!$AY$4,'9.0.10'!$AY$3)</f>
        <v>180</v>
      </c>
      <c r="J87" s="4">
        <f>(VLOOKUP('9.0.10'!R87,'9.0.10'!$AM$4:$AO$55,2,FALSE))*IF('9.0.10'!AU$4="是",'9.0.10'!$AY$4,'9.0.10'!$AY$3)</f>
        <v>180</v>
      </c>
      <c r="K87" s="4">
        <f>(VLOOKUP('9.0.10'!S87,'9.0.10'!$AM$4:$AO$55,2,FALSE))*IF('9.0.10'!AV$4="是",'9.0.10'!$AY$4,'9.0.10'!$AY$3)</f>
        <v>180</v>
      </c>
      <c r="L87" s="4">
        <f>(VLOOKUP('9.0.10'!T87,'9.0.10'!$AM$4:$AO$55,2,FALSE))*IF('9.0.10'!AW$4="是",'9.0.10'!$AY$4,'9.0.10'!$AY$3)</f>
        <v>150</v>
      </c>
      <c r="M87" s="4">
        <f>(VLOOKUP('9.0.10'!U87,'9.0.10'!$AM$4:$AO$55,2,FALSE))*IF('9.0.10'!AX$4="是",'9.0.10'!$AY$4,'9.0.10'!$AY$3)</f>
        <v>170</v>
      </c>
      <c r="N87" s="4">
        <f>(VLOOKUP('9.0.10'!V87,'9.0.10'!$AM$4:$AO$55,2,FALSE))*IF('9.0.10'!AY$4="是",'9.0.10'!$AY$4,'9.0.10'!$AY$3)</f>
        <v>170</v>
      </c>
      <c r="O87" s="5">
        <f>(VLOOKUP('9.0.10'!W87,'9.0.10'!$AM$4:$AO$55,2,FALSE))*IF('9.0.10'!AZ$4="是",'9.0.10'!$AY$4,'9.0.10'!$AY$3)</f>
        <v>0</v>
      </c>
      <c r="P87" s="5">
        <f>(VLOOKUP('9.0.10'!X87,'9.0.10'!$AM$4:$AO$55,2,FALSE))*IF('9.0.10'!BA$4="是",'9.0.10'!$AY$4,'9.0.10'!$AY$3)</f>
        <v>0</v>
      </c>
      <c r="Q87" s="4">
        <f>(VLOOKUP('9.0.10'!Y87,'9.0.10'!$AM$4:$AO$55,2,FALSE))*IF('9.0.10'!BB$4="是",'9.0.10'!$AY$4,'9.0.10'!$AY$3)</f>
        <v>180</v>
      </c>
      <c r="R87" s="4">
        <f>(VLOOKUP('9.0.10'!Z87,'9.0.10'!$AM$4:$AO$55,2,FALSE))*IF('9.0.10'!BC$4="是",'9.0.10'!$AY$4,'9.0.10'!$AY$3)</f>
        <v>180</v>
      </c>
      <c r="S87" s="4">
        <f>(VLOOKUP('9.0.10'!AA87,'9.0.10'!$AM$4:$AO$55,2,FALSE))*IF('9.0.10'!BD$4="是",'9.0.10'!$AY$4,'9.0.10'!$AY$3)</f>
        <v>180</v>
      </c>
      <c r="T87" s="4">
        <f>(VLOOKUP('9.0.10'!AB87,'9.0.10'!$AM$4:$AO$55,2,FALSE))*IF('9.0.10'!BE$4="是",'9.0.10'!$AY$4,'9.0.10'!$AY$3)</f>
        <v>180</v>
      </c>
      <c r="U87" s="4">
        <f>(VLOOKUP('9.0.10'!AC87,'9.0.10'!$AM$4:$AO$55,2,FALSE))*IF('9.0.10'!BF$4="是",'9.0.10'!$AY$4,'9.0.10'!$AY$3)</f>
        <v>180</v>
      </c>
      <c r="V87" s="4">
        <f>(VLOOKUP('9.0.10'!AD87,'9.0.10'!$AM$4:$AO$55,2,FALSE))*IF('9.0.10'!BG$4="是",'9.0.10'!$AY$4,'9.0.10'!$AY$3)</f>
        <v>180</v>
      </c>
      <c r="W87" s="5">
        <f>(VLOOKUP('9.0.10'!AE87,'9.0.10'!$AM$4:$AO$55,2,FALSE))*IF('9.0.10'!BH$4="是",'9.0.10'!$AY$4,'9.0.10'!$AY$3)</f>
        <v>0</v>
      </c>
      <c r="X87" s="5">
        <f>(VLOOKUP('9.0.10'!AF87,'9.0.10'!$AM$4:$AO$55,2,FALSE))*IF('9.0.10'!BI$4="是",'9.0.10'!$AY$4,'9.0.10'!$AY$3)</f>
        <v>0</v>
      </c>
    </row>
    <row r="88" spans="1:24">
      <c r="A88" s="4">
        <f>(VLOOKUP('9.0.10'!I88,'9.0.10'!$AM$4:$AO$55,2,FALSE))*IF('9.0.10'!AK$4="是",'9.0.10'!$AY$4,'9.0.10'!$AY$3)</f>
        <v>0</v>
      </c>
      <c r="B88" s="4">
        <f>(VLOOKUP('9.0.10'!J88,'9.0.10'!$AM$4:$AO$55,2,FALSE))*IF('9.0.10'!AL$4="是",'9.0.10'!$AY$4,'9.0.10'!$AY$3)</f>
        <v>0</v>
      </c>
      <c r="C88" s="4">
        <f>(VLOOKUP('9.0.10'!K88,'9.0.10'!$AM$4:$AO$55,2,FALSE))*IF('9.0.10'!AM$4="是",'9.0.10'!$AY$4,'9.0.10'!$AY$3)</f>
        <v>0</v>
      </c>
      <c r="D88" s="4">
        <f>(VLOOKUP('9.0.10'!L88,'9.0.10'!$AM$4:$AO$55,2,FALSE))*IF('9.0.10'!AN$4="是",'9.0.10'!$AY$4,'9.0.10'!$AY$3)</f>
        <v>0</v>
      </c>
      <c r="E88" s="4">
        <f>(VLOOKUP('9.0.10'!M88,'9.0.10'!$AM$4:$AO$55,2,FALSE))*IF('9.0.10'!AO$4="是",'9.0.10'!$AY$4,'9.0.10'!$AY$3)</f>
        <v>0</v>
      </c>
      <c r="F88" s="4">
        <f>(VLOOKUP('9.0.10'!N88,'9.0.10'!$AM$4:$AO$55,2,FALSE))*IF('9.0.10'!AQ$4="是",'9.0.10'!$AY$4,'9.0.10'!$AY$3)</f>
        <v>0</v>
      </c>
      <c r="G88" s="5">
        <f>(VLOOKUP('9.0.10'!O88,'9.0.10'!$AM$4:$AO$55,2,FALSE))*IF('9.0.10'!AR$4="是",'9.0.10'!$AY$4,'9.0.10'!$AY$3)</f>
        <v>0</v>
      </c>
      <c r="H88" s="5">
        <f>(VLOOKUP('9.0.10'!P88,'9.0.10'!$AM$4:$AO$55,2,FALSE))*IF('9.0.10'!AS$4="是",'9.0.10'!$AY$4,'9.0.10'!$AY$3)</f>
        <v>0</v>
      </c>
      <c r="I88" s="4">
        <f>(VLOOKUP('9.0.10'!Q88,'9.0.10'!$AM$4:$AO$55,2,FALSE))*IF('9.0.10'!AT$4="是",'9.0.10'!$AY$4,'9.0.10'!$AY$3)</f>
        <v>170</v>
      </c>
      <c r="J88" s="4">
        <f>(VLOOKUP('9.0.10'!R88,'9.0.10'!$AM$4:$AO$55,2,FALSE))*IF('9.0.10'!AU$4="是",'9.0.10'!$AY$4,'9.0.10'!$AY$3)</f>
        <v>170</v>
      </c>
      <c r="K88" s="4">
        <f>(VLOOKUP('9.0.10'!S88,'9.0.10'!$AM$4:$AO$55,2,FALSE))*IF('9.0.10'!AV$4="是",'9.0.10'!$AY$4,'9.0.10'!$AY$3)</f>
        <v>50</v>
      </c>
      <c r="L88" s="4">
        <f>(VLOOKUP('9.0.10'!T88,'9.0.10'!$AM$4:$AO$55,2,FALSE))*IF('9.0.10'!AW$4="是",'9.0.10'!$AY$4,'9.0.10'!$AY$3)</f>
        <v>180</v>
      </c>
      <c r="M88" s="4">
        <f>(VLOOKUP('9.0.10'!U88,'9.0.10'!$AM$4:$AO$55,2,FALSE))*IF('9.0.10'!AX$4="是",'9.0.10'!$AY$4,'9.0.10'!$AY$3)</f>
        <v>180</v>
      </c>
      <c r="N88" s="4">
        <f>(VLOOKUP('9.0.10'!V88,'9.0.10'!$AM$4:$AO$55,2,FALSE))*IF('9.0.10'!AY$4="是",'9.0.10'!$AY$4,'9.0.10'!$AY$3)</f>
        <v>180</v>
      </c>
      <c r="O88" s="5">
        <f>(VLOOKUP('9.0.10'!W88,'9.0.10'!$AM$4:$AO$55,2,FALSE))*IF('9.0.10'!AZ$4="是",'9.0.10'!$AY$4,'9.0.10'!$AY$3)</f>
        <v>0</v>
      </c>
      <c r="P88" s="5">
        <f>(VLOOKUP('9.0.10'!X88,'9.0.10'!$AM$4:$AO$55,2,FALSE))*IF('9.0.10'!BA$4="是",'9.0.10'!$AY$4,'9.0.10'!$AY$3)</f>
        <v>0</v>
      </c>
      <c r="Q88" s="4">
        <f>(VLOOKUP('9.0.10'!Y88,'9.0.10'!$AM$4:$AO$55,2,FALSE))*IF('9.0.10'!BB$4="是",'9.0.10'!$AY$4,'9.0.10'!$AY$3)</f>
        <v>150</v>
      </c>
      <c r="R88" s="4">
        <f>(VLOOKUP('9.0.10'!Z88,'9.0.10'!$AM$4:$AO$55,2,FALSE))*IF('9.0.10'!BC$4="是",'9.0.10'!$AY$4,'9.0.10'!$AY$3)</f>
        <v>170</v>
      </c>
      <c r="S88" s="4">
        <f>(VLOOKUP('9.0.10'!AA88,'9.0.10'!$AM$4:$AO$55,2,FALSE))*IF('9.0.10'!BD$4="是",'9.0.10'!$AY$4,'9.0.10'!$AY$3)</f>
        <v>170</v>
      </c>
      <c r="T88" s="4">
        <f>(VLOOKUP('9.0.10'!AB88,'9.0.10'!$AM$4:$AO$55,2,FALSE))*IF('9.0.10'!BE$4="是",'9.0.10'!$AY$4,'9.0.10'!$AY$3)</f>
        <v>180</v>
      </c>
      <c r="U88" s="4">
        <f>(VLOOKUP('9.0.10'!AC88,'9.0.10'!$AM$4:$AO$55,2,FALSE))*IF('9.0.10'!BF$4="是",'9.0.10'!$AY$4,'9.0.10'!$AY$3)</f>
        <v>170</v>
      </c>
      <c r="V88" s="4">
        <f>(VLOOKUP('9.0.10'!AD88,'9.0.10'!$AM$4:$AO$55,2,FALSE))*IF('9.0.10'!BG$4="是",'9.0.10'!$AY$4,'9.0.10'!$AY$3)</f>
        <v>170</v>
      </c>
      <c r="W88" s="5">
        <f>(VLOOKUP('9.0.10'!AE88,'9.0.10'!$AM$4:$AO$55,2,FALSE))*IF('9.0.10'!BH$4="是",'9.0.10'!$AY$4,'9.0.10'!$AY$3)</f>
        <v>0</v>
      </c>
      <c r="X88" s="5">
        <f>(VLOOKUP('9.0.10'!AF88,'9.0.10'!$AM$4:$AO$55,2,FALSE))*IF('9.0.10'!BI$4="是",'9.0.10'!$AY$4,'9.0.10'!$AY$3)</f>
        <v>0</v>
      </c>
    </row>
    <row r="89" spans="1:24">
      <c r="A89" s="4">
        <f>(VLOOKUP('9.0.10'!I89,'9.0.10'!$AM$4:$AO$55,2,FALSE))*IF('9.0.10'!AK$4="是",'9.0.10'!$AY$4,'9.0.10'!$AY$3)</f>
        <v>0</v>
      </c>
      <c r="B89" s="4">
        <f>(VLOOKUP('9.0.10'!J89,'9.0.10'!$AM$4:$AO$55,2,FALSE))*IF('9.0.10'!AL$4="是",'9.0.10'!$AY$4,'9.0.10'!$AY$3)</f>
        <v>0</v>
      </c>
      <c r="C89" s="4">
        <f>(VLOOKUP('9.0.10'!K89,'9.0.10'!$AM$4:$AO$55,2,FALSE))*IF('9.0.10'!AM$4="是",'9.0.10'!$AY$4,'9.0.10'!$AY$3)</f>
        <v>0</v>
      </c>
      <c r="D89" s="4">
        <f>(VLOOKUP('9.0.10'!L89,'9.0.10'!$AM$4:$AO$55,2,FALSE))*IF('9.0.10'!AN$4="是",'9.0.10'!$AY$4,'9.0.10'!$AY$3)</f>
        <v>0</v>
      </c>
      <c r="E89" s="4">
        <f>(VLOOKUP('9.0.10'!M89,'9.0.10'!$AM$4:$AO$55,2,FALSE))*IF('9.0.10'!AO$4="是",'9.0.10'!$AY$4,'9.0.10'!$AY$3)</f>
        <v>0</v>
      </c>
      <c r="F89" s="4">
        <f>(VLOOKUP('9.0.10'!N89,'9.0.10'!$AM$4:$AO$55,2,FALSE))*IF('9.0.10'!AQ$4="是",'9.0.10'!$AY$4,'9.0.10'!$AY$3)</f>
        <v>0</v>
      </c>
      <c r="G89" s="5">
        <f>(VLOOKUP('9.0.10'!O89,'9.0.10'!$AM$4:$AO$55,2,FALSE))*IF('9.0.10'!AR$4="是",'9.0.10'!$AY$4,'9.0.10'!$AY$3)</f>
        <v>0</v>
      </c>
      <c r="H89" s="5">
        <f>(VLOOKUP('9.0.10'!P89,'9.0.10'!$AM$4:$AO$55,2,FALSE))*IF('9.0.10'!AS$4="是",'9.0.10'!$AY$4,'9.0.10'!$AY$3)</f>
        <v>0</v>
      </c>
      <c r="I89" s="4">
        <f>(VLOOKUP('9.0.10'!Q89,'9.0.10'!$AM$4:$AO$55,2,FALSE))*IF('9.0.10'!AT$4="是",'9.0.10'!$AY$4,'9.0.10'!$AY$3)</f>
        <v>190</v>
      </c>
      <c r="J89" s="4">
        <f>(VLOOKUP('9.0.10'!R89,'9.0.10'!$AM$4:$AO$55,2,FALSE))*IF('9.0.10'!AU$4="是",'9.0.10'!$AY$4,'9.0.10'!$AY$3)</f>
        <v>190</v>
      </c>
      <c r="K89" s="4">
        <f>(VLOOKUP('9.0.10'!S89,'9.0.10'!$AM$4:$AO$55,2,FALSE))*IF('9.0.10'!AV$4="是",'9.0.10'!$AY$4,'9.0.10'!$AY$3)</f>
        <v>190</v>
      </c>
      <c r="L89" s="4">
        <f>(VLOOKUP('9.0.10'!T89,'9.0.10'!$AM$4:$AO$55,2,FALSE))*IF('9.0.10'!AW$4="是",'9.0.10'!$AY$4,'9.0.10'!$AY$3)</f>
        <v>190</v>
      </c>
      <c r="M89" s="4">
        <f>(VLOOKUP('9.0.10'!U89,'9.0.10'!$AM$4:$AO$55,2,FALSE))*IF('9.0.10'!AX$4="是",'9.0.10'!$AY$4,'9.0.10'!$AY$3)</f>
        <v>50</v>
      </c>
      <c r="N89" s="4">
        <f>(VLOOKUP('9.0.10'!V89,'9.0.10'!$AM$4:$AO$55,2,FALSE))*IF('9.0.10'!AY$4="是",'9.0.10'!$AY$4,'9.0.10'!$AY$3)</f>
        <v>190</v>
      </c>
      <c r="O89" s="5">
        <f>(VLOOKUP('9.0.10'!W89,'9.0.10'!$AM$4:$AO$55,2,FALSE))*IF('9.0.10'!AZ$4="是",'9.0.10'!$AY$4,'9.0.10'!$AY$3)</f>
        <v>0</v>
      </c>
      <c r="P89" s="5">
        <f>(VLOOKUP('9.0.10'!X89,'9.0.10'!$AM$4:$AO$55,2,FALSE))*IF('9.0.10'!BA$4="是",'9.0.10'!$AY$4,'9.0.10'!$AY$3)</f>
        <v>0</v>
      </c>
      <c r="Q89" s="4">
        <f>(VLOOKUP('9.0.10'!Y89,'9.0.10'!$AM$4:$AO$55,2,FALSE))*IF('9.0.10'!BB$4="是",'9.0.10'!$AY$4,'9.0.10'!$AY$3)</f>
        <v>170</v>
      </c>
      <c r="R89" s="4">
        <f>(VLOOKUP('9.0.10'!Z89,'9.0.10'!$AM$4:$AO$55,2,FALSE))*IF('9.0.10'!BC$4="是",'9.0.10'!$AY$4,'9.0.10'!$AY$3)</f>
        <v>170</v>
      </c>
      <c r="S89" s="4">
        <f>(VLOOKUP('9.0.10'!AA89,'9.0.10'!$AM$4:$AO$55,2,FALSE))*IF('9.0.10'!BD$4="是",'9.0.10'!$AY$4,'9.0.10'!$AY$3)</f>
        <v>170</v>
      </c>
      <c r="T89" s="4">
        <f>(VLOOKUP('9.0.10'!AB89,'9.0.10'!$AM$4:$AO$55,2,FALSE))*IF('9.0.10'!BE$4="是",'9.0.10'!$AY$4,'9.0.10'!$AY$3)</f>
        <v>170</v>
      </c>
      <c r="U89" s="4">
        <f>(VLOOKUP('9.0.10'!AC89,'9.0.10'!$AM$4:$AO$55,2,FALSE))*IF('9.0.10'!BF$4="是",'9.0.10'!$AY$4,'9.0.10'!$AY$3)</f>
        <v>170</v>
      </c>
      <c r="V89" s="4">
        <f>(VLOOKUP('9.0.10'!AD89,'9.0.10'!$AM$4:$AO$55,2,FALSE))*IF('9.0.10'!BG$4="是",'9.0.10'!$AY$4,'9.0.10'!$AY$3)</f>
        <v>170</v>
      </c>
      <c r="W89" s="5">
        <f>(VLOOKUP('9.0.10'!AE89,'9.0.10'!$AM$4:$AO$55,2,FALSE))*IF('9.0.10'!BH$4="是",'9.0.10'!$AY$4,'9.0.10'!$AY$3)</f>
        <v>0</v>
      </c>
      <c r="X89" s="5">
        <f>(VLOOKUP('9.0.10'!AF89,'9.0.10'!$AM$4:$AO$55,2,FALSE))*IF('9.0.10'!BI$4="是",'9.0.10'!$AY$4,'9.0.10'!$AY$3)</f>
        <v>0</v>
      </c>
    </row>
    <row r="90" spans="1:24">
      <c r="A90" s="4">
        <f>(VLOOKUP('9.0.10'!I90,'9.0.10'!$AM$4:$AO$55,2,FALSE))*IF('9.0.10'!AK$4="是",'9.0.10'!$AY$4,'9.0.10'!$AY$3)</f>
        <v>0</v>
      </c>
      <c r="B90" s="4">
        <f>(VLOOKUP('9.0.10'!J90,'9.0.10'!$AM$4:$AO$55,2,FALSE))*IF('9.0.10'!AL$4="是",'9.0.10'!$AY$4,'9.0.10'!$AY$3)</f>
        <v>0</v>
      </c>
      <c r="C90" s="4">
        <f>(VLOOKUP('9.0.10'!K90,'9.0.10'!$AM$4:$AO$55,2,FALSE))*IF('9.0.10'!AM$4="是",'9.0.10'!$AY$4,'9.0.10'!$AY$3)</f>
        <v>0</v>
      </c>
      <c r="D90" s="4">
        <f>(VLOOKUP('9.0.10'!L90,'9.0.10'!$AM$4:$AO$55,2,FALSE))*IF('9.0.10'!AN$4="是",'9.0.10'!$AY$4,'9.0.10'!$AY$3)</f>
        <v>0</v>
      </c>
      <c r="E90" s="4">
        <f>(VLOOKUP('9.0.10'!M90,'9.0.10'!$AM$4:$AO$55,2,FALSE))*IF('9.0.10'!AO$4="是",'9.0.10'!$AY$4,'9.0.10'!$AY$3)</f>
        <v>0</v>
      </c>
      <c r="F90" s="4">
        <f>(VLOOKUP('9.0.10'!N90,'9.0.10'!$AM$4:$AO$55,2,FALSE))*IF('9.0.10'!AQ$4="是",'9.0.10'!$AY$4,'9.0.10'!$AY$3)</f>
        <v>0</v>
      </c>
      <c r="G90" s="5">
        <f>(VLOOKUP('9.0.10'!O90,'9.0.10'!$AM$4:$AO$55,2,FALSE))*IF('9.0.10'!AR$4="是",'9.0.10'!$AY$4,'9.0.10'!$AY$3)</f>
        <v>0</v>
      </c>
      <c r="H90" s="5">
        <f>(VLOOKUP('9.0.10'!P90,'9.0.10'!$AM$4:$AO$55,2,FALSE))*IF('9.0.10'!AS$4="是",'9.0.10'!$AY$4,'9.0.10'!$AY$3)</f>
        <v>0</v>
      </c>
      <c r="I90" s="4">
        <f>(VLOOKUP('9.0.10'!Q90,'9.0.10'!$AM$4:$AO$55,2,FALSE))*IF('9.0.10'!AT$4="是",'9.0.10'!$AY$4,'9.0.10'!$AY$3)</f>
        <v>190</v>
      </c>
      <c r="J90" s="4">
        <f>(VLOOKUP('9.0.10'!R90,'9.0.10'!$AM$4:$AO$55,2,FALSE))*IF('9.0.10'!AU$4="是",'9.0.10'!$AY$4,'9.0.10'!$AY$3)</f>
        <v>190</v>
      </c>
      <c r="K90" s="4">
        <f>(VLOOKUP('9.0.10'!S90,'9.0.10'!$AM$4:$AO$55,2,FALSE))*IF('9.0.10'!AV$4="是",'9.0.10'!$AY$4,'9.0.10'!$AY$3)</f>
        <v>190</v>
      </c>
      <c r="L90" s="4">
        <f>(VLOOKUP('9.0.10'!T90,'9.0.10'!$AM$4:$AO$55,2,FALSE))*IF('9.0.10'!AW$4="是",'9.0.10'!$AY$4,'9.0.10'!$AY$3)</f>
        <v>190</v>
      </c>
      <c r="M90" s="4">
        <f>(VLOOKUP('9.0.10'!U90,'9.0.10'!$AM$4:$AO$55,2,FALSE))*IF('9.0.10'!AX$4="是",'9.0.10'!$AY$4,'9.0.10'!$AY$3)</f>
        <v>190</v>
      </c>
      <c r="N90" s="4">
        <f>(VLOOKUP('9.0.10'!V90,'9.0.10'!$AM$4:$AO$55,2,FALSE))*IF('9.0.10'!AY$4="是",'9.0.10'!$AY$4,'9.0.10'!$AY$3)</f>
        <v>150</v>
      </c>
      <c r="O90" s="5">
        <f>(VLOOKUP('9.0.10'!W90,'9.0.10'!$AM$4:$AO$55,2,FALSE))*IF('9.0.10'!AZ$4="是",'9.0.10'!$AY$4,'9.0.10'!$AY$3)</f>
        <v>0</v>
      </c>
      <c r="P90" s="5">
        <f>(VLOOKUP('9.0.10'!X90,'9.0.10'!$AM$4:$AO$55,2,FALSE))*IF('9.0.10'!BA$4="是",'9.0.10'!$AY$4,'9.0.10'!$AY$3)</f>
        <v>0</v>
      </c>
      <c r="Q90" s="4">
        <f>(VLOOKUP('9.0.10'!Y90,'9.0.10'!$AM$4:$AO$55,2,FALSE))*IF('9.0.10'!BB$4="是",'9.0.10'!$AY$4,'9.0.10'!$AY$3)</f>
        <v>170</v>
      </c>
      <c r="R90" s="4">
        <f>(VLOOKUP('9.0.10'!Z90,'9.0.10'!$AM$4:$AO$55,2,FALSE))*IF('9.0.10'!BC$4="是",'9.0.10'!$AY$4,'9.0.10'!$AY$3)</f>
        <v>170</v>
      </c>
      <c r="S90" s="4">
        <f>(VLOOKUP('9.0.10'!AA90,'9.0.10'!$AM$4:$AO$55,2,FALSE))*IF('9.0.10'!BD$4="是",'9.0.10'!$AY$4,'9.0.10'!$AY$3)</f>
        <v>170</v>
      </c>
      <c r="T90" s="4">
        <f>(VLOOKUP('9.0.10'!AB90,'9.0.10'!$AM$4:$AO$55,2,FALSE))*IF('9.0.10'!BE$4="是",'9.0.10'!$AY$4,'9.0.10'!$AY$3)</f>
        <v>170</v>
      </c>
      <c r="U90" s="4">
        <f>(VLOOKUP('9.0.10'!AC90,'9.0.10'!$AM$4:$AO$55,2,FALSE))*IF('9.0.10'!BF$4="是",'9.0.10'!$AY$4,'9.0.10'!$AY$3)</f>
        <v>170</v>
      </c>
      <c r="V90" s="4">
        <f>(VLOOKUP('9.0.10'!AD90,'9.0.10'!$AM$4:$AO$55,2,FALSE))*IF('9.0.10'!BG$4="是",'9.0.10'!$AY$4,'9.0.10'!$AY$3)</f>
        <v>170</v>
      </c>
      <c r="W90" s="5">
        <f>(VLOOKUP('9.0.10'!AE90,'9.0.10'!$AM$4:$AO$55,2,FALSE))*IF('9.0.10'!BH$4="是",'9.0.10'!$AY$4,'9.0.10'!$AY$3)</f>
        <v>0</v>
      </c>
      <c r="X90" s="5">
        <f>(VLOOKUP('9.0.10'!AF90,'9.0.10'!$AM$4:$AO$55,2,FALSE))*IF('9.0.10'!BI$4="是",'9.0.10'!$AY$4,'9.0.10'!$AY$3)</f>
        <v>0</v>
      </c>
    </row>
    <row r="91" spans="1:24">
      <c r="A91" s="4">
        <f>(VLOOKUP('9.0.10'!I91,'9.0.10'!$AM$4:$AO$55,2,FALSE))*IF('9.0.10'!AK$4="是",'9.0.10'!$AY$4,'9.0.10'!$AY$3)</f>
        <v>0</v>
      </c>
      <c r="B91" s="4">
        <f>(VLOOKUP('9.0.10'!J91,'9.0.10'!$AM$4:$AO$55,2,FALSE))*IF('9.0.10'!AL$4="是",'9.0.10'!$AY$4,'9.0.10'!$AY$3)</f>
        <v>0</v>
      </c>
      <c r="C91" s="4">
        <f>(VLOOKUP('9.0.10'!K91,'9.0.10'!$AM$4:$AO$55,2,FALSE))*IF('9.0.10'!AM$4="是",'9.0.10'!$AY$4,'9.0.10'!$AY$3)</f>
        <v>0</v>
      </c>
      <c r="D91" s="4">
        <f>(VLOOKUP('9.0.10'!L91,'9.0.10'!$AM$4:$AO$55,2,FALSE))*IF('9.0.10'!AN$4="是",'9.0.10'!$AY$4,'9.0.10'!$AY$3)</f>
        <v>0</v>
      </c>
      <c r="E91" s="4">
        <f>(VLOOKUP('9.0.10'!M91,'9.0.10'!$AM$4:$AO$55,2,FALSE))*IF('9.0.10'!AO$4="是",'9.0.10'!$AY$4,'9.0.10'!$AY$3)</f>
        <v>0</v>
      </c>
      <c r="F91" s="4">
        <f>(VLOOKUP('9.0.10'!N91,'9.0.10'!$AM$4:$AO$55,2,FALSE))*IF('9.0.10'!AQ$4="是",'9.0.10'!$AY$4,'9.0.10'!$AY$3)</f>
        <v>0</v>
      </c>
      <c r="G91" s="5">
        <f>(VLOOKUP('9.0.10'!O91,'9.0.10'!$AM$4:$AO$55,2,FALSE))*IF('9.0.10'!AR$4="是",'9.0.10'!$AY$4,'9.0.10'!$AY$3)</f>
        <v>0</v>
      </c>
      <c r="H91" s="5">
        <f>(VLOOKUP('9.0.10'!P91,'9.0.10'!$AM$4:$AO$55,2,FALSE))*IF('9.0.10'!AS$4="是",'9.0.10'!$AY$4,'9.0.10'!$AY$3)</f>
        <v>0</v>
      </c>
      <c r="I91" s="4">
        <f>(VLOOKUP('9.0.10'!Q91,'9.0.10'!$AM$4:$AO$55,2,FALSE))*IF('9.0.10'!AT$4="是",'9.0.10'!$AY$4,'9.0.10'!$AY$3)</f>
        <v>190</v>
      </c>
      <c r="J91" s="4">
        <f>(VLOOKUP('9.0.10'!R91,'9.0.10'!$AM$4:$AO$55,2,FALSE))*IF('9.0.10'!AU$4="是",'9.0.10'!$AY$4,'9.0.10'!$AY$3)</f>
        <v>190</v>
      </c>
      <c r="K91" s="4">
        <f>(VLOOKUP('9.0.10'!S91,'9.0.10'!$AM$4:$AO$55,2,FALSE))*IF('9.0.10'!AV$4="是",'9.0.10'!$AY$4,'9.0.10'!$AY$3)</f>
        <v>190</v>
      </c>
      <c r="L91" s="4">
        <f>(VLOOKUP('9.0.10'!T91,'9.0.10'!$AM$4:$AO$55,2,FALSE))*IF('9.0.10'!AW$4="是",'9.0.10'!$AY$4,'9.0.10'!$AY$3)</f>
        <v>190</v>
      </c>
      <c r="M91" s="4">
        <f>(VLOOKUP('9.0.10'!U91,'9.0.10'!$AM$4:$AO$55,2,FALSE))*IF('9.0.10'!AX$4="是",'9.0.10'!$AY$4,'9.0.10'!$AY$3)</f>
        <v>190</v>
      </c>
      <c r="N91" s="4">
        <f>(VLOOKUP('9.0.10'!V91,'9.0.10'!$AM$4:$AO$55,2,FALSE))*IF('9.0.10'!AY$4="是",'9.0.10'!$AY$4,'9.0.10'!$AY$3)</f>
        <v>190</v>
      </c>
      <c r="O91" s="5">
        <f>(VLOOKUP('9.0.10'!W91,'9.0.10'!$AM$4:$AO$55,2,FALSE))*IF('9.0.10'!AZ$4="是",'9.0.10'!$AY$4,'9.0.10'!$AY$3)</f>
        <v>0</v>
      </c>
      <c r="P91" s="5">
        <f>(VLOOKUP('9.0.10'!X91,'9.0.10'!$AM$4:$AO$55,2,FALSE))*IF('9.0.10'!BA$4="是",'9.0.10'!$AY$4,'9.0.10'!$AY$3)</f>
        <v>0</v>
      </c>
      <c r="Q91" s="4">
        <f>(VLOOKUP('9.0.10'!Y91,'9.0.10'!$AM$4:$AO$55,2,FALSE))*IF('9.0.10'!BB$4="是",'9.0.10'!$AY$4,'9.0.10'!$AY$3)</f>
        <v>170</v>
      </c>
      <c r="R91" s="4">
        <f>(VLOOKUP('9.0.10'!Z91,'9.0.10'!$AM$4:$AO$55,2,FALSE))*IF('9.0.10'!BC$4="是",'9.0.10'!$AY$4,'9.0.10'!$AY$3)</f>
        <v>180</v>
      </c>
      <c r="S91" s="4">
        <f>(VLOOKUP('9.0.10'!AA91,'9.0.10'!$AM$4:$AO$55,2,FALSE))*IF('9.0.10'!BD$4="是",'9.0.10'!$AY$4,'9.0.10'!$AY$3)</f>
        <v>180</v>
      </c>
      <c r="T91" s="4">
        <f>(VLOOKUP('9.0.10'!AB91,'9.0.10'!$AM$4:$AO$55,2,FALSE))*IF('9.0.10'!BE$4="是",'9.0.10'!$AY$4,'9.0.10'!$AY$3)</f>
        <v>180</v>
      </c>
      <c r="U91" s="4">
        <f>(VLOOKUP('9.0.10'!AC91,'9.0.10'!$AM$4:$AO$55,2,FALSE))*IF('9.0.10'!BF$4="是",'9.0.10'!$AY$4,'9.0.10'!$AY$3)</f>
        <v>180</v>
      </c>
      <c r="V91" s="4">
        <f>(VLOOKUP('9.0.10'!AD91,'9.0.10'!$AM$4:$AO$55,2,FALSE))*IF('9.0.10'!BG$4="是",'9.0.10'!$AY$4,'9.0.10'!$AY$3)</f>
        <v>170</v>
      </c>
      <c r="W91" s="5">
        <f>(VLOOKUP('9.0.10'!AE91,'9.0.10'!$AM$4:$AO$55,2,FALSE))*IF('9.0.10'!BH$4="是",'9.0.10'!$AY$4,'9.0.10'!$AY$3)</f>
        <v>0</v>
      </c>
      <c r="X91" s="5">
        <f>(VLOOKUP('9.0.10'!AF91,'9.0.10'!$AM$4:$AO$55,2,FALSE))*IF('9.0.10'!BI$4="是",'9.0.10'!$AY$4,'9.0.10'!$AY$3)</f>
        <v>0</v>
      </c>
    </row>
    <row r="92" spans="1:24">
      <c r="A92" s="4">
        <f>(VLOOKUP('9.0.10'!I92,'9.0.10'!$AM$4:$AO$55,2,FALSE))*IF('9.0.10'!AK$4="是",'9.0.10'!$AY$4,'9.0.10'!$AY$3)</f>
        <v>0</v>
      </c>
      <c r="B92" s="4">
        <f>(VLOOKUP('9.0.10'!J92,'9.0.10'!$AM$4:$AO$55,2,FALSE))*IF('9.0.10'!AL$4="是",'9.0.10'!$AY$4,'9.0.10'!$AY$3)</f>
        <v>0</v>
      </c>
      <c r="C92" s="4">
        <f>(VLOOKUP('9.0.10'!K92,'9.0.10'!$AM$4:$AO$55,2,FALSE))*IF('9.0.10'!AM$4="是",'9.0.10'!$AY$4,'9.0.10'!$AY$3)</f>
        <v>0</v>
      </c>
      <c r="D92" s="4">
        <f>(VLOOKUP('9.0.10'!L92,'9.0.10'!$AM$4:$AO$55,2,FALSE))*IF('9.0.10'!AN$4="是",'9.0.10'!$AY$4,'9.0.10'!$AY$3)</f>
        <v>0</v>
      </c>
      <c r="E92" s="4">
        <f>(VLOOKUP('9.0.10'!M92,'9.0.10'!$AM$4:$AO$55,2,FALSE))*IF('9.0.10'!AO$4="是",'9.0.10'!$AY$4,'9.0.10'!$AY$3)</f>
        <v>0</v>
      </c>
      <c r="F92" s="4">
        <f>(VLOOKUP('9.0.10'!N92,'9.0.10'!$AM$4:$AO$55,2,FALSE))*IF('9.0.10'!AQ$4="是",'9.0.10'!$AY$4,'9.0.10'!$AY$3)</f>
        <v>0</v>
      </c>
      <c r="G92" s="5">
        <f>(VLOOKUP('9.0.10'!O92,'9.0.10'!$AM$4:$AO$55,2,FALSE))*IF('9.0.10'!AR$4="是",'9.0.10'!$AY$4,'9.0.10'!$AY$3)</f>
        <v>0</v>
      </c>
      <c r="H92" s="5">
        <f>(VLOOKUP('9.0.10'!P92,'9.0.10'!$AM$4:$AO$55,2,FALSE))*IF('9.0.10'!AS$4="是",'9.0.10'!$AY$4,'9.0.10'!$AY$3)</f>
        <v>0</v>
      </c>
      <c r="I92" s="4">
        <f>(VLOOKUP('9.0.10'!Q92,'9.0.10'!$AM$4:$AO$55,2,FALSE))*IF('9.0.10'!AT$4="是",'9.0.10'!$AY$4,'9.0.10'!$AY$3)</f>
        <v>190</v>
      </c>
      <c r="J92" s="4">
        <f>(VLOOKUP('9.0.10'!R92,'9.0.10'!$AM$4:$AO$55,2,FALSE))*IF('9.0.10'!AU$4="是",'9.0.10'!$AY$4,'9.0.10'!$AY$3)</f>
        <v>190</v>
      </c>
      <c r="K92" s="4">
        <f>(VLOOKUP('9.0.10'!S92,'9.0.10'!$AM$4:$AO$55,2,FALSE))*IF('9.0.10'!AV$4="是",'9.0.10'!$AY$4,'9.0.10'!$AY$3)</f>
        <v>190</v>
      </c>
      <c r="L92" s="4">
        <f>(VLOOKUP('9.0.10'!T92,'9.0.10'!$AM$4:$AO$55,2,FALSE))*IF('9.0.10'!AW$4="是",'9.0.10'!$AY$4,'9.0.10'!$AY$3)</f>
        <v>190</v>
      </c>
      <c r="M92" s="4">
        <f>(VLOOKUP('9.0.10'!U92,'9.0.10'!$AM$4:$AO$55,2,FALSE))*IF('9.0.10'!AX$4="是",'9.0.10'!$AY$4,'9.0.10'!$AY$3)</f>
        <v>180</v>
      </c>
      <c r="N92" s="4">
        <f>(VLOOKUP('9.0.10'!V92,'9.0.10'!$AM$4:$AO$55,2,FALSE))*IF('9.0.10'!AY$4="是",'9.0.10'!$AY$4,'9.0.10'!$AY$3)</f>
        <v>0</v>
      </c>
      <c r="O92" s="5">
        <f>(VLOOKUP('9.0.10'!W92,'9.0.10'!$AM$4:$AO$55,2,FALSE))*IF('9.0.10'!AZ$4="是",'9.0.10'!$AY$4,'9.0.10'!$AY$3)</f>
        <v>0</v>
      </c>
      <c r="P92" s="5">
        <f>(VLOOKUP('9.0.10'!X92,'9.0.10'!$AM$4:$AO$55,2,FALSE))*IF('9.0.10'!BA$4="是",'9.0.10'!$AY$4,'9.0.10'!$AY$3)</f>
        <v>0</v>
      </c>
      <c r="Q92" s="4">
        <f>(VLOOKUP('9.0.10'!Y92,'9.0.10'!$AM$4:$AO$55,2,FALSE))*IF('9.0.10'!BB$4="是",'9.0.10'!$AY$4,'9.0.10'!$AY$3)</f>
        <v>170</v>
      </c>
      <c r="R92" s="4">
        <f>(VLOOKUP('9.0.10'!Z92,'9.0.10'!$AM$4:$AO$55,2,FALSE))*IF('9.0.10'!BC$4="是",'9.0.10'!$AY$4,'9.0.10'!$AY$3)</f>
        <v>170</v>
      </c>
      <c r="S92" s="4">
        <f>(VLOOKUP('9.0.10'!AA92,'9.0.10'!$AM$4:$AO$55,2,FALSE))*IF('9.0.10'!BD$4="是",'9.0.10'!$AY$4,'9.0.10'!$AY$3)</f>
        <v>170</v>
      </c>
      <c r="T92" s="4">
        <f>(VLOOKUP('9.0.10'!AB92,'9.0.10'!$AM$4:$AO$55,2,FALSE))*IF('9.0.10'!BE$4="是",'9.0.10'!$AY$4,'9.0.10'!$AY$3)</f>
        <v>170</v>
      </c>
      <c r="U92" s="4">
        <f>(VLOOKUP('9.0.10'!AC92,'9.0.10'!$AM$4:$AO$55,2,FALSE))*IF('9.0.10'!BF$4="是",'9.0.10'!$AY$4,'9.0.10'!$AY$3)</f>
        <v>170</v>
      </c>
      <c r="V92" s="4">
        <f>(VLOOKUP('9.0.10'!AD92,'9.0.10'!$AM$4:$AO$55,2,FALSE))*IF('9.0.10'!BG$4="是",'9.0.10'!$AY$4,'9.0.10'!$AY$3)</f>
        <v>170</v>
      </c>
      <c r="W92" s="5">
        <f>(VLOOKUP('9.0.10'!AE92,'9.0.10'!$AM$4:$AO$55,2,FALSE))*IF('9.0.10'!BH$4="是",'9.0.10'!$AY$4,'9.0.10'!$AY$3)</f>
        <v>0</v>
      </c>
      <c r="X92" s="5">
        <f>(VLOOKUP('9.0.10'!AF92,'9.0.10'!$AM$4:$AO$55,2,FALSE))*IF('9.0.10'!BI$4="是",'9.0.10'!$AY$4,'9.0.10'!$AY$3)</f>
        <v>0</v>
      </c>
    </row>
    <row r="93" spans="1:24">
      <c r="A93" s="4">
        <f>(VLOOKUP('9.0.10'!I93,'9.0.10'!$AM$4:$AO$55,2,FALSE))*IF('9.0.10'!AK$4="是",'9.0.10'!$AY$4,'9.0.10'!$AY$3)</f>
        <v>150</v>
      </c>
      <c r="B93" s="4">
        <f>(VLOOKUP('9.0.10'!J93,'9.0.10'!$AM$4:$AO$55,2,FALSE))*IF('9.0.10'!AL$4="是",'9.0.10'!$AY$4,'9.0.10'!$AY$3)</f>
        <v>50</v>
      </c>
      <c r="C93" s="4">
        <f>(VLOOKUP('9.0.10'!K93,'9.0.10'!$AM$4:$AO$55,2,FALSE))*IF('9.0.10'!AM$4="是",'9.0.10'!$AY$4,'9.0.10'!$AY$3)</f>
        <v>0</v>
      </c>
      <c r="D93" s="4">
        <f>(VLOOKUP('9.0.10'!L93,'9.0.10'!$AM$4:$AO$55,2,FALSE))*IF('9.0.10'!AN$4="是",'9.0.10'!$AY$4,'9.0.10'!$AY$3)</f>
        <v>0</v>
      </c>
      <c r="E93" s="4">
        <f>(VLOOKUP('9.0.10'!M93,'9.0.10'!$AM$4:$AO$55,2,FALSE))*IF('9.0.10'!AO$4="是",'9.0.10'!$AY$4,'9.0.10'!$AY$3)</f>
        <v>0</v>
      </c>
      <c r="F93" s="4">
        <f>(VLOOKUP('9.0.10'!N93,'9.0.10'!$AM$4:$AO$55,2,FALSE))*IF('9.0.10'!AQ$4="是",'9.0.10'!$AY$4,'9.0.10'!$AY$3)</f>
        <v>0</v>
      </c>
      <c r="G93" s="5">
        <f>(VLOOKUP('9.0.10'!O93,'9.0.10'!$AM$4:$AO$55,2,FALSE))*IF('9.0.10'!AR$4="是",'9.0.10'!$AY$4,'9.0.10'!$AY$3)</f>
        <v>0</v>
      </c>
      <c r="H93" s="5">
        <f>(VLOOKUP('9.0.10'!P93,'9.0.10'!$AM$4:$AO$55,2,FALSE))*IF('9.0.10'!AS$4="是",'9.0.10'!$AY$4,'9.0.10'!$AY$3)</f>
        <v>0</v>
      </c>
      <c r="I93" s="4">
        <f>(VLOOKUP('9.0.10'!Q93,'9.0.10'!$AM$4:$AO$55,2,FALSE))*IF('9.0.10'!AT$4="是",'9.0.10'!$AY$4,'9.0.10'!$AY$3)</f>
        <v>180</v>
      </c>
      <c r="J93" s="4">
        <f>(VLOOKUP('9.0.10'!R93,'9.0.10'!$AM$4:$AO$55,2,FALSE))*IF('9.0.10'!AU$4="是",'9.0.10'!$AY$4,'9.0.10'!$AY$3)</f>
        <v>180</v>
      </c>
      <c r="K93" s="4">
        <f>(VLOOKUP('9.0.10'!S93,'9.0.10'!$AM$4:$AO$55,2,FALSE))*IF('9.0.10'!AV$4="是",'9.0.10'!$AY$4,'9.0.10'!$AY$3)</f>
        <v>180</v>
      </c>
      <c r="L93" s="4">
        <f>(VLOOKUP('9.0.10'!T93,'9.0.10'!$AM$4:$AO$55,2,FALSE))*IF('9.0.10'!AW$4="是",'9.0.10'!$AY$4,'9.0.10'!$AY$3)</f>
        <v>180</v>
      </c>
      <c r="M93" s="4">
        <f>(VLOOKUP('9.0.10'!U93,'9.0.10'!$AM$4:$AO$55,2,FALSE))*IF('9.0.10'!AX$4="是",'9.0.10'!$AY$4,'9.0.10'!$AY$3)</f>
        <v>180</v>
      </c>
      <c r="N93" s="4">
        <f>(VLOOKUP('9.0.10'!V93,'9.0.10'!$AM$4:$AO$55,2,FALSE))*IF('9.0.10'!AY$4="是",'9.0.10'!$AY$4,'9.0.10'!$AY$3)</f>
        <v>0</v>
      </c>
      <c r="O93" s="5">
        <f>(VLOOKUP('9.0.10'!W93,'9.0.10'!$AM$4:$AO$55,2,FALSE))*IF('9.0.10'!AZ$4="是",'9.0.10'!$AY$4,'9.0.10'!$AY$3)</f>
        <v>0</v>
      </c>
      <c r="P93" s="5">
        <f>(VLOOKUP('9.0.10'!X93,'9.0.10'!$AM$4:$AO$55,2,FALSE))*IF('9.0.10'!BA$4="是",'9.0.10'!$AY$4,'9.0.10'!$AY$3)</f>
        <v>0</v>
      </c>
      <c r="Q93" s="4">
        <f>(VLOOKUP('9.0.10'!Y93,'9.0.10'!$AM$4:$AO$55,2,FALSE))*IF('9.0.10'!BB$4="是",'9.0.10'!$AY$4,'9.0.10'!$AY$3)</f>
        <v>170</v>
      </c>
      <c r="R93" s="4">
        <f>(VLOOKUP('9.0.10'!Z93,'9.0.10'!$AM$4:$AO$55,2,FALSE))*IF('9.0.10'!BC$4="是",'9.0.10'!$AY$4,'9.0.10'!$AY$3)</f>
        <v>170</v>
      </c>
      <c r="S93" s="4">
        <f>(VLOOKUP('9.0.10'!AA93,'9.0.10'!$AM$4:$AO$55,2,FALSE))*IF('9.0.10'!BD$4="是",'9.0.10'!$AY$4,'9.0.10'!$AY$3)</f>
        <v>50</v>
      </c>
      <c r="T93" s="4">
        <f>(VLOOKUP('9.0.10'!AB93,'9.0.10'!$AM$4:$AO$55,2,FALSE))*IF('9.0.10'!BE$4="是",'9.0.10'!$AY$4,'9.0.10'!$AY$3)</f>
        <v>170</v>
      </c>
      <c r="U93" s="4">
        <f>(VLOOKUP('9.0.10'!AC93,'9.0.10'!$AM$4:$AO$55,2,FALSE))*IF('9.0.10'!BF$4="是",'9.0.10'!$AY$4,'9.0.10'!$AY$3)</f>
        <v>170</v>
      </c>
      <c r="V93" s="4">
        <f>(VLOOKUP('9.0.10'!AD93,'9.0.10'!$AM$4:$AO$55,2,FALSE))*IF('9.0.10'!BG$4="是",'9.0.10'!$AY$4,'9.0.10'!$AY$3)</f>
        <v>170</v>
      </c>
      <c r="W93" s="5">
        <f>(VLOOKUP('9.0.10'!AE93,'9.0.10'!$AM$4:$AO$55,2,FALSE))*IF('9.0.10'!BH$4="是",'9.0.10'!$AY$4,'9.0.10'!$AY$3)</f>
        <v>0</v>
      </c>
      <c r="X93" s="5">
        <f>(VLOOKUP('9.0.10'!AF93,'9.0.10'!$AM$4:$AO$55,2,FALSE))*IF('9.0.10'!BI$4="是",'9.0.10'!$AY$4,'9.0.10'!$AY$3)</f>
        <v>0</v>
      </c>
    </row>
    <row r="94" spans="1:24">
      <c r="A94" s="4">
        <f>(VLOOKUP('9.0.10'!I94,'9.0.10'!$AM$4:$AO$55,2,FALSE))*IF('9.0.10'!AK$4="是",'9.0.10'!$AY$4,'9.0.10'!$AY$3)</f>
        <v>150</v>
      </c>
      <c r="B94" s="4">
        <f>(VLOOKUP('9.0.10'!J94,'9.0.10'!$AM$4:$AO$55,2,FALSE))*IF('9.0.10'!AL$4="是",'9.0.10'!$AY$4,'9.0.10'!$AY$3)</f>
        <v>150</v>
      </c>
      <c r="C94" s="4">
        <f>(VLOOKUP('9.0.10'!K94,'9.0.10'!$AM$4:$AO$55,2,FALSE))*IF('9.0.10'!AM$4="是",'9.0.10'!$AY$4,'9.0.10'!$AY$3)</f>
        <v>150</v>
      </c>
      <c r="D94" s="4">
        <f>(VLOOKUP('9.0.10'!L94,'9.0.10'!$AM$4:$AO$55,2,FALSE))*IF('9.0.10'!AN$4="是",'9.0.10'!$AY$4,'9.0.10'!$AY$3)</f>
        <v>50</v>
      </c>
      <c r="E94" s="4">
        <f>(VLOOKUP('9.0.10'!M94,'9.0.10'!$AM$4:$AO$55,2,FALSE))*IF('9.0.10'!AO$4="是",'9.0.10'!$AY$4,'9.0.10'!$AY$3)</f>
        <v>0</v>
      </c>
      <c r="F94" s="4">
        <f>(VLOOKUP('9.0.10'!N94,'9.0.10'!$AM$4:$AO$55,2,FALSE))*IF('9.0.10'!AQ$4="是",'9.0.10'!$AY$4,'9.0.10'!$AY$3)</f>
        <v>0</v>
      </c>
      <c r="G94" s="5">
        <f>(VLOOKUP('9.0.10'!O94,'9.0.10'!$AM$4:$AO$55,2,FALSE))*IF('9.0.10'!AR$4="是",'9.0.10'!$AY$4,'9.0.10'!$AY$3)</f>
        <v>0</v>
      </c>
      <c r="H94" s="5">
        <f>(VLOOKUP('9.0.10'!P94,'9.0.10'!$AM$4:$AO$55,2,FALSE))*IF('9.0.10'!AS$4="是",'9.0.10'!$AY$4,'9.0.10'!$AY$3)</f>
        <v>0</v>
      </c>
      <c r="I94" s="4">
        <f>(VLOOKUP('9.0.10'!Q94,'9.0.10'!$AM$4:$AO$55,2,FALSE))*IF('9.0.10'!AT$4="是",'9.0.10'!$AY$4,'9.0.10'!$AY$3)</f>
        <v>180</v>
      </c>
      <c r="J94" s="4">
        <f>(VLOOKUP('9.0.10'!R94,'9.0.10'!$AM$4:$AO$55,2,FALSE))*IF('9.0.10'!AU$4="是",'9.0.10'!$AY$4,'9.0.10'!$AY$3)</f>
        <v>180</v>
      </c>
      <c r="K94" s="4">
        <f>(VLOOKUP('9.0.10'!S94,'9.0.10'!$AM$4:$AO$55,2,FALSE))*IF('9.0.10'!AV$4="是",'9.0.10'!$AY$4,'9.0.10'!$AY$3)</f>
        <v>180</v>
      </c>
      <c r="L94" s="4">
        <f>(VLOOKUP('9.0.10'!T94,'9.0.10'!$AM$4:$AO$55,2,FALSE))*IF('9.0.10'!AW$4="是",'9.0.10'!$AY$4,'9.0.10'!$AY$3)</f>
        <v>180</v>
      </c>
      <c r="M94" s="4">
        <f>(VLOOKUP('9.0.10'!U94,'9.0.10'!$AM$4:$AO$55,2,FALSE))*IF('9.0.10'!AX$4="是",'9.0.10'!$AY$4,'9.0.10'!$AY$3)</f>
        <v>180</v>
      </c>
      <c r="N94" s="4">
        <f>(VLOOKUP('9.0.10'!V94,'9.0.10'!$AM$4:$AO$55,2,FALSE))*IF('9.0.10'!AY$4="是",'9.0.10'!$AY$4,'9.0.10'!$AY$3)</f>
        <v>0</v>
      </c>
      <c r="O94" s="5">
        <f>(VLOOKUP('9.0.10'!W94,'9.0.10'!$AM$4:$AO$55,2,FALSE))*IF('9.0.10'!AZ$4="是",'9.0.10'!$AY$4,'9.0.10'!$AY$3)</f>
        <v>0</v>
      </c>
      <c r="P94" s="5">
        <f>(VLOOKUP('9.0.10'!X94,'9.0.10'!$AM$4:$AO$55,2,FALSE))*IF('9.0.10'!BA$4="是",'9.0.10'!$AY$4,'9.0.10'!$AY$3)</f>
        <v>0</v>
      </c>
      <c r="Q94" s="4">
        <f>(VLOOKUP('9.0.10'!Y94,'9.0.10'!$AM$4:$AO$55,2,FALSE))*IF('9.0.10'!BB$4="是",'9.0.10'!$AY$4,'9.0.10'!$AY$3)</f>
        <v>170</v>
      </c>
      <c r="R94" s="4">
        <f>(VLOOKUP('9.0.10'!Z94,'9.0.10'!$AM$4:$AO$55,2,FALSE))*IF('9.0.10'!BC$4="是",'9.0.10'!$AY$4,'9.0.10'!$AY$3)</f>
        <v>160</v>
      </c>
      <c r="S94" s="4">
        <f>(VLOOKUP('9.0.10'!AA94,'9.0.10'!$AM$4:$AO$55,2,FALSE))*IF('9.0.10'!BD$4="是",'9.0.10'!$AY$4,'9.0.10'!$AY$3)</f>
        <v>160</v>
      </c>
      <c r="T94" s="4">
        <f>(VLOOKUP('9.0.10'!AB94,'9.0.10'!$AM$4:$AO$55,2,FALSE))*IF('9.0.10'!BE$4="是",'9.0.10'!$AY$4,'9.0.10'!$AY$3)</f>
        <v>160</v>
      </c>
      <c r="U94" s="4">
        <f>(VLOOKUP('9.0.10'!AC94,'9.0.10'!$AM$4:$AO$55,2,FALSE))*IF('9.0.10'!BF$4="是",'9.0.10'!$AY$4,'9.0.10'!$AY$3)</f>
        <v>50</v>
      </c>
      <c r="V94" s="4">
        <f>(VLOOKUP('9.0.10'!AD94,'9.0.10'!$AM$4:$AO$55,2,FALSE))*IF('9.0.10'!BG$4="是",'9.0.10'!$AY$4,'9.0.10'!$AY$3)</f>
        <v>0</v>
      </c>
      <c r="W94" s="5">
        <f>(VLOOKUP('9.0.10'!AE94,'9.0.10'!$AM$4:$AO$55,2,FALSE))*IF('9.0.10'!BH$4="是",'9.0.10'!$AY$4,'9.0.10'!$AY$3)</f>
        <v>0</v>
      </c>
      <c r="X94" s="5">
        <f>(VLOOKUP('9.0.10'!AF94,'9.0.10'!$AM$4:$AO$55,2,FALSE))*IF('9.0.10'!BI$4="是",'9.0.10'!$AY$4,'9.0.10'!$AY$3)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40" t="s">
        <v>62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6" t="s">
        <v>4</v>
      </c>
      <c r="L2" s="6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10" t="s">
        <v>8</v>
      </c>
      <c r="T2" s="9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(VLOOKUP('9.0.10'!I4,'9.0.10'!$AM$4:$AO$55,3,FALSE))</f>
        <v>35</v>
      </c>
      <c r="B4" s="4">
        <f>(VLOOKUP('9.0.10'!J4,'9.0.10'!$AM$4:$AO$55,3,FALSE))</f>
        <v>35</v>
      </c>
      <c r="C4" s="4">
        <f>(VLOOKUP('9.0.10'!K4,'9.0.10'!$AM$4:$AO$55,3,FALSE))</f>
        <v>35</v>
      </c>
      <c r="D4" s="4">
        <f>(VLOOKUP('9.0.10'!L4,'9.0.10'!$AM$4:$AO$55,3,FALSE))</f>
        <v>35</v>
      </c>
      <c r="E4" s="4">
        <f>(VLOOKUP('9.0.10'!M4,'9.0.10'!$AM$4:$AO$55,3,FALSE))</f>
        <v>35</v>
      </c>
      <c r="F4" s="4">
        <f>(VLOOKUP('9.0.10'!N4,'9.0.10'!$AM$4:$AO$55,3,FALSE))</f>
        <v>35</v>
      </c>
      <c r="G4" s="5">
        <f>(VLOOKUP('9.0.10'!O4,'9.0.10'!$AM$4:$AO$55,3,FALSE))</f>
        <v>0</v>
      </c>
      <c r="H4" s="5">
        <f>(VLOOKUP('9.0.10'!P4,'9.0.10'!$AM$4:$AO$55,3,FALSE))</f>
        <v>0</v>
      </c>
      <c r="I4" s="4">
        <f>(VLOOKUP('9.0.10'!Q4,'9.0.10'!$AM$4:$AO$55,3,FALSE))</f>
        <v>35</v>
      </c>
      <c r="J4" s="4">
        <f>(VLOOKUP('9.0.10'!R4,'9.0.10'!$AM$4:$AO$55,3,FALSE))</f>
        <v>35</v>
      </c>
      <c r="K4" s="4">
        <f>(VLOOKUP('9.0.10'!S4,'9.0.10'!$AM$4:$AO$55,3,FALSE))</f>
        <v>35</v>
      </c>
      <c r="L4" s="4">
        <f>(VLOOKUP('9.0.10'!T4,'9.0.10'!$AM$4:$AO$55,3,FALSE))</f>
        <v>35</v>
      </c>
      <c r="M4" s="4">
        <f>(VLOOKUP('9.0.10'!U4,'9.0.10'!$AM$4:$AO$55,3,FALSE))</f>
        <v>35</v>
      </c>
      <c r="N4" s="4">
        <f>(VLOOKUP('9.0.10'!V4,'9.0.10'!$AM$4:$AO$55,3,FALSE))</f>
        <v>35</v>
      </c>
      <c r="O4" s="5">
        <f>(VLOOKUP('9.0.10'!W4,'9.0.10'!$AM$4:$AO$55,3,FALSE))</f>
        <v>0</v>
      </c>
      <c r="P4" s="5">
        <f>(VLOOKUP('9.0.10'!X4,'9.0.10'!$AM$4:$AO$55,3,FALSE))</f>
        <v>0</v>
      </c>
      <c r="Q4" s="4">
        <f>(VLOOKUP('9.0.10'!Y4,'9.0.10'!$AM$4:$AO$55,3,FALSE))</f>
        <v>40</v>
      </c>
      <c r="R4" s="4">
        <f>(VLOOKUP('9.0.10'!Z4,'9.0.10'!$AM$4:$AO$55,3,FALSE))</f>
        <v>520</v>
      </c>
      <c r="S4" s="4">
        <f>(VLOOKUP('9.0.10'!AA4,'9.0.10'!$AM$4:$AO$55,3,FALSE))</f>
        <v>40</v>
      </c>
      <c r="T4" s="4">
        <f>(VLOOKUP('9.0.10'!AB4,'9.0.10'!$AM$4:$AO$55,3,FALSE))</f>
        <v>45</v>
      </c>
      <c r="U4" s="4">
        <f>(VLOOKUP('9.0.10'!AC4,'9.0.10'!$AM$4:$AO$55,3,FALSE))</f>
        <v>45</v>
      </c>
      <c r="V4" s="4">
        <f>(VLOOKUP('9.0.10'!AD4,'9.0.10'!$AM$4:$AO$55,3,FALSE))</f>
        <v>200</v>
      </c>
      <c r="W4" s="5">
        <f>(VLOOKUP('9.0.10'!AE4,'9.0.10'!$AM$4:$AO$55,3,FALSE))</f>
        <v>45</v>
      </c>
      <c r="X4" s="5">
        <f>(VLOOKUP('9.0.10'!AF4,'9.0.10'!$AM$4:$AO$55,3,FALSE))</f>
        <v>0</v>
      </c>
    </row>
    <row r="5" spans="1:24">
      <c r="A5" s="4">
        <f>(VLOOKUP('9.0.10'!I5,'9.0.10'!$AM$4:$AO$55,3,FALSE))</f>
        <v>0</v>
      </c>
      <c r="B5" s="4">
        <f>(VLOOKUP('9.0.10'!J5,'9.0.10'!$AM$4:$AO$55,3,FALSE))</f>
        <v>0</v>
      </c>
      <c r="C5" s="4">
        <f>(VLOOKUP('9.0.10'!K5,'9.0.10'!$AM$4:$AO$55,3,FALSE))</f>
        <v>0</v>
      </c>
      <c r="D5" s="4">
        <f>(VLOOKUP('9.0.10'!L5,'9.0.10'!$AM$4:$AO$55,3,FALSE))</f>
        <v>0</v>
      </c>
      <c r="E5" s="4">
        <f>(VLOOKUP('9.0.10'!M5,'9.0.10'!$AM$4:$AO$55,3,FALSE))</f>
        <v>0</v>
      </c>
      <c r="F5" s="4">
        <f>(VLOOKUP('9.0.10'!N5,'9.0.10'!$AM$4:$AO$55,3,FALSE))</f>
        <v>0</v>
      </c>
      <c r="G5" s="5">
        <f>(VLOOKUP('9.0.10'!O5,'9.0.10'!$AM$4:$AO$55,3,FALSE))</f>
        <v>0</v>
      </c>
      <c r="H5" s="5">
        <f>(VLOOKUP('9.0.10'!P5,'9.0.10'!$AM$4:$AO$55,3,FALSE))</f>
        <v>0</v>
      </c>
      <c r="I5" s="4">
        <f>(VLOOKUP('9.0.10'!Q5,'9.0.10'!$AM$4:$AO$55,3,FALSE))</f>
        <v>45</v>
      </c>
      <c r="J5" s="4">
        <f>(VLOOKUP('9.0.10'!R5,'9.0.10'!$AM$4:$AO$55,3,FALSE))</f>
        <v>45</v>
      </c>
      <c r="K5" s="4">
        <f>(VLOOKUP('9.0.10'!S5,'9.0.10'!$AM$4:$AO$55,3,FALSE))</f>
        <v>45</v>
      </c>
      <c r="L5" s="4">
        <f>(VLOOKUP('9.0.10'!T5,'9.0.10'!$AM$4:$AO$55,3,FALSE))</f>
        <v>45</v>
      </c>
      <c r="M5" s="4">
        <f>(VLOOKUP('9.0.10'!U5,'9.0.10'!$AM$4:$AO$55,3,FALSE))</f>
        <v>30</v>
      </c>
      <c r="N5" s="4">
        <f>(VLOOKUP('9.0.10'!V5,'9.0.10'!$AM$4:$AO$55,3,FALSE))</f>
        <v>45</v>
      </c>
      <c r="O5" s="5">
        <f>(VLOOKUP('9.0.10'!W5,'9.0.10'!$AM$4:$AO$55,3,FALSE))</f>
        <v>0</v>
      </c>
      <c r="P5" s="5">
        <f>(VLOOKUP('9.0.10'!X5,'9.0.10'!$AM$4:$AO$55,3,FALSE))</f>
        <v>0</v>
      </c>
      <c r="Q5" s="4">
        <f>(VLOOKUP('9.0.10'!Y5,'9.0.10'!$AM$4:$AO$55,3,FALSE))</f>
        <v>45</v>
      </c>
      <c r="R5" s="4">
        <f>(VLOOKUP('9.0.10'!Z5,'9.0.10'!$AM$4:$AO$55,3,FALSE))</f>
        <v>30</v>
      </c>
      <c r="S5" s="4">
        <f>(VLOOKUP('9.0.10'!AA5,'9.0.10'!$AM$4:$AO$55,3,FALSE))</f>
        <v>40</v>
      </c>
      <c r="T5" s="4">
        <f>(VLOOKUP('9.0.10'!AB5,'9.0.10'!$AM$4:$AO$55,3,FALSE))</f>
        <v>0</v>
      </c>
      <c r="U5" s="4">
        <f>(VLOOKUP('9.0.10'!AC5,'9.0.10'!$AM$4:$AO$55,3,FALSE))</f>
        <v>35</v>
      </c>
      <c r="V5" s="4">
        <f>(VLOOKUP('9.0.10'!AD5,'9.0.10'!$AM$4:$AO$55,3,FALSE))</f>
        <v>35</v>
      </c>
      <c r="W5" s="5">
        <f>(VLOOKUP('9.0.10'!AE5,'9.0.10'!$AM$4:$AO$55,3,FALSE))</f>
        <v>35</v>
      </c>
      <c r="X5" s="5">
        <f>(VLOOKUP('9.0.10'!AF5,'9.0.10'!$AM$4:$AO$55,3,FALSE))</f>
        <v>35</v>
      </c>
    </row>
    <row r="6" spans="1:24">
      <c r="A6" s="4">
        <f>(VLOOKUP('9.0.10'!I6,'9.0.10'!$AM$4:$AO$55,3,FALSE))</f>
        <v>0</v>
      </c>
      <c r="B6" s="4">
        <f>(VLOOKUP('9.0.10'!J6,'9.0.10'!$AM$4:$AO$55,3,FALSE))</f>
        <v>0</v>
      </c>
      <c r="C6" s="4">
        <f>(VLOOKUP('9.0.10'!K6,'9.0.10'!$AM$4:$AO$55,3,FALSE))</f>
        <v>0</v>
      </c>
      <c r="D6" s="4">
        <f>(VLOOKUP('9.0.10'!L6,'9.0.10'!$AM$4:$AO$55,3,FALSE))</f>
        <v>0</v>
      </c>
      <c r="E6" s="4">
        <f>(VLOOKUP('9.0.10'!M6,'9.0.10'!$AM$4:$AO$55,3,FALSE))</f>
        <v>0</v>
      </c>
      <c r="F6" s="4">
        <f>(VLOOKUP('9.0.10'!N6,'9.0.10'!$AM$4:$AO$55,3,FALSE))</f>
        <v>0</v>
      </c>
      <c r="G6" s="5">
        <f>(VLOOKUP('9.0.10'!O6,'9.0.10'!$AM$4:$AO$55,3,FALSE))</f>
        <v>0</v>
      </c>
      <c r="H6" s="5">
        <f>(VLOOKUP('9.0.10'!P6,'9.0.10'!$AM$4:$AO$55,3,FALSE))</f>
        <v>0</v>
      </c>
      <c r="I6" s="4">
        <f>(VLOOKUP('9.0.10'!Q6,'9.0.10'!$AM$4:$AO$55,3,FALSE))</f>
        <v>45</v>
      </c>
      <c r="J6" s="4">
        <f>(VLOOKUP('9.0.10'!R6,'9.0.10'!$AM$4:$AO$55,3,FALSE))</f>
        <v>45</v>
      </c>
      <c r="K6" s="4">
        <f>(VLOOKUP('9.0.10'!S6,'9.0.10'!$AM$4:$AO$55,3,FALSE))</f>
        <v>40</v>
      </c>
      <c r="L6" s="4">
        <f>(VLOOKUP('9.0.10'!T6,'9.0.10'!$AM$4:$AO$55,3,FALSE))</f>
        <v>40</v>
      </c>
      <c r="M6" s="4">
        <f>(VLOOKUP('9.0.10'!U6,'9.0.10'!$AM$4:$AO$55,3,FALSE))</f>
        <v>40</v>
      </c>
      <c r="N6" s="4">
        <f>(VLOOKUP('9.0.10'!V6,'9.0.10'!$AM$4:$AO$55,3,FALSE))</f>
        <v>40</v>
      </c>
      <c r="O6" s="5">
        <f>(VLOOKUP('9.0.10'!W6,'9.0.10'!$AM$4:$AO$55,3,FALSE))</f>
        <v>0</v>
      </c>
      <c r="P6" s="5">
        <f>(VLOOKUP('9.0.10'!X6,'9.0.10'!$AM$4:$AO$55,3,FALSE))</f>
        <v>0</v>
      </c>
      <c r="Q6" s="4">
        <f>(VLOOKUP('9.0.10'!Y6,'9.0.10'!$AM$4:$AO$55,3,FALSE))</f>
        <v>30</v>
      </c>
      <c r="R6" s="4">
        <f>(VLOOKUP('9.0.10'!Z6,'9.0.10'!$AM$4:$AO$55,3,FALSE))</f>
        <v>40</v>
      </c>
      <c r="S6" s="4">
        <f>(VLOOKUP('9.0.10'!AA6,'9.0.10'!$AM$4:$AO$55,3,FALSE))</f>
        <v>40</v>
      </c>
      <c r="T6" s="4">
        <f>(VLOOKUP('9.0.10'!AB6,'9.0.10'!$AM$4:$AO$55,3,FALSE))</f>
        <v>40</v>
      </c>
      <c r="U6" s="4">
        <f>(VLOOKUP('9.0.10'!AC6,'9.0.10'!$AM$4:$AO$55,3,FALSE))</f>
        <v>0</v>
      </c>
      <c r="V6" s="4">
        <f>(VLOOKUP('9.0.10'!AD6,'9.0.10'!$AM$4:$AO$55,3,FALSE))</f>
        <v>40</v>
      </c>
      <c r="W6" s="5">
        <f>(VLOOKUP('9.0.10'!AE6,'9.0.10'!$AM$4:$AO$55,3,FALSE))</f>
        <v>40</v>
      </c>
      <c r="X6" s="5">
        <f>(VLOOKUP('9.0.10'!AF6,'9.0.10'!$AM$4:$AO$55,3,FALSE))</f>
        <v>45</v>
      </c>
    </row>
    <row r="7" spans="1:24">
      <c r="A7" s="4">
        <f>(VLOOKUP('9.0.10'!I7,'9.0.10'!$AM$4:$AO$55,3,FALSE))</f>
        <v>0</v>
      </c>
      <c r="B7" s="4">
        <f>(VLOOKUP('9.0.10'!J7,'9.0.10'!$AM$4:$AO$55,3,FALSE))</f>
        <v>0</v>
      </c>
      <c r="C7" s="4">
        <f>(VLOOKUP('9.0.10'!K7,'9.0.10'!$AM$4:$AO$55,3,FALSE))</f>
        <v>0</v>
      </c>
      <c r="D7" s="4">
        <f>(VLOOKUP('9.0.10'!L7,'9.0.10'!$AM$4:$AO$55,3,FALSE))</f>
        <v>0</v>
      </c>
      <c r="E7" s="4">
        <f>(VLOOKUP('9.0.10'!M7,'9.0.10'!$AM$4:$AO$55,3,FALSE))</f>
        <v>0</v>
      </c>
      <c r="F7" s="4">
        <f>(VLOOKUP('9.0.10'!N7,'9.0.10'!$AM$4:$AO$55,3,FALSE))</f>
        <v>0</v>
      </c>
      <c r="G7" s="5">
        <f>(VLOOKUP('9.0.10'!O7,'9.0.10'!$AM$4:$AO$55,3,FALSE))</f>
        <v>0</v>
      </c>
      <c r="H7" s="5">
        <f>(VLOOKUP('9.0.10'!P7,'9.0.10'!$AM$4:$AO$55,3,FALSE))</f>
        <v>0</v>
      </c>
      <c r="I7" s="4">
        <f>(VLOOKUP('9.0.10'!Q7,'9.0.10'!$AM$4:$AO$55,3,FALSE))</f>
        <v>40</v>
      </c>
      <c r="J7" s="4">
        <f>(VLOOKUP('9.0.10'!R7,'9.0.10'!$AM$4:$AO$55,3,FALSE))</f>
        <v>40</v>
      </c>
      <c r="K7" s="4">
        <f>(VLOOKUP('9.0.10'!S7,'9.0.10'!$AM$4:$AO$55,3,FALSE))</f>
        <v>30</v>
      </c>
      <c r="L7" s="4">
        <f>(VLOOKUP('9.0.10'!T7,'9.0.10'!$AM$4:$AO$55,3,FALSE))</f>
        <v>40</v>
      </c>
      <c r="M7" s="4">
        <f>(VLOOKUP('9.0.10'!U7,'9.0.10'!$AM$4:$AO$55,3,FALSE))</f>
        <v>40</v>
      </c>
      <c r="N7" s="4">
        <f>(VLOOKUP('9.0.10'!V7,'9.0.10'!$AM$4:$AO$55,3,FALSE))</f>
        <v>40</v>
      </c>
      <c r="O7" s="5">
        <f>(VLOOKUP('9.0.10'!W7,'9.0.10'!$AM$4:$AO$55,3,FALSE))</f>
        <v>0</v>
      </c>
      <c r="P7" s="5">
        <f>(VLOOKUP('9.0.10'!X7,'9.0.10'!$AM$4:$AO$55,3,FALSE))</f>
        <v>0</v>
      </c>
      <c r="Q7" s="4">
        <f>(VLOOKUP('9.0.10'!Y7,'9.0.10'!$AM$4:$AO$55,3,FALSE))</f>
        <v>45</v>
      </c>
      <c r="R7" s="4">
        <f>(VLOOKUP('9.0.10'!Z7,'9.0.10'!$AM$4:$AO$55,3,FALSE))</f>
        <v>45</v>
      </c>
      <c r="S7" s="4">
        <f>(VLOOKUP('9.0.10'!AA7,'9.0.10'!$AM$4:$AO$55,3,FALSE))</f>
        <v>45</v>
      </c>
      <c r="T7" s="4">
        <f>(VLOOKUP('9.0.10'!AB7,'9.0.10'!$AM$4:$AO$55,3,FALSE))</f>
        <v>45</v>
      </c>
      <c r="U7" s="4">
        <f>(VLOOKUP('9.0.10'!AC7,'9.0.10'!$AM$4:$AO$55,3,FALSE))</f>
        <v>45</v>
      </c>
      <c r="V7" s="4">
        <f>(VLOOKUP('9.0.10'!AD7,'9.0.10'!$AM$4:$AO$55,3,FALSE))</f>
        <v>40</v>
      </c>
      <c r="W7" s="5">
        <f>(VLOOKUP('9.0.10'!AE7,'9.0.10'!$AM$4:$AO$55,3,FALSE))</f>
        <v>0</v>
      </c>
      <c r="X7" s="5">
        <f>(VLOOKUP('9.0.10'!AF7,'9.0.10'!$AM$4:$AO$55,3,FALSE))</f>
        <v>0</v>
      </c>
    </row>
    <row r="8" spans="1:24">
      <c r="A8" s="4">
        <f>(VLOOKUP('9.0.10'!I8,'9.0.10'!$AM$4:$AO$55,3,FALSE))</f>
        <v>0</v>
      </c>
      <c r="B8" s="4">
        <f>(VLOOKUP('9.0.10'!J8,'9.0.10'!$AM$4:$AO$55,3,FALSE))</f>
        <v>0</v>
      </c>
      <c r="C8" s="4">
        <f>(VLOOKUP('9.0.10'!K8,'9.0.10'!$AM$4:$AO$55,3,FALSE))</f>
        <v>0</v>
      </c>
      <c r="D8" s="4">
        <f>(VLOOKUP('9.0.10'!L8,'9.0.10'!$AM$4:$AO$55,3,FALSE))</f>
        <v>0</v>
      </c>
      <c r="E8" s="4">
        <f>(VLOOKUP('9.0.10'!M8,'9.0.10'!$AM$4:$AO$55,3,FALSE))</f>
        <v>0</v>
      </c>
      <c r="F8" s="4">
        <f>(VLOOKUP('9.0.10'!N8,'9.0.10'!$AM$4:$AO$55,3,FALSE))</f>
        <v>0</v>
      </c>
      <c r="G8" s="5">
        <f>(VLOOKUP('9.0.10'!O8,'9.0.10'!$AM$4:$AO$55,3,FALSE))</f>
        <v>0</v>
      </c>
      <c r="H8" s="5">
        <f>(VLOOKUP('9.0.10'!P8,'9.0.10'!$AM$4:$AO$55,3,FALSE))</f>
        <v>0</v>
      </c>
      <c r="I8" s="4">
        <f>(VLOOKUP('9.0.10'!Q8,'9.0.10'!$AM$4:$AO$55,3,FALSE))</f>
        <v>40</v>
      </c>
      <c r="J8" s="4">
        <f>(VLOOKUP('9.0.10'!R8,'9.0.10'!$AM$4:$AO$55,3,FALSE))</f>
        <v>30</v>
      </c>
      <c r="K8" s="4">
        <f>(VLOOKUP('9.0.10'!S8,'9.0.10'!$AM$4:$AO$55,3,FALSE))</f>
        <v>40</v>
      </c>
      <c r="L8" s="4">
        <f>(VLOOKUP('9.0.10'!T8,'9.0.10'!$AM$4:$AO$55,3,FALSE))</f>
        <v>45</v>
      </c>
      <c r="M8" s="4">
        <f>(VLOOKUP('9.0.10'!U8,'9.0.10'!$AM$4:$AO$55,3,FALSE))</f>
        <v>35</v>
      </c>
      <c r="N8" s="4">
        <f>(VLOOKUP('9.0.10'!V8,'9.0.10'!$AM$4:$AO$55,3,FALSE))</f>
        <v>45</v>
      </c>
      <c r="O8" s="5">
        <f>(VLOOKUP('9.0.10'!W8,'9.0.10'!$AM$4:$AO$55,3,FALSE))</f>
        <v>0</v>
      </c>
      <c r="P8" s="5">
        <f>(VLOOKUP('9.0.10'!X8,'9.0.10'!$AM$4:$AO$55,3,FALSE))</f>
        <v>0</v>
      </c>
      <c r="Q8" s="4">
        <f>(VLOOKUP('9.0.10'!Y8,'9.0.10'!$AM$4:$AO$55,3,FALSE))</f>
        <v>40</v>
      </c>
      <c r="R8" s="4">
        <f>(VLOOKUP('9.0.10'!Z8,'9.0.10'!$AM$4:$AO$55,3,FALSE))</f>
        <v>40</v>
      </c>
      <c r="S8" s="4">
        <f>(VLOOKUP('9.0.10'!AA8,'9.0.10'!$AM$4:$AO$55,3,FALSE))</f>
        <v>30</v>
      </c>
      <c r="T8" s="4">
        <f>(VLOOKUP('9.0.10'!AB8,'9.0.10'!$AM$4:$AO$55,3,FALSE))</f>
        <v>40</v>
      </c>
      <c r="U8" s="4">
        <f>(VLOOKUP('9.0.10'!AC8,'9.0.10'!$AM$4:$AO$55,3,FALSE))</f>
        <v>40</v>
      </c>
      <c r="V8" s="4">
        <f>(VLOOKUP('9.0.10'!AD8,'9.0.10'!$AM$4:$AO$55,3,FALSE))</f>
        <v>45</v>
      </c>
      <c r="W8" s="5">
        <f>(VLOOKUP('9.0.10'!AE8,'9.0.10'!$AM$4:$AO$55,3,FALSE))</f>
        <v>0</v>
      </c>
      <c r="X8" s="5">
        <f>(VLOOKUP('9.0.10'!AF8,'9.0.10'!$AM$4:$AO$55,3,FALSE))</f>
        <v>0</v>
      </c>
    </row>
    <row r="9" spans="1:24">
      <c r="A9" s="4">
        <f>(VLOOKUP('9.0.10'!I9,'9.0.10'!$AM$4:$AO$55,3,FALSE))</f>
        <v>0</v>
      </c>
      <c r="B9" s="4">
        <f>(VLOOKUP('9.0.10'!J9,'9.0.10'!$AM$4:$AO$55,3,FALSE))</f>
        <v>0</v>
      </c>
      <c r="C9" s="4">
        <f>(VLOOKUP('9.0.10'!K9,'9.0.10'!$AM$4:$AO$55,3,FALSE))</f>
        <v>0</v>
      </c>
      <c r="D9" s="4">
        <f>(VLOOKUP('9.0.10'!L9,'9.0.10'!$AM$4:$AO$55,3,FALSE))</f>
        <v>0</v>
      </c>
      <c r="E9" s="4">
        <f>(VLOOKUP('9.0.10'!M9,'9.0.10'!$AM$4:$AO$55,3,FALSE))</f>
        <v>0</v>
      </c>
      <c r="F9" s="4">
        <f>(VLOOKUP('9.0.10'!N9,'9.0.10'!$AM$4:$AO$55,3,FALSE))</f>
        <v>0</v>
      </c>
      <c r="G9" s="5">
        <f>(VLOOKUP('9.0.10'!O9,'9.0.10'!$AM$4:$AO$55,3,FALSE))</f>
        <v>0</v>
      </c>
      <c r="H9" s="5">
        <f>(VLOOKUP('9.0.10'!P9,'9.0.10'!$AM$4:$AO$55,3,FALSE))</f>
        <v>0</v>
      </c>
      <c r="I9" s="4">
        <f>(VLOOKUP('9.0.10'!Q9,'9.0.10'!$AM$4:$AO$55,3,FALSE))</f>
        <v>45</v>
      </c>
      <c r="J9" s="4">
        <f>(VLOOKUP('9.0.10'!R9,'9.0.10'!$AM$4:$AO$55,3,FALSE))</f>
        <v>45</v>
      </c>
      <c r="K9" s="4">
        <f>(VLOOKUP('9.0.10'!S9,'9.0.10'!$AM$4:$AO$55,3,FALSE))</f>
        <v>45</v>
      </c>
      <c r="L9" s="4">
        <f>(VLOOKUP('9.0.10'!T9,'9.0.10'!$AM$4:$AO$55,3,FALSE))</f>
        <v>45</v>
      </c>
      <c r="M9" s="4">
        <f>(VLOOKUP('9.0.10'!U9,'9.0.10'!$AM$4:$AO$55,3,FALSE))</f>
        <v>200</v>
      </c>
      <c r="N9" s="4">
        <f>(VLOOKUP('9.0.10'!V9,'9.0.10'!$AM$4:$AO$55,3,FALSE))</f>
        <v>45</v>
      </c>
      <c r="O9" s="5">
        <f>(VLOOKUP('9.0.10'!W9,'9.0.10'!$AM$4:$AO$55,3,FALSE))</f>
        <v>0</v>
      </c>
      <c r="P9" s="5">
        <f>(VLOOKUP('9.0.10'!X9,'9.0.10'!$AM$4:$AO$55,3,FALSE))</f>
        <v>0</v>
      </c>
      <c r="Q9" s="4">
        <f>(VLOOKUP('9.0.10'!Y9,'9.0.10'!$AM$4:$AO$55,3,FALSE))</f>
        <v>45</v>
      </c>
      <c r="R9" s="4">
        <f>(VLOOKUP('9.0.10'!Z9,'9.0.10'!$AM$4:$AO$55,3,FALSE))</f>
        <v>40</v>
      </c>
      <c r="S9" s="4">
        <f>(VLOOKUP('9.0.10'!AA9,'9.0.10'!$AM$4:$AO$55,3,FALSE))</f>
        <v>45</v>
      </c>
      <c r="T9" s="4">
        <f>(VLOOKUP('9.0.10'!AB9,'9.0.10'!$AM$4:$AO$55,3,FALSE))</f>
        <v>200</v>
      </c>
      <c r="U9" s="4">
        <f>(VLOOKUP('9.0.10'!AC9,'9.0.10'!$AM$4:$AO$55,3,FALSE))</f>
        <v>45</v>
      </c>
      <c r="V9" s="4">
        <f>(VLOOKUP('9.0.10'!AD9,'9.0.10'!$AM$4:$AO$55,3,FALSE))</f>
        <v>45</v>
      </c>
      <c r="W9" s="5">
        <f>(VLOOKUP('9.0.10'!AE9,'9.0.10'!$AM$4:$AO$55,3,FALSE))</f>
        <v>0</v>
      </c>
      <c r="X9" s="5">
        <f>(VLOOKUP('9.0.10'!AF9,'9.0.10'!$AM$4:$AO$55,3,FALSE))</f>
        <v>0</v>
      </c>
    </row>
    <row r="10" spans="1:24">
      <c r="A10" s="4">
        <f>(VLOOKUP('9.0.10'!I10,'9.0.10'!$AM$4:$AO$55,3,FALSE))</f>
        <v>0</v>
      </c>
      <c r="B10" s="4">
        <f>(VLOOKUP('9.0.10'!J10,'9.0.10'!$AM$4:$AO$55,3,FALSE))</f>
        <v>0</v>
      </c>
      <c r="C10" s="4">
        <f>(VLOOKUP('9.0.10'!K10,'9.0.10'!$AM$4:$AO$55,3,FALSE))</f>
        <v>0</v>
      </c>
      <c r="D10" s="4">
        <f>(VLOOKUP('9.0.10'!L10,'9.0.10'!$AM$4:$AO$55,3,FALSE))</f>
        <v>0</v>
      </c>
      <c r="E10" s="4">
        <f>(VLOOKUP('9.0.10'!M10,'9.0.10'!$AM$4:$AO$55,3,FALSE))</f>
        <v>0</v>
      </c>
      <c r="F10" s="4">
        <f>(VLOOKUP('9.0.10'!N10,'9.0.10'!$AM$4:$AO$55,3,FALSE))</f>
        <v>0</v>
      </c>
      <c r="G10" s="5">
        <f>(VLOOKUP('9.0.10'!O10,'9.0.10'!$AM$4:$AO$55,3,FALSE))</f>
        <v>0</v>
      </c>
      <c r="H10" s="5">
        <f>(VLOOKUP('9.0.10'!P10,'9.0.10'!$AM$4:$AO$55,3,FALSE))</f>
        <v>0</v>
      </c>
      <c r="I10" s="4">
        <f>(VLOOKUP('9.0.10'!Q10,'9.0.10'!$AM$4:$AO$55,3,FALSE))</f>
        <v>40</v>
      </c>
      <c r="J10" s="4">
        <f>(VLOOKUP('9.0.10'!R10,'9.0.10'!$AM$4:$AO$55,3,FALSE))</f>
        <v>40</v>
      </c>
      <c r="K10" s="4">
        <f>(VLOOKUP('9.0.10'!S10,'9.0.10'!$AM$4:$AO$55,3,FALSE))</f>
        <v>40</v>
      </c>
      <c r="L10" s="4">
        <f>(VLOOKUP('9.0.10'!T10,'9.0.10'!$AM$4:$AO$55,3,FALSE))</f>
        <v>40</v>
      </c>
      <c r="M10" s="4">
        <f>(VLOOKUP('9.0.10'!U10,'9.0.10'!$AM$4:$AO$55,3,FALSE))</f>
        <v>45</v>
      </c>
      <c r="N10" s="4">
        <f>(VLOOKUP('9.0.10'!V10,'9.0.10'!$AM$4:$AO$55,3,FALSE))</f>
        <v>45</v>
      </c>
      <c r="O10" s="5">
        <f>(VLOOKUP('9.0.10'!W10,'9.0.10'!$AM$4:$AO$55,3,FALSE))</f>
        <v>0</v>
      </c>
      <c r="P10" s="5">
        <f>(VLOOKUP('9.0.10'!X10,'9.0.10'!$AM$4:$AO$55,3,FALSE))</f>
        <v>0</v>
      </c>
      <c r="Q10" s="4">
        <f>(VLOOKUP('9.0.10'!Y10,'9.0.10'!$AM$4:$AO$55,3,FALSE))</f>
        <v>45</v>
      </c>
      <c r="R10" s="4">
        <f>(VLOOKUP('9.0.10'!Z10,'9.0.10'!$AM$4:$AO$55,3,FALSE))</f>
        <v>45</v>
      </c>
      <c r="S10" s="4">
        <f>(VLOOKUP('9.0.10'!AA10,'9.0.10'!$AM$4:$AO$55,3,FALSE))</f>
        <v>0</v>
      </c>
      <c r="T10" s="4">
        <f>(VLOOKUP('9.0.10'!AB10,'9.0.10'!$AM$4:$AO$55,3,FALSE))</f>
        <v>45</v>
      </c>
      <c r="U10" s="4">
        <f>(VLOOKUP('9.0.10'!AC10,'9.0.10'!$AM$4:$AO$55,3,FALSE))</f>
        <v>45</v>
      </c>
      <c r="V10" s="4">
        <f>(VLOOKUP('9.0.10'!AD10,'9.0.10'!$AM$4:$AO$55,3,FALSE))</f>
        <v>45</v>
      </c>
      <c r="W10" s="5">
        <f>(VLOOKUP('9.0.10'!AE10,'9.0.10'!$AM$4:$AO$55,3,FALSE))</f>
        <v>0</v>
      </c>
      <c r="X10" s="5">
        <f>(VLOOKUP('9.0.10'!AF10,'9.0.10'!$AM$4:$AO$55,3,FALSE))</f>
        <v>0</v>
      </c>
    </row>
    <row r="11" spans="1:24">
      <c r="A11" s="4">
        <f>(VLOOKUP('9.0.10'!I11,'9.0.10'!$AM$4:$AO$55,3,FALSE))</f>
        <v>0</v>
      </c>
      <c r="B11" s="4">
        <f>(VLOOKUP('9.0.10'!J11,'9.0.10'!$AM$4:$AO$55,3,FALSE))</f>
        <v>0</v>
      </c>
      <c r="C11" s="4">
        <f>(VLOOKUP('9.0.10'!K11,'9.0.10'!$AM$4:$AO$55,3,FALSE))</f>
        <v>0</v>
      </c>
      <c r="D11" s="4">
        <f>(VLOOKUP('9.0.10'!L11,'9.0.10'!$AM$4:$AO$55,3,FALSE))</f>
        <v>0</v>
      </c>
      <c r="E11" s="4">
        <f>(VLOOKUP('9.0.10'!M11,'9.0.10'!$AM$4:$AO$55,3,FALSE))</f>
        <v>0</v>
      </c>
      <c r="F11" s="4">
        <f>(VLOOKUP('9.0.10'!N11,'9.0.10'!$AM$4:$AO$55,3,FALSE))</f>
        <v>0</v>
      </c>
      <c r="G11" s="5">
        <f>(VLOOKUP('9.0.10'!O11,'9.0.10'!$AM$4:$AO$55,3,FALSE))</f>
        <v>0</v>
      </c>
      <c r="H11" s="5">
        <f>(VLOOKUP('9.0.10'!P11,'9.0.10'!$AM$4:$AO$55,3,FALSE))</f>
        <v>0</v>
      </c>
      <c r="I11" s="4">
        <f>(VLOOKUP('9.0.10'!Q11,'9.0.10'!$AM$4:$AO$55,3,FALSE))</f>
        <v>45</v>
      </c>
      <c r="J11" s="4">
        <f>(VLOOKUP('9.0.10'!R11,'9.0.10'!$AM$4:$AO$55,3,FALSE))</f>
        <v>45</v>
      </c>
      <c r="K11" s="4">
        <f>(VLOOKUP('9.0.10'!S11,'9.0.10'!$AM$4:$AO$55,3,FALSE))</f>
        <v>45</v>
      </c>
      <c r="L11" s="4">
        <f>(VLOOKUP('9.0.10'!T11,'9.0.10'!$AM$4:$AO$55,3,FALSE))</f>
        <v>45</v>
      </c>
      <c r="M11" s="4">
        <f>(VLOOKUP('9.0.10'!U11,'9.0.10'!$AM$4:$AO$55,3,FALSE))</f>
        <v>45</v>
      </c>
      <c r="N11" s="4">
        <f>(VLOOKUP('9.0.10'!V11,'9.0.10'!$AM$4:$AO$55,3,FALSE))</f>
        <v>40</v>
      </c>
      <c r="O11" s="5">
        <f>(VLOOKUP('9.0.10'!W11,'9.0.10'!$AM$4:$AO$55,3,FALSE))</f>
        <v>0</v>
      </c>
      <c r="P11" s="5">
        <f>(VLOOKUP('9.0.10'!X11,'9.0.10'!$AM$4:$AO$55,3,FALSE))</f>
        <v>0</v>
      </c>
      <c r="Q11" s="4">
        <f>(VLOOKUP('9.0.10'!Y11,'9.0.10'!$AM$4:$AO$55,3,FALSE))</f>
        <v>0</v>
      </c>
      <c r="R11" s="4">
        <f>(VLOOKUP('9.0.10'!Z11,'9.0.10'!$AM$4:$AO$55,3,FALSE))</f>
        <v>0</v>
      </c>
      <c r="S11" s="4">
        <f>(VLOOKUP('9.0.10'!AA11,'9.0.10'!$AM$4:$AO$55,3,FALSE))</f>
        <v>0</v>
      </c>
      <c r="T11" s="4">
        <f>(VLOOKUP('9.0.10'!AB11,'9.0.10'!$AM$4:$AO$55,3,FALSE))</f>
        <v>0</v>
      </c>
      <c r="U11" s="4">
        <f>(VLOOKUP('9.0.10'!AC11,'9.0.10'!$AM$4:$AO$55,3,FALSE))</f>
        <v>0</v>
      </c>
      <c r="V11" s="4">
        <f>(VLOOKUP('9.0.10'!AD11,'9.0.10'!$AM$4:$AO$55,3,FALSE))</f>
        <v>0</v>
      </c>
      <c r="W11" s="5">
        <f>(VLOOKUP('9.0.10'!AE11,'9.0.10'!$AM$4:$AO$55,3,FALSE))</f>
        <v>0</v>
      </c>
      <c r="X11" s="5">
        <f>(VLOOKUP('9.0.10'!AF11,'9.0.10'!$AM$4:$AO$55,3,FALSE))</f>
        <v>0</v>
      </c>
    </row>
    <row r="12" spans="1:24">
      <c r="A12" s="4">
        <f>(VLOOKUP('9.0.10'!I12,'9.0.10'!$AM$4:$AO$55,3,FALSE))</f>
        <v>0</v>
      </c>
      <c r="B12" s="4">
        <f>(VLOOKUP('9.0.10'!J12,'9.0.10'!$AM$4:$AO$55,3,FALSE))</f>
        <v>0</v>
      </c>
      <c r="C12" s="4">
        <f>(VLOOKUP('9.0.10'!K12,'9.0.10'!$AM$4:$AO$55,3,FALSE))</f>
        <v>0</v>
      </c>
      <c r="D12" s="4">
        <f>(VLOOKUP('9.0.10'!L12,'9.0.10'!$AM$4:$AO$55,3,FALSE))</f>
        <v>0</v>
      </c>
      <c r="E12" s="4">
        <f>(VLOOKUP('9.0.10'!M12,'9.0.10'!$AM$4:$AO$55,3,FALSE))</f>
        <v>0</v>
      </c>
      <c r="F12" s="4">
        <f>(VLOOKUP('9.0.10'!N12,'9.0.10'!$AM$4:$AO$55,3,FALSE))</f>
        <v>0</v>
      </c>
      <c r="G12" s="5">
        <f>(VLOOKUP('9.0.10'!O12,'9.0.10'!$AM$4:$AO$55,3,FALSE))</f>
        <v>0</v>
      </c>
      <c r="H12" s="5">
        <f>(VLOOKUP('9.0.10'!P12,'9.0.10'!$AM$4:$AO$55,3,FALSE))</f>
        <v>0</v>
      </c>
      <c r="I12" s="4">
        <f>(VLOOKUP('9.0.10'!Q12,'9.0.10'!$AM$4:$AO$55,3,FALSE))</f>
        <v>45</v>
      </c>
      <c r="J12" s="4">
        <f>(VLOOKUP('9.0.10'!R12,'9.0.10'!$AM$4:$AO$55,3,FALSE))</f>
        <v>45</v>
      </c>
      <c r="K12" s="4">
        <f>(VLOOKUP('9.0.10'!S12,'9.0.10'!$AM$4:$AO$55,3,FALSE))</f>
        <v>30</v>
      </c>
      <c r="L12" s="4">
        <f>(VLOOKUP('9.0.10'!T12,'9.0.10'!$AM$4:$AO$55,3,FALSE))</f>
        <v>45</v>
      </c>
      <c r="M12" s="4">
        <f>(VLOOKUP('9.0.10'!U12,'9.0.10'!$AM$4:$AO$55,3,FALSE))</f>
        <v>45</v>
      </c>
      <c r="N12" s="4">
        <f>(VLOOKUP('9.0.10'!V12,'9.0.10'!$AM$4:$AO$55,3,FALSE))</f>
        <v>45</v>
      </c>
      <c r="O12" s="5">
        <f>(VLOOKUP('9.0.10'!W12,'9.0.10'!$AM$4:$AO$55,3,FALSE))</f>
        <v>0</v>
      </c>
      <c r="P12" s="5">
        <f>(VLOOKUP('9.0.10'!X12,'9.0.10'!$AM$4:$AO$55,3,FALSE))</f>
        <v>0</v>
      </c>
      <c r="Q12" s="4">
        <f>(VLOOKUP('9.0.10'!Y12,'9.0.10'!$AM$4:$AO$55,3,FALSE))</f>
        <v>45</v>
      </c>
      <c r="R12" s="4">
        <f>(VLOOKUP('9.0.10'!Z12,'9.0.10'!$AM$4:$AO$55,3,FALSE))</f>
        <v>45</v>
      </c>
      <c r="S12" s="4">
        <f>(VLOOKUP('9.0.10'!AA12,'9.0.10'!$AM$4:$AO$55,3,FALSE))</f>
        <v>45</v>
      </c>
      <c r="T12" s="4">
        <f>(VLOOKUP('9.0.10'!AB12,'9.0.10'!$AM$4:$AO$55,3,FALSE))</f>
        <v>45</v>
      </c>
      <c r="U12" s="4">
        <f>(VLOOKUP('9.0.10'!AC12,'9.0.10'!$AM$4:$AO$55,3,FALSE))</f>
        <v>45</v>
      </c>
      <c r="V12" s="4">
        <f>(VLOOKUP('9.0.10'!AD12,'9.0.10'!$AM$4:$AO$55,3,FALSE))</f>
        <v>45</v>
      </c>
      <c r="W12" s="5">
        <f>(VLOOKUP('9.0.10'!AE12,'9.0.10'!$AM$4:$AO$55,3,FALSE))</f>
        <v>0</v>
      </c>
      <c r="X12" s="5">
        <f>(VLOOKUP('9.0.10'!AF12,'9.0.10'!$AM$4:$AO$55,3,FALSE))</f>
        <v>0</v>
      </c>
    </row>
    <row r="13" spans="1:24">
      <c r="A13" s="4">
        <f>(VLOOKUP('9.0.10'!I13,'9.0.10'!$AM$4:$AO$55,3,FALSE))</f>
        <v>0</v>
      </c>
      <c r="B13" s="4">
        <f>(VLOOKUP('9.0.10'!J13,'9.0.10'!$AM$4:$AO$55,3,FALSE))</f>
        <v>0</v>
      </c>
      <c r="C13" s="4">
        <f>(VLOOKUP('9.0.10'!K13,'9.0.10'!$AM$4:$AO$55,3,FALSE))</f>
        <v>0</v>
      </c>
      <c r="D13" s="4">
        <f>(VLOOKUP('9.0.10'!L13,'9.0.10'!$AM$4:$AO$55,3,FALSE))</f>
        <v>0</v>
      </c>
      <c r="E13" s="4">
        <f>(VLOOKUP('9.0.10'!M13,'9.0.10'!$AM$4:$AO$55,3,FALSE))</f>
        <v>0</v>
      </c>
      <c r="F13" s="4">
        <f>(VLOOKUP('9.0.10'!N13,'9.0.10'!$AM$4:$AO$55,3,FALSE))</f>
        <v>0</v>
      </c>
      <c r="G13" s="5">
        <f>(VLOOKUP('9.0.10'!O13,'9.0.10'!$AM$4:$AO$55,3,FALSE))</f>
        <v>0</v>
      </c>
      <c r="H13" s="5">
        <f>(VLOOKUP('9.0.10'!P13,'9.0.10'!$AM$4:$AO$55,3,FALSE))</f>
        <v>0</v>
      </c>
      <c r="I13" s="4">
        <f>(VLOOKUP('9.0.10'!Q13,'9.0.10'!$AM$4:$AO$55,3,FALSE))</f>
        <v>45</v>
      </c>
      <c r="J13" s="4">
        <f>(VLOOKUP('9.0.10'!R13,'9.0.10'!$AM$4:$AO$55,3,FALSE))</f>
        <v>45</v>
      </c>
      <c r="K13" s="4">
        <f>(VLOOKUP('9.0.10'!S13,'9.0.10'!$AM$4:$AO$55,3,FALSE))</f>
        <v>45</v>
      </c>
      <c r="L13" s="4">
        <f>(VLOOKUP('9.0.10'!T13,'9.0.10'!$AM$4:$AO$55,3,FALSE))</f>
        <v>45</v>
      </c>
      <c r="M13" s="4">
        <f>(VLOOKUP('9.0.10'!U13,'9.0.10'!$AM$4:$AO$55,3,FALSE))</f>
        <v>45</v>
      </c>
      <c r="N13" s="4">
        <f>(VLOOKUP('9.0.10'!V13,'9.0.10'!$AM$4:$AO$55,3,FALSE))</f>
        <v>0</v>
      </c>
      <c r="O13" s="5">
        <f>(VLOOKUP('9.0.10'!W13,'9.0.10'!$AM$4:$AO$55,3,FALSE))</f>
        <v>0</v>
      </c>
      <c r="P13" s="5">
        <f>(VLOOKUP('9.0.10'!X13,'9.0.10'!$AM$4:$AO$55,3,FALSE))</f>
        <v>0</v>
      </c>
      <c r="Q13" s="4">
        <f>(VLOOKUP('9.0.10'!Y13,'9.0.10'!$AM$4:$AO$55,3,FALSE))</f>
        <v>45</v>
      </c>
      <c r="R13" s="4">
        <f>(VLOOKUP('9.0.10'!Z13,'9.0.10'!$AM$4:$AO$55,3,FALSE))</f>
        <v>45</v>
      </c>
      <c r="S13" s="4">
        <f>(VLOOKUP('9.0.10'!AA13,'9.0.10'!$AM$4:$AO$55,3,FALSE))</f>
        <v>45</v>
      </c>
      <c r="T13" s="4">
        <f>(VLOOKUP('9.0.10'!AB13,'9.0.10'!$AM$4:$AO$55,3,FALSE))</f>
        <v>45</v>
      </c>
      <c r="U13" s="4">
        <f>(VLOOKUP('9.0.10'!AC13,'9.0.10'!$AM$4:$AO$55,3,FALSE))</f>
        <v>45</v>
      </c>
      <c r="V13" s="4">
        <f>(VLOOKUP('9.0.10'!AD13,'9.0.10'!$AM$4:$AO$55,3,FALSE))</f>
        <v>45</v>
      </c>
      <c r="W13" s="5">
        <f>(VLOOKUP('9.0.10'!AE13,'9.0.10'!$AM$4:$AO$55,3,FALSE))</f>
        <v>0</v>
      </c>
      <c r="X13" s="5">
        <f>(VLOOKUP('9.0.10'!AF13,'9.0.10'!$AM$4:$AO$55,3,FALSE))</f>
        <v>0</v>
      </c>
    </row>
    <row r="14" spans="1:24">
      <c r="A14" s="4">
        <f>(VLOOKUP('9.0.10'!I14,'9.0.10'!$AM$4:$AO$55,3,FALSE))</f>
        <v>0</v>
      </c>
      <c r="B14" s="4">
        <f>(VLOOKUP('9.0.10'!J14,'9.0.10'!$AM$4:$AO$55,3,FALSE))</f>
        <v>0</v>
      </c>
      <c r="C14" s="4">
        <f>(VLOOKUP('9.0.10'!K14,'9.0.10'!$AM$4:$AO$55,3,FALSE))</f>
        <v>0</v>
      </c>
      <c r="D14" s="4">
        <f>(VLOOKUP('9.0.10'!L14,'9.0.10'!$AM$4:$AO$55,3,FALSE))</f>
        <v>0</v>
      </c>
      <c r="E14" s="4">
        <f>(VLOOKUP('9.0.10'!M14,'9.0.10'!$AM$4:$AO$55,3,FALSE))</f>
        <v>0</v>
      </c>
      <c r="F14" s="4">
        <f>(VLOOKUP('9.0.10'!N14,'9.0.10'!$AM$4:$AO$55,3,FALSE))</f>
        <v>0</v>
      </c>
      <c r="G14" s="5">
        <f>(VLOOKUP('9.0.10'!O14,'9.0.10'!$AM$4:$AO$55,3,FALSE))</f>
        <v>0</v>
      </c>
      <c r="H14" s="5">
        <f>(VLOOKUP('9.0.10'!P14,'9.0.10'!$AM$4:$AO$55,3,FALSE))</f>
        <v>0</v>
      </c>
      <c r="I14" s="4">
        <f>(VLOOKUP('9.0.10'!Q14,'9.0.10'!$AM$4:$AO$55,3,FALSE))</f>
        <v>30</v>
      </c>
      <c r="J14" s="4">
        <f>(VLOOKUP('9.0.10'!R14,'9.0.10'!$AM$4:$AO$55,3,FALSE))</f>
        <v>45</v>
      </c>
      <c r="K14" s="4">
        <f>(VLOOKUP('9.0.10'!S14,'9.0.10'!$AM$4:$AO$55,3,FALSE))</f>
        <v>45</v>
      </c>
      <c r="L14" s="4">
        <f>(VLOOKUP('9.0.10'!T14,'9.0.10'!$AM$4:$AO$55,3,FALSE))</f>
        <v>45</v>
      </c>
      <c r="M14" s="4">
        <f>(VLOOKUP('9.0.10'!U14,'9.0.10'!$AM$4:$AO$55,3,FALSE))</f>
        <v>45</v>
      </c>
      <c r="N14" s="4">
        <f>(VLOOKUP('9.0.10'!V14,'9.0.10'!$AM$4:$AO$55,3,FALSE))</f>
        <v>0</v>
      </c>
      <c r="O14" s="5">
        <f>(VLOOKUP('9.0.10'!W14,'9.0.10'!$AM$4:$AO$55,3,FALSE))</f>
        <v>0</v>
      </c>
      <c r="P14" s="5">
        <f>(VLOOKUP('9.0.10'!X14,'9.0.10'!$AM$4:$AO$55,3,FALSE))</f>
        <v>0</v>
      </c>
      <c r="Q14" s="4">
        <f>(VLOOKUP('9.0.10'!Y14,'9.0.10'!$AM$4:$AO$55,3,FALSE))</f>
        <v>45</v>
      </c>
      <c r="R14" s="4">
        <f>(VLOOKUP('9.0.10'!Z14,'9.0.10'!$AM$4:$AO$55,3,FALSE))</f>
        <v>45</v>
      </c>
      <c r="S14" s="4">
        <f>(VLOOKUP('9.0.10'!AA14,'9.0.10'!$AM$4:$AO$55,3,FALSE))</f>
        <v>45</v>
      </c>
      <c r="T14" s="4">
        <f>(VLOOKUP('9.0.10'!AB14,'9.0.10'!$AM$4:$AO$55,3,FALSE))</f>
        <v>45</v>
      </c>
      <c r="U14" s="4">
        <f>(VLOOKUP('9.0.10'!AC14,'9.0.10'!$AM$4:$AO$55,3,FALSE))</f>
        <v>45</v>
      </c>
      <c r="V14" s="4">
        <f>(VLOOKUP('9.0.10'!AD14,'9.0.10'!$AM$4:$AO$55,3,FALSE))</f>
        <v>45</v>
      </c>
      <c r="W14" s="5">
        <f>(VLOOKUP('9.0.10'!AE14,'9.0.10'!$AM$4:$AO$55,3,FALSE))</f>
        <v>0</v>
      </c>
      <c r="X14" s="5">
        <f>(VLOOKUP('9.0.10'!AF14,'9.0.10'!$AM$4:$AO$55,3,FALSE))</f>
        <v>0</v>
      </c>
    </row>
    <row r="15" spans="1:24">
      <c r="A15" s="4">
        <f>(VLOOKUP('9.0.10'!I15,'9.0.10'!$AM$4:$AO$55,3,FALSE))</f>
        <v>0</v>
      </c>
      <c r="B15" s="4">
        <f>(VLOOKUP('9.0.10'!J15,'9.0.10'!$AM$4:$AO$55,3,FALSE))</f>
        <v>0</v>
      </c>
      <c r="C15" s="4">
        <f>(VLOOKUP('9.0.10'!K15,'9.0.10'!$AM$4:$AO$55,3,FALSE))</f>
        <v>0</v>
      </c>
      <c r="D15" s="4">
        <f>(VLOOKUP('9.0.10'!L15,'9.0.10'!$AM$4:$AO$55,3,FALSE))</f>
        <v>0</v>
      </c>
      <c r="E15" s="4">
        <f>(VLOOKUP('9.0.10'!M15,'9.0.10'!$AM$4:$AO$55,3,FALSE))</f>
        <v>0</v>
      </c>
      <c r="F15" s="4">
        <f>(VLOOKUP('9.0.10'!N15,'9.0.10'!$AM$4:$AO$55,3,FALSE))</f>
        <v>0</v>
      </c>
      <c r="G15" s="5">
        <f>(VLOOKUP('9.0.10'!O15,'9.0.10'!$AM$4:$AO$55,3,FALSE))</f>
        <v>0</v>
      </c>
      <c r="H15" s="5">
        <f>(VLOOKUP('9.0.10'!P15,'9.0.10'!$AM$4:$AO$55,3,FALSE))</f>
        <v>0</v>
      </c>
      <c r="I15" s="4">
        <f>(VLOOKUP('9.0.10'!Q15,'9.0.10'!$AM$4:$AO$55,3,FALSE))</f>
        <v>45</v>
      </c>
      <c r="J15" s="4">
        <f>(VLOOKUP('9.0.10'!R15,'9.0.10'!$AM$4:$AO$55,3,FALSE))</f>
        <v>45</v>
      </c>
      <c r="K15" s="4">
        <f>(VLOOKUP('9.0.10'!S15,'9.0.10'!$AM$4:$AO$55,3,FALSE))</f>
        <v>45</v>
      </c>
      <c r="L15" s="4">
        <f>(VLOOKUP('9.0.10'!T15,'9.0.10'!$AM$4:$AO$55,3,FALSE))</f>
        <v>45</v>
      </c>
      <c r="M15" s="4">
        <f>(VLOOKUP('9.0.10'!U15,'9.0.10'!$AM$4:$AO$55,3,FALSE))</f>
        <v>45</v>
      </c>
      <c r="N15" s="4">
        <f>(VLOOKUP('9.0.10'!V15,'9.0.10'!$AM$4:$AO$55,3,FALSE))</f>
        <v>45</v>
      </c>
      <c r="O15" s="5">
        <f>(VLOOKUP('9.0.10'!W15,'9.0.10'!$AM$4:$AO$55,3,FALSE))</f>
        <v>0</v>
      </c>
      <c r="P15" s="5">
        <f>(VLOOKUP('9.0.10'!X15,'9.0.10'!$AM$4:$AO$55,3,FALSE))</f>
        <v>0</v>
      </c>
      <c r="Q15" s="4">
        <f>(VLOOKUP('9.0.10'!Y15,'9.0.10'!$AM$4:$AO$55,3,FALSE))</f>
        <v>45</v>
      </c>
      <c r="R15" s="4">
        <f>(VLOOKUP('9.0.10'!Z15,'9.0.10'!$AM$4:$AO$55,3,FALSE))</f>
        <v>45</v>
      </c>
      <c r="S15" s="4">
        <f>(VLOOKUP('9.0.10'!AA15,'9.0.10'!$AM$4:$AO$55,3,FALSE))</f>
        <v>30</v>
      </c>
      <c r="T15" s="4">
        <f>(VLOOKUP('9.0.10'!AB15,'9.0.10'!$AM$4:$AO$55,3,FALSE))</f>
        <v>45</v>
      </c>
      <c r="U15" s="4">
        <f>(VLOOKUP('9.0.10'!AC15,'9.0.10'!$AM$4:$AO$55,3,FALSE))</f>
        <v>45</v>
      </c>
      <c r="V15" s="4">
        <f>(VLOOKUP('9.0.10'!AD15,'9.0.10'!$AM$4:$AO$55,3,FALSE))</f>
        <v>45</v>
      </c>
      <c r="W15" s="5">
        <f>(VLOOKUP('9.0.10'!AE15,'9.0.10'!$AM$4:$AO$55,3,FALSE))</f>
        <v>0</v>
      </c>
      <c r="X15" s="5">
        <f>(VLOOKUP('9.0.10'!AF15,'9.0.10'!$AM$4:$AO$55,3,FALSE))</f>
        <v>0</v>
      </c>
    </row>
    <row r="16" spans="1:24">
      <c r="A16" s="4">
        <f>(VLOOKUP('9.0.10'!I16,'9.0.10'!$AM$4:$AO$55,3,FALSE))</f>
        <v>0</v>
      </c>
      <c r="B16" s="4">
        <f>(VLOOKUP('9.0.10'!J16,'9.0.10'!$AM$4:$AO$55,3,FALSE))</f>
        <v>0</v>
      </c>
      <c r="C16" s="4">
        <f>(VLOOKUP('9.0.10'!K16,'9.0.10'!$AM$4:$AO$55,3,FALSE))</f>
        <v>0</v>
      </c>
      <c r="D16" s="4">
        <f>(VLOOKUP('9.0.10'!L16,'9.0.10'!$AM$4:$AO$55,3,FALSE))</f>
        <v>0</v>
      </c>
      <c r="E16" s="4">
        <f>(VLOOKUP('9.0.10'!M16,'9.0.10'!$AM$4:$AO$55,3,FALSE))</f>
        <v>0</v>
      </c>
      <c r="F16" s="4">
        <f>(VLOOKUP('9.0.10'!N16,'9.0.10'!$AM$4:$AO$55,3,FALSE))</f>
        <v>0</v>
      </c>
      <c r="G16" s="5">
        <f>(VLOOKUP('9.0.10'!O16,'9.0.10'!$AM$4:$AO$55,3,FALSE))</f>
        <v>0</v>
      </c>
      <c r="H16" s="5">
        <f>(VLOOKUP('9.0.10'!P16,'9.0.10'!$AM$4:$AO$55,3,FALSE))</f>
        <v>0</v>
      </c>
      <c r="I16" s="4">
        <f>(VLOOKUP('9.0.10'!Q16,'9.0.10'!$AM$4:$AO$55,3,FALSE))</f>
        <v>45</v>
      </c>
      <c r="J16" s="4">
        <f>(VLOOKUP('9.0.10'!R16,'9.0.10'!$AM$4:$AO$55,3,FALSE))</f>
        <v>45</v>
      </c>
      <c r="K16" s="4">
        <f>(VLOOKUP('9.0.10'!S16,'9.0.10'!$AM$4:$AO$55,3,FALSE))</f>
        <v>0</v>
      </c>
      <c r="L16" s="4">
        <f>(VLOOKUP('9.0.10'!T16,'9.0.10'!$AM$4:$AO$55,3,FALSE))</f>
        <v>45</v>
      </c>
      <c r="M16" s="4">
        <f>(VLOOKUP('9.0.10'!U16,'9.0.10'!$AM$4:$AO$55,3,FALSE))</f>
        <v>30</v>
      </c>
      <c r="N16" s="4">
        <f>(VLOOKUP('9.0.10'!V16,'9.0.10'!$AM$4:$AO$55,3,FALSE))</f>
        <v>45</v>
      </c>
      <c r="O16" s="5">
        <f>(VLOOKUP('9.0.10'!W16,'9.0.10'!$AM$4:$AO$55,3,FALSE))</f>
        <v>45</v>
      </c>
      <c r="P16" s="5">
        <f>(VLOOKUP('9.0.10'!X16,'9.0.10'!$AM$4:$AO$55,3,FALSE))</f>
        <v>45</v>
      </c>
      <c r="Q16" s="4">
        <f>(VLOOKUP('9.0.10'!Y16,'9.0.10'!$AM$4:$AO$55,3,FALSE))</f>
        <v>45</v>
      </c>
      <c r="R16" s="4">
        <f>(VLOOKUP('9.0.10'!Z16,'9.0.10'!$AM$4:$AO$55,3,FALSE))</f>
        <v>45</v>
      </c>
      <c r="S16" s="4">
        <f>(VLOOKUP('9.0.10'!AA16,'9.0.10'!$AM$4:$AO$55,3,FALSE))</f>
        <v>45</v>
      </c>
      <c r="T16" s="4">
        <f>(VLOOKUP('9.0.10'!AB16,'9.0.10'!$AM$4:$AO$55,3,FALSE))</f>
        <v>45</v>
      </c>
      <c r="U16" s="4">
        <f>(VLOOKUP('9.0.10'!AC16,'9.0.10'!$AM$4:$AO$55,3,FALSE))</f>
        <v>45</v>
      </c>
      <c r="V16" s="4">
        <f>(VLOOKUP('9.0.10'!AD16,'9.0.10'!$AM$4:$AO$55,3,FALSE))</f>
        <v>45</v>
      </c>
      <c r="W16" s="5">
        <f>(VLOOKUP('9.0.10'!AE16,'9.0.10'!$AM$4:$AO$55,3,FALSE))</f>
        <v>0</v>
      </c>
      <c r="X16" s="5">
        <f>(VLOOKUP('9.0.10'!AF16,'9.0.10'!$AM$4:$AO$55,3,FALSE))</f>
        <v>0</v>
      </c>
    </row>
    <row r="17" spans="1:24">
      <c r="A17" s="4">
        <f>(VLOOKUP('9.0.10'!I17,'9.0.10'!$AM$4:$AO$55,3,FALSE))</f>
        <v>0</v>
      </c>
      <c r="B17" s="4">
        <f>(VLOOKUP('9.0.10'!J17,'9.0.10'!$AM$4:$AO$55,3,FALSE))</f>
        <v>0</v>
      </c>
      <c r="C17" s="4">
        <f>(VLOOKUP('9.0.10'!K17,'9.0.10'!$AM$4:$AO$55,3,FALSE))</f>
        <v>0</v>
      </c>
      <c r="D17" s="4">
        <f>(VLOOKUP('9.0.10'!L17,'9.0.10'!$AM$4:$AO$55,3,FALSE))</f>
        <v>0</v>
      </c>
      <c r="E17" s="4">
        <f>(VLOOKUP('9.0.10'!M17,'9.0.10'!$AM$4:$AO$55,3,FALSE))</f>
        <v>0</v>
      </c>
      <c r="F17" s="4">
        <f>(VLOOKUP('9.0.10'!N17,'9.0.10'!$AM$4:$AO$55,3,FALSE))</f>
        <v>0</v>
      </c>
      <c r="G17" s="5">
        <f>(VLOOKUP('9.0.10'!O17,'9.0.10'!$AM$4:$AO$55,3,FALSE))</f>
        <v>0</v>
      </c>
      <c r="H17" s="5">
        <f>(VLOOKUP('9.0.10'!P17,'9.0.10'!$AM$4:$AO$55,3,FALSE))</f>
        <v>0</v>
      </c>
      <c r="I17" s="4">
        <f>(VLOOKUP('9.0.10'!Q17,'9.0.10'!$AM$4:$AO$55,3,FALSE))</f>
        <v>45</v>
      </c>
      <c r="J17" s="4">
        <f>(VLOOKUP('9.0.10'!R17,'9.0.10'!$AM$4:$AO$55,3,FALSE))</f>
        <v>45</v>
      </c>
      <c r="K17" s="4">
        <f>(VLOOKUP('9.0.10'!S17,'9.0.10'!$AM$4:$AO$55,3,FALSE))</f>
        <v>45</v>
      </c>
      <c r="L17" s="4">
        <f>(VLOOKUP('9.0.10'!T17,'9.0.10'!$AM$4:$AO$55,3,FALSE))</f>
        <v>45</v>
      </c>
      <c r="M17" s="4">
        <f>(VLOOKUP('9.0.10'!U17,'9.0.10'!$AM$4:$AO$55,3,FALSE))</f>
        <v>45</v>
      </c>
      <c r="N17" s="4">
        <f>(VLOOKUP('9.0.10'!V17,'9.0.10'!$AM$4:$AO$55,3,FALSE))</f>
        <v>30</v>
      </c>
      <c r="O17" s="5">
        <f>(VLOOKUP('9.0.10'!W17,'9.0.10'!$AM$4:$AO$55,3,FALSE))</f>
        <v>0</v>
      </c>
      <c r="P17" s="5">
        <f>(VLOOKUP('9.0.10'!X17,'9.0.10'!$AM$4:$AO$55,3,FALSE))</f>
        <v>0</v>
      </c>
      <c r="Q17" s="4">
        <f>(VLOOKUP('9.0.10'!Y17,'9.0.10'!$AM$4:$AO$55,3,FALSE))</f>
        <v>45</v>
      </c>
      <c r="R17" s="4">
        <f>(VLOOKUP('9.0.10'!Z17,'9.0.10'!$AM$4:$AO$55,3,FALSE))</f>
        <v>45</v>
      </c>
      <c r="S17" s="4">
        <f>(VLOOKUP('9.0.10'!AA17,'9.0.10'!$AM$4:$AO$55,3,FALSE))</f>
        <v>45</v>
      </c>
      <c r="T17" s="4">
        <f>(VLOOKUP('9.0.10'!AB17,'9.0.10'!$AM$4:$AO$55,3,FALSE))</f>
        <v>45</v>
      </c>
      <c r="U17" s="4">
        <f>(VLOOKUP('9.0.10'!AC17,'9.0.10'!$AM$4:$AO$55,3,FALSE))</f>
        <v>45</v>
      </c>
      <c r="V17" s="4">
        <f>(VLOOKUP('9.0.10'!AD17,'9.0.10'!$AM$4:$AO$55,3,FALSE))</f>
        <v>45</v>
      </c>
      <c r="W17" s="5">
        <f>(VLOOKUP('9.0.10'!AE17,'9.0.10'!$AM$4:$AO$55,3,FALSE))</f>
        <v>0</v>
      </c>
      <c r="X17" s="5">
        <f>(VLOOKUP('9.0.10'!AF17,'9.0.10'!$AM$4:$AO$55,3,FALSE))</f>
        <v>0</v>
      </c>
    </row>
    <row r="18" spans="1:24">
      <c r="A18" s="4">
        <f>(VLOOKUP('9.0.10'!I18,'9.0.10'!$AM$4:$AO$55,3,FALSE))</f>
        <v>0</v>
      </c>
      <c r="B18" s="4">
        <f>(VLOOKUP('9.0.10'!J18,'9.0.10'!$AM$4:$AO$55,3,FALSE))</f>
        <v>0</v>
      </c>
      <c r="C18" s="4">
        <f>(VLOOKUP('9.0.10'!K18,'9.0.10'!$AM$4:$AO$55,3,FALSE))</f>
        <v>0</v>
      </c>
      <c r="D18" s="4">
        <f>(VLOOKUP('9.0.10'!L18,'9.0.10'!$AM$4:$AO$55,3,FALSE))</f>
        <v>0</v>
      </c>
      <c r="E18" s="4">
        <f>(VLOOKUP('9.0.10'!M18,'9.0.10'!$AM$4:$AO$55,3,FALSE))</f>
        <v>0</v>
      </c>
      <c r="F18" s="4">
        <f>(VLOOKUP('9.0.10'!N18,'9.0.10'!$AM$4:$AO$55,3,FALSE))</f>
        <v>0</v>
      </c>
      <c r="G18" s="5">
        <f>(VLOOKUP('9.0.10'!O18,'9.0.10'!$AM$4:$AO$55,3,FALSE))</f>
        <v>0</v>
      </c>
      <c r="H18" s="5">
        <f>(VLOOKUP('9.0.10'!P18,'9.0.10'!$AM$4:$AO$55,3,FALSE))</f>
        <v>0</v>
      </c>
      <c r="I18" s="4">
        <f>(VLOOKUP('9.0.10'!Q18,'9.0.10'!$AM$4:$AO$55,3,FALSE))</f>
        <v>45</v>
      </c>
      <c r="J18" s="4">
        <f>(VLOOKUP('9.0.10'!R18,'9.0.10'!$AM$4:$AO$55,3,FALSE))</f>
        <v>45</v>
      </c>
      <c r="K18" s="4">
        <f>(VLOOKUP('9.0.10'!S18,'9.0.10'!$AM$4:$AO$55,3,FALSE))</f>
        <v>50</v>
      </c>
      <c r="L18" s="4">
        <f>(VLOOKUP('9.0.10'!T18,'9.0.10'!$AM$4:$AO$55,3,FALSE))</f>
        <v>50</v>
      </c>
      <c r="M18" s="4">
        <f>(VLOOKUP('9.0.10'!U18,'9.0.10'!$AM$4:$AO$55,3,FALSE))</f>
        <v>50</v>
      </c>
      <c r="N18" s="4">
        <f>(VLOOKUP('9.0.10'!V18,'9.0.10'!$AM$4:$AO$55,3,FALSE))</f>
        <v>50</v>
      </c>
      <c r="O18" s="5">
        <f>(VLOOKUP('9.0.10'!W18,'9.0.10'!$AM$4:$AO$55,3,FALSE))</f>
        <v>0</v>
      </c>
      <c r="P18" s="5">
        <f>(VLOOKUP('9.0.10'!X18,'9.0.10'!$AM$4:$AO$55,3,FALSE))</f>
        <v>0</v>
      </c>
      <c r="Q18" s="4">
        <f>(VLOOKUP('9.0.10'!Y18,'9.0.10'!$AM$4:$AO$55,3,FALSE))</f>
        <v>45</v>
      </c>
      <c r="R18" s="4">
        <f>(VLOOKUP('9.0.10'!Z18,'9.0.10'!$AM$4:$AO$55,3,FALSE))</f>
        <v>45</v>
      </c>
      <c r="S18" s="4">
        <f>(VLOOKUP('9.0.10'!AA18,'9.0.10'!$AM$4:$AO$55,3,FALSE))</f>
        <v>45</v>
      </c>
      <c r="T18" s="4">
        <f>(VLOOKUP('9.0.10'!AB18,'9.0.10'!$AM$4:$AO$55,3,FALSE))</f>
        <v>30</v>
      </c>
      <c r="U18" s="4">
        <f>(VLOOKUP('9.0.10'!AC18,'9.0.10'!$AM$4:$AO$55,3,FALSE))</f>
        <v>45</v>
      </c>
      <c r="V18" s="4">
        <f>(VLOOKUP('9.0.10'!AD18,'9.0.10'!$AM$4:$AO$55,3,FALSE))</f>
        <v>45</v>
      </c>
      <c r="W18" s="5">
        <f>(VLOOKUP('9.0.10'!AE18,'9.0.10'!$AM$4:$AO$55,3,FALSE))</f>
        <v>0</v>
      </c>
      <c r="X18" s="5">
        <f>(VLOOKUP('9.0.10'!AF18,'9.0.10'!$AM$4:$AO$55,3,FALSE))</f>
        <v>0</v>
      </c>
    </row>
    <row r="19" spans="1:24">
      <c r="A19" s="4">
        <f>(VLOOKUP('9.0.10'!I19,'9.0.10'!$AM$4:$AO$55,3,FALSE))</f>
        <v>0</v>
      </c>
      <c r="B19" s="4">
        <f>(VLOOKUP('9.0.10'!J19,'9.0.10'!$AM$4:$AO$55,3,FALSE))</f>
        <v>0</v>
      </c>
      <c r="C19" s="4">
        <f>(VLOOKUP('9.0.10'!K19,'9.0.10'!$AM$4:$AO$55,3,FALSE))</f>
        <v>0</v>
      </c>
      <c r="D19" s="4">
        <f>(VLOOKUP('9.0.10'!L19,'9.0.10'!$AM$4:$AO$55,3,FALSE))</f>
        <v>0</v>
      </c>
      <c r="E19" s="4">
        <f>(VLOOKUP('9.0.10'!M19,'9.0.10'!$AM$4:$AO$55,3,FALSE))</f>
        <v>0</v>
      </c>
      <c r="F19" s="4">
        <f>(VLOOKUP('9.0.10'!N19,'9.0.10'!$AM$4:$AO$55,3,FALSE))</f>
        <v>0</v>
      </c>
      <c r="G19" s="5">
        <f>(VLOOKUP('9.0.10'!O19,'9.0.10'!$AM$4:$AO$55,3,FALSE))</f>
        <v>0</v>
      </c>
      <c r="H19" s="5">
        <f>(VLOOKUP('9.0.10'!P19,'9.0.10'!$AM$4:$AO$55,3,FALSE))</f>
        <v>0</v>
      </c>
      <c r="I19" s="4">
        <f>(VLOOKUP('9.0.10'!Q19,'9.0.10'!$AM$4:$AO$55,3,FALSE))</f>
        <v>50</v>
      </c>
      <c r="J19" s="4">
        <f>(VLOOKUP('9.0.10'!R19,'9.0.10'!$AM$4:$AO$55,3,FALSE))</f>
        <v>50</v>
      </c>
      <c r="K19" s="4">
        <f>(VLOOKUP('9.0.10'!S19,'9.0.10'!$AM$4:$AO$55,3,FALSE))</f>
        <v>50</v>
      </c>
      <c r="L19" s="4">
        <f>(VLOOKUP('9.0.10'!T19,'9.0.10'!$AM$4:$AO$55,3,FALSE))</f>
        <v>50</v>
      </c>
      <c r="M19" s="4">
        <f>(VLOOKUP('9.0.10'!U19,'9.0.10'!$AM$4:$AO$55,3,FALSE))</f>
        <v>50</v>
      </c>
      <c r="N19" s="4">
        <f>(VLOOKUP('9.0.10'!V19,'9.0.10'!$AM$4:$AO$55,3,FALSE))</f>
        <v>50</v>
      </c>
      <c r="O19" s="5">
        <f>(VLOOKUP('9.0.10'!W19,'9.0.10'!$AM$4:$AO$55,3,FALSE))</f>
        <v>0</v>
      </c>
      <c r="P19" s="5">
        <f>(VLOOKUP('9.0.10'!X19,'9.0.10'!$AM$4:$AO$55,3,FALSE))</f>
        <v>0</v>
      </c>
      <c r="Q19" s="4">
        <f>(VLOOKUP('9.0.10'!Y19,'9.0.10'!$AM$4:$AO$55,3,FALSE))</f>
        <v>45</v>
      </c>
      <c r="R19" s="4">
        <f>(VLOOKUP('9.0.10'!Z19,'9.0.10'!$AM$4:$AO$55,3,FALSE))</f>
        <v>45</v>
      </c>
      <c r="S19" s="4">
        <f>(VLOOKUP('9.0.10'!AA19,'9.0.10'!$AM$4:$AO$55,3,FALSE))</f>
        <v>45</v>
      </c>
      <c r="T19" s="4">
        <f>(VLOOKUP('9.0.10'!AB19,'9.0.10'!$AM$4:$AO$55,3,FALSE))</f>
        <v>45</v>
      </c>
      <c r="U19" s="4">
        <f>(VLOOKUP('9.0.10'!AC19,'9.0.10'!$AM$4:$AO$55,3,FALSE))</f>
        <v>45</v>
      </c>
      <c r="V19" s="4">
        <f>(VLOOKUP('9.0.10'!AD19,'9.0.10'!$AM$4:$AO$55,3,FALSE))</f>
        <v>45</v>
      </c>
      <c r="W19" s="5">
        <f>(VLOOKUP('9.0.10'!AE19,'9.0.10'!$AM$4:$AO$55,3,FALSE))</f>
        <v>0</v>
      </c>
      <c r="X19" s="5">
        <f>(VLOOKUP('9.0.10'!AF19,'9.0.10'!$AM$4:$AO$55,3,FALSE))</f>
        <v>0</v>
      </c>
    </row>
    <row r="20" spans="1:24">
      <c r="A20" s="4">
        <f>(VLOOKUP('9.0.10'!I20,'9.0.10'!$AM$4:$AO$55,3,FALSE))</f>
        <v>0</v>
      </c>
      <c r="B20" s="4">
        <f>(VLOOKUP('9.0.10'!J20,'9.0.10'!$AM$4:$AO$55,3,FALSE))</f>
        <v>0</v>
      </c>
      <c r="C20" s="4">
        <f>(VLOOKUP('9.0.10'!K20,'9.0.10'!$AM$4:$AO$55,3,FALSE))</f>
        <v>0</v>
      </c>
      <c r="D20" s="4">
        <f>(VLOOKUP('9.0.10'!L20,'9.0.10'!$AM$4:$AO$55,3,FALSE))</f>
        <v>0</v>
      </c>
      <c r="E20" s="4">
        <f>(VLOOKUP('9.0.10'!M20,'9.0.10'!$AM$4:$AO$55,3,FALSE))</f>
        <v>0</v>
      </c>
      <c r="F20" s="4">
        <f>(VLOOKUP('9.0.10'!N20,'9.0.10'!$AM$4:$AO$55,3,FALSE))</f>
        <v>0</v>
      </c>
      <c r="G20" s="5">
        <f>(VLOOKUP('9.0.10'!O20,'9.0.10'!$AM$4:$AO$55,3,FALSE))</f>
        <v>0</v>
      </c>
      <c r="H20" s="5">
        <f>(VLOOKUP('9.0.10'!P20,'9.0.10'!$AM$4:$AO$55,3,FALSE))</f>
        <v>0</v>
      </c>
      <c r="I20" s="4">
        <f>(VLOOKUP('9.0.10'!Q20,'9.0.10'!$AM$4:$AO$55,3,FALSE))</f>
        <v>50</v>
      </c>
      <c r="J20" s="4">
        <f>(VLOOKUP('9.0.10'!R20,'9.0.10'!$AM$4:$AO$55,3,FALSE))</f>
        <v>50</v>
      </c>
      <c r="K20" s="4">
        <f>(VLOOKUP('9.0.10'!S20,'9.0.10'!$AM$4:$AO$55,3,FALSE))</f>
        <v>50</v>
      </c>
      <c r="L20" s="4">
        <f>(VLOOKUP('9.0.10'!T20,'9.0.10'!$AM$4:$AO$55,3,FALSE))</f>
        <v>50</v>
      </c>
      <c r="M20" s="4">
        <f>(VLOOKUP('9.0.10'!U20,'9.0.10'!$AM$4:$AO$55,3,FALSE))</f>
        <v>50</v>
      </c>
      <c r="N20" s="4">
        <f>(VLOOKUP('9.0.10'!V20,'9.0.10'!$AM$4:$AO$55,3,FALSE))</f>
        <v>50</v>
      </c>
      <c r="O20" s="5">
        <f>(VLOOKUP('9.0.10'!W20,'9.0.10'!$AM$4:$AO$55,3,FALSE))</f>
        <v>0</v>
      </c>
      <c r="P20" s="5">
        <f>(VLOOKUP('9.0.10'!X20,'9.0.10'!$AM$4:$AO$55,3,FALSE))</f>
        <v>0</v>
      </c>
      <c r="Q20" s="4">
        <f>(VLOOKUP('9.0.10'!Y20,'9.0.10'!$AM$4:$AO$55,3,FALSE))</f>
        <v>45</v>
      </c>
      <c r="R20" s="4">
        <f>(VLOOKUP('9.0.10'!Z20,'9.0.10'!$AM$4:$AO$55,3,FALSE))</f>
        <v>45</v>
      </c>
      <c r="S20" s="4">
        <f>(VLOOKUP('9.0.10'!AA20,'9.0.10'!$AM$4:$AO$55,3,FALSE))</f>
        <v>45</v>
      </c>
      <c r="T20" s="4">
        <f>(VLOOKUP('9.0.10'!AB20,'9.0.10'!$AM$4:$AO$55,3,FALSE))</f>
        <v>30</v>
      </c>
      <c r="U20" s="4">
        <f>(VLOOKUP('9.0.10'!AC20,'9.0.10'!$AM$4:$AO$55,3,FALSE))</f>
        <v>45</v>
      </c>
      <c r="V20" s="4">
        <f>(VLOOKUP('9.0.10'!AD20,'9.0.10'!$AM$4:$AO$55,3,FALSE))</f>
        <v>45</v>
      </c>
      <c r="W20" s="5">
        <f>(VLOOKUP('9.0.10'!AE20,'9.0.10'!$AM$4:$AO$55,3,FALSE))</f>
        <v>0</v>
      </c>
      <c r="X20" s="5">
        <f>(VLOOKUP('9.0.10'!AF20,'9.0.10'!$AM$4:$AO$55,3,FALSE))</f>
        <v>0</v>
      </c>
    </row>
    <row r="21" spans="1:24">
      <c r="A21" s="4">
        <f>(VLOOKUP('9.0.10'!I21,'9.0.10'!$AM$4:$AO$55,3,FALSE))</f>
        <v>0</v>
      </c>
      <c r="B21" s="4">
        <f>(VLOOKUP('9.0.10'!J21,'9.0.10'!$AM$4:$AO$55,3,FALSE))</f>
        <v>0</v>
      </c>
      <c r="C21" s="4">
        <f>(VLOOKUP('9.0.10'!K21,'9.0.10'!$AM$4:$AO$55,3,FALSE))</f>
        <v>0</v>
      </c>
      <c r="D21" s="4">
        <f>(VLOOKUP('9.0.10'!L21,'9.0.10'!$AM$4:$AO$55,3,FALSE))</f>
        <v>0</v>
      </c>
      <c r="E21" s="4">
        <f>(VLOOKUP('9.0.10'!M21,'9.0.10'!$AM$4:$AO$55,3,FALSE))</f>
        <v>0</v>
      </c>
      <c r="F21" s="4">
        <f>(VLOOKUP('9.0.10'!N21,'9.0.10'!$AM$4:$AO$55,3,FALSE))</f>
        <v>0</v>
      </c>
      <c r="G21" s="5">
        <f>(VLOOKUP('9.0.10'!O21,'9.0.10'!$AM$4:$AO$55,3,FALSE))</f>
        <v>0</v>
      </c>
      <c r="H21" s="5">
        <f>(VLOOKUP('9.0.10'!P21,'9.0.10'!$AM$4:$AO$55,3,FALSE))</f>
        <v>0</v>
      </c>
      <c r="I21" s="4">
        <f>(VLOOKUP('9.0.10'!Q21,'9.0.10'!$AM$4:$AO$55,3,FALSE))</f>
        <v>50</v>
      </c>
      <c r="J21" s="4">
        <f>(VLOOKUP('9.0.10'!R21,'9.0.10'!$AM$4:$AO$55,3,FALSE))</f>
        <v>50</v>
      </c>
      <c r="K21" s="4">
        <f>(VLOOKUP('9.0.10'!S21,'9.0.10'!$AM$4:$AO$55,3,FALSE))</f>
        <v>50</v>
      </c>
      <c r="L21" s="4">
        <f>(VLOOKUP('9.0.10'!T21,'9.0.10'!$AM$4:$AO$55,3,FALSE))</f>
        <v>50</v>
      </c>
      <c r="M21" s="4">
        <f>(VLOOKUP('9.0.10'!U21,'9.0.10'!$AM$4:$AO$55,3,FALSE))</f>
        <v>50</v>
      </c>
      <c r="N21" s="4">
        <f>(VLOOKUP('9.0.10'!V21,'9.0.10'!$AM$4:$AO$55,3,FALSE))</f>
        <v>0</v>
      </c>
      <c r="O21" s="5">
        <f>(VLOOKUP('9.0.10'!W21,'9.0.10'!$AM$4:$AO$55,3,FALSE))</f>
        <v>50</v>
      </c>
      <c r="P21" s="5">
        <f>(VLOOKUP('9.0.10'!X21,'9.0.10'!$AM$4:$AO$55,3,FALSE))</f>
        <v>30</v>
      </c>
      <c r="Q21" s="4">
        <f>(VLOOKUP('9.0.10'!Y21,'9.0.10'!$AM$4:$AO$55,3,FALSE))</f>
        <v>45</v>
      </c>
      <c r="R21" s="4">
        <f>(VLOOKUP('9.0.10'!Z21,'9.0.10'!$AM$4:$AO$55,3,FALSE))</f>
        <v>45</v>
      </c>
      <c r="S21" s="4">
        <f>(VLOOKUP('9.0.10'!AA21,'9.0.10'!$AM$4:$AO$55,3,FALSE))</f>
        <v>45</v>
      </c>
      <c r="T21" s="4">
        <f>(VLOOKUP('9.0.10'!AB21,'9.0.10'!$AM$4:$AO$55,3,FALSE))</f>
        <v>45</v>
      </c>
      <c r="U21" s="4">
        <f>(VLOOKUP('9.0.10'!AC21,'9.0.10'!$AM$4:$AO$55,3,FALSE))</f>
        <v>45</v>
      </c>
      <c r="V21" s="4">
        <f>(VLOOKUP('9.0.10'!AD21,'9.0.10'!$AM$4:$AO$55,3,FALSE))</f>
        <v>45</v>
      </c>
      <c r="W21" s="5">
        <f>(VLOOKUP('9.0.10'!AE21,'9.0.10'!$AM$4:$AO$55,3,FALSE))</f>
        <v>0</v>
      </c>
      <c r="X21" s="5">
        <f>(VLOOKUP('9.0.10'!AF21,'9.0.10'!$AM$4:$AO$55,3,FALSE))</f>
        <v>0</v>
      </c>
    </row>
    <row r="22" spans="1:24">
      <c r="A22" s="4">
        <f>(VLOOKUP('9.0.10'!I22,'9.0.10'!$AM$4:$AO$55,3,FALSE))</f>
        <v>0</v>
      </c>
      <c r="B22" s="4">
        <f>(VLOOKUP('9.0.10'!J22,'9.0.10'!$AM$4:$AO$55,3,FALSE))</f>
        <v>0</v>
      </c>
      <c r="C22" s="4">
        <f>(VLOOKUP('9.0.10'!K22,'9.0.10'!$AM$4:$AO$55,3,FALSE))</f>
        <v>0</v>
      </c>
      <c r="D22" s="4">
        <f>(VLOOKUP('9.0.10'!L22,'9.0.10'!$AM$4:$AO$55,3,FALSE))</f>
        <v>0</v>
      </c>
      <c r="E22" s="4">
        <f>(VLOOKUP('9.0.10'!M22,'9.0.10'!$AM$4:$AO$55,3,FALSE))</f>
        <v>0</v>
      </c>
      <c r="F22" s="4">
        <f>(VLOOKUP('9.0.10'!N22,'9.0.10'!$AM$4:$AO$55,3,FALSE))</f>
        <v>0</v>
      </c>
      <c r="G22" s="5">
        <f>(VLOOKUP('9.0.10'!O22,'9.0.10'!$AM$4:$AO$55,3,FALSE))</f>
        <v>0</v>
      </c>
      <c r="H22" s="5">
        <f>(VLOOKUP('9.0.10'!P22,'9.0.10'!$AM$4:$AO$55,3,FALSE))</f>
        <v>0</v>
      </c>
      <c r="I22" s="4">
        <f>(VLOOKUP('9.0.10'!Q22,'9.0.10'!$AM$4:$AO$55,3,FALSE))</f>
        <v>50</v>
      </c>
      <c r="J22" s="4">
        <f>(VLOOKUP('9.0.10'!R22,'9.0.10'!$AM$4:$AO$55,3,FALSE))</f>
        <v>50</v>
      </c>
      <c r="K22" s="4">
        <f>(VLOOKUP('9.0.10'!S22,'9.0.10'!$AM$4:$AO$55,3,FALSE))</f>
        <v>50</v>
      </c>
      <c r="L22" s="4">
        <f>(VLOOKUP('9.0.10'!T22,'9.0.10'!$AM$4:$AO$55,3,FALSE))</f>
        <v>50</v>
      </c>
      <c r="M22" s="4">
        <f>(VLOOKUP('9.0.10'!U22,'9.0.10'!$AM$4:$AO$55,3,FALSE))</f>
        <v>50</v>
      </c>
      <c r="N22" s="4">
        <f>(VLOOKUP('9.0.10'!V22,'9.0.10'!$AM$4:$AO$55,3,FALSE))</f>
        <v>50</v>
      </c>
      <c r="O22" s="5">
        <f>(VLOOKUP('9.0.10'!W22,'9.0.10'!$AM$4:$AO$55,3,FALSE))</f>
        <v>0</v>
      </c>
      <c r="P22" s="5">
        <f>(VLOOKUP('9.0.10'!X22,'9.0.10'!$AM$4:$AO$55,3,FALSE))</f>
        <v>0</v>
      </c>
      <c r="Q22" s="4">
        <f>(VLOOKUP('9.0.10'!Y22,'9.0.10'!$AM$4:$AO$55,3,FALSE))</f>
        <v>45</v>
      </c>
      <c r="R22" s="4">
        <f>(VLOOKUP('9.0.10'!Z22,'9.0.10'!$AM$4:$AO$55,3,FALSE))</f>
        <v>45</v>
      </c>
      <c r="S22" s="4">
        <f>(VLOOKUP('9.0.10'!AA22,'9.0.10'!$AM$4:$AO$55,3,FALSE))</f>
        <v>45</v>
      </c>
      <c r="T22" s="4">
        <f>(VLOOKUP('9.0.10'!AB22,'9.0.10'!$AM$4:$AO$55,3,FALSE))</f>
        <v>45</v>
      </c>
      <c r="U22" s="4">
        <f>(VLOOKUP('9.0.10'!AC22,'9.0.10'!$AM$4:$AO$55,3,FALSE))</f>
        <v>45</v>
      </c>
      <c r="V22" s="4">
        <f>(VLOOKUP('9.0.10'!AD22,'9.0.10'!$AM$4:$AO$55,3,FALSE))</f>
        <v>45</v>
      </c>
      <c r="W22" s="5">
        <f>(VLOOKUP('9.0.10'!AE22,'9.0.10'!$AM$4:$AO$55,3,FALSE))</f>
        <v>0</v>
      </c>
      <c r="X22" s="5">
        <f>(VLOOKUP('9.0.10'!AF22,'9.0.10'!$AM$4:$AO$55,3,FALSE))</f>
        <v>0</v>
      </c>
    </row>
    <row r="23" spans="1:24">
      <c r="A23" s="4">
        <f>(VLOOKUP('9.0.10'!I23,'9.0.10'!$AM$4:$AO$55,3,FALSE))</f>
        <v>0</v>
      </c>
      <c r="B23" s="4">
        <f>(VLOOKUP('9.0.10'!J23,'9.0.10'!$AM$4:$AO$55,3,FALSE))</f>
        <v>0</v>
      </c>
      <c r="C23" s="4">
        <f>(VLOOKUP('9.0.10'!K23,'9.0.10'!$AM$4:$AO$55,3,FALSE))</f>
        <v>0</v>
      </c>
      <c r="D23" s="4">
        <f>(VLOOKUP('9.0.10'!L23,'9.0.10'!$AM$4:$AO$55,3,FALSE))</f>
        <v>0</v>
      </c>
      <c r="E23" s="4">
        <f>(VLOOKUP('9.0.10'!M23,'9.0.10'!$AM$4:$AO$55,3,FALSE))</f>
        <v>0</v>
      </c>
      <c r="F23" s="4">
        <f>(VLOOKUP('9.0.10'!N23,'9.0.10'!$AM$4:$AO$55,3,FALSE))</f>
        <v>0</v>
      </c>
      <c r="G23" s="5">
        <f>(VLOOKUP('9.0.10'!O23,'9.0.10'!$AM$4:$AO$55,3,FALSE))</f>
        <v>0</v>
      </c>
      <c r="H23" s="5">
        <f>(VLOOKUP('9.0.10'!P23,'9.0.10'!$AM$4:$AO$55,3,FALSE))</f>
        <v>0</v>
      </c>
      <c r="I23" s="4">
        <f>(VLOOKUP('9.0.10'!Q23,'9.0.10'!$AM$4:$AO$55,3,FALSE))</f>
        <v>50</v>
      </c>
      <c r="J23" s="4">
        <f>(VLOOKUP('9.0.10'!R23,'9.0.10'!$AM$4:$AO$55,3,FALSE))</f>
        <v>50</v>
      </c>
      <c r="K23" s="4">
        <f>(VLOOKUP('9.0.10'!S23,'9.0.10'!$AM$4:$AO$55,3,FALSE))</f>
        <v>50</v>
      </c>
      <c r="L23" s="4">
        <f>(VLOOKUP('9.0.10'!T23,'9.0.10'!$AM$4:$AO$55,3,FALSE))</f>
        <v>45</v>
      </c>
      <c r="M23" s="4">
        <f>(VLOOKUP('9.0.10'!U23,'9.0.10'!$AM$4:$AO$55,3,FALSE))</f>
        <v>45</v>
      </c>
      <c r="N23" s="4">
        <f>(VLOOKUP('9.0.10'!V23,'9.0.10'!$AM$4:$AO$55,3,FALSE))</f>
        <v>45</v>
      </c>
      <c r="O23" s="5">
        <f>(VLOOKUP('9.0.10'!W23,'9.0.10'!$AM$4:$AO$55,3,FALSE))</f>
        <v>0</v>
      </c>
      <c r="P23" s="5">
        <f>(VLOOKUP('9.0.10'!X23,'9.0.10'!$AM$4:$AO$55,3,FALSE))</f>
        <v>0</v>
      </c>
      <c r="Q23" s="4">
        <f>(VLOOKUP('9.0.10'!Y23,'9.0.10'!$AM$4:$AO$55,3,FALSE))</f>
        <v>45</v>
      </c>
      <c r="R23" s="4">
        <f>(VLOOKUP('9.0.10'!Z23,'9.0.10'!$AM$4:$AO$55,3,FALSE))</f>
        <v>45</v>
      </c>
      <c r="S23" s="4">
        <f>(VLOOKUP('9.0.10'!AA23,'9.0.10'!$AM$4:$AO$55,3,FALSE))</f>
        <v>45</v>
      </c>
      <c r="T23" s="4">
        <f>(VLOOKUP('9.0.10'!AB23,'9.0.10'!$AM$4:$AO$55,3,FALSE))</f>
        <v>45</v>
      </c>
      <c r="U23" s="4">
        <f>(VLOOKUP('9.0.10'!AC23,'9.0.10'!$AM$4:$AO$55,3,FALSE))</f>
        <v>45</v>
      </c>
      <c r="V23" s="4">
        <f>(VLOOKUP('9.0.10'!AD23,'9.0.10'!$AM$4:$AO$55,3,FALSE))</f>
        <v>45</v>
      </c>
      <c r="W23" s="5">
        <f>(VLOOKUP('9.0.10'!AE23,'9.0.10'!$AM$4:$AO$55,3,FALSE))</f>
        <v>0</v>
      </c>
      <c r="X23" s="5">
        <f>(VLOOKUP('9.0.10'!AF23,'9.0.10'!$AM$4:$AO$55,3,FALSE))</f>
        <v>0</v>
      </c>
    </row>
    <row r="24" spans="1:24">
      <c r="A24" s="4">
        <f>(VLOOKUP('9.0.10'!I24,'9.0.10'!$AM$4:$AO$55,3,FALSE))</f>
        <v>0</v>
      </c>
      <c r="B24" s="4">
        <f>(VLOOKUP('9.0.10'!J24,'9.0.10'!$AM$4:$AO$55,3,FALSE))</f>
        <v>0</v>
      </c>
      <c r="C24" s="4">
        <f>(VLOOKUP('9.0.10'!K24,'9.0.10'!$AM$4:$AO$55,3,FALSE))</f>
        <v>0</v>
      </c>
      <c r="D24" s="4">
        <f>(VLOOKUP('9.0.10'!L24,'9.0.10'!$AM$4:$AO$55,3,FALSE))</f>
        <v>0</v>
      </c>
      <c r="E24" s="4">
        <f>(VLOOKUP('9.0.10'!M24,'9.0.10'!$AM$4:$AO$55,3,FALSE))</f>
        <v>0</v>
      </c>
      <c r="F24" s="4">
        <f>(VLOOKUP('9.0.10'!N24,'9.0.10'!$AM$4:$AO$55,3,FALSE))</f>
        <v>0</v>
      </c>
      <c r="G24" s="5">
        <f>(VLOOKUP('9.0.10'!O24,'9.0.10'!$AM$4:$AO$55,3,FALSE))</f>
        <v>0</v>
      </c>
      <c r="H24" s="5">
        <f>(VLOOKUP('9.0.10'!P24,'9.0.10'!$AM$4:$AO$55,3,FALSE))</f>
        <v>0</v>
      </c>
      <c r="I24" s="4">
        <f>(VLOOKUP('9.0.10'!Q24,'9.0.10'!$AM$4:$AO$55,3,FALSE))</f>
        <v>45</v>
      </c>
      <c r="J24" s="4">
        <f>(VLOOKUP('9.0.10'!R24,'9.0.10'!$AM$4:$AO$55,3,FALSE))</f>
        <v>45</v>
      </c>
      <c r="K24" s="4">
        <f>(VLOOKUP('9.0.10'!S24,'9.0.10'!$AM$4:$AO$55,3,FALSE))</f>
        <v>30</v>
      </c>
      <c r="L24" s="4">
        <f>(VLOOKUP('9.0.10'!T24,'9.0.10'!$AM$4:$AO$55,3,FALSE))</f>
        <v>45</v>
      </c>
      <c r="M24" s="4">
        <f>(VLOOKUP('9.0.10'!U24,'9.0.10'!$AM$4:$AO$55,3,FALSE))</f>
        <v>45</v>
      </c>
      <c r="N24" s="4">
        <f>(VLOOKUP('9.0.10'!V24,'9.0.10'!$AM$4:$AO$55,3,FALSE))</f>
        <v>45</v>
      </c>
      <c r="O24" s="5">
        <f>(VLOOKUP('9.0.10'!W24,'9.0.10'!$AM$4:$AO$55,3,FALSE))</f>
        <v>0</v>
      </c>
      <c r="P24" s="5">
        <f>(VLOOKUP('9.0.10'!X24,'9.0.10'!$AM$4:$AO$55,3,FALSE))</f>
        <v>0</v>
      </c>
      <c r="Q24" s="4">
        <f>(VLOOKUP('9.0.10'!Y24,'9.0.10'!$AM$4:$AO$55,3,FALSE))</f>
        <v>45</v>
      </c>
      <c r="R24" s="4">
        <f>(VLOOKUP('9.0.10'!Z24,'9.0.10'!$AM$4:$AO$55,3,FALSE))</f>
        <v>45</v>
      </c>
      <c r="S24" s="4">
        <f>(VLOOKUP('9.0.10'!AA24,'9.0.10'!$AM$4:$AO$55,3,FALSE))</f>
        <v>45</v>
      </c>
      <c r="T24" s="4">
        <f>(VLOOKUP('9.0.10'!AB24,'9.0.10'!$AM$4:$AO$55,3,FALSE))</f>
        <v>45</v>
      </c>
      <c r="U24" s="4">
        <f>(VLOOKUP('9.0.10'!AC24,'9.0.10'!$AM$4:$AO$55,3,FALSE))</f>
        <v>45</v>
      </c>
      <c r="V24" s="4">
        <f>(VLOOKUP('9.0.10'!AD24,'9.0.10'!$AM$4:$AO$55,3,FALSE))</f>
        <v>45</v>
      </c>
      <c r="W24" s="5">
        <f>(VLOOKUP('9.0.10'!AE24,'9.0.10'!$AM$4:$AO$55,3,FALSE))</f>
        <v>0</v>
      </c>
      <c r="X24" s="5">
        <f>(VLOOKUP('9.0.10'!AF24,'9.0.10'!$AM$4:$AO$55,3,FALSE))</f>
        <v>0</v>
      </c>
    </row>
    <row r="25" spans="1:24">
      <c r="A25" s="4">
        <f>(VLOOKUP('9.0.10'!I25,'9.0.10'!$AM$4:$AO$55,3,FALSE))</f>
        <v>0</v>
      </c>
      <c r="B25" s="4">
        <f>(VLOOKUP('9.0.10'!J25,'9.0.10'!$AM$4:$AO$55,3,FALSE))</f>
        <v>0</v>
      </c>
      <c r="C25" s="4">
        <f>(VLOOKUP('9.0.10'!K25,'9.0.10'!$AM$4:$AO$55,3,FALSE))</f>
        <v>0</v>
      </c>
      <c r="D25" s="4">
        <f>(VLOOKUP('9.0.10'!L25,'9.0.10'!$AM$4:$AO$55,3,FALSE))</f>
        <v>0</v>
      </c>
      <c r="E25" s="4">
        <f>(VLOOKUP('9.0.10'!M25,'9.0.10'!$AM$4:$AO$55,3,FALSE))</f>
        <v>0</v>
      </c>
      <c r="F25" s="4">
        <f>(VLOOKUP('9.0.10'!N25,'9.0.10'!$AM$4:$AO$55,3,FALSE))</f>
        <v>0</v>
      </c>
      <c r="G25" s="5">
        <f>(VLOOKUP('9.0.10'!O25,'9.0.10'!$AM$4:$AO$55,3,FALSE))</f>
        <v>0</v>
      </c>
      <c r="H25" s="5">
        <f>(VLOOKUP('9.0.10'!P25,'9.0.10'!$AM$4:$AO$55,3,FALSE))</f>
        <v>0</v>
      </c>
      <c r="I25" s="4">
        <f>(VLOOKUP('9.0.10'!Q25,'9.0.10'!$AM$4:$AO$55,3,FALSE))</f>
        <v>45</v>
      </c>
      <c r="J25" s="4">
        <f>(VLOOKUP('9.0.10'!R25,'9.0.10'!$AM$4:$AO$55,3,FALSE))</f>
        <v>45</v>
      </c>
      <c r="K25" s="4">
        <f>(VLOOKUP('9.0.10'!S25,'9.0.10'!$AM$4:$AO$55,3,FALSE))</f>
        <v>45</v>
      </c>
      <c r="L25" s="4">
        <f>(VLOOKUP('9.0.10'!T25,'9.0.10'!$AM$4:$AO$55,3,FALSE))</f>
        <v>0</v>
      </c>
      <c r="M25" s="4">
        <f>(VLOOKUP('9.0.10'!U25,'9.0.10'!$AM$4:$AO$55,3,FALSE))</f>
        <v>50</v>
      </c>
      <c r="N25" s="4">
        <f>(VLOOKUP('9.0.10'!V25,'9.0.10'!$AM$4:$AO$55,3,FALSE))</f>
        <v>50</v>
      </c>
      <c r="O25" s="5">
        <f>(VLOOKUP('9.0.10'!W25,'9.0.10'!$AM$4:$AO$55,3,FALSE))</f>
        <v>50</v>
      </c>
      <c r="P25" s="5">
        <f>(VLOOKUP('9.0.10'!X25,'9.0.10'!$AM$4:$AO$55,3,FALSE))</f>
        <v>50</v>
      </c>
      <c r="Q25" s="4">
        <f>(VLOOKUP('9.0.10'!Y25,'9.0.10'!$AM$4:$AO$55,3,FALSE))</f>
        <v>30</v>
      </c>
      <c r="R25" s="4">
        <f>(VLOOKUP('9.0.10'!Z25,'9.0.10'!$AM$4:$AO$55,3,FALSE))</f>
        <v>45</v>
      </c>
      <c r="S25" s="4">
        <f>(VLOOKUP('9.0.10'!AA25,'9.0.10'!$AM$4:$AO$55,3,FALSE))</f>
        <v>45</v>
      </c>
      <c r="T25" s="4">
        <f>(VLOOKUP('9.0.10'!AB25,'9.0.10'!$AM$4:$AO$55,3,FALSE))</f>
        <v>45</v>
      </c>
      <c r="U25" s="4">
        <f>(VLOOKUP('9.0.10'!AC25,'9.0.10'!$AM$4:$AO$55,3,FALSE))</f>
        <v>40</v>
      </c>
      <c r="V25" s="4">
        <f>(VLOOKUP('9.0.10'!AD25,'9.0.10'!$AM$4:$AO$55,3,FALSE))</f>
        <v>40</v>
      </c>
      <c r="W25" s="5">
        <f>(VLOOKUP('9.0.10'!AE25,'9.0.10'!$AM$4:$AO$55,3,FALSE))</f>
        <v>0</v>
      </c>
      <c r="X25" s="5">
        <f>(VLOOKUP('9.0.10'!AF25,'9.0.10'!$AM$4:$AO$55,3,FALSE))</f>
        <v>0</v>
      </c>
    </row>
    <row r="26" spans="1:24">
      <c r="A26" s="4">
        <f>(VLOOKUP('9.0.10'!I26,'9.0.10'!$AM$4:$AO$55,3,FALSE))</f>
        <v>0</v>
      </c>
      <c r="B26" s="4">
        <f>(VLOOKUP('9.0.10'!J26,'9.0.10'!$AM$4:$AO$55,3,FALSE))</f>
        <v>0</v>
      </c>
      <c r="C26" s="4">
        <f>(VLOOKUP('9.0.10'!K26,'9.0.10'!$AM$4:$AO$55,3,FALSE))</f>
        <v>0</v>
      </c>
      <c r="D26" s="4">
        <f>(VLOOKUP('9.0.10'!L26,'9.0.10'!$AM$4:$AO$55,3,FALSE))</f>
        <v>0</v>
      </c>
      <c r="E26" s="4">
        <f>(VLOOKUP('9.0.10'!M26,'9.0.10'!$AM$4:$AO$55,3,FALSE))</f>
        <v>0</v>
      </c>
      <c r="F26" s="4">
        <f>(VLOOKUP('9.0.10'!N26,'9.0.10'!$AM$4:$AO$55,3,FALSE))</f>
        <v>0</v>
      </c>
      <c r="G26" s="5">
        <f>(VLOOKUP('9.0.10'!O26,'9.0.10'!$AM$4:$AO$55,3,FALSE))</f>
        <v>0</v>
      </c>
      <c r="H26" s="5">
        <f>(VLOOKUP('9.0.10'!P26,'9.0.10'!$AM$4:$AO$55,3,FALSE))</f>
        <v>0</v>
      </c>
      <c r="I26" s="4">
        <f>(VLOOKUP('9.0.10'!Q26,'9.0.10'!$AM$4:$AO$55,3,FALSE))</f>
        <v>50</v>
      </c>
      <c r="J26" s="4">
        <f>(VLOOKUP('9.0.10'!R26,'9.0.10'!$AM$4:$AO$55,3,FALSE))</f>
        <v>50</v>
      </c>
      <c r="K26" s="4">
        <f>(VLOOKUP('9.0.10'!S26,'9.0.10'!$AM$4:$AO$55,3,FALSE))</f>
        <v>50</v>
      </c>
      <c r="L26" s="4">
        <f>(VLOOKUP('9.0.10'!T26,'9.0.10'!$AM$4:$AO$55,3,FALSE))</f>
        <v>50</v>
      </c>
      <c r="M26" s="4">
        <f>(VLOOKUP('9.0.10'!U26,'9.0.10'!$AM$4:$AO$55,3,FALSE))</f>
        <v>50</v>
      </c>
      <c r="N26" s="4">
        <f>(VLOOKUP('9.0.10'!V26,'9.0.10'!$AM$4:$AO$55,3,FALSE))</f>
        <v>50</v>
      </c>
      <c r="O26" s="5">
        <f>(VLOOKUP('9.0.10'!W26,'9.0.10'!$AM$4:$AO$55,3,FALSE))</f>
        <v>0</v>
      </c>
      <c r="P26" s="5">
        <f>(VLOOKUP('9.0.10'!X26,'9.0.10'!$AM$4:$AO$55,3,FALSE))</f>
        <v>0</v>
      </c>
      <c r="Q26" s="4">
        <f>(VLOOKUP('9.0.10'!Y26,'9.0.10'!$AM$4:$AO$55,3,FALSE))</f>
        <v>40</v>
      </c>
      <c r="R26" s="4">
        <f>(VLOOKUP('9.0.10'!Z26,'9.0.10'!$AM$4:$AO$55,3,FALSE))</f>
        <v>30</v>
      </c>
      <c r="S26" s="4">
        <f>(VLOOKUP('9.0.10'!AA26,'9.0.10'!$AM$4:$AO$55,3,FALSE))</f>
        <v>0</v>
      </c>
      <c r="T26" s="4">
        <f>(VLOOKUP('9.0.10'!AB26,'9.0.10'!$AM$4:$AO$55,3,FALSE))</f>
        <v>0</v>
      </c>
      <c r="U26" s="4">
        <f>(VLOOKUP('9.0.10'!AC26,'9.0.10'!$AM$4:$AO$55,3,FALSE))</f>
        <v>0</v>
      </c>
      <c r="V26" s="4">
        <f>(VLOOKUP('9.0.10'!AD26,'9.0.10'!$AM$4:$AO$55,3,FALSE))</f>
        <v>0</v>
      </c>
      <c r="W26" s="5">
        <f>(VLOOKUP('9.0.10'!AE26,'9.0.10'!$AM$4:$AO$55,3,FALSE))</f>
        <v>0</v>
      </c>
      <c r="X26" s="5">
        <f>(VLOOKUP('9.0.10'!AF26,'9.0.10'!$AM$4:$AO$55,3,FALSE))</f>
        <v>0</v>
      </c>
    </row>
    <row r="27" spans="1:24">
      <c r="A27" s="4">
        <f>(VLOOKUP('9.0.10'!I27,'9.0.10'!$AM$4:$AO$55,3,FALSE))</f>
        <v>0</v>
      </c>
      <c r="B27" s="4">
        <f>(VLOOKUP('9.0.10'!J27,'9.0.10'!$AM$4:$AO$55,3,FALSE))</f>
        <v>0</v>
      </c>
      <c r="C27" s="4">
        <f>(VLOOKUP('9.0.10'!K27,'9.0.10'!$AM$4:$AO$55,3,FALSE))</f>
        <v>0</v>
      </c>
      <c r="D27" s="4">
        <f>(VLOOKUP('9.0.10'!L27,'9.0.10'!$AM$4:$AO$55,3,FALSE))</f>
        <v>0</v>
      </c>
      <c r="E27" s="4">
        <f>(VLOOKUP('9.0.10'!M27,'9.0.10'!$AM$4:$AO$55,3,FALSE))</f>
        <v>0</v>
      </c>
      <c r="F27" s="4">
        <f>(VLOOKUP('9.0.10'!N27,'9.0.10'!$AM$4:$AO$55,3,FALSE))</f>
        <v>0</v>
      </c>
      <c r="G27" s="5">
        <f>(VLOOKUP('9.0.10'!O27,'9.0.10'!$AM$4:$AO$55,3,FALSE))</f>
        <v>0</v>
      </c>
      <c r="H27" s="5">
        <f>(VLOOKUP('9.0.10'!P27,'9.0.10'!$AM$4:$AO$55,3,FALSE))</f>
        <v>0</v>
      </c>
      <c r="I27" s="4">
        <f>(VLOOKUP('9.0.10'!Q27,'9.0.10'!$AM$4:$AO$55,3,FALSE))</f>
        <v>50</v>
      </c>
      <c r="J27" s="4">
        <f>(VLOOKUP('9.0.10'!R27,'9.0.10'!$AM$4:$AO$55,3,FALSE))</f>
        <v>50</v>
      </c>
      <c r="K27" s="4">
        <f>(VLOOKUP('9.0.10'!S27,'9.0.10'!$AM$4:$AO$55,3,FALSE))</f>
        <v>50</v>
      </c>
      <c r="L27" s="4">
        <f>(VLOOKUP('9.0.10'!T27,'9.0.10'!$AM$4:$AO$55,3,FALSE))</f>
        <v>50</v>
      </c>
      <c r="M27" s="4">
        <f>(VLOOKUP('9.0.10'!U27,'9.0.10'!$AM$4:$AO$55,3,FALSE))</f>
        <v>50</v>
      </c>
      <c r="N27" s="4">
        <f>(VLOOKUP('9.0.10'!V27,'9.0.10'!$AM$4:$AO$55,3,FALSE))</f>
        <v>50</v>
      </c>
      <c r="O27" s="5">
        <f>(VLOOKUP('9.0.10'!W27,'9.0.10'!$AM$4:$AO$55,3,FALSE))</f>
        <v>0</v>
      </c>
      <c r="P27" s="5">
        <f>(VLOOKUP('9.0.10'!X27,'9.0.10'!$AM$4:$AO$55,3,FALSE))</f>
        <v>0</v>
      </c>
      <c r="Q27" s="4">
        <f>(VLOOKUP('9.0.10'!Y27,'9.0.10'!$AM$4:$AO$55,3,FALSE))</f>
        <v>0</v>
      </c>
      <c r="R27" s="4">
        <f>(VLOOKUP('9.0.10'!Z27,'9.0.10'!$AM$4:$AO$55,3,FALSE))</f>
        <v>0</v>
      </c>
      <c r="S27" s="4">
        <f>(VLOOKUP('9.0.10'!AA27,'9.0.10'!$AM$4:$AO$55,3,FALSE))</f>
        <v>0</v>
      </c>
      <c r="T27" s="4">
        <f>(VLOOKUP('9.0.10'!AB27,'9.0.10'!$AM$4:$AO$55,3,FALSE))</f>
        <v>0</v>
      </c>
      <c r="U27" s="4">
        <f>(VLOOKUP('9.0.10'!AC27,'9.0.10'!$AM$4:$AO$55,3,FALSE))</f>
        <v>0</v>
      </c>
      <c r="V27" s="4">
        <f>(VLOOKUP('9.0.10'!AD27,'9.0.10'!$AM$4:$AO$55,3,FALSE))</f>
        <v>0</v>
      </c>
      <c r="W27" s="5">
        <f>(VLOOKUP('9.0.10'!AE27,'9.0.10'!$AM$4:$AO$55,3,FALSE))</f>
        <v>0</v>
      </c>
      <c r="X27" s="5">
        <f>(VLOOKUP('9.0.10'!AF27,'9.0.10'!$AM$4:$AO$55,3,FALSE))</f>
        <v>0</v>
      </c>
    </row>
    <row r="28" spans="1:24">
      <c r="A28" s="4">
        <f>(VLOOKUP('9.0.10'!I28,'9.0.10'!$AM$4:$AO$55,3,FALSE))</f>
        <v>0</v>
      </c>
      <c r="B28" s="4">
        <f>(VLOOKUP('9.0.10'!J28,'9.0.10'!$AM$4:$AO$55,3,FALSE))</f>
        <v>0</v>
      </c>
      <c r="C28" s="4">
        <f>(VLOOKUP('9.0.10'!K28,'9.0.10'!$AM$4:$AO$55,3,FALSE))</f>
        <v>0</v>
      </c>
      <c r="D28" s="4">
        <f>(VLOOKUP('9.0.10'!L28,'9.0.10'!$AM$4:$AO$55,3,FALSE))</f>
        <v>0</v>
      </c>
      <c r="E28" s="4">
        <f>(VLOOKUP('9.0.10'!M28,'9.0.10'!$AM$4:$AO$55,3,FALSE))</f>
        <v>0</v>
      </c>
      <c r="F28" s="4">
        <f>(VLOOKUP('9.0.10'!N28,'9.0.10'!$AM$4:$AO$55,3,FALSE))</f>
        <v>0</v>
      </c>
      <c r="G28" s="5">
        <f>(VLOOKUP('9.0.10'!O28,'9.0.10'!$AM$4:$AO$55,3,FALSE))</f>
        <v>0</v>
      </c>
      <c r="H28" s="5">
        <f>(VLOOKUP('9.0.10'!P28,'9.0.10'!$AM$4:$AO$55,3,FALSE))</f>
        <v>0</v>
      </c>
      <c r="I28" s="4">
        <f>(VLOOKUP('9.0.10'!Q28,'9.0.10'!$AM$4:$AO$55,3,FALSE))</f>
        <v>50</v>
      </c>
      <c r="J28" s="4">
        <f>(VLOOKUP('9.0.10'!R28,'9.0.10'!$AM$4:$AO$55,3,FALSE))</f>
        <v>50</v>
      </c>
      <c r="K28" s="4">
        <f>(VLOOKUP('9.0.10'!S28,'9.0.10'!$AM$4:$AO$55,3,FALSE))</f>
        <v>50</v>
      </c>
      <c r="L28" s="4">
        <f>(VLOOKUP('9.0.10'!T28,'9.0.10'!$AM$4:$AO$55,3,FALSE))</f>
        <v>50</v>
      </c>
      <c r="M28" s="4">
        <f>(VLOOKUP('9.0.10'!U28,'9.0.10'!$AM$4:$AO$55,3,FALSE))</f>
        <v>50</v>
      </c>
      <c r="N28" s="4">
        <f>(VLOOKUP('9.0.10'!V28,'9.0.10'!$AM$4:$AO$55,3,FALSE))</f>
        <v>50</v>
      </c>
      <c r="O28" s="5">
        <f>(VLOOKUP('9.0.10'!W28,'9.0.10'!$AM$4:$AO$55,3,FALSE))</f>
        <v>0</v>
      </c>
      <c r="P28" s="5">
        <f>(VLOOKUP('9.0.10'!X28,'9.0.10'!$AM$4:$AO$55,3,FALSE))</f>
        <v>0</v>
      </c>
      <c r="Q28" s="4">
        <f>(VLOOKUP('9.0.10'!Y28,'9.0.10'!$AM$4:$AO$55,3,FALSE))</f>
        <v>0</v>
      </c>
      <c r="R28" s="4">
        <f>(VLOOKUP('9.0.10'!Z28,'9.0.10'!$AM$4:$AO$55,3,FALSE))</f>
        <v>0</v>
      </c>
      <c r="S28" s="4">
        <f>(VLOOKUP('9.0.10'!AA28,'9.0.10'!$AM$4:$AO$55,3,FALSE))</f>
        <v>0</v>
      </c>
      <c r="T28" s="4">
        <f>(VLOOKUP('9.0.10'!AB28,'9.0.10'!$AM$4:$AO$55,3,FALSE))</f>
        <v>0</v>
      </c>
      <c r="U28" s="4">
        <f>(VLOOKUP('9.0.10'!AC28,'9.0.10'!$AM$4:$AO$55,3,FALSE))</f>
        <v>0</v>
      </c>
      <c r="V28" s="4">
        <f>(VLOOKUP('9.0.10'!AD28,'9.0.10'!$AM$4:$AO$55,3,FALSE))</f>
        <v>0</v>
      </c>
      <c r="W28" s="5">
        <f>(VLOOKUP('9.0.10'!AE28,'9.0.10'!$AM$4:$AO$55,3,FALSE))</f>
        <v>0</v>
      </c>
      <c r="X28" s="5">
        <f>(VLOOKUP('9.0.10'!AF28,'9.0.10'!$AM$4:$AO$55,3,FALSE))</f>
        <v>0</v>
      </c>
    </row>
    <row r="29" spans="1:24">
      <c r="A29" s="4">
        <f>(VLOOKUP('9.0.10'!I29,'9.0.10'!$AM$4:$AO$55,3,FALSE))</f>
        <v>0</v>
      </c>
      <c r="B29" s="4">
        <f>(VLOOKUP('9.0.10'!J29,'9.0.10'!$AM$4:$AO$55,3,FALSE))</f>
        <v>0</v>
      </c>
      <c r="C29" s="4">
        <f>(VLOOKUP('9.0.10'!K29,'9.0.10'!$AM$4:$AO$55,3,FALSE))</f>
        <v>0</v>
      </c>
      <c r="D29" s="4">
        <f>(VLOOKUP('9.0.10'!L29,'9.0.10'!$AM$4:$AO$55,3,FALSE))</f>
        <v>0</v>
      </c>
      <c r="E29" s="4">
        <f>(VLOOKUP('9.0.10'!M29,'9.0.10'!$AM$4:$AO$55,3,FALSE))</f>
        <v>0</v>
      </c>
      <c r="F29" s="4">
        <f>(VLOOKUP('9.0.10'!N29,'9.0.10'!$AM$4:$AO$55,3,FALSE))</f>
        <v>0</v>
      </c>
      <c r="G29" s="5">
        <f>(VLOOKUP('9.0.10'!O29,'9.0.10'!$AM$4:$AO$55,3,FALSE))</f>
        <v>0</v>
      </c>
      <c r="H29" s="5">
        <f>(VLOOKUP('9.0.10'!P29,'9.0.10'!$AM$4:$AO$55,3,FALSE))</f>
        <v>0</v>
      </c>
      <c r="I29" s="4">
        <f>(VLOOKUP('9.0.10'!Q29,'9.0.10'!$AM$4:$AO$55,3,FALSE))</f>
        <v>50</v>
      </c>
      <c r="J29" s="4">
        <f>(VLOOKUP('9.0.10'!R29,'9.0.10'!$AM$4:$AO$55,3,FALSE))</f>
        <v>50</v>
      </c>
      <c r="K29" s="4">
        <f>(VLOOKUP('9.0.10'!S29,'9.0.10'!$AM$4:$AO$55,3,FALSE))</f>
        <v>50</v>
      </c>
      <c r="L29" s="4">
        <f>(VLOOKUP('9.0.10'!T29,'9.0.10'!$AM$4:$AO$55,3,FALSE))</f>
        <v>50</v>
      </c>
      <c r="M29" s="4">
        <f>(VLOOKUP('9.0.10'!U29,'9.0.10'!$AM$4:$AO$55,3,FALSE))</f>
        <v>50</v>
      </c>
      <c r="N29" s="4">
        <f>(VLOOKUP('9.0.10'!V29,'9.0.10'!$AM$4:$AO$55,3,FALSE))</f>
        <v>50</v>
      </c>
      <c r="O29" s="5">
        <f>(VLOOKUP('9.0.10'!W29,'9.0.10'!$AM$4:$AO$55,3,FALSE))</f>
        <v>0</v>
      </c>
      <c r="P29" s="5">
        <f>(VLOOKUP('9.0.10'!X29,'9.0.10'!$AM$4:$AO$55,3,FALSE))</f>
        <v>0</v>
      </c>
      <c r="Q29" s="4">
        <f>(VLOOKUP('9.0.10'!Y29,'9.0.10'!$AM$4:$AO$55,3,FALSE))</f>
        <v>0</v>
      </c>
      <c r="R29" s="4">
        <f>(VLOOKUP('9.0.10'!Z29,'9.0.10'!$AM$4:$AO$55,3,FALSE))</f>
        <v>0</v>
      </c>
      <c r="S29" s="4">
        <f>(VLOOKUP('9.0.10'!AA29,'9.0.10'!$AM$4:$AO$55,3,FALSE))</f>
        <v>0</v>
      </c>
      <c r="T29" s="4">
        <f>(VLOOKUP('9.0.10'!AB29,'9.0.10'!$AM$4:$AO$55,3,FALSE))</f>
        <v>0</v>
      </c>
      <c r="U29" s="4">
        <f>(VLOOKUP('9.0.10'!AC29,'9.0.10'!$AM$4:$AO$55,3,FALSE))</f>
        <v>0</v>
      </c>
      <c r="V29" s="4">
        <f>(VLOOKUP('9.0.10'!AD29,'9.0.10'!$AM$4:$AO$55,3,FALSE))</f>
        <v>0</v>
      </c>
      <c r="W29" s="5">
        <f>(VLOOKUP('9.0.10'!AE29,'9.0.10'!$AM$4:$AO$55,3,FALSE))</f>
        <v>0</v>
      </c>
      <c r="X29" s="5">
        <f>(VLOOKUP('9.0.10'!AF29,'9.0.10'!$AM$4:$AO$55,3,FALSE))</f>
        <v>0</v>
      </c>
    </row>
    <row r="30" spans="1:24">
      <c r="A30" s="4">
        <f>(VLOOKUP('9.0.10'!I30,'9.0.10'!$AM$4:$AO$55,3,FALSE))</f>
        <v>0</v>
      </c>
      <c r="B30" s="4">
        <f>(VLOOKUP('9.0.10'!J30,'9.0.10'!$AM$4:$AO$55,3,FALSE))</f>
        <v>0</v>
      </c>
      <c r="C30" s="4">
        <f>(VLOOKUP('9.0.10'!K30,'9.0.10'!$AM$4:$AO$55,3,FALSE))</f>
        <v>0</v>
      </c>
      <c r="D30" s="4">
        <f>(VLOOKUP('9.0.10'!L30,'9.0.10'!$AM$4:$AO$55,3,FALSE))</f>
        <v>0</v>
      </c>
      <c r="E30" s="4">
        <f>(VLOOKUP('9.0.10'!M30,'9.0.10'!$AM$4:$AO$55,3,FALSE))</f>
        <v>0</v>
      </c>
      <c r="F30" s="4">
        <f>(VLOOKUP('9.0.10'!N30,'9.0.10'!$AM$4:$AO$55,3,FALSE))</f>
        <v>0</v>
      </c>
      <c r="G30" s="5">
        <f>(VLOOKUP('9.0.10'!O30,'9.0.10'!$AM$4:$AO$55,3,FALSE))</f>
        <v>0</v>
      </c>
      <c r="H30" s="5">
        <f>(VLOOKUP('9.0.10'!P30,'9.0.10'!$AM$4:$AO$55,3,FALSE))</f>
        <v>0</v>
      </c>
      <c r="I30" s="4">
        <f>(VLOOKUP('9.0.10'!Q30,'9.0.10'!$AM$4:$AO$55,3,FALSE))</f>
        <v>50</v>
      </c>
      <c r="J30" s="4">
        <f>(VLOOKUP('9.0.10'!R30,'9.0.10'!$AM$4:$AO$55,3,FALSE))</f>
        <v>50</v>
      </c>
      <c r="K30" s="4">
        <f>(VLOOKUP('9.0.10'!S30,'9.0.10'!$AM$4:$AO$55,3,FALSE))</f>
        <v>50</v>
      </c>
      <c r="L30" s="4">
        <f>(VLOOKUP('9.0.10'!T30,'9.0.10'!$AM$4:$AO$55,3,FALSE))</f>
        <v>50</v>
      </c>
      <c r="M30" s="4">
        <f>(VLOOKUP('9.0.10'!U30,'9.0.10'!$AM$4:$AO$55,3,FALSE))</f>
        <v>50</v>
      </c>
      <c r="N30" s="4">
        <f>(VLOOKUP('9.0.10'!V30,'9.0.10'!$AM$4:$AO$55,3,FALSE))</f>
        <v>30</v>
      </c>
      <c r="O30" s="5">
        <f>(VLOOKUP('9.0.10'!W30,'9.0.10'!$AM$4:$AO$55,3,FALSE))</f>
        <v>0</v>
      </c>
      <c r="P30" s="5">
        <f>(VLOOKUP('9.0.10'!X30,'9.0.10'!$AM$4:$AO$55,3,FALSE))</f>
        <v>0</v>
      </c>
      <c r="Q30" s="4">
        <f>(VLOOKUP('9.0.10'!Y30,'9.0.10'!$AM$4:$AO$55,3,FALSE))</f>
        <v>0</v>
      </c>
      <c r="R30" s="4">
        <f>(VLOOKUP('9.0.10'!Z30,'9.0.10'!$AM$4:$AO$55,3,FALSE))</f>
        <v>0</v>
      </c>
      <c r="S30" s="4">
        <f>(VLOOKUP('9.0.10'!AA30,'9.0.10'!$AM$4:$AO$55,3,FALSE))</f>
        <v>0</v>
      </c>
      <c r="T30" s="4">
        <f>(VLOOKUP('9.0.10'!AB30,'9.0.10'!$AM$4:$AO$55,3,FALSE))</f>
        <v>0</v>
      </c>
      <c r="U30" s="4">
        <f>(VLOOKUP('9.0.10'!AC30,'9.0.10'!$AM$4:$AO$55,3,FALSE))</f>
        <v>0</v>
      </c>
      <c r="V30" s="4">
        <f>(VLOOKUP('9.0.10'!AD30,'9.0.10'!$AM$4:$AO$55,3,FALSE))</f>
        <v>0</v>
      </c>
      <c r="W30" s="5">
        <f>(VLOOKUP('9.0.10'!AE30,'9.0.10'!$AM$4:$AO$55,3,FALSE))</f>
        <v>0</v>
      </c>
      <c r="X30" s="5">
        <f>(VLOOKUP('9.0.10'!AF30,'9.0.10'!$AM$4:$AO$55,3,FALSE))</f>
        <v>0</v>
      </c>
    </row>
    <row r="31" spans="1:24">
      <c r="A31" s="4">
        <f>(VLOOKUP('9.0.10'!I31,'9.0.10'!$AM$4:$AO$55,3,FALSE))</f>
        <v>0</v>
      </c>
      <c r="B31" s="4">
        <f>(VLOOKUP('9.0.10'!J31,'9.0.10'!$AM$4:$AO$55,3,FALSE))</f>
        <v>0</v>
      </c>
      <c r="C31" s="4">
        <f>(VLOOKUP('9.0.10'!K31,'9.0.10'!$AM$4:$AO$55,3,FALSE))</f>
        <v>0</v>
      </c>
      <c r="D31" s="4">
        <f>(VLOOKUP('9.0.10'!L31,'9.0.10'!$AM$4:$AO$55,3,FALSE))</f>
        <v>0</v>
      </c>
      <c r="E31" s="4">
        <f>(VLOOKUP('9.0.10'!M31,'9.0.10'!$AM$4:$AO$55,3,FALSE))</f>
        <v>0</v>
      </c>
      <c r="F31" s="4">
        <f>(VLOOKUP('9.0.10'!N31,'9.0.10'!$AM$4:$AO$55,3,FALSE))</f>
        <v>0</v>
      </c>
      <c r="G31" s="5">
        <f>(VLOOKUP('9.0.10'!O31,'9.0.10'!$AM$4:$AO$55,3,FALSE))</f>
        <v>0</v>
      </c>
      <c r="H31" s="5">
        <f>(VLOOKUP('9.0.10'!P31,'9.0.10'!$AM$4:$AO$55,3,FALSE))</f>
        <v>0</v>
      </c>
      <c r="I31" s="4">
        <f>(VLOOKUP('9.0.10'!Q31,'9.0.10'!$AM$4:$AO$55,3,FALSE))</f>
        <v>50</v>
      </c>
      <c r="J31" s="4">
        <f>(VLOOKUP('9.0.10'!R31,'9.0.10'!$AM$4:$AO$55,3,FALSE))</f>
        <v>50</v>
      </c>
      <c r="K31" s="4">
        <f>(VLOOKUP('9.0.10'!S31,'9.0.10'!$AM$4:$AO$55,3,FALSE))</f>
        <v>50</v>
      </c>
      <c r="L31" s="4">
        <f>(VLOOKUP('9.0.10'!T31,'9.0.10'!$AM$4:$AO$55,3,FALSE))</f>
        <v>50</v>
      </c>
      <c r="M31" s="4">
        <f>(VLOOKUP('9.0.10'!U31,'9.0.10'!$AM$4:$AO$55,3,FALSE))</f>
        <v>50</v>
      </c>
      <c r="N31" s="4">
        <f>(VLOOKUP('9.0.10'!V31,'9.0.10'!$AM$4:$AO$55,3,FALSE))</f>
        <v>50</v>
      </c>
      <c r="O31" s="5">
        <f>(VLOOKUP('9.0.10'!W31,'9.0.10'!$AM$4:$AO$55,3,FALSE))</f>
        <v>0</v>
      </c>
      <c r="P31" s="5">
        <f>(VLOOKUP('9.0.10'!X31,'9.0.10'!$AM$4:$AO$55,3,FALSE))</f>
        <v>0</v>
      </c>
      <c r="Q31" s="4">
        <f>(VLOOKUP('9.0.10'!Y31,'9.0.10'!$AM$4:$AO$55,3,FALSE))</f>
        <v>0</v>
      </c>
      <c r="R31" s="4">
        <f>(VLOOKUP('9.0.10'!Z31,'9.0.10'!$AM$4:$AO$55,3,FALSE))</f>
        <v>0</v>
      </c>
      <c r="S31" s="4">
        <f>(VLOOKUP('9.0.10'!AA31,'9.0.10'!$AM$4:$AO$55,3,FALSE))</f>
        <v>0</v>
      </c>
      <c r="T31" s="4">
        <f>(VLOOKUP('9.0.10'!AB31,'9.0.10'!$AM$4:$AO$55,3,FALSE))</f>
        <v>0</v>
      </c>
      <c r="U31" s="4">
        <f>(VLOOKUP('9.0.10'!AC31,'9.0.10'!$AM$4:$AO$55,3,FALSE))</f>
        <v>0</v>
      </c>
      <c r="V31" s="4">
        <f>(VLOOKUP('9.0.10'!AD31,'9.0.10'!$AM$4:$AO$55,3,FALSE))</f>
        <v>0</v>
      </c>
      <c r="W31" s="5">
        <f>(VLOOKUP('9.0.10'!AE31,'9.0.10'!$AM$4:$AO$55,3,FALSE))</f>
        <v>0</v>
      </c>
      <c r="X31" s="5">
        <f>(VLOOKUP('9.0.10'!AF31,'9.0.10'!$AM$4:$AO$55,3,FALSE))</f>
        <v>0</v>
      </c>
    </row>
    <row r="32" spans="1:24">
      <c r="A32" s="4">
        <f>(VLOOKUP('9.0.10'!I32,'9.0.10'!$AM$4:$AO$55,3,FALSE))</f>
        <v>0</v>
      </c>
      <c r="B32" s="4">
        <f>(VLOOKUP('9.0.10'!J32,'9.0.10'!$AM$4:$AO$55,3,FALSE))</f>
        <v>0</v>
      </c>
      <c r="C32" s="4">
        <f>(VLOOKUP('9.0.10'!K32,'9.0.10'!$AM$4:$AO$55,3,FALSE))</f>
        <v>0</v>
      </c>
      <c r="D32" s="4">
        <f>(VLOOKUP('9.0.10'!L32,'9.0.10'!$AM$4:$AO$55,3,FALSE))</f>
        <v>0</v>
      </c>
      <c r="E32" s="4">
        <f>(VLOOKUP('9.0.10'!M32,'9.0.10'!$AM$4:$AO$55,3,FALSE))</f>
        <v>0</v>
      </c>
      <c r="F32" s="4">
        <f>(VLOOKUP('9.0.10'!N32,'9.0.10'!$AM$4:$AO$55,3,FALSE))</f>
        <v>0</v>
      </c>
      <c r="G32" s="5">
        <f>(VLOOKUP('9.0.10'!O32,'9.0.10'!$AM$4:$AO$55,3,FALSE))</f>
        <v>0</v>
      </c>
      <c r="H32" s="5">
        <f>(VLOOKUP('9.0.10'!P32,'9.0.10'!$AM$4:$AO$55,3,FALSE))</f>
        <v>0</v>
      </c>
      <c r="I32" s="4">
        <f>(VLOOKUP('9.0.10'!Q32,'9.0.10'!$AM$4:$AO$55,3,FALSE))</f>
        <v>50</v>
      </c>
      <c r="J32" s="4">
        <f>(VLOOKUP('9.0.10'!R32,'9.0.10'!$AM$4:$AO$55,3,FALSE))</f>
        <v>50</v>
      </c>
      <c r="K32" s="4">
        <f>(VLOOKUP('9.0.10'!S32,'9.0.10'!$AM$4:$AO$55,3,FALSE))</f>
        <v>50</v>
      </c>
      <c r="L32" s="4">
        <f>(VLOOKUP('9.0.10'!T32,'9.0.10'!$AM$4:$AO$55,3,FALSE))</f>
        <v>50</v>
      </c>
      <c r="M32" s="4">
        <f>(VLOOKUP('9.0.10'!U32,'9.0.10'!$AM$4:$AO$55,3,FALSE))</f>
        <v>50</v>
      </c>
      <c r="N32" s="4">
        <f>(VLOOKUP('9.0.10'!V32,'9.0.10'!$AM$4:$AO$55,3,FALSE))</f>
        <v>50</v>
      </c>
      <c r="O32" s="5">
        <f>(VLOOKUP('9.0.10'!W32,'9.0.10'!$AM$4:$AO$55,3,FALSE))</f>
        <v>0</v>
      </c>
      <c r="P32" s="5">
        <f>(VLOOKUP('9.0.10'!X32,'9.0.10'!$AM$4:$AO$55,3,FALSE))</f>
        <v>0</v>
      </c>
      <c r="Q32" s="4">
        <f>(VLOOKUP('9.0.10'!Y32,'9.0.10'!$AM$4:$AO$55,3,FALSE))</f>
        <v>0</v>
      </c>
      <c r="R32" s="4">
        <f>(VLOOKUP('9.0.10'!Z32,'9.0.10'!$AM$4:$AO$55,3,FALSE))</f>
        <v>0</v>
      </c>
      <c r="S32" s="4">
        <f>(VLOOKUP('9.0.10'!AA32,'9.0.10'!$AM$4:$AO$55,3,FALSE))</f>
        <v>0</v>
      </c>
      <c r="T32" s="4">
        <f>(VLOOKUP('9.0.10'!AB32,'9.0.10'!$AM$4:$AO$55,3,FALSE))</f>
        <v>0</v>
      </c>
      <c r="U32" s="4">
        <f>(VLOOKUP('9.0.10'!AC32,'9.0.10'!$AM$4:$AO$55,3,FALSE))</f>
        <v>0</v>
      </c>
      <c r="V32" s="4">
        <f>(VLOOKUP('9.0.10'!AD32,'9.0.10'!$AM$4:$AO$55,3,FALSE))</f>
        <v>0</v>
      </c>
      <c r="W32" s="5">
        <f>(VLOOKUP('9.0.10'!AE32,'9.0.10'!$AM$4:$AO$55,3,FALSE))</f>
        <v>0</v>
      </c>
      <c r="X32" s="5">
        <f>(VLOOKUP('9.0.10'!AF32,'9.0.10'!$AM$4:$AO$55,3,FALSE))</f>
        <v>0</v>
      </c>
    </row>
    <row r="33" spans="1:24">
      <c r="A33" s="4">
        <f>(VLOOKUP('9.0.10'!I33,'9.0.10'!$AM$4:$AO$55,3,FALSE))</f>
        <v>0</v>
      </c>
      <c r="B33" s="4">
        <f>(VLOOKUP('9.0.10'!J33,'9.0.10'!$AM$4:$AO$55,3,FALSE))</f>
        <v>0</v>
      </c>
      <c r="C33" s="4">
        <f>(VLOOKUP('9.0.10'!K33,'9.0.10'!$AM$4:$AO$55,3,FALSE))</f>
        <v>0</v>
      </c>
      <c r="D33" s="4">
        <f>(VLOOKUP('9.0.10'!L33,'9.0.10'!$AM$4:$AO$55,3,FALSE))</f>
        <v>0</v>
      </c>
      <c r="E33" s="4">
        <f>(VLOOKUP('9.0.10'!M33,'9.0.10'!$AM$4:$AO$55,3,FALSE))</f>
        <v>0</v>
      </c>
      <c r="F33" s="4">
        <f>(VLOOKUP('9.0.10'!N33,'9.0.10'!$AM$4:$AO$55,3,FALSE))</f>
        <v>0</v>
      </c>
      <c r="G33" s="5">
        <f>(VLOOKUP('9.0.10'!O33,'9.0.10'!$AM$4:$AO$55,3,FALSE))</f>
        <v>0</v>
      </c>
      <c r="H33" s="5">
        <f>(VLOOKUP('9.0.10'!P33,'9.0.10'!$AM$4:$AO$55,3,FALSE))</f>
        <v>0</v>
      </c>
      <c r="I33" s="4">
        <f>(VLOOKUP('9.0.10'!Q33,'9.0.10'!$AM$4:$AO$55,3,FALSE))</f>
        <v>50</v>
      </c>
      <c r="J33" s="4">
        <f>(VLOOKUP('9.0.10'!R33,'9.0.10'!$AM$4:$AO$55,3,FALSE))</f>
        <v>50</v>
      </c>
      <c r="K33" s="4">
        <f>(VLOOKUP('9.0.10'!S33,'9.0.10'!$AM$4:$AO$55,3,FALSE))</f>
        <v>50</v>
      </c>
      <c r="L33" s="4">
        <f>(VLOOKUP('9.0.10'!T33,'9.0.10'!$AM$4:$AO$55,3,FALSE))</f>
        <v>50</v>
      </c>
      <c r="M33" s="4">
        <f>(VLOOKUP('9.0.10'!U33,'9.0.10'!$AM$4:$AO$55,3,FALSE))</f>
        <v>50</v>
      </c>
      <c r="N33" s="4">
        <f>(VLOOKUP('9.0.10'!V33,'9.0.10'!$AM$4:$AO$55,3,FALSE))</f>
        <v>50</v>
      </c>
      <c r="O33" s="5">
        <f>(VLOOKUP('9.0.10'!W33,'9.0.10'!$AM$4:$AO$55,3,FALSE))</f>
        <v>0</v>
      </c>
      <c r="P33" s="5">
        <f>(VLOOKUP('9.0.10'!X33,'9.0.10'!$AM$4:$AO$55,3,FALSE))</f>
        <v>0</v>
      </c>
      <c r="Q33" s="4">
        <f>(VLOOKUP('9.0.10'!Y33,'9.0.10'!$AM$4:$AO$55,3,FALSE))</f>
        <v>0</v>
      </c>
      <c r="R33" s="4">
        <f>(VLOOKUP('9.0.10'!Z33,'9.0.10'!$AM$4:$AO$55,3,FALSE))</f>
        <v>0</v>
      </c>
      <c r="S33" s="4">
        <f>(VLOOKUP('9.0.10'!AA33,'9.0.10'!$AM$4:$AO$55,3,FALSE))</f>
        <v>0</v>
      </c>
      <c r="T33" s="4">
        <f>(VLOOKUP('9.0.10'!AB33,'9.0.10'!$AM$4:$AO$55,3,FALSE))</f>
        <v>0</v>
      </c>
      <c r="U33" s="4">
        <f>(VLOOKUP('9.0.10'!AC33,'9.0.10'!$AM$4:$AO$55,3,FALSE))</f>
        <v>0</v>
      </c>
      <c r="V33" s="4">
        <f>(VLOOKUP('9.0.10'!AD33,'9.0.10'!$AM$4:$AO$55,3,FALSE))</f>
        <v>0</v>
      </c>
      <c r="W33" s="5">
        <f>(VLOOKUP('9.0.10'!AE33,'9.0.10'!$AM$4:$AO$55,3,FALSE))</f>
        <v>0</v>
      </c>
      <c r="X33" s="5">
        <f>(VLOOKUP('9.0.10'!AF33,'9.0.10'!$AM$4:$AO$55,3,FALSE))</f>
        <v>0</v>
      </c>
    </row>
    <row r="34" spans="1:24">
      <c r="A34" s="4">
        <f>(VLOOKUP('9.0.10'!I34,'9.0.10'!$AM$4:$AO$55,3,FALSE))</f>
        <v>0</v>
      </c>
      <c r="B34" s="4">
        <f>(VLOOKUP('9.0.10'!J34,'9.0.10'!$AM$4:$AO$55,3,FALSE))</f>
        <v>0</v>
      </c>
      <c r="C34" s="4">
        <f>(VLOOKUP('9.0.10'!K34,'9.0.10'!$AM$4:$AO$55,3,FALSE))</f>
        <v>0</v>
      </c>
      <c r="D34" s="4">
        <f>(VLOOKUP('9.0.10'!L34,'9.0.10'!$AM$4:$AO$55,3,FALSE))</f>
        <v>0</v>
      </c>
      <c r="E34" s="4">
        <f>(VLOOKUP('9.0.10'!M34,'9.0.10'!$AM$4:$AO$55,3,FALSE))</f>
        <v>0</v>
      </c>
      <c r="F34" s="4">
        <f>(VLOOKUP('9.0.10'!N34,'9.0.10'!$AM$4:$AO$55,3,FALSE))</f>
        <v>0</v>
      </c>
      <c r="G34" s="5">
        <f>(VLOOKUP('9.0.10'!O34,'9.0.10'!$AM$4:$AO$55,3,FALSE))</f>
        <v>0</v>
      </c>
      <c r="H34" s="5">
        <f>(VLOOKUP('9.0.10'!P34,'9.0.10'!$AM$4:$AO$55,3,FALSE))</f>
        <v>0</v>
      </c>
      <c r="I34" s="4">
        <f>(VLOOKUP('9.0.10'!Q34,'9.0.10'!$AM$4:$AO$55,3,FALSE))</f>
        <v>30</v>
      </c>
      <c r="J34" s="4">
        <f>(VLOOKUP('9.0.10'!R34,'9.0.10'!$AM$4:$AO$55,3,FALSE))</f>
        <v>50</v>
      </c>
      <c r="K34" s="4">
        <f>(VLOOKUP('9.0.10'!S34,'9.0.10'!$AM$4:$AO$55,3,FALSE))</f>
        <v>50</v>
      </c>
      <c r="L34" s="4">
        <f>(VLOOKUP('9.0.10'!T34,'9.0.10'!$AM$4:$AO$55,3,FALSE))</f>
        <v>50</v>
      </c>
      <c r="M34" s="4">
        <f>(VLOOKUP('9.0.10'!U34,'9.0.10'!$AM$4:$AO$55,3,FALSE))</f>
        <v>50</v>
      </c>
      <c r="N34" s="4">
        <f>(VLOOKUP('9.0.10'!V34,'9.0.10'!$AM$4:$AO$55,3,FALSE))</f>
        <v>50</v>
      </c>
      <c r="O34" s="5">
        <f>(VLOOKUP('9.0.10'!W34,'9.0.10'!$AM$4:$AO$55,3,FALSE))</f>
        <v>0</v>
      </c>
      <c r="P34" s="5">
        <f>(VLOOKUP('9.0.10'!X34,'9.0.10'!$AM$4:$AO$55,3,FALSE))</f>
        <v>0</v>
      </c>
      <c r="Q34" s="4">
        <f>(VLOOKUP('9.0.10'!Y34,'9.0.10'!$AM$4:$AO$55,3,FALSE))</f>
        <v>0</v>
      </c>
      <c r="R34" s="4">
        <f>(VLOOKUP('9.0.10'!Z34,'9.0.10'!$AM$4:$AO$55,3,FALSE))</f>
        <v>0</v>
      </c>
      <c r="S34" s="4">
        <f>(VLOOKUP('9.0.10'!AA34,'9.0.10'!$AM$4:$AO$55,3,FALSE))</f>
        <v>0</v>
      </c>
      <c r="T34" s="4">
        <f>(VLOOKUP('9.0.10'!AB34,'9.0.10'!$AM$4:$AO$55,3,FALSE))</f>
        <v>0</v>
      </c>
      <c r="U34" s="4">
        <f>(VLOOKUP('9.0.10'!AC34,'9.0.10'!$AM$4:$AO$55,3,FALSE))</f>
        <v>0</v>
      </c>
      <c r="V34" s="4">
        <f>(VLOOKUP('9.0.10'!AD34,'9.0.10'!$AM$4:$AO$55,3,FALSE))</f>
        <v>0</v>
      </c>
      <c r="W34" s="5">
        <f>(VLOOKUP('9.0.10'!AE34,'9.0.10'!$AM$4:$AO$55,3,FALSE))</f>
        <v>0</v>
      </c>
      <c r="X34" s="5">
        <f>(VLOOKUP('9.0.10'!AF34,'9.0.10'!$AM$4:$AO$55,3,FALSE))</f>
        <v>0</v>
      </c>
    </row>
    <row r="35" spans="1:24">
      <c r="A35" s="4">
        <f>(VLOOKUP('9.0.10'!I35,'9.0.10'!$AM$4:$AO$55,3,FALSE))</f>
        <v>0</v>
      </c>
      <c r="B35" s="4">
        <f>(VLOOKUP('9.0.10'!J35,'9.0.10'!$AM$4:$AO$55,3,FALSE))</f>
        <v>0</v>
      </c>
      <c r="C35" s="4">
        <f>(VLOOKUP('9.0.10'!K35,'9.0.10'!$AM$4:$AO$55,3,FALSE))</f>
        <v>0</v>
      </c>
      <c r="D35" s="4">
        <f>(VLOOKUP('9.0.10'!L35,'9.0.10'!$AM$4:$AO$55,3,FALSE))</f>
        <v>0</v>
      </c>
      <c r="E35" s="4">
        <f>(VLOOKUP('9.0.10'!M35,'9.0.10'!$AM$4:$AO$55,3,FALSE))</f>
        <v>0</v>
      </c>
      <c r="F35" s="4">
        <f>(VLOOKUP('9.0.10'!N35,'9.0.10'!$AM$4:$AO$55,3,FALSE))</f>
        <v>0</v>
      </c>
      <c r="G35" s="5">
        <f>(VLOOKUP('9.0.10'!O35,'9.0.10'!$AM$4:$AO$55,3,FALSE))</f>
        <v>0</v>
      </c>
      <c r="H35" s="5">
        <f>(VLOOKUP('9.0.10'!P35,'9.0.10'!$AM$4:$AO$55,3,FALSE))</f>
        <v>0</v>
      </c>
      <c r="I35" s="4">
        <f>(VLOOKUP('9.0.10'!Q35,'9.0.10'!$AM$4:$AO$55,3,FALSE))</f>
        <v>50</v>
      </c>
      <c r="J35" s="4">
        <f>(VLOOKUP('9.0.10'!R35,'9.0.10'!$AM$4:$AO$55,3,FALSE))</f>
        <v>50</v>
      </c>
      <c r="K35" s="4">
        <f>(VLOOKUP('9.0.10'!S35,'9.0.10'!$AM$4:$AO$55,3,FALSE))</f>
        <v>50</v>
      </c>
      <c r="L35" s="4">
        <f>(VLOOKUP('9.0.10'!T35,'9.0.10'!$AM$4:$AO$55,3,FALSE))</f>
        <v>50</v>
      </c>
      <c r="M35" s="4">
        <f>(VLOOKUP('9.0.10'!U35,'9.0.10'!$AM$4:$AO$55,3,FALSE))</f>
        <v>50</v>
      </c>
      <c r="N35" s="4">
        <f>(VLOOKUP('9.0.10'!V35,'9.0.10'!$AM$4:$AO$55,3,FALSE))</f>
        <v>0</v>
      </c>
      <c r="O35" s="5">
        <f>(VLOOKUP('9.0.10'!W35,'9.0.10'!$AM$4:$AO$55,3,FALSE))</f>
        <v>50</v>
      </c>
      <c r="P35" s="5">
        <f>(VLOOKUP('9.0.10'!X35,'9.0.10'!$AM$4:$AO$55,3,FALSE))</f>
        <v>50</v>
      </c>
      <c r="Q35" s="4">
        <f>(VLOOKUP('9.0.10'!Y35,'9.0.10'!$AM$4:$AO$55,3,FALSE))</f>
        <v>0</v>
      </c>
      <c r="R35" s="4">
        <f>(VLOOKUP('9.0.10'!Z35,'9.0.10'!$AM$4:$AO$55,3,FALSE))</f>
        <v>0</v>
      </c>
      <c r="S35" s="4">
        <f>(VLOOKUP('9.0.10'!AA35,'9.0.10'!$AM$4:$AO$55,3,FALSE))</f>
        <v>0</v>
      </c>
      <c r="T35" s="4">
        <f>(VLOOKUP('9.0.10'!AB35,'9.0.10'!$AM$4:$AO$55,3,FALSE))</f>
        <v>0</v>
      </c>
      <c r="U35" s="4">
        <f>(VLOOKUP('9.0.10'!AC35,'9.0.10'!$AM$4:$AO$55,3,FALSE))</f>
        <v>0</v>
      </c>
      <c r="V35" s="4">
        <f>(VLOOKUP('9.0.10'!AD35,'9.0.10'!$AM$4:$AO$55,3,FALSE))</f>
        <v>0</v>
      </c>
      <c r="W35" s="5">
        <f>(VLOOKUP('9.0.10'!AE35,'9.0.10'!$AM$4:$AO$55,3,FALSE))</f>
        <v>0</v>
      </c>
      <c r="X35" s="5">
        <f>(VLOOKUP('9.0.10'!AF35,'9.0.10'!$AM$4:$AO$55,3,FALSE))</f>
        <v>0</v>
      </c>
    </row>
    <row r="36" spans="1:24">
      <c r="A36" s="4">
        <f>(VLOOKUP('9.0.10'!I36,'9.0.10'!$AM$4:$AO$55,3,FALSE))</f>
        <v>0</v>
      </c>
      <c r="B36" s="4">
        <f>(VLOOKUP('9.0.10'!J36,'9.0.10'!$AM$4:$AO$55,3,FALSE))</f>
        <v>0</v>
      </c>
      <c r="C36" s="4">
        <f>(VLOOKUP('9.0.10'!K36,'9.0.10'!$AM$4:$AO$55,3,FALSE))</f>
        <v>0</v>
      </c>
      <c r="D36" s="4">
        <f>(VLOOKUP('9.0.10'!L36,'9.0.10'!$AM$4:$AO$55,3,FALSE))</f>
        <v>0</v>
      </c>
      <c r="E36" s="4">
        <f>(VLOOKUP('9.0.10'!M36,'9.0.10'!$AM$4:$AO$55,3,FALSE))</f>
        <v>0</v>
      </c>
      <c r="F36" s="4">
        <f>(VLOOKUP('9.0.10'!N36,'9.0.10'!$AM$4:$AO$55,3,FALSE))</f>
        <v>0</v>
      </c>
      <c r="G36" s="5">
        <f>(VLOOKUP('9.0.10'!O36,'9.0.10'!$AM$4:$AO$55,3,FALSE))</f>
        <v>0</v>
      </c>
      <c r="H36" s="5">
        <f>(VLOOKUP('9.0.10'!P36,'9.0.10'!$AM$4:$AO$55,3,FALSE))</f>
        <v>0</v>
      </c>
      <c r="I36" s="4">
        <f>(VLOOKUP('9.0.10'!Q36,'9.0.10'!$AM$4:$AO$55,3,FALSE))</f>
        <v>50</v>
      </c>
      <c r="J36" s="4">
        <f>(VLOOKUP('9.0.10'!R36,'9.0.10'!$AM$4:$AO$55,3,FALSE))</f>
        <v>50</v>
      </c>
      <c r="K36" s="4">
        <f>(VLOOKUP('9.0.10'!S36,'9.0.10'!$AM$4:$AO$55,3,FALSE))</f>
        <v>50</v>
      </c>
      <c r="L36" s="4">
        <f>(VLOOKUP('9.0.10'!T36,'9.0.10'!$AM$4:$AO$55,3,FALSE))</f>
        <v>50</v>
      </c>
      <c r="M36" s="4">
        <f>(VLOOKUP('9.0.10'!U36,'9.0.10'!$AM$4:$AO$55,3,FALSE))</f>
        <v>50</v>
      </c>
      <c r="N36" s="4">
        <f>(VLOOKUP('9.0.10'!V36,'9.0.10'!$AM$4:$AO$55,3,FALSE))</f>
        <v>50</v>
      </c>
      <c r="O36" s="5">
        <f>(VLOOKUP('9.0.10'!W36,'9.0.10'!$AM$4:$AO$55,3,FALSE))</f>
        <v>0</v>
      </c>
      <c r="P36" s="5">
        <f>(VLOOKUP('9.0.10'!X36,'9.0.10'!$AM$4:$AO$55,3,FALSE))</f>
        <v>0</v>
      </c>
      <c r="Q36" s="4">
        <f>(VLOOKUP('9.0.10'!Y36,'9.0.10'!$AM$4:$AO$55,3,FALSE))</f>
        <v>0</v>
      </c>
      <c r="R36" s="4">
        <f>(VLOOKUP('9.0.10'!Z36,'9.0.10'!$AM$4:$AO$55,3,FALSE))</f>
        <v>0</v>
      </c>
      <c r="S36" s="4">
        <f>(VLOOKUP('9.0.10'!AA36,'9.0.10'!$AM$4:$AO$55,3,FALSE))</f>
        <v>0</v>
      </c>
      <c r="T36" s="4">
        <f>(VLOOKUP('9.0.10'!AB36,'9.0.10'!$AM$4:$AO$55,3,FALSE))</f>
        <v>0</v>
      </c>
      <c r="U36" s="4">
        <f>(VLOOKUP('9.0.10'!AC36,'9.0.10'!$AM$4:$AO$55,3,FALSE))</f>
        <v>0</v>
      </c>
      <c r="V36" s="4">
        <f>(VLOOKUP('9.0.10'!AD36,'9.0.10'!$AM$4:$AO$55,3,FALSE))</f>
        <v>0</v>
      </c>
      <c r="W36" s="5">
        <f>(VLOOKUP('9.0.10'!AE36,'9.0.10'!$AM$4:$AO$55,3,FALSE))</f>
        <v>0</v>
      </c>
      <c r="X36" s="5">
        <f>(VLOOKUP('9.0.10'!AF36,'9.0.10'!$AM$4:$AO$55,3,FALSE))</f>
        <v>0</v>
      </c>
    </row>
    <row r="37" spans="1:24">
      <c r="A37" s="4">
        <f>(VLOOKUP('9.0.10'!I37,'9.0.10'!$AM$4:$AO$55,3,FALSE))</f>
        <v>0</v>
      </c>
      <c r="B37" s="4">
        <f>(VLOOKUP('9.0.10'!J37,'9.0.10'!$AM$4:$AO$55,3,FALSE))</f>
        <v>0</v>
      </c>
      <c r="C37" s="4">
        <f>(VLOOKUP('9.0.10'!K37,'9.0.10'!$AM$4:$AO$55,3,FALSE))</f>
        <v>0</v>
      </c>
      <c r="D37" s="4">
        <f>(VLOOKUP('9.0.10'!L37,'9.0.10'!$AM$4:$AO$55,3,FALSE))</f>
        <v>0</v>
      </c>
      <c r="E37" s="4">
        <f>(VLOOKUP('9.0.10'!M37,'9.0.10'!$AM$4:$AO$55,3,FALSE))</f>
        <v>0</v>
      </c>
      <c r="F37" s="4">
        <f>(VLOOKUP('9.0.10'!N37,'9.0.10'!$AM$4:$AO$55,3,FALSE))</f>
        <v>0</v>
      </c>
      <c r="G37" s="5">
        <f>(VLOOKUP('9.0.10'!O37,'9.0.10'!$AM$4:$AO$55,3,FALSE))</f>
        <v>0</v>
      </c>
      <c r="H37" s="5">
        <f>(VLOOKUP('9.0.10'!P37,'9.0.10'!$AM$4:$AO$55,3,FALSE))</f>
        <v>0</v>
      </c>
      <c r="I37" s="4">
        <f>(VLOOKUP('9.0.10'!Q37,'9.0.10'!$AM$4:$AO$55,3,FALSE))</f>
        <v>50</v>
      </c>
      <c r="J37" s="4">
        <f>(VLOOKUP('9.0.10'!R37,'9.0.10'!$AM$4:$AO$55,3,FALSE))</f>
        <v>50</v>
      </c>
      <c r="K37" s="4">
        <f>(VLOOKUP('9.0.10'!S37,'9.0.10'!$AM$4:$AO$55,3,FALSE))</f>
        <v>50</v>
      </c>
      <c r="L37" s="4">
        <f>(VLOOKUP('9.0.10'!T37,'9.0.10'!$AM$4:$AO$55,3,FALSE))</f>
        <v>50</v>
      </c>
      <c r="M37" s="4">
        <f>(VLOOKUP('9.0.10'!U37,'9.0.10'!$AM$4:$AO$55,3,FALSE))</f>
        <v>50</v>
      </c>
      <c r="N37" s="4">
        <f>(VLOOKUP('9.0.10'!V37,'9.0.10'!$AM$4:$AO$55,3,FALSE))</f>
        <v>50</v>
      </c>
      <c r="O37" s="5">
        <f>(VLOOKUP('9.0.10'!W37,'9.0.10'!$AM$4:$AO$55,3,FALSE))</f>
        <v>0</v>
      </c>
      <c r="P37" s="5">
        <f>(VLOOKUP('9.0.10'!X37,'9.0.10'!$AM$4:$AO$55,3,FALSE))</f>
        <v>0</v>
      </c>
      <c r="Q37" s="4">
        <f>(VLOOKUP('9.0.10'!Y37,'9.0.10'!$AM$4:$AO$55,3,FALSE))</f>
        <v>0</v>
      </c>
      <c r="R37" s="4">
        <f>(VLOOKUP('9.0.10'!Z37,'9.0.10'!$AM$4:$AO$55,3,FALSE))</f>
        <v>0</v>
      </c>
      <c r="S37" s="4">
        <f>(VLOOKUP('9.0.10'!AA37,'9.0.10'!$AM$4:$AO$55,3,FALSE))</f>
        <v>0</v>
      </c>
      <c r="T37" s="4">
        <f>(VLOOKUP('9.0.10'!AB37,'9.0.10'!$AM$4:$AO$55,3,FALSE))</f>
        <v>0</v>
      </c>
      <c r="U37" s="4">
        <f>(VLOOKUP('9.0.10'!AC37,'9.0.10'!$AM$4:$AO$55,3,FALSE))</f>
        <v>0</v>
      </c>
      <c r="V37" s="4">
        <f>(VLOOKUP('9.0.10'!AD37,'9.0.10'!$AM$4:$AO$55,3,FALSE))</f>
        <v>0</v>
      </c>
      <c r="W37" s="5">
        <f>(VLOOKUP('9.0.10'!AE37,'9.0.10'!$AM$4:$AO$55,3,FALSE))</f>
        <v>0</v>
      </c>
      <c r="X37" s="5">
        <f>(VLOOKUP('9.0.10'!AF37,'9.0.10'!$AM$4:$AO$55,3,FALSE))</f>
        <v>0</v>
      </c>
    </row>
    <row r="38" spans="1:24">
      <c r="A38" s="4">
        <f>(VLOOKUP('9.0.10'!I38,'9.0.10'!$AM$4:$AO$55,3,FALSE))</f>
        <v>0</v>
      </c>
      <c r="B38" s="4">
        <f>(VLOOKUP('9.0.10'!J38,'9.0.10'!$AM$4:$AO$55,3,FALSE))</f>
        <v>0</v>
      </c>
      <c r="C38" s="4">
        <f>(VLOOKUP('9.0.10'!K38,'9.0.10'!$AM$4:$AO$55,3,FALSE))</f>
        <v>0</v>
      </c>
      <c r="D38" s="4">
        <f>(VLOOKUP('9.0.10'!L38,'9.0.10'!$AM$4:$AO$55,3,FALSE))</f>
        <v>0</v>
      </c>
      <c r="E38" s="4">
        <f>(VLOOKUP('9.0.10'!M38,'9.0.10'!$AM$4:$AO$55,3,FALSE))</f>
        <v>0</v>
      </c>
      <c r="F38" s="4">
        <f>(VLOOKUP('9.0.10'!N38,'9.0.10'!$AM$4:$AO$55,3,FALSE))</f>
        <v>0</v>
      </c>
      <c r="G38" s="5">
        <f>(VLOOKUP('9.0.10'!O38,'9.0.10'!$AM$4:$AO$55,3,FALSE))</f>
        <v>0</v>
      </c>
      <c r="H38" s="5">
        <f>(VLOOKUP('9.0.10'!P38,'9.0.10'!$AM$4:$AO$55,3,FALSE))</f>
        <v>0</v>
      </c>
      <c r="I38" s="4">
        <f>(VLOOKUP('9.0.10'!Q38,'9.0.10'!$AM$4:$AO$55,3,FALSE))</f>
        <v>50</v>
      </c>
      <c r="J38" s="4">
        <f>(VLOOKUP('9.0.10'!R38,'9.0.10'!$AM$4:$AO$55,3,FALSE))</f>
        <v>50</v>
      </c>
      <c r="K38" s="4">
        <f>(VLOOKUP('9.0.10'!S38,'9.0.10'!$AM$4:$AO$55,3,FALSE))</f>
        <v>50</v>
      </c>
      <c r="L38" s="4">
        <f>(VLOOKUP('9.0.10'!T38,'9.0.10'!$AM$4:$AO$55,3,FALSE))</f>
        <v>50</v>
      </c>
      <c r="M38" s="4">
        <f>(VLOOKUP('9.0.10'!U38,'9.0.10'!$AM$4:$AO$55,3,FALSE))</f>
        <v>50</v>
      </c>
      <c r="N38" s="4">
        <f>(VLOOKUP('9.0.10'!V38,'9.0.10'!$AM$4:$AO$55,3,FALSE))</f>
        <v>50</v>
      </c>
      <c r="O38" s="5">
        <f>(VLOOKUP('9.0.10'!W38,'9.0.10'!$AM$4:$AO$55,3,FALSE))</f>
        <v>0</v>
      </c>
      <c r="P38" s="5">
        <f>(VLOOKUP('9.0.10'!X38,'9.0.10'!$AM$4:$AO$55,3,FALSE))</f>
        <v>0</v>
      </c>
      <c r="Q38" s="4">
        <f>(VLOOKUP('9.0.10'!Y38,'9.0.10'!$AM$4:$AO$55,3,FALSE))</f>
        <v>45</v>
      </c>
      <c r="R38" s="4">
        <f>(VLOOKUP('9.0.10'!Z38,'9.0.10'!$AM$4:$AO$55,3,FALSE))</f>
        <v>45</v>
      </c>
      <c r="S38" s="4">
        <f>(VLOOKUP('9.0.10'!AA38,'9.0.10'!$AM$4:$AO$55,3,FALSE))</f>
        <v>45</v>
      </c>
      <c r="T38" s="4">
        <f>(VLOOKUP('9.0.10'!AB38,'9.0.10'!$AM$4:$AO$55,3,FALSE))</f>
        <v>45</v>
      </c>
      <c r="U38" s="4">
        <f>(VLOOKUP('9.0.10'!AC38,'9.0.10'!$AM$4:$AO$55,3,FALSE))</f>
        <v>45</v>
      </c>
      <c r="V38" s="4">
        <f>(VLOOKUP('9.0.10'!AD38,'9.0.10'!$AM$4:$AO$55,3,FALSE))</f>
        <v>45</v>
      </c>
      <c r="W38" s="5">
        <f>(VLOOKUP('9.0.10'!AE38,'9.0.10'!$AM$4:$AO$55,3,FALSE))</f>
        <v>0</v>
      </c>
      <c r="X38" s="5">
        <f>(VLOOKUP('9.0.10'!AF38,'9.0.10'!$AM$4:$AO$55,3,FALSE))</f>
        <v>0</v>
      </c>
    </row>
    <row r="39" spans="1:24">
      <c r="A39" s="4">
        <f>(VLOOKUP('9.0.10'!I39,'9.0.10'!$AM$4:$AO$55,3,FALSE))</f>
        <v>0</v>
      </c>
      <c r="B39" s="4">
        <f>(VLOOKUP('9.0.10'!J39,'9.0.10'!$AM$4:$AO$55,3,FALSE))</f>
        <v>0</v>
      </c>
      <c r="C39" s="4">
        <f>(VLOOKUP('9.0.10'!K39,'9.0.10'!$AM$4:$AO$55,3,FALSE))</f>
        <v>0</v>
      </c>
      <c r="D39" s="4">
        <f>(VLOOKUP('9.0.10'!L39,'9.0.10'!$AM$4:$AO$55,3,FALSE))</f>
        <v>0</v>
      </c>
      <c r="E39" s="4">
        <f>(VLOOKUP('9.0.10'!M39,'9.0.10'!$AM$4:$AO$55,3,FALSE))</f>
        <v>0</v>
      </c>
      <c r="F39" s="4">
        <f>(VLOOKUP('9.0.10'!N39,'9.0.10'!$AM$4:$AO$55,3,FALSE))</f>
        <v>0</v>
      </c>
      <c r="G39" s="5">
        <f>(VLOOKUP('9.0.10'!O39,'9.0.10'!$AM$4:$AO$55,3,FALSE))</f>
        <v>0</v>
      </c>
      <c r="H39" s="5">
        <f>(VLOOKUP('9.0.10'!P39,'9.0.10'!$AM$4:$AO$55,3,FALSE))</f>
        <v>0</v>
      </c>
      <c r="I39" s="4">
        <f>(VLOOKUP('9.0.10'!Q39,'9.0.10'!$AM$4:$AO$55,3,FALSE))</f>
        <v>50</v>
      </c>
      <c r="J39" s="4">
        <f>(VLOOKUP('9.0.10'!R39,'9.0.10'!$AM$4:$AO$55,3,FALSE))</f>
        <v>50</v>
      </c>
      <c r="K39" s="4">
        <f>(VLOOKUP('9.0.10'!S39,'9.0.10'!$AM$4:$AO$55,3,FALSE))</f>
        <v>500</v>
      </c>
      <c r="L39" s="4">
        <f>(VLOOKUP('9.0.10'!T39,'9.0.10'!$AM$4:$AO$55,3,FALSE))</f>
        <v>55</v>
      </c>
      <c r="M39" s="4">
        <f>(VLOOKUP('9.0.10'!U39,'9.0.10'!$AM$4:$AO$55,3,FALSE))</f>
        <v>55</v>
      </c>
      <c r="N39" s="4">
        <f>(VLOOKUP('9.0.10'!V39,'9.0.10'!$AM$4:$AO$55,3,FALSE))</f>
        <v>55</v>
      </c>
      <c r="O39" s="5">
        <f>(VLOOKUP('9.0.10'!W39,'9.0.10'!$AM$4:$AO$55,3,FALSE))</f>
        <v>55</v>
      </c>
      <c r="P39" s="5">
        <f>(VLOOKUP('9.0.10'!X39,'9.0.10'!$AM$4:$AO$55,3,FALSE))</f>
        <v>55</v>
      </c>
      <c r="Q39" s="4">
        <f>(VLOOKUP('9.0.10'!Y39,'9.0.10'!$AM$4:$AO$55,3,FALSE))</f>
        <v>45</v>
      </c>
      <c r="R39" s="4">
        <f>(VLOOKUP('9.0.10'!Z39,'9.0.10'!$AM$4:$AO$55,3,FALSE))</f>
        <v>45</v>
      </c>
      <c r="S39" s="4">
        <f>(VLOOKUP('9.0.10'!AA39,'9.0.10'!$AM$4:$AO$55,3,FALSE))</f>
        <v>45</v>
      </c>
      <c r="T39" s="4">
        <f>(VLOOKUP('9.0.10'!AB39,'9.0.10'!$AM$4:$AO$55,3,FALSE))</f>
        <v>45</v>
      </c>
      <c r="U39" s="4">
        <f>(VLOOKUP('9.0.10'!AC39,'9.0.10'!$AM$4:$AO$55,3,FALSE))</f>
        <v>45</v>
      </c>
      <c r="V39" s="4">
        <f>(VLOOKUP('9.0.10'!AD39,'9.0.10'!$AM$4:$AO$55,3,FALSE))</f>
        <v>45</v>
      </c>
      <c r="W39" s="5">
        <f>(VLOOKUP('9.0.10'!AE39,'9.0.10'!$AM$4:$AO$55,3,FALSE))</f>
        <v>0</v>
      </c>
      <c r="X39" s="5">
        <f>(VLOOKUP('9.0.10'!AF39,'9.0.10'!$AM$4:$AO$55,3,FALSE))</f>
        <v>0</v>
      </c>
    </row>
    <row r="40" spans="1:24">
      <c r="A40" s="4">
        <f>(VLOOKUP('9.0.10'!I40,'9.0.10'!$AM$4:$AO$55,3,FALSE))</f>
        <v>0</v>
      </c>
      <c r="B40" s="4">
        <f>(VLOOKUP('9.0.10'!J40,'9.0.10'!$AM$4:$AO$55,3,FALSE))</f>
        <v>0</v>
      </c>
      <c r="C40" s="4">
        <f>(VLOOKUP('9.0.10'!K40,'9.0.10'!$AM$4:$AO$55,3,FALSE))</f>
        <v>0</v>
      </c>
      <c r="D40" s="4">
        <f>(VLOOKUP('9.0.10'!L40,'9.0.10'!$AM$4:$AO$55,3,FALSE))</f>
        <v>0</v>
      </c>
      <c r="E40" s="4">
        <f>(VLOOKUP('9.0.10'!M40,'9.0.10'!$AM$4:$AO$55,3,FALSE))</f>
        <v>0</v>
      </c>
      <c r="F40" s="4">
        <f>(VLOOKUP('9.0.10'!N40,'9.0.10'!$AM$4:$AO$55,3,FALSE))</f>
        <v>0</v>
      </c>
      <c r="G40" s="5">
        <f>(VLOOKUP('9.0.10'!O40,'9.0.10'!$AM$4:$AO$55,3,FALSE))</f>
        <v>0</v>
      </c>
      <c r="H40" s="5">
        <f>(VLOOKUP('9.0.10'!P40,'9.0.10'!$AM$4:$AO$55,3,FALSE))</f>
        <v>0</v>
      </c>
      <c r="I40" s="4">
        <f>(VLOOKUP('9.0.10'!Q40,'9.0.10'!$AM$4:$AO$55,3,FALSE))</f>
        <v>60</v>
      </c>
      <c r="J40" s="4">
        <f>(VLOOKUP('9.0.10'!R40,'9.0.10'!$AM$4:$AO$55,3,FALSE))</f>
        <v>0</v>
      </c>
      <c r="K40" s="4">
        <f>(VLOOKUP('9.0.10'!S40,'9.0.10'!$AM$4:$AO$55,3,FALSE))</f>
        <v>60</v>
      </c>
      <c r="L40" s="4">
        <f>(VLOOKUP('9.0.10'!T40,'9.0.10'!$AM$4:$AO$55,3,FALSE))</f>
        <v>55</v>
      </c>
      <c r="M40" s="4">
        <f>(VLOOKUP('9.0.10'!U40,'9.0.10'!$AM$4:$AO$55,3,FALSE))</f>
        <v>55</v>
      </c>
      <c r="N40" s="4">
        <f>(VLOOKUP('9.0.10'!V40,'9.0.10'!$AM$4:$AO$55,3,FALSE))</f>
        <v>55</v>
      </c>
      <c r="O40" s="5">
        <f>(VLOOKUP('9.0.10'!W40,'9.0.10'!$AM$4:$AO$55,3,FALSE))</f>
        <v>60</v>
      </c>
      <c r="P40" s="5">
        <f>(VLOOKUP('9.0.10'!X40,'9.0.10'!$AM$4:$AO$55,3,FALSE))</f>
        <v>1000</v>
      </c>
      <c r="Q40" s="4">
        <f>(VLOOKUP('9.0.10'!Y40,'9.0.10'!$AM$4:$AO$55,3,FALSE))</f>
        <v>45</v>
      </c>
      <c r="R40" s="4">
        <f>(VLOOKUP('9.0.10'!Z40,'9.0.10'!$AM$4:$AO$55,3,FALSE))</f>
        <v>45</v>
      </c>
      <c r="S40" s="4">
        <f>(VLOOKUP('9.0.10'!AA40,'9.0.10'!$AM$4:$AO$55,3,FALSE))</f>
        <v>45</v>
      </c>
      <c r="T40" s="4">
        <f>(VLOOKUP('9.0.10'!AB40,'9.0.10'!$AM$4:$AO$55,3,FALSE))</f>
        <v>45</v>
      </c>
      <c r="U40" s="4">
        <f>(VLOOKUP('9.0.10'!AC40,'9.0.10'!$AM$4:$AO$55,3,FALSE))</f>
        <v>45</v>
      </c>
      <c r="V40" s="4">
        <f>(VLOOKUP('9.0.10'!AD40,'9.0.10'!$AM$4:$AO$55,3,FALSE))</f>
        <v>45</v>
      </c>
      <c r="W40" s="5">
        <f>(VLOOKUP('9.0.10'!AE40,'9.0.10'!$AM$4:$AO$55,3,FALSE))</f>
        <v>0</v>
      </c>
      <c r="X40" s="5">
        <f>(VLOOKUP('9.0.10'!AF40,'9.0.10'!$AM$4:$AO$55,3,FALSE))</f>
        <v>0</v>
      </c>
    </row>
    <row r="41" spans="1:24">
      <c r="A41" s="4">
        <f>(VLOOKUP('9.0.10'!I41,'9.0.10'!$AM$4:$AO$55,3,FALSE))</f>
        <v>0</v>
      </c>
      <c r="B41" s="4">
        <f>(VLOOKUP('9.0.10'!J41,'9.0.10'!$AM$4:$AO$55,3,FALSE))</f>
        <v>0</v>
      </c>
      <c r="C41" s="4">
        <f>(VLOOKUP('9.0.10'!K41,'9.0.10'!$AM$4:$AO$55,3,FALSE))</f>
        <v>0</v>
      </c>
      <c r="D41" s="4">
        <f>(VLOOKUP('9.0.10'!L41,'9.0.10'!$AM$4:$AO$55,3,FALSE))</f>
        <v>0</v>
      </c>
      <c r="E41" s="4">
        <f>(VLOOKUP('9.0.10'!M41,'9.0.10'!$AM$4:$AO$55,3,FALSE))</f>
        <v>0</v>
      </c>
      <c r="F41" s="4">
        <f>(VLOOKUP('9.0.10'!N41,'9.0.10'!$AM$4:$AO$55,3,FALSE))</f>
        <v>0</v>
      </c>
      <c r="G41" s="5">
        <f>(VLOOKUP('9.0.10'!O41,'9.0.10'!$AM$4:$AO$55,3,FALSE))</f>
        <v>0</v>
      </c>
      <c r="H41" s="5">
        <f>(VLOOKUP('9.0.10'!P41,'9.0.10'!$AM$4:$AO$55,3,FALSE))</f>
        <v>0</v>
      </c>
      <c r="I41" s="4">
        <f>(VLOOKUP('9.0.10'!Q41,'9.0.10'!$AM$4:$AO$55,3,FALSE))</f>
        <v>60</v>
      </c>
      <c r="J41" s="4">
        <f>(VLOOKUP('9.0.10'!R41,'9.0.10'!$AM$4:$AO$55,3,FALSE))</f>
        <v>60</v>
      </c>
      <c r="K41" s="4">
        <f>(VLOOKUP('9.0.10'!S41,'9.0.10'!$AM$4:$AO$55,3,FALSE))</f>
        <v>60</v>
      </c>
      <c r="L41" s="4">
        <f>(VLOOKUP('9.0.10'!T41,'9.0.10'!$AM$4:$AO$55,3,FALSE))</f>
        <v>60</v>
      </c>
      <c r="M41" s="4">
        <f>(VLOOKUP('9.0.10'!U41,'9.0.10'!$AM$4:$AO$55,3,FALSE))</f>
        <v>60</v>
      </c>
      <c r="N41" s="4">
        <f>(VLOOKUP('9.0.10'!V41,'9.0.10'!$AM$4:$AO$55,3,FALSE))</f>
        <v>55</v>
      </c>
      <c r="O41" s="5">
        <f>(VLOOKUP('9.0.10'!W41,'9.0.10'!$AM$4:$AO$55,3,FALSE))</f>
        <v>0</v>
      </c>
      <c r="P41" s="5">
        <f>(VLOOKUP('9.0.10'!X41,'9.0.10'!$AM$4:$AO$55,3,FALSE))</f>
        <v>0</v>
      </c>
      <c r="Q41" s="4">
        <f>(VLOOKUP('9.0.10'!Y41,'9.0.10'!$AM$4:$AO$55,3,FALSE))</f>
        <v>45</v>
      </c>
      <c r="R41" s="4">
        <f>(VLOOKUP('9.0.10'!Z41,'9.0.10'!$AM$4:$AO$55,3,FALSE))</f>
        <v>45</v>
      </c>
      <c r="S41" s="4">
        <f>(VLOOKUP('9.0.10'!AA41,'9.0.10'!$AM$4:$AO$55,3,FALSE))</f>
        <v>45</v>
      </c>
      <c r="T41" s="4">
        <f>(VLOOKUP('9.0.10'!AB41,'9.0.10'!$AM$4:$AO$55,3,FALSE))</f>
        <v>45</v>
      </c>
      <c r="U41" s="4">
        <f>(VLOOKUP('9.0.10'!AC41,'9.0.10'!$AM$4:$AO$55,3,FALSE))</f>
        <v>50</v>
      </c>
      <c r="V41" s="4">
        <f>(VLOOKUP('9.0.10'!AD41,'9.0.10'!$AM$4:$AO$55,3,FALSE))</f>
        <v>50</v>
      </c>
      <c r="W41" s="5">
        <f>(VLOOKUP('9.0.10'!AE41,'9.0.10'!$AM$4:$AO$55,3,FALSE))</f>
        <v>0</v>
      </c>
      <c r="X41" s="5">
        <f>(VLOOKUP('9.0.10'!AF41,'9.0.10'!$AM$4:$AO$55,3,FALSE))</f>
        <v>0</v>
      </c>
    </row>
    <row r="42" spans="1:24">
      <c r="A42" s="4">
        <f>(VLOOKUP('9.0.10'!I42,'9.0.10'!$AM$4:$AO$55,3,FALSE))</f>
        <v>0</v>
      </c>
      <c r="B42" s="4">
        <f>(VLOOKUP('9.0.10'!J42,'9.0.10'!$AM$4:$AO$55,3,FALSE))</f>
        <v>0</v>
      </c>
      <c r="C42" s="4">
        <f>(VLOOKUP('9.0.10'!K42,'9.0.10'!$AM$4:$AO$55,3,FALSE))</f>
        <v>0</v>
      </c>
      <c r="D42" s="4">
        <f>(VLOOKUP('9.0.10'!L42,'9.0.10'!$AM$4:$AO$55,3,FALSE))</f>
        <v>0</v>
      </c>
      <c r="E42" s="4">
        <f>(VLOOKUP('9.0.10'!M42,'9.0.10'!$AM$4:$AO$55,3,FALSE))</f>
        <v>0</v>
      </c>
      <c r="F42" s="4">
        <f>(VLOOKUP('9.0.10'!N42,'9.0.10'!$AM$4:$AO$55,3,FALSE))</f>
        <v>0</v>
      </c>
      <c r="G42" s="5">
        <f>(VLOOKUP('9.0.10'!O42,'9.0.10'!$AM$4:$AO$55,3,FALSE))</f>
        <v>0</v>
      </c>
      <c r="H42" s="5">
        <f>(VLOOKUP('9.0.10'!P42,'9.0.10'!$AM$4:$AO$55,3,FALSE))</f>
        <v>0</v>
      </c>
      <c r="I42" s="4">
        <f>(VLOOKUP('9.0.10'!Q42,'9.0.10'!$AM$4:$AO$55,3,FALSE))</f>
        <v>55</v>
      </c>
      <c r="J42" s="4">
        <f>(VLOOKUP('9.0.10'!R42,'9.0.10'!$AM$4:$AO$55,3,FALSE))</f>
        <v>55</v>
      </c>
      <c r="K42" s="4">
        <f>(VLOOKUP('9.0.10'!S42,'9.0.10'!$AM$4:$AO$55,3,FALSE))</f>
        <v>55</v>
      </c>
      <c r="L42" s="4">
        <f>(VLOOKUP('9.0.10'!T42,'9.0.10'!$AM$4:$AO$55,3,FALSE))</f>
        <v>60</v>
      </c>
      <c r="M42" s="4">
        <f>(VLOOKUP('9.0.10'!U42,'9.0.10'!$AM$4:$AO$55,3,FALSE))</f>
        <v>60</v>
      </c>
      <c r="N42" s="4">
        <f>(VLOOKUP('9.0.10'!V42,'9.0.10'!$AM$4:$AO$55,3,FALSE))</f>
        <v>60</v>
      </c>
      <c r="O42" s="5">
        <f>(VLOOKUP('9.0.10'!W42,'9.0.10'!$AM$4:$AO$55,3,FALSE))</f>
        <v>0</v>
      </c>
      <c r="P42" s="5">
        <f>(VLOOKUP('9.0.10'!X42,'9.0.10'!$AM$4:$AO$55,3,FALSE))</f>
        <v>0</v>
      </c>
      <c r="Q42" s="4">
        <f>(VLOOKUP('9.0.10'!Y42,'9.0.10'!$AM$4:$AO$55,3,FALSE))</f>
        <v>50</v>
      </c>
      <c r="R42" s="4">
        <f>(VLOOKUP('9.0.10'!Z42,'9.0.10'!$AM$4:$AO$55,3,FALSE))</f>
        <v>50</v>
      </c>
      <c r="S42" s="4">
        <f>(VLOOKUP('9.0.10'!AA42,'9.0.10'!$AM$4:$AO$55,3,FALSE))</f>
        <v>50</v>
      </c>
      <c r="T42" s="4">
        <f>(VLOOKUP('9.0.10'!AB42,'9.0.10'!$AM$4:$AO$55,3,FALSE))</f>
        <v>50</v>
      </c>
      <c r="U42" s="4">
        <f>(VLOOKUP('9.0.10'!AC42,'9.0.10'!$AM$4:$AO$55,3,FALSE))</f>
        <v>30</v>
      </c>
      <c r="V42" s="4">
        <f>(VLOOKUP('9.0.10'!AD42,'9.0.10'!$AM$4:$AO$55,3,FALSE))</f>
        <v>50</v>
      </c>
      <c r="W42" s="5">
        <f>(VLOOKUP('9.0.10'!AE42,'9.0.10'!$AM$4:$AO$55,3,FALSE))</f>
        <v>0</v>
      </c>
      <c r="X42" s="5">
        <f>(VLOOKUP('9.0.10'!AF42,'9.0.10'!$AM$4:$AO$55,3,FALSE))</f>
        <v>0</v>
      </c>
    </row>
    <row r="43" spans="1:24">
      <c r="A43" s="4">
        <f>(VLOOKUP('9.0.10'!I43,'9.0.10'!$AM$4:$AO$55,3,FALSE))</f>
        <v>0</v>
      </c>
      <c r="B43" s="4">
        <f>(VLOOKUP('9.0.10'!J43,'9.0.10'!$AM$4:$AO$55,3,FALSE))</f>
        <v>0</v>
      </c>
      <c r="C43" s="4">
        <f>(VLOOKUP('9.0.10'!K43,'9.0.10'!$AM$4:$AO$55,3,FALSE))</f>
        <v>0</v>
      </c>
      <c r="D43" s="4">
        <f>(VLOOKUP('9.0.10'!L43,'9.0.10'!$AM$4:$AO$55,3,FALSE))</f>
        <v>0</v>
      </c>
      <c r="E43" s="4">
        <f>(VLOOKUP('9.0.10'!M43,'9.0.10'!$AM$4:$AO$55,3,FALSE))</f>
        <v>0</v>
      </c>
      <c r="F43" s="4">
        <f>(VLOOKUP('9.0.10'!N43,'9.0.10'!$AM$4:$AO$55,3,FALSE))</f>
        <v>0</v>
      </c>
      <c r="G43" s="5">
        <f>(VLOOKUP('9.0.10'!O43,'9.0.10'!$AM$4:$AO$55,3,FALSE))</f>
        <v>0</v>
      </c>
      <c r="H43" s="5">
        <f>(VLOOKUP('9.0.10'!P43,'9.0.10'!$AM$4:$AO$55,3,FALSE))</f>
        <v>0</v>
      </c>
      <c r="I43" s="4">
        <f>(VLOOKUP('9.0.10'!Q43,'9.0.10'!$AM$4:$AO$55,3,FALSE))</f>
        <v>55</v>
      </c>
      <c r="J43" s="4">
        <f>(VLOOKUP('9.0.10'!R43,'9.0.10'!$AM$4:$AO$55,3,FALSE))</f>
        <v>55</v>
      </c>
      <c r="K43" s="4">
        <f>(VLOOKUP('9.0.10'!S43,'9.0.10'!$AM$4:$AO$55,3,FALSE))</f>
        <v>60</v>
      </c>
      <c r="L43" s="4">
        <f>(VLOOKUP('9.0.10'!T43,'9.0.10'!$AM$4:$AO$55,3,FALSE))</f>
        <v>60</v>
      </c>
      <c r="M43" s="4">
        <f>(VLOOKUP('9.0.10'!U43,'9.0.10'!$AM$4:$AO$55,3,FALSE))</f>
        <v>60</v>
      </c>
      <c r="N43" s="4">
        <f>(VLOOKUP('9.0.10'!V43,'9.0.10'!$AM$4:$AO$55,3,FALSE))</f>
        <v>60</v>
      </c>
      <c r="O43" s="5">
        <f>(VLOOKUP('9.0.10'!W43,'9.0.10'!$AM$4:$AO$55,3,FALSE))</f>
        <v>0</v>
      </c>
      <c r="P43" s="5">
        <f>(VLOOKUP('9.0.10'!X43,'9.0.10'!$AM$4:$AO$55,3,FALSE))</f>
        <v>0</v>
      </c>
      <c r="Q43" s="4">
        <f>(VLOOKUP('9.0.10'!Y43,'9.0.10'!$AM$4:$AO$55,3,FALSE))</f>
        <v>50</v>
      </c>
      <c r="R43" s="4">
        <f>(VLOOKUP('9.0.10'!Z43,'9.0.10'!$AM$4:$AO$55,3,FALSE))</f>
        <v>50</v>
      </c>
      <c r="S43" s="4">
        <f>(VLOOKUP('9.0.10'!AA43,'9.0.10'!$AM$4:$AO$55,3,FALSE))</f>
        <v>50</v>
      </c>
      <c r="T43" s="4">
        <f>(VLOOKUP('9.0.10'!AB43,'9.0.10'!$AM$4:$AO$55,3,FALSE))</f>
        <v>50</v>
      </c>
      <c r="U43" s="4">
        <f>(VLOOKUP('9.0.10'!AC43,'9.0.10'!$AM$4:$AO$55,3,FALSE))</f>
        <v>50</v>
      </c>
      <c r="V43" s="4">
        <f>(VLOOKUP('9.0.10'!AD43,'9.0.10'!$AM$4:$AO$55,3,FALSE))</f>
        <v>50</v>
      </c>
      <c r="W43" s="5">
        <f>(VLOOKUP('9.0.10'!AE43,'9.0.10'!$AM$4:$AO$55,3,FALSE))</f>
        <v>0</v>
      </c>
      <c r="X43" s="5">
        <f>(VLOOKUP('9.0.10'!AF43,'9.0.10'!$AM$4:$AO$55,3,FALSE))</f>
        <v>0</v>
      </c>
    </row>
    <row r="44" spans="1:24">
      <c r="A44" s="4">
        <f>(VLOOKUP('9.0.10'!I44,'9.0.10'!$AM$4:$AO$55,3,FALSE))</f>
        <v>0</v>
      </c>
      <c r="B44" s="4">
        <f>(VLOOKUP('9.0.10'!J44,'9.0.10'!$AM$4:$AO$55,3,FALSE))</f>
        <v>0</v>
      </c>
      <c r="C44" s="4">
        <f>(VLOOKUP('9.0.10'!K44,'9.0.10'!$AM$4:$AO$55,3,FALSE))</f>
        <v>0</v>
      </c>
      <c r="D44" s="4">
        <f>(VLOOKUP('9.0.10'!L44,'9.0.10'!$AM$4:$AO$55,3,FALSE))</f>
        <v>0</v>
      </c>
      <c r="E44" s="4">
        <f>(VLOOKUP('9.0.10'!M44,'9.0.10'!$AM$4:$AO$55,3,FALSE))</f>
        <v>0</v>
      </c>
      <c r="F44" s="4">
        <f>(VLOOKUP('9.0.10'!N44,'9.0.10'!$AM$4:$AO$55,3,FALSE))</f>
        <v>0</v>
      </c>
      <c r="G44" s="5">
        <f>(VLOOKUP('9.0.10'!O44,'9.0.10'!$AM$4:$AO$55,3,FALSE))</f>
        <v>0</v>
      </c>
      <c r="H44" s="5">
        <f>(VLOOKUP('9.0.10'!P44,'9.0.10'!$AM$4:$AO$55,3,FALSE))</f>
        <v>0</v>
      </c>
      <c r="I44" s="4">
        <f>(VLOOKUP('9.0.10'!Q44,'9.0.10'!$AM$4:$AO$55,3,FALSE))</f>
        <v>60</v>
      </c>
      <c r="J44" s="4">
        <f>(VLOOKUP('9.0.10'!R44,'9.0.10'!$AM$4:$AO$55,3,FALSE))</f>
        <v>60</v>
      </c>
      <c r="K44" s="4">
        <f>(VLOOKUP('9.0.10'!S44,'9.0.10'!$AM$4:$AO$55,3,FALSE))</f>
        <v>60</v>
      </c>
      <c r="L44" s="4">
        <f>(VLOOKUP('9.0.10'!T44,'9.0.10'!$AM$4:$AO$55,3,FALSE))</f>
        <v>60</v>
      </c>
      <c r="M44" s="4">
        <f>(VLOOKUP('9.0.10'!U44,'9.0.10'!$AM$4:$AO$55,3,FALSE))</f>
        <v>60</v>
      </c>
      <c r="N44" s="4">
        <f>(VLOOKUP('9.0.10'!V44,'9.0.10'!$AM$4:$AO$55,3,FALSE))</f>
        <v>60</v>
      </c>
      <c r="O44" s="5">
        <f>(VLOOKUP('9.0.10'!W44,'9.0.10'!$AM$4:$AO$55,3,FALSE))</f>
        <v>0</v>
      </c>
      <c r="P44" s="5">
        <f>(VLOOKUP('9.0.10'!X44,'9.0.10'!$AM$4:$AO$55,3,FALSE))</f>
        <v>0</v>
      </c>
      <c r="Q44" s="4">
        <f>(VLOOKUP('9.0.10'!Y44,'9.0.10'!$AM$4:$AO$55,3,FALSE))</f>
        <v>50</v>
      </c>
      <c r="R44" s="4">
        <f>(VLOOKUP('9.0.10'!Z44,'9.0.10'!$AM$4:$AO$55,3,FALSE))</f>
        <v>50</v>
      </c>
      <c r="S44" s="4">
        <f>(VLOOKUP('9.0.10'!AA44,'9.0.10'!$AM$4:$AO$55,3,FALSE))</f>
        <v>0</v>
      </c>
      <c r="T44" s="4">
        <f>(VLOOKUP('9.0.10'!AB44,'9.0.10'!$AM$4:$AO$55,3,FALSE))</f>
        <v>50</v>
      </c>
      <c r="U44" s="4">
        <f>(VLOOKUP('9.0.10'!AC44,'9.0.10'!$AM$4:$AO$55,3,FALSE))</f>
        <v>50</v>
      </c>
      <c r="V44" s="4">
        <f>(VLOOKUP('9.0.10'!AD44,'9.0.10'!$AM$4:$AO$55,3,FALSE))</f>
        <v>50</v>
      </c>
      <c r="W44" s="5">
        <f>(VLOOKUP('9.0.10'!AE44,'9.0.10'!$AM$4:$AO$55,3,FALSE))</f>
        <v>50</v>
      </c>
      <c r="X44" s="5">
        <f>(VLOOKUP('9.0.10'!AF44,'9.0.10'!$AM$4:$AO$55,3,FALSE))</f>
        <v>50</v>
      </c>
    </row>
    <row r="45" spans="1:24">
      <c r="A45" s="4">
        <f>(VLOOKUP('9.0.10'!I45,'9.0.10'!$AM$4:$AO$55,3,FALSE))</f>
        <v>0</v>
      </c>
      <c r="B45" s="4">
        <f>(VLOOKUP('9.0.10'!J45,'9.0.10'!$AM$4:$AO$55,3,FALSE))</f>
        <v>0</v>
      </c>
      <c r="C45" s="4">
        <f>(VLOOKUP('9.0.10'!K45,'9.0.10'!$AM$4:$AO$55,3,FALSE))</f>
        <v>0</v>
      </c>
      <c r="D45" s="4">
        <f>(VLOOKUP('9.0.10'!L45,'9.0.10'!$AM$4:$AO$55,3,FALSE))</f>
        <v>0</v>
      </c>
      <c r="E45" s="4">
        <f>(VLOOKUP('9.0.10'!M45,'9.0.10'!$AM$4:$AO$55,3,FALSE))</f>
        <v>0</v>
      </c>
      <c r="F45" s="4">
        <f>(VLOOKUP('9.0.10'!N45,'9.0.10'!$AM$4:$AO$55,3,FALSE))</f>
        <v>0</v>
      </c>
      <c r="G45" s="5">
        <f>(VLOOKUP('9.0.10'!O45,'9.0.10'!$AM$4:$AO$55,3,FALSE))</f>
        <v>0</v>
      </c>
      <c r="H45" s="5">
        <f>(VLOOKUP('9.0.10'!P45,'9.0.10'!$AM$4:$AO$55,3,FALSE))</f>
        <v>0</v>
      </c>
      <c r="I45" s="4">
        <f>(VLOOKUP('9.0.10'!Q45,'9.0.10'!$AM$4:$AO$55,3,FALSE))</f>
        <v>60</v>
      </c>
      <c r="J45" s="4">
        <f>(VLOOKUP('9.0.10'!R45,'9.0.10'!$AM$4:$AO$55,3,FALSE))</f>
        <v>60</v>
      </c>
      <c r="K45" s="4">
        <f>(VLOOKUP('9.0.10'!S45,'9.0.10'!$AM$4:$AO$55,3,FALSE))</f>
        <v>60</v>
      </c>
      <c r="L45" s="4">
        <f>(VLOOKUP('9.0.10'!T45,'9.0.10'!$AM$4:$AO$55,3,FALSE))</f>
        <v>60</v>
      </c>
      <c r="M45" s="4">
        <f>(VLOOKUP('9.0.10'!U45,'9.0.10'!$AM$4:$AO$55,3,FALSE))</f>
        <v>60</v>
      </c>
      <c r="N45" s="4">
        <f>(VLOOKUP('9.0.10'!V45,'9.0.10'!$AM$4:$AO$55,3,FALSE))</f>
        <v>60</v>
      </c>
      <c r="O45" s="5">
        <f>(VLOOKUP('9.0.10'!W45,'9.0.10'!$AM$4:$AO$55,3,FALSE))</f>
        <v>0</v>
      </c>
      <c r="P45" s="5">
        <f>(VLOOKUP('9.0.10'!X45,'9.0.10'!$AM$4:$AO$55,3,FALSE))</f>
        <v>0</v>
      </c>
      <c r="Q45" s="4">
        <f>(VLOOKUP('9.0.10'!Y45,'9.0.10'!$AM$4:$AO$55,3,FALSE))</f>
        <v>500</v>
      </c>
      <c r="R45" s="4">
        <f>(VLOOKUP('9.0.10'!Z45,'9.0.10'!$AM$4:$AO$55,3,FALSE))</f>
        <v>55</v>
      </c>
      <c r="S45" s="4">
        <f>(VLOOKUP('9.0.10'!AA45,'9.0.10'!$AM$4:$AO$55,3,FALSE))</f>
        <v>60</v>
      </c>
      <c r="T45" s="4">
        <f>(VLOOKUP('9.0.10'!AB45,'9.0.10'!$AM$4:$AO$55,3,FALSE))</f>
        <v>60</v>
      </c>
      <c r="U45" s="4">
        <f>(VLOOKUP('9.0.10'!AC45,'9.0.10'!$AM$4:$AO$55,3,FALSE))</f>
        <v>55</v>
      </c>
      <c r="V45" s="4">
        <f>(VLOOKUP('9.0.10'!AD45,'9.0.10'!$AM$4:$AO$55,3,FALSE))</f>
        <v>55</v>
      </c>
      <c r="W45" s="5">
        <f>(VLOOKUP('9.0.10'!AE45,'9.0.10'!$AM$4:$AO$55,3,FALSE))</f>
        <v>0</v>
      </c>
      <c r="X45" s="5">
        <f>(VLOOKUP('9.0.10'!AF45,'9.0.10'!$AM$4:$AO$55,3,FALSE))</f>
        <v>0</v>
      </c>
    </row>
    <row r="46" spans="1:24">
      <c r="A46" s="4">
        <f>(VLOOKUP('9.0.10'!I46,'9.0.10'!$AM$4:$AO$55,3,FALSE))</f>
        <v>0</v>
      </c>
      <c r="B46" s="4">
        <f>(VLOOKUP('9.0.10'!J46,'9.0.10'!$AM$4:$AO$55,3,FALSE))</f>
        <v>0</v>
      </c>
      <c r="C46" s="4">
        <f>(VLOOKUP('9.0.10'!K46,'9.0.10'!$AM$4:$AO$55,3,FALSE))</f>
        <v>0</v>
      </c>
      <c r="D46" s="4">
        <f>(VLOOKUP('9.0.10'!L46,'9.0.10'!$AM$4:$AO$55,3,FALSE))</f>
        <v>0</v>
      </c>
      <c r="E46" s="4">
        <f>(VLOOKUP('9.0.10'!M46,'9.0.10'!$AM$4:$AO$55,3,FALSE))</f>
        <v>0</v>
      </c>
      <c r="F46" s="4">
        <f>(VLOOKUP('9.0.10'!N46,'9.0.10'!$AM$4:$AO$55,3,FALSE))</f>
        <v>0</v>
      </c>
      <c r="G46" s="5">
        <f>(VLOOKUP('9.0.10'!O46,'9.0.10'!$AM$4:$AO$55,3,FALSE))</f>
        <v>0</v>
      </c>
      <c r="H46" s="5">
        <f>(VLOOKUP('9.0.10'!P46,'9.0.10'!$AM$4:$AO$55,3,FALSE))</f>
        <v>0</v>
      </c>
      <c r="I46" s="4">
        <f>(VLOOKUP('9.0.10'!Q46,'9.0.10'!$AM$4:$AO$55,3,FALSE))</f>
        <v>60</v>
      </c>
      <c r="J46" s="4">
        <f>(VLOOKUP('9.0.10'!R46,'9.0.10'!$AM$4:$AO$55,3,FALSE))</f>
        <v>60</v>
      </c>
      <c r="K46" s="4">
        <f>(VLOOKUP('9.0.10'!S46,'9.0.10'!$AM$4:$AO$55,3,FALSE))</f>
        <v>60</v>
      </c>
      <c r="L46" s="4">
        <f>(VLOOKUP('9.0.10'!T46,'9.0.10'!$AM$4:$AO$55,3,FALSE))</f>
        <v>60</v>
      </c>
      <c r="M46" s="4">
        <f>(VLOOKUP('9.0.10'!U46,'9.0.10'!$AM$4:$AO$55,3,FALSE))</f>
        <v>60</v>
      </c>
      <c r="N46" s="4">
        <f>(VLOOKUP('9.0.10'!V46,'9.0.10'!$AM$4:$AO$55,3,FALSE))</f>
        <v>60</v>
      </c>
      <c r="O46" s="5">
        <f>(VLOOKUP('9.0.10'!W46,'9.0.10'!$AM$4:$AO$55,3,FALSE))</f>
        <v>0</v>
      </c>
      <c r="P46" s="5">
        <f>(VLOOKUP('9.0.10'!X46,'9.0.10'!$AM$4:$AO$55,3,FALSE))</f>
        <v>0</v>
      </c>
      <c r="Q46" s="4">
        <f>(VLOOKUP('9.0.10'!Y46,'9.0.10'!$AM$4:$AO$55,3,FALSE))</f>
        <v>55</v>
      </c>
      <c r="R46" s="4">
        <f>(VLOOKUP('9.0.10'!Z46,'9.0.10'!$AM$4:$AO$55,3,FALSE))</f>
        <v>55</v>
      </c>
      <c r="S46" s="4">
        <f>(VLOOKUP('9.0.10'!AA46,'9.0.10'!$AM$4:$AO$55,3,FALSE))</f>
        <v>55</v>
      </c>
      <c r="T46" s="4">
        <f>(VLOOKUP('9.0.10'!AB46,'9.0.10'!$AM$4:$AO$55,3,FALSE))</f>
        <v>55</v>
      </c>
      <c r="U46" s="4">
        <f>(VLOOKUP('9.0.10'!AC46,'9.0.10'!$AM$4:$AO$55,3,FALSE))</f>
        <v>55</v>
      </c>
      <c r="V46" s="4">
        <f>(VLOOKUP('9.0.10'!AD46,'9.0.10'!$AM$4:$AO$55,3,FALSE))</f>
        <v>55</v>
      </c>
      <c r="W46" s="5">
        <f>(VLOOKUP('9.0.10'!AE46,'9.0.10'!$AM$4:$AO$55,3,FALSE))</f>
        <v>0</v>
      </c>
      <c r="X46" s="5">
        <f>(VLOOKUP('9.0.10'!AF46,'9.0.10'!$AM$4:$AO$55,3,FALSE))</f>
        <v>0</v>
      </c>
    </row>
    <row r="47" spans="1:24">
      <c r="A47" s="4">
        <f>(VLOOKUP('9.0.10'!I47,'9.0.10'!$AM$4:$AO$55,3,FALSE))</f>
        <v>0</v>
      </c>
      <c r="B47" s="4">
        <f>(VLOOKUP('9.0.10'!J47,'9.0.10'!$AM$4:$AO$55,3,FALSE))</f>
        <v>0</v>
      </c>
      <c r="C47" s="4">
        <f>(VLOOKUP('9.0.10'!K47,'9.0.10'!$AM$4:$AO$55,3,FALSE))</f>
        <v>0</v>
      </c>
      <c r="D47" s="4">
        <f>(VLOOKUP('9.0.10'!L47,'9.0.10'!$AM$4:$AO$55,3,FALSE))</f>
        <v>0</v>
      </c>
      <c r="E47" s="4">
        <f>(VLOOKUP('9.0.10'!M47,'9.0.10'!$AM$4:$AO$55,3,FALSE))</f>
        <v>0</v>
      </c>
      <c r="F47" s="4">
        <f>(VLOOKUP('9.0.10'!N47,'9.0.10'!$AM$4:$AO$55,3,FALSE))</f>
        <v>0</v>
      </c>
      <c r="G47" s="5">
        <f>(VLOOKUP('9.0.10'!O47,'9.0.10'!$AM$4:$AO$55,3,FALSE))</f>
        <v>0</v>
      </c>
      <c r="H47" s="5">
        <f>(VLOOKUP('9.0.10'!P47,'9.0.10'!$AM$4:$AO$55,3,FALSE))</f>
        <v>0</v>
      </c>
      <c r="I47" s="4">
        <f>(VLOOKUP('9.0.10'!Q47,'9.0.10'!$AM$4:$AO$55,3,FALSE))</f>
        <v>60</v>
      </c>
      <c r="J47" s="4">
        <f>(VLOOKUP('9.0.10'!R47,'9.0.10'!$AM$4:$AO$55,3,FALSE))</f>
        <v>60</v>
      </c>
      <c r="K47" s="4">
        <f>(VLOOKUP('9.0.10'!S47,'9.0.10'!$AM$4:$AO$55,3,FALSE))</f>
        <v>60</v>
      </c>
      <c r="L47" s="4">
        <f>(VLOOKUP('9.0.10'!T47,'9.0.10'!$AM$4:$AO$55,3,FALSE))</f>
        <v>60</v>
      </c>
      <c r="M47" s="4">
        <f>(VLOOKUP('9.0.10'!U47,'9.0.10'!$AM$4:$AO$55,3,FALSE))</f>
        <v>60</v>
      </c>
      <c r="N47" s="4">
        <f>(VLOOKUP('9.0.10'!V47,'9.0.10'!$AM$4:$AO$55,3,FALSE))</f>
        <v>60</v>
      </c>
      <c r="O47" s="5">
        <f>(VLOOKUP('9.0.10'!W47,'9.0.10'!$AM$4:$AO$55,3,FALSE))</f>
        <v>0</v>
      </c>
      <c r="P47" s="5">
        <f>(VLOOKUP('9.0.10'!X47,'9.0.10'!$AM$4:$AO$55,3,FALSE))</f>
        <v>0</v>
      </c>
      <c r="Q47" s="4">
        <f>(VLOOKUP('9.0.10'!Y47,'9.0.10'!$AM$4:$AO$55,3,FALSE))</f>
        <v>55</v>
      </c>
      <c r="R47" s="4">
        <f>(VLOOKUP('9.0.10'!Z47,'9.0.10'!$AM$4:$AO$55,3,FALSE))</f>
        <v>55</v>
      </c>
      <c r="S47" s="4">
        <f>(VLOOKUP('9.0.10'!AA47,'9.0.10'!$AM$4:$AO$55,3,FALSE))</f>
        <v>55</v>
      </c>
      <c r="T47" s="4">
        <f>(VLOOKUP('9.0.10'!AB47,'9.0.10'!$AM$4:$AO$55,3,FALSE))</f>
        <v>55</v>
      </c>
      <c r="U47" s="4">
        <f>(VLOOKUP('9.0.10'!AC47,'9.0.10'!$AM$4:$AO$55,3,FALSE))</f>
        <v>55</v>
      </c>
      <c r="V47" s="4">
        <f>(VLOOKUP('9.0.10'!AD47,'9.0.10'!$AM$4:$AO$55,3,FALSE))</f>
        <v>55</v>
      </c>
      <c r="W47" s="5">
        <f>(VLOOKUP('9.0.10'!AE47,'9.0.10'!$AM$4:$AO$55,3,FALSE))</f>
        <v>0</v>
      </c>
      <c r="X47" s="5">
        <f>(VLOOKUP('9.0.10'!AF47,'9.0.10'!$AM$4:$AO$55,3,FALSE))</f>
        <v>0</v>
      </c>
    </row>
    <row r="48" spans="1:24">
      <c r="A48" s="4">
        <f>(VLOOKUP('9.0.10'!I48,'9.0.10'!$AM$4:$AO$55,3,FALSE))</f>
        <v>0</v>
      </c>
      <c r="B48" s="4">
        <f>(VLOOKUP('9.0.10'!J48,'9.0.10'!$AM$4:$AO$55,3,FALSE))</f>
        <v>0</v>
      </c>
      <c r="C48" s="4">
        <f>(VLOOKUP('9.0.10'!K48,'9.0.10'!$AM$4:$AO$55,3,FALSE))</f>
        <v>0</v>
      </c>
      <c r="D48" s="4">
        <f>(VLOOKUP('9.0.10'!L48,'9.0.10'!$AM$4:$AO$55,3,FALSE))</f>
        <v>0</v>
      </c>
      <c r="E48" s="4">
        <f>(VLOOKUP('9.0.10'!M48,'9.0.10'!$AM$4:$AO$55,3,FALSE))</f>
        <v>0</v>
      </c>
      <c r="F48" s="4">
        <f>(VLOOKUP('9.0.10'!N48,'9.0.10'!$AM$4:$AO$55,3,FALSE))</f>
        <v>0</v>
      </c>
      <c r="G48" s="5">
        <f>(VLOOKUP('9.0.10'!O48,'9.0.10'!$AM$4:$AO$55,3,FALSE))</f>
        <v>0</v>
      </c>
      <c r="H48" s="5">
        <f>(VLOOKUP('9.0.10'!P48,'9.0.10'!$AM$4:$AO$55,3,FALSE))</f>
        <v>0</v>
      </c>
      <c r="I48" s="4">
        <f>(VLOOKUP('9.0.10'!Q48,'9.0.10'!$AM$4:$AO$55,3,FALSE))</f>
        <v>60</v>
      </c>
      <c r="J48" s="4">
        <f>(VLOOKUP('9.0.10'!R48,'9.0.10'!$AM$4:$AO$55,3,FALSE))</f>
        <v>55</v>
      </c>
      <c r="K48" s="4">
        <f>(VLOOKUP('9.0.10'!S48,'9.0.10'!$AM$4:$AO$55,3,FALSE))</f>
        <v>55</v>
      </c>
      <c r="L48" s="4">
        <f>(VLOOKUP('9.0.10'!T48,'9.0.10'!$AM$4:$AO$55,3,FALSE))</f>
        <v>55</v>
      </c>
      <c r="M48" s="4">
        <f>(VLOOKUP('9.0.10'!U48,'9.0.10'!$AM$4:$AO$55,3,FALSE))</f>
        <v>60</v>
      </c>
      <c r="N48" s="4">
        <f>(VLOOKUP('9.0.10'!V48,'9.0.10'!$AM$4:$AO$55,3,FALSE))</f>
        <v>55</v>
      </c>
      <c r="O48" s="5">
        <f>(VLOOKUP('9.0.10'!W48,'9.0.10'!$AM$4:$AO$55,3,FALSE))</f>
        <v>0</v>
      </c>
      <c r="P48" s="5">
        <f>(VLOOKUP('9.0.10'!X48,'9.0.10'!$AM$4:$AO$55,3,FALSE))</f>
        <v>0</v>
      </c>
      <c r="Q48" s="4">
        <f>(VLOOKUP('9.0.10'!Y48,'9.0.10'!$AM$4:$AO$55,3,FALSE))</f>
        <v>55</v>
      </c>
      <c r="R48" s="4">
        <f>(VLOOKUP('9.0.10'!Z48,'9.0.10'!$AM$4:$AO$55,3,FALSE))</f>
        <v>55</v>
      </c>
      <c r="S48" s="4">
        <f>(VLOOKUP('9.0.10'!AA48,'9.0.10'!$AM$4:$AO$55,3,FALSE))</f>
        <v>55</v>
      </c>
      <c r="T48" s="4">
        <f>(VLOOKUP('9.0.10'!AB48,'9.0.10'!$AM$4:$AO$55,3,FALSE))</f>
        <v>55</v>
      </c>
      <c r="U48" s="4">
        <f>(VLOOKUP('9.0.10'!AC48,'9.0.10'!$AM$4:$AO$55,3,FALSE))</f>
        <v>55</v>
      </c>
      <c r="V48" s="4">
        <f>(VLOOKUP('9.0.10'!AD48,'9.0.10'!$AM$4:$AO$55,3,FALSE))</f>
        <v>55</v>
      </c>
      <c r="W48" s="5">
        <f>(VLOOKUP('9.0.10'!AE48,'9.0.10'!$AM$4:$AO$55,3,FALSE))</f>
        <v>0</v>
      </c>
      <c r="X48" s="5">
        <f>(VLOOKUP('9.0.10'!AF48,'9.0.10'!$AM$4:$AO$55,3,FALSE))</f>
        <v>0</v>
      </c>
    </row>
    <row r="49" spans="1:24">
      <c r="A49" s="4">
        <f>(VLOOKUP('9.0.10'!I49,'9.0.10'!$AM$4:$AO$55,3,FALSE))</f>
        <v>0</v>
      </c>
      <c r="B49" s="4">
        <f>(VLOOKUP('9.0.10'!J49,'9.0.10'!$AM$4:$AO$55,3,FALSE))</f>
        <v>0</v>
      </c>
      <c r="C49" s="4">
        <f>(VLOOKUP('9.0.10'!K49,'9.0.10'!$AM$4:$AO$55,3,FALSE))</f>
        <v>0</v>
      </c>
      <c r="D49" s="4">
        <f>(VLOOKUP('9.0.10'!L49,'9.0.10'!$AM$4:$AO$55,3,FALSE))</f>
        <v>0</v>
      </c>
      <c r="E49" s="4">
        <f>(VLOOKUP('9.0.10'!M49,'9.0.10'!$AM$4:$AO$55,3,FALSE))</f>
        <v>0</v>
      </c>
      <c r="F49" s="4">
        <f>(VLOOKUP('9.0.10'!N49,'9.0.10'!$AM$4:$AO$55,3,FALSE))</f>
        <v>0</v>
      </c>
      <c r="G49" s="5">
        <f>(VLOOKUP('9.0.10'!O49,'9.0.10'!$AM$4:$AO$55,3,FALSE))</f>
        <v>0</v>
      </c>
      <c r="H49" s="5">
        <f>(VLOOKUP('9.0.10'!P49,'9.0.10'!$AM$4:$AO$55,3,FALSE))</f>
        <v>0</v>
      </c>
      <c r="I49" s="4">
        <f>(VLOOKUP('9.0.10'!Q49,'9.0.10'!$AM$4:$AO$55,3,FALSE))</f>
        <v>60</v>
      </c>
      <c r="J49" s="4">
        <f>(VLOOKUP('9.0.10'!R49,'9.0.10'!$AM$4:$AO$55,3,FALSE))</f>
        <v>55</v>
      </c>
      <c r="K49" s="4">
        <f>(VLOOKUP('9.0.10'!S49,'9.0.10'!$AM$4:$AO$55,3,FALSE))</f>
        <v>60</v>
      </c>
      <c r="L49" s="4">
        <f>(VLOOKUP('9.0.10'!T49,'9.0.10'!$AM$4:$AO$55,3,FALSE))</f>
        <v>60</v>
      </c>
      <c r="M49" s="4">
        <f>(VLOOKUP('9.0.10'!U49,'9.0.10'!$AM$4:$AO$55,3,FALSE))</f>
        <v>60</v>
      </c>
      <c r="N49" s="4">
        <f>(VLOOKUP('9.0.10'!V49,'9.0.10'!$AM$4:$AO$55,3,FALSE))</f>
        <v>60</v>
      </c>
      <c r="O49" s="5">
        <f>(VLOOKUP('9.0.10'!W49,'9.0.10'!$AM$4:$AO$55,3,FALSE))</f>
        <v>0</v>
      </c>
      <c r="P49" s="5">
        <f>(VLOOKUP('9.0.10'!X49,'9.0.10'!$AM$4:$AO$55,3,FALSE))</f>
        <v>0</v>
      </c>
      <c r="Q49" s="4">
        <f>(VLOOKUP('9.0.10'!Y49,'9.0.10'!$AM$4:$AO$55,3,FALSE))</f>
        <v>60</v>
      </c>
      <c r="R49" s="4">
        <f>(VLOOKUP('9.0.10'!Z49,'9.0.10'!$AM$4:$AO$55,3,FALSE))</f>
        <v>55</v>
      </c>
      <c r="S49" s="4">
        <f>(VLOOKUP('9.0.10'!AA49,'9.0.10'!$AM$4:$AO$55,3,FALSE))</f>
        <v>55</v>
      </c>
      <c r="T49" s="4">
        <f>(VLOOKUP('9.0.10'!AB49,'9.0.10'!$AM$4:$AO$55,3,FALSE))</f>
        <v>55</v>
      </c>
      <c r="U49" s="4">
        <f>(VLOOKUP('9.0.10'!AC49,'9.0.10'!$AM$4:$AO$55,3,FALSE))</f>
        <v>55</v>
      </c>
      <c r="V49" s="4">
        <f>(VLOOKUP('9.0.10'!AD49,'9.0.10'!$AM$4:$AO$55,3,FALSE))</f>
        <v>55</v>
      </c>
      <c r="W49" s="5">
        <f>(VLOOKUP('9.0.10'!AE49,'9.0.10'!$AM$4:$AO$55,3,FALSE))</f>
        <v>0</v>
      </c>
      <c r="X49" s="5">
        <f>(VLOOKUP('9.0.10'!AF49,'9.0.10'!$AM$4:$AO$55,3,FALSE))</f>
        <v>0</v>
      </c>
    </row>
    <row r="50" spans="1:24">
      <c r="A50" s="4">
        <f>(VLOOKUP('9.0.10'!I50,'9.0.10'!$AM$4:$AO$55,3,FALSE))</f>
        <v>0</v>
      </c>
      <c r="B50" s="4">
        <f>(VLOOKUP('9.0.10'!J50,'9.0.10'!$AM$4:$AO$55,3,FALSE))</f>
        <v>0</v>
      </c>
      <c r="C50" s="4">
        <f>(VLOOKUP('9.0.10'!K50,'9.0.10'!$AM$4:$AO$55,3,FALSE))</f>
        <v>0</v>
      </c>
      <c r="D50" s="4">
        <f>(VLOOKUP('9.0.10'!L50,'9.0.10'!$AM$4:$AO$55,3,FALSE))</f>
        <v>0</v>
      </c>
      <c r="E50" s="4">
        <f>(VLOOKUP('9.0.10'!M50,'9.0.10'!$AM$4:$AO$55,3,FALSE))</f>
        <v>0</v>
      </c>
      <c r="F50" s="4">
        <f>(VLOOKUP('9.0.10'!N50,'9.0.10'!$AM$4:$AO$55,3,FALSE))</f>
        <v>0</v>
      </c>
      <c r="G50" s="5">
        <f>(VLOOKUP('9.0.10'!O50,'9.0.10'!$AM$4:$AO$55,3,FALSE))</f>
        <v>0</v>
      </c>
      <c r="H50" s="5">
        <f>(VLOOKUP('9.0.10'!P50,'9.0.10'!$AM$4:$AO$55,3,FALSE))</f>
        <v>0</v>
      </c>
      <c r="I50" s="4">
        <f>(VLOOKUP('9.0.10'!Q50,'9.0.10'!$AM$4:$AO$55,3,FALSE))</f>
        <v>60</v>
      </c>
      <c r="J50" s="4">
        <f>(VLOOKUP('9.0.10'!R50,'9.0.10'!$AM$4:$AO$55,3,FALSE))</f>
        <v>60</v>
      </c>
      <c r="K50" s="4">
        <f>(VLOOKUP('9.0.10'!S50,'9.0.10'!$AM$4:$AO$55,3,FALSE))</f>
        <v>60</v>
      </c>
      <c r="L50" s="4">
        <f>(VLOOKUP('9.0.10'!T50,'9.0.10'!$AM$4:$AO$55,3,FALSE))</f>
        <v>60</v>
      </c>
      <c r="M50" s="4">
        <f>(VLOOKUP('9.0.10'!U50,'9.0.10'!$AM$4:$AO$55,3,FALSE))</f>
        <v>60</v>
      </c>
      <c r="N50" s="4">
        <f>(VLOOKUP('9.0.10'!V50,'9.0.10'!$AM$4:$AO$55,3,FALSE))</f>
        <v>55</v>
      </c>
      <c r="O50" s="5">
        <f>(VLOOKUP('9.0.10'!W50,'9.0.10'!$AM$4:$AO$55,3,FALSE))</f>
        <v>0</v>
      </c>
      <c r="P50" s="5">
        <f>(VLOOKUP('9.0.10'!X50,'9.0.10'!$AM$4:$AO$55,3,FALSE))</f>
        <v>0</v>
      </c>
      <c r="Q50" s="4">
        <f>(VLOOKUP('9.0.10'!Y50,'9.0.10'!$AM$4:$AO$55,3,FALSE))</f>
        <v>55</v>
      </c>
      <c r="R50" s="4">
        <f>(VLOOKUP('9.0.10'!Z50,'9.0.10'!$AM$4:$AO$55,3,FALSE))</f>
        <v>55</v>
      </c>
      <c r="S50" s="4">
        <f>(VLOOKUP('9.0.10'!AA50,'9.0.10'!$AM$4:$AO$55,3,FALSE))</f>
        <v>55</v>
      </c>
      <c r="T50" s="4">
        <f>(VLOOKUP('9.0.10'!AB50,'9.0.10'!$AM$4:$AO$55,3,FALSE))</f>
        <v>55</v>
      </c>
      <c r="U50" s="4">
        <f>(VLOOKUP('9.0.10'!AC50,'9.0.10'!$AM$4:$AO$55,3,FALSE))</f>
        <v>50</v>
      </c>
      <c r="V50" s="4">
        <f>(VLOOKUP('9.0.10'!AD50,'9.0.10'!$AM$4:$AO$55,3,FALSE))</f>
        <v>55</v>
      </c>
      <c r="W50" s="5">
        <f>(VLOOKUP('9.0.10'!AE50,'9.0.10'!$AM$4:$AO$55,3,FALSE))</f>
        <v>0</v>
      </c>
      <c r="X50" s="5">
        <f>(VLOOKUP('9.0.10'!AF50,'9.0.10'!$AM$4:$AO$55,3,FALSE))</f>
        <v>0</v>
      </c>
    </row>
    <row r="51" spans="1:24">
      <c r="A51" s="4">
        <f>(VLOOKUP('9.0.10'!I51,'9.0.10'!$AM$4:$AO$55,3,FALSE))</f>
        <v>0</v>
      </c>
      <c r="B51" s="4">
        <f>(VLOOKUP('9.0.10'!J51,'9.0.10'!$AM$4:$AO$55,3,FALSE))</f>
        <v>0</v>
      </c>
      <c r="C51" s="4">
        <f>(VLOOKUP('9.0.10'!K51,'9.0.10'!$AM$4:$AO$55,3,FALSE))</f>
        <v>0</v>
      </c>
      <c r="D51" s="4">
        <f>(VLOOKUP('9.0.10'!L51,'9.0.10'!$AM$4:$AO$55,3,FALSE))</f>
        <v>0</v>
      </c>
      <c r="E51" s="4">
        <f>(VLOOKUP('9.0.10'!M51,'9.0.10'!$AM$4:$AO$55,3,FALSE))</f>
        <v>0</v>
      </c>
      <c r="F51" s="4">
        <f>(VLOOKUP('9.0.10'!N51,'9.0.10'!$AM$4:$AO$55,3,FALSE))</f>
        <v>0</v>
      </c>
      <c r="G51" s="5">
        <f>(VLOOKUP('9.0.10'!O51,'9.0.10'!$AM$4:$AO$55,3,FALSE))</f>
        <v>0</v>
      </c>
      <c r="H51" s="5">
        <f>(VLOOKUP('9.0.10'!P51,'9.0.10'!$AM$4:$AO$55,3,FALSE))</f>
        <v>0</v>
      </c>
      <c r="I51" s="4">
        <f>(VLOOKUP('9.0.10'!Q51,'9.0.10'!$AM$4:$AO$55,3,FALSE))</f>
        <v>55</v>
      </c>
      <c r="J51" s="4">
        <f>(VLOOKUP('9.0.10'!R51,'9.0.10'!$AM$4:$AO$55,3,FALSE))</f>
        <v>60</v>
      </c>
      <c r="K51" s="4">
        <f>(VLOOKUP('9.0.10'!S51,'9.0.10'!$AM$4:$AO$55,3,FALSE))</f>
        <v>60</v>
      </c>
      <c r="L51" s="4">
        <f>(VLOOKUP('9.0.10'!T51,'9.0.10'!$AM$4:$AO$55,3,FALSE))</f>
        <v>60</v>
      </c>
      <c r="M51" s="4">
        <f>(VLOOKUP('9.0.10'!U51,'9.0.10'!$AM$4:$AO$55,3,FALSE))</f>
        <v>60</v>
      </c>
      <c r="N51" s="4">
        <f>(VLOOKUP('9.0.10'!V51,'9.0.10'!$AM$4:$AO$55,3,FALSE))</f>
        <v>60</v>
      </c>
      <c r="O51" s="5">
        <f>(VLOOKUP('9.0.10'!W51,'9.0.10'!$AM$4:$AO$55,3,FALSE))</f>
        <v>0</v>
      </c>
      <c r="P51" s="5">
        <f>(VLOOKUP('9.0.10'!X51,'9.0.10'!$AM$4:$AO$55,3,FALSE))</f>
        <v>0</v>
      </c>
      <c r="Q51" s="4">
        <f>(VLOOKUP('9.0.10'!Y51,'9.0.10'!$AM$4:$AO$55,3,FALSE))</f>
        <v>55</v>
      </c>
      <c r="R51" s="4">
        <f>(VLOOKUP('9.0.10'!Z51,'9.0.10'!$AM$4:$AO$55,3,FALSE))</f>
        <v>55</v>
      </c>
      <c r="S51" s="4">
        <f>(VLOOKUP('9.0.10'!AA51,'9.0.10'!$AM$4:$AO$55,3,FALSE))</f>
        <v>55</v>
      </c>
      <c r="T51" s="4">
        <f>(VLOOKUP('9.0.10'!AB51,'9.0.10'!$AM$4:$AO$55,3,FALSE))</f>
        <v>55</v>
      </c>
      <c r="U51" s="4">
        <f>(VLOOKUP('9.0.10'!AC51,'9.0.10'!$AM$4:$AO$55,3,FALSE))</f>
        <v>55</v>
      </c>
      <c r="V51" s="4">
        <f>(VLOOKUP('9.0.10'!AD51,'9.0.10'!$AM$4:$AO$55,3,FALSE))</f>
        <v>55</v>
      </c>
      <c r="W51" s="5">
        <f>(VLOOKUP('9.0.10'!AE51,'9.0.10'!$AM$4:$AO$55,3,FALSE))</f>
        <v>520</v>
      </c>
      <c r="X51" s="5">
        <f>(VLOOKUP('9.0.10'!AF51,'9.0.10'!$AM$4:$AO$55,3,FALSE))</f>
        <v>0</v>
      </c>
    </row>
    <row r="52" spans="1:24">
      <c r="A52" s="4">
        <f>(VLOOKUP('9.0.10'!I52,'9.0.10'!$AM$4:$AO$55,3,FALSE))</f>
        <v>0</v>
      </c>
      <c r="B52" s="4">
        <f>(VLOOKUP('9.0.10'!J52,'9.0.10'!$AM$4:$AO$55,3,FALSE))</f>
        <v>0</v>
      </c>
      <c r="C52" s="4">
        <f>(VLOOKUP('9.0.10'!K52,'9.0.10'!$AM$4:$AO$55,3,FALSE))</f>
        <v>0</v>
      </c>
      <c r="D52" s="4">
        <f>(VLOOKUP('9.0.10'!L52,'9.0.10'!$AM$4:$AO$55,3,FALSE))</f>
        <v>0</v>
      </c>
      <c r="E52" s="4">
        <f>(VLOOKUP('9.0.10'!M52,'9.0.10'!$AM$4:$AO$55,3,FALSE))</f>
        <v>0</v>
      </c>
      <c r="F52" s="4">
        <f>(VLOOKUP('9.0.10'!N52,'9.0.10'!$AM$4:$AO$55,3,FALSE))</f>
        <v>0</v>
      </c>
      <c r="G52" s="5">
        <f>(VLOOKUP('9.0.10'!O52,'9.0.10'!$AM$4:$AO$55,3,FALSE))</f>
        <v>0</v>
      </c>
      <c r="H52" s="5">
        <f>(VLOOKUP('9.0.10'!P52,'9.0.10'!$AM$4:$AO$55,3,FALSE))</f>
        <v>0</v>
      </c>
      <c r="I52" s="4">
        <f>(VLOOKUP('9.0.10'!Q52,'9.0.10'!$AM$4:$AO$55,3,FALSE))</f>
        <v>60</v>
      </c>
      <c r="J52" s="4">
        <f>(VLOOKUP('9.0.10'!R52,'9.0.10'!$AM$4:$AO$55,3,FALSE))</f>
        <v>55</v>
      </c>
      <c r="K52" s="4">
        <f>(VLOOKUP('9.0.10'!S52,'9.0.10'!$AM$4:$AO$55,3,FALSE))</f>
        <v>55</v>
      </c>
      <c r="L52" s="4">
        <f>(VLOOKUP('9.0.10'!T52,'9.0.10'!$AM$4:$AO$55,3,FALSE))</f>
        <v>55</v>
      </c>
      <c r="M52" s="4">
        <f>(VLOOKUP('9.0.10'!U52,'9.0.10'!$AM$4:$AO$55,3,FALSE))</f>
        <v>60</v>
      </c>
      <c r="N52" s="4">
        <f>(VLOOKUP('9.0.10'!V52,'9.0.10'!$AM$4:$AO$55,3,FALSE))</f>
        <v>60</v>
      </c>
      <c r="O52" s="5">
        <f>(VLOOKUP('9.0.10'!W52,'9.0.10'!$AM$4:$AO$55,3,FALSE))</f>
        <v>0</v>
      </c>
      <c r="P52" s="5">
        <f>(VLOOKUP('9.0.10'!X52,'9.0.10'!$AM$4:$AO$55,3,FALSE))</f>
        <v>0</v>
      </c>
      <c r="Q52" s="4">
        <f>(VLOOKUP('9.0.10'!Y52,'9.0.10'!$AM$4:$AO$55,3,FALSE))</f>
        <v>55</v>
      </c>
      <c r="R52" s="4">
        <f>(VLOOKUP('9.0.10'!Z52,'9.0.10'!$AM$4:$AO$55,3,FALSE))</f>
        <v>55</v>
      </c>
      <c r="S52" s="4">
        <f>(VLOOKUP('9.0.10'!AA52,'9.0.10'!$AM$4:$AO$55,3,FALSE))</f>
        <v>55</v>
      </c>
      <c r="T52" s="4">
        <f>(VLOOKUP('9.0.10'!AB52,'9.0.10'!$AM$4:$AO$55,3,FALSE))</f>
        <v>0</v>
      </c>
      <c r="U52" s="4">
        <f>(VLOOKUP('9.0.10'!AC52,'9.0.10'!$AM$4:$AO$55,3,FALSE))</f>
        <v>55</v>
      </c>
      <c r="V52" s="4">
        <f>(VLOOKUP('9.0.10'!AD52,'9.0.10'!$AM$4:$AO$55,3,FALSE))</f>
        <v>55</v>
      </c>
      <c r="W52" s="5">
        <f>(VLOOKUP('9.0.10'!AE52,'9.0.10'!$AM$4:$AO$55,3,FALSE))</f>
        <v>55</v>
      </c>
      <c r="X52" s="5">
        <f>(VLOOKUP('9.0.10'!AF52,'9.0.10'!$AM$4:$AO$55,3,FALSE))</f>
        <v>55</v>
      </c>
    </row>
    <row r="53" spans="1:24">
      <c r="A53" s="4">
        <f>(VLOOKUP('9.0.10'!I53,'9.0.10'!$AM$4:$AO$55,3,FALSE))</f>
        <v>0</v>
      </c>
      <c r="B53" s="4">
        <f>(VLOOKUP('9.0.10'!J53,'9.0.10'!$AM$4:$AO$55,3,FALSE))</f>
        <v>0</v>
      </c>
      <c r="C53" s="4">
        <f>(VLOOKUP('9.0.10'!K53,'9.0.10'!$AM$4:$AO$55,3,FALSE))</f>
        <v>0</v>
      </c>
      <c r="D53" s="4">
        <f>(VLOOKUP('9.0.10'!L53,'9.0.10'!$AM$4:$AO$55,3,FALSE))</f>
        <v>0</v>
      </c>
      <c r="E53" s="4">
        <f>(VLOOKUP('9.0.10'!M53,'9.0.10'!$AM$4:$AO$55,3,FALSE))</f>
        <v>0</v>
      </c>
      <c r="F53" s="4">
        <f>(VLOOKUP('9.0.10'!N53,'9.0.10'!$AM$4:$AO$55,3,FALSE))</f>
        <v>0</v>
      </c>
      <c r="G53" s="5">
        <f>(VLOOKUP('9.0.10'!O53,'9.0.10'!$AM$4:$AO$55,3,FALSE))</f>
        <v>0</v>
      </c>
      <c r="H53" s="5">
        <f>(VLOOKUP('9.0.10'!P53,'9.0.10'!$AM$4:$AO$55,3,FALSE))</f>
        <v>0</v>
      </c>
      <c r="I53" s="4">
        <f>(VLOOKUP('9.0.10'!Q53,'9.0.10'!$AM$4:$AO$55,3,FALSE))</f>
        <v>55</v>
      </c>
      <c r="J53" s="4">
        <f>(VLOOKUP('9.0.10'!R53,'9.0.10'!$AM$4:$AO$55,3,FALSE))</f>
        <v>60</v>
      </c>
      <c r="K53" s="4">
        <f>(VLOOKUP('9.0.10'!S53,'9.0.10'!$AM$4:$AO$55,3,FALSE))</f>
        <v>60</v>
      </c>
      <c r="L53" s="4">
        <f>(VLOOKUP('9.0.10'!T53,'9.0.10'!$AM$4:$AO$55,3,FALSE))</f>
        <v>0</v>
      </c>
      <c r="M53" s="4">
        <f>(VLOOKUP('9.0.10'!U53,'9.0.10'!$AM$4:$AO$55,3,FALSE))</f>
        <v>60</v>
      </c>
      <c r="N53" s="4">
        <f>(VLOOKUP('9.0.10'!V53,'9.0.10'!$AM$4:$AO$55,3,FALSE))</f>
        <v>60</v>
      </c>
      <c r="O53" s="5">
        <f>(VLOOKUP('9.0.10'!W53,'9.0.10'!$AM$4:$AO$55,3,FALSE))</f>
        <v>55</v>
      </c>
      <c r="P53" s="5">
        <f>(VLOOKUP('9.0.10'!X53,'9.0.10'!$AM$4:$AO$55,3,FALSE))</f>
        <v>60</v>
      </c>
      <c r="Q53" s="4">
        <f>(VLOOKUP('9.0.10'!Y53,'9.0.10'!$AM$4:$AO$55,3,FALSE))</f>
        <v>55</v>
      </c>
      <c r="R53" s="4">
        <f>(VLOOKUP('9.0.10'!Z53,'9.0.10'!$AM$4:$AO$55,3,FALSE))</f>
        <v>55</v>
      </c>
      <c r="S53" s="4">
        <f>(VLOOKUP('9.0.10'!AA53,'9.0.10'!$AM$4:$AO$55,3,FALSE))</f>
        <v>60</v>
      </c>
      <c r="T53" s="4">
        <f>(VLOOKUP('9.0.10'!AB53,'9.0.10'!$AM$4:$AO$55,3,FALSE))</f>
        <v>60</v>
      </c>
      <c r="U53" s="4">
        <f>(VLOOKUP('9.0.10'!AC53,'9.0.10'!$AM$4:$AO$55,3,FALSE))</f>
        <v>55</v>
      </c>
      <c r="V53" s="4">
        <f>(VLOOKUP('9.0.10'!AD53,'9.0.10'!$AM$4:$AO$55,3,FALSE))</f>
        <v>55</v>
      </c>
      <c r="W53" s="5">
        <f>(VLOOKUP('9.0.10'!AE53,'9.0.10'!$AM$4:$AO$55,3,FALSE))</f>
        <v>0</v>
      </c>
      <c r="X53" s="5">
        <f>(VLOOKUP('9.0.10'!AF53,'9.0.10'!$AM$4:$AO$55,3,FALSE))</f>
        <v>0</v>
      </c>
    </row>
    <row r="54" spans="1:24">
      <c r="A54" s="4">
        <f>(VLOOKUP('9.0.10'!I54,'9.0.10'!$AM$4:$AO$55,3,FALSE))</f>
        <v>0</v>
      </c>
      <c r="B54" s="4">
        <f>(VLOOKUP('9.0.10'!J54,'9.0.10'!$AM$4:$AO$55,3,FALSE))</f>
        <v>0</v>
      </c>
      <c r="C54" s="4">
        <f>(VLOOKUP('9.0.10'!K54,'9.0.10'!$AM$4:$AO$55,3,FALSE))</f>
        <v>0</v>
      </c>
      <c r="D54" s="4">
        <f>(VLOOKUP('9.0.10'!L54,'9.0.10'!$AM$4:$AO$55,3,FALSE))</f>
        <v>0</v>
      </c>
      <c r="E54" s="4">
        <f>(VLOOKUP('9.0.10'!M54,'9.0.10'!$AM$4:$AO$55,3,FALSE))</f>
        <v>0</v>
      </c>
      <c r="F54" s="4">
        <f>(VLOOKUP('9.0.10'!N54,'9.0.10'!$AM$4:$AO$55,3,FALSE))</f>
        <v>0</v>
      </c>
      <c r="G54" s="5">
        <f>(VLOOKUP('9.0.10'!O54,'9.0.10'!$AM$4:$AO$55,3,FALSE))</f>
        <v>0</v>
      </c>
      <c r="H54" s="5">
        <f>(VLOOKUP('9.0.10'!P54,'9.0.10'!$AM$4:$AO$55,3,FALSE))</f>
        <v>0</v>
      </c>
      <c r="I54" s="4">
        <f>(VLOOKUP('9.0.10'!Q54,'9.0.10'!$AM$4:$AO$55,3,FALSE))</f>
        <v>60</v>
      </c>
      <c r="J54" s="4">
        <f>(VLOOKUP('9.0.10'!R54,'9.0.10'!$AM$4:$AO$55,3,FALSE))</f>
        <v>60</v>
      </c>
      <c r="K54" s="4">
        <f>(VLOOKUP('9.0.10'!S54,'9.0.10'!$AM$4:$AO$55,3,FALSE))</f>
        <v>55</v>
      </c>
      <c r="L54" s="4">
        <f>(VLOOKUP('9.0.10'!T54,'9.0.10'!$AM$4:$AO$55,3,FALSE))</f>
        <v>55</v>
      </c>
      <c r="M54" s="4">
        <f>(VLOOKUP('9.0.10'!U54,'9.0.10'!$AM$4:$AO$55,3,FALSE))</f>
        <v>55</v>
      </c>
      <c r="N54" s="4">
        <f>(VLOOKUP('9.0.10'!V54,'9.0.10'!$AM$4:$AO$55,3,FALSE))</f>
        <v>55</v>
      </c>
      <c r="O54" s="5">
        <f>(VLOOKUP('9.0.10'!W54,'9.0.10'!$AM$4:$AO$55,3,FALSE))</f>
        <v>0</v>
      </c>
      <c r="P54" s="5">
        <f>(VLOOKUP('9.0.10'!X54,'9.0.10'!$AM$4:$AO$55,3,FALSE))</f>
        <v>0</v>
      </c>
      <c r="Q54" s="4">
        <f>(VLOOKUP('9.0.10'!Y54,'9.0.10'!$AM$4:$AO$55,3,FALSE))</f>
        <v>55</v>
      </c>
      <c r="R54" s="4">
        <f>(VLOOKUP('9.0.10'!Z54,'9.0.10'!$AM$4:$AO$55,3,FALSE))</f>
        <v>55</v>
      </c>
      <c r="S54" s="4">
        <f>(VLOOKUP('9.0.10'!AA54,'9.0.10'!$AM$4:$AO$55,3,FALSE))</f>
        <v>55</v>
      </c>
      <c r="T54" s="4">
        <f>(VLOOKUP('9.0.10'!AB54,'9.0.10'!$AM$4:$AO$55,3,FALSE))</f>
        <v>55</v>
      </c>
      <c r="U54" s="4">
        <f>(VLOOKUP('9.0.10'!AC54,'9.0.10'!$AM$4:$AO$55,3,FALSE))</f>
        <v>60</v>
      </c>
      <c r="V54" s="4">
        <f>(VLOOKUP('9.0.10'!AD54,'9.0.10'!$AM$4:$AO$55,3,FALSE))</f>
        <v>60</v>
      </c>
      <c r="W54" s="5">
        <f>(VLOOKUP('9.0.10'!AE54,'9.0.10'!$AM$4:$AO$55,3,FALSE))</f>
        <v>0</v>
      </c>
      <c r="X54" s="5">
        <f>(VLOOKUP('9.0.10'!AF54,'9.0.10'!$AM$4:$AO$55,3,FALSE))</f>
        <v>0</v>
      </c>
    </row>
    <row r="55" spans="1:24">
      <c r="A55" s="4">
        <f>(VLOOKUP('9.0.10'!I55,'9.0.10'!$AM$4:$AO$55,3,FALSE))</f>
        <v>0</v>
      </c>
      <c r="B55" s="4">
        <f>(VLOOKUP('9.0.10'!J55,'9.0.10'!$AM$4:$AO$55,3,FALSE))</f>
        <v>0</v>
      </c>
      <c r="C55" s="4">
        <f>(VLOOKUP('9.0.10'!K55,'9.0.10'!$AM$4:$AO$55,3,FALSE))</f>
        <v>0</v>
      </c>
      <c r="D55" s="4">
        <f>(VLOOKUP('9.0.10'!L55,'9.0.10'!$AM$4:$AO$55,3,FALSE))</f>
        <v>0</v>
      </c>
      <c r="E55" s="4">
        <f>(VLOOKUP('9.0.10'!M55,'9.0.10'!$AM$4:$AO$55,3,FALSE))</f>
        <v>0</v>
      </c>
      <c r="F55" s="4">
        <f>(VLOOKUP('9.0.10'!N55,'9.0.10'!$AM$4:$AO$55,3,FALSE))</f>
        <v>0</v>
      </c>
      <c r="G55" s="5">
        <f>(VLOOKUP('9.0.10'!O55,'9.0.10'!$AM$4:$AO$55,3,FALSE))</f>
        <v>0</v>
      </c>
      <c r="H55" s="5">
        <f>(VLOOKUP('9.0.10'!P55,'9.0.10'!$AM$4:$AO$55,3,FALSE))</f>
        <v>0</v>
      </c>
      <c r="I55" s="4">
        <f>(VLOOKUP('9.0.10'!Q55,'9.0.10'!$AM$4:$AO$55,3,FALSE))</f>
        <v>55</v>
      </c>
      <c r="J55" s="4">
        <f>(VLOOKUP('9.0.10'!R55,'9.0.10'!$AM$4:$AO$55,3,FALSE))</f>
        <v>60</v>
      </c>
      <c r="K55" s="4">
        <f>(VLOOKUP('9.0.10'!S55,'9.0.10'!$AM$4:$AO$55,3,FALSE))</f>
        <v>60</v>
      </c>
      <c r="L55" s="4">
        <f>(VLOOKUP('9.0.10'!T55,'9.0.10'!$AM$4:$AO$55,3,FALSE))</f>
        <v>60</v>
      </c>
      <c r="M55" s="4">
        <f>(VLOOKUP('9.0.10'!U55,'9.0.10'!$AM$4:$AO$55,3,FALSE))</f>
        <v>60</v>
      </c>
      <c r="N55" s="4">
        <f>(VLOOKUP('9.0.10'!V55,'9.0.10'!$AM$4:$AO$55,3,FALSE))</f>
        <v>60</v>
      </c>
      <c r="O55" s="5">
        <f>(VLOOKUP('9.0.10'!W55,'9.0.10'!$AM$4:$AO$55,3,FALSE))</f>
        <v>0</v>
      </c>
      <c r="P55" s="5">
        <f>(VLOOKUP('9.0.10'!X55,'9.0.10'!$AM$4:$AO$55,3,FALSE))</f>
        <v>0</v>
      </c>
      <c r="Q55" s="4">
        <f>(VLOOKUP('9.0.10'!Y55,'9.0.10'!$AM$4:$AO$55,3,FALSE))</f>
        <v>60</v>
      </c>
      <c r="R55" s="4">
        <f>(VLOOKUP('9.0.10'!Z55,'9.0.10'!$AM$4:$AO$55,3,FALSE))</f>
        <v>55</v>
      </c>
      <c r="S55" s="4">
        <f>(VLOOKUP('9.0.10'!AA55,'9.0.10'!$AM$4:$AO$55,3,FALSE))</f>
        <v>55</v>
      </c>
      <c r="T55" s="4">
        <f>(VLOOKUP('9.0.10'!AB55,'9.0.10'!$AM$4:$AO$55,3,FALSE))</f>
        <v>55</v>
      </c>
      <c r="U55" s="4">
        <f>(VLOOKUP('9.0.10'!AC55,'9.0.10'!$AM$4:$AO$55,3,FALSE))</f>
        <v>55</v>
      </c>
      <c r="V55" s="4">
        <f>(VLOOKUP('9.0.10'!AD55,'9.0.10'!$AM$4:$AO$55,3,FALSE))</f>
        <v>55</v>
      </c>
      <c r="W55" s="5">
        <f>(VLOOKUP('9.0.10'!AE55,'9.0.10'!$AM$4:$AO$55,3,FALSE))</f>
        <v>0</v>
      </c>
      <c r="X55" s="5">
        <f>(VLOOKUP('9.0.10'!AF55,'9.0.10'!$AM$4:$AO$55,3,FALSE))</f>
        <v>0</v>
      </c>
    </row>
    <row r="56" spans="1:24">
      <c r="A56" s="4">
        <f>(VLOOKUP('9.0.10'!I56,'9.0.10'!$AM$4:$AO$55,3,FALSE))</f>
        <v>0</v>
      </c>
      <c r="B56" s="4">
        <f>(VLOOKUP('9.0.10'!J56,'9.0.10'!$AM$4:$AO$55,3,FALSE))</f>
        <v>0</v>
      </c>
      <c r="C56" s="4">
        <f>(VLOOKUP('9.0.10'!K56,'9.0.10'!$AM$4:$AO$55,3,FALSE))</f>
        <v>0</v>
      </c>
      <c r="D56" s="4">
        <f>(VLOOKUP('9.0.10'!L56,'9.0.10'!$AM$4:$AO$55,3,FALSE))</f>
        <v>0</v>
      </c>
      <c r="E56" s="4">
        <f>(VLOOKUP('9.0.10'!M56,'9.0.10'!$AM$4:$AO$55,3,FALSE))</f>
        <v>0</v>
      </c>
      <c r="F56" s="4">
        <f>(VLOOKUP('9.0.10'!N56,'9.0.10'!$AM$4:$AO$55,3,FALSE))</f>
        <v>0</v>
      </c>
      <c r="G56" s="5">
        <f>(VLOOKUP('9.0.10'!O56,'9.0.10'!$AM$4:$AO$55,3,FALSE))</f>
        <v>0</v>
      </c>
      <c r="H56" s="5">
        <f>(VLOOKUP('9.0.10'!P56,'9.0.10'!$AM$4:$AO$55,3,FALSE))</f>
        <v>0</v>
      </c>
      <c r="I56" s="4">
        <f>(VLOOKUP('9.0.10'!Q56,'9.0.10'!$AM$4:$AO$55,3,FALSE))</f>
        <v>60</v>
      </c>
      <c r="J56" s="4">
        <f>(VLOOKUP('9.0.10'!R56,'9.0.10'!$AM$4:$AO$55,3,FALSE))</f>
        <v>60</v>
      </c>
      <c r="K56" s="4">
        <f>(VLOOKUP('9.0.10'!S56,'9.0.10'!$AM$4:$AO$55,3,FALSE))</f>
        <v>60</v>
      </c>
      <c r="L56" s="4">
        <f>(VLOOKUP('9.0.10'!T56,'9.0.10'!$AM$4:$AO$55,3,FALSE))</f>
        <v>60</v>
      </c>
      <c r="M56" s="4">
        <f>(VLOOKUP('9.0.10'!U56,'9.0.10'!$AM$4:$AO$55,3,FALSE))</f>
        <v>60</v>
      </c>
      <c r="N56" s="4">
        <f>(VLOOKUP('9.0.10'!V56,'9.0.10'!$AM$4:$AO$55,3,FALSE))</f>
        <v>60</v>
      </c>
      <c r="O56" s="5">
        <f>(VLOOKUP('9.0.10'!W56,'9.0.10'!$AM$4:$AO$55,3,FALSE))</f>
        <v>0</v>
      </c>
      <c r="P56" s="5">
        <f>(VLOOKUP('9.0.10'!X56,'9.0.10'!$AM$4:$AO$55,3,FALSE))</f>
        <v>0</v>
      </c>
      <c r="Q56" s="4">
        <f>(VLOOKUP('9.0.10'!Y56,'9.0.10'!$AM$4:$AO$55,3,FALSE))</f>
        <v>60</v>
      </c>
      <c r="R56" s="4">
        <f>(VLOOKUP('9.0.10'!Z56,'9.0.10'!$AM$4:$AO$55,3,FALSE))</f>
        <v>60</v>
      </c>
      <c r="S56" s="4">
        <f>(VLOOKUP('9.0.10'!AA56,'9.0.10'!$AM$4:$AO$55,3,FALSE))</f>
        <v>55</v>
      </c>
      <c r="T56" s="4">
        <f>(VLOOKUP('9.0.10'!AB56,'9.0.10'!$AM$4:$AO$55,3,FALSE))</f>
        <v>55</v>
      </c>
      <c r="U56" s="4">
        <f>(VLOOKUP('9.0.10'!AC56,'9.0.10'!$AM$4:$AO$55,3,FALSE))</f>
        <v>55</v>
      </c>
      <c r="V56" s="4">
        <f>(VLOOKUP('9.0.10'!AD56,'9.0.10'!$AM$4:$AO$55,3,FALSE))</f>
        <v>30</v>
      </c>
      <c r="W56" s="5">
        <f>(VLOOKUP('9.0.10'!AE56,'9.0.10'!$AM$4:$AO$55,3,FALSE))</f>
        <v>0</v>
      </c>
      <c r="X56" s="5">
        <f>(VLOOKUP('9.0.10'!AF56,'9.0.10'!$AM$4:$AO$55,3,FALSE))</f>
        <v>0</v>
      </c>
    </row>
    <row r="57" spans="1:24">
      <c r="A57" s="4">
        <f>(VLOOKUP('9.0.10'!I57,'9.0.10'!$AM$4:$AO$55,3,FALSE))</f>
        <v>0</v>
      </c>
      <c r="B57" s="4">
        <f>(VLOOKUP('9.0.10'!J57,'9.0.10'!$AM$4:$AO$55,3,FALSE))</f>
        <v>0</v>
      </c>
      <c r="C57" s="4">
        <f>(VLOOKUP('9.0.10'!K57,'9.0.10'!$AM$4:$AO$55,3,FALSE))</f>
        <v>0</v>
      </c>
      <c r="D57" s="4">
        <f>(VLOOKUP('9.0.10'!L57,'9.0.10'!$AM$4:$AO$55,3,FALSE))</f>
        <v>0</v>
      </c>
      <c r="E57" s="4">
        <f>(VLOOKUP('9.0.10'!M57,'9.0.10'!$AM$4:$AO$55,3,FALSE))</f>
        <v>0</v>
      </c>
      <c r="F57" s="4">
        <f>(VLOOKUP('9.0.10'!N57,'9.0.10'!$AM$4:$AO$55,3,FALSE))</f>
        <v>0</v>
      </c>
      <c r="G57" s="5">
        <f>(VLOOKUP('9.0.10'!O57,'9.0.10'!$AM$4:$AO$55,3,FALSE))</f>
        <v>0</v>
      </c>
      <c r="H57" s="5">
        <f>(VLOOKUP('9.0.10'!P57,'9.0.10'!$AM$4:$AO$55,3,FALSE))</f>
        <v>0</v>
      </c>
      <c r="I57" s="4">
        <f>(VLOOKUP('9.0.10'!Q57,'9.0.10'!$AM$4:$AO$55,3,FALSE))</f>
        <v>60</v>
      </c>
      <c r="J57" s="4">
        <f>(VLOOKUP('9.0.10'!R57,'9.0.10'!$AM$4:$AO$55,3,FALSE))</f>
        <v>60</v>
      </c>
      <c r="K57" s="4">
        <f>(VLOOKUP('9.0.10'!S57,'9.0.10'!$AM$4:$AO$55,3,FALSE))</f>
        <v>60</v>
      </c>
      <c r="L57" s="4">
        <f>(VLOOKUP('9.0.10'!T57,'9.0.10'!$AM$4:$AO$55,3,FALSE))</f>
        <v>60</v>
      </c>
      <c r="M57" s="4">
        <f>(VLOOKUP('9.0.10'!U57,'9.0.10'!$AM$4:$AO$55,3,FALSE))</f>
        <v>60</v>
      </c>
      <c r="N57" s="4">
        <f>(VLOOKUP('9.0.10'!V57,'9.0.10'!$AM$4:$AO$55,3,FALSE))</f>
        <v>60</v>
      </c>
      <c r="O57" s="5">
        <f>(VLOOKUP('9.0.10'!W57,'9.0.10'!$AM$4:$AO$55,3,FALSE))</f>
        <v>0</v>
      </c>
      <c r="P57" s="5">
        <f>(VLOOKUP('9.0.10'!X57,'9.0.10'!$AM$4:$AO$55,3,FALSE))</f>
        <v>0</v>
      </c>
      <c r="Q57" s="4">
        <f>(VLOOKUP('9.0.10'!Y57,'9.0.10'!$AM$4:$AO$55,3,FALSE))</f>
        <v>55</v>
      </c>
      <c r="R57" s="4">
        <f>(VLOOKUP('9.0.10'!Z57,'9.0.10'!$AM$4:$AO$55,3,FALSE))</f>
        <v>55</v>
      </c>
      <c r="S57" s="4">
        <f>(VLOOKUP('9.0.10'!AA57,'9.0.10'!$AM$4:$AO$55,3,FALSE))</f>
        <v>55</v>
      </c>
      <c r="T57" s="4">
        <f>(VLOOKUP('9.0.10'!AB57,'9.0.10'!$AM$4:$AO$55,3,FALSE))</f>
        <v>55</v>
      </c>
      <c r="U57" s="4">
        <f>(VLOOKUP('9.0.10'!AC57,'9.0.10'!$AM$4:$AO$55,3,FALSE))</f>
        <v>55</v>
      </c>
      <c r="V57" s="4">
        <f>(VLOOKUP('9.0.10'!AD57,'9.0.10'!$AM$4:$AO$55,3,FALSE))</f>
        <v>55</v>
      </c>
      <c r="W57" s="5">
        <f>(VLOOKUP('9.0.10'!AE57,'9.0.10'!$AM$4:$AO$55,3,FALSE))</f>
        <v>0</v>
      </c>
      <c r="X57" s="5">
        <f>(VLOOKUP('9.0.10'!AF57,'9.0.10'!$AM$4:$AO$55,3,FALSE))</f>
        <v>0</v>
      </c>
    </row>
    <row r="58" spans="1:24">
      <c r="A58" s="4">
        <f>(VLOOKUP('9.0.10'!I58,'9.0.10'!$AM$4:$AO$55,3,FALSE))</f>
        <v>0</v>
      </c>
      <c r="B58" s="4">
        <f>(VLOOKUP('9.0.10'!J58,'9.0.10'!$AM$4:$AO$55,3,FALSE))</f>
        <v>0</v>
      </c>
      <c r="C58" s="4">
        <f>(VLOOKUP('9.0.10'!K58,'9.0.10'!$AM$4:$AO$55,3,FALSE))</f>
        <v>0</v>
      </c>
      <c r="D58" s="4">
        <f>(VLOOKUP('9.0.10'!L58,'9.0.10'!$AM$4:$AO$55,3,FALSE))</f>
        <v>0</v>
      </c>
      <c r="E58" s="4">
        <f>(VLOOKUP('9.0.10'!M58,'9.0.10'!$AM$4:$AO$55,3,FALSE))</f>
        <v>0</v>
      </c>
      <c r="F58" s="4">
        <f>(VLOOKUP('9.0.10'!N58,'9.0.10'!$AM$4:$AO$55,3,FALSE))</f>
        <v>0</v>
      </c>
      <c r="G58" s="5">
        <f>(VLOOKUP('9.0.10'!O58,'9.0.10'!$AM$4:$AO$55,3,FALSE))</f>
        <v>0</v>
      </c>
      <c r="H58" s="5">
        <f>(VLOOKUP('9.0.10'!P58,'9.0.10'!$AM$4:$AO$55,3,FALSE))</f>
        <v>0</v>
      </c>
      <c r="I58" s="4">
        <f>(VLOOKUP('9.0.10'!Q58,'9.0.10'!$AM$4:$AO$55,3,FALSE))</f>
        <v>60</v>
      </c>
      <c r="J58" s="4">
        <f>(VLOOKUP('9.0.10'!R58,'9.0.10'!$AM$4:$AO$55,3,FALSE))</f>
        <v>60</v>
      </c>
      <c r="K58" s="4">
        <f>(VLOOKUP('9.0.10'!S58,'9.0.10'!$AM$4:$AO$55,3,FALSE))</f>
        <v>60</v>
      </c>
      <c r="L58" s="4">
        <f>(VLOOKUP('9.0.10'!T58,'9.0.10'!$AM$4:$AO$55,3,FALSE))</f>
        <v>0</v>
      </c>
      <c r="M58" s="4">
        <f>(VLOOKUP('9.0.10'!U58,'9.0.10'!$AM$4:$AO$55,3,FALSE))</f>
        <v>60</v>
      </c>
      <c r="N58" s="4">
        <f>(VLOOKUP('9.0.10'!V58,'9.0.10'!$AM$4:$AO$55,3,FALSE))</f>
        <v>60</v>
      </c>
      <c r="O58" s="5">
        <f>(VLOOKUP('9.0.10'!W58,'9.0.10'!$AM$4:$AO$55,3,FALSE))</f>
        <v>60</v>
      </c>
      <c r="P58" s="5">
        <f>(VLOOKUP('9.0.10'!X58,'9.0.10'!$AM$4:$AO$55,3,FALSE))</f>
        <v>60</v>
      </c>
      <c r="Q58" s="4">
        <f>(VLOOKUP('9.0.10'!Y58,'9.0.10'!$AM$4:$AO$55,3,FALSE))</f>
        <v>55</v>
      </c>
      <c r="R58" s="4">
        <f>(VLOOKUP('9.0.10'!Z58,'9.0.10'!$AM$4:$AO$55,3,FALSE))</f>
        <v>55</v>
      </c>
      <c r="S58" s="4">
        <f>(VLOOKUP('9.0.10'!AA58,'9.0.10'!$AM$4:$AO$55,3,FALSE))</f>
        <v>55</v>
      </c>
      <c r="T58" s="4">
        <f>(VLOOKUP('9.0.10'!AB58,'9.0.10'!$AM$4:$AO$55,3,FALSE))</f>
        <v>55</v>
      </c>
      <c r="U58" s="4">
        <f>(VLOOKUP('9.0.10'!AC58,'9.0.10'!$AM$4:$AO$55,3,FALSE))</f>
        <v>55</v>
      </c>
      <c r="V58" s="4">
        <f>(VLOOKUP('9.0.10'!AD58,'9.0.10'!$AM$4:$AO$55,3,FALSE))</f>
        <v>55</v>
      </c>
      <c r="W58" s="5">
        <f>(VLOOKUP('9.0.10'!AE58,'9.0.10'!$AM$4:$AO$55,3,FALSE))</f>
        <v>0</v>
      </c>
      <c r="X58" s="5">
        <f>(VLOOKUP('9.0.10'!AF58,'9.0.10'!$AM$4:$AO$55,3,FALSE))</f>
        <v>0</v>
      </c>
    </row>
    <row r="59" spans="1:24">
      <c r="A59" s="4">
        <f>(VLOOKUP('9.0.10'!I59,'9.0.10'!$AM$4:$AO$55,3,FALSE))</f>
        <v>0</v>
      </c>
      <c r="B59" s="4">
        <f>(VLOOKUP('9.0.10'!J59,'9.0.10'!$AM$4:$AO$55,3,FALSE))</f>
        <v>0</v>
      </c>
      <c r="C59" s="4">
        <f>(VLOOKUP('9.0.10'!K59,'9.0.10'!$AM$4:$AO$55,3,FALSE))</f>
        <v>0</v>
      </c>
      <c r="D59" s="4">
        <f>(VLOOKUP('9.0.10'!L59,'9.0.10'!$AM$4:$AO$55,3,FALSE))</f>
        <v>0</v>
      </c>
      <c r="E59" s="4">
        <f>(VLOOKUP('9.0.10'!M59,'9.0.10'!$AM$4:$AO$55,3,FALSE))</f>
        <v>0</v>
      </c>
      <c r="F59" s="4">
        <f>(VLOOKUP('9.0.10'!N59,'9.0.10'!$AM$4:$AO$55,3,FALSE))</f>
        <v>0</v>
      </c>
      <c r="G59" s="5">
        <f>(VLOOKUP('9.0.10'!O59,'9.0.10'!$AM$4:$AO$55,3,FALSE))</f>
        <v>0</v>
      </c>
      <c r="H59" s="5">
        <f>(VLOOKUP('9.0.10'!P59,'9.0.10'!$AM$4:$AO$55,3,FALSE))</f>
        <v>0</v>
      </c>
      <c r="I59" s="4">
        <f>(VLOOKUP('9.0.10'!Q59,'9.0.10'!$AM$4:$AO$55,3,FALSE))</f>
        <v>60</v>
      </c>
      <c r="J59" s="4">
        <f>(VLOOKUP('9.0.10'!R59,'9.0.10'!$AM$4:$AO$55,3,FALSE))</f>
        <v>60</v>
      </c>
      <c r="K59" s="4">
        <f>(VLOOKUP('9.0.10'!S59,'9.0.10'!$AM$4:$AO$55,3,FALSE))</f>
        <v>60</v>
      </c>
      <c r="L59" s="4">
        <f>(VLOOKUP('9.0.10'!T59,'9.0.10'!$AM$4:$AO$55,3,FALSE))</f>
        <v>60</v>
      </c>
      <c r="M59" s="4">
        <f>(VLOOKUP('9.0.10'!U59,'9.0.10'!$AM$4:$AO$55,3,FALSE))</f>
        <v>60</v>
      </c>
      <c r="N59" s="4">
        <f>(VLOOKUP('9.0.10'!V59,'9.0.10'!$AM$4:$AO$55,3,FALSE))</f>
        <v>60</v>
      </c>
      <c r="O59" s="5">
        <f>(VLOOKUP('9.0.10'!W59,'9.0.10'!$AM$4:$AO$55,3,FALSE))</f>
        <v>0</v>
      </c>
      <c r="P59" s="5">
        <f>(VLOOKUP('9.0.10'!X59,'9.0.10'!$AM$4:$AO$55,3,FALSE))</f>
        <v>0</v>
      </c>
      <c r="Q59" s="4">
        <f>(VLOOKUP('9.0.10'!Y59,'9.0.10'!$AM$4:$AO$55,3,FALSE))</f>
        <v>55</v>
      </c>
      <c r="R59" s="4">
        <f>(VLOOKUP('9.0.10'!Z59,'9.0.10'!$AM$4:$AO$55,3,FALSE))</f>
        <v>55</v>
      </c>
      <c r="S59" s="4">
        <f>(VLOOKUP('9.0.10'!AA59,'9.0.10'!$AM$4:$AO$55,3,FALSE))</f>
        <v>55</v>
      </c>
      <c r="T59" s="4">
        <f>(VLOOKUP('9.0.10'!AB59,'9.0.10'!$AM$4:$AO$55,3,FALSE))</f>
        <v>55</v>
      </c>
      <c r="U59" s="4">
        <f>(VLOOKUP('9.0.10'!AC59,'9.0.10'!$AM$4:$AO$55,3,FALSE))</f>
        <v>55</v>
      </c>
      <c r="V59" s="4">
        <f>(VLOOKUP('9.0.10'!AD59,'9.0.10'!$AM$4:$AO$55,3,FALSE))</f>
        <v>55</v>
      </c>
      <c r="W59" s="5">
        <f>(VLOOKUP('9.0.10'!AE59,'9.0.10'!$AM$4:$AO$55,3,FALSE))</f>
        <v>0</v>
      </c>
      <c r="X59" s="5">
        <f>(VLOOKUP('9.0.10'!AF59,'9.0.10'!$AM$4:$AO$55,3,FALSE))</f>
        <v>0</v>
      </c>
    </row>
    <row r="60" spans="1:24">
      <c r="A60" s="4">
        <f>(VLOOKUP('9.0.10'!I60,'9.0.10'!$AM$4:$AO$55,3,FALSE))</f>
        <v>0</v>
      </c>
      <c r="B60" s="4">
        <f>(VLOOKUP('9.0.10'!J60,'9.0.10'!$AM$4:$AO$55,3,FALSE))</f>
        <v>0</v>
      </c>
      <c r="C60" s="4">
        <f>(VLOOKUP('9.0.10'!K60,'9.0.10'!$AM$4:$AO$55,3,FALSE))</f>
        <v>0</v>
      </c>
      <c r="D60" s="4">
        <f>(VLOOKUP('9.0.10'!L60,'9.0.10'!$AM$4:$AO$55,3,FALSE))</f>
        <v>0</v>
      </c>
      <c r="E60" s="4">
        <f>(VLOOKUP('9.0.10'!M60,'9.0.10'!$AM$4:$AO$55,3,FALSE))</f>
        <v>0</v>
      </c>
      <c r="F60" s="4">
        <f>(VLOOKUP('9.0.10'!N60,'9.0.10'!$AM$4:$AO$55,3,FALSE))</f>
        <v>0</v>
      </c>
      <c r="G60" s="5">
        <f>(VLOOKUP('9.0.10'!O60,'9.0.10'!$AM$4:$AO$55,3,FALSE))</f>
        <v>0</v>
      </c>
      <c r="H60" s="5">
        <f>(VLOOKUP('9.0.10'!P60,'9.0.10'!$AM$4:$AO$55,3,FALSE))</f>
        <v>0</v>
      </c>
      <c r="I60" s="4">
        <f>(VLOOKUP('9.0.10'!Q60,'9.0.10'!$AM$4:$AO$55,3,FALSE))</f>
        <v>60</v>
      </c>
      <c r="J60" s="4">
        <f>(VLOOKUP('9.0.10'!R60,'9.0.10'!$AM$4:$AO$55,3,FALSE))</f>
        <v>60</v>
      </c>
      <c r="K60" s="4">
        <f>(VLOOKUP('9.0.10'!S60,'9.0.10'!$AM$4:$AO$55,3,FALSE))</f>
        <v>60</v>
      </c>
      <c r="L60" s="4">
        <f>(VLOOKUP('9.0.10'!T60,'9.0.10'!$AM$4:$AO$55,3,FALSE))</f>
        <v>60</v>
      </c>
      <c r="M60" s="4">
        <f>(VLOOKUP('9.0.10'!U60,'9.0.10'!$AM$4:$AO$55,3,FALSE))</f>
        <v>60</v>
      </c>
      <c r="N60" s="4">
        <f>(VLOOKUP('9.0.10'!V60,'9.0.10'!$AM$4:$AO$55,3,FALSE))</f>
        <v>60</v>
      </c>
      <c r="O60" s="5">
        <f>(VLOOKUP('9.0.10'!W60,'9.0.10'!$AM$4:$AO$55,3,FALSE))</f>
        <v>0</v>
      </c>
      <c r="P60" s="5">
        <f>(VLOOKUP('9.0.10'!X60,'9.0.10'!$AM$4:$AO$55,3,FALSE))</f>
        <v>0</v>
      </c>
      <c r="Q60" s="4">
        <f>(VLOOKUP('9.0.10'!Y60,'9.0.10'!$AM$4:$AO$55,3,FALSE))</f>
        <v>55</v>
      </c>
      <c r="R60" s="4">
        <f>(VLOOKUP('9.0.10'!Z60,'9.0.10'!$AM$4:$AO$55,3,FALSE))</f>
        <v>0</v>
      </c>
      <c r="S60" s="4">
        <f>(VLOOKUP('9.0.10'!AA60,'9.0.10'!$AM$4:$AO$55,3,FALSE))</f>
        <v>55</v>
      </c>
      <c r="T60" s="4">
        <f>(VLOOKUP('9.0.10'!AB60,'9.0.10'!$AM$4:$AO$55,3,FALSE))</f>
        <v>55</v>
      </c>
      <c r="U60" s="4">
        <f>(VLOOKUP('9.0.10'!AC60,'9.0.10'!$AM$4:$AO$55,3,FALSE))</f>
        <v>55</v>
      </c>
      <c r="V60" s="4">
        <f>(VLOOKUP('9.0.10'!AD60,'9.0.10'!$AM$4:$AO$55,3,FALSE))</f>
        <v>55</v>
      </c>
      <c r="W60" s="5">
        <f>(VLOOKUP('9.0.10'!AE60,'9.0.10'!$AM$4:$AO$55,3,FALSE))</f>
        <v>55</v>
      </c>
      <c r="X60" s="5">
        <f>(VLOOKUP('9.0.10'!AF60,'9.0.10'!$AM$4:$AO$55,3,FALSE))</f>
        <v>55</v>
      </c>
    </row>
    <row r="61" spans="1:24">
      <c r="A61" s="4">
        <f>(VLOOKUP('9.0.10'!I61,'9.0.10'!$AM$4:$AO$55,3,FALSE))</f>
        <v>0</v>
      </c>
      <c r="B61" s="4">
        <f>(VLOOKUP('9.0.10'!J61,'9.0.10'!$AM$4:$AO$55,3,FALSE))</f>
        <v>0</v>
      </c>
      <c r="C61" s="4">
        <f>(VLOOKUP('9.0.10'!K61,'9.0.10'!$AM$4:$AO$55,3,FALSE))</f>
        <v>0</v>
      </c>
      <c r="D61" s="4">
        <f>(VLOOKUP('9.0.10'!L61,'9.0.10'!$AM$4:$AO$55,3,FALSE))</f>
        <v>0</v>
      </c>
      <c r="E61" s="4">
        <f>(VLOOKUP('9.0.10'!M61,'9.0.10'!$AM$4:$AO$55,3,FALSE))</f>
        <v>0</v>
      </c>
      <c r="F61" s="4">
        <f>(VLOOKUP('9.0.10'!N61,'9.0.10'!$AM$4:$AO$55,3,FALSE))</f>
        <v>0</v>
      </c>
      <c r="G61" s="5">
        <f>(VLOOKUP('9.0.10'!O61,'9.0.10'!$AM$4:$AO$55,3,FALSE))</f>
        <v>0</v>
      </c>
      <c r="H61" s="5">
        <f>(VLOOKUP('9.0.10'!P61,'9.0.10'!$AM$4:$AO$55,3,FALSE))</f>
        <v>0</v>
      </c>
      <c r="I61" s="4">
        <f>(VLOOKUP('9.0.10'!Q61,'9.0.10'!$AM$4:$AO$55,3,FALSE))</f>
        <v>60</v>
      </c>
      <c r="J61" s="4">
        <f>(VLOOKUP('9.0.10'!R61,'9.0.10'!$AM$4:$AO$55,3,FALSE))</f>
        <v>60</v>
      </c>
      <c r="K61" s="4">
        <f>(VLOOKUP('9.0.10'!S61,'9.0.10'!$AM$4:$AO$55,3,FALSE))</f>
        <v>60</v>
      </c>
      <c r="L61" s="4">
        <f>(VLOOKUP('9.0.10'!T61,'9.0.10'!$AM$4:$AO$55,3,FALSE))</f>
        <v>60</v>
      </c>
      <c r="M61" s="4">
        <f>(VLOOKUP('9.0.10'!U61,'9.0.10'!$AM$4:$AO$55,3,FALSE))</f>
        <v>60</v>
      </c>
      <c r="N61" s="4">
        <f>(VLOOKUP('9.0.10'!V61,'9.0.10'!$AM$4:$AO$55,3,FALSE))</f>
        <v>60</v>
      </c>
      <c r="O61" s="5">
        <f>(VLOOKUP('9.0.10'!W61,'9.0.10'!$AM$4:$AO$55,3,FALSE))</f>
        <v>0</v>
      </c>
      <c r="P61" s="5">
        <f>(VLOOKUP('9.0.10'!X61,'9.0.10'!$AM$4:$AO$55,3,FALSE))</f>
        <v>0</v>
      </c>
      <c r="Q61" s="4">
        <f>(VLOOKUP('9.0.10'!Y61,'9.0.10'!$AM$4:$AO$55,3,FALSE))</f>
        <v>55</v>
      </c>
      <c r="R61" s="4">
        <f>(VLOOKUP('9.0.10'!Z61,'9.0.10'!$AM$4:$AO$55,3,FALSE))</f>
        <v>55</v>
      </c>
      <c r="S61" s="4">
        <f>(VLOOKUP('9.0.10'!AA61,'9.0.10'!$AM$4:$AO$55,3,FALSE))</f>
        <v>55</v>
      </c>
      <c r="T61" s="4">
        <f>(VLOOKUP('9.0.10'!AB61,'9.0.10'!$AM$4:$AO$55,3,FALSE))</f>
        <v>55</v>
      </c>
      <c r="U61" s="4">
        <f>(VLOOKUP('9.0.10'!AC61,'9.0.10'!$AM$4:$AO$55,3,FALSE))</f>
        <v>55</v>
      </c>
      <c r="V61" s="4">
        <f>(VLOOKUP('9.0.10'!AD61,'9.0.10'!$AM$4:$AO$55,3,FALSE))</f>
        <v>55</v>
      </c>
      <c r="W61" s="5">
        <f>(VLOOKUP('9.0.10'!AE61,'9.0.10'!$AM$4:$AO$55,3,FALSE))</f>
        <v>0</v>
      </c>
      <c r="X61" s="5">
        <f>(VLOOKUP('9.0.10'!AF61,'9.0.10'!$AM$4:$AO$55,3,FALSE))</f>
        <v>0</v>
      </c>
    </row>
    <row r="62" spans="1:24">
      <c r="A62" s="4">
        <f>(VLOOKUP('9.0.10'!I62,'9.0.10'!$AM$4:$AO$55,3,FALSE))</f>
        <v>0</v>
      </c>
      <c r="B62" s="4">
        <f>(VLOOKUP('9.0.10'!J62,'9.0.10'!$AM$4:$AO$55,3,FALSE))</f>
        <v>0</v>
      </c>
      <c r="C62" s="4">
        <f>(VLOOKUP('9.0.10'!K62,'9.0.10'!$AM$4:$AO$55,3,FALSE))</f>
        <v>0</v>
      </c>
      <c r="D62" s="4">
        <f>(VLOOKUP('9.0.10'!L62,'9.0.10'!$AM$4:$AO$55,3,FALSE))</f>
        <v>0</v>
      </c>
      <c r="E62" s="4">
        <f>(VLOOKUP('9.0.10'!M62,'9.0.10'!$AM$4:$AO$55,3,FALSE))</f>
        <v>0</v>
      </c>
      <c r="F62" s="4">
        <f>(VLOOKUP('9.0.10'!N62,'9.0.10'!$AM$4:$AO$55,3,FALSE))</f>
        <v>0</v>
      </c>
      <c r="G62" s="5">
        <f>(VLOOKUP('9.0.10'!O62,'9.0.10'!$AM$4:$AO$55,3,FALSE))</f>
        <v>0</v>
      </c>
      <c r="H62" s="5">
        <f>(VLOOKUP('9.0.10'!P62,'9.0.10'!$AM$4:$AO$55,3,FALSE))</f>
        <v>0</v>
      </c>
      <c r="I62" s="4">
        <f>(VLOOKUP('9.0.10'!Q62,'9.0.10'!$AM$4:$AO$55,3,FALSE))</f>
        <v>60</v>
      </c>
      <c r="J62" s="4">
        <f>(VLOOKUP('9.0.10'!R62,'9.0.10'!$AM$4:$AO$55,3,FALSE))</f>
        <v>60</v>
      </c>
      <c r="K62" s="4">
        <f>(VLOOKUP('9.0.10'!S62,'9.0.10'!$AM$4:$AO$55,3,FALSE))</f>
        <v>60</v>
      </c>
      <c r="L62" s="4">
        <f>(VLOOKUP('9.0.10'!T62,'9.0.10'!$AM$4:$AO$55,3,FALSE))</f>
        <v>60</v>
      </c>
      <c r="M62" s="4">
        <f>(VLOOKUP('9.0.10'!U62,'9.0.10'!$AM$4:$AO$55,3,FALSE))</f>
        <v>60</v>
      </c>
      <c r="N62" s="4">
        <f>(VLOOKUP('9.0.10'!V62,'9.0.10'!$AM$4:$AO$55,3,FALSE))</f>
        <v>60</v>
      </c>
      <c r="O62" s="5">
        <f>(VLOOKUP('9.0.10'!W62,'9.0.10'!$AM$4:$AO$55,3,FALSE))</f>
        <v>0</v>
      </c>
      <c r="P62" s="5">
        <f>(VLOOKUP('9.0.10'!X62,'9.0.10'!$AM$4:$AO$55,3,FALSE))</f>
        <v>0</v>
      </c>
      <c r="Q62" s="4">
        <f>(VLOOKUP('9.0.10'!Y62,'9.0.10'!$AM$4:$AO$55,3,FALSE))</f>
        <v>60</v>
      </c>
      <c r="R62" s="4">
        <f>(VLOOKUP('9.0.10'!Z62,'9.0.10'!$AM$4:$AO$55,3,FALSE))</f>
        <v>60</v>
      </c>
      <c r="S62" s="4">
        <f>(VLOOKUP('9.0.10'!AA62,'9.0.10'!$AM$4:$AO$55,3,FALSE))</f>
        <v>60</v>
      </c>
      <c r="T62" s="4">
        <f>(VLOOKUP('9.0.10'!AB62,'9.0.10'!$AM$4:$AO$55,3,FALSE))</f>
        <v>60</v>
      </c>
      <c r="U62" s="4">
        <f>(VLOOKUP('9.0.10'!AC62,'9.0.10'!$AM$4:$AO$55,3,FALSE))</f>
        <v>60</v>
      </c>
      <c r="V62" s="4">
        <f>(VLOOKUP('9.0.10'!AD62,'9.0.10'!$AM$4:$AO$55,3,FALSE))</f>
        <v>60</v>
      </c>
      <c r="W62" s="5">
        <f>(VLOOKUP('9.0.10'!AE62,'9.0.10'!$AM$4:$AO$55,3,FALSE))</f>
        <v>0</v>
      </c>
      <c r="X62" s="5">
        <f>(VLOOKUP('9.0.10'!AF62,'9.0.10'!$AM$4:$AO$55,3,FALSE))</f>
        <v>0</v>
      </c>
    </row>
    <row r="63" spans="1:24">
      <c r="A63" s="4">
        <f>(VLOOKUP('9.0.10'!I63,'9.0.10'!$AM$4:$AO$55,3,FALSE))</f>
        <v>0</v>
      </c>
      <c r="B63" s="4">
        <f>(VLOOKUP('9.0.10'!J63,'9.0.10'!$AM$4:$AO$55,3,FALSE))</f>
        <v>0</v>
      </c>
      <c r="C63" s="4">
        <f>(VLOOKUP('9.0.10'!K63,'9.0.10'!$AM$4:$AO$55,3,FALSE))</f>
        <v>0</v>
      </c>
      <c r="D63" s="4">
        <f>(VLOOKUP('9.0.10'!L63,'9.0.10'!$AM$4:$AO$55,3,FALSE))</f>
        <v>0</v>
      </c>
      <c r="E63" s="4">
        <f>(VLOOKUP('9.0.10'!M63,'9.0.10'!$AM$4:$AO$55,3,FALSE))</f>
        <v>0</v>
      </c>
      <c r="F63" s="4">
        <f>(VLOOKUP('9.0.10'!N63,'9.0.10'!$AM$4:$AO$55,3,FALSE))</f>
        <v>0</v>
      </c>
      <c r="G63" s="5">
        <f>(VLOOKUP('9.0.10'!O63,'9.0.10'!$AM$4:$AO$55,3,FALSE))</f>
        <v>0</v>
      </c>
      <c r="H63" s="5">
        <f>(VLOOKUP('9.0.10'!P63,'9.0.10'!$AM$4:$AO$55,3,FALSE))</f>
        <v>0</v>
      </c>
      <c r="I63" s="4">
        <f>(VLOOKUP('9.0.10'!Q63,'9.0.10'!$AM$4:$AO$55,3,FALSE))</f>
        <v>60</v>
      </c>
      <c r="J63" s="4">
        <f>(VLOOKUP('9.0.10'!R63,'9.0.10'!$AM$4:$AO$55,3,FALSE))</f>
        <v>60</v>
      </c>
      <c r="K63" s="4">
        <f>(VLOOKUP('9.0.10'!S63,'9.0.10'!$AM$4:$AO$55,3,FALSE))</f>
        <v>60</v>
      </c>
      <c r="L63" s="4">
        <f>(VLOOKUP('9.0.10'!T63,'9.0.10'!$AM$4:$AO$55,3,FALSE))</f>
        <v>60</v>
      </c>
      <c r="M63" s="4">
        <f>(VLOOKUP('9.0.10'!U63,'9.0.10'!$AM$4:$AO$55,3,FALSE))</f>
        <v>60</v>
      </c>
      <c r="N63" s="4">
        <f>(VLOOKUP('9.0.10'!V63,'9.0.10'!$AM$4:$AO$55,3,FALSE))</f>
        <v>60</v>
      </c>
      <c r="O63" s="5">
        <f>(VLOOKUP('9.0.10'!W63,'9.0.10'!$AM$4:$AO$55,3,FALSE))</f>
        <v>0</v>
      </c>
      <c r="P63" s="5">
        <f>(VLOOKUP('9.0.10'!X63,'9.0.10'!$AM$4:$AO$55,3,FALSE))</f>
        <v>0</v>
      </c>
      <c r="Q63" s="4">
        <f>(VLOOKUP('9.0.10'!Y63,'9.0.10'!$AM$4:$AO$55,3,FALSE))</f>
        <v>60</v>
      </c>
      <c r="R63" s="4">
        <f>(VLOOKUP('9.0.10'!Z63,'9.0.10'!$AM$4:$AO$55,3,FALSE))</f>
        <v>55</v>
      </c>
      <c r="S63" s="4">
        <f>(VLOOKUP('9.0.10'!AA63,'9.0.10'!$AM$4:$AO$55,3,FALSE))</f>
        <v>55</v>
      </c>
      <c r="T63" s="4">
        <f>(VLOOKUP('9.0.10'!AB63,'9.0.10'!$AM$4:$AO$55,3,FALSE))</f>
        <v>55</v>
      </c>
      <c r="U63" s="4">
        <f>(VLOOKUP('9.0.10'!AC63,'9.0.10'!$AM$4:$AO$55,3,FALSE))</f>
        <v>55</v>
      </c>
      <c r="V63" s="4">
        <f>(VLOOKUP('9.0.10'!AD63,'9.0.10'!$AM$4:$AO$55,3,FALSE))</f>
        <v>55</v>
      </c>
      <c r="W63" s="5">
        <f>(VLOOKUP('9.0.10'!AE63,'9.0.10'!$AM$4:$AO$55,3,FALSE))</f>
        <v>0</v>
      </c>
      <c r="X63" s="5">
        <f>(VLOOKUP('9.0.10'!AF63,'9.0.10'!$AM$4:$AO$55,3,FALSE))</f>
        <v>0</v>
      </c>
    </row>
    <row r="64" spans="1:24">
      <c r="A64" s="4">
        <f>(VLOOKUP('9.0.10'!I64,'9.0.10'!$AM$4:$AO$55,3,FALSE))</f>
        <v>0</v>
      </c>
      <c r="B64" s="4">
        <f>(VLOOKUP('9.0.10'!J64,'9.0.10'!$AM$4:$AO$55,3,FALSE))</f>
        <v>0</v>
      </c>
      <c r="C64" s="4">
        <f>(VLOOKUP('9.0.10'!K64,'9.0.10'!$AM$4:$AO$55,3,FALSE))</f>
        <v>0</v>
      </c>
      <c r="D64" s="4">
        <f>(VLOOKUP('9.0.10'!L64,'9.0.10'!$AM$4:$AO$55,3,FALSE))</f>
        <v>0</v>
      </c>
      <c r="E64" s="4">
        <f>(VLOOKUP('9.0.10'!M64,'9.0.10'!$AM$4:$AO$55,3,FALSE))</f>
        <v>0</v>
      </c>
      <c r="F64" s="4">
        <f>(VLOOKUP('9.0.10'!N64,'9.0.10'!$AM$4:$AO$55,3,FALSE))</f>
        <v>0</v>
      </c>
      <c r="G64" s="5">
        <f>(VLOOKUP('9.0.10'!O64,'9.0.10'!$AM$4:$AO$55,3,FALSE))</f>
        <v>0</v>
      </c>
      <c r="H64" s="5">
        <f>(VLOOKUP('9.0.10'!P64,'9.0.10'!$AM$4:$AO$55,3,FALSE))</f>
        <v>0</v>
      </c>
      <c r="I64" s="4">
        <f>(VLOOKUP('9.0.10'!Q64,'9.0.10'!$AM$4:$AO$55,3,FALSE))</f>
        <v>60</v>
      </c>
      <c r="J64" s="4">
        <f>(VLOOKUP('9.0.10'!R64,'9.0.10'!$AM$4:$AO$55,3,FALSE))</f>
        <v>60</v>
      </c>
      <c r="K64" s="4">
        <f>(VLOOKUP('9.0.10'!S64,'9.0.10'!$AM$4:$AO$55,3,FALSE))</f>
        <v>60</v>
      </c>
      <c r="L64" s="4">
        <f>(VLOOKUP('9.0.10'!T64,'9.0.10'!$AM$4:$AO$55,3,FALSE))</f>
        <v>60</v>
      </c>
      <c r="M64" s="4">
        <f>(VLOOKUP('9.0.10'!U64,'9.0.10'!$AM$4:$AO$55,3,FALSE))</f>
        <v>60</v>
      </c>
      <c r="N64" s="4">
        <f>(VLOOKUP('9.0.10'!V64,'9.0.10'!$AM$4:$AO$55,3,FALSE))</f>
        <v>60</v>
      </c>
      <c r="O64" s="5">
        <f>(VLOOKUP('9.0.10'!W64,'9.0.10'!$AM$4:$AO$55,3,FALSE))</f>
        <v>0</v>
      </c>
      <c r="P64" s="5">
        <f>(VLOOKUP('9.0.10'!X64,'9.0.10'!$AM$4:$AO$55,3,FALSE))</f>
        <v>0</v>
      </c>
      <c r="Q64" s="4">
        <f>(VLOOKUP('9.0.10'!Y64,'9.0.10'!$AM$4:$AO$55,3,FALSE))</f>
        <v>55</v>
      </c>
      <c r="R64" s="4">
        <f>(VLOOKUP('9.0.10'!Z64,'9.0.10'!$AM$4:$AO$55,3,FALSE))</f>
        <v>55</v>
      </c>
      <c r="S64" s="4">
        <f>(VLOOKUP('9.0.10'!AA64,'9.0.10'!$AM$4:$AO$55,3,FALSE))</f>
        <v>55</v>
      </c>
      <c r="T64" s="4">
        <f>(VLOOKUP('9.0.10'!AB64,'9.0.10'!$AM$4:$AO$55,3,FALSE))</f>
        <v>55</v>
      </c>
      <c r="U64" s="4">
        <f>(VLOOKUP('9.0.10'!AC64,'9.0.10'!$AM$4:$AO$55,3,FALSE))</f>
        <v>55</v>
      </c>
      <c r="V64" s="4">
        <f>(VLOOKUP('9.0.10'!AD64,'9.0.10'!$AM$4:$AO$55,3,FALSE))</f>
        <v>55</v>
      </c>
      <c r="W64" s="5">
        <f>(VLOOKUP('9.0.10'!AE64,'9.0.10'!$AM$4:$AO$55,3,FALSE))</f>
        <v>0</v>
      </c>
      <c r="X64" s="5">
        <f>(VLOOKUP('9.0.10'!AF64,'9.0.10'!$AM$4:$AO$55,3,FALSE))</f>
        <v>0</v>
      </c>
    </row>
    <row r="65" spans="1:24">
      <c r="A65" s="4">
        <f>(VLOOKUP('9.0.10'!I65,'9.0.10'!$AM$4:$AO$55,3,FALSE))</f>
        <v>0</v>
      </c>
      <c r="B65" s="4">
        <f>(VLOOKUP('9.0.10'!J65,'9.0.10'!$AM$4:$AO$55,3,FALSE))</f>
        <v>0</v>
      </c>
      <c r="C65" s="4">
        <f>(VLOOKUP('9.0.10'!K65,'9.0.10'!$AM$4:$AO$55,3,FALSE))</f>
        <v>0</v>
      </c>
      <c r="D65" s="4">
        <f>(VLOOKUP('9.0.10'!L65,'9.0.10'!$AM$4:$AO$55,3,FALSE))</f>
        <v>0</v>
      </c>
      <c r="E65" s="4">
        <f>(VLOOKUP('9.0.10'!M65,'9.0.10'!$AM$4:$AO$55,3,FALSE))</f>
        <v>0</v>
      </c>
      <c r="F65" s="4">
        <f>(VLOOKUP('9.0.10'!N65,'9.0.10'!$AM$4:$AO$55,3,FALSE))</f>
        <v>0</v>
      </c>
      <c r="G65" s="5">
        <f>(VLOOKUP('9.0.10'!O65,'9.0.10'!$AM$4:$AO$55,3,FALSE))</f>
        <v>0</v>
      </c>
      <c r="H65" s="5">
        <f>(VLOOKUP('9.0.10'!P65,'9.0.10'!$AM$4:$AO$55,3,FALSE))</f>
        <v>0</v>
      </c>
      <c r="I65" s="4">
        <f>(VLOOKUP('9.0.10'!Q65,'9.0.10'!$AM$4:$AO$55,3,FALSE))</f>
        <v>60</v>
      </c>
      <c r="J65" s="4">
        <f>(VLOOKUP('9.0.10'!R65,'9.0.10'!$AM$4:$AO$55,3,FALSE))</f>
        <v>60</v>
      </c>
      <c r="K65" s="4">
        <f>(VLOOKUP('9.0.10'!S65,'9.0.10'!$AM$4:$AO$55,3,FALSE))</f>
        <v>60</v>
      </c>
      <c r="L65" s="4">
        <f>(VLOOKUP('9.0.10'!T65,'9.0.10'!$AM$4:$AO$55,3,FALSE))</f>
        <v>60</v>
      </c>
      <c r="M65" s="4">
        <f>(VLOOKUP('9.0.10'!U65,'9.0.10'!$AM$4:$AO$55,3,FALSE))</f>
        <v>60</v>
      </c>
      <c r="N65" s="4">
        <f>(VLOOKUP('9.0.10'!V65,'9.0.10'!$AM$4:$AO$55,3,FALSE))</f>
        <v>60</v>
      </c>
      <c r="O65" s="5">
        <f>(VLOOKUP('9.0.10'!W65,'9.0.10'!$AM$4:$AO$55,3,FALSE))</f>
        <v>0</v>
      </c>
      <c r="P65" s="5">
        <f>(VLOOKUP('9.0.10'!X65,'9.0.10'!$AM$4:$AO$55,3,FALSE))</f>
        <v>0</v>
      </c>
      <c r="Q65" s="4">
        <f>(VLOOKUP('9.0.10'!Y65,'9.0.10'!$AM$4:$AO$55,3,FALSE))</f>
        <v>55</v>
      </c>
      <c r="R65" s="4">
        <f>(VLOOKUP('9.0.10'!Z65,'9.0.10'!$AM$4:$AO$55,3,FALSE))</f>
        <v>55</v>
      </c>
      <c r="S65" s="4">
        <f>(VLOOKUP('9.0.10'!AA65,'9.0.10'!$AM$4:$AO$55,3,FALSE))</f>
        <v>55</v>
      </c>
      <c r="T65" s="4">
        <f>(VLOOKUP('9.0.10'!AB65,'9.0.10'!$AM$4:$AO$55,3,FALSE))</f>
        <v>55</v>
      </c>
      <c r="U65" s="4">
        <f>(VLOOKUP('9.0.10'!AC65,'9.0.10'!$AM$4:$AO$55,3,FALSE))</f>
        <v>55</v>
      </c>
      <c r="V65" s="4">
        <f>(VLOOKUP('9.0.10'!AD65,'9.0.10'!$AM$4:$AO$55,3,FALSE))</f>
        <v>55</v>
      </c>
      <c r="W65" s="5">
        <f>(VLOOKUP('9.0.10'!AE65,'9.0.10'!$AM$4:$AO$55,3,FALSE))</f>
        <v>0</v>
      </c>
      <c r="X65" s="5">
        <f>(VLOOKUP('9.0.10'!AF65,'9.0.10'!$AM$4:$AO$55,3,FALSE))</f>
        <v>0</v>
      </c>
    </row>
    <row r="66" spans="1:24">
      <c r="A66" s="4">
        <f>(VLOOKUP('9.0.10'!I66,'9.0.10'!$AM$4:$AO$55,3,FALSE))</f>
        <v>0</v>
      </c>
      <c r="B66" s="4">
        <f>(VLOOKUP('9.0.10'!J66,'9.0.10'!$AM$4:$AO$55,3,FALSE))</f>
        <v>0</v>
      </c>
      <c r="C66" s="4">
        <f>(VLOOKUP('9.0.10'!K66,'9.0.10'!$AM$4:$AO$55,3,FALSE))</f>
        <v>0</v>
      </c>
      <c r="D66" s="4">
        <f>(VLOOKUP('9.0.10'!L66,'9.0.10'!$AM$4:$AO$55,3,FALSE))</f>
        <v>0</v>
      </c>
      <c r="E66" s="4">
        <f>(VLOOKUP('9.0.10'!M66,'9.0.10'!$AM$4:$AO$55,3,FALSE))</f>
        <v>0</v>
      </c>
      <c r="F66" s="4">
        <f>(VLOOKUP('9.0.10'!N66,'9.0.10'!$AM$4:$AO$55,3,FALSE))</f>
        <v>0</v>
      </c>
      <c r="G66" s="5">
        <f>(VLOOKUP('9.0.10'!O66,'9.0.10'!$AM$4:$AO$55,3,FALSE))</f>
        <v>0</v>
      </c>
      <c r="H66" s="5">
        <f>(VLOOKUP('9.0.10'!P66,'9.0.10'!$AM$4:$AO$55,3,FALSE))</f>
        <v>0</v>
      </c>
      <c r="I66" s="4">
        <f>(VLOOKUP('9.0.10'!Q66,'9.0.10'!$AM$4:$AO$55,3,FALSE))</f>
        <v>60</v>
      </c>
      <c r="J66" s="4">
        <f>(VLOOKUP('9.0.10'!R66,'9.0.10'!$AM$4:$AO$55,3,FALSE))</f>
        <v>60</v>
      </c>
      <c r="K66" s="4">
        <f>(VLOOKUP('9.0.10'!S66,'9.0.10'!$AM$4:$AO$55,3,FALSE))</f>
        <v>60</v>
      </c>
      <c r="L66" s="4">
        <f>(VLOOKUP('9.0.10'!T66,'9.0.10'!$AM$4:$AO$55,3,FALSE))</f>
        <v>60</v>
      </c>
      <c r="M66" s="4">
        <f>(VLOOKUP('9.0.10'!U66,'9.0.10'!$AM$4:$AO$55,3,FALSE))</f>
        <v>60</v>
      </c>
      <c r="N66" s="4">
        <f>(VLOOKUP('9.0.10'!V66,'9.0.10'!$AM$4:$AO$55,3,FALSE))</f>
        <v>60</v>
      </c>
      <c r="O66" s="5">
        <f>(VLOOKUP('9.0.10'!W66,'9.0.10'!$AM$4:$AO$55,3,FALSE))</f>
        <v>0</v>
      </c>
      <c r="P66" s="5">
        <f>(VLOOKUP('9.0.10'!X66,'9.0.10'!$AM$4:$AO$55,3,FALSE))</f>
        <v>0</v>
      </c>
      <c r="Q66" s="4">
        <f>(VLOOKUP('9.0.10'!Y66,'9.0.10'!$AM$4:$AO$55,3,FALSE))</f>
        <v>55</v>
      </c>
      <c r="R66" s="4">
        <f>(VLOOKUP('9.0.10'!Z66,'9.0.10'!$AM$4:$AO$55,3,FALSE))</f>
        <v>55</v>
      </c>
      <c r="S66" s="4">
        <f>(VLOOKUP('9.0.10'!AA66,'9.0.10'!$AM$4:$AO$55,3,FALSE))</f>
        <v>55</v>
      </c>
      <c r="T66" s="4">
        <f>(VLOOKUP('9.0.10'!AB66,'9.0.10'!$AM$4:$AO$55,3,FALSE))</f>
        <v>55</v>
      </c>
      <c r="U66" s="4">
        <f>(VLOOKUP('9.0.10'!AC66,'9.0.10'!$AM$4:$AO$55,3,FALSE))</f>
        <v>30</v>
      </c>
      <c r="V66" s="4">
        <f>(VLOOKUP('9.0.10'!AD66,'9.0.10'!$AM$4:$AO$55,3,FALSE))</f>
        <v>55</v>
      </c>
      <c r="W66" s="5">
        <f>(VLOOKUP('9.0.10'!AE66,'9.0.10'!$AM$4:$AO$55,3,FALSE))</f>
        <v>0</v>
      </c>
      <c r="X66" s="5">
        <f>(VLOOKUP('9.0.10'!AF66,'9.0.10'!$AM$4:$AO$55,3,FALSE))</f>
        <v>0</v>
      </c>
    </row>
    <row r="67" spans="1:24">
      <c r="A67" s="4">
        <f>(VLOOKUP('9.0.10'!I67,'9.0.10'!$AM$4:$AO$55,3,FALSE))</f>
        <v>0</v>
      </c>
      <c r="B67" s="4">
        <f>(VLOOKUP('9.0.10'!J67,'9.0.10'!$AM$4:$AO$55,3,FALSE))</f>
        <v>0</v>
      </c>
      <c r="C67" s="4">
        <f>(VLOOKUP('9.0.10'!K67,'9.0.10'!$AM$4:$AO$55,3,FALSE))</f>
        <v>0</v>
      </c>
      <c r="D67" s="4">
        <f>(VLOOKUP('9.0.10'!L67,'9.0.10'!$AM$4:$AO$55,3,FALSE))</f>
        <v>0</v>
      </c>
      <c r="E67" s="4">
        <f>(VLOOKUP('9.0.10'!M67,'9.0.10'!$AM$4:$AO$55,3,FALSE))</f>
        <v>0</v>
      </c>
      <c r="F67" s="4">
        <f>(VLOOKUP('9.0.10'!N67,'9.0.10'!$AM$4:$AO$55,3,FALSE))</f>
        <v>0</v>
      </c>
      <c r="G67" s="5">
        <f>(VLOOKUP('9.0.10'!O67,'9.0.10'!$AM$4:$AO$55,3,FALSE))</f>
        <v>0</v>
      </c>
      <c r="H67" s="5">
        <f>(VLOOKUP('9.0.10'!P67,'9.0.10'!$AM$4:$AO$55,3,FALSE))</f>
        <v>0</v>
      </c>
      <c r="I67" s="4">
        <f>(VLOOKUP('9.0.10'!Q67,'9.0.10'!$AM$4:$AO$55,3,FALSE))</f>
        <v>60</v>
      </c>
      <c r="J67" s="4">
        <f>(VLOOKUP('9.0.10'!R67,'9.0.10'!$AM$4:$AO$55,3,FALSE))</f>
        <v>60</v>
      </c>
      <c r="K67" s="4">
        <f>(VLOOKUP('9.0.10'!S67,'9.0.10'!$AM$4:$AO$55,3,FALSE))</f>
        <v>60</v>
      </c>
      <c r="L67" s="4">
        <f>(VLOOKUP('9.0.10'!T67,'9.0.10'!$AM$4:$AO$55,3,FALSE))</f>
        <v>60</v>
      </c>
      <c r="M67" s="4">
        <f>(VLOOKUP('9.0.10'!U67,'9.0.10'!$AM$4:$AO$55,3,FALSE))</f>
        <v>60</v>
      </c>
      <c r="N67" s="4">
        <f>(VLOOKUP('9.0.10'!V67,'9.0.10'!$AM$4:$AO$55,3,FALSE))</f>
        <v>60</v>
      </c>
      <c r="O67" s="5">
        <f>(VLOOKUP('9.0.10'!W67,'9.0.10'!$AM$4:$AO$55,3,FALSE))</f>
        <v>0</v>
      </c>
      <c r="P67" s="5">
        <f>(VLOOKUP('9.0.10'!X67,'9.0.10'!$AM$4:$AO$55,3,FALSE))</f>
        <v>0</v>
      </c>
      <c r="Q67" s="4">
        <f>(VLOOKUP('9.0.10'!Y67,'9.0.10'!$AM$4:$AO$55,3,FALSE))</f>
        <v>55</v>
      </c>
      <c r="R67" s="4">
        <f>(VLOOKUP('9.0.10'!Z67,'9.0.10'!$AM$4:$AO$55,3,FALSE))</f>
        <v>55</v>
      </c>
      <c r="S67" s="4">
        <f>(VLOOKUP('9.0.10'!AA67,'9.0.10'!$AM$4:$AO$55,3,FALSE))</f>
        <v>55</v>
      </c>
      <c r="T67" s="4">
        <f>(VLOOKUP('9.0.10'!AB67,'9.0.10'!$AM$4:$AO$55,3,FALSE))</f>
        <v>55</v>
      </c>
      <c r="U67" s="4">
        <f>(VLOOKUP('9.0.10'!AC67,'9.0.10'!$AM$4:$AO$55,3,FALSE))</f>
        <v>55</v>
      </c>
      <c r="V67" s="4">
        <f>(VLOOKUP('9.0.10'!AD67,'9.0.10'!$AM$4:$AO$55,3,FALSE))</f>
        <v>55</v>
      </c>
      <c r="W67" s="5">
        <f>(VLOOKUP('9.0.10'!AE67,'9.0.10'!$AM$4:$AO$55,3,FALSE))</f>
        <v>0</v>
      </c>
      <c r="X67" s="5">
        <f>(VLOOKUP('9.0.10'!AF67,'9.0.10'!$AM$4:$AO$55,3,FALSE))</f>
        <v>0</v>
      </c>
    </row>
    <row r="68" spans="1:24">
      <c r="A68" s="4">
        <f>(VLOOKUP('9.0.10'!I68,'9.0.10'!$AM$4:$AO$55,3,FALSE))</f>
        <v>0</v>
      </c>
      <c r="B68" s="4">
        <f>(VLOOKUP('9.0.10'!J68,'9.0.10'!$AM$4:$AO$55,3,FALSE))</f>
        <v>0</v>
      </c>
      <c r="C68" s="4">
        <f>(VLOOKUP('9.0.10'!K68,'9.0.10'!$AM$4:$AO$55,3,FALSE))</f>
        <v>0</v>
      </c>
      <c r="D68" s="4">
        <f>(VLOOKUP('9.0.10'!L68,'9.0.10'!$AM$4:$AO$55,3,FALSE))</f>
        <v>0</v>
      </c>
      <c r="E68" s="4">
        <f>(VLOOKUP('9.0.10'!M68,'9.0.10'!$AM$4:$AO$55,3,FALSE))</f>
        <v>0</v>
      </c>
      <c r="F68" s="4">
        <f>(VLOOKUP('9.0.10'!N68,'9.0.10'!$AM$4:$AO$55,3,FALSE))</f>
        <v>0</v>
      </c>
      <c r="G68" s="5">
        <f>(VLOOKUP('9.0.10'!O68,'9.0.10'!$AM$4:$AO$55,3,FALSE))</f>
        <v>0</v>
      </c>
      <c r="H68" s="5">
        <f>(VLOOKUP('9.0.10'!P68,'9.0.10'!$AM$4:$AO$55,3,FALSE))</f>
        <v>0</v>
      </c>
      <c r="I68" s="4">
        <f>(VLOOKUP('9.0.10'!Q68,'9.0.10'!$AM$4:$AO$55,3,FALSE))</f>
        <v>60</v>
      </c>
      <c r="J68" s="4">
        <f>(VLOOKUP('9.0.10'!R68,'9.0.10'!$AM$4:$AO$55,3,FALSE))</f>
        <v>60</v>
      </c>
      <c r="K68" s="4">
        <f>(VLOOKUP('9.0.10'!S68,'9.0.10'!$AM$4:$AO$55,3,FALSE))</f>
        <v>60</v>
      </c>
      <c r="L68" s="4">
        <f>(VLOOKUP('9.0.10'!T68,'9.0.10'!$AM$4:$AO$55,3,FALSE))</f>
        <v>60</v>
      </c>
      <c r="M68" s="4">
        <f>(VLOOKUP('9.0.10'!U68,'9.0.10'!$AM$4:$AO$55,3,FALSE))</f>
        <v>60</v>
      </c>
      <c r="N68" s="4">
        <f>(VLOOKUP('9.0.10'!V68,'9.0.10'!$AM$4:$AO$55,3,FALSE))</f>
        <v>60</v>
      </c>
      <c r="O68" s="5">
        <f>(VLOOKUP('9.0.10'!W68,'9.0.10'!$AM$4:$AO$55,3,FALSE))</f>
        <v>0</v>
      </c>
      <c r="P68" s="5">
        <f>(VLOOKUP('9.0.10'!X68,'9.0.10'!$AM$4:$AO$55,3,FALSE))</f>
        <v>0</v>
      </c>
      <c r="Q68" s="4">
        <f>(VLOOKUP('9.0.10'!Y68,'9.0.10'!$AM$4:$AO$55,3,FALSE))</f>
        <v>55</v>
      </c>
      <c r="R68" s="4">
        <f>(VLOOKUP('9.0.10'!Z68,'9.0.10'!$AM$4:$AO$55,3,FALSE))</f>
        <v>55</v>
      </c>
      <c r="S68" s="4">
        <f>(VLOOKUP('9.0.10'!AA68,'9.0.10'!$AM$4:$AO$55,3,FALSE))</f>
        <v>55</v>
      </c>
      <c r="T68" s="4">
        <f>(VLOOKUP('9.0.10'!AB68,'9.0.10'!$AM$4:$AO$55,3,FALSE))</f>
        <v>55</v>
      </c>
      <c r="U68" s="4">
        <f>(VLOOKUP('9.0.10'!AC68,'9.0.10'!$AM$4:$AO$55,3,FALSE))</f>
        <v>55</v>
      </c>
      <c r="V68" s="4">
        <f>(VLOOKUP('9.0.10'!AD68,'9.0.10'!$AM$4:$AO$55,3,FALSE))</f>
        <v>60</v>
      </c>
      <c r="W68" s="5">
        <f>(VLOOKUP('9.0.10'!AE68,'9.0.10'!$AM$4:$AO$55,3,FALSE))</f>
        <v>0</v>
      </c>
      <c r="X68" s="5">
        <f>(VLOOKUP('9.0.10'!AF68,'9.0.10'!$AM$4:$AO$55,3,FALSE))</f>
        <v>0</v>
      </c>
    </row>
    <row r="69" spans="1:24">
      <c r="A69" s="4">
        <f>(VLOOKUP('9.0.10'!I69,'9.0.10'!$AM$4:$AO$55,3,FALSE))</f>
        <v>0</v>
      </c>
      <c r="B69" s="4">
        <f>(VLOOKUP('9.0.10'!J69,'9.0.10'!$AM$4:$AO$55,3,FALSE))</f>
        <v>0</v>
      </c>
      <c r="C69" s="4">
        <f>(VLOOKUP('9.0.10'!K69,'9.0.10'!$AM$4:$AO$55,3,FALSE))</f>
        <v>0</v>
      </c>
      <c r="D69" s="4">
        <f>(VLOOKUP('9.0.10'!L69,'9.0.10'!$AM$4:$AO$55,3,FALSE))</f>
        <v>0</v>
      </c>
      <c r="E69" s="4">
        <f>(VLOOKUP('9.0.10'!M69,'9.0.10'!$AM$4:$AO$55,3,FALSE))</f>
        <v>0</v>
      </c>
      <c r="F69" s="4">
        <f>(VLOOKUP('9.0.10'!N69,'9.0.10'!$AM$4:$AO$55,3,FALSE))</f>
        <v>0</v>
      </c>
      <c r="G69" s="5">
        <f>(VLOOKUP('9.0.10'!O69,'9.0.10'!$AM$4:$AO$55,3,FALSE))</f>
        <v>0</v>
      </c>
      <c r="H69" s="5">
        <f>(VLOOKUP('9.0.10'!P69,'9.0.10'!$AM$4:$AO$55,3,FALSE))</f>
        <v>0</v>
      </c>
      <c r="I69" s="4">
        <f>(VLOOKUP('9.0.10'!Q69,'9.0.10'!$AM$4:$AO$55,3,FALSE))</f>
        <v>60</v>
      </c>
      <c r="J69" s="4">
        <f>(VLOOKUP('9.0.10'!R69,'9.0.10'!$AM$4:$AO$55,3,FALSE))</f>
        <v>60</v>
      </c>
      <c r="K69" s="4">
        <f>(VLOOKUP('9.0.10'!S69,'9.0.10'!$AM$4:$AO$55,3,FALSE))</f>
        <v>60</v>
      </c>
      <c r="L69" s="4">
        <f>(VLOOKUP('9.0.10'!T69,'9.0.10'!$AM$4:$AO$55,3,FALSE))</f>
        <v>60</v>
      </c>
      <c r="M69" s="4">
        <f>(VLOOKUP('9.0.10'!U69,'9.0.10'!$AM$4:$AO$55,3,FALSE))</f>
        <v>60</v>
      </c>
      <c r="N69" s="4">
        <f>(VLOOKUP('9.0.10'!V69,'9.0.10'!$AM$4:$AO$55,3,FALSE))</f>
        <v>60</v>
      </c>
      <c r="O69" s="5">
        <f>(VLOOKUP('9.0.10'!W69,'9.0.10'!$AM$4:$AO$55,3,FALSE))</f>
        <v>0</v>
      </c>
      <c r="P69" s="5">
        <f>(VLOOKUP('9.0.10'!X69,'9.0.10'!$AM$4:$AO$55,3,FALSE))</f>
        <v>0</v>
      </c>
      <c r="Q69" s="4">
        <f>(VLOOKUP('9.0.10'!Y69,'9.0.10'!$AM$4:$AO$55,3,FALSE))</f>
        <v>60</v>
      </c>
      <c r="R69" s="4">
        <f>(VLOOKUP('9.0.10'!Z69,'9.0.10'!$AM$4:$AO$55,3,FALSE))</f>
        <v>55</v>
      </c>
      <c r="S69" s="4">
        <f>(VLOOKUP('9.0.10'!AA69,'9.0.10'!$AM$4:$AO$55,3,FALSE))</f>
        <v>60</v>
      </c>
      <c r="T69" s="4">
        <f>(VLOOKUP('9.0.10'!AB69,'9.0.10'!$AM$4:$AO$55,3,FALSE))</f>
        <v>60</v>
      </c>
      <c r="U69" s="4">
        <f>(VLOOKUP('9.0.10'!AC69,'9.0.10'!$AM$4:$AO$55,3,FALSE))</f>
        <v>60</v>
      </c>
      <c r="V69" s="4">
        <f>(VLOOKUP('9.0.10'!AD69,'9.0.10'!$AM$4:$AO$55,3,FALSE))</f>
        <v>55</v>
      </c>
      <c r="W69" s="5">
        <f>(VLOOKUP('9.0.10'!AE69,'9.0.10'!$AM$4:$AO$55,3,FALSE))</f>
        <v>0</v>
      </c>
      <c r="X69" s="5">
        <f>(VLOOKUP('9.0.10'!AF69,'9.0.10'!$AM$4:$AO$55,3,FALSE))</f>
        <v>0</v>
      </c>
    </row>
    <row r="70" spans="1:24">
      <c r="A70" s="4">
        <f>(VLOOKUP('9.0.10'!I70,'9.0.10'!$AM$4:$AO$55,3,FALSE))</f>
        <v>0</v>
      </c>
      <c r="B70" s="4">
        <f>(VLOOKUP('9.0.10'!J70,'9.0.10'!$AM$4:$AO$55,3,FALSE))</f>
        <v>0</v>
      </c>
      <c r="C70" s="4">
        <f>(VLOOKUP('9.0.10'!K70,'9.0.10'!$AM$4:$AO$55,3,FALSE))</f>
        <v>0</v>
      </c>
      <c r="D70" s="4">
        <f>(VLOOKUP('9.0.10'!L70,'9.0.10'!$AM$4:$AO$55,3,FALSE))</f>
        <v>0</v>
      </c>
      <c r="E70" s="4">
        <f>(VLOOKUP('9.0.10'!M70,'9.0.10'!$AM$4:$AO$55,3,FALSE))</f>
        <v>0</v>
      </c>
      <c r="F70" s="4">
        <f>(VLOOKUP('9.0.10'!N70,'9.0.10'!$AM$4:$AO$55,3,FALSE))</f>
        <v>0</v>
      </c>
      <c r="G70" s="5">
        <f>(VLOOKUP('9.0.10'!O70,'9.0.10'!$AM$4:$AO$55,3,FALSE))</f>
        <v>0</v>
      </c>
      <c r="H70" s="5">
        <f>(VLOOKUP('9.0.10'!P70,'9.0.10'!$AM$4:$AO$55,3,FALSE))</f>
        <v>0</v>
      </c>
      <c r="I70" s="4">
        <f>(VLOOKUP('9.0.10'!Q70,'9.0.10'!$AM$4:$AO$55,3,FALSE))</f>
        <v>60</v>
      </c>
      <c r="J70" s="4">
        <f>(VLOOKUP('9.0.10'!R70,'9.0.10'!$AM$4:$AO$55,3,FALSE))</f>
        <v>60</v>
      </c>
      <c r="K70" s="4">
        <f>(VLOOKUP('9.0.10'!S70,'9.0.10'!$AM$4:$AO$55,3,FALSE))</f>
        <v>60</v>
      </c>
      <c r="L70" s="4">
        <f>(VLOOKUP('9.0.10'!T70,'9.0.10'!$AM$4:$AO$55,3,FALSE))</f>
        <v>60</v>
      </c>
      <c r="M70" s="4">
        <f>(VLOOKUP('9.0.10'!U70,'9.0.10'!$AM$4:$AO$55,3,FALSE))</f>
        <v>60</v>
      </c>
      <c r="N70" s="4">
        <f>(VLOOKUP('9.0.10'!V70,'9.0.10'!$AM$4:$AO$55,3,FALSE))</f>
        <v>60</v>
      </c>
      <c r="O70" s="5">
        <f>(VLOOKUP('9.0.10'!W70,'9.0.10'!$AM$4:$AO$55,3,FALSE))</f>
        <v>0</v>
      </c>
      <c r="P70" s="5">
        <f>(VLOOKUP('9.0.10'!X70,'9.0.10'!$AM$4:$AO$55,3,FALSE))</f>
        <v>0</v>
      </c>
      <c r="Q70" s="4">
        <f>(VLOOKUP('9.0.10'!Y70,'9.0.10'!$AM$4:$AO$55,3,FALSE))</f>
        <v>55</v>
      </c>
      <c r="R70" s="4">
        <f>(VLOOKUP('9.0.10'!Z70,'9.0.10'!$AM$4:$AO$55,3,FALSE))</f>
        <v>55</v>
      </c>
      <c r="S70" s="4">
        <f>(VLOOKUP('9.0.10'!AA70,'9.0.10'!$AM$4:$AO$55,3,FALSE))</f>
        <v>55</v>
      </c>
      <c r="T70" s="4">
        <f>(VLOOKUP('9.0.10'!AB70,'9.0.10'!$AM$4:$AO$55,3,FALSE))</f>
        <v>55</v>
      </c>
      <c r="U70" s="4">
        <f>(VLOOKUP('9.0.10'!AC70,'9.0.10'!$AM$4:$AO$55,3,FALSE))</f>
        <v>60</v>
      </c>
      <c r="V70" s="4">
        <f>(VLOOKUP('9.0.10'!AD70,'9.0.10'!$AM$4:$AO$55,3,FALSE))</f>
        <v>60</v>
      </c>
      <c r="W70" s="5">
        <f>(VLOOKUP('9.0.10'!AE70,'9.0.10'!$AM$4:$AO$55,3,FALSE))</f>
        <v>0</v>
      </c>
      <c r="X70" s="5">
        <f>(VLOOKUP('9.0.10'!AF70,'9.0.10'!$AM$4:$AO$55,3,FALSE))</f>
        <v>0</v>
      </c>
    </row>
    <row r="71" spans="1:24">
      <c r="A71" s="4">
        <f>(VLOOKUP('9.0.10'!I71,'9.0.10'!$AM$4:$AO$55,3,FALSE))</f>
        <v>0</v>
      </c>
      <c r="B71" s="4">
        <f>(VLOOKUP('9.0.10'!J71,'9.0.10'!$AM$4:$AO$55,3,FALSE))</f>
        <v>0</v>
      </c>
      <c r="C71" s="4">
        <f>(VLOOKUP('9.0.10'!K71,'9.0.10'!$AM$4:$AO$55,3,FALSE))</f>
        <v>0</v>
      </c>
      <c r="D71" s="4">
        <f>(VLOOKUP('9.0.10'!L71,'9.0.10'!$AM$4:$AO$55,3,FALSE))</f>
        <v>0</v>
      </c>
      <c r="E71" s="4">
        <f>(VLOOKUP('9.0.10'!M71,'9.0.10'!$AM$4:$AO$55,3,FALSE))</f>
        <v>0</v>
      </c>
      <c r="F71" s="4">
        <f>(VLOOKUP('9.0.10'!N71,'9.0.10'!$AM$4:$AO$55,3,FALSE))</f>
        <v>0</v>
      </c>
      <c r="G71" s="5">
        <f>(VLOOKUP('9.0.10'!O71,'9.0.10'!$AM$4:$AO$55,3,FALSE))</f>
        <v>0</v>
      </c>
      <c r="H71" s="5">
        <f>(VLOOKUP('9.0.10'!P71,'9.0.10'!$AM$4:$AO$55,3,FALSE))</f>
        <v>0</v>
      </c>
      <c r="I71" s="4">
        <f>(VLOOKUP('9.0.10'!Q71,'9.0.10'!$AM$4:$AO$55,3,FALSE))</f>
        <v>60</v>
      </c>
      <c r="J71" s="4">
        <f>(VLOOKUP('9.0.10'!R71,'9.0.10'!$AM$4:$AO$55,3,FALSE))</f>
        <v>60</v>
      </c>
      <c r="K71" s="4">
        <f>(VLOOKUP('9.0.10'!S71,'9.0.10'!$AM$4:$AO$55,3,FALSE))</f>
        <v>60</v>
      </c>
      <c r="L71" s="4">
        <f>(VLOOKUP('9.0.10'!T71,'9.0.10'!$AM$4:$AO$55,3,FALSE))</f>
        <v>60</v>
      </c>
      <c r="M71" s="4">
        <f>(VLOOKUP('9.0.10'!U71,'9.0.10'!$AM$4:$AO$55,3,FALSE))</f>
        <v>60</v>
      </c>
      <c r="N71" s="4">
        <f>(VLOOKUP('9.0.10'!V71,'9.0.10'!$AM$4:$AO$55,3,FALSE))</f>
        <v>60</v>
      </c>
      <c r="O71" s="5">
        <f>(VLOOKUP('9.0.10'!W71,'9.0.10'!$AM$4:$AO$55,3,FALSE))</f>
        <v>0</v>
      </c>
      <c r="P71" s="5">
        <f>(VLOOKUP('9.0.10'!X71,'9.0.10'!$AM$4:$AO$55,3,FALSE))</f>
        <v>0</v>
      </c>
      <c r="Q71" s="4">
        <f>(VLOOKUP('9.0.10'!Y71,'9.0.10'!$AM$4:$AO$55,3,FALSE))</f>
        <v>55</v>
      </c>
      <c r="R71" s="4">
        <f>(VLOOKUP('9.0.10'!Z71,'9.0.10'!$AM$4:$AO$55,3,FALSE))</f>
        <v>55</v>
      </c>
      <c r="S71" s="4">
        <f>(VLOOKUP('9.0.10'!AA71,'9.0.10'!$AM$4:$AO$55,3,FALSE))</f>
        <v>55</v>
      </c>
      <c r="T71" s="4">
        <f>(VLOOKUP('9.0.10'!AB71,'9.0.10'!$AM$4:$AO$55,3,FALSE))</f>
        <v>55</v>
      </c>
      <c r="U71" s="4">
        <f>(VLOOKUP('9.0.10'!AC71,'9.0.10'!$AM$4:$AO$55,3,FALSE))</f>
        <v>55</v>
      </c>
      <c r="V71" s="4">
        <f>(VLOOKUP('9.0.10'!AD71,'9.0.10'!$AM$4:$AO$55,3,FALSE))</f>
        <v>55</v>
      </c>
      <c r="W71" s="5">
        <f>(VLOOKUP('9.0.10'!AE71,'9.0.10'!$AM$4:$AO$55,3,FALSE))</f>
        <v>0</v>
      </c>
      <c r="X71" s="5">
        <f>(VLOOKUP('9.0.10'!AF71,'9.0.10'!$AM$4:$AO$55,3,FALSE))</f>
        <v>0</v>
      </c>
    </row>
    <row r="72" spans="1:24">
      <c r="A72" s="4">
        <f>(VLOOKUP('9.0.10'!I72,'9.0.10'!$AM$4:$AO$55,3,FALSE))</f>
        <v>0</v>
      </c>
      <c r="B72" s="4">
        <f>(VLOOKUP('9.0.10'!J72,'9.0.10'!$AM$4:$AO$55,3,FALSE))</f>
        <v>0</v>
      </c>
      <c r="C72" s="4">
        <f>(VLOOKUP('9.0.10'!K72,'9.0.10'!$AM$4:$AO$55,3,FALSE))</f>
        <v>0</v>
      </c>
      <c r="D72" s="4">
        <f>(VLOOKUP('9.0.10'!L72,'9.0.10'!$AM$4:$AO$55,3,FALSE))</f>
        <v>0</v>
      </c>
      <c r="E72" s="4">
        <f>(VLOOKUP('9.0.10'!M72,'9.0.10'!$AM$4:$AO$55,3,FALSE))</f>
        <v>0</v>
      </c>
      <c r="F72" s="4">
        <f>(VLOOKUP('9.0.10'!N72,'9.0.10'!$AM$4:$AO$55,3,FALSE))</f>
        <v>0</v>
      </c>
      <c r="G72" s="5">
        <f>(VLOOKUP('9.0.10'!O72,'9.0.10'!$AM$4:$AO$55,3,FALSE))</f>
        <v>0</v>
      </c>
      <c r="H72" s="5">
        <f>(VLOOKUP('9.0.10'!P72,'9.0.10'!$AM$4:$AO$55,3,FALSE))</f>
        <v>0</v>
      </c>
      <c r="I72" s="4">
        <f>(VLOOKUP('9.0.10'!Q72,'9.0.10'!$AM$4:$AO$55,3,FALSE))</f>
        <v>60</v>
      </c>
      <c r="J72" s="4">
        <f>(VLOOKUP('9.0.10'!R72,'9.0.10'!$AM$4:$AO$55,3,FALSE))</f>
        <v>60</v>
      </c>
      <c r="K72" s="4">
        <f>(VLOOKUP('9.0.10'!S72,'9.0.10'!$AM$4:$AO$55,3,FALSE))</f>
        <v>60</v>
      </c>
      <c r="L72" s="4">
        <f>(VLOOKUP('9.0.10'!T72,'9.0.10'!$AM$4:$AO$55,3,FALSE))</f>
        <v>1000</v>
      </c>
      <c r="M72" s="4">
        <f>(VLOOKUP('9.0.10'!U72,'9.0.10'!$AM$4:$AO$55,3,FALSE))</f>
        <v>55</v>
      </c>
      <c r="N72" s="4">
        <f>(VLOOKUP('9.0.10'!V72,'9.0.10'!$AM$4:$AO$55,3,FALSE))</f>
        <v>55</v>
      </c>
      <c r="O72" s="5">
        <f>(VLOOKUP('9.0.10'!W72,'9.0.10'!$AM$4:$AO$55,3,FALSE))</f>
        <v>0</v>
      </c>
      <c r="P72" s="5">
        <f>(VLOOKUP('9.0.10'!X72,'9.0.10'!$AM$4:$AO$55,3,FALSE))</f>
        <v>0</v>
      </c>
      <c r="Q72" s="4">
        <f>(VLOOKUP('9.0.10'!Y72,'9.0.10'!$AM$4:$AO$55,3,FALSE))</f>
        <v>55</v>
      </c>
      <c r="R72" s="4">
        <f>(VLOOKUP('9.0.10'!Z72,'9.0.10'!$AM$4:$AO$55,3,FALSE))</f>
        <v>55</v>
      </c>
      <c r="S72" s="4">
        <f>(VLOOKUP('9.0.10'!AA72,'9.0.10'!$AM$4:$AO$55,3,FALSE))</f>
        <v>55</v>
      </c>
      <c r="T72" s="4">
        <f>(VLOOKUP('9.0.10'!AB72,'9.0.10'!$AM$4:$AO$55,3,FALSE))</f>
        <v>55</v>
      </c>
      <c r="U72" s="4">
        <f>(VLOOKUP('9.0.10'!AC72,'9.0.10'!$AM$4:$AO$55,3,FALSE))</f>
        <v>0</v>
      </c>
      <c r="V72" s="4">
        <f>(VLOOKUP('9.0.10'!AD72,'9.0.10'!$AM$4:$AO$55,3,FALSE))</f>
        <v>55</v>
      </c>
      <c r="W72" s="5">
        <f>(VLOOKUP('9.0.10'!AE72,'9.0.10'!$AM$4:$AO$55,3,FALSE))</f>
        <v>55</v>
      </c>
      <c r="X72" s="5">
        <f>(VLOOKUP('9.0.10'!AF72,'9.0.10'!$AM$4:$AO$55,3,FALSE))</f>
        <v>55</v>
      </c>
    </row>
    <row r="73" spans="1:24">
      <c r="A73" s="4">
        <f>(VLOOKUP('9.0.10'!I73,'9.0.10'!$AM$4:$AO$55,3,FALSE))</f>
        <v>0</v>
      </c>
      <c r="B73" s="4">
        <f>(VLOOKUP('9.0.10'!J73,'9.0.10'!$AM$4:$AO$55,3,FALSE))</f>
        <v>0</v>
      </c>
      <c r="C73" s="4">
        <f>(VLOOKUP('9.0.10'!K73,'9.0.10'!$AM$4:$AO$55,3,FALSE))</f>
        <v>0</v>
      </c>
      <c r="D73" s="4">
        <f>(VLOOKUP('9.0.10'!L73,'9.0.10'!$AM$4:$AO$55,3,FALSE))</f>
        <v>0</v>
      </c>
      <c r="E73" s="4">
        <f>(VLOOKUP('9.0.10'!M73,'9.0.10'!$AM$4:$AO$55,3,FALSE))</f>
        <v>0</v>
      </c>
      <c r="F73" s="4">
        <f>(VLOOKUP('9.0.10'!N73,'9.0.10'!$AM$4:$AO$55,3,FALSE))</f>
        <v>0</v>
      </c>
      <c r="G73" s="5">
        <f>(VLOOKUP('9.0.10'!O73,'9.0.10'!$AM$4:$AO$55,3,FALSE))</f>
        <v>0</v>
      </c>
      <c r="H73" s="5">
        <f>(VLOOKUP('9.0.10'!P73,'9.0.10'!$AM$4:$AO$55,3,FALSE))</f>
        <v>0</v>
      </c>
      <c r="I73" s="4">
        <f>(VLOOKUP('9.0.10'!Q73,'9.0.10'!$AM$4:$AO$55,3,FALSE))</f>
        <v>55</v>
      </c>
      <c r="J73" s="4">
        <f>(VLOOKUP('9.0.10'!R73,'9.0.10'!$AM$4:$AO$55,3,FALSE))</f>
        <v>55</v>
      </c>
      <c r="K73" s="4">
        <f>(VLOOKUP('9.0.10'!S73,'9.0.10'!$AM$4:$AO$55,3,FALSE))</f>
        <v>55</v>
      </c>
      <c r="L73" s="4">
        <f>(VLOOKUP('9.0.10'!T73,'9.0.10'!$AM$4:$AO$55,3,FALSE))</f>
        <v>55</v>
      </c>
      <c r="M73" s="4">
        <f>(VLOOKUP('9.0.10'!U73,'9.0.10'!$AM$4:$AO$55,3,FALSE))</f>
        <v>55</v>
      </c>
      <c r="N73" s="4">
        <f>(VLOOKUP('9.0.10'!V73,'9.0.10'!$AM$4:$AO$55,3,FALSE))</f>
        <v>55</v>
      </c>
      <c r="O73" s="5">
        <f>(VLOOKUP('9.0.10'!W73,'9.0.10'!$AM$4:$AO$55,3,FALSE))</f>
        <v>0</v>
      </c>
      <c r="P73" s="5">
        <f>(VLOOKUP('9.0.10'!X73,'9.0.10'!$AM$4:$AO$55,3,FALSE))</f>
        <v>0</v>
      </c>
      <c r="Q73" s="4">
        <f>(VLOOKUP('9.0.10'!Y73,'9.0.10'!$AM$4:$AO$55,3,FALSE))</f>
        <v>55</v>
      </c>
      <c r="R73" s="4">
        <f>(VLOOKUP('9.0.10'!Z73,'9.0.10'!$AM$4:$AO$55,3,FALSE))</f>
        <v>520</v>
      </c>
      <c r="S73" s="4">
        <f>(VLOOKUP('9.0.10'!AA73,'9.0.10'!$AM$4:$AO$55,3,FALSE))</f>
        <v>55</v>
      </c>
      <c r="T73" s="4">
        <f>(VLOOKUP('9.0.10'!AB73,'9.0.10'!$AM$4:$AO$55,3,FALSE))</f>
        <v>55</v>
      </c>
      <c r="U73" s="4">
        <f>(VLOOKUP('9.0.10'!AC73,'9.0.10'!$AM$4:$AO$55,3,FALSE))</f>
        <v>55</v>
      </c>
      <c r="V73" s="4">
        <f>(VLOOKUP('9.0.10'!AD73,'9.0.10'!$AM$4:$AO$55,3,FALSE))</f>
        <v>55</v>
      </c>
      <c r="W73" s="5">
        <f>(VLOOKUP('9.0.10'!AE73,'9.0.10'!$AM$4:$AO$55,3,FALSE))</f>
        <v>55</v>
      </c>
      <c r="X73" s="5">
        <f>(VLOOKUP('9.0.10'!AF73,'9.0.10'!$AM$4:$AO$55,3,FALSE))</f>
        <v>0</v>
      </c>
    </row>
    <row r="74" spans="1:24">
      <c r="A74" s="4">
        <f>(VLOOKUP('9.0.10'!I74,'9.0.10'!$AM$4:$AO$55,3,FALSE))</f>
        <v>0</v>
      </c>
      <c r="B74" s="4">
        <f>(VLOOKUP('9.0.10'!J74,'9.0.10'!$AM$4:$AO$55,3,FALSE))</f>
        <v>0</v>
      </c>
      <c r="C74" s="4">
        <f>(VLOOKUP('9.0.10'!K74,'9.0.10'!$AM$4:$AO$55,3,FALSE))</f>
        <v>0</v>
      </c>
      <c r="D74" s="4">
        <f>(VLOOKUP('9.0.10'!L74,'9.0.10'!$AM$4:$AO$55,3,FALSE))</f>
        <v>0</v>
      </c>
      <c r="E74" s="4">
        <f>(VLOOKUP('9.0.10'!M74,'9.0.10'!$AM$4:$AO$55,3,FALSE))</f>
        <v>0</v>
      </c>
      <c r="F74" s="4">
        <f>(VLOOKUP('9.0.10'!N74,'9.0.10'!$AM$4:$AO$55,3,FALSE))</f>
        <v>0</v>
      </c>
      <c r="G74" s="5">
        <f>(VLOOKUP('9.0.10'!O74,'9.0.10'!$AM$4:$AO$55,3,FALSE))</f>
        <v>0</v>
      </c>
      <c r="H74" s="5">
        <f>(VLOOKUP('9.0.10'!P74,'9.0.10'!$AM$4:$AO$55,3,FALSE))</f>
        <v>0</v>
      </c>
      <c r="I74" s="4">
        <f>(VLOOKUP('9.0.10'!Q74,'9.0.10'!$AM$4:$AO$55,3,FALSE))</f>
        <v>55</v>
      </c>
      <c r="J74" s="4">
        <f>(VLOOKUP('9.0.10'!R74,'9.0.10'!$AM$4:$AO$55,3,FALSE))</f>
        <v>55</v>
      </c>
      <c r="K74" s="4">
        <f>(VLOOKUP('9.0.10'!S74,'9.0.10'!$AM$4:$AO$55,3,FALSE))</f>
        <v>55</v>
      </c>
      <c r="L74" s="4">
        <f>(VLOOKUP('9.0.10'!T74,'9.0.10'!$AM$4:$AO$55,3,FALSE))</f>
        <v>55</v>
      </c>
      <c r="M74" s="4">
        <f>(VLOOKUP('9.0.10'!U74,'9.0.10'!$AM$4:$AO$55,3,FALSE))</f>
        <v>55</v>
      </c>
      <c r="N74" s="4">
        <f>(VLOOKUP('9.0.10'!V74,'9.0.10'!$AM$4:$AO$55,3,FALSE))</f>
        <v>55</v>
      </c>
      <c r="O74" s="5">
        <f>(VLOOKUP('9.0.10'!W74,'9.0.10'!$AM$4:$AO$55,3,FALSE))</f>
        <v>0</v>
      </c>
      <c r="P74" s="5">
        <f>(VLOOKUP('9.0.10'!X74,'9.0.10'!$AM$4:$AO$55,3,FALSE))</f>
        <v>0</v>
      </c>
      <c r="Q74" s="4">
        <f>(VLOOKUP('9.0.10'!Y74,'9.0.10'!$AM$4:$AO$55,3,FALSE))</f>
        <v>55</v>
      </c>
      <c r="R74" s="4">
        <f>(VLOOKUP('9.0.10'!Z74,'9.0.10'!$AM$4:$AO$55,3,FALSE))</f>
        <v>55</v>
      </c>
      <c r="S74" s="4">
        <f>(VLOOKUP('9.0.10'!AA74,'9.0.10'!$AM$4:$AO$55,3,FALSE))</f>
        <v>55</v>
      </c>
      <c r="T74" s="4">
        <f>(VLOOKUP('9.0.10'!AB74,'9.0.10'!$AM$4:$AO$55,3,FALSE))</f>
        <v>55</v>
      </c>
      <c r="U74" s="4">
        <f>(VLOOKUP('9.0.10'!AC74,'9.0.10'!$AM$4:$AO$55,3,FALSE))</f>
        <v>55</v>
      </c>
      <c r="V74" s="4">
        <f>(VLOOKUP('9.0.10'!AD74,'9.0.10'!$AM$4:$AO$55,3,FALSE))</f>
        <v>55</v>
      </c>
      <c r="W74" s="5">
        <f>(VLOOKUP('9.0.10'!AE74,'9.0.10'!$AM$4:$AO$55,3,FALSE))</f>
        <v>0</v>
      </c>
      <c r="X74" s="5">
        <f>(VLOOKUP('9.0.10'!AF74,'9.0.10'!$AM$4:$AO$55,3,FALSE))</f>
        <v>0</v>
      </c>
    </row>
    <row r="75" spans="1:24">
      <c r="A75" s="4">
        <f>(VLOOKUP('9.0.10'!I75,'9.0.10'!$AM$4:$AO$55,3,FALSE))</f>
        <v>0</v>
      </c>
      <c r="B75" s="4">
        <f>(VLOOKUP('9.0.10'!J75,'9.0.10'!$AM$4:$AO$55,3,FALSE))</f>
        <v>0</v>
      </c>
      <c r="C75" s="4">
        <f>(VLOOKUP('9.0.10'!K75,'9.0.10'!$AM$4:$AO$55,3,FALSE))</f>
        <v>0</v>
      </c>
      <c r="D75" s="4">
        <f>(VLOOKUP('9.0.10'!L75,'9.0.10'!$AM$4:$AO$55,3,FALSE))</f>
        <v>0</v>
      </c>
      <c r="E75" s="4">
        <f>(VLOOKUP('9.0.10'!M75,'9.0.10'!$AM$4:$AO$55,3,FALSE))</f>
        <v>0</v>
      </c>
      <c r="F75" s="4">
        <f>(VLOOKUP('9.0.10'!N75,'9.0.10'!$AM$4:$AO$55,3,FALSE))</f>
        <v>0</v>
      </c>
      <c r="G75" s="5">
        <f>(VLOOKUP('9.0.10'!O75,'9.0.10'!$AM$4:$AO$55,3,FALSE))</f>
        <v>0</v>
      </c>
      <c r="H75" s="5">
        <f>(VLOOKUP('9.0.10'!P75,'9.0.10'!$AM$4:$AO$55,3,FALSE))</f>
        <v>0</v>
      </c>
      <c r="I75" s="4">
        <f>(VLOOKUP('9.0.10'!Q75,'9.0.10'!$AM$4:$AO$55,3,FALSE))</f>
        <v>50</v>
      </c>
      <c r="J75" s="4">
        <f>(VLOOKUP('9.0.10'!R75,'9.0.10'!$AM$4:$AO$55,3,FALSE))</f>
        <v>55</v>
      </c>
      <c r="K75" s="4">
        <f>(VLOOKUP('9.0.10'!S75,'9.0.10'!$AM$4:$AO$55,3,FALSE))</f>
        <v>55</v>
      </c>
      <c r="L75" s="4">
        <f>(VLOOKUP('9.0.10'!T75,'9.0.10'!$AM$4:$AO$55,3,FALSE))</f>
        <v>30</v>
      </c>
      <c r="M75" s="4">
        <f>(VLOOKUP('9.0.10'!U75,'9.0.10'!$AM$4:$AO$55,3,FALSE))</f>
        <v>55</v>
      </c>
      <c r="N75" s="4">
        <f>(VLOOKUP('9.0.10'!V75,'9.0.10'!$AM$4:$AO$55,3,FALSE))</f>
        <v>55</v>
      </c>
      <c r="O75" s="5">
        <f>(VLOOKUP('9.0.10'!W75,'9.0.10'!$AM$4:$AO$55,3,FALSE))</f>
        <v>0</v>
      </c>
      <c r="P75" s="5">
        <f>(VLOOKUP('9.0.10'!X75,'9.0.10'!$AM$4:$AO$55,3,FALSE))</f>
        <v>0</v>
      </c>
      <c r="Q75" s="4">
        <f>(VLOOKUP('9.0.10'!Y75,'9.0.10'!$AM$4:$AO$55,3,FALSE))</f>
        <v>55</v>
      </c>
      <c r="R75" s="4">
        <f>(VLOOKUP('9.0.10'!Z75,'9.0.10'!$AM$4:$AO$55,3,FALSE))</f>
        <v>55</v>
      </c>
      <c r="S75" s="4">
        <f>(VLOOKUP('9.0.10'!AA75,'9.0.10'!$AM$4:$AO$55,3,FALSE))</f>
        <v>55</v>
      </c>
      <c r="T75" s="4">
        <f>(VLOOKUP('9.0.10'!AB75,'9.0.10'!$AM$4:$AO$55,3,FALSE))</f>
        <v>55</v>
      </c>
      <c r="U75" s="4">
        <f>(VLOOKUP('9.0.10'!AC75,'9.0.10'!$AM$4:$AO$55,3,FALSE))</f>
        <v>55</v>
      </c>
      <c r="V75" s="4">
        <f>(VLOOKUP('9.0.10'!AD75,'9.0.10'!$AM$4:$AO$55,3,FALSE))</f>
        <v>55</v>
      </c>
      <c r="W75" s="5">
        <f>(VLOOKUP('9.0.10'!AE75,'9.0.10'!$AM$4:$AO$55,3,FALSE))</f>
        <v>0</v>
      </c>
      <c r="X75" s="5">
        <f>(VLOOKUP('9.0.10'!AF75,'9.0.10'!$AM$4:$AO$55,3,FALSE))</f>
        <v>0</v>
      </c>
    </row>
    <row r="76" spans="1:24">
      <c r="A76" s="4">
        <f>(VLOOKUP('9.0.10'!I76,'9.0.10'!$AM$4:$AO$55,3,FALSE))</f>
        <v>0</v>
      </c>
      <c r="B76" s="4">
        <f>(VLOOKUP('9.0.10'!J76,'9.0.10'!$AM$4:$AO$55,3,FALSE))</f>
        <v>0</v>
      </c>
      <c r="C76" s="4">
        <f>(VLOOKUP('9.0.10'!K76,'9.0.10'!$AM$4:$AO$55,3,FALSE))</f>
        <v>0</v>
      </c>
      <c r="D76" s="4">
        <f>(VLOOKUP('9.0.10'!L76,'9.0.10'!$AM$4:$AO$55,3,FALSE))</f>
        <v>0</v>
      </c>
      <c r="E76" s="4">
        <f>(VLOOKUP('9.0.10'!M76,'9.0.10'!$AM$4:$AO$55,3,FALSE))</f>
        <v>0</v>
      </c>
      <c r="F76" s="4">
        <f>(VLOOKUP('9.0.10'!N76,'9.0.10'!$AM$4:$AO$55,3,FALSE))</f>
        <v>0</v>
      </c>
      <c r="G76" s="5">
        <f>(VLOOKUP('9.0.10'!O76,'9.0.10'!$AM$4:$AO$55,3,FALSE))</f>
        <v>0</v>
      </c>
      <c r="H76" s="5">
        <f>(VLOOKUP('9.0.10'!P76,'9.0.10'!$AM$4:$AO$55,3,FALSE))</f>
        <v>0</v>
      </c>
      <c r="I76" s="4">
        <f>(VLOOKUP('9.0.10'!Q76,'9.0.10'!$AM$4:$AO$55,3,FALSE))</f>
        <v>55</v>
      </c>
      <c r="J76" s="4">
        <f>(VLOOKUP('9.0.10'!R76,'9.0.10'!$AM$4:$AO$55,3,FALSE))</f>
        <v>55</v>
      </c>
      <c r="K76" s="4">
        <f>(VLOOKUP('9.0.10'!S76,'9.0.10'!$AM$4:$AO$55,3,FALSE))</f>
        <v>55</v>
      </c>
      <c r="L76" s="4">
        <f>(VLOOKUP('9.0.10'!T76,'9.0.10'!$AM$4:$AO$55,3,FALSE))</f>
        <v>55</v>
      </c>
      <c r="M76" s="4">
        <f>(VLOOKUP('9.0.10'!U76,'9.0.10'!$AM$4:$AO$55,3,FALSE))</f>
        <v>55</v>
      </c>
      <c r="N76" s="4">
        <f>(VLOOKUP('9.0.10'!V76,'9.0.10'!$AM$4:$AO$55,3,FALSE))</f>
        <v>55</v>
      </c>
      <c r="O76" s="5">
        <f>(VLOOKUP('9.0.10'!W76,'9.0.10'!$AM$4:$AO$55,3,FALSE))</f>
        <v>0</v>
      </c>
      <c r="P76" s="5">
        <f>(VLOOKUP('9.0.10'!X76,'9.0.10'!$AM$4:$AO$55,3,FALSE))</f>
        <v>0</v>
      </c>
      <c r="Q76" s="4">
        <f>(VLOOKUP('9.0.10'!Y76,'9.0.10'!$AM$4:$AO$55,3,FALSE))</f>
        <v>55</v>
      </c>
      <c r="R76" s="4">
        <f>(VLOOKUP('9.0.10'!Z76,'9.0.10'!$AM$4:$AO$55,3,FALSE))</f>
        <v>50</v>
      </c>
      <c r="S76" s="4">
        <f>(VLOOKUP('9.0.10'!AA76,'9.0.10'!$AM$4:$AO$55,3,FALSE))</f>
        <v>50</v>
      </c>
      <c r="T76" s="4">
        <f>(VLOOKUP('9.0.10'!AB76,'9.0.10'!$AM$4:$AO$55,3,FALSE))</f>
        <v>50</v>
      </c>
      <c r="U76" s="4">
        <f>(VLOOKUP('9.0.10'!AC76,'9.0.10'!$AM$4:$AO$55,3,FALSE))</f>
        <v>50</v>
      </c>
      <c r="V76" s="4">
        <f>(VLOOKUP('9.0.10'!AD76,'9.0.10'!$AM$4:$AO$55,3,FALSE))</f>
        <v>50</v>
      </c>
      <c r="W76" s="5">
        <f>(VLOOKUP('9.0.10'!AE76,'9.0.10'!$AM$4:$AO$55,3,FALSE))</f>
        <v>0</v>
      </c>
      <c r="X76" s="5">
        <f>(VLOOKUP('9.0.10'!AF76,'9.0.10'!$AM$4:$AO$55,3,FALSE))</f>
        <v>0</v>
      </c>
    </row>
    <row r="77" spans="1:24">
      <c r="A77" s="4">
        <f>(VLOOKUP('9.0.10'!I77,'9.0.10'!$AM$4:$AO$55,3,FALSE))</f>
        <v>0</v>
      </c>
      <c r="B77" s="4">
        <f>(VLOOKUP('9.0.10'!J77,'9.0.10'!$AM$4:$AO$55,3,FALSE))</f>
        <v>0</v>
      </c>
      <c r="C77" s="4">
        <f>(VLOOKUP('9.0.10'!K77,'9.0.10'!$AM$4:$AO$55,3,FALSE))</f>
        <v>0</v>
      </c>
      <c r="D77" s="4">
        <f>(VLOOKUP('9.0.10'!L77,'9.0.10'!$AM$4:$AO$55,3,FALSE))</f>
        <v>0</v>
      </c>
      <c r="E77" s="4">
        <f>(VLOOKUP('9.0.10'!M77,'9.0.10'!$AM$4:$AO$55,3,FALSE))</f>
        <v>0</v>
      </c>
      <c r="F77" s="4">
        <f>(VLOOKUP('9.0.10'!N77,'9.0.10'!$AM$4:$AO$55,3,FALSE))</f>
        <v>0</v>
      </c>
      <c r="G77" s="5">
        <f>(VLOOKUP('9.0.10'!O77,'9.0.10'!$AM$4:$AO$55,3,FALSE))</f>
        <v>0</v>
      </c>
      <c r="H77" s="5">
        <f>(VLOOKUP('9.0.10'!P77,'9.0.10'!$AM$4:$AO$55,3,FALSE))</f>
        <v>0</v>
      </c>
      <c r="I77" s="4">
        <f>(VLOOKUP('9.0.10'!Q77,'9.0.10'!$AM$4:$AO$55,3,FALSE))</f>
        <v>55</v>
      </c>
      <c r="J77" s="4">
        <f>(VLOOKUP('9.0.10'!R77,'9.0.10'!$AM$4:$AO$55,3,FALSE))</f>
        <v>50</v>
      </c>
      <c r="K77" s="4">
        <f>(VLOOKUP('9.0.10'!S77,'9.0.10'!$AM$4:$AO$55,3,FALSE))</f>
        <v>50</v>
      </c>
      <c r="L77" s="4">
        <f>(VLOOKUP('9.0.10'!T77,'9.0.10'!$AM$4:$AO$55,3,FALSE))</f>
        <v>50</v>
      </c>
      <c r="M77" s="4">
        <f>(VLOOKUP('9.0.10'!U77,'9.0.10'!$AM$4:$AO$55,3,FALSE))</f>
        <v>50</v>
      </c>
      <c r="N77" s="4">
        <f>(VLOOKUP('9.0.10'!V77,'9.0.10'!$AM$4:$AO$55,3,FALSE))</f>
        <v>50</v>
      </c>
      <c r="O77" s="5">
        <f>(VLOOKUP('9.0.10'!W77,'9.0.10'!$AM$4:$AO$55,3,FALSE))</f>
        <v>0</v>
      </c>
      <c r="P77" s="5">
        <f>(VLOOKUP('9.0.10'!X77,'9.0.10'!$AM$4:$AO$55,3,FALSE))</f>
        <v>0</v>
      </c>
      <c r="Q77" s="4">
        <f>(VLOOKUP('9.0.10'!Y77,'9.0.10'!$AM$4:$AO$55,3,FALSE))</f>
        <v>50</v>
      </c>
      <c r="R77" s="4">
        <f>(VLOOKUP('9.0.10'!Z77,'9.0.10'!$AM$4:$AO$55,3,FALSE))</f>
        <v>30</v>
      </c>
      <c r="S77" s="4">
        <f>(VLOOKUP('9.0.10'!AA77,'9.0.10'!$AM$4:$AO$55,3,FALSE))</f>
        <v>50</v>
      </c>
      <c r="T77" s="4">
        <f>(VLOOKUP('9.0.10'!AB77,'9.0.10'!$AM$4:$AO$55,3,FALSE))</f>
        <v>50</v>
      </c>
      <c r="U77" s="4">
        <f>(VLOOKUP('9.0.10'!AC77,'9.0.10'!$AM$4:$AO$55,3,FALSE))</f>
        <v>50</v>
      </c>
      <c r="V77" s="4">
        <f>(VLOOKUP('9.0.10'!AD77,'9.0.10'!$AM$4:$AO$55,3,FALSE))</f>
        <v>50</v>
      </c>
      <c r="W77" s="5">
        <f>(VLOOKUP('9.0.10'!AE77,'9.0.10'!$AM$4:$AO$55,3,FALSE))</f>
        <v>0</v>
      </c>
      <c r="X77" s="5">
        <f>(VLOOKUP('9.0.10'!AF77,'9.0.10'!$AM$4:$AO$55,3,FALSE))</f>
        <v>0</v>
      </c>
    </row>
    <row r="78" spans="1:24">
      <c r="A78" s="4">
        <f>(VLOOKUP('9.0.10'!I78,'9.0.10'!$AM$4:$AO$55,3,FALSE))</f>
        <v>0</v>
      </c>
      <c r="B78" s="4">
        <f>(VLOOKUP('9.0.10'!J78,'9.0.10'!$AM$4:$AO$55,3,FALSE))</f>
        <v>0</v>
      </c>
      <c r="C78" s="4">
        <f>(VLOOKUP('9.0.10'!K78,'9.0.10'!$AM$4:$AO$55,3,FALSE))</f>
        <v>0</v>
      </c>
      <c r="D78" s="4">
        <f>(VLOOKUP('9.0.10'!L78,'9.0.10'!$AM$4:$AO$55,3,FALSE))</f>
        <v>0</v>
      </c>
      <c r="E78" s="4">
        <f>(VLOOKUP('9.0.10'!M78,'9.0.10'!$AM$4:$AO$55,3,FALSE))</f>
        <v>0</v>
      </c>
      <c r="F78" s="4">
        <f>(VLOOKUP('9.0.10'!N78,'9.0.10'!$AM$4:$AO$55,3,FALSE))</f>
        <v>0</v>
      </c>
      <c r="G78" s="5">
        <f>(VLOOKUP('9.0.10'!O78,'9.0.10'!$AM$4:$AO$55,3,FALSE))</f>
        <v>0</v>
      </c>
      <c r="H78" s="5">
        <f>(VLOOKUP('9.0.10'!P78,'9.0.10'!$AM$4:$AO$55,3,FALSE))</f>
        <v>0</v>
      </c>
      <c r="I78" s="4">
        <f>(VLOOKUP('9.0.10'!Q78,'9.0.10'!$AM$4:$AO$55,3,FALSE))</f>
        <v>50</v>
      </c>
      <c r="J78" s="4">
        <f>(VLOOKUP('9.0.10'!R78,'9.0.10'!$AM$4:$AO$55,3,FALSE))</f>
        <v>50</v>
      </c>
      <c r="K78" s="4">
        <f>(VLOOKUP('9.0.10'!S78,'9.0.10'!$AM$4:$AO$55,3,FALSE))</f>
        <v>50</v>
      </c>
      <c r="L78" s="4">
        <f>(VLOOKUP('9.0.10'!T78,'9.0.10'!$AM$4:$AO$55,3,FALSE))</f>
        <v>50</v>
      </c>
      <c r="M78" s="4">
        <f>(VLOOKUP('9.0.10'!U78,'9.0.10'!$AM$4:$AO$55,3,FALSE))</f>
        <v>50</v>
      </c>
      <c r="N78" s="4">
        <f>(VLOOKUP('9.0.10'!V78,'9.0.10'!$AM$4:$AO$55,3,FALSE))</f>
        <v>30</v>
      </c>
      <c r="O78" s="5">
        <f>(VLOOKUP('9.0.10'!W78,'9.0.10'!$AM$4:$AO$55,3,FALSE))</f>
        <v>0</v>
      </c>
      <c r="P78" s="5">
        <f>(VLOOKUP('9.0.10'!X78,'9.0.10'!$AM$4:$AO$55,3,FALSE))</f>
        <v>0</v>
      </c>
      <c r="Q78" s="4">
        <f>(VLOOKUP('9.0.10'!Y78,'9.0.10'!$AM$4:$AO$55,3,FALSE))</f>
        <v>50</v>
      </c>
      <c r="R78" s="4">
        <f>(VLOOKUP('9.0.10'!Z78,'9.0.10'!$AM$4:$AO$55,3,FALSE))</f>
        <v>50</v>
      </c>
      <c r="S78" s="4">
        <f>(VLOOKUP('9.0.10'!AA78,'9.0.10'!$AM$4:$AO$55,3,FALSE))</f>
        <v>50</v>
      </c>
      <c r="T78" s="4">
        <f>(VLOOKUP('9.0.10'!AB78,'9.0.10'!$AM$4:$AO$55,3,FALSE))</f>
        <v>50</v>
      </c>
      <c r="U78" s="4">
        <f>(VLOOKUP('9.0.10'!AC78,'9.0.10'!$AM$4:$AO$55,3,FALSE))</f>
        <v>50</v>
      </c>
      <c r="V78" s="4">
        <f>(VLOOKUP('9.0.10'!AD78,'9.0.10'!$AM$4:$AO$55,3,FALSE))</f>
        <v>50</v>
      </c>
      <c r="W78" s="5">
        <f>(VLOOKUP('9.0.10'!AE78,'9.0.10'!$AM$4:$AO$55,3,FALSE))</f>
        <v>0</v>
      </c>
      <c r="X78" s="5">
        <f>(VLOOKUP('9.0.10'!AF78,'9.0.10'!$AM$4:$AO$55,3,FALSE))</f>
        <v>0</v>
      </c>
    </row>
    <row r="79" spans="1:24">
      <c r="A79" s="4">
        <f>(VLOOKUP('9.0.10'!I79,'9.0.10'!$AM$4:$AO$55,3,FALSE))</f>
        <v>0</v>
      </c>
      <c r="B79" s="4">
        <f>(VLOOKUP('9.0.10'!J79,'9.0.10'!$AM$4:$AO$55,3,FALSE))</f>
        <v>0</v>
      </c>
      <c r="C79" s="4">
        <f>(VLOOKUP('9.0.10'!K79,'9.0.10'!$AM$4:$AO$55,3,FALSE))</f>
        <v>0</v>
      </c>
      <c r="D79" s="4">
        <f>(VLOOKUP('9.0.10'!L79,'9.0.10'!$AM$4:$AO$55,3,FALSE))</f>
        <v>0</v>
      </c>
      <c r="E79" s="4">
        <f>(VLOOKUP('9.0.10'!M79,'9.0.10'!$AM$4:$AO$55,3,FALSE))</f>
        <v>0</v>
      </c>
      <c r="F79" s="4">
        <f>(VLOOKUP('9.0.10'!N79,'9.0.10'!$AM$4:$AO$55,3,FALSE))</f>
        <v>0</v>
      </c>
      <c r="G79" s="5">
        <f>(VLOOKUP('9.0.10'!O79,'9.0.10'!$AM$4:$AO$55,3,FALSE))</f>
        <v>0</v>
      </c>
      <c r="H79" s="5">
        <f>(VLOOKUP('9.0.10'!P79,'9.0.10'!$AM$4:$AO$55,3,FALSE))</f>
        <v>0</v>
      </c>
      <c r="I79" s="4">
        <f>(VLOOKUP('9.0.10'!Q79,'9.0.10'!$AM$4:$AO$55,3,FALSE))</f>
        <v>50</v>
      </c>
      <c r="J79" s="4">
        <f>(VLOOKUP('9.0.10'!R79,'9.0.10'!$AM$4:$AO$55,3,FALSE))</f>
        <v>50</v>
      </c>
      <c r="K79" s="4">
        <f>(VLOOKUP('9.0.10'!S79,'9.0.10'!$AM$4:$AO$55,3,FALSE))</f>
        <v>50</v>
      </c>
      <c r="L79" s="4">
        <f>(VLOOKUP('9.0.10'!T79,'9.0.10'!$AM$4:$AO$55,3,FALSE))</f>
        <v>50</v>
      </c>
      <c r="M79" s="4">
        <f>(VLOOKUP('9.0.10'!U79,'9.0.10'!$AM$4:$AO$55,3,FALSE))</f>
        <v>50</v>
      </c>
      <c r="N79" s="4">
        <f>(VLOOKUP('9.0.10'!V79,'9.0.10'!$AM$4:$AO$55,3,FALSE))</f>
        <v>30</v>
      </c>
      <c r="O79" s="5">
        <f>(VLOOKUP('9.0.10'!W79,'9.0.10'!$AM$4:$AO$55,3,FALSE))</f>
        <v>0</v>
      </c>
      <c r="P79" s="5">
        <f>(VLOOKUP('9.0.10'!X79,'9.0.10'!$AM$4:$AO$55,3,FALSE))</f>
        <v>0</v>
      </c>
      <c r="Q79" s="4">
        <f>(VLOOKUP('9.0.10'!Y79,'9.0.10'!$AM$4:$AO$55,3,FALSE))</f>
        <v>50</v>
      </c>
      <c r="R79" s="4">
        <f>(VLOOKUP('9.0.10'!Z79,'9.0.10'!$AM$4:$AO$55,3,FALSE))</f>
        <v>50</v>
      </c>
      <c r="S79" s="4">
        <f>(VLOOKUP('9.0.10'!AA79,'9.0.10'!$AM$4:$AO$55,3,FALSE))</f>
        <v>50</v>
      </c>
      <c r="T79" s="4">
        <f>(VLOOKUP('9.0.10'!AB79,'9.0.10'!$AM$4:$AO$55,3,FALSE))</f>
        <v>50</v>
      </c>
      <c r="U79" s="4">
        <f>(VLOOKUP('9.0.10'!AC79,'9.0.10'!$AM$4:$AO$55,3,FALSE))</f>
        <v>50</v>
      </c>
      <c r="V79" s="4">
        <f>(VLOOKUP('9.0.10'!AD79,'9.0.10'!$AM$4:$AO$55,3,FALSE))</f>
        <v>50</v>
      </c>
      <c r="W79" s="5">
        <f>(VLOOKUP('9.0.10'!AE79,'9.0.10'!$AM$4:$AO$55,3,FALSE))</f>
        <v>0</v>
      </c>
      <c r="X79" s="5">
        <f>(VLOOKUP('9.0.10'!AF79,'9.0.10'!$AM$4:$AO$55,3,FALSE))</f>
        <v>0</v>
      </c>
    </row>
    <row r="80" spans="1:24">
      <c r="A80" s="4">
        <f>(VLOOKUP('9.0.10'!I80,'9.0.10'!$AM$4:$AO$55,3,FALSE))</f>
        <v>0</v>
      </c>
      <c r="B80" s="4">
        <f>(VLOOKUP('9.0.10'!J80,'9.0.10'!$AM$4:$AO$55,3,FALSE))</f>
        <v>0</v>
      </c>
      <c r="C80" s="4">
        <f>(VLOOKUP('9.0.10'!K80,'9.0.10'!$AM$4:$AO$55,3,FALSE))</f>
        <v>0</v>
      </c>
      <c r="D80" s="4">
        <f>(VLOOKUP('9.0.10'!L80,'9.0.10'!$AM$4:$AO$55,3,FALSE))</f>
        <v>0</v>
      </c>
      <c r="E80" s="4">
        <f>(VLOOKUP('9.0.10'!M80,'9.0.10'!$AM$4:$AO$55,3,FALSE))</f>
        <v>0</v>
      </c>
      <c r="F80" s="4">
        <f>(VLOOKUP('9.0.10'!N80,'9.0.10'!$AM$4:$AO$55,3,FALSE))</f>
        <v>0</v>
      </c>
      <c r="G80" s="5">
        <f>(VLOOKUP('9.0.10'!O80,'9.0.10'!$AM$4:$AO$55,3,FALSE))</f>
        <v>0</v>
      </c>
      <c r="H80" s="5">
        <f>(VLOOKUP('9.0.10'!P80,'9.0.10'!$AM$4:$AO$55,3,FALSE))</f>
        <v>0</v>
      </c>
      <c r="I80" s="4">
        <f>(VLOOKUP('9.0.10'!Q80,'9.0.10'!$AM$4:$AO$55,3,FALSE))</f>
        <v>50</v>
      </c>
      <c r="J80" s="4">
        <f>(VLOOKUP('9.0.10'!R80,'9.0.10'!$AM$4:$AO$55,3,FALSE))</f>
        <v>50</v>
      </c>
      <c r="K80" s="4">
        <f>(VLOOKUP('9.0.10'!S80,'9.0.10'!$AM$4:$AO$55,3,FALSE))</f>
        <v>50</v>
      </c>
      <c r="L80" s="4">
        <f>(VLOOKUP('9.0.10'!T80,'9.0.10'!$AM$4:$AO$55,3,FALSE))</f>
        <v>45</v>
      </c>
      <c r="M80" s="4">
        <f>(VLOOKUP('9.0.10'!U80,'9.0.10'!$AM$4:$AO$55,3,FALSE))</f>
        <v>45</v>
      </c>
      <c r="N80" s="4">
        <f>(VLOOKUP('9.0.10'!V80,'9.0.10'!$AM$4:$AO$55,3,FALSE))</f>
        <v>45</v>
      </c>
      <c r="O80" s="5">
        <f>(VLOOKUP('9.0.10'!W80,'9.0.10'!$AM$4:$AO$55,3,FALSE))</f>
        <v>0</v>
      </c>
      <c r="P80" s="5">
        <f>(VLOOKUP('9.0.10'!X80,'9.0.10'!$AM$4:$AO$55,3,FALSE))</f>
        <v>0</v>
      </c>
      <c r="Q80" s="4">
        <f>(VLOOKUP('9.0.10'!Y80,'9.0.10'!$AM$4:$AO$55,3,FALSE))</f>
        <v>50</v>
      </c>
      <c r="R80" s="4">
        <f>(VLOOKUP('9.0.10'!Z80,'9.0.10'!$AM$4:$AO$55,3,FALSE))</f>
        <v>50</v>
      </c>
      <c r="S80" s="4">
        <f>(VLOOKUP('9.0.10'!AA80,'9.0.10'!$AM$4:$AO$55,3,FALSE))</f>
        <v>50</v>
      </c>
      <c r="T80" s="4">
        <f>(VLOOKUP('9.0.10'!AB80,'9.0.10'!$AM$4:$AO$55,3,FALSE))</f>
        <v>50</v>
      </c>
      <c r="U80" s="4">
        <f>(VLOOKUP('9.0.10'!AC80,'9.0.10'!$AM$4:$AO$55,3,FALSE))</f>
        <v>50</v>
      </c>
      <c r="V80" s="4">
        <f>(VLOOKUP('9.0.10'!AD80,'9.0.10'!$AM$4:$AO$55,3,FALSE))</f>
        <v>50</v>
      </c>
      <c r="W80" s="5">
        <f>(VLOOKUP('9.0.10'!AE80,'9.0.10'!$AM$4:$AO$55,3,FALSE))</f>
        <v>0</v>
      </c>
      <c r="X80" s="5">
        <f>(VLOOKUP('9.0.10'!AF80,'9.0.10'!$AM$4:$AO$55,3,FALSE))</f>
        <v>0</v>
      </c>
    </row>
    <row r="81" spans="1:24">
      <c r="A81" s="4">
        <f>(VLOOKUP('9.0.10'!I81,'9.0.10'!$AM$4:$AO$55,3,FALSE))</f>
        <v>0</v>
      </c>
      <c r="B81" s="4">
        <f>(VLOOKUP('9.0.10'!J81,'9.0.10'!$AM$4:$AO$55,3,FALSE))</f>
        <v>0</v>
      </c>
      <c r="C81" s="4">
        <f>(VLOOKUP('9.0.10'!K81,'9.0.10'!$AM$4:$AO$55,3,FALSE))</f>
        <v>0</v>
      </c>
      <c r="D81" s="4">
        <f>(VLOOKUP('9.0.10'!L81,'9.0.10'!$AM$4:$AO$55,3,FALSE))</f>
        <v>0</v>
      </c>
      <c r="E81" s="4">
        <f>(VLOOKUP('9.0.10'!M81,'9.0.10'!$AM$4:$AO$55,3,FALSE))</f>
        <v>0</v>
      </c>
      <c r="F81" s="4">
        <f>(VLOOKUP('9.0.10'!N81,'9.0.10'!$AM$4:$AO$55,3,FALSE))</f>
        <v>0</v>
      </c>
      <c r="G81" s="5">
        <f>(VLOOKUP('9.0.10'!O81,'9.0.10'!$AM$4:$AO$55,3,FALSE))</f>
        <v>0</v>
      </c>
      <c r="H81" s="5">
        <f>(VLOOKUP('9.0.10'!P81,'9.0.10'!$AM$4:$AO$55,3,FALSE))</f>
        <v>0</v>
      </c>
      <c r="I81" s="4">
        <f>(VLOOKUP('9.0.10'!Q81,'9.0.10'!$AM$4:$AO$55,3,FALSE))</f>
        <v>30</v>
      </c>
      <c r="J81" s="4">
        <f>(VLOOKUP('9.0.10'!R81,'9.0.10'!$AM$4:$AO$55,3,FALSE))</f>
        <v>45</v>
      </c>
      <c r="K81" s="4">
        <f>(VLOOKUP('9.0.10'!S81,'9.0.10'!$AM$4:$AO$55,3,FALSE))</f>
        <v>45</v>
      </c>
      <c r="L81" s="4">
        <f>(VLOOKUP('9.0.10'!T81,'9.0.10'!$AM$4:$AO$55,3,FALSE))</f>
        <v>50</v>
      </c>
      <c r="M81" s="4">
        <f>(VLOOKUP('9.0.10'!U81,'9.0.10'!$AM$4:$AO$55,3,FALSE))</f>
        <v>50</v>
      </c>
      <c r="N81" s="4">
        <f>(VLOOKUP('9.0.10'!V81,'9.0.10'!$AM$4:$AO$55,3,FALSE))</f>
        <v>50</v>
      </c>
      <c r="O81" s="5">
        <f>(VLOOKUP('9.0.10'!W81,'9.0.10'!$AM$4:$AO$55,3,FALSE))</f>
        <v>0</v>
      </c>
      <c r="P81" s="5">
        <f>(VLOOKUP('9.0.10'!X81,'9.0.10'!$AM$4:$AO$55,3,FALSE))</f>
        <v>0</v>
      </c>
      <c r="Q81" s="4">
        <f>(VLOOKUP('9.0.10'!Y81,'9.0.10'!$AM$4:$AO$55,3,FALSE))</f>
        <v>50</v>
      </c>
      <c r="R81" s="4">
        <f>(VLOOKUP('9.0.10'!Z81,'9.0.10'!$AM$4:$AO$55,3,FALSE))</f>
        <v>50</v>
      </c>
      <c r="S81" s="4">
        <f>(VLOOKUP('9.0.10'!AA81,'9.0.10'!$AM$4:$AO$55,3,FALSE))</f>
        <v>50</v>
      </c>
      <c r="T81" s="4">
        <f>(VLOOKUP('9.0.10'!AB81,'9.0.10'!$AM$4:$AO$55,3,FALSE))</f>
        <v>50</v>
      </c>
      <c r="U81" s="4">
        <f>(VLOOKUP('9.0.10'!AC81,'9.0.10'!$AM$4:$AO$55,3,FALSE))</f>
        <v>50</v>
      </c>
      <c r="V81" s="4">
        <f>(VLOOKUP('9.0.10'!AD81,'9.0.10'!$AM$4:$AO$55,3,FALSE))</f>
        <v>50</v>
      </c>
      <c r="W81" s="5">
        <f>(VLOOKUP('9.0.10'!AE81,'9.0.10'!$AM$4:$AO$55,3,FALSE))</f>
        <v>0</v>
      </c>
      <c r="X81" s="5">
        <f>(VLOOKUP('9.0.10'!AF81,'9.0.10'!$AM$4:$AO$55,3,FALSE))</f>
        <v>0</v>
      </c>
    </row>
    <row r="82" spans="1:24">
      <c r="A82" s="4">
        <f>(VLOOKUP('9.0.10'!I82,'9.0.10'!$AM$4:$AO$55,3,FALSE))</f>
        <v>0</v>
      </c>
      <c r="B82" s="4">
        <f>(VLOOKUP('9.0.10'!J82,'9.0.10'!$AM$4:$AO$55,3,FALSE))</f>
        <v>0</v>
      </c>
      <c r="C82" s="4">
        <f>(VLOOKUP('9.0.10'!K82,'9.0.10'!$AM$4:$AO$55,3,FALSE))</f>
        <v>0</v>
      </c>
      <c r="D82" s="4">
        <f>(VLOOKUP('9.0.10'!L82,'9.0.10'!$AM$4:$AO$55,3,FALSE))</f>
        <v>0</v>
      </c>
      <c r="E82" s="4">
        <f>(VLOOKUP('9.0.10'!M82,'9.0.10'!$AM$4:$AO$55,3,FALSE))</f>
        <v>0</v>
      </c>
      <c r="F82" s="4">
        <f>(VLOOKUP('9.0.10'!N82,'9.0.10'!$AM$4:$AO$55,3,FALSE))</f>
        <v>0</v>
      </c>
      <c r="G82" s="5">
        <f>(VLOOKUP('9.0.10'!O82,'9.0.10'!$AM$4:$AO$55,3,FALSE))</f>
        <v>0</v>
      </c>
      <c r="H82" s="5">
        <f>(VLOOKUP('9.0.10'!P82,'9.0.10'!$AM$4:$AO$55,3,FALSE))</f>
        <v>0</v>
      </c>
      <c r="I82" s="4">
        <f>(VLOOKUP('9.0.10'!Q82,'9.0.10'!$AM$4:$AO$55,3,FALSE))</f>
        <v>50</v>
      </c>
      <c r="J82" s="4">
        <f>(VLOOKUP('9.0.10'!R82,'9.0.10'!$AM$4:$AO$55,3,FALSE))</f>
        <v>50</v>
      </c>
      <c r="K82" s="4">
        <f>(VLOOKUP('9.0.10'!S82,'9.0.10'!$AM$4:$AO$55,3,FALSE))</f>
        <v>50</v>
      </c>
      <c r="L82" s="4">
        <f>(VLOOKUP('9.0.10'!T82,'9.0.10'!$AM$4:$AO$55,3,FALSE))</f>
        <v>50</v>
      </c>
      <c r="M82" s="4">
        <f>(VLOOKUP('9.0.10'!U82,'9.0.10'!$AM$4:$AO$55,3,FALSE))</f>
        <v>50</v>
      </c>
      <c r="N82" s="4">
        <f>(VLOOKUP('9.0.10'!V82,'9.0.10'!$AM$4:$AO$55,3,FALSE))</f>
        <v>50</v>
      </c>
      <c r="O82" s="5">
        <f>(VLOOKUP('9.0.10'!W82,'9.0.10'!$AM$4:$AO$55,3,FALSE))</f>
        <v>0</v>
      </c>
      <c r="P82" s="5">
        <f>(VLOOKUP('9.0.10'!X82,'9.0.10'!$AM$4:$AO$55,3,FALSE))</f>
        <v>0</v>
      </c>
      <c r="Q82" s="4">
        <f>(VLOOKUP('9.0.10'!Y82,'9.0.10'!$AM$4:$AO$55,3,FALSE))</f>
        <v>50</v>
      </c>
      <c r="R82" s="4">
        <f>(VLOOKUP('9.0.10'!Z82,'9.0.10'!$AM$4:$AO$55,3,FALSE))</f>
        <v>50</v>
      </c>
      <c r="S82" s="4">
        <f>(VLOOKUP('9.0.10'!AA82,'9.0.10'!$AM$4:$AO$55,3,FALSE))</f>
        <v>50</v>
      </c>
      <c r="T82" s="4">
        <f>(VLOOKUP('9.0.10'!AB82,'9.0.10'!$AM$4:$AO$55,3,FALSE))</f>
        <v>50</v>
      </c>
      <c r="U82" s="4">
        <f>(VLOOKUP('9.0.10'!AC82,'9.0.10'!$AM$4:$AO$55,3,FALSE))</f>
        <v>50</v>
      </c>
      <c r="V82" s="4">
        <f>(VLOOKUP('9.0.10'!AD82,'9.0.10'!$AM$4:$AO$55,3,FALSE))</f>
        <v>50</v>
      </c>
      <c r="W82" s="5">
        <f>(VLOOKUP('9.0.10'!AE82,'9.0.10'!$AM$4:$AO$55,3,FALSE))</f>
        <v>0</v>
      </c>
      <c r="X82" s="5">
        <f>(VLOOKUP('9.0.10'!AF82,'9.0.10'!$AM$4:$AO$55,3,FALSE))</f>
        <v>0</v>
      </c>
    </row>
    <row r="83" spans="1:24">
      <c r="A83" s="4">
        <f>(VLOOKUP('9.0.10'!I83,'9.0.10'!$AM$4:$AO$55,3,FALSE))</f>
        <v>0</v>
      </c>
      <c r="B83" s="4">
        <f>(VLOOKUP('9.0.10'!J83,'9.0.10'!$AM$4:$AO$55,3,FALSE))</f>
        <v>0</v>
      </c>
      <c r="C83" s="4">
        <f>(VLOOKUP('9.0.10'!K83,'9.0.10'!$AM$4:$AO$55,3,FALSE))</f>
        <v>0</v>
      </c>
      <c r="D83" s="4">
        <f>(VLOOKUP('9.0.10'!L83,'9.0.10'!$AM$4:$AO$55,3,FALSE))</f>
        <v>0</v>
      </c>
      <c r="E83" s="4">
        <f>(VLOOKUP('9.0.10'!M83,'9.0.10'!$AM$4:$AO$55,3,FALSE))</f>
        <v>0</v>
      </c>
      <c r="F83" s="4">
        <f>(VLOOKUP('9.0.10'!N83,'9.0.10'!$AM$4:$AO$55,3,FALSE))</f>
        <v>0</v>
      </c>
      <c r="G83" s="5">
        <f>(VLOOKUP('9.0.10'!O83,'9.0.10'!$AM$4:$AO$55,3,FALSE))</f>
        <v>0</v>
      </c>
      <c r="H83" s="5">
        <f>(VLOOKUP('9.0.10'!P83,'9.0.10'!$AM$4:$AO$55,3,FALSE))</f>
        <v>0</v>
      </c>
      <c r="I83" s="4">
        <f>(VLOOKUP('9.0.10'!Q83,'9.0.10'!$AM$4:$AO$55,3,FALSE))</f>
        <v>50</v>
      </c>
      <c r="J83" s="4">
        <f>(VLOOKUP('9.0.10'!R83,'9.0.10'!$AM$4:$AO$55,3,FALSE))</f>
        <v>50</v>
      </c>
      <c r="K83" s="4">
        <f>(VLOOKUP('9.0.10'!S83,'9.0.10'!$AM$4:$AO$55,3,FALSE))</f>
        <v>50</v>
      </c>
      <c r="L83" s="4">
        <f>(VLOOKUP('9.0.10'!T83,'9.0.10'!$AM$4:$AO$55,3,FALSE))</f>
        <v>50</v>
      </c>
      <c r="M83" s="4">
        <f>(VLOOKUP('9.0.10'!U83,'9.0.10'!$AM$4:$AO$55,3,FALSE))</f>
        <v>50</v>
      </c>
      <c r="N83" s="4">
        <f>(VLOOKUP('9.0.10'!V83,'9.0.10'!$AM$4:$AO$55,3,FALSE))</f>
        <v>50</v>
      </c>
      <c r="O83" s="5">
        <f>(VLOOKUP('9.0.10'!W83,'9.0.10'!$AM$4:$AO$55,3,FALSE))</f>
        <v>0</v>
      </c>
      <c r="P83" s="5">
        <f>(VLOOKUP('9.0.10'!X83,'9.0.10'!$AM$4:$AO$55,3,FALSE))</f>
        <v>0</v>
      </c>
      <c r="Q83" s="4">
        <f>(VLOOKUP('9.0.10'!Y83,'9.0.10'!$AM$4:$AO$55,3,FALSE))</f>
        <v>50</v>
      </c>
      <c r="R83" s="4">
        <f>(VLOOKUP('9.0.10'!Z83,'9.0.10'!$AM$4:$AO$55,3,FALSE))</f>
        <v>50</v>
      </c>
      <c r="S83" s="4">
        <f>(VLOOKUP('9.0.10'!AA83,'9.0.10'!$AM$4:$AO$55,3,FALSE))</f>
        <v>50</v>
      </c>
      <c r="T83" s="4">
        <f>(VLOOKUP('9.0.10'!AB83,'9.0.10'!$AM$4:$AO$55,3,FALSE))</f>
        <v>50</v>
      </c>
      <c r="U83" s="4">
        <f>(VLOOKUP('9.0.10'!AC83,'9.0.10'!$AM$4:$AO$55,3,FALSE))</f>
        <v>30</v>
      </c>
      <c r="V83" s="4">
        <f>(VLOOKUP('9.0.10'!AD83,'9.0.10'!$AM$4:$AO$55,3,FALSE))</f>
        <v>50</v>
      </c>
      <c r="W83" s="5">
        <f>(VLOOKUP('9.0.10'!AE83,'9.0.10'!$AM$4:$AO$55,3,FALSE))</f>
        <v>0</v>
      </c>
      <c r="X83" s="5">
        <f>(VLOOKUP('9.0.10'!AF83,'9.0.10'!$AM$4:$AO$55,3,FALSE))</f>
        <v>0</v>
      </c>
    </row>
    <row r="84" spans="1:24">
      <c r="A84" s="4">
        <f>(VLOOKUP('9.0.10'!I84,'9.0.10'!$AM$4:$AO$55,3,FALSE))</f>
        <v>35</v>
      </c>
      <c r="B84" s="4">
        <f>(VLOOKUP('9.0.10'!J84,'9.0.10'!$AM$4:$AO$55,3,FALSE))</f>
        <v>30</v>
      </c>
      <c r="C84" s="4">
        <f>(VLOOKUP('9.0.10'!K84,'9.0.10'!$AM$4:$AO$55,3,FALSE))</f>
        <v>35</v>
      </c>
      <c r="D84" s="4">
        <f>(VLOOKUP('9.0.10'!L84,'9.0.10'!$AM$4:$AO$55,3,FALSE))</f>
        <v>35</v>
      </c>
      <c r="E84" s="4">
        <f>(VLOOKUP('9.0.10'!M84,'9.0.10'!$AM$4:$AO$55,3,FALSE))</f>
        <v>30</v>
      </c>
      <c r="F84" s="4">
        <f>(VLOOKUP('9.0.10'!N84,'9.0.10'!$AM$4:$AO$55,3,FALSE))</f>
        <v>0</v>
      </c>
      <c r="G84" s="5">
        <f>(VLOOKUP('9.0.10'!O84,'9.0.10'!$AM$4:$AO$55,3,FALSE))</f>
        <v>0</v>
      </c>
      <c r="H84" s="5">
        <f>(VLOOKUP('9.0.10'!P84,'9.0.10'!$AM$4:$AO$55,3,FALSE))</f>
        <v>0</v>
      </c>
      <c r="I84" s="4">
        <f>(VLOOKUP('9.0.10'!Q84,'9.0.10'!$AM$4:$AO$55,3,FALSE))</f>
        <v>50</v>
      </c>
      <c r="J84" s="4">
        <f>(VLOOKUP('9.0.10'!R84,'9.0.10'!$AM$4:$AO$55,3,FALSE))</f>
        <v>50</v>
      </c>
      <c r="K84" s="4">
        <f>(VLOOKUP('9.0.10'!S84,'9.0.10'!$AM$4:$AO$55,3,FALSE))</f>
        <v>50</v>
      </c>
      <c r="L84" s="4">
        <f>(VLOOKUP('9.0.10'!T84,'9.0.10'!$AM$4:$AO$55,3,FALSE))</f>
        <v>50</v>
      </c>
      <c r="M84" s="4">
        <f>(VLOOKUP('9.0.10'!U84,'9.0.10'!$AM$4:$AO$55,3,FALSE))</f>
        <v>50</v>
      </c>
      <c r="N84" s="4">
        <f>(VLOOKUP('9.0.10'!V84,'9.0.10'!$AM$4:$AO$55,3,FALSE))</f>
        <v>30</v>
      </c>
      <c r="O84" s="5">
        <f>(VLOOKUP('9.0.10'!W84,'9.0.10'!$AM$4:$AO$55,3,FALSE))</f>
        <v>0</v>
      </c>
      <c r="P84" s="5">
        <f>(VLOOKUP('9.0.10'!X84,'9.0.10'!$AM$4:$AO$55,3,FALSE))</f>
        <v>0</v>
      </c>
      <c r="Q84" s="4">
        <f>(VLOOKUP('9.0.10'!Y84,'9.0.10'!$AM$4:$AO$55,3,FALSE))</f>
        <v>50</v>
      </c>
      <c r="R84" s="4">
        <f>(VLOOKUP('9.0.10'!Z84,'9.0.10'!$AM$4:$AO$55,3,FALSE))</f>
        <v>50</v>
      </c>
      <c r="S84" s="4">
        <f>(VLOOKUP('9.0.10'!AA84,'9.0.10'!$AM$4:$AO$55,3,FALSE))</f>
        <v>50</v>
      </c>
      <c r="T84" s="4">
        <f>(VLOOKUP('9.0.10'!AB84,'9.0.10'!$AM$4:$AO$55,3,FALSE))</f>
        <v>50</v>
      </c>
      <c r="U84" s="4">
        <f>(VLOOKUP('9.0.10'!AC84,'9.0.10'!$AM$4:$AO$55,3,FALSE))</f>
        <v>50</v>
      </c>
      <c r="V84" s="4">
        <f>(VLOOKUP('9.0.10'!AD84,'9.0.10'!$AM$4:$AO$55,3,FALSE))</f>
        <v>50</v>
      </c>
      <c r="W84" s="5">
        <f>(VLOOKUP('9.0.10'!AE84,'9.0.10'!$AM$4:$AO$55,3,FALSE))</f>
        <v>0</v>
      </c>
      <c r="X84" s="5">
        <f>(VLOOKUP('9.0.10'!AF84,'9.0.10'!$AM$4:$AO$55,3,FALSE))</f>
        <v>0</v>
      </c>
    </row>
    <row r="85" spans="1:24">
      <c r="A85" s="4">
        <f>(VLOOKUP('9.0.10'!I85,'9.0.10'!$AM$4:$AO$55,3,FALSE))</f>
        <v>45</v>
      </c>
      <c r="B85" s="4">
        <f>(VLOOKUP('9.0.10'!J85,'9.0.10'!$AM$4:$AO$55,3,FALSE))</f>
        <v>45</v>
      </c>
      <c r="C85" s="4">
        <f>(VLOOKUP('9.0.10'!K85,'9.0.10'!$AM$4:$AO$55,3,FALSE))</f>
        <v>45</v>
      </c>
      <c r="D85" s="4">
        <f>(VLOOKUP('9.0.10'!L85,'9.0.10'!$AM$4:$AO$55,3,FALSE))</f>
        <v>45</v>
      </c>
      <c r="E85" s="4">
        <f>(VLOOKUP('9.0.10'!M85,'9.0.10'!$AM$4:$AO$55,3,FALSE))</f>
        <v>0</v>
      </c>
      <c r="F85" s="4">
        <f>(VLOOKUP('9.0.10'!N85,'9.0.10'!$AM$4:$AO$55,3,FALSE))</f>
        <v>40</v>
      </c>
      <c r="G85" s="5">
        <f>(VLOOKUP('9.0.10'!O85,'9.0.10'!$AM$4:$AO$55,3,FALSE))</f>
        <v>40</v>
      </c>
      <c r="H85" s="5">
        <f>(VLOOKUP('9.0.10'!P85,'9.0.10'!$AM$4:$AO$55,3,FALSE))</f>
        <v>40</v>
      </c>
      <c r="I85" s="4">
        <f>(VLOOKUP('9.0.10'!Q85,'9.0.10'!$AM$4:$AO$55,3,FALSE))</f>
        <v>50</v>
      </c>
      <c r="J85" s="4">
        <f>(VLOOKUP('9.0.10'!R85,'9.0.10'!$AM$4:$AO$55,3,FALSE))</f>
        <v>50</v>
      </c>
      <c r="K85" s="4">
        <f>(VLOOKUP('9.0.10'!S85,'9.0.10'!$AM$4:$AO$55,3,FALSE))</f>
        <v>45</v>
      </c>
      <c r="L85" s="4">
        <f>(VLOOKUP('9.0.10'!T85,'9.0.10'!$AM$4:$AO$55,3,FALSE))</f>
        <v>45</v>
      </c>
      <c r="M85" s="4">
        <f>(VLOOKUP('9.0.10'!U85,'9.0.10'!$AM$4:$AO$55,3,FALSE))</f>
        <v>45</v>
      </c>
      <c r="N85" s="4">
        <f>(VLOOKUP('9.0.10'!V85,'9.0.10'!$AM$4:$AO$55,3,FALSE))</f>
        <v>50</v>
      </c>
      <c r="O85" s="5">
        <f>(VLOOKUP('9.0.10'!W85,'9.0.10'!$AM$4:$AO$55,3,FALSE))</f>
        <v>0</v>
      </c>
      <c r="P85" s="5">
        <f>(VLOOKUP('9.0.10'!X85,'9.0.10'!$AM$4:$AO$55,3,FALSE))</f>
        <v>0</v>
      </c>
      <c r="Q85" s="4">
        <f>(VLOOKUP('9.0.10'!Y85,'9.0.10'!$AM$4:$AO$55,3,FALSE))</f>
        <v>50</v>
      </c>
      <c r="R85" s="4">
        <f>(VLOOKUP('9.0.10'!Z85,'9.0.10'!$AM$4:$AO$55,3,FALSE))</f>
        <v>50</v>
      </c>
      <c r="S85" s="4">
        <f>(VLOOKUP('9.0.10'!AA85,'9.0.10'!$AM$4:$AO$55,3,FALSE))</f>
        <v>50</v>
      </c>
      <c r="T85" s="4">
        <f>(VLOOKUP('9.0.10'!AB85,'9.0.10'!$AM$4:$AO$55,3,FALSE))</f>
        <v>50</v>
      </c>
      <c r="U85" s="4">
        <f>(VLOOKUP('9.0.10'!AC85,'9.0.10'!$AM$4:$AO$55,3,FALSE))</f>
        <v>50</v>
      </c>
      <c r="V85" s="4">
        <f>(VLOOKUP('9.0.10'!AD85,'9.0.10'!$AM$4:$AO$55,3,FALSE))</f>
        <v>50</v>
      </c>
      <c r="W85" s="5">
        <f>(VLOOKUP('9.0.10'!AE85,'9.0.10'!$AM$4:$AO$55,3,FALSE))</f>
        <v>0</v>
      </c>
      <c r="X85" s="5">
        <f>(VLOOKUP('9.0.10'!AF85,'9.0.10'!$AM$4:$AO$55,3,FALSE))</f>
        <v>0</v>
      </c>
    </row>
    <row r="86" spans="1:24">
      <c r="A86" s="4">
        <f>(VLOOKUP('9.0.10'!I86,'9.0.10'!$AM$4:$AO$55,3,FALSE))</f>
        <v>35</v>
      </c>
      <c r="B86" s="4">
        <f>(VLOOKUP('9.0.10'!J86,'9.0.10'!$AM$4:$AO$55,3,FALSE))</f>
        <v>30</v>
      </c>
      <c r="C86" s="4">
        <f>(VLOOKUP('9.0.10'!K86,'9.0.10'!$AM$4:$AO$55,3,FALSE))</f>
        <v>40</v>
      </c>
      <c r="D86" s="4">
        <f>(VLOOKUP('9.0.10'!L86,'9.0.10'!$AM$4:$AO$55,3,FALSE))</f>
        <v>30</v>
      </c>
      <c r="E86" s="4">
        <f>(VLOOKUP('9.0.10'!M86,'9.0.10'!$AM$4:$AO$55,3,FALSE))</f>
        <v>40</v>
      </c>
      <c r="F86" s="4">
        <f>(VLOOKUP('9.0.10'!N86,'9.0.10'!$AM$4:$AO$55,3,FALSE))</f>
        <v>45</v>
      </c>
      <c r="G86" s="5">
        <f>(VLOOKUP('9.0.10'!O86,'9.0.10'!$AM$4:$AO$55,3,FALSE))</f>
        <v>0</v>
      </c>
      <c r="H86" s="5">
        <f>(VLOOKUP('9.0.10'!P86,'9.0.10'!$AM$4:$AO$55,3,FALSE))</f>
        <v>0</v>
      </c>
      <c r="I86" s="4">
        <f>(VLOOKUP('9.0.10'!Q86,'9.0.10'!$AM$4:$AO$55,3,FALSE))</f>
        <v>50</v>
      </c>
      <c r="J86" s="4">
        <f>(VLOOKUP('9.0.10'!R86,'9.0.10'!$AM$4:$AO$55,3,FALSE))</f>
        <v>45</v>
      </c>
      <c r="K86" s="4">
        <f>(VLOOKUP('9.0.10'!S86,'9.0.10'!$AM$4:$AO$55,3,FALSE))</f>
        <v>45</v>
      </c>
      <c r="L86" s="4">
        <f>(VLOOKUP('9.0.10'!T86,'9.0.10'!$AM$4:$AO$55,3,FALSE))</f>
        <v>45</v>
      </c>
      <c r="M86" s="4">
        <f>(VLOOKUP('9.0.10'!U86,'9.0.10'!$AM$4:$AO$55,3,FALSE))</f>
        <v>50</v>
      </c>
      <c r="N86" s="4">
        <f>(VLOOKUP('9.0.10'!V86,'9.0.10'!$AM$4:$AO$55,3,FALSE))</f>
        <v>50</v>
      </c>
      <c r="O86" s="5">
        <f>(VLOOKUP('9.0.10'!W86,'9.0.10'!$AM$4:$AO$55,3,FALSE))</f>
        <v>0</v>
      </c>
      <c r="P86" s="5">
        <f>(VLOOKUP('9.0.10'!X86,'9.0.10'!$AM$4:$AO$55,3,FALSE))</f>
        <v>0</v>
      </c>
      <c r="Q86" s="4">
        <f>(VLOOKUP('9.0.10'!Y86,'9.0.10'!$AM$4:$AO$55,3,FALSE))</f>
        <v>30</v>
      </c>
      <c r="R86" s="4">
        <f>(VLOOKUP('9.0.10'!Z86,'9.0.10'!$AM$4:$AO$55,3,FALSE))</f>
        <v>50</v>
      </c>
      <c r="S86" s="4">
        <f>(VLOOKUP('9.0.10'!AA86,'9.0.10'!$AM$4:$AO$55,3,FALSE))</f>
        <v>50</v>
      </c>
      <c r="T86" s="4">
        <f>(VLOOKUP('9.0.10'!AB86,'9.0.10'!$AM$4:$AO$55,3,FALSE))</f>
        <v>50</v>
      </c>
      <c r="U86" s="4">
        <f>(VLOOKUP('9.0.10'!AC86,'9.0.10'!$AM$4:$AO$55,3,FALSE))</f>
        <v>50</v>
      </c>
      <c r="V86" s="4">
        <f>(VLOOKUP('9.0.10'!AD86,'9.0.10'!$AM$4:$AO$55,3,FALSE))</f>
        <v>50</v>
      </c>
      <c r="W86" s="5">
        <f>(VLOOKUP('9.0.10'!AE86,'9.0.10'!$AM$4:$AO$55,3,FALSE))</f>
        <v>0</v>
      </c>
      <c r="X86" s="5">
        <f>(VLOOKUP('9.0.10'!AF86,'9.0.10'!$AM$4:$AO$55,3,FALSE))</f>
        <v>0</v>
      </c>
    </row>
    <row r="87" spans="1:24">
      <c r="A87" s="4">
        <f>(VLOOKUP('9.0.10'!I87,'9.0.10'!$AM$4:$AO$55,3,FALSE))</f>
        <v>45</v>
      </c>
      <c r="B87" s="4">
        <f>(VLOOKUP('9.0.10'!J87,'9.0.10'!$AM$4:$AO$55,3,FALSE))</f>
        <v>40</v>
      </c>
      <c r="C87" s="4">
        <f>(VLOOKUP('9.0.10'!K87,'9.0.10'!$AM$4:$AO$55,3,FALSE))</f>
        <v>40</v>
      </c>
      <c r="D87" s="4">
        <f>(VLOOKUP('9.0.10'!L87,'9.0.10'!$AM$4:$AO$55,3,FALSE))</f>
        <v>0</v>
      </c>
      <c r="E87" s="4">
        <f>(VLOOKUP('9.0.10'!M87,'9.0.10'!$AM$4:$AO$55,3,FALSE))</f>
        <v>0</v>
      </c>
      <c r="F87" s="4">
        <f>(VLOOKUP('9.0.10'!N87,'9.0.10'!$AM$4:$AO$55,3,FALSE))</f>
        <v>0</v>
      </c>
      <c r="G87" s="5">
        <f>(VLOOKUP('9.0.10'!O87,'9.0.10'!$AM$4:$AO$55,3,FALSE))</f>
        <v>0</v>
      </c>
      <c r="H87" s="5">
        <f>(VLOOKUP('9.0.10'!P87,'9.0.10'!$AM$4:$AO$55,3,FALSE))</f>
        <v>0</v>
      </c>
      <c r="I87" s="4">
        <f>(VLOOKUP('9.0.10'!Q87,'9.0.10'!$AM$4:$AO$55,3,FALSE))</f>
        <v>50</v>
      </c>
      <c r="J87" s="4">
        <f>(VLOOKUP('9.0.10'!R87,'9.0.10'!$AM$4:$AO$55,3,FALSE))</f>
        <v>50</v>
      </c>
      <c r="K87" s="4">
        <f>(VLOOKUP('9.0.10'!S87,'9.0.10'!$AM$4:$AO$55,3,FALSE))</f>
        <v>50</v>
      </c>
      <c r="L87" s="4">
        <f>(VLOOKUP('9.0.10'!T87,'9.0.10'!$AM$4:$AO$55,3,FALSE))</f>
        <v>45</v>
      </c>
      <c r="M87" s="4">
        <f>(VLOOKUP('9.0.10'!U87,'9.0.10'!$AM$4:$AO$55,3,FALSE))</f>
        <v>45</v>
      </c>
      <c r="N87" s="4">
        <f>(VLOOKUP('9.0.10'!V87,'9.0.10'!$AM$4:$AO$55,3,FALSE))</f>
        <v>45</v>
      </c>
      <c r="O87" s="5">
        <f>(VLOOKUP('9.0.10'!W87,'9.0.10'!$AM$4:$AO$55,3,FALSE))</f>
        <v>0</v>
      </c>
      <c r="P87" s="5">
        <f>(VLOOKUP('9.0.10'!X87,'9.0.10'!$AM$4:$AO$55,3,FALSE))</f>
        <v>0</v>
      </c>
      <c r="Q87" s="4">
        <f>(VLOOKUP('9.0.10'!Y87,'9.0.10'!$AM$4:$AO$55,3,FALSE))</f>
        <v>50</v>
      </c>
      <c r="R87" s="4">
        <f>(VLOOKUP('9.0.10'!Z87,'9.0.10'!$AM$4:$AO$55,3,FALSE))</f>
        <v>50</v>
      </c>
      <c r="S87" s="4">
        <f>(VLOOKUP('9.0.10'!AA87,'9.0.10'!$AM$4:$AO$55,3,FALSE))</f>
        <v>50</v>
      </c>
      <c r="T87" s="4">
        <f>(VLOOKUP('9.0.10'!AB87,'9.0.10'!$AM$4:$AO$55,3,FALSE))</f>
        <v>50</v>
      </c>
      <c r="U87" s="4">
        <f>(VLOOKUP('9.0.10'!AC87,'9.0.10'!$AM$4:$AO$55,3,FALSE))</f>
        <v>50</v>
      </c>
      <c r="V87" s="4">
        <f>(VLOOKUP('9.0.10'!AD87,'9.0.10'!$AM$4:$AO$55,3,FALSE))</f>
        <v>50</v>
      </c>
      <c r="W87" s="5">
        <f>(VLOOKUP('9.0.10'!AE87,'9.0.10'!$AM$4:$AO$55,3,FALSE))</f>
        <v>0</v>
      </c>
      <c r="X87" s="5">
        <f>(VLOOKUP('9.0.10'!AF87,'9.0.10'!$AM$4:$AO$55,3,FALSE))</f>
        <v>0</v>
      </c>
    </row>
    <row r="88" spans="1:24">
      <c r="A88" s="4">
        <f>(VLOOKUP('9.0.10'!I88,'9.0.10'!$AM$4:$AO$55,3,FALSE))</f>
        <v>0</v>
      </c>
      <c r="B88" s="4">
        <f>(VLOOKUP('9.0.10'!J88,'9.0.10'!$AM$4:$AO$55,3,FALSE))</f>
        <v>0</v>
      </c>
      <c r="C88" s="4">
        <f>(VLOOKUP('9.0.10'!K88,'9.0.10'!$AM$4:$AO$55,3,FALSE))</f>
        <v>0</v>
      </c>
      <c r="D88" s="4">
        <f>(VLOOKUP('9.0.10'!L88,'9.0.10'!$AM$4:$AO$55,3,FALSE))</f>
        <v>0</v>
      </c>
      <c r="E88" s="4">
        <f>(VLOOKUP('9.0.10'!M88,'9.0.10'!$AM$4:$AO$55,3,FALSE))</f>
        <v>0</v>
      </c>
      <c r="F88" s="4">
        <f>(VLOOKUP('9.0.10'!N88,'9.0.10'!$AM$4:$AO$55,3,FALSE))</f>
        <v>0</v>
      </c>
      <c r="G88" s="5">
        <f>(VLOOKUP('9.0.10'!O88,'9.0.10'!$AM$4:$AO$55,3,FALSE))</f>
        <v>0</v>
      </c>
      <c r="H88" s="5">
        <f>(VLOOKUP('9.0.10'!P88,'9.0.10'!$AM$4:$AO$55,3,FALSE))</f>
        <v>0</v>
      </c>
      <c r="I88" s="4">
        <f>(VLOOKUP('9.0.10'!Q88,'9.0.10'!$AM$4:$AO$55,3,FALSE))</f>
        <v>45</v>
      </c>
      <c r="J88" s="4">
        <f>(VLOOKUP('9.0.10'!R88,'9.0.10'!$AM$4:$AO$55,3,FALSE))</f>
        <v>45</v>
      </c>
      <c r="K88" s="4">
        <f>(VLOOKUP('9.0.10'!S88,'9.0.10'!$AM$4:$AO$55,3,FALSE))</f>
        <v>30</v>
      </c>
      <c r="L88" s="4">
        <f>(VLOOKUP('9.0.10'!T88,'9.0.10'!$AM$4:$AO$55,3,FALSE))</f>
        <v>50</v>
      </c>
      <c r="M88" s="4">
        <f>(VLOOKUP('9.0.10'!U88,'9.0.10'!$AM$4:$AO$55,3,FALSE))</f>
        <v>50</v>
      </c>
      <c r="N88" s="4">
        <f>(VLOOKUP('9.0.10'!V88,'9.0.10'!$AM$4:$AO$55,3,FALSE))</f>
        <v>50</v>
      </c>
      <c r="O88" s="5">
        <f>(VLOOKUP('9.0.10'!W88,'9.0.10'!$AM$4:$AO$55,3,FALSE))</f>
        <v>0</v>
      </c>
      <c r="P88" s="5">
        <f>(VLOOKUP('9.0.10'!X88,'9.0.10'!$AM$4:$AO$55,3,FALSE))</f>
        <v>0</v>
      </c>
      <c r="Q88" s="4">
        <f>(VLOOKUP('9.0.10'!Y88,'9.0.10'!$AM$4:$AO$55,3,FALSE))</f>
        <v>45</v>
      </c>
      <c r="R88" s="4">
        <f>(VLOOKUP('9.0.10'!Z88,'9.0.10'!$AM$4:$AO$55,3,FALSE))</f>
        <v>45</v>
      </c>
      <c r="S88" s="4">
        <f>(VLOOKUP('9.0.10'!AA88,'9.0.10'!$AM$4:$AO$55,3,FALSE))</f>
        <v>45</v>
      </c>
      <c r="T88" s="4">
        <f>(VLOOKUP('9.0.10'!AB88,'9.0.10'!$AM$4:$AO$55,3,FALSE))</f>
        <v>50</v>
      </c>
      <c r="U88" s="4">
        <f>(VLOOKUP('9.0.10'!AC88,'9.0.10'!$AM$4:$AO$55,3,FALSE))</f>
        <v>45</v>
      </c>
      <c r="V88" s="4">
        <f>(VLOOKUP('9.0.10'!AD88,'9.0.10'!$AM$4:$AO$55,3,FALSE))</f>
        <v>45</v>
      </c>
      <c r="W88" s="5">
        <f>(VLOOKUP('9.0.10'!AE88,'9.0.10'!$AM$4:$AO$55,3,FALSE))</f>
        <v>0</v>
      </c>
      <c r="X88" s="5">
        <f>(VLOOKUP('9.0.10'!AF88,'9.0.10'!$AM$4:$AO$55,3,FALSE))</f>
        <v>0</v>
      </c>
    </row>
    <row r="89" spans="1:24">
      <c r="A89" s="4">
        <f>(VLOOKUP('9.0.10'!I89,'9.0.10'!$AM$4:$AO$55,3,FALSE))</f>
        <v>0</v>
      </c>
      <c r="B89" s="4">
        <f>(VLOOKUP('9.0.10'!J89,'9.0.10'!$AM$4:$AO$55,3,FALSE))</f>
        <v>0</v>
      </c>
      <c r="C89" s="4">
        <f>(VLOOKUP('9.0.10'!K89,'9.0.10'!$AM$4:$AO$55,3,FALSE))</f>
        <v>0</v>
      </c>
      <c r="D89" s="4">
        <f>(VLOOKUP('9.0.10'!L89,'9.0.10'!$AM$4:$AO$55,3,FALSE))</f>
        <v>0</v>
      </c>
      <c r="E89" s="4">
        <f>(VLOOKUP('9.0.10'!M89,'9.0.10'!$AM$4:$AO$55,3,FALSE))</f>
        <v>0</v>
      </c>
      <c r="F89" s="4">
        <f>(VLOOKUP('9.0.10'!N89,'9.0.10'!$AM$4:$AO$55,3,FALSE))</f>
        <v>0</v>
      </c>
      <c r="G89" s="5">
        <f>(VLOOKUP('9.0.10'!O89,'9.0.10'!$AM$4:$AO$55,3,FALSE))</f>
        <v>0</v>
      </c>
      <c r="H89" s="5">
        <f>(VLOOKUP('9.0.10'!P89,'9.0.10'!$AM$4:$AO$55,3,FALSE))</f>
        <v>0</v>
      </c>
      <c r="I89" s="4">
        <f>(VLOOKUP('9.0.10'!Q89,'9.0.10'!$AM$4:$AO$55,3,FALSE))</f>
        <v>55</v>
      </c>
      <c r="J89" s="4">
        <f>(VLOOKUP('9.0.10'!R89,'9.0.10'!$AM$4:$AO$55,3,FALSE))</f>
        <v>55</v>
      </c>
      <c r="K89" s="4">
        <f>(VLOOKUP('9.0.10'!S89,'9.0.10'!$AM$4:$AO$55,3,FALSE))</f>
        <v>55</v>
      </c>
      <c r="L89" s="4">
        <f>(VLOOKUP('9.0.10'!T89,'9.0.10'!$AM$4:$AO$55,3,FALSE))</f>
        <v>55</v>
      </c>
      <c r="M89" s="4">
        <f>(VLOOKUP('9.0.10'!U89,'9.0.10'!$AM$4:$AO$55,3,FALSE))</f>
        <v>30</v>
      </c>
      <c r="N89" s="4">
        <f>(VLOOKUP('9.0.10'!V89,'9.0.10'!$AM$4:$AO$55,3,FALSE))</f>
        <v>55</v>
      </c>
      <c r="O89" s="5">
        <f>(VLOOKUP('9.0.10'!W89,'9.0.10'!$AM$4:$AO$55,3,FALSE))</f>
        <v>0</v>
      </c>
      <c r="P89" s="5">
        <f>(VLOOKUP('9.0.10'!X89,'9.0.10'!$AM$4:$AO$55,3,FALSE))</f>
        <v>0</v>
      </c>
      <c r="Q89" s="4">
        <f>(VLOOKUP('9.0.10'!Y89,'9.0.10'!$AM$4:$AO$55,3,FALSE))</f>
        <v>45</v>
      </c>
      <c r="R89" s="4">
        <f>(VLOOKUP('9.0.10'!Z89,'9.0.10'!$AM$4:$AO$55,3,FALSE))</f>
        <v>45</v>
      </c>
      <c r="S89" s="4">
        <f>(VLOOKUP('9.0.10'!AA89,'9.0.10'!$AM$4:$AO$55,3,FALSE))</f>
        <v>45</v>
      </c>
      <c r="T89" s="4">
        <f>(VLOOKUP('9.0.10'!AB89,'9.0.10'!$AM$4:$AO$55,3,FALSE))</f>
        <v>45</v>
      </c>
      <c r="U89" s="4">
        <f>(VLOOKUP('9.0.10'!AC89,'9.0.10'!$AM$4:$AO$55,3,FALSE))</f>
        <v>45</v>
      </c>
      <c r="V89" s="4">
        <f>(VLOOKUP('9.0.10'!AD89,'9.0.10'!$AM$4:$AO$55,3,FALSE))</f>
        <v>45</v>
      </c>
      <c r="W89" s="5">
        <f>(VLOOKUP('9.0.10'!AE89,'9.0.10'!$AM$4:$AO$55,3,FALSE))</f>
        <v>0</v>
      </c>
      <c r="X89" s="5">
        <f>(VLOOKUP('9.0.10'!AF89,'9.0.10'!$AM$4:$AO$55,3,FALSE))</f>
        <v>0</v>
      </c>
    </row>
    <row r="90" spans="1:24">
      <c r="A90" s="4">
        <f>(VLOOKUP('9.0.10'!I90,'9.0.10'!$AM$4:$AO$55,3,FALSE))</f>
        <v>0</v>
      </c>
      <c r="B90" s="4">
        <f>(VLOOKUP('9.0.10'!J90,'9.0.10'!$AM$4:$AO$55,3,FALSE))</f>
        <v>0</v>
      </c>
      <c r="C90" s="4">
        <f>(VLOOKUP('9.0.10'!K90,'9.0.10'!$AM$4:$AO$55,3,FALSE))</f>
        <v>0</v>
      </c>
      <c r="D90" s="4">
        <f>(VLOOKUP('9.0.10'!L90,'9.0.10'!$AM$4:$AO$55,3,FALSE))</f>
        <v>0</v>
      </c>
      <c r="E90" s="4">
        <f>(VLOOKUP('9.0.10'!M90,'9.0.10'!$AM$4:$AO$55,3,FALSE))</f>
        <v>0</v>
      </c>
      <c r="F90" s="4">
        <f>(VLOOKUP('9.0.10'!N90,'9.0.10'!$AM$4:$AO$55,3,FALSE))</f>
        <v>0</v>
      </c>
      <c r="G90" s="5">
        <f>(VLOOKUP('9.0.10'!O90,'9.0.10'!$AM$4:$AO$55,3,FALSE))</f>
        <v>0</v>
      </c>
      <c r="H90" s="5">
        <f>(VLOOKUP('9.0.10'!P90,'9.0.10'!$AM$4:$AO$55,3,FALSE))</f>
        <v>0</v>
      </c>
      <c r="I90" s="4">
        <f>(VLOOKUP('9.0.10'!Q90,'9.0.10'!$AM$4:$AO$55,3,FALSE))</f>
        <v>55</v>
      </c>
      <c r="J90" s="4">
        <f>(VLOOKUP('9.0.10'!R90,'9.0.10'!$AM$4:$AO$55,3,FALSE))</f>
        <v>55</v>
      </c>
      <c r="K90" s="4">
        <f>(VLOOKUP('9.0.10'!S90,'9.0.10'!$AM$4:$AO$55,3,FALSE))</f>
        <v>55</v>
      </c>
      <c r="L90" s="4">
        <f>(VLOOKUP('9.0.10'!T90,'9.0.10'!$AM$4:$AO$55,3,FALSE))</f>
        <v>55</v>
      </c>
      <c r="M90" s="4">
        <f>(VLOOKUP('9.0.10'!U90,'9.0.10'!$AM$4:$AO$55,3,FALSE))</f>
        <v>55</v>
      </c>
      <c r="N90" s="4">
        <f>(VLOOKUP('9.0.10'!V90,'9.0.10'!$AM$4:$AO$55,3,FALSE))</f>
        <v>55</v>
      </c>
      <c r="O90" s="5">
        <f>(VLOOKUP('9.0.10'!W90,'9.0.10'!$AM$4:$AO$55,3,FALSE))</f>
        <v>0</v>
      </c>
      <c r="P90" s="5">
        <f>(VLOOKUP('9.0.10'!X90,'9.0.10'!$AM$4:$AO$55,3,FALSE))</f>
        <v>0</v>
      </c>
      <c r="Q90" s="4">
        <f>(VLOOKUP('9.0.10'!Y90,'9.0.10'!$AM$4:$AO$55,3,FALSE))</f>
        <v>45</v>
      </c>
      <c r="R90" s="4">
        <f>(VLOOKUP('9.0.10'!Z90,'9.0.10'!$AM$4:$AO$55,3,FALSE))</f>
        <v>45</v>
      </c>
      <c r="S90" s="4">
        <f>(VLOOKUP('9.0.10'!AA90,'9.0.10'!$AM$4:$AO$55,3,FALSE))</f>
        <v>45</v>
      </c>
      <c r="T90" s="4">
        <f>(VLOOKUP('9.0.10'!AB90,'9.0.10'!$AM$4:$AO$55,3,FALSE))</f>
        <v>45</v>
      </c>
      <c r="U90" s="4">
        <f>(VLOOKUP('9.0.10'!AC90,'9.0.10'!$AM$4:$AO$55,3,FALSE))</f>
        <v>45</v>
      </c>
      <c r="V90" s="4">
        <f>(VLOOKUP('9.0.10'!AD90,'9.0.10'!$AM$4:$AO$55,3,FALSE))</f>
        <v>45</v>
      </c>
      <c r="W90" s="5">
        <f>(VLOOKUP('9.0.10'!AE90,'9.0.10'!$AM$4:$AO$55,3,FALSE))</f>
        <v>0</v>
      </c>
      <c r="X90" s="5">
        <f>(VLOOKUP('9.0.10'!AF90,'9.0.10'!$AM$4:$AO$55,3,FALSE))</f>
        <v>0</v>
      </c>
    </row>
    <row r="91" spans="1:24">
      <c r="A91" s="4">
        <f>(VLOOKUP('9.0.10'!I91,'9.0.10'!$AM$4:$AO$55,3,FALSE))</f>
        <v>0</v>
      </c>
      <c r="B91" s="4">
        <f>(VLOOKUP('9.0.10'!J91,'9.0.10'!$AM$4:$AO$55,3,FALSE))</f>
        <v>0</v>
      </c>
      <c r="C91" s="4">
        <f>(VLOOKUP('9.0.10'!K91,'9.0.10'!$AM$4:$AO$55,3,FALSE))</f>
        <v>0</v>
      </c>
      <c r="D91" s="4">
        <f>(VLOOKUP('9.0.10'!L91,'9.0.10'!$AM$4:$AO$55,3,FALSE))</f>
        <v>0</v>
      </c>
      <c r="E91" s="4">
        <f>(VLOOKUP('9.0.10'!M91,'9.0.10'!$AM$4:$AO$55,3,FALSE))</f>
        <v>0</v>
      </c>
      <c r="F91" s="4">
        <f>(VLOOKUP('9.0.10'!N91,'9.0.10'!$AM$4:$AO$55,3,FALSE))</f>
        <v>0</v>
      </c>
      <c r="G91" s="5">
        <f>(VLOOKUP('9.0.10'!O91,'9.0.10'!$AM$4:$AO$55,3,FALSE))</f>
        <v>0</v>
      </c>
      <c r="H91" s="5">
        <f>(VLOOKUP('9.0.10'!P91,'9.0.10'!$AM$4:$AO$55,3,FALSE))</f>
        <v>0</v>
      </c>
      <c r="I91" s="4">
        <f>(VLOOKUP('9.0.10'!Q91,'9.0.10'!$AM$4:$AO$55,3,FALSE))</f>
        <v>55</v>
      </c>
      <c r="J91" s="4">
        <f>(VLOOKUP('9.0.10'!R91,'9.0.10'!$AM$4:$AO$55,3,FALSE))</f>
        <v>55</v>
      </c>
      <c r="K91" s="4">
        <f>(VLOOKUP('9.0.10'!S91,'9.0.10'!$AM$4:$AO$55,3,FALSE))</f>
        <v>55</v>
      </c>
      <c r="L91" s="4">
        <f>(VLOOKUP('9.0.10'!T91,'9.0.10'!$AM$4:$AO$55,3,FALSE))</f>
        <v>55</v>
      </c>
      <c r="M91" s="4">
        <f>(VLOOKUP('9.0.10'!U91,'9.0.10'!$AM$4:$AO$55,3,FALSE))</f>
        <v>55</v>
      </c>
      <c r="N91" s="4">
        <f>(VLOOKUP('9.0.10'!V91,'9.0.10'!$AM$4:$AO$55,3,FALSE))</f>
        <v>55</v>
      </c>
      <c r="O91" s="5">
        <f>(VLOOKUP('9.0.10'!W91,'9.0.10'!$AM$4:$AO$55,3,FALSE))</f>
        <v>0</v>
      </c>
      <c r="P91" s="5">
        <f>(VLOOKUP('9.0.10'!X91,'9.0.10'!$AM$4:$AO$55,3,FALSE))</f>
        <v>0</v>
      </c>
      <c r="Q91" s="4">
        <f>(VLOOKUP('9.0.10'!Y91,'9.0.10'!$AM$4:$AO$55,3,FALSE))</f>
        <v>45</v>
      </c>
      <c r="R91" s="4">
        <f>(VLOOKUP('9.0.10'!Z91,'9.0.10'!$AM$4:$AO$55,3,FALSE))</f>
        <v>50</v>
      </c>
      <c r="S91" s="4">
        <f>(VLOOKUP('9.0.10'!AA91,'9.0.10'!$AM$4:$AO$55,3,FALSE))</f>
        <v>50</v>
      </c>
      <c r="T91" s="4">
        <f>(VLOOKUP('9.0.10'!AB91,'9.0.10'!$AM$4:$AO$55,3,FALSE))</f>
        <v>50</v>
      </c>
      <c r="U91" s="4">
        <f>(VLOOKUP('9.0.10'!AC91,'9.0.10'!$AM$4:$AO$55,3,FALSE))</f>
        <v>50</v>
      </c>
      <c r="V91" s="4">
        <f>(VLOOKUP('9.0.10'!AD91,'9.0.10'!$AM$4:$AO$55,3,FALSE))</f>
        <v>45</v>
      </c>
      <c r="W91" s="5">
        <f>(VLOOKUP('9.0.10'!AE91,'9.0.10'!$AM$4:$AO$55,3,FALSE))</f>
        <v>0</v>
      </c>
      <c r="X91" s="5">
        <f>(VLOOKUP('9.0.10'!AF91,'9.0.10'!$AM$4:$AO$55,3,FALSE))</f>
        <v>0</v>
      </c>
    </row>
    <row r="92" spans="1:24">
      <c r="A92" s="4">
        <f>(VLOOKUP('9.0.10'!I92,'9.0.10'!$AM$4:$AO$55,3,FALSE))</f>
        <v>0</v>
      </c>
      <c r="B92" s="4">
        <f>(VLOOKUP('9.0.10'!J92,'9.0.10'!$AM$4:$AO$55,3,FALSE))</f>
        <v>0</v>
      </c>
      <c r="C92" s="4">
        <f>(VLOOKUP('9.0.10'!K92,'9.0.10'!$AM$4:$AO$55,3,FALSE))</f>
        <v>0</v>
      </c>
      <c r="D92" s="4">
        <f>(VLOOKUP('9.0.10'!L92,'9.0.10'!$AM$4:$AO$55,3,FALSE))</f>
        <v>0</v>
      </c>
      <c r="E92" s="4">
        <f>(VLOOKUP('9.0.10'!M92,'9.0.10'!$AM$4:$AO$55,3,FALSE))</f>
        <v>0</v>
      </c>
      <c r="F92" s="4">
        <f>(VLOOKUP('9.0.10'!N92,'9.0.10'!$AM$4:$AO$55,3,FALSE))</f>
        <v>0</v>
      </c>
      <c r="G92" s="5">
        <f>(VLOOKUP('9.0.10'!O92,'9.0.10'!$AM$4:$AO$55,3,FALSE))</f>
        <v>0</v>
      </c>
      <c r="H92" s="5">
        <f>(VLOOKUP('9.0.10'!P92,'9.0.10'!$AM$4:$AO$55,3,FALSE))</f>
        <v>0</v>
      </c>
      <c r="I92" s="4">
        <f>(VLOOKUP('9.0.10'!Q92,'9.0.10'!$AM$4:$AO$55,3,FALSE))</f>
        <v>55</v>
      </c>
      <c r="J92" s="4">
        <f>(VLOOKUP('9.0.10'!R92,'9.0.10'!$AM$4:$AO$55,3,FALSE))</f>
        <v>55</v>
      </c>
      <c r="K92" s="4">
        <f>(VLOOKUP('9.0.10'!S92,'9.0.10'!$AM$4:$AO$55,3,FALSE))</f>
        <v>55</v>
      </c>
      <c r="L92" s="4">
        <f>(VLOOKUP('9.0.10'!T92,'9.0.10'!$AM$4:$AO$55,3,FALSE))</f>
        <v>55</v>
      </c>
      <c r="M92" s="4">
        <f>(VLOOKUP('9.0.10'!U92,'9.0.10'!$AM$4:$AO$55,3,FALSE))</f>
        <v>50</v>
      </c>
      <c r="N92" s="4">
        <f>(VLOOKUP('9.0.10'!V92,'9.0.10'!$AM$4:$AO$55,3,FALSE))</f>
        <v>0</v>
      </c>
      <c r="O92" s="5">
        <f>(VLOOKUP('9.0.10'!W92,'9.0.10'!$AM$4:$AO$55,3,FALSE))</f>
        <v>0</v>
      </c>
      <c r="P92" s="5">
        <f>(VLOOKUP('9.0.10'!X92,'9.0.10'!$AM$4:$AO$55,3,FALSE))</f>
        <v>0</v>
      </c>
      <c r="Q92" s="4">
        <f>(VLOOKUP('9.0.10'!Y92,'9.0.10'!$AM$4:$AO$55,3,FALSE))</f>
        <v>45</v>
      </c>
      <c r="R92" s="4">
        <f>(VLOOKUP('9.0.10'!Z92,'9.0.10'!$AM$4:$AO$55,3,FALSE))</f>
        <v>45</v>
      </c>
      <c r="S92" s="4">
        <f>(VLOOKUP('9.0.10'!AA92,'9.0.10'!$AM$4:$AO$55,3,FALSE))</f>
        <v>45</v>
      </c>
      <c r="T92" s="4">
        <f>(VLOOKUP('9.0.10'!AB92,'9.0.10'!$AM$4:$AO$55,3,FALSE))</f>
        <v>45</v>
      </c>
      <c r="U92" s="4">
        <f>(VLOOKUP('9.0.10'!AC92,'9.0.10'!$AM$4:$AO$55,3,FALSE))</f>
        <v>45</v>
      </c>
      <c r="V92" s="4">
        <f>(VLOOKUP('9.0.10'!AD92,'9.0.10'!$AM$4:$AO$55,3,FALSE))</f>
        <v>45</v>
      </c>
      <c r="W92" s="5">
        <f>(VLOOKUP('9.0.10'!AE92,'9.0.10'!$AM$4:$AO$55,3,FALSE))</f>
        <v>0</v>
      </c>
      <c r="X92" s="5">
        <f>(VLOOKUP('9.0.10'!AF92,'9.0.10'!$AM$4:$AO$55,3,FALSE))</f>
        <v>0</v>
      </c>
    </row>
    <row r="93" spans="1:24">
      <c r="A93" s="4">
        <f>(VLOOKUP('9.0.10'!I93,'9.0.10'!$AM$4:$AO$55,3,FALSE))</f>
        <v>35</v>
      </c>
      <c r="B93" s="4">
        <f>(VLOOKUP('9.0.10'!J93,'9.0.10'!$AM$4:$AO$55,3,FALSE))</f>
        <v>30</v>
      </c>
      <c r="C93" s="4">
        <f>(VLOOKUP('9.0.10'!K93,'9.0.10'!$AM$4:$AO$55,3,FALSE))</f>
        <v>0</v>
      </c>
      <c r="D93" s="4">
        <f>(VLOOKUP('9.0.10'!L93,'9.0.10'!$AM$4:$AO$55,3,FALSE))</f>
        <v>0</v>
      </c>
      <c r="E93" s="4">
        <f>(VLOOKUP('9.0.10'!M93,'9.0.10'!$AM$4:$AO$55,3,FALSE))</f>
        <v>0</v>
      </c>
      <c r="F93" s="4">
        <f>(VLOOKUP('9.0.10'!N93,'9.0.10'!$AM$4:$AO$55,3,FALSE))</f>
        <v>0</v>
      </c>
      <c r="G93" s="5">
        <f>(VLOOKUP('9.0.10'!O93,'9.0.10'!$AM$4:$AO$55,3,FALSE))</f>
        <v>0</v>
      </c>
      <c r="H93" s="5">
        <f>(VLOOKUP('9.0.10'!P93,'9.0.10'!$AM$4:$AO$55,3,FALSE))</f>
        <v>0</v>
      </c>
      <c r="I93" s="4">
        <f>(VLOOKUP('9.0.10'!Q93,'9.0.10'!$AM$4:$AO$55,3,FALSE))</f>
        <v>50</v>
      </c>
      <c r="J93" s="4">
        <f>(VLOOKUP('9.0.10'!R93,'9.0.10'!$AM$4:$AO$55,3,FALSE))</f>
        <v>50</v>
      </c>
      <c r="K93" s="4">
        <f>(VLOOKUP('9.0.10'!S93,'9.0.10'!$AM$4:$AO$55,3,FALSE))</f>
        <v>50</v>
      </c>
      <c r="L93" s="4">
        <f>(VLOOKUP('9.0.10'!T93,'9.0.10'!$AM$4:$AO$55,3,FALSE))</f>
        <v>50</v>
      </c>
      <c r="M93" s="4">
        <f>(VLOOKUP('9.0.10'!U93,'9.0.10'!$AM$4:$AO$55,3,FALSE))</f>
        <v>50</v>
      </c>
      <c r="N93" s="4">
        <f>(VLOOKUP('9.0.10'!V93,'9.0.10'!$AM$4:$AO$55,3,FALSE))</f>
        <v>0</v>
      </c>
      <c r="O93" s="5">
        <f>(VLOOKUP('9.0.10'!W93,'9.0.10'!$AM$4:$AO$55,3,FALSE))</f>
        <v>0</v>
      </c>
      <c r="P93" s="5">
        <f>(VLOOKUP('9.0.10'!X93,'9.0.10'!$AM$4:$AO$55,3,FALSE))</f>
        <v>0</v>
      </c>
      <c r="Q93" s="4">
        <f>(VLOOKUP('9.0.10'!Y93,'9.0.10'!$AM$4:$AO$55,3,FALSE))</f>
        <v>45</v>
      </c>
      <c r="R93" s="4">
        <f>(VLOOKUP('9.0.10'!Z93,'9.0.10'!$AM$4:$AO$55,3,FALSE))</f>
        <v>45</v>
      </c>
      <c r="S93" s="4">
        <f>(VLOOKUP('9.0.10'!AA93,'9.0.10'!$AM$4:$AO$55,3,FALSE))</f>
        <v>30</v>
      </c>
      <c r="T93" s="4">
        <f>(VLOOKUP('9.0.10'!AB93,'9.0.10'!$AM$4:$AO$55,3,FALSE))</f>
        <v>45</v>
      </c>
      <c r="U93" s="4">
        <f>(VLOOKUP('9.0.10'!AC93,'9.0.10'!$AM$4:$AO$55,3,FALSE))</f>
        <v>45</v>
      </c>
      <c r="V93" s="4">
        <f>(VLOOKUP('9.0.10'!AD93,'9.0.10'!$AM$4:$AO$55,3,FALSE))</f>
        <v>45</v>
      </c>
      <c r="W93" s="5">
        <f>(VLOOKUP('9.0.10'!AE93,'9.0.10'!$AM$4:$AO$55,3,FALSE))</f>
        <v>0</v>
      </c>
      <c r="X93" s="5">
        <f>(VLOOKUP('9.0.10'!AF93,'9.0.10'!$AM$4:$AO$55,3,FALSE))</f>
        <v>0</v>
      </c>
    </row>
    <row r="94" spans="1:24">
      <c r="A94" s="4">
        <f>(VLOOKUP('9.0.10'!I94,'9.0.10'!$AM$4:$AO$55,3,FALSE))</f>
        <v>35</v>
      </c>
      <c r="B94" s="4">
        <f>(VLOOKUP('9.0.10'!J94,'9.0.10'!$AM$4:$AO$55,3,FALSE))</f>
        <v>35</v>
      </c>
      <c r="C94" s="4">
        <f>(VLOOKUP('9.0.10'!K94,'9.0.10'!$AM$4:$AO$55,3,FALSE))</f>
        <v>35</v>
      </c>
      <c r="D94" s="4">
        <f>(VLOOKUP('9.0.10'!L94,'9.0.10'!$AM$4:$AO$55,3,FALSE))</f>
        <v>30</v>
      </c>
      <c r="E94" s="4">
        <f>(VLOOKUP('9.0.10'!M94,'9.0.10'!$AM$4:$AO$55,3,FALSE))</f>
        <v>0</v>
      </c>
      <c r="F94" s="4">
        <f>(VLOOKUP('9.0.10'!N94,'9.0.10'!$AM$4:$AO$55,3,FALSE))</f>
        <v>0</v>
      </c>
      <c r="G94" s="5">
        <f>(VLOOKUP('9.0.10'!O94,'9.0.10'!$AM$4:$AO$55,3,FALSE))</f>
        <v>0</v>
      </c>
      <c r="H94" s="5">
        <f>(VLOOKUP('9.0.10'!P94,'9.0.10'!$AM$4:$AO$55,3,FALSE))</f>
        <v>0</v>
      </c>
      <c r="I94" s="4">
        <f>(VLOOKUP('9.0.10'!Q94,'9.0.10'!$AM$4:$AO$55,3,FALSE))</f>
        <v>50</v>
      </c>
      <c r="J94" s="4">
        <f>(VLOOKUP('9.0.10'!R94,'9.0.10'!$AM$4:$AO$55,3,FALSE))</f>
        <v>50</v>
      </c>
      <c r="K94" s="4">
        <f>(VLOOKUP('9.0.10'!S94,'9.0.10'!$AM$4:$AO$55,3,FALSE))</f>
        <v>50</v>
      </c>
      <c r="L94" s="4">
        <f>(VLOOKUP('9.0.10'!T94,'9.0.10'!$AM$4:$AO$55,3,FALSE))</f>
        <v>50</v>
      </c>
      <c r="M94" s="4">
        <f>(VLOOKUP('9.0.10'!U94,'9.0.10'!$AM$4:$AO$55,3,FALSE))</f>
        <v>50</v>
      </c>
      <c r="N94" s="4">
        <f>(VLOOKUP('9.0.10'!V94,'9.0.10'!$AM$4:$AO$55,3,FALSE))</f>
        <v>0</v>
      </c>
      <c r="O94" s="5">
        <f>(VLOOKUP('9.0.10'!W94,'9.0.10'!$AM$4:$AO$55,3,FALSE))</f>
        <v>0</v>
      </c>
      <c r="P94" s="5">
        <f>(VLOOKUP('9.0.10'!X94,'9.0.10'!$AM$4:$AO$55,3,FALSE))</f>
        <v>0</v>
      </c>
      <c r="Q94" s="4">
        <f>(VLOOKUP('9.0.10'!Y94,'9.0.10'!$AM$4:$AO$55,3,FALSE))</f>
        <v>45</v>
      </c>
      <c r="R94" s="4">
        <f>(VLOOKUP('9.0.10'!Z94,'9.0.10'!$AM$4:$AO$55,3,FALSE))</f>
        <v>40</v>
      </c>
      <c r="S94" s="4">
        <f>(VLOOKUP('9.0.10'!AA94,'9.0.10'!$AM$4:$AO$55,3,FALSE))</f>
        <v>40</v>
      </c>
      <c r="T94" s="4">
        <f>(VLOOKUP('9.0.10'!AB94,'9.0.10'!$AM$4:$AO$55,3,FALSE))</f>
        <v>40</v>
      </c>
      <c r="U94" s="4">
        <f>(VLOOKUP('9.0.10'!AC94,'9.0.10'!$AM$4:$AO$55,3,FALSE))</f>
        <v>30</v>
      </c>
      <c r="V94" s="4">
        <f>(VLOOKUP('9.0.10'!AD94,'9.0.10'!$AM$4:$AO$55,3,FALSE))</f>
        <v>0</v>
      </c>
      <c r="W94" s="5">
        <f>(VLOOKUP('9.0.10'!AE94,'9.0.10'!$AM$4:$AO$55,3,FALSE))</f>
        <v>0</v>
      </c>
      <c r="X94" s="5">
        <f>(VLOOKUP('9.0.10'!AF94,'9.0.10'!$AM$4:$AO$55,3,FALSE))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4" sqref="E4"/>
    </sheetView>
  </sheetViews>
  <sheetFormatPr defaultColWidth="9" defaultRowHeight="14.4"/>
  <sheetData>
    <row r="1" spans="1:24" ht="15" thickBot="1"/>
    <row r="2" spans="1:24">
      <c r="A2" s="140" t="s">
        <v>62</v>
      </c>
      <c r="B2" s="141"/>
      <c r="C2" s="67" t="s">
        <v>4</v>
      </c>
      <c r="D2" s="67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68" t="s">
        <v>4</v>
      </c>
      <c r="L2" s="68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10" t="s">
        <v>8</v>
      </c>
      <c r="T2" s="69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(VLOOKUP('9.0.10'!I4,'9.0.10'!$AM$4:$AP$55,4,FALSE))</f>
        <v>44.222109392472248</v>
      </c>
      <c r="B4" s="4">
        <f>(VLOOKUP('9.0.10'!J4,'9.0.10'!$AM$4:$AP$55,4,FALSE))</f>
        <v>44.222109392472248</v>
      </c>
      <c r="C4" s="4">
        <f>(VLOOKUP('9.0.10'!K4,'9.0.10'!$AM$4:$AP$55,4,FALSE))</f>
        <v>44.222109392472248</v>
      </c>
      <c r="D4" s="4">
        <f>(VLOOKUP('9.0.10'!L4,'9.0.10'!$AM$4:$AP$55,4,FALSE))</f>
        <v>44.222109392472248</v>
      </c>
      <c r="E4" s="4">
        <f>(VLOOKUP('9.0.10'!M4,'9.0.10'!$AM$4:$AP$55,4,FALSE))</f>
        <v>44.222109392472248</v>
      </c>
      <c r="F4" s="4">
        <f>(VLOOKUP('9.0.10'!N4,'9.0.10'!$AM$4:$AP$55,4,FALSE))</f>
        <v>44.222109392472248</v>
      </c>
      <c r="G4" s="4">
        <f>(VLOOKUP('9.0.10'!O4,'9.0.10'!$AM$4:$AP$55,4,FALSE))</f>
        <v>0</v>
      </c>
      <c r="H4" s="4">
        <f>(VLOOKUP('9.0.10'!P4,'9.0.10'!$AM$4:$AP$55,4,FALSE))</f>
        <v>0</v>
      </c>
      <c r="I4" s="4">
        <f>(VLOOKUP('9.0.10'!Q4,'9.0.10'!$AM$4:$AP$55,4,FALSE))</f>
        <v>44.222109392472248</v>
      </c>
      <c r="J4" s="4">
        <f>(VLOOKUP('9.0.10'!R4,'9.0.10'!$AM$4:$AP$55,4,FALSE))</f>
        <v>44.222109392472248</v>
      </c>
      <c r="K4" s="4">
        <f>(VLOOKUP('9.0.10'!S4,'9.0.10'!$AM$4:$AP$55,4,FALSE))</f>
        <v>44.222109392472248</v>
      </c>
      <c r="L4" s="4">
        <f>(VLOOKUP('9.0.10'!T4,'9.0.10'!$AM$4:$AP$55,4,FALSE))</f>
        <v>44.222109392472248</v>
      </c>
      <c r="M4" s="4">
        <f>(VLOOKUP('9.0.10'!U4,'9.0.10'!$AM$4:$AP$55,4,FALSE))</f>
        <v>44.222109392472248</v>
      </c>
      <c r="N4" s="4">
        <f>(VLOOKUP('9.0.10'!V4,'9.0.10'!$AM$4:$AP$55,4,FALSE))</f>
        <v>44.222109392472248</v>
      </c>
      <c r="O4" s="4">
        <f>(VLOOKUP('9.0.10'!W4,'9.0.10'!$AM$4:$AP$55,4,FALSE))</f>
        <v>0</v>
      </c>
      <c r="P4" s="4">
        <f>(VLOOKUP('9.0.10'!X4,'9.0.10'!$AM$4:$AP$55,4,FALSE))</f>
        <v>0</v>
      </c>
      <c r="Q4" s="4">
        <f>(VLOOKUP('9.0.10'!Y4,'9.0.10'!$AM$4:$AP$55,4,FALSE))</f>
        <v>39.110982162825422</v>
      </c>
      <c r="R4" s="4">
        <f>(VLOOKUP('9.0.10'!Z4,'9.0.10'!$AM$4:$AP$55,4,FALSE))</f>
        <v>0</v>
      </c>
      <c r="S4" s="4">
        <f>(VLOOKUP('9.0.10'!AA4,'9.0.10'!$AM$4:$AP$55,4,FALSE))</f>
        <v>39.110982162825422</v>
      </c>
      <c r="T4" s="4">
        <f>(VLOOKUP('9.0.10'!AB4,'9.0.10'!$AM$4:$AP$55,4,FALSE))</f>
        <v>34</v>
      </c>
      <c r="U4" s="4">
        <f>(VLOOKUP('9.0.10'!AC4,'9.0.10'!$AM$4:$AP$55,4,FALSE))</f>
        <v>34</v>
      </c>
      <c r="V4" s="4">
        <f>(VLOOKUP('9.0.10'!AD4,'9.0.10'!$AM$4:$AP$55,4,FALSE))</f>
        <v>0</v>
      </c>
      <c r="W4" s="4">
        <f>(VLOOKUP('9.0.10'!AE4,'9.0.10'!$AM$4:$AP$55,4,FALSE))</f>
        <v>34</v>
      </c>
      <c r="X4" s="4">
        <f>(VLOOKUP('9.0.10'!AF4,'9.0.10'!$AM$4:$AP$55,4,FALSE))</f>
        <v>0</v>
      </c>
    </row>
    <row r="5" spans="1:24">
      <c r="A5" s="4">
        <f>(VLOOKUP('9.0.10'!I5,'9.0.10'!$AM$4:$AP$55,4,FALSE))</f>
        <v>0</v>
      </c>
      <c r="B5" s="4">
        <f>(VLOOKUP('9.0.10'!J5,'9.0.10'!$AM$4:$AP$55,4,FALSE))</f>
        <v>0</v>
      </c>
      <c r="C5" s="4">
        <f>(VLOOKUP('9.0.10'!K5,'9.0.10'!$AM$4:$AP$55,4,FALSE))</f>
        <v>0</v>
      </c>
      <c r="D5" s="4">
        <f>(VLOOKUP('9.0.10'!L5,'9.0.10'!$AM$4:$AP$55,4,FALSE))</f>
        <v>0</v>
      </c>
      <c r="E5" s="4">
        <f>(VLOOKUP('9.0.10'!M5,'9.0.10'!$AM$4:$AP$55,4,FALSE))</f>
        <v>0</v>
      </c>
      <c r="F5" s="4">
        <f>(VLOOKUP('9.0.10'!N5,'9.0.10'!$AM$4:$AP$55,4,FALSE))</f>
        <v>0</v>
      </c>
      <c r="G5" s="4">
        <f>(VLOOKUP('9.0.10'!O5,'9.0.10'!$AM$4:$AP$55,4,FALSE))</f>
        <v>0</v>
      </c>
      <c r="H5" s="4">
        <f>(VLOOKUP('9.0.10'!P5,'9.0.10'!$AM$4:$AP$55,4,FALSE))</f>
        <v>0</v>
      </c>
      <c r="I5" s="4">
        <f>(VLOOKUP('9.0.10'!Q5,'9.0.10'!$AM$4:$AP$55,4,FALSE))</f>
        <v>34</v>
      </c>
      <c r="J5" s="4">
        <f>(VLOOKUP('9.0.10'!R5,'9.0.10'!$AM$4:$AP$55,4,FALSE))</f>
        <v>34</v>
      </c>
      <c r="K5" s="4">
        <f>(VLOOKUP('9.0.10'!S5,'9.0.10'!$AM$4:$AP$55,4,FALSE))</f>
        <v>34</v>
      </c>
      <c r="L5" s="4">
        <f>(VLOOKUP('9.0.10'!T5,'9.0.10'!$AM$4:$AP$55,4,FALSE))</f>
        <v>34</v>
      </c>
      <c r="M5" s="4">
        <f>(VLOOKUP('9.0.10'!U5,'9.0.10'!$AM$4:$AP$55,4,FALSE))</f>
        <v>10</v>
      </c>
      <c r="N5" s="4">
        <f>(VLOOKUP('9.0.10'!V5,'9.0.10'!$AM$4:$AP$55,4,FALSE))</f>
        <v>34</v>
      </c>
      <c r="O5" s="4">
        <f>(VLOOKUP('9.0.10'!W5,'9.0.10'!$AM$4:$AP$55,4,FALSE))</f>
        <v>0</v>
      </c>
      <c r="P5" s="4">
        <f>(VLOOKUP('9.0.10'!X5,'9.0.10'!$AM$4:$AP$55,4,FALSE))</f>
        <v>0</v>
      </c>
      <c r="Q5" s="4">
        <f>(VLOOKUP('9.0.10'!Y5,'9.0.10'!$AM$4:$AP$55,4,FALSE))</f>
        <v>34</v>
      </c>
      <c r="R5" s="4">
        <f>(VLOOKUP('9.0.10'!Z5,'9.0.10'!$AM$4:$AP$55,4,FALSE))</f>
        <v>10</v>
      </c>
      <c r="S5" s="4">
        <f>(VLOOKUP('9.0.10'!AA5,'9.0.10'!$AM$4:$AP$55,4,FALSE))</f>
        <v>39.110982162825422</v>
      </c>
      <c r="T5" s="4">
        <f>(VLOOKUP('9.0.10'!AB5,'9.0.10'!$AM$4:$AP$55,4,FALSE))</f>
        <v>10</v>
      </c>
      <c r="U5" s="4">
        <f>(VLOOKUP('9.0.10'!AC5,'9.0.10'!$AM$4:$AP$55,4,FALSE))</f>
        <v>44.222109392472248</v>
      </c>
      <c r="V5" s="4">
        <f>(VLOOKUP('9.0.10'!AD5,'9.0.10'!$AM$4:$AP$55,4,FALSE))</f>
        <v>44.222109392472248</v>
      </c>
      <c r="W5" s="4">
        <f>(VLOOKUP('9.0.10'!AE5,'9.0.10'!$AM$4:$AP$55,4,FALSE))</f>
        <v>44.222109392472248</v>
      </c>
      <c r="X5" s="4">
        <f>(VLOOKUP('9.0.10'!AF5,'9.0.10'!$AM$4:$AP$55,4,FALSE))</f>
        <v>44.222109392472248</v>
      </c>
    </row>
    <row r="6" spans="1:24">
      <c r="A6" s="4">
        <f>(VLOOKUP('9.0.10'!I6,'9.0.10'!$AM$4:$AP$55,4,FALSE))</f>
        <v>0</v>
      </c>
      <c r="B6" s="4">
        <f>(VLOOKUP('9.0.10'!J6,'9.0.10'!$AM$4:$AP$55,4,FALSE))</f>
        <v>0</v>
      </c>
      <c r="C6" s="4">
        <f>(VLOOKUP('9.0.10'!K6,'9.0.10'!$AM$4:$AP$55,4,FALSE))</f>
        <v>0</v>
      </c>
      <c r="D6" s="4">
        <f>(VLOOKUP('9.0.10'!L6,'9.0.10'!$AM$4:$AP$55,4,FALSE))</f>
        <v>0</v>
      </c>
      <c r="E6" s="4">
        <f>(VLOOKUP('9.0.10'!M6,'9.0.10'!$AM$4:$AP$55,4,FALSE))</f>
        <v>0</v>
      </c>
      <c r="F6" s="4">
        <f>(VLOOKUP('9.0.10'!N6,'9.0.10'!$AM$4:$AP$55,4,FALSE))</f>
        <v>0</v>
      </c>
      <c r="G6" s="4">
        <f>(VLOOKUP('9.0.10'!O6,'9.0.10'!$AM$4:$AP$55,4,FALSE))</f>
        <v>0</v>
      </c>
      <c r="H6" s="4">
        <f>(VLOOKUP('9.0.10'!P6,'9.0.10'!$AM$4:$AP$55,4,FALSE))</f>
        <v>0</v>
      </c>
      <c r="I6" s="4">
        <f>(VLOOKUP('9.0.10'!Q6,'9.0.10'!$AM$4:$AP$55,4,FALSE))</f>
        <v>0</v>
      </c>
      <c r="J6" s="4">
        <f>(VLOOKUP('9.0.10'!R6,'9.0.10'!$AM$4:$AP$55,4,FALSE))</f>
        <v>34</v>
      </c>
      <c r="K6" s="4">
        <f>(VLOOKUP('9.0.10'!S6,'9.0.10'!$AM$4:$AP$55,4,FALSE))</f>
        <v>39.110982162825422</v>
      </c>
      <c r="L6" s="4">
        <f>(VLOOKUP('9.0.10'!T6,'9.0.10'!$AM$4:$AP$55,4,FALSE))</f>
        <v>39.110982162825422</v>
      </c>
      <c r="M6" s="4">
        <f>(VLOOKUP('9.0.10'!U6,'9.0.10'!$AM$4:$AP$55,4,FALSE))</f>
        <v>39.110982162825422</v>
      </c>
      <c r="N6" s="4">
        <f>(VLOOKUP('9.0.10'!V6,'9.0.10'!$AM$4:$AP$55,4,FALSE))</f>
        <v>39.110982162825422</v>
      </c>
      <c r="O6" s="4">
        <f>(VLOOKUP('9.0.10'!W6,'9.0.10'!$AM$4:$AP$55,4,FALSE))</f>
        <v>0</v>
      </c>
      <c r="P6" s="4">
        <f>(VLOOKUP('9.0.10'!X6,'9.0.10'!$AM$4:$AP$55,4,FALSE))</f>
        <v>0</v>
      </c>
      <c r="Q6" s="4">
        <f>(VLOOKUP('9.0.10'!Y6,'9.0.10'!$AM$4:$AP$55,4,FALSE))</f>
        <v>10</v>
      </c>
      <c r="R6" s="4">
        <f>(VLOOKUP('9.0.10'!Z6,'9.0.10'!$AM$4:$AP$55,4,FALSE))</f>
        <v>39.110982162825422</v>
      </c>
      <c r="S6" s="4">
        <f>(VLOOKUP('9.0.10'!AA6,'9.0.10'!$AM$4:$AP$55,4,FALSE))</f>
        <v>39.110982162825422</v>
      </c>
      <c r="T6" s="4">
        <f>(VLOOKUP('9.0.10'!AB6,'9.0.10'!$AM$4:$AP$55,4,FALSE))</f>
        <v>39.110982162825422</v>
      </c>
      <c r="U6" s="4">
        <f>(VLOOKUP('9.0.10'!AC6,'9.0.10'!$AM$4:$AP$55,4,FALSE))</f>
        <v>10</v>
      </c>
      <c r="V6" s="4">
        <f>(VLOOKUP('9.0.10'!AD6,'9.0.10'!$AM$4:$AP$55,4,FALSE))</f>
        <v>39.110982162825422</v>
      </c>
      <c r="W6" s="4">
        <f>(VLOOKUP('9.0.10'!AE6,'9.0.10'!$AM$4:$AP$55,4,FALSE))</f>
        <v>39.110982162825422</v>
      </c>
      <c r="X6" s="4">
        <f>(VLOOKUP('9.0.10'!AF6,'9.0.10'!$AM$4:$AP$55,4,FALSE))</f>
        <v>34</v>
      </c>
    </row>
    <row r="7" spans="1:24">
      <c r="A7" s="4">
        <f>(VLOOKUP('9.0.10'!I7,'9.0.10'!$AM$4:$AP$55,4,FALSE))</f>
        <v>0</v>
      </c>
      <c r="B7" s="4">
        <f>(VLOOKUP('9.0.10'!J7,'9.0.10'!$AM$4:$AP$55,4,FALSE))</f>
        <v>0</v>
      </c>
      <c r="C7" s="4">
        <f>(VLOOKUP('9.0.10'!K7,'9.0.10'!$AM$4:$AP$55,4,FALSE))</f>
        <v>0</v>
      </c>
      <c r="D7" s="4">
        <f>(VLOOKUP('9.0.10'!L7,'9.0.10'!$AM$4:$AP$55,4,FALSE))</f>
        <v>0</v>
      </c>
      <c r="E7" s="4">
        <f>(VLOOKUP('9.0.10'!M7,'9.0.10'!$AM$4:$AP$55,4,FALSE))</f>
        <v>0</v>
      </c>
      <c r="F7" s="4">
        <f>(VLOOKUP('9.0.10'!N7,'9.0.10'!$AM$4:$AP$55,4,FALSE))</f>
        <v>0</v>
      </c>
      <c r="G7" s="4">
        <f>(VLOOKUP('9.0.10'!O7,'9.0.10'!$AM$4:$AP$55,4,FALSE))</f>
        <v>0</v>
      </c>
      <c r="H7" s="4">
        <f>(VLOOKUP('9.0.10'!P7,'9.0.10'!$AM$4:$AP$55,4,FALSE))</f>
        <v>0</v>
      </c>
      <c r="I7" s="4">
        <f>(VLOOKUP('9.0.10'!Q7,'9.0.10'!$AM$4:$AP$55,4,FALSE))</f>
        <v>39.110982162825422</v>
      </c>
      <c r="J7" s="4">
        <f>(VLOOKUP('9.0.10'!R7,'9.0.10'!$AM$4:$AP$55,4,FALSE))</f>
        <v>39.110982162825422</v>
      </c>
      <c r="K7" s="4">
        <f>(VLOOKUP('9.0.10'!S7,'9.0.10'!$AM$4:$AP$55,4,FALSE))</f>
        <v>10</v>
      </c>
      <c r="L7" s="4">
        <f>(VLOOKUP('9.0.10'!T7,'9.0.10'!$AM$4:$AP$55,4,FALSE))</f>
        <v>39.110982162825422</v>
      </c>
      <c r="M7" s="4">
        <f>(VLOOKUP('9.0.10'!U7,'9.0.10'!$AM$4:$AP$55,4,FALSE))</f>
        <v>39.110982162825422</v>
      </c>
      <c r="N7" s="4">
        <f>(VLOOKUP('9.0.10'!V7,'9.0.10'!$AM$4:$AP$55,4,FALSE))</f>
        <v>39.110982162825422</v>
      </c>
      <c r="O7" s="4">
        <f>(VLOOKUP('9.0.10'!W7,'9.0.10'!$AM$4:$AP$55,4,FALSE))</f>
        <v>0</v>
      </c>
      <c r="P7" s="4">
        <f>(VLOOKUP('9.0.10'!X7,'9.0.10'!$AM$4:$AP$55,4,FALSE))</f>
        <v>0</v>
      </c>
      <c r="Q7" s="4">
        <f>(VLOOKUP('9.0.10'!Y7,'9.0.10'!$AM$4:$AP$55,4,FALSE))</f>
        <v>34</v>
      </c>
      <c r="R7" s="4">
        <f>(VLOOKUP('9.0.10'!Z7,'9.0.10'!$AM$4:$AP$55,4,FALSE))</f>
        <v>34</v>
      </c>
      <c r="S7" s="4">
        <f>(VLOOKUP('9.0.10'!AA7,'9.0.10'!$AM$4:$AP$55,4,FALSE))</f>
        <v>34</v>
      </c>
      <c r="T7" s="4">
        <f>(VLOOKUP('9.0.10'!AB7,'9.0.10'!$AM$4:$AP$55,4,FALSE))</f>
        <v>34</v>
      </c>
      <c r="U7" s="4">
        <f>(VLOOKUP('9.0.10'!AC7,'9.0.10'!$AM$4:$AP$55,4,FALSE))</f>
        <v>0</v>
      </c>
      <c r="V7" s="4">
        <f>(VLOOKUP('9.0.10'!AD7,'9.0.10'!$AM$4:$AP$55,4,FALSE))</f>
        <v>39.110982162825422</v>
      </c>
      <c r="W7" s="4">
        <f>(VLOOKUP('9.0.10'!AE7,'9.0.10'!$AM$4:$AP$55,4,FALSE))</f>
        <v>0</v>
      </c>
      <c r="X7" s="4">
        <f>(VLOOKUP('9.0.10'!AF7,'9.0.10'!$AM$4:$AP$55,4,FALSE))</f>
        <v>0</v>
      </c>
    </row>
    <row r="8" spans="1:24">
      <c r="A8" s="4">
        <f>(VLOOKUP('9.0.10'!I8,'9.0.10'!$AM$4:$AP$55,4,FALSE))</f>
        <v>0</v>
      </c>
      <c r="B8" s="4">
        <f>(VLOOKUP('9.0.10'!J8,'9.0.10'!$AM$4:$AP$55,4,FALSE))</f>
        <v>0</v>
      </c>
      <c r="C8" s="4">
        <f>(VLOOKUP('9.0.10'!K8,'9.0.10'!$AM$4:$AP$55,4,FALSE))</f>
        <v>0</v>
      </c>
      <c r="D8" s="4">
        <f>(VLOOKUP('9.0.10'!L8,'9.0.10'!$AM$4:$AP$55,4,FALSE))</f>
        <v>0</v>
      </c>
      <c r="E8" s="4">
        <f>(VLOOKUP('9.0.10'!M8,'9.0.10'!$AM$4:$AP$55,4,FALSE))</f>
        <v>0</v>
      </c>
      <c r="F8" s="4">
        <f>(VLOOKUP('9.0.10'!N8,'9.0.10'!$AM$4:$AP$55,4,FALSE))</f>
        <v>0</v>
      </c>
      <c r="G8" s="4">
        <f>(VLOOKUP('9.0.10'!O8,'9.0.10'!$AM$4:$AP$55,4,FALSE))</f>
        <v>0</v>
      </c>
      <c r="H8" s="4">
        <f>(VLOOKUP('9.0.10'!P8,'9.0.10'!$AM$4:$AP$55,4,FALSE))</f>
        <v>0</v>
      </c>
      <c r="I8" s="4">
        <f>(VLOOKUP('9.0.10'!Q8,'9.0.10'!$AM$4:$AP$55,4,FALSE))</f>
        <v>39.110982162825422</v>
      </c>
      <c r="J8" s="4">
        <f>(VLOOKUP('9.0.10'!R8,'9.0.10'!$AM$4:$AP$55,4,FALSE))</f>
        <v>10</v>
      </c>
      <c r="K8" s="4">
        <f>(VLOOKUP('9.0.10'!S8,'9.0.10'!$AM$4:$AP$55,4,FALSE))</f>
        <v>39.110982162825422</v>
      </c>
      <c r="L8" s="4">
        <f>(VLOOKUP('9.0.10'!T8,'9.0.10'!$AM$4:$AP$55,4,FALSE))</f>
        <v>34</v>
      </c>
      <c r="M8" s="4">
        <f>(VLOOKUP('9.0.10'!U8,'9.0.10'!$AM$4:$AP$55,4,FALSE))</f>
        <v>44.222109392472248</v>
      </c>
      <c r="N8" s="4">
        <f>(VLOOKUP('9.0.10'!V8,'9.0.10'!$AM$4:$AP$55,4,FALSE))</f>
        <v>34</v>
      </c>
      <c r="O8" s="4">
        <f>(VLOOKUP('9.0.10'!W8,'9.0.10'!$AM$4:$AP$55,4,FALSE))</f>
        <v>0</v>
      </c>
      <c r="P8" s="4">
        <f>(VLOOKUP('9.0.10'!X8,'9.0.10'!$AM$4:$AP$55,4,FALSE))</f>
        <v>0</v>
      </c>
      <c r="Q8" s="4">
        <f>(VLOOKUP('9.0.10'!Y8,'9.0.10'!$AM$4:$AP$55,4,FALSE))</f>
        <v>39.110982162825422</v>
      </c>
      <c r="R8" s="4">
        <f>(VLOOKUP('9.0.10'!Z8,'9.0.10'!$AM$4:$AP$55,4,FALSE))</f>
        <v>39.110982162825422</v>
      </c>
      <c r="S8" s="4">
        <f>(VLOOKUP('9.0.10'!AA8,'9.0.10'!$AM$4:$AP$55,4,FALSE))</f>
        <v>10</v>
      </c>
      <c r="T8" s="4">
        <f>(VLOOKUP('9.0.10'!AB8,'9.0.10'!$AM$4:$AP$55,4,FALSE))</f>
        <v>39.110982162825422</v>
      </c>
      <c r="U8" s="4">
        <f>(VLOOKUP('9.0.10'!AC8,'9.0.10'!$AM$4:$AP$55,4,FALSE))</f>
        <v>39.110982162825422</v>
      </c>
      <c r="V8" s="4">
        <f>(VLOOKUP('9.0.10'!AD8,'9.0.10'!$AM$4:$AP$55,4,FALSE))</f>
        <v>34</v>
      </c>
      <c r="W8" s="4">
        <f>(VLOOKUP('9.0.10'!AE8,'9.0.10'!$AM$4:$AP$55,4,FALSE))</f>
        <v>0</v>
      </c>
      <c r="X8" s="4">
        <f>(VLOOKUP('9.0.10'!AF8,'9.0.10'!$AM$4:$AP$55,4,FALSE))</f>
        <v>0</v>
      </c>
    </row>
    <row r="9" spans="1:24">
      <c r="A9" s="4">
        <f>(VLOOKUP('9.0.10'!I9,'9.0.10'!$AM$4:$AP$55,4,FALSE))</f>
        <v>0</v>
      </c>
      <c r="B9" s="4">
        <f>(VLOOKUP('9.0.10'!J9,'9.0.10'!$AM$4:$AP$55,4,FALSE))</f>
        <v>0</v>
      </c>
      <c r="C9" s="4">
        <f>(VLOOKUP('9.0.10'!K9,'9.0.10'!$AM$4:$AP$55,4,FALSE))</f>
        <v>0</v>
      </c>
      <c r="D9" s="4">
        <f>(VLOOKUP('9.0.10'!L9,'9.0.10'!$AM$4:$AP$55,4,FALSE))</f>
        <v>0</v>
      </c>
      <c r="E9" s="4">
        <f>(VLOOKUP('9.0.10'!M9,'9.0.10'!$AM$4:$AP$55,4,FALSE))</f>
        <v>0</v>
      </c>
      <c r="F9" s="4">
        <f>(VLOOKUP('9.0.10'!N9,'9.0.10'!$AM$4:$AP$55,4,FALSE))</f>
        <v>0</v>
      </c>
      <c r="G9" s="4">
        <f>(VLOOKUP('9.0.10'!O9,'9.0.10'!$AM$4:$AP$55,4,FALSE))</f>
        <v>0</v>
      </c>
      <c r="H9" s="4">
        <f>(VLOOKUP('9.0.10'!P9,'9.0.10'!$AM$4:$AP$55,4,FALSE))</f>
        <v>0</v>
      </c>
      <c r="I9" s="4">
        <f>(VLOOKUP('9.0.10'!Q9,'9.0.10'!$AM$4:$AP$55,4,FALSE))</f>
        <v>0</v>
      </c>
      <c r="J9" s="4">
        <f>(VLOOKUP('9.0.10'!R9,'9.0.10'!$AM$4:$AP$55,4,FALSE))</f>
        <v>34</v>
      </c>
      <c r="K9" s="4">
        <f>(VLOOKUP('9.0.10'!S9,'9.0.10'!$AM$4:$AP$55,4,FALSE))</f>
        <v>34</v>
      </c>
      <c r="L9" s="4">
        <f>(VLOOKUP('9.0.10'!T9,'9.0.10'!$AM$4:$AP$55,4,FALSE))</f>
        <v>34</v>
      </c>
      <c r="M9" s="4">
        <f>(VLOOKUP('9.0.10'!U9,'9.0.10'!$AM$4:$AP$55,4,FALSE))</f>
        <v>0</v>
      </c>
      <c r="N9" s="4">
        <f>(VLOOKUP('9.0.10'!V9,'9.0.10'!$AM$4:$AP$55,4,FALSE))</f>
        <v>34</v>
      </c>
      <c r="O9" s="4">
        <f>(VLOOKUP('9.0.10'!W9,'9.0.10'!$AM$4:$AP$55,4,FALSE))</f>
        <v>0</v>
      </c>
      <c r="P9" s="4">
        <f>(VLOOKUP('9.0.10'!X9,'9.0.10'!$AM$4:$AP$55,4,FALSE))</f>
        <v>0</v>
      </c>
      <c r="Q9" s="4">
        <f>(VLOOKUP('9.0.10'!Y9,'9.0.10'!$AM$4:$AP$55,4,FALSE))</f>
        <v>34</v>
      </c>
      <c r="R9" s="4">
        <f>(VLOOKUP('9.0.10'!Z9,'9.0.10'!$AM$4:$AP$55,4,FALSE))</f>
        <v>29.110982162825422</v>
      </c>
      <c r="S9" s="4">
        <f>(VLOOKUP('9.0.10'!AA9,'9.0.10'!$AM$4:$AP$55,4,FALSE))</f>
        <v>34</v>
      </c>
      <c r="T9" s="4">
        <f>(VLOOKUP('9.0.10'!AB9,'9.0.10'!$AM$4:$AP$55,4,FALSE))</f>
        <v>0</v>
      </c>
      <c r="U9" s="4">
        <f>(VLOOKUP('9.0.10'!AC9,'9.0.10'!$AM$4:$AP$55,4,FALSE))</f>
        <v>34</v>
      </c>
      <c r="V9" s="4">
        <f>(VLOOKUP('9.0.10'!AD9,'9.0.10'!$AM$4:$AP$55,4,FALSE))</f>
        <v>34</v>
      </c>
      <c r="W9" s="4">
        <f>(VLOOKUP('9.0.10'!AE9,'9.0.10'!$AM$4:$AP$55,4,FALSE))</f>
        <v>0</v>
      </c>
      <c r="X9" s="4">
        <f>(VLOOKUP('9.0.10'!AF9,'9.0.10'!$AM$4:$AP$55,4,FALSE))</f>
        <v>0</v>
      </c>
    </row>
    <row r="10" spans="1:24">
      <c r="A10" s="4">
        <f>(VLOOKUP('9.0.10'!I10,'9.0.10'!$AM$4:$AP$55,4,FALSE))</f>
        <v>0</v>
      </c>
      <c r="B10" s="4">
        <f>(VLOOKUP('9.0.10'!J10,'9.0.10'!$AM$4:$AP$55,4,FALSE))</f>
        <v>0</v>
      </c>
      <c r="C10" s="4">
        <f>(VLOOKUP('9.0.10'!K10,'9.0.10'!$AM$4:$AP$55,4,FALSE))</f>
        <v>0</v>
      </c>
      <c r="D10" s="4">
        <f>(VLOOKUP('9.0.10'!L10,'9.0.10'!$AM$4:$AP$55,4,FALSE))</f>
        <v>0</v>
      </c>
      <c r="E10" s="4">
        <f>(VLOOKUP('9.0.10'!M10,'9.0.10'!$AM$4:$AP$55,4,FALSE))</f>
        <v>0</v>
      </c>
      <c r="F10" s="4">
        <f>(VLOOKUP('9.0.10'!N10,'9.0.10'!$AM$4:$AP$55,4,FALSE))</f>
        <v>0</v>
      </c>
      <c r="G10" s="4">
        <f>(VLOOKUP('9.0.10'!O10,'9.0.10'!$AM$4:$AP$55,4,FALSE))</f>
        <v>0</v>
      </c>
      <c r="H10" s="4">
        <f>(VLOOKUP('9.0.10'!P10,'9.0.10'!$AM$4:$AP$55,4,FALSE))</f>
        <v>0</v>
      </c>
      <c r="I10" s="4">
        <f>(VLOOKUP('9.0.10'!Q10,'9.0.10'!$AM$4:$AP$55,4,FALSE))</f>
        <v>39.110982162825422</v>
      </c>
      <c r="J10" s="4">
        <f>(VLOOKUP('9.0.10'!R10,'9.0.10'!$AM$4:$AP$55,4,FALSE))</f>
        <v>39.110982162825422</v>
      </c>
      <c r="K10" s="4">
        <f>(VLOOKUP('9.0.10'!S10,'9.0.10'!$AM$4:$AP$55,4,FALSE))</f>
        <v>39.110982162825422</v>
      </c>
      <c r="L10" s="4">
        <f>(VLOOKUP('9.0.10'!T10,'9.0.10'!$AM$4:$AP$55,4,FALSE))</f>
        <v>39.110982162825422</v>
      </c>
      <c r="M10" s="4">
        <f>(VLOOKUP('9.0.10'!U10,'9.0.10'!$AM$4:$AP$55,4,FALSE))</f>
        <v>34</v>
      </c>
      <c r="N10" s="4">
        <f>(VLOOKUP('9.0.10'!V10,'9.0.10'!$AM$4:$AP$55,4,FALSE))</f>
        <v>34</v>
      </c>
      <c r="O10" s="4">
        <f>(VLOOKUP('9.0.10'!W10,'9.0.10'!$AM$4:$AP$55,4,FALSE))</f>
        <v>0</v>
      </c>
      <c r="P10" s="4">
        <f>(VLOOKUP('9.0.10'!X10,'9.0.10'!$AM$4:$AP$55,4,FALSE))</f>
        <v>0</v>
      </c>
      <c r="Q10" s="4">
        <f>(VLOOKUP('9.0.10'!Y10,'9.0.10'!$AM$4:$AP$55,4,FALSE))</f>
        <v>34</v>
      </c>
      <c r="R10" s="4">
        <f>(VLOOKUP('9.0.10'!Z10,'9.0.10'!$AM$4:$AP$55,4,FALSE))</f>
        <v>34</v>
      </c>
      <c r="S10" s="4">
        <f>(VLOOKUP('9.0.10'!AA10,'9.0.10'!$AM$4:$AP$55,4,FALSE))</f>
        <v>10</v>
      </c>
      <c r="T10" s="4">
        <f>(VLOOKUP('9.0.10'!AB10,'9.0.10'!$AM$4:$AP$55,4,FALSE))</f>
        <v>34</v>
      </c>
      <c r="U10" s="4">
        <f>(VLOOKUP('9.0.10'!AC10,'9.0.10'!$AM$4:$AP$55,4,FALSE))</f>
        <v>34</v>
      </c>
      <c r="V10" s="4">
        <f>(VLOOKUP('9.0.10'!AD10,'9.0.10'!$AM$4:$AP$55,4,FALSE))</f>
        <v>0</v>
      </c>
      <c r="W10" s="4">
        <f>(VLOOKUP('9.0.10'!AE10,'9.0.10'!$AM$4:$AP$55,4,FALSE))</f>
        <v>0</v>
      </c>
      <c r="X10" s="4">
        <f>(VLOOKUP('9.0.10'!AF10,'9.0.10'!$AM$4:$AP$55,4,FALSE))</f>
        <v>0</v>
      </c>
    </row>
    <row r="11" spans="1:24">
      <c r="A11" s="4">
        <f>(VLOOKUP('9.0.10'!I11,'9.0.10'!$AM$4:$AP$55,4,FALSE))</f>
        <v>0</v>
      </c>
      <c r="B11" s="4">
        <f>(VLOOKUP('9.0.10'!J11,'9.0.10'!$AM$4:$AP$55,4,FALSE))</f>
        <v>0</v>
      </c>
      <c r="C11" s="4">
        <f>(VLOOKUP('9.0.10'!K11,'9.0.10'!$AM$4:$AP$55,4,FALSE))</f>
        <v>0</v>
      </c>
      <c r="D11" s="4">
        <f>(VLOOKUP('9.0.10'!L11,'9.0.10'!$AM$4:$AP$55,4,FALSE))</f>
        <v>0</v>
      </c>
      <c r="E11" s="4">
        <f>(VLOOKUP('9.0.10'!M11,'9.0.10'!$AM$4:$AP$55,4,FALSE))</f>
        <v>0</v>
      </c>
      <c r="F11" s="4">
        <f>(VLOOKUP('9.0.10'!N11,'9.0.10'!$AM$4:$AP$55,4,FALSE))</f>
        <v>0</v>
      </c>
      <c r="G11" s="4">
        <f>(VLOOKUP('9.0.10'!O11,'9.0.10'!$AM$4:$AP$55,4,FALSE))</f>
        <v>0</v>
      </c>
      <c r="H11" s="4">
        <f>(VLOOKUP('9.0.10'!P11,'9.0.10'!$AM$4:$AP$55,4,FALSE))</f>
        <v>0</v>
      </c>
      <c r="I11" s="4">
        <f>(VLOOKUP('9.0.10'!Q11,'9.0.10'!$AM$4:$AP$55,4,FALSE))</f>
        <v>34</v>
      </c>
      <c r="J11" s="4">
        <f>(VLOOKUP('9.0.10'!R11,'9.0.10'!$AM$4:$AP$55,4,FALSE))</f>
        <v>0</v>
      </c>
      <c r="K11" s="4">
        <f>(VLOOKUP('9.0.10'!S11,'9.0.10'!$AM$4:$AP$55,4,FALSE))</f>
        <v>34</v>
      </c>
      <c r="L11" s="4">
        <f>(VLOOKUP('9.0.10'!T11,'9.0.10'!$AM$4:$AP$55,4,FALSE))</f>
        <v>34</v>
      </c>
      <c r="M11" s="4">
        <f>(VLOOKUP('9.0.10'!U11,'9.0.10'!$AM$4:$AP$55,4,FALSE))</f>
        <v>34</v>
      </c>
      <c r="N11" s="4">
        <f>(VLOOKUP('9.0.10'!V11,'9.0.10'!$AM$4:$AP$55,4,FALSE))</f>
        <v>29.110982162825422</v>
      </c>
      <c r="O11" s="4">
        <f>(VLOOKUP('9.0.10'!W11,'9.0.10'!$AM$4:$AP$55,4,FALSE))</f>
        <v>0</v>
      </c>
      <c r="P11" s="4">
        <f>(VLOOKUP('9.0.10'!X11,'9.0.10'!$AM$4:$AP$55,4,FALSE))</f>
        <v>0</v>
      </c>
      <c r="Q11" s="4">
        <f>(VLOOKUP('9.0.10'!Y11,'9.0.10'!$AM$4:$AP$55,4,FALSE))</f>
        <v>0</v>
      </c>
      <c r="R11" s="4">
        <f>(VLOOKUP('9.0.10'!Z11,'9.0.10'!$AM$4:$AP$55,4,FALSE))</f>
        <v>0</v>
      </c>
      <c r="S11" s="4">
        <f>(VLOOKUP('9.0.10'!AA11,'9.0.10'!$AM$4:$AP$55,4,FALSE))</f>
        <v>0</v>
      </c>
      <c r="T11" s="4">
        <f>(VLOOKUP('9.0.10'!AB11,'9.0.10'!$AM$4:$AP$55,4,FALSE))</f>
        <v>0</v>
      </c>
      <c r="U11" s="4">
        <f>(VLOOKUP('9.0.10'!AC11,'9.0.10'!$AM$4:$AP$55,4,FALSE))</f>
        <v>0</v>
      </c>
      <c r="V11" s="4">
        <f>(VLOOKUP('9.0.10'!AD11,'9.0.10'!$AM$4:$AP$55,4,FALSE))</f>
        <v>0</v>
      </c>
      <c r="W11" s="4">
        <f>(VLOOKUP('9.0.10'!AE11,'9.0.10'!$AM$4:$AP$55,4,FALSE))</f>
        <v>0</v>
      </c>
      <c r="X11" s="4">
        <f>(VLOOKUP('9.0.10'!AF11,'9.0.10'!$AM$4:$AP$55,4,FALSE))</f>
        <v>0</v>
      </c>
    </row>
    <row r="12" spans="1:24">
      <c r="A12" s="4">
        <f>(VLOOKUP('9.0.10'!I12,'9.0.10'!$AM$4:$AP$55,4,FALSE))</f>
        <v>0</v>
      </c>
      <c r="B12" s="4">
        <f>(VLOOKUP('9.0.10'!J12,'9.0.10'!$AM$4:$AP$55,4,FALSE))</f>
        <v>0</v>
      </c>
      <c r="C12" s="4">
        <f>(VLOOKUP('9.0.10'!K12,'9.0.10'!$AM$4:$AP$55,4,FALSE))</f>
        <v>0</v>
      </c>
      <c r="D12" s="4">
        <f>(VLOOKUP('9.0.10'!L12,'9.0.10'!$AM$4:$AP$55,4,FALSE))</f>
        <v>0</v>
      </c>
      <c r="E12" s="4">
        <f>(VLOOKUP('9.0.10'!M12,'9.0.10'!$AM$4:$AP$55,4,FALSE))</f>
        <v>0</v>
      </c>
      <c r="F12" s="4">
        <f>(VLOOKUP('9.0.10'!N12,'9.0.10'!$AM$4:$AP$55,4,FALSE))</f>
        <v>0</v>
      </c>
      <c r="G12" s="4">
        <f>(VLOOKUP('9.0.10'!O12,'9.0.10'!$AM$4:$AP$55,4,FALSE))</f>
        <v>0</v>
      </c>
      <c r="H12" s="4">
        <f>(VLOOKUP('9.0.10'!P12,'9.0.10'!$AM$4:$AP$55,4,FALSE))</f>
        <v>0</v>
      </c>
      <c r="I12" s="4">
        <f>(VLOOKUP('9.0.10'!Q12,'9.0.10'!$AM$4:$AP$55,4,FALSE))</f>
        <v>34</v>
      </c>
      <c r="J12" s="4">
        <f>(VLOOKUP('9.0.10'!R12,'9.0.10'!$AM$4:$AP$55,4,FALSE))</f>
        <v>34</v>
      </c>
      <c r="K12" s="4">
        <f>(VLOOKUP('9.0.10'!S12,'9.0.10'!$AM$4:$AP$55,4,FALSE))</f>
        <v>10</v>
      </c>
      <c r="L12" s="4">
        <f>(VLOOKUP('9.0.10'!T12,'9.0.10'!$AM$4:$AP$55,4,FALSE))</f>
        <v>34</v>
      </c>
      <c r="M12" s="4">
        <f>(VLOOKUP('9.0.10'!U12,'9.0.10'!$AM$4:$AP$55,4,FALSE))</f>
        <v>34</v>
      </c>
      <c r="N12" s="4">
        <f>(VLOOKUP('9.0.10'!V12,'9.0.10'!$AM$4:$AP$55,4,FALSE))</f>
        <v>34</v>
      </c>
      <c r="O12" s="4">
        <f>(VLOOKUP('9.0.10'!W12,'9.0.10'!$AM$4:$AP$55,4,FALSE))</f>
        <v>0</v>
      </c>
      <c r="P12" s="4">
        <f>(VLOOKUP('9.0.10'!X12,'9.0.10'!$AM$4:$AP$55,4,FALSE))</f>
        <v>0</v>
      </c>
      <c r="Q12" s="4">
        <f>(VLOOKUP('9.0.10'!Y12,'9.0.10'!$AM$4:$AP$55,4,FALSE))</f>
        <v>34</v>
      </c>
      <c r="R12" s="4">
        <f>(VLOOKUP('9.0.10'!Z12,'9.0.10'!$AM$4:$AP$55,4,FALSE))</f>
        <v>34</v>
      </c>
      <c r="S12" s="4">
        <f>(VLOOKUP('9.0.10'!AA12,'9.0.10'!$AM$4:$AP$55,4,FALSE))</f>
        <v>34</v>
      </c>
      <c r="T12" s="4">
        <f>(VLOOKUP('9.0.10'!AB12,'9.0.10'!$AM$4:$AP$55,4,FALSE))</f>
        <v>34</v>
      </c>
      <c r="U12" s="4">
        <f>(VLOOKUP('9.0.10'!AC12,'9.0.10'!$AM$4:$AP$55,4,FALSE))</f>
        <v>34</v>
      </c>
      <c r="V12" s="4">
        <f>(VLOOKUP('9.0.10'!AD12,'9.0.10'!$AM$4:$AP$55,4,FALSE))</f>
        <v>34</v>
      </c>
      <c r="W12" s="4">
        <f>(VLOOKUP('9.0.10'!AE12,'9.0.10'!$AM$4:$AP$55,4,FALSE))</f>
        <v>0</v>
      </c>
      <c r="X12" s="4">
        <f>(VLOOKUP('9.0.10'!AF12,'9.0.10'!$AM$4:$AP$55,4,FALSE))</f>
        <v>0</v>
      </c>
    </row>
    <row r="13" spans="1:24">
      <c r="A13" s="4">
        <f>(VLOOKUP('9.0.10'!I13,'9.0.10'!$AM$4:$AP$55,4,FALSE))</f>
        <v>0</v>
      </c>
      <c r="B13" s="4">
        <f>(VLOOKUP('9.0.10'!J13,'9.0.10'!$AM$4:$AP$55,4,FALSE))</f>
        <v>0</v>
      </c>
      <c r="C13" s="4">
        <f>(VLOOKUP('9.0.10'!K13,'9.0.10'!$AM$4:$AP$55,4,FALSE))</f>
        <v>0</v>
      </c>
      <c r="D13" s="4">
        <f>(VLOOKUP('9.0.10'!L13,'9.0.10'!$AM$4:$AP$55,4,FALSE))</f>
        <v>0</v>
      </c>
      <c r="E13" s="4">
        <f>(VLOOKUP('9.0.10'!M13,'9.0.10'!$AM$4:$AP$55,4,FALSE))</f>
        <v>0</v>
      </c>
      <c r="F13" s="4">
        <f>(VLOOKUP('9.0.10'!N13,'9.0.10'!$AM$4:$AP$55,4,FALSE))</f>
        <v>0</v>
      </c>
      <c r="G13" s="4">
        <f>(VLOOKUP('9.0.10'!O13,'9.0.10'!$AM$4:$AP$55,4,FALSE))</f>
        <v>0</v>
      </c>
      <c r="H13" s="4">
        <f>(VLOOKUP('9.0.10'!P13,'9.0.10'!$AM$4:$AP$55,4,FALSE))</f>
        <v>0</v>
      </c>
      <c r="I13" s="4">
        <f>(VLOOKUP('9.0.10'!Q13,'9.0.10'!$AM$4:$AP$55,4,FALSE))</f>
        <v>34</v>
      </c>
      <c r="J13" s="4">
        <f>(VLOOKUP('9.0.10'!R13,'9.0.10'!$AM$4:$AP$55,4,FALSE))</f>
        <v>34</v>
      </c>
      <c r="K13" s="4">
        <f>(VLOOKUP('9.0.10'!S13,'9.0.10'!$AM$4:$AP$55,4,FALSE))</f>
        <v>34</v>
      </c>
      <c r="L13" s="4">
        <f>(VLOOKUP('9.0.10'!T13,'9.0.10'!$AM$4:$AP$55,4,FALSE))</f>
        <v>34</v>
      </c>
      <c r="M13" s="4">
        <f>(VLOOKUP('9.0.10'!U13,'9.0.10'!$AM$4:$AP$55,4,FALSE))</f>
        <v>34</v>
      </c>
      <c r="N13" s="4">
        <f>(VLOOKUP('9.0.10'!V13,'9.0.10'!$AM$4:$AP$55,4,FALSE))</f>
        <v>0</v>
      </c>
      <c r="O13" s="4">
        <f>(VLOOKUP('9.0.10'!W13,'9.0.10'!$AM$4:$AP$55,4,FALSE))</f>
        <v>0</v>
      </c>
      <c r="P13" s="4">
        <f>(VLOOKUP('9.0.10'!X13,'9.0.10'!$AM$4:$AP$55,4,FALSE))</f>
        <v>0</v>
      </c>
      <c r="Q13" s="4">
        <f>(VLOOKUP('9.0.10'!Y13,'9.0.10'!$AM$4:$AP$55,4,FALSE))</f>
        <v>34</v>
      </c>
      <c r="R13" s="4">
        <f>(VLOOKUP('9.0.10'!Z13,'9.0.10'!$AM$4:$AP$55,4,FALSE))</f>
        <v>34</v>
      </c>
      <c r="S13" s="4">
        <f>(VLOOKUP('9.0.10'!AA13,'9.0.10'!$AM$4:$AP$55,4,FALSE))</f>
        <v>34</v>
      </c>
      <c r="T13" s="4">
        <f>(VLOOKUP('9.0.10'!AB13,'9.0.10'!$AM$4:$AP$55,4,FALSE))</f>
        <v>34</v>
      </c>
      <c r="U13" s="4">
        <f>(VLOOKUP('9.0.10'!AC13,'9.0.10'!$AM$4:$AP$55,4,FALSE))</f>
        <v>34</v>
      </c>
      <c r="V13" s="4">
        <f>(VLOOKUP('9.0.10'!AD13,'9.0.10'!$AM$4:$AP$55,4,FALSE))</f>
        <v>34</v>
      </c>
      <c r="W13" s="4">
        <f>(VLOOKUP('9.0.10'!AE13,'9.0.10'!$AM$4:$AP$55,4,FALSE))</f>
        <v>0</v>
      </c>
      <c r="X13" s="4">
        <f>(VLOOKUP('9.0.10'!AF13,'9.0.10'!$AM$4:$AP$55,4,FALSE))</f>
        <v>0</v>
      </c>
    </row>
    <row r="14" spans="1:24">
      <c r="A14" s="4">
        <f>(VLOOKUP('9.0.10'!I14,'9.0.10'!$AM$4:$AP$55,4,FALSE))</f>
        <v>0</v>
      </c>
      <c r="B14" s="4">
        <f>(VLOOKUP('9.0.10'!J14,'9.0.10'!$AM$4:$AP$55,4,FALSE))</f>
        <v>0</v>
      </c>
      <c r="C14" s="4">
        <f>(VLOOKUP('9.0.10'!K14,'9.0.10'!$AM$4:$AP$55,4,FALSE))</f>
        <v>0</v>
      </c>
      <c r="D14" s="4">
        <f>(VLOOKUP('9.0.10'!L14,'9.0.10'!$AM$4:$AP$55,4,FALSE))</f>
        <v>0</v>
      </c>
      <c r="E14" s="4">
        <f>(VLOOKUP('9.0.10'!M14,'9.0.10'!$AM$4:$AP$55,4,FALSE))</f>
        <v>0</v>
      </c>
      <c r="F14" s="4">
        <f>(VLOOKUP('9.0.10'!N14,'9.0.10'!$AM$4:$AP$55,4,FALSE))</f>
        <v>0</v>
      </c>
      <c r="G14" s="4">
        <f>(VLOOKUP('9.0.10'!O14,'9.0.10'!$AM$4:$AP$55,4,FALSE))</f>
        <v>0</v>
      </c>
      <c r="H14" s="4">
        <f>(VLOOKUP('9.0.10'!P14,'9.0.10'!$AM$4:$AP$55,4,FALSE))</f>
        <v>0</v>
      </c>
      <c r="I14" s="4">
        <f>(VLOOKUP('9.0.10'!Q14,'9.0.10'!$AM$4:$AP$55,4,FALSE))</f>
        <v>10</v>
      </c>
      <c r="J14" s="4">
        <f>(VLOOKUP('9.0.10'!R14,'9.0.10'!$AM$4:$AP$55,4,FALSE))</f>
        <v>34</v>
      </c>
      <c r="K14" s="4">
        <f>(VLOOKUP('9.0.10'!S14,'9.0.10'!$AM$4:$AP$55,4,FALSE))</f>
        <v>34</v>
      </c>
      <c r="L14" s="4">
        <f>(VLOOKUP('9.0.10'!T14,'9.0.10'!$AM$4:$AP$55,4,FALSE))</f>
        <v>34</v>
      </c>
      <c r="M14" s="4">
        <f>(VLOOKUP('9.0.10'!U14,'9.0.10'!$AM$4:$AP$55,4,FALSE))</f>
        <v>34</v>
      </c>
      <c r="N14" s="4">
        <f>(VLOOKUP('9.0.10'!V14,'9.0.10'!$AM$4:$AP$55,4,FALSE))</f>
        <v>0</v>
      </c>
      <c r="O14" s="4">
        <f>(VLOOKUP('9.0.10'!W14,'9.0.10'!$AM$4:$AP$55,4,FALSE))</f>
        <v>0</v>
      </c>
      <c r="P14" s="4">
        <f>(VLOOKUP('9.0.10'!X14,'9.0.10'!$AM$4:$AP$55,4,FALSE))</f>
        <v>0</v>
      </c>
      <c r="Q14" s="4">
        <f>(VLOOKUP('9.0.10'!Y14,'9.0.10'!$AM$4:$AP$55,4,FALSE))</f>
        <v>34</v>
      </c>
      <c r="R14" s="4">
        <f>(VLOOKUP('9.0.10'!Z14,'9.0.10'!$AM$4:$AP$55,4,FALSE))</f>
        <v>34</v>
      </c>
      <c r="S14" s="4">
        <f>(VLOOKUP('9.0.10'!AA14,'9.0.10'!$AM$4:$AP$55,4,FALSE))</f>
        <v>34</v>
      </c>
      <c r="T14" s="4">
        <f>(VLOOKUP('9.0.10'!AB14,'9.0.10'!$AM$4:$AP$55,4,FALSE))</f>
        <v>34</v>
      </c>
      <c r="U14" s="4">
        <f>(VLOOKUP('9.0.10'!AC14,'9.0.10'!$AM$4:$AP$55,4,FALSE))</f>
        <v>34</v>
      </c>
      <c r="V14" s="4">
        <f>(VLOOKUP('9.0.10'!AD14,'9.0.10'!$AM$4:$AP$55,4,FALSE))</f>
        <v>34</v>
      </c>
      <c r="W14" s="4">
        <f>(VLOOKUP('9.0.10'!AE14,'9.0.10'!$AM$4:$AP$55,4,FALSE))</f>
        <v>0</v>
      </c>
      <c r="X14" s="4">
        <f>(VLOOKUP('9.0.10'!AF14,'9.0.10'!$AM$4:$AP$55,4,FALSE))</f>
        <v>0</v>
      </c>
    </row>
    <row r="15" spans="1:24">
      <c r="A15" s="4">
        <f>(VLOOKUP('9.0.10'!I15,'9.0.10'!$AM$4:$AP$55,4,FALSE))</f>
        <v>0</v>
      </c>
      <c r="B15" s="4">
        <f>(VLOOKUP('9.0.10'!J15,'9.0.10'!$AM$4:$AP$55,4,FALSE))</f>
        <v>0</v>
      </c>
      <c r="C15" s="4">
        <f>(VLOOKUP('9.0.10'!K15,'9.0.10'!$AM$4:$AP$55,4,FALSE))</f>
        <v>0</v>
      </c>
      <c r="D15" s="4">
        <f>(VLOOKUP('9.0.10'!L15,'9.0.10'!$AM$4:$AP$55,4,FALSE))</f>
        <v>0</v>
      </c>
      <c r="E15" s="4">
        <f>(VLOOKUP('9.0.10'!M15,'9.0.10'!$AM$4:$AP$55,4,FALSE))</f>
        <v>0</v>
      </c>
      <c r="F15" s="4">
        <f>(VLOOKUP('9.0.10'!N15,'9.0.10'!$AM$4:$AP$55,4,FALSE))</f>
        <v>0</v>
      </c>
      <c r="G15" s="4">
        <f>(VLOOKUP('9.0.10'!O15,'9.0.10'!$AM$4:$AP$55,4,FALSE))</f>
        <v>0</v>
      </c>
      <c r="H15" s="4">
        <f>(VLOOKUP('9.0.10'!P15,'9.0.10'!$AM$4:$AP$55,4,FALSE))</f>
        <v>0</v>
      </c>
      <c r="I15" s="4">
        <f>(VLOOKUP('9.0.10'!Q15,'9.0.10'!$AM$4:$AP$55,4,FALSE))</f>
        <v>34</v>
      </c>
      <c r="J15" s="4">
        <f>(VLOOKUP('9.0.10'!R15,'9.0.10'!$AM$4:$AP$55,4,FALSE))</f>
        <v>34</v>
      </c>
      <c r="K15" s="4">
        <f>(VLOOKUP('9.0.10'!S15,'9.0.10'!$AM$4:$AP$55,4,FALSE))</f>
        <v>34</v>
      </c>
      <c r="L15" s="4">
        <f>(VLOOKUP('9.0.10'!T15,'9.0.10'!$AM$4:$AP$55,4,FALSE))</f>
        <v>34</v>
      </c>
      <c r="M15" s="4">
        <f>(VLOOKUP('9.0.10'!U15,'9.0.10'!$AM$4:$AP$55,4,FALSE))</f>
        <v>34</v>
      </c>
      <c r="N15" s="4">
        <f>(VLOOKUP('9.0.10'!V15,'9.0.10'!$AM$4:$AP$55,4,FALSE))</f>
        <v>34</v>
      </c>
      <c r="O15" s="4">
        <f>(VLOOKUP('9.0.10'!W15,'9.0.10'!$AM$4:$AP$55,4,FALSE))</f>
        <v>0</v>
      </c>
      <c r="P15" s="4">
        <f>(VLOOKUP('9.0.10'!X15,'9.0.10'!$AM$4:$AP$55,4,FALSE))</f>
        <v>0</v>
      </c>
      <c r="Q15" s="4">
        <f>(VLOOKUP('9.0.10'!Y15,'9.0.10'!$AM$4:$AP$55,4,FALSE))</f>
        <v>34</v>
      </c>
      <c r="R15" s="4">
        <f>(VLOOKUP('9.0.10'!Z15,'9.0.10'!$AM$4:$AP$55,4,FALSE))</f>
        <v>34</v>
      </c>
      <c r="S15" s="4">
        <f>(VLOOKUP('9.0.10'!AA15,'9.0.10'!$AM$4:$AP$55,4,FALSE))</f>
        <v>10</v>
      </c>
      <c r="T15" s="4">
        <f>(VLOOKUP('9.0.10'!AB15,'9.0.10'!$AM$4:$AP$55,4,FALSE))</f>
        <v>34</v>
      </c>
      <c r="U15" s="4">
        <f>(VLOOKUP('9.0.10'!AC15,'9.0.10'!$AM$4:$AP$55,4,FALSE))</f>
        <v>34</v>
      </c>
      <c r="V15" s="4">
        <f>(VLOOKUP('9.0.10'!AD15,'9.0.10'!$AM$4:$AP$55,4,FALSE))</f>
        <v>34</v>
      </c>
      <c r="W15" s="4">
        <f>(VLOOKUP('9.0.10'!AE15,'9.0.10'!$AM$4:$AP$55,4,FALSE))</f>
        <v>0</v>
      </c>
      <c r="X15" s="4">
        <f>(VLOOKUP('9.0.10'!AF15,'9.0.10'!$AM$4:$AP$55,4,FALSE))</f>
        <v>0</v>
      </c>
    </row>
    <row r="16" spans="1:24">
      <c r="A16" s="4">
        <f>(VLOOKUP('9.0.10'!I16,'9.0.10'!$AM$4:$AP$55,4,FALSE))</f>
        <v>0</v>
      </c>
      <c r="B16" s="4">
        <f>(VLOOKUP('9.0.10'!J16,'9.0.10'!$AM$4:$AP$55,4,FALSE))</f>
        <v>0</v>
      </c>
      <c r="C16" s="4">
        <f>(VLOOKUP('9.0.10'!K16,'9.0.10'!$AM$4:$AP$55,4,FALSE))</f>
        <v>0</v>
      </c>
      <c r="D16" s="4">
        <f>(VLOOKUP('9.0.10'!L16,'9.0.10'!$AM$4:$AP$55,4,FALSE))</f>
        <v>0</v>
      </c>
      <c r="E16" s="4">
        <f>(VLOOKUP('9.0.10'!M16,'9.0.10'!$AM$4:$AP$55,4,FALSE))</f>
        <v>0</v>
      </c>
      <c r="F16" s="4">
        <f>(VLOOKUP('9.0.10'!N16,'9.0.10'!$AM$4:$AP$55,4,FALSE))</f>
        <v>0</v>
      </c>
      <c r="G16" s="4">
        <f>(VLOOKUP('9.0.10'!O16,'9.0.10'!$AM$4:$AP$55,4,FALSE))</f>
        <v>0</v>
      </c>
      <c r="H16" s="4">
        <f>(VLOOKUP('9.0.10'!P16,'9.0.10'!$AM$4:$AP$55,4,FALSE))</f>
        <v>0</v>
      </c>
      <c r="I16" s="4">
        <f>(VLOOKUP('9.0.10'!Q16,'9.0.10'!$AM$4:$AP$55,4,FALSE))</f>
        <v>34</v>
      </c>
      <c r="J16" s="4">
        <f>(VLOOKUP('9.0.10'!R16,'9.0.10'!$AM$4:$AP$55,4,FALSE))</f>
        <v>34</v>
      </c>
      <c r="K16" s="4">
        <f>(VLOOKUP('9.0.10'!S16,'9.0.10'!$AM$4:$AP$55,4,FALSE))</f>
        <v>0</v>
      </c>
      <c r="L16" s="4">
        <f>(VLOOKUP('9.0.10'!T16,'9.0.10'!$AM$4:$AP$55,4,FALSE))</f>
        <v>34</v>
      </c>
      <c r="M16" s="4">
        <f>(VLOOKUP('9.0.10'!U16,'9.0.10'!$AM$4:$AP$55,4,FALSE))</f>
        <v>10</v>
      </c>
      <c r="N16" s="4">
        <f>(VLOOKUP('9.0.10'!V16,'9.0.10'!$AM$4:$AP$55,4,FALSE))</f>
        <v>34</v>
      </c>
      <c r="O16" s="4">
        <f>(VLOOKUP('9.0.10'!W16,'9.0.10'!$AM$4:$AP$55,4,FALSE))</f>
        <v>34</v>
      </c>
      <c r="P16" s="4">
        <f>(VLOOKUP('9.0.10'!X16,'9.0.10'!$AM$4:$AP$55,4,FALSE))</f>
        <v>34</v>
      </c>
      <c r="Q16" s="4">
        <f>(VLOOKUP('9.0.10'!Y16,'9.0.10'!$AM$4:$AP$55,4,FALSE))</f>
        <v>34</v>
      </c>
      <c r="R16" s="4">
        <f>(VLOOKUP('9.0.10'!Z16,'9.0.10'!$AM$4:$AP$55,4,FALSE))</f>
        <v>34</v>
      </c>
      <c r="S16" s="4">
        <f>(VLOOKUP('9.0.10'!AA16,'9.0.10'!$AM$4:$AP$55,4,FALSE))</f>
        <v>34</v>
      </c>
      <c r="T16" s="4">
        <f>(VLOOKUP('9.0.10'!AB16,'9.0.10'!$AM$4:$AP$55,4,FALSE))</f>
        <v>34</v>
      </c>
      <c r="U16" s="4">
        <f>(VLOOKUP('9.0.10'!AC16,'9.0.10'!$AM$4:$AP$55,4,FALSE))</f>
        <v>34</v>
      </c>
      <c r="V16" s="4">
        <f>(VLOOKUP('9.0.10'!AD16,'9.0.10'!$AM$4:$AP$55,4,FALSE))</f>
        <v>34</v>
      </c>
      <c r="W16" s="4">
        <f>(VLOOKUP('9.0.10'!AE16,'9.0.10'!$AM$4:$AP$55,4,FALSE))</f>
        <v>0</v>
      </c>
      <c r="X16" s="4">
        <f>(VLOOKUP('9.0.10'!AF16,'9.0.10'!$AM$4:$AP$55,4,FALSE))</f>
        <v>0</v>
      </c>
    </row>
    <row r="17" spans="1:24">
      <c r="A17" s="4">
        <f>(VLOOKUP('9.0.10'!I17,'9.0.10'!$AM$4:$AP$55,4,FALSE))</f>
        <v>0</v>
      </c>
      <c r="B17" s="4">
        <f>(VLOOKUP('9.0.10'!J17,'9.0.10'!$AM$4:$AP$55,4,FALSE))</f>
        <v>0</v>
      </c>
      <c r="C17" s="4">
        <f>(VLOOKUP('9.0.10'!K17,'9.0.10'!$AM$4:$AP$55,4,FALSE))</f>
        <v>0</v>
      </c>
      <c r="D17" s="4">
        <f>(VLOOKUP('9.0.10'!L17,'9.0.10'!$AM$4:$AP$55,4,FALSE))</f>
        <v>0</v>
      </c>
      <c r="E17" s="4">
        <f>(VLOOKUP('9.0.10'!M17,'9.0.10'!$AM$4:$AP$55,4,FALSE))</f>
        <v>0</v>
      </c>
      <c r="F17" s="4">
        <f>(VLOOKUP('9.0.10'!N17,'9.0.10'!$AM$4:$AP$55,4,FALSE))</f>
        <v>0</v>
      </c>
      <c r="G17" s="4">
        <f>(VLOOKUP('9.0.10'!O17,'9.0.10'!$AM$4:$AP$55,4,FALSE))</f>
        <v>0</v>
      </c>
      <c r="H17" s="4">
        <f>(VLOOKUP('9.0.10'!P17,'9.0.10'!$AM$4:$AP$55,4,FALSE))</f>
        <v>0</v>
      </c>
      <c r="I17" s="4">
        <f>(VLOOKUP('9.0.10'!Q17,'9.0.10'!$AM$4:$AP$55,4,FALSE))</f>
        <v>34</v>
      </c>
      <c r="J17" s="4">
        <f>(VLOOKUP('9.0.10'!R17,'9.0.10'!$AM$4:$AP$55,4,FALSE))</f>
        <v>34</v>
      </c>
      <c r="K17" s="4">
        <f>(VLOOKUP('9.0.10'!S17,'9.0.10'!$AM$4:$AP$55,4,FALSE))</f>
        <v>13.999854933178597</v>
      </c>
      <c r="L17" s="4">
        <f>(VLOOKUP('9.0.10'!T17,'9.0.10'!$AM$4:$AP$55,4,FALSE))</f>
        <v>34</v>
      </c>
      <c r="M17" s="4">
        <f>(VLOOKUP('9.0.10'!U17,'9.0.10'!$AM$4:$AP$55,4,FALSE))</f>
        <v>34</v>
      </c>
      <c r="N17" s="4">
        <f>(VLOOKUP('9.0.10'!V17,'9.0.10'!$AM$4:$AP$55,4,FALSE))</f>
        <v>10</v>
      </c>
      <c r="O17" s="4">
        <f>(VLOOKUP('9.0.10'!W17,'9.0.10'!$AM$4:$AP$55,4,FALSE))</f>
        <v>0</v>
      </c>
      <c r="P17" s="4">
        <f>(VLOOKUP('9.0.10'!X17,'9.0.10'!$AM$4:$AP$55,4,FALSE))</f>
        <v>0</v>
      </c>
      <c r="Q17" s="4">
        <f>(VLOOKUP('9.0.10'!Y17,'9.0.10'!$AM$4:$AP$55,4,FALSE))</f>
        <v>34</v>
      </c>
      <c r="R17" s="4">
        <f>(VLOOKUP('9.0.10'!Z17,'9.0.10'!$AM$4:$AP$55,4,FALSE))</f>
        <v>34</v>
      </c>
      <c r="S17" s="4">
        <f>(VLOOKUP('9.0.10'!AA17,'9.0.10'!$AM$4:$AP$55,4,FALSE))</f>
        <v>34</v>
      </c>
      <c r="T17" s="4">
        <f>(VLOOKUP('9.0.10'!AB17,'9.0.10'!$AM$4:$AP$55,4,FALSE))</f>
        <v>34</v>
      </c>
      <c r="U17" s="4">
        <f>(VLOOKUP('9.0.10'!AC17,'9.0.10'!$AM$4:$AP$55,4,FALSE))</f>
        <v>34</v>
      </c>
      <c r="V17" s="4">
        <f>(VLOOKUP('9.0.10'!AD17,'9.0.10'!$AM$4:$AP$55,4,FALSE))</f>
        <v>34</v>
      </c>
      <c r="W17" s="4">
        <f>(VLOOKUP('9.0.10'!AE17,'9.0.10'!$AM$4:$AP$55,4,FALSE))</f>
        <v>0</v>
      </c>
      <c r="X17" s="4">
        <f>(VLOOKUP('9.0.10'!AF17,'9.0.10'!$AM$4:$AP$55,4,FALSE))</f>
        <v>0</v>
      </c>
    </row>
    <row r="18" spans="1:24">
      <c r="A18" s="4">
        <f>(VLOOKUP('9.0.10'!I18,'9.0.10'!$AM$4:$AP$55,4,FALSE))</f>
        <v>0</v>
      </c>
      <c r="B18" s="4">
        <f>(VLOOKUP('9.0.10'!J18,'9.0.10'!$AM$4:$AP$55,4,FALSE))</f>
        <v>0</v>
      </c>
      <c r="C18" s="4">
        <f>(VLOOKUP('9.0.10'!K18,'9.0.10'!$AM$4:$AP$55,4,FALSE))</f>
        <v>0</v>
      </c>
      <c r="D18" s="4">
        <f>(VLOOKUP('9.0.10'!L18,'9.0.10'!$AM$4:$AP$55,4,FALSE))</f>
        <v>0</v>
      </c>
      <c r="E18" s="4">
        <f>(VLOOKUP('9.0.10'!M18,'9.0.10'!$AM$4:$AP$55,4,FALSE))</f>
        <v>0</v>
      </c>
      <c r="F18" s="4">
        <f>(VLOOKUP('9.0.10'!N18,'9.0.10'!$AM$4:$AP$55,4,FALSE))</f>
        <v>0</v>
      </c>
      <c r="G18" s="4">
        <f>(VLOOKUP('9.0.10'!O18,'9.0.10'!$AM$4:$AP$55,4,FALSE))</f>
        <v>0</v>
      </c>
      <c r="H18" s="4">
        <f>(VLOOKUP('9.0.10'!P18,'9.0.10'!$AM$4:$AP$55,4,FALSE))</f>
        <v>0</v>
      </c>
      <c r="I18" s="4">
        <f>(VLOOKUP('9.0.10'!Q18,'9.0.10'!$AM$4:$AP$55,4,FALSE))</f>
        <v>34</v>
      </c>
      <c r="J18" s="4">
        <f>(VLOOKUP('9.0.10'!R18,'9.0.10'!$AM$4:$AP$55,4,FALSE))</f>
        <v>34</v>
      </c>
      <c r="K18" s="4">
        <f>(VLOOKUP('9.0.10'!S18,'9.0.10'!$AM$4:$AP$55,4,FALSE))</f>
        <v>36</v>
      </c>
      <c r="L18" s="4">
        <f>(VLOOKUP('9.0.10'!T18,'9.0.10'!$AM$4:$AP$55,4,FALSE))</f>
        <v>36</v>
      </c>
      <c r="M18" s="4">
        <f>(VLOOKUP('9.0.10'!U18,'9.0.10'!$AM$4:$AP$55,4,FALSE))</f>
        <v>36</v>
      </c>
      <c r="N18" s="4">
        <f>(VLOOKUP('9.0.10'!V18,'9.0.10'!$AM$4:$AP$55,4,FALSE))</f>
        <v>36</v>
      </c>
      <c r="O18" s="4">
        <f>(VLOOKUP('9.0.10'!W18,'9.0.10'!$AM$4:$AP$55,4,FALSE))</f>
        <v>0</v>
      </c>
      <c r="P18" s="4">
        <f>(VLOOKUP('9.0.10'!X18,'9.0.10'!$AM$4:$AP$55,4,FALSE))</f>
        <v>0</v>
      </c>
      <c r="Q18" s="4">
        <f>(VLOOKUP('9.0.10'!Y18,'9.0.10'!$AM$4:$AP$55,4,FALSE))</f>
        <v>34</v>
      </c>
      <c r="R18" s="4">
        <f>(VLOOKUP('9.0.10'!Z18,'9.0.10'!$AM$4:$AP$55,4,FALSE))</f>
        <v>34</v>
      </c>
      <c r="S18" s="4">
        <f>(VLOOKUP('9.0.10'!AA18,'9.0.10'!$AM$4:$AP$55,4,FALSE))</f>
        <v>34</v>
      </c>
      <c r="T18" s="4">
        <f>(VLOOKUP('9.0.10'!AB18,'9.0.10'!$AM$4:$AP$55,4,FALSE))</f>
        <v>10</v>
      </c>
      <c r="U18" s="4">
        <f>(VLOOKUP('9.0.10'!AC18,'9.0.10'!$AM$4:$AP$55,4,FALSE))</f>
        <v>34</v>
      </c>
      <c r="V18" s="4">
        <f>(VLOOKUP('9.0.10'!AD18,'9.0.10'!$AM$4:$AP$55,4,FALSE))</f>
        <v>34</v>
      </c>
      <c r="W18" s="4">
        <f>(VLOOKUP('9.0.10'!AE18,'9.0.10'!$AM$4:$AP$55,4,FALSE))</f>
        <v>0</v>
      </c>
      <c r="X18" s="4">
        <f>(VLOOKUP('9.0.10'!AF18,'9.0.10'!$AM$4:$AP$55,4,FALSE))</f>
        <v>0</v>
      </c>
    </row>
    <row r="19" spans="1:24">
      <c r="A19" s="4">
        <f>(VLOOKUP('9.0.10'!I19,'9.0.10'!$AM$4:$AP$55,4,FALSE))</f>
        <v>0</v>
      </c>
      <c r="B19" s="4">
        <f>(VLOOKUP('9.0.10'!J19,'9.0.10'!$AM$4:$AP$55,4,FALSE))</f>
        <v>0</v>
      </c>
      <c r="C19" s="4">
        <f>(VLOOKUP('9.0.10'!K19,'9.0.10'!$AM$4:$AP$55,4,FALSE))</f>
        <v>0</v>
      </c>
      <c r="D19" s="4">
        <f>(VLOOKUP('9.0.10'!L19,'9.0.10'!$AM$4:$AP$55,4,FALSE))</f>
        <v>0</v>
      </c>
      <c r="E19" s="4">
        <f>(VLOOKUP('9.0.10'!M19,'9.0.10'!$AM$4:$AP$55,4,FALSE))</f>
        <v>0</v>
      </c>
      <c r="F19" s="4">
        <f>(VLOOKUP('9.0.10'!N19,'9.0.10'!$AM$4:$AP$55,4,FALSE))</f>
        <v>0</v>
      </c>
      <c r="G19" s="4">
        <f>(VLOOKUP('9.0.10'!O19,'9.0.10'!$AM$4:$AP$55,4,FALSE))</f>
        <v>0</v>
      </c>
      <c r="H19" s="4">
        <f>(VLOOKUP('9.0.10'!P19,'9.0.10'!$AM$4:$AP$55,4,FALSE))</f>
        <v>0</v>
      </c>
      <c r="I19" s="4">
        <f>(VLOOKUP('9.0.10'!Q19,'9.0.10'!$AM$4:$AP$55,4,FALSE))</f>
        <v>36</v>
      </c>
      <c r="J19" s="4">
        <f>(VLOOKUP('9.0.10'!R19,'9.0.10'!$AM$4:$AP$55,4,FALSE))</f>
        <v>36</v>
      </c>
      <c r="K19" s="4">
        <f>(VLOOKUP('9.0.10'!S19,'9.0.10'!$AM$4:$AP$55,4,FALSE))</f>
        <v>36</v>
      </c>
      <c r="L19" s="4">
        <f>(VLOOKUP('9.0.10'!T19,'9.0.10'!$AM$4:$AP$55,4,FALSE))</f>
        <v>36</v>
      </c>
      <c r="M19" s="4">
        <f>(VLOOKUP('9.0.10'!U19,'9.0.10'!$AM$4:$AP$55,4,FALSE))</f>
        <v>36</v>
      </c>
      <c r="N19" s="4">
        <f>(VLOOKUP('9.0.10'!V19,'9.0.10'!$AM$4:$AP$55,4,FALSE))</f>
        <v>36</v>
      </c>
      <c r="O19" s="4">
        <f>(VLOOKUP('9.0.10'!W19,'9.0.10'!$AM$4:$AP$55,4,FALSE))</f>
        <v>0</v>
      </c>
      <c r="P19" s="4">
        <f>(VLOOKUP('9.0.10'!X19,'9.0.10'!$AM$4:$AP$55,4,FALSE))</f>
        <v>0</v>
      </c>
      <c r="Q19" s="4">
        <f>(VLOOKUP('9.0.10'!Y19,'9.0.10'!$AM$4:$AP$55,4,FALSE))</f>
        <v>34</v>
      </c>
      <c r="R19" s="4">
        <f>(VLOOKUP('9.0.10'!Z19,'9.0.10'!$AM$4:$AP$55,4,FALSE))</f>
        <v>34</v>
      </c>
      <c r="S19" s="4">
        <f>(VLOOKUP('9.0.10'!AA19,'9.0.10'!$AM$4:$AP$55,4,FALSE))</f>
        <v>34</v>
      </c>
      <c r="T19" s="4">
        <f>(VLOOKUP('9.0.10'!AB19,'9.0.10'!$AM$4:$AP$55,4,FALSE))</f>
        <v>34</v>
      </c>
      <c r="U19" s="4">
        <f>(VLOOKUP('9.0.10'!AC19,'9.0.10'!$AM$4:$AP$55,4,FALSE))</f>
        <v>34</v>
      </c>
      <c r="V19" s="4">
        <f>(VLOOKUP('9.0.10'!AD19,'9.0.10'!$AM$4:$AP$55,4,FALSE))</f>
        <v>34</v>
      </c>
      <c r="W19" s="4">
        <f>(VLOOKUP('9.0.10'!AE19,'9.0.10'!$AM$4:$AP$55,4,FALSE))</f>
        <v>0</v>
      </c>
      <c r="X19" s="4">
        <f>(VLOOKUP('9.0.10'!AF19,'9.0.10'!$AM$4:$AP$55,4,FALSE))</f>
        <v>0</v>
      </c>
    </row>
    <row r="20" spans="1:24">
      <c r="A20" s="4">
        <f>(VLOOKUP('9.0.10'!I20,'9.0.10'!$AM$4:$AP$55,4,FALSE))</f>
        <v>0</v>
      </c>
      <c r="B20" s="4">
        <f>(VLOOKUP('9.0.10'!J20,'9.0.10'!$AM$4:$AP$55,4,FALSE))</f>
        <v>0</v>
      </c>
      <c r="C20" s="4">
        <f>(VLOOKUP('9.0.10'!K20,'9.0.10'!$AM$4:$AP$55,4,FALSE))</f>
        <v>0</v>
      </c>
      <c r="D20" s="4">
        <f>(VLOOKUP('9.0.10'!L20,'9.0.10'!$AM$4:$AP$55,4,FALSE))</f>
        <v>0</v>
      </c>
      <c r="E20" s="4">
        <f>(VLOOKUP('9.0.10'!M20,'9.0.10'!$AM$4:$AP$55,4,FALSE))</f>
        <v>0</v>
      </c>
      <c r="F20" s="4">
        <f>(VLOOKUP('9.0.10'!N20,'9.0.10'!$AM$4:$AP$55,4,FALSE))</f>
        <v>0</v>
      </c>
      <c r="G20" s="4">
        <f>(VLOOKUP('9.0.10'!O20,'9.0.10'!$AM$4:$AP$55,4,FALSE))</f>
        <v>0</v>
      </c>
      <c r="H20" s="4">
        <f>(VLOOKUP('9.0.10'!P20,'9.0.10'!$AM$4:$AP$55,4,FALSE))</f>
        <v>0</v>
      </c>
      <c r="I20" s="4">
        <f>(VLOOKUP('9.0.10'!Q20,'9.0.10'!$AM$4:$AP$55,4,FALSE))</f>
        <v>36</v>
      </c>
      <c r="J20" s="4">
        <f>(VLOOKUP('9.0.10'!R20,'9.0.10'!$AM$4:$AP$55,4,FALSE))</f>
        <v>36</v>
      </c>
      <c r="K20" s="4">
        <f>(VLOOKUP('9.0.10'!S20,'9.0.10'!$AM$4:$AP$55,4,FALSE))</f>
        <v>36</v>
      </c>
      <c r="L20" s="4">
        <f>(VLOOKUP('9.0.10'!T20,'9.0.10'!$AM$4:$AP$55,4,FALSE))</f>
        <v>36</v>
      </c>
      <c r="M20" s="4">
        <f>(VLOOKUP('9.0.10'!U20,'9.0.10'!$AM$4:$AP$55,4,FALSE))</f>
        <v>36</v>
      </c>
      <c r="N20" s="4">
        <f>(VLOOKUP('9.0.10'!V20,'9.0.10'!$AM$4:$AP$55,4,FALSE))</f>
        <v>36</v>
      </c>
      <c r="O20" s="4">
        <f>(VLOOKUP('9.0.10'!W20,'9.0.10'!$AM$4:$AP$55,4,FALSE))</f>
        <v>0</v>
      </c>
      <c r="P20" s="4">
        <f>(VLOOKUP('9.0.10'!X20,'9.0.10'!$AM$4:$AP$55,4,FALSE))</f>
        <v>0</v>
      </c>
      <c r="Q20" s="4">
        <f>(VLOOKUP('9.0.10'!Y20,'9.0.10'!$AM$4:$AP$55,4,FALSE))</f>
        <v>34</v>
      </c>
      <c r="R20" s="4">
        <f>(VLOOKUP('9.0.10'!Z20,'9.0.10'!$AM$4:$AP$55,4,FALSE))</f>
        <v>34</v>
      </c>
      <c r="S20" s="4">
        <f>(VLOOKUP('9.0.10'!AA20,'9.0.10'!$AM$4:$AP$55,4,FALSE))</f>
        <v>34</v>
      </c>
      <c r="T20" s="4">
        <f>(VLOOKUP('9.0.10'!AB20,'9.0.10'!$AM$4:$AP$55,4,FALSE))</f>
        <v>10</v>
      </c>
      <c r="U20" s="4">
        <f>(VLOOKUP('9.0.10'!AC20,'9.0.10'!$AM$4:$AP$55,4,FALSE))</f>
        <v>34</v>
      </c>
      <c r="V20" s="4">
        <f>(VLOOKUP('9.0.10'!AD20,'9.0.10'!$AM$4:$AP$55,4,FALSE))</f>
        <v>34</v>
      </c>
      <c r="W20" s="4">
        <f>(VLOOKUP('9.0.10'!AE20,'9.0.10'!$AM$4:$AP$55,4,FALSE))</f>
        <v>0</v>
      </c>
      <c r="X20" s="4">
        <f>(VLOOKUP('9.0.10'!AF20,'9.0.10'!$AM$4:$AP$55,4,FALSE))</f>
        <v>0</v>
      </c>
    </row>
    <row r="21" spans="1:24">
      <c r="A21" s="4">
        <f>(VLOOKUP('9.0.10'!I21,'9.0.10'!$AM$4:$AP$55,4,FALSE))</f>
        <v>0</v>
      </c>
      <c r="B21" s="4">
        <f>(VLOOKUP('9.0.10'!J21,'9.0.10'!$AM$4:$AP$55,4,FALSE))</f>
        <v>0</v>
      </c>
      <c r="C21" s="4">
        <f>(VLOOKUP('9.0.10'!K21,'9.0.10'!$AM$4:$AP$55,4,FALSE))</f>
        <v>0</v>
      </c>
      <c r="D21" s="4">
        <f>(VLOOKUP('9.0.10'!L21,'9.0.10'!$AM$4:$AP$55,4,FALSE))</f>
        <v>0</v>
      </c>
      <c r="E21" s="4">
        <f>(VLOOKUP('9.0.10'!M21,'9.0.10'!$AM$4:$AP$55,4,FALSE))</f>
        <v>0</v>
      </c>
      <c r="F21" s="4">
        <f>(VLOOKUP('9.0.10'!N21,'9.0.10'!$AM$4:$AP$55,4,FALSE))</f>
        <v>0</v>
      </c>
      <c r="G21" s="4">
        <f>(VLOOKUP('9.0.10'!O21,'9.0.10'!$AM$4:$AP$55,4,FALSE))</f>
        <v>0</v>
      </c>
      <c r="H21" s="4">
        <f>(VLOOKUP('9.0.10'!P21,'9.0.10'!$AM$4:$AP$55,4,FALSE))</f>
        <v>0</v>
      </c>
      <c r="I21" s="4">
        <f>(VLOOKUP('9.0.10'!Q21,'9.0.10'!$AM$4:$AP$55,4,FALSE))</f>
        <v>36</v>
      </c>
      <c r="J21" s="4">
        <f>(VLOOKUP('9.0.10'!R21,'9.0.10'!$AM$4:$AP$55,4,FALSE))</f>
        <v>36</v>
      </c>
      <c r="K21" s="4">
        <f>(VLOOKUP('9.0.10'!S21,'9.0.10'!$AM$4:$AP$55,4,FALSE))</f>
        <v>36</v>
      </c>
      <c r="L21" s="4">
        <f>(VLOOKUP('9.0.10'!T21,'9.0.10'!$AM$4:$AP$55,4,FALSE))</f>
        <v>36</v>
      </c>
      <c r="M21" s="4">
        <f>(VLOOKUP('9.0.10'!U21,'9.0.10'!$AM$4:$AP$55,4,FALSE))</f>
        <v>36</v>
      </c>
      <c r="N21" s="4">
        <f>(VLOOKUP('9.0.10'!V21,'9.0.10'!$AM$4:$AP$55,4,FALSE))</f>
        <v>0</v>
      </c>
      <c r="O21" s="4">
        <f>(VLOOKUP('9.0.10'!W21,'9.0.10'!$AM$4:$AP$55,4,FALSE))</f>
        <v>36</v>
      </c>
      <c r="P21" s="4">
        <f>(VLOOKUP('9.0.10'!X21,'9.0.10'!$AM$4:$AP$55,4,FALSE))</f>
        <v>10</v>
      </c>
      <c r="Q21" s="4">
        <f>(VLOOKUP('9.0.10'!Y21,'9.0.10'!$AM$4:$AP$55,4,FALSE))</f>
        <v>34</v>
      </c>
      <c r="R21" s="4">
        <f>(VLOOKUP('9.0.10'!Z21,'9.0.10'!$AM$4:$AP$55,4,FALSE))</f>
        <v>34</v>
      </c>
      <c r="S21" s="4">
        <f>(VLOOKUP('9.0.10'!AA21,'9.0.10'!$AM$4:$AP$55,4,FALSE))</f>
        <v>34</v>
      </c>
      <c r="T21" s="4">
        <f>(VLOOKUP('9.0.10'!AB21,'9.0.10'!$AM$4:$AP$55,4,FALSE))</f>
        <v>34</v>
      </c>
      <c r="U21" s="4">
        <f>(VLOOKUP('9.0.10'!AC21,'9.0.10'!$AM$4:$AP$55,4,FALSE))</f>
        <v>34</v>
      </c>
      <c r="V21" s="4">
        <f>(VLOOKUP('9.0.10'!AD21,'9.0.10'!$AM$4:$AP$55,4,FALSE))</f>
        <v>34</v>
      </c>
      <c r="W21" s="4">
        <f>(VLOOKUP('9.0.10'!AE21,'9.0.10'!$AM$4:$AP$55,4,FALSE))</f>
        <v>0</v>
      </c>
      <c r="X21" s="4">
        <f>(VLOOKUP('9.0.10'!AF21,'9.0.10'!$AM$4:$AP$55,4,FALSE))</f>
        <v>0</v>
      </c>
    </row>
    <row r="22" spans="1:24">
      <c r="A22" s="4">
        <f>(VLOOKUP('9.0.10'!I22,'9.0.10'!$AM$4:$AP$55,4,FALSE))</f>
        <v>0</v>
      </c>
      <c r="B22" s="4">
        <f>(VLOOKUP('9.0.10'!J22,'9.0.10'!$AM$4:$AP$55,4,FALSE))</f>
        <v>0</v>
      </c>
      <c r="C22" s="4">
        <f>(VLOOKUP('9.0.10'!K22,'9.0.10'!$AM$4:$AP$55,4,FALSE))</f>
        <v>0</v>
      </c>
      <c r="D22" s="4">
        <f>(VLOOKUP('9.0.10'!L22,'9.0.10'!$AM$4:$AP$55,4,FALSE))</f>
        <v>0</v>
      </c>
      <c r="E22" s="4">
        <f>(VLOOKUP('9.0.10'!M22,'9.0.10'!$AM$4:$AP$55,4,FALSE))</f>
        <v>0</v>
      </c>
      <c r="F22" s="4">
        <f>(VLOOKUP('9.0.10'!N22,'9.0.10'!$AM$4:$AP$55,4,FALSE))</f>
        <v>0</v>
      </c>
      <c r="G22" s="4">
        <f>(VLOOKUP('9.0.10'!O22,'9.0.10'!$AM$4:$AP$55,4,FALSE))</f>
        <v>0</v>
      </c>
      <c r="H22" s="4">
        <f>(VLOOKUP('9.0.10'!P22,'9.0.10'!$AM$4:$AP$55,4,FALSE))</f>
        <v>0</v>
      </c>
      <c r="I22" s="4">
        <f>(VLOOKUP('9.0.10'!Q22,'9.0.10'!$AM$4:$AP$55,4,FALSE))</f>
        <v>36</v>
      </c>
      <c r="J22" s="4">
        <f>(VLOOKUP('9.0.10'!R22,'9.0.10'!$AM$4:$AP$55,4,FALSE))</f>
        <v>36</v>
      </c>
      <c r="K22" s="4">
        <f>(VLOOKUP('9.0.10'!S22,'9.0.10'!$AM$4:$AP$55,4,FALSE))</f>
        <v>36</v>
      </c>
      <c r="L22" s="4">
        <f>(VLOOKUP('9.0.10'!T22,'9.0.10'!$AM$4:$AP$55,4,FALSE))</f>
        <v>36</v>
      </c>
      <c r="M22" s="4">
        <f>(VLOOKUP('9.0.10'!U22,'9.0.10'!$AM$4:$AP$55,4,FALSE))</f>
        <v>36</v>
      </c>
      <c r="N22" s="4">
        <f>(VLOOKUP('9.0.10'!V22,'9.0.10'!$AM$4:$AP$55,4,FALSE))</f>
        <v>36</v>
      </c>
      <c r="O22" s="4">
        <f>(VLOOKUP('9.0.10'!W22,'9.0.10'!$AM$4:$AP$55,4,FALSE))</f>
        <v>0</v>
      </c>
      <c r="P22" s="4">
        <f>(VLOOKUP('9.0.10'!X22,'9.0.10'!$AM$4:$AP$55,4,FALSE))</f>
        <v>0</v>
      </c>
      <c r="Q22" s="4">
        <f>(VLOOKUP('9.0.10'!Y22,'9.0.10'!$AM$4:$AP$55,4,FALSE))</f>
        <v>34</v>
      </c>
      <c r="R22" s="4">
        <f>(VLOOKUP('9.0.10'!Z22,'9.0.10'!$AM$4:$AP$55,4,FALSE))</f>
        <v>34</v>
      </c>
      <c r="S22" s="4">
        <f>(VLOOKUP('9.0.10'!AA22,'9.0.10'!$AM$4:$AP$55,4,FALSE))</f>
        <v>34</v>
      </c>
      <c r="T22" s="4">
        <f>(VLOOKUP('9.0.10'!AB22,'9.0.10'!$AM$4:$AP$55,4,FALSE))</f>
        <v>34</v>
      </c>
      <c r="U22" s="4">
        <f>(VLOOKUP('9.0.10'!AC22,'9.0.10'!$AM$4:$AP$55,4,FALSE))</f>
        <v>34</v>
      </c>
      <c r="V22" s="4">
        <f>(VLOOKUP('9.0.10'!AD22,'9.0.10'!$AM$4:$AP$55,4,FALSE))</f>
        <v>34</v>
      </c>
      <c r="W22" s="4">
        <f>(VLOOKUP('9.0.10'!AE22,'9.0.10'!$AM$4:$AP$55,4,FALSE))</f>
        <v>0</v>
      </c>
      <c r="X22" s="4">
        <f>(VLOOKUP('9.0.10'!AF22,'9.0.10'!$AM$4:$AP$55,4,FALSE))</f>
        <v>0</v>
      </c>
    </row>
    <row r="23" spans="1:24">
      <c r="A23" s="4">
        <f>(VLOOKUP('9.0.10'!I23,'9.0.10'!$AM$4:$AP$55,4,FALSE))</f>
        <v>0</v>
      </c>
      <c r="B23" s="4">
        <f>(VLOOKUP('9.0.10'!J23,'9.0.10'!$AM$4:$AP$55,4,FALSE))</f>
        <v>0</v>
      </c>
      <c r="C23" s="4">
        <f>(VLOOKUP('9.0.10'!K23,'9.0.10'!$AM$4:$AP$55,4,FALSE))</f>
        <v>0</v>
      </c>
      <c r="D23" s="4">
        <f>(VLOOKUP('9.0.10'!L23,'9.0.10'!$AM$4:$AP$55,4,FALSE))</f>
        <v>0</v>
      </c>
      <c r="E23" s="4">
        <f>(VLOOKUP('9.0.10'!M23,'9.0.10'!$AM$4:$AP$55,4,FALSE))</f>
        <v>0</v>
      </c>
      <c r="F23" s="4">
        <f>(VLOOKUP('9.0.10'!N23,'9.0.10'!$AM$4:$AP$55,4,FALSE))</f>
        <v>0</v>
      </c>
      <c r="G23" s="4">
        <f>(VLOOKUP('9.0.10'!O23,'9.0.10'!$AM$4:$AP$55,4,FALSE))</f>
        <v>0</v>
      </c>
      <c r="H23" s="4">
        <f>(VLOOKUP('9.0.10'!P23,'9.0.10'!$AM$4:$AP$55,4,FALSE))</f>
        <v>0</v>
      </c>
      <c r="I23" s="4">
        <f>(VLOOKUP('9.0.10'!Q23,'9.0.10'!$AM$4:$AP$55,4,FALSE))</f>
        <v>36</v>
      </c>
      <c r="J23" s="4">
        <f>(VLOOKUP('9.0.10'!R23,'9.0.10'!$AM$4:$AP$55,4,FALSE))</f>
        <v>36</v>
      </c>
      <c r="K23" s="4">
        <f>(VLOOKUP('9.0.10'!S23,'9.0.10'!$AM$4:$AP$55,4,FALSE))</f>
        <v>36</v>
      </c>
      <c r="L23" s="4">
        <f>(VLOOKUP('9.0.10'!T23,'9.0.10'!$AM$4:$AP$55,4,FALSE))</f>
        <v>34</v>
      </c>
      <c r="M23" s="4">
        <f>(VLOOKUP('9.0.10'!U23,'9.0.10'!$AM$4:$AP$55,4,FALSE))</f>
        <v>34</v>
      </c>
      <c r="N23" s="4">
        <f>(VLOOKUP('9.0.10'!V23,'9.0.10'!$AM$4:$AP$55,4,FALSE))</f>
        <v>34</v>
      </c>
      <c r="O23" s="4">
        <f>(VLOOKUP('9.0.10'!W23,'9.0.10'!$AM$4:$AP$55,4,FALSE))</f>
        <v>0</v>
      </c>
      <c r="P23" s="4">
        <f>(VLOOKUP('9.0.10'!X23,'9.0.10'!$AM$4:$AP$55,4,FALSE))</f>
        <v>0</v>
      </c>
      <c r="Q23" s="4">
        <f>(VLOOKUP('9.0.10'!Y23,'9.0.10'!$AM$4:$AP$55,4,FALSE))</f>
        <v>34</v>
      </c>
      <c r="R23" s="4">
        <f>(VLOOKUP('9.0.10'!Z23,'9.0.10'!$AM$4:$AP$55,4,FALSE))</f>
        <v>34</v>
      </c>
      <c r="S23" s="4">
        <f>(VLOOKUP('9.0.10'!AA23,'9.0.10'!$AM$4:$AP$55,4,FALSE))</f>
        <v>34</v>
      </c>
      <c r="T23" s="4">
        <f>(VLOOKUP('9.0.10'!AB23,'9.0.10'!$AM$4:$AP$55,4,FALSE))</f>
        <v>34</v>
      </c>
      <c r="U23" s="4">
        <f>(VLOOKUP('9.0.10'!AC23,'9.0.10'!$AM$4:$AP$55,4,FALSE))</f>
        <v>34</v>
      </c>
      <c r="V23" s="4">
        <f>(VLOOKUP('9.0.10'!AD23,'9.0.10'!$AM$4:$AP$55,4,FALSE))</f>
        <v>34</v>
      </c>
      <c r="W23" s="4">
        <f>(VLOOKUP('9.0.10'!AE23,'9.0.10'!$AM$4:$AP$55,4,FALSE))</f>
        <v>0</v>
      </c>
      <c r="X23" s="4">
        <f>(VLOOKUP('9.0.10'!AF23,'9.0.10'!$AM$4:$AP$55,4,FALSE))</f>
        <v>0</v>
      </c>
    </row>
    <row r="24" spans="1:24">
      <c r="A24" s="4">
        <f>(VLOOKUP('9.0.10'!I24,'9.0.10'!$AM$4:$AP$55,4,FALSE))</f>
        <v>0</v>
      </c>
      <c r="B24" s="4">
        <f>(VLOOKUP('9.0.10'!J24,'9.0.10'!$AM$4:$AP$55,4,FALSE))</f>
        <v>0</v>
      </c>
      <c r="C24" s="4">
        <f>(VLOOKUP('9.0.10'!K24,'9.0.10'!$AM$4:$AP$55,4,FALSE))</f>
        <v>0</v>
      </c>
      <c r="D24" s="4">
        <f>(VLOOKUP('9.0.10'!L24,'9.0.10'!$AM$4:$AP$55,4,FALSE))</f>
        <v>0</v>
      </c>
      <c r="E24" s="4">
        <f>(VLOOKUP('9.0.10'!M24,'9.0.10'!$AM$4:$AP$55,4,FALSE))</f>
        <v>0</v>
      </c>
      <c r="F24" s="4">
        <f>(VLOOKUP('9.0.10'!N24,'9.0.10'!$AM$4:$AP$55,4,FALSE))</f>
        <v>0</v>
      </c>
      <c r="G24" s="4">
        <f>(VLOOKUP('9.0.10'!O24,'9.0.10'!$AM$4:$AP$55,4,FALSE))</f>
        <v>0</v>
      </c>
      <c r="H24" s="4">
        <f>(VLOOKUP('9.0.10'!P24,'9.0.10'!$AM$4:$AP$55,4,FALSE))</f>
        <v>0</v>
      </c>
      <c r="I24" s="4">
        <f>(VLOOKUP('9.0.10'!Q24,'9.0.10'!$AM$4:$AP$55,4,FALSE))</f>
        <v>34</v>
      </c>
      <c r="J24" s="4">
        <f>(VLOOKUP('9.0.10'!R24,'9.0.10'!$AM$4:$AP$55,4,FALSE))</f>
        <v>34</v>
      </c>
      <c r="K24" s="4">
        <f>(VLOOKUP('9.0.10'!S24,'9.0.10'!$AM$4:$AP$55,4,FALSE))</f>
        <v>10</v>
      </c>
      <c r="L24" s="4">
        <f>(VLOOKUP('9.0.10'!T24,'9.0.10'!$AM$4:$AP$55,4,FALSE))</f>
        <v>34</v>
      </c>
      <c r="M24" s="4">
        <f>(VLOOKUP('9.0.10'!U24,'9.0.10'!$AM$4:$AP$55,4,FALSE))</f>
        <v>34</v>
      </c>
      <c r="N24" s="4">
        <f>(VLOOKUP('9.0.10'!V24,'9.0.10'!$AM$4:$AP$55,4,FALSE))</f>
        <v>34</v>
      </c>
      <c r="O24" s="4">
        <f>(VLOOKUP('9.0.10'!W24,'9.0.10'!$AM$4:$AP$55,4,FALSE))</f>
        <v>0</v>
      </c>
      <c r="P24" s="4">
        <f>(VLOOKUP('9.0.10'!X24,'9.0.10'!$AM$4:$AP$55,4,FALSE))</f>
        <v>0</v>
      </c>
      <c r="Q24" s="4">
        <f>(VLOOKUP('9.0.10'!Y24,'9.0.10'!$AM$4:$AP$55,4,FALSE))</f>
        <v>13.999854933178597</v>
      </c>
      <c r="R24" s="4">
        <f>(VLOOKUP('9.0.10'!Z24,'9.0.10'!$AM$4:$AP$55,4,FALSE))</f>
        <v>34</v>
      </c>
      <c r="S24" s="4">
        <f>(VLOOKUP('9.0.10'!AA24,'9.0.10'!$AM$4:$AP$55,4,FALSE))</f>
        <v>34</v>
      </c>
      <c r="T24" s="4">
        <f>(VLOOKUP('9.0.10'!AB24,'9.0.10'!$AM$4:$AP$55,4,FALSE))</f>
        <v>34</v>
      </c>
      <c r="U24" s="4">
        <f>(VLOOKUP('9.0.10'!AC24,'9.0.10'!$AM$4:$AP$55,4,FALSE))</f>
        <v>34</v>
      </c>
      <c r="V24" s="4">
        <f>(VLOOKUP('9.0.10'!AD24,'9.0.10'!$AM$4:$AP$55,4,FALSE))</f>
        <v>34</v>
      </c>
      <c r="W24" s="4">
        <f>(VLOOKUP('9.0.10'!AE24,'9.0.10'!$AM$4:$AP$55,4,FALSE))</f>
        <v>0</v>
      </c>
      <c r="X24" s="4">
        <f>(VLOOKUP('9.0.10'!AF24,'9.0.10'!$AM$4:$AP$55,4,FALSE))</f>
        <v>0</v>
      </c>
    </row>
    <row r="25" spans="1:24">
      <c r="A25" s="4">
        <f>(VLOOKUP('9.0.10'!I25,'9.0.10'!$AM$4:$AP$55,4,FALSE))</f>
        <v>0</v>
      </c>
      <c r="B25" s="4">
        <f>(VLOOKUP('9.0.10'!J25,'9.0.10'!$AM$4:$AP$55,4,FALSE))</f>
        <v>0</v>
      </c>
      <c r="C25" s="4">
        <f>(VLOOKUP('9.0.10'!K25,'9.0.10'!$AM$4:$AP$55,4,FALSE))</f>
        <v>0</v>
      </c>
      <c r="D25" s="4">
        <f>(VLOOKUP('9.0.10'!L25,'9.0.10'!$AM$4:$AP$55,4,FALSE))</f>
        <v>0</v>
      </c>
      <c r="E25" s="4">
        <f>(VLOOKUP('9.0.10'!M25,'9.0.10'!$AM$4:$AP$55,4,FALSE))</f>
        <v>0</v>
      </c>
      <c r="F25" s="4">
        <f>(VLOOKUP('9.0.10'!N25,'9.0.10'!$AM$4:$AP$55,4,FALSE))</f>
        <v>0</v>
      </c>
      <c r="G25" s="4">
        <f>(VLOOKUP('9.0.10'!O25,'9.0.10'!$AM$4:$AP$55,4,FALSE))</f>
        <v>0</v>
      </c>
      <c r="H25" s="4">
        <f>(VLOOKUP('9.0.10'!P25,'9.0.10'!$AM$4:$AP$55,4,FALSE))</f>
        <v>0</v>
      </c>
      <c r="I25" s="4">
        <f>(VLOOKUP('9.0.10'!Q25,'9.0.10'!$AM$4:$AP$55,4,FALSE))</f>
        <v>34</v>
      </c>
      <c r="J25" s="4">
        <f>(VLOOKUP('9.0.10'!R25,'9.0.10'!$AM$4:$AP$55,4,FALSE))</f>
        <v>34</v>
      </c>
      <c r="K25" s="4">
        <f>(VLOOKUP('9.0.10'!S25,'9.0.10'!$AM$4:$AP$55,4,FALSE))</f>
        <v>34</v>
      </c>
      <c r="L25" s="4">
        <f>(VLOOKUP('9.0.10'!T25,'9.0.10'!$AM$4:$AP$55,4,FALSE))</f>
        <v>0</v>
      </c>
      <c r="M25" s="4">
        <f>(VLOOKUP('9.0.10'!U25,'9.0.10'!$AM$4:$AP$55,4,FALSE))</f>
        <v>36</v>
      </c>
      <c r="N25" s="4">
        <f>(VLOOKUP('9.0.10'!V25,'9.0.10'!$AM$4:$AP$55,4,FALSE))</f>
        <v>36</v>
      </c>
      <c r="O25" s="4">
        <f>(VLOOKUP('9.0.10'!W25,'9.0.10'!$AM$4:$AP$55,4,FALSE))</f>
        <v>36</v>
      </c>
      <c r="P25" s="4">
        <f>(VLOOKUP('9.0.10'!X25,'9.0.10'!$AM$4:$AP$55,4,FALSE))</f>
        <v>36</v>
      </c>
      <c r="Q25" s="4">
        <f>(VLOOKUP('9.0.10'!Y25,'9.0.10'!$AM$4:$AP$55,4,FALSE))</f>
        <v>10</v>
      </c>
      <c r="R25" s="4">
        <f>(VLOOKUP('9.0.10'!Z25,'9.0.10'!$AM$4:$AP$55,4,FALSE))</f>
        <v>34</v>
      </c>
      <c r="S25" s="4">
        <f>(VLOOKUP('9.0.10'!AA25,'9.0.10'!$AM$4:$AP$55,4,FALSE))</f>
        <v>34</v>
      </c>
      <c r="T25" s="4">
        <f>(VLOOKUP('9.0.10'!AB25,'9.0.10'!$AM$4:$AP$55,4,FALSE))</f>
        <v>34</v>
      </c>
      <c r="U25" s="4">
        <f>(VLOOKUP('9.0.10'!AC25,'9.0.10'!$AM$4:$AP$55,4,FALSE))</f>
        <v>39.110982162825422</v>
      </c>
      <c r="V25" s="4">
        <f>(VLOOKUP('9.0.10'!AD25,'9.0.10'!$AM$4:$AP$55,4,FALSE))</f>
        <v>39.110982162825422</v>
      </c>
      <c r="W25" s="4">
        <f>(VLOOKUP('9.0.10'!AE25,'9.0.10'!$AM$4:$AP$55,4,FALSE))</f>
        <v>0</v>
      </c>
      <c r="X25" s="4">
        <f>(VLOOKUP('9.0.10'!AF25,'9.0.10'!$AM$4:$AP$55,4,FALSE))</f>
        <v>0</v>
      </c>
    </row>
    <row r="26" spans="1:24">
      <c r="A26" s="4">
        <f>(VLOOKUP('9.0.10'!I26,'9.0.10'!$AM$4:$AP$55,4,FALSE))</f>
        <v>0</v>
      </c>
      <c r="B26" s="4">
        <f>(VLOOKUP('9.0.10'!J26,'9.0.10'!$AM$4:$AP$55,4,FALSE))</f>
        <v>0</v>
      </c>
      <c r="C26" s="4">
        <f>(VLOOKUP('9.0.10'!K26,'9.0.10'!$AM$4:$AP$55,4,FALSE))</f>
        <v>0</v>
      </c>
      <c r="D26" s="4">
        <f>(VLOOKUP('9.0.10'!L26,'9.0.10'!$AM$4:$AP$55,4,FALSE))</f>
        <v>0</v>
      </c>
      <c r="E26" s="4">
        <f>(VLOOKUP('9.0.10'!M26,'9.0.10'!$AM$4:$AP$55,4,FALSE))</f>
        <v>0</v>
      </c>
      <c r="F26" s="4">
        <f>(VLOOKUP('9.0.10'!N26,'9.0.10'!$AM$4:$AP$55,4,FALSE))</f>
        <v>0</v>
      </c>
      <c r="G26" s="4">
        <f>(VLOOKUP('9.0.10'!O26,'9.0.10'!$AM$4:$AP$55,4,FALSE))</f>
        <v>0</v>
      </c>
      <c r="H26" s="4">
        <f>(VLOOKUP('9.0.10'!P26,'9.0.10'!$AM$4:$AP$55,4,FALSE))</f>
        <v>0</v>
      </c>
      <c r="I26" s="4">
        <f>(VLOOKUP('9.0.10'!Q26,'9.0.10'!$AM$4:$AP$55,4,FALSE))</f>
        <v>36</v>
      </c>
      <c r="J26" s="4">
        <f>(VLOOKUP('9.0.10'!R26,'9.0.10'!$AM$4:$AP$55,4,FALSE))</f>
        <v>36</v>
      </c>
      <c r="K26" s="4">
        <f>(VLOOKUP('9.0.10'!S26,'9.0.10'!$AM$4:$AP$55,4,FALSE))</f>
        <v>36</v>
      </c>
      <c r="L26" s="4">
        <f>(VLOOKUP('9.0.10'!T26,'9.0.10'!$AM$4:$AP$55,4,FALSE))</f>
        <v>36</v>
      </c>
      <c r="M26" s="4">
        <f>(VLOOKUP('9.0.10'!U26,'9.0.10'!$AM$4:$AP$55,4,FALSE))</f>
        <v>36</v>
      </c>
      <c r="N26" s="4">
        <f>(VLOOKUP('9.0.10'!V26,'9.0.10'!$AM$4:$AP$55,4,FALSE))</f>
        <v>36</v>
      </c>
      <c r="O26" s="4">
        <f>(VLOOKUP('9.0.10'!W26,'9.0.10'!$AM$4:$AP$55,4,FALSE))</f>
        <v>0</v>
      </c>
      <c r="P26" s="4">
        <f>(VLOOKUP('9.0.10'!X26,'9.0.10'!$AM$4:$AP$55,4,FALSE))</f>
        <v>0</v>
      </c>
      <c r="Q26" s="4">
        <f>(VLOOKUP('9.0.10'!Y26,'9.0.10'!$AM$4:$AP$55,4,FALSE))</f>
        <v>39.110982162825422</v>
      </c>
      <c r="R26" s="4">
        <f>(VLOOKUP('9.0.10'!Z26,'9.0.10'!$AM$4:$AP$55,4,FALSE))</f>
        <v>10</v>
      </c>
      <c r="S26" s="4">
        <f>(VLOOKUP('9.0.10'!AA26,'9.0.10'!$AM$4:$AP$55,4,FALSE))</f>
        <v>0</v>
      </c>
      <c r="T26" s="4">
        <f>(VLOOKUP('9.0.10'!AB26,'9.0.10'!$AM$4:$AP$55,4,FALSE))</f>
        <v>0</v>
      </c>
      <c r="U26" s="4">
        <f>(VLOOKUP('9.0.10'!AC26,'9.0.10'!$AM$4:$AP$55,4,FALSE))</f>
        <v>0</v>
      </c>
      <c r="V26" s="4">
        <f>(VLOOKUP('9.0.10'!AD26,'9.0.10'!$AM$4:$AP$55,4,FALSE))</f>
        <v>0</v>
      </c>
      <c r="W26" s="4">
        <f>(VLOOKUP('9.0.10'!AE26,'9.0.10'!$AM$4:$AP$55,4,FALSE))</f>
        <v>0</v>
      </c>
      <c r="X26" s="4">
        <f>(VLOOKUP('9.0.10'!AF26,'9.0.10'!$AM$4:$AP$55,4,FALSE))</f>
        <v>0</v>
      </c>
    </row>
    <row r="27" spans="1:24">
      <c r="A27" s="4">
        <f>(VLOOKUP('9.0.10'!I27,'9.0.10'!$AM$4:$AP$55,4,FALSE))</f>
        <v>0</v>
      </c>
      <c r="B27" s="4">
        <f>(VLOOKUP('9.0.10'!J27,'9.0.10'!$AM$4:$AP$55,4,FALSE))</f>
        <v>0</v>
      </c>
      <c r="C27" s="4">
        <f>(VLOOKUP('9.0.10'!K27,'9.0.10'!$AM$4:$AP$55,4,FALSE))</f>
        <v>0</v>
      </c>
      <c r="D27" s="4">
        <f>(VLOOKUP('9.0.10'!L27,'9.0.10'!$AM$4:$AP$55,4,FALSE))</f>
        <v>0</v>
      </c>
      <c r="E27" s="4">
        <f>(VLOOKUP('9.0.10'!M27,'9.0.10'!$AM$4:$AP$55,4,FALSE))</f>
        <v>0</v>
      </c>
      <c r="F27" s="4">
        <f>(VLOOKUP('9.0.10'!N27,'9.0.10'!$AM$4:$AP$55,4,FALSE))</f>
        <v>0</v>
      </c>
      <c r="G27" s="4">
        <f>(VLOOKUP('9.0.10'!O27,'9.0.10'!$AM$4:$AP$55,4,FALSE))</f>
        <v>0</v>
      </c>
      <c r="H27" s="4">
        <f>(VLOOKUP('9.0.10'!P27,'9.0.10'!$AM$4:$AP$55,4,FALSE))</f>
        <v>0</v>
      </c>
      <c r="I27" s="4">
        <f>(VLOOKUP('9.0.10'!Q27,'9.0.10'!$AM$4:$AP$55,4,FALSE))</f>
        <v>36</v>
      </c>
      <c r="J27" s="4">
        <f>(VLOOKUP('9.0.10'!R27,'9.0.10'!$AM$4:$AP$55,4,FALSE))</f>
        <v>36</v>
      </c>
      <c r="K27" s="4">
        <f>(VLOOKUP('9.0.10'!S27,'9.0.10'!$AM$4:$AP$55,4,FALSE))</f>
        <v>36</v>
      </c>
      <c r="L27" s="4">
        <f>(VLOOKUP('9.0.10'!T27,'9.0.10'!$AM$4:$AP$55,4,FALSE))</f>
        <v>36</v>
      </c>
      <c r="M27" s="4">
        <f>(VLOOKUP('9.0.10'!U27,'9.0.10'!$AM$4:$AP$55,4,FALSE))</f>
        <v>36</v>
      </c>
      <c r="N27" s="4">
        <f>(VLOOKUP('9.0.10'!V27,'9.0.10'!$AM$4:$AP$55,4,FALSE))</f>
        <v>36</v>
      </c>
      <c r="O27" s="4">
        <f>(VLOOKUP('9.0.10'!W27,'9.0.10'!$AM$4:$AP$55,4,FALSE))</f>
        <v>0</v>
      </c>
      <c r="P27" s="4">
        <f>(VLOOKUP('9.0.10'!X27,'9.0.10'!$AM$4:$AP$55,4,FALSE))</f>
        <v>0</v>
      </c>
      <c r="Q27" s="4">
        <f>(VLOOKUP('9.0.10'!Y27,'9.0.10'!$AM$4:$AP$55,4,FALSE))</f>
        <v>0</v>
      </c>
      <c r="R27" s="4">
        <f>(VLOOKUP('9.0.10'!Z27,'9.0.10'!$AM$4:$AP$55,4,FALSE))</f>
        <v>0</v>
      </c>
      <c r="S27" s="4">
        <f>(VLOOKUP('9.0.10'!AA27,'9.0.10'!$AM$4:$AP$55,4,FALSE))</f>
        <v>0</v>
      </c>
      <c r="T27" s="4">
        <f>(VLOOKUP('9.0.10'!AB27,'9.0.10'!$AM$4:$AP$55,4,FALSE))</f>
        <v>0</v>
      </c>
      <c r="U27" s="4">
        <f>(VLOOKUP('9.0.10'!AC27,'9.0.10'!$AM$4:$AP$55,4,FALSE))</f>
        <v>0</v>
      </c>
      <c r="V27" s="4">
        <f>(VLOOKUP('9.0.10'!AD27,'9.0.10'!$AM$4:$AP$55,4,FALSE))</f>
        <v>0</v>
      </c>
      <c r="W27" s="4">
        <f>(VLOOKUP('9.0.10'!AE27,'9.0.10'!$AM$4:$AP$55,4,FALSE))</f>
        <v>0</v>
      </c>
      <c r="X27" s="4">
        <f>(VLOOKUP('9.0.10'!AF27,'9.0.10'!$AM$4:$AP$55,4,FALSE))</f>
        <v>0</v>
      </c>
    </row>
    <row r="28" spans="1:24">
      <c r="A28" s="4">
        <f>(VLOOKUP('9.0.10'!I28,'9.0.10'!$AM$4:$AP$55,4,FALSE))</f>
        <v>0</v>
      </c>
      <c r="B28" s="4">
        <f>(VLOOKUP('9.0.10'!J28,'9.0.10'!$AM$4:$AP$55,4,FALSE))</f>
        <v>0</v>
      </c>
      <c r="C28" s="4">
        <f>(VLOOKUP('9.0.10'!K28,'9.0.10'!$AM$4:$AP$55,4,FALSE))</f>
        <v>0</v>
      </c>
      <c r="D28" s="4">
        <f>(VLOOKUP('9.0.10'!L28,'9.0.10'!$AM$4:$AP$55,4,FALSE))</f>
        <v>0</v>
      </c>
      <c r="E28" s="4">
        <f>(VLOOKUP('9.0.10'!M28,'9.0.10'!$AM$4:$AP$55,4,FALSE))</f>
        <v>0</v>
      </c>
      <c r="F28" s="4">
        <f>(VLOOKUP('9.0.10'!N28,'9.0.10'!$AM$4:$AP$55,4,FALSE))</f>
        <v>0</v>
      </c>
      <c r="G28" s="4">
        <f>(VLOOKUP('9.0.10'!O28,'9.0.10'!$AM$4:$AP$55,4,FALSE))</f>
        <v>0</v>
      </c>
      <c r="H28" s="4">
        <f>(VLOOKUP('9.0.10'!P28,'9.0.10'!$AM$4:$AP$55,4,FALSE))</f>
        <v>0</v>
      </c>
      <c r="I28" s="4">
        <f>(VLOOKUP('9.0.10'!Q28,'9.0.10'!$AM$4:$AP$55,4,FALSE))</f>
        <v>36</v>
      </c>
      <c r="J28" s="4">
        <f>(VLOOKUP('9.0.10'!R28,'9.0.10'!$AM$4:$AP$55,4,FALSE))</f>
        <v>36</v>
      </c>
      <c r="K28" s="4">
        <f>(VLOOKUP('9.0.10'!S28,'9.0.10'!$AM$4:$AP$55,4,FALSE))</f>
        <v>0</v>
      </c>
      <c r="L28" s="4">
        <f>(VLOOKUP('9.0.10'!T28,'9.0.10'!$AM$4:$AP$55,4,FALSE))</f>
        <v>36</v>
      </c>
      <c r="M28" s="4">
        <f>(VLOOKUP('9.0.10'!U28,'9.0.10'!$AM$4:$AP$55,4,FALSE))</f>
        <v>36</v>
      </c>
      <c r="N28" s="4">
        <f>(VLOOKUP('9.0.10'!V28,'9.0.10'!$AM$4:$AP$55,4,FALSE))</f>
        <v>36</v>
      </c>
      <c r="O28" s="4">
        <f>(VLOOKUP('9.0.10'!W28,'9.0.10'!$AM$4:$AP$55,4,FALSE))</f>
        <v>0</v>
      </c>
      <c r="P28" s="4">
        <f>(VLOOKUP('9.0.10'!X28,'9.0.10'!$AM$4:$AP$55,4,FALSE))</f>
        <v>0</v>
      </c>
      <c r="Q28" s="4">
        <f>(VLOOKUP('9.0.10'!Y28,'9.0.10'!$AM$4:$AP$55,4,FALSE))</f>
        <v>0</v>
      </c>
      <c r="R28" s="4">
        <f>(VLOOKUP('9.0.10'!Z28,'9.0.10'!$AM$4:$AP$55,4,FALSE))</f>
        <v>0</v>
      </c>
      <c r="S28" s="4">
        <f>(VLOOKUP('9.0.10'!AA28,'9.0.10'!$AM$4:$AP$55,4,FALSE))</f>
        <v>0</v>
      </c>
      <c r="T28" s="4">
        <f>(VLOOKUP('9.0.10'!AB28,'9.0.10'!$AM$4:$AP$55,4,FALSE))</f>
        <v>0</v>
      </c>
      <c r="U28" s="4">
        <f>(VLOOKUP('9.0.10'!AC28,'9.0.10'!$AM$4:$AP$55,4,FALSE))</f>
        <v>0</v>
      </c>
      <c r="V28" s="4">
        <f>(VLOOKUP('9.0.10'!AD28,'9.0.10'!$AM$4:$AP$55,4,FALSE))</f>
        <v>0</v>
      </c>
      <c r="W28" s="4">
        <f>(VLOOKUP('9.0.10'!AE28,'9.0.10'!$AM$4:$AP$55,4,FALSE))</f>
        <v>0</v>
      </c>
      <c r="X28" s="4">
        <f>(VLOOKUP('9.0.10'!AF28,'9.0.10'!$AM$4:$AP$55,4,FALSE))</f>
        <v>0</v>
      </c>
    </row>
    <row r="29" spans="1:24">
      <c r="A29" s="4">
        <f>(VLOOKUP('9.0.10'!I29,'9.0.10'!$AM$4:$AP$55,4,FALSE))</f>
        <v>0</v>
      </c>
      <c r="B29" s="4">
        <f>(VLOOKUP('9.0.10'!J29,'9.0.10'!$AM$4:$AP$55,4,FALSE))</f>
        <v>0</v>
      </c>
      <c r="C29" s="4">
        <f>(VLOOKUP('9.0.10'!K29,'9.0.10'!$AM$4:$AP$55,4,FALSE))</f>
        <v>0</v>
      </c>
      <c r="D29" s="4">
        <f>(VLOOKUP('9.0.10'!L29,'9.0.10'!$AM$4:$AP$55,4,FALSE))</f>
        <v>0</v>
      </c>
      <c r="E29" s="4">
        <f>(VLOOKUP('9.0.10'!M29,'9.0.10'!$AM$4:$AP$55,4,FALSE))</f>
        <v>0</v>
      </c>
      <c r="F29" s="4">
        <f>(VLOOKUP('9.0.10'!N29,'9.0.10'!$AM$4:$AP$55,4,FALSE))</f>
        <v>0</v>
      </c>
      <c r="G29" s="4">
        <f>(VLOOKUP('9.0.10'!O29,'9.0.10'!$AM$4:$AP$55,4,FALSE))</f>
        <v>0</v>
      </c>
      <c r="H29" s="4">
        <f>(VLOOKUP('9.0.10'!P29,'9.0.10'!$AM$4:$AP$55,4,FALSE))</f>
        <v>0</v>
      </c>
      <c r="I29" s="4">
        <f>(VLOOKUP('9.0.10'!Q29,'9.0.10'!$AM$4:$AP$55,4,FALSE))</f>
        <v>36</v>
      </c>
      <c r="J29" s="4">
        <f>(VLOOKUP('9.0.10'!R29,'9.0.10'!$AM$4:$AP$55,4,FALSE))</f>
        <v>36</v>
      </c>
      <c r="K29" s="4">
        <f>(VLOOKUP('9.0.10'!S29,'9.0.10'!$AM$4:$AP$55,4,FALSE))</f>
        <v>36</v>
      </c>
      <c r="L29" s="4">
        <f>(VLOOKUP('9.0.10'!T29,'9.0.10'!$AM$4:$AP$55,4,FALSE))</f>
        <v>36</v>
      </c>
      <c r="M29" s="4">
        <f>(VLOOKUP('9.0.10'!U29,'9.0.10'!$AM$4:$AP$55,4,FALSE))</f>
        <v>36</v>
      </c>
      <c r="N29" s="4">
        <f>(VLOOKUP('9.0.10'!V29,'9.0.10'!$AM$4:$AP$55,4,FALSE))</f>
        <v>36</v>
      </c>
      <c r="O29" s="4">
        <f>(VLOOKUP('9.0.10'!W29,'9.0.10'!$AM$4:$AP$55,4,FALSE))</f>
        <v>0</v>
      </c>
      <c r="P29" s="4">
        <f>(VLOOKUP('9.0.10'!X29,'9.0.10'!$AM$4:$AP$55,4,FALSE))</f>
        <v>0</v>
      </c>
      <c r="Q29" s="4">
        <f>(VLOOKUP('9.0.10'!Y29,'9.0.10'!$AM$4:$AP$55,4,FALSE))</f>
        <v>0</v>
      </c>
      <c r="R29" s="4">
        <f>(VLOOKUP('9.0.10'!Z29,'9.0.10'!$AM$4:$AP$55,4,FALSE))</f>
        <v>0</v>
      </c>
      <c r="S29" s="4">
        <f>(VLOOKUP('9.0.10'!AA29,'9.0.10'!$AM$4:$AP$55,4,FALSE))</f>
        <v>0</v>
      </c>
      <c r="T29" s="4">
        <f>(VLOOKUP('9.0.10'!AB29,'9.0.10'!$AM$4:$AP$55,4,FALSE))</f>
        <v>0</v>
      </c>
      <c r="U29" s="4">
        <f>(VLOOKUP('9.0.10'!AC29,'9.0.10'!$AM$4:$AP$55,4,FALSE))</f>
        <v>0</v>
      </c>
      <c r="V29" s="4">
        <f>(VLOOKUP('9.0.10'!AD29,'9.0.10'!$AM$4:$AP$55,4,FALSE))</f>
        <v>0</v>
      </c>
      <c r="W29" s="4">
        <f>(VLOOKUP('9.0.10'!AE29,'9.0.10'!$AM$4:$AP$55,4,FALSE))</f>
        <v>0</v>
      </c>
      <c r="X29" s="4">
        <f>(VLOOKUP('9.0.10'!AF29,'9.0.10'!$AM$4:$AP$55,4,FALSE))</f>
        <v>0</v>
      </c>
    </row>
    <row r="30" spans="1:24">
      <c r="A30" s="4">
        <f>(VLOOKUP('9.0.10'!I30,'9.0.10'!$AM$4:$AP$55,4,FALSE))</f>
        <v>0</v>
      </c>
      <c r="B30" s="4">
        <f>(VLOOKUP('9.0.10'!J30,'9.0.10'!$AM$4:$AP$55,4,FALSE))</f>
        <v>0</v>
      </c>
      <c r="C30" s="4">
        <f>(VLOOKUP('9.0.10'!K30,'9.0.10'!$AM$4:$AP$55,4,FALSE))</f>
        <v>0</v>
      </c>
      <c r="D30" s="4">
        <f>(VLOOKUP('9.0.10'!L30,'9.0.10'!$AM$4:$AP$55,4,FALSE))</f>
        <v>0</v>
      </c>
      <c r="E30" s="4">
        <f>(VLOOKUP('9.0.10'!M30,'9.0.10'!$AM$4:$AP$55,4,FALSE))</f>
        <v>0</v>
      </c>
      <c r="F30" s="4">
        <f>(VLOOKUP('9.0.10'!N30,'9.0.10'!$AM$4:$AP$55,4,FALSE))</f>
        <v>0</v>
      </c>
      <c r="G30" s="4">
        <f>(VLOOKUP('9.0.10'!O30,'9.0.10'!$AM$4:$AP$55,4,FALSE))</f>
        <v>0</v>
      </c>
      <c r="H30" s="4">
        <f>(VLOOKUP('9.0.10'!P30,'9.0.10'!$AM$4:$AP$55,4,FALSE))</f>
        <v>0</v>
      </c>
      <c r="I30" s="4">
        <f>(VLOOKUP('9.0.10'!Q30,'9.0.10'!$AM$4:$AP$55,4,FALSE))</f>
        <v>36</v>
      </c>
      <c r="J30" s="4">
        <f>(VLOOKUP('9.0.10'!R30,'9.0.10'!$AM$4:$AP$55,4,FALSE))</f>
        <v>36</v>
      </c>
      <c r="K30" s="4">
        <f>(VLOOKUP('9.0.10'!S30,'9.0.10'!$AM$4:$AP$55,4,FALSE))</f>
        <v>36</v>
      </c>
      <c r="L30" s="4">
        <f>(VLOOKUP('9.0.10'!T30,'9.0.10'!$AM$4:$AP$55,4,FALSE))</f>
        <v>36</v>
      </c>
      <c r="M30" s="4">
        <f>(VLOOKUP('9.0.10'!U30,'9.0.10'!$AM$4:$AP$55,4,FALSE))</f>
        <v>36</v>
      </c>
      <c r="N30" s="4">
        <f>(VLOOKUP('9.0.10'!V30,'9.0.10'!$AM$4:$AP$55,4,FALSE))</f>
        <v>10</v>
      </c>
      <c r="O30" s="4">
        <f>(VLOOKUP('9.0.10'!W30,'9.0.10'!$AM$4:$AP$55,4,FALSE))</f>
        <v>0</v>
      </c>
      <c r="P30" s="4">
        <f>(VLOOKUP('9.0.10'!X30,'9.0.10'!$AM$4:$AP$55,4,FALSE))</f>
        <v>0</v>
      </c>
      <c r="Q30" s="4">
        <f>(VLOOKUP('9.0.10'!Y30,'9.0.10'!$AM$4:$AP$55,4,FALSE))</f>
        <v>0</v>
      </c>
      <c r="R30" s="4">
        <f>(VLOOKUP('9.0.10'!Z30,'9.0.10'!$AM$4:$AP$55,4,FALSE))</f>
        <v>0</v>
      </c>
      <c r="S30" s="4">
        <f>(VLOOKUP('9.0.10'!AA30,'9.0.10'!$AM$4:$AP$55,4,FALSE))</f>
        <v>0</v>
      </c>
      <c r="T30" s="4">
        <f>(VLOOKUP('9.0.10'!AB30,'9.0.10'!$AM$4:$AP$55,4,FALSE))</f>
        <v>0</v>
      </c>
      <c r="U30" s="4">
        <f>(VLOOKUP('9.0.10'!AC30,'9.0.10'!$AM$4:$AP$55,4,FALSE))</f>
        <v>0</v>
      </c>
      <c r="V30" s="4">
        <f>(VLOOKUP('9.0.10'!AD30,'9.0.10'!$AM$4:$AP$55,4,FALSE))</f>
        <v>0</v>
      </c>
      <c r="W30" s="4">
        <f>(VLOOKUP('9.0.10'!AE30,'9.0.10'!$AM$4:$AP$55,4,FALSE))</f>
        <v>0</v>
      </c>
      <c r="X30" s="4">
        <f>(VLOOKUP('9.0.10'!AF30,'9.0.10'!$AM$4:$AP$55,4,FALSE))</f>
        <v>0</v>
      </c>
    </row>
    <row r="31" spans="1:24">
      <c r="A31" s="4">
        <f>(VLOOKUP('9.0.10'!I31,'9.0.10'!$AM$4:$AP$55,4,FALSE))</f>
        <v>0</v>
      </c>
      <c r="B31" s="4">
        <f>(VLOOKUP('9.0.10'!J31,'9.0.10'!$AM$4:$AP$55,4,FALSE))</f>
        <v>0</v>
      </c>
      <c r="C31" s="4">
        <f>(VLOOKUP('9.0.10'!K31,'9.0.10'!$AM$4:$AP$55,4,FALSE))</f>
        <v>0</v>
      </c>
      <c r="D31" s="4">
        <f>(VLOOKUP('9.0.10'!L31,'9.0.10'!$AM$4:$AP$55,4,FALSE))</f>
        <v>0</v>
      </c>
      <c r="E31" s="4">
        <f>(VLOOKUP('9.0.10'!M31,'9.0.10'!$AM$4:$AP$55,4,FALSE))</f>
        <v>0</v>
      </c>
      <c r="F31" s="4">
        <f>(VLOOKUP('9.0.10'!N31,'9.0.10'!$AM$4:$AP$55,4,FALSE))</f>
        <v>0</v>
      </c>
      <c r="G31" s="4">
        <f>(VLOOKUP('9.0.10'!O31,'9.0.10'!$AM$4:$AP$55,4,FALSE))</f>
        <v>0</v>
      </c>
      <c r="H31" s="4">
        <f>(VLOOKUP('9.0.10'!P31,'9.0.10'!$AM$4:$AP$55,4,FALSE))</f>
        <v>0</v>
      </c>
      <c r="I31" s="4">
        <f>(VLOOKUP('9.0.10'!Q31,'9.0.10'!$AM$4:$AP$55,4,FALSE))</f>
        <v>36</v>
      </c>
      <c r="J31" s="4">
        <f>(VLOOKUP('9.0.10'!R31,'9.0.10'!$AM$4:$AP$55,4,FALSE))</f>
        <v>36</v>
      </c>
      <c r="K31" s="4">
        <f>(VLOOKUP('9.0.10'!S31,'9.0.10'!$AM$4:$AP$55,4,FALSE))</f>
        <v>36</v>
      </c>
      <c r="L31" s="4">
        <f>(VLOOKUP('9.0.10'!T31,'9.0.10'!$AM$4:$AP$55,4,FALSE))</f>
        <v>36</v>
      </c>
      <c r="M31" s="4">
        <f>(VLOOKUP('9.0.10'!U31,'9.0.10'!$AM$4:$AP$55,4,FALSE))</f>
        <v>36</v>
      </c>
      <c r="N31" s="4">
        <f>(VLOOKUP('9.0.10'!V31,'9.0.10'!$AM$4:$AP$55,4,FALSE))</f>
        <v>36</v>
      </c>
      <c r="O31" s="4">
        <f>(VLOOKUP('9.0.10'!W31,'9.0.10'!$AM$4:$AP$55,4,FALSE))</f>
        <v>0</v>
      </c>
      <c r="P31" s="4">
        <f>(VLOOKUP('9.0.10'!X31,'9.0.10'!$AM$4:$AP$55,4,FALSE))</f>
        <v>0</v>
      </c>
      <c r="Q31" s="4">
        <f>(VLOOKUP('9.0.10'!Y31,'9.0.10'!$AM$4:$AP$55,4,FALSE))</f>
        <v>0</v>
      </c>
      <c r="R31" s="4">
        <f>(VLOOKUP('9.0.10'!Z31,'9.0.10'!$AM$4:$AP$55,4,FALSE))</f>
        <v>0</v>
      </c>
      <c r="S31" s="4">
        <f>(VLOOKUP('9.0.10'!AA31,'9.0.10'!$AM$4:$AP$55,4,FALSE))</f>
        <v>0</v>
      </c>
      <c r="T31" s="4">
        <f>(VLOOKUP('9.0.10'!AB31,'9.0.10'!$AM$4:$AP$55,4,FALSE))</f>
        <v>0</v>
      </c>
      <c r="U31" s="4">
        <f>(VLOOKUP('9.0.10'!AC31,'9.0.10'!$AM$4:$AP$55,4,FALSE))</f>
        <v>0</v>
      </c>
      <c r="V31" s="4">
        <f>(VLOOKUP('9.0.10'!AD31,'9.0.10'!$AM$4:$AP$55,4,FALSE))</f>
        <v>0</v>
      </c>
      <c r="W31" s="4">
        <f>(VLOOKUP('9.0.10'!AE31,'9.0.10'!$AM$4:$AP$55,4,FALSE))</f>
        <v>0</v>
      </c>
      <c r="X31" s="4">
        <f>(VLOOKUP('9.0.10'!AF31,'9.0.10'!$AM$4:$AP$55,4,FALSE))</f>
        <v>0</v>
      </c>
    </row>
    <row r="32" spans="1:24">
      <c r="A32" s="4">
        <f>(VLOOKUP('9.0.10'!I32,'9.0.10'!$AM$4:$AP$55,4,FALSE))</f>
        <v>0</v>
      </c>
      <c r="B32" s="4">
        <f>(VLOOKUP('9.0.10'!J32,'9.0.10'!$AM$4:$AP$55,4,FALSE))</f>
        <v>0</v>
      </c>
      <c r="C32" s="4">
        <f>(VLOOKUP('9.0.10'!K32,'9.0.10'!$AM$4:$AP$55,4,FALSE))</f>
        <v>0</v>
      </c>
      <c r="D32" s="4">
        <f>(VLOOKUP('9.0.10'!L32,'9.0.10'!$AM$4:$AP$55,4,FALSE))</f>
        <v>0</v>
      </c>
      <c r="E32" s="4">
        <f>(VLOOKUP('9.0.10'!M32,'9.0.10'!$AM$4:$AP$55,4,FALSE))</f>
        <v>0</v>
      </c>
      <c r="F32" s="4">
        <f>(VLOOKUP('9.0.10'!N32,'9.0.10'!$AM$4:$AP$55,4,FALSE))</f>
        <v>0</v>
      </c>
      <c r="G32" s="4">
        <f>(VLOOKUP('9.0.10'!O32,'9.0.10'!$AM$4:$AP$55,4,FALSE))</f>
        <v>0</v>
      </c>
      <c r="H32" s="4">
        <f>(VLOOKUP('9.0.10'!P32,'9.0.10'!$AM$4:$AP$55,4,FALSE))</f>
        <v>0</v>
      </c>
      <c r="I32" s="4">
        <f>(VLOOKUP('9.0.10'!Q32,'9.0.10'!$AM$4:$AP$55,4,FALSE))</f>
        <v>36</v>
      </c>
      <c r="J32" s="4">
        <f>(VLOOKUP('9.0.10'!R32,'9.0.10'!$AM$4:$AP$55,4,FALSE))</f>
        <v>36</v>
      </c>
      <c r="K32" s="4">
        <f>(VLOOKUP('9.0.10'!S32,'9.0.10'!$AM$4:$AP$55,4,FALSE))</f>
        <v>36</v>
      </c>
      <c r="L32" s="4">
        <f>(VLOOKUP('9.0.10'!T32,'9.0.10'!$AM$4:$AP$55,4,FALSE))</f>
        <v>36</v>
      </c>
      <c r="M32" s="4">
        <f>(VLOOKUP('9.0.10'!U32,'9.0.10'!$AM$4:$AP$55,4,FALSE))</f>
        <v>36</v>
      </c>
      <c r="N32" s="4">
        <f>(VLOOKUP('9.0.10'!V32,'9.0.10'!$AM$4:$AP$55,4,FALSE))</f>
        <v>36</v>
      </c>
      <c r="O32" s="4">
        <f>(VLOOKUP('9.0.10'!W32,'9.0.10'!$AM$4:$AP$55,4,FALSE))</f>
        <v>0</v>
      </c>
      <c r="P32" s="4">
        <f>(VLOOKUP('9.0.10'!X32,'9.0.10'!$AM$4:$AP$55,4,FALSE))</f>
        <v>0</v>
      </c>
      <c r="Q32" s="4">
        <f>(VLOOKUP('9.0.10'!Y32,'9.0.10'!$AM$4:$AP$55,4,FALSE))</f>
        <v>0</v>
      </c>
      <c r="R32" s="4">
        <f>(VLOOKUP('9.0.10'!Z32,'9.0.10'!$AM$4:$AP$55,4,FALSE))</f>
        <v>0</v>
      </c>
      <c r="S32" s="4">
        <f>(VLOOKUP('9.0.10'!AA32,'9.0.10'!$AM$4:$AP$55,4,FALSE))</f>
        <v>0</v>
      </c>
      <c r="T32" s="4">
        <f>(VLOOKUP('9.0.10'!AB32,'9.0.10'!$AM$4:$AP$55,4,FALSE))</f>
        <v>0</v>
      </c>
      <c r="U32" s="4">
        <f>(VLOOKUP('9.0.10'!AC32,'9.0.10'!$AM$4:$AP$55,4,FALSE))</f>
        <v>0</v>
      </c>
      <c r="V32" s="4">
        <f>(VLOOKUP('9.0.10'!AD32,'9.0.10'!$AM$4:$AP$55,4,FALSE))</f>
        <v>0</v>
      </c>
      <c r="W32" s="4">
        <f>(VLOOKUP('9.0.10'!AE32,'9.0.10'!$AM$4:$AP$55,4,FALSE))</f>
        <v>0</v>
      </c>
      <c r="X32" s="4">
        <f>(VLOOKUP('9.0.10'!AF32,'9.0.10'!$AM$4:$AP$55,4,FALSE))</f>
        <v>0</v>
      </c>
    </row>
    <row r="33" spans="1:24">
      <c r="A33" s="4">
        <f>(VLOOKUP('9.0.10'!I33,'9.0.10'!$AM$4:$AP$55,4,FALSE))</f>
        <v>0</v>
      </c>
      <c r="B33" s="4">
        <f>(VLOOKUP('9.0.10'!J33,'9.0.10'!$AM$4:$AP$55,4,FALSE))</f>
        <v>0</v>
      </c>
      <c r="C33" s="4">
        <f>(VLOOKUP('9.0.10'!K33,'9.0.10'!$AM$4:$AP$55,4,FALSE))</f>
        <v>0</v>
      </c>
      <c r="D33" s="4">
        <f>(VLOOKUP('9.0.10'!L33,'9.0.10'!$AM$4:$AP$55,4,FALSE))</f>
        <v>0</v>
      </c>
      <c r="E33" s="4">
        <f>(VLOOKUP('9.0.10'!M33,'9.0.10'!$AM$4:$AP$55,4,FALSE))</f>
        <v>0</v>
      </c>
      <c r="F33" s="4">
        <f>(VLOOKUP('9.0.10'!N33,'9.0.10'!$AM$4:$AP$55,4,FALSE))</f>
        <v>0</v>
      </c>
      <c r="G33" s="4">
        <f>(VLOOKUP('9.0.10'!O33,'9.0.10'!$AM$4:$AP$55,4,FALSE))</f>
        <v>0</v>
      </c>
      <c r="H33" s="4">
        <f>(VLOOKUP('9.0.10'!P33,'9.0.10'!$AM$4:$AP$55,4,FALSE))</f>
        <v>0</v>
      </c>
      <c r="I33" s="4">
        <f>(VLOOKUP('9.0.10'!Q33,'9.0.10'!$AM$4:$AP$55,4,FALSE))</f>
        <v>36</v>
      </c>
      <c r="J33" s="4">
        <f>(VLOOKUP('9.0.10'!R33,'9.0.10'!$AM$4:$AP$55,4,FALSE))</f>
        <v>36</v>
      </c>
      <c r="K33" s="4">
        <f>(VLOOKUP('9.0.10'!S33,'9.0.10'!$AM$4:$AP$55,4,FALSE))</f>
        <v>36</v>
      </c>
      <c r="L33" s="4">
        <f>(VLOOKUP('9.0.10'!T33,'9.0.10'!$AM$4:$AP$55,4,FALSE))</f>
        <v>36</v>
      </c>
      <c r="M33" s="4">
        <f>(VLOOKUP('9.0.10'!U33,'9.0.10'!$AM$4:$AP$55,4,FALSE))</f>
        <v>36</v>
      </c>
      <c r="N33" s="4">
        <f>(VLOOKUP('9.0.10'!V33,'9.0.10'!$AM$4:$AP$55,4,FALSE))</f>
        <v>36</v>
      </c>
      <c r="O33" s="4">
        <f>(VLOOKUP('9.0.10'!W33,'9.0.10'!$AM$4:$AP$55,4,FALSE))</f>
        <v>0</v>
      </c>
      <c r="P33" s="4">
        <f>(VLOOKUP('9.0.10'!X33,'9.0.10'!$AM$4:$AP$55,4,FALSE))</f>
        <v>0</v>
      </c>
      <c r="Q33" s="4">
        <f>(VLOOKUP('9.0.10'!Y33,'9.0.10'!$AM$4:$AP$55,4,FALSE))</f>
        <v>0</v>
      </c>
      <c r="R33" s="4">
        <f>(VLOOKUP('9.0.10'!Z33,'9.0.10'!$AM$4:$AP$55,4,FALSE))</f>
        <v>0</v>
      </c>
      <c r="S33" s="4">
        <f>(VLOOKUP('9.0.10'!AA33,'9.0.10'!$AM$4:$AP$55,4,FALSE))</f>
        <v>0</v>
      </c>
      <c r="T33" s="4">
        <f>(VLOOKUP('9.0.10'!AB33,'9.0.10'!$AM$4:$AP$55,4,FALSE))</f>
        <v>0</v>
      </c>
      <c r="U33" s="4">
        <f>(VLOOKUP('9.0.10'!AC33,'9.0.10'!$AM$4:$AP$55,4,FALSE))</f>
        <v>0</v>
      </c>
      <c r="V33" s="4">
        <f>(VLOOKUP('9.0.10'!AD33,'9.0.10'!$AM$4:$AP$55,4,FALSE))</f>
        <v>0</v>
      </c>
      <c r="W33" s="4">
        <f>(VLOOKUP('9.0.10'!AE33,'9.0.10'!$AM$4:$AP$55,4,FALSE))</f>
        <v>0</v>
      </c>
      <c r="X33" s="4">
        <f>(VLOOKUP('9.0.10'!AF33,'9.0.10'!$AM$4:$AP$55,4,FALSE))</f>
        <v>0</v>
      </c>
    </row>
    <row r="34" spans="1:24">
      <c r="A34" s="4">
        <f>(VLOOKUP('9.0.10'!I34,'9.0.10'!$AM$4:$AP$55,4,FALSE))</f>
        <v>0</v>
      </c>
      <c r="B34" s="4">
        <f>(VLOOKUP('9.0.10'!J34,'9.0.10'!$AM$4:$AP$55,4,FALSE))</f>
        <v>0</v>
      </c>
      <c r="C34" s="4">
        <f>(VLOOKUP('9.0.10'!K34,'9.0.10'!$AM$4:$AP$55,4,FALSE))</f>
        <v>0</v>
      </c>
      <c r="D34" s="4">
        <f>(VLOOKUP('9.0.10'!L34,'9.0.10'!$AM$4:$AP$55,4,FALSE))</f>
        <v>0</v>
      </c>
      <c r="E34" s="4">
        <f>(VLOOKUP('9.0.10'!M34,'9.0.10'!$AM$4:$AP$55,4,FALSE))</f>
        <v>0</v>
      </c>
      <c r="F34" s="4">
        <f>(VLOOKUP('9.0.10'!N34,'9.0.10'!$AM$4:$AP$55,4,FALSE))</f>
        <v>0</v>
      </c>
      <c r="G34" s="4">
        <f>(VLOOKUP('9.0.10'!O34,'9.0.10'!$AM$4:$AP$55,4,FALSE))</f>
        <v>0</v>
      </c>
      <c r="H34" s="4">
        <f>(VLOOKUP('9.0.10'!P34,'9.0.10'!$AM$4:$AP$55,4,FALSE))</f>
        <v>0</v>
      </c>
      <c r="I34" s="4">
        <f>(VLOOKUP('9.0.10'!Q34,'9.0.10'!$AM$4:$AP$55,4,FALSE))</f>
        <v>10</v>
      </c>
      <c r="J34" s="4">
        <f>(VLOOKUP('9.0.10'!R34,'9.0.10'!$AM$4:$AP$55,4,FALSE))</f>
        <v>36</v>
      </c>
      <c r="K34" s="4">
        <f>(VLOOKUP('9.0.10'!S34,'9.0.10'!$AM$4:$AP$55,4,FALSE))</f>
        <v>36</v>
      </c>
      <c r="L34" s="4">
        <f>(VLOOKUP('9.0.10'!T34,'9.0.10'!$AM$4:$AP$55,4,FALSE))</f>
        <v>36</v>
      </c>
      <c r="M34" s="4">
        <f>(VLOOKUP('9.0.10'!U34,'9.0.10'!$AM$4:$AP$55,4,FALSE))</f>
        <v>36</v>
      </c>
      <c r="N34" s="4">
        <f>(VLOOKUP('9.0.10'!V34,'9.0.10'!$AM$4:$AP$55,4,FALSE))</f>
        <v>36</v>
      </c>
      <c r="O34" s="4">
        <f>(VLOOKUP('9.0.10'!W34,'9.0.10'!$AM$4:$AP$55,4,FALSE))</f>
        <v>0</v>
      </c>
      <c r="P34" s="4">
        <f>(VLOOKUP('9.0.10'!X34,'9.0.10'!$AM$4:$AP$55,4,FALSE))</f>
        <v>0</v>
      </c>
      <c r="Q34" s="4">
        <f>(VLOOKUP('9.0.10'!Y34,'9.0.10'!$AM$4:$AP$55,4,FALSE))</f>
        <v>0</v>
      </c>
      <c r="R34" s="4">
        <f>(VLOOKUP('9.0.10'!Z34,'9.0.10'!$AM$4:$AP$55,4,FALSE))</f>
        <v>0</v>
      </c>
      <c r="S34" s="4">
        <f>(VLOOKUP('9.0.10'!AA34,'9.0.10'!$AM$4:$AP$55,4,FALSE))</f>
        <v>0</v>
      </c>
      <c r="T34" s="4">
        <f>(VLOOKUP('9.0.10'!AB34,'9.0.10'!$AM$4:$AP$55,4,FALSE))</f>
        <v>0</v>
      </c>
      <c r="U34" s="4">
        <f>(VLOOKUP('9.0.10'!AC34,'9.0.10'!$AM$4:$AP$55,4,FALSE))</f>
        <v>0</v>
      </c>
      <c r="V34" s="4">
        <f>(VLOOKUP('9.0.10'!AD34,'9.0.10'!$AM$4:$AP$55,4,FALSE))</f>
        <v>0</v>
      </c>
      <c r="W34" s="4">
        <f>(VLOOKUP('9.0.10'!AE34,'9.0.10'!$AM$4:$AP$55,4,FALSE))</f>
        <v>0</v>
      </c>
      <c r="X34" s="4">
        <f>(VLOOKUP('9.0.10'!AF34,'9.0.10'!$AM$4:$AP$55,4,FALSE))</f>
        <v>0</v>
      </c>
    </row>
    <row r="35" spans="1:24">
      <c r="A35" s="4">
        <f>(VLOOKUP('9.0.10'!I35,'9.0.10'!$AM$4:$AP$55,4,FALSE))</f>
        <v>0</v>
      </c>
      <c r="B35" s="4">
        <f>(VLOOKUP('9.0.10'!J35,'9.0.10'!$AM$4:$AP$55,4,FALSE))</f>
        <v>0</v>
      </c>
      <c r="C35" s="4">
        <f>(VLOOKUP('9.0.10'!K35,'9.0.10'!$AM$4:$AP$55,4,FALSE))</f>
        <v>0</v>
      </c>
      <c r="D35" s="4">
        <f>(VLOOKUP('9.0.10'!L35,'9.0.10'!$AM$4:$AP$55,4,FALSE))</f>
        <v>0</v>
      </c>
      <c r="E35" s="4">
        <f>(VLOOKUP('9.0.10'!M35,'9.0.10'!$AM$4:$AP$55,4,FALSE))</f>
        <v>0</v>
      </c>
      <c r="F35" s="4">
        <f>(VLOOKUP('9.0.10'!N35,'9.0.10'!$AM$4:$AP$55,4,FALSE))</f>
        <v>0</v>
      </c>
      <c r="G35" s="4">
        <f>(VLOOKUP('9.0.10'!O35,'9.0.10'!$AM$4:$AP$55,4,FALSE))</f>
        <v>0</v>
      </c>
      <c r="H35" s="4">
        <f>(VLOOKUP('9.0.10'!P35,'9.0.10'!$AM$4:$AP$55,4,FALSE))</f>
        <v>0</v>
      </c>
      <c r="I35" s="4">
        <f>(VLOOKUP('9.0.10'!Q35,'9.0.10'!$AM$4:$AP$55,4,FALSE))</f>
        <v>36</v>
      </c>
      <c r="J35" s="4">
        <f>(VLOOKUP('9.0.10'!R35,'9.0.10'!$AM$4:$AP$55,4,FALSE))</f>
        <v>36</v>
      </c>
      <c r="K35" s="4">
        <f>(VLOOKUP('9.0.10'!S35,'9.0.10'!$AM$4:$AP$55,4,FALSE))</f>
        <v>36</v>
      </c>
      <c r="L35" s="4">
        <f>(VLOOKUP('9.0.10'!T35,'9.0.10'!$AM$4:$AP$55,4,FALSE))</f>
        <v>36</v>
      </c>
      <c r="M35" s="4">
        <f>(VLOOKUP('9.0.10'!U35,'9.0.10'!$AM$4:$AP$55,4,FALSE))</f>
        <v>36</v>
      </c>
      <c r="N35" s="4">
        <f>(VLOOKUP('9.0.10'!V35,'9.0.10'!$AM$4:$AP$55,4,FALSE))</f>
        <v>0</v>
      </c>
      <c r="O35" s="4">
        <f>(VLOOKUP('9.0.10'!W35,'9.0.10'!$AM$4:$AP$55,4,FALSE))</f>
        <v>36</v>
      </c>
      <c r="P35" s="4">
        <f>(VLOOKUP('9.0.10'!X35,'9.0.10'!$AM$4:$AP$55,4,FALSE))</f>
        <v>36</v>
      </c>
      <c r="Q35" s="4">
        <f>(VLOOKUP('9.0.10'!Y35,'9.0.10'!$AM$4:$AP$55,4,FALSE))</f>
        <v>0</v>
      </c>
      <c r="R35" s="4">
        <f>(VLOOKUP('9.0.10'!Z35,'9.0.10'!$AM$4:$AP$55,4,FALSE))</f>
        <v>0</v>
      </c>
      <c r="S35" s="4">
        <f>(VLOOKUP('9.0.10'!AA35,'9.0.10'!$AM$4:$AP$55,4,FALSE))</f>
        <v>0</v>
      </c>
      <c r="T35" s="4">
        <f>(VLOOKUP('9.0.10'!AB35,'9.0.10'!$AM$4:$AP$55,4,FALSE))</f>
        <v>0</v>
      </c>
      <c r="U35" s="4">
        <f>(VLOOKUP('9.0.10'!AC35,'9.0.10'!$AM$4:$AP$55,4,FALSE))</f>
        <v>0</v>
      </c>
      <c r="V35" s="4">
        <f>(VLOOKUP('9.0.10'!AD35,'9.0.10'!$AM$4:$AP$55,4,FALSE))</f>
        <v>0</v>
      </c>
      <c r="W35" s="4">
        <f>(VLOOKUP('9.0.10'!AE35,'9.0.10'!$AM$4:$AP$55,4,FALSE))</f>
        <v>0</v>
      </c>
      <c r="X35" s="4">
        <f>(VLOOKUP('9.0.10'!AF35,'9.0.10'!$AM$4:$AP$55,4,FALSE))</f>
        <v>0</v>
      </c>
    </row>
    <row r="36" spans="1:24">
      <c r="A36" s="4">
        <f>(VLOOKUP('9.0.10'!I36,'9.0.10'!$AM$4:$AP$55,4,FALSE))</f>
        <v>0</v>
      </c>
      <c r="B36" s="4">
        <f>(VLOOKUP('9.0.10'!J36,'9.0.10'!$AM$4:$AP$55,4,FALSE))</f>
        <v>0</v>
      </c>
      <c r="C36" s="4">
        <f>(VLOOKUP('9.0.10'!K36,'9.0.10'!$AM$4:$AP$55,4,FALSE))</f>
        <v>0</v>
      </c>
      <c r="D36" s="4">
        <f>(VLOOKUP('9.0.10'!L36,'9.0.10'!$AM$4:$AP$55,4,FALSE))</f>
        <v>0</v>
      </c>
      <c r="E36" s="4">
        <f>(VLOOKUP('9.0.10'!M36,'9.0.10'!$AM$4:$AP$55,4,FALSE))</f>
        <v>0</v>
      </c>
      <c r="F36" s="4">
        <f>(VLOOKUP('9.0.10'!N36,'9.0.10'!$AM$4:$AP$55,4,FALSE))</f>
        <v>0</v>
      </c>
      <c r="G36" s="4">
        <f>(VLOOKUP('9.0.10'!O36,'9.0.10'!$AM$4:$AP$55,4,FALSE))</f>
        <v>0</v>
      </c>
      <c r="H36" s="4">
        <f>(VLOOKUP('9.0.10'!P36,'9.0.10'!$AM$4:$AP$55,4,FALSE))</f>
        <v>0</v>
      </c>
      <c r="I36" s="4">
        <f>(VLOOKUP('9.0.10'!Q36,'9.0.10'!$AM$4:$AP$55,4,FALSE))</f>
        <v>36</v>
      </c>
      <c r="J36" s="4">
        <f>(VLOOKUP('9.0.10'!R36,'9.0.10'!$AM$4:$AP$55,4,FALSE))</f>
        <v>36</v>
      </c>
      <c r="K36" s="4">
        <f>(VLOOKUP('9.0.10'!S36,'9.0.10'!$AM$4:$AP$55,4,FALSE))</f>
        <v>36</v>
      </c>
      <c r="L36" s="4">
        <f>(VLOOKUP('9.0.10'!T36,'9.0.10'!$AM$4:$AP$55,4,FALSE))</f>
        <v>36</v>
      </c>
      <c r="M36" s="4">
        <f>(VLOOKUP('9.0.10'!U36,'9.0.10'!$AM$4:$AP$55,4,FALSE))</f>
        <v>36</v>
      </c>
      <c r="N36" s="4">
        <f>(VLOOKUP('9.0.10'!V36,'9.0.10'!$AM$4:$AP$55,4,FALSE))</f>
        <v>36</v>
      </c>
      <c r="O36" s="4">
        <f>(VLOOKUP('9.0.10'!W36,'9.0.10'!$AM$4:$AP$55,4,FALSE))</f>
        <v>0</v>
      </c>
      <c r="P36" s="4">
        <f>(VLOOKUP('9.0.10'!X36,'9.0.10'!$AM$4:$AP$55,4,FALSE))</f>
        <v>0</v>
      </c>
      <c r="Q36" s="4">
        <f>(VLOOKUP('9.0.10'!Y36,'9.0.10'!$AM$4:$AP$55,4,FALSE))</f>
        <v>0</v>
      </c>
      <c r="R36" s="4">
        <f>(VLOOKUP('9.0.10'!Z36,'9.0.10'!$AM$4:$AP$55,4,FALSE))</f>
        <v>0</v>
      </c>
      <c r="S36" s="4">
        <f>(VLOOKUP('9.0.10'!AA36,'9.0.10'!$AM$4:$AP$55,4,FALSE))</f>
        <v>0</v>
      </c>
      <c r="T36" s="4">
        <f>(VLOOKUP('9.0.10'!AB36,'9.0.10'!$AM$4:$AP$55,4,FALSE))</f>
        <v>0</v>
      </c>
      <c r="U36" s="4">
        <f>(VLOOKUP('9.0.10'!AC36,'9.0.10'!$AM$4:$AP$55,4,FALSE))</f>
        <v>0</v>
      </c>
      <c r="V36" s="4">
        <f>(VLOOKUP('9.0.10'!AD36,'9.0.10'!$AM$4:$AP$55,4,FALSE))</f>
        <v>0</v>
      </c>
      <c r="W36" s="4">
        <f>(VLOOKUP('9.0.10'!AE36,'9.0.10'!$AM$4:$AP$55,4,FALSE))</f>
        <v>0</v>
      </c>
      <c r="X36" s="4">
        <f>(VLOOKUP('9.0.10'!AF36,'9.0.10'!$AM$4:$AP$55,4,FALSE))</f>
        <v>0</v>
      </c>
    </row>
    <row r="37" spans="1:24">
      <c r="A37" s="4">
        <f>(VLOOKUP('9.0.10'!I37,'9.0.10'!$AM$4:$AP$55,4,FALSE))</f>
        <v>0</v>
      </c>
      <c r="B37" s="4">
        <f>(VLOOKUP('9.0.10'!J37,'9.0.10'!$AM$4:$AP$55,4,FALSE))</f>
        <v>0</v>
      </c>
      <c r="C37" s="4">
        <f>(VLOOKUP('9.0.10'!K37,'9.0.10'!$AM$4:$AP$55,4,FALSE))</f>
        <v>0</v>
      </c>
      <c r="D37" s="4">
        <f>(VLOOKUP('9.0.10'!L37,'9.0.10'!$AM$4:$AP$55,4,FALSE))</f>
        <v>0</v>
      </c>
      <c r="E37" s="4">
        <f>(VLOOKUP('9.0.10'!M37,'9.0.10'!$AM$4:$AP$55,4,FALSE))</f>
        <v>0</v>
      </c>
      <c r="F37" s="4">
        <f>(VLOOKUP('9.0.10'!N37,'9.0.10'!$AM$4:$AP$55,4,FALSE))</f>
        <v>0</v>
      </c>
      <c r="G37" s="4">
        <f>(VLOOKUP('9.0.10'!O37,'9.0.10'!$AM$4:$AP$55,4,FALSE))</f>
        <v>0</v>
      </c>
      <c r="H37" s="4">
        <f>(VLOOKUP('9.0.10'!P37,'9.0.10'!$AM$4:$AP$55,4,FALSE))</f>
        <v>0</v>
      </c>
      <c r="I37" s="4">
        <f>(VLOOKUP('9.0.10'!Q37,'9.0.10'!$AM$4:$AP$55,4,FALSE))</f>
        <v>36</v>
      </c>
      <c r="J37" s="4">
        <f>(VLOOKUP('9.0.10'!R37,'9.0.10'!$AM$4:$AP$55,4,FALSE))</f>
        <v>36</v>
      </c>
      <c r="K37" s="4">
        <f>(VLOOKUP('9.0.10'!S37,'9.0.10'!$AM$4:$AP$55,4,FALSE))</f>
        <v>36</v>
      </c>
      <c r="L37" s="4">
        <f>(VLOOKUP('9.0.10'!T37,'9.0.10'!$AM$4:$AP$55,4,FALSE))</f>
        <v>36</v>
      </c>
      <c r="M37" s="4">
        <f>(VLOOKUP('9.0.10'!U37,'9.0.10'!$AM$4:$AP$55,4,FALSE))</f>
        <v>36</v>
      </c>
      <c r="N37" s="4">
        <f>(VLOOKUP('9.0.10'!V37,'9.0.10'!$AM$4:$AP$55,4,FALSE))</f>
        <v>36</v>
      </c>
      <c r="O37" s="4">
        <f>(VLOOKUP('9.0.10'!W37,'9.0.10'!$AM$4:$AP$55,4,FALSE))</f>
        <v>0</v>
      </c>
      <c r="P37" s="4">
        <f>(VLOOKUP('9.0.10'!X37,'9.0.10'!$AM$4:$AP$55,4,FALSE))</f>
        <v>0</v>
      </c>
      <c r="Q37" s="4">
        <f>(VLOOKUP('9.0.10'!Y37,'9.0.10'!$AM$4:$AP$55,4,FALSE))</f>
        <v>0</v>
      </c>
      <c r="R37" s="4">
        <f>(VLOOKUP('9.0.10'!Z37,'9.0.10'!$AM$4:$AP$55,4,FALSE))</f>
        <v>0</v>
      </c>
      <c r="S37" s="4">
        <f>(VLOOKUP('9.0.10'!AA37,'9.0.10'!$AM$4:$AP$55,4,FALSE))</f>
        <v>0</v>
      </c>
      <c r="T37" s="4">
        <f>(VLOOKUP('9.0.10'!AB37,'9.0.10'!$AM$4:$AP$55,4,FALSE))</f>
        <v>0</v>
      </c>
      <c r="U37" s="4">
        <f>(VLOOKUP('9.0.10'!AC37,'9.0.10'!$AM$4:$AP$55,4,FALSE))</f>
        <v>0</v>
      </c>
      <c r="V37" s="4">
        <f>(VLOOKUP('9.0.10'!AD37,'9.0.10'!$AM$4:$AP$55,4,FALSE))</f>
        <v>0</v>
      </c>
      <c r="W37" s="4">
        <f>(VLOOKUP('9.0.10'!AE37,'9.0.10'!$AM$4:$AP$55,4,FALSE))</f>
        <v>0</v>
      </c>
      <c r="X37" s="4">
        <f>(VLOOKUP('9.0.10'!AF37,'9.0.10'!$AM$4:$AP$55,4,FALSE))</f>
        <v>0</v>
      </c>
    </row>
    <row r="38" spans="1:24">
      <c r="A38" s="4">
        <f>(VLOOKUP('9.0.10'!I38,'9.0.10'!$AM$4:$AP$55,4,FALSE))</f>
        <v>0</v>
      </c>
      <c r="B38" s="4">
        <f>(VLOOKUP('9.0.10'!J38,'9.0.10'!$AM$4:$AP$55,4,FALSE))</f>
        <v>0</v>
      </c>
      <c r="C38" s="4">
        <f>(VLOOKUP('9.0.10'!K38,'9.0.10'!$AM$4:$AP$55,4,FALSE))</f>
        <v>0</v>
      </c>
      <c r="D38" s="4">
        <f>(VLOOKUP('9.0.10'!L38,'9.0.10'!$AM$4:$AP$55,4,FALSE))</f>
        <v>0</v>
      </c>
      <c r="E38" s="4">
        <f>(VLOOKUP('9.0.10'!M38,'9.0.10'!$AM$4:$AP$55,4,FALSE))</f>
        <v>0</v>
      </c>
      <c r="F38" s="4">
        <f>(VLOOKUP('9.0.10'!N38,'9.0.10'!$AM$4:$AP$55,4,FALSE))</f>
        <v>0</v>
      </c>
      <c r="G38" s="4">
        <f>(VLOOKUP('9.0.10'!O38,'9.0.10'!$AM$4:$AP$55,4,FALSE))</f>
        <v>0</v>
      </c>
      <c r="H38" s="4">
        <f>(VLOOKUP('9.0.10'!P38,'9.0.10'!$AM$4:$AP$55,4,FALSE))</f>
        <v>0</v>
      </c>
      <c r="I38" s="4">
        <f>(VLOOKUP('9.0.10'!Q38,'9.0.10'!$AM$4:$AP$55,4,FALSE))</f>
        <v>36</v>
      </c>
      <c r="J38" s="4">
        <f>(VLOOKUP('9.0.10'!R38,'9.0.10'!$AM$4:$AP$55,4,FALSE))</f>
        <v>36</v>
      </c>
      <c r="K38" s="4">
        <f>(VLOOKUP('9.0.10'!S38,'9.0.10'!$AM$4:$AP$55,4,FALSE))</f>
        <v>36</v>
      </c>
      <c r="L38" s="4">
        <f>(VLOOKUP('9.0.10'!T38,'9.0.10'!$AM$4:$AP$55,4,FALSE))</f>
        <v>36</v>
      </c>
      <c r="M38" s="4">
        <f>(VLOOKUP('9.0.10'!U38,'9.0.10'!$AM$4:$AP$55,4,FALSE))</f>
        <v>36</v>
      </c>
      <c r="N38" s="4">
        <f>(VLOOKUP('9.0.10'!V38,'9.0.10'!$AM$4:$AP$55,4,FALSE))</f>
        <v>36</v>
      </c>
      <c r="O38" s="4">
        <f>(VLOOKUP('9.0.10'!W38,'9.0.10'!$AM$4:$AP$55,4,FALSE))</f>
        <v>0</v>
      </c>
      <c r="P38" s="4">
        <f>(VLOOKUP('9.0.10'!X38,'9.0.10'!$AM$4:$AP$55,4,FALSE))</f>
        <v>0</v>
      </c>
      <c r="Q38" s="4">
        <f>(VLOOKUP('9.0.10'!Y38,'9.0.10'!$AM$4:$AP$55,4,FALSE))</f>
        <v>34</v>
      </c>
      <c r="R38" s="4">
        <f>(VLOOKUP('9.0.10'!Z38,'9.0.10'!$AM$4:$AP$55,4,FALSE))</f>
        <v>34</v>
      </c>
      <c r="S38" s="4">
        <f>(VLOOKUP('9.0.10'!AA38,'9.0.10'!$AM$4:$AP$55,4,FALSE))</f>
        <v>34</v>
      </c>
      <c r="T38" s="4">
        <f>(VLOOKUP('9.0.10'!AB38,'9.0.10'!$AM$4:$AP$55,4,FALSE))</f>
        <v>34</v>
      </c>
      <c r="U38" s="4">
        <f>(VLOOKUP('9.0.10'!AC38,'9.0.10'!$AM$4:$AP$55,4,FALSE))</f>
        <v>34</v>
      </c>
      <c r="V38" s="4">
        <f>(VLOOKUP('9.0.10'!AD38,'9.0.10'!$AM$4:$AP$55,4,FALSE))</f>
        <v>34</v>
      </c>
      <c r="W38" s="4">
        <f>(VLOOKUP('9.0.10'!AE38,'9.0.10'!$AM$4:$AP$55,4,FALSE))</f>
        <v>0</v>
      </c>
      <c r="X38" s="4">
        <f>(VLOOKUP('9.0.10'!AF38,'9.0.10'!$AM$4:$AP$55,4,FALSE))</f>
        <v>0</v>
      </c>
    </row>
    <row r="39" spans="1:24">
      <c r="A39" s="4">
        <f>(VLOOKUP('9.0.10'!I39,'9.0.10'!$AM$4:$AP$55,4,FALSE))</f>
        <v>0</v>
      </c>
      <c r="B39" s="4">
        <f>(VLOOKUP('9.0.10'!J39,'9.0.10'!$AM$4:$AP$55,4,FALSE))</f>
        <v>0</v>
      </c>
      <c r="C39" s="4">
        <f>(VLOOKUP('9.0.10'!K39,'9.0.10'!$AM$4:$AP$55,4,FALSE))</f>
        <v>0</v>
      </c>
      <c r="D39" s="4">
        <f>(VLOOKUP('9.0.10'!L39,'9.0.10'!$AM$4:$AP$55,4,FALSE))</f>
        <v>0</v>
      </c>
      <c r="E39" s="4">
        <f>(VLOOKUP('9.0.10'!M39,'9.0.10'!$AM$4:$AP$55,4,FALSE))</f>
        <v>0</v>
      </c>
      <c r="F39" s="4">
        <f>(VLOOKUP('9.0.10'!N39,'9.0.10'!$AM$4:$AP$55,4,FALSE))</f>
        <v>0</v>
      </c>
      <c r="G39" s="4">
        <f>(VLOOKUP('9.0.10'!O39,'9.0.10'!$AM$4:$AP$55,4,FALSE))</f>
        <v>0</v>
      </c>
      <c r="H39" s="4">
        <f>(VLOOKUP('9.0.10'!P39,'9.0.10'!$AM$4:$AP$55,4,FALSE))</f>
        <v>0</v>
      </c>
      <c r="I39" s="4">
        <f>(VLOOKUP('9.0.10'!Q39,'9.0.10'!$AM$4:$AP$55,4,FALSE))</f>
        <v>36</v>
      </c>
      <c r="J39" s="4">
        <f>(VLOOKUP('9.0.10'!R39,'9.0.10'!$AM$4:$AP$55,4,FALSE))</f>
        <v>36</v>
      </c>
      <c r="K39" s="4">
        <f>(VLOOKUP('9.0.10'!S39,'9.0.10'!$AM$4:$AP$55,4,FALSE))</f>
        <v>0</v>
      </c>
      <c r="L39" s="4">
        <f>(VLOOKUP('9.0.10'!T39,'9.0.10'!$AM$4:$AP$55,4,FALSE))</f>
        <v>38</v>
      </c>
      <c r="M39" s="4">
        <f>(VLOOKUP('9.0.10'!U39,'9.0.10'!$AM$4:$AP$55,4,FALSE))</f>
        <v>38</v>
      </c>
      <c r="N39" s="4">
        <f>(VLOOKUP('9.0.10'!V39,'9.0.10'!$AM$4:$AP$55,4,FALSE))</f>
        <v>38</v>
      </c>
      <c r="O39" s="4">
        <f>(VLOOKUP('9.0.10'!W39,'9.0.10'!$AM$4:$AP$55,4,FALSE))</f>
        <v>38</v>
      </c>
      <c r="P39" s="4">
        <f>(VLOOKUP('9.0.10'!X39,'9.0.10'!$AM$4:$AP$55,4,FALSE))</f>
        <v>38</v>
      </c>
      <c r="Q39" s="4">
        <f>(VLOOKUP('9.0.10'!Y39,'9.0.10'!$AM$4:$AP$55,4,FALSE))</f>
        <v>34</v>
      </c>
      <c r="R39" s="4">
        <f>(VLOOKUP('9.0.10'!Z39,'9.0.10'!$AM$4:$AP$55,4,FALSE))</f>
        <v>34</v>
      </c>
      <c r="S39" s="4">
        <f>(VLOOKUP('9.0.10'!AA39,'9.0.10'!$AM$4:$AP$55,4,FALSE))</f>
        <v>34</v>
      </c>
      <c r="T39" s="4">
        <f>(VLOOKUP('9.0.10'!AB39,'9.0.10'!$AM$4:$AP$55,4,FALSE))</f>
        <v>34</v>
      </c>
      <c r="U39" s="4">
        <f>(VLOOKUP('9.0.10'!AC39,'9.0.10'!$AM$4:$AP$55,4,FALSE))</f>
        <v>34</v>
      </c>
      <c r="V39" s="4">
        <f>(VLOOKUP('9.0.10'!AD39,'9.0.10'!$AM$4:$AP$55,4,FALSE))</f>
        <v>34</v>
      </c>
      <c r="W39" s="4">
        <f>(VLOOKUP('9.0.10'!AE39,'9.0.10'!$AM$4:$AP$55,4,FALSE))</f>
        <v>0</v>
      </c>
      <c r="X39" s="4">
        <f>(VLOOKUP('9.0.10'!AF39,'9.0.10'!$AM$4:$AP$55,4,FALSE))</f>
        <v>0</v>
      </c>
    </row>
    <row r="40" spans="1:24">
      <c r="A40" s="4">
        <f>(VLOOKUP('9.0.10'!I40,'9.0.10'!$AM$4:$AP$55,4,FALSE))</f>
        <v>0</v>
      </c>
      <c r="B40" s="4">
        <f>(VLOOKUP('9.0.10'!J40,'9.0.10'!$AM$4:$AP$55,4,FALSE))</f>
        <v>0</v>
      </c>
      <c r="C40" s="4">
        <f>(VLOOKUP('9.0.10'!K40,'9.0.10'!$AM$4:$AP$55,4,FALSE))</f>
        <v>0</v>
      </c>
      <c r="D40" s="4">
        <f>(VLOOKUP('9.0.10'!L40,'9.0.10'!$AM$4:$AP$55,4,FALSE))</f>
        <v>0</v>
      </c>
      <c r="E40" s="4">
        <f>(VLOOKUP('9.0.10'!M40,'9.0.10'!$AM$4:$AP$55,4,FALSE))</f>
        <v>0</v>
      </c>
      <c r="F40" s="4">
        <f>(VLOOKUP('9.0.10'!N40,'9.0.10'!$AM$4:$AP$55,4,FALSE))</f>
        <v>0</v>
      </c>
      <c r="G40" s="4">
        <f>(VLOOKUP('9.0.10'!O40,'9.0.10'!$AM$4:$AP$55,4,FALSE))</f>
        <v>0</v>
      </c>
      <c r="H40" s="4">
        <f>(VLOOKUP('9.0.10'!P40,'9.0.10'!$AM$4:$AP$55,4,FALSE))</f>
        <v>0</v>
      </c>
      <c r="I40" s="4">
        <f>(VLOOKUP('9.0.10'!Q40,'9.0.10'!$AM$4:$AP$55,4,FALSE))</f>
        <v>0</v>
      </c>
      <c r="J40" s="4">
        <f>(VLOOKUP('9.0.10'!R40,'9.0.10'!$AM$4:$AP$55,4,FALSE))</f>
        <v>0</v>
      </c>
      <c r="K40" s="4">
        <f>(VLOOKUP('9.0.10'!S40,'9.0.10'!$AM$4:$AP$55,4,FALSE))</f>
        <v>0</v>
      </c>
      <c r="L40" s="4">
        <f>(VLOOKUP('9.0.10'!T40,'9.0.10'!$AM$4:$AP$55,4,FALSE))</f>
        <v>38</v>
      </c>
      <c r="M40" s="4">
        <f>(VLOOKUP('9.0.10'!U40,'9.0.10'!$AM$4:$AP$55,4,FALSE))</f>
        <v>38</v>
      </c>
      <c r="N40" s="4">
        <f>(VLOOKUP('9.0.10'!V40,'9.0.10'!$AM$4:$AP$55,4,FALSE))</f>
        <v>38</v>
      </c>
      <c r="O40" s="4">
        <f>(VLOOKUP('9.0.10'!W40,'9.0.10'!$AM$4:$AP$55,4,FALSE))</f>
        <v>0</v>
      </c>
      <c r="P40" s="4">
        <f>(VLOOKUP('9.0.10'!X40,'9.0.10'!$AM$4:$AP$55,4,FALSE))</f>
        <v>0</v>
      </c>
      <c r="Q40" s="4">
        <f>(VLOOKUP('9.0.10'!Y40,'9.0.10'!$AM$4:$AP$55,4,FALSE))</f>
        <v>34</v>
      </c>
      <c r="R40" s="4">
        <f>(VLOOKUP('9.0.10'!Z40,'9.0.10'!$AM$4:$AP$55,4,FALSE))</f>
        <v>34</v>
      </c>
      <c r="S40" s="4">
        <f>(VLOOKUP('9.0.10'!AA40,'9.0.10'!$AM$4:$AP$55,4,FALSE))</f>
        <v>34</v>
      </c>
      <c r="T40" s="4">
        <f>(VLOOKUP('9.0.10'!AB40,'9.0.10'!$AM$4:$AP$55,4,FALSE))</f>
        <v>34</v>
      </c>
      <c r="U40" s="4">
        <f>(VLOOKUP('9.0.10'!AC40,'9.0.10'!$AM$4:$AP$55,4,FALSE))</f>
        <v>34</v>
      </c>
      <c r="V40" s="4">
        <f>(VLOOKUP('9.0.10'!AD40,'9.0.10'!$AM$4:$AP$55,4,FALSE))</f>
        <v>13.999854933178597</v>
      </c>
      <c r="W40" s="4">
        <f>(VLOOKUP('9.0.10'!AE40,'9.0.10'!$AM$4:$AP$55,4,FALSE))</f>
        <v>0</v>
      </c>
      <c r="X40" s="4">
        <f>(VLOOKUP('9.0.10'!AF40,'9.0.10'!$AM$4:$AP$55,4,FALSE))</f>
        <v>0</v>
      </c>
    </row>
    <row r="41" spans="1:24">
      <c r="A41" s="4">
        <f>(VLOOKUP('9.0.10'!I41,'9.0.10'!$AM$4:$AP$55,4,FALSE))</f>
        <v>0</v>
      </c>
      <c r="B41" s="4">
        <f>(VLOOKUP('9.0.10'!J41,'9.0.10'!$AM$4:$AP$55,4,FALSE))</f>
        <v>0</v>
      </c>
      <c r="C41" s="4">
        <f>(VLOOKUP('9.0.10'!K41,'9.0.10'!$AM$4:$AP$55,4,FALSE))</f>
        <v>0</v>
      </c>
      <c r="D41" s="4">
        <f>(VLOOKUP('9.0.10'!L41,'9.0.10'!$AM$4:$AP$55,4,FALSE))</f>
        <v>0</v>
      </c>
      <c r="E41" s="4">
        <f>(VLOOKUP('9.0.10'!M41,'9.0.10'!$AM$4:$AP$55,4,FALSE))</f>
        <v>0</v>
      </c>
      <c r="F41" s="4">
        <f>(VLOOKUP('9.0.10'!N41,'9.0.10'!$AM$4:$AP$55,4,FALSE))</f>
        <v>0</v>
      </c>
      <c r="G41" s="4">
        <f>(VLOOKUP('9.0.10'!O41,'9.0.10'!$AM$4:$AP$55,4,FALSE))</f>
        <v>0</v>
      </c>
      <c r="H41" s="4">
        <f>(VLOOKUP('9.0.10'!P41,'9.0.10'!$AM$4:$AP$55,4,FALSE))</f>
        <v>0</v>
      </c>
      <c r="I41" s="4">
        <f>(VLOOKUP('9.0.10'!Q41,'9.0.10'!$AM$4:$AP$55,4,FALSE))</f>
        <v>0</v>
      </c>
      <c r="J41" s="4">
        <f>(VLOOKUP('9.0.10'!R41,'9.0.10'!$AM$4:$AP$55,4,FALSE))</f>
        <v>0</v>
      </c>
      <c r="K41" s="4">
        <f>(VLOOKUP('9.0.10'!S41,'9.0.10'!$AM$4:$AP$55,4,FALSE))</f>
        <v>0</v>
      </c>
      <c r="L41" s="4">
        <f>(VLOOKUP('9.0.10'!T41,'9.0.10'!$AM$4:$AP$55,4,FALSE))</f>
        <v>0</v>
      </c>
      <c r="M41" s="4">
        <f>(VLOOKUP('9.0.10'!U41,'9.0.10'!$AM$4:$AP$55,4,FALSE))</f>
        <v>0</v>
      </c>
      <c r="N41" s="4">
        <f>(VLOOKUP('9.0.10'!V41,'9.0.10'!$AM$4:$AP$55,4,FALSE))</f>
        <v>38</v>
      </c>
      <c r="O41" s="4">
        <f>(VLOOKUP('9.0.10'!W41,'9.0.10'!$AM$4:$AP$55,4,FALSE))</f>
        <v>0</v>
      </c>
      <c r="P41" s="4">
        <f>(VLOOKUP('9.0.10'!X41,'9.0.10'!$AM$4:$AP$55,4,FALSE))</f>
        <v>0</v>
      </c>
      <c r="Q41" s="4">
        <f>(VLOOKUP('9.0.10'!Y41,'9.0.10'!$AM$4:$AP$55,4,FALSE))</f>
        <v>34</v>
      </c>
      <c r="R41" s="4">
        <f>(VLOOKUP('9.0.10'!Z41,'9.0.10'!$AM$4:$AP$55,4,FALSE))</f>
        <v>34</v>
      </c>
      <c r="S41" s="4">
        <f>(VLOOKUP('9.0.10'!AA41,'9.0.10'!$AM$4:$AP$55,4,FALSE))</f>
        <v>34</v>
      </c>
      <c r="T41" s="4">
        <f>(VLOOKUP('9.0.10'!AB41,'9.0.10'!$AM$4:$AP$55,4,FALSE))</f>
        <v>34</v>
      </c>
      <c r="U41" s="4">
        <f>(VLOOKUP('9.0.10'!AC41,'9.0.10'!$AM$4:$AP$55,4,FALSE))</f>
        <v>36</v>
      </c>
      <c r="V41" s="4">
        <f>(VLOOKUP('9.0.10'!AD41,'9.0.10'!$AM$4:$AP$55,4,FALSE))</f>
        <v>36</v>
      </c>
      <c r="W41" s="4">
        <f>(VLOOKUP('9.0.10'!AE41,'9.0.10'!$AM$4:$AP$55,4,FALSE))</f>
        <v>0</v>
      </c>
      <c r="X41" s="4">
        <f>(VLOOKUP('9.0.10'!AF41,'9.0.10'!$AM$4:$AP$55,4,FALSE))</f>
        <v>0</v>
      </c>
    </row>
    <row r="42" spans="1:24">
      <c r="A42" s="4">
        <f>(VLOOKUP('9.0.10'!I42,'9.0.10'!$AM$4:$AP$55,4,FALSE))</f>
        <v>0</v>
      </c>
      <c r="B42" s="4">
        <f>(VLOOKUP('9.0.10'!J42,'9.0.10'!$AM$4:$AP$55,4,FALSE))</f>
        <v>0</v>
      </c>
      <c r="C42" s="4">
        <f>(VLOOKUP('9.0.10'!K42,'9.0.10'!$AM$4:$AP$55,4,FALSE))</f>
        <v>0</v>
      </c>
      <c r="D42" s="4">
        <f>(VLOOKUP('9.0.10'!L42,'9.0.10'!$AM$4:$AP$55,4,FALSE))</f>
        <v>0</v>
      </c>
      <c r="E42" s="4">
        <f>(VLOOKUP('9.0.10'!M42,'9.0.10'!$AM$4:$AP$55,4,FALSE))</f>
        <v>0</v>
      </c>
      <c r="F42" s="4">
        <f>(VLOOKUP('9.0.10'!N42,'9.0.10'!$AM$4:$AP$55,4,FALSE))</f>
        <v>0</v>
      </c>
      <c r="G42" s="4">
        <f>(VLOOKUP('9.0.10'!O42,'9.0.10'!$AM$4:$AP$55,4,FALSE))</f>
        <v>0</v>
      </c>
      <c r="H42" s="4">
        <f>(VLOOKUP('9.0.10'!P42,'9.0.10'!$AM$4:$AP$55,4,FALSE))</f>
        <v>0</v>
      </c>
      <c r="I42" s="4">
        <f>(VLOOKUP('9.0.10'!Q42,'9.0.10'!$AM$4:$AP$55,4,FALSE))</f>
        <v>38</v>
      </c>
      <c r="J42" s="4">
        <f>(VLOOKUP('9.0.10'!R42,'9.0.10'!$AM$4:$AP$55,4,FALSE))</f>
        <v>38</v>
      </c>
      <c r="K42" s="4">
        <f>(VLOOKUP('9.0.10'!S42,'9.0.10'!$AM$4:$AP$55,4,FALSE))</f>
        <v>38</v>
      </c>
      <c r="L42" s="4">
        <f>(VLOOKUP('9.0.10'!T42,'9.0.10'!$AM$4:$AP$55,4,FALSE))</f>
        <v>0</v>
      </c>
      <c r="M42" s="4">
        <f>(VLOOKUP('9.0.10'!U42,'9.0.10'!$AM$4:$AP$55,4,FALSE))</f>
        <v>0</v>
      </c>
      <c r="N42" s="4">
        <f>(VLOOKUP('9.0.10'!V42,'9.0.10'!$AM$4:$AP$55,4,FALSE))</f>
        <v>0</v>
      </c>
      <c r="O42" s="4">
        <f>(VLOOKUP('9.0.10'!W42,'9.0.10'!$AM$4:$AP$55,4,FALSE))</f>
        <v>0</v>
      </c>
      <c r="P42" s="4">
        <f>(VLOOKUP('9.0.10'!X42,'9.0.10'!$AM$4:$AP$55,4,FALSE))</f>
        <v>0</v>
      </c>
      <c r="Q42" s="4">
        <f>(VLOOKUP('9.0.10'!Y42,'9.0.10'!$AM$4:$AP$55,4,FALSE))</f>
        <v>36</v>
      </c>
      <c r="R42" s="4">
        <f>(VLOOKUP('9.0.10'!Z42,'9.0.10'!$AM$4:$AP$55,4,FALSE))</f>
        <v>36</v>
      </c>
      <c r="S42" s="4">
        <f>(VLOOKUP('9.0.10'!AA42,'9.0.10'!$AM$4:$AP$55,4,FALSE))</f>
        <v>36</v>
      </c>
      <c r="T42" s="4">
        <f>(VLOOKUP('9.0.10'!AB42,'9.0.10'!$AM$4:$AP$55,4,FALSE))</f>
        <v>36</v>
      </c>
      <c r="U42" s="4">
        <f>(VLOOKUP('9.0.10'!AC42,'9.0.10'!$AM$4:$AP$55,4,FALSE))</f>
        <v>10</v>
      </c>
      <c r="V42" s="4">
        <f>(VLOOKUP('9.0.10'!AD42,'9.0.10'!$AM$4:$AP$55,4,FALSE))</f>
        <v>36</v>
      </c>
      <c r="W42" s="4">
        <f>(VLOOKUP('9.0.10'!AE42,'9.0.10'!$AM$4:$AP$55,4,FALSE))</f>
        <v>0</v>
      </c>
      <c r="X42" s="4">
        <f>(VLOOKUP('9.0.10'!AF42,'9.0.10'!$AM$4:$AP$55,4,FALSE))</f>
        <v>0</v>
      </c>
    </row>
    <row r="43" spans="1:24">
      <c r="A43" s="4">
        <f>(VLOOKUP('9.0.10'!I43,'9.0.10'!$AM$4:$AP$55,4,FALSE))</f>
        <v>0</v>
      </c>
      <c r="B43" s="4">
        <f>(VLOOKUP('9.0.10'!J43,'9.0.10'!$AM$4:$AP$55,4,FALSE))</f>
        <v>0</v>
      </c>
      <c r="C43" s="4">
        <f>(VLOOKUP('9.0.10'!K43,'9.0.10'!$AM$4:$AP$55,4,FALSE))</f>
        <v>0</v>
      </c>
      <c r="D43" s="4">
        <f>(VLOOKUP('9.0.10'!L43,'9.0.10'!$AM$4:$AP$55,4,FALSE))</f>
        <v>0</v>
      </c>
      <c r="E43" s="4">
        <f>(VLOOKUP('9.0.10'!M43,'9.0.10'!$AM$4:$AP$55,4,FALSE))</f>
        <v>0</v>
      </c>
      <c r="F43" s="4">
        <f>(VLOOKUP('9.0.10'!N43,'9.0.10'!$AM$4:$AP$55,4,FALSE))</f>
        <v>0</v>
      </c>
      <c r="G43" s="4">
        <f>(VLOOKUP('9.0.10'!O43,'9.0.10'!$AM$4:$AP$55,4,FALSE))</f>
        <v>0</v>
      </c>
      <c r="H43" s="4">
        <f>(VLOOKUP('9.0.10'!P43,'9.0.10'!$AM$4:$AP$55,4,FALSE))</f>
        <v>0</v>
      </c>
      <c r="I43" s="4">
        <f>(VLOOKUP('9.0.10'!Q43,'9.0.10'!$AM$4:$AP$55,4,FALSE))</f>
        <v>38</v>
      </c>
      <c r="J43" s="4">
        <f>(VLOOKUP('9.0.10'!R43,'9.0.10'!$AM$4:$AP$55,4,FALSE))</f>
        <v>38</v>
      </c>
      <c r="K43" s="4">
        <f>(VLOOKUP('9.0.10'!S43,'9.0.10'!$AM$4:$AP$55,4,FALSE))</f>
        <v>0</v>
      </c>
      <c r="L43" s="4">
        <f>(VLOOKUP('9.0.10'!T43,'9.0.10'!$AM$4:$AP$55,4,FALSE))</f>
        <v>0</v>
      </c>
      <c r="M43" s="4">
        <f>(VLOOKUP('9.0.10'!U43,'9.0.10'!$AM$4:$AP$55,4,FALSE))</f>
        <v>0</v>
      </c>
      <c r="N43" s="4">
        <f>(VLOOKUP('9.0.10'!V43,'9.0.10'!$AM$4:$AP$55,4,FALSE))</f>
        <v>0</v>
      </c>
      <c r="O43" s="4">
        <f>(VLOOKUP('9.0.10'!W43,'9.0.10'!$AM$4:$AP$55,4,FALSE))</f>
        <v>0</v>
      </c>
      <c r="P43" s="4">
        <f>(VLOOKUP('9.0.10'!X43,'9.0.10'!$AM$4:$AP$55,4,FALSE))</f>
        <v>0</v>
      </c>
      <c r="Q43" s="4">
        <f>(VLOOKUP('9.0.10'!Y43,'9.0.10'!$AM$4:$AP$55,4,FALSE))</f>
        <v>36</v>
      </c>
      <c r="R43" s="4">
        <f>(VLOOKUP('9.0.10'!Z43,'9.0.10'!$AM$4:$AP$55,4,FALSE))</f>
        <v>36</v>
      </c>
      <c r="S43" s="4">
        <f>(VLOOKUP('9.0.10'!AA43,'9.0.10'!$AM$4:$AP$55,4,FALSE))</f>
        <v>36</v>
      </c>
      <c r="T43" s="4">
        <f>(VLOOKUP('9.0.10'!AB43,'9.0.10'!$AM$4:$AP$55,4,FALSE))</f>
        <v>36</v>
      </c>
      <c r="U43" s="4">
        <f>(VLOOKUP('9.0.10'!AC43,'9.0.10'!$AM$4:$AP$55,4,FALSE))</f>
        <v>36</v>
      </c>
      <c r="V43" s="4">
        <f>(VLOOKUP('9.0.10'!AD43,'9.0.10'!$AM$4:$AP$55,4,FALSE))</f>
        <v>36</v>
      </c>
      <c r="W43" s="4">
        <f>(VLOOKUP('9.0.10'!AE43,'9.0.10'!$AM$4:$AP$55,4,FALSE))</f>
        <v>0</v>
      </c>
      <c r="X43" s="4">
        <f>(VLOOKUP('9.0.10'!AF43,'9.0.10'!$AM$4:$AP$55,4,FALSE))</f>
        <v>0</v>
      </c>
    </row>
    <row r="44" spans="1:24">
      <c r="A44" s="4">
        <f>(VLOOKUP('9.0.10'!I44,'9.0.10'!$AM$4:$AP$55,4,FALSE))</f>
        <v>0</v>
      </c>
      <c r="B44" s="4">
        <f>(VLOOKUP('9.0.10'!J44,'9.0.10'!$AM$4:$AP$55,4,FALSE))</f>
        <v>0</v>
      </c>
      <c r="C44" s="4">
        <f>(VLOOKUP('9.0.10'!K44,'9.0.10'!$AM$4:$AP$55,4,FALSE))</f>
        <v>0</v>
      </c>
      <c r="D44" s="4">
        <f>(VLOOKUP('9.0.10'!L44,'9.0.10'!$AM$4:$AP$55,4,FALSE))</f>
        <v>0</v>
      </c>
      <c r="E44" s="4">
        <f>(VLOOKUP('9.0.10'!M44,'9.0.10'!$AM$4:$AP$55,4,FALSE))</f>
        <v>0</v>
      </c>
      <c r="F44" s="4">
        <f>(VLOOKUP('9.0.10'!N44,'9.0.10'!$AM$4:$AP$55,4,FALSE))</f>
        <v>0</v>
      </c>
      <c r="G44" s="4">
        <f>(VLOOKUP('9.0.10'!O44,'9.0.10'!$AM$4:$AP$55,4,FALSE))</f>
        <v>0</v>
      </c>
      <c r="H44" s="4">
        <f>(VLOOKUP('9.0.10'!P44,'9.0.10'!$AM$4:$AP$55,4,FALSE))</f>
        <v>0</v>
      </c>
      <c r="I44" s="4">
        <f>(VLOOKUP('9.0.10'!Q44,'9.0.10'!$AM$4:$AP$55,4,FALSE))</f>
        <v>0</v>
      </c>
      <c r="J44" s="4">
        <f>(VLOOKUP('9.0.10'!R44,'9.0.10'!$AM$4:$AP$55,4,FALSE))</f>
        <v>0</v>
      </c>
      <c r="K44" s="4">
        <f>(VLOOKUP('9.0.10'!S44,'9.0.10'!$AM$4:$AP$55,4,FALSE))</f>
        <v>0</v>
      </c>
      <c r="L44" s="4">
        <f>(VLOOKUP('9.0.10'!T44,'9.0.10'!$AM$4:$AP$55,4,FALSE))</f>
        <v>0</v>
      </c>
      <c r="M44" s="4">
        <f>(VLOOKUP('9.0.10'!U44,'9.0.10'!$AM$4:$AP$55,4,FALSE))</f>
        <v>0</v>
      </c>
      <c r="N44" s="4">
        <f>(VLOOKUP('9.0.10'!V44,'9.0.10'!$AM$4:$AP$55,4,FALSE))</f>
        <v>0</v>
      </c>
      <c r="O44" s="4">
        <f>(VLOOKUP('9.0.10'!W44,'9.0.10'!$AM$4:$AP$55,4,FALSE))</f>
        <v>0</v>
      </c>
      <c r="P44" s="4">
        <f>(VLOOKUP('9.0.10'!X44,'9.0.10'!$AM$4:$AP$55,4,FALSE))</f>
        <v>0</v>
      </c>
      <c r="Q44" s="4">
        <f>(VLOOKUP('9.0.10'!Y44,'9.0.10'!$AM$4:$AP$55,4,FALSE))</f>
        <v>36</v>
      </c>
      <c r="R44" s="4">
        <f>(VLOOKUP('9.0.10'!Z44,'9.0.10'!$AM$4:$AP$55,4,FALSE))</f>
        <v>36</v>
      </c>
      <c r="S44" s="4">
        <f>(VLOOKUP('9.0.10'!AA44,'9.0.10'!$AM$4:$AP$55,4,FALSE))</f>
        <v>0</v>
      </c>
      <c r="T44" s="4">
        <f>(VLOOKUP('9.0.10'!AB44,'9.0.10'!$AM$4:$AP$55,4,FALSE))</f>
        <v>36</v>
      </c>
      <c r="U44" s="4">
        <f>(VLOOKUP('9.0.10'!AC44,'9.0.10'!$AM$4:$AP$55,4,FALSE))</f>
        <v>36</v>
      </c>
      <c r="V44" s="4">
        <f>(VLOOKUP('9.0.10'!AD44,'9.0.10'!$AM$4:$AP$55,4,FALSE))</f>
        <v>36</v>
      </c>
      <c r="W44" s="4">
        <f>(VLOOKUP('9.0.10'!AE44,'9.0.10'!$AM$4:$AP$55,4,FALSE))</f>
        <v>36</v>
      </c>
      <c r="X44" s="4">
        <f>(VLOOKUP('9.0.10'!AF44,'9.0.10'!$AM$4:$AP$55,4,FALSE))</f>
        <v>36</v>
      </c>
    </row>
    <row r="45" spans="1:24">
      <c r="A45" s="4">
        <f>(VLOOKUP('9.0.10'!I45,'9.0.10'!$AM$4:$AP$55,4,FALSE))</f>
        <v>0</v>
      </c>
      <c r="B45" s="4">
        <f>(VLOOKUP('9.0.10'!J45,'9.0.10'!$AM$4:$AP$55,4,FALSE))</f>
        <v>0</v>
      </c>
      <c r="C45" s="4">
        <f>(VLOOKUP('9.0.10'!K45,'9.0.10'!$AM$4:$AP$55,4,FALSE))</f>
        <v>0</v>
      </c>
      <c r="D45" s="4">
        <f>(VLOOKUP('9.0.10'!L45,'9.0.10'!$AM$4:$AP$55,4,FALSE))</f>
        <v>0</v>
      </c>
      <c r="E45" s="4">
        <f>(VLOOKUP('9.0.10'!M45,'9.0.10'!$AM$4:$AP$55,4,FALSE))</f>
        <v>0</v>
      </c>
      <c r="F45" s="4">
        <f>(VLOOKUP('9.0.10'!N45,'9.0.10'!$AM$4:$AP$55,4,FALSE))</f>
        <v>0</v>
      </c>
      <c r="G45" s="4">
        <f>(VLOOKUP('9.0.10'!O45,'9.0.10'!$AM$4:$AP$55,4,FALSE))</f>
        <v>0</v>
      </c>
      <c r="H45" s="4">
        <f>(VLOOKUP('9.0.10'!P45,'9.0.10'!$AM$4:$AP$55,4,FALSE))</f>
        <v>0</v>
      </c>
      <c r="I45" s="4">
        <f>(VLOOKUP('9.0.10'!Q45,'9.0.10'!$AM$4:$AP$55,4,FALSE))</f>
        <v>0</v>
      </c>
      <c r="J45" s="4">
        <f>(VLOOKUP('9.0.10'!R45,'9.0.10'!$AM$4:$AP$55,4,FALSE))</f>
        <v>0</v>
      </c>
      <c r="K45" s="4">
        <f>(VLOOKUP('9.0.10'!S45,'9.0.10'!$AM$4:$AP$55,4,FALSE))</f>
        <v>0</v>
      </c>
      <c r="L45" s="4">
        <f>(VLOOKUP('9.0.10'!T45,'9.0.10'!$AM$4:$AP$55,4,FALSE))</f>
        <v>0</v>
      </c>
      <c r="M45" s="4">
        <f>(VLOOKUP('9.0.10'!U45,'9.0.10'!$AM$4:$AP$55,4,FALSE))</f>
        <v>0</v>
      </c>
      <c r="N45" s="4">
        <f>(VLOOKUP('9.0.10'!V45,'9.0.10'!$AM$4:$AP$55,4,FALSE))</f>
        <v>0</v>
      </c>
      <c r="O45" s="4">
        <f>(VLOOKUP('9.0.10'!W45,'9.0.10'!$AM$4:$AP$55,4,FALSE))</f>
        <v>0</v>
      </c>
      <c r="P45" s="4">
        <f>(VLOOKUP('9.0.10'!X45,'9.0.10'!$AM$4:$AP$55,4,FALSE))</f>
        <v>0</v>
      </c>
      <c r="Q45" s="4">
        <f>(VLOOKUP('9.0.10'!Y45,'9.0.10'!$AM$4:$AP$55,4,FALSE))</f>
        <v>0</v>
      </c>
      <c r="R45" s="4">
        <f>(VLOOKUP('9.0.10'!Z45,'9.0.10'!$AM$4:$AP$55,4,FALSE))</f>
        <v>38</v>
      </c>
      <c r="S45" s="4">
        <f>(VLOOKUP('9.0.10'!AA45,'9.0.10'!$AM$4:$AP$55,4,FALSE))</f>
        <v>0</v>
      </c>
      <c r="T45" s="4">
        <f>(VLOOKUP('9.0.10'!AB45,'9.0.10'!$AM$4:$AP$55,4,FALSE))</f>
        <v>0</v>
      </c>
      <c r="U45" s="4">
        <f>(VLOOKUP('9.0.10'!AC45,'9.0.10'!$AM$4:$AP$55,4,FALSE))</f>
        <v>38</v>
      </c>
      <c r="V45" s="4">
        <f>(VLOOKUP('9.0.10'!AD45,'9.0.10'!$AM$4:$AP$55,4,FALSE))</f>
        <v>38</v>
      </c>
      <c r="W45" s="4">
        <f>(VLOOKUP('9.0.10'!AE45,'9.0.10'!$AM$4:$AP$55,4,FALSE))</f>
        <v>0</v>
      </c>
      <c r="X45" s="4">
        <f>(VLOOKUP('9.0.10'!AF45,'9.0.10'!$AM$4:$AP$55,4,FALSE))</f>
        <v>0</v>
      </c>
    </row>
    <row r="46" spans="1:24">
      <c r="A46" s="4">
        <f>(VLOOKUP('9.0.10'!I46,'9.0.10'!$AM$4:$AP$55,4,FALSE))</f>
        <v>0</v>
      </c>
      <c r="B46" s="4">
        <f>(VLOOKUP('9.0.10'!J46,'9.0.10'!$AM$4:$AP$55,4,FALSE))</f>
        <v>0</v>
      </c>
      <c r="C46" s="4">
        <f>(VLOOKUP('9.0.10'!K46,'9.0.10'!$AM$4:$AP$55,4,FALSE))</f>
        <v>0</v>
      </c>
      <c r="D46" s="4">
        <f>(VLOOKUP('9.0.10'!L46,'9.0.10'!$AM$4:$AP$55,4,FALSE))</f>
        <v>0</v>
      </c>
      <c r="E46" s="4">
        <f>(VLOOKUP('9.0.10'!M46,'9.0.10'!$AM$4:$AP$55,4,FALSE))</f>
        <v>0</v>
      </c>
      <c r="F46" s="4">
        <f>(VLOOKUP('9.0.10'!N46,'9.0.10'!$AM$4:$AP$55,4,FALSE))</f>
        <v>0</v>
      </c>
      <c r="G46" s="4">
        <f>(VLOOKUP('9.0.10'!O46,'9.0.10'!$AM$4:$AP$55,4,FALSE))</f>
        <v>0</v>
      </c>
      <c r="H46" s="4">
        <f>(VLOOKUP('9.0.10'!P46,'9.0.10'!$AM$4:$AP$55,4,FALSE))</f>
        <v>0</v>
      </c>
      <c r="I46" s="4">
        <f>(VLOOKUP('9.0.10'!Q46,'9.0.10'!$AM$4:$AP$55,4,FALSE))</f>
        <v>0</v>
      </c>
      <c r="J46" s="4">
        <f>(VLOOKUP('9.0.10'!R46,'9.0.10'!$AM$4:$AP$55,4,FALSE))</f>
        <v>0</v>
      </c>
      <c r="K46" s="4">
        <f>(VLOOKUP('9.0.10'!S46,'9.0.10'!$AM$4:$AP$55,4,FALSE))</f>
        <v>0</v>
      </c>
      <c r="L46" s="4">
        <f>(VLOOKUP('9.0.10'!T46,'9.0.10'!$AM$4:$AP$55,4,FALSE))</f>
        <v>0</v>
      </c>
      <c r="M46" s="4">
        <f>(VLOOKUP('9.0.10'!U46,'9.0.10'!$AM$4:$AP$55,4,FALSE))</f>
        <v>0</v>
      </c>
      <c r="N46" s="4">
        <f>(VLOOKUP('9.0.10'!V46,'9.0.10'!$AM$4:$AP$55,4,FALSE))</f>
        <v>0</v>
      </c>
      <c r="O46" s="4">
        <f>(VLOOKUP('9.0.10'!W46,'9.0.10'!$AM$4:$AP$55,4,FALSE))</f>
        <v>0</v>
      </c>
      <c r="P46" s="4">
        <f>(VLOOKUP('9.0.10'!X46,'9.0.10'!$AM$4:$AP$55,4,FALSE))</f>
        <v>0</v>
      </c>
      <c r="Q46" s="4">
        <f>(VLOOKUP('9.0.10'!Y46,'9.0.10'!$AM$4:$AP$55,4,FALSE))</f>
        <v>38</v>
      </c>
      <c r="R46" s="4">
        <f>(VLOOKUP('9.0.10'!Z46,'9.0.10'!$AM$4:$AP$55,4,FALSE))</f>
        <v>38</v>
      </c>
      <c r="S46" s="4">
        <f>(VLOOKUP('9.0.10'!AA46,'9.0.10'!$AM$4:$AP$55,4,FALSE))</f>
        <v>38</v>
      </c>
      <c r="T46" s="4">
        <f>(VLOOKUP('9.0.10'!AB46,'9.0.10'!$AM$4:$AP$55,4,FALSE))</f>
        <v>38</v>
      </c>
      <c r="U46" s="4">
        <f>(VLOOKUP('9.0.10'!AC46,'9.0.10'!$AM$4:$AP$55,4,FALSE))</f>
        <v>38</v>
      </c>
      <c r="V46" s="4">
        <f>(VLOOKUP('9.0.10'!AD46,'9.0.10'!$AM$4:$AP$55,4,FALSE))</f>
        <v>38</v>
      </c>
      <c r="W46" s="4">
        <f>(VLOOKUP('9.0.10'!AE46,'9.0.10'!$AM$4:$AP$55,4,FALSE))</f>
        <v>0</v>
      </c>
      <c r="X46" s="4">
        <f>(VLOOKUP('9.0.10'!AF46,'9.0.10'!$AM$4:$AP$55,4,FALSE))</f>
        <v>0</v>
      </c>
    </row>
    <row r="47" spans="1:24">
      <c r="A47" s="4">
        <f>(VLOOKUP('9.0.10'!I47,'9.0.10'!$AM$4:$AP$55,4,FALSE))</f>
        <v>0</v>
      </c>
      <c r="B47" s="4">
        <f>(VLOOKUP('9.0.10'!J47,'9.0.10'!$AM$4:$AP$55,4,FALSE))</f>
        <v>0</v>
      </c>
      <c r="C47" s="4">
        <f>(VLOOKUP('9.0.10'!K47,'9.0.10'!$AM$4:$AP$55,4,FALSE))</f>
        <v>0</v>
      </c>
      <c r="D47" s="4">
        <f>(VLOOKUP('9.0.10'!L47,'9.0.10'!$AM$4:$AP$55,4,FALSE))</f>
        <v>0</v>
      </c>
      <c r="E47" s="4">
        <f>(VLOOKUP('9.0.10'!M47,'9.0.10'!$AM$4:$AP$55,4,FALSE))</f>
        <v>0</v>
      </c>
      <c r="F47" s="4">
        <f>(VLOOKUP('9.0.10'!N47,'9.0.10'!$AM$4:$AP$55,4,FALSE))</f>
        <v>0</v>
      </c>
      <c r="G47" s="4">
        <f>(VLOOKUP('9.0.10'!O47,'9.0.10'!$AM$4:$AP$55,4,FALSE))</f>
        <v>0</v>
      </c>
      <c r="H47" s="4">
        <f>(VLOOKUP('9.0.10'!P47,'9.0.10'!$AM$4:$AP$55,4,FALSE))</f>
        <v>0</v>
      </c>
      <c r="I47" s="4">
        <f>(VLOOKUP('9.0.10'!Q47,'9.0.10'!$AM$4:$AP$55,4,FALSE))</f>
        <v>0</v>
      </c>
      <c r="J47" s="4">
        <f>(VLOOKUP('9.0.10'!R47,'9.0.10'!$AM$4:$AP$55,4,FALSE))</f>
        <v>0</v>
      </c>
      <c r="K47" s="4">
        <f>(VLOOKUP('9.0.10'!S47,'9.0.10'!$AM$4:$AP$55,4,FALSE))</f>
        <v>0</v>
      </c>
      <c r="L47" s="4">
        <f>(VLOOKUP('9.0.10'!T47,'9.0.10'!$AM$4:$AP$55,4,FALSE))</f>
        <v>0</v>
      </c>
      <c r="M47" s="4">
        <f>(VLOOKUP('9.0.10'!U47,'9.0.10'!$AM$4:$AP$55,4,FALSE))</f>
        <v>0</v>
      </c>
      <c r="N47" s="4">
        <f>(VLOOKUP('9.0.10'!V47,'9.0.10'!$AM$4:$AP$55,4,FALSE))</f>
        <v>0</v>
      </c>
      <c r="O47" s="4">
        <f>(VLOOKUP('9.0.10'!W47,'9.0.10'!$AM$4:$AP$55,4,FALSE))</f>
        <v>0</v>
      </c>
      <c r="P47" s="4">
        <f>(VLOOKUP('9.0.10'!X47,'9.0.10'!$AM$4:$AP$55,4,FALSE))</f>
        <v>0</v>
      </c>
      <c r="Q47" s="4">
        <f>(VLOOKUP('9.0.10'!Y47,'9.0.10'!$AM$4:$AP$55,4,FALSE))</f>
        <v>38</v>
      </c>
      <c r="R47" s="4">
        <f>(VLOOKUP('9.0.10'!Z47,'9.0.10'!$AM$4:$AP$55,4,FALSE))</f>
        <v>38</v>
      </c>
      <c r="S47" s="4">
        <f>(VLOOKUP('9.0.10'!AA47,'9.0.10'!$AM$4:$AP$55,4,FALSE))</f>
        <v>38</v>
      </c>
      <c r="T47" s="4">
        <f>(VLOOKUP('9.0.10'!AB47,'9.0.10'!$AM$4:$AP$55,4,FALSE))</f>
        <v>38</v>
      </c>
      <c r="U47" s="4">
        <f>(VLOOKUP('9.0.10'!AC47,'9.0.10'!$AM$4:$AP$55,4,FALSE))</f>
        <v>38</v>
      </c>
      <c r="V47" s="4">
        <f>(VLOOKUP('9.0.10'!AD47,'9.0.10'!$AM$4:$AP$55,4,FALSE))</f>
        <v>38</v>
      </c>
      <c r="W47" s="4">
        <f>(VLOOKUP('9.0.10'!AE47,'9.0.10'!$AM$4:$AP$55,4,FALSE))</f>
        <v>0</v>
      </c>
      <c r="X47" s="4">
        <f>(VLOOKUP('9.0.10'!AF47,'9.0.10'!$AM$4:$AP$55,4,FALSE))</f>
        <v>0</v>
      </c>
    </row>
    <row r="48" spans="1:24">
      <c r="A48" s="4">
        <f>(VLOOKUP('9.0.10'!I48,'9.0.10'!$AM$4:$AP$55,4,FALSE))</f>
        <v>0</v>
      </c>
      <c r="B48" s="4">
        <f>(VLOOKUP('9.0.10'!J48,'9.0.10'!$AM$4:$AP$55,4,FALSE))</f>
        <v>0</v>
      </c>
      <c r="C48" s="4">
        <f>(VLOOKUP('9.0.10'!K48,'9.0.10'!$AM$4:$AP$55,4,FALSE))</f>
        <v>0</v>
      </c>
      <c r="D48" s="4">
        <f>(VLOOKUP('9.0.10'!L48,'9.0.10'!$AM$4:$AP$55,4,FALSE))</f>
        <v>0</v>
      </c>
      <c r="E48" s="4">
        <f>(VLOOKUP('9.0.10'!M48,'9.0.10'!$AM$4:$AP$55,4,FALSE))</f>
        <v>0</v>
      </c>
      <c r="F48" s="4">
        <f>(VLOOKUP('9.0.10'!N48,'9.0.10'!$AM$4:$AP$55,4,FALSE))</f>
        <v>0</v>
      </c>
      <c r="G48" s="4">
        <f>(VLOOKUP('9.0.10'!O48,'9.0.10'!$AM$4:$AP$55,4,FALSE))</f>
        <v>0</v>
      </c>
      <c r="H48" s="4">
        <f>(VLOOKUP('9.0.10'!P48,'9.0.10'!$AM$4:$AP$55,4,FALSE))</f>
        <v>0</v>
      </c>
      <c r="I48" s="4">
        <f>(VLOOKUP('9.0.10'!Q48,'9.0.10'!$AM$4:$AP$55,4,FALSE))</f>
        <v>0</v>
      </c>
      <c r="J48" s="4">
        <f>(VLOOKUP('9.0.10'!R48,'9.0.10'!$AM$4:$AP$55,4,FALSE))</f>
        <v>38</v>
      </c>
      <c r="K48" s="4">
        <f>(VLOOKUP('9.0.10'!S48,'9.0.10'!$AM$4:$AP$55,4,FALSE))</f>
        <v>38</v>
      </c>
      <c r="L48" s="4">
        <f>(VLOOKUP('9.0.10'!T48,'9.0.10'!$AM$4:$AP$55,4,FALSE))</f>
        <v>38</v>
      </c>
      <c r="M48" s="4">
        <f>(VLOOKUP('9.0.10'!U48,'9.0.10'!$AM$4:$AP$55,4,FALSE))</f>
        <v>0</v>
      </c>
      <c r="N48" s="4">
        <f>(VLOOKUP('9.0.10'!V48,'9.0.10'!$AM$4:$AP$55,4,FALSE))</f>
        <v>38</v>
      </c>
      <c r="O48" s="4">
        <f>(VLOOKUP('9.0.10'!W48,'9.0.10'!$AM$4:$AP$55,4,FALSE))</f>
        <v>0</v>
      </c>
      <c r="P48" s="4">
        <f>(VLOOKUP('9.0.10'!X48,'9.0.10'!$AM$4:$AP$55,4,FALSE))</f>
        <v>0</v>
      </c>
      <c r="Q48" s="4">
        <f>(VLOOKUP('9.0.10'!Y48,'9.0.10'!$AM$4:$AP$55,4,FALSE))</f>
        <v>38</v>
      </c>
      <c r="R48" s="4">
        <f>(VLOOKUP('9.0.10'!Z48,'9.0.10'!$AM$4:$AP$55,4,FALSE))</f>
        <v>38</v>
      </c>
      <c r="S48" s="4">
        <f>(VLOOKUP('9.0.10'!AA48,'9.0.10'!$AM$4:$AP$55,4,FALSE))</f>
        <v>38</v>
      </c>
      <c r="T48" s="4">
        <f>(VLOOKUP('9.0.10'!AB48,'9.0.10'!$AM$4:$AP$55,4,FALSE))</f>
        <v>38</v>
      </c>
      <c r="U48" s="4">
        <f>(VLOOKUP('9.0.10'!AC48,'9.0.10'!$AM$4:$AP$55,4,FALSE))</f>
        <v>38</v>
      </c>
      <c r="V48" s="4">
        <f>(VLOOKUP('9.0.10'!AD48,'9.0.10'!$AM$4:$AP$55,4,FALSE))</f>
        <v>38</v>
      </c>
      <c r="W48" s="4">
        <f>(VLOOKUP('9.0.10'!AE48,'9.0.10'!$AM$4:$AP$55,4,FALSE))</f>
        <v>0</v>
      </c>
      <c r="X48" s="4">
        <f>(VLOOKUP('9.0.10'!AF48,'9.0.10'!$AM$4:$AP$55,4,FALSE))</f>
        <v>0</v>
      </c>
    </row>
    <row r="49" spans="1:24">
      <c r="A49" s="4">
        <f>(VLOOKUP('9.0.10'!I49,'9.0.10'!$AM$4:$AP$55,4,FALSE))</f>
        <v>0</v>
      </c>
      <c r="B49" s="4">
        <f>(VLOOKUP('9.0.10'!J49,'9.0.10'!$AM$4:$AP$55,4,FALSE))</f>
        <v>0</v>
      </c>
      <c r="C49" s="4">
        <f>(VLOOKUP('9.0.10'!K49,'9.0.10'!$AM$4:$AP$55,4,FALSE))</f>
        <v>0</v>
      </c>
      <c r="D49" s="4">
        <f>(VLOOKUP('9.0.10'!L49,'9.0.10'!$AM$4:$AP$55,4,FALSE))</f>
        <v>0</v>
      </c>
      <c r="E49" s="4">
        <f>(VLOOKUP('9.0.10'!M49,'9.0.10'!$AM$4:$AP$55,4,FALSE))</f>
        <v>0</v>
      </c>
      <c r="F49" s="4">
        <f>(VLOOKUP('9.0.10'!N49,'9.0.10'!$AM$4:$AP$55,4,FALSE))</f>
        <v>0</v>
      </c>
      <c r="G49" s="4">
        <f>(VLOOKUP('9.0.10'!O49,'9.0.10'!$AM$4:$AP$55,4,FALSE))</f>
        <v>0</v>
      </c>
      <c r="H49" s="4">
        <f>(VLOOKUP('9.0.10'!P49,'9.0.10'!$AM$4:$AP$55,4,FALSE))</f>
        <v>0</v>
      </c>
      <c r="I49" s="4">
        <f>(VLOOKUP('9.0.10'!Q49,'9.0.10'!$AM$4:$AP$55,4,FALSE))</f>
        <v>0</v>
      </c>
      <c r="J49" s="4">
        <f>(VLOOKUP('9.0.10'!R49,'9.0.10'!$AM$4:$AP$55,4,FALSE))</f>
        <v>38</v>
      </c>
      <c r="K49" s="4">
        <f>(VLOOKUP('9.0.10'!S49,'9.0.10'!$AM$4:$AP$55,4,FALSE))</f>
        <v>0</v>
      </c>
      <c r="L49" s="4">
        <f>(VLOOKUP('9.0.10'!T49,'9.0.10'!$AM$4:$AP$55,4,FALSE))</f>
        <v>0</v>
      </c>
      <c r="M49" s="4">
        <f>(VLOOKUP('9.0.10'!U49,'9.0.10'!$AM$4:$AP$55,4,FALSE))</f>
        <v>0</v>
      </c>
      <c r="N49" s="4">
        <f>(VLOOKUP('9.0.10'!V49,'9.0.10'!$AM$4:$AP$55,4,FALSE))</f>
        <v>0</v>
      </c>
      <c r="O49" s="4">
        <f>(VLOOKUP('9.0.10'!W49,'9.0.10'!$AM$4:$AP$55,4,FALSE))</f>
        <v>0</v>
      </c>
      <c r="P49" s="4">
        <f>(VLOOKUP('9.0.10'!X49,'9.0.10'!$AM$4:$AP$55,4,FALSE))</f>
        <v>0</v>
      </c>
      <c r="Q49" s="4">
        <f>(VLOOKUP('9.0.10'!Y49,'9.0.10'!$AM$4:$AP$55,4,FALSE))</f>
        <v>0</v>
      </c>
      <c r="R49" s="4">
        <f>(VLOOKUP('9.0.10'!Z49,'9.0.10'!$AM$4:$AP$55,4,FALSE))</f>
        <v>38</v>
      </c>
      <c r="S49" s="4">
        <f>(VLOOKUP('9.0.10'!AA49,'9.0.10'!$AM$4:$AP$55,4,FALSE))</f>
        <v>0</v>
      </c>
      <c r="T49" s="4">
        <f>(VLOOKUP('9.0.10'!AB49,'9.0.10'!$AM$4:$AP$55,4,FALSE))</f>
        <v>38</v>
      </c>
      <c r="U49" s="4">
        <f>(VLOOKUP('9.0.10'!AC49,'9.0.10'!$AM$4:$AP$55,4,FALSE))</f>
        <v>38</v>
      </c>
      <c r="V49" s="4">
        <f>(VLOOKUP('9.0.10'!AD49,'9.0.10'!$AM$4:$AP$55,4,FALSE))</f>
        <v>38</v>
      </c>
      <c r="W49" s="4">
        <f>(VLOOKUP('9.0.10'!AE49,'9.0.10'!$AM$4:$AP$55,4,FALSE))</f>
        <v>0</v>
      </c>
      <c r="X49" s="4">
        <f>(VLOOKUP('9.0.10'!AF49,'9.0.10'!$AM$4:$AP$55,4,FALSE))</f>
        <v>0</v>
      </c>
    </row>
    <row r="50" spans="1:24">
      <c r="A50" s="4">
        <f>(VLOOKUP('9.0.10'!I50,'9.0.10'!$AM$4:$AP$55,4,FALSE))</f>
        <v>0</v>
      </c>
      <c r="B50" s="4">
        <f>(VLOOKUP('9.0.10'!J50,'9.0.10'!$AM$4:$AP$55,4,FALSE))</f>
        <v>0</v>
      </c>
      <c r="C50" s="4">
        <f>(VLOOKUP('9.0.10'!K50,'9.0.10'!$AM$4:$AP$55,4,FALSE))</f>
        <v>0</v>
      </c>
      <c r="D50" s="4">
        <f>(VLOOKUP('9.0.10'!L50,'9.0.10'!$AM$4:$AP$55,4,FALSE))</f>
        <v>0</v>
      </c>
      <c r="E50" s="4">
        <f>(VLOOKUP('9.0.10'!M50,'9.0.10'!$AM$4:$AP$55,4,FALSE))</f>
        <v>0</v>
      </c>
      <c r="F50" s="4">
        <f>(VLOOKUP('9.0.10'!N50,'9.0.10'!$AM$4:$AP$55,4,FALSE))</f>
        <v>0</v>
      </c>
      <c r="G50" s="4">
        <f>(VLOOKUP('9.0.10'!O50,'9.0.10'!$AM$4:$AP$55,4,FALSE))</f>
        <v>0</v>
      </c>
      <c r="H50" s="4">
        <f>(VLOOKUP('9.0.10'!P50,'9.0.10'!$AM$4:$AP$55,4,FALSE))</f>
        <v>0</v>
      </c>
      <c r="I50" s="4">
        <f>(VLOOKUP('9.0.10'!Q50,'9.0.10'!$AM$4:$AP$55,4,FALSE))</f>
        <v>0</v>
      </c>
      <c r="J50" s="4">
        <f>(VLOOKUP('9.0.10'!R50,'9.0.10'!$AM$4:$AP$55,4,FALSE))</f>
        <v>0</v>
      </c>
      <c r="K50" s="4">
        <f>(VLOOKUP('9.0.10'!S50,'9.0.10'!$AM$4:$AP$55,4,FALSE))</f>
        <v>0</v>
      </c>
      <c r="L50" s="4">
        <f>(VLOOKUP('9.0.10'!T50,'9.0.10'!$AM$4:$AP$55,4,FALSE))</f>
        <v>0</v>
      </c>
      <c r="M50" s="4">
        <f>(VLOOKUP('9.0.10'!U50,'9.0.10'!$AM$4:$AP$55,4,FALSE))</f>
        <v>0</v>
      </c>
      <c r="N50" s="4">
        <f>(VLOOKUP('9.0.10'!V50,'9.0.10'!$AM$4:$AP$55,4,FALSE))</f>
        <v>38</v>
      </c>
      <c r="O50" s="4">
        <f>(VLOOKUP('9.0.10'!W50,'9.0.10'!$AM$4:$AP$55,4,FALSE))</f>
        <v>0</v>
      </c>
      <c r="P50" s="4">
        <f>(VLOOKUP('9.0.10'!X50,'9.0.10'!$AM$4:$AP$55,4,FALSE))</f>
        <v>0</v>
      </c>
      <c r="Q50" s="4">
        <f>(VLOOKUP('9.0.10'!Y50,'9.0.10'!$AM$4:$AP$55,4,FALSE))</f>
        <v>38</v>
      </c>
      <c r="R50" s="4">
        <f>(VLOOKUP('9.0.10'!Z50,'9.0.10'!$AM$4:$AP$55,4,FALSE))</f>
        <v>38</v>
      </c>
      <c r="S50" s="4">
        <f>(VLOOKUP('9.0.10'!AA50,'9.0.10'!$AM$4:$AP$55,4,FALSE))</f>
        <v>38</v>
      </c>
      <c r="T50" s="4">
        <f>(VLOOKUP('9.0.10'!AB50,'9.0.10'!$AM$4:$AP$55,4,FALSE))</f>
        <v>38</v>
      </c>
      <c r="U50" s="4">
        <f>(VLOOKUP('9.0.10'!AC50,'9.0.10'!$AM$4:$AP$55,4,FALSE))</f>
        <v>36</v>
      </c>
      <c r="V50" s="4">
        <f>(VLOOKUP('9.0.10'!AD50,'9.0.10'!$AM$4:$AP$55,4,FALSE))</f>
        <v>38</v>
      </c>
      <c r="W50" s="4">
        <f>(VLOOKUP('9.0.10'!AE50,'9.0.10'!$AM$4:$AP$55,4,FALSE))</f>
        <v>0</v>
      </c>
      <c r="X50" s="4">
        <f>(VLOOKUP('9.0.10'!AF50,'9.0.10'!$AM$4:$AP$55,4,FALSE))</f>
        <v>0</v>
      </c>
    </row>
    <row r="51" spans="1:24">
      <c r="A51" s="4">
        <f>(VLOOKUP('9.0.10'!I51,'9.0.10'!$AM$4:$AP$55,4,FALSE))</f>
        <v>0</v>
      </c>
      <c r="B51" s="4">
        <f>(VLOOKUP('9.0.10'!J51,'9.0.10'!$AM$4:$AP$55,4,FALSE))</f>
        <v>0</v>
      </c>
      <c r="C51" s="4">
        <f>(VLOOKUP('9.0.10'!K51,'9.0.10'!$AM$4:$AP$55,4,FALSE))</f>
        <v>0</v>
      </c>
      <c r="D51" s="4">
        <f>(VLOOKUP('9.0.10'!L51,'9.0.10'!$AM$4:$AP$55,4,FALSE))</f>
        <v>0</v>
      </c>
      <c r="E51" s="4">
        <f>(VLOOKUP('9.0.10'!M51,'9.0.10'!$AM$4:$AP$55,4,FALSE))</f>
        <v>0</v>
      </c>
      <c r="F51" s="4">
        <f>(VLOOKUP('9.0.10'!N51,'9.0.10'!$AM$4:$AP$55,4,FALSE))</f>
        <v>0</v>
      </c>
      <c r="G51" s="4">
        <f>(VLOOKUP('9.0.10'!O51,'9.0.10'!$AM$4:$AP$55,4,FALSE))</f>
        <v>0</v>
      </c>
      <c r="H51" s="4">
        <f>(VLOOKUP('9.0.10'!P51,'9.0.10'!$AM$4:$AP$55,4,FALSE))</f>
        <v>0</v>
      </c>
      <c r="I51" s="4">
        <f>(VLOOKUP('9.0.10'!Q51,'9.0.10'!$AM$4:$AP$55,4,FALSE))</f>
        <v>38</v>
      </c>
      <c r="J51" s="4">
        <f>(VLOOKUP('9.0.10'!R51,'9.0.10'!$AM$4:$AP$55,4,FALSE))</f>
        <v>0</v>
      </c>
      <c r="K51" s="4">
        <f>(VLOOKUP('9.0.10'!S51,'9.0.10'!$AM$4:$AP$55,4,FALSE))</f>
        <v>0</v>
      </c>
      <c r="L51" s="4">
        <f>(VLOOKUP('9.0.10'!T51,'9.0.10'!$AM$4:$AP$55,4,FALSE))</f>
        <v>0</v>
      </c>
      <c r="M51" s="4">
        <f>(VLOOKUP('9.0.10'!U51,'9.0.10'!$AM$4:$AP$55,4,FALSE))</f>
        <v>0</v>
      </c>
      <c r="N51" s="4">
        <f>(VLOOKUP('9.0.10'!V51,'9.0.10'!$AM$4:$AP$55,4,FALSE))</f>
        <v>0</v>
      </c>
      <c r="O51" s="4">
        <f>(VLOOKUP('9.0.10'!W51,'9.0.10'!$AM$4:$AP$55,4,FALSE))</f>
        <v>0</v>
      </c>
      <c r="P51" s="4">
        <f>(VLOOKUP('9.0.10'!X51,'9.0.10'!$AM$4:$AP$55,4,FALSE))</f>
        <v>0</v>
      </c>
      <c r="Q51" s="4">
        <f>(VLOOKUP('9.0.10'!Y51,'9.0.10'!$AM$4:$AP$55,4,FALSE))</f>
        <v>38</v>
      </c>
      <c r="R51" s="4">
        <f>(VLOOKUP('9.0.10'!Z51,'9.0.10'!$AM$4:$AP$55,4,FALSE))</f>
        <v>38</v>
      </c>
      <c r="S51" s="4">
        <f>(VLOOKUP('9.0.10'!AA51,'9.0.10'!$AM$4:$AP$55,4,FALSE))</f>
        <v>38</v>
      </c>
      <c r="T51" s="4">
        <f>(VLOOKUP('9.0.10'!AB51,'9.0.10'!$AM$4:$AP$55,4,FALSE))</f>
        <v>38</v>
      </c>
      <c r="U51" s="4">
        <f>(VLOOKUP('9.0.10'!AC51,'9.0.10'!$AM$4:$AP$55,4,FALSE))</f>
        <v>38</v>
      </c>
      <c r="V51" s="4">
        <f>(VLOOKUP('9.0.10'!AD51,'9.0.10'!$AM$4:$AP$55,4,FALSE))</f>
        <v>38</v>
      </c>
      <c r="W51" s="4">
        <f>(VLOOKUP('9.0.10'!AE51,'9.0.10'!$AM$4:$AP$55,4,FALSE))</f>
        <v>0</v>
      </c>
      <c r="X51" s="4">
        <f>(VLOOKUP('9.0.10'!AF51,'9.0.10'!$AM$4:$AP$55,4,FALSE))</f>
        <v>0</v>
      </c>
    </row>
    <row r="52" spans="1:24">
      <c r="A52" s="4">
        <f>(VLOOKUP('9.0.10'!I52,'9.0.10'!$AM$4:$AP$55,4,FALSE))</f>
        <v>0</v>
      </c>
      <c r="B52" s="4">
        <f>(VLOOKUP('9.0.10'!J52,'9.0.10'!$AM$4:$AP$55,4,FALSE))</f>
        <v>0</v>
      </c>
      <c r="C52" s="4">
        <f>(VLOOKUP('9.0.10'!K52,'9.0.10'!$AM$4:$AP$55,4,FALSE))</f>
        <v>0</v>
      </c>
      <c r="D52" s="4">
        <f>(VLOOKUP('9.0.10'!L52,'9.0.10'!$AM$4:$AP$55,4,FALSE))</f>
        <v>0</v>
      </c>
      <c r="E52" s="4">
        <f>(VLOOKUP('9.0.10'!M52,'9.0.10'!$AM$4:$AP$55,4,FALSE))</f>
        <v>0</v>
      </c>
      <c r="F52" s="4">
        <f>(VLOOKUP('9.0.10'!N52,'9.0.10'!$AM$4:$AP$55,4,FALSE))</f>
        <v>0</v>
      </c>
      <c r="G52" s="4">
        <f>(VLOOKUP('9.0.10'!O52,'9.0.10'!$AM$4:$AP$55,4,FALSE))</f>
        <v>0</v>
      </c>
      <c r="H52" s="4">
        <f>(VLOOKUP('9.0.10'!P52,'9.0.10'!$AM$4:$AP$55,4,FALSE))</f>
        <v>0</v>
      </c>
      <c r="I52" s="4">
        <f>(VLOOKUP('9.0.10'!Q52,'9.0.10'!$AM$4:$AP$55,4,FALSE))</f>
        <v>0</v>
      </c>
      <c r="J52" s="4">
        <f>(VLOOKUP('9.0.10'!R52,'9.0.10'!$AM$4:$AP$55,4,FALSE))</f>
        <v>38</v>
      </c>
      <c r="K52" s="4">
        <f>(VLOOKUP('9.0.10'!S52,'9.0.10'!$AM$4:$AP$55,4,FALSE))</f>
        <v>38</v>
      </c>
      <c r="L52" s="4">
        <f>(VLOOKUP('9.0.10'!T52,'9.0.10'!$AM$4:$AP$55,4,FALSE))</f>
        <v>38</v>
      </c>
      <c r="M52" s="4">
        <f>(VLOOKUP('9.0.10'!U52,'9.0.10'!$AM$4:$AP$55,4,FALSE))</f>
        <v>0</v>
      </c>
      <c r="N52" s="4">
        <f>(VLOOKUP('9.0.10'!V52,'9.0.10'!$AM$4:$AP$55,4,FALSE))</f>
        <v>0</v>
      </c>
      <c r="O52" s="4">
        <f>(VLOOKUP('9.0.10'!W52,'9.0.10'!$AM$4:$AP$55,4,FALSE))</f>
        <v>0</v>
      </c>
      <c r="P52" s="4">
        <f>(VLOOKUP('9.0.10'!X52,'9.0.10'!$AM$4:$AP$55,4,FALSE))</f>
        <v>0</v>
      </c>
      <c r="Q52" s="4">
        <f>(VLOOKUP('9.0.10'!Y52,'9.0.10'!$AM$4:$AP$55,4,FALSE))</f>
        <v>38</v>
      </c>
      <c r="R52" s="4">
        <f>(VLOOKUP('9.0.10'!Z52,'9.0.10'!$AM$4:$AP$55,4,FALSE))</f>
        <v>38</v>
      </c>
      <c r="S52" s="4">
        <f>(VLOOKUP('9.0.10'!AA52,'9.0.10'!$AM$4:$AP$55,4,FALSE))</f>
        <v>38</v>
      </c>
      <c r="T52" s="4">
        <f>(VLOOKUP('9.0.10'!AB52,'9.0.10'!$AM$4:$AP$55,4,FALSE))</f>
        <v>0</v>
      </c>
      <c r="U52" s="4">
        <f>(VLOOKUP('9.0.10'!AC52,'9.0.10'!$AM$4:$AP$55,4,FALSE))</f>
        <v>38</v>
      </c>
      <c r="V52" s="4">
        <f>(VLOOKUP('9.0.10'!AD52,'9.0.10'!$AM$4:$AP$55,4,FALSE))</f>
        <v>38</v>
      </c>
      <c r="W52" s="4">
        <f>(VLOOKUP('9.0.10'!AE52,'9.0.10'!$AM$4:$AP$55,4,FALSE))</f>
        <v>38</v>
      </c>
      <c r="X52" s="4">
        <f>(VLOOKUP('9.0.10'!AF52,'9.0.10'!$AM$4:$AP$55,4,FALSE))</f>
        <v>38</v>
      </c>
    </row>
    <row r="53" spans="1:24">
      <c r="A53" s="4">
        <f>(VLOOKUP('9.0.10'!I53,'9.0.10'!$AM$4:$AP$55,4,FALSE))</f>
        <v>0</v>
      </c>
      <c r="B53" s="4">
        <f>(VLOOKUP('9.0.10'!J53,'9.0.10'!$AM$4:$AP$55,4,FALSE))</f>
        <v>0</v>
      </c>
      <c r="C53" s="4">
        <f>(VLOOKUP('9.0.10'!K53,'9.0.10'!$AM$4:$AP$55,4,FALSE))</f>
        <v>0</v>
      </c>
      <c r="D53" s="4">
        <f>(VLOOKUP('9.0.10'!L53,'9.0.10'!$AM$4:$AP$55,4,FALSE))</f>
        <v>0</v>
      </c>
      <c r="E53" s="4">
        <f>(VLOOKUP('9.0.10'!M53,'9.0.10'!$AM$4:$AP$55,4,FALSE))</f>
        <v>0</v>
      </c>
      <c r="F53" s="4">
        <f>(VLOOKUP('9.0.10'!N53,'9.0.10'!$AM$4:$AP$55,4,FALSE))</f>
        <v>0</v>
      </c>
      <c r="G53" s="4">
        <f>(VLOOKUP('9.0.10'!O53,'9.0.10'!$AM$4:$AP$55,4,FALSE))</f>
        <v>0</v>
      </c>
      <c r="H53" s="4">
        <f>(VLOOKUP('9.0.10'!P53,'9.0.10'!$AM$4:$AP$55,4,FALSE))</f>
        <v>0</v>
      </c>
      <c r="I53" s="4">
        <f>(VLOOKUP('9.0.10'!Q53,'9.0.10'!$AM$4:$AP$55,4,FALSE))</f>
        <v>38</v>
      </c>
      <c r="J53" s="4">
        <f>(VLOOKUP('9.0.10'!R53,'9.0.10'!$AM$4:$AP$55,4,FALSE))</f>
        <v>0</v>
      </c>
      <c r="K53" s="4">
        <f>(VLOOKUP('9.0.10'!S53,'9.0.10'!$AM$4:$AP$55,4,FALSE))</f>
        <v>0</v>
      </c>
      <c r="L53" s="4">
        <f>(VLOOKUP('9.0.10'!T53,'9.0.10'!$AM$4:$AP$55,4,FALSE))</f>
        <v>0</v>
      </c>
      <c r="M53" s="4">
        <f>(VLOOKUP('9.0.10'!U53,'9.0.10'!$AM$4:$AP$55,4,FALSE))</f>
        <v>0</v>
      </c>
      <c r="N53" s="4">
        <f>(VLOOKUP('9.0.10'!V53,'9.0.10'!$AM$4:$AP$55,4,FALSE))</f>
        <v>0</v>
      </c>
      <c r="O53" s="4">
        <f>(VLOOKUP('9.0.10'!W53,'9.0.10'!$AM$4:$AP$55,4,FALSE))</f>
        <v>38</v>
      </c>
      <c r="P53" s="4">
        <f>(VLOOKUP('9.0.10'!X53,'9.0.10'!$AM$4:$AP$55,4,FALSE))</f>
        <v>0</v>
      </c>
      <c r="Q53" s="4">
        <f>(VLOOKUP('9.0.10'!Y53,'9.0.10'!$AM$4:$AP$55,4,FALSE))</f>
        <v>38</v>
      </c>
      <c r="R53" s="4">
        <f>(VLOOKUP('9.0.10'!Z53,'9.0.10'!$AM$4:$AP$55,4,FALSE))</f>
        <v>38</v>
      </c>
      <c r="S53" s="4">
        <f>(VLOOKUP('9.0.10'!AA53,'9.0.10'!$AM$4:$AP$55,4,FALSE))</f>
        <v>0</v>
      </c>
      <c r="T53" s="4">
        <f>(VLOOKUP('9.0.10'!AB53,'9.0.10'!$AM$4:$AP$55,4,FALSE))</f>
        <v>0</v>
      </c>
      <c r="U53" s="4">
        <f>(VLOOKUP('9.0.10'!AC53,'9.0.10'!$AM$4:$AP$55,4,FALSE))</f>
        <v>38</v>
      </c>
      <c r="V53" s="4">
        <f>(VLOOKUP('9.0.10'!AD53,'9.0.10'!$AM$4:$AP$55,4,FALSE))</f>
        <v>38</v>
      </c>
      <c r="W53" s="4">
        <f>(VLOOKUP('9.0.10'!AE53,'9.0.10'!$AM$4:$AP$55,4,FALSE))</f>
        <v>0</v>
      </c>
      <c r="X53" s="4">
        <f>(VLOOKUP('9.0.10'!AF53,'9.0.10'!$AM$4:$AP$55,4,FALSE))</f>
        <v>0</v>
      </c>
    </row>
    <row r="54" spans="1:24">
      <c r="A54" s="4">
        <f>(VLOOKUP('9.0.10'!I54,'9.0.10'!$AM$4:$AP$55,4,FALSE))</f>
        <v>0</v>
      </c>
      <c r="B54" s="4">
        <f>(VLOOKUP('9.0.10'!J54,'9.0.10'!$AM$4:$AP$55,4,FALSE))</f>
        <v>0</v>
      </c>
      <c r="C54" s="4">
        <f>(VLOOKUP('9.0.10'!K54,'9.0.10'!$AM$4:$AP$55,4,FALSE))</f>
        <v>0</v>
      </c>
      <c r="D54" s="4">
        <f>(VLOOKUP('9.0.10'!L54,'9.0.10'!$AM$4:$AP$55,4,FALSE))</f>
        <v>0</v>
      </c>
      <c r="E54" s="4">
        <f>(VLOOKUP('9.0.10'!M54,'9.0.10'!$AM$4:$AP$55,4,FALSE))</f>
        <v>0</v>
      </c>
      <c r="F54" s="4">
        <f>(VLOOKUP('9.0.10'!N54,'9.0.10'!$AM$4:$AP$55,4,FALSE))</f>
        <v>0</v>
      </c>
      <c r="G54" s="4">
        <f>(VLOOKUP('9.0.10'!O54,'9.0.10'!$AM$4:$AP$55,4,FALSE))</f>
        <v>0</v>
      </c>
      <c r="H54" s="4">
        <f>(VLOOKUP('9.0.10'!P54,'9.0.10'!$AM$4:$AP$55,4,FALSE))</f>
        <v>0</v>
      </c>
      <c r="I54" s="4">
        <f>(VLOOKUP('9.0.10'!Q54,'9.0.10'!$AM$4:$AP$55,4,FALSE))</f>
        <v>0</v>
      </c>
      <c r="J54" s="4">
        <f>(VLOOKUP('9.0.10'!R54,'9.0.10'!$AM$4:$AP$55,4,FALSE))</f>
        <v>0</v>
      </c>
      <c r="K54" s="4">
        <f>(VLOOKUP('9.0.10'!S54,'9.0.10'!$AM$4:$AP$55,4,FALSE))</f>
        <v>38</v>
      </c>
      <c r="L54" s="4">
        <f>(VLOOKUP('9.0.10'!T54,'9.0.10'!$AM$4:$AP$55,4,FALSE))</f>
        <v>38</v>
      </c>
      <c r="M54" s="4">
        <f>(VLOOKUP('9.0.10'!U54,'9.0.10'!$AM$4:$AP$55,4,FALSE))</f>
        <v>38</v>
      </c>
      <c r="N54" s="4">
        <f>(VLOOKUP('9.0.10'!V54,'9.0.10'!$AM$4:$AP$55,4,FALSE))</f>
        <v>38</v>
      </c>
      <c r="O54" s="4">
        <f>(VLOOKUP('9.0.10'!W54,'9.0.10'!$AM$4:$AP$55,4,FALSE))</f>
        <v>0</v>
      </c>
      <c r="P54" s="4">
        <f>(VLOOKUP('9.0.10'!X54,'9.0.10'!$AM$4:$AP$55,4,FALSE))</f>
        <v>0</v>
      </c>
      <c r="Q54" s="4">
        <f>(VLOOKUP('9.0.10'!Y54,'9.0.10'!$AM$4:$AP$55,4,FALSE))</f>
        <v>38</v>
      </c>
      <c r="R54" s="4">
        <f>(VLOOKUP('9.0.10'!Z54,'9.0.10'!$AM$4:$AP$55,4,FALSE))</f>
        <v>38</v>
      </c>
      <c r="S54" s="4">
        <f>(VLOOKUP('9.0.10'!AA54,'9.0.10'!$AM$4:$AP$55,4,FALSE))</f>
        <v>38</v>
      </c>
      <c r="T54" s="4">
        <f>(VLOOKUP('9.0.10'!AB54,'9.0.10'!$AM$4:$AP$55,4,FALSE))</f>
        <v>38</v>
      </c>
      <c r="U54" s="4">
        <f>(VLOOKUP('9.0.10'!AC54,'9.0.10'!$AM$4:$AP$55,4,FALSE))</f>
        <v>0</v>
      </c>
      <c r="V54" s="4">
        <f>(VLOOKUP('9.0.10'!AD54,'9.0.10'!$AM$4:$AP$55,4,FALSE))</f>
        <v>0</v>
      </c>
      <c r="W54" s="4">
        <f>(VLOOKUP('9.0.10'!AE54,'9.0.10'!$AM$4:$AP$55,4,FALSE))</f>
        <v>0</v>
      </c>
      <c r="X54" s="4">
        <f>(VLOOKUP('9.0.10'!AF54,'9.0.10'!$AM$4:$AP$55,4,FALSE))</f>
        <v>0</v>
      </c>
    </row>
    <row r="55" spans="1:24">
      <c r="A55" s="4">
        <f>(VLOOKUP('9.0.10'!I55,'9.0.10'!$AM$4:$AP$55,4,FALSE))</f>
        <v>0</v>
      </c>
      <c r="B55" s="4">
        <f>(VLOOKUP('9.0.10'!J55,'9.0.10'!$AM$4:$AP$55,4,FALSE))</f>
        <v>0</v>
      </c>
      <c r="C55" s="4">
        <f>(VLOOKUP('9.0.10'!K55,'9.0.10'!$AM$4:$AP$55,4,FALSE))</f>
        <v>0</v>
      </c>
      <c r="D55" s="4">
        <f>(VLOOKUP('9.0.10'!L55,'9.0.10'!$AM$4:$AP$55,4,FALSE))</f>
        <v>0</v>
      </c>
      <c r="E55" s="4">
        <f>(VLOOKUP('9.0.10'!M55,'9.0.10'!$AM$4:$AP$55,4,FALSE))</f>
        <v>0</v>
      </c>
      <c r="F55" s="4">
        <f>(VLOOKUP('9.0.10'!N55,'9.0.10'!$AM$4:$AP$55,4,FALSE))</f>
        <v>0</v>
      </c>
      <c r="G55" s="4">
        <f>(VLOOKUP('9.0.10'!O55,'9.0.10'!$AM$4:$AP$55,4,FALSE))</f>
        <v>0</v>
      </c>
      <c r="H55" s="4">
        <f>(VLOOKUP('9.0.10'!P55,'9.0.10'!$AM$4:$AP$55,4,FALSE))</f>
        <v>0</v>
      </c>
      <c r="I55" s="4">
        <f>(VLOOKUP('9.0.10'!Q55,'9.0.10'!$AM$4:$AP$55,4,FALSE))</f>
        <v>38</v>
      </c>
      <c r="J55" s="4">
        <f>(VLOOKUP('9.0.10'!R55,'9.0.10'!$AM$4:$AP$55,4,FALSE))</f>
        <v>0</v>
      </c>
      <c r="K55" s="4">
        <f>(VLOOKUP('9.0.10'!S55,'9.0.10'!$AM$4:$AP$55,4,FALSE))</f>
        <v>0</v>
      </c>
      <c r="L55" s="4">
        <f>(VLOOKUP('9.0.10'!T55,'9.0.10'!$AM$4:$AP$55,4,FALSE))</f>
        <v>0</v>
      </c>
      <c r="M55" s="4">
        <f>(VLOOKUP('9.0.10'!U55,'9.0.10'!$AM$4:$AP$55,4,FALSE))</f>
        <v>0</v>
      </c>
      <c r="N55" s="4">
        <f>(VLOOKUP('9.0.10'!V55,'9.0.10'!$AM$4:$AP$55,4,FALSE))</f>
        <v>0</v>
      </c>
      <c r="O55" s="4">
        <f>(VLOOKUP('9.0.10'!W55,'9.0.10'!$AM$4:$AP$55,4,FALSE))</f>
        <v>0</v>
      </c>
      <c r="P55" s="4">
        <f>(VLOOKUP('9.0.10'!X55,'9.0.10'!$AM$4:$AP$55,4,FALSE))</f>
        <v>0</v>
      </c>
      <c r="Q55" s="4">
        <f>(VLOOKUP('9.0.10'!Y55,'9.0.10'!$AM$4:$AP$55,4,FALSE))</f>
        <v>0</v>
      </c>
      <c r="R55" s="4">
        <f>(VLOOKUP('9.0.10'!Z55,'9.0.10'!$AM$4:$AP$55,4,FALSE))</f>
        <v>38</v>
      </c>
      <c r="S55" s="4">
        <f>(VLOOKUP('9.0.10'!AA55,'9.0.10'!$AM$4:$AP$55,4,FALSE))</f>
        <v>38</v>
      </c>
      <c r="T55" s="4">
        <f>(VLOOKUP('9.0.10'!AB55,'9.0.10'!$AM$4:$AP$55,4,FALSE))</f>
        <v>38</v>
      </c>
      <c r="U55" s="4">
        <f>(VLOOKUP('9.0.10'!AC55,'9.0.10'!$AM$4:$AP$55,4,FALSE))</f>
        <v>38</v>
      </c>
      <c r="V55" s="4">
        <f>(VLOOKUP('9.0.10'!AD55,'9.0.10'!$AM$4:$AP$55,4,FALSE))</f>
        <v>38</v>
      </c>
      <c r="W55" s="4">
        <f>(VLOOKUP('9.0.10'!AE55,'9.0.10'!$AM$4:$AP$55,4,FALSE))</f>
        <v>0</v>
      </c>
      <c r="X55" s="4">
        <f>(VLOOKUP('9.0.10'!AF55,'9.0.10'!$AM$4:$AP$55,4,FALSE))</f>
        <v>0</v>
      </c>
    </row>
    <row r="56" spans="1:24">
      <c r="A56" s="4">
        <f>(VLOOKUP('9.0.10'!I56,'9.0.10'!$AM$4:$AP$55,4,FALSE))</f>
        <v>0</v>
      </c>
      <c r="B56" s="4">
        <f>(VLOOKUP('9.0.10'!J56,'9.0.10'!$AM$4:$AP$55,4,FALSE))</f>
        <v>0</v>
      </c>
      <c r="C56" s="4">
        <f>(VLOOKUP('9.0.10'!K56,'9.0.10'!$AM$4:$AP$55,4,FALSE))</f>
        <v>0</v>
      </c>
      <c r="D56" s="4">
        <f>(VLOOKUP('9.0.10'!L56,'9.0.10'!$AM$4:$AP$55,4,FALSE))</f>
        <v>0</v>
      </c>
      <c r="E56" s="4">
        <f>(VLOOKUP('9.0.10'!M56,'9.0.10'!$AM$4:$AP$55,4,FALSE))</f>
        <v>0</v>
      </c>
      <c r="F56" s="4">
        <f>(VLOOKUP('9.0.10'!N56,'9.0.10'!$AM$4:$AP$55,4,FALSE))</f>
        <v>0</v>
      </c>
      <c r="G56" s="4">
        <f>(VLOOKUP('9.0.10'!O56,'9.0.10'!$AM$4:$AP$55,4,FALSE))</f>
        <v>0</v>
      </c>
      <c r="H56" s="4">
        <f>(VLOOKUP('9.0.10'!P56,'9.0.10'!$AM$4:$AP$55,4,FALSE))</f>
        <v>0</v>
      </c>
      <c r="I56" s="4">
        <f>(VLOOKUP('9.0.10'!Q56,'9.0.10'!$AM$4:$AP$55,4,FALSE))</f>
        <v>0</v>
      </c>
      <c r="J56" s="4">
        <f>(VLOOKUP('9.0.10'!R56,'9.0.10'!$AM$4:$AP$55,4,FALSE))</f>
        <v>0</v>
      </c>
      <c r="K56" s="4">
        <f>(VLOOKUP('9.0.10'!S56,'9.0.10'!$AM$4:$AP$55,4,FALSE))</f>
        <v>0</v>
      </c>
      <c r="L56" s="4">
        <f>(VLOOKUP('9.0.10'!T56,'9.0.10'!$AM$4:$AP$55,4,FALSE))</f>
        <v>0</v>
      </c>
      <c r="M56" s="4">
        <f>(VLOOKUP('9.0.10'!U56,'9.0.10'!$AM$4:$AP$55,4,FALSE))</f>
        <v>0</v>
      </c>
      <c r="N56" s="4">
        <f>(VLOOKUP('9.0.10'!V56,'9.0.10'!$AM$4:$AP$55,4,FALSE))</f>
        <v>0</v>
      </c>
      <c r="O56" s="4">
        <f>(VLOOKUP('9.0.10'!W56,'9.0.10'!$AM$4:$AP$55,4,FALSE))</f>
        <v>0</v>
      </c>
      <c r="P56" s="4">
        <f>(VLOOKUP('9.0.10'!X56,'9.0.10'!$AM$4:$AP$55,4,FALSE))</f>
        <v>0</v>
      </c>
      <c r="Q56" s="4">
        <f>(VLOOKUP('9.0.10'!Y56,'9.0.10'!$AM$4:$AP$55,4,FALSE))</f>
        <v>0</v>
      </c>
      <c r="R56" s="4">
        <f>(VLOOKUP('9.0.10'!Z56,'9.0.10'!$AM$4:$AP$55,4,FALSE))</f>
        <v>0</v>
      </c>
      <c r="S56" s="4">
        <f>(VLOOKUP('9.0.10'!AA56,'9.0.10'!$AM$4:$AP$55,4,FALSE))</f>
        <v>38</v>
      </c>
      <c r="T56" s="4">
        <f>(VLOOKUP('9.0.10'!AB56,'9.0.10'!$AM$4:$AP$55,4,FALSE))</f>
        <v>38</v>
      </c>
      <c r="U56" s="4">
        <f>(VLOOKUP('9.0.10'!AC56,'9.0.10'!$AM$4:$AP$55,4,FALSE))</f>
        <v>38</v>
      </c>
      <c r="V56" s="4">
        <f>(VLOOKUP('9.0.10'!AD56,'9.0.10'!$AM$4:$AP$55,4,FALSE))</f>
        <v>10</v>
      </c>
      <c r="W56" s="4">
        <f>(VLOOKUP('9.0.10'!AE56,'9.0.10'!$AM$4:$AP$55,4,FALSE))</f>
        <v>0</v>
      </c>
      <c r="X56" s="4">
        <f>(VLOOKUP('9.0.10'!AF56,'9.0.10'!$AM$4:$AP$55,4,FALSE))</f>
        <v>0</v>
      </c>
    </row>
    <row r="57" spans="1:24">
      <c r="A57" s="4">
        <f>(VLOOKUP('9.0.10'!I57,'9.0.10'!$AM$4:$AP$55,4,FALSE))</f>
        <v>0</v>
      </c>
      <c r="B57" s="4">
        <f>(VLOOKUP('9.0.10'!J57,'9.0.10'!$AM$4:$AP$55,4,FALSE))</f>
        <v>0</v>
      </c>
      <c r="C57" s="4">
        <f>(VLOOKUP('9.0.10'!K57,'9.0.10'!$AM$4:$AP$55,4,FALSE))</f>
        <v>0</v>
      </c>
      <c r="D57" s="4">
        <f>(VLOOKUP('9.0.10'!L57,'9.0.10'!$AM$4:$AP$55,4,FALSE))</f>
        <v>0</v>
      </c>
      <c r="E57" s="4">
        <f>(VLOOKUP('9.0.10'!M57,'9.0.10'!$AM$4:$AP$55,4,FALSE))</f>
        <v>0</v>
      </c>
      <c r="F57" s="4">
        <f>(VLOOKUP('9.0.10'!N57,'9.0.10'!$AM$4:$AP$55,4,FALSE))</f>
        <v>0</v>
      </c>
      <c r="G57" s="4">
        <f>(VLOOKUP('9.0.10'!O57,'9.0.10'!$AM$4:$AP$55,4,FALSE))</f>
        <v>0</v>
      </c>
      <c r="H57" s="4">
        <f>(VLOOKUP('9.0.10'!P57,'9.0.10'!$AM$4:$AP$55,4,FALSE))</f>
        <v>0</v>
      </c>
      <c r="I57" s="4">
        <f>(VLOOKUP('9.0.10'!Q57,'9.0.10'!$AM$4:$AP$55,4,FALSE))</f>
        <v>0</v>
      </c>
      <c r="J57" s="4">
        <f>(VLOOKUP('9.0.10'!R57,'9.0.10'!$AM$4:$AP$55,4,FALSE))</f>
        <v>0</v>
      </c>
      <c r="K57" s="4">
        <f>(VLOOKUP('9.0.10'!S57,'9.0.10'!$AM$4:$AP$55,4,FALSE))</f>
        <v>0</v>
      </c>
      <c r="L57" s="4">
        <f>(VLOOKUP('9.0.10'!T57,'9.0.10'!$AM$4:$AP$55,4,FALSE))</f>
        <v>0</v>
      </c>
      <c r="M57" s="4">
        <f>(VLOOKUP('9.0.10'!U57,'9.0.10'!$AM$4:$AP$55,4,FALSE))</f>
        <v>0</v>
      </c>
      <c r="N57" s="4">
        <f>(VLOOKUP('9.0.10'!V57,'9.0.10'!$AM$4:$AP$55,4,FALSE))</f>
        <v>0</v>
      </c>
      <c r="O57" s="4">
        <f>(VLOOKUP('9.0.10'!W57,'9.0.10'!$AM$4:$AP$55,4,FALSE))</f>
        <v>0</v>
      </c>
      <c r="P57" s="4">
        <f>(VLOOKUP('9.0.10'!X57,'9.0.10'!$AM$4:$AP$55,4,FALSE))</f>
        <v>0</v>
      </c>
      <c r="Q57" s="4">
        <f>(VLOOKUP('9.0.10'!Y57,'9.0.10'!$AM$4:$AP$55,4,FALSE))</f>
        <v>38</v>
      </c>
      <c r="R57" s="4">
        <f>(VLOOKUP('9.0.10'!Z57,'9.0.10'!$AM$4:$AP$55,4,FALSE))</f>
        <v>38</v>
      </c>
      <c r="S57" s="4">
        <f>(VLOOKUP('9.0.10'!AA57,'9.0.10'!$AM$4:$AP$55,4,FALSE))</f>
        <v>38</v>
      </c>
      <c r="T57" s="4">
        <f>(VLOOKUP('9.0.10'!AB57,'9.0.10'!$AM$4:$AP$55,4,FALSE))</f>
        <v>38</v>
      </c>
      <c r="U57" s="4">
        <f>(VLOOKUP('9.0.10'!AC57,'9.0.10'!$AM$4:$AP$55,4,FALSE))</f>
        <v>38</v>
      </c>
      <c r="V57" s="4">
        <f>(VLOOKUP('9.0.10'!AD57,'9.0.10'!$AM$4:$AP$55,4,FALSE))</f>
        <v>38</v>
      </c>
      <c r="W57" s="4">
        <f>(VLOOKUP('9.0.10'!AE57,'9.0.10'!$AM$4:$AP$55,4,FALSE))</f>
        <v>0</v>
      </c>
      <c r="X57" s="4">
        <f>(VLOOKUP('9.0.10'!AF57,'9.0.10'!$AM$4:$AP$55,4,FALSE))</f>
        <v>0</v>
      </c>
    </row>
    <row r="58" spans="1:24">
      <c r="A58" s="4">
        <f>(VLOOKUP('9.0.10'!I58,'9.0.10'!$AM$4:$AP$55,4,FALSE))</f>
        <v>0</v>
      </c>
      <c r="B58" s="4">
        <f>(VLOOKUP('9.0.10'!J58,'9.0.10'!$AM$4:$AP$55,4,FALSE))</f>
        <v>0</v>
      </c>
      <c r="C58" s="4">
        <f>(VLOOKUP('9.0.10'!K58,'9.0.10'!$AM$4:$AP$55,4,FALSE))</f>
        <v>0</v>
      </c>
      <c r="D58" s="4">
        <f>(VLOOKUP('9.0.10'!L58,'9.0.10'!$AM$4:$AP$55,4,FALSE))</f>
        <v>0</v>
      </c>
      <c r="E58" s="4">
        <f>(VLOOKUP('9.0.10'!M58,'9.0.10'!$AM$4:$AP$55,4,FALSE))</f>
        <v>0</v>
      </c>
      <c r="F58" s="4">
        <f>(VLOOKUP('9.0.10'!N58,'9.0.10'!$AM$4:$AP$55,4,FALSE))</f>
        <v>0</v>
      </c>
      <c r="G58" s="4">
        <f>(VLOOKUP('9.0.10'!O58,'9.0.10'!$AM$4:$AP$55,4,FALSE))</f>
        <v>0</v>
      </c>
      <c r="H58" s="4">
        <f>(VLOOKUP('9.0.10'!P58,'9.0.10'!$AM$4:$AP$55,4,FALSE))</f>
        <v>0</v>
      </c>
      <c r="I58" s="4">
        <f>(VLOOKUP('9.0.10'!Q58,'9.0.10'!$AM$4:$AP$55,4,FALSE))</f>
        <v>0</v>
      </c>
      <c r="J58" s="4">
        <f>(VLOOKUP('9.0.10'!R58,'9.0.10'!$AM$4:$AP$55,4,FALSE))</f>
        <v>0</v>
      </c>
      <c r="K58" s="4">
        <f>(VLOOKUP('9.0.10'!S58,'9.0.10'!$AM$4:$AP$55,4,FALSE))</f>
        <v>0</v>
      </c>
      <c r="L58" s="4">
        <f>(VLOOKUP('9.0.10'!T58,'9.0.10'!$AM$4:$AP$55,4,FALSE))</f>
        <v>0</v>
      </c>
      <c r="M58" s="4">
        <f>(VLOOKUP('9.0.10'!U58,'9.0.10'!$AM$4:$AP$55,4,FALSE))</f>
        <v>0</v>
      </c>
      <c r="N58" s="4">
        <f>(VLOOKUP('9.0.10'!V58,'9.0.10'!$AM$4:$AP$55,4,FALSE))</f>
        <v>0</v>
      </c>
      <c r="O58" s="4">
        <f>(VLOOKUP('9.0.10'!W58,'9.0.10'!$AM$4:$AP$55,4,FALSE))</f>
        <v>0</v>
      </c>
      <c r="P58" s="4">
        <f>(VLOOKUP('9.0.10'!X58,'9.0.10'!$AM$4:$AP$55,4,FALSE))</f>
        <v>0</v>
      </c>
      <c r="Q58" s="4">
        <f>(VLOOKUP('9.0.10'!Y58,'9.0.10'!$AM$4:$AP$55,4,FALSE))</f>
        <v>38</v>
      </c>
      <c r="R58" s="4">
        <f>(VLOOKUP('9.0.10'!Z58,'9.0.10'!$AM$4:$AP$55,4,FALSE))</f>
        <v>38</v>
      </c>
      <c r="S58" s="4">
        <f>(VLOOKUP('9.0.10'!AA58,'9.0.10'!$AM$4:$AP$55,4,FALSE))</f>
        <v>38</v>
      </c>
      <c r="T58" s="4">
        <f>(VLOOKUP('9.0.10'!AB58,'9.0.10'!$AM$4:$AP$55,4,FALSE))</f>
        <v>38</v>
      </c>
      <c r="U58" s="4">
        <f>(VLOOKUP('9.0.10'!AC58,'9.0.10'!$AM$4:$AP$55,4,FALSE))</f>
        <v>38</v>
      </c>
      <c r="V58" s="4">
        <f>(VLOOKUP('9.0.10'!AD58,'9.0.10'!$AM$4:$AP$55,4,FALSE))</f>
        <v>38</v>
      </c>
      <c r="W58" s="4">
        <f>(VLOOKUP('9.0.10'!AE58,'9.0.10'!$AM$4:$AP$55,4,FALSE))</f>
        <v>0</v>
      </c>
      <c r="X58" s="4">
        <f>(VLOOKUP('9.0.10'!AF58,'9.0.10'!$AM$4:$AP$55,4,FALSE))</f>
        <v>0</v>
      </c>
    </row>
    <row r="59" spans="1:24">
      <c r="A59" s="4">
        <f>(VLOOKUP('9.0.10'!I59,'9.0.10'!$AM$4:$AP$55,4,FALSE))</f>
        <v>0</v>
      </c>
      <c r="B59" s="4">
        <f>(VLOOKUP('9.0.10'!J59,'9.0.10'!$AM$4:$AP$55,4,FALSE))</f>
        <v>0</v>
      </c>
      <c r="C59" s="4">
        <f>(VLOOKUP('9.0.10'!K59,'9.0.10'!$AM$4:$AP$55,4,FALSE))</f>
        <v>0</v>
      </c>
      <c r="D59" s="4">
        <f>(VLOOKUP('9.0.10'!L59,'9.0.10'!$AM$4:$AP$55,4,FALSE))</f>
        <v>0</v>
      </c>
      <c r="E59" s="4">
        <f>(VLOOKUP('9.0.10'!M59,'9.0.10'!$AM$4:$AP$55,4,FALSE))</f>
        <v>0</v>
      </c>
      <c r="F59" s="4">
        <f>(VLOOKUP('9.0.10'!N59,'9.0.10'!$AM$4:$AP$55,4,FALSE))</f>
        <v>0</v>
      </c>
      <c r="G59" s="4">
        <f>(VLOOKUP('9.0.10'!O59,'9.0.10'!$AM$4:$AP$55,4,FALSE))</f>
        <v>0</v>
      </c>
      <c r="H59" s="4">
        <f>(VLOOKUP('9.0.10'!P59,'9.0.10'!$AM$4:$AP$55,4,FALSE))</f>
        <v>0</v>
      </c>
      <c r="I59" s="4">
        <f>(VLOOKUP('9.0.10'!Q59,'9.0.10'!$AM$4:$AP$55,4,FALSE))</f>
        <v>0</v>
      </c>
      <c r="J59" s="4">
        <f>(VLOOKUP('9.0.10'!R59,'9.0.10'!$AM$4:$AP$55,4,FALSE))</f>
        <v>0</v>
      </c>
      <c r="K59" s="4">
        <f>(VLOOKUP('9.0.10'!S59,'9.0.10'!$AM$4:$AP$55,4,FALSE))</f>
        <v>0</v>
      </c>
      <c r="L59" s="4">
        <f>(VLOOKUP('9.0.10'!T59,'9.0.10'!$AM$4:$AP$55,4,FALSE))</f>
        <v>0</v>
      </c>
      <c r="M59" s="4">
        <f>(VLOOKUP('9.0.10'!U59,'9.0.10'!$AM$4:$AP$55,4,FALSE))</f>
        <v>0</v>
      </c>
      <c r="N59" s="4">
        <f>(VLOOKUP('9.0.10'!V59,'9.0.10'!$AM$4:$AP$55,4,FALSE))</f>
        <v>0</v>
      </c>
      <c r="O59" s="4">
        <f>(VLOOKUP('9.0.10'!W59,'9.0.10'!$AM$4:$AP$55,4,FALSE))</f>
        <v>0</v>
      </c>
      <c r="P59" s="4">
        <f>(VLOOKUP('9.0.10'!X59,'9.0.10'!$AM$4:$AP$55,4,FALSE))</f>
        <v>0</v>
      </c>
      <c r="Q59" s="4">
        <f>(VLOOKUP('9.0.10'!Y59,'9.0.10'!$AM$4:$AP$55,4,FALSE))</f>
        <v>38</v>
      </c>
      <c r="R59" s="4">
        <f>(VLOOKUP('9.0.10'!Z59,'9.0.10'!$AM$4:$AP$55,4,FALSE))</f>
        <v>38</v>
      </c>
      <c r="S59" s="4">
        <f>(VLOOKUP('9.0.10'!AA59,'9.0.10'!$AM$4:$AP$55,4,FALSE))</f>
        <v>38</v>
      </c>
      <c r="T59" s="4">
        <f>(VLOOKUP('9.0.10'!AB59,'9.0.10'!$AM$4:$AP$55,4,FALSE))</f>
        <v>38</v>
      </c>
      <c r="U59" s="4">
        <f>(VLOOKUP('9.0.10'!AC59,'9.0.10'!$AM$4:$AP$55,4,FALSE))</f>
        <v>38</v>
      </c>
      <c r="V59" s="4">
        <f>(VLOOKUP('9.0.10'!AD59,'9.0.10'!$AM$4:$AP$55,4,FALSE))</f>
        <v>38</v>
      </c>
      <c r="W59" s="4">
        <f>(VLOOKUP('9.0.10'!AE59,'9.0.10'!$AM$4:$AP$55,4,FALSE))</f>
        <v>0</v>
      </c>
      <c r="X59" s="4">
        <f>(VLOOKUP('9.0.10'!AF59,'9.0.10'!$AM$4:$AP$55,4,FALSE))</f>
        <v>0</v>
      </c>
    </row>
    <row r="60" spans="1:24">
      <c r="A60" s="4">
        <f>(VLOOKUP('9.0.10'!I60,'9.0.10'!$AM$4:$AP$55,4,FALSE))</f>
        <v>0</v>
      </c>
      <c r="B60" s="4">
        <f>(VLOOKUP('9.0.10'!J60,'9.0.10'!$AM$4:$AP$55,4,FALSE))</f>
        <v>0</v>
      </c>
      <c r="C60" s="4">
        <f>(VLOOKUP('9.0.10'!K60,'9.0.10'!$AM$4:$AP$55,4,FALSE))</f>
        <v>0</v>
      </c>
      <c r="D60" s="4">
        <f>(VLOOKUP('9.0.10'!L60,'9.0.10'!$AM$4:$AP$55,4,FALSE))</f>
        <v>0</v>
      </c>
      <c r="E60" s="4">
        <f>(VLOOKUP('9.0.10'!M60,'9.0.10'!$AM$4:$AP$55,4,FALSE))</f>
        <v>0</v>
      </c>
      <c r="F60" s="4">
        <f>(VLOOKUP('9.0.10'!N60,'9.0.10'!$AM$4:$AP$55,4,FALSE))</f>
        <v>0</v>
      </c>
      <c r="G60" s="4">
        <f>(VLOOKUP('9.0.10'!O60,'9.0.10'!$AM$4:$AP$55,4,FALSE))</f>
        <v>0</v>
      </c>
      <c r="H60" s="4">
        <f>(VLOOKUP('9.0.10'!P60,'9.0.10'!$AM$4:$AP$55,4,FALSE))</f>
        <v>0</v>
      </c>
      <c r="I60" s="4">
        <f>(VLOOKUP('9.0.10'!Q60,'9.0.10'!$AM$4:$AP$55,4,FALSE))</f>
        <v>0</v>
      </c>
      <c r="J60" s="4">
        <f>(VLOOKUP('9.0.10'!R60,'9.0.10'!$AM$4:$AP$55,4,FALSE))</f>
        <v>0</v>
      </c>
      <c r="K60" s="4">
        <f>(VLOOKUP('9.0.10'!S60,'9.0.10'!$AM$4:$AP$55,4,FALSE))</f>
        <v>0</v>
      </c>
      <c r="L60" s="4">
        <f>(VLOOKUP('9.0.10'!T60,'9.0.10'!$AM$4:$AP$55,4,FALSE))</f>
        <v>0</v>
      </c>
      <c r="M60" s="4">
        <f>(VLOOKUP('9.0.10'!U60,'9.0.10'!$AM$4:$AP$55,4,FALSE))</f>
        <v>0</v>
      </c>
      <c r="N60" s="4">
        <f>(VLOOKUP('9.0.10'!V60,'9.0.10'!$AM$4:$AP$55,4,FALSE))</f>
        <v>0</v>
      </c>
      <c r="O60" s="4">
        <f>(VLOOKUP('9.0.10'!W60,'9.0.10'!$AM$4:$AP$55,4,FALSE))</f>
        <v>0</v>
      </c>
      <c r="P60" s="4">
        <f>(VLOOKUP('9.0.10'!X60,'9.0.10'!$AM$4:$AP$55,4,FALSE))</f>
        <v>0</v>
      </c>
      <c r="Q60" s="4">
        <f>(VLOOKUP('9.0.10'!Y60,'9.0.10'!$AM$4:$AP$55,4,FALSE))</f>
        <v>38</v>
      </c>
      <c r="R60" s="4">
        <f>(VLOOKUP('9.0.10'!Z60,'9.0.10'!$AM$4:$AP$55,4,FALSE))</f>
        <v>0</v>
      </c>
      <c r="S60" s="4">
        <f>(VLOOKUP('9.0.10'!AA60,'9.0.10'!$AM$4:$AP$55,4,FALSE))</f>
        <v>38</v>
      </c>
      <c r="T60" s="4">
        <f>(VLOOKUP('9.0.10'!AB60,'9.0.10'!$AM$4:$AP$55,4,FALSE))</f>
        <v>38</v>
      </c>
      <c r="U60" s="4">
        <f>(VLOOKUP('9.0.10'!AC60,'9.0.10'!$AM$4:$AP$55,4,FALSE))</f>
        <v>38</v>
      </c>
      <c r="V60" s="4">
        <f>(VLOOKUP('9.0.10'!AD60,'9.0.10'!$AM$4:$AP$55,4,FALSE))</f>
        <v>38</v>
      </c>
      <c r="W60" s="4">
        <f>(VLOOKUP('9.0.10'!AE60,'9.0.10'!$AM$4:$AP$55,4,FALSE))</f>
        <v>38</v>
      </c>
      <c r="X60" s="4">
        <f>(VLOOKUP('9.0.10'!AF60,'9.0.10'!$AM$4:$AP$55,4,FALSE))</f>
        <v>38</v>
      </c>
    </row>
    <row r="61" spans="1:24">
      <c r="A61" s="4">
        <f>(VLOOKUP('9.0.10'!I61,'9.0.10'!$AM$4:$AP$55,4,FALSE))</f>
        <v>0</v>
      </c>
      <c r="B61" s="4">
        <f>(VLOOKUP('9.0.10'!J61,'9.0.10'!$AM$4:$AP$55,4,FALSE))</f>
        <v>0</v>
      </c>
      <c r="C61" s="4">
        <f>(VLOOKUP('9.0.10'!K61,'9.0.10'!$AM$4:$AP$55,4,FALSE))</f>
        <v>0</v>
      </c>
      <c r="D61" s="4">
        <f>(VLOOKUP('9.0.10'!L61,'9.0.10'!$AM$4:$AP$55,4,FALSE))</f>
        <v>0</v>
      </c>
      <c r="E61" s="4">
        <f>(VLOOKUP('9.0.10'!M61,'9.0.10'!$AM$4:$AP$55,4,FALSE))</f>
        <v>0</v>
      </c>
      <c r="F61" s="4">
        <f>(VLOOKUP('9.0.10'!N61,'9.0.10'!$AM$4:$AP$55,4,FALSE))</f>
        <v>0</v>
      </c>
      <c r="G61" s="4">
        <f>(VLOOKUP('9.0.10'!O61,'9.0.10'!$AM$4:$AP$55,4,FALSE))</f>
        <v>0</v>
      </c>
      <c r="H61" s="4">
        <f>(VLOOKUP('9.0.10'!P61,'9.0.10'!$AM$4:$AP$55,4,FALSE))</f>
        <v>0</v>
      </c>
      <c r="I61" s="4">
        <f>(VLOOKUP('9.0.10'!Q61,'9.0.10'!$AM$4:$AP$55,4,FALSE))</f>
        <v>0</v>
      </c>
      <c r="J61" s="4">
        <f>(VLOOKUP('9.0.10'!R61,'9.0.10'!$AM$4:$AP$55,4,FALSE))</f>
        <v>0</v>
      </c>
      <c r="K61" s="4">
        <f>(VLOOKUP('9.0.10'!S61,'9.0.10'!$AM$4:$AP$55,4,FALSE))</f>
        <v>0</v>
      </c>
      <c r="L61" s="4">
        <f>(VLOOKUP('9.0.10'!T61,'9.0.10'!$AM$4:$AP$55,4,FALSE))</f>
        <v>0</v>
      </c>
      <c r="M61" s="4">
        <f>(VLOOKUP('9.0.10'!U61,'9.0.10'!$AM$4:$AP$55,4,FALSE))</f>
        <v>0</v>
      </c>
      <c r="N61" s="4">
        <f>(VLOOKUP('9.0.10'!V61,'9.0.10'!$AM$4:$AP$55,4,FALSE))</f>
        <v>0</v>
      </c>
      <c r="O61" s="4">
        <f>(VLOOKUP('9.0.10'!W61,'9.0.10'!$AM$4:$AP$55,4,FALSE))</f>
        <v>0</v>
      </c>
      <c r="P61" s="4">
        <f>(VLOOKUP('9.0.10'!X61,'9.0.10'!$AM$4:$AP$55,4,FALSE))</f>
        <v>0</v>
      </c>
      <c r="Q61" s="4">
        <f>(VLOOKUP('9.0.10'!Y61,'9.0.10'!$AM$4:$AP$55,4,FALSE))</f>
        <v>38</v>
      </c>
      <c r="R61" s="4">
        <f>(VLOOKUP('9.0.10'!Z61,'9.0.10'!$AM$4:$AP$55,4,FALSE))</f>
        <v>38</v>
      </c>
      <c r="S61" s="4">
        <f>(VLOOKUP('9.0.10'!AA61,'9.0.10'!$AM$4:$AP$55,4,FALSE))</f>
        <v>38</v>
      </c>
      <c r="T61" s="4">
        <f>(VLOOKUP('9.0.10'!AB61,'9.0.10'!$AM$4:$AP$55,4,FALSE))</f>
        <v>38</v>
      </c>
      <c r="U61" s="4">
        <f>(VLOOKUP('9.0.10'!AC61,'9.0.10'!$AM$4:$AP$55,4,FALSE))</f>
        <v>38</v>
      </c>
      <c r="V61" s="4">
        <f>(VLOOKUP('9.0.10'!AD61,'9.0.10'!$AM$4:$AP$55,4,FALSE))</f>
        <v>38</v>
      </c>
      <c r="W61" s="4">
        <f>(VLOOKUP('9.0.10'!AE61,'9.0.10'!$AM$4:$AP$55,4,FALSE))</f>
        <v>0</v>
      </c>
      <c r="X61" s="4">
        <f>(VLOOKUP('9.0.10'!AF61,'9.0.10'!$AM$4:$AP$55,4,FALSE))</f>
        <v>0</v>
      </c>
    </row>
    <row r="62" spans="1:24">
      <c r="A62" s="4">
        <f>(VLOOKUP('9.0.10'!I62,'9.0.10'!$AM$4:$AP$55,4,FALSE))</f>
        <v>0</v>
      </c>
      <c r="B62" s="4">
        <f>(VLOOKUP('9.0.10'!J62,'9.0.10'!$AM$4:$AP$55,4,FALSE))</f>
        <v>0</v>
      </c>
      <c r="C62" s="4">
        <f>(VLOOKUP('9.0.10'!K62,'9.0.10'!$AM$4:$AP$55,4,FALSE))</f>
        <v>0</v>
      </c>
      <c r="D62" s="4">
        <f>(VLOOKUP('9.0.10'!L62,'9.0.10'!$AM$4:$AP$55,4,FALSE))</f>
        <v>0</v>
      </c>
      <c r="E62" s="4">
        <f>(VLOOKUP('9.0.10'!M62,'9.0.10'!$AM$4:$AP$55,4,FALSE))</f>
        <v>0</v>
      </c>
      <c r="F62" s="4">
        <f>(VLOOKUP('9.0.10'!N62,'9.0.10'!$AM$4:$AP$55,4,FALSE))</f>
        <v>0</v>
      </c>
      <c r="G62" s="4">
        <f>(VLOOKUP('9.0.10'!O62,'9.0.10'!$AM$4:$AP$55,4,FALSE))</f>
        <v>0</v>
      </c>
      <c r="H62" s="4">
        <f>(VLOOKUP('9.0.10'!P62,'9.0.10'!$AM$4:$AP$55,4,FALSE))</f>
        <v>0</v>
      </c>
      <c r="I62" s="4">
        <f>(VLOOKUP('9.0.10'!Q62,'9.0.10'!$AM$4:$AP$55,4,FALSE))</f>
        <v>0</v>
      </c>
      <c r="J62" s="4">
        <f>(VLOOKUP('9.0.10'!R62,'9.0.10'!$AM$4:$AP$55,4,FALSE))</f>
        <v>0</v>
      </c>
      <c r="K62" s="4">
        <f>(VLOOKUP('9.0.10'!S62,'9.0.10'!$AM$4:$AP$55,4,FALSE))</f>
        <v>0</v>
      </c>
      <c r="L62" s="4">
        <f>(VLOOKUP('9.0.10'!T62,'9.0.10'!$AM$4:$AP$55,4,FALSE))</f>
        <v>0</v>
      </c>
      <c r="M62" s="4">
        <f>(VLOOKUP('9.0.10'!U62,'9.0.10'!$AM$4:$AP$55,4,FALSE))</f>
        <v>0</v>
      </c>
      <c r="N62" s="4">
        <f>(VLOOKUP('9.0.10'!V62,'9.0.10'!$AM$4:$AP$55,4,FALSE))</f>
        <v>0</v>
      </c>
      <c r="O62" s="4">
        <f>(VLOOKUP('9.0.10'!W62,'9.0.10'!$AM$4:$AP$55,4,FALSE))</f>
        <v>0</v>
      </c>
      <c r="P62" s="4">
        <f>(VLOOKUP('9.0.10'!X62,'9.0.10'!$AM$4:$AP$55,4,FALSE))</f>
        <v>0</v>
      </c>
      <c r="Q62" s="4">
        <f>(VLOOKUP('9.0.10'!Y62,'9.0.10'!$AM$4:$AP$55,4,FALSE))</f>
        <v>0</v>
      </c>
      <c r="R62" s="4">
        <f>(VLOOKUP('9.0.10'!Z62,'9.0.10'!$AM$4:$AP$55,4,FALSE))</f>
        <v>0</v>
      </c>
      <c r="S62" s="4">
        <f>(VLOOKUP('9.0.10'!AA62,'9.0.10'!$AM$4:$AP$55,4,FALSE))</f>
        <v>0</v>
      </c>
      <c r="T62" s="4">
        <f>(VLOOKUP('9.0.10'!AB62,'9.0.10'!$AM$4:$AP$55,4,FALSE))</f>
        <v>0</v>
      </c>
      <c r="U62" s="4">
        <f>(VLOOKUP('9.0.10'!AC62,'9.0.10'!$AM$4:$AP$55,4,FALSE))</f>
        <v>0</v>
      </c>
      <c r="V62" s="4">
        <f>(VLOOKUP('9.0.10'!AD62,'9.0.10'!$AM$4:$AP$55,4,FALSE))</f>
        <v>0</v>
      </c>
      <c r="W62" s="4">
        <f>(VLOOKUP('9.0.10'!AE62,'9.0.10'!$AM$4:$AP$55,4,FALSE))</f>
        <v>0</v>
      </c>
      <c r="X62" s="4">
        <f>(VLOOKUP('9.0.10'!AF62,'9.0.10'!$AM$4:$AP$55,4,FALSE))</f>
        <v>0</v>
      </c>
    </row>
    <row r="63" spans="1:24">
      <c r="A63" s="4">
        <f>(VLOOKUP('9.0.10'!I63,'9.0.10'!$AM$4:$AP$55,4,FALSE))</f>
        <v>0</v>
      </c>
      <c r="B63" s="4">
        <f>(VLOOKUP('9.0.10'!J63,'9.0.10'!$AM$4:$AP$55,4,FALSE))</f>
        <v>0</v>
      </c>
      <c r="C63" s="4">
        <f>(VLOOKUP('9.0.10'!K63,'9.0.10'!$AM$4:$AP$55,4,FALSE))</f>
        <v>0</v>
      </c>
      <c r="D63" s="4">
        <f>(VLOOKUP('9.0.10'!L63,'9.0.10'!$AM$4:$AP$55,4,FALSE))</f>
        <v>0</v>
      </c>
      <c r="E63" s="4">
        <f>(VLOOKUP('9.0.10'!M63,'9.0.10'!$AM$4:$AP$55,4,FALSE))</f>
        <v>0</v>
      </c>
      <c r="F63" s="4">
        <f>(VLOOKUP('9.0.10'!N63,'9.0.10'!$AM$4:$AP$55,4,FALSE))</f>
        <v>0</v>
      </c>
      <c r="G63" s="4">
        <f>(VLOOKUP('9.0.10'!O63,'9.0.10'!$AM$4:$AP$55,4,FALSE))</f>
        <v>0</v>
      </c>
      <c r="H63" s="4">
        <f>(VLOOKUP('9.0.10'!P63,'9.0.10'!$AM$4:$AP$55,4,FALSE))</f>
        <v>0</v>
      </c>
      <c r="I63" s="4">
        <f>(VLOOKUP('9.0.10'!Q63,'9.0.10'!$AM$4:$AP$55,4,FALSE))</f>
        <v>0</v>
      </c>
      <c r="J63" s="4">
        <f>(VLOOKUP('9.0.10'!R63,'9.0.10'!$AM$4:$AP$55,4,FALSE))</f>
        <v>0</v>
      </c>
      <c r="K63" s="4">
        <f>(VLOOKUP('9.0.10'!S63,'9.0.10'!$AM$4:$AP$55,4,FALSE))</f>
        <v>0</v>
      </c>
      <c r="L63" s="4">
        <f>(VLOOKUP('9.0.10'!T63,'9.0.10'!$AM$4:$AP$55,4,FALSE))</f>
        <v>0</v>
      </c>
      <c r="M63" s="4">
        <f>(VLOOKUP('9.0.10'!U63,'9.0.10'!$AM$4:$AP$55,4,FALSE))</f>
        <v>0</v>
      </c>
      <c r="N63" s="4">
        <f>(VLOOKUP('9.0.10'!V63,'9.0.10'!$AM$4:$AP$55,4,FALSE))</f>
        <v>0</v>
      </c>
      <c r="O63" s="4">
        <f>(VLOOKUP('9.0.10'!W63,'9.0.10'!$AM$4:$AP$55,4,FALSE))</f>
        <v>0</v>
      </c>
      <c r="P63" s="4">
        <f>(VLOOKUP('9.0.10'!X63,'9.0.10'!$AM$4:$AP$55,4,FALSE))</f>
        <v>0</v>
      </c>
      <c r="Q63" s="4">
        <f>(VLOOKUP('9.0.10'!Y63,'9.0.10'!$AM$4:$AP$55,4,FALSE))</f>
        <v>0</v>
      </c>
      <c r="R63" s="4">
        <f>(VLOOKUP('9.0.10'!Z63,'9.0.10'!$AM$4:$AP$55,4,FALSE))</f>
        <v>38</v>
      </c>
      <c r="S63" s="4">
        <f>(VLOOKUP('9.0.10'!AA63,'9.0.10'!$AM$4:$AP$55,4,FALSE))</f>
        <v>38</v>
      </c>
      <c r="T63" s="4">
        <f>(VLOOKUP('9.0.10'!AB63,'9.0.10'!$AM$4:$AP$55,4,FALSE))</f>
        <v>38</v>
      </c>
      <c r="U63" s="4">
        <f>(VLOOKUP('9.0.10'!AC63,'9.0.10'!$AM$4:$AP$55,4,FALSE))</f>
        <v>38</v>
      </c>
      <c r="V63" s="4">
        <f>(VLOOKUP('9.0.10'!AD63,'9.0.10'!$AM$4:$AP$55,4,FALSE))</f>
        <v>38</v>
      </c>
      <c r="W63" s="4">
        <f>(VLOOKUP('9.0.10'!AE63,'9.0.10'!$AM$4:$AP$55,4,FALSE))</f>
        <v>0</v>
      </c>
      <c r="X63" s="4">
        <f>(VLOOKUP('9.0.10'!AF63,'9.0.10'!$AM$4:$AP$55,4,FALSE))</f>
        <v>0</v>
      </c>
    </row>
    <row r="64" spans="1:24">
      <c r="A64" s="4">
        <f>(VLOOKUP('9.0.10'!I64,'9.0.10'!$AM$4:$AP$55,4,FALSE))</f>
        <v>0</v>
      </c>
      <c r="B64" s="4">
        <f>(VLOOKUP('9.0.10'!J64,'9.0.10'!$AM$4:$AP$55,4,FALSE))</f>
        <v>0</v>
      </c>
      <c r="C64" s="4">
        <f>(VLOOKUP('9.0.10'!K64,'9.0.10'!$AM$4:$AP$55,4,FALSE))</f>
        <v>0</v>
      </c>
      <c r="D64" s="4">
        <f>(VLOOKUP('9.0.10'!L64,'9.0.10'!$AM$4:$AP$55,4,FALSE))</f>
        <v>0</v>
      </c>
      <c r="E64" s="4">
        <f>(VLOOKUP('9.0.10'!M64,'9.0.10'!$AM$4:$AP$55,4,FALSE))</f>
        <v>0</v>
      </c>
      <c r="F64" s="4">
        <f>(VLOOKUP('9.0.10'!N64,'9.0.10'!$AM$4:$AP$55,4,FALSE))</f>
        <v>0</v>
      </c>
      <c r="G64" s="4">
        <f>(VLOOKUP('9.0.10'!O64,'9.0.10'!$AM$4:$AP$55,4,FALSE))</f>
        <v>0</v>
      </c>
      <c r="H64" s="4">
        <f>(VLOOKUP('9.0.10'!P64,'9.0.10'!$AM$4:$AP$55,4,FALSE))</f>
        <v>0</v>
      </c>
      <c r="I64" s="4">
        <f>(VLOOKUP('9.0.10'!Q64,'9.0.10'!$AM$4:$AP$55,4,FALSE))</f>
        <v>0</v>
      </c>
      <c r="J64" s="4">
        <f>(VLOOKUP('9.0.10'!R64,'9.0.10'!$AM$4:$AP$55,4,FALSE))</f>
        <v>0</v>
      </c>
      <c r="K64" s="4">
        <f>(VLOOKUP('9.0.10'!S64,'9.0.10'!$AM$4:$AP$55,4,FALSE))</f>
        <v>0</v>
      </c>
      <c r="L64" s="4">
        <f>(VLOOKUP('9.0.10'!T64,'9.0.10'!$AM$4:$AP$55,4,FALSE))</f>
        <v>0</v>
      </c>
      <c r="M64" s="4">
        <f>(VLOOKUP('9.0.10'!U64,'9.0.10'!$AM$4:$AP$55,4,FALSE))</f>
        <v>0</v>
      </c>
      <c r="N64" s="4">
        <f>(VLOOKUP('9.0.10'!V64,'9.0.10'!$AM$4:$AP$55,4,FALSE))</f>
        <v>0</v>
      </c>
      <c r="O64" s="4">
        <f>(VLOOKUP('9.0.10'!W64,'9.0.10'!$AM$4:$AP$55,4,FALSE))</f>
        <v>0</v>
      </c>
      <c r="P64" s="4">
        <f>(VLOOKUP('9.0.10'!X64,'9.0.10'!$AM$4:$AP$55,4,FALSE))</f>
        <v>0</v>
      </c>
      <c r="Q64" s="4">
        <f>(VLOOKUP('9.0.10'!Y64,'9.0.10'!$AM$4:$AP$55,4,FALSE))</f>
        <v>38</v>
      </c>
      <c r="R64" s="4">
        <f>(VLOOKUP('9.0.10'!Z64,'9.0.10'!$AM$4:$AP$55,4,FALSE))</f>
        <v>38</v>
      </c>
      <c r="S64" s="4">
        <f>(VLOOKUP('9.0.10'!AA64,'9.0.10'!$AM$4:$AP$55,4,FALSE))</f>
        <v>38</v>
      </c>
      <c r="T64" s="4">
        <f>(VLOOKUP('9.0.10'!AB64,'9.0.10'!$AM$4:$AP$55,4,FALSE))</f>
        <v>38</v>
      </c>
      <c r="U64" s="4">
        <f>(VLOOKUP('9.0.10'!AC64,'9.0.10'!$AM$4:$AP$55,4,FALSE))</f>
        <v>38</v>
      </c>
      <c r="V64" s="4">
        <f>(VLOOKUP('9.0.10'!AD64,'9.0.10'!$AM$4:$AP$55,4,FALSE))</f>
        <v>38</v>
      </c>
      <c r="W64" s="4">
        <f>(VLOOKUP('9.0.10'!AE64,'9.0.10'!$AM$4:$AP$55,4,FALSE))</f>
        <v>0</v>
      </c>
      <c r="X64" s="4">
        <f>(VLOOKUP('9.0.10'!AF64,'9.0.10'!$AM$4:$AP$55,4,FALSE))</f>
        <v>0</v>
      </c>
    </row>
    <row r="65" spans="1:24">
      <c r="A65" s="4">
        <f>(VLOOKUP('9.0.10'!I65,'9.0.10'!$AM$4:$AP$55,4,FALSE))</f>
        <v>0</v>
      </c>
      <c r="B65" s="4">
        <f>(VLOOKUP('9.0.10'!J65,'9.0.10'!$AM$4:$AP$55,4,FALSE))</f>
        <v>0</v>
      </c>
      <c r="C65" s="4">
        <f>(VLOOKUP('9.0.10'!K65,'9.0.10'!$AM$4:$AP$55,4,FALSE))</f>
        <v>0</v>
      </c>
      <c r="D65" s="4">
        <f>(VLOOKUP('9.0.10'!L65,'9.0.10'!$AM$4:$AP$55,4,FALSE))</f>
        <v>0</v>
      </c>
      <c r="E65" s="4">
        <f>(VLOOKUP('9.0.10'!M65,'9.0.10'!$AM$4:$AP$55,4,FALSE))</f>
        <v>0</v>
      </c>
      <c r="F65" s="4">
        <f>(VLOOKUP('9.0.10'!N65,'9.0.10'!$AM$4:$AP$55,4,FALSE))</f>
        <v>0</v>
      </c>
      <c r="G65" s="4">
        <f>(VLOOKUP('9.0.10'!O65,'9.0.10'!$AM$4:$AP$55,4,FALSE))</f>
        <v>0</v>
      </c>
      <c r="H65" s="4">
        <f>(VLOOKUP('9.0.10'!P65,'9.0.10'!$AM$4:$AP$55,4,FALSE))</f>
        <v>0</v>
      </c>
      <c r="I65" s="4">
        <f>(VLOOKUP('9.0.10'!Q65,'9.0.10'!$AM$4:$AP$55,4,FALSE))</f>
        <v>0</v>
      </c>
      <c r="J65" s="4">
        <f>(VLOOKUP('9.0.10'!R65,'9.0.10'!$AM$4:$AP$55,4,FALSE))</f>
        <v>0</v>
      </c>
      <c r="K65" s="4">
        <f>(VLOOKUP('9.0.10'!S65,'9.0.10'!$AM$4:$AP$55,4,FALSE))</f>
        <v>0</v>
      </c>
      <c r="L65" s="4">
        <f>(VLOOKUP('9.0.10'!T65,'9.0.10'!$AM$4:$AP$55,4,FALSE))</f>
        <v>0</v>
      </c>
      <c r="M65" s="4">
        <f>(VLOOKUP('9.0.10'!U65,'9.0.10'!$AM$4:$AP$55,4,FALSE))</f>
        <v>0</v>
      </c>
      <c r="N65" s="4">
        <f>(VLOOKUP('9.0.10'!V65,'9.0.10'!$AM$4:$AP$55,4,FALSE))</f>
        <v>0</v>
      </c>
      <c r="O65" s="4">
        <f>(VLOOKUP('9.0.10'!W65,'9.0.10'!$AM$4:$AP$55,4,FALSE))</f>
        <v>0</v>
      </c>
      <c r="P65" s="4">
        <f>(VLOOKUP('9.0.10'!X65,'9.0.10'!$AM$4:$AP$55,4,FALSE))</f>
        <v>0</v>
      </c>
      <c r="Q65" s="4">
        <f>(VLOOKUP('9.0.10'!Y65,'9.0.10'!$AM$4:$AP$55,4,FALSE))</f>
        <v>38</v>
      </c>
      <c r="R65" s="4">
        <f>(VLOOKUP('9.0.10'!Z65,'9.0.10'!$AM$4:$AP$55,4,FALSE))</f>
        <v>38</v>
      </c>
      <c r="S65" s="4">
        <f>(VLOOKUP('9.0.10'!AA65,'9.0.10'!$AM$4:$AP$55,4,FALSE))</f>
        <v>38</v>
      </c>
      <c r="T65" s="4">
        <f>(VLOOKUP('9.0.10'!AB65,'9.0.10'!$AM$4:$AP$55,4,FALSE))</f>
        <v>38</v>
      </c>
      <c r="U65" s="4">
        <f>(VLOOKUP('9.0.10'!AC65,'9.0.10'!$AM$4:$AP$55,4,FALSE))</f>
        <v>38</v>
      </c>
      <c r="V65" s="4">
        <f>(VLOOKUP('9.0.10'!AD65,'9.0.10'!$AM$4:$AP$55,4,FALSE))</f>
        <v>38</v>
      </c>
      <c r="W65" s="4">
        <f>(VLOOKUP('9.0.10'!AE65,'9.0.10'!$AM$4:$AP$55,4,FALSE))</f>
        <v>0</v>
      </c>
      <c r="X65" s="4">
        <f>(VLOOKUP('9.0.10'!AF65,'9.0.10'!$AM$4:$AP$55,4,FALSE))</f>
        <v>0</v>
      </c>
    </row>
    <row r="66" spans="1:24">
      <c r="A66" s="4">
        <f>(VLOOKUP('9.0.10'!I66,'9.0.10'!$AM$4:$AP$55,4,FALSE))</f>
        <v>0</v>
      </c>
      <c r="B66" s="4">
        <f>(VLOOKUP('9.0.10'!J66,'9.0.10'!$AM$4:$AP$55,4,FALSE))</f>
        <v>0</v>
      </c>
      <c r="C66" s="4">
        <f>(VLOOKUP('9.0.10'!K66,'9.0.10'!$AM$4:$AP$55,4,FALSE))</f>
        <v>0</v>
      </c>
      <c r="D66" s="4">
        <f>(VLOOKUP('9.0.10'!L66,'9.0.10'!$AM$4:$AP$55,4,FALSE))</f>
        <v>0</v>
      </c>
      <c r="E66" s="4">
        <f>(VLOOKUP('9.0.10'!M66,'9.0.10'!$AM$4:$AP$55,4,FALSE))</f>
        <v>0</v>
      </c>
      <c r="F66" s="4">
        <f>(VLOOKUP('9.0.10'!N66,'9.0.10'!$AM$4:$AP$55,4,FALSE))</f>
        <v>0</v>
      </c>
      <c r="G66" s="4">
        <f>(VLOOKUP('9.0.10'!O66,'9.0.10'!$AM$4:$AP$55,4,FALSE))</f>
        <v>0</v>
      </c>
      <c r="H66" s="4">
        <f>(VLOOKUP('9.0.10'!P66,'9.0.10'!$AM$4:$AP$55,4,FALSE))</f>
        <v>0</v>
      </c>
      <c r="I66" s="4">
        <f>(VLOOKUP('9.0.10'!Q66,'9.0.10'!$AM$4:$AP$55,4,FALSE))</f>
        <v>0</v>
      </c>
      <c r="J66" s="4">
        <f>(VLOOKUP('9.0.10'!R66,'9.0.10'!$AM$4:$AP$55,4,FALSE))</f>
        <v>0</v>
      </c>
      <c r="K66" s="4">
        <f>(VLOOKUP('9.0.10'!S66,'9.0.10'!$AM$4:$AP$55,4,FALSE))</f>
        <v>0</v>
      </c>
      <c r="L66" s="4">
        <f>(VLOOKUP('9.0.10'!T66,'9.0.10'!$AM$4:$AP$55,4,FALSE))</f>
        <v>0</v>
      </c>
      <c r="M66" s="4">
        <f>(VLOOKUP('9.0.10'!U66,'9.0.10'!$AM$4:$AP$55,4,FALSE))</f>
        <v>0</v>
      </c>
      <c r="N66" s="4">
        <f>(VLOOKUP('9.0.10'!V66,'9.0.10'!$AM$4:$AP$55,4,FALSE))</f>
        <v>0</v>
      </c>
      <c r="O66" s="4">
        <f>(VLOOKUP('9.0.10'!W66,'9.0.10'!$AM$4:$AP$55,4,FALSE))</f>
        <v>0</v>
      </c>
      <c r="P66" s="4">
        <f>(VLOOKUP('9.0.10'!X66,'9.0.10'!$AM$4:$AP$55,4,FALSE))</f>
        <v>0</v>
      </c>
      <c r="Q66" s="4">
        <f>(VLOOKUP('9.0.10'!Y66,'9.0.10'!$AM$4:$AP$55,4,FALSE))</f>
        <v>38</v>
      </c>
      <c r="R66" s="4">
        <f>(VLOOKUP('9.0.10'!Z66,'9.0.10'!$AM$4:$AP$55,4,FALSE))</f>
        <v>38</v>
      </c>
      <c r="S66" s="4">
        <f>(VLOOKUP('9.0.10'!AA66,'9.0.10'!$AM$4:$AP$55,4,FALSE))</f>
        <v>38</v>
      </c>
      <c r="T66" s="4">
        <f>(VLOOKUP('9.0.10'!AB66,'9.0.10'!$AM$4:$AP$55,4,FALSE))</f>
        <v>38</v>
      </c>
      <c r="U66" s="4">
        <f>(VLOOKUP('9.0.10'!AC66,'9.0.10'!$AM$4:$AP$55,4,FALSE))</f>
        <v>10</v>
      </c>
      <c r="V66" s="4">
        <f>(VLOOKUP('9.0.10'!AD66,'9.0.10'!$AM$4:$AP$55,4,FALSE))</f>
        <v>38</v>
      </c>
      <c r="W66" s="4">
        <f>(VLOOKUP('9.0.10'!AE66,'9.0.10'!$AM$4:$AP$55,4,FALSE))</f>
        <v>0</v>
      </c>
      <c r="X66" s="4">
        <f>(VLOOKUP('9.0.10'!AF66,'9.0.10'!$AM$4:$AP$55,4,FALSE))</f>
        <v>0</v>
      </c>
    </row>
    <row r="67" spans="1:24">
      <c r="A67" s="4">
        <f>(VLOOKUP('9.0.10'!I67,'9.0.10'!$AM$4:$AP$55,4,FALSE))</f>
        <v>0</v>
      </c>
      <c r="B67" s="4">
        <f>(VLOOKUP('9.0.10'!J67,'9.0.10'!$AM$4:$AP$55,4,FALSE))</f>
        <v>0</v>
      </c>
      <c r="C67" s="4">
        <f>(VLOOKUP('9.0.10'!K67,'9.0.10'!$AM$4:$AP$55,4,FALSE))</f>
        <v>0</v>
      </c>
      <c r="D67" s="4">
        <f>(VLOOKUP('9.0.10'!L67,'9.0.10'!$AM$4:$AP$55,4,FALSE))</f>
        <v>0</v>
      </c>
      <c r="E67" s="4">
        <f>(VLOOKUP('9.0.10'!M67,'9.0.10'!$AM$4:$AP$55,4,FALSE))</f>
        <v>0</v>
      </c>
      <c r="F67" s="4">
        <f>(VLOOKUP('9.0.10'!N67,'9.0.10'!$AM$4:$AP$55,4,FALSE))</f>
        <v>0</v>
      </c>
      <c r="G67" s="4">
        <f>(VLOOKUP('9.0.10'!O67,'9.0.10'!$AM$4:$AP$55,4,FALSE))</f>
        <v>0</v>
      </c>
      <c r="H67" s="4">
        <f>(VLOOKUP('9.0.10'!P67,'9.0.10'!$AM$4:$AP$55,4,FALSE))</f>
        <v>0</v>
      </c>
      <c r="I67" s="4">
        <f>(VLOOKUP('9.0.10'!Q67,'9.0.10'!$AM$4:$AP$55,4,FALSE))</f>
        <v>0</v>
      </c>
      <c r="J67" s="4">
        <f>(VLOOKUP('9.0.10'!R67,'9.0.10'!$AM$4:$AP$55,4,FALSE))</f>
        <v>0</v>
      </c>
      <c r="K67" s="4">
        <f>(VLOOKUP('9.0.10'!S67,'9.0.10'!$AM$4:$AP$55,4,FALSE))</f>
        <v>0</v>
      </c>
      <c r="L67" s="4">
        <f>(VLOOKUP('9.0.10'!T67,'9.0.10'!$AM$4:$AP$55,4,FALSE))</f>
        <v>0</v>
      </c>
      <c r="M67" s="4">
        <f>(VLOOKUP('9.0.10'!U67,'9.0.10'!$AM$4:$AP$55,4,FALSE))</f>
        <v>0</v>
      </c>
      <c r="N67" s="4">
        <f>(VLOOKUP('9.0.10'!V67,'9.0.10'!$AM$4:$AP$55,4,FALSE))</f>
        <v>0</v>
      </c>
      <c r="O67" s="4">
        <f>(VLOOKUP('9.0.10'!W67,'9.0.10'!$AM$4:$AP$55,4,FALSE))</f>
        <v>0</v>
      </c>
      <c r="P67" s="4">
        <f>(VLOOKUP('9.0.10'!X67,'9.0.10'!$AM$4:$AP$55,4,FALSE))</f>
        <v>0</v>
      </c>
      <c r="Q67" s="4">
        <f>(VLOOKUP('9.0.10'!Y67,'9.0.10'!$AM$4:$AP$55,4,FALSE))</f>
        <v>38</v>
      </c>
      <c r="R67" s="4">
        <f>(VLOOKUP('9.0.10'!Z67,'9.0.10'!$AM$4:$AP$55,4,FALSE))</f>
        <v>38</v>
      </c>
      <c r="S67" s="4">
        <f>(VLOOKUP('9.0.10'!AA67,'9.0.10'!$AM$4:$AP$55,4,FALSE))</f>
        <v>38</v>
      </c>
      <c r="T67" s="4">
        <f>(VLOOKUP('9.0.10'!AB67,'9.0.10'!$AM$4:$AP$55,4,FALSE))</f>
        <v>38</v>
      </c>
      <c r="U67" s="4">
        <f>(VLOOKUP('9.0.10'!AC67,'9.0.10'!$AM$4:$AP$55,4,FALSE))</f>
        <v>38</v>
      </c>
      <c r="V67" s="4">
        <f>(VLOOKUP('9.0.10'!AD67,'9.0.10'!$AM$4:$AP$55,4,FALSE))</f>
        <v>38</v>
      </c>
      <c r="W67" s="4">
        <f>(VLOOKUP('9.0.10'!AE67,'9.0.10'!$AM$4:$AP$55,4,FALSE))</f>
        <v>0</v>
      </c>
      <c r="X67" s="4">
        <f>(VLOOKUP('9.0.10'!AF67,'9.0.10'!$AM$4:$AP$55,4,FALSE))</f>
        <v>0</v>
      </c>
    </row>
    <row r="68" spans="1:24">
      <c r="A68" s="4">
        <f>(VLOOKUP('9.0.10'!I68,'9.0.10'!$AM$4:$AP$55,4,FALSE))</f>
        <v>0</v>
      </c>
      <c r="B68" s="4">
        <f>(VLOOKUP('9.0.10'!J68,'9.0.10'!$AM$4:$AP$55,4,FALSE))</f>
        <v>0</v>
      </c>
      <c r="C68" s="4">
        <f>(VLOOKUP('9.0.10'!K68,'9.0.10'!$AM$4:$AP$55,4,FALSE))</f>
        <v>0</v>
      </c>
      <c r="D68" s="4">
        <f>(VLOOKUP('9.0.10'!L68,'9.0.10'!$AM$4:$AP$55,4,FALSE))</f>
        <v>0</v>
      </c>
      <c r="E68" s="4">
        <f>(VLOOKUP('9.0.10'!M68,'9.0.10'!$AM$4:$AP$55,4,FALSE))</f>
        <v>0</v>
      </c>
      <c r="F68" s="4">
        <f>(VLOOKUP('9.0.10'!N68,'9.0.10'!$AM$4:$AP$55,4,FALSE))</f>
        <v>0</v>
      </c>
      <c r="G68" s="4">
        <f>(VLOOKUP('9.0.10'!O68,'9.0.10'!$AM$4:$AP$55,4,FALSE))</f>
        <v>0</v>
      </c>
      <c r="H68" s="4">
        <f>(VLOOKUP('9.0.10'!P68,'9.0.10'!$AM$4:$AP$55,4,FALSE))</f>
        <v>0</v>
      </c>
      <c r="I68" s="4">
        <f>(VLOOKUP('9.0.10'!Q68,'9.0.10'!$AM$4:$AP$55,4,FALSE))</f>
        <v>0</v>
      </c>
      <c r="J68" s="4">
        <f>(VLOOKUP('9.0.10'!R68,'9.0.10'!$AM$4:$AP$55,4,FALSE))</f>
        <v>0</v>
      </c>
      <c r="K68" s="4">
        <f>(VLOOKUP('9.0.10'!S68,'9.0.10'!$AM$4:$AP$55,4,FALSE))</f>
        <v>0</v>
      </c>
      <c r="L68" s="4">
        <f>(VLOOKUP('9.0.10'!T68,'9.0.10'!$AM$4:$AP$55,4,FALSE))</f>
        <v>0</v>
      </c>
      <c r="M68" s="4">
        <f>(VLOOKUP('9.0.10'!U68,'9.0.10'!$AM$4:$AP$55,4,FALSE))</f>
        <v>0</v>
      </c>
      <c r="N68" s="4">
        <f>(VLOOKUP('9.0.10'!V68,'9.0.10'!$AM$4:$AP$55,4,FALSE))</f>
        <v>0</v>
      </c>
      <c r="O68" s="4">
        <f>(VLOOKUP('9.0.10'!W68,'9.0.10'!$AM$4:$AP$55,4,FALSE))</f>
        <v>0</v>
      </c>
      <c r="P68" s="4">
        <f>(VLOOKUP('9.0.10'!X68,'9.0.10'!$AM$4:$AP$55,4,FALSE))</f>
        <v>0</v>
      </c>
      <c r="Q68" s="4">
        <f>(VLOOKUP('9.0.10'!Y68,'9.0.10'!$AM$4:$AP$55,4,FALSE))</f>
        <v>38</v>
      </c>
      <c r="R68" s="4">
        <f>(VLOOKUP('9.0.10'!Z68,'9.0.10'!$AM$4:$AP$55,4,FALSE))</f>
        <v>38</v>
      </c>
      <c r="S68" s="4">
        <f>(VLOOKUP('9.0.10'!AA68,'9.0.10'!$AM$4:$AP$55,4,FALSE))</f>
        <v>38</v>
      </c>
      <c r="T68" s="4">
        <f>(VLOOKUP('9.0.10'!AB68,'9.0.10'!$AM$4:$AP$55,4,FALSE))</f>
        <v>38</v>
      </c>
      <c r="U68" s="4">
        <f>(VLOOKUP('9.0.10'!AC68,'9.0.10'!$AM$4:$AP$55,4,FALSE))</f>
        <v>38</v>
      </c>
      <c r="V68" s="4">
        <f>(VLOOKUP('9.0.10'!AD68,'9.0.10'!$AM$4:$AP$55,4,FALSE))</f>
        <v>0</v>
      </c>
      <c r="W68" s="4">
        <f>(VLOOKUP('9.0.10'!AE68,'9.0.10'!$AM$4:$AP$55,4,FALSE))</f>
        <v>0</v>
      </c>
      <c r="X68" s="4">
        <f>(VLOOKUP('9.0.10'!AF68,'9.0.10'!$AM$4:$AP$55,4,FALSE))</f>
        <v>0</v>
      </c>
    </row>
    <row r="69" spans="1:24">
      <c r="A69" s="4">
        <f>(VLOOKUP('9.0.10'!I69,'9.0.10'!$AM$4:$AP$55,4,FALSE))</f>
        <v>0</v>
      </c>
      <c r="B69" s="4">
        <f>(VLOOKUP('9.0.10'!J69,'9.0.10'!$AM$4:$AP$55,4,FALSE))</f>
        <v>0</v>
      </c>
      <c r="C69" s="4">
        <f>(VLOOKUP('9.0.10'!K69,'9.0.10'!$AM$4:$AP$55,4,FALSE))</f>
        <v>0</v>
      </c>
      <c r="D69" s="4">
        <f>(VLOOKUP('9.0.10'!L69,'9.0.10'!$AM$4:$AP$55,4,FALSE))</f>
        <v>0</v>
      </c>
      <c r="E69" s="4">
        <f>(VLOOKUP('9.0.10'!M69,'9.0.10'!$AM$4:$AP$55,4,FALSE))</f>
        <v>0</v>
      </c>
      <c r="F69" s="4">
        <f>(VLOOKUP('9.0.10'!N69,'9.0.10'!$AM$4:$AP$55,4,FALSE))</f>
        <v>0</v>
      </c>
      <c r="G69" s="4">
        <f>(VLOOKUP('9.0.10'!O69,'9.0.10'!$AM$4:$AP$55,4,FALSE))</f>
        <v>0</v>
      </c>
      <c r="H69" s="4">
        <f>(VLOOKUP('9.0.10'!P69,'9.0.10'!$AM$4:$AP$55,4,FALSE))</f>
        <v>0</v>
      </c>
      <c r="I69" s="4">
        <f>(VLOOKUP('9.0.10'!Q69,'9.0.10'!$AM$4:$AP$55,4,FALSE))</f>
        <v>0</v>
      </c>
      <c r="J69" s="4">
        <f>(VLOOKUP('9.0.10'!R69,'9.0.10'!$AM$4:$AP$55,4,FALSE))</f>
        <v>0</v>
      </c>
      <c r="K69" s="4">
        <f>(VLOOKUP('9.0.10'!S69,'9.0.10'!$AM$4:$AP$55,4,FALSE))</f>
        <v>0</v>
      </c>
      <c r="L69" s="4">
        <f>(VLOOKUP('9.0.10'!T69,'9.0.10'!$AM$4:$AP$55,4,FALSE))</f>
        <v>0</v>
      </c>
      <c r="M69" s="4">
        <f>(VLOOKUP('9.0.10'!U69,'9.0.10'!$AM$4:$AP$55,4,FALSE))</f>
        <v>0</v>
      </c>
      <c r="N69" s="4">
        <f>(VLOOKUP('9.0.10'!V69,'9.0.10'!$AM$4:$AP$55,4,FALSE))</f>
        <v>0</v>
      </c>
      <c r="O69" s="4">
        <f>(VLOOKUP('9.0.10'!W69,'9.0.10'!$AM$4:$AP$55,4,FALSE))</f>
        <v>0</v>
      </c>
      <c r="P69" s="4">
        <f>(VLOOKUP('9.0.10'!X69,'9.0.10'!$AM$4:$AP$55,4,FALSE))</f>
        <v>0</v>
      </c>
      <c r="Q69" s="4">
        <f>(VLOOKUP('9.0.10'!Y69,'9.0.10'!$AM$4:$AP$55,4,FALSE))</f>
        <v>0</v>
      </c>
      <c r="R69" s="4">
        <f>(VLOOKUP('9.0.10'!Z69,'9.0.10'!$AM$4:$AP$55,4,FALSE))</f>
        <v>38</v>
      </c>
      <c r="S69" s="4">
        <f>(VLOOKUP('9.0.10'!AA69,'9.0.10'!$AM$4:$AP$55,4,FALSE))</f>
        <v>0</v>
      </c>
      <c r="T69" s="4">
        <f>(VLOOKUP('9.0.10'!AB69,'9.0.10'!$AM$4:$AP$55,4,FALSE))</f>
        <v>0</v>
      </c>
      <c r="U69" s="4">
        <f>(VLOOKUP('9.0.10'!AC69,'9.0.10'!$AM$4:$AP$55,4,FALSE))</f>
        <v>0</v>
      </c>
      <c r="V69" s="4">
        <f>(VLOOKUP('9.0.10'!AD69,'9.0.10'!$AM$4:$AP$55,4,FALSE))</f>
        <v>38</v>
      </c>
      <c r="W69" s="4">
        <f>(VLOOKUP('9.0.10'!AE69,'9.0.10'!$AM$4:$AP$55,4,FALSE))</f>
        <v>0</v>
      </c>
      <c r="X69" s="4">
        <f>(VLOOKUP('9.0.10'!AF69,'9.0.10'!$AM$4:$AP$55,4,FALSE))</f>
        <v>0</v>
      </c>
    </row>
    <row r="70" spans="1:24">
      <c r="A70" s="4">
        <f>(VLOOKUP('9.0.10'!I70,'9.0.10'!$AM$4:$AP$55,4,FALSE))</f>
        <v>0</v>
      </c>
      <c r="B70" s="4">
        <f>(VLOOKUP('9.0.10'!J70,'9.0.10'!$AM$4:$AP$55,4,FALSE))</f>
        <v>0</v>
      </c>
      <c r="C70" s="4">
        <f>(VLOOKUP('9.0.10'!K70,'9.0.10'!$AM$4:$AP$55,4,FALSE))</f>
        <v>0</v>
      </c>
      <c r="D70" s="4">
        <f>(VLOOKUP('9.0.10'!L70,'9.0.10'!$AM$4:$AP$55,4,FALSE))</f>
        <v>0</v>
      </c>
      <c r="E70" s="4">
        <f>(VLOOKUP('9.0.10'!M70,'9.0.10'!$AM$4:$AP$55,4,FALSE))</f>
        <v>0</v>
      </c>
      <c r="F70" s="4">
        <f>(VLOOKUP('9.0.10'!N70,'9.0.10'!$AM$4:$AP$55,4,FALSE))</f>
        <v>0</v>
      </c>
      <c r="G70" s="4">
        <f>(VLOOKUP('9.0.10'!O70,'9.0.10'!$AM$4:$AP$55,4,FALSE))</f>
        <v>0</v>
      </c>
      <c r="H70" s="4">
        <f>(VLOOKUP('9.0.10'!P70,'9.0.10'!$AM$4:$AP$55,4,FALSE))</f>
        <v>0</v>
      </c>
      <c r="I70" s="4">
        <f>(VLOOKUP('9.0.10'!Q70,'9.0.10'!$AM$4:$AP$55,4,FALSE))</f>
        <v>0</v>
      </c>
      <c r="J70" s="4">
        <f>(VLOOKUP('9.0.10'!R70,'9.0.10'!$AM$4:$AP$55,4,FALSE))</f>
        <v>0</v>
      </c>
      <c r="K70" s="4">
        <f>(VLOOKUP('9.0.10'!S70,'9.0.10'!$AM$4:$AP$55,4,FALSE))</f>
        <v>0</v>
      </c>
      <c r="L70" s="4">
        <f>(VLOOKUP('9.0.10'!T70,'9.0.10'!$AM$4:$AP$55,4,FALSE))</f>
        <v>0</v>
      </c>
      <c r="M70" s="4">
        <f>(VLOOKUP('9.0.10'!U70,'9.0.10'!$AM$4:$AP$55,4,FALSE))</f>
        <v>0</v>
      </c>
      <c r="N70" s="4">
        <f>(VLOOKUP('9.0.10'!V70,'9.0.10'!$AM$4:$AP$55,4,FALSE))</f>
        <v>0</v>
      </c>
      <c r="O70" s="4">
        <f>(VLOOKUP('9.0.10'!W70,'9.0.10'!$AM$4:$AP$55,4,FALSE))</f>
        <v>0</v>
      </c>
      <c r="P70" s="4">
        <f>(VLOOKUP('9.0.10'!X70,'9.0.10'!$AM$4:$AP$55,4,FALSE))</f>
        <v>0</v>
      </c>
      <c r="Q70" s="4">
        <f>(VLOOKUP('9.0.10'!Y70,'9.0.10'!$AM$4:$AP$55,4,FALSE))</f>
        <v>38</v>
      </c>
      <c r="R70" s="4">
        <f>(VLOOKUP('9.0.10'!Z70,'9.0.10'!$AM$4:$AP$55,4,FALSE))</f>
        <v>38</v>
      </c>
      <c r="S70" s="4">
        <f>(VLOOKUP('9.0.10'!AA70,'9.0.10'!$AM$4:$AP$55,4,FALSE))</f>
        <v>38</v>
      </c>
      <c r="T70" s="4">
        <f>(VLOOKUP('9.0.10'!AB70,'9.0.10'!$AM$4:$AP$55,4,FALSE))</f>
        <v>38</v>
      </c>
      <c r="U70" s="4">
        <f>(VLOOKUP('9.0.10'!AC70,'9.0.10'!$AM$4:$AP$55,4,FALSE))</f>
        <v>0</v>
      </c>
      <c r="V70" s="4">
        <f>(VLOOKUP('9.0.10'!AD70,'9.0.10'!$AM$4:$AP$55,4,FALSE))</f>
        <v>0</v>
      </c>
      <c r="W70" s="4">
        <f>(VLOOKUP('9.0.10'!AE70,'9.0.10'!$AM$4:$AP$55,4,FALSE))</f>
        <v>0</v>
      </c>
      <c r="X70" s="4">
        <f>(VLOOKUP('9.0.10'!AF70,'9.0.10'!$AM$4:$AP$55,4,FALSE))</f>
        <v>0</v>
      </c>
    </row>
    <row r="71" spans="1:24">
      <c r="A71" s="4">
        <f>(VLOOKUP('9.0.10'!I71,'9.0.10'!$AM$4:$AP$55,4,FALSE))</f>
        <v>0</v>
      </c>
      <c r="B71" s="4">
        <f>(VLOOKUP('9.0.10'!J71,'9.0.10'!$AM$4:$AP$55,4,FALSE))</f>
        <v>0</v>
      </c>
      <c r="C71" s="4">
        <f>(VLOOKUP('9.0.10'!K71,'9.0.10'!$AM$4:$AP$55,4,FALSE))</f>
        <v>0</v>
      </c>
      <c r="D71" s="4">
        <f>(VLOOKUP('9.0.10'!L71,'9.0.10'!$AM$4:$AP$55,4,FALSE))</f>
        <v>0</v>
      </c>
      <c r="E71" s="4">
        <f>(VLOOKUP('9.0.10'!M71,'9.0.10'!$AM$4:$AP$55,4,FALSE))</f>
        <v>0</v>
      </c>
      <c r="F71" s="4">
        <f>(VLOOKUP('9.0.10'!N71,'9.0.10'!$AM$4:$AP$55,4,FALSE))</f>
        <v>0</v>
      </c>
      <c r="G71" s="4">
        <f>(VLOOKUP('9.0.10'!O71,'9.0.10'!$AM$4:$AP$55,4,FALSE))</f>
        <v>0</v>
      </c>
      <c r="H71" s="4">
        <f>(VLOOKUP('9.0.10'!P71,'9.0.10'!$AM$4:$AP$55,4,FALSE))</f>
        <v>0</v>
      </c>
      <c r="I71" s="4">
        <f>(VLOOKUP('9.0.10'!Q71,'9.0.10'!$AM$4:$AP$55,4,FALSE))</f>
        <v>0</v>
      </c>
      <c r="J71" s="4">
        <f>(VLOOKUP('9.0.10'!R71,'9.0.10'!$AM$4:$AP$55,4,FALSE))</f>
        <v>0</v>
      </c>
      <c r="K71" s="4">
        <f>(VLOOKUP('9.0.10'!S71,'9.0.10'!$AM$4:$AP$55,4,FALSE))</f>
        <v>0</v>
      </c>
      <c r="L71" s="4">
        <f>(VLOOKUP('9.0.10'!T71,'9.0.10'!$AM$4:$AP$55,4,FALSE))</f>
        <v>0</v>
      </c>
      <c r="M71" s="4">
        <f>(VLOOKUP('9.0.10'!U71,'9.0.10'!$AM$4:$AP$55,4,FALSE))</f>
        <v>0</v>
      </c>
      <c r="N71" s="4">
        <f>(VLOOKUP('9.0.10'!V71,'9.0.10'!$AM$4:$AP$55,4,FALSE))</f>
        <v>0</v>
      </c>
      <c r="O71" s="4">
        <f>(VLOOKUP('9.0.10'!W71,'9.0.10'!$AM$4:$AP$55,4,FALSE))</f>
        <v>0</v>
      </c>
      <c r="P71" s="4">
        <f>(VLOOKUP('9.0.10'!X71,'9.0.10'!$AM$4:$AP$55,4,FALSE))</f>
        <v>0</v>
      </c>
      <c r="Q71" s="4">
        <f>(VLOOKUP('9.0.10'!Y71,'9.0.10'!$AM$4:$AP$55,4,FALSE))</f>
        <v>38</v>
      </c>
      <c r="R71" s="4">
        <f>(VLOOKUP('9.0.10'!Z71,'9.0.10'!$AM$4:$AP$55,4,FALSE))</f>
        <v>38</v>
      </c>
      <c r="S71" s="4">
        <f>(VLOOKUP('9.0.10'!AA71,'9.0.10'!$AM$4:$AP$55,4,FALSE))</f>
        <v>38</v>
      </c>
      <c r="T71" s="4">
        <f>(VLOOKUP('9.0.10'!AB71,'9.0.10'!$AM$4:$AP$55,4,FALSE))</f>
        <v>38</v>
      </c>
      <c r="U71" s="4">
        <f>(VLOOKUP('9.0.10'!AC71,'9.0.10'!$AM$4:$AP$55,4,FALSE))</f>
        <v>38</v>
      </c>
      <c r="V71" s="4">
        <f>(VLOOKUP('9.0.10'!AD71,'9.0.10'!$AM$4:$AP$55,4,FALSE))</f>
        <v>38</v>
      </c>
      <c r="W71" s="4">
        <f>(VLOOKUP('9.0.10'!AE71,'9.0.10'!$AM$4:$AP$55,4,FALSE))</f>
        <v>0</v>
      </c>
      <c r="X71" s="4">
        <f>(VLOOKUP('9.0.10'!AF71,'9.0.10'!$AM$4:$AP$55,4,FALSE))</f>
        <v>0</v>
      </c>
    </row>
    <row r="72" spans="1:24">
      <c r="A72" s="4">
        <f>(VLOOKUP('9.0.10'!I72,'9.0.10'!$AM$4:$AP$55,4,FALSE))</f>
        <v>0</v>
      </c>
      <c r="B72" s="4">
        <f>(VLOOKUP('9.0.10'!J72,'9.0.10'!$AM$4:$AP$55,4,FALSE))</f>
        <v>0</v>
      </c>
      <c r="C72" s="4">
        <f>(VLOOKUP('9.0.10'!K72,'9.0.10'!$AM$4:$AP$55,4,FALSE))</f>
        <v>0</v>
      </c>
      <c r="D72" s="4">
        <f>(VLOOKUP('9.0.10'!L72,'9.0.10'!$AM$4:$AP$55,4,FALSE))</f>
        <v>0</v>
      </c>
      <c r="E72" s="4">
        <f>(VLOOKUP('9.0.10'!M72,'9.0.10'!$AM$4:$AP$55,4,FALSE))</f>
        <v>0</v>
      </c>
      <c r="F72" s="4">
        <f>(VLOOKUP('9.0.10'!N72,'9.0.10'!$AM$4:$AP$55,4,FALSE))</f>
        <v>0</v>
      </c>
      <c r="G72" s="4">
        <f>(VLOOKUP('9.0.10'!O72,'9.0.10'!$AM$4:$AP$55,4,FALSE))</f>
        <v>0</v>
      </c>
      <c r="H72" s="4">
        <f>(VLOOKUP('9.0.10'!P72,'9.0.10'!$AM$4:$AP$55,4,FALSE))</f>
        <v>0</v>
      </c>
      <c r="I72" s="4">
        <f>(VLOOKUP('9.0.10'!Q72,'9.0.10'!$AM$4:$AP$55,4,FALSE))</f>
        <v>0</v>
      </c>
      <c r="J72" s="4">
        <f>(VLOOKUP('9.0.10'!R72,'9.0.10'!$AM$4:$AP$55,4,FALSE))</f>
        <v>0</v>
      </c>
      <c r="K72" s="4">
        <f>(VLOOKUP('9.0.10'!S72,'9.0.10'!$AM$4:$AP$55,4,FALSE))</f>
        <v>0</v>
      </c>
      <c r="L72" s="4">
        <f>(VLOOKUP('9.0.10'!T72,'9.0.10'!$AM$4:$AP$55,4,FALSE))</f>
        <v>0</v>
      </c>
      <c r="M72" s="4">
        <f>(VLOOKUP('9.0.10'!U72,'9.0.10'!$AM$4:$AP$55,4,FALSE))</f>
        <v>38</v>
      </c>
      <c r="N72" s="4">
        <f>(VLOOKUP('9.0.10'!V72,'9.0.10'!$AM$4:$AP$55,4,FALSE))</f>
        <v>38</v>
      </c>
      <c r="O72" s="4">
        <f>(VLOOKUP('9.0.10'!W72,'9.0.10'!$AM$4:$AP$55,4,FALSE))</f>
        <v>0</v>
      </c>
      <c r="P72" s="4">
        <f>(VLOOKUP('9.0.10'!X72,'9.0.10'!$AM$4:$AP$55,4,FALSE))</f>
        <v>0</v>
      </c>
      <c r="Q72" s="4">
        <f>(VLOOKUP('9.0.10'!Y72,'9.0.10'!$AM$4:$AP$55,4,FALSE))</f>
        <v>38</v>
      </c>
      <c r="R72" s="4">
        <f>(VLOOKUP('9.0.10'!Z72,'9.0.10'!$AM$4:$AP$55,4,FALSE))</f>
        <v>38</v>
      </c>
      <c r="S72" s="4">
        <f>(VLOOKUP('9.0.10'!AA72,'9.0.10'!$AM$4:$AP$55,4,FALSE))</f>
        <v>38</v>
      </c>
      <c r="T72" s="4">
        <f>(VLOOKUP('9.0.10'!AB72,'9.0.10'!$AM$4:$AP$55,4,FALSE))</f>
        <v>38</v>
      </c>
      <c r="U72" s="4">
        <f>(VLOOKUP('9.0.10'!AC72,'9.0.10'!$AM$4:$AP$55,4,FALSE))</f>
        <v>0</v>
      </c>
      <c r="V72" s="4">
        <f>(VLOOKUP('9.0.10'!AD72,'9.0.10'!$AM$4:$AP$55,4,FALSE))</f>
        <v>38</v>
      </c>
      <c r="W72" s="4">
        <f>(VLOOKUP('9.0.10'!AE72,'9.0.10'!$AM$4:$AP$55,4,FALSE))</f>
        <v>38</v>
      </c>
      <c r="X72" s="4">
        <f>(VLOOKUP('9.0.10'!AF72,'9.0.10'!$AM$4:$AP$55,4,FALSE))</f>
        <v>38</v>
      </c>
    </row>
    <row r="73" spans="1:24">
      <c r="A73" s="4">
        <f>(VLOOKUP('9.0.10'!I73,'9.0.10'!$AM$4:$AP$55,4,FALSE))</f>
        <v>0</v>
      </c>
      <c r="B73" s="4">
        <f>(VLOOKUP('9.0.10'!J73,'9.0.10'!$AM$4:$AP$55,4,FALSE))</f>
        <v>0</v>
      </c>
      <c r="C73" s="4">
        <f>(VLOOKUP('9.0.10'!K73,'9.0.10'!$AM$4:$AP$55,4,FALSE))</f>
        <v>0</v>
      </c>
      <c r="D73" s="4">
        <f>(VLOOKUP('9.0.10'!L73,'9.0.10'!$AM$4:$AP$55,4,FALSE))</f>
        <v>0</v>
      </c>
      <c r="E73" s="4">
        <f>(VLOOKUP('9.0.10'!M73,'9.0.10'!$AM$4:$AP$55,4,FALSE))</f>
        <v>0</v>
      </c>
      <c r="F73" s="4">
        <f>(VLOOKUP('9.0.10'!N73,'9.0.10'!$AM$4:$AP$55,4,FALSE))</f>
        <v>0</v>
      </c>
      <c r="G73" s="4">
        <f>(VLOOKUP('9.0.10'!O73,'9.0.10'!$AM$4:$AP$55,4,FALSE))</f>
        <v>0</v>
      </c>
      <c r="H73" s="4">
        <f>(VLOOKUP('9.0.10'!P73,'9.0.10'!$AM$4:$AP$55,4,FALSE))</f>
        <v>0</v>
      </c>
      <c r="I73" s="4">
        <f>(VLOOKUP('9.0.10'!Q73,'9.0.10'!$AM$4:$AP$55,4,FALSE))</f>
        <v>38</v>
      </c>
      <c r="J73" s="4">
        <f>(VLOOKUP('9.0.10'!R73,'9.0.10'!$AM$4:$AP$55,4,FALSE))</f>
        <v>38</v>
      </c>
      <c r="K73" s="4">
        <f>(VLOOKUP('9.0.10'!S73,'9.0.10'!$AM$4:$AP$55,4,FALSE))</f>
        <v>38</v>
      </c>
      <c r="L73" s="4">
        <f>(VLOOKUP('9.0.10'!T73,'9.0.10'!$AM$4:$AP$55,4,FALSE))</f>
        <v>38</v>
      </c>
      <c r="M73" s="4">
        <f>(VLOOKUP('9.0.10'!U73,'9.0.10'!$AM$4:$AP$55,4,FALSE))</f>
        <v>38</v>
      </c>
      <c r="N73" s="4">
        <f>(VLOOKUP('9.0.10'!V73,'9.0.10'!$AM$4:$AP$55,4,FALSE))</f>
        <v>38</v>
      </c>
      <c r="O73" s="4">
        <f>(VLOOKUP('9.0.10'!W73,'9.0.10'!$AM$4:$AP$55,4,FALSE))</f>
        <v>0</v>
      </c>
      <c r="P73" s="4">
        <f>(VLOOKUP('9.0.10'!X73,'9.0.10'!$AM$4:$AP$55,4,FALSE))</f>
        <v>0</v>
      </c>
      <c r="Q73" s="4">
        <f>(VLOOKUP('9.0.10'!Y73,'9.0.10'!$AM$4:$AP$55,4,FALSE))</f>
        <v>38</v>
      </c>
      <c r="R73" s="4">
        <f>(VLOOKUP('9.0.10'!Z73,'9.0.10'!$AM$4:$AP$55,4,FALSE))</f>
        <v>0</v>
      </c>
      <c r="S73" s="4">
        <f>(VLOOKUP('9.0.10'!AA73,'9.0.10'!$AM$4:$AP$55,4,FALSE))</f>
        <v>38</v>
      </c>
      <c r="T73" s="4">
        <f>(VLOOKUP('9.0.10'!AB73,'9.0.10'!$AM$4:$AP$55,4,FALSE))</f>
        <v>38</v>
      </c>
      <c r="U73" s="4">
        <f>(VLOOKUP('9.0.10'!AC73,'9.0.10'!$AM$4:$AP$55,4,FALSE))</f>
        <v>38</v>
      </c>
      <c r="V73" s="4">
        <f>(VLOOKUP('9.0.10'!AD73,'9.0.10'!$AM$4:$AP$55,4,FALSE))</f>
        <v>38</v>
      </c>
      <c r="W73" s="4">
        <f>(VLOOKUP('9.0.10'!AE73,'9.0.10'!$AM$4:$AP$55,4,FALSE))</f>
        <v>38</v>
      </c>
      <c r="X73" s="4">
        <f>(VLOOKUP('9.0.10'!AF73,'9.0.10'!$AM$4:$AP$55,4,FALSE))</f>
        <v>0</v>
      </c>
    </row>
    <row r="74" spans="1:24">
      <c r="A74" s="4">
        <f>(VLOOKUP('9.0.10'!I74,'9.0.10'!$AM$4:$AP$55,4,FALSE))</f>
        <v>0</v>
      </c>
      <c r="B74" s="4">
        <f>(VLOOKUP('9.0.10'!J74,'9.0.10'!$AM$4:$AP$55,4,FALSE))</f>
        <v>0</v>
      </c>
      <c r="C74" s="4">
        <f>(VLOOKUP('9.0.10'!K74,'9.0.10'!$AM$4:$AP$55,4,FALSE))</f>
        <v>0</v>
      </c>
      <c r="D74" s="4">
        <f>(VLOOKUP('9.0.10'!L74,'9.0.10'!$AM$4:$AP$55,4,FALSE))</f>
        <v>0</v>
      </c>
      <c r="E74" s="4">
        <f>(VLOOKUP('9.0.10'!M74,'9.0.10'!$AM$4:$AP$55,4,FALSE))</f>
        <v>0</v>
      </c>
      <c r="F74" s="4">
        <f>(VLOOKUP('9.0.10'!N74,'9.0.10'!$AM$4:$AP$55,4,FALSE))</f>
        <v>0</v>
      </c>
      <c r="G74" s="4">
        <f>(VLOOKUP('9.0.10'!O74,'9.0.10'!$AM$4:$AP$55,4,FALSE))</f>
        <v>0</v>
      </c>
      <c r="H74" s="4">
        <f>(VLOOKUP('9.0.10'!P74,'9.0.10'!$AM$4:$AP$55,4,FALSE))</f>
        <v>0</v>
      </c>
      <c r="I74" s="4">
        <f>(VLOOKUP('9.0.10'!Q74,'9.0.10'!$AM$4:$AP$55,4,FALSE))</f>
        <v>38</v>
      </c>
      <c r="J74" s="4">
        <f>(VLOOKUP('9.0.10'!R74,'9.0.10'!$AM$4:$AP$55,4,FALSE))</f>
        <v>38</v>
      </c>
      <c r="K74" s="4">
        <f>(VLOOKUP('9.0.10'!S74,'9.0.10'!$AM$4:$AP$55,4,FALSE))</f>
        <v>38</v>
      </c>
      <c r="L74" s="4">
        <f>(VLOOKUP('9.0.10'!T74,'9.0.10'!$AM$4:$AP$55,4,FALSE))</f>
        <v>38</v>
      </c>
      <c r="M74" s="4">
        <f>(VLOOKUP('9.0.10'!U74,'9.0.10'!$AM$4:$AP$55,4,FALSE))</f>
        <v>38</v>
      </c>
      <c r="N74" s="4">
        <f>(VLOOKUP('9.0.10'!V74,'9.0.10'!$AM$4:$AP$55,4,FALSE))</f>
        <v>38</v>
      </c>
      <c r="O74" s="4">
        <f>(VLOOKUP('9.0.10'!W74,'9.0.10'!$AM$4:$AP$55,4,FALSE))</f>
        <v>0</v>
      </c>
      <c r="P74" s="4">
        <f>(VLOOKUP('9.0.10'!X74,'9.0.10'!$AM$4:$AP$55,4,FALSE))</f>
        <v>0</v>
      </c>
      <c r="Q74" s="4">
        <f>(VLOOKUP('9.0.10'!Y74,'9.0.10'!$AM$4:$AP$55,4,FALSE))</f>
        <v>38</v>
      </c>
      <c r="R74" s="4">
        <f>(VLOOKUP('9.0.10'!Z74,'9.0.10'!$AM$4:$AP$55,4,FALSE))</f>
        <v>38</v>
      </c>
      <c r="S74" s="4">
        <f>(VLOOKUP('9.0.10'!AA74,'9.0.10'!$AM$4:$AP$55,4,FALSE))</f>
        <v>38</v>
      </c>
      <c r="T74" s="4">
        <f>(VLOOKUP('9.0.10'!AB74,'9.0.10'!$AM$4:$AP$55,4,FALSE))</f>
        <v>38</v>
      </c>
      <c r="U74" s="4">
        <f>(VLOOKUP('9.0.10'!AC74,'9.0.10'!$AM$4:$AP$55,4,FALSE))</f>
        <v>0</v>
      </c>
      <c r="V74" s="4">
        <f>(VLOOKUP('9.0.10'!AD74,'9.0.10'!$AM$4:$AP$55,4,FALSE))</f>
        <v>38</v>
      </c>
      <c r="W74" s="4">
        <f>(VLOOKUP('9.0.10'!AE74,'9.0.10'!$AM$4:$AP$55,4,FALSE))</f>
        <v>0</v>
      </c>
      <c r="X74" s="4">
        <f>(VLOOKUP('9.0.10'!AF74,'9.0.10'!$AM$4:$AP$55,4,FALSE))</f>
        <v>0</v>
      </c>
    </row>
    <row r="75" spans="1:24">
      <c r="A75" s="4">
        <f>(VLOOKUP('9.0.10'!I75,'9.0.10'!$AM$4:$AP$55,4,FALSE))</f>
        <v>0</v>
      </c>
      <c r="B75" s="4">
        <f>(VLOOKUP('9.0.10'!J75,'9.0.10'!$AM$4:$AP$55,4,FALSE))</f>
        <v>0</v>
      </c>
      <c r="C75" s="4">
        <f>(VLOOKUP('9.0.10'!K75,'9.0.10'!$AM$4:$AP$55,4,FALSE))</f>
        <v>0</v>
      </c>
      <c r="D75" s="4">
        <f>(VLOOKUP('9.0.10'!L75,'9.0.10'!$AM$4:$AP$55,4,FALSE))</f>
        <v>0</v>
      </c>
      <c r="E75" s="4">
        <f>(VLOOKUP('9.0.10'!M75,'9.0.10'!$AM$4:$AP$55,4,FALSE))</f>
        <v>0</v>
      </c>
      <c r="F75" s="4">
        <f>(VLOOKUP('9.0.10'!N75,'9.0.10'!$AM$4:$AP$55,4,FALSE))</f>
        <v>0</v>
      </c>
      <c r="G75" s="4">
        <f>(VLOOKUP('9.0.10'!O75,'9.0.10'!$AM$4:$AP$55,4,FALSE))</f>
        <v>0</v>
      </c>
      <c r="H75" s="4">
        <f>(VLOOKUP('9.0.10'!P75,'9.0.10'!$AM$4:$AP$55,4,FALSE))</f>
        <v>0</v>
      </c>
      <c r="I75" s="4">
        <f>(VLOOKUP('9.0.10'!Q75,'9.0.10'!$AM$4:$AP$55,4,FALSE))</f>
        <v>0</v>
      </c>
      <c r="J75" s="4">
        <f>(VLOOKUP('9.0.10'!R75,'9.0.10'!$AM$4:$AP$55,4,FALSE))</f>
        <v>38</v>
      </c>
      <c r="K75" s="4">
        <f>(VLOOKUP('9.0.10'!S75,'9.0.10'!$AM$4:$AP$55,4,FALSE))</f>
        <v>38</v>
      </c>
      <c r="L75" s="4">
        <f>(VLOOKUP('9.0.10'!T75,'9.0.10'!$AM$4:$AP$55,4,FALSE))</f>
        <v>10</v>
      </c>
      <c r="M75" s="4">
        <f>(VLOOKUP('9.0.10'!U75,'9.0.10'!$AM$4:$AP$55,4,FALSE))</f>
        <v>38</v>
      </c>
      <c r="N75" s="4">
        <f>(VLOOKUP('9.0.10'!V75,'9.0.10'!$AM$4:$AP$55,4,FALSE))</f>
        <v>38</v>
      </c>
      <c r="O75" s="4">
        <f>(VLOOKUP('9.0.10'!W75,'9.0.10'!$AM$4:$AP$55,4,FALSE))</f>
        <v>0</v>
      </c>
      <c r="P75" s="4">
        <f>(VLOOKUP('9.0.10'!X75,'9.0.10'!$AM$4:$AP$55,4,FALSE))</f>
        <v>0</v>
      </c>
      <c r="Q75" s="4">
        <f>(VLOOKUP('9.0.10'!Y75,'9.0.10'!$AM$4:$AP$55,4,FALSE))</f>
        <v>38</v>
      </c>
      <c r="R75" s="4">
        <f>(VLOOKUP('9.0.10'!Z75,'9.0.10'!$AM$4:$AP$55,4,FALSE))</f>
        <v>38</v>
      </c>
      <c r="S75" s="4">
        <f>(VLOOKUP('9.0.10'!AA75,'9.0.10'!$AM$4:$AP$55,4,FALSE))</f>
        <v>38</v>
      </c>
      <c r="T75" s="4">
        <f>(VLOOKUP('9.0.10'!AB75,'9.0.10'!$AM$4:$AP$55,4,FALSE))</f>
        <v>38</v>
      </c>
      <c r="U75" s="4">
        <f>(VLOOKUP('9.0.10'!AC75,'9.0.10'!$AM$4:$AP$55,4,FALSE))</f>
        <v>38</v>
      </c>
      <c r="V75" s="4">
        <f>(VLOOKUP('9.0.10'!AD75,'9.0.10'!$AM$4:$AP$55,4,FALSE))</f>
        <v>38</v>
      </c>
      <c r="W75" s="4">
        <f>(VLOOKUP('9.0.10'!AE75,'9.0.10'!$AM$4:$AP$55,4,FALSE))</f>
        <v>0</v>
      </c>
      <c r="X75" s="4">
        <f>(VLOOKUP('9.0.10'!AF75,'9.0.10'!$AM$4:$AP$55,4,FALSE))</f>
        <v>0</v>
      </c>
    </row>
    <row r="76" spans="1:24">
      <c r="A76" s="4">
        <f>(VLOOKUP('9.0.10'!I76,'9.0.10'!$AM$4:$AP$55,4,FALSE))</f>
        <v>0</v>
      </c>
      <c r="B76" s="4">
        <f>(VLOOKUP('9.0.10'!J76,'9.0.10'!$AM$4:$AP$55,4,FALSE))</f>
        <v>0</v>
      </c>
      <c r="C76" s="4">
        <f>(VLOOKUP('9.0.10'!K76,'9.0.10'!$AM$4:$AP$55,4,FALSE))</f>
        <v>0</v>
      </c>
      <c r="D76" s="4">
        <f>(VLOOKUP('9.0.10'!L76,'9.0.10'!$AM$4:$AP$55,4,FALSE))</f>
        <v>0</v>
      </c>
      <c r="E76" s="4">
        <f>(VLOOKUP('9.0.10'!M76,'9.0.10'!$AM$4:$AP$55,4,FALSE))</f>
        <v>0</v>
      </c>
      <c r="F76" s="4">
        <f>(VLOOKUP('9.0.10'!N76,'9.0.10'!$AM$4:$AP$55,4,FALSE))</f>
        <v>0</v>
      </c>
      <c r="G76" s="4">
        <f>(VLOOKUP('9.0.10'!O76,'9.0.10'!$AM$4:$AP$55,4,FALSE))</f>
        <v>0</v>
      </c>
      <c r="H76" s="4">
        <f>(VLOOKUP('9.0.10'!P76,'9.0.10'!$AM$4:$AP$55,4,FALSE))</f>
        <v>0</v>
      </c>
      <c r="I76" s="4">
        <f>(VLOOKUP('9.0.10'!Q76,'9.0.10'!$AM$4:$AP$55,4,FALSE))</f>
        <v>38</v>
      </c>
      <c r="J76" s="4">
        <f>(VLOOKUP('9.0.10'!R76,'9.0.10'!$AM$4:$AP$55,4,FALSE))</f>
        <v>38</v>
      </c>
      <c r="K76" s="4">
        <f>(VLOOKUP('9.0.10'!S76,'9.0.10'!$AM$4:$AP$55,4,FALSE))</f>
        <v>38</v>
      </c>
      <c r="L76" s="4">
        <f>(VLOOKUP('9.0.10'!T76,'9.0.10'!$AM$4:$AP$55,4,FALSE))</f>
        <v>38</v>
      </c>
      <c r="M76" s="4">
        <f>(VLOOKUP('9.0.10'!U76,'9.0.10'!$AM$4:$AP$55,4,FALSE))</f>
        <v>38</v>
      </c>
      <c r="N76" s="4">
        <f>(VLOOKUP('9.0.10'!V76,'9.0.10'!$AM$4:$AP$55,4,FALSE))</f>
        <v>38</v>
      </c>
      <c r="O76" s="4">
        <f>(VLOOKUP('9.0.10'!W76,'9.0.10'!$AM$4:$AP$55,4,FALSE))</f>
        <v>0</v>
      </c>
      <c r="P76" s="4">
        <f>(VLOOKUP('9.0.10'!X76,'9.0.10'!$AM$4:$AP$55,4,FALSE))</f>
        <v>0</v>
      </c>
      <c r="Q76" s="4">
        <f>(VLOOKUP('9.0.10'!Y76,'9.0.10'!$AM$4:$AP$55,4,FALSE))</f>
        <v>38</v>
      </c>
      <c r="R76" s="4">
        <f>(VLOOKUP('9.0.10'!Z76,'9.0.10'!$AM$4:$AP$55,4,FALSE))</f>
        <v>36</v>
      </c>
      <c r="S76" s="4">
        <f>(VLOOKUP('9.0.10'!AA76,'9.0.10'!$AM$4:$AP$55,4,FALSE))</f>
        <v>36</v>
      </c>
      <c r="T76" s="4">
        <f>(VLOOKUP('9.0.10'!AB76,'9.0.10'!$AM$4:$AP$55,4,FALSE))</f>
        <v>36</v>
      </c>
      <c r="U76" s="4">
        <f>(VLOOKUP('9.0.10'!AC76,'9.0.10'!$AM$4:$AP$55,4,FALSE))</f>
        <v>36</v>
      </c>
      <c r="V76" s="4">
        <f>(VLOOKUP('9.0.10'!AD76,'9.0.10'!$AM$4:$AP$55,4,FALSE))</f>
        <v>36</v>
      </c>
      <c r="W76" s="4">
        <f>(VLOOKUP('9.0.10'!AE76,'9.0.10'!$AM$4:$AP$55,4,FALSE))</f>
        <v>0</v>
      </c>
      <c r="X76" s="4">
        <f>(VLOOKUP('9.0.10'!AF76,'9.0.10'!$AM$4:$AP$55,4,FALSE))</f>
        <v>0</v>
      </c>
    </row>
    <row r="77" spans="1:24">
      <c r="A77" s="4">
        <f>(VLOOKUP('9.0.10'!I77,'9.0.10'!$AM$4:$AP$55,4,FALSE))</f>
        <v>0</v>
      </c>
      <c r="B77" s="4">
        <f>(VLOOKUP('9.0.10'!J77,'9.0.10'!$AM$4:$AP$55,4,FALSE))</f>
        <v>0</v>
      </c>
      <c r="C77" s="4">
        <f>(VLOOKUP('9.0.10'!K77,'9.0.10'!$AM$4:$AP$55,4,FALSE))</f>
        <v>0</v>
      </c>
      <c r="D77" s="4">
        <f>(VLOOKUP('9.0.10'!L77,'9.0.10'!$AM$4:$AP$55,4,FALSE))</f>
        <v>0</v>
      </c>
      <c r="E77" s="4">
        <f>(VLOOKUP('9.0.10'!M77,'9.0.10'!$AM$4:$AP$55,4,FALSE))</f>
        <v>0</v>
      </c>
      <c r="F77" s="4">
        <f>(VLOOKUP('9.0.10'!N77,'9.0.10'!$AM$4:$AP$55,4,FALSE))</f>
        <v>0</v>
      </c>
      <c r="G77" s="4">
        <f>(VLOOKUP('9.0.10'!O77,'9.0.10'!$AM$4:$AP$55,4,FALSE))</f>
        <v>0</v>
      </c>
      <c r="H77" s="4">
        <f>(VLOOKUP('9.0.10'!P77,'9.0.10'!$AM$4:$AP$55,4,FALSE))</f>
        <v>0</v>
      </c>
      <c r="I77" s="4">
        <f>(VLOOKUP('9.0.10'!Q77,'9.0.10'!$AM$4:$AP$55,4,FALSE))</f>
        <v>38</v>
      </c>
      <c r="J77" s="4">
        <f>(VLOOKUP('9.0.10'!R77,'9.0.10'!$AM$4:$AP$55,4,FALSE))</f>
        <v>36</v>
      </c>
      <c r="K77" s="4">
        <f>(VLOOKUP('9.0.10'!S77,'9.0.10'!$AM$4:$AP$55,4,FALSE))</f>
        <v>36</v>
      </c>
      <c r="L77" s="4">
        <f>(VLOOKUP('9.0.10'!T77,'9.0.10'!$AM$4:$AP$55,4,FALSE))</f>
        <v>36</v>
      </c>
      <c r="M77" s="4">
        <f>(VLOOKUP('9.0.10'!U77,'9.0.10'!$AM$4:$AP$55,4,FALSE))</f>
        <v>36</v>
      </c>
      <c r="N77" s="4">
        <f>(VLOOKUP('9.0.10'!V77,'9.0.10'!$AM$4:$AP$55,4,FALSE))</f>
        <v>36</v>
      </c>
      <c r="O77" s="4">
        <f>(VLOOKUP('9.0.10'!W77,'9.0.10'!$AM$4:$AP$55,4,FALSE))</f>
        <v>0</v>
      </c>
      <c r="P77" s="4">
        <f>(VLOOKUP('9.0.10'!X77,'9.0.10'!$AM$4:$AP$55,4,FALSE))</f>
        <v>0</v>
      </c>
      <c r="Q77" s="4">
        <f>(VLOOKUP('9.0.10'!Y77,'9.0.10'!$AM$4:$AP$55,4,FALSE))</f>
        <v>36</v>
      </c>
      <c r="R77" s="4">
        <f>(VLOOKUP('9.0.10'!Z77,'9.0.10'!$AM$4:$AP$55,4,FALSE))</f>
        <v>10</v>
      </c>
      <c r="S77" s="4">
        <f>(VLOOKUP('9.0.10'!AA77,'9.0.10'!$AM$4:$AP$55,4,FALSE))</f>
        <v>36</v>
      </c>
      <c r="T77" s="4">
        <f>(VLOOKUP('9.0.10'!AB77,'9.0.10'!$AM$4:$AP$55,4,FALSE))</f>
        <v>36</v>
      </c>
      <c r="U77" s="4">
        <f>(VLOOKUP('9.0.10'!AC77,'9.0.10'!$AM$4:$AP$55,4,FALSE))</f>
        <v>36</v>
      </c>
      <c r="V77" s="4">
        <f>(VLOOKUP('9.0.10'!AD77,'9.0.10'!$AM$4:$AP$55,4,FALSE))</f>
        <v>36</v>
      </c>
      <c r="W77" s="4">
        <f>(VLOOKUP('9.0.10'!AE77,'9.0.10'!$AM$4:$AP$55,4,FALSE))</f>
        <v>0</v>
      </c>
      <c r="X77" s="4">
        <f>(VLOOKUP('9.0.10'!AF77,'9.0.10'!$AM$4:$AP$55,4,FALSE))</f>
        <v>0</v>
      </c>
    </row>
    <row r="78" spans="1:24">
      <c r="A78" s="4">
        <f>(VLOOKUP('9.0.10'!I78,'9.0.10'!$AM$4:$AP$55,4,FALSE))</f>
        <v>0</v>
      </c>
      <c r="B78" s="4">
        <f>(VLOOKUP('9.0.10'!J78,'9.0.10'!$AM$4:$AP$55,4,FALSE))</f>
        <v>0</v>
      </c>
      <c r="C78" s="4">
        <f>(VLOOKUP('9.0.10'!K78,'9.0.10'!$AM$4:$AP$55,4,FALSE))</f>
        <v>0</v>
      </c>
      <c r="D78" s="4">
        <f>(VLOOKUP('9.0.10'!L78,'9.0.10'!$AM$4:$AP$55,4,FALSE))</f>
        <v>0</v>
      </c>
      <c r="E78" s="4">
        <f>(VLOOKUP('9.0.10'!M78,'9.0.10'!$AM$4:$AP$55,4,FALSE))</f>
        <v>0</v>
      </c>
      <c r="F78" s="4">
        <f>(VLOOKUP('9.0.10'!N78,'9.0.10'!$AM$4:$AP$55,4,FALSE))</f>
        <v>0</v>
      </c>
      <c r="G78" s="4">
        <f>(VLOOKUP('9.0.10'!O78,'9.0.10'!$AM$4:$AP$55,4,FALSE))</f>
        <v>0</v>
      </c>
      <c r="H78" s="4">
        <f>(VLOOKUP('9.0.10'!P78,'9.0.10'!$AM$4:$AP$55,4,FALSE))</f>
        <v>0</v>
      </c>
      <c r="I78" s="4">
        <f>(VLOOKUP('9.0.10'!Q78,'9.0.10'!$AM$4:$AP$55,4,FALSE))</f>
        <v>36</v>
      </c>
      <c r="J78" s="4">
        <f>(VLOOKUP('9.0.10'!R78,'9.0.10'!$AM$4:$AP$55,4,FALSE))</f>
        <v>36</v>
      </c>
      <c r="K78" s="4">
        <f>(VLOOKUP('9.0.10'!S78,'9.0.10'!$AM$4:$AP$55,4,FALSE))</f>
        <v>36</v>
      </c>
      <c r="L78" s="4">
        <f>(VLOOKUP('9.0.10'!T78,'9.0.10'!$AM$4:$AP$55,4,FALSE))</f>
        <v>36</v>
      </c>
      <c r="M78" s="4">
        <f>(VLOOKUP('9.0.10'!U78,'9.0.10'!$AM$4:$AP$55,4,FALSE))</f>
        <v>36</v>
      </c>
      <c r="N78" s="4">
        <f>(VLOOKUP('9.0.10'!V78,'9.0.10'!$AM$4:$AP$55,4,FALSE))</f>
        <v>10</v>
      </c>
      <c r="O78" s="4">
        <f>(VLOOKUP('9.0.10'!W78,'9.0.10'!$AM$4:$AP$55,4,FALSE))</f>
        <v>0</v>
      </c>
      <c r="P78" s="4">
        <f>(VLOOKUP('9.0.10'!X78,'9.0.10'!$AM$4:$AP$55,4,FALSE))</f>
        <v>0</v>
      </c>
      <c r="Q78" s="4">
        <f>(VLOOKUP('9.0.10'!Y78,'9.0.10'!$AM$4:$AP$55,4,FALSE))</f>
        <v>36</v>
      </c>
      <c r="R78" s="4">
        <f>(VLOOKUP('9.0.10'!Z78,'9.0.10'!$AM$4:$AP$55,4,FALSE))</f>
        <v>0</v>
      </c>
      <c r="S78" s="4">
        <f>(VLOOKUP('9.0.10'!AA78,'9.0.10'!$AM$4:$AP$55,4,FALSE))</f>
        <v>36</v>
      </c>
      <c r="T78" s="4">
        <f>(VLOOKUP('9.0.10'!AB78,'9.0.10'!$AM$4:$AP$55,4,FALSE))</f>
        <v>36</v>
      </c>
      <c r="U78" s="4">
        <f>(VLOOKUP('9.0.10'!AC78,'9.0.10'!$AM$4:$AP$55,4,FALSE))</f>
        <v>36</v>
      </c>
      <c r="V78" s="4">
        <f>(VLOOKUP('9.0.10'!AD78,'9.0.10'!$AM$4:$AP$55,4,FALSE))</f>
        <v>36</v>
      </c>
      <c r="W78" s="4">
        <f>(VLOOKUP('9.0.10'!AE78,'9.0.10'!$AM$4:$AP$55,4,FALSE))</f>
        <v>0</v>
      </c>
      <c r="X78" s="4">
        <f>(VLOOKUP('9.0.10'!AF78,'9.0.10'!$AM$4:$AP$55,4,FALSE))</f>
        <v>0</v>
      </c>
    </row>
    <row r="79" spans="1:24">
      <c r="A79" s="4">
        <f>(VLOOKUP('9.0.10'!I79,'9.0.10'!$AM$4:$AP$55,4,FALSE))</f>
        <v>0</v>
      </c>
      <c r="B79" s="4">
        <f>(VLOOKUP('9.0.10'!J79,'9.0.10'!$AM$4:$AP$55,4,FALSE))</f>
        <v>0</v>
      </c>
      <c r="C79" s="4">
        <f>(VLOOKUP('9.0.10'!K79,'9.0.10'!$AM$4:$AP$55,4,FALSE))</f>
        <v>0</v>
      </c>
      <c r="D79" s="4">
        <f>(VLOOKUP('9.0.10'!L79,'9.0.10'!$AM$4:$AP$55,4,FALSE))</f>
        <v>0</v>
      </c>
      <c r="E79" s="4">
        <f>(VLOOKUP('9.0.10'!M79,'9.0.10'!$AM$4:$AP$55,4,FALSE))</f>
        <v>0</v>
      </c>
      <c r="F79" s="4">
        <f>(VLOOKUP('9.0.10'!N79,'9.0.10'!$AM$4:$AP$55,4,FALSE))</f>
        <v>0</v>
      </c>
      <c r="G79" s="4">
        <f>(VLOOKUP('9.0.10'!O79,'9.0.10'!$AM$4:$AP$55,4,FALSE))</f>
        <v>0</v>
      </c>
      <c r="H79" s="4">
        <f>(VLOOKUP('9.0.10'!P79,'9.0.10'!$AM$4:$AP$55,4,FALSE))</f>
        <v>0</v>
      </c>
      <c r="I79" s="4">
        <f>(VLOOKUP('9.0.10'!Q79,'9.0.10'!$AM$4:$AP$55,4,FALSE))</f>
        <v>36</v>
      </c>
      <c r="J79" s="4">
        <f>(VLOOKUP('9.0.10'!R79,'9.0.10'!$AM$4:$AP$55,4,FALSE))</f>
        <v>36</v>
      </c>
      <c r="K79" s="4">
        <f>(VLOOKUP('9.0.10'!S79,'9.0.10'!$AM$4:$AP$55,4,FALSE))</f>
        <v>36</v>
      </c>
      <c r="L79" s="4">
        <f>(VLOOKUP('9.0.10'!T79,'9.0.10'!$AM$4:$AP$55,4,FALSE))</f>
        <v>36</v>
      </c>
      <c r="M79" s="4">
        <f>(VLOOKUP('9.0.10'!U79,'9.0.10'!$AM$4:$AP$55,4,FALSE))</f>
        <v>36</v>
      </c>
      <c r="N79" s="4">
        <f>(VLOOKUP('9.0.10'!V79,'9.0.10'!$AM$4:$AP$55,4,FALSE))</f>
        <v>10</v>
      </c>
      <c r="O79" s="4">
        <f>(VLOOKUP('9.0.10'!W79,'9.0.10'!$AM$4:$AP$55,4,FALSE))</f>
        <v>0</v>
      </c>
      <c r="P79" s="4">
        <f>(VLOOKUP('9.0.10'!X79,'9.0.10'!$AM$4:$AP$55,4,FALSE))</f>
        <v>0</v>
      </c>
      <c r="Q79" s="4">
        <f>(VLOOKUP('9.0.10'!Y79,'9.0.10'!$AM$4:$AP$55,4,FALSE))</f>
        <v>36</v>
      </c>
      <c r="R79" s="4">
        <f>(VLOOKUP('9.0.10'!Z79,'9.0.10'!$AM$4:$AP$55,4,FALSE))</f>
        <v>36</v>
      </c>
      <c r="S79" s="4">
        <f>(VLOOKUP('9.0.10'!AA79,'9.0.10'!$AM$4:$AP$55,4,FALSE))</f>
        <v>36</v>
      </c>
      <c r="T79" s="4">
        <f>(VLOOKUP('9.0.10'!AB79,'9.0.10'!$AM$4:$AP$55,4,FALSE))</f>
        <v>36</v>
      </c>
      <c r="U79" s="4">
        <f>(VLOOKUP('9.0.10'!AC79,'9.0.10'!$AM$4:$AP$55,4,FALSE))</f>
        <v>36</v>
      </c>
      <c r="V79" s="4">
        <f>(VLOOKUP('9.0.10'!AD79,'9.0.10'!$AM$4:$AP$55,4,FALSE))</f>
        <v>36</v>
      </c>
      <c r="W79" s="4">
        <f>(VLOOKUP('9.0.10'!AE79,'9.0.10'!$AM$4:$AP$55,4,FALSE))</f>
        <v>0</v>
      </c>
      <c r="X79" s="4">
        <f>(VLOOKUP('9.0.10'!AF79,'9.0.10'!$AM$4:$AP$55,4,FALSE))</f>
        <v>0</v>
      </c>
    </row>
    <row r="80" spans="1:24">
      <c r="A80" s="4">
        <f>(VLOOKUP('9.0.10'!I80,'9.0.10'!$AM$4:$AP$55,4,FALSE))</f>
        <v>0</v>
      </c>
      <c r="B80" s="4">
        <f>(VLOOKUP('9.0.10'!J80,'9.0.10'!$AM$4:$AP$55,4,FALSE))</f>
        <v>0</v>
      </c>
      <c r="C80" s="4">
        <f>(VLOOKUP('9.0.10'!K80,'9.0.10'!$AM$4:$AP$55,4,FALSE))</f>
        <v>0</v>
      </c>
      <c r="D80" s="4">
        <f>(VLOOKUP('9.0.10'!L80,'9.0.10'!$AM$4:$AP$55,4,FALSE))</f>
        <v>0</v>
      </c>
      <c r="E80" s="4">
        <f>(VLOOKUP('9.0.10'!M80,'9.0.10'!$AM$4:$AP$55,4,FALSE))</f>
        <v>0</v>
      </c>
      <c r="F80" s="4">
        <f>(VLOOKUP('9.0.10'!N80,'9.0.10'!$AM$4:$AP$55,4,FALSE))</f>
        <v>0</v>
      </c>
      <c r="G80" s="4">
        <f>(VLOOKUP('9.0.10'!O80,'9.0.10'!$AM$4:$AP$55,4,FALSE))</f>
        <v>0</v>
      </c>
      <c r="H80" s="4">
        <f>(VLOOKUP('9.0.10'!P80,'9.0.10'!$AM$4:$AP$55,4,FALSE))</f>
        <v>0</v>
      </c>
      <c r="I80" s="4">
        <f>(VLOOKUP('9.0.10'!Q80,'9.0.10'!$AM$4:$AP$55,4,FALSE))</f>
        <v>36</v>
      </c>
      <c r="J80" s="4">
        <f>(VLOOKUP('9.0.10'!R80,'9.0.10'!$AM$4:$AP$55,4,FALSE))</f>
        <v>36</v>
      </c>
      <c r="K80" s="4">
        <f>(VLOOKUP('9.0.10'!S80,'9.0.10'!$AM$4:$AP$55,4,FALSE))</f>
        <v>36</v>
      </c>
      <c r="L80" s="4">
        <f>(VLOOKUP('9.0.10'!T80,'9.0.10'!$AM$4:$AP$55,4,FALSE))</f>
        <v>34</v>
      </c>
      <c r="M80" s="4">
        <f>(VLOOKUP('9.0.10'!U80,'9.0.10'!$AM$4:$AP$55,4,FALSE))</f>
        <v>34</v>
      </c>
      <c r="N80" s="4">
        <f>(VLOOKUP('9.0.10'!V80,'9.0.10'!$AM$4:$AP$55,4,FALSE))</f>
        <v>34</v>
      </c>
      <c r="O80" s="4">
        <f>(VLOOKUP('9.0.10'!W80,'9.0.10'!$AM$4:$AP$55,4,FALSE))</f>
        <v>0</v>
      </c>
      <c r="P80" s="4">
        <f>(VLOOKUP('9.0.10'!X80,'9.0.10'!$AM$4:$AP$55,4,FALSE))</f>
        <v>0</v>
      </c>
      <c r="Q80" s="4">
        <f>(VLOOKUP('9.0.10'!Y80,'9.0.10'!$AM$4:$AP$55,4,FALSE))</f>
        <v>36</v>
      </c>
      <c r="R80" s="4">
        <f>(VLOOKUP('9.0.10'!Z80,'9.0.10'!$AM$4:$AP$55,4,FALSE))</f>
        <v>36</v>
      </c>
      <c r="S80" s="4">
        <f>(VLOOKUP('9.0.10'!AA80,'9.0.10'!$AM$4:$AP$55,4,FALSE))</f>
        <v>36</v>
      </c>
      <c r="T80" s="4">
        <f>(VLOOKUP('9.0.10'!AB80,'9.0.10'!$AM$4:$AP$55,4,FALSE))</f>
        <v>36</v>
      </c>
      <c r="U80" s="4">
        <f>(VLOOKUP('9.0.10'!AC80,'9.0.10'!$AM$4:$AP$55,4,FALSE))</f>
        <v>36</v>
      </c>
      <c r="V80" s="4">
        <f>(VLOOKUP('9.0.10'!AD80,'9.0.10'!$AM$4:$AP$55,4,FALSE))</f>
        <v>36</v>
      </c>
      <c r="W80" s="4">
        <f>(VLOOKUP('9.0.10'!AE80,'9.0.10'!$AM$4:$AP$55,4,FALSE))</f>
        <v>0</v>
      </c>
      <c r="X80" s="4">
        <f>(VLOOKUP('9.0.10'!AF80,'9.0.10'!$AM$4:$AP$55,4,FALSE))</f>
        <v>0</v>
      </c>
    </row>
    <row r="81" spans="1:24">
      <c r="A81" s="4">
        <f>(VLOOKUP('9.0.10'!I81,'9.0.10'!$AM$4:$AP$55,4,FALSE))</f>
        <v>0</v>
      </c>
      <c r="B81" s="4">
        <f>(VLOOKUP('9.0.10'!J81,'9.0.10'!$AM$4:$AP$55,4,FALSE))</f>
        <v>0</v>
      </c>
      <c r="C81" s="4">
        <f>(VLOOKUP('9.0.10'!K81,'9.0.10'!$AM$4:$AP$55,4,FALSE))</f>
        <v>0</v>
      </c>
      <c r="D81" s="4">
        <f>(VLOOKUP('9.0.10'!L81,'9.0.10'!$AM$4:$AP$55,4,FALSE))</f>
        <v>0</v>
      </c>
      <c r="E81" s="4">
        <f>(VLOOKUP('9.0.10'!M81,'9.0.10'!$AM$4:$AP$55,4,FALSE))</f>
        <v>0</v>
      </c>
      <c r="F81" s="4">
        <f>(VLOOKUP('9.0.10'!N81,'9.0.10'!$AM$4:$AP$55,4,FALSE))</f>
        <v>0</v>
      </c>
      <c r="G81" s="4">
        <f>(VLOOKUP('9.0.10'!O81,'9.0.10'!$AM$4:$AP$55,4,FALSE))</f>
        <v>0</v>
      </c>
      <c r="H81" s="4">
        <f>(VLOOKUP('9.0.10'!P81,'9.0.10'!$AM$4:$AP$55,4,FALSE))</f>
        <v>0</v>
      </c>
      <c r="I81" s="4">
        <f>(VLOOKUP('9.0.10'!Q81,'9.0.10'!$AM$4:$AP$55,4,FALSE))</f>
        <v>10</v>
      </c>
      <c r="J81" s="4">
        <f>(VLOOKUP('9.0.10'!R81,'9.0.10'!$AM$4:$AP$55,4,FALSE))</f>
        <v>34</v>
      </c>
      <c r="K81" s="4">
        <f>(VLOOKUP('9.0.10'!S81,'9.0.10'!$AM$4:$AP$55,4,FALSE))</f>
        <v>34</v>
      </c>
      <c r="L81" s="4">
        <f>(VLOOKUP('9.0.10'!T81,'9.0.10'!$AM$4:$AP$55,4,FALSE))</f>
        <v>36</v>
      </c>
      <c r="M81" s="4">
        <f>(VLOOKUP('9.0.10'!U81,'9.0.10'!$AM$4:$AP$55,4,FALSE))</f>
        <v>36</v>
      </c>
      <c r="N81" s="4">
        <f>(VLOOKUP('9.0.10'!V81,'9.0.10'!$AM$4:$AP$55,4,FALSE))</f>
        <v>0</v>
      </c>
      <c r="O81" s="4">
        <f>(VLOOKUP('9.0.10'!W81,'9.0.10'!$AM$4:$AP$55,4,FALSE))</f>
        <v>0</v>
      </c>
      <c r="P81" s="4">
        <f>(VLOOKUP('9.0.10'!X81,'9.0.10'!$AM$4:$AP$55,4,FALSE))</f>
        <v>0</v>
      </c>
      <c r="Q81" s="4">
        <f>(VLOOKUP('9.0.10'!Y81,'9.0.10'!$AM$4:$AP$55,4,FALSE))</f>
        <v>36</v>
      </c>
      <c r="R81" s="4">
        <f>(VLOOKUP('9.0.10'!Z81,'9.0.10'!$AM$4:$AP$55,4,FALSE))</f>
        <v>36</v>
      </c>
      <c r="S81" s="4">
        <f>(VLOOKUP('9.0.10'!AA81,'9.0.10'!$AM$4:$AP$55,4,FALSE))</f>
        <v>36</v>
      </c>
      <c r="T81" s="4">
        <f>(VLOOKUP('9.0.10'!AB81,'9.0.10'!$AM$4:$AP$55,4,FALSE))</f>
        <v>36</v>
      </c>
      <c r="U81" s="4">
        <f>(VLOOKUP('9.0.10'!AC81,'9.0.10'!$AM$4:$AP$55,4,FALSE))</f>
        <v>36</v>
      </c>
      <c r="V81" s="4">
        <f>(VLOOKUP('9.0.10'!AD81,'9.0.10'!$AM$4:$AP$55,4,FALSE))</f>
        <v>36</v>
      </c>
      <c r="W81" s="4">
        <f>(VLOOKUP('9.0.10'!AE81,'9.0.10'!$AM$4:$AP$55,4,FALSE))</f>
        <v>0</v>
      </c>
      <c r="X81" s="4">
        <f>(VLOOKUP('9.0.10'!AF81,'9.0.10'!$AM$4:$AP$55,4,FALSE))</f>
        <v>0</v>
      </c>
    </row>
    <row r="82" spans="1:24">
      <c r="A82" s="4">
        <f>(VLOOKUP('9.0.10'!I82,'9.0.10'!$AM$4:$AP$55,4,FALSE))</f>
        <v>0</v>
      </c>
      <c r="B82" s="4">
        <f>(VLOOKUP('9.0.10'!J82,'9.0.10'!$AM$4:$AP$55,4,FALSE))</f>
        <v>0</v>
      </c>
      <c r="C82" s="4">
        <f>(VLOOKUP('9.0.10'!K82,'9.0.10'!$AM$4:$AP$55,4,FALSE))</f>
        <v>0</v>
      </c>
      <c r="D82" s="4">
        <f>(VLOOKUP('9.0.10'!L82,'9.0.10'!$AM$4:$AP$55,4,FALSE))</f>
        <v>0</v>
      </c>
      <c r="E82" s="4">
        <f>(VLOOKUP('9.0.10'!M82,'9.0.10'!$AM$4:$AP$55,4,FALSE))</f>
        <v>0</v>
      </c>
      <c r="F82" s="4">
        <f>(VLOOKUP('9.0.10'!N82,'9.0.10'!$AM$4:$AP$55,4,FALSE))</f>
        <v>0</v>
      </c>
      <c r="G82" s="4">
        <f>(VLOOKUP('9.0.10'!O82,'9.0.10'!$AM$4:$AP$55,4,FALSE))</f>
        <v>0</v>
      </c>
      <c r="H82" s="4">
        <f>(VLOOKUP('9.0.10'!P82,'9.0.10'!$AM$4:$AP$55,4,FALSE))</f>
        <v>0</v>
      </c>
      <c r="I82" s="4">
        <f>(VLOOKUP('9.0.10'!Q82,'9.0.10'!$AM$4:$AP$55,4,FALSE))</f>
        <v>36</v>
      </c>
      <c r="J82" s="4">
        <f>(VLOOKUP('9.0.10'!R82,'9.0.10'!$AM$4:$AP$55,4,FALSE))</f>
        <v>36</v>
      </c>
      <c r="K82" s="4">
        <f>(VLOOKUP('9.0.10'!S82,'9.0.10'!$AM$4:$AP$55,4,FALSE))</f>
        <v>36</v>
      </c>
      <c r="L82" s="4">
        <f>(VLOOKUP('9.0.10'!T82,'9.0.10'!$AM$4:$AP$55,4,FALSE))</f>
        <v>36</v>
      </c>
      <c r="M82" s="4">
        <f>(VLOOKUP('9.0.10'!U82,'9.0.10'!$AM$4:$AP$55,4,FALSE))</f>
        <v>36</v>
      </c>
      <c r="N82" s="4">
        <f>(VLOOKUP('9.0.10'!V82,'9.0.10'!$AM$4:$AP$55,4,FALSE))</f>
        <v>36</v>
      </c>
      <c r="O82" s="4">
        <f>(VLOOKUP('9.0.10'!W82,'9.0.10'!$AM$4:$AP$55,4,FALSE))</f>
        <v>0</v>
      </c>
      <c r="P82" s="4">
        <f>(VLOOKUP('9.0.10'!X82,'9.0.10'!$AM$4:$AP$55,4,FALSE))</f>
        <v>0</v>
      </c>
      <c r="Q82" s="4">
        <f>(VLOOKUP('9.0.10'!Y82,'9.0.10'!$AM$4:$AP$55,4,FALSE))</f>
        <v>36</v>
      </c>
      <c r="R82" s="4">
        <f>(VLOOKUP('9.0.10'!Z82,'9.0.10'!$AM$4:$AP$55,4,FALSE))</f>
        <v>36</v>
      </c>
      <c r="S82" s="4">
        <f>(VLOOKUP('9.0.10'!AA82,'9.0.10'!$AM$4:$AP$55,4,FALSE))</f>
        <v>36</v>
      </c>
      <c r="T82" s="4">
        <f>(VLOOKUP('9.0.10'!AB82,'9.0.10'!$AM$4:$AP$55,4,FALSE))</f>
        <v>36</v>
      </c>
      <c r="U82" s="4">
        <f>(VLOOKUP('9.0.10'!AC82,'9.0.10'!$AM$4:$AP$55,4,FALSE))</f>
        <v>36</v>
      </c>
      <c r="V82" s="4">
        <f>(VLOOKUP('9.0.10'!AD82,'9.0.10'!$AM$4:$AP$55,4,FALSE))</f>
        <v>36</v>
      </c>
      <c r="W82" s="4">
        <f>(VLOOKUP('9.0.10'!AE82,'9.0.10'!$AM$4:$AP$55,4,FALSE))</f>
        <v>0</v>
      </c>
      <c r="X82" s="4">
        <f>(VLOOKUP('9.0.10'!AF82,'9.0.10'!$AM$4:$AP$55,4,FALSE))</f>
        <v>0</v>
      </c>
    </row>
    <row r="83" spans="1:24">
      <c r="A83" s="4">
        <f>(VLOOKUP('9.0.10'!I83,'9.0.10'!$AM$4:$AP$55,4,FALSE))</f>
        <v>0</v>
      </c>
      <c r="B83" s="4">
        <f>(VLOOKUP('9.0.10'!J83,'9.0.10'!$AM$4:$AP$55,4,FALSE))</f>
        <v>0</v>
      </c>
      <c r="C83" s="4">
        <f>(VLOOKUP('9.0.10'!K83,'9.0.10'!$AM$4:$AP$55,4,FALSE))</f>
        <v>0</v>
      </c>
      <c r="D83" s="4">
        <f>(VLOOKUP('9.0.10'!L83,'9.0.10'!$AM$4:$AP$55,4,FALSE))</f>
        <v>0</v>
      </c>
      <c r="E83" s="4">
        <f>(VLOOKUP('9.0.10'!M83,'9.0.10'!$AM$4:$AP$55,4,FALSE))</f>
        <v>0</v>
      </c>
      <c r="F83" s="4">
        <f>(VLOOKUP('9.0.10'!N83,'9.0.10'!$AM$4:$AP$55,4,FALSE))</f>
        <v>0</v>
      </c>
      <c r="G83" s="4">
        <f>(VLOOKUP('9.0.10'!O83,'9.0.10'!$AM$4:$AP$55,4,FALSE))</f>
        <v>0</v>
      </c>
      <c r="H83" s="4">
        <f>(VLOOKUP('9.0.10'!P83,'9.0.10'!$AM$4:$AP$55,4,FALSE))</f>
        <v>0</v>
      </c>
      <c r="I83" s="4">
        <f>(VLOOKUP('9.0.10'!Q83,'9.0.10'!$AM$4:$AP$55,4,FALSE))</f>
        <v>36</v>
      </c>
      <c r="J83" s="4">
        <f>(VLOOKUP('9.0.10'!R83,'9.0.10'!$AM$4:$AP$55,4,FALSE))</f>
        <v>36</v>
      </c>
      <c r="K83" s="4">
        <f>(VLOOKUP('9.0.10'!S83,'9.0.10'!$AM$4:$AP$55,4,FALSE))</f>
        <v>36</v>
      </c>
      <c r="L83" s="4">
        <f>(VLOOKUP('9.0.10'!T83,'9.0.10'!$AM$4:$AP$55,4,FALSE))</f>
        <v>36</v>
      </c>
      <c r="M83" s="4">
        <f>(VLOOKUP('9.0.10'!U83,'9.0.10'!$AM$4:$AP$55,4,FALSE))</f>
        <v>36</v>
      </c>
      <c r="N83" s="4">
        <f>(VLOOKUP('9.0.10'!V83,'9.0.10'!$AM$4:$AP$55,4,FALSE))</f>
        <v>36</v>
      </c>
      <c r="O83" s="4">
        <f>(VLOOKUP('9.0.10'!W83,'9.0.10'!$AM$4:$AP$55,4,FALSE))</f>
        <v>0</v>
      </c>
      <c r="P83" s="4">
        <f>(VLOOKUP('9.0.10'!X83,'9.0.10'!$AM$4:$AP$55,4,FALSE))</f>
        <v>0</v>
      </c>
      <c r="Q83" s="4">
        <f>(VLOOKUP('9.0.10'!Y83,'9.0.10'!$AM$4:$AP$55,4,FALSE))</f>
        <v>36</v>
      </c>
      <c r="R83" s="4">
        <f>(VLOOKUP('9.0.10'!Z83,'9.0.10'!$AM$4:$AP$55,4,FALSE))</f>
        <v>36</v>
      </c>
      <c r="S83" s="4">
        <f>(VLOOKUP('9.0.10'!AA83,'9.0.10'!$AM$4:$AP$55,4,FALSE))</f>
        <v>36</v>
      </c>
      <c r="T83" s="4">
        <f>(VLOOKUP('9.0.10'!AB83,'9.0.10'!$AM$4:$AP$55,4,FALSE))</f>
        <v>36</v>
      </c>
      <c r="U83" s="4">
        <f>(VLOOKUP('9.0.10'!AC83,'9.0.10'!$AM$4:$AP$55,4,FALSE))</f>
        <v>10</v>
      </c>
      <c r="V83" s="4">
        <f>(VLOOKUP('9.0.10'!AD83,'9.0.10'!$AM$4:$AP$55,4,FALSE))</f>
        <v>36</v>
      </c>
      <c r="W83" s="4">
        <f>(VLOOKUP('9.0.10'!AE83,'9.0.10'!$AM$4:$AP$55,4,FALSE))</f>
        <v>0</v>
      </c>
      <c r="X83" s="4">
        <f>(VLOOKUP('9.0.10'!AF83,'9.0.10'!$AM$4:$AP$55,4,FALSE))</f>
        <v>0</v>
      </c>
    </row>
    <row r="84" spans="1:24">
      <c r="A84" s="4">
        <f>(VLOOKUP('9.0.10'!I84,'9.0.10'!$AM$4:$AP$55,4,FALSE))</f>
        <v>44.222109392472248</v>
      </c>
      <c r="B84" s="4">
        <f>(VLOOKUP('9.0.10'!J84,'9.0.10'!$AM$4:$AP$55,4,FALSE))</f>
        <v>10</v>
      </c>
      <c r="C84" s="4">
        <f>(VLOOKUP('9.0.10'!K84,'9.0.10'!$AM$4:$AP$55,4,FALSE))</f>
        <v>44.222109392472248</v>
      </c>
      <c r="D84" s="4">
        <f>(VLOOKUP('9.0.10'!L84,'9.0.10'!$AM$4:$AP$55,4,FALSE))</f>
        <v>44.222109392472248</v>
      </c>
      <c r="E84" s="4">
        <f>(VLOOKUP('9.0.10'!M84,'9.0.10'!$AM$4:$AP$55,4,FALSE))</f>
        <v>10</v>
      </c>
      <c r="F84" s="4">
        <f>(VLOOKUP('9.0.10'!N84,'9.0.10'!$AM$4:$AP$55,4,FALSE))</f>
        <v>0</v>
      </c>
      <c r="G84" s="4">
        <f>(VLOOKUP('9.0.10'!O84,'9.0.10'!$AM$4:$AP$55,4,FALSE))</f>
        <v>0</v>
      </c>
      <c r="H84" s="4">
        <f>(VLOOKUP('9.0.10'!P84,'9.0.10'!$AM$4:$AP$55,4,FALSE))</f>
        <v>0</v>
      </c>
      <c r="I84" s="4">
        <f>(VLOOKUP('9.0.10'!Q84,'9.0.10'!$AM$4:$AP$55,4,FALSE))</f>
        <v>36</v>
      </c>
      <c r="J84" s="4">
        <f>(VLOOKUP('9.0.10'!R84,'9.0.10'!$AM$4:$AP$55,4,FALSE))</f>
        <v>36</v>
      </c>
      <c r="K84" s="4">
        <f>(VLOOKUP('9.0.10'!S84,'9.0.10'!$AM$4:$AP$55,4,FALSE))</f>
        <v>36</v>
      </c>
      <c r="L84" s="4">
        <f>(VLOOKUP('9.0.10'!T84,'9.0.10'!$AM$4:$AP$55,4,FALSE))</f>
        <v>36</v>
      </c>
      <c r="M84" s="4">
        <f>(VLOOKUP('9.0.10'!U84,'9.0.10'!$AM$4:$AP$55,4,FALSE))</f>
        <v>36</v>
      </c>
      <c r="N84" s="4">
        <f>(VLOOKUP('9.0.10'!V84,'9.0.10'!$AM$4:$AP$55,4,FALSE))</f>
        <v>10</v>
      </c>
      <c r="O84" s="4">
        <f>(VLOOKUP('9.0.10'!W84,'9.0.10'!$AM$4:$AP$55,4,FALSE))</f>
        <v>0</v>
      </c>
      <c r="P84" s="4">
        <f>(VLOOKUP('9.0.10'!X84,'9.0.10'!$AM$4:$AP$55,4,FALSE))</f>
        <v>0</v>
      </c>
      <c r="Q84" s="4">
        <f>(VLOOKUP('9.0.10'!Y84,'9.0.10'!$AM$4:$AP$55,4,FALSE))</f>
        <v>36</v>
      </c>
      <c r="R84" s="4">
        <f>(VLOOKUP('9.0.10'!Z84,'9.0.10'!$AM$4:$AP$55,4,FALSE))</f>
        <v>36</v>
      </c>
      <c r="S84" s="4">
        <f>(VLOOKUP('9.0.10'!AA84,'9.0.10'!$AM$4:$AP$55,4,FALSE))</f>
        <v>36</v>
      </c>
      <c r="T84" s="4">
        <f>(VLOOKUP('9.0.10'!AB84,'9.0.10'!$AM$4:$AP$55,4,FALSE))</f>
        <v>36</v>
      </c>
      <c r="U84" s="4">
        <f>(VLOOKUP('9.0.10'!AC84,'9.0.10'!$AM$4:$AP$55,4,FALSE))</f>
        <v>36</v>
      </c>
      <c r="V84" s="4">
        <f>(VLOOKUP('9.0.10'!AD84,'9.0.10'!$AM$4:$AP$55,4,FALSE))</f>
        <v>36</v>
      </c>
      <c r="W84" s="4">
        <f>(VLOOKUP('9.0.10'!AE84,'9.0.10'!$AM$4:$AP$55,4,FALSE))</f>
        <v>0</v>
      </c>
      <c r="X84" s="4">
        <f>(VLOOKUP('9.0.10'!AF84,'9.0.10'!$AM$4:$AP$55,4,FALSE))</f>
        <v>0</v>
      </c>
    </row>
    <row r="85" spans="1:24">
      <c r="A85" s="4">
        <f>(VLOOKUP('9.0.10'!I85,'9.0.10'!$AM$4:$AP$55,4,FALSE))</f>
        <v>34</v>
      </c>
      <c r="B85" s="4">
        <f>(VLOOKUP('9.0.10'!J85,'9.0.10'!$AM$4:$AP$55,4,FALSE))</f>
        <v>34</v>
      </c>
      <c r="C85" s="4">
        <f>(VLOOKUP('9.0.10'!K85,'9.0.10'!$AM$4:$AP$55,4,FALSE))</f>
        <v>34</v>
      </c>
      <c r="D85" s="4">
        <f>(VLOOKUP('9.0.10'!L85,'9.0.10'!$AM$4:$AP$55,4,FALSE))</f>
        <v>34</v>
      </c>
      <c r="E85" s="4">
        <f>(VLOOKUP('9.0.10'!M85,'9.0.10'!$AM$4:$AP$55,4,FALSE))</f>
        <v>0</v>
      </c>
      <c r="F85" s="4">
        <f>(VLOOKUP('9.0.10'!N85,'9.0.10'!$AM$4:$AP$55,4,FALSE))</f>
        <v>39.110982162825422</v>
      </c>
      <c r="G85" s="4">
        <f>(VLOOKUP('9.0.10'!O85,'9.0.10'!$AM$4:$AP$55,4,FALSE))</f>
        <v>39.110982162825422</v>
      </c>
      <c r="H85" s="4">
        <f>(VLOOKUP('9.0.10'!P85,'9.0.10'!$AM$4:$AP$55,4,FALSE))</f>
        <v>29.110982162825422</v>
      </c>
      <c r="I85" s="4">
        <f>(VLOOKUP('9.0.10'!Q85,'9.0.10'!$AM$4:$AP$55,4,FALSE))</f>
        <v>36</v>
      </c>
      <c r="J85" s="4">
        <f>(VLOOKUP('9.0.10'!R85,'9.0.10'!$AM$4:$AP$55,4,FALSE))</f>
        <v>36</v>
      </c>
      <c r="K85" s="4">
        <f>(VLOOKUP('9.0.10'!S85,'9.0.10'!$AM$4:$AP$55,4,FALSE))</f>
        <v>34</v>
      </c>
      <c r="L85" s="4">
        <f>(VLOOKUP('9.0.10'!T85,'9.0.10'!$AM$4:$AP$55,4,FALSE))</f>
        <v>34</v>
      </c>
      <c r="M85" s="4">
        <f>(VLOOKUP('9.0.10'!U85,'9.0.10'!$AM$4:$AP$55,4,FALSE))</f>
        <v>34</v>
      </c>
      <c r="N85" s="4">
        <f>(VLOOKUP('9.0.10'!V85,'9.0.10'!$AM$4:$AP$55,4,FALSE))</f>
        <v>36</v>
      </c>
      <c r="O85" s="4">
        <f>(VLOOKUP('9.0.10'!W85,'9.0.10'!$AM$4:$AP$55,4,FALSE))</f>
        <v>0</v>
      </c>
      <c r="P85" s="4">
        <f>(VLOOKUP('9.0.10'!X85,'9.0.10'!$AM$4:$AP$55,4,FALSE))</f>
        <v>0</v>
      </c>
      <c r="Q85" s="4">
        <f>(VLOOKUP('9.0.10'!Y85,'9.0.10'!$AM$4:$AP$55,4,FALSE))</f>
        <v>36</v>
      </c>
      <c r="R85" s="4">
        <f>(VLOOKUP('9.0.10'!Z85,'9.0.10'!$AM$4:$AP$55,4,FALSE))</f>
        <v>36</v>
      </c>
      <c r="S85" s="4">
        <f>(VLOOKUP('9.0.10'!AA85,'9.0.10'!$AM$4:$AP$55,4,FALSE))</f>
        <v>36</v>
      </c>
      <c r="T85" s="4">
        <f>(VLOOKUP('9.0.10'!AB85,'9.0.10'!$AM$4:$AP$55,4,FALSE))</f>
        <v>36</v>
      </c>
      <c r="U85" s="4">
        <f>(VLOOKUP('9.0.10'!AC85,'9.0.10'!$AM$4:$AP$55,4,FALSE))</f>
        <v>36</v>
      </c>
      <c r="V85" s="4">
        <f>(VLOOKUP('9.0.10'!AD85,'9.0.10'!$AM$4:$AP$55,4,FALSE))</f>
        <v>36</v>
      </c>
      <c r="W85" s="4">
        <f>(VLOOKUP('9.0.10'!AE85,'9.0.10'!$AM$4:$AP$55,4,FALSE))</f>
        <v>0</v>
      </c>
      <c r="X85" s="4">
        <f>(VLOOKUP('9.0.10'!AF85,'9.0.10'!$AM$4:$AP$55,4,FALSE))</f>
        <v>0</v>
      </c>
    </row>
    <row r="86" spans="1:24">
      <c r="A86" s="4">
        <f>(VLOOKUP('9.0.10'!I86,'9.0.10'!$AM$4:$AP$55,4,FALSE))</f>
        <v>44.222109392472248</v>
      </c>
      <c r="B86" s="4">
        <f>(VLOOKUP('9.0.10'!J86,'9.0.10'!$AM$4:$AP$55,4,FALSE))</f>
        <v>10</v>
      </c>
      <c r="C86" s="4">
        <f>(VLOOKUP('9.0.10'!K86,'9.0.10'!$AM$4:$AP$55,4,FALSE))</f>
        <v>39.110982162825422</v>
      </c>
      <c r="D86" s="4">
        <f>(VLOOKUP('9.0.10'!L86,'9.0.10'!$AM$4:$AP$55,4,FALSE))</f>
        <v>10</v>
      </c>
      <c r="E86" s="4">
        <f>(VLOOKUP('9.0.10'!M86,'9.0.10'!$AM$4:$AP$55,4,FALSE))</f>
        <v>39.110982162825422</v>
      </c>
      <c r="F86" s="4">
        <f>(VLOOKUP('9.0.10'!N86,'9.0.10'!$AM$4:$AP$55,4,FALSE))</f>
        <v>34</v>
      </c>
      <c r="G86" s="4">
        <f>(VLOOKUP('9.0.10'!O86,'9.0.10'!$AM$4:$AP$55,4,FALSE))</f>
        <v>0</v>
      </c>
      <c r="H86" s="4">
        <f>(VLOOKUP('9.0.10'!P86,'9.0.10'!$AM$4:$AP$55,4,FALSE))</f>
        <v>0</v>
      </c>
      <c r="I86" s="4">
        <f>(VLOOKUP('9.0.10'!Q86,'9.0.10'!$AM$4:$AP$55,4,FALSE))</f>
        <v>36</v>
      </c>
      <c r="J86" s="4">
        <f>(VLOOKUP('9.0.10'!R86,'9.0.10'!$AM$4:$AP$55,4,FALSE))</f>
        <v>13.999854933178597</v>
      </c>
      <c r="K86" s="4">
        <f>(VLOOKUP('9.0.10'!S86,'9.0.10'!$AM$4:$AP$55,4,FALSE))</f>
        <v>34</v>
      </c>
      <c r="L86" s="4">
        <f>(VLOOKUP('9.0.10'!T86,'9.0.10'!$AM$4:$AP$55,4,FALSE))</f>
        <v>34</v>
      </c>
      <c r="M86" s="4">
        <f>(VLOOKUP('9.0.10'!U86,'9.0.10'!$AM$4:$AP$55,4,FALSE))</f>
        <v>36</v>
      </c>
      <c r="N86" s="4">
        <f>(VLOOKUP('9.0.10'!V86,'9.0.10'!$AM$4:$AP$55,4,FALSE))</f>
        <v>36</v>
      </c>
      <c r="O86" s="4">
        <f>(VLOOKUP('9.0.10'!W86,'9.0.10'!$AM$4:$AP$55,4,FALSE))</f>
        <v>0</v>
      </c>
      <c r="P86" s="4">
        <f>(VLOOKUP('9.0.10'!X86,'9.0.10'!$AM$4:$AP$55,4,FALSE))</f>
        <v>0</v>
      </c>
      <c r="Q86" s="4">
        <f>(VLOOKUP('9.0.10'!Y86,'9.0.10'!$AM$4:$AP$55,4,FALSE))</f>
        <v>10</v>
      </c>
      <c r="R86" s="4">
        <f>(VLOOKUP('9.0.10'!Z86,'9.0.10'!$AM$4:$AP$55,4,FALSE))</f>
        <v>36</v>
      </c>
      <c r="S86" s="4">
        <f>(VLOOKUP('9.0.10'!AA86,'9.0.10'!$AM$4:$AP$55,4,FALSE))</f>
        <v>36</v>
      </c>
      <c r="T86" s="4">
        <f>(VLOOKUP('9.0.10'!AB86,'9.0.10'!$AM$4:$AP$55,4,FALSE))</f>
        <v>36</v>
      </c>
      <c r="U86" s="4">
        <f>(VLOOKUP('9.0.10'!AC86,'9.0.10'!$AM$4:$AP$55,4,FALSE))</f>
        <v>36</v>
      </c>
      <c r="V86" s="4">
        <f>(VLOOKUP('9.0.10'!AD86,'9.0.10'!$AM$4:$AP$55,4,FALSE))</f>
        <v>36</v>
      </c>
      <c r="W86" s="4">
        <f>(VLOOKUP('9.0.10'!AE86,'9.0.10'!$AM$4:$AP$55,4,FALSE))</f>
        <v>0</v>
      </c>
      <c r="X86" s="4">
        <f>(VLOOKUP('9.0.10'!AF86,'9.0.10'!$AM$4:$AP$55,4,FALSE))</f>
        <v>0</v>
      </c>
    </row>
    <row r="87" spans="1:24">
      <c r="A87" s="4">
        <f>(VLOOKUP('9.0.10'!I87,'9.0.10'!$AM$4:$AP$55,4,FALSE))</f>
        <v>34</v>
      </c>
      <c r="B87" s="4">
        <f>(VLOOKUP('9.0.10'!J87,'9.0.10'!$AM$4:$AP$55,4,FALSE))</f>
        <v>39.110982162825422</v>
      </c>
      <c r="C87" s="4">
        <f>(VLOOKUP('9.0.10'!K87,'9.0.10'!$AM$4:$AP$55,4,FALSE))</f>
        <v>39.110982162825422</v>
      </c>
      <c r="D87" s="4">
        <f>(VLOOKUP('9.0.10'!L87,'9.0.10'!$AM$4:$AP$55,4,FALSE))</f>
        <v>0</v>
      </c>
      <c r="E87" s="4">
        <f>(VLOOKUP('9.0.10'!M87,'9.0.10'!$AM$4:$AP$55,4,FALSE))</f>
        <v>0</v>
      </c>
      <c r="F87" s="4">
        <f>(VLOOKUP('9.0.10'!N87,'9.0.10'!$AM$4:$AP$55,4,FALSE))</f>
        <v>0</v>
      </c>
      <c r="G87" s="4">
        <f>(VLOOKUP('9.0.10'!O87,'9.0.10'!$AM$4:$AP$55,4,FALSE))</f>
        <v>0</v>
      </c>
      <c r="H87" s="4">
        <f>(VLOOKUP('9.0.10'!P87,'9.0.10'!$AM$4:$AP$55,4,FALSE))</f>
        <v>0</v>
      </c>
      <c r="I87" s="4">
        <f>(VLOOKUP('9.0.10'!Q87,'9.0.10'!$AM$4:$AP$55,4,FALSE))</f>
        <v>36</v>
      </c>
      <c r="J87" s="4">
        <f>(VLOOKUP('9.0.10'!R87,'9.0.10'!$AM$4:$AP$55,4,FALSE))</f>
        <v>36</v>
      </c>
      <c r="K87" s="4">
        <f>(VLOOKUP('9.0.10'!S87,'9.0.10'!$AM$4:$AP$55,4,FALSE))</f>
        <v>36</v>
      </c>
      <c r="L87" s="4">
        <f>(VLOOKUP('9.0.10'!T87,'9.0.10'!$AM$4:$AP$55,4,FALSE))</f>
        <v>13.999854933178597</v>
      </c>
      <c r="M87" s="4">
        <f>(VLOOKUP('9.0.10'!U87,'9.0.10'!$AM$4:$AP$55,4,FALSE))</f>
        <v>34</v>
      </c>
      <c r="N87" s="4">
        <f>(VLOOKUP('9.0.10'!V87,'9.0.10'!$AM$4:$AP$55,4,FALSE))</f>
        <v>34</v>
      </c>
      <c r="O87" s="4">
        <f>(VLOOKUP('9.0.10'!W87,'9.0.10'!$AM$4:$AP$55,4,FALSE))</f>
        <v>0</v>
      </c>
      <c r="P87" s="4">
        <f>(VLOOKUP('9.0.10'!X87,'9.0.10'!$AM$4:$AP$55,4,FALSE))</f>
        <v>0</v>
      </c>
      <c r="Q87" s="4">
        <f>(VLOOKUP('9.0.10'!Y87,'9.0.10'!$AM$4:$AP$55,4,FALSE))</f>
        <v>36</v>
      </c>
      <c r="R87" s="4">
        <f>(VLOOKUP('9.0.10'!Z87,'9.0.10'!$AM$4:$AP$55,4,FALSE))</f>
        <v>36</v>
      </c>
      <c r="S87" s="4">
        <f>(VLOOKUP('9.0.10'!AA87,'9.0.10'!$AM$4:$AP$55,4,FALSE))</f>
        <v>36</v>
      </c>
      <c r="T87" s="4">
        <f>(VLOOKUP('9.0.10'!AB87,'9.0.10'!$AM$4:$AP$55,4,FALSE))</f>
        <v>36</v>
      </c>
      <c r="U87" s="4">
        <f>(VLOOKUP('9.0.10'!AC87,'9.0.10'!$AM$4:$AP$55,4,FALSE))</f>
        <v>36</v>
      </c>
      <c r="V87" s="4">
        <f>(VLOOKUP('9.0.10'!AD87,'9.0.10'!$AM$4:$AP$55,4,FALSE))</f>
        <v>36</v>
      </c>
      <c r="W87" s="4">
        <f>(VLOOKUP('9.0.10'!AE87,'9.0.10'!$AM$4:$AP$55,4,FALSE))</f>
        <v>0</v>
      </c>
      <c r="X87" s="4">
        <f>(VLOOKUP('9.0.10'!AF87,'9.0.10'!$AM$4:$AP$55,4,FALSE))</f>
        <v>0</v>
      </c>
    </row>
    <row r="88" spans="1:24">
      <c r="A88" s="4">
        <f>(VLOOKUP('9.0.10'!I88,'9.0.10'!$AM$4:$AP$55,4,FALSE))</f>
        <v>0</v>
      </c>
      <c r="B88" s="4">
        <f>(VLOOKUP('9.0.10'!J88,'9.0.10'!$AM$4:$AP$55,4,FALSE))</f>
        <v>0</v>
      </c>
      <c r="C88" s="4">
        <f>(VLOOKUP('9.0.10'!K88,'9.0.10'!$AM$4:$AP$55,4,FALSE))</f>
        <v>0</v>
      </c>
      <c r="D88" s="4">
        <f>(VLOOKUP('9.0.10'!L88,'9.0.10'!$AM$4:$AP$55,4,FALSE))</f>
        <v>0</v>
      </c>
      <c r="E88" s="4">
        <f>(VLOOKUP('9.0.10'!M88,'9.0.10'!$AM$4:$AP$55,4,FALSE))</f>
        <v>0</v>
      </c>
      <c r="F88" s="4">
        <f>(VLOOKUP('9.0.10'!N88,'9.0.10'!$AM$4:$AP$55,4,FALSE))</f>
        <v>0</v>
      </c>
      <c r="G88" s="4">
        <f>(VLOOKUP('9.0.10'!O88,'9.0.10'!$AM$4:$AP$55,4,FALSE))</f>
        <v>0</v>
      </c>
      <c r="H88" s="4">
        <f>(VLOOKUP('9.0.10'!P88,'9.0.10'!$AM$4:$AP$55,4,FALSE))</f>
        <v>0</v>
      </c>
      <c r="I88" s="4">
        <f>(VLOOKUP('9.0.10'!Q88,'9.0.10'!$AM$4:$AP$55,4,FALSE))</f>
        <v>34</v>
      </c>
      <c r="J88" s="4">
        <f>(VLOOKUP('9.0.10'!R88,'9.0.10'!$AM$4:$AP$55,4,FALSE))</f>
        <v>34</v>
      </c>
      <c r="K88" s="4">
        <f>(VLOOKUP('9.0.10'!S88,'9.0.10'!$AM$4:$AP$55,4,FALSE))</f>
        <v>10</v>
      </c>
      <c r="L88" s="4">
        <f>(VLOOKUP('9.0.10'!T88,'9.0.10'!$AM$4:$AP$55,4,FALSE))</f>
        <v>36</v>
      </c>
      <c r="M88" s="4">
        <f>(VLOOKUP('9.0.10'!U88,'9.0.10'!$AM$4:$AP$55,4,FALSE))</f>
        <v>36</v>
      </c>
      <c r="N88" s="4">
        <f>(VLOOKUP('9.0.10'!V88,'9.0.10'!$AM$4:$AP$55,4,FALSE))</f>
        <v>36</v>
      </c>
      <c r="O88" s="4">
        <f>(VLOOKUP('9.0.10'!W88,'9.0.10'!$AM$4:$AP$55,4,FALSE))</f>
        <v>0</v>
      </c>
      <c r="P88" s="4">
        <f>(VLOOKUP('9.0.10'!X88,'9.0.10'!$AM$4:$AP$55,4,FALSE))</f>
        <v>0</v>
      </c>
      <c r="Q88" s="4">
        <f>(VLOOKUP('9.0.10'!Y88,'9.0.10'!$AM$4:$AP$55,4,FALSE))</f>
        <v>13.999854933178597</v>
      </c>
      <c r="R88" s="4">
        <f>(VLOOKUP('9.0.10'!Z88,'9.0.10'!$AM$4:$AP$55,4,FALSE))</f>
        <v>34</v>
      </c>
      <c r="S88" s="4">
        <f>(VLOOKUP('9.0.10'!AA88,'9.0.10'!$AM$4:$AP$55,4,FALSE))</f>
        <v>34</v>
      </c>
      <c r="T88" s="4">
        <f>(VLOOKUP('9.0.10'!AB88,'9.0.10'!$AM$4:$AP$55,4,FALSE))</f>
        <v>36</v>
      </c>
      <c r="U88" s="4">
        <f>(VLOOKUP('9.0.10'!AC88,'9.0.10'!$AM$4:$AP$55,4,FALSE))</f>
        <v>34</v>
      </c>
      <c r="V88" s="4">
        <f>(VLOOKUP('9.0.10'!AD88,'9.0.10'!$AM$4:$AP$55,4,FALSE))</f>
        <v>34</v>
      </c>
      <c r="W88" s="4">
        <f>(VLOOKUP('9.0.10'!AE88,'9.0.10'!$AM$4:$AP$55,4,FALSE))</f>
        <v>0</v>
      </c>
      <c r="X88" s="4">
        <f>(VLOOKUP('9.0.10'!AF88,'9.0.10'!$AM$4:$AP$55,4,FALSE))</f>
        <v>0</v>
      </c>
    </row>
    <row r="89" spans="1:24">
      <c r="A89" s="4">
        <f>(VLOOKUP('9.0.10'!I89,'9.0.10'!$AM$4:$AP$55,4,FALSE))</f>
        <v>0</v>
      </c>
      <c r="B89" s="4">
        <f>(VLOOKUP('9.0.10'!J89,'9.0.10'!$AM$4:$AP$55,4,FALSE))</f>
        <v>0</v>
      </c>
      <c r="C89" s="4">
        <f>(VLOOKUP('9.0.10'!K89,'9.0.10'!$AM$4:$AP$55,4,FALSE))</f>
        <v>0</v>
      </c>
      <c r="D89" s="4">
        <f>(VLOOKUP('9.0.10'!L89,'9.0.10'!$AM$4:$AP$55,4,FALSE))</f>
        <v>0</v>
      </c>
      <c r="E89" s="4">
        <f>(VLOOKUP('9.0.10'!M89,'9.0.10'!$AM$4:$AP$55,4,FALSE))</f>
        <v>0</v>
      </c>
      <c r="F89" s="4">
        <f>(VLOOKUP('9.0.10'!N89,'9.0.10'!$AM$4:$AP$55,4,FALSE))</f>
        <v>0</v>
      </c>
      <c r="G89" s="4">
        <f>(VLOOKUP('9.0.10'!O89,'9.0.10'!$AM$4:$AP$55,4,FALSE))</f>
        <v>0</v>
      </c>
      <c r="H89" s="4">
        <f>(VLOOKUP('9.0.10'!P89,'9.0.10'!$AM$4:$AP$55,4,FALSE))</f>
        <v>0</v>
      </c>
      <c r="I89" s="4">
        <f>(VLOOKUP('9.0.10'!Q89,'9.0.10'!$AM$4:$AP$55,4,FALSE))</f>
        <v>38</v>
      </c>
      <c r="J89" s="4">
        <f>(VLOOKUP('9.0.10'!R89,'9.0.10'!$AM$4:$AP$55,4,FALSE))</f>
        <v>38</v>
      </c>
      <c r="K89" s="4">
        <f>(VLOOKUP('9.0.10'!S89,'9.0.10'!$AM$4:$AP$55,4,FALSE))</f>
        <v>38</v>
      </c>
      <c r="L89" s="4">
        <f>(VLOOKUP('9.0.10'!T89,'9.0.10'!$AM$4:$AP$55,4,FALSE))</f>
        <v>38</v>
      </c>
      <c r="M89" s="4">
        <f>(VLOOKUP('9.0.10'!U89,'9.0.10'!$AM$4:$AP$55,4,FALSE))</f>
        <v>10</v>
      </c>
      <c r="N89" s="4">
        <f>(VLOOKUP('9.0.10'!V89,'9.0.10'!$AM$4:$AP$55,4,FALSE))</f>
        <v>38</v>
      </c>
      <c r="O89" s="4">
        <f>(VLOOKUP('9.0.10'!W89,'9.0.10'!$AM$4:$AP$55,4,FALSE))</f>
        <v>0</v>
      </c>
      <c r="P89" s="4">
        <f>(VLOOKUP('9.0.10'!X89,'9.0.10'!$AM$4:$AP$55,4,FALSE))</f>
        <v>0</v>
      </c>
      <c r="Q89" s="4">
        <f>(VLOOKUP('9.0.10'!Y89,'9.0.10'!$AM$4:$AP$55,4,FALSE))</f>
        <v>34</v>
      </c>
      <c r="R89" s="4">
        <f>(VLOOKUP('9.0.10'!Z89,'9.0.10'!$AM$4:$AP$55,4,FALSE))</f>
        <v>34</v>
      </c>
      <c r="S89" s="4">
        <f>(VLOOKUP('9.0.10'!AA89,'9.0.10'!$AM$4:$AP$55,4,FALSE))</f>
        <v>34</v>
      </c>
      <c r="T89" s="4">
        <f>(VLOOKUP('9.0.10'!AB89,'9.0.10'!$AM$4:$AP$55,4,FALSE))</f>
        <v>34</v>
      </c>
      <c r="U89" s="4">
        <f>(VLOOKUP('9.0.10'!AC89,'9.0.10'!$AM$4:$AP$55,4,FALSE))</f>
        <v>34</v>
      </c>
      <c r="V89" s="4">
        <f>(VLOOKUP('9.0.10'!AD89,'9.0.10'!$AM$4:$AP$55,4,FALSE))</f>
        <v>34</v>
      </c>
      <c r="W89" s="4">
        <f>(VLOOKUP('9.0.10'!AE89,'9.0.10'!$AM$4:$AP$55,4,FALSE))</f>
        <v>0</v>
      </c>
      <c r="X89" s="4">
        <f>(VLOOKUP('9.0.10'!AF89,'9.0.10'!$AM$4:$AP$55,4,FALSE))</f>
        <v>0</v>
      </c>
    </row>
    <row r="90" spans="1:24">
      <c r="A90" s="4">
        <f>(VLOOKUP('9.0.10'!I90,'9.0.10'!$AM$4:$AP$55,4,FALSE))</f>
        <v>0</v>
      </c>
      <c r="B90" s="4">
        <f>(VLOOKUP('9.0.10'!J90,'9.0.10'!$AM$4:$AP$55,4,FALSE))</f>
        <v>0</v>
      </c>
      <c r="C90" s="4">
        <f>(VLOOKUP('9.0.10'!K90,'9.0.10'!$AM$4:$AP$55,4,FALSE))</f>
        <v>0</v>
      </c>
      <c r="D90" s="4">
        <f>(VLOOKUP('9.0.10'!L90,'9.0.10'!$AM$4:$AP$55,4,FALSE))</f>
        <v>0</v>
      </c>
      <c r="E90" s="4">
        <f>(VLOOKUP('9.0.10'!M90,'9.0.10'!$AM$4:$AP$55,4,FALSE))</f>
        <v>0</v>
      </c>
      <c r="F90" s="4">
        <f>(VLOOKUP('9.0.10'!N90,'9.0.10'!$AM$4:$AP$55,4,FALSE))</f>
        <v>0</v>
      </c>
      <c r="G90" s="4">
        <f>(VLOOKUP('9.0.10'!O90,'9.0.10'!$AM$4:$AP$55,4,FALSE))</f>
        <v>0</v>
      </c>
      <c r="H90" s="4">
        <f>(VLOOKUP('9.0.10'!P90,'9.0.10'!$AM$4:$AP$55,4,FALSE))</f>
        <v>0</v>
      </c>
      <c r="I90" s="4">
        <f>(VLOOKUP('9.0.10'!Q90,'9.0.10'!$AM$4:$AP$55,4,FALSE))</f>
        <v>38</v>
      </c>
      <c r="J90" s="4">
        <f>(VLOOKUP('9.0.10'!R90,'9.0.10'!$AM$4:$AP$55,4,FALSE))</f>
        <v>38</v>
      </c>
      <c r="K90" s="4">
        <f>(VLOOKUP('9.0.10'!S90,'9.0.10'!$AM$4:$AP$55,4,FALSE))</f>
        <v>38</v>
      </c>
      <c r="L90" s="4">
        <f>(VLOOKUP('9.0.10'!T90,'9.0.10'!$AM$4:$AP$55,4,FALSE))</f>
        <v>38</v>
      </c>
      <c r="M90" s="4">
        <f>(VLOOKUP('9.0.10'!U90,'9.0.10'!$AM$4:$AP$55,4,FALSE))</f>
        <v>38</v>
      </c>
      <c r="N90" s="4">
        <f>(VLOOKUP('9.0.10'!V90,'9.0.10'!$AM$4:$AP$55,4,FALSE))</f>
        <v>0</v>
      </c>
      <c r="O90" s="4">
        <f>(VLOOKUP('9.0.10'!W90,'9.0.10'!$AM$4:$AP$55,4,FALSE))</f>
        <v>0</v>
      </c>
      <c r="P90" s="4">
        <f>(VLOOKUP('9.0.10'!X90,'9.0.10'!$AM$4:$AP$55,4,FALSE))</f>
        <v>0</v>
      </c>
      <c r="Q90" s="4">
        <f>(VLOOKUP('9.0.10'!Y90,'9.0.10'!$AM$4:$AP$55,4,FALSE))</f>
        <v>34</v>
      </c>
      <c r="R90" s="4">
        <f>(VLOOKUP('9.0.10'!Z90,'9.0.10'!$AM$4:$AP$55,4,FALSE))</f>
        <v>34</v>
      </c>
      <c r="S90" s="4">
        <f>(VLOOKUP('9.0.10'!AA90,'9.0.10'!$AM$4:$AP$55,4,FALSE))</f>
        <v>34</v>
      </c>
      <c r="T90" s="4">
        <f>(VLOOKUP('9.0.10'!AB90,'9.0.10'!$AM$4:$AP$55,4,FALSE))</f>
        <v>34</v>
      </c>
      <c r="U90" s="4">
        <f>(VLOOKUP('9.0.10'!AC90,'9.0.10'!$AM$4:$AP$55,4,FALSE))</f>
        <v>34</v>
      </c>
      <c r="V90" s="4">
        <f>(VLOOKUP('9.0.10'!AD90,'9.0.10'!$AM$4:$AP$55,4,FALSE))</f>
        <v>34</v>
      </c>
      <c r="W90" s="4">
        <f>(VLOOKUP('9.0.10'!AE90,'9.0.10'!$AM$4:$AP$55,4,FALSE))</f>
        <v>0</v>
      </c>
      <c r="X90" s="4">
        <f>(VLOOKUP('9.0.10'!AF90,'9.0.10'!$AM$4:$AP$55,4,FALSE))</f>
        <v>0</v>
      </c>
    </row>
    <row r="91" spans="1:24">
      <c r="A91" s="4">
        <f>(VLOOKUP('9.0.10'!I91,'9.0.10'!$AM$4:$AP$55,4,FALSE))</f>
        <v>0</v>
      </c>
      <c r="B91" s="4">
        <f>(VLOOKUP('9.0.10'!J91,'9.0.10'!$AM$4:$AP$55,4,FALSE))</f>
        <v>0</v>
      </c>
      <c r="C91" s="4">
        <f>(VLOOKUP('9.0.10'!K91,'9.0.10'!$AM$4:$AP$55,4,FALSE))</f>
        <v>0</v>
      </c>
      <c r="D91" s="4">
        <f>(VLOOKUP('9.0.10'!L91,'9.0.10'!$AM$4:$AP$55,4,FALSE))</f>
        <v>0</v>
      </c>
      <c r="E91" s="4">
        <f>(VLOOKUP('9.0.10'!M91,'9.0.10'!$AM$4:$AP$55,4,FALSE))</f>
        <v>0</v>
      </c>
      <c r="F91" s="4">
        <f>(VLOOKUP('9.0.10'!N91,'9.0.10'!$AM$4:$AP$55,4,FALSE))</f>
        <v>0</v>
      </c>
      <c r="G91" s="4">
        <f>(VLOOKUP('9.0.10'!O91,'9.0.10'!$AM$4:$AP$55,4,FALSE))</f>
        <v>0</v>
      </c>
      <c r="H91" s="4">
        <f>(VLOOKUP('9.0.10'!P91,'9.0.10'!$AM$4:$AP$55,4,FALSE))</f>
        <v>0</v>
      </c>
      <c r="I91" s="4">
        <f>(VLOOKUP('9.0.10'!Q91,'9.0.10'!$AM$4:$AP$55,4,FALSE))</f>
        <v>38</v>
      </c>
      <c r="J91" s="4">
        <f>(VLOOKUP('9.0.10'!R91,'9.0.10'!$AM$4:$AP$55,4,FALSE))</f>
        <v>38</v>
      </c>
      <c r="K91" s="4">
        <f>(VLOOKUP('9.0.10'!S91,'9.0.10'!$AM$4:$AP$55,4,FALSE))</f>
        <v>38</v>
      </c>
      <c r="L91" s="4">
        <f>(VLOOKUP('9.0.10'!T91,'9.0.10'!$AM$4:$AP$55,4,FALSE))</f>
        <v>38</v>
      </c>
      <c r="M91" s="4">
        <f>(VLOOKUP('9.0.10'!U91,'9.0.10'!$AM$4:$AP$55,4,FALSE))</f>
        <v>38</v>
      </c>
      <c r="N91" s="4">
        <f>(VLOOKUP('9.0.10'!V91,'9.0.10'!$AM$4:$AP$55,4,FALSE))</f>
        <v>38</v>
      </c>
      <c r="O91" s="4">
        <f>(VLOOKUP('9.0.10'!W91,'9.0.10'!$AM$4:$AP$55,4,FALSE))</f>
        <v>0</v>
      </c>
      <c r="P91" s="4">
        <f>(VLOOKUP('9.0.10'!X91,'9.0.10'!$AM$4:$AP$55,4,FALSE))</f>
        <v>0</v>
      </c>
      <c r="Q91" s="4">
        <f>(VLOOKUP('9.0.10'!Y91,'9.0.10'!$AM$4:$AP$55,4,FALSE))</f>
        <v>34</v>
      </c>
      <c r="R91" s="4">
        <f>(VLOOKUP('9.0.10'!Z91,'9.0.10'!$AM$4:$AP$55,4,FALSE))</f>
        <v>36</v>
      </c>
      <c r="S91" s="4">
        <f>(VLOOKUP('9.0.10'!AA91,'9.0.10'!$AM$4:$AP$55,4,FALSE))</f>
        <v>36</v>
      </c>
      <c r="T91" s="4">
        <f>(VLOOKUP('9.0.10'!AB91,'9.0.10'!$AM$4:$AP$55,4,FALSE))</f>
        <v>36</v>
      </c>
      <c r="U91" s="4">
        <f>(VLOOKUP('9.0.10'!AC91,'9.0.10'!$AM$4:$AP$55,4,FALSE))</f>
        <v>36</v>
      </c>
      <c r="V91" s="4">
        <f>(VLOOKUP('9.0.10'!AD91,'9.0.10'!$AM$4:$AP$55,4,FALSE))</f>
        <v>34</v>
      </c>
      <c r="W91" s="4">
        <f>(VLOOKUP('9.0.10'!AE91,'9.0.10'!$AM$4:$AP$55,4,FALSE))</f>
        <v>0</v>
      </c>
      <c r="X91" s="4">
        <f>(VLOOKUP('9.0.10'!AF91,'9.0.10'!$AM$4:$AP$55,4,FALSE))</f>
        <v>0</v>
      </c>
    </row>
    <row r="92" spans="1:24">
      <c r="A92" s="4">
        <f>(VLOOKUP('9.0.10'!I92,'9.0.10'!$AM$4:$AP$55,4,FALSE))</f>
        <v>0</v>
      </c>
      <c r="B92" s="4">
        <f>(VLOOKUP('9.0.10'!J92,'9.0.10'!$AM$4:$AP$55,4,FALSE))</f>
        <v>0</v>
      </c>
      <c r="C92" s="4">
        <f>(VLOOKUP('9.0.10'!K92,'9.0.10'!$AM$4:$AP$55,4,FALSE))</f>
        <v>0</v>
      </c>
      <c r="D92" s="4">
        <f>(VLOOKUP('9.0.10'!L92,'9.0.10'!$AM$4:$AP$55,4,FALSE))</f>
        <v>0</v>
      </c>
      <c r="E92" s="4">
        <f>(VLOOKUP('9.0.10'!M92,'9.0.10'!$AM$4:$AP$55,4,FALSE))</f>
        <v>0</v>
      </c>
      <c r="F92" s="4">
        <f>(VLOOKUP('9.0.10'!N92,'9.0.10'!$AM$4:$AP$55,4,FALSE))</f>
        <v>0</v>
      </c>
      <c r="G92" s="4">
        <f>(VLOOKUP('9.0.10'!O92,'9.0.10'!$AM$4:$AP$55,4,FALSE))</f>
        <v>0</v>
      </c>
      <c r="H92" s="4">
        <f>(VLOOKUP('9.0.10'!P92,'9.0.10'!$AM$4:$AP$55,4,FALSE))</f>
        <v>0</v>
      </c>
      <c r="I92" s="4">
        <f>(VLOOKUP('9.0.10'!Q92,'9.0.10'!$AM$4:$AP$55,4,FALSE))</f>
        <v>38</v>
      </c>
      <c r="J92" s="4">
        <f>(VLOOKUP('9.0.10'!R92,'9.0.10'!$AM$4:$AP$55,4,FALSE))</f>
        <v>38</v>
      </c>
      <c r="K92" s="4">
        <f>(VLOOKUP('9.0.10'!S92,'9.0.10'!$AM$4:$AP$55,4,FALSE))</f>
        <v>38</v>
      </c>
      <c r="L92" s="4">
        <f>(VLOOKUP('9.0.10'!T92,'9.0.10'!$AM$4:$AP$55,4,FALSE))</f>
        <v>38</v>
      </c>
      <c r="M92" s="4">
        <f>(VLOOKUP('9.0.10'!U92,'9.0.10'!$AM$4:$AP$55,4,FALSE))</f>
        <v>36</v>
      </c>
      <c r="N92" s="4">
        <f>(VLOOKUP('9.0.10'!V92,'9.0.10'!$AM$4:$AP$55,4,FALSE))</f>
        <v>0</v>
      </c>
      <c r="O92" s="4">
        <f>(VLOOKUP('9.0.10'!W92,'9.0.10'!$AM$4:$AP$55,4,FALSE))</f>
        <v>0</v>
      </c>
      <c r="P92" s="4">
        <f>(VLOOKUP('9.0.10'!X92,'9.0.10'!$AM$4:$AP$55,4,FALSE))</f>
        <v>0</v>
      </c>
      <c r="Q92" s="4">
        <f>(VLOOKUP('9.0.10'!Y92,'9.0.10'!$AM$4:$AP$55,4,FALSE))</f>
        <v>34</v>
      </c>
      <c r="R92" s="4">
        <f>(VLOOKUP('9.0.10'!Z92,'9.0.10'!$AM$4:$AP$55,4,FALSE))</f>
        <v>34</v>
      </c>
      <c r="S92" s="4">
        <f>(VLOOKUP('9.0.10'!AA92,'9.0.10'!$AM$4:$AP$55,4,FALSE))</f>
        <v>34</v>
      </c>
      <c r="T92" s="4">
        <f>(VLOOKUP('9.0.10'!AB92,'9.0.10'!$AM$4:$AP$55,4,FALSE))</f>
        <v>34</v>
      </c>
      <c r="U92" s="4">
        <f>(VLOOKUP('9.0.10'!AC92,'9.0.10'!$AM$4:$AP$55,4,FALSE))</f>
        <v>34</v>
      </c>
      <c r="V92" s="4">
        <f>(VLOOKUP('9.0.10'!AD92,'9.0.10'!$AM$4:$AP$55,4,FALSE))</f>
        <v>34</v>
      </c>
      <c r="W92" s="4">
        <f>(VLOOKUP('9.0.10'!AE92,'9.0.10'!$AM$4:$AP$55,4,FALSE))</f>
        <v>0</v>
      </c>
      <c r="X92" s="4">
        <f>(VLOOKUP('9.0.10'!AF92,'9.0.10'!$AM$4:$AP$55,4,FALSE))</f>
        <v>0</v>
      </c>
    </row>
    <row r="93" spans="1:24">
      <c r="A93" s="4">
        <f>(VLOOKUP('9.0.10'!I93,'9.0.10'!$AM$4:$AP$55,4,FALSE))</f>
        <v>44.222109392472248</v>
      </c>
      <c r="B93" s="4">
        <f>(VLOOKUP('9.0.10'!J93,'9.0.10'!$AM$4:$AP$55,4,FALSE))</f>
        <v>10</v>
      </c>
      <c r="C93" s="4">
        <f>(VLOOKUP('9.0.10'!K93,'9.0.10'!$AM$4:$AP$55,4,FALSE))</f>
        <v>0</v>
      </c>
      <c r="D93" s="4">
        <f>(VLOOKUP('9.0.10'!L93,'9.0.10'!$AM$4:$AP$55,4,FALSE))</f>
        <v>0</v>
      </c>
      <c r="E93" s="4">
        <f>(VLOOKUP('9.0.10'!M93,'9.0.10'!$AM$4:$AP$55,4,FALSE))</f>
        <v>0</v>
      </c>
      <c r="F93" s="4">
        <f>(VLOOKUP('9.0.10'!N93,'9.0.10'!$AM$4:$AP$55,4,FALSE))</f>
        <v>0</v>
      </c>
      <c r="G93" s="4">
        <f>(VLOOKUP('9.0.10'!O93,'9.0.10'!$AM$4:$AP$55,4,FALSE))</f>
        <v>0</v>
      </c>
      <c r="H93" s="4">
        <f>(VLOOKUP('9.0.10'!P93,'9.0.10'!$AM$4:$AP$55,4,FALSE))</f>
        <v>0</v>
      </c>
      <c r="I93" s="4">
        <f>(VLOOKUP('9.0.10'!Q93,'9.0.10'!$AM$4:$AP$55,4,FALSE))</f>
        <v>36</v>
      </c>
      <c r="J93" s="4">
        <f>(VLOOKUP('9.0.10'!R93,'9.0.10'!$AM$4:$AP$55,4,FALSE))</f>
        <v>36</v>
      </c>
      <c r="K93" s="4">
        <f>(VLOOKUP('9.0.10'!S93,'9.0.10'!$AM$4:$AP$55,4,FALSE))</f>
        <v>36</v>
      </c>
      <c r="L93" s="4">
        <f>(VLOOKUP('9.0.10'!T93,'9.0.10'!$AM$4:$AP$55,4,FALSE))</f>
        <v>36</v>
      </c>
      <c r="M93" s="4">
        <f>(VLOOKUP('9.0.10'!U93,'9.0.10'!$AM$4:$AP$55,4,FALSE))</f>
        <v>36</v>
      </c>
      <c r="N93" s="4">
        <f>(VLOOKUP('9.0.10'!V93,'9.0.10'!$AM$4:$AP$55,4,FALSE))</f>
        <v>0</v>
      </c>
      <c r="O93" s="4">
        <f>(VLOOKUP('9.0.10'!W93,'9.0.10'!$AM$4:$AP$55,4,FALSE))</f>
        <v>0</v>
      </c>
      <c r="P93" s="4">
        <f>(VLOOKUP('9.0.10'!X93,'9.0.10'!$AM$4:$AP$55,4,FALSE))</f>
        <v>0</v>
      </c>
      <c r="Q93" s="4">
        <f>(VLOOKUP('9.0.10'!Y93,'9.0.10'!$AM$4:$AP$55,4,FALSE))</f>
        <v>34</v>
      </c>
      <c r="R93" s="4">
        <f>(VLOOKUP('9.0.10'!Z93,'9.0.10'!$AM$4:$AP$55,4,FALSE))</f>
        <v>34</v>
      </c>
      <c r="S93" s="4">
        <f>(VLOOKUP('9.0.10'!AA93,'9.0.10'!$AM$4:$AP$55,4,FALSE))</f>
        <v>10</v>
      </c>
      <c r="T93" s="4">
        <f>(VLOOKUP('9.0.10'!AB93,'9.0.10'!$AM$4:$AP$55,4,FALSE))</f>
        <v>34</v>
      </c>
      <c r="U93" s="4">
        <f>(VLOOKUP('9.0.10'!AC93,'9.0.10'!$AM$4:$AP$55,4,FALSE))</f>
        <v>34</v>
      </c>
      <c r="V93" s="4">
        <f>(VLOOKUP('9.0.10'!AD93,'9.0.10'!$AM$4:$AP$55,4,FALSE))</f>
        <v>34</v>
      </c>
      <c r="W93" s="4">
        <f>(VLOOKUP('9.0.10'!AE93,'9.0.10'!$AM$4:$AP$55,4,FALSE))</f>
        <v>0</v>
      </c>
      <c r="X93" s="4">
        <f>(VLOOKUP('9.0.10'!AF93,'9.0.10'!$AM$4:$AP$55,4,FALSE))</f>
        <v>0</v>
      </c>
    </row>
    <row r="94" spans="1:24">
      <c r="A94" s="4">
        <f>(VLOOKUP('9.0.10'!I94,'9.0.10'!$AM$4:$AP$55,4,FALSE))</f>
        <v>44.222109392472248</v>
      </c>
      <c r="B94" s="4">
        <f>(VLOOKUP('9.0.10'!J94,'9.0.10'!$AM$4:$AP$55,4,FALSE))</f>
        <v>44.222109392472248</v>
      </c>
      <c r="C94" s="4">
        <f>(VLOOKUP('9.0.10'!K94,'9.0.10'!$AM$4:$AP$55,4,FALSE))</f>
        <v>44.222109392472248</v>
      </c>
      <c r="D94" s="4">
        <f>(VLOOKUP('9.0.10'!L94,'9.0.10'!$AM$4:$AP$55,4,FALSE))</f>
        <v>10</v>
      </c>
      <c r="E94" s="4">
        <f>(VLOOKUP('9.0.10'!M94,'9.0.10'!$AM$4:$AP$55,4,FALSE))</f>
        <v>0</v>
      </c>
      <c r="F94" s="4">
        <f>(VLOOKUP('9.0.10'!N94,'9.0.10'!$AM$4:$AP$55,4,FALSE))</f>
        <v>0</v>
      </c>
      <c r="G94" s="4">
        <f>(VLOOKUP('9.0.10'!O94,'9.0.10'!$AM$4:$AP$55,4,FALSE))</f>
        <v>0</v>
      </c>
      <c r="H94" s="4">
        <f>(VLOOKUP('9.0.10'!P94,'9.0.10'!$AM$4:$AP$55,4,FALSE))</f>
        <v>0</v>
      </c>
      <c r="I94" s="4">
        <f>(VLOOKUP('9.0.10'!Q94,'9.0.10'!$AM$4:$AP$55,4,FALSE))</f>
        <v>36</v>
      </c>
      <c r="J94" s="4">
        <f>(VLOOKUP('9.0.10'!R94,'9.0.10'!$AM$4:$AP$55,4,FALSE))</f>
        <v>36</v>
      </c>
      <c r="K94" s="4">
        <f>(VLOOKUP('9.0.10'!S94,'9.0.10'!$AM$4:$AP$55,4,FALSE))</f>
        <v>36</v>
      </c>
      <c r="L94" s="4">
        <f>(VLOOKUP('9.0.10'!T94,'9.0.10'!$AM$4:$AP$55,4,FALSE))</f>
        <v>36</v>
      </c>
      <c r="M94" s="4">
        <f>(VLOOKUP('9.0.10'!U94,'9.0.10'!$AM$4:$AP$55,4,FALSE))</f>
        <v>36</v>
      </c>
      <c r="N94" s="4">
        <f>(VLOOKUP('9.0.10'!V94,'9.0.10'!$AM$4:$AP$55,4,FALSE))</f>
        <v>0</v>
      </c>
      <c r="O94" s="4">
        <f>(VLOOKUP('9.0.10'!W94,'9.0.10'!$AM$4:$AP$55,4,FALSE))</f>
        <v>0</v>
      </c>
      <c r="P94" s="4">
        <f>(VLOOKUP('9.0.10'!X94,'9.0.10'!$AM$4:$AP$55,4,FALSE))</f>
        <v>0</v>
      </c>
      <c r="Q94" s="4">
        <f>(VLOOKUP('9.0.10'!Y94,'9.0.10'!$AM$4:$AP$55,4,FALSE))</f>
        <v>34</v>
      </c>
      <c r="R94" s="4">
        <f>(VLOOKUP('9.0.10'!Z94,'9.0.10'!$AM$4:$AP$55,4,FALSE))</f>
        <v>39.110982162825422</v>
      </c>
      <c r="S94" s="4">
        <f>(VLOOKUP('9.0.10'!AA94,'9.0.10'!$AM$4:$AP$55,4,FALSE))</f>
        <v>39.110982162825422</v>
      </c>
      <c r="T94" s="4">
        <f>(VLOOKUP('9.0.10'!AB94,'9.0.10'!$AM$4:$AP$55,4,FALSE))</f>
        <v>39.110982162825422</v>
      </c>
      <c r="U94" s="4">
        <f>(VLOOKUP('9.0.10'!AC94,'9.0.10'!$AM$4:$AP$55,4,FALSE))</f>
        <v>10</v>
      </c>
      <c r="V94" s="4">
        <f>(VLOOKUP('9.0.10'!AD94,'9.0.10'!$AM$4:$AP$55,4,FALSE))</f>
        <v>0</v>
      </c>
      <c r="W94" s="4">
        <f>(VLOOKUP('9.0.10'!AE94,'9.0.10'!$AM$4:$AP$55,4,FALSE))</f>
        <v>0</v>
      </c>
      <c r="X94" s="4">
        <f>(VLOOKUP('9.0.10'!AF94,'9.0.10'!$AM$4:$AP$55,4,FALSE))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9.0.10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2022-09-20T02:25:31Z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