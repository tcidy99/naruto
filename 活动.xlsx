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000FF984-3CCE-4C9C-9324-B0570E3AB3BE}" xr6:coauthVersionLast="47" xr6:coauthVersionMax="47" xr10:uidLastSave="{00000000-0000-0000-0000-000000000000}"/>
  <bookViews>
    <workbookView xWindow="-120" yWindow="-120" windowWidth="29040" windowHeight="15720" activeTab="1" xr2:uid="{51507312-4AE5-4120-B4F4-6AD052DE7D6B}"/>
  </bookViews>
  <sheets>
    <sheet name="Sheet1" sheetId="1" r:id="rId1"/>
    <sheet name="远征" sheetId="4" r:id="rId2"/>
    <sheet name="暗部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1" l="1"/>
  <c r="G39" i="1"/>
  <c r="H39" i="1" s="1"/>
  <c r="I39" i="1" s="1"/>
  <c r="J39" i="1" s="1"/>
  <c r="F39" i="1"/>
  <c r="E39" i="1"/>
  <c r="C39" i="1"/>
  <c r="G10" i="3"/>
  <c r="G32" i="1"/>
  <c r="H32" i="1" s="1"/>
  <c r="I32" i="1" s="1"/>
  <c r="J32" i="1" s="1"/>
  <c r="J35" i="1"/>
  <c r="H35" i="1"/>
  <c r="I35" i="1"/>
  <c r="G35" i="1"/>
  <c r="G33" i="1"/>
  <c r="B35" i="1"/>
  <c r="G31" i="1" l="1"/>
  <c r="H31" i="1"/>
  <c r="I31" i="1" s="1"/>
  <c r="J31" i="1" s="1"/>
  <c r="F31" i="1"/>
  <c r="E31" i="1"/>
  <c r="B31" i="1"/>
  <c r="E33" i="1"/>
  <c r="F33" i="1" s="1"/>
  <c r="H33" i="1" s="1"/>
  <c r="I33" i="1" s="1"/>
  <c r="J33" i="1" s="1"/>
  <c r="B33" i="1"/>
  <c r="B30" i="1"/>
  <c r="G25" i="1" l="1"/>
  <c r="E17" i="1"/>
  <c r="C24" i="1"/>
  <c r="F17" i="1"/>
  <c r="G17" i="1" s="1"/>
  <c r="H17" i="1" s="1"/>
  <c r="I17" i="1" s="1"/>
  <c r="J17" i="1" s="1"/>
  <c r="F18" i="1" l="1"/>
  <c r="G18" i="1" s="1"/>
  <c r="H18" i="1" s="1"/>
  <c r="I18" i="1" s="1"/>
  <c r="J18" i="1" s="1"/>
  <c r="E18" i="1"/>
  <c r="B18" i="1" l="1"/>
  <c r="B19" i="1"/>
  <c r="B15" i="1"/>
  <c r="G4" i="1"/>
  <c r="B4" i="1"/>
  <c r="C5" i="3"/>
  <c r="C8" i="3" s="1"/>
  <c r="D5" i="3"/>
  <c r="D8" i="3" s="1"/>
  <c r="E5" i="3"/>
  <c r="E8" i="3" s="1"/>
  <c r="F5" i="3"/>
  <c r="F8" i="3" s="1"/>
  <c r="G5" i="3"/>
  <c r="G8" i="3" s="1"/>
  <c r="H5" i="3"/>
  <c r="H8" i="3" s="1"/>
  <c r="I5" i="3"/>
  <c r="I8" i="3" s="1"/>
  <c r="J5" i="3"/>
  <c r="J8" i="3" s="1"/>
  <c r="K5" i="3"/>
  <c r="K8" i="3" s="1"/>
  <c r="B5" i="3"/>
  <c r="B8" i="3" s="1"/>
  <c r="F6" i="2"/>
  <c r="F5" i="2"/>
  <c r="F4" i="2"/>
  <c r="F3" i="2"/>
  <c r="F2" i="2"/>
  <c r="G6" i="1" l="1"/>
  <c r="H6" i="1" s="1"/>
  <c r="I6" i="1" s="1"/>
  <c r="H4" i="1"/>
  <c r="I4" i="1" s="1"/>
  <c r="I12" i="1" s="1"/>
  <c r="B6" i="1"/>
  <c r="N6" i="1"/>
  <c r="M6" i="1"/>
  <c r="I16" i="1" l="1"/>
  <c r="J16" i="1" s="1"/>
  <c r="G16" i="1"/>
  <c r="E16" i="1"/>
</calcChain>
</file>

<file path=xl/sharedStrings.xml><?xml version="1.0" encoding="utf-8"?>
<sst xmlns="http://schemas.openxmlformats.org/spreadsheetml/2006/main" count="88" uniqueCount="54">
  <si>
    <t>无式</t>
  </si>
  <si>
    <t>青衫</t>
  </si>
  <si>
    <t>音</t>
  </si>
  <si>
    <t>damage</t>
  </si>
  <si>
    <t>胖</t>
  </si>
  <si>
    <t>风</t>
  </si>
  <si>
    <t>败家</t>
  </si>
  <si>
    <t>斑</t>
  </si>
  <si>
    <t>冠军</t>
  </si>
  <si>
    <t>亚军</t>
  </si>
  <si>
    <t>4强</t>
  </si>
  <si>
    <t>5-8名</t>
  </si>
  <si>
    <t>9-16名</t>
  </si>
  <si>
    <t>成绩</t>
  </si>
  <si>
    <t>次数</t>
  </si>
  <si>
    <t>甲</t>
  </si>
  <si>
    <t>乙</t>
  </si>
  <si>
    <t>丙</t>
  </si>
  <si>
    <t>丁</t>
  </si>
  <si>
    <t>戊</t>
  </si>
  <si>
    <t>己</t>
  </si>
  <si>
    <t>庚</t>
  </si>
  <si>
    <t>辛</t>
  </si>
  <si>
    <t>壬</t>
  </si>
  <si>
    <t>现有</t>
  </si>
  <si>
    <t>等级</t>
  </si>
  <si>
    <t>限购</t>
  </si>
  <si>
    <t>价格</t>
  </si>
  <si>
    <t>欠</t>
  </si>
  <si>
    <t>癸</t>
  </si>
  <si>
    <t>升级需要</t>
  </si>
  <si>
    <t>1阶段</t>
  </si>
  <si>
    <t>3阶段</t>
  </si>
  <si>
    <t>day 2</t>
  </si>
  <si>
    <t>day 3</t>
  </si>
  <si>
    <t>day 4</t>
  </si>
  <si>
    <t>day 5</t>
  </si>
  <si>
    <t>day 6</t>
  </si>
  <si>
    <t>day 7</t>
  </si>
  <si>
    <t>day1</t>
  </si>
  <si>
    <t>x</t>
  </si>
  <si>
    <t>y</t>
  </si>
  <si>
    <t>buff</t>
  </si>
  <si>
    <t>迅疾</t>
  </si>
  <si>
    <t>兵粮</t>
  </si>
  <si>
    <t>粮草</t>
  </si>
  <si>
    <t>战勋</t>
  </si>
  <si>
    <t>积分</t>
  </si>
  <si>
    <t>行动</t>
  </si>
  <si>
    <t>说明</t>
  </si>
  <si>
    <t>5次行动不消耗次数</t>
  </si>
  <si>
    <t>8次行动消耗60%粮草</t>
  </si>
  <si>
    <t>10次行动1.5倍积分</t>
  </si>
  <si>
    <t>瞭望塔坐标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</si>
</sst>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F5EB-0827-477E-B150-47722966CBDD}">
  <dimension ref="A1:N42"/>
  <sheetViews>
    <sheetView topLeftCell="A12" workbookViewId="0">
      <selection activeCell="B38" sqref="B38"/>
    </sheetView>
  </sheetViews>
  <sheetFormatPr defaultRowHeight="15" x14ac:dyDescent="0.25"/>
  <cols>
    <col min="2" max="2" width="11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1" bestFit="1" customWidth="1"/>
    <col min="7" max="7" width="13.7109375" customWidth="1"/>
    <col min="8" max="8" width="11" bestFit="1" customWidth="1"/>
    <col min="9" max="9" width="12" bestFit="1" customWidth="1"/>
    <col min="10" max="10" width="19.28515625" customWidth="1"/>
    <col min="11" max="11" width="10" bestFit="1" customWidth="1"/>
    <col min="12" max="12" width="15.5703125" customWidth="1"/>
    <col min="13" max="13" width="18.5703125" customWidth="1"/>
    <col min="14" max="14" width="24" customWidth="1"/>
  </cols>
  <sheetData>
    <row r="1" spans="1:14" x14ac:dyDescent="0.25">
      <c r="B1" t="s">
        <v>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14" x14ac:dyDescent="0.25">
      <c r="A2" t="s">
        <v>0</v>
      </c>
    </row>
    <row r="3" spans="1:14" x14ac:dyDescent="0.25">
      <c r="A3" t="s">
        <v>1</v>
      </c>
    </row>
    <row r="4" spans="1:14" x14ac:dyDescent="0.25">
      <c r="A4" t="s">
        <v>2</v>
      </c>
      <c r="B4">
        <f>(F4-E4)/2</f>
        <v>179790305</v>
      </c>
      <c r="C4">
        <v>265094601</v>
      </c>
      <c r="D4">
        <v>588448469</v>
      </c>
      <c r="E4">
        <v>901516246</v>
      </c>
      <c r="F4">
        <v>1261096856</v>
      </c>
      <c r="G4">
        <f>F4+$B$4*2</f>
        <v>1620677466</v>
      </c>
      <c r="H4">
        <f>G4+$B$4*2</f>
        <v>1980258076</v>
      </c>
      <c r="I4">
        <f>H4+$B$4*2</f>
        <v>2339838686</v>
      </c>
    </row>
    <row r="5" spans="1:14" x14ac:dyDescent="0.25">
      <c r="A5" t="s">
        <v>4</v>
      </c>
      <c r="M5">
        <v>164436816</v>
      </c>
    </row>
    <row r="6" spans="1:14" x14ac:dyDescent="0.25">
      <c r="A6" t="s">
        <v>5</v>
      </c>
      <c r="B6">
        <f>(F6-E6)/2</f>
        <v>159893262</v>
      </c>
      <c r="C6">
        <v>271971677</v>
      </c>
      <c r="D6">
        <v>591758201</v>
      </c>
      <c r="E6">
        <v>911544725</v>
      </c>
      <c r="F6">
        <v>1231331249</v>
      </c>
      <c r="G6">
        <f>F6+$B$6*2</f>
        <v>1551117773</v>
      </c>
      <c r="H6">
        <f t="shared" ref="H6:I6" si="0">G6+$B$6*2</f>
        <v>1870904297</v>
      </c>
      <c r="I6">
        <f t="shared" si="0"/>
        <v>2190690821</v>
      </c>
      <c r="L6">
        <v>156177116</v>
      </c>
      <c r="M6">
        <f>(D6-C6)/2</f>
        <v>159893262</v>
      </c>
      <c r="N6">
        <f>D6-C6-L6</f>
        <v>163609408</v>
      </c>
    </row>
    <row r="7" spans="1:14" x14ac:dyDescent="0.25">
      <c r="A7" t="s">
        <v>6</v>
      </c>
    </row>
    <row r="8" spans="1:14" x14ac:dyDescent="0.25">
      <c r="A8" t="s">
        <v>7</v>
      </c>
    </row>
    <row r="12" spans="1:14" x14ac:dyDescent="0.25">
      <c r="I12">
        <f>(I4-F6)/6</f>
        <v>184751239.5</v>
      </c>
    </row>
    <row r="14" spans="1:14" x14ac:dyDescent="0.25">
      <c r="B14" t="s">
        <v>3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</row>
    <row r="15" spans="1:14" x14ac:dyDescent="0.25">
      <c r="A15" t="s">
        <v>0</v>
      </c>
      <c r="B15" s="4">
        <f>D15-C15</f>
        <v>142664303</v>
      </c>
      <c r="C15">
        <v>133309895</v>
      </c>
      <c r="D15">
        <v>275974198</v>
      </c>
    </row>
    <row r="16" spans="1:14" x14ac:dyDescent="0.25">
      <c r="A16" t="s">
        <v>1</v>
      </c>
      <c r="B16" s="4">
        <v>225572221</v>
      </c>
      <c r="C16">
        <v>148952982</v>
      </c>
      <c r="D16">
        <v>331596892</v>
      </c>
      <c r="E16">
        <f>C16+B16*2</f>
        <v>600097424</v>
      </c>
      <c r="F16">
        <v>917695576</v>
      </c>
      <c r="G16">
        <f t="shared" ref="G16:I16" si="1">F16+$B$16*2</f>
        <v>1368840018</v>
      </c>
      <c r="H16">
        <v>1759572474</v>
      </c>
      <c r="I16">
        <f t="shared" si="1"/>
        <v>2210716916</v>
      </c>
      <c r="J16">
        <f>I16+$B$16*2</f>
        <v>2661861358</v>
      </c>
    </row>
    <row r="17" spans="1:10" x14ac:dyDescent="0.25">
      <c r="A17" t="s">
        <v>2</v>
      </c>
      <c r="B17" s="4">
        <v>188157817</v>
      </c>
      <c r="C17">
        <v>138622421</v>
      </c>
      <c r="D17">
        <v>319485064</v>
      </c>
      <c r="E17">
        <f t="shared" ref="E17:J17" si="2">D17+$B$17*2</f>
        <v>695800698</v>
      </c>
      <c r="F17">
        <f t="shared" si="2"/>
        <v>1072116332</v>
      </c>
      <c r="G17">
        <f t="shared" si="2"/>
        <v>1448431966</v>
      </c>
      <c r="H17">
        <f t="shared" si="2"/>
        <v>1824747600</v>
      </c>
      <c r="I17">
        <f t="shared" si="2"/>
        <v>2201063234</v>
      </c>
      <c r="J17">
        <f t="shared" si="2"/>
        <v>2577378868</v>
      </c>
    </row>
    <row r="18" spans="1:10" x14ac:dyDescent="0.25">
      <c r="A18" t="s">
        <v>4</v>
      </c>
      <c r="B18" s="4">
        <f t="shared" ref="B18:B19" si="3">D18-C18</f>
        <v>181871678</v>
      </c>
      <c r="C18">
        <v>140615758</v>
      </c>
      <c r="D18">
        <v>322487436</v>
      </c>
      <c r="E18">
        <f>D18+$B$18*2</f>
        <v>686230792</v>
      </c>
      <c r="F18">
        <f t="shared" ref="F18:J18" si="4">E18+$B$18*2</f>
        <v>1049974148</v>
      </c>
      <c r="G18">
        <f t="shared" si="4"/>
        <v>1413717504</v>
      </c>
      <c r="H18">
        <f t="shared" si="4"/>
        <v>1777460860</v>
      </c>
      <c r="I18">
        <f t="shared" si="4"/>
        <v>2141204216</v>
      </c>
      <c r="J18">
        <f t="shared" si="4"/>
        <v>2504947572</v>
      </c>
    </row>
    <row r="19" spans="1:10" x14ac:dyDescent="0.25">
      <c r="A19" t="s">
        <v>5</v>
      </c>
      <c r="B19" s="4">
        <f t="shared" si="3"/>
        <v>159620459</v>
      </c>
      <c r="C19">
        <v>136642861</v>
      </c>
      <c r="D19">
        <v>296263320</v>
      </c>
    </row>
    <row r="20" spans="1:10" x14ac:dyDescent="0.25">
      <c r="A20" t="s">
        <v>7</v>
      </c>
    </row>
    <row r="24" spans="1:10" x14ac:dyDescent="0.25">
      <c r="C24">
        <f>E17-D17</f>
        <v>376315634</v>
      </c>
    </row>
    <row r="25" spans="1:10" x14ac:dyDescent="0.25">
      <c r="G25">
        <f>(J16-G17)/6</f>
        <v>202238232</v>
      </c>
    </row>
    <row r="29" spans="1:10" x14ac:dyDescent="0.25">
      <c r="B29" t="s">
        <v>3</v>
      </c>
      <c r="C29" t="s">
        <v>31</v>
      </c>
      <c r="D29" t="s">
        <v>39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</row>
    <row r="30" spans="1:10" x14ac:dyDescent="0.25">
      <c r="A30" t="s">
        <v>0</v>
      </c>
      <c r="B30" s="4">
        <f>D30-C30</f>
        <v>275974198</v>
      </c>
      <c r="D30">
        <v>275974198</v>
      </c>
    </row>
    <row r="31" spans="1:10" x14ac:dyDescent="0.25">
      <c r="A31" t="s">
        <v>1</v>
      </c>
      <c r="B31" s="4">
        <f>D31-C31</f>
        <v>226296598</v>
      </c>
      <c r="C31">
        <v>163452393</v>
      </c>
      <c r="D31">
        <v>389748991</v>
      </c>
      <c r="E31">
        <f>D31+B31*2</f>
        <v>842342187</v>
      </c>
      <c r="F31">
        <f>E31+$B$31*2</f>
        <v>1294935383</v>
      </c>
      <c r="G31">
        <f t="shared" ref="G31:J31" si="5">F31+$B$31*2</f>
        <v>1747528579</v>
      </c>
      <c r="H31">
        <f t="shared" si="5"/>
        <v>2200121775</v>
      </c>
      <c r="I31">
        <f t="shared" si="5"/>
        <v>2652714971</v>
      </c>
      <c r="J31">
        <f t="shared" si="5"/>
        <v>3105308167</v>
      </c>
    </row>
    <row r="32" spans="1:10" x14ac:dyDescent="0.25">
      <c r="A32" t="s">
        <v>2</v>
      </c>
      <c r="B32" s="4">
        <v>220143277</v>
      </c>
      <c r="F32">
        <v>1214014893</v>
      </c>
      <c r="G32">
        <f>F32+$B$32*2</f>
        <v>1654301447</v>
      </c>
      <c r="H32">
        <f t="shared" ref="H32:I32" si="6">G32+$B$32*2</f>
        <v>2094588001</v>
      </c>
      <c r="I32">
        <f t="shared" si="6"/>
        <v>2534874555</v>
      </c>
      <c r="J32">
        <f>I32+$B$32*2</f>
        <v>2975161109</v>
      </c>
    </row>
    <row r="33" spans="1:10" x14ac:dyDescent="0.25">
      <c r="A33" t="s">
        <v>4</v>
      </c>
      <c r="B33" s="4">
        <f t="shared" ref="B33" si="7">D33-C33</f>
        <v>322487436</v>
      </c>
      <c r="D33">
        <v>322487436</v>
      </c>
      <c r="E33">
        <f>D33+$B$18*2</f>
        <v>686230792</v>
      </c>
      <c r="F33">
        <f t="shared" ref="F33" si="8">E33+$B$18*2</f>
        <v>1049974148</v>
      </c>
      <c r="G33">
        <f>F33+$B$18*2</f>
        <v>1413717504</v>
      </c>
      <c r="H33">
        <f t="shared" ref="H33" si="9">G33+$B$18*2</f>
        <v>1777460860</v>
      </c>
      <c r="I33">
        <f t="shared" ref="I33" si="10">H33+$B$18*2</f>
        <v>2141204216</v>
      </c>
      <c r="J33">
        <f t="shared" ref="J33" si="11">I33+$B$18*2</f>
        <v>2504947572</v>
      </c>
    </row>
    <row r="34" spans="1:10" x14ac:dyDescent="0.25">
      <c r="A34" t="s">
        <v>5</v>
      </c>
      <c r="B34" s="4"/>
    </row>
    <row r="35" spans="1:10" x14ac:dyDescent="0.25">
      <c r="A35" t="s">
        <v>7</v>
      </c>
      <c r="B35" s="4">
        <f>(F35-E35)/2</f>
        <v>228928729</v>
      </c>
      <c r="E35">
        <v>605859255</v>
      </c>
      <c r="F35">
        <v>1063716713</v>
      </c>
      <c r="G35">
        <f>F35+$B$35*2</f>
        <v>1521574171</v>
      </c>
      <c r="H35">
        <f t="shared" ref="H35:I35" si="12">G35+$B$35*2</f>
        <v>1979431629</v>
      </c>
      <c r="I35">
        <f t="shared" si="12"/>
        <v>2437289087</v>
      </c>
      <c r="J35">
        <f>I35+$B$35*2</f>
        <v>2895146545</v>
      </c>
    </row>
    <row r="37" spans="1:10" x14ac:dyDescent="0.25">
      <c r="A37" t="s">
        <v>0</v>
      </c>
    </row>
    <row r="38" spans="1:10" x14ac:dyDescent="0.25">
      <c r="A38" t="s">
        <v>1</v>
      </c>
      <c r="B38">
        <f>(J39-D38)/12</f>
        <v>354990193.66666669</v>
      </c>
      <c r="C38">
        <v>41532000</v>
      </c>
      <c r="D38">
        <v>174143496</v>
      </c>
    </row>
    <row r="39" spans="1:10" x14ac:dyDescent="0.25">
      <c r="A39" t="s">
        <v>2</v>
      </c>
      <c r="B39">
        <v>325057174</v>
      </c>
      <c r="C39">
        <f>D39-B39</f>
        <v>208282558</v>
      </c>
      <c r="D39">
        <v>533339732</v>
      </c>
      <c r="E39">
        <f>D39+$B$39*2</f>
        <v>1183454080</v>
      </c>
      <c r="F39">
        <f>E39+$B$39*2</f>
        <v>1833568428</v>
      </c>
      <c r="G39">
        <f t="shared" ref="G39:J39" si="13">F39+$B$39*2</f>
        <v>2483682776</v>
      </c>
      <c r="H39">
        <f t="shared" si="13"/>
        <v>3133797124</v>
      </c>
      <c r="I39">
        <f t="shared" si="13"/>
        <v>3783911472</v>
      </c>
      <c r="J39">
        <f t="shared" si="13"/>
        <v>4434025820</v>
      </c>
    </row>
    <row r="40" spans="1:10" x14ac:dyDescent="0.25">
      <c r="A40" t="s">
        <v>4</v>
      </c>
    </row>
    <row r="41" spans="1:10" x14ac:dyDescent="0.25">
      <c r="A41" t="s">
        <v>5</v>
      </c>
    </row>
    <row r="42" spans="1:10" x14ac:dyDescent="0.25">
      <c r="A42" t="s">
        <v>7</v>
      </c>
      <c r="D42">
        <v>458270733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36DA-4F2F-42A6-AB8F-04FF07902155}">
  <dimension ref="A1:H8"/>
  <sheetViews>
    <sheetView tabSelected="1" workbookViewId="0">
      <selection sqref="A1:H8"/>
    </sheetView>
  </sheetViews>
  <sheetFormatPr defaultRowHeight="15" x14ac:dyDescent="0.25"/>
  <cols>
    <col min="8" max="8" width="20.85546875" bestFit="1" customWidth="1"/>
  </cols>
  <sheetData>
    <row r="1" spans="1:8" x14ac:dyDescent="0.25">
      <c r="A1" s="8" t="s">
        <v>53</v>
      </c>
      <c r="B1" s="9"/>
      <c r="C1" s="7"/>
      <c r="D1" s="7"/>
      <c r="E1" s="7"/>
      <c r="F1" s="7"/>
      <c r="G1" s="7"/>
      <c r="H1" s="7"/>
    </row>
    <row r="2" spans="1:8" x14ac:dyDescent="0.25">
      <c r="A2" s="7" t="s">
        <v>40</v>
      </c>
      <c r="B2" s="7" t="s">
        <v>41</v>
      </c>
      <c r="C2" s="7" t="s">
        <v>25</v>
      </c>
      <c r="D2" s="7" t="s">
        <v>42</v>
      </c>
      <c r="E2" s="7" t="s">
        <v>48</v>
      </c>
      <c r="F2" s="7" t="s">
        <v>45</v>
      </c>
      <c r="G2" s="7" t="s">
        <v>47</v>
      </c>
      <c r="H2" s="7" t="s">
        <v>49</v>
      </c>
    </row>
    <row r="3" spans="1:8" x14ac:dyDescent="0.25">
      <c r="A3" s="7">
        <v>12</v>
      </c>
      <c r="B3" s="7">
        <v>22</v>
      </c>
      <c r="C3" s="7">
        <v>1</v>
      </c>
      <c r="D3" s="7" t="s">
        <v>43</v>
      </c>
      <c r="E3" s="7">
        <v>5</v>
      </c>
      <c r="F3" s="7"/>
      <c r="G3" s="7"/>
      <c r="H3" s="7" t="s">
        <v>50</v>
      </c>
    </row>
    <row r="4" spans="1:8" x14ac:dyDescent="0.25">
      <c r="A4" s="7">
        <v>17</v>
      </c>
      <c r="B4" s="7">
        <v>31</v>
      </c>
      <c r="C4" s="7">
        <v>1</v>
      </c>
      <c r="D4" s="7" t="s">
        <v>43</v>
      </c>
      <c r="E4" s="7">
        <v>5</v>
      </c>
      <c r="F4" s="7"/>
      <c r="G4" s="7"/>
      <c r="H4" s="7" t="s">
        <v>50</v>
      </c>
    </row>
    <row r="5" spans="1:8" x14ac:dyDescent="0.25">
      <c r="A5" s="7">
        <v>22</v>
      </c>
      <c r="B5" s="7">
        <v>23</v>
      </c>
      <c r="C5" s="7">
        <v>2</v>
      </c>
      <c r="D5" s="7" t="s">
        <v>44</v>
      </c>
      <c r="E5" s="7">
        <v>8</v>
      </c>
      <c r="F5" s="7">
        <v>0.6</v>
      </c>
      <c r="G5" s="7"/>
      <c r="H5" s="7" t="s">
        <v>51</v>
      </c>
    </row>
    <row r="6" spans="1:8" x14ac:dyDescent="0.25">
      <c r="A6" s="7">
        <v>26</v>
      </c>
      <c r="B6" s="7">
        <v>22</v>
      </c>
      <c r="C6" s="7">
        <v>2</v>
      </c>
      <c r="D6" s="7" t="s">
        <v>44</v>
      </c>
      <c r="E6" s="7">
        <v>8</v>
      </c>
      <c r="F6" s="7">
        <v>0.6</v>
      </c>
      <c r="G6" s="7"/>
      <c r="H6" s="7" t="s">
        <v>51</v>
      </c>
    </row>
    <row r="7" spans="1:8" x14ac:dyDescent="0.25">
      <c r="A7" s="7">
        <v>33</v>
      </c>
      <c r="B7" s="7">
        <v>38</v>
      </c>
      <c r="C7" s="7">
        <v>3</v>
      </c>
      <c r="D7" s="7" t="s">
        <v>46</v>
      </c>
      <c r="E7" s="7">
        <v>10</v>
      </c>
      <c r="F7" s="7"/>
      <c r="G7" s="7">
        <v>1.5</v>
      </c>
      <c r="H7" s="7" t="s">
        <v>52</v>
      </c>
    </row>
    <row r="8" spans="1:8" x14ac:dyDescent="0.25">
      <c r="A8" s="7">
        <v>38</v>
      </c>
      <c r="B8" s="7">
        <v>25</v>
      </c>
      <c r="C8" s="7">
        <v>3</v>
      </c>
      <c r="D8" s="7" t="s">
        <v>46</v>
      </c>
      <c r="E8" s="7">
        <v>10</v>
      </c>
      <c r="F8" s="7"/>
      <c r="G8" s="7">
        <v>1.5</v>
      </c>
      <c r="H8" s="7" t="s">
        <v>52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4199-3D58-4FCD-B0F3-8F904347F6AC}">
  <dimension ref="A1:K10"/>
  <sheetViews>
    <sheetView workbookViewId="0">
      <selection activeCell="J9" sqref="J9"/>
    </sheetView>
  </sheetViews>
  <sheetFormatPr defaultRowHeight="15" x14ac:dyDescent="0.25"/>
  <sheetData>
    <row r="1" spans="1:11" x14ac:dyDescent="0.25">
      <c r="B1" s="3" t="s">
        <v>15</v>
      </c>
      <c r="C1" s="3" t="s">
        <v>16</v>
      </c>
      <c r="D1" s="3" t="s">
        <v>17</v>
      </c>
      <c r="E1" s="3" t="s">
        <v>18</v>
      </c>
      <c r="F1" s="4" t="s">
        <v>21</v>
      </c>
      <c r="G1" s="4" t="s">
        <v>20</v>
      </c>
      <c r="H1" s="5" t="s">
        <v>19</v>
      </c>
      <c r="I1" s="5" t="s">
        <v>22</v>
      </c>
      <c r="J1" s="6" t="s">
        <v>23</v>
      </c>
      <c r="K1" s="6" t="s">
        <v>29</v>
      </c>
    </row>
    <row r="2" spans="1:11" x14ac:dyDescent="0.25">
      <c r="A2" t="s">
        <v>25</v>
      </c>
      <c r="B2">
        <v>11</v>
      </c>
      <c r="C2">
        <v>11</v>
      </c>
      <c r="D2">
        <v>11</v>
      </c>
      <c r="E2">
        <v>11</v>
      </c>
      <c r="F2">
        <v>11</v>
      </c>
      <c r="G2">
        <v>11</v>
      </c>
      <c r="H2">
        <v>11</v>
      </c>
      <c r="I2">
        <v>11</v>
      </c>
      <c r="J2">
        <v>11</v>
      </c>
      <c r="K2">
        <v>11</v>
      </c>
    </row>
    <row r="3" spans="1:11" x14ac:dyDescent="0.25">
      <c r="A3" t="s">
        <v>24</v>
      </c>
      <c r="B3">
        <v>9</v>
      </c>
      <c r="C3">
        <v>9</v>
      </c>
      <c r="D3">
        <v>10</v>
      </c>
      <c r="E3">
        <v>9</v>
      </c>
      <c r="F3">
        <v>11</v>
      </c>
      <c r="G3">
        <v>10</v>
      </c>
      <c r="H3">
        <v>13</v>
      </c>
      <c r="I3">
        <v>13</v>
      </c>
      <c r="J3">
        <v>5</v>
      </c>
      <c r="K3">
        <v>4</v>
      </c>
    </row>
    <row r="4" spans="1:11" x14ac:dyDescent="0.25">
      <c r="A4" t="s">
        <v>30</v>
      </c>
      <c r="B4">
        <v>27</v>
      </c>
      <c r="C4">
        <v>27</v>
      </c>
      <c r="D4">
        <v>27</v>
      </c>
      <c r="E4">
        <v>27</v>
      </c>
      <c r="F4">
        <v>20</v>
      </c>
      <c r="G4">
        <v>20</v>
      </c>
      <c r="H4">
        <v>17</v>
      </c>
      <c r="I4">
        <v>17</v>
      </c>
      <c r="J4">
        <v>8</v>
      </c>
      <c r="K4">
        <v>8</v>
      </c>
    </row>
    <row r="5" spans="1:11" x14ac:dyDescent="0.25">
      <c r="A5" t="s">
        <v>28</v>
      </c>
      <c r="B5">
        <f>B4-B3</f>
        <v>18</v>
      </c>
      <c r="C5">
        <f t="shared" ref="C5:K5" si="0">C4-C3</f>
        <v>18</v>
      </c>
      <c r="D5">
        <f t="shared" si="0"/>
        <v>17</v>
      </c>
      <c r="E5">
        <f t="shared" si="0"/>
        <v>18</v>
      </c>
      <c r="F5">
        <f t="shared" si="0"/>
        <v>9</v>
      </c>
      <c r="G5">
        <f t="shared" si="0"/>
        <v>10</v>
      </c>
      <c r="H5">
        <f t="shared" si="0"/>
        <v>4</v>
      </c>
      <c r="I5">
        <f t="shared" si="0"/>
        <v>4</v>
      </c>
      <c r="J5">
        <f t="shared" si="0"/>
        <v>3</v>
      </c>
      <c r="K5">
        <f t="shared" si="0"/>
        <v>4</v>
      </c>
    </row>
    <row r="6" spans="1:11" x14ac:dyDescent="0.25">
      <c r="A6" t="s">
        <v>26</v>
      </c>
      <c r="B6">
        <v>20</v>
      </c>
      <c r="C6">
        <v>20</v>
      </c>
      <c r="D6">
        <v>20</v>
      </c>
      <c r="E6">
        <v>20</v>
      </c>
      <c r="F6">
        <v>10</v>
      </c>
      <c r="G6">
        <v>10</v>
      </c>
      <c r="H6">
        <v>8</v>
      </c>
      <c r="I6">
        <v>8</v>
      </c>
      <c r="J6">
        <v>4</v>
      </c>
      <c r="K6">
        <v>4</v>
      </c>
    </row>
    <row r="7" spans="1:11" x14ac:dyDescent="0.25">
      <c r="A7" t="s">
        <v>27</v>
      </c>
      <c r="B7">
        <v>200</v>
      </c>
      <c r="C7">
        <v>200</v>
      </c>
      <c r="D7">
        <v>200</v>
      </c>
      <c r="E7">
        <v>200</v>
      </c>
      <c r="F7">
        <v>400</v>
      </c>
      <c r="G7">
        <v>400</v>
      </c>
      <c r="H7">
        <v>1000</v>
      </c>
      <c r="I7">
        <v>1000</v>
      </c>
      <c r="J7">
        <v>2000</v>
      </c>
      <c r="K7">
        <v>2000</v>
      </c>
    </row>
    <row r="8" spans="1:11" x14ac:dyDescent="0.25">
      <c r="B8">
        <f>B7*MIN(B5,B6)</f>
        <v>3600</v>
      </c>
      <c r="C8">
        <f t="shared" ref="C8:K8" si="1">C7*MIN(C5,C6)</f>
        <v>3600</v>
      </c>
      <c r="D8">
        <f t="shared" si="1"/>
        <v>3400</v>
      </c>
      <c r="E8">
        <f t="shared" si="1"/>
        <v>3600</v>
      </c>
      <c r="F8">
        <f t="shared" si="1"/>
        <v>3600</v>
      </c>
      <c r="G8">
        <f t="shared" si="1"/>
        <v>4000</v>
      </c>
      <c r="H8">
        <f t="shared" si="1"/>
        <v>4000</v>
      </c>
      <c r="I8">
        <f t="shared" si="1"/>
        <v>4000</v>
      </c>
      <c r="J8">
        <f t="shared" si="1"/>
        <v>6000</v>
      </c>
      <c r="K8">
        <f t="shared" si="1"/>
        <v>8000</v>
      </c>
    </row>
    <row r="10" spans="1:11" x14ac:dyDescent="0.25">
      <c r="G10">
        <f>SUM(B8:K8)</f>
        <v>43800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FCEA-DA74-4D99-A56B-FB54483DD130}">
  <dimension ref="A1:F72"/>
  <sheetViews>
    <sheetView workbookViewId="0">
      <selection activeCell="L68" sqref="L68"/>
    </sheetView>
  </sheetViews>
  <sheetFormatPr defaultRowHeight="15" x14ac:dyDescent="0.25"/>
  <cols>
    <col min="1" max="1" width="10.5703125" bestFit="1" customWidth="1"/>
  </cols>
  <sheetData>
    <row r="1" spans="1:6" x14ac:dyDescent="0.25">
      <c r="E1" t="s">
        <v>13</v>
      </c>
      <c r="F1" t="s">
        <v>14</v>
      </c>
    </row>
    <row r="2" spans="1:6" x14ac:dyDescent="0.25">
      <c r="A2" s="2">
        <v>45255</v>
      </c>
      <c r="B2">
        <v>9</v>
      </c>
      <c r="E2" t="s">
        <v>8</v>
      </c>
      <c r="F2">
        <f>COUNTIF($B$2:$B$72,11)</f>
        <v>13</v>
      </c>
    </row>
    <row r="3" spans="1:6" x14ac:dyDescent="0.25">
      <c r="A3" s="2">
        <v>45241</v>
      </c>
      <c r="B3">
        <v>10</v>
      </c>
      <c r="E3" t="s">
        <v>9</v>
      </c>
      <c r="F3">
        <f>COUNTIF($B$2:$B$72,10)</f>
        <v>15</v>
      </c>
    </row>
    <row r="4" spans="1:6" x14ac:dyDescent="0.25">
      <c r="A4" s="2">
        <v>45227</v>
      </c>
      <c r="B4">
        <v>11</v>
      </c>
      <c r="E4" t="s">
        <v>10</v>
      </c>
      <c r="F4">
        <f>COUNTIF($B$2:$B$72,9)</f>
        <v>18</v>
      </c>
    </row>
    <row r="5" spans="1:6" x14ac:dyDescent="0.25">
      <c r="A5" s="2">
        <v>45213</v>
      </c>
      <c r="B5">
        <v>9</v>
      </c>
      <c r="E5" s="1" t="s">
        <v>11</v>
      </c>
      <c r="F5">
        <f>COUNTIF($B$2:$B$72,8)</f>
        <v>15</v>
      </c>
    </row>
    <row r="6" spans="1:6" x14ac:dyDescent="0.25">
      <c r="A6" s="2">
        <v>45199</v>
      </c>
      <c r="B6">
        <v>10</v>
      </c>
      <c r="E6" t="s">
        <v>12</v>
      </c>
      <c r="F6">
        <f>COUNTIF($B$2:$B$72,7)</f>
        <v>10</v>
      </c>
    </row>
    <row r="7" spans="1:6" x14ac:dyDescent="0.25">
      <c r="A7" s="2">
        <v>45185</v>
      </c>
      <c r="B7">
        <v>8</v>
      </c>
    </row>
    <row r="8" spans="1:6" x14ac:dyDescent="0.25">
      <c r="A8" s="2">
        <v>45171</v>
      </c>
      <c r="B8">
        <v>11</v>
      </c>
    </row>
    <row r="9" spans="1:6" x14ac:dyDescent="0.25">
      <c r="A9" s="2">
        <v>45157</v>
      </c>
      <c r="B9">
        <v>9</v>
      </c>
    </row>
    <row r="10" spans="1:6" x14ac:dyDescent="0.25">
      <c r="A10" s="2">
        <v>45143</v>
      </c>
      <c r="B10">
        <v>11</v>
      </c>
    </row>
    <row r="11" spans="1:6" x14ac:dyDescent="0.25">
      <c r="A11" s="2">
        <v>45129</v>
      </c>
      <c r="B11">
        <v>10</v>
      </c>
    </row>
    <row r="12" spans="1:6" x14ac:dyDescent="0.25">
      <c r="A12" s="2">
        <v>45115</v>
      </c>
      <c r="B12">
        <v>11</v>
      </c>
    </row>
    <row r="13" spans="1:6" x14ac:dyDescent="0.25">
      <c r="A13" s="2">
        <v>45101</v>
      </c>
      <c r="B13">
        <v>11</v>
      </c>
    </row>
    <row r="14" spans="1:6" x14ac:dyDescent="0.25">
      <c r="A14" s="2">
        <v>45087</v>
      </c>
      <c r="B14">
        <v>11</v>
      </c>
    </row>
    <row r="15" spans="1:6" x14ac:dyDescent="0.25">
      <c r="A15" s="2">
        <v>45073</v>
      </c>
      <c r="B15">
        <v>9</v>
      </c>
    </row>
    <row r="16" spans="1:6" x14ac:dyDescent="0.25">
      <c r="A16" s="2">
        <v>45059</v>
      </c>
      <c r="B16">
        <v>8</v>
      </c>
    </row>
    <row r="17" spans="1:2" x14ac:dyDescent="0.25">
      <c r="A17" s="2">
        <v>45045</v>
      </c>
      <c r="B17">
        <v>9</v>
      </c>
    </row>
    <row r="18" spans="1:2" x14ac:dyDescent="0.25">
      <c r="A18" s="2">
        <v>45031</v>
      </c>
      <c r="B18">
        <v>7</v>
      </c>
    </row>
    <row r="19" spans="1:2" x14ac:dyDescent="0.25">
      <c r="A19" s="2">
        <v>45017</v>
      </c>
      <c r="B19">
        <v>7</v>
      </c>
    </row>
    <row r="20" spans="1:2" x14ac:dyDescent="0.25">
      <c r="A20" s="2">
        <v>45003</v>
      </c>
      <c r="B20">
        <v>10</v>
      </c>
    </row>
    <row r="21" spans="1:2" x14ac:dyDescent="0.25">
      <c r="A21" s="2">
        <v>44989</v>
      </c>
      <c r="B21">
        <v>7</v>
      </c>
    </row>
    <row r="22" spans="1:2" x14ac:dyDescent="0.25">
      <c r="A22" s="2">
        <v>44975</v>
      </c>
      <c r="B22">
        <v>7</v>
      </c>
    </row>
    <row r="23" spans="1:2" x14ac:dyDescent="0.25">
      <c r="A23" s="2">
        <v>44961</v>
      </c>
      <c r="B23">
        <v>9</v>
      </c>
    </row>
    <row r="24" spans="1:2" x14ac:dyDescent="0.25">
      <c r="A24" s="2">
        <v>44947</v>
      </c>
      <c r="B24">
        <v>8</v>
      </c>
    </row>
    <row r="25" spans="1:2" x14ac:dyDescent="0.25">
      <c r="A25" s="2">
        <v>44933</v>
      </c>
      <c r="B25">
        <v>10</v>
      </c>
    </row>
    <row r="26" spans="1:2" x14ac:dyDescent="0.25">
      <c r="A26" s="2">
        <v>44919</v>
      </c>
      <c r="B26">
        <v>8</v>
      </c>
    </row>
    <row r="27" spans="1:2" x14ac:dyDescent="0.25">
      <c r="A27" s="2">
        <v>44905</v>
      </c>
      <c r="B27">
        <v>8</v>
      </c>
    </row>
    <row r="28" spans="1:2" x14ac:dyDescent="0.25">
      <c r="A28" s="2">
        <v>44891</v>
      </c>
      <c r="B28">
        <v>11</v>
      </c>
    </row>
    <row r="29" spans="1:2" x14ac:dyDescent="0.25">
      <c r="A29" s="2">
        <v>44877</v>
      </c>
      <c r="B29">
        <v>9</v>
      </c>
    </row>
    <row r="30" spans="1:2" x14ac:dyDescent="0.25">
      <c r="A30" s="2">
        <v>44863</v>
      </c>
      <c r="B30">
        <v>9</v>
      </c>
    </row>
    <row r="31" spans="1:2" x14ac:dyDescent="0.25">
      <c r="A31" s="2">
        <v>44849</v>
      </c>
      <c r="B31">
        <v>10</v>
      </c>
    </row>
    <row r="32" spans="1:2" x14ac:dyDescent="0.25">
      <c r="A32" s="2">
        <v>44835</v>
      </c>
      <c r="B32">
        <v>10</v>
      </c>
    </row>
    <row r="33" spans="1:2" x14ac:dyDescent="0.25">
      <c r="A33" s="2">
        <v>44821</v>
      </c>
      <c r="B33">
        <v>9</v>
      </c>
    </row>
    <row r="34" spans="1:2" x14ac:dyDescent="0.25">
      <c r="A34" s="2">
        <v>44807</v>
      </c>
      <c r="B34">
        <v>10</v>
      </c>
    </row>
    <row r="35" spans="1:2" x14ac:dyDescent="0.25">
      <c r="A35" s="2">
        <v>44793</v>
      </c>
      <c r="B35">
        <v>8</v>
      </c>
    </row>
    <row r="36" spans="1:2" x14ac:dyDescent="0.25">
      <c r="A36" s="2">
        <v>44779</v>
      </c>
      <c r="B36">
        <v>11</v>
      </c>
    </row>
    <row r="37" spans="1:2" x14ac:dyDescent="0.25">
      <c r="A37" s="2">
        <v>44765</v>
      </c>
      <c r="B37">
        <v>7</v>
      </c>
    </row>
    <row r="38" spans="1:2" x14ac:dyDescent="0.25">
      <c r="A38" s="2">
        <v>44751</v>
      </c>
      <c r="B38">
        <v>11</v>
      </c>
    </row>
    <row r="39" spans="1:2" x14ac:dyDescent="0.25">
      <c r="A39" s="2">
        <v>44737</v>
      </c>
      <c r="B39">
        <v>11</v>
      </c>
    </row>
    <row r="40" spans="1:2" x14ac:dyDescent="0.25">
      <c r="A40" s="2">
        <v>44723</v>
      </c>
      <c r="B40">
        <v>10</v>
      </c>
    </row>
    <row r="41" spans="1:2" x14ac:dyDescent="0.25">
      <c r="A41" s="2">
        <v>44709</v>
      </c>
      <c r="B41">
        <v>10</v>
      </c>
    </row>
    <row r="42" spans="1:2" x14ac:dyDescent="0.25">
      <c r="A42" s="2">
        <v>44695</v>
      </c>
      <c r="B42">
        <v>11</v>
      </c>
    </row>
    <row r="43" spans="1:2" x14ac:dyDescent="0.25">
      <c r="A43" s="2">
        <v>44681</v>
      </c>
      <c r="B43">
        <v>11</v>
      </c>
    </row>
    <row r="44" spans="1:2" x14ac:dyDescent="0.25">
      <c r="A44" s="2">
        <v>44667</v>
      </c>
      <c r="B44">
        <v>8</v>
      </c>
    </row>
    <row r="45" spans="1:2" x14ac:dyDescent="0.25">
      <c r="A45" s="2">
        <v>44653</v>
      </c>
      <c r="B45">
        <v>9</v>
      </c>
    </row>
    <row r="46" spans="1:2" x14ac:dyDescent="0.25">
      <c r="A46" s="2">
        <v>44639</v>
      </c>
      <c r="B46">
        <v>9</v>
      </c>
    </row>
    <row r="47" spans="1:2" x14ac:dyDescent="0.25">
      <c r="A47" s="2">
        <v>44625</v>
      </c>
      <c r="B47">
        <v>9</v>
      </c>
    </row>
    <row r="48" spans="1:2" x14ac:dyDescent="0.25">
      <c r="A48" s="2">
        <v>44611</v>
      </c>
      <c r="B48">
        <v>7</v>
      </c>
    </row>
    <row r="49" spans="1:2" x14ac:dyDescent="0.25">
      <c r="A49" s="2">
        <v>44597</v>
      </c>
      <c r="B49">
        <v>8</v>
      </c>
    </row>
    <row r="50" spans="1:2" x14ac:dyDescent="0.25">
      <c r="A50" s="2">
        <v>44583</v>
      </c>
      <c r="B50">
        <v>9</v>
      </c>
    </row>
    <row r="51" spans="1:2" x14ac:dyDescent="0.25">
      <c r="A51" s="2">
        <v>44569</v>
      </c>
      <c r="B51">
        <v>8</v>
      </c>
    </row>
    <row r="52" spans="1:2" x14ac:dyDescent="0.25">
      <c r="A52" s="2">
        <v>44555</v>
      </c>
      <c r="B52">
        <v>9</v>
      </c>
    </row>
    <row r="53" spans="1:2" x14ac:dyDescent="0.25">
      <c r="A53" s="2">
        <v>44541</v>
      </c>
      <c r="B53">
        <v>10</v>
      </c>
    </row>
    <row r="54" spans="1:2" x14ac:dyDescent="0.25">
      <c r="A54" s="2">
        <v>44527</v>
      </c>
      <c r="B54">
        <v>10</v>
      </c>
    </row>
    <row r="55" spans="1:2" x14ac:dyDescent="0.25">
      <c r="A55" s="2">
        <v>44513</v>
      </c>
      <c r="B55">
        <v>8</v>
      </c>
    </row>
    <row r="56" spans="1:2" x14ac:dyDescent="0.25">
      <c r="A56" s="2">
        <v>44499</v>
      </c>
      <c r="B56">
        <v>8</v>
      </c>
    </row>
    <row r="57" spans="1:2" x14ac:dyDescent="0.25">
      <c r="A57" s="2">
        <v>44485</v>
      </c>
      <c r="B57">
        <v>8</v>
      </c>
    </row>
    <row r="58" spans="1:2" x14ac:dyDescent="0.25">
      <c r="A58" s="2">
        <v>44471</v>
      </c>
      <c r="B58">
        <v>9</v>
      </c>
    </row>
    <row r="59" spans="1:2" x14ac:dyDescent="0.25">
      <c r="A59" s="2">
        <v>44457</v>
      </c>
      <c r="B59">
        <v>9</v>
      </c>
    </row>
    <row r="60" spans="1:2" x14ac:dyDescent="0.25">
      <c r="A60" s="2">
        <v>44443</v>
      </c>
      <c r="B60">
        <v>10</v>
      </c>
    </row>
    <row r="61" spans="1:2" x14ac:dyDescent="0.25">
      <c r="A61" s="2">
        <v>44429</v>
      </c>
      <c r="B61">
        <v>11</v>
      </c>
    </row>
    <row r="62" spans="1:2" x14ac:dyDescent="0.25">
      <c r="A62" s="2">
        <v>44415</v>
      </c>
      <c r="B62">
        <v>9</v>
      </c>
    </row>
    <row r="63" spans="1:2" x14ac:dyDescent="0.25">
      <c r="A63" s="2">
        <v>44401</v>
      </c>
      <c r="B63">
        <v>7</v>
      </c>
    </row>
    <row r="64" spans="1:2" x14ac:dyDescent="0.25">
      <c r="A64" s="2">
        <v>44387</v>
      </c>
      <c r="B64">
        <v>7</v>
      </c>
    </row>
    <row r="65" spans="1:2" x14ac:dyDescent="0.25">
      <c r="A65" s="2">
        <v>44373</v>
      </c>
      <c r="B65">
        <v>10</v>
      </c>
    </row>
    <row r="66" spans="1:2" x14ac:dyDescent="0.25">
      <c r="A66" s="2">
        <v>44359</v>
      </c>
      <c r="B66">
        <v>7</v>
      </c>
    </row>
    <row r="67" spans="1:2" x14ac:dyDescent="0.25">
      <c r="A67" s="2">
        <v>44345</v>
      </c>
      <c r="B67">
        <v>7</v>
      </c>
    </row>
    <row r="68" spans="1:2" x14ac:dyDescent="0.25">
      <c r="A68" s="2">
        <v>44331</v>
      </c>
      <c r="B68">
        <v>9</v>
      </c>
    </row>
    <row r="69" spans="1:2" x14ac:dyDescent="0.25">
      <c r="A69" s="2">
        <v>44317</v>
      </c>
      <c r="B69">
        <v>8</v>
      </c>
    </row>
    <row r="70" spans="1:2" x14ac:dyDescent="0.25">
      <c r="A70" s="2">
        <v>44303</v>
      </c>
      <c r="B70">
        <v>10</v>
      </c>
    </row>
    <row r="71" spans="1:2" x14ac:dyDescent="0.25">
      <c r="A71" s="2">
        <v>44289</v>
      </c>
      <c r="B71">
        <v>8</v>
      </c>
    </row>
    <row r="72" spans="1:2" x14ac:dyDescent="0.25">
      <c r="A72" s="2">
        <v>44275</v>
      </c>
      <c r="B7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远征</vt:lpstr>
      <vt:lpstr>暗部</vt:lpstr>
      <vt:lpstr>Sheet2</vt:lpstr>
    </vt:vector>
  </TitlesOfParts>
  <Company>Abbott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2023-02-27T18:12:43Z</dcterms:created>
  <dcterms:modified xsi:type="dcterms:W3CDTF">2026-03-12T21:44:19Z</dcterms:modified>
</cp:coreProperties>
</file>